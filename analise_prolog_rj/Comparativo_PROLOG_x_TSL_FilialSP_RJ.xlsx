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mparativo Tabelas" sheetId="2" state="visible" r:id="rId4"/>
    <sheet name="Top 20 Cidades" sheetId="3" state="visible" r:id="rId5"/>
    <sheet name="Frete Peso Top 20" sheetId="4" state="visible" r:id="rId6"/>
    <sheet name="Proposta Tabela PROLOG" sheetId="5" state="visible" r:id="rId7"/>
    <sheet name="Faixa x Região" sheetId="6" state="visible" r:id="rId8"/>
    <sheet name="Pedidos" sheetId="7" state="visible" r:id="rId9"/>
  </sheets>
  <definedNames>
    <definedName function="false" hidden="true" localSheetId="6" name="_xlnm._FilterDatabase" vbProcedure="false">Pedidos!$A$1:$AM$2224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<sst xmlns="http://schemas.openxmlformats.org/spreadsheetml/2006/main" count="16523" uniqueCount="2321">
  <si>
    <t xml:space="preserve">PROLOG FILIAL SP x TSL FILIAL SP (tabela atualizada 17/07/2026) — pedidos RJ, origem FILIAL SP, jul–set/2026</t>
  </si>
  <si>
    <t xml:space="preserve">PREMISSAS (células em azul podem ser alteradas — todas as abas recalculam)</t>
  </si>
  <si>
    <t xml:space="preserve">Parâmetro</t>
  </si>
  <si>
    <t xml:space="preserve">PROLOG</t>
  </si>
  <si>
    <t xml:space="preserve">TSL</t>
  </si>
  <si>
    <t xml:space="preserve">Fonte / observação</t>
  </si>
  <si>
    <t xml:space="preserve">ICMS por fora (total = subtotal / (1 − alíquota))</t>
  </si>
  <si>
    <t xml:space="preserve">Confirmado: 12% por fora. Ambas as tabelas com "ICMS incluso = N".</t>
  </si>
  <si>
    <t xml:space="preserve">Ad valorem / frete valor (% NF)</t>
  </si>
  <si>
    <t xml:space="preserve">Tabelas Intelipost</t>
  </si>
  <si>
    <t xml:space="preserve">GRIS (% NF)</t>
  </si>
  <si>
    <t xml:space="preserve">Seguro (% NF)</t>
  </si>
  <si>
    <t xml:space="preserve">Tabela TSL</t>
  </si>
  <si>
    <t xml:space="preserve">TAS / entrega fixo (R$ por pedido)</t>
  </si>
  <si>
    <t xml:space="preserve">PROLOG: TAS R$ 1,00</t>
  </si>
  <si>
    <t xml:space="preserve">Pedágio (R$ por fração de 100 kg)</t>
  </si>
  <si>
    <t xml:space="preserve">TRT (% sobre o subtotal)</t>
  </si>
  <si>
    <t xml:space="preserve">A tabela TSL atualizada não tem TRT (a antiga tinha 5,5%)</t>
  </si>
  <si>
    <t xml:space="preserve">CTe por kg (R$/kg)</t>
  </si>
  <si>
    <t xml:space="preserve">PROLOG: CTE FIXO 0,06 com faixa de 1 kg</t>
  </si>
  <si>
    <t xml:space="preserve">CTe fixo (R$ por pedido)</t>
  </si>
  <si>
    <t xml:space="preserve">TSL: CTE VALOR FIXO R$ 13,55</t>
  </si>
  <si>
    <t xml:space="preserve">Taxa interna (R$ por kg) — levar o produto até a filial SP</t>
  </si>
  <si>
    <t xml:space="preserve">Taxa interna obrigatória; consta nas DUAS tabelas como "outra taxa"</t>
  </si>
  <si>
    <t xml:space="preserve">Cubagem (kg/m³)</t>
  </si>
  <si>
    <t xml:space="preserve">Sem dimensões na base: simulado por peso real</t>
  </si>
  <si>
    <t xml:space="preserve">VISÃO GERAL — os mesmos 2.223 pedidos cotados pelas duas tabelas</t>
  </si>
  <si>
    <t xml:space="preserve">Indicador</t>
  </si>
  <si>
    <t xml:space="preserve">TSL FILIAL SP (nova)</t>
  </si>
  <si>
    <t xml:space="preserve">PROLOG FILIAL SP</t>
  </si>
  <si>
    <t xml:space="preserve">Diferença</t>
  </si>
  <si>
    <t xml:space="preserve">Pedidos</t>
  </si>
  <si>
    <t xml:space="preserve">Custo total de frete</t>
  </si>
  <si>
    <t xml:space="preserve">Custo médio por pedido</t>
  </si>
  <si>
    <t xml:space="preserve">Frete / NF</t>
  </si>
  <si>
    <t xml:space="preserve">% pedidos em que a PROLOG ganharia a cotação</t>
  </si>
  <si>
    <t xml:space="preserve">Prazo médio (dias úteis)</t>
  </si>
  <si>
    <t xml:space="preserve">Conferência: custo real cotado no período</t>
  </si>
  <si>
    <t xml:space="preserve">Conferência: TSL tabela antiga (abr/26) simulada</t>
  </si>
  <si>
    <t xml:space="preserve">As cotações reais do período foram feitas com a tabela TSL antiga (reproduzida ao centavo). A tabela atualizada dá um custo total praticamente igual (−0,2%), mas com outra composição.</t>
  </si>
  <si>
    <t xml:space="preserve">DE ONDE VEM A DIFERENÇA — média por pedido (R$)</t>
  </si>
  <si>
    <t xml:space="preserve">Componente</t>
  </si>
  <si>
    <t xml:space="preserve">PROLOG − TSL</t>
  </si>
  <si>
    <t xml:space="preserve">% da diferença</t>
  </si>
  <si>
    <t xml:space="preserve">Frete peso</t>
  </si>
  <si>
    <t xml:space="preserve">Ad valorem</t>
  </si>
  <si>
    <t xml:space="preserve">GRIS</t>
  </si>
  <si>
    <t xml:space="preserve">Seguro</t>
  </si>
  <si>
    <t xml:space="preserve">TAS / entrega</t>
  </si>
  <si>
    <t xml:space="preserve">Pedágio</t>
  </si>
  <si>
    <t xml:space="preserve">CTe (TSL fixo R$ 13,55 / PROLOG R$ 0,06 por kg)</t>
  </si>
  <si>
    <t xml:space="preserve">Taxa interna R$ 0,45/kg</t>
  </si>
  <si>
    <t xml:space="preserve">TRT</t>
  </si>
  <si>
    <t xml:space="preserve">ICMS 12% por fora</t>
  </si>
  <si>
    <t xml:space="preserve">TOTAL</t>
  </si>
  <si>
    <t xml:space="preserve">Estrutura das tabelas — principais diferenças (TSL = tabela atualizada 17/07/2026)</t>
  </si>
  <si>
    <t xml:space="preserve">Item</t>
  </si>
  <si>
    <t xml:space="preserve">Quem leva vantagem</t>
  </si>
  <si>
    <t xml:space="preserve">Comentário / oportunidade</t>
  </si>
  <si>
    <t xml:space="preserve">TSL antiga (abr/26) — referência</t>
  </si>
  <si>
    <t xml:space="preserve">Regionalização do RJ</t>
  </si>
  <si>
    <t xml:space="preserve">93 faixas de CEP, 9 níveis de preço</t>
  </si>
  <si>
    <t xml:space="preserve">93 faixas de CEP, 3 níveis: Capital, Metropolitana (10 faixas), Interior (82)</t>
  </si>
  <si>
    <t xml:space="preserve">—</t>
  </si>
  <si>
    <t xml:space="preserve">TSL tem preço único por região; a PROLOG pode ser agressiva onde tem operação própria</t>
  </si>
  <si>
    <t xml:space="preserve">Mesma regionalização</t>
  </si>
  <si>
    <t xml:space="preserve">Frete peso — Capital até 20 kg</t>
  </si>
  <si>
    <t xml:space="preserve">R$ 46,98</t>
  </si>
  <si>
    <t xml:space="preserve">R$ 33,42</t>
  </si>
  <si>
    <t xml:space="preserve">+41%</t>
  </si>
  <si>
    <t xml:space="preserve">R$ 39,83</t>
  </si>
  <si>
    <t xml:space="preserve">Frete peso — Capital 20 a 35 kg</t>
  </si>
  <si>
    <t xml:space="preserve">R$ 82,21</t>
  </si>
  <si>
    <t xml:space="preserve">R$ 42,11</t>
  </si>
  <si>
    <t xml:space="preserve">+95% — maior gap de valor (faixa mais vendida da capital)</t>
  </si>
  <si>
    <t xml:space="preserve">R$ 54,10</t>
  </si>
  <si>
    <t xml:space="preserve">Frete peso — Capital 40 a 50 kg</t>
  </si>
  <si>
    <t xml:space="preserve">R$ 93,97</t>
  </si>
  <si>
    <t xml:space="preserve">R$ 53,55</t>
  </si>
  <si>
    <t xml:space="preserve">+75%</t>
  </si>
  <si>
    <t xml:space="preserve">R$ 71,00</t>
  </si>
  <si>
    <t xml:space="preserve">Frete peso — Capital 50 a 60 kg</t>
  </si>
  <si>
    <t xml:space="preserve">R$ 112,30</t>
  </si>
  <si>
    <t xml:space="preserve">R$ 58,60</t>
  </si>
  <si>
    <t xml:space="preserve">+92%</t>
  </si>
  <si>
    <t xml:space="preserve">R$ 79,81</t>
  </si>
  <si>
    <t xml:space="preserve">Frete peso — Capital 60 a 70 kg</t>
  </si>
  <si>
    <t xml:space="preserve">R$ 131,02</t>
  </si>
  <si>
    <t xml:space="preserve">R$ 63,21</t>
  </si>
  <si>
    <t xml:space="preserve">+107%</t>
  </si>
  <si>
    <t xml:space="preserve">R$ 88,20</t>
  </si>
  <si>
    <t xml:space="preserve">Taxa fixa por pedido</t>
  </si>
  <si>
    <t xml:space="preserve">TAS R$ 1,00</t>
  </si>
  <si>
    <t xml:space="preserve">CTe fixo R$ 13,55</t>
  </si>
  <si>
    <t xml:space="preserve">R$ 12,55 a menos por pedido — é a única vantagem relevante da PROLOG em taxas</t>
  </si>
  <si>
    <t xml:space="preserve">Entrega R$ 11,90 + TRT 5,5%</t>
  </si>
  <si>
    <t xml:space="preserve">CTe por kg</t>
  </si>
  <si>
    <t xml:space="preserve">R$ 0,06 / kg</t>
  </si>
  <si>
    <t xml:space="preserve">não cobra</t>
  </si>
  <si>
    <t xml:space="preserve">≈ R$ 3,00 por pedido; trocar por fixo ou zerar</t>
  </si>
  <si>
    <t xml:space="preserve">não cobrava</t>
  </si>
  <si>
    <t xml:space="preserve">Taxa interna (filial SP)</t>
  </si>
  <si>
    <t xml:space="preserve">R$ 0,45 / kg</t>
  </si>
  <si>
    <t xml:space="preserve">Empate</t>
  </si>
  <si>
    <t xml:space="preserve">Agora está nas duas tabelas — comparação justa</t>
  </si>
  <si>
    <t xml:space="preserve">não constava</t>
  </si>
  <si>
    <t xml:space="preserve">Ad valorem / Seguro</t>
  </si>
  <si>
    <t xml:space="preserve">0,10% NF (ad valorem)</t>
  </si>
  <si>
    <t xml:space="preserve">0,21% NF (seguro)</t>
  </si>
  <si>
    <t xml:space="preserve">≈ R$ 0,70 a favor</t>
  </si>
  <si>
    <t xml:space="preserve">0,20% NF</t>
  </si>
  <si>
    <t xml:space="preserve">0,21% NF</t>
  </si>
  <si>
    <t xml:space="preserve">Pequeno</t>
  </si>
  <si>
    <t xml:space="preserve">5,5% sobre o subtotal</t>
  </si>
  <si>
    <t xml:space="preserve">R$ 4,50 / 100 kg</t>
  </si>
  <si>
    <t xml:space="preserve">R$ 1,05 / 100 kg</t>
  </si>
  <si>
    <t xml:space="preserve">R$ 3,45 a mais por pedido — fácil de negociar</t>
  </si>
  <si>
    <t xml:space="preserve">R$ 1,00 / 100 kg</t>
  </si>
  <si>
    <t xml:space="preserve">Cubagem</t>
  </si>
  <si>
    <t xml:space="preserve">não aplica (0)</t>
  </si>
  <si>
    <t xml:space="preserve">300 kg/m³</t>
  </si>
  <si>
    <t xml:space="preserve">Vantagem para volumosos (não medida: base sem dimensões)</t>
  </si>
  <si>
    <t xml:space="preserve">Excedente acima de 250 kg</t>
  </si>
  <si>
    <t xml:space="preserve">R$ 7,71 a 12,05 / kg</t>
  </si>
  <si>
    <t xml:space="preserve">R$ 0,96 a 1,34 / kg</t>
  </si>
  <si>
    <t xml:space="preserve">Sem pedidos acima de 250 kg; ainda assim fora de mercado</t>
  </si>
  <si>
    <t xml:space="preserve">R$ 0,91 a 1,28 / kg</t>
  </si>
  <si>
    <t xml:space="preserve">Prazo — Capital e Metropolitana</t>
  </si>
  <si>
    <t xml:space="preserve">5 a 7 dias úteis</t>
  </si>
  <si>
    <t xml:space="preserve">2 dias úteis</t>
  </si>
  <si>
    <t xml:space="preserve">A TSL atualizada passou a oferecer 2 du: a PROLOG perdeu a vantagem de prazo nas regiões de maior volume</t>
  </si>
  <si>
    <t xml:space="preserve">8 a 10 du</t>
  </si>
  <si>
    <t xml:space="preserve">Prazo — Interior</t>
  </si>
  <si>
    <t xml:space="preserve">6 a 11 dias úteis</t>
  </si>
  <si>
    <t xml:space="preserve">13 dias úteis</t>
  </si>
  <si>
    <t xml:space="preserve">2 a 7 dias mais rápido</t>
  </si>
  <si>
    <t xml:space="preserve">13 du</t>
  </si>
  <si>
    <t xml:space="preserve">Inconsistência na tabela TSL</t>
  </si>
  <si>
    <t xml:space="preserve">Interior, faixa 170 a 200 kg = R$ 66,69 (faixa 150 a 170 kg = R$ 155,09)</t>
  </si>
  <si>
    <t xml:space="preserve">Provável erro de digitação na TSL — repetido da tabela antiga</t>
  </si>
  <si>
    <t xml:space="preserve">R$ 143,51</t>
  </si>
  <si>
    <t xml:space="preserve">Top 20 cidades RJ — preço final (com taxas e ICMS) PROLOG x TSL nos mesmos pedidos</t>
  </si>
  <si>
    <t xml:space="preserve">#</t>
  </si>
  <si>
    <t xml:space="preserve">Cidade</t>
  </si>
  <si>
    <t xml:space="preserve">Região TSL</t>
  </si>
  <si>
    <t xml:space="preserve">% pedidos RJ</t>
  </si>
  <si>
    <t xml:space="preserve">Peso médio (kg)</t>
  </si>
  <si>
    <t xml:space="preserve">NF média</t>
  </si>
  <si>
    <t xml:space="preserve">TSL médio</t>
  </si>
  <si>
    <t xml:space="preserve">PROLOG médio</t>
  </si>
  <si>
    <t xml:space="preserve">PROLOG vs TSL</t>
  </si>
  <si>
    <t xml:space="preserve">Frete/NF TSL</t>
  </si>
  <si>
    <t xml:space="preserve">Frete/NF PROLOG</t>
  </si>
  <si>
    <t xml:space="preserve">% pedidos PROLOG ganharia</t>
  </si>
  <si>
    <t xml:space="preserve">Frete peso PROLOG vs TSL</t>
  </si>
  <si>
    <t xml:space="preserve">Prazo TSL</t>
  </si>
  <si>
    <t xml:space="preserve">Prazo PROLOG</t>
  </si>
  <si>
    <t xml:space="preserve">Redução necessária no preço PROLOG p/ empatar</t>
  </si>
  <si>
    <t xml:space="preserve">Avaliação</t>
  </si>
  <si>
    <t xml:space="preserve">Rio de Janeiro</t>
  </si>
  <si>
    <t xml:space="preserve">São Gonçalo</t>
  </si>
  <si>
    <t xml:space="preserve">Duque de Caxias</t>
  </si>
  <si>
    <t xml:space="preserve">Nova Iguaçu</t>
  </si>
  <si>
    <t xml:space="preserve">Niterói</t>
  </si>
  <si>
    <t xml:space="preserve">Campos dos Goytacazes</t>
  </si>
  <si>
    <t xml:space="preserve">Belford Roxo</t>
  </si>
  <si>
    <t xml:space="preserve">Macaé</t>
  </si>
  <si>
    <t xml:space="preserve">São João de Meriti</t>
  </si>
  <si>
    <t xml:space="preserve">Volta Redonda</t>
  </si>
  <si>
    <t xml:space="preserve">Angra dos Reis</t>
  </si>
  <si>
    <t xml:space="preserve">Petrópolis</t>
  </si>
  <si>
    <t xml:space="preserve">Maricá</t>
  </si>
  <si>
    <t xml:space="preserve">Cabo Frio</t>
  </si>
  <si>
    <t xml:space="preserve">Araruama</t>
  </si>
  <si>
    <t xml:space="preserve">Itaboraí</t>
  </si>
  <si>
    <t xml:space="preserve">Mesquita</t>
  </si>
  <si>
    <t xml:space="preserve">Magé</t>
  </si>
  <si>
    <t xml:space="preserve">Nova Friburgo</t>
  </si>
  <si>
    <t xml:space="preserve">Rio das Ostras</t>
  </si>
  <si>
    <t xml:space="preserve">TOTAL TOP 20</t>
  </si>
  <si>
    <t xml:space="preserve">Avaliação: "Muito bem" = PROLOG mais barata; "Melhor posição" = até +32%; "Intermediária" = +32% a +45%; "Precisa melhorar" = acima de +45%.</t>
  </si>
  <si>
    <t xml:space="preserve">Frete peso por faixa (valor de tabela, antes de taxas e ICMS) — PROLOG x TSL nas top 20 cidades</t>
  </si>
  <si>
    <t xml:space="preserve">1) PROLOG — frete peso (R$)</t>
  </si>
  <si>
    <t xml:space="preserve">0-20</t>
  </si>
  <si>
    <t xml:space="preserve">20-35</t>
  </si>
  <si>
    <t xml:space="preserve">35-40</t>
  </si>
  <si>
    <t xml:space="preserve">40-50</t>
  </si>
  <si>
    <t xml:space="preserve">50-60</t>
  </si>
  <si>
    <t xml:space="preserve">60-70</t>
  </si>
  <si>
    <t xml:space="preserve">70-80</t>
  </si>
  <si>
    <t xml:space="preserve">80-100</t>
  </si>
  <si>
    <t xml:space="preserve">100-120</t>
  </si>
  <si>
    <t xml:space="preserve">120-150</t>
  </si>
  <si>
    <t xml:space="preserve">150-170</t>
  </si>
  <si>
    <t xml:space="preserve">170-200</t>
  </si>
  <si>
    <t xml:space="preserve">200-250</t>
  </si>
  <si>
    <t xml:space="preserve">Capital</t>
  </si>
  <si>
    <t xml:space="preserve">Metropolitana</t>
  </si>
  <si>
    <t xml:space="preserve">Interior</t>
  </si>
  <si>
    <t xml:space="preserve">2) TSL — frete peso (R$)</t>
  </si>
  <si>
    <t xml:space="preserve">3) PROLOG vs TSL (%)</t>
  </si>
  <si>
    <t xml:space="preserve">Frete peso ALVO para a PROLOG empatar com a TSL (mantendo as taxas atuais da PROLOG, inclusive a taxa interna)</t>
  </si>
  <si>
    <t xml:space="preserve">Alvo = subtotal TSL (frete peso + ad valorem + GRIS + seguro + pedágio + entrega + CTe fixo + taxa interna, × (1 + TRT)) − taxas PROLOG (ad valorem + GRIS + TAS + pedágio + CTe/kg + taxa interna), para um pedido de referência por faixa. O ICMS é igual nas duas e se anula.</t>
  </si>
  <si>
    <t xml:space="preserve">Peso de referência (kg) →</t>
  </si>
  <si>
    <t xml:space="preserve">NF de referência (R$) →</t>
  </si>
  <si>
    <t xml:space="preserve">PROLOG atual — frete peso</t>
  </si>
  <si>
    <t xml:space="preserve">TSL — frete peso</t>
  </si>
  <si>
    <t xml:space="preserve">PROLOG ALVO (empate)</t>
  </si>
  <si>
    <t xml:space="preserve">Redução necessária no frete peso PROLOG</t>
  </si>
  <si>
    <t xml:space="preserve">UF</t>
  </si>
  <si>
    <t xml:space="preserve">Cidade (tabela PROLOG)</t>
  </si>
  <si>
    <t xml:space="preserve">CEP inicial</t>
  </si>
  <si>
    <t xml:space="preserve">CEP final</t>
  </si>
  <si>
    <t xml:space="preserve">Prazo PROLOG / TSL</t>
  </si>
  <si>
    <t xml:space="preserve">Pedidos no período</t>
  </si>
  <si>
    <t xml:space="preserve">RJ</t>
  </si>
  <si>
    <t xml:space="preserve">5 / 2</t>
  </si>
  <si>
    <t xml:space="preserve">Itaguaí</t>
  </si>
  <si>
    <t xml:space="preserve">5 / 13</t>
  </si>
  <si>
    <t xml:space="preserve">Mangaratiba</t>
  </si>
  <si>
    <t xml:space="preserve">10 / 13</t>
  </si>
  <si>
    <t xml:space="preserve">Seropédica</t>
  </si>
  <si>
    <t xml:space="preserve">Paraty</t>
  </si>
  <si>
    <t xml:space="preserve">7 / 2</t>
  </si>
  <si>
    <t xml:space="preserve">7 / 13</t>
  </si>
  <si>
    <t xml:space="preserve">Tanguá</t>
  </si>
  <si>
    <t xml:space="preserve">8 / 13</t>
  </si>
  <si>
    <t xml:space="preserve">São José do Vale do Rio Preto</t>
  </si>
  <si>
    <t xml:space="preserve">Três Rios</t>
  </si>
  <si>
    <t xml:space="preserve">Areal</t>
  </si>
  <si>
    <t xml:space="preserve">Paraíba do Sul</t>
  </si>
  <si>
    <t xml:space="preserve">Comendador Levy Gasparian</t>
  </si>
  <si>
    <t xml:space="preserve">Sapucaia</t>
  </si>
  <si>
    <t xml:space="preserve">6 / 13</t>
  </si>
  <si>
    <t xml:space="preserve">Guapimirim</t>
  </si>
  <si>
    <t xml:space="preserve">Teresópolis</t>
  </si>
  <si>
    <t xml:space="preserve">Queimados</t>
  </si>
  <si>
    <t xml:space="preserve">Japeri</t>
  </si>
  <si>
    <t xml:space="preserve">Nilópolis</t>
  </si>
  <si>
    <t xml:space="preserve">Paracambi</t>
  </si>
  <si>
    <t xml:space="preserve">Engenheiro Paulo de Frontin</t>
  </si>
  <si>
    <t xml:space="preserve">Mendes</t>
  </si>
  <si>
    <t xml:space="preserve">Miguel Pereira</t>
  </si>
  <si>
    <t xml:space="preserve">Paty do Alferes</t>
  </si>
  <si>
    <t xml:space="preserve">Barra do Piraí</t>
  </si>
  <si>
    <t xml:space="preserve">Piraí</t>
  </si>
  <si>
    <t xml:space="preserve">Pinheiral</t>
  </si>
  <si>
    <t xml:space="preserve">Barra Mansa</t>
  </si>
  <si>
    <t xml:space="preserve">Quatis</t>
  </si>
  <si>
    <t xml:space="preserve">Rio Claro</t>
  </si>
  <si>
    <t xml:space="preserve">Resende</t>
  </si>
  <si>
    <t xml:space="preserve">Porto Real</t>
  </si>
  <si>
    <t xml:space="preserve">Itatiaia</t>
  </si>
  <si>
    <t xml:space="preserve">Valença</t>
  </si>
  <si>
    <t xml:space="preserve">Rio das Flores</t>
  </si>
  <si>
    <t xml:space="preserve">Vassouras</t>
  </si>
  <si>
    <t xml:space="preserve">11 / 13</t>
  </si>
  <si>
    <t xml:space="preserve">Carapebus</t>
  </si>
  <si>
    <t xml:space="preserve">Cardoso Moreira</t>
  </si>
  <si>
    <t xml:space="preserve">São João da Barra</t>
  </si>
  <si>
    <t xml:space="preserve">São Francisco de Itabapoana</t>
  </si>
  <si>
    <t xml:space="preserve">Italva</t>
  </si>
  <si>
    <t xml:space="preserve">Itaperuna</t>
  </si>
  <si>
    <t xml:space="preserve">Laje do Muriaé</t>
  </si>
  <si>
    <t xml:space="preserve">Bom Jesus do Itabapoana</t>
  </si>
  <si>
    <t xml:space="preserve">Varre-Sai</t>
  </si>
  <si>
    <t xml:space="preserve">Natividade</t>
  </si>
  <si>
    <t xml:space="preserve">Porciúncula</t>
  </si>
  <si>
    <t xml:space="preserve">São Fidélis</t>
  </si>
  <si>
    <t xml:space="preserve">Cambuci</t>
  </si>
  <si>
    <t xml:space="preserve">São José de Ubá</t>
  </si>
  <si>
    <t xml:space="preserve">Miracema</t>
  </si>
  <si>
    <t xml:space="preserve">Santo Antônio de Pádua</t>
  </si>
  <si>
    <t xml:space="preserve">Aperibé</t>
  </si>
  <si>
    <t xml:space="preserve">Cantagalo</t>
  </si>
  <si>
    <t xml:space="preserve">Cordeiro</t>
  </si>
  <si>
    <t xml:space="preserve">Macuco</t>
  </si>
  <si>
    <t xml:space="preserve">São Sebastião do Alto</t>
  </si>
  <si>
    <t xml:space="preserve">Itaocara</t>
  </si>
  <si>
    <t xml:space="preserve">Sumidouro</t>
  </si>
  <si>
    <t xml:space="preserve">Carmo</t>
  </si>
  <si>
    <t xml:space="preserve">Duas Barras</t>
  </si>
  <si>
    <t xml:space="preserve">Bom Jardim</t>
  </si>
  <si>
    <t xml:space="preserve">Cachoeiras de Macacu</t>
  </si>
  <si>
    <t xml:space="preserve">Quissamã</t>
  </si>
  <si>
    <t xml:space="preserve">Conceição de Macabu</t>
  </si>
  <si>
    <t xml:space="preserve">Trajano de Moraes</t>
  </si>
  <si>
    <t xml:space="preserve">Santa Maria Madalena</t>
  </si>
  <si>
    <t xml:space="preserve">Rio Bonito</t>
  </si>
  <si>
    <t xml:space="preserve">Silva Jardim</t>
  </si>
  <si>
    <t xml:space="preserve">Casimiro de Abreu</t>
  </si>
  <si>
    <t xml:space="preserve">Arraial do Cabo</t>
  </si>
  <si>
    <t xml:space="preserve">São Pedro da Aldeia</t>
  </si>
  <si>
    <t xml:space="preserve">Armação dos Búzios</t>
  </si>
  <si>
    <t xml:space="preserve">Iguaba Grande</t>
  </si>
  <si>
    <t xml:space="preserve">Saquarema</t>
  </si>
  <si>
    <t xml:space="preserve">Redução negativa = a PROLOG já está abaixo do empate nessa faixa/cidade. Faixa 170–200 kg do interior distorcida por provável erro na tabela TSL (R$ 66,69).</t>
  </si>
  <si>
    <t xml:space="preserve">Por faixa de peso e região TSL — preço final PROLOG x TSL (mesmos pedidos, top 20 cidades)</t>
  </si>
  <si>
    <t xml:space="preserve">Região: TODAS</t>
  </si>
  <si>
    <t xml:space="preserve">Faixa (kg)</t>
  </si>
  <si>
    <t xml:space="preserve">TSL frete peso</t>
  </si>
  <si>
    <t xml:space="preserve">PROLOG frete peso</t>
  </si>
  <si>
    <t xml:space="preserve">Redução necessária</t>
  </si>
  <si>
    <t xml:space="preserve">Região: Capital</t>
  </si>
  <si>
    <t xml:space="preserve">Região: Metropolitana</t>
  </si>
  <si>
    <t xml:space="preserve">Região: Interior</t>
  </si>
  <si>
    <t xml:space="preserve">Pedido HUB</t>
  </si>
  <si>
    <t xml:space="preserve">Data pagamento</t>
  </si>
  <si>
    <t xml:space="preserve">Canal</t>
  </si>
  <si>
    <t xml:space="preserve">CEP</t>
  </si>
  <si>
    <t xml:space="preserve">CEP (nº)</t>
  </si>
  <si>
    <t xml:space="preserve">Peso (kg)</t>
  </si>
  <si>
    <t xml:space="preserve">Valor NF (R$)</t>
  </si>
  <si>
    <t xml:space="preserve">Transportadora cotada</t>
  </si>
  <si>
    <t xml:space="preserve">Custo real cotado (R$)</t>
  </si>
  <si>
    <t xml:space="preserve">TSL ad valorem</t>
  </si>
  <si>
    <t xml:space="preserve">TSL GRIS</t>
  </si>
  <si>
    <t xml:space="preserve">TSL seguro</t>
  </si>
  <si>
    <t xml:space="preserve">TSL pedágio</t>
  </si>
  <si>
    <t xml:space="preserve">TSL entrega</t>
  </si>
  <si>
    <t xml:space="preserve">TSL CTe fixo</t>
  </si>
  <si>
    <t xml:space="preserve">TSL taxa interna</t>
  </si>
  <si>
    <t xml:space="preserve">TSL TRT</t>
  </si>
  <si>
    <t xml:space="preserve">TSL subtotal</t>
  </si>
  <si>
    <t xml:space="preserve">TSL total c/ ICMS</t>
  </si>
  <si>
    <t xml:space="preserve">PROLOG ad valorem</t>
  </si>
  <si>
    <t xml:space="preserve">PROLOG GRIS</t>
  </si>
  <si>
    <t xml:space="preserve">PROLOG TAS</t>
  </si>
  <si>
    <t xml:space="preserve">PROLOG pedágio</t>
  </si>
  <si>
    <t xml:space="preserve">PROLOG CTe</t>
  </si>
  <si>
    <t xml:space="preserve">PROLOG taxa interna</t>
  </si>
  <si>
    <t xml:space="preserve">PROLOG subtotal</t>
  </si>
  <si>
    <t xml:space="preserve">PROLOG total c/ ICMS</t>
  </si>
  <si>
    <t xml:space="preserve">Dif. PROLOG − TSL (R$)</t>
  </si>
  <si>
    <t xml:space="preserve">Dif. %</t>
  </si>
  <si>
    <t xml:space="preserve">PROLOG mais barata?</t>
  </si>
  <si>
    <t xml:space="preserve">Prazo TSL (du)</t>
  </si>
  <si>
    <t xml:space="preserve">Prazo PROLOG (du)</t>
  </si>
  <si>
    <t xml:space="preserve">Top 20?</t>
  </si>
  <si>
    <t xml:space="preserve">TSL tabela antiga (conferência)</t>
  </si>
  <si>
    <t xml:space="preserve">Shopee</t>
  </si>
  <si>
    <t xml:space="preserve">28913240</t>
  </si>
  <si>
    <t xml:space="preserve">Tsl Filial Sp</t>
  </si>
  <si>
    <t xml:space="preserve">SIM</t>
  </si>
  <si>
    <t xml:space="preserve">21032000</t>
  </si>
  <si>
    <t xml:space="preserve">Mercado Livre Principal</t>
  </si>
  <si>
    <t xml:space="preserve">26545580</t>
  </si>
  <si>
    <t xml:space="preserve">NÃO</t>
  </si>
  <si>
    <t xml:space="preserve">22471150</t>
  </si>
  <si>
    <t xml:space="preserve">26325100</t>
  </si>
  <si>
    <t xml:space="preserve">21044020</t>
  </si>
  <si>
    <t xml:space="preserve">28025537</t>
  </si>
  <si>
    <t xml:space="preserve">25555570</t>
  </si>
  <si>
    <t xml:space="preserve">25947790</t>
  </si>
  <si>
    <t xml:space="preserve">22790725</t>
  </si>
  <si>
    <t xml:space="preserve">25811005</t>
  </si>
  <si>
    <t xml:space="preserve">24467575</t>
  </si>
  <si>
    <t xml:space="preserve">26116340</t>
  </si>
  <si>
    <t xml:space="preserve">24350042</t>
  </si>
  <si>
    <t xml:space="preserve">25945865</t>
  </si>
  <si>
    <t xml:space="preserve">23078415</t>
  </si>
  <si>
    <t xml:space="preserve">Casas Bahia</t>
  </si>
  <si>
    <t xml:space="preserve">20785224</t>
  </si>
  <si>
    <t xml:space="preserve">27948310</t>
  </si>
  <si>
    <t xml:space="preserve">21361190</t>
  </si>
  <si>
    <t xml:space="preserve">22050002</t>
  </si>
  <si>
    <t xml:space="preserve">Carrefour</t>
  </si>
  <si>
    <t xml:space="preserve">25530460</t>
  </si>
  <si>
    <t xml:space="preserve">26445140</t>
  </si>
  <si>
    <t xml:space="preserve">27120320</t>
  </si>
  <si>
    <t xml:space="preserve">21535590</t>
  </si>
  <si>
    <t xml:space="preserve">21041140</t>
  </si>
  <si>
    <t xml:space="preserve">Magazine Luiza 1</t>
  </si>
  <si>
    <t xml:space="preserve">26430020</t>
  </si>
  <si>
    <t xml:space="preserve">21021380</t>
  </si>
  <si>
    <t xml:space="preserve">Web Continental</t>
  </si>
  <si>
    <t xml:space="preserve">26060015</t>
  </si>
  <si>
    <t xml:space="preserve">24745630</t>
  </si>
  <si>
    <t xml:space="preserve">21770220</t>
  </si>
  <si>
    <t xml:space="preserve">Madeira Madeira</t>
  </si>
  <si>
    <t xml:space="preserve">21741060</t>
  </si>
  <si>
    <t xml:space="preserve">26298608</t>
  </si>
  <si>
    <t xml:space="preserve">26143290</t>
  </si>
  <si>
    <t xml:space="preserve">23893770</t>
  </si>
  <si>
    <t xml:space="preserve">23036076</t>
  </si>
  <si>
    <t xml:space="preserve">Jadlog Standard</t>
  </si>
  <si>
    <t xml:space="preserve">21381009</t>
  </si>
  <si>
    <t xml:space="preserve">20541170</t>
  </si>
  <si>
    <t xml:space="preserve">21380090</t>
  </si>
  <si>
    <t xml:space="preserve">23056630</t>
  </si>
  <si>
    <t xml:space="preserve">24310005</t>
  </si>
  <si>
    <t xml:space="preserve">23820810</t>
  </si>
  <si>
    <t xml:space="preserve">22753031</t>
  </si>
  <si>
    <t xml:space="preserve">28735560</t>
  </si>
  <si>
    <t xml:space="preserve">20950072</t>
  </si>
  <si>
    <t xml:space="preserve">26140110</t>
  </si>
  <si>
    <t xml:space="preserve">27525524</t>
  </si>
  <si>
    <t xml:space="preserve">21730290</t>
  </si>
  <si>
    <t xml:space="preserve">23520400</t>
  </si>
  <si>
    <t xml:space="preserve">25085135</t>
  </si>
  <si>
    <t xml:space="preserve">28920015</t>
  </si>
  <si>
    <t xml:space="preserve">28976666</t>
  </si>
  <si>
    <t xml:space="preserve">21842553</t>
  </si>
  <si>
    <t xml:space="preserve">22735000</t>
  </si>
  <si>
    <t xml:space="preserve">21241300</t>
  </si>
  <si>
    <t xml:space="preserve">20251440</t>
  </si>
  <si>
    <t xml:space="preserve">26087230</t>
  </si>
  <si>
    <t xml:space="preserve">25710093</t>
  </si>
  <si>
    <t xml:space="preserve">21032060</t>
  </si>
  <si>
    <t xml:space="preserve">22733010</t>
  </si>
  <si>
    <t xml:space="preserve">20760020</t>
  </si>
  <si>
    <t xml:space="preserve">22795135</t>
  </si>
  <si>
    <t xml:space="preserve">21715195</t>
  </si>
  <si>
    <t xml:space="preserve">20211220</t>
  </si>
  <si>
    <t xml:space="preserve">24110310</t>
  </si>
  <si>
    <t xml:space="preserve">28680040</t>
  </si>
  <si>
    <t xml:space="preserve">25561211</t>
  </si>
  <si>
    <t xml:space="preserve">25846220</t>
  </si>
  <si>
    <t xml:space="preserve">21060090</t>
  </si>
  <si>
    <t xml:space="preserve">23570084</t>
  </si>
  <si>
    <t xml:space="preserve">21852001</t>
  </si>
  <si>
    <t xml:space="preserve">26298373</t>
  </si>
  <si>
    <t xml:space="preserve">22230000</t>
  </si>
  <si>
    <t xml:space="preserve">22770330</t>
  </si>
  <si>
    <t xml:space="preserve">21675350</t>
  </si>
  <si>
    <t xml:space="preserve">24931415</t>
  </si>
  <si>
    <t xml:space="preserve">24451230</t>
  </si>
  <si>
    <t xml:space="preserve">22755155</t>
  </si>
  <si>
    <t xml:space="preserve">24878095</t>
  </si>
  <si>
    <t xml:space="preserve">28880000</t>
  </si>
  <si>
    <t xml:space="preserve">23900120</t>
  </si>
  <si>
    <t xml:space="preserve">23059039</t>
  </si>
  <si>
    <t xml:space="preserve">24727190</t>
  </si>
  <si>
    <t xml:space="preserve">25970077</t>
  </si>
  <si>
    <t xml:space="preserve">21750001</t>
  </si>
  <si>
    <t xml:space="preserve">27281640</t>
  </si>
  <si>
    <t xml:space="preserve">26177010</t>
  </si>
  <si>
    <t xml:space="preserve">21310030</t>
  </si>
  <si>
    <t xml:space="preserve">26480320</t>
  </si>
  <si>
    <t xml:space="preserve">24805900</t>
  </si>
  <si>
    <t xml:space="preserve">22641100</t>
  </si>
  <si>
    <t xml:space="preserve">26279240</t>
  </si>
  <si>
    <t xml:space="preserve">25937048</t>
  </si>
  <si>
    <t xml:space="preserve">25015045</t>
  </si>
  <si>
    <t xml:space="preserve">21221280</t>
  </si>
  <si>
    <t xml:space="preserve">22790550</t>
  </si>
  <si>
    <t xml:space="preserve">22790587</t>
  </si>
  <si>
    <t xml:space="preserve">21665001</t>
  </si>
  <si>
    <t xml:space="preserve">25995290</t>
  </si>
  <si>
    <t xml:space="preserve">20530003</t>
  </si>
  <si>
    <t xml:space="preserve">24744010</t>
  </si>
  <si>
    <t xml:space="preserve">24344487</t>
  </si>
  <si>
    <t xml:space="preserve">27602270</t>
  </si>
  <si>
    <t xml:space="preserve">21381350</t>
  </si>
  <si>
    <t xml:space="preserve">28200000</t>
  </si>
  <si>
    <t xml:space="preserve">25251210</t>
  </si>
  <si>
    <t xml:space="preserve">21531450</t>
  </si>
  <si>
    <t xml:space="preserve">23891730</t>
  </si>
  <si>
    <t xml:space="preserve">28986330</t>
  </si>
  <si>
    <t xml:space="preserve">24750045</t>
  </si>
  <si>
    <t xml:space="preserve">25035770</t>
  </si>
  <si>
    <t xml:space="preserve">28024417</t>
  </si>
  <si>
    <t xml:space="preserve">24315000</t>
  </si>
  <si>
    <t xml:space="preserve">28430014</t>
  </si>
  <si>
    <t xml:space="preserve">21041030</t>
  </si>
  <si>
    <t xml:space="preserve">21321620</t>
  </si>
  <si>
    <t xml:space="preserve">25271330</t>
  </si>
  <si>
    <t xml:space="preserve">20760110</t>
  </si>
  <si>
    <t xml:space="preserve">21911130</t>
  </si>
  <si>
    <t xml:space="preserve">24320200</t>
  </si>
  <si>
    <t xml:space="preserve">26116670</t>
  </si>
  <si>
    <t xml:space="preserve">23060612</t>
  </si>
  <si>
    <t xml:space="preserve">21830008</t>
  </si>
  <si>
    <t xml:space="preserve">22451010</t>
  </si>
  <si>
    <t xml:space="preserve">23575240</t>
  </si>
  <si>
    <t xml:space="preserve">23575216</t>
  </si>
  <si>
    <t xml:space="preserve">26262120</t>
  </si>
  <si>
    <t xml:space="preserve">20241320</t>
  </si>
  <si>
    <t xml:space="preserve">24935160</t>
  </si>
  <si>
    <t xml:space="preserve">26298698</t>
  </si>
  <si>
    <t xml:space="preserve">27276375</t>
  </si>
  <si>
    <t xml:space="preserve">26310340</t>
  </si>
  <si>
    <t xml:space="preserve">26445390</t>
  </si>
  <si>
    <t xml:space="preserve">24754190</t>
  </si>
  <si>
    <t xml:space="preserve">27933140</t>
  </si>
  <si>
    <t xml:space="preserve">28660000</t>
  </si>
  <si>
    <t xml:space="preserve">22765240</t>
  </si>
  <si>
    <t xml:space="preserve">22763627</t>
  </si>
  <si>
    <t xml:space="preserve">20261040</t>
  </si>
  <si>
    <t xml:space="preserve">21735150</t>
  </si>
  <si>
    <t xml:space="preserve">26115490</t>
  </si>
  <si>
    <t xml:space="preserve">25011420</t>
  </si>
  <si>
    <t xml:space="preserve">24320570</t>
  </si>
  <si>
    <t xml:space="preserve">24110360</t>
  </si>
  <si>
    <t xml:space="preserve">23520132</t>
  </si>
  <si>
    <t xml:space="preserve">Ecommerce</t>
  </si>
  <si>
    <t xml:space="preserve">23065006</t>
  </si>
  <si>
    <t xml:space="preserve">24802370</t>
  </si>
  <si>
    <t xml:space="preserve">26021061</t>
  </si>
  <si>
    <t xml:space="preserve">28982360</t>
  </si>
  <si>
    <t xml:space="preserve">22710568</t>
  </si>
  <si>
    <t xml:space="preserve">23017440</t>
  </si>
  <si>
    <t xml:space="preserve">26065012</t>
  </si>
  <si>
    <t xml:space="preserve">21235112</t>
  </si>
  <si>
    <t xml:space="preserve">22611070</t>
  </si>
  <si>
    <t xml:space="preserve">23898081</t>
  </si>
  <si>
    <t xml:space="preserve">26280190</t>
  </si>
  <si>
    <t xml:space="preserve">24737475</t>
  </si>
  <si>
    <t xml:space="preserve">22795216</t>
  </si>
  <si>
    <t xml:space="preserve">23898033</t>
  </si>
  <si>
    <t xml:space="preserve">28943292</t>
  </si>
  <si>
    <t xml:space="preserve">20060070</t>
  </si>
  <si>
    <t xml:space="preserve">21370290</t>
  </si>
  <si>
    <t xml:space="preserve">21310050</t>
  </si>
  <si>
    <t xml:space="preserve">27251340</t>
  </si>
  <si>
    <t xml:space="preserve">24751140</t>
  </si>
  <si>
    <t xml:space="preserve">21011460</t>
  </si>
  <si>
    <t xml:space="preserve">22770040</t>
  </si>
  <si>
    <t xml:space="preserve">Tsl Transportes</t>
  </si>
  <si>
    <t xml:space="preserve">21825320</t>
  </si>
  <si>
    <t xml:space="preserve">22780760</t>
  </si>
  <si>
    <t xml:space="preserve">25525670</t>
  </si>
  <si>
    <t xml:space="preserve">27940290</t>
  </si>
  <si>
    <t xml:space="preserve">25271550</t>
  </si>
  <si>
    <t xml:space="preserve">21330600</t>
  </si>
  <si>
    <t xml:space="preserve">23026260</t>
  </si>
  <si>
    <t xml:space="preserve">22783412</t>
  </si>
  <si>
    <t xml:space="preserve">20560001</t>
  </si>
  <si>
    <t xml:space="preserve">24130775</t>
  </si>
  <si>
    <t xml:space="preserve">21031700</t>
  </si>
  <si>
    <t xml:space="preserve">20931005</t>
  </si>
  <si>
    <t xml:space="preserve">21852580</t>
  </si>
  <si>
    <t xml:space="preserve">21235480</t>
  </si>
  <si>
    <t xml:space="preserve">27211670</t>
  </si>
  <si>
    <t xml:space="preserve">26041270</t>
  </si>
  <si>
    <t xml:space="preserve">20251060</t>
  </si>
  <si>
    <t xml:space="preserve">20397135</t>
  </si>
  <si>
    <t xml:space="preserve">Amazon</t>
  </si>
  <si>
    <t xml:space="preserve">26022821</t>
  </si>
  <si>
    <t xml:space="preserve">25225210</t>
  </si>
  <si>
    <t xml:space="preserve">21512070</t>
  </si>
  <si>
    <t xml:space="preserve">21911310</t>
  </si>
  <si>
    <t xml:space="preserve">20940060</t>
  </si>
  <si>
    <t xml:space="preserve">27963770</t>
  </si>
  <si>
    <t xml:space="preserve">25880000</t>
  </si>
  <si>
    <t xml:space="preserve">21010260</t>
  </si>
  <si>
    <t xml:space="preserve">28987608</t>
  </si>
  <si>
    <t xml:space="preserve">28380000</t>
  </si>
  <si>
    <t xml:space="preserve">25214410</t>
  </si>
  <si>
    <t xml:space="preserve">28470000</t>
  </si>
  <si>
    <t xml:space="preserve">Rapido Alem Paraiba - Standard</t>
  </si>
  <si>
    <t xml:space="preserve">23020722</t>
  </si>
  <si>
    <t xml:space="preserve">28540000</t>
  </si>
  <si>
    <t xml:space="preserve">20250500</t>
  </si>
  <si>
    <t xml:space="preserve">24370297</t>
  </si>
  <si>
    <t xml:space="preserve">25040240</t>
  </si>
  <si>
    <t xml:space="preserve">28623410</t>
  </si>
  <si>
    <t xml:space="preserve">25560440</t>
  </si>
  <si>
    <t xml:space="preserve">22725441</t>
  </si>
  <si>
    <t xml:space="preserve">23587610</t>
  </si>
  <si>
    <t xml:space="preserve">25985010</t>
  </si>
  <si>
    <t xml:space="preserve">23028050</t>
  </si>
  <si>
    <t xml:space="preserve">27113320</t>
  </si>
  <si>
    <t xml:space="preserve">21630310</t>
  </si>
  <si>
    <t xml:space="preserve">22451265</t>
  </si>
  <si>
    <t xml:space="preserve">21331690</t>
  </si>
  <si>
    <t xml:space="preserve">23585330</t>
  </si>
  <si>
    <t xml:space="preserve">23560660</t>
  </si>
  <si>
    <t xml:space="preserve">23036060</t>
  </si>
  <si>
    <t xml:space="preserve">27972109</t>
  </si>
  <si>
    <t xml:space="preserve">23010310</t>
  </si>
  <si>
    <t xml:space="preserve">21863430</t>
  </si>
  <si>
    <t xml:space="preserve">21610290</t>
  </si>
  <si>
    <t xml:space="preserve">27973410</t>
  </si>
  <si>
    <t xml:space="preserve">21830080</t>
  </si>
  <si>
    <t xml:space="preserve">27336410</t>
  </si>
  <si>
    <t xml:space="preserve">27170650</t>
  </si>
  <si>
    <t xml:space="preserve">24425640</t>
  </si>
  <si>
    <t xml:space="preserve">27966803</t>
  </si>
  <si>
    <t xml:space="preserve">26515600</t>
  </si>
  <si>
    <t xml:space="preserve">23040400</t>
  </si>
  <si>
    <t xml:space="preserve">28611320</t>
  </si>
  <si>
    <t xml:space="preserve">26950000</t>
  </si>
  <si>
    <t xml:space="preserve">25515180</t>
  </si>
  <si>
    <t xml:space="preserve">24913350</t>
  </si>
  <si>
    <t xml:space="preserve">23565005</t>
  </si>
  <si>
    <t xml:space="preserve">22790430</t>
  </si>
  <si>
    <t xml:space="preserve">26250380</t>
  </si>
  <si>
    <t xml:space="preserve">27963834</t>
  </si>
  <si>
    <t xml:space="preserve">23030372</t>
  </si>
  <si>
    <t xml:space="preserve">27963738</t>
  </si>
  <si>
    <t xml:space="preserve">23894694</t>
  </si>
  <si>
    <t xml:space="preserve">22780070</t>
  </si>
  <si>
    <t xml:space="preserve">26298396</t>
  </si>
  <si>
    <t xml:space="preserve">22795006</t>
  </si>
  <si>
    <t xml:space="preserve">23895670</t>
  </si>
  <si>
    <t xml:space="preserve">24110556</t>
  </si>
  <si>
    <t xml:space="preserve">23970000</t>
  </si>
  <si>
    <t xml:space="preserve">26385030</t>
  </si>
  <si>
    <t xml:space="preserve">26160225</t>
  </si>
  <si>
    <t xml:space="preserve">22765590</t>
  </si>
  <si>
    <t xml:space="preserve">25730070</t>
  </si>
  <si>
    <t xml:space="preserve">21011250</t>
  </si>
  <si>
    <t xml:space="preserve">25261300</t>
  </si>
  <si>
    <t xml:space="preserve">24476720</t>
  </si>
  <si>
    <t xml:space="preserve">21532197</t>
  </si>
  <si>
    <t xml:space="preserve">24913090</t>
  </si>
  <si>
    <t xml:space="preserve">23092093</t>
  </si>
  <si>
    <t xml:space="preserve">27583864</t>
  </si>
  <si>
    <t xml:space="preserve">28925832</t>
  </si>
  <si>
    <t xml:space="preserve">21843040</t>
  </si>
  <si>
    <t xml:space="preserve">24736220</t>
  </si>
  <si>
    <t xml:space="preserve">22790661</t>
  </si>
  <si>
    <t xml:space="preserve">26050470</t>
  </si>
  <si>
    <t xml:space="preserve">25055625</t>
  </si>
  <si>
    <t xml:space="preserve">20972290</t>
  </si>
  <si>
    <t xml:space="preserve">23052320</t>
  </si>
  <si>
    <t xml:space="preserve">22783111</t>
  </si>
  <si>
    <t xml:space="preserve">20725050</t>
  </si>
  <si>
    <t xml:space="preserve">23045830</t>
  </si>
  <si>
    <t xml:space="preserve">27250800</t>
  </si>
  <si>
    <t xml:space="preserve">21331660</t>
  </si>
  <si>
    <t xml:space="preserve">27325310</t>
  </si>
  <si>
    <t xml:space="preserve">26130336</t>
  </si>
  <si>
    <t xml:space="preserve">21250620</t>
  </si>
  <si>
    <t xml:space="preserve">21675340</t>
  </si>
  <si>
    <t xml:space="preserve">22775033</t>
  </si>
  <si>
    <t xml:space="preserve">22780085</t>
  </si>
  <si>
    <t xml:space="preserve">24725060</t>
  </si>
  <si>
    <t xml:space="preserve">21770000</t>
  </si>
  <si>
    <t xml:space="preserve">23520560</t>
  </si>
  <si>
    <t xml:space="preserve">23016010</t>
  </si>
  <si>
    <t xml:space="preserve">22790735</t>
  </si>
  <si>
    <t xml:space="preserve">24230000</t>
  </si>
  <si>
    <t xml:space="preserve">23520660</t>
  </si>
  <si>
    <t xml:space="preserve">20755300</t>
  </si>
  <si>
    <t xml:space="preserve">26560540</t>
  </si>
  <si>
    <t xml:space="preserve">21655340</t>
  </si>
  <si>
    <t xml:space="preserve">21635100</t>
  </si>
  <si>
    <t xml:space="preserve">24910750</t>
  </si>
  <si>
    <t xml:space="preserve">20211350</t>
  </si>
  <si>
    <t xml:space="preserve">23510242</t>
  </si>
  <si>
    <t xml:space="preserve">22730305</t>
  </si>
  <si>
    <t xml:space="preserve">21670380</t>
  </si>
  <si>
    <t xml:space="preserve">20520160</t>
  </si>
  <si>
    <t xml:space="preserve">21235535</t>
  </si>
  <si>
    <t xml:space="preserve">26290198</t>
  </si>
  <si>
    <t xml:space="preserve">22230080</t>
  </si>
  <si>
    <t xml:space="preserve">25070330</t>
  </si>
  <si>
    <t xml:space="preserve">23076360</t>
  </si>
  <si>
    <t xml:space="preserve">28050003</t>
  </si>
  <si>
    <t xml:space="preserve">24230253</t>
  </si>
  <si>
    <t xml:space="preserve">23860000</t>
  </si>
  <si>
    <t xml:space="preserve">21921000</t>
  </si>
  <si>
    <t xml:space="preserve">27281270</t>
  </si>
  <si>
    <t xml:space="preserve">24241002</t>
  </si>
  <si>
    <t xml:space="preserve">22740361</t>
  </si>
  <si>
    <t xml:space="preserve">26553390</t>
  </si>
  <si>
    <t xml:space="preserve">21852413</t>
  </si>
  <si>
    <t xml:space="preserve">21555080</t>
  </si>
  <si>
    <t xml:space="preserve">22793075</t>
  </si>
  <si>
    <t xml:space="preserve">22783123</t>
  </si>
  <si>
    <t xml:space="preserve">26295607</t>
  </si>
  <si>
    <t xml:space="preserve">22723391</t>
  </si>
  <si>
    <t xml:space="preserve">22783200</t>
  </si>
  <si>
    <t xml:space="preserve">23020230</t>
  </si>
  <si>
    <t xml:space="preserve">24465531</t>
  </si>
  <si>
    <t xml:space="preserve">24445790</t>
  </si>
  <si>
    <t xml:space="preserve">24750070</t>
  </si>
  <si>
    <t xml:space="preserve">24461290</t>
  </si>
  <si>
    <t xml:space="preserve">25975450</t>
  </si>
  <si>
    <t xml:space="preserve">28927410</t>
  </si>
  <si>
    <t xml:space="preserve">22451263</t>
  </si>
  <si>
    <t xml:space="preserve">25035520</t>
  </si>
  <si>
    <t xml:space="preserve">24715532</t>
  </si>
  <si>
    <t xml:space="preserve">24753600</t>
  </si>
  <si>
    <t xml:space="preserve">22790880</t>
  </si>
  <si>
    <t xml:space="preserve">22290140</t>
  </si>
  <si>
    <t xml:space="preserve">28983036</t>
  </si>
  <si>
    <t xml:space="preserve">28890133</t>
  </si>
  <si>
    <t xml:space="preserve">21530000</t>
  </si>
  <si>
    <t xml:space="preserve">24924465</t>
  </si>
  <si>
    <t xml:space="preserve">21710200</t>
  </si>
  <si>
    <t xml:space="preserve">28300000</t>
  </si>
  <si>
    <t xml:space="preserve">28920060</t>
  </si>
  <si>
    <t xml:space="preserve">26265190</t>
  </si>
  <si>
    <t xml:space="preserve">24050330</t>
  </si>
  <si>
    <t xml:space="preserve">23525002</t>
  </si>
  <si>
    <t xml:space="preserve">20931060</t>
  </si>
  <si>
    <t xml:space="preserve">20756070</t>
  </si>
  <si>
    <t xml:space="preserve">25710193</t>
  </si>
  <si>
    <t xml:space="preserve">23812720</t>
  </si>
  <si>
    <t xml:space="preserve">26084185</t>
  </si>
  <si>
    <t xml:space="preserve">25056360</t>
  </si>
  <si>
    <t xml:space="preserve">28400000</t>
  </si>
  <si>
    <t xml:space="preserve">20911250</t>
  </si>
  <si>
    <t xml:space="preserve">23092080</t>
  </si>
  <si>
    <t xml:space="preserve">24861008</t>
  </si>
  <si>
    <t xml:space="preserve">28020197</t>
  </si>
  <si>
    <t xml:space="preserve">28928524</t>
  </si>
  <si>
    <t xml:space="preserve">23028210</t>
  </si>
  <si>
    <t xml:space="preserve">26155040</t>
  </si>
  <si>
    <t xml:space="preserve">21830360</t>
  </si>
  <si>
    <t xml:space="preserve">21775370</t>
  </si>
  <si>
    <t xml:space="preserve">25065210</t>
  </si>
  <si>
    <t xml:space="preserve">22775045</t>
  </si>
  <si>
    <t xml:space="preserve">26291368</t>
  </si>
  <si>
    <t xml:space="preserve">20920410</t>
  </si>
  <si>
    <t xml:space="preserve">26554220</t>
  </si>
  <si>
    <t xml:space="preserve">20785000</t>
  </si>
  <si>
    <t xml:space="preserve">23587617</t>
  </si>
  <si>
    <t xml:space="preserve">20775000</t>
  </si>
  <si>
    <t xml:space="preserve">22641190</t>
  </si>
  <si>
    <t xml:space="preserve">22452100</t>
  </si>
  <si>
    <t xml:space="preserve">20261004</t>
  </si>
  <si>
    <t xml:space="preserve">23025070</t>
  </si>
  <si>
    <t xml:space="preserve">22730521</t>
  </si>
  <si>
    <t xml:space="preserve">21331050</t>
  </si>
  <si>
    <t xml:space="preserve">27130050</t>
  </si>
  <si>
    <t xml:space="preserve">25025237</t>
  </si>
  <si>
    <t xml:space="preserve">21715421</t>
  </si>
  <si>
    <t xml:space="preserve">23912440</t>
  </si>
  <si>
    <t xml:space="preserve">23555090</t>
  </si>
  <si>
    <t xml:space="preserve">25268410</t>
  </si>
  <si>
    <t xml:space="preserve">21745310</t>
  </si>
  <si>
    <t xml:space="preserve">26425320</t>
  </si>
  <si>
    <t xml:space="preserve">22753005</t>
  </si>
  <si>
    <t xml:space="preserve">24310340</t>
  </si>
  <si>
    <t xml:space="preserve">27211560</t>
  </si>
  <si>
    <t xml:space="preserve">28928788</t>
  </si>
  <si>
    <t xml:space="preserve">24350405</t>
  </si>
  <si>
    <t xml:space="preserve">24452005</t>
  </si>
  <si>
    <t xml:space="preserve">22240004</t>
  </si>
  <si>
    <t xml:space="preserve">21250150</t>
  </si>
  <si>
    <t xml:space="preserve">28630590</t>
  </si>
  <si>
    <t xml:space="preserve">22031112</t>
  </si>
  <si>
    <t xml:space="preserve">27320710</t>
  </si>
  <si>
    <t xml:space="preserve">21321740</t>
  </si>
  <si>
    <t xml:space="preserve">21920070</t>
  </si>
  <si>
    <t xml:space="preserve">24322535</t>
  </si>
  <si>
    <t xml:space="preserve">22051002</t>
  </si>
  <si>
    <t xml:space="preserve">23075067</t>
  </si>
  <si>
    <t xml:space="preserve">23903602</t>
  </si>
  <si>
    <t xml:space="preserve">21073190</t>
  </si>
  <si>
    <t xml:space="preserve">22471210</t>
  </si>
  <si>
    <t xml:space="preserve">27521071</t>
  </si>
  <si>
    <t xml:space="preserve">26190420</t>
  </si>
  <si>
    <t xml:space="preserve">25035060</t>
  </si>
  <si>
    <t xml:space="preserve">21740170</t>
  </si>
  <si>
    <t xml:space="preserve">20911300</t>
  </si>
  <si>
    <t xml:space="preserve">28455130</t>
  </si>
  <si>
    <t xml:space="preserve">23028340</t>
  </si>
  <si>
    <t xml:space="preserve">22775002</t>
  </si>
  <si>
    <t xml:space="preserve">21340120</t>
  </si>
  <si>
    <t xml:space="preserve">23075470</t>
  </si>
  <si>
    <t xml:space="preserve">22610050</t>
  </si>
  <si>
    <t xml:space="preserve">28650000</t>
  </si>
  <si>
    <t xml:space="preserve">25253650</t>
  </si>
  <si>
    <t xml:space="preserve">20220007</t>
  </si>
  <si>
    <t xml:space="preserve">21853410</t>
  </si>
  <si>
    <t xml:space="preserve">28983712</t>
  </si>
  <si>
    <t xml:space="preserve">21370260</t>
  </si>
  <si>
    <t xml:space="preserve">27963452</t>
  </si>
  <si>
    <t xml:space="preserve">25270550</t>
  </si>
  <si>
    <t xml:space="preserve">23891755</t>
  </si>
  <si>
    <t xml:space="preserve">23092190</t>
  </si>
  <si>
    <t xml:space="preserve">20920460</t>
  </si>
  <si>
    <t xml:space="preserve">24210470</t>
  </si>
  <si>
    <t xml:space="preserve">21853340</t>
  </si>
  <si>
    <t xml:space="preserve">22765390</t>
  </si>
  <si>
    <t xml:space="preserve">26183490</t>
  </si>
  <si>
    <t xml:space="preserve">23550375</t>
  </si>
  <si>
    <t xml:space="preserve">24755420</t>
  </si>
  <si>
    <t xml:space="preserve">27961804</t>
  </si>
  <si>
    <t xml:space="preserve">24916125</t>
  </si>
  <si>
    <t xml:space="preserve">24470030</t>
  </si>
  <si>
    <t xml:space="preserve">23944040</t>
  </si>
  <si>
    <t xml:space="preserve">22420004</t>
  </si>
  <si>
    <t xml:space="preserve">24466142</t>
  </si>
  <si>
    <t xml:space="preserve">21046210</t>
  </si>
  <si>
    <t xml:space="preserve">20051070</t>
  </si>
  <si>
    <t xml:space="preserve">26291003</t>
  </si>
  <si>
    <t xml:space="preserve">26381368</t>
  </si>
  <si>
    <t xml:space="preserve">28941412</t>
  </si>
  <si>
    <t xml:space="preserve">20931350</t>
  </si>
  <si>
    <t xml:space="preserve">23520286</t>
  </si>
  <si>
    <t xml:space="preserve">24412560</t>
  </si>
  <si>
    <t xml:space="preserve">28350190</t>
  </si>
  <si>
    <t xml:space="preserve">23932405</t>
  </si>
  <si>
    <t xml:space="preserve">24809230</t>
  </si>
  <si>
    <t xml:space="preserve">27931173</t>
  </si>
  <si>
    <t xml:space="preserve">23914465</t>
  </si>
  <si>
    <t xml:space="preserve">23094140</t>
  </si>
  <si>
    <t xml:space="preserve">20561098</t>
  </si>
  <si>
    <t xml:space="preserve">24425480</t>
  </si>
  <si>
    <t xml:space="preserve">26160630</t>
  </si>
  <si>
    <t xml:space="preserve">26180150</t>
  </si>
  <si>
    <t xml:space="preserve">25680502</t>
  </si>
  <si>
    <t xml:space="preserve">22713320</t>
  </si>
  <si>
    <t xml:space="preserve">26297120</t>
  </si>
  <si>
    <t xml:space="preserve">20230194</t>
  </si>
  <si>
    <t xml:space="preserve">26155480</t>
  </si>
  <si>
    <t xml:space="preserve">28681375</t>
  </si>
  <si>
    <t xml:space="preserve">28956710</t>
  </si>
  <si>
    <t xml:space="preserve">21911325</t>
  </si>
  <si>
    <t xml:space="preserve">21610460</t>
  </si>
  <si>
    <t xml:space="preserve">26070760</t>
  </si>
  <si>
    <t xml:space="preserve">28921799</t>
  </si>
  <si>
    <t xml:space="preserve">22783410</t>
  </si>
  <si>
    <t xml:space="preserve">26172144</t>
  </si>
  <si>
    <t xml:space="preserve">28035301</t>
  </si>
  <si>
    <t xml:space="preserve">24813564</t>
  </si>
  <si>
    <t xml:space="preserve">28637000</t>
  </si>
  <si>
    <t xml:space="preserve">26453230</t>
  </si>
  <si>
    <t xml:space="preserve">20511170</t>
  </si>
  <si>
    <t xml:space="preserve">28968770</t>
  </si>
  <si>
    <t xml:space="preserve">21073185</t>
  </si>
  <si>
    <t xml:space="preserve">20540218</t>
  </si>
  <si>
    <t xml:space="preserve">20550011</t>
  </si>
  <si>
    <t xml:space="preserve">28980000</t>
  </si>
  <si>
    <t xml:space="preserve">26587000</t>
  </si>
  <si>
    <t xml:space="preserve">21061020</t>
  </si>
  <si>
    <t xml:space="preserve">25545300</t>
  </si>
  <si>
    <t xml:space="preserve">25086296</t>
  </si>
  <si>
    <t xml:space="preserve">22773260</t>
  </si>
  <si>
    <t xml:space="preserve">21250540</t>
  </si>
  <si>
    <t xml:space="preserve">23076410</t>
  </si>
  <si>
    <t xml:space="preserve">26062320</t>
  </si>
  <si>
    <t xml:space="preserve">21040005</t>
  </si>
  <si>
    <t xml:space="preserve">24340100</t>
  </si>
  <si>
    <t xml:space="preserve">20750040</t>
  </si>
  <si>
    <t xml:space="preserve">25957025</t>
  </si>
  <si>
    <t xml:space="preserve">26900000</t>
  </si>
  <si>
    <t xml:space="preserve">25015280</t>
  </si>
  <si>
    <t xml:space="preserve">20720010</t>
  </si>
  <si>
    <t xml:space="preserve">25240170</t>
  </si>
  <si>
    <t xml:space="preserve">24241085</t>
  </si>
  <si>
    <t xml:space="preserve">21370500</t>
  </si>
  <si>
    <t xml:space="preserve">22785085</t>
  </si>
  <si>
    <t xml:space="preserve">23098006</t>
  </si>
  <si>
    <t xml:space="preserve">28050270</t>
  </si>
  <si>
    <t xml:space="preserve">26297222</t>
  </si>
  <si>
    <t xml:space="preserve">22620171</t>
  </si>
  <si>
    <t xml:space="preserve">27961068</t>
  </si>
  <si>
    <t xml:space="preserve">25035230</t>
  </si>
  <si>
    <t xml:space="preserve">23520131</t>
  </si>
  <si>
    <t xml:space="preserve">26265580</t>
  </si>
  <si>
    <t xml:space="preserve">21070590</t>
  </si>
  <si>
    <t xml:space="preserve">24735075</t>
  </si>
  <si>
    <t xml:space="preserve">26125450</t>
  </si>
  <si>
    <t xml:space="preserve">26515035</t>
  </si>
  <si>
    <t xml:space="preserve">23550265</t>
  </si>
  <si>
    <t xml:space="preserve">24940505</t>
  </si>
  <si>
    <t xml:space="preserve">23050180</t>
  </si>
  <si>
    <t xml:space="preserve">21050690</t>
  </si>
  <si>
    <t xml:space="preserve">21340510</t>
  </si>
  <si>
    <t xml:space="preserve">21650002</t>
  </si>
  <si>
    <t xml:space="preserve">21635350</t>
  </si>
  <si>
    <t xml:space="preserve">21512040</t>
  </si>
  <si>
    <t xml:space="preserve">22010050</t>
  </si>
  <si>
    <t xml:space="preserve">20972010</t>
  </si>
  <si>
    <t xml:space="preserve">20930430</t>
  </si>
  <si>
    <t xml:space="preserve">21862170</t>
  </si>
  <si>
    <t xml:space="preserve">21361470</t>
  </si>
  <si>
    <t xml:space="preserve">24342805</t>
  </si>
  <si>
    <t xml:space="preserve">24802695</t>
  </si>
  <si>
    <t xml:space="preserve">23835005</t>
  </si>
  <si>
    <t xml:space="preserve">21832150</t>
  </si>
  <si>
    <t xml:space="preserve">20770160</t>
  </si>
  <si>
    <t xml:space="preserve">24756151</t>
  </si>
  <si>
    <t xml:space="preserve">25271390</t>
  </si>
  <si>
    <t xml:space="preserve">21012190</t>
  </si>
  <si>
    <t xml:space="preserve">25585021</t>
  </si>
  <si>
    <t xml:space="preserve">25561202</t>
  </si>
  <si>
    <t xml:space="preserve">27353420</t>
  </si>
  <si>
    <t xml:space="preserve">25510170</t>
  </si>
  <si>
    <t xml:space="preserve">28915120</t>
  </si>
  <si>
    <t xml:space="preserve">26183250</t>
  </si>
  <si>
    <t xml:space="preserve">20960070</t>
  </si>
  <si>
    <t xml:space="preserve">25635530</t>
  </si>
  <si>
    <t xml:space="preserve">22291050</t>
  </si>
  <si>
    <t xml:space="preserve">25270438</t>
  </si>
  <si>
    <t xml:space="preserve">23812040</t>
  </si>
  <si>
    <t xml:space="preserve">24466540</t>
  </si>
  <si>
    <t xml:space="preserve">25251039</t>
  </si>
  <si>
    <t xml:space="preserve">21341180</t>
  </si>
  <si>
    <t xml:space="preserve">21240270</t>
  </si>
  <si>
    <t xml:space="preserve">25916060</t>
  </si>
  <si>
    <t xml:space="preserve">28360000</t>
  </si>
  <si>
    <t xml:space="preserve">23946105</t>
  </si>
  <si>
    <t xml:space="preserve">24330325</t>
  </si>
  <si>
    <t xml:space="preserve">26112250</t>
  </si>
  <si>
    <t xml:space="preserve">23525180</t>
  </si>
  <si>
    <t xml:space="preserve">26600000</t>
  </si>
  <si>
    <t xml:space="preserve">26291320</t>
  </si>
  <si>
    <t xml:space="preserve">26265090</t>
  </si>
  <si>
    <t xml:space="preserve">20710350</t>
  </si>
  <si>
    <t xml:space="preserve">21862390</t>
  </si>
  <si>
    <t xml:space="preserve">28941013</t>
  </si>
  <si>
    <t xml:space="preserve">27325110</t>
  </si>
  <si>
    <t xml:space="preserve">25964005</t>
  </si>
  <si>
    <t xml:space="preserve">28920030</t>
  </si>
  <si>
    <t xml:space="preserve">28930000</t>
  </si>
  <si>
    <t xml:space="preserve">26032060</t>
  </si>
  <si>
    <t xml:space="preserve">23010095</t>
  </si>
  <si>
    <t xml:space="preserve">21920370</t>
  </si>
  <si>
    <t xml:space="preserve">25635340</t>
  </si>
  <si>
    <t xml:space="preserve">22740362</t>
  </si>
  <si>
    <t xml:space="preserve">26278535</t>
  </si>
  <si>
    <t xml:space="preserve">28926596</t>
  </si>
  <si>
    <t xml:space="preserve">25946148</t>
  </si>
  <si>
    <t xml:space="preserve">26562421</t>
  </si>
  <si>
    <t xml:space="preserve">26582220</t>
  </si>
  <si>
    <t xml:space="preserve">24812280</t>
  </si>
  <si>
    <t xml:space="preserve">20550210</t>
  </si>
  <si>
    <t xml:space="preserve">25214415</t>
  </si>
  <si>
    <t xml:space="preserve">21341270</t>
  </si>
  <si>
    <t xml:space="preserve">21853054</t>
  </si>
  <si>
    <t xml:space="preserve">25215285</t>
  </si>
  <si>
    <t xml:space="preserve">23570490</t>
  </si>
  <si>
    <t xml:space="preserve">25850000</t>
  </si>
  <si>
    <t xml:space="preserve">26293384</t>
  </si>
  <si>
    <t xml:space="preserve">26082005</t>
  </si>
  <si>
    <t xml:space="preserve">26110323</t>
  </si>
  <si>
    <t xml:space="preserve">22753053</t>
  </si>
  <si>
    <t xml:space="preserve">22070011</t>
  </si>
  <si>
    <t xml:space="preserve">25270270</t>
  </si>
  <si>
    <t xml:space="preserve">22753501</t>
  </si>
  <si>
    <t xml:space="preserve">25267320</t>
  </si>
  <si>
    <t xml:space="preserve">28027150</t>
  </si>
  <si>
    <t xml:space="preserve">25545201</t>
  </si>
  <si>
    <t xml:space="preserve">21715190</t>
  </si>
  <si>
    <t xml:space="preserve">26515401</t>
  </si>
  <si>
    <t xml:space="preserve">22061020</t>
  </si>
  <si>
    <t xml:space="preserve">27935170</t>
  </si>
  <si>
    <t xml:space="preserve">27330660</t>
  </si>
  <si>
    <t xml:space="preserve">26383560</t>
  </si>
  <si>
    <t xml:space="preserve">22770360</t>
  </si>
  <si>
    <t xml:space="preserve">24738834</t>
  </si>
  <si>
    <t xml:space="preserve">21031752</t>
  </si>
  <si>
    <t xml:space="preserve">22753050</t>
  </si>
  <si>
    <t xml:space="preserve">28944042</t>
  </si>
  <si>
    <t xml:space="preserve">25025086</t>
  </si>
  <si>
    <t xml:space="preserve">23042500</t>
  </si>
  <si>
    <t xml:space="preserve">22210050</t>
  </si>
  <si>
    <t xml:space="preserve">27197249</t>
  </si>
  <si>
    <t xml:space="preserve">25555091</t>
  </si>
  <si>
    <t xml:space="preserve">26083460</t>
  </si>
  <si>
    <t xml:space="preserve">24421021</t>
  </si>
  <si>
    <t xml:space="preserve">24804700</t>
  </si>
  <si>
    <t xml:space="preserve">21721480</t>
  </si>
  <si>
    <t xml:space="preserve">20750120</t>
  </si>
  <si>
    <t xml:space="preserve">22783325</t>
  </si>
  <si>
    <t xml:space="preserve">24436000</t>
  </si>
  <si>
    <t xml:space="preserve">21640260</t>
  </si>
  <si>
    <t xml:space="preserve">20765171</t>
  </si>
  <si>
    <t xml:space="preserve">24754007</t>
  </si>
  <si>
    <t xml:space="preserve">28994500</t>
  </si>
  <si>
    <t xml:space="preserve">24436807</t>
  </si>
  <si>
    <t xml:space="preserve">21843110</t>
  </si>
  <si>
    <t xml:space="preserve">21920120</t>
  </si>
  <si>
    <t xml:space="preserve">21230354</t>
  </si>
  <si>
    <t xml:space="preserve">20766721</t>
  </si>
  <si>
    <t xml:space="preserve">21775410</t>
  </si>
  <si>
    <t xml:space="preserve">25261470</t>
  </si>
  <si>
    <t xml:space="preserve">21760001</t>
  </si>
  <si>
    <t xml:space="preserve">26381411</t>
  </si>
  <si>
    <t xml:space="preserve">28990051</t>
  </si>
  <si>
    <t xml:space="preserve">24325020</t>
  </si>
  <si>
    <t xml:space="preserve">28972872</t>
  </si>
  <si>
    <t xml:space="preserve">25525720</t>
  </si>
  <si>
    <t xml:space="preserve">23555220</t>
  </si>
  <si>
    <t xml:space="preserve">28985225</t>
  </si>
  <si>
    <t xml:space="preserve">21740030</t>
  </si>
  <si>
    <t xml:space="preserve">23030300</t>
  </si>
  <si>
    <t xml:space="preserve">26042450</t>
  </si>
  <si>
    <t xml:space="preserve">24440440</t>
  </si>
  <si>
    <t xml:space="preserve">23058150</t>
  </si>
  <si>
    <t xml:space="preserve">21215060</t>
  </si>
  <si>
    <t xml:space="preserve">25264480</t>
  </si>
  <si>
    <t xml:space="preserve">22775598</t>
  </si>
  <si>
    <t xml:space="preserve">24813093</t>
  </si>
  <si>
    <t xml:space="preserve">23520521</t>
  </si>
  <si>
    <t xml:space="preserve">20771631</t>
  </si>
  <si>
    <t xml:space="preserve">24900155</t>
  </si>
  <si>
    <t xml:space="preserve">27255005</t>
  </si>
  <si>
    <t xml:space="preserve">23063152</t>
  </si>
  <si>
    <t xml:space="preserve">21042070</t>
  </si>
  <si>
    <t xml:space="preserve">23914215</t>
  </si>
  <si>
    <t xml:space="preserve">24725229</t>
  </si>
  <si>
    <t xml:space="preserve">25213152</t>
  </si>
  <si>
    <t xml:space="preserve">27262470</t>
  </si>
  <si>
    <t xml:space="preserve">21211740</t>
  </si>
  <si>
    <t xml:space="preserve">28030350</t>
  </si>
  <si>
    <t xml:space="preserve">24472160</t>
  </si>
  <si>
    <t xml:space="preserve">25015005</t>
  </si>
  <si>
    <t xml:space="preserve">21555150</t>
  </si>
  <si>
    <t xml:space="preserve">23061200</t>
  </si>
  <si>
    <t xml:space="preserve">22790873</t>
  </si>
  <si>
    <t xml:space="preserve">24230090</t>
  </si>
  <si>
    <t xml:space="preserve">28989520</t>
  </si>
  <si>
    <t xml:space="preserve">26033310</t>
  </si>
  <si>
    <t xml:space="preserve">27935365</t>
  </si>
  <si>
    <t xml:space="preserve">23587076</t>
  </si>
  <si>
    <t xml:space="preserve">25220340</t>
  </si>
  <si>
    <t xml:space="preserve">24425290</t>
  </si>
  <si>
    <t xml:space="preserve">21770100</t>
  </si>
  <si>
    <t xml:space="preserve">26190520</t>
  </si>
  <si>
    <t xml:space="preserve">27283040</t>
  </si>
  <si>
    <t xml:space="preserve">24460170</t>
  </si>
  <si>
    <t xml:space="preserve">20973900</t>
  </si>
  <si>
    <t xml:space="preserve">28120000</t>
  </si>
  <si>
    <t xml:space="preserve">25535120</t>
  </si>
  <si>
    <t xml:space="preserve">26165340</t>
  </si>
  <si>
    <t xml:space="preserve">25575080</t>
  </si>
  <si>
    <t xml:space="preserve">21050424</t>
  </si>
  <si>
    <t xml:space="preserve">24461590</t>
  </si>
  <si>
    <t xml:space="preserve">23042330</t>
  </si>
  <si>
    <t xml:space="preserve">25225660</t>
  </si>
  <si>
    <t xml:space="preserve">26515020</t>
  </si>
  <si>
    <t xml:space="preserve">23092002</t>
  </si>
  <si>
    <t xml:space="preserve">26178200</t>
  </si>
  <si>
    <t xml:space="preserve">23025150</t>
  </si>
  <si>
    <t xml:space="preserve">24425190</t>
  </si>
  <si>
    <t xml:space="preserve">26110250</t>
  </si>
  <si>
    <t xml:space="preserve">28948008</t>
  </si>
  <si>
    <t xml:space="preserve">22783124</t>
  </si>
  <si>
    <t xml:space="preserve">23032180</t>
  </si>
  <si>
    <t xml:space="preserve">21910170</t>
  </si>
  <si>
    <t xml:space="preserve">21046415</t>
  </si>
  <si>
    <t xml:space="preserve">21072150</t>
  </si>
  <si>
    <t xml:space="preserve">24344121</t>
  </si>
  <si>
    <t xml:space="preserve">26297072</t>
  </si>
  <si>
    <t xml:space="preserve">23894658</t>
  </si>
  <si>
    <t xml:space="preserve">26116260</t>
  </si>
  <si>
    <t xml:space="preserve">24806686</t>
  </si>
  <si>
    <t xml:space="preserve">21060630</t>
  </si>
  <si>
    <t xml:space="preserve">28908105</t>
  </si>
  <si>
    <t xml:space="preserve">23811790</t>
  </si>
  <si>
    <t xml:space="preserve">21840102</t>
  </si>
  <si>
    <t xml:space="preserve">21040016</t>
  </si>
  <si>
    <t xml:space="preserve">21241430</t>
  </si>
  <si>
    <t xml:space="preserve">23580440</t>
  </si>
  <si>
    <t xml:space="preserve">25035030</t>
  </si>
  <si>
    <t xml:space="preserve">23075007</t>
  </si>
  <si>
    <t xml:space="preserve">24745170</t>
  </si>
  <si>
    <t xml:space="preserve">23535811</t>
  </si>
  <si>
    <t xml:space="preserve">23830080</t>
  </si>
  <si>
    <t xml:space="preserve">24921770</t>
  </si>
  <si>
    <t xml:space="preserve">24914100</t>
  </si>
  <si>
    <t xml:space="preserve">26376040</t>
  </si>
  <si>
    <t xml:space="preserve">21210260</t>
  </si>
  <si>
    <t xml:space="preserve">21545290</t>
  </si>
  <si>
    <t xml:space="preserve">21854002</t>
  </si>
  <si>
    <t xml:space="preserve">23070130</t>
  </si>
  <si>
    <t xml:space="preserve">23075078</t>
  </si>
  <si>
    <t xml:space="preserve">27274090</t>
  </si>
  <si>
    <t xml:space="preserve">26381736</t>
  </si>
  <si>
    <t xml:space="preserve">25230050</t>
  </si>
  <si>
    <t xml:space="preserve">28080095</t>
  </si>
  <si>
    <t xml:space="preserve">25235105</t>
  </si>
  <si>
    <t xml:space="preserve">28897174</t>
  </si>
  <si>
    <t xml:space="preserve">21665110</t>
  </si>
  <si>
    <t xml:space="preserve">22713587</t>
  </si>
  <si>
    <t xml:space="preserve">21616410</t>
  </si>
  <si>
    <t xml:space="preserve">22775118</t>
  </si>
  <si>
    <t xml:space="preserve">25266070</t>
  </si>
  <si>
    <t xml:space="preserve">25570290</t>
  </si>
  <si>
    <t xml:space="preserve">22775060</t>
  </si>
  <si>
    <t xml:space="preserve">23918510</t>
  </si>
  <si>
    <t xml:space="preserve">28022720</t>
  </si>
  <si>
    <t xml:space="preserve">26525131</t>
  </si>
  <si>
    <t xml:space="preserve">28948243</t>
  </si>
  <si>
    <t xml:space="preserve">22770590</t>
  </si>
  <si>
    <t xml:space="preserve">25243054</t>
  </si>
  <si>
    <t xml:space="preserve">23550570</t>
  </si>
  <si>
    <t xml:space="preserve">27511610</t>
  </si>
  <si>
    <t xml:space="preserve">23585245</t>
  </si>
  <si>
    <t xml:space="preserve">28415000</t>
  </si>
  <si>
    <t xml:space="preserve">26455365</t>
  </si>
  <si>
    <t xml:space="preserve">28770000</t>
  </si>
  <si>
    <t xml:space="preserve">28968345</t>
  </si>
  <si>
    <t xml:space="preserve">23068100</t>
  </si>
  <si>
    <t xml:space="preserve">22410001</t>
  </si>
  <si>
    <t xml:space="preserve">22270060</t>
  </si>
  <si>
    <t xml:space="preserve">23097640</t>
  </si>
  <si>
    <t xml:space="preserve">24436810</t>
  </si>
  <si>
    <t xml:space="preserve">24730090</t>
  </si>
  <si>
    <t xml:space="preserve">21530013</t>
  </si>
  <si>
    <t xml:space="preserve">21011290</t>
  </si>
  <si>
    <t xml:space="preserve">28994282</t>
  </si>
  <si>
    <t xml:space="preserve">24456150</t>
  </si>
  <si>
    <t xml:space="preserve">24320420</t>
  </si>
  <si>
    <t xml:space="preserve">20750030</t>
  </si>
  <si>
    <t xml:space="preserve">24723415</t>
  </si>
  <si>
    <t xml:space="preserve">22210030</t>
  </si>
  <si>
    <t xml:space="preserve">25046480</t>
  </si>
  <si>
    <t xml:space="preserve">20770180</t>
  </si>
  <si>
    <t xml:space="preserve">24753532</t>
  </si>
  <si>
    <t xml:space="preserve">23595020</t>
  </si>
  <si>
    <t xml:space="preserve">20740370</t>
  </si>
  <si>
    <t xml:space="preserve">24914420</t>
  </si>
  <si>
    <t xml:space="preserve">22041011</t>
  </si>
  <si>
    <t xml:space="preserve">20540106</t>
  </si>
  <si>
    <t xml:space="preserve">21042001</t>
  </si>
  <si>
    <t xml:space="preserve">28988892</t>
  </si>
  <si>
    <t xml:space="preserve">24415000</t>
  </si>
  <si>
    <t xml:space="preserve">24932855</t>
  </si>
  <si>
    <t xml:space="preserve">25555221</t>
  </si>
  <si>
    <t xml:space="preserve">22753710</t>
  </si>
  <si>
    <t xml:space="preserve">27923390</t>
  </si>
  <si>
    <t xml:space="preserve">22790714</t>
  </si>
  <si>
    <t xml:space="preserve">22740240</t>
  </si>
  <si>
    <t xml:space="preserve">26540130</t>
  </si>
  <si>
    <t xml:space="preserve">27273500</t>
  </si>
  <si>
    <t xml:space="preserve">20521030</t>
  </si>
  <si>
    <t xml:space="preserve">26293307</t>
  </si>
  <si>
    <t xml:space="preserve">26173140</t>
  </si>
  <si>
    <t xml:space="preserve">24722250</t>
  </si>
  <si>
    <t xml:space="preserve">26177110</t>
  </si>
  <si>
    <t xml:space="preserve">24455436</t>
  </si>
  <si>
    <t xml:space="preserve">23550105</t>
  </si>
  <si>
    <t xml:space="preserve">22011900</t>
  </si>
  <si>
    <t xml:space="preserve">23035600</t>
  </si>
  <si>
    <t xml:space="preserve">26553495</t>
  </si>
  <si>
    <t xml:space="preserve">24130247</t>
  </si>
  <si>
    <t xml:space="preserve">21230075</t>
  </si>
  <si>
    <t xml:space="preserve">21520050</t>
  </si>
  <si>
    <t xml:space="preserve">20730200</t>
  </si>
  <si>
    <t xml:space="preserve">21046020</t>
  </si>
  <si>
    <t xml:space="preserve">25035008</t>
  </si>
  <si>
    <t xml:space="preserve">21725180</t>
  </si>
  <si>
    <t xml:space="preserve">26278010</t>
  </si>
  <si>
    <t xml:space="preserve">22641004</t>
  </si>
  <si>
    <t xml:space="preserve">25212610</t>
  </si>
  <si>
    <t xml:space="preserve">23025033</t>
  </si>
  <si>
    <t xml:space="preserve">26030095</t>
  </si>
  <si>
    <t xml:space="preserve">26175240</t>
  </si>
  <si>
    <t xml:space="preserve">21515070</t>
  </si>
  <si>
    <t xml:space="preserve">24020320</t>
  </si>
  <si>
    <t xml:space="preserve">21341370</t>
  </si>
  <si>
    <t xml:space="preserve">23587460</t>
  </si>
  <si>
    <t xml:space="preserve">21520280</t>
  </si>
  <si>
    <t xml:space="preserve">28027040</t>
  </si>
  <si>
    <t xml:space="preserve">25071100</t>
  </si>
  <si>
    <t xml:space="preserve">22452770</t>
  </si>
  <si>
    <t xml:space="preserve">25010005</t>
  </si>
  <si>
    <t xml:space="preserve">25586030</t>
  </si>
  <si>
    <t xml:space="preserve">26311240</t>
  </si>
  <si>
    <t xml:space="preserve">21321035</t>
  </si>
  <si>
    <t xml:space="preserve">21545230</t>
  </si>
  <si>
    <t xml:space="preserve">28920050</t>
  </si>
  <si>
    <t xml:space="preserve">25070170</t>
  </si>
  <si>
    <t xml:space="preserve">22430070</t>
  </si>
  <si>
    <t xml:space="preserve">24744490</t>
  </si>
  <si>
    <t xml:space="preserve">20270231</t>
  </si>
  <si>
    <t xml:space="preserve">26294462</t>
  </si>
  <si>
    <t xml:space="preserve">25020085</t>
  </si>
  <si>
    <t xml:space="preserve">20541018</t>
  </si>
  <si>
    <t xml:space="preserve">21843070</t>
  </si>
  <si>
    <t xml:space="preserve">23547320</t>
  </si>
  <si>
    <t xml:space="preserve">28898024</t>
  </si>
  <si>
    <t xml:space="preserve">25056100</t>
  </si>
  <si>
    <t xml:space="preserve">26294300</t>
  </si>
  <si>
    <t xml:space="preserve">22723497</t>
  </si>
  <si>
    <t xml:space="preserve">26260035</t>
  </si>
  <si>
    <t xml:space="preserve">25035460</t>
  </si>
  <si>
    <t xml:space="preserve">25720142</t>
  </si>
  <si>
    <t xml:space="preserve">27276310</t>
  </si>
  <si>
    <t xml:space="preserve">28991406</t>
  </si>
  <si>
    <t xml:space="preserve">25030058</t>
  </si>
  <si>
    <t xml:space="preserve">25035200</t>
  </si>
  <si>
    <t xml:space="preserve">26040810</t>
  </si>
  <si>
    <t xml:space="preserve">28934815</t>
  </si>
  <si>
    <t xml:space="preserve">24931115</t>
  </si>
  <si>
    <t xml:space="preserve">21760140</t>
  </si>
  <si>
    <t xml:space="preserve">25235074</t>
  </si>
  <si>
    <t xml:space="preserve">28998320</t>
  </si>
  <si>
    <t xml:space="preserve">21215395</t>
  </si>
  <si>
    <t xml:space="preserve">Sicredi</t>
  </si>
  <si>
    <t xml:space="preserve">27516240</t>
  </si>
  <si>
    <t xml:space="preserve">22793400</t>
  </si>
  <si>
    <t xml:space="preserve">23575093</t>
  </si>
  <si>
    <t xml:space="preserve">21830005</t>
  </si>
  <si>
    <t xml:space="preserve">25565370</t>
  </si>
  <si>
    <t xml:space="preserve">25943377</t>
  </si>
  <si>
    <t xml:space="preserve">21043280</t>
  </si>
  <si>
    <t xml:space="preserve">24430460</t>
  </si>
  <si>
    <t xml:space="preserve">23530550</t>
  </si>
  <si>
    <t xml:space="preserve">21555480</t>
  </si>
  <si>
    <t xml:space="preserve">22250060</t>
  </si>
  <si>
    <t xml:space="preserve">23870000</t>
  </si>
  <si>
    <t xml:space="preserve">23040550</t>
  </si>
  <si>
    <t xml:space="preserve">28925071</t>
  </si>
  <si>
    <t xml:space="preserve">23520241</t>
  </si>
  <si>
    <t xml:space="preserve">22730150</t>
  </si>
  <si>
    <t xml:space="preserve">26087335</t>
  </si>
  <si>
    <t xml:space="preserve">21815030</t>
  </si>
  <si>
    <t xml:space="preserve">21755270</t>
  </si>
  <si>
    <t xml:space="preserve">22765455</t>
  </si>
  <si>
    <t xml:space="preserve">21833050</t>
  </si>
  <si>
    <t xml:space="preserve">22783116</t>
  </si>
  <si>
    <t xml:space="preserve">23093146</t>
  </si>
  <si>
    <t xml:space="preserve">22750300</t>
  </si>
  <si>
    <t xml:space="preserve">21236020</t>
  </si>
  <si>
    <t xml:space="preserve">23032310</t>
  </si>
  <si>
    <t xml:space="preserve">26562040</t>
  </si>
  <si>
    <t xml:space="preserve">20785342</t>
  </si>
  <si>
    <t xml:space="preserve">23585081</t>
  </si>
  <si>
    <t xml:space="preserve">27525847</t>
  </si>
  <si>
    <t xml:space="preserve">23935080</t>
  </si>
  <si>
    <t xml:space="preserve">24856232</t>
  </si>
  <si>
    <t xml:space="preserve">25620002</t>
  </si>
  <si>
    <t xml:space="preserve">22763550</t>
  </si>
  <si>
    <t xml:space="preserve">22753340</t>
  </si>
  <si>
    <t xml:space="preserve">21670450</t>
  </si>
  <si>
    <t xml:space="preserve">26587310</t>
  </si>
  <si>
    <t xml:space="preserve">23058070</t>
  </si>
  <si>
    <t xml:space="preserve">22793395</t>
  </si>
  <si>
    <t xml:space="preserve">28995211</t>
  </si>
  <si>
    <t xml:space="preserve">26535380</t>
  </si>
  <si>
    <t xml:space="preserve">24445210</t>
  </si>
  <si>
    <t xml:space="preserve">22793366</t>
  </si>
  <si>
    <t xml:space="preserve">27213050</t>
  </si>
  <si>
    <t xml:space="preserve">23061010</t>
  </si>
  <si>
    <t xml:space="preserve">24474295</t>
  </si>
  <si>
    <t xml:space="preserve">21210270</t>
  </si>
  <si>
    <t xml:space="preserve">23907205</t>
  </si>
  <si>
    <t xml:space="preserve">23082410</t>
  </si>
  <si>
    <t xml:space="preserve">25550500</t>
  </si>
  <si>
    <t xml:space="preserve">25555201</t>
  </si>
  <si>
    <t xml:space="preserve">24745120</t>
  </si>
  <si>
    <t xml:space="preserve">25272660</t>
  </si>
  <si>
    <t xml:space="preserve">24340105</t>
  </si>
  <si>
    <t xml:space="preserve">28990760</t>
  </si>
  <si>
    <t xml:space="preserve">26475040</t>
  </si>
  <si>
    <t xml:space="preserve">26525046</t>
  </si>
  <si>
    <t xml:space="preserve">26587390</t>
  </si>
  <si>
    <t xml:space="preserve">24800770</t>
  </si>
  <si>
    <t xml:space="preserve">28990542</t>
  </si>
  <si>
    <t xml:space="preserve">23040150</t>
  </si>
  <si>
    <t xml:space="preserve">26376070</t>
  </si>
  <si>
    <t xml:space="preserve">22753155</t>
  </si>
  <si>
    <t xml:space="preserve">20550220</t>
  </si>
  <si>
    <t xml:space="preserve">20211020</t>
  </si>
  <si>
    <t xml:space="preserve">28013025</t>
  </si>
  <si>
    <t xml:space="preserve">28890603</t>
  </si>
  <si>
    <t xml:space="preserve">28024492</t>
  </si>
  <si>
    <t xml:space="preserve">25935075</t>
  </si>
  <si>
    <t xml:space="preserve">22753200</t>
  </si>
  <si>
    <t xml:space="preserve">20751010</t>
  </si>
  <si>
    <t xml:space="preserve">21615410</t>
  </si>
  <si>
    <t xml:space="preserve">28925732</t>
  </si>
  <si>
    <t xml:space="preserve">25071220</t>
  </si>
  <si>
    <t xml:space="preserve">24724100</t>
  </si>
  <si>
    <t xml:space="preserve">21050060</t>
  </si>
  <si>
    <t xml:space="preserve">21330430</t>
  </si>
  <si>
    <t xml:space="preserve">26155070</t>
  </si>
  <si>
    <t xml:space="preserve">24457340</t>
  </si>
  <si>
    <t xml:space="preserve">28890868</t>
  </si>
  <si>
    <t xml:space="preserve">23515680</t>
  </si>
  <si>
    <t xml:space="preserve">26220060</t>
  </si>
  <si>
    <t xml:space="preserve">28983332</t>
  </si>
  <si>
    <t xml:space="preserve">24330180</t>
  </si>
  <si>
    <t xml:space="preserve">28699899</t>
  </si>
  <si>
    <t xml:space="preserve">26061810</t>
  </si>
  <si>
    <t xml:space="preserve">21630250</t>
  </si>
  <si>
    <t xml:space="preserve">22725031</t>
  </si>
  <si>
    <t xml:space="preserve">23032305</t>
  </si>
  <si>
    <t xml:space="preserve">25214300</t>
  </si>
  <si>
    <t xml:space="preserve">28060480</t>
  </si>
  <si>
    <t xml:space="preserve">24737540</t>
  </si>
  <si>
    <t xml:space="preserve">23898030</t>
  </si>
  <si>
    <t xml:space="preserve">20961050</t>
  </si>
  <si>
    <t xml:space="preserve">23510570</t>
  </si>
  <si>
    <t xml:space="preserve">25253554</t>
  </si>
  <si>
    <t xml:space="preserve">25645250</t>
  </si>
  <si>
    <t xml:space="preserve">28909460</t>
  </si>
  <si>
    <t xml:space="preserve">26510040</t>
  </si>
  <si>
    <t xml:space="preserve">26087095</t>
  </si>
  <si>
    <t xml:space="preserve">23595290</t>
  </si>
  <si>
    <t xml:space="preserve">21210002</t>
  </si>
  <si>
    <t xml:space="preserve">27580180</t>
  </si>
  <si>
    <t xml:space="preserve">21020160</t>
  </si>
  <si>
    <t xml:space="preserve">23066550</t>
  </si>
  <si>
    <t xml:space="preserve">24908780</t>
  </si>
  <si>
    <t xml:space="preserve">23098393</t>
  </si>
  <si>
    <t xml:space="preserve">22795355</t>
  </si>
  <si>
    <t xml:space="preserve">21020123</t>
  </si>
  <si>
    <t xml:space="preserve">27522130</t>
  </si>
  <si>
    <t xml:space="preserve">25946244</t>
  </si>
  <si>
    <t xml:space="preserve">26510608</t>
  </si>
  <si>
    <t xml:space="preserve">24425470</t>
  </si>
  <si>
    <t xml:space="preserve">24931740</t>
  </si>
  <si>
    <t xml:space="preserve">21921730</t>
  </si>
  <si>
    <t xml:space="preserve">21920001</t>
  </si>
  <si>
    <t xml:space="preserve">28040630</t>
  </si>
  <si>
    <t xml:space="preserve">24944232</t>
  </si>
  <si>
    <t xml:space="preserve">21720070</t>
  </si>
  <si>
    <t xml:space="preserve">21920115</t>
  </si>
  <si>
    <t xml:space="preserve">28090115</t>
  </si>
  <si>
    <t xml:space="preserve">22470230</t>
  </si>
  <si>
    <t xml:space="preserve">20761120</t>
  </si>
  <si>
    <t xml:space="preserve">28635360</t>
  </si>
  <si>
    <t xml:space="preserve">26554300</t>
  </si>
  <si>
    <t xml:space="preserve">27250005</t>
  </si>
  <si>
    <t xml:space="preserve">26215210</t>
  </si>
  <si>
    <t xml:space="preserve">23575275</t>
  </si>
  <si>
    <t xml:space="preserve">21745350</t>
  </si>
  <si>
    <t xml:space="preserve">21725020</t>
  </si>
  <si>
    <t xml:space="preserve">25071070</t>
  </si>
  <si>
    <t xml:space="preserve">23065004</t>
  </si>
  <si>
    <t xml:space="preserve">25935546</t>
  </si>
  <si>
    <t xml:space="preserve">24431720</t>
  </si>
  <si>
    <t xml:space="preserve">21540690</t>
  </si>
  <si>
    <t xml:space="preserve">23067438</t>
  </si>
  <si>
    <t xml:space="preserve">24310260</t>
  </si>
  <si>
    <t xml:space="preserve">22785276</t>
  </si>
  <si>
    <t xml:space="preserve">21710510</t>
  </si>
  <si>
    <t xml:space="preserve">26445270</t>
  </si>
  <si>
    <t xml:space="preserve">22795200</t>
  </si>
  <si>
    <t xml:space="preserve">21715075</t>
  </si>
  <si>
    <t xml:space="preserve">22770280</t>
  </si>
  <si>
    <t xml:space="preserve">26135300</t>
  </si>
  <si>
    <t xml:space="preserve">23898093</t>
  </si>
  <si>
    <t xml:space="preserve">25640550</t>
  </si>
  <si>
    <t xml:space="preserve">21046160</t>
  </si>
  <si>
    <t xml:space="preserve">21051020</t>
  </si>
  <si>
    <t xml:space="preserve">28961777</t>
  </si>
  <si>
    <t xml:space="preserve">26190281</t>
  </si>
  <si>
    <t xml:space="preserve">22713581</t>
  </si>
  <si>
    <t xml:space="preserve">23025500</t>
  </si>
  <si>
    <t xml:space="preserve">23040580</t>
  </si>
  <si>
    <t xml:space="preserve">24020240</t>
  </si>
  <si>
    <t xml:space="preserve">26112100</t>
  </si>
  <si>
    <t xml:space="preserve">23560050</t>
  </si>
  <si>
    <t xml:space="preserve">25235160</t>
  </si>
  <si>
    <t xml:space="preserve">24732660</t>
  </si>
  <si>
    <t xml:space="preserve">28899404</t>
  </si>
  <si>
    <t xml:space="preserve">27963812</t>
  </si>
  <si>
    <t xml:space="preserve">26271090</t>
  </si>
  <si>
    <t xml:space="preserve">26113660</t>
  </si>
  <si>
    <t xml:space="preserve">22460300</t>
  </si>
  <si>
    <t xml:space="preserve">21825183</t>
  </si>
  <si>
    <t xml:space="preserve">27532328</t>
  </si>
  <si>
    <t xml:space="preserve">26160165</t>
  </si>
  <si>
    <t xml:space="preserve">24130307</t>
  </si>
  <si>
    <t xml:space="preserve">25221424</t>
  </si>
  <si>
    <t xml:space="preserve">26032830</t>
  </si>
  <si>
    <t xml:space="preserve">25540540</t>
  </si>
  <si>
    <t xml:space="preserve">26553190</t>
  </si>
  <si>
    <t xml:space="preserve">28968485</t>
  </si>
  <si>
    <t xml:space="preserve">23075440</t>
  </si>
  <si>
    <t xml:space="preserve">24812022</t>
  </si>
  <si>
    <t xml:space="preserve">25780000</t>
  </si>
  <si>
    <t xml:space="preserve">26176050</t>
  </si>
  <si>
    <t xml:space="preserve">23027290</t>
  </si>
  <si>
    <t xml:space="preserve">20261063</t>
  </si>
  <si>
    <t xml:space="preserve">26050610</t>
  </si>
  <si>
    <t xml:space="preserve">25650490</t>
  </si>
  <si>
    <t xml:space="preserve">22713570</t>
  </si>
  <si>
    <t xml:space="preserve">26130230</t>
  </si>
  <si>
    <t xml:space="preserve">25565430</t>
  </si>
  <si>
    <t xml:space="preserve">22743040</t>
  </si>
  <si>
    <t xml:space="preserve">23097692</t>
  </si>
  <si>
    <t xml:space="preserve">21230330</t>
  </si>
  <si>
    <t xml:space="preserve">23033020</t>
  </si>
  <si>
    <t xml:space="preserve">27135280</t>
  </si>
  <si>
    <t xml:space="preserve">27277210</t>
  </si>
  <si>
    <t xml:space="preserve">20960008</t>
  </si>
  <si>
    <t xml:space="preserve">21760360</t>
  </si>
  <si>
    <t xml:space="preserve">20071002</t>
  </si>
  <si>
    <t xml:space="preserve">25271755</t>
  </si>
  <si>
    <t xml:space="preserve">21660620</t>
  </si>
  <si>
    <t xml:space="preserve">24422400</t>
  </si>
  <si>
    <t xml:space="preserve">20961020</t>
  </si>
  <si>
    <t xml:space="preserve">21852540</t>
  </si>
  <si>
    <t xml:space="preserve">22270012</t>
  </si>
  <si>
    <t xml:space="preserve">22260040</t>
  </si>
  <si>
    <t xml:space="preserve">21380400</t>
  </si>
  <si>
    <t xml:space="preserve">21042120</t>
  </si>
  <si>
    <t xml:space="preserve">23535230</t>
  </si>
  <si>
    <t xml:space="preserve">24726460</t>
  </si>
  <si>
    <t xml:space="preserve">27343270</t>
  </si>
  <si>
    <t xml:space="preserve">24804141</t>
  </si>
  <si>
    <t xml:space="preserve">26041070</t>
  </si>
  <si>
    <t xml:space="preserve">26010390</t>
  </si>
  <si>
    <t xml:space="preserve">22730170</t>
  </si>
  <si>
    <t xml:space="preserve">22450130</t>
  </si>
  <si>
    <t xml:space="preserve">28942820</t>
  </si>
  <si>
    <t xml:space="preserve">22610001</t>
  </si>
  <si>
    <t xml:space="preserve">21862560</t>
  </si>
  <si>
    <t xml:space="preserve">25212672</t>
  </si>
  <si>
    <t xml:space="preserve">24430500</t>
  </si>
  <si>
    <t xml:space="preserve">21625060</t>
  </si>
  <si>
    <t xml:space="preserve">23933115</t>
  </si>
  <si>
    <t xml:space="preserve">21073160</t>
  </si>
  <si>
    <t xml:space="preserve">26296528</t>
  </si>
  <si>
    <t xml:space="preserve">25812742</t>
  </si>
  <si>
    <t xml:space="preserve">20920050</t>
  </si>
  <si>
    <t xml:space="preserve">26115460</t>
  </si>
  <si>
    <t xml:space="preserve">21330650</t>
  </si>
  <si>
    <t xml:space="preserve">24715330</t>
  </si>
  <si>
    <t xml:space="preserve">22753315</t>
  </si>
  <si>
    <t xml:space="preserve">25555150</t>
  </si>
  <si>
    <t xml:space="preserve">21620590</t>
  </si>
  <si>
    <t xml:space="preserve">22785200</t>
  </si>
  <si>
    <t xml:space="preserve">23555100</t>
  </si>
  <si>
    <t xml:space="preserve">25212310</t>
  </si>
  <si>
    <t xml:space="preserve">21311281</t>
  </si>
  <si>
    <t xml:space="preserve">23092370</t>
  </si>
  <si>
    <t xml:space="preserve">28024731</t>
  </si>
  <si>
    <t xml:space="preserve">24725170</t>
  </si>
  <si>
    <t xml:space="preserve">21220410</t>
  </si>
  <si>
    <t xml:space="preserve">27971791</t>
  </si>
  <si>
    <t xml:space="preserve">21220220</t>
  </si>
  <si>
    <t xml:space="preserve">28908050</t>
  </si>
  <si>
    <t xml:space="preserve">24417180</t>
  </si>
  <si>
    <t xml:space="preserve">20251370</t>
  </si>
  <si>
    <t xml:space="preserve">28994172</t>
  </si>
  <si>
    <t xml:space="preserve">25884000</t>
  </si>
  <si>
    <t xml:space="preserve">24315571</t>
  </si>
  <si>
    <t xml:space="preserve">24456595</t>
  </si>
  <si>
    <t xml:space="preserve">22610020</t>
  </si>
  <si>
    <t xml:space="preserve">26275010</t>
  </si>
  <si>
    <t xml:space="preserve">21911430</t>
  </si>
  <si>
    <t xml:space="preserve">25956120</t>
  </si>
  <si>
    <t xml:space="preserve">28981446</t>
  </si>
  <si>
    <t xml:space="preserve">25571210</t>
  </si>
  <si>
    <t xml:space="preserve">20760120</t>
  </si>
  <si>
    <t xml:space="preserve">26435160</t>
  </si>
  <si>
    <t xml:space="preserve">23515162</t>
  </si>
  <si>
    <t xml:space="preserve">25245640</t>
  </si>
  <si>
    <t xml:space="preserve">28895622</t>
  </si>
  <si>
    <t xml:space="preserve">26510110</t>
  </si>
  <si>
    <t xml:space="preserve">25615061</t>
  </si>
  <si>
    <t xml:space="preserve">21853031</t>
  </si>
  <si>
    <t xml:space="preserve">28949460</t>
  </si>
  <si>
    <t xml:space="preserve">27995000</t>
  </si>
  <si>
    <t xml:space="preserve">23595200</t>
  </si>
  <si>
    <t xml:space="preserve">28634110</t>
  </si>
  <si>
    <t xml:space="preserve">24751000</t>
  </si>
  <si>
    <t xml:space="preserve">27240559</t>
  </si>
  <si>
    <t xml:space="preserve">24934275</t>
  </si>
  <si>
    <t xml:space="preserve">21875240</t>
  </si>
  <si>
    <t xml:space="preserve">25268376</t>
  </si>
  <si>
    <t xml:space="preserve">25268370</t>
  </si>
  <si>
    <t xml:space="preserve">22451264</t>
  </si>
  <si>
    <t xml:space="preserve">21720140</t>
  </si>
  <si>
    <t xml:space="preserve">23936170</t>
  </si>
  <si>
    <t xml:space="preserve">26115729</t>
  </si>
  <si>
    <t xml:space="preserve">23070221</t>
  </si>
  <si>
    <t xml:space="preserve">23025110</t>
  </si>
  <si>
    <t xml:space="preserve">21540440</t>
  </si>
  <si>
    <t xml:space="preserve">26298629</t>
  </si>
  <si>
    <t xml:space="preserve">28500000</t>
  </si>
  <si>
    <t xml:space="preserve">28634450</t>
  </si>
  <si>
    <t xml:space="preserve">24900485</t>
  </si>
  <si>
    <t xml:space="preserve">21735210</t>
  </si>
  <si>
    <t xml:space="preserve">22723535</t>
  </si>
  <si>
    <t xml:space="preserve">26215090</t>
  </si>
  <si>
    <t xml:space="preserve">25056130</t>
  </si>
  <si>
    <t xml:space="preserve">25555050</t>
  </si>
  <si>
    <t xml:space="preserve">26298611</t>
  </si>
  <si>
    <t xml:space="preserve">22211230</t>
  </si>
  <si>
    <t xml:space="preserve">27536220</t>
  </si>
  <si>
    <t xml:space="preserve">20250450</t>
  </si>
  <si>
    <t xml:space="preserve">28985445</t>
  </si>
  <si>
    <t xml:space="preserve">23085600</t>
  </si>
  <si>
    <t xml:space="preserve">24934510</t>
  </si>
  <si>
    <t xml:space="preserve">21540400</t>
  </si>
  <si>
    <t xml:space="preserve">27580001</t>
  </si>
  <si>
    <t xml:space="preserve">27943120</t>
  </si>
  <si>
    <t xml:space="preserve">24736120</t>
  </si>
  <si>
    <t xml:space="preserve">24860100</t>
  </si>
  <si>
    <t xml:space="preserve">21341332</t>
  </si>
  <si>
    <t xml:space="preserve">26175007</t>
  </si>
  <si>
    <t xml:space="preserve">24440670</t>
  </si>
  <si>
    <t xml:space="preserve">21675090</t>
  </si>
  <si>
    <t xml:space="preserve">21044340</t>
  </si>
  <si>
    <t xml:space="preserve">24813006</t>
  </si>
  <si>
    <t xml:space="preserve">21815340</t>
  </si>
  <si>
    <t xml:space="preserve">25015301</t>
  </si>
  <si>
    <t xml:space="preserve">28948878</t>
  </si>
  <si>
    <t xml:space="preserve">25223500</t>
  </si>
  <si>
    <t xml:space="preserve">28692600</t>
  </si>
  <si>
    <t xml:space="preserve">22221000</t>
  </si>
  <si>
    <t xml:space="preserve">27913260</t>
  </si>
  <si>
    <t xml:space="preserve">20740570</t>
  </si>
  <si>
    <t xml:space="preserve">25030040</t>
  </si>
  <si>
    <t xml:space="preserve">23036061</t>
  </si>
  <si>
    <t xml:space="preserve">26574391</t>
  </si>
  <si>
    <t xml:space="preserve">25575050</t>
  </si>
  <si>
    <t xml:space="preserve">24715392</t>
  </si>
  <si>
    <t xml:space="preserve">28899386</t>
  </si>
  <si>
    <t xml:space="preserve">21061500</t>
  </si>
  <si>
    <t xml:space="preserve">20961150</t>
  </si>
  <si>
    <t xml:space="preserve">21852330</t>
  </si>
  <si>
    <t xml:space="preserve">20950004</t>
  </si>
  <si>
    <t xml:space="preserve">24806100</t>
  </si>
  <si>
    <t xml:space="preserve">25930860</t>
  </si>
  <si>
    <t xml:space="preserve">24450170</t>
  </si>
  <si>
    <t xml:space="preserve">25225330</t>
  </si>
  <si>
    <t xml:space="preserve">25610011</t>
  </si>
  <si>
    <t xml:space="preserve">21740230</t>
  </si>
  <si>
    <t xml:space="preserve">21843790</t>
  </si>
  <si>
    <t xml:space="preserve">25576220</t>
  </si>
  <si>
    <t xml:space="preserve">25220005</t>
  </si>
  <si>
    <t xml:space="preserve">22770190</t>
  </si>
  <si>
    <t xml:space="preserve">24230541</t>
  </si>
  <si>
    <t xml:space="preserve">24422640</t>
  </si>
  <si>
    <t xml:space="preserve">24858500</t>
  </si>
  <si>
    <t xml:space="preserve">26010421</t>
  </si>
  <si>
    <t xml:space="preserve">22790710</t>
  </si>
  <si>
    <t xml:space="preserve">28570000</t>
  </si>
  <si>
    <t xml:space="preserve">20540341</t>
  </si>
  <si>
    <t xml:space="preserve">25555490</t>
  </si>
  <si>
    <t xml:space="preserve">21520030</t>
  </si>
  <si>
    <t xml:space="preserve">21665090</t>
  </si>
  <si>
    <t xml:space="preserve">28982265</t>
  </si>
  <si>
    <t xml:space="preserve">24856660</t>
  </si>
  <si>
    <t xml:space="preserve">26553360</t>
  </si>
  <si>
    <t xml:space="preserve">28980816</t>
  </si>
  <si>
    <t xml:space="preserve">26110260</t>
  </si>
  <si>
    <t xml:space="preserve">28057290</t>
  </si>
  <si>
    <t xml:space="preserve">26510140</t>
  </si>
  <si>
    <t xml:space="preserve">28800101</t>
  </si>
  <si>
    <t xml:space="preserve">21350250</t>
  </si>
  <si>
    <t xml:space="preserve">26086460</t>
  </si>
  <si>
    <t xml:space="preserve">28070406</t>
  </si>
  <si>
    <t xml:space="preserve">25035160</t>
  </si>
  <si>
    <t xml:space="preserve">22750443</t>
  </si>
  <si>
    <t xml:space="preserve">21020260</t>
  </si>
  <si>
    <t xml:space="preserve">27213250</t>
  </si>
  <si>
    <t xml:space="preserve">26042310</t>
  </si>
  <si>
    <t xml:space="preserve">22451030</t>
  </si>
  <si>
    <t xml:space="preserve">22420030</t>
  </si>
  <si>
    <t xml:space="preserve">22795255</t>
  </si>
  <si>
    <t xml:space="preserve">28950800</t>
  </si>
  <si>
    <t xml:space="preserve">26062025</t>
  </si>
  <si>
    <t xml:space="preserve">23820390</t>
  </si>
  <si>
    <t xml:space="preserve">20730430</t>
  </si>
  <si>
    <t xml:space="preserve">27971209</t>
  </si>
  <si>
    <t xml:space="preserve">24220120</t>
  </si>
  <si>
    <t xml:space="preserve">28090100</t>
  </si>
  <si>
    <t xml:space="preserve">21870220</t>
  </si>
  <si>
    <t xml:space="preserve">28630080</t>
  </si>
  <si>
    <t xml:space="preserve">25906890</t>
  </si>
  <si>
    <t xml:space="preserve">26290723</t>
  </si>
  <si>
    <t xml:space="preserve">26140450</t>
  </si>
  <si>
    <t xml:space="preserve">26157579</t>
  </si>
  <si>
    <t xml:space="preserve">26089225</t>
  </si>
  <si>
    <t xml:space="preserve">21511140</t>
  </si>
  <si>
    <t xml:space="preserve">25075240</t>
  </si>
  <si>
    <t xml:space="preserve">28890052</t>
  </si>
  <si>
    <t xml:space="preserve">22793580</t>
  </si>
  <si>
    <t xml:space="preserve">26263175</t>
  </si>
  <si>
    <t xml:space="preserve">20745040</t>
  </si>
  <si>
    <t xml:space="preserve">21770190</t>
  </si>
  <si>
    <t xml:space="preserve">25565040</t>
  </si>
  <si>
    <t xml:space="preserve">28623583</t>
  </si>
  <si>
    <t xml:space="preserve">23059318</t>
  </si>
  <si>
    <t xml:space="preserve">24740110</t>
  </si>
  <si>
    <t xml:space="preserve">24722315</t>
  </si>
  <si>
    <t xml:space="preserve">26278670</t>
  </si>
  <si>
    <t xml:space="preserve">28908120</t>
  </si>
  <si>
    <t xml:space="preserve">28250000</t>
  </si>
  <si>
    <t xml:space="preserve">21341331</t>
  </si>
  <si>
    <t xml:space="preserve">24230131</t>
  </si>
  <si>
    <t xml:space="preserve">22793325</t>
  </si>
  <si>
    <t xml:space="preserve">26261130</t>
  </si>
  <si>
    <t xml:space="preserve">25730736</t>
  </si>
  <si>
    <t xml:space="preserve">24426410</t>
  </si>
  <si>
    <t xml:space="preserve">23575437</t>
  </si>
  <si>
    <t xml:space="preserve">27240440</t>
  </si>
  <si>
    <t xml:space="preserve">28943628</t>
  </si>
  <si>
    <t xml:space="preserve">27963111</t>
  </si>
  <si>
    <t xml:space="preserve">23934010</t>
  </si>
  <si>
    <t xml:space="preserve">25710130</t>
  </si>
  <si>
    <t xml:space="preserve">25030020</t>
  </si>
  <si>
    <t xml:space="preserve">26415190</t>
  </si>
  <si>
    <t xml:space="preserve">26080030</t>
  </si>
  <si>
    <t xml:space="preserve">22040021</t>
  </si>
  <si>
    <t xml:space="preserve">27283260</t>
  </si>
  <si>
    <t xml:space="preserve">22733510</t>
  </si>
  <si>
    <t xml:space="preserve">20770270</t>
  </si>
  <si>
    <t xml:space="preserve">23097604</t>
  </si>
  <si>
    <t xml:space="preserve">26280310</t>
  </si>
  <si>
    <t xml:space="preserve">27410180</t>
  </si>
  <si>
    <t xml:space="preserve">21843154</t>
  </si>
  <si>
    <t xml:space="preserve">28027130</t>
  </si>
  <si>
    <t xml:space="preserve">21241190</t>
  </si>
  <si>
    <t xml:space="preserve">20230014</t>
  </si>
  <si>
    <t xml:space="preserve">23918540</t>
  </si>
  <si>
    <t xml:space="preserve">21931383</t>
  </si>
  <si>
    <t xml:space="preserve">25960410</t>
  </si>
  <si>
    <t xml:space="preserve">24474770</t>
  </si>
  <si>
    <t xml:space="preserve">26293567</t>
  </si>
  <si>
    <t xml:space="preserve">20735320</t>
  </si>
  <si>
    <t xml:space="preserve">25975550</t>
  </si>
  <si>
    <t xml:space="preserve">23020590</t>
  </si>
  <si>
    <t xml:space="preserve">25086390</t>
  </si>
  <si>
    <t xml:space="preserve">22270016</t>
  </si>
  <si>
    <t xml:space="preserve">23025034</t>
  </si>
  <si>
    <t xml:space="preserve">25261100</t>
  </si>
  <si>
    <t xml:space="preserve">23068320</t>
  </si>
  <si>
    <t xml:space="preserve">24851564</t>
  </si>
  <si>
    <t xml:space="preserve">22763153</t>
  </si>
  <si>
    <t xml:space="preserve">23036053</t>
  </si>
  <si>
    <t xml:space="preserve">24457530</t>
  </si>
  <si>
    <t xml:space="preserve">26087390</t>
  </si>
  <si>
    <t xml:space="preserve">26553161</t>
  </si>
  <si>
    <t xml:space="preserve">22783210</t>
  </si>
  <si>
    <t xml:space="preserve">20745250</t>
  </si>
  <si>
    <t xml:space="preserve">20530400</t>
  </si>
  <si>
    <t xml:space="preserve">27971750</t>
  </si>
  <si>
    <t xml:space="preserve">21910100</t>
  </si>
  <si>
    <t xml:space="preserve">26052390</t>
  </si>
  <si>
    <t xml:space="preserve">20785130</t>
  </si>
  <si>
    <t xml:space="preserve">21215050</t>
  </si>
  <si>
    <t xml:space="preserve">22221020</t>
  </si>
  <si>
    <t xml:space="preserve">22011002</t>
  </si>
  <si>
    <t xml:space="preserve">25035800</t>
  </si>
  <si>
    <t xml:space="preserve">25963007</t>
  </si>
  <si>
    <t xml:space="preserve">23071180</t>
  </si>
  <si>
    <t xml:space="preserve">20730110</t>
  </si>
  <si>
    <t xml:space="preserve">24451840</t>
  </si>
  <si>
    <t xml:space="preserve">23031203</t>
  </si>
  <si>
    <t xml:space="preserve">25211300</t>
  </si>
  <si>
    <t xml:space="preserve">24470545</t>
  </si>
  <si>
    <t xml:space="preserve">22790877</t>
  </si>
  <si>
    <t xml:space="preserve">21321560</t>
  </si>
  <si>
    <t xml:space="preserve">24716570</t>
  </si>
  <si>
    <t xml:space="preserve">20211010</t>
  </si>
  <si>
    <t xml:space="preserve">26520020</t>
  </si>
  <si>
    <t xml:space="preserve">28020465</t>
  </si>
  <si>
    <t xml:space="preserve">21521360</t>
  </si>
  <si>
    <t xml:space="preserve">22621070</t>
  </si>
  <si>
    <t xml:space="preserve">25040335</t>
  </si>
  <si>
    <t xml:space="preserve">26554150</t>
  </si>
  <si>
    <t xml:space="preserve">22451262</t>
  </si>
  <si>
    <t xml:space="preserve">28981640</t>
  </si>
  <si>
    <t xml:space="preserve">28971530</t>
  </si>
  <si>
    <t xml:space="preserve">23050340</t>
  </si>
  <si>
    <t xml:space="preserve">26572280</t>
  </si>
  <si>
    <t xml:space="preserve">20725080</t>
  </si>
  <si>
    <t xml:space="preserve">21241050</t>
  </si>
  <si>
    <t xml:space="preserve">21775540</t>
  </si>
  <si>
    <t xml:space="preserve">21910280</t>
  </si>
  <si>
    <t xml:space="preserve">28053100</t>
  </si>
  <si>
    <t xml:space="preserve">28995639</t>
  </si>
  <si>
    <t xml:space="preserve">22031071</t>
  </si>
  <si>
    <t xml:space="preserve">22740360</t>
  </si>
  <si>
    <t xml:space="preserve">28013080</t>
  </si>
  <si>
    <t xml:space="preserve">27345220</t>
  </si>
  <si>
    <t xml:space="preserve">21072720</t>
  </si>
  <si>
    <t xml:space="preserve">28920803</t>
  </si>
  <si>
    <t xml:space="preserve">20020010</t>
  </si>
  <si>
    <t xml:space="preserve">28180000</t>
  </si>
  <si>
    <t xml:space="preserve">25264180</t>
  </si>
  <si>
    <t xml:space="preserve">21371440</t>
  </si>
  <si>
    <t xml:space="preserve">28625570</t>
  </si>
  <si>
    <t xml:space="preserve">23035146</t>
  </si>
  <si>
    <t xml:space="preserve">24736210</t>
  </si>
  <si>
    <t xml:space="preserve">25651075</t>
  </si>
  <si>
    <t xml:space="preserve">22770580</t>
  </si>
  <si>
    <t xml:space="preserve">28220000</t>
  </si>
  <si>
    <t xml:space="preserve">28981070</t>
  </si>
  <si>
    <t xml:space="preserve">25650230</t>
  </si>
  <si>
    <t xml:space="preserve">21221420</t>
  </si>
  <si>
    <t xml:space="preserve">21870260</t>
  </si>
  <si>
    <t xml:space="preserve">22220040</t>
  </si>
  <si>
    <t xml:space="preserve">21755430</t>
  </si>
  <si>
    <t xml:space="preserve">28051320</t>
  </si>
  <si>
    <t xml:space="preserve">26551481</t>
  </si>
  <si>
    <t xml:space="preserve">25010350</t>
  </si>
  <si>
    <t xml:space="preserve">24470500</t>
  </si>
  <si>
    <t xml:space="preserve">24934350</t>
  </si>
  <si>
    <t xml:space="preserve">28941382</t>
  </si>
  <si>
    <t xml:space="preserve">22753211</t>
  </si>
  <si>
    <t xml:space="preserve">23082220</t>
  </si>
  <si>
    <t xml:space="preserve">26167570</t>
  </si>
  <si>
    <t xml:space="preserve">25040220</t>
  </si>
  <si>
    <t xml:space="preserve">22765430</t>
  </si>
  <si>
    <t xml:space="preserve">23575050</t>
  </si>
  <si>
    <t xml:space="preserve">25041130</t>
  </si>
  <si>
    <t xml:space="preserve">25931890</t>
  </si>
  <si>
    <t xml:space="preserve">25680000</t>
  </si>
  <si>
    <t xml:space="preserve">28623060</t>
  </si>
  <si>
    <t xml:space="preserve">28690430</t>
  </si>
  <si>
    <t xml:space="preserve">24724565</t>
  </si>
  <si>
    <t xml:space="preserve">27960186</t>
  </si>
  <si>
    <t xml:space="preserve">26271360</t>
  </si>
  <si>
    <t xml:space="preserve">23058001</t>
  </si>
  <si>
    <t xml:space="preserve">22710280</t>
  </si>
  <si>
    <t xml:space="preserve">25213160</t>
  </si>
  <si>
    <t xml:space="preserve">20230240</t>
  </si>
  <si>
    <t xml:space="preserve">23935013</t>
  </si>
  <si>
    <t xml:space="preserve">25932145</t>
  </si>
  <si>
    <t xml:space="preserve">26281010</t>
  </si>
  <si>
    <t xml:space="preserve">28230000</t>
  </si>
  <si>
    <t xml:space="preserve">27944751</t>
  </si>
  <si>
    <t xml:space="preserve">21866340</t>
  </si>
  <si>
    <t xml:space="preserve">21340230</t>
  </si>
  <si>
    <t xml:space="preserve">28035053</t>
  </si>
  <si>
    <t xml:space="preserve">23585126</t>
  </si>
  <si>
    <t xml:space="preserve">25045730</t>
  </si>
  <si>
    <t xml:space="preserve">26420000</t>
  </si>
  <si>
    <t xml:space="preserve">21370200</t>
  </si>
  <si>
    <t xml:space="preserve">22745270</t>
  </si>
  <si>
    <t xml:space="preserve">27321620</t>
  </si>
  <si>
    <t xml:space="preserve">28021340</t>
  </si>
  <si>
    <t xml:space="preserve">28613450</t>
  </si>
  <si>
    <t xml:space="preserve">23075006</t>
  </si>
  <si>
    <t xml:space="preserve">21863360</t>
  </si>
  <si>
    <t xml:space="preserve">21361132</t>
  </si>
  <si>
    <t xml:space="preserve">28020301</t>
  </si>
  <si>
    <t xml:space="preserve">22641514</t>
  </si>
  <si>
    <t xml:space="preserve">25810130</t>
  </si>
  <si>
    <t xml:space="preserve">23510535</t>
  </si>
  <si>
    <t xml:space="preserve">22795810</t>
  </si>
  <si>
    <t xml:space="preserve">24802660</t>
  </si>
  <si>
    <t xml:space="preserve">23058002</t>
  </si>
  <si>
    <t xml:space="preserve">28085140</t>
  </si>
  <si>
    <t xml:space="preserve">21250570</t>
  </si>
  <si>
    <t xml:space="preserve">26480350</t>
  </si>
  <si>
    <t xml:space="preserve">28623000</t>
  </si>
  <si>
    <t xml:space="preserve">26297234</t>
  </si>
  <si>
    <t xml:space="preserve">25745010</t>
  </si>
  <si>
    <t xml:space="preserve">25932110</t>
  </si>
  <si>
    <t xml:space="preserve">23010220</t>
  </si>
  <si>
    <t xml:space="preserve">28083170</t>
  </si>
  <si>
    <t xml:space="preserve">22715160</t>
  </si>
  <si>
    <t xml:space="preserve">20920370</t>
  </si>
  <si>
    <t xml:space="preserve">26040800</t>
  </si>
  <si>
    <t xml:space="preserve">21510500</t>
  </si>
  <si>
    <t xml:space="preserve">21530040</t>
  </si>
  <si>
    <t xml:space="preserve">24350340</t>
  </si>
  <si>
    <t xml:space="preserve">28030315</t>
  </si>
  <si>
    <t xml:space="preserve">23914243</t>
  </si>
  <si>
    <t xml:space="preserve">26295595</t>
  </si>
  <si>
    <t xml:space="preserve">21070050</t>
  </si>
  <si>
    <t xml:space="preserve">21221440</t>
  </si>
  <si>
    <t xml:space="preserve">24717200</t>
  </si>
  <si>
    <t xml:space="preserve">23020724</t>
  </si>
  <si>
    <t xml:space="preserve">23550230</t>
  </si>
  <si>
    <t xml:space="preserve">21853355</t>
  </si>
  <si>
    <t xml:space="preserve">25675050</t>
  </si>
  <si>
    <t xml:space="preserve">28941348</t>
  </si>
  <si>
    <t xml:space="preserve">20220150</t>
  </si>
  <si>
    <t xml:space="preserve">28995104</t>
  </si>
  <si>
    <t xml:space="preserve">28928420</t>
  </si>
  <si>
    <t xml:space="preserve">21760320</t>
  </si>
  <si>
    <t xml:space="preserve">24722045</t>
  </si>
  <si>
    <t xml:space="preserve">28899401</t>
  </si>
  <si>
    <t xml:space="preserve">25570681</t>
  </si>
  <si>
    <t xml:space="preserve">22245100</t>
  </si>
  <si>
    <t xml:space="preserve">26294312</t>
  </si>
  <si>
    <t xml:space="preserve">21615310</t>
  </si>
  <si>
    <t xml:space="preserve">28633630</t>
  </si>
  <si>
    <t xml:space="preserve">28499040</t>
  </si>
  <si>
    <t xml:space="preserve">22790693</t>
  </si>
  <si>
    <t xml:space="preserve">25935330</t>
  </si>
  <si>
    <t xml:space="preserve">25815560</t>
  </si>
  <si>
    <t xml:space="preserve">21932220</t>
  </si>
  <si>
    <t xml:space="preserve">21865320</t>
  </si>
  <si>
    <t xml:space="preserve">27525502</t>
  </si>
  <si>
    <t xml:space="preserve">23060720</t>
  </si>
  <si>
    <t xml:space="preserve">27971805</t>
  </si>
  <si>
    <t xml:space="preserve">24813126</t>
  </si>
  <si>
    <t xml:space="preserve">22790147</t>
  </si>
  <si>
    <t xml:space="preserve">26535350</t>
  </si>
  <si>
    <t xml:space="preserve">26021560</t>
  </si>
  <si>
    <t xml:space="preserve">28895679</t>
  </si>
  <si>
    <t xml:space="preserve">22790682</t>
  </si>
  <si>
    <t xml:space="preserve">26423400</t>
  </si>
  <si>
    <t xml:space="preserve">20541125</t>
  </si>
  <si>
    <t xml:space="preserve">24344150</t>
  </si>
  <si>
    <t xml:space="preserve">22780081</t>
  </si>
  <si>
    <t xml:space="preserve">22220060</t>
  </si>
  <si>
    <t xml:space="preserve">Prolog Transportes</t>
  </si>
  <si>
    <t xml:space="preserve">23073356</t>
  </si>
  <si>
    <t xml:space="preserve">22790180</t>
  </si>
  <si>
    <t xml:space="preserve">24340080</t>
  </si>
  <si>
    <t xml:space="preserve">23013420</t>
  </si>
  <si>
    <t xml:space="preserve">28021245</t>
  </si>
  <si>
    <t xml:space="preserve">25660004</t>
  </si>
  <si>
    <t xml:space="preserve">27321320</t>
  </si>
  <si>
    <t xml:space="preserve">23020110</t>
  </si>
  <si>
    <t xml:space="preserve">25936110</t>
  </si>
  <si>
    <t xml:space="preserve">21831445</t>
  </si>
  <si>
    <t xml:space="preserve">24435140</t>
  </si>
  <si>
    <t xml:space="preserve">21010570</t>
  </si>
  <si>
    <t xml:space="preserve">20765240</t>
  </si>
  <si>
    <t xml:space="preserve">28928368</t>
  </si>
  <si>
    <t xml:space="preserve">21775420</t>
  </si>
  <si>
    <t xml:space="preserve">21044550</t>
  </si>
  <si>
    <t xml:space="preserve">28920225</t>
  </si>
  <si>
    <t xml:space="preserve">23935105</t>
  </si>
  <si>
    <t xml:space="preserve">23047530</t>
  </si>
  <si>
    <t xml:space="preserve">22221140</t>
  </si>
  <si>
    <t xml:space="preserve">27603051</t>
  </si>
  <si>
    <t xml:space="preserve">22783360</t>
  </si>
  <si>
    <t xml:space="preserve">22250040</t>
  </si>
  <si>
    <t xml:space="preserve">28922470</t>
  </si>
  <si>
    <t xml:space="preserve">23587415</t>
  </si>
  <si>
    <t xml:space="preserve">24710210</t>
  </si>
  <si>
    <t xml:space="preserve">23935172</t>
  </si>
  <si>
    <t xml:space="preserve">23067430</t>
  </si>
  <si>
    <t xml:space="preserve">26270100</t>
  </si>
  <si>
    <t xml:space="preserve">26377300</t>
  </si>
  <si>
    <t xml:space="preserve">28893513</t>
  </si>
  <si>
    <t xml:space="preserve">25804130</t>
  </si>
  <si>
    <t xml:space="preserve">23933600</t>
  </si>
  <si>
    <t xml:space="preserve">21361140</t>
  </si>
  <si>
    <t xml:space="preserve">23058281</t>
  </si>
  <si>
    <t xml:space="preserve">23085570</t>
  </si>
  <si>
    <t xml:space="preserve">24916000</t>
  </si>
  <si>
    <t xml:space="preserve">21012351</t>
  </si>
  <si>
    <t xml:space="preserve">28928510</t>
  </si>
  <si>
    <t xml:space="preserve">22471270</t>
  </si>
  <si>
    <t xml:space="preserve">22631030</t>
  </si>
  <si>
    <t xml:space="preserve">21340440</t>
  </si>
  <si>
    <t xml:space="preserve">20560050</t>
  </si>
  <si>
    <t xml:space="preserve">28740000</t>
  </si>
  <si>
    <t xml:space="preserve">21820097</t>
  </si>
  <si>
    <t xml:space="preserve">22735020</t>
  </si>
  <si>
    <t xml:space="preserve">28110000</t>
  </si>
  <si>
    <t xml:space="preserve">22723002</t>
  </si>
  <si>
    <t xml:space="preserve">24350242</t>
  </si>
  <si>
    <t xml:space="preserve">24744720</t>
  </si>
  <si>
    <t xml:space="preserve">26195140</t>
  </si>
  <si>
    <t xml:space="preserve">24430210</t>
  </si>
  <si>
    <t xml:space="preserve">27925396</t>
  </si>
  <si>
    <t xml:space="preserve">25221124</t>
  </si>
  <si>
    <t xml:space="preserve">28692632</t>
  </si>
  <si>
    <t xml:space="preserve">21042431</t>
  </si>
  <si>
    <t xml:space="preserve">23565450</t>
  </si>
  <si>
    <t xml:space="preserve">22790495</t>
  </si>
  <si>
    <t xml:space="preserve">21832310</t>
  </si>
  <si>
    <t xml:space="preserve">23955385</t>
  </si>
  <si>
    <t xml:space="preserve">22710125</t>
  </si>
  <si>
    <t xml:space="preserve">22251050</t>
  </si>
  <si>
    <t xml:space="preserve">23035090</t>
  </si>
  <si>
    <t xml:space="preserve">24140590</t>
  </si>
  <si>
    <t xml:space="preserve">23075640</t>
  </si>
  <si>
    <t xml:space="preserve">28960289</t>
  </si>
  <si>
    <t xml:space="preserve">28620310</t>
  </si>
  <si>
    <t xml:space="preserve">21231020</t>
  </si>
  <si>
    <t xml:space="preserve">24921452</t>
  </si>
  <si>
    <t xml:space="preserve">25665400</t>
  </si>
  <si>
    <t xml:space="preserve">23560510</t>
  </si>
  <si>
    <t xml:space="preserve">24240415</t>
  </si>
  <si>
    <t xml:space="preserve">25645260</t>
  </si>
  <si>
    <t xml:space="preserve">24742160</t>
  </si>
  <si>
    <t xml:space="preserve">28085450</t>
  </si>
  <si>
    <t xml:space="preserve">27277030</t>
  </si>
  <si>
    <t xml:space="preserve">23028055</t>
  </si>
  <si>
    <t xml:space="preserve">21012200</t>
  </si>
  <si>
    <t xml:space="preserve">24715631</t>
  </si>
  <si>
    <t xml:space="preserve">21842596</t>
  </si>
  <si>
    <t xml:space="preserve">24440900</t>
  </si>
  <si>
    <t xml:space="preserve">27966690</t>
  </si>
  <si>
    <t xml:space="preserve">27963795</t>
  </si>
  <si>
    <t xml:space="preserve">23914325</t>
  </si>
  <si>
    <t xml:space="preserve">23078001</t>
  </si>
  <si>
    <t xml:space="preserve">24467000</t>
  </si>
  <si>
    <t xml:space="preserve">21321020</t>
  </si>
  <si>
    <t xml:space="preserve">28979801</t>
  </si>
  <si>
    <t xml:space="preserve">21341140</t>
  </si>
  <si>
    <t xml:space="preserve">24751160</t>
  </si>
  <si>
    <t xml:space="preserve">27966610</t>
  </si>
  <si>
    <t xml:space="preserve">25655363</t>
  </si>
  <si>
    <t xml:space="preserve">23943120</t>
  </si>
  <si>
    <t xml:space="preserve">27140290</t>
  </si>
  <si>
    <t xml:space="preserve">24474215</t>
  </si>
  <si>
    <t xml:space="preserve">24730530</t>
  </si>
  <si>
    <t xml:space="preserve">25936840</t>
  </si>
  <si>
    <t xml:space="preserve">21046630</t>
  </si>
  <si>
    <t xml:space="preserve">28943770</t>
  </si>
  <si>
    <t xml:space="preserve">21250391</t>
  </si>
  <si>
    <t xml:space="preserve">21625130</t>
  </si>
  <si>
    <t xml:space="preserve">21535330</t>
  </si>
  <si>
    <t xml:space="preserve">24456050</t>
  </si>
  <si>
    <t xml:space="preserve">20541200</t>
  </si>
  <si>
    <t xml:space="preserve">24931410</t>
  </si>
  <si>
    <t xml:space="preserve">23587565</t>
  </si>
  <si>
    <t xml:space="preserve">24901640</t>
  </si>
  <si>
    <t xml:space="preserve">27930805</t>
  </si>
  <si>
    <t xml:space="preserve">28983816</t>
  </si>
  <si>
    <t xml:space="preserve">27946010</t>
  </si>
  <si>
    <t xml:space="preserve">27276385</t>
  </si>
  <si>
    <t xml:space="preserve">28165000</t>
  </si>
  <si>
    <t xml:space="preserve">25802250</t>
  </si>
  <si>
    <t xml:space="preserve">25665442</t>
  </si>
  <si>
    <t xml:space="preserve">21645521</t>
  </si>
  <si>
    <t xml:space="preserve">27214615</t>
  </si>
  <si>
    <t xml:space="preserve">24130345</t>
  </si>
  <si>
    <t xml:space="preserve">25060140</t>
  </si>
  <si>
    <t xml:space="preserve">24943255</t>
  </si>
  <si>
    <t xml:space="preserve">24802245</t>
  </si>
  <si>
    <t xml:space="preserve">26053200</t>
  </si>
  <si>
    <t xml:space="preserve">21046035</t>
  </si>
  <si>
    <t xml:space="preserve">21775490</t>
  </si>
  <si>
    <t xml:space="preserve">21370650</t>
  </si>
  <si>
    <t xml:space="preserve">28962284</t>
  </si>
  <si>
    <t xml:space="preserve">21073230</t>
  </si>
  <si>
    <t xml:space="preserve">28994816</t>
  </si>
  <si>
    <t xml:space="preserve">27240110</t>
  </si>
  <si>
    <t xml:space="preserve">27276000</t>
  </si>
  <si>
    <t xml:space="preserve">20750310</t>
  </si>
  <si>
    <t xml:space="preserve">22240006</t>
  </si>
  <si>
    <t xml:space="preserve">20961130</t>
  </si>
  <si>
    <t xml:space="preserve">22715090</t>
  </si>
  <si>
    <t xml:space="preserve">24350105</t>
  </si>
  <si>
    <t xml:space="preserve">25847140</t>
  </si>
  <si>
    <t xml:space="preserve">27197868</t>
  </si>
  <si>
    <t xml:space="preserve">28148000</t>
  </si>
  <si>
    <t xml:space="preserve">24241001</t>
  </si>
  <si>
    <t xml:space="preserve">28897364</t>
  </si>
  <si>
    <t xml:space="preserve">20972450</t>
  </si>
  <si>
    <t xml:space="preserve">24360005</t>
  </si>
  <si>
    <t xml:space="preserve">23062220</t>
  </si>
  <si>
    <t xml:space="preserve">21941480</t>
  </si>
  <si>
    <t xml:space="preserve">21610520</t>
  </si>
  <si>
    <t xml:space="preserve">21250392</t>
  </si>
  <si>
    <t xml:space="preserve">27212050</t>
  </si>
  <si>
    <t xml:space="preserve">26520332</t>
  </si>
  <si>
    <t xml:space="preserve">24715316</t>
  </si>
  <si>
    <t xml:space="preserve">27273480</t>
  </si>
  <si>
    <t xml:space="preserve">27943210</t>
  </si>
  <si>
    <t xml:space="preserve">27948075</t>
  </si>
  <si>
    <t xml:space="preserve">27251085</t>
  </si>
  <si>
    <t xml:space="preserve">22723320</t>
  </si>
  <si>
    <t xml:space="preserve">20770150</t>
  </si>
  <si>
    <t xml:space="preserve">20031204</t>
  </si>
  <si>
    <t xml:space="preserve">25015370</t>
  </si>
  <si>
    <t xml:space="preserve">22790728</t>
  </si>
  <si>
    <t xml:space="preserve">21750320</t>
  </si>
  <si>
    <t xml:space="preserve">28800000</t>
  </si>
  <si>
    <t xml:space="preserve">27935070</t>
  </si>
  <si>
    <t xml:space="preserve">23895340</t>
  </si>
  <si>
    <t xml:space="preserve">27940700</t>
  </si>
  <si>
    <t xml:space="preserve">24724310</t>
  </si>
  <si>
    <t xml:space="preserve">27347370</t>
  </si>
  <si>
    <t xml:space="preserve">20960045</t>
  </si>
  <si>
    <t xml:space="preserve">24330060</t>
  </si>
  <si>
    <t xml:space="preserve">24460310</t>
  </si>
  <si>
    <t xml:space="preserve">21921525</t>
  </si>
  <si>
    <t xml:space="preserve">24717070</t>
  </si>
  <si>
    <t xml:space="preserve">22710092</t>
  </si>
  <si>
    <t xml:space="preserve">20760005</t>
  </si>
  <si>
    <t xml:space="preserve">20943000</t>
  </si>
  <si>
    <t xml:space="preserve">26053440</t>
  </si>
  <si>
    <t xml:space="preserve">27185000</t>
  </si>
  <si>
    <t xml:space="preserve">27460000</t>
  </si>
  <si>
    <t xml:space="preserve">28943784</t>
  </si>
  <si>
    <t xml:space="preserve">23020240</t>
  </si>
  <si>
    <t xml:space="preserve">21725500</t>
  </si>
  <si>
    <t xml:space="preserve">24410230</t>
  </si>
  <si>
    <t xml:space="preserve">21050320</t>
  </si>
  <si>
    <t xml:space="preserve">20720011</t>
  </si>
  <si>
    <t xml:space="preserve">25953600</t>
  </si>
  <si>
    <t xml:space="preserve">20715010</t>
  </si>
  <si>
    <t xml:space="preserve">25044030</t>
  </si>
  <si>
    <t xml:space="preserve">22790703</t>
  </si>
  <si>
    <t xml:space="preserve">21930135</t>
  </si>
  <si>
    <t xml:space="preserve">23068155</t>
  </si>
  <si>
    <t xml:space="preserve">23050360</t>
  </si>
  <si>
    <t xml:space="preserve">21931242</t>
  </si>
  <si>
    <t xml:space="preserve">23020715</t>
  </si>
  <si>
    <t xml:space="preserve">28750000</t>
  </si>
  <si>
    <t xml:space="preserve">27581714</t>
  </si>
  <si>
    <t xml:space="preserve">22220030</t>
  </si>
  <si>
    <t xml:space="preserve">28635000</t>
  </si>
  <si>
    <t xml:space="preserve">24210130</t>
  </si>
  <si>
    <t xml:space="preserve">21021422</t>
  </si>
  <si>
    <t xml:space="preserve">20920350</t>
  </si>
  <si>
    <t xml:space="preserve">20521060</t>
  </si>
  <si>
    <t xml:space="preserve">25931858</t>
  </si>
  <si>
    <t xml:space="preserve">27525500</t>
  </si>
  <si>
    <t xml:space="preserve">27240050</t>
  </si>
  <si>
    <t xml:space="preserve">20745110</t>
  </si>
  <si>
    <t xml:space="preserve">21755380</t>
  </si>
  <si>
    <t xml:space="preserve">23575920</t>
  </si>
  <si>
    <t xml:space="preserve">27603830</t>
  </si>
  <si>
    <t xml:space="preserve">27175000</t>
  </si>
  <si>
    <t xml:space="preserve">21250520</t>
  </si>
  <si>
    <t xml:space="preserve">23943140</t>
  </si>
  <si>
    <t xml:space="preserve">20940010</t>
  </si>
  <si>
    <t xml:space="preserve">22793105</t>
  </si>
  <si>
    <t xml:space="preserve">23933630</t>
  </si>
  <si>
    <t xml:space="preserve">20750130</t>
  </si>
  <si>
    <t xml:space="preserve">28956144</t>
  </si>
  <si>
    <t xml:space="preserve">24240460</t>
  </si>
  <si>
    <t xml:space="preserve">25922144</t>
  </si>
  <si>
    <t xml:space="preserve">23595250</t>
  </si>
  <si>
    <t xml:space="preserve">22773200</t>
  </si>
  <si>
    <t xml:space="preserve">22790701</t>
  </si>
  <si>
    <t xml:space="preserve">23575000</t>
  </si>
  <si>
    <t xml:space="preserve">25959195</t>
  </si>
  <si>
    <t xml:space="preserve">21351080</t>
  </si>
  <si>
    <t xml:space="preserve">21755370</t>
  </si>
  <si>
    <t xml:space="preserve">28979476</t>
  </si>
  <si>
    <t xml:space="preserve">24110007</t>
  </si>
  <si>
    <t xml:space="preserve">26022136</t>
  </si>
  <si>
    <t xml:space="preserve">27525662</t>
  </si>
  <si>
    <t xml:space="preserve">28860000</t>
  </si>
  <si>
    <t xml:space="preserve">21311050</t>
  </si>
  <si>
    <t xml:space="preserve">27115270</t>
  </si>
  <si>
    <t xml:space="preserve">24726123</t>
  </si>
  <si>
    <t xml:space="preserve">27343430</t>
  </si>
  <si>
    <t xml:space="preserve">28997710</t>
  </si>
  <si>
    <t xml:space="preserve">Outro</t>
  </si>
  <si>
    <t xml:space="preserve">20770290</t>
  </si>
  <si>
    <t xml:space="preserve">21510014</t>
  </si>
  <si>
    <t xml:space="preserve">21710000</t>
  </si>
  <si>
    <t xml:space="preserve">26290672</t>
  </si>
  <si>
    <t xml:space="preserve">23062410</t>
  </si>
  <si>
    <t xml:space="preserve">23016480</t>
  </si>
  <si>
    <t xml:space="preserve">24350068</t>
  </si>
  <si>
    <t xml:space="preserve">23065620</t>
  </si>
  <si>
    <t xml:space="preserve">25075300</t>
  </si>
  <si>
    <t xml:space="preserve">21665062</t>
  </si>
  <si>
    <t xml:space="preserve">21060060</t>
  </si>
  <si>
    <t xml:space="preserve">21061520</t>
  </si>
  <si>
    <t xml:space="preserve">22743370</t>
  </si>
  <si>
    <t xml:space="preserve">23028620</t>
  </si>
  <si>
    <t xml:space="preserve">24416170</t>
  </si>
  <si>
    <t xml:space="preserve">27910060</t>
  </si>
  <si>
    <t xml:space="preserve">24410100</t>
  </si>
  <si>
    <t xml:space="preserve">21850510</t>
  </si>
  <si>
    <t xml:space="preserve">22715410</t>
  </si>
  <si>
    <t xml:space="preserve">22783551</t>
  </si>
  <si>
    <t xml:space="preserve">25650390</t>
  </si>
  <si>
    <t xml:space="preserve">20530420</t>
  </si>
  <si>
    <t xml:space="preserve">26160455</t>
  </si>
  <si>
    <t xml:space="preserve">24130410</t>
  </si>
  <si>
    <t xml:space="preserve">28905165</t>
  </si>
  <si>
    <t xml:space="preserve">27197970</t>
  </si>
  <si>
    <t xml:space="preserve">28090230</t>
  </si>
  <si>
    <t xml:space="preserve">26210022</t>
  </si>
  <si>
    <t xml:space="preserve">28959880</t>
  </si>
  <si>
    <t xml:space="preserve">28635010</t>
  </si>
  <si>
    <t xml:space="preserve">21910160</t>
  </si>
  <si>
    <t xml:space="preserve">22471180</t>
  </si>
  <si>
    <t xml:space="preserve">20745230</t>
  </si>
  <si>
    <t xml:space="preserve">24070000</t>
  </si>
  <si>
    <t xml:space="preserve">21840096</t>
  </si>
  <si>
    <t xml:space="preserve">21030640</t>
  </si>
  <si>
    <t xml:space="preserve">22785050</t>
  </si>
  <si>
    <t xml:space="preserve">28920231</t>
  </si>
  <si>
    <t xml:space="preserve">24474655</t>
  </si>
  <si>
    <t xml:space="preserve">21555290</t>
  </si>
  <si>
    <t xml:space="preserve">24110026</t>
  </si>
  <si>
    <t xml:space="preserve">22783240</t>
  </si>
  <si>
    <t xml:space="preserve">27963788</t>
  </si>
  <si>
    <t xml:space="preserve">28053600</t>
  </si>
  <si>
    <t xml:space="preserve">22430190</t>
  </si>
  <si>
    <t xml:space="preserve">22280030</t>
  </si>
  <si>
    <t xml:space="preserve">21061600</t>
  </si>
  <si>
    <t xml:space="preserve">28982235</t>
  </si>
  <si>
    <t xml:space="preserve">21321624</t>
  </si>
  <si>
    <t xml:space="preserve">21842550</t>
  </si>
  <si>
    <t xml:space="preserve">28899314</t>
  </si>
  <si>
    <t xml:space="preserve">23032780</t>
  </si>
  <si>
    <t xml:space="preserve">23030360</t>
  </si>
  <si>
    <t xml:space="preserve">27323340</t>
  </si>
  <si>
    <t xml:space="preserve">21941598</t>
  </si>
  <si>
    <t xml:space="preserve">26275580</t>
  </si>
  <si>
    <t xml:space="preserve">23914250</t>
  </si>
  <si>
    <t xml:space="preserve">22610095</t>
  </si>
  <si>
    <t xml:space="preserve">26585400</t>
  </si>
  <si>
    <t xml:space="preserve">24475290</t>
  </si>
  <si>
    <t xml:space="preserve">22793084</t>
  </si>
  <si>
    <t xml:space="preserve">24930628</t>
  </si>
  <si>
    <t xml:space="preserve">20250460</t>
  </si>
  <si>
    <t xml:space="preserve">20973011</t>
  </si>
  <si>
    <t xml:space="preserve">24470270</t>
  </si>
  <si>
    <t xml:space="preserve">24921768</t>
  </si>
  <si>
    <t xml:space="preserve">27256005</t>
  </si>
  <si>
    <t xml:space="preserve">25730204</t>
  </si>
  <si>
    <t xml:space="preserve">21320080</t>
  </si>
  <si>
    <t xml:space="preserve">24736050</t>
  </si>
  <si>
    <t xml:space="preserve">21853470</t>
  </si>
  <si>
    <t xml:space="preserve">20745220</t>
  </si>
  <si>
    <t xml:space="preserve">24900798</t>
  </si>
  <si>
    <t xml:space="preserve">28143000</t>
  </si>
  <si>
    <t xml:space="preserve">23050200</t>
  </si>
  <si>
    <t xml:space="preserve">25808360</t>
  </si>
  <si>
    <t xml:space="preserve">23570020</t>
  </si>
  <si>
    <t xml:space="preserve">25086540</t>
  </si>
  <si>
    <t xml:space="preserve">20550160</t>
  </si>
  <si>
    <t xml:space="preserve">24431580</t>
  </si>
  <si>
    <t xml:space="preserve">24472090</t>
  </si>
  <si>
    <t xml:space="preserve">27258180</t>
  </si>
  <si>
    <t xml:space="preserve">25821060</t>
  </si>
  <si>
    <t xml:space="preserve">25565071</t>
  </si>
  <si>
    <t xml:space="preserve">27288450</t>
  </si>
  <si>
    <t xml:space="preserve">22780510</t>
  </si>
  <si>
    <t xml:space="preserve">24346040</t>
  </si>
  <si>
    <t xml:space="preserve">28977010</t>
  </si>
  <si>
    <t xml:space="preserve">25919279</t>
  </si>
  <si>
    <t xml:space="preserve">21511200</t>
  </si>
  <si>
    <t xml:space="preserve">21361640</t>
  </si>
  <si>
    <t xml:space="preserve">22713460</t>
  </si>
  <si>
    <t xml:space="preserve">27264520</t>
  </si>
  <si>
    <t xml:space="preserve">Leroy Merlin</t>
  </si>
  <si>
    <t xml:space="preserve">22240005</t>
  </si>
  <si>
    <t xml:space="preserve">22723000</t>
  </si>
  <si>
    <t xml:space="preserve">20931003</t>
  </si>
  <si>
    <t xml:space="preserve">22750006</t>
  </si>
  <si>
    <t xml:space="preserve">23575080</t>
  </si>
  <si>
    <t xml:space="preserve">26050803</t>
  </si>
  <si>
    <t xml:space="preserve">21842340</t>
  </si>
  <si>
    <t xml:space="preserve">21046425</t>
  </si>
  <si>
    <t xml:space="preserve">24725040</t>
  </si>
  <si>
    <t xml:space="preserve">27966031</t>
  </si>
  <si>
    <t xml:space="preserve">21381070</t>
  </si>
  <si>
    <t xml:space="preserve">23050170</t>
  </si>
  <si>
    <t xml:space="preserve">25051020</t>
  </si>
  <si>
    <t xml:space="preserve">24715562</t>
  </si>
  <si>
    <t xml:space="preserve">27966843</t>
  </si>
  <si>
    <t xml:space="preserve">25908713</t>
  </si>
  <si>
    <t xml:space="preserve">20766200</t>
  </si>
  <si>
    <t xml:space="preserve">28620075</t>
  </si>
  <si>
    <t xml:space="preserve">28010801</t>
  </si>
  <si>
    <t xml:space="preserve">28894330</t>
  </si>
  <si>
    <t xml:space="preserve">25685050</t>
  </si>
  <si>
    <t xml:space="preserve">20040001</t>
  </si>
  <si>
    <t xml:space="preserve">22641005</t>
  </si>
  <si>
    <t xml:space="preserve">28020822</t>
  </si>
  <si>
    <t xml:space="preserve">21381140</t>
  </si>
  <si>
    <t xml:space="preserve">20720230</t>
  </si>
  <si>
    <t xml:space="preserve">28963050</t>
  </si>
  <si>
    <t xml:space="preserve">28140000</t>
  </si>
  <si>
    <t xml:space="preserve">27143460</t>
  </si>
  <si>
    <t xml:space="preserve">28175000</t>
  </si>
  <si>
    <t xml:space="preserve">25635142</t>
  </si>
  <si>
    <t xml:space="preserve">21745291</t>
  </si>
  <si>
    <t xml:space="preserve">28894030</t>
  </si>
  <si>
    <t xml:space="preserve">20755010</t>
  </si>
  <si>
    <t xml:space="preserve">26086195</t>
  </si>
  <si>
    <t xml:space="preserve">28804254</t>
  </si>
  <si>
    <t xml:space="preserve">23057700</t>
  </si>
  <si>
    <t xml:space="preserve">23082350</t>
  </si>
  <si>
    <t xml:space="preserve">21843780</t>
  </si>
  <si>
    <t xml:space="preserve">22620172</t>
  </si>
  <si>
    <t xml:space="preserve">28956048</t>
  </si>
  <si>
    <t xml:space="preserve">22631004</t>
  </si>
  <si>
    <t xml:space="preserve">28895620</t>
  </si>
  <si>
    <t xml:space="preserve">22783117</t>
  </si>
  <si>
    <t xml:space="preserve">25685132</t>
  </si>
  <si>
    <t xml:space="preserve">22770235</t>
  </si>
  <si>
    <t xml:space="preserve">28664000</t>
  </si>
  <si>
    <t xml:space="preserve">25560581</t>
  </si>
  <si>
    <t xml:space="preserve">20540140</t>
  </si>
  <si>
    <t xml:space="preserve">26291212</t>
  </si>
  <si>
    <t xml:space="preserve">27520270</t>
  </si>
  <si>
    <t xml:space="preserve">20921260</t>
  </si>
  <si>
    <t xml:space="preserve">25911279</t>
  </si>
  <si>
    <t xml:space="preserve">21921420</t>
  </si>
  <si>
    <t xml:space="preserve">23895160</t>
  </si>
  <si>
    <t xml:space="preserve">25233289</t>
  </si>
  <si>
    <t xml:space="preserve">20910063</t>
  </si>
  <si>
    <t xml:space="preserve">21931574</t>
  </si>
  <si>
    <t xml:space="preserve">27770000</t>
  </si>
  <si>
    <t xml:space="preserve">27966780</t>
  </si>
  <si>
    <t xml:space="preserve">21321250</t>
  </si>
  <si>
    <t xml:space="preserve">25520430</t>
  </si>
  <si>
    <t xml:space="preserve">22630010</t>
  </si>
  <si>
    <t xml:space="preserve">21310310</t>
  </si>
  <si>
    <t xml:space="preserve">27281422</t>
  </si>
  <si>
    <t xml:space="preserve">24731070</t>
  </si>
  <si>
    <t xml:space="preserve">23028255</t>
  </si>
  <si>
    <t xml:space="preserve">28375000</t>
  </si>
  <si>
    <t xml:space="preserve">22765595</t>
  </si>
  <si>
    <t xml:space="preserve">20230011</t>
  </si>
  <si>
    <t xml:space="preserve">25040080</t>
  </si>
  <si>
    <t xml:space="preserve">26195020</t>
  </si>
  <si>
    <t xml:space="preserve">26582020</t>
  </si>
  <si>
    <t xml:space="preserve">25040005</t>
  </si>
  <si>
    <t xml:space="preserve">28022670</t>
  </si>
  <si>
    <t xml:space="preserve">22451510</t>
  </si>
  <si>
    <t xml:space="preserve">20725220</t>
  </si>
  <si>
    <t xml:space="preserve">22080002</t>
  </si>
  <si>
    <t xml:space="preserve">25060000</t>
  </si>
  <si>
    <t xml:space="preserve">25943518</t>
  </si>
  <si>
    <t xml:space="preserve">20531420</t>
  </si>
  <si>
    <t xml:space="preserve">22795780</t>
  </si>
  <si>
    <t xml:space="preserve">28994807</t>
  </si>
  <si>
    <t xml:space="preserve">25545430</t>
  </si>
  <si>
    <t xml:space="preserve">25821370</t>
  </si>
  <si>
    <t xml:space="preserve">21230165</t>
  </si>
  <si>
    <t xml:space="preserve">24710150</t>
  </si>
  <si>
    <t xml:space="preserve">28980014</t>
  </si>
  <si>
    <t xml:space="preserve">26700000</t>
  </si>
  <si>
    <t xml:space="preserve">25963140</t>
  </si>
  <si>
    <t xml:space="preserve">26290069</t>
  </si>
  <si>
    <t xml:space="preserve">28907000</t>
  </si>
  <si>
    <t xml:space="preserve">27323540</t>
  </si>
  <si>
    <t xml:space="preserve">25250530</t>
  </si>
  <si>
    <t xml:space="preserve">24355020</t>
  </si>
  <si>
    <t xml:space="preserve">21044725</t>
  </si>
  <si>
    <t xml:space="preserve">21831300</t>
  </si>
  <si>
    <t xml:space="preserve">22790851</t>
  </si>
  <si>
    <t xml:space="preserve">20241110</t>
  </si>
  <si>
    <t xml:space="preserve">21911270</t>
  </si>
  <si>
    <t xml:space="preserve">26155090</t>
  </si>
  <si>
    <t xml:space="preserve">27250100</t>
  </si>
  <si>
    <t xml:space="preserve">23575330</t>
  </si>
  <si>
    <t xml:space="preserve">21825330</t>
  </si>
  <si>
    <t xml:space="preserve">25085132</t>
  </si>
  <si>
    <t xml:space="preserve">23555024</t>
  </si>
  <si>
    <t xml:space="preserve">20720310</t>
  </si>
  <si>
    <t xml:space="preserve">24933440</t>
  </si>
  <si>
    <t xml:space="preserve">26110180</t>
  </si>
  <si>
    <t xml:space="preserve">24451785</t>
  </si>
  <si>
    <t xml:space="preserve">23943138</t>
  </si>
  <si>
    <t xml:space="preserve">25036160</t>
  </si>
  <si>
    <t xml:space="preserve">27700000</t>
  </si>
  <si>
    <t xml:space="preserve">21031690</t>
  </si>
  <si>
    <t xml:space="preserve">23933216</t>
  </si>
  <si>
    <t xml:space="preserve">21862755</t>
  </si>
  <si>
    <t xml:space="preserve">25847020</t>
  </si>
  <si>
    <t xml:space="preserve">23595475</t>
  </si>
  <si>
    <t xml:space="preserve">21550610</t>
  </si>
  <si>
    <t xml:space="preserve">22061010</t>
  </si>
  <si>
    <t xml:space="preserve">23914020</t>
  </si>
  <si>
    <t xml:space="preserve">25943521</t>
  </si>
  <si>
    <t xml:space="preserve">20730390</t>
  </si>
  <si>
    <t xml:space="preserve">22221010</t>
  </si>
  <si>
    <t xml:space="preserve">26327210</t>
  </si>
  <si>
    <t xml:space="preserve">23570510</t>
  </si>
  <si>
    <t xml:space="preserve">21044650</t>
  </si>
  <si>
    <t xml:space="preserve">21930410</t>
  </si>
  <si>
    <t xml:space="preserve">24723190</t>
  </si>
  <si>
    <t xml:space="preserve">24456060</t>
  </si>
  <si>
    <t xml:space="preserve">22241000</t>
  </si>
  <si>
    <t xml:space="preserve">20261030</t>
  </si>
  <si>
    <t xml:space="preserve">28013602</t>
  </si>
  <si>
    <t xml:space="preserve">28897036</t>
  </si>
  <si>
    <t xml:space="preserve">25953003</t>
  </si>
  <si>
    <t xml:space="preserve">20771580</t>
  </si>
  <si>
    <t xml:space="preserve">24451001</t>
  </si>
  <si>
    <t xml:space="preserve">22740050</t>
  </si>
  <si>
    <t xml:space="preserve">26293552</t>
  </si>
  <si>
    <t xml:space="preserve">27525260</t>
  </si>
  <si>
    <t xml:space="preserve">21380010</t>
  </si>
  <si>
    <t xml:space="preserve">28988804</t>
  </si>
  <si>
    <t xml:space="preserve">25954205</t>
  </si>
  <si>
    <t xml:space="preserve">25935426</t>
  </si>
  <si>
    <t xml:space="preserve">23059001</t>
  </si>
  <si>
    <t xml:space="preserve">24465000</t>
  </si>
  <si>
    <t xml:space="preserve">21060110</t>
  </si>
  <si>
    <t xml:space="preserve">22793261</t>
  </si>
  <si>
    <t xml:space="preserve">21620560</t>
  </si>
  <si>
    <t xml:space="preserve">21750210</t>
  </si>
  <si>
    <t xml:space="preserve">25250597</t>
  </si>
  <si>
    <t xml:space="preserve">24360380</t>
  </si>
  <si>
    <t xml:space="preserve">23092650</t>
  </si>
  <si>
    <t xml:space="preserve">23573340</t>
  </si>
  <si>
    <t xml:space="preserve">23954030</t>
  </si>
  <si>
    <t xml:space="preserve">25730050</t>
  </si>
  <si>
    <t xml:space="preserve">26087535</t>
  </si>
  <si>
    <t xml:space="preserve">27961086</t>
  </si>
  <si>
    <t xml:space="preserve">23885000</t>
  </si>
  <si>
    <t xml:space="preserve">20780370</t>
  </si>
  <si>
    <t xml:space="preserve">28625805</t>
  </si>
  <si>
    <t xml:space="preserve">24717241</t>
  </si>
  <si>
    <t xml:space="preserve">24120015</t>
  </si>
  <si>
    <t xml:space="preserve">27276367</t>
  </si>
  <si>
    <t xml:space="preserve">23015170</t>
  </si>
  <si>
    <t xml:space="preserve">21061340</t>
  </si>
  <si>
    <t xml:space="preserve">24425320</t>
  </si>
  <si>
    <t xml:space="preserve">23903500</t>
  </si>
  <si>
    <t xml:space="preserve">22260000</t>
  </si>
  <si>
    <t xml:space="preserve">25931422</t>
  </si>
  <si>
    <t xml:space="preserve">20520051</t>
  </si>
  <si>
    <t xml:space="preserve">23955210</t>
  </si>
  <si>
    <t xml:space="preserve">21061300</t>
  </si>
  <si>
    <t xml:space="preserve">28992678</t>
  </si>
  <si>
    <t xml:space="preserve">21510013</t>
  </si>
  <si>
    <t xml:space="preserve">23094205</t>
  </si>
  <si>
    <t xml:space="preserve">20560032</t>
  </si>
  <si>
    <t xml:space="preserve">22780500</t>
  </si>
  <si>
    <t xml:space="preserve">21341460</t>
  </si>
  <si>
    <t xml:space="preserve">21030040</t>
  </si>
  <si>
    <t xml:space="preserve">23587410</t>
  </si>
  <si>
    <t xml:space="preserve">24856152</t>
  </si>
  <si>
    <t xml:space="preserve">25804000</t>
  </si>
  <si>
    <t xml:space="preserve">20011030</t>
  </si>
  <si>
    <t xml:space="preserve">25922160</t>
  </si>
  <si>
    <t xml:space="preserve">23085260</t>
  </si>
  <si>
    <t xml:space="preserve">21725050</t>
  </si>
  <si>
    <t xml:space="preserve">21046385</t>
  </si>
  <si>
    <t xml:space="preserve">23017000</t>
  </si>
  <si>
    <t xml:space="preserve">21511000</t>
  </si>
  <si>
    <t xml:space="preserve">21540660</t>
  </si>
  <si>
    <t xml:space="preserve">20941150</t>
  </si>
  <si>
    <t xml:space="preserve">22743470</t>
  </si>
  <si>
    <t xml:space="preserve">22793060</t>
  </si>
  <si>
    <t xml:space="preserve">28020889</t>
  </si>
  <si>
    <t xml:space="preserve">25060210</t>
  </si>
  <si>
    <t xml:space="preserve">26313400</t>
  </si>
  <si>
    <t xml:space="preserve">22060030</t>
  </si>
  <si>
    <t xml:space="preserve">21235620</t>
  </si>
  <si>
    <t xml:space="preserve">26383493</t>
  </si>
  <si>
    <t xml:space="preserve">28909010</t>
  </si>
  <si>
    <t xml:space="preserve">27971221</t>
  </si>
  <si>
    <t xml:space="preserve">24457600</t>
  </si>
  <si>
    <t xml:space="preserve">27998000</t>
  </si>
  <si>
    <t xml:space="preserve">28686645</t>
  </si>
  <si>
    <t xml:space="preserve">24467610</t>
  </si>
  <si>
    <t xml:space="preserve">21555490</t>
  </si>
  <si>
    <t xml:space="preserve">24936380</t>
  </si>
  <si>
    <t xml:space="preserve">23955135</t>
  </si>
  <si>
    <t xml:space="preserve">21550160</t>
  </si>
  <si>
    <t xml:space="preserve">23040573</t>
  </si>
  <si>
    <t xml:space="preserve">23071642</t>
  </si>
  <si>
    <t xml:space="preserve">27130360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</si>
</sst>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.00%"/>
    <numFmt numFmtId="167" formatCode="&quot;R$ &quot;#,##0.00;&quot;-R$ &quot;#,##0.00;\-"/>
    <numFmt numFmtId="168" formatCode="0"/>
    <numFmt numFmtId="169" formatCode="\+0.0%;\-0.0%;0.0%"/>
    <numFmt numFmtId="170" formatCode="0.0%;\-0.0%;\-"/>
    <numFmt numFmtId="171" formatCode="\+0.0%;\-0.0%"/>
    <numFmt numFmtId="172" formatCode="0.0"/>
    <numFmt numFmtId="173" formatCode="\+0.0;\-0.0"/>
    <numFmt numFmtId="174" formatCode="00000000"/>
    <numFmt numFmtId="175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54823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0.12</v>
      </c>
      <c r="C5" s="5" t="n">
        <v>0.12</v>
      </c>
      <c r="D5" s="4" t="s">
        <v>7</v>
      </c>
    </row>
    <row r="6" customFormat="false" ht="15" hidden="false" customHeight="false" outlineLevel="0" collapsed="false">
      <c r="A6" s="4" t="s">
        <v>8</v>
      </c>
      <c r="B6" s="6" t="n">
        <v>0.001</v>
      </c>
      <c r="C6" s="6" t="n">
        <v>0</v>
      </c>
      <c r="D6" s="4" t="s">
        <v>9</v>
      </c>
    </row>
    <row r="7" customFormat="false" ht="15" hidden="false" customHeight="false" outlineLevel="0" collapsed="false">
      <c r="A7" s="4" t="s">
        <v>10</v>
      </c>
      <c r="B7" s="6" t="n">
        <v>0.002</v>
      </c>
      <c r="C7" s="6" t="n">
        <v>0.0021</v>
      </c>
      <c r="D7" s="4" t="s">
        <v>9</v>
      </c>
    </row>
    <row r="8" customFormat="false" ht="15" hidden="false" customHeight="false" outlineLevel="0" collapsed="false">
      <c r="A8" s="4" t="s">
        <v>11</v>
      </c>
      <c r="B8" s="6" t="n">
        <v>0</v>
      </c>
      <c r="C8" s="6" t="n">
        <v>0.0021</v>
      </c>
      <c r="D8" s="4" t="s">
        <v>12</v>
      </c>
    </row>
    <row r="9" customFormat="false" ht="15" hidden="false" customHeight="false" outlineLevel="0" collapsed="false">
      <c r="A9" s="4" t="s">
        <v>13</v>
      </c>
      <c r="B9" s="7" t="n">
        <v>1</v>
      </c>
      <c r="C9" s="7" t="n">
        <v>0</v>
      </c>
      <c r="D9" s="4" t="s">
        <v>14</v>
      </c>
    </row>
    <row r="10" customFormat="false" ht="15" hidden="false" customHeight="false" outlineLevel="0" collapsed="false">
      <c r="A10" s="4" t="s">
        <v>15</v>
      </c>
      <c r="B10" s="7" t="n">
        <v>4.5</v>
      </c>
      <c r="C10" s="7" t="n">
        <v>1.05</v>
      </c>
      <c r="D10" s="4" t="s">
        <v>9</v>
      </c>
    </row>
    <row r="11" customFormat="false" ht="15" hidden="false" customHeight="false" outlineLevel="0" collapsed="false">
      <c r="A11" s="4" t="s">
        <v>16</v>
      </c>
      <c r="B11" s="8" t="n">
        <v>0</v>
      </c>
      <c r="C11" s="8" t="n">
        <v>0</v>
      </c>
      <c r="D11" s="4" t="s">
        <v>17</v>
      </c>
    </row>
    <row r="12" customFormat="false" ht="15" hidden="false" customHeight="false" outlineLevel="0" collapsed="false">
      <c r="A12" s="4" t="s">
        <v>18</v>
      </c>
      <c r="B12" s="7" t="n">
        <v>0.06</v>
      </c>
      <c r="C12" s="7" t="n">
        <v>0</v>
      </c>
      <c r="D12" s="4" t="s">
        <v>19</v>
      </c>
    </row>
    <row r="13" customFormat="false" ht="15" hidden="false" customHeight="false" outlineLevel="0" collapsed="false">
      <c r="A13" s="4" t="s">
        <v>20</v>
      </c>
      <c r="B13" s="7" t="n">
        <v>0</v>
      </c>
      <c r="C13" s="7" t="n">
        <v>13.55</v>
      </c>
      <c r="D13" s="4" t="s">
        <v>21</v>
      </c>
    </row>
    <row r="14" customFormat="false" ht="15" hidden="false" customHeight="false" outlineLevel="0" collapsed="false">
      <c r="A14" s="4" t="s">
        <v>22</v>
      </c>
      <c r="B14" s="7" t="n">
        <v>0.45</v>
      </c>
      <c r="C14" s="7" t="n">
        <v>0.45</v>
      </c>
      <c r="D14" s="4" t="s">
        <v>23</v>
      </c>
    </row>
    <row r="15" customFormat="false" ht="15" hidden="false" customHeight="false" outlineLevel="0" collapsed="false">
      <c r="A15" s="4" t="s">
        <v>24</v>
      </c>
      <c r="B15" s="9" t="n">
        <v>0</v>
      </c>
      <c r="C15" s="9" t="n">
        <v>300</v>
      </c>
      <c r="D15" s="4" t="s">
        <v>25</v>
      </c>
    </row>
    <row r="18" customFormat="false" ht="15" hidden="false" customHeight="false" outlineLevel="0" collapsed="false">
      <c r="A18" s="2" t="s">
        <v>26</v>
      </c>
    </row>
    <row r="19" customFormat="false" ht="26.85" hidden="false" customHeight="false" outlineLevel="0" collapsed="false">
      <c r="A19" s="3" t="s">
        <v>27</v>
      </c>
      <c r="B19" s="3" t="s">
        <v>28</v>
      </c>
      <c r="C19" s="3" t="s">
        <v>29</v>
      </c>
      <c r="D19" s="3" t="s">
        <v>30</v>
      </c>
    </row>
    <row r="20" customFormat="false" ht="15" hidden="false" customHeight="false" outlineLevel="0" collapsed="false">
      <c r="A20" s="4" t="s">
        <v>31</v>
      </c>
      <c r="B20" s="10" t="n">
        <f aca="false">COUNTA(Pedidos!$A$2:$A$2224)</f>
        <v>2223</v>
      </c>
      <c r="C20" s="10" t="n">
        <f aca="false">COUNTA(Pedidos!$A$2:$A$2224)</f>
        <v>2223</v>
      </c>
      <c r="D20" s="11"/>
    </row>
    <row r="21" customFormat="false" ht="15" hidden="false" customHeight="false" outlineLevel="0" collapsed="false">
      <c r="A21" s="4" t="s">
        <v>32</v>
      </c>
      <c r="B21" s="12" t="n">
        <f aca="false">SUM(Pedidos!$W$2:$W$2224)</f>
        <v>269491.877056818</v>
      </c>
      <c r="C21" s="12" t="n">
        <f aca="false">SUM(Pedidos!$AF$2:$AF$2224)</f>
        <v>386659.641079546</v>
      </c>
      <c r="D21" s="13" t="n">
        <f aca="false">C21/B21-1</f>
        <v>0.434772896691147</v>
      </c>
    </row>
    <row r="22" customFormat="false" ht="15" hidden="false" customHeight="false" outlineLevel="0" collapsed="false">
      <c r="A22" s="4" t="s">
        <v>33</v>
      </c>
      <c r="B22" s="12" t="n">
        <f aca="false">AVERAGE(Pedidos!$W$2:$W$2224)</f>
        <v>121.228914555474</v>
      </c>
      <c r="C22" s="12" t="n">
        <f aca="false">AVERAGE(Pedidos!$AF$2:$AF$2224)</f>
        <v>173.935960899481</v>
      </c>
      <c r="D22" s="13" t="n">
        <f aca="false">C22/B22-1</f>
        <v>0.434772896691147</v>
      </c>
    </row>
    <row r="23" customFormat="false" ht="15" hidden="false" customHeight="false" outlineLevel="0" collapsed="false">
      <c r="A23" s="4" t="s">
        <v>34</v>
      </c>
      <c r="B23" s="14" t="n">
        <f aca="false">SUM(Pedidos!$W$2:$W$2224)/SUM(Pedidos!$J$2:$J$2224)</f>
        <v>0.188878781448305</v>
      </c>
      <c r="C23" s="14" t="n">
        <f aca="false">SUM(Pedidos!$AF$2:$AF$2224)/SUM(Pedidos!$J$2:$J$2224)</f>
        <v>0.270998156382079</v>
      </c>
      <c r="D23" s="15" t="n">
        <f aca="false">C23-B23</f>
        <v>0.0821193749337738</v>
      </c>
    </row>
    <row r="24" customFormat="false" ht="15" hidden="false" customHeight="false" outlineLevel="0" collapsed="false">
      <c r="A24" s="4" t="s">
        <v>35</v>
      </c>
      <c r="B24" s="16"/>
      <c r="C24" s="14" t="n">
        <f aca="false">COUNTIF(Pedidos!$AI$2:$AI$2224,"SIM")/B20</f>
        <v>0.0067476383265857</v>
      </c>
      <c r="D24" s="11"/>
    </row>
    <row r="25" customFormat="false" ht="15" hidden="false" customHeight="false" outlineLevel="0" collapsed="false">
      <c r="A25" s="4" t="s">
        <v>36</v>
      </c>
      <c r="B25" s="17" t="n">
        <f aca="false">AVERAGE(Pedidos!$AJ$2:$AJ$2224)</f>
        <v>5.22132253711201</v>
      </c>
      <c r="C25" s="17" t="n">
        <f aca="false">AVERAGE(Pedidos!$AK$2:$AK$2224)</f>
        <v>6.46693657219973</v>
      </c>
      <c r="D25" s="18" t="n">
        <f aca="false">C25-B25</f>
        <v>1.24561403508772</v>
      </c>
    </row>
    <row r="26" customFormat="false" ht="15" hidden="false" customHeight="false" outlineLevel="0" collapsed="false">
      <c r="A26" s="4" t="s">
        <v>37</v>
      </c>
      <c r="B26" s="12" t="n">
        <f aca="false">SUM(Pedidos!$L$2:$L$2224)</f>
        <v>269909.92</v>
      </c>
      <c r="C26" s="19"/>
      <c r="D26" s="11"/>
    </row>
    <row r="27" customFormat="false" ht="15" hidden="false" customHeight="false" outlineLevel="0" collapsed="false">
      <c r="A27" s="4" t="s">
        <v>38</v>
      </c>
      <c r="B27" s="12" t="n">
        <f aca="false">SUM(Pedidos!$AM$2:$AM$2224)</f>
        <v>270019.51</v>
      </c>
      <c r="C27" s="19"/>
      <c r="D27" s="11"/>
    </row>
    <row r="28" customFormat="false" ht="15" hidden="false" customHeight="false" outlineLevel="0" collapsed="false">
      <c r="A28" s="20" t="s">
        <v>39</v>
      </c>
    </row>
    <row r="30" customFormat="false" ht="15" hidden="false" customHeight="false" outlineLevel="0" collapsed="false">
      <c r="A30" s="2" t="s">
        <v>40</v>
      </c>
    </row>
    <row r="31" customFormat="false" ht="15" hidden="false" customHeight="false" outlineLevel="0" collapsed="false">
      <c r="A31" s="3" t="s">
        <v>41</v>
      </c>
      <c r="B31" s="3" t="s">
        <v>4</v>
      </c>
      <c r="C31" s="3" t="s">
        <v>3</v>
      </c>
      <c r="D31" s="3" t="s">
        <v>42</v>
      </c>
      <c r="E31" s="3" t="s">
        <v>43</v>
      </c>
    </row>
    <row r="32" customFormat="false" ht="15" hidden="false" customHeight="false" outlineLevel="0" collapsed="false">
      <c r="A32" s="4" t="s">
        <v>44</v>
      </c>
      <c r="B32" s="12" t="n">
        <f aca="false">AVERAGE(Pedidos!$M$2:$M$2224)</f>
        <v>66.6920827710301</v>
      </c>
      <c r="C32" s="12" t="n">
        <f aca="false">AVERAGE(Pedidos!$X$2:$X$2224)</f>
        <v>119.696806117859</v>
      </c>
      <c r="D32" s="12" t="n">
        <f aca="false">C32-B32</f>
        <v>53.0047233468286</v>
      </c>
      <c r="E32" s="13" t="n">
        <f aca="false">D32/$D$43</f>
        <v>1.00564776483355</v>
      </c>
    </row>
    <row r="33" customFormat="false" ht="15" hidden="false" customHeight="false" outlineLevel="0" collapsed="false">
      <c r="A33" s="4" t="s">
        <v>45</v>
      </c>
      <c r="B33" s="12" t="n">
        <f aca="false">AVERAGE(Pedidos!$N$2:$N$2224)</f>
        <v>0</v>
      </c>
      <c r="C33" s="12" t="n">
        <f aca="false">AVERAGE(Pedidos!$Y$2:$Y$2224)</f>
        <v>0.641834480431849</v>
      </c>
      <c r="D33" s="12" t="n">
        <f aca="false">C33-B33</f>
        <v>0.641834480431849</v>
      </c>
      <c r="E33" s="13" t="n">
        <f aca="false">D33/$D$43</f>
        <v>0.0121773941996814</v>
      </c>
    </row>
    <row r="34" customFormat="false" ht="15" hidden="false" customHeight="false" outlineLevel="0" collapsed="false">
      <c r="A34" s="4" t="s">
        <v>46</v>
      </c>
      <c r="B34" s="12" t="n">
        <f aca="false">AVERAGE(Pedidos!$O$2:$O$2224)</f>
        <v>1.34785240890688</v>
      </c>
      <c r="C34" s="12" t="n">
        <f aca="false">AVERAGE(Pedidos!$Z$2:$Z$2224)</f>
        <v>1.2836689608637</v>
      </c>
      <c r="D34" s="12" t="n">
        <f aca="false">C34-B34</f>
        <v>-0.0641834480431849</v>
      </c>
      <c r="E34" s="13" t="n">
        <f aca="false">D34/$D$43</f>
        <v>-0.00121773941996814</v>
      </c>
    </row>
    <row r="35" customFormat="false" ht="15" hidden="false" customHeight="false" outlineLevel="0" collapsed="false">
      <c r="A35" s="4" t="s">
        <v>47</v>
      </c>
      <c r="B35" s="12" t="n">
        <f aca="false">AVERAGE(Pedidos!$P$2:$P$2224)</f>
        <v>1.34785240890688</v>
      </c>
      <c r="C35" s="12" t="n">
        <v>0</v>
      </c>
      <c r="D35" s="12" t="n">
        <f aca="false">C35-B35</f>
        <v>-1.34785240890688</v>
      </c>
      <c r="E35" s="13" t="n">
        <f aca="false">D35/$D$43</f>
        <v>-0.025572527819331</v>
      </c>
    </row>
    <row r="36" customFormat="false" ht="15" hidden="false" customHeight="false" outlineLevel="0" collapsed="false">
      <c r="A36" s="4" t="s">
        <v>48</v>
      </c>
      <c r="B36" s="12" t="n">
        <f aca="false">AVERAGE(Pedidos!$R$2:$R$2224)</f>
        <v>0</v>
      </c>
      <c r="C36" s="12" t="n">
        <f aca="false">AVERAGE(Pedidos!$AA$2:$AA$2224)</f>
        <v>1</v>
      </c>
      <c r="D36" s="12" t="n">
        <f aca="false">C36-B36</f>
        <v>1</v>
      </c>
      <c r="E36" s="13" t="n">
        <f aca="false">D36/$D$43</f>
        <v>0.0189727952781347</v>
      </c>
    </row>
    <row r="37" customFormat="false" ht="15" hidden="false" customHeight="false" outlineLevel="0" collapsed="false">
      <c r="A37" s="4" t="s">
        <v>49</v>
      </c>
      <c r="B37" s="12" t="n">
        <f aca="false">AVERAGE(Pedidos!$Q$2:$Q$2224)</f>
        <v>1.12037786774629</v>
      </c>
      <c r="C37" s="12" t="n">
        <f aca="false">AVERAGE(Pedidos!$AB$2:$AB$2224)</f>
        <v>4.80161943319838</v>
      </c>
      <c r="D37" s="12" t="n">
        <f aca="false">C37-B37</f>
        <v>3.68124156545209</v>
      </c>
      <c r="E37" s="13" t="n">
        <f aca="false">D37/$D$43</f>
        <v>0.0698434425906826</v>
      </c>
    </row>
    <row r="38" customFormat="false" ht="15" hidden="false" customHeight="false" outlineLevel="0" collapsed="false">
      <c r="A38" s="4" t="s">
        <v>50</v>
      </c>
      <c r="B38" s="12" t="n">
        <f aca="false">AVERAGE(Pedidos!$S$2:$S$2224)</f>
        <v>13.55</v>
      </c>
      <c r="C38" s="12" t="n">
        <f aca="false">AVERAGE(Pedidos!$AC$2:$AC$2224)</f>
        <v>3.01643724696356</v>
      </c>
      <c r="D38" s="12" t="n">
        <f aca="false">C38-B38</f>
        <v>-10.5335627530364</v>
      </c>
      <c r="E38" s="13" t="n">
        <f aca="false">D38/$D$43</f>
        <v>-0.199851129662745</v>
      </c>
    </row>
    <row r="39" customFormat="false" ht="15" hidden="false" customHeight="false" outlineLevel="0" collapsed="false">
      <c r="A39" s="4" t="s">
        <v>51</v>
      </c>
      <c r="B39" s="12" t="n">
        <f aca="false">AVERAGE(Pedidos!$T$2:$T$2224)</f>
        <v>22.6232793522267</v>
      </c>
      <c r="C39" s="12" t="n">
        <f aca="false">AVERAGE(Pedidos!$AD$2:$AD$2224)</f>
        <v>22.6232793522267</v>
      </c>
      <c r="D39" s="12" t="n">
        <f aca="false">C39-B39</f>
        <v>0</v>
      </c>
      <c r="E39" s="13" t="n">
        <f aca="false">D39/$D$43</f>
        <v>0</v>
      </c>
    </row>
    <row r="40" customFormat="false" ht="15" hidden="false" customHeight="false" outlineLevel="0" collapsed="false">
      <c r="A40" s="4" t="s">
        <v>52</v>
      </c>
      <c r="B40" s="12" t="n">
        <f aca="false">AVERAGE(Pedidos!$U$2:$U$2224)</f>
        <v>0</v>
      </c>
      <c r="C40" s="12" t="n">
        <v>0</v>
      </c>
      <c r="D40" s="12" t="n">
        <f aca="false">C40-B40</f>
        <v>0</v>
      </c>
      <c r="E40" s="13" t="n">
        <f aca="false">D40/$D$43</f>
        <v>0</v>
      </c>
    </row>
    <row r="41" customFormat="false" ht="15" hidden="false" customHeight="false" outlineLevel="0" collapsed="false">
      <c r="A41" s="4" t="s">
        <v>53</v>
      </c>
      <c r="B41" s="12" t="n">
        <f aca="false">AVERAGE(Pedidos!$W$2:$W$2224)-AVERAGE(Pedidos!$V$2:$V$2224)</f>
        <v>14.5474697466569</v>
      </c>
      <c r="C41" s="12" t="n">
        <f aca="false">AVERAGE(Pedidos!$AF$2:$AF$2224)-AVERAGE(Pedidos!$AE$2:$AE$2224)</f>
        <v>20.8723153079377</v>
      </c>
      <c r="D41" s="12" t="n">
        <f aca="false">C41-B41</f>
        <v>6.32484556128081</v>
      </c>
      <c r="E41" s="13" t="n">
        <f aca="false">D41/$D$43</f>
        <v>0.12</v>
      </c>
    </row>
    <row r="43" customFormat="false" ht="15" hidden="false" customHeight="false" outlineLevel="0" collapsed="false">
      <c r="A43" s="21" t="s">
        <v>54</v>
      </c>
      <c r="B43" s="22" t="n">
        <f aca="false">SUM(B32:B41)</f>
        <v>121.228914555474</v>
      </c>
      <c r="C43" s="22" t="n">
        <f aca="false">SUM(C32:C41)</f>
        <v>173.935960899481</v>
      </c>
      <c r="D43" s="22" t="n">
        <f aca="false">C43-B43</f>
        <v>52.7070463440069</v>
      </c>
      <c r="E43" s="23" t="n">
        <f aca="false">D43/$D$43</f>
        <v>1</v>
      </c>
    </row>
  </sheetData>
  <conditionalFormatting sqref="D32:D41">
    <cfRule type="colorScale" priority="2">
      <colorScale>
        <cfvo type="num" val="-15"/>
        <cfvo type="num" val="0"/>
        <cfvo type="num" val="45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64"/>
    <col collapsed="false" customWidth="true" hidden="false" outlineLevel="0" max="6" min="6" style="0" width="26"/>
  </cols>
  <sheetData>
    <row r="1" customFormat="false" ht="17.35" hidden="false" customHeight="false" outlineLevel="0" collapsed="false">
      <c r="A1" s="1" t="s">
        <v>55</v>
      </c>
    </row>
    <row r="3" customFormat="false" ht="30" hidden="false" customHeight="true" outlineLevel="0" collapsed="false">
      <c r="A3" s="3" t="s">
        <v>56</v>
      </c>
      <c r="B3" s="3" t="s">
        <v>29</v>
      </c>
      <c r="C3" s="3" t="s">
        <v>28</v>
      </c>
      <c r="D3" s="3" t="s">
        <v>57</v>
      </c>
      <c r="E3" s="3" t="s">
        <v>58</v>
      </c>
      <c r="F3" s="3" t="s">
        <v>59</v>
      </c>
    </row>
    <row r="4" customFormat="false" ht="39.55" hidden="false" customHeight="false" outlineLevel="0" collapsed="false">
      <c r="A4" s="24" t="s">
        <v>60</v>
      </c>
      <c r="B4" s="24" t="s">
        <v>61</v>
      </c>
      <c r="C4" s="24" t="s">
        <v>62</v>
      </c>
      <c r="D4" s="25" t="s">
        <v>63</v>
      </c>
      <c r="E4" s="24" t="s">
        <v>64</v>
      </c>
      <c r="F4" s="24" t="s">
        <v>65</v>
      </c>
    </row>
    <row r="5" customFormat="false" ht="15" hidden="false" customHeight="false" outlineLevel="0" collapsed="false">
      <c r="A5" s="24" t="s">
        <v>66</v>
      </c>
      <c r="B5" s="24" t="s">
        <v>67</v>
      </c>
      <c r="C5" s="24" t="s">
        <v>68</v>
      </c>
      <c r="D5" s="26" t="s">
        <v>4</v>
      </c>
      <c r="E5" s="24" t="s">
        <v>69</v>
      </c>
      <c r="F5" s="24" t="s">
        <v>70</v>
      </c>
    </row>
    <row r="6" customFormat="false" ht="26.85" hidden="false" customHeight="false" outlineLevel="0" collapsed="false">
      <c r="A6" s="24" t="s">
        <v>71</v>
      </c>
      <c r="B6" s="24" t="s">
        <v>72</v>
      </c>
      <c r="C6" s="24" t="s">
        <v>73</v>
      </c>
      <c r="D6" s="26" t="s">
        <v>4</v>
      </c>
      <c r="E6" s="24" t="s">
        <v>74</v>
      </c>
      <c r="F6" s="24" t="s">
        <v>75</v>
      </c>
    </row>
    <row r="7" customFormat="false" ht="26.85" hidden="false" customHeight="false" outlineLevel="0" collapsed="false">
      <c r="A7" s="24" t="s">
        <v>76</v>
      </c>
      <c r="B7" s="24" t="s">
        <v>77</v>
      </c>
      <c r="C7" s="24" t="s">
        <v>78</v>
      </c>
      <c r="D7" s="26" t="s">
        <v>4</v>
      </c>
      <c r="E7" s="24" t="s">
        <v>79</v>
      </c>
      <c r="F7" s="24" t="s">
        <v>80</v>
      </c>
    </row>
    <row r="8" customFormat="false" ht="26.85" hidden="false" customHeight="false" outlineLevel="0" collapsed="false">
      <c r="A8" s="24" t="s">
        <v>81</v>
      </c>
      <c r="B8" s="24" t="s">
        <v>82</v>
      </c>
      <c r="C8" s="24" t="s">
        <v>83</v>
      </c>
      <c r="D8" s="26" t="s">
        <v>4</v>
      </c>
      <c r="E8" s="24" t="s">
        <v>84</v>
      </c>
      <c r="F8" s="24" t="s">
        <v>85</v>
      </c>
    </row>
    <row r="9" customFormat="false" ht="26.85" hidden="false" customHeight="false" outlineLevel="0" collapsed="false">
      <c r="A9" s="24" t="s">
        <v>86</v>
      </c>
      <c r="B9" s="24" t="s">
        <v>87</v>
      </c>
      <c r="C9" s="24" t="s">
        <v>88</v>
      </c>
      <c r="D9" s="26" t="s">
        <v>4</v>
      </c>
      <c r="E9" s="24" t="s">
        <v>89</v>
      </c>
      <c r="F9" s="24" t="s">
        <v>90</v>
      </c>
    </row>
    <row r="10" customFormat="false" ht="26.85" hidden="false" customHeight="false" outlineLevel="0" collapsed="false">
      <c r="A10" s="24" t="s">
        <v>91</v>
      </c>
      <c r="B10" s="24" t="s">
        <v>92</v>
      </c>
      <c r="C10" s="24" t="s">
        <v>93</v>
      </c>
      <c r="D10" s="27" t="s">
        <v>3</v>
      </c>
      <c r="E10" s="24" t="s">
        <v>94</v>
      </c>
      <c r="F10" s="24" t="s">
        <v>95</v>
      </c>
    </row>
    <row r="11" customFormat="false" ht="15" hidden="false" customHeight="false" outlineLevel="0" collapsed="false">
      <c r="A11" s="24" t="s">
        <v>96</v>
      </c>
      <c r="B11" s="24" t="s">
        <v>97</v>
      </c>
      <c r="C11" s="24" t="s">
        <v>98</v>
      </c>
      <c r="D11" s="26" t="s">
        <v>4</v>
      </c>
      <c r="E11" s="24" t="s">
        <v>99</v>
      </c>
      <c r="F11" s="24" t="s">
        <v>100</v>
      </c>
    </row>
    <row r="12" customFormat="false" ht="15" hidden="false" customHeight="false" outlineLevel="0" collapsed="false">
      <c r="A12" s="24" t="s">
        <v>101</v>
      </c>
      <c r="B12" s="24" t="s">
        <v>102</v>
      </c>
      <c r="C12" s="24" t="s">
        <v>102</v>
      </c>
      <c r="D12" s="25" t="s">
        <v>103</v>
      </c>
      <c r="E12" s="24" t="s">
        <v>104</v>
      </c>
      <c r="F12" s="24" t="s">
        <v>105</v>
      </c>
    </row>
    <row r="13" customFormat="false" ht="15" hidden="false" customHeight="false" outlineLevel="0" collapsed="false">
      <c r="A13" s="24" t="s">
        <v>106</v>
      </c>
      <c r="B13" s="24" t="s">
        <v>107</v>
      </c>
      <c r="C13" s="24" t="s">
        <v>108</v>
      </c>
      <c r="D13" s="27" t="s">
        <v>3</v>
      </c>
      <c r="E13" s="24" t="s">
        <v>109</v>
      </c>
      <c r="F13" s="24" t="s">
        <v>110</v>
      </c>
    </row>
    <row r="14" customFormat="false" ht="15" hidden="false" customHeight="false" outlineLevel="0" collapsed="false">
      <c r="A14" s="24" t="s">
        <v>46</v>
      </c>
      <c r="B14" s="24" t="s">
        <v>110</v>
      </c>
      <c r="C14" s="24" t="s">
        <v>111</v>
      </c>
      <c r="D14" s="27" t="s">
        <v>3</v>
      </c>
      <c r="E14" s="24" t="s">
        <v>112</v>
      </c>
      <c r="F14" s="24" t="s">
        <v>110</v>
      </c>
    </row>
    <row r="15" customFormat="false" ht="15" hidden="false" customHeight="false" outlineLevel="0" collapsed="false">
      <c r="A15" s="24" t="s">
        <v>52</v>
      </c>
      <c r="B15" s="24" t="s">
        <v>98</v>
      </c>
      <c r="C15" s="24" t="s">
        <v>98</v>
      </c>
      <c r="D15" s="25" t="s">
        <v>103</v>
      </c>
      <c r="E15" s="24"/>
      <c r="F15" s="24" t="s">
        <v>113</v>
      </c>
    </row>
    <row r="16" customFormat="false" ht="15" hidden="false" customHeight="false" outlineLevel="0" collapsed="false">
      <c r="A16" s="24" t="s">
        <v>49</v>
      </c>
      <c r="B16" s="24" t="s">
        <v>114</v>
      </c>
      <c r="C16" s="24" t="s">
        <v>115</v>
      </c>
      <c r="D16" s="26" t="s">
        <v>4</v>
      </c>
      <c r="E16" s="24" t="s">
        <v>116</v>
      </c>
      <c r="F16" s="24" t="s">
        <v>117</v>
      </c>
    </row>
    <row r="17" customFormat="false" ht="15" hidden="false" customHeight="false" outlineLevel="0" collapsed="false">
      <c r="A17" s="24" t="s">
        <v>118</v>
      </c>
      <c r="B17" s="24" t="s">
        <v>119</v>
      </c>
      <c r="C17" s="24" t="s">
        <v>120</v>
      </c>
      <c r="D17" s="27" t="s">
        <v>3</v>
      </c>
      <c r="E17" s="24" t="s">
        <v>121</v>
      </c>
      <c r="F17" s="24" t="s">
        <v>120</v>
      </c>
    </row>
    <row r="18" customFormat="false" ht="15" hidden="false" customHeight="false" outlineLevel="0" collapsed="false">
      <c r="A18" s="24" t="s">
        <v>122</v>
      </c>
      <c r="B18" s="24" t="s">
        <v>123</v>
      </c>
      <c r="C18" s="24" t="s">
        <v>124</v>
      </c>
      <c r="D18" s="26" t="s">
        <v>4</v>
      </c>
      <c r="E18" s="24" t="s">
        <v>125</v>
      </c>
      <c r="F18" s="24" t="s">
        <v>126</v>
      </c>
    </row>
    <row r="19" customFormat="false" ht="26.85" hidden="false" customHeight="false" outlineLevel="0" collapsed="false">
      <c r="A19" s="24" t="s">
        <v>127</v>
      </c>
      <c r="B19" s="24" t="s">
        <v>128</v>
      </c>
      <c r="C19" s="24" t="s">
        <v>129</v>
      </c>
      <c r="D19" s="26" t="s">
        <v>4</v>
      </c>
      <c r="E19" s="24" t="s">
        <v>130</v>
      </c>
      <c r="F19" s="24" t="s">
        <v>131</v>
      </c>
    </row>
    <row r="20" customFormat="false" ht="15" hidden="false" customHeight="false" outlineLevel="0" collapsed="false">
      <c r="A20" s="24" t="s">
        <v>132</v>
      </c>
      <c r="B20" s="24" t="s">
        <v>133</v>
      </c>
      <c r="C20" s="24" t="s">
        <v>134</v>
      </c>
      <c r="D20" s="27" t="s">
        <v>3</v>
      </c>
      <c r="E20" s="24" t="s">
        <v>135</v>
      </c>
      <c r="F20" s="24" t="s">
        <v>136</v>
      </c>
    </row>
    <row r="21" customFormat="false" ht="39.55" hidden="false" customHeight="false" outlineLevel="0" collapsed="false">
      <c r="A21" s="24" t="s">
        <v>137</v>
      </c>
      <c r="B21" s="24" t="s">
        <v>63</v>
      </c>
      <c r="C21" s="24" t="s">
        <v>138</v>
      </c>
      <c r="D21" s="25" t="s">
        <v>63</v>
      </c>
      <c r="E21" s="24" t="s">
        <v>139</v>
      </c>
      <c r="F21" s="24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6" min="4" style="0" width="9"/>
    <col collapsed="false" customWidth="true" hidden="false" outlineLevel="0" max="9" min="7" style="0" width="11"/>
    <col collapsed="false" customWidth="true" hidden="false" outlineLevel="0" max="12" min="10" style="0" width="10"/>
    <col collapsed="false" customWidth="true" hidden="false" outlineLevel="0" max="14" min="13" style="0" width="11"/>
    <col collapsed="false" customWidth="true" hidden="false" outlineLevel="0" max="16" min="15" style="0" width="8"/>
    <col collapsed="false" customWidth="true" hidden="false" outlineLevel="0" max="17" min="17" style="0" width="14"/>
    <col collapsed="false" customWidth="true" hidden="false" outlineLevel="0" max="18" min="18" style="0" width="18"/>
  </cols>
  <sheetData>
    <row r="1" customFormat="false" ht="17.35" hidden="false" customHeight="false" outlineLevel="0" collapsed="false">
      <c r="A1" s="1" t="s">
        <v>141</v>
      </c>
    </row>
    <row r="3" customFormat="false" ht="60" hidden="false" customHeight="true" outlineLevel="0" collapsed="false">
      <c r="A3" s="3" t="s">
        <v>142</v>
      </c>
      <c r="B3" s="3" t="s">
        <v>143</v>
      </c>
      <c r="C3" s="3" t="s">
        <v>144</v>
      </c>
      <c r="D3" s="3" t="s">
        <v>31</v>
      </c>
      <c r="E3" s="3" t="s">
        <v>145</v>
      </c>
      <c r="F3" s="3" t="s">
        <v>146</v>
      </c>
      <c r="G3" s="3" t="s">
        <v>147</v>
      </c>
      <c r="H3" s="3" t="s">
        <v>148</v>
      </c>
      <c r="I3" s="3" t="s">
        <v>149</v>
      </c>
      <c r="J3" s="3" t="s">
        <v>150</v>
      </c>
      <c r="K3" s="3" t="s">
        <v>151</v>
      </c>
      <c r="L3" s="3" t="s">
        <v>152</v>
      </c>
      <c r="M3" s="3" t="s">
        <v>153</v>
      </c>
      <c r="N3" s="3" t="s">
        <v>154</v>
      </c>
      <c r="O3" s="3" t="s">
        <v>155</v>
      </c>
      <c r="P3" s="3" t="s">
        <v>156</v>
      </c>
      <c r="Q3" s="3" t="s">
        <v>157</v>
      </c>
      <c r="R3" s="3" t="s">
        <v>158</v>
      </c>
    </row>
    <row r="4" customFormat="false" ht="15" hidden="false" customHeight="false" outlineLevel="0" collapsed="false">
      <c r="A4" s="4" t="n">
        <v>1</v>
      </c>
      <c r="B4" s="4" t="s">
        <v>159</v>
      </c>
      <c r="C4" s="4" t="str">
        <f aca="false">INDEX(Pedidos!$G$2:$G$2224,MATCH($B4,Pedidos!$F$2:$F$2224,0))</f>
        <v>Capital</v>
      </c>
      <c r="D4" s="10" t="n">
        <f aca="false">COUNTIFS(Pedidos!$F$2:$F$2224,$B4)</f>
        <v>1030</v>
      </c>
      <c r="E4" s="14" t="n">
        <f aca="false">D4/Resumo!$B$20</f>
        <v>0.463337831758884</v>
      </c>
      <c r="F4" s="17" t="n">
        <f aca="false">AVERAGEIFS(Pedidos!$I$2:$I$2224,Pedidos!$F$2:$F$2224,$B4)</f>
        <v>47.5796310679612</v>
      </c>
      <c r="G4" s="12" t="n">
        <f aca="false">AVERAGEIFS(Pedidos!$J$2:$J$2224,Pedidos!$F$2:$F$2224,$B4)</f>
        <v>617.434932038835</v>
      </c>
      <c r="H4" s="12" t="n">
        <f aca="false">AVERAGEIFS(Pedidos!$W$2:$W$2224,Pedidos!$F$2:$F$2224,$B4)</f>
        <v>106.446120383936</v>
      </c>
      <c r="I4" s="12" t="n">
        <f aca="false">AVERAGEIFS(Pedidos!$AF$2:$AF$2224,Pedidos!$F$2:$F$2224,$B4)</f>
        <v>156.292987577229</v>
      </c>
      <c r="J4" s="13" t="n">
        <f aca="false">I4/H4-1</f>
        <v>0.46828261108532</v>
      </c>
      <c r="K4" s="14" t="n">
        <f aca="false">SUMIFS(Pedidos!$W$2:$W$2224,Pedidos!$F$2:$F$2224,$B4)/SUMIFS(Pedidos!$J$2:$J$2224,Pedidos!$F$2:$F$2224,$B4)</f>
        <v>0.17240054758878</v>
      </c>
      <c r="L4" s="14" t="n">
        <f aca="false">SUMIFS(Pedidos!$AF$2:$AF$2224,Pedidos!$F$2:$F$2224,$B4)/SUMIFS(Pedidos!$J$2:$J$2224,Pedidos!$F$2:$F$2224,$B4)</f>
        <v>0.253132726166193</v>
      </c>
      <c r="M4" s="14" t="n">
        <f aca="false">COUNTIFS(Pedidos!$F$2:$F$2224,$B4,Pedidos!$AI$2:$AI$2224,"SIM")/D4</f>
        <v>0</v>
      </c>
      <c r="N4" s="13" t="n">
        <f aca="false">SUMIFS(Pedidos!$X$2:$X$2224,Pedidos!$F$2:$F$2224,$B4)/SUMIFS(Pedidos!$M$2:$M$2224,Pedidos!$F$2:$F$2224,$B4)-1</f>
        <v>0.92329099607185</v>
      </c>
      <c r="O4" s="17" t="n">
        <f aca="false">AVERAGEIFS(Pedidos!$AJ$2:$AJ$2224,Pedidos!$F$2:$F$2224,$B4)</f>
        <v>2</v>
      </c>
      <c r="P4" s="17" t="n">
        <f aca="false">AVERAGEIFS(Pedidos!$AK$2:$AK$2224,Pedidos!$F$2:$F$2224,$B4)</f>
        <v>5</v>
      </c>
      <c r="Q4" s="14" t="n">
        <f aca="false">MAX(0,1-H4/I4)</f>
        <v>0.318932205251125</v>
      </c>
      <c r="R4" s="4" t="str">
        <f aca="false">IF(J4&lt;=0,"Muito bem",IF(J4&lt;=0.32,"Melhor posição",IF(J4&lt;=0.45,"Intermediária","Precisa melhorar")))</f>
        <v>Precisa melhorar</v>
      </c>
    </row>
    <row r="5" customFormat="false" ht="15" hidden="false" customHeight="false" outlineLevel="0" collapsed="false">
      <c r="A5" s="4" t="n">
        <v>2</v>
      </c>
      <c r="B5" s="4" t="s">
        <v>160</v>
      </c>
      <c r="C5" s="4" t="str">
        <f aca="false">INDEX(Pedidos!$G$2:$G$2224,MATCH($B5,Pedidos!$F$2:$F$2224,0))</f>
        <v>Metropolitana</v>
      </c>
      <c r="D5" s="10" t="n">
        <f aca="false">COUNTIFS(Pedidos!$F$2:$F$2224,$B5)</f>
        <v>135</v>
      </c>
      <c r="E5" s="14" t="n">
        <f aca="false">D5/Resumo!$B$20</f>
        <v>0.0607287449392713</v>
      </c>
      <c r="F5" s="17" t="n">
        <f aca="false">AVERAGEIFS(Pedidos!$I$2:$I$2224,Pedidos!$F$2:$F$2224,$B5)</f>
        <v>50.2685925925926</v>
      </c>
      <c r="G5" s="12" t="n">
        <f aca="false">AVERAGEIFS(Pedidos!$J$2:$J$2224,Pedidos!$F$2:$F$2224,$B5)</f>
        <v>636.669111111111</v>
      </c>
      <c r="H5" s="12" t="n">
        <f aca="false">AVERAGEIFS(Pedidos!$W$2:$W$2224,Pedidos!$F$2:$F$2224,$B5)</f>
        <v>124.742267558923</v>
      </c>
      <c r="I5" s="12" t="n">
        <f aca="false">AVERAGEIFS(Pedidos!$AF$2:$AF$2224,Pedidos!$F$2:$F$2224,$B5)</f>
        <v>180.344621127946</v>
      </c>
      <c r="J5" s="13" t="n">
        <f aca="false">I5/H5-1</f>
        <v>0.445737877442059</v>
      </c>
      <c r="K5" s="14" t="n">
        <f aca="false">SUMIFS(Pedidos!$W$2:$W$2224,Pedidos!$F$2:$F$2224,$B5)/SUMIFS(Pedidos!$J$2:$J$2224,Pedidos!$F$2:$F$2224,$B5)</f>
        <v>0.195929510921651</v>
      </c>
      <c r="L5" s="14" t="n">
        <f aca="false">SUMIFS(Pedidos!$AF$2:$AF$2224,Pedidos!$F$2:$F$2224,$B5)/SUMIFS(Pedidos!$J$2:$J$2224,Pedidos!$F$2:$F$2224,$B5)</f>
        <v>0.283262715248129</v>
      </c>
      <c r="M5" s="14" t="n">
        <f aca="false">COUNTIFS(Pedidos!$F$2:$F$2224,$B5,Pedidos!$AI$2:$AI$2224,"SIM")/D5</f>
        <v>0</v>
      </c>
      <c r="N5" s="13" t="n">
        <f aca="false">SUMIFS(Pedidos!$X$2:$X$2224,Pedidos!$F$2:$F$2224,$B5)/SUMIFS(Pedidos!$M$2:$M$2224,Pedidos!$F$2:$F$2224,$B5)-1</f>
        <v>0.797544250705076</v>
      </c>
      <c r="O5" s="17" t="n">
        <f aca="false">AVERAGEIFS(Pedidos!$AJ$2:$AJ$2224,Pedidos!$F$2:$F$2224,$B5)</f>
        <v>2</v>
      </c>
      <c r="P5" s="17" t="n">
        <f aca="false">AVERAGEIFS(Pedidos!$AK$2:$AK$2224,Pedidos!$F$2:$F$2224,$B5)</f>
        <v>7</v>
      </c>
      <c r="Q5" s="14" t="n">
        <f aca="false">MAX(0,1-H5/I5)</f>
        <v>0.308311682495794</v>
      </c>
      <c r="R5" s="4" t="str">
        <f aca="false">IF(J5&lt;=0,"Muito bem",IF(J5&lt;=0.32,"Melhor posição",IF(J5&lt;=0.45,"Intermediária","Precisa melhorar")))</f>
        <v>Intermediária</v>
      </c>
    </row>
    <row r="6" customFormat="false" ht="15" hidden="false" customHeight="false" outlineLevel="0" collapsed="false">
      <c r="A6" s="4" t="n">
        <v>3</v>
      </c>
      <c r="B6" s="4" t="s">
        <v>161</v>
      </c>
      <c r="C6" s="4" t="str">
        <f aca="false">INDEX(Pedidos!$G$2:$G$2224,MATCH($B6,Pedidos!$F$2:$F$2224,0))</f>
        <v>Metropolitana</v>
      </c>
      <c r="D6" s="10" t="n">
        <f aca="false">COUNTIFS(Pedidos!$F$2:$F$2224,$B6)</f>
        <v>106</v>
      </c>
      <c r="E6" s="14" t="n">
        <f aca="false">D6/Resumo!$B$20</f>
        <v>0.0476833108412056</v>
      </c>
      <c r="F6" s="17" t="n">
        <f aca="false">AVERAGEIFS(Pedidos!$I$2:$I$2224,Pedidos!$F$2:$F$2224,$B6)</f>
        <v>52.4224528301887</v>
      </c>
      <c r="G6" s="12" t="n">
        <f aca="false">AVERAGEIFS(Pedidos!$J$2:$J$2224,Pedidos!$F$2:$F$2224,$B6)</f>
        <v>663.553018867925</v>
      </c>
      <c r="H6" s="12" t="n">
        <f aca="false">AVERAGEIFS(Pedidos!$W$2:$W$2224,Pedidos!$F$2:$F$2224,$B6)</f>
        <v>127.67403306175</v>
      </c>
      <c r="I6" s="12" t="n">
        <f aca="false">AVERAGEIFS(Pedidos!$AF$2:$AF$2224,Pedidos!$F$2:$F$2224,$B6)</f>
        <v>166.373819253859</v>
      </c>
      <c r="J6" s="13" t="n">
        <f aca="false">I6/H6-1</f>
        <v>0.30311399478853</v>
      </c>
      <c r="K6" s="14" t="n">
        <f aca="false">SUMIFS(Pedidos!$W$2:$W$2224,Pedidos!$F$2:$F$2224,$B6)/SUMIFS(Pedidos!$J$2:$J$2224,Pedidos!$F$2:$F$2224,$B6)</f>
        <v>0.192409693621124</v>
      </c>
      <c r="L6" s="14" t="n">
        <f aca="false">SUMIFS(Pedidos!$AF$2:$AF$2224,Pedidos!$F$2:$F$2224,$B6)/SUMIFS(Pedidos!$J$2:$J$2224,Pedidos!$F$2:$F$2224,$B6)</f>
        <v>0.250731764490661</v>
      </c>
      <c r="M6" s="14" t="n">
        <f aca="false">COUNTIFS(Pedidos!$F$2:$F$2224,$B6,Pedidos!$AI$2:$AI$2224,"SIM")/D6</f>
        <v>0.0566037735849057</v>
      </c>
      <c r="N6" s="13" t="n">
        <f aca="false">SUMIFS(Pedidos!$X$2:$X$2224,Pedidos!$F$2:$F$2224,$B6)/SUMIFS(Pedidos!$M$2:$M$2224,Pedidos!$F$2:$F$2224,$B6)-1</f>
        <v>0.569390291952501</v>
      </c>
      <c r="O6" s="17" t="n">
        <f aca="false">AVERAGEIFS(Pedidos!$AJ$2:$AJ$2224,Pedidos!$F$2:$F$2224,$B6)</f>
        <v>2</v>
      </c>
      <c r="P6" s="17" t="n">
        <f aca="false">AVERAGEIFS(Pedidos!$AK$2:$AK$2224,Pedidos!$F$2:$F$2224,$B6)</f>
        <v>5</v>
      </c>
      <c r="Q6" s="14" t="n">
        <f aca="false">MAX(0,1-H6/I6)</f>
        <v>0.23260742805369</v>
      </c>
      <c r="R6" s="4" t="str">
        <f aca="false">IF(J6&lt;=0,"Muito bem",IF(J6&lt;=0.32,"Melhor posição",IF(J6&lt;=0.45,"Intermediária","Precisa melhorar")))</f>
        <v>Melhor posição</v>
      </c>
    </row>
    <row r="7" customFormat="false" ht="15" hidden="false" customHeight="false" outlineLevel="0" collapsed="false">
      <c r="A7" s="4" t="n">
        <v>4</v>
      </c>
      <c r="B7" s="4" t="s">
        <v>162</v>
      </c>
      <c r="C7" s="4" t="str">
        <f aca="false">INDEX(Pedidos!$G$2:$G$2224,MATCH($B7,Pedidos!$F$2:$F$2224,0))</f>
        <v>Metropolitana</v>
      </c>
      <c r="D7" s="10" t="n">
        <f aca="false">COUNTIFS(Pedidos!$F$2:$F$2224,$B7)</f>
        <v>95</v>
      </c>
      <c r="E7" s="14" t="n">
        <f aca="false">D7/Resumo!$B$20</f>
        <v>0.0427350427350427</v>
      </c>
      <c r="F7" s="17" t="n">
        <f aca="false">AVERAGEIFS(Pedidos!$I$2:$I$2224,Pedidos!$F$2:$F$2224,$B7)</f>
        <v>55.0834736842105</v>
      </c>
      <c r="G7" s="12" t="n">
        <f aca="false">AVERAGEIFS(Pedidos!$J$2:$J$2224,Pedidos!$F$2:$F$2224,$B7)</f>
        <v>676.709263157895</v>
      </c>
      <c r="H7" s="12" t="n">
        <f aca="false">AVERAGEIFS(Pedidos!$W$2:$W$2224,Pedidos!$F$2:$F$2224,$B7)</f>
        <v>130.812404258373</v>
      </c>
      <c r="I7" s="12" t="n">
        <f aca="false">AVERAGEIFS(Pedidos!$AF$2:$AF$2224,Pedidos!$F$2:$F$2224,$B7)</f>
        <v>172.309475358852</v>
      </c>
      <c r="J7" s="13" t="n">
        <f aca="false">I7/H7-1</f>
        <v>0.317225811540898</v>
      </c>
      <c r="K7" s="14" t="n">
        <f aca="false">SUMIFS(Pedidos!$W$2:$W$2224,Pedidos!$F$2:$F$2224,$B7)/SUMIFS(Pedidos!$J$2:$J$2224,Pedidos!$F$2:$F$2224,$B7)</f>
        <v>0.193306655280484</v>
      </c>
      <c r="L7" s="14" t="n">
        <f aca="false">SUMIFS(Pedidos!$AF$2:$AF$2224,Pedidos!$F$2:$F$2224,$B7)/SUMIFS(Pedidos!$J$2:$J$2224,Pedidos!$F$2:$F$2224,$B7)</f>
        <v>0.254628515878092</v>
      </c>
      <c r="M7" s="14" t="n">
        <f aca="false">COUNTIFS(Pedidos!$F$2:$F$2224,$B7,Pedidos!$AI$2:$AI$2224,"SIM")/D7</f>
        <v>0.0210526315789474</v>
      </c>
      <c r="N7" s="13" t="n">
        <f aca="false">SUMIFS(Pedidos!$X$2:$X$2224,Pedidos!$F$2:$F$2224,$B7)/SUMIFS(Pedidos!$M$2:$M$2224,Pedidos!$F$2:$F$2224,$B7)-1</f>
        <v>0.589213417322104</v>
      </c>
      <c r="O7" s="17" t="n">
        <f aca="false">AVERAGEIFS(Pedidos!$AJ$2:$AJ$2224,Pedidos!$F$2:$F$2224,$B7)</f>
        <v>2</v>
      </c>
      <c r="P7" s="17" t="n">
        <f aca="false">AVERAGEIFS(Pedidos!$AK$2:$AK$2224,Pedidos!$F$2:$F$2224,$B7)</f>
        <v>5</v>
      </c>
      <c r="Q7" s="14" t="n">
        <f aca="false">MAX(0,1-H7/I7)</f>
        <v>0.2408287240969</v>
      </c>
      <c r="R7" s="4" t="str">
        <f aca="false">IF(J7&lt;=0,"Muito bem",IF(J7&lt;=0.32,"Melhor posição",IF(J7&lt;=0.45,"Intermediária","Precisa melhorar")))</f>
        <v>Melhor posição</v>
      </c>
    </row>
    <row r="8" customFormat="false" ht="15" hidden="false" customHeight="false" outlineLevel="0" collapsed="false">
      <c r="A8" s="4" t="n">
        <v>5</v>
      </c>
      <c r="B8" s="4" t="s">
        <v>163</v>
      </c>
      <c r="C8" s="4" t="str">
        <f aca="false">INDEX(Pedidos!$G$2:$G$2224,MATCH($B8,Pedidos!$F$2:$F$2224,0))</f>
        <v>Metropolitana</v>
      </c>
      <c r="D8" s="10" t="n">
        <f aca="false">COUNTIFS(Pedidos!$F$2:$F$2224,$B8)</f>
        <v>68</v>
      </c>
      <c r="E8" s="14" t="n">
        <f aca="false">D8/Resumo!$B$20</f>
        <v>0.0305892937471885</v>
      </c>
      <c r="F8" s="17" t="n">
        <f aca="false">AVERAGEIFS(Pedidos!$I$2:$I$2224,Pedidos!$F$2:$F$2224,$B8)</f>
        <v>47.9458823529412</v>
      </c>
      <c r="G8" s="12" t="n">
        <f aca="false">AVERAGEIFS(Pedidos!$J$2:$J$2224,Pedidos!$F$2:$F$2224,$B8)</f>
        <v>603.648088235294</v>
      </c>
      <c r="H8" s="12" t="n">
        <f aca="false">AVERAGEIFS(Pedidos!$W$2:$W$2224,Pedidos!$F$2:$F$2224,$B8)</f>
        <v>122.03111453877</v>
      </c>
      <c r="I8" s="12" t="n">
        <f aca="false">AVERAGEIFS(Pedidos!$AF$2:$AF$2224,Pedidos!$F$2:$F$2224,$B8)</f>
        <v>175.731353776738</v>
      </c>
      <c r="J8" s="13" t="n">
        <f aca="false">I8/H8-1</f>
        <v>0.440053665337187</v>
      </c>
      <c r="K8" s="14" t="n">
        <f aca="false">SUMIFS(Pedidos!$W$2:$W$2224,Pedidos!$F$2:$F$2224,$B8)/SUMIFS(Pedidos!$J$2:$J$2224,Pedidos!$F$2:$F$2224,$B8)</f>
        <v>0.202156052370705</v>
      </c>
      <c r="L8" s="14" t="n">
        <f aca="false">SUMIFS(Pedidos!$AF$2:$AF$2224,Pedidos!$F$2:$F$2224,$B8)/SUMIFS(Pedidos!$J$2:$J$2224,Pedidos!$F$2:$F$2224,$B8)</f>
        <v>0.29111556418653</v>
      </c>
      <c r="M8" s="14" t="n">
        <f aca="false">COUNTIFS(Pedidos!$F$2:$F$2224,$B8,Pedidos!$AI$2:$AI$2224,"SIM")/D8</f>
        <v>0</v>
      </c>
      <c r="N8" s="13" t="n">
        <f aca="false">SUMIFS(Pedidos!$X$2:$X$2224,Pedidos!$F$2:$F$2224,$B8)/SUMIFS(Pedidos!$M$2:$M$2224,Pedidos!$F$2:$F$2224,$B8)-1</f>
        <v>0.789893114292097</v>
      </c>
      <c r="O8" s="17" t="n">
        <f aca="false">AVERAGEIFS(Pedidos!$AJ$2:$AJ$2224,Pedidos!$F$2:$F$2224,$B8)</f>
        <v>2</v>
      </c>
      <c r="P8" s="17" t="n">
        <f aca="false">AVERAGEIFS(Pedidos!$AK$2:$AK$2224,Pedidos!$F$2:$F$2224,$B8)</f>
        <v>7</v>
      </c>
      <c r="Q8" s="14" t="n">
        <f aca="false">MAX(0,1-H8/I8)</f>
        <v>0.305581434865588</v>
      </c>
      <c r="R8" s="4" t="str">
        <f aca="false">IF(J8&lt;=0,"Muito bem",IF(J8&lt;=0.32,"Melhor posição",IF(J8&lt;=0.45,"Intermediária","Precisa melhorar")))</f>
        <v>Intermediária</v>
      </c>
    </row>
    <row r="9" customFormat="false" ht="15" hidden="false" customHeight="false" outlineLevel="0" collapsed="false">
      <c r="A9" s="4" t="n">
        <v>6</v>
      </c>
      <c r="B9" s="4" t="s">
        <v>164</v>
      </c>
      <c r="C9" s="4" t="str">
        <f aca="false">INDEX(Pedidos!$G$2:$G$2224,MATCH($B9,Pedidos!$F$2:$F$2224,0))</f>
        <v>Interior</v>
      </c>
      <c r="D9" s="10" t="n">
        <f aca="false">COUNTIFS(Pedidos!$F$2:$F$2224,$B9)</f>
        <v>53</v>
      </c>
      <c r="E9" s="14" t="n">
        <f aca="false">D9/Resumo!$B$20</f>
        <v>0.0238416554206028</v>
      </c>
      <c r="F9" s="17" t="n">
        <f aca="false">AVERAGEIFS(Pedidos!$I$2:$I$2224,Pedidos!$F$2:$F$2224,$B9)</f>
        <v>49.4752830188679</v>
      </c>
      <c r="G9" s="12" t="n">
        <f aca="false">AVERAGEIFS(Pedidos!$J$2:$J$2224,Pedidos!$F$2:$F$2224,$B9)</f>
        <v>649.884339622642</v>
      </c>
      <c r="H9" s="12" t="n">
        <f aca="false">AVERAGEIFS(Pedidos!$W$2:$W$2224,Pedidos!$F$2:$F$2224,$B9)</f>
        <v>136.628092924528</v>
      </c>
      <c r="I9" s="12" t="n">
        <f aca="false">AVERAGEIFS(Pedidos!$AF$2:$AF$2224,Pedidos!$F$2:$F$2224,$B9)</f>
        <v>218.073790951973</v>
      </c>
      <c r="J9" s="13" t="n">
        <f aca="false">I9/H9-1</f>
        <v>0.596112382776461</v>
      </c>
      <c r="K9" s="14" t="n">
        <f aca="false">SUMIFS(Pedidos!$W$2:$W$2224,Pedidos!$F$2:$F$2224,$B9)/SUMIFS(Pedidos!$J$2:$J$2224,Pedidos!$F$2:$F$2224,$B9)</f>
        <v>0.210234474958824</v>
      </c>
      <c r="L9" s="14" t="n">
        <f aca="false">SUMIFS(Pedidos!$AF$2:$AF$2224,Pedidos!$F$2:$F$2224,$B9)/SUMIFS(Pedidos!$J$2:$J$2224,Pedidos!$F$2:$F$2224,$B9)</f>
        <v>0.335557848768287</v>
      </c>
      <c r="M9" s="14" t="n">
        <f aca="false">COUNTIFS(Pedidos!$F$2:$F$2224,$B9,Pedidos!$AI$2:$AI$2224,"SIM")/D9</f>
        <v>0</v>
      </c>
      <c r="N9" s="13" t="n">
        <f aca="false">SUMIFS(Pedidos!$X$2:$X$2224,Pedidos!$F$2:$F$2224,$B9)/SUMIFS(Pedidos!$M$2:$M$2224,Pedidos!$F$2:$F$2224,$B9)-1</f>
        <v>0.97372199750359</v>
      </c>
      <c r="O9" s="17" t="n">
        <f aca="false">AVERAGEIFS(Pedidos!$AJ$2:$AJ$2224,Pedidos!$F$2:$F$2224,$B9)</f>
        <v>13</v>
      </c>
      <c r="P9" s="17" t="n">
        <f aca="false">AVERAGEIFS(Pedidos!$AK$2:$AK$2224,Pedidos!$F$2:$F$2224,$B9)</f>
        <v>11</v>
      </c>
      <c r="Q9" s="14" t="n">
        <f aca="false">MAX(0,1-H9/I9)</f>
        <v>0.373477700698941</v>
      </c>
      <c r="R9" s="4" t="str">
        <f aca="false">IF(J9&lt;=0,"Muito bem",IF(J9&lt;=0.32,"Melhor posição",IF(J9&lt;=0.45,"Intermediária","Precisa melhorar")))</f>
        <v>Precisa melhorar</v>
      </c>
    </row>
    <row r="10" customFormat="false" ht="15" hidden="false" customHeight="false" outlineLevel="0" collapsed="false">
      <c r="A10" s="4" t="n">
        <v>7</v>
      </c>
      <c r="B10" s="4" t="s">
        <v>165</v>
      </c>
      <c r="C10" s="4" t="str">
        <f aca="false">INDEX(Pedidos!$G$2:$G$2224,MATCH($B10,Pedidos!$F$2:$F$2224,0))</f>
        <v>Metropolitana</v>
      </c>
      <c r="D10" s="10" t="n">
        <f aca="false">COUNTIFS(Pedidos!$F$2:$F$2224,$B10)</f>
        <v>49</v>
      </c>
      <c r="E10" s="14" t="n">
        <f aca="false">D10/Resumo!$B$20</f>
        <v>0.0220422852001799</v>
      </c>
      <c r="F10" s="17" t="n">
        <f aca="false">AVERAGEIFS(Pedidos!$I$2:$I$2224,Pedidos!$F$2:$F$2224,$B10)</f>
        <v>54.08</v>
      </c>
      <c r="G10" s="12" t="n">
        <f aca="false">AVERAGEIFS(Pedidos!$J$2:$J$2224,Pedidos!$F$2:$F$2224,$B10)</f>
        <v>687.528163265306</v>
      </c>
      <c r="H10" s="12" t="n">
        <f aca="false">AVERAGEIFS(Pedidos!$W$2:$W$2224,Pedidos!$F$2:$F$2224,$B10)</f>
        <v>128.467840816327</v>
      </c>
      <c r="I10" s="12" t="n">
        <f aca="false">AVERAGEIFS(Pedidos!$AF$2:$AF$2224,Pedidos!$F$2:$F$2224,$B10)</f>
        <v>166.988558441558</v>
      </c>
      <c r="J10" s="13" t="n">
        <f aca="false">I10/H10-1</f>
        <v>0.299847163153508</v>
      </c>
      <c r="K10" s="14" t="n">
        <f aca="false">SUMIFS(Pedidos!$W$2:$W$2224,Pedidos!$F$2:$F$2224,$B10)/SUMIFS(Pedidos!$J$2:$J$2224,Pedidos!$F$2:$F$2224,$B10)</f>
        <v>0.186854659460332</v>
      </c>
      <c r="L10" s="14" t="n">
        <f aca="false">SUMIFS(Pedidos!$AF$2:$AF$2224,Pedidos!$F$2:$F$2224,$B10)/SUMIFS(Pedidos!$J$2:$J$2224,Pedidos!$F$2:$F$2224,$B10)</f>
        <v>0.242882499021528</v>
      </c>
      <c r="M10" s="14" t="n">
        <f aca="false">COUNTIFS(Pedidos!$F$2:$F$2224,$B10,Pedidos!$AI$2:$AI$2224,"SIM")/D10</f>
        <v>0.0816326530612245</v>
      </c>
      <c r="N10" s="13" t="n">
        <f aca="false">SUMIFS(Pedidos!$X$2:$X$2224,Pedidos!$F$2:$F$2224,$B10)/SUMIFS(Pedidos!$M$2:$M$2224,Pedidos!$F$2:$F$2224,$B10)-1</f>
        <v>0.568483990923445</v>
      </c>
      <c r="O10" s="17" t="n">
        <f aca="false">AVERAGEIFS(Pedidos!$AJ$2:$AJ$2224,Pedidos!$F$2:$F$2224,$B10)</f>
        <v>2</v>
      </c>
      <c r="P10" s="17" t="n">
        <f aca="false">AVERAGEIFS(Pedidos!$AK$2:$AK$2224,Pedidos!$F$2:$F$2224,$B10)</f>
        <v>5</v>
      </c>
      <c r="Q10" s="14" t="n">
        <f aca="false">MAX(0,1-H10/I10)</f>
        <v>0.230678784131867</v>
      </c>
      <c r="R10" s="4" t="str">
        <f aca="false">IF(J10&lt;=0,"Muito bem",IF(J10&lt;=0.32,"Melhor posição",IF(J10&lt;=0.45,"Intermediária","Precisa melhorar")))</f>
        <v>Melhor posição</v>
      </c>
    </row>
    <row r="11" customFormat="false" ht="15" hidden="false" customHeight="false" outlineLevel="0" collapsed="false">
      <c r="A11" s="4" t="n">
        <v>8</v>
      </c>
      <c r="B11" s="4" t="s">
        <v>166</v>
      </c>
      <c r="C11" s="4" t="str">
        <f aca="false">INDEX(Pedidos!$G$2:$G$2224,MATCH($B11,Pedidos!$F$2:$F$2224,0))</f>
        <v>Interior</v>
      </c>
      <c r="D11" s="10" t="n">
        <f aca="false">COUNTIFS(Pedidos!$F$2:$F$2224,$B11)</f>
        <v>45</v>
      </c>
      <c r="E11" s="14" t="n">
        <f aca="false">D11/Resumo!$B$20</f>
        <v>0.0202429149797571</v>
      </c>
      <c r="F11" s="17" t="n">
        <f aca="false">AVERAGEIFS(Pedidos!$I$2:$I$2224,Pedidos!$F$2:$F$2224,$B11)</f>
        <v>60.0602222222222</v>
      </c>
      <c r="G11" s="12" t="n">
        <f aca="false">AVERAGEIFS(Pedidos!$J$2:$J$2224,Pedidos!$F$2:$F$2224,$B11)</f>
        <v>746.164666666667</v>
      </c>
      <c r="H11" s="12" t="n">
        <f aca="false">AVERAGEIFS(Pedidos!$W$2:$W$2224,Pedidos!$F$2:$F$2224,$B11)</f>
        <v>149.95366469697</v>
      </c>
      <c r="I11" s="12" t="n">
        <f aca="false">AVERAGEIFS(Pedidos!$AF$2:$AF$2224,Pedidos!$F$2:$F$2224,$B11)</f>
        <v>241.397783585859</v>
      </c>
      <c r="J11" s="13" t="n">
        <f aca="false">I11/H11-1</f>
        <v>0.609815832601901</v>
      </c>
      <c r="K11" s="14" t="n">
        <f aca="false">SUMIFS(Pedidos!$W$2:$W$2224,Pedidos!$F$2:$F$2224,$B11)/SUMIFS(Pedidos!$J$2:$J$2224,Pedidos!$F$2:$F$2224,$B11)</f>
        <v>0.200965914624256</v>
      </c>
      <c r="L11" s="14" t="n">
        <f aca="false">SUMIFS(Pedidos!$AF$2:$AF$2224,Pedidos!$F$2:$F$2224,$B11)/SUMIFS(Pedidos!$J$2:$J$2224,Pedidos!$F$2:$F$2224,$B11)</f>
        <v>0.323518111175449</v>
      </c>
      <c r="M11" s="14" t="n">
        <f aca="false">COUNTIFS(Pedidos!$F$2:$F$2224,$B11,Pedidos!$AI$2:$AI$2224,"SIM")/D11</f>
        <v>0</v>
      </c>
      <c r="N11" s="13" t="n">
        <f aca="false">SUMIFS(Pedidos!$X$2:$X$2224,Pedidos!$F$2:$F$2224,$B11)/SUMIFS(Pedidos!$M$2:$M$2224,Pedidos!$F$2:$F$2224,$B11)-1</f>
        <v>0.994079722987298</v>
      </c>
      <c r="O11" s="17" t="n">
        <f aca="false">AVERAGEIFS(Pedidos!$AJ$2:$AJ$2224,Pedidos!$F$2:$F$2224,$B11)</f>
        <v>13</v>
      </c>
      <c r="P11" s="17" t="n">
        <f aca="false">AVERAGEIFS(Pedidos!$AK$2:$AK$2224,Pedidos!$F$2:$F$2224,$B11)</f>
        <v>11</v>
      </c>
      <c r="Q11" s="14" t="n">
        <f aca="false">MAX(0,1-H11/I11)</f>
        <v>0.378810929953567</v>
      </c>
      <c r="R11" s="4" t="str">
        <f aca="false">IF(J11&lt;=0,"Muito bem",IF(J11&lt;=0.32,"Melhor posição",IF(J11&lt;=0.45,"Intermediária","Precisa melhorar")))</f>
        <v>Precisa melhorar</v>
      </c>
    </row>
    <row r="12" customFormat="false" ht="15" hidden="false" customHeight="false" outlineLevel="0" collapsed="false">
      <c r="A12" s="4" t="n">
        <v>9</v>
      </c>
      <c r="B12" s="4" t="s">
        <v>167</v>
      </c>
      <c r="C12" s="4" t="str">
        <f aca="false">INDEX(Pedidos!$G$2:$G$2224,MATCH($B12,Pedidos!$F$2:$F$2224,0))</f>
        <v>Metropolitana</v>
      </c>
      <c r="D12" s="10" t="n">
        <f aca="false">COUNTIFS(Pedidos!$F$2:$F$2224,$B12)</f>
        <v>37</v>
      </c>
      <c r="E12" s="14" t="n">
        <f aca="false">D12/Resumo!$B$20</f>
        <v>0.0166441745389114</v>
      </c>
      <c r="F12" s="17" t="n">
        <f aca="false">AVERAGEIFS(Pedidos!$I$2:$I$2224,Pedidos!$F$2:$F$2224,$B12)</f>
        <v>55.9305405405405</v>
      </c>
      <c r="G12" s="12" t="n">
        <f aca="false">AVERAGEIFS(Pedidos!$J$2:$J$2224,Pedidos!$F$2:$F$2224,$B12)</f>
        <v>698.244054054054</v>
      </c>
      <c r="H12" s="12" t="n">
        <f aca="false">AVERAGEIFS(Pedidos!$W$2:$W$2224,Pedidos!$F$2:$F$2224,$B12)</f>
        <v>132.916373648649</v>
      </c>
      <c r="I12" s="12" t="n">
        <f aca="false">AVERAGEIFS(Pedidos!$AF$2:$AF$2224,Pedidos!$F$2:$F$2224,$B12)</f>
        <v>175.043768120393</v>
      </c>
      <c r="J12" s="13" t="n">
        <f aca="false">I12/H12-1</f>
        <v>0.316946613237464</v>
      </c>
      <c r="K12" s="14" t="n">
        <f aca="false">SUMIFS(Pedidos!$W$2:$W$2224,Pedidos!$F$2:$F$2224,$B12)/SUMIFS(Pedidos!$J$2:$J$2224,Pedidos!$F$2:$F$2224,$B12)</f>
        <v>0.190358045839312</v>
      </c>
      <c r="L12" s="14" t="n">
        <f aca="false">SUMIFS(Pedidos!$AF$2:$AF$2224,Pedidos!$F$2:$F$2224,$B12)/SUMIFS(Pedidos!$J$2:$J$2224,Pedidos!$F$2:$F$2224,$B12)</f>
        <v>0.250691383770584</v>
      </c>
      <c r="M12" s="14" t="n">
        <f aca="false">COUNTIFS(Pedidos!$F$2:$F$2224,$B12,Pedidos!$AI$2:$AI$2224,"SIM")/D12</f>
        <v>0.027027027027027</v>
      </c>
      <c r="N12" s="13" t="n">
        <f aca="false">SUMIFS(Pedidos!$X$2:$X$2224,Pedidos!$F$2:$F$2224,$B12)/SUMIFS(Pedidos!$M$2:$M$2224,Pedidos!$F$2:$F$2224,$B12)-1</f>
        <v>0.584542068361087</v>
      </c>
      <c r="O12" s="17" t="n">
        <f aca="false">AVERAGEIFS(Pedidos!$AJ$2:$AJ$2224,Pedidos!$F$2:$F$2224,$B12)</f>
        <v>2</v>
      </c>
      <c r="P12" s="17" t="n">
        <f aca="false">AVERAGEIFS(Pedidos!$AK$2:$AK$2224,Pedidos!$F$2:$F$2224,$B12)</f>
        <v>5</v>
      </c>
      <c r="Q12" s="14" t="n">
        <f aca="false">MAX(0,1-H12/I12)</f>
        <v>0.240667776545862</v>
      </c>
      <c r="R12" s="4" t="str">
        <f aca="false">IF(J12&lt;=0,"Muito bem",IF(J12&lt;=0.32,"Melhor posição",IF(J12&lt;=0.45,"Intermediária","Precisa melhorar")))</f>
        <v>Melhor posição</v>
      </c>
    </row>
    <row r="13" customFormat="false" ht="15" hidden="false" customHeight="false" outlineLevel="0" collapsed="false">
      <c r="A13" s="4" t="n">
        <v>10</v>
      </c>
      <c r="B13" s="4" t="s">
        <v>168</v>
      </c>
      <c r="C13" s="4" t="str">
        <f aca="false">INDEX(Pedidos!$G$2:$G$2224,MATCH($B13,Pedidos!$F$2:$F$2224,0))</f>
        <v>Interior</v>
      </c>
      <c r="D13" s="10" t="n">
        <f aca="false">COUNTIFS(Pedidos!$F$2:$F$2224,$B13)</f>
        <v>37</v>
      </c>
      <c r="E13" s="14" t="n">
        <f aca="false">D13/Resumo!$B$20</f>
        <v>0.0166441745389114</v>
      </c>
      <c r="F13" s="17" t="n">
        <f aca="false">AVERAGEIFS(Pedidos!$I$2:$I$2224,Pedidos!$F$2:$F$2224,$B13)</f>
        <v>50.8867567567568</v>
      </c>
      <c r="G13" s="12" t="n">
        <f aca="false">AVERAGEIFS(Pedidos!$J$2:$J$2224,Pedidos!$F$2:$F$2224,$B13)</f>
        <v>652.921081081081</v>
      </c>
      <c r="H13" s="12" t="n">
        <f aca="false">AVERAGEIFS(Pedidos!$W$2:$W$2224,Pedidos!$F$2:$F$2224,$B13)</f>
        <v>139.162283046683</v>
      </c>
      <c r="I13" s="12" t="n">
        <f aca="false">AVERAGEIFS(Pedidos!$AF$2:$AF$2224,Pedidos!$F$2:$F$2224,$B13)</f>
        <v>198.538213759214</v>
      </c>
      <c r="J13" s="13" t="n">
        <f aca="false">I13/H13-1</f>
        <v>0.426666833948194</v>
      </c>
      <c r="K13" s="14" t="n">
        <f aca="false">SUMIFS(Pedidos!$W$2:$W$2224,Pedidos!$F$2:$F$2224,$B13)/SUMIFS(Pedidos!$J$2:$J$2224,Pedidos!$F$2:$F$2224,$B13)</f>
        <v>0.21313798417454</v>
      </c>
      <c r="L13" s="14" t="n">
        <f aca="false">SUMIFS(Pedidos!$AF$2:$AF$2224,Pedidos!$F$2:$F$2224,$B13)/SUMIFS(Pedidos!$J$2:$J$2224,Pedidos!$F$2:$F$2224,$B13)</f>
        <v>0.304076893076391</v>
      </c>
      <c r="M13" s="14" t="n">
        <f aca="false">COUNTIFS(Pedidos!$F$2:$F$2224,$B13,Pedidos!$AI$2:$AI$2224,"SIM")/D13</f>
        <v>0</v>
      </c>
      <c r="N13" s="13" t="n">
        <f aca="false">SUMIFS(Pedidos!$X$2:$X$2224,Pedidos!$F$2:$F$2224,$B13)/SUMIFS(Pedidos!$M$2:$M$2224,Pedidos!$F$2:$F$2224,$B13)-1</f>
        <v>0.718275534567136</v>
      </c>
      <c r="O13" s="17" t="n">
        <f aca="false">AVERAGEIFS(Pedidos!$AJ$2:$AJ$2224,Pedidos!$F$2:$F$2224,$B13)</f>
        <v>13</v>
      </c>
      <c r="P13" s="17" t="n">
        <f aca="false">AVERAGEIFS(Pedidos!$AK$2:$AK$2224,Pedidos!$F$2:$F$2224,$B13)</f>
        <v>10</v>
      </c>
      <c r="Q13" s="14" t="n">
        <f aca="false">MAX(0,1-H13/I13)</f>
        <v>0.299065502747706</v>
      </c>
      <c r="R13" s="4" t="str">
        <f aca="false">IF(J13&lt;=0,"Muito bem",IF(J13&lt;=0.32,"Melhor posição",IF(J13&lt;=0.45,"Intermediária","Precisa melhorar")))</f>
        <v>Intermediária</v>
      </c>
    </row>
    <row r="14" customFormat="false" ht="15" hidden="false" customHeight="false" outlineLevel="0" collapsed="false">
      <c r="A14" s="4" t="n">
        <v>11</v>
      </c>
      <c r="B14" s="4" t="s">
        <v>169</v>
      </c>
      <c r="C14" s="4" t="str">
        <f aca="false">INDEX(Pedidos!$G$2:$G$2224,MATCH($B14,Pedidos!$F$2:$F$2224,0))</f>
        <v>Interior</v>
      </c>
      <c r="D14" s="10" t="n">
        <f aca="false">COUNTIFS(Pedidos!$F$2:$F$2224,$B14)</f>
        <v>35</v>
      </c>
      <c r="E14" s="14" t="n">
        <f aca="false">D14/Resumo!$B$20</f>
        <v>0.0157444894287</v>
      </c>
      <c r="F14" s="17" t="n">
        <f aca="false">AVERAGEIFS(Pedidos!$I$2:$I$2224,Pedidos!$F$2:$F$2224,$B14)</f>
        <v>44.3942857142857</v>
      </c>
      <c r="G14" s="12" t="n">
        <f aca="false">AVERAGEIFS(Pedidos!$J$2:$J$2224,Pedidos!$F$2:$F$2224,$B14)</f>
        <v>596.417714285714</v>
      </c>
      <c r="H14" s="12" t="n">
        <f aca="false">AVERAGEIFS(Pedidos!$W$2:$W$2224,Pedidos!$F$2:$F$2224,$B14)</f>
        <v>129.038097532468</v>
      </c>
      <c r="I14" s="12" t="n">
        <f aca="false">AVERAGEIFS(Pedidos!$AF$2:$AF$2224,Pedidos!$F$2:$F$2224,$B14)</f>
        <v>179.382592857143</v>
      </c>
      <c r="J14" s="13" t="n">
        <f aca="false">I14/H14-1</f>
        <v>0.390152182087217</v>
      </c>
      <c r="K14" s="14" t="n">
        <f aca="false">SUMIFS(Pedidos!$W$2:$W$2224,Pedidos!$F$2:$F$2224,$B14)/SUMIFS(Pedidos!$J$2:$J$2224,Pedidos!$F$2:$F$2224,$B14)</f>
        <v>0.216355239694728</v>
      </c>
      <c r="L14" s="14" t="n">
        <f aca="false">SUMIFS(Pedidos!$AF$2:$AF$2224,Pedidos!$F$2:$F$2224,$B14)/SUMIFS(Pedidos!$J$2:$J$2224,Pedidos!$F$2:$F$2224,$B14)</f>
        <v>0.300766708567629</v>
      </c>
      <c r="M14" s="14" t="n">
        <f aca="false">COUNTIFS(Pedidos!$F$2:$F$2224,$B14,Pedidos!$AI$2:$AI$2224,"SIM")/D14</f>
        <v>0</v>
      </c>
      <c r="N14" s="13" t="n">
        <f aca="false">SUMIFS(Pedidos!$X$2:$X$2224,Pedidos!$F$2:$F$2224,$B14)/SUMIFS(Pedidos!$M$2:$M$2224,Pedidos!$F$2:$F$2224,$B14)-1</f>
        <v>0.67416201640388</v>
      </c>
      <c r="O14" s="17" t="n">
        <f aca="false">AVERAGEIFS(Pedidos!$AJ$2:$AJ$2224,Pedidos!$F$2:$F$2224,$B14)</f>
        <v>13</v>
      </c>
      <c r="P14" s="17" t="n">
        <f aca="false">AVERAGEIFS(Pedidos!$AK$2:$AK$2224,Pedidos!$F$2:$F$2224,$B14)</f>
        <v>10</v>
      </c>
      <c r="Q14" s="14" t="n">
        <f aca="false">MAX(0,1-H14/I14)</f>
        <v>0.28065429606522</v>
      </c>
      <c r="R14" s="4" t="str">
        <f aca="false">IF(J14&lt;=0,"Muito bem",IF(J14&lt;=0.32,"Melhor posição",IF(J14&lt;=0.45,"Intermediária","Precisa melhorar")))</f>
        <v>Intermediária</v>
      </c>
    </row>
    <row r="15" customFormat="false" ht="15" hidden="false" customHeight="false" outlineLevel="0" collapsed="false">
      <c r="A15" s="4" t="n">
        <v>12</v>
      </c>
      <c r="B15" s="4" t="s">
        <v>170</v>
      </c>
      <c r="C15" s="4" t="str">
        <f aca="false">INDEX(Pedidos!$G$2:$G$2224,MATCH($B15,Pedidos!$F$2:$F$2224,0))</f>
        <v>Interior</v>
      </c>
      <c r="D15" s="10" t="n">
        <f aca="false">COUNTIFS(Pedidos!$F$2:$F$2224,$B15)</f>
        <v>32</v>
      </c>
      <c r="E15" s="14" t="n">
        <f aca="false">D15/Resumo!$B$20</f>
        <v>0.0143949617633828</v>
      </c>
      <c r="F15" s="17" t="n">
        <f aca="false">AVERAGEIFS(Pedidos!$I$2:$I$2224,Pedidos!$F$2:$F$2224,$B15)</f>
        <v>58.889375</v>
      </c>
      <c r="G15" s="12" t="n">
        <f aca="false">AVERAGEIFS(Pedidos!$J$2:$J$2224,Pedidos!$F$2:$F$2224,$B15)</f>
        <v>743.8225</v>
      </c>
      <c r="H15" s="12" t="n">
        <f aca="false">AVERAGEIFS(Pedidos!$W$2:$W$2224,Pedidos!$F$2:$F$2224,$B15)</f>
        <v>149.950630113636</v>
      </c>
      <c r="I15" s="12" t="n">
        <f aca="false">AVERAGEIFS(Pedidos!$AF$2:$AF$2224,Pedidos!$F$2:$F$2224,$B15)</f>
        <v>216.628088068182</v>
      </c>
      <c r="J15" s="13" t="n">
        <f aca="false">I15/H15-1</f>
        <v>0.444662739356384</v>
      </c>
      <c r="K15" s="14" t="n">
        <f aca="false">SUMIFS(Pedidos!$W$2:$W$2224,Pedidos!$F$2:$F$2224,$B15)/SUMIFS(Pedidos!$J$2:$J$2224,Pedidos!$F$2:$F$2224,$B15)</f>
        <v>0.201594641347413</v>
      </c>
      <c r="L15" s="14" t="n">
        <f aca="false">SUMIFS(Pedidos!$AF$2:$AF$2224,Pedidos!$F$2:$F$2224,$B15)/SUMIFS(Pedidos!$J$2:$J$2224,Pedidos!$F$2:$F$2224,$B15)</f>
        <v>0.291236266808522</v>
      </c>
      <c r="M15" s="14" t="n">
        <f aca="false">COUNTIFS(Pedidos!$F$2:$F$2224,$B15,Pedidos!$AI$2:$AI$2224,"SIM")/D15</f>
        <v>0</v>
      </c>
      <c r="N15" s="13" t="n">
        <f aca="false">SUMIFS(Pedidos!$X$2:$X$2224,Pedidos!$F$2:$F$2224,$B15)/SUMIFS(Pedidos!$M$2:$M$2224,Pedidos!$F$2:$F$2224,$B15)-1</f>
        <v>0.739941511686937</v>
      </c>
      <c r="O15" s="17" t="n">
        <f aca="false">AVERAGEIFS(Pedidos!$AJ$2:$AJ$2224,Pedidos!$F$2:$F$2224,$B15)</f>
        <v>13</v>
      </c>
      <c r="P15" s="17" t="n">
        <f aca="false">AVERAGEIFS(Pedidos!$AK$2:$AK$2224,Pedidos!$F$2:$F$2224,$B15)</f>
        <v>8</v>
      </c>
      <c r="Q15" s="14" t="n">
        <f aca="false">MAX(0,1-H15/I15)</f>
        <v>0.3077969184382</v>
      </c>
      <c r="R15" s="4" t="str">
        <f aca="false">IF(J15&lt;=0,"Muito bem",IF(J15&lt;=0.32,"Melhor posição",IF(J15&lt;=0.45,"Intermediária","Precisa melhorar")))</f>
        <v>Intermediária</v>
      </c>
    </row>
    <row r="16" customFormat="false" ht="15" hidden="false" customHeight="false" outlineLevel="0" collapsed="false">
      <c r="A16" s="4" t="n">
        <v>13</v>
      </c>
      <c r="B16" s="4" t="s">
        <v>171</v>
      </c>
      <c r="C16" s="4" t="str">
        <f aca="false">INDEX(Pedidos!$G$2:$G$2224,MATCH($B16,Pedidos!$F$2:$F$2224,0))</f>
        <v>Interior</v>
      </c>
      <c r="D16" s="10" t="n">
        <f aca="false">COUNTIFS(Pedidos!$F$2:$F$2224,$B16)</f>
        <v>32</v>
      </c>
      <c r="E16" s="14" t="n">
        <f aca="false">D16/Resumo!$B$20</f>
        <v>0.0143949617633828</v>
      </c>
      <c r="F16" s="17" t="n">
        <f aca="false">AVERAGEIFS(Pedidos!$I$2:$I$2224,Pedidos!$F$2:$F$2224,$B16)</f>
        <v>55.0375</v>
      </c>
      <c r="G16" s="12" t="n">
        <f aca="false">AVERAGEIFS(Pedidos!$J$2:$J$2224,Pedidos!$F$2:$F$2224,$B16)</f>
        <v>758.3715625</v>
      </c>
      <c r="H16" s="12" t="n">
        <f aca="false">AVERAGEIFS(Pedidos!$W$2:$W$2224,Pedidos!$F$2:$F$2224,$B16)</f>
        <v>146.005864275568</v>
      </c>
      <c r="I16" s="12" t="n">
        <f aca="false">AVERAGEIFS(Pedidos!$AF$2:$AF$2224,Pedidos!$F$2:$F$2224,$B16)</f>
        <v>195.386493963068</v>
      </c>
      <c r="J16" s="13" t="n">
        <f aca="false">I16/H16-1</f>
        <v>0.338209906379515</v>
      </c>
      <c r="K16" s="14" t="n">
        <f aca="false">SUMIFS(Pedidos!$W$2:$W$2224,Pedidos!$F$2:$F$2224,$B16)/SUMIFS(Pedidos!$J$2:$J$2224,Pedidos!$F$2:$F$2224,$B16)</f>
        <v>0.192525500025679</v>
      </c>
      <c r="L16" s="14" t="n">
        <f aca="false">SUMIFS(Pedidos!$AF$2:$AF$2224,Pedidos!$F$2:$F$2224,$B16)/SUMIFS(Pedidos!$J$2:$J$2224,Pedidos!$F$2:$F$2224,$B16)</f>
        <v>0.257639531365034</v>
      </c>
      <c r="M16" s="14" t="n">
        <f aca="false">COUNTIFS(Pedidos!$F$2:$F$2224,$B16,Pedidos!$AI$2:$AI$2224,"SIM")/D16</f>
        <v>0</v>
      </c>
      <c r="N16" s="13" t="n">
        <f aca="false">SUMIFS(Pedidos!$X$2:$X$2224,Pedidos!$F$2:$F$2224,$B16)/SUMIFS(Pedidos!$M$2:$M$2224,Pedidos!$F$2:$F$2224,$B16)-1</f>
        <v>0.58054673528231</v>
      </c>
      <c r="O16" s="17" t="n">
        <f aca="false">AVERAGEIFS(Pedidos!$AJ$2:$AJ$2224,Pedidos!$F$2:$F$2224,$B16)</f>
        <v>13</v>
      </c>
      <c r="P16" s="17" t="n">
        <f aca="false">AVERAGEIFS(Pedidos!$AK$2:$AK$2224,Pedidos!$F$2:$F$2224,$B16)</f>
        <v>7</v>
      </c>
      <c r="Q16" s="14" t="n">
        <f aca="false">MAX(0,1-H16/I16)</f>
        <v>0.2527330763038</v>
      </c>
      <c r="R16" s="4" t="str">
        <f aca="false">IF(J16&lt;=0,"Muito bem",IF(J16&lt;=0.32,"Melhor posição",IF(J16&lt;=0.45,"Intermediária","Precisa melhorar")))</f>
        <v>Intermediária</v>
      </c>
    </row>
    <row r="17" customFormat="false" ht="15" hidden="false" customHeight="false" outlineLevel="0" collapsed="false">
      <c r="A17" s="4" t="n">
        <v>14</v>
      </c>
      <c r="B17" s="4" t="s">
        <v>172</v>
      </c>
      <c r="C17" s="4" t="str">
        <f aca="false">INDEX(Pedidos!$G$2:$G$2224,MATCH($B17,Pedidos!$F$2:$F$2224,0))</f>
        <v>Interior</v>
      </c>
      <c r="D17" s="10" t="n">
        <f aca="false">COUNTIFS(Pedidos!$F$2:$F$2224,$B17)</f>
        <v>28</v>
      </c>
      <c r="E17" s="14" t="n">
        <f aca="false">D17/Resumo!$B$20</f>
        <v>0.01259559154296</v>
      </c>
      <c r="F17" s="17" t="n">
        <f aca="false">AVERAGEIFS(Pedidos!$I$2:$I$2224,Pedidos!$F$2:$F$2224,$B17)</f>
        <v>43.4321428571429</v>
      </c>
      <c r="G17" s="12" t="n">
        <f aca="false">AVERAGEIFS(Pedidos!$J$2:$J$2224,Pedidos!$F$2:$F$2224,$B17)</f>
        <v>539.813928571429</v>
      </c>
      <c r="H17" s="12" t="n">
        <f aca="false">AVERAGEIFS(Pedidos!$W$2:$W$2224,Pedidos!$F$2:$F$2224,$B17)</f>
        <v>127.903900892857</v>
      </c>
      <c r="I17" s="12" t="n">
        <f aca="false">AVERAGEIFS(Pedidos!$AF$2:$AF$2224,Pedidos!$F$2:$F$2224,$B17)</f>
        <v>182.076881899351</v>
      </c>
      <c r="J17" s="13" t="n">
        <f aca="false">I17/H17-1</f>
        <v>0.423544400353147</v>
      </c>
      <c r="K17" s="14" t="n">
        <f aca="false">SUMIFS(Pedidos!$W$2:$W$2224,Pedidos!$F$2:$F$2224,$B17)/SUMIFS(Pedidos!$J$2:$J$2224,Pedidos!$F$2:$F$2224,$B17)</f>
        <v>0.236940719983539</v>
      </c>
      <c r="L17" s="14" t="n">
        <f aca="false">SUMIFS(Pedidos!$AF$2:$AF$2224,Pedidos!$F$2:$F$2224,$B17)/SUMIFS(Pedidos!$J$2:$J$2224,Pedidos!$F$2:$F$2224,$B17)</f>
        <v>0.33729563514821</v>
      </c>
      <c r="M17" s="14" t="n">
        <f aca="false">COUNTIFS(Pedidos!$F$2:$F$2224,$B17,Pedidos!$AI$2:$AI$2224,"SIM")/D17</f>
        <v>0</v>
      </c>
      <c r="N17" s="13" t="n">
        <f aca="false">SUMIFS(Pedidos!$X$2:$X$2224,Pedidos!$F$2:$F$2224,$B17)/SUMIFS(Pedidos!$M$2:$M$2224,Pedidos!$F$2:$F$2224,$B17)-1</f>
        <v>0.721104358493492</v>
      </c>
      <c r="O17" s="17" t="n">
        <f aca="false">AVERAGEIFS(Pedidos!$AJ$2:$AJ$2224,Pedidos!$F$2:$F$2224,$B17)</f>
        <v>13</v>
      </c>
      <c r="P17" s="17" t="n">
        <f aca="false">AVERAGEIFS(Pedidos!$AK$2:$AK$2224,Pedidos!$F$2:$F$2224,$B17)</f>
        <v>10</v>
      </c>
      <c r="Q17" s="14" t="n">
        <f aca="false">MAX(0,1-H17/I17)</f>
        <v>0.297528057606124</v>
      </c>
      <c r="R17" s="4" t="str">
        <f aca="false">IF(J17&lt;=0,"Muito bem",IF(J17&lt;=0.32,"Melhor posição",IF(J17&lt;=0.45,"Intermediária","Precisa melhorar")))</f>
        <v>Intermediária</v>
      </c>
    </row>
    <row r="18" customFormat="false" ht="15" hidden="false" customHeight="false" outlineLevel="0" collapsed="false">
      <c r="A18" s="4" t="n">
        <v>15</v>
      </c>
      <c r="B18" s="4" t="s">
        <v>173</v>
      </c>
      <c r="C18" s="4" t="str">
        <f aca="false">INDEX(Pedidos!$G$2:$G$2224,MATCH($B18,Pedidos!$F$2:$F$2224,0))</f>
        <v>Interior</v>
      </c>
      <c r="D18" s="10" t="n">
        <f aca="false">COUNTIFS(Pedidos!$F$2:$F$2224,$B18)</f>
        <v>28</v>
      </c>
      <c r="E18" s="14" t="n">
        <f aca="false">D18/Resumo!$B$20</f>
        <v>0.01259559154296</v>
      </c>
      <c r="F18" s="17" t="n">
        <f aca="false">AVERAGEIFS(Pedidos!$I$2:$I$2224,Pedidos!$F$2:$F$2224,$B18)</f>
        <v>47.2625</v>
      </c>
      <c r="G18" s="12" t="n">
        <f aca="false">AVERAGEIFS(Pedidos!$J$2:$J$2224,Pedidos!$F$2:$F$2224,$B18)</f>
        <v>582.559285714286</v>
      </c>
      <c r="H18" s="12" t="n">
        <f aca="false">AVERAGEIFS(Pedidos!$W$2:$W$2224,Pedidos!$F$2:$F$2224,$B18)</f>
        <v>134.310023214286</v>
      </c>
      <c r="I18" s="12" t="n">
        <f aca="false">AVERAGEIFS(Pedidos!$AF$2:$AF$2224,Pedidos!$F$2:$F$2224,$B18)</f>
        <v>192.934049512987</v>
      </c>
      <c r="J18" s="13" t="n">
        <f aca="false">I18/H18-1</f>
        <v>0.436482884119298</v>
      </c>
      <c r="K18" s="14" t="n">
        <f aca="false">SUMIFS(Pedidos!$W$2:$W$2224,Pedidos!$F$2:$F$2224,$B18)/SUMIFS(Pedidos!$J$2:$J$2224,Pedidos!$F$2:$F$2224,$B18)</f>
        <v>0.230551682048302</v>
      </c>
      <c r="L18" s="14" t="n">
        <f aca="false">SUMIFS(Pedidos!$AF$2:$AF$2224,Pedidos!$F$2:$F$2224,$B18)/SUMIFS(Pedidos!$J$2:$J$2224,Pedidos!$F$2:$F$2224,$B18)</f>
        <v>0.3311835451673</v>
      </c>
      <c r="M18" s="14" t="n">
        <f aca="false">COUNTIFS(Pedidos!$F$2:$F$2224,$B18,Pedidos!$AI$2:$AI$2224,"SIM")/D18</f>
        <v>0</v>
      </c>
      <c r="N18" s="13" t="n">
        <f aca="false">SUMIFS(Pedidos!$X$2:$X$2224,Pedidos!$F$2:$F$2224,$B18)/SUMIFS(Pedidos!$M$2:$M$2224,Pedidos!$F$2:$F$2224,$B18)-1</f>
        <v>0.734675669374653</v>
      </c>
      <c r="O18" s="17" t="n">
        <f aca="false">AVERAGEIFS(Pedidos!$AJ$2:$AJ$2224,Pedidos!$F$2:$F$2224,$B18)</f>
        <v>13</v>
      </c>
      <c r="P18" s="17" t="n">
        <f aca="false">AVERAGEIFS(Pedidos!$AK$2:$AK$2224,Pedidos!$F$2:$F$2224,$B18)</f>
        <v>10</v>
      </c>
      <c r="Q18" s="14" t="n">
        <f aca="false">MAX(0,1-H18/I18)</f>
        <v>0.303855262700818</v>
      </c>
      <c r="R18" s="4" t="str">
        <f aca="false">IF(J18&lt;=0,"Muito bem",IF(J18&lt;=0.32,"Melhor posição",IF(J18&lt;=0.45,"Intermediária","Precisa melhorar")))</f>
        <v>Intermediária</v>
      </c>
    </row>
    <row r="19" customFormat="false" ht="15" hidden="false" customHeight="false" outlineLevel="0" collapsed="false">
      <c r="A19" s="4" t="n">
        <v>16</v>
      </c>
      <c r="B19" s="4" t="s">
        <v>174</v>
      </c>
      <c r="C19" s="4" t="str">
        <f aca="false">INDEX(Pedidos!$G$2:$G$2224,MATCH($B19,Pedidos!$F$2:$F$2224,0))</f>
        <v>Interior</v>
      </c>
      <c r="D19" s="10" t="n">
        <f aca="false">COUNTIFS(Pedidos!$F$2:$F$2224,$B19)</f>
        <v>25</v>
      </c>
      <c r="E19" s="14" t="n">
        <f aca="false">D19/Resumo!$B$20</f>
        <v>0.0112460638776428</v>
      </c>
      <c r="F19" s="17" t="n">
        <f aca="false">AVERAGEIFS(Pedidos!$I$2:$I$2224,Pedidos!$F$2:$F$2224,$B19)</f>
        <v>49.9124</v>
      </c>
      <c r="G19" s="12" t="n">
        <f aca="false">AVERAGEIFS(Pedidos!$J$2:$J$2224,Pedidos!$F$2:$F$2224,$B19)</f>
        <v>689.1388</v>
      </c>
      <c r="H19" s="12" t="n">
        <f aca="false">AVERAGEIFS(Pedidos!$W$2:$W$2224,Pedidos!$F$2:$F$2224,$B19)</f>
        <v>137.537253363636</v>
      </c>
      <c r="I19" s="12" t="n">
        <f aca="false">AVERAGEIFS(Pedidos!$AF$2:$AF$2224,Pedidos!$F$2:$F$2224,$B19)</f>
        <v>181.009791363636</v>
      </c>
      <c r="J19" s="13" t="n">
        <f aca="false">I19/H19-1</f>
        <v>0.316078276516563</v>
      </c>
      <c r="K19" s="14" t="n">
        <f aca="false">SUMIFS(Pedidos!$W$2:$W$2224,Pedidos!$F$2:$F$2224,$B19)/SUMIFS(Pedidos!$J$2:$J$2224,Pedidos!$F$2:$F$2224,$B19)</f>
        <v>0.199578449745735</v>
      </c>
      <c r="L19" s="14" t="n">
        <f aca="false">SUMIFS(Pedidos!$AF$2:$AF$2224,Pedidos!$F$2:$F$2224,$B19)/SUMIFS(Pedidos!$J$2:$J$2224,Pedidos!$F$2:$F$2224,$B19)</f>
        <v>0.262660862171215</v>
      </c>
      <c r="M19" s="14" t="n">
        <f aca="false">COUNTIFS(Pedidos!$F$2:$F$2224,$B19,Pedidos!$AI$2:$AI$2224,"SIM")/D19</f>
        <v>0</v>
      </c>
      <c r="N19" s="13" t="n">
        <f aca="false">SUMIFS(Pedidos!$X$2:$X$2224,Pedidos!$F$2:$F$2224,$B19)/SUMIFS(Pedidos!$M$2:$M$2224,Pedidos!$F$2:$F$2224,$B19)-1</f>
        <v>0.555656247523968</v>
      </c>
      <c r="O19" s="17" t="n">
        <f aca="false">AVERAGEIFS(Pedidos!$AJ$2:$AJ$2224,Pedidos!$F$2:$F$2224,$B19)</f>
        <v>13</v>
      </c>
      <c r="P19" s="17" t="n">
        <f aca="false">AVERAGEIFS(Pedidos!$AK$2:$AK$2224,Pedidos!$F$2:$F$2224,$B19)</f>
        <v>7</v>
      </c>
      <c r="Q19" s="14" t="n">
        <f aca="false">MAX(0,1-H19/I19)</f>
        <v>0.240166775910297</v>
      </c>
      <c r="R19" s="4" t="str">
        <f aca="false">IF(J19&lt;=0,"Muito bem",IF(J19&lt;=0.32,"Melhor posição",IF(J19&lt;=0.45,"Intermediária","Precisa melhorar")))</f>
        <v>Melhor posição</v>
      </c>
    </row>
    <row r="20" customFormat="false" ht="15" hidden="false" customHeight="false" outlineLevel="0" collapsed="false">
      <c r="A20" s="4" t="n">
        <v>17</v>
      </c>
      <c r="B20" s="4" t="s">
        <v>175</v>
      </c>
      <c r="C20" s="4" t="str">
        <f aca="false">INDEX(Pedidos!$G$2:$G$2224,MATCH($B20,Pedidos!$F$2:$F$2224,0))</f>
        <v>Metropolitana</v>
      </c>
      <c r="D20" s="10" t="n">
        <f aca="false">COUNTIFS(Pedidos!$F$2:$F$2224,$B20)</f>
        <v>21</v>
      </c>
      <c r="E20" s="14" t="n">
        <f aca="false">D20/Resumo!$B$20</f>
        <v>0.00944669365721997</v>
      </c>
      <c r="F20" s="17" t="n">
        <f aca="false">AVERAGEIFS(Pedidos!$I$2:$I$2224,Pedidos!$F$2:$F$2224,$B20)</f>
        <v>51.26</v>
      </c>
      <c r="G20" s="12" t="n">
        <f aca="false">AVERAGEIFS(Pedidos!$J$2:$J$2224,Pedidos!$F$2:$F$2224,$B20)</f>
        <v>664.68</v>
      </c>
      <c r="H20" s="12" t="n">
        <f aca="false">AVERAGEIFS(Pedidos!$W$2:$W$2224,Pedidos!$F$2:$F$2224,$B20)</f>
        <v>124.963461904762</v>
      </c>
      <c r="I20" s="12" t="n">
        <f aca="false">AVERAGEIFS(Pedidos!$AF$2:$AF$2224,Pedidos!$F$2:$F$2224,$B20)</f>
        <v>160.896365800866</v>
      </c>
      <c r="J20" s="13" t="n">
        <f aca="false">I20/H20-1</f>
        <v>0.287547282608811</v>
      </c>
      <c r="K20" s="14" t="n">
        <f aca="false">SUMIFS(Pedidos!$W$2:$W$2224,Pedidos!$F$2:$F$2224,$B20)/SUMIFS(Pedidos!$J$2:$J$2224,Pedidos!$F$2:$F$2224,$B20)</f>
        <v>0.188005449095447</v>
      </c>
      <c r="L20" s="14" t="n">
        <f aca="false">SUMIFS(Pedidos!$AF$2:$AF$2224,Pedidos!$F$2:$F$2224,$B20)/SUMIFS(Pedidos!$J$2:$J$2224,Pedidos!$F$2:$F$2224,$B20)</f>
        <v>0.242065905098492</v>
      </c>
      <c r="M20" s="14" t="n">
        <f aca="false">COUNTIFS(Pedidos!$F$2:$F$2224,$B20,Pedidos!$AI$2:$AI$2224,"SIM")/D20</f>
        <v>0.0476190476190476</v>
      </c>
      <c r="N20" s="13" t="n">
        <f aca="false">SUMIFS(Pedidos!$X$2:$X$2224,Pedidos!$F$2:$F$2224,$B20)/SUMIFS(Pedidos!$M$2:$M$2224,Pedidos!$F$2:$F$2224,$B20)-1</f>
        <v>0.550096272864805</v>
      </c>
      <c r="O20" s="17" t="n">
        <f aca="false">AVERAGEIFS(Pedidos!$AJ$2:$AJ$2224,Pedidos!$F$2:$F$2224,$B20)</f>
        <v>2</v>
      </c>
      <c r="P20" s="17" t="n">
        <f aca="false">AVERAGEIFS(Pedidos!$AK$2:$AK$2224,Pedidos!$F$2:$F$2224,$B20)</f>
        <v>5</v>
      </c>
      <c r="Q20" s="14" t="n">
        <f aca="false">MAX(0,1-H20/I20)</f>
        <v>0.223329493598236</v>
      </c>
      <c r="R20" s="4" t="str">
        <f aca="false">IF(J20&lt;=0,"Muito bem",IF(J20&lt;=0.32,"Melhor posição",IF(J20&lt;=0.45,"Intermediária","Precisa melhorar")))</f>
        <v>Melhor posição</v>
      </c>
    </row>
    <row r="21" customFormat="false" ht="15" hidden="false" customHeight="false" outlineLevel="0" collapsed="false">
      <c r="A21" s="4" t="n">
        <v>18</v>
      </c>
      <c r="B21" s="4" t="s">
        <v>176</v>
      </c>
      <c r="C21" s="4" t="str">
        <f aca="false">INDEX(Pedidos!$G$2:$G$2224,MATCH($B21,Pedidos!$F$2:$F$2224,0))</f>
        <v>Interior</v>
      </c>
      <c r="D21" s="10" t="n">
        <f aca="false">COUNTIFS(Pedidos!$F$2:$F$2224,$B21)</f>
        <v>20</v>
      </c>
      <c r="E21" s="14" t="n">
        <f aca="false">D21/Resumo!$B$20</f>
        <v>0.00899685110211426</v>
      </c>
      <c r="F21" s="17" t="n">
        <f aca="false">AVERAGEIFS(Pedidos!$I$2:$I$2224,Pedidos!$F$2:$F$2224,$B21)</f>
        <v>41.5975</v>
      </c>
      <c r="G21" s="12" t="n">
        <f aca="false">AVERAGEIFS(Pedidos!$J$2:$J$2224,Pedidos!$F$2:$F$2224,$B21)</f>
        <v>542.359</v>
      </c>
      <c r="H21" s="12" t="n">
        <f aca="false">AVERAGEIFS(Pedidos!$W$2:$W$2224,Pedidos!$F$2:$F$2224,$B21)</f>
        <v>124.248758863636</v>
      </c>
      <c r="I21" s="12" t="n">
        <f aca="false">AVERAGEIFS(Pedidos!$AF$2:$AF$2224,Pedidos!$F$2:$F$2224,$B21)</f>
        <v>162.323382954545</v>
      </c>
      <c r="J21" s="13" t="n">
        <f aca="false">I21/H21-1</f>
        <v>0.306438667388993</v>
      </c>
      <c r="K21" s="14" t="n">
        <f aca="false">SUMIFS(Pedidos!$W$2:$W$2224,Pedidos!$F$2:$F$2224,$B21)/SUMIFS(Pedidos!$J$2:$J$2224,Pedidos!$F$2:$F$2224,$B21)</f>
        <v>0.229089512414538</v>
      </c>
      <c r="L21" s="14" t="n">
        <f aca="false">SUMIFS(Pedidos!$AF$2:$AF$2224,Pedidos!$F$2:$F$2224,$B21)/SUMIFS(Pedidos!$J$2:$J$2224,Pedidos!$F$2:$F$2224,$B21)</f>
        <v>0.299291397311643</v>
      </c>
      <c r="M21" s="14" t="n">
        <f aca="false">COUNTIFS(Pedidos!$F$2:$F$2224,$B21,Pedidos!$AI$2:$AI$2224,"SIM")/D21</f>
        <v>0</v>
      </c>
      <c r="N21" s="13" t="n">
        <f aca="false">SUMIFS(Pedidos!$X$2:$X$2224,Pedidos!$F$2:$F$2224,$B21)/SUMIFS(Pedidos!$M$2:$M$2224,Pedidos!$F$2:$F$2224,$B21)-1</f>
        <v>0.553649935107735</v>
      </c>
      <c r="O21" s="17" t="n">
        <f aca="false">AVERAGEIFS(Pedidos!$AJ$2:$AJ$2224,Pedidos!$F$2:$F$2224,$B21)</f>
        <v>13</v>
      </c>
      <c r="P21" s="17" t="n">
        <f aca="false">AVERAGEIFS(Pedidos!$AK$2:$AK$2224,Pedidos!$F$2:$F$2224,$B21)</f>
        <v>6</v>
      </c>
      <c r="Q21" s="14" t="n">
        <f aca="false">MAX(0,1-H21/I21)</f>
        <v>0.234560316560005</v>
      </c>
      <c r="R21" s="4" t="str">
        <f aca="false">IF(J21&lt;=0,"Muito bem",IF(J21&lt;=0.32,"Melhor posição",IF(J21&lt;=0.45,"Intermediária","Precisa melhorar")))</f>
        <v>Melhor posição</v>
      </c>
    </row>
    <row r="22" customFormat="false" ht="15" hidden="false" customHeight="false" outlineLevel="0" collapsed="false">
      <c r="A22" s="4" t="n">
        <v>19</v>
      </c>
      <c r="B22" s="4" t="s">
        <v>177</v>
      </c>
      <c r="C22" s="4" t="str">
        <f aca="false">INDEX(Pedidos!$G$2:$G$2224,MATCH($B22,Pedidos!$F$2:$F$2224,0))</f>
        <v>Interior</v>
      </c>
      <c r="D22" s="10" t="n">
        <f aca="false">COUNTIFS(Pedidos!$F$2:$F$2224,$B22)</f>
        <v>18</v>
      </c>
      <c r="E22" s="14" t="n">
        <f aca="false">D22/Resumo!$B$20</f>
        <v>0.00809716599190283</v>
      </c>
      <c r="F22" s="17" t="n">
        <f aca="false">AVERAGEIFS(Pedidos!$I$2:$I$2224,Pedidos!$F$2:$F$2224,$B22)</f>
        <v>57.6383333333333</v>
      </c>
      <c r="G22" s="12" t="n">
        <f aca="false">AVERAGEIFS(Pedidos!$J$2:$J$2224,Pedidos!$F$2:$F$2224,$B22)</f>
        <v>753.064444444445</v>
      </c>
      <c r="H22" s="12" t="n">
        <f aca="false">AVERAGEIFS(Pedidos!$W$2:$W$2224,Pedidos!$F$2:$F$2224,$B22)</f>
        <v>148.971696464646</v>
      </c>
      <c r="I22" s="12" t="n">
        <f aca="false">AVERAGEIFS(Pedidos!$AF$2:$AF$2224,Pedidos!$F$2:$F$2224,$B22)</f>
        <v>219.929638888889</v>
      </c>
      <c r="J22" s="13" t="n">
        <f aca="false">I22/H22-1</f>
        <v>0.476318281312464</v>
      </c>
      <c r="K22" s="14" t="n">
        <f aca="false">SUMIFS(Pedidos!$W$2:$W$2224,Pedidos!$F$2:$F$2224,$B22)/SUMIFS(Pedidos!$J$2:$J$2224,Pedidos!$F$2:$F$2224,$B22)</f>
        <v>0.197820648104754</v>
      </c>
      <c r="L22" s="14" t="n">
        <f aca="false">SUMIFS(Pedidos!$AF$2:$AF$2224,Pedidos!$F$2:$F$2224,$B22)/SUMIFS(Pedidos!$J$2:$J$2224,Pedidos!$F$2:$F$2224,$B22)</f>
        <v>0.292046239218128</v>
      </c>
      <c r="M22" s="14" t="n">
        <f aca="false">COUNTIFS(Pedidos!$F$2:$F$2224,$B22,Pedidos!$AI$2:$AI$2224,"SIM")/D22</f>
        <v>0</v>
      </c>
      <c r="N22" s="13" t="n">
        <f aca="false">SUMIFS(Pedidos!$X$2:$X$2224,Pedidos!$F$2:$F$2224,$B22)/SUMIFS(Pedidos!$M$2:$M$2224,Pedidos!$F$2:$F$2224,$B22)-1</f>
        <v>0.785781766650921</v>
      </c>
      <c r="O22" s="17" t="n">
        <f aca="false">AVERAGEIFS(Pedidos!$AJ$2:$AJ$2224,Pedidos!$F$2:$F$2224,$B22)</f>
        <v>13</v>
      </c>
      <c r="P22" s="17" t="n">
        <f aca="false">AVERAGEIFS(Pedidos!$AK$2:$AK$2224,Pedidos!$F$2:$F$2224,$B22)</f>
        <v>10</v>
      </c>
      <c r="Q22" s="14" t="n">
        <f aca="false">MAX(0,1-H22/I22)</f>
        <v>0.322639289468807</v>
      </c>
      <c r="R22" s="4" t="str">
        <f aca="false">IF(J22&lt;=0,"Muito bem",IF(J22&lt;=0.32,"Melhor posição",IF(J22&lt;=0.45,"Intermediária","Precisa melhorar")))</f>
        <v>Precisa melhorar</v>
      </c>
    </row>
    <row r="23" customFormat="false" ht="15" hidden="false" customHeight="false" outlineLevel="0" collapsed="false">
      <c r="A23" s="4" t="n">
        <v>20</v>
      </c>
      <c r="B23" s="4" t="s">
        <v>178</v>
      </c>
      <c r="C23" s="4" t="str">
        <f aca="false">INDEX(Pedidos!$G$2:$G$2224,MATCH($B23,Pedidos!$F$2:$F$2224,0))</f>
        <v>Interior</v>
      </c>
      <c r="D23" s="10" t="n">
        <f aca="false">COUNTIFS(Pedidos!$F$2:$F$2224,$B23)</f>
        <v>18</v>
      </c>
      <c r="E23" s="14" t="n">
        <f aca="false">D23/Resumo!$B$20</f>
        <v>0.00809716599190283</v>
      </c>
      <c r="F23" s="17" t="n">
        <f aca="false">AVERAGEIFS(Pedidos!$I$2:$I$2224,Pedidos!$F$2:$F$2224,$B23)</f>
        <v>47.4388888888889</v>
      </c>
      <c r="G23" s="12" t="n">
        <f aca="false">AVERAGEIFS(Pedidos!$J$2:$J$2224,Pedidos!$F$2:$F$2224,$B23)</f>
        <v>604.150555555556</v>
      </c>
      <c r="H23" s="12" t="n">
        <f aca="false">AVERAGEIFS(Pedidos!$W$2:$W$2224,Pedidos!$F$2:$F$2224,$B23)</f>
        <v>132.724986237374</v>
      </c>
      <c r="I23" s="12" t="n">
        <f aca="false">AVERAGEIFS(Pedidos!$AF$2:$AF$2224,Pedidos!$F$2:$F$2224,$B23)</f>
        <v>190.529932449495</v>
      </c>
      <c r="J23" s="13" t="n">
        <f aca="false">I23/H23-1</f>
        <v>0.435524220803001</v>
      </c>
      <c r="K23" s="14" t="n">
        <f aca="false">SUMIFS(Pedidos!$W$2:$W$2224,Pedidos!$F$2:$F$2224,$B23)/SUMIFS(Pedidos!$J$2:$J$2224,Pedidos!$F$2:$F$2224,$B23)</f>
        <v>0.219688594203682</v>
      </c>
      <c r="L23" s="14" t="n">
        <f aca="false">SUMIFS(Pedidos!$AF$2:$AF$2224,Pedidos!$F$2:$F$2224,$B23)/SUMIFS(Pedidos!$J$2:$J$2224,Pedidos!$F$2:$F$2224,$B23)</f>
        <v>0.315368298013548</v>
      </c>
      <c r="M23" s="14" t="n">
        <f aca="false">COUNTIFS(Pedidos!$F$2:$F$2224,$B23,Pedidos!$AI$2:$AI$2224,"SIM")/D23</f>
        <v>0</v>
      </c>
      <c r="N23" s="13" t="n">
        <f aca="false">SUMIFS(Pedidos!$X$2:$X$2224,Pedidos!$F$2:$F$2224,$B23)/SUMIFS(Pedidos!$M$2:$M$2224,Pedidos!$F$2:$F$2224,$B23)-1</f>
        <v>0.739456879222043</v>
      </c>
      <c r="O23" s="17" t="n">
        <f aca="false">AVERAGEIFS(Pedidos!$AJ$2:$AJ$2224,Pedidos!$F$2:$F$2224,$B23)</f>
        <v>13</v>
      </c>
      <c r="P23" s="17" t="n">
        <f aca="false">AVERAGEIFS(Pedidos!$AK$2:$AK$2224,Pedidos!$F$2:$F$2224,$B23)</f>
        <v>10</v>
      </c>
      <c r="Q23" s="14" t="n">
        <f aca="false">MAX(0,1-H23/I23)</f>
        <v>0.303390367429244</v>
      </c>
      <c r="R23" s="4" t="str">
        <f aca="false">IF(J23&lt;=0,"Muito bem",IF(J23&lt;=0.32,"Melhor posição",IF(J23&lt;=0.45,"Intermediária","Precisa melhorar")))</f>
        <v>Intermediária</v>
      </c>
    </row>
    <row r="24" customFormat="false" ht="15" hidden="false" customHeight="false" outlineLevel="0" collapsed="false">
      <c r="B24" s="21" t="s">
        <v>179</v>
      </c>
      <c r="D24" s="28" t="n">
        <f aca="false">SUM(D4:D23)</f>
        <v>1912</v>
      </c>
      <c r="E24" s="29" t="n">
        <f aca="false">D24/Resumo!$B$20</f>
        <v>0.860098965362123</v>
      </c>
      <c r="F24" s="30" t="n">
        <f aca="false">AVERAGEIFS(Pedidos!$I$2:$I$2224,Pedidos!$AL$2:$AL$2224,"SIM")</f>
        <v>49.454440376569</v>
      </c>
      <c r="G24" s="22" t="n">
        <f aca="false">AVERAGEIFS(Pedidos!$J$2:$J$2224,Pedidos!$AL$2:$AL$2224,"SIM")</f>
        <v>636.045360878661</v>
      </c>
      <c r="H24" s="22" t="n">
        <f aca="false">AVERAGEIFS(Pedidos!$W$2:$W$2224,Pedidos!$AL$2:$AL$2224,"SIM")</f>
        <v>118.219979475323</v>
      </c>
      <c r="I24" s="22" t="n">
        <f aca="false">AVERAGEIFS(Pedidos!$AF$2:$AF$2224,Pedidos!$AL$2:$AL$2224,"SIM")</f>
        <v>169.566325236544</v>
      </c>
      <c r="J24" s="23" t="n">
        <f aca="false">I24/H24-1</f>
        <v>0.434328833324986</v>
      </c>
      <c r="K24" s="29" t="n">
        <f aca="false">SUMIFS(Pedidos!$W$2:$W$2224,Pedidos!$AL$2:$AL$2224,"SIM")/SUMIFS(Pedidos!$J$2:$J$2224,Pedidos!$AL$2:$AL$2224,"SIM")</f>
        <v>0.185867214426356</v>
      </c>
      <c r="L24" s="29" t="n">
        <f aca="false">SUMIFS(Pedidos!$AF$2:$AF$2224,Pedidos!$AL$2:$AL$2224,"SIM")/SUMIFS(Pedidos!$J$2:$J$2224,Pedidos!$AL$2:$AL$2224,"SIM")</f>
        <v>0.266594704821521</v>
      </c>
      <c r="M24" s="29" t="n">
        <f aca="false">COUNTIFS(Pedidos!$AL$2:$AL$2224,"SIM",Pedidos!$AI$2:$AI$2224,"SIM")/D24</f>
        <v>0.00732217573221757</v>
      </c>
      <c r="N24" s="23" t="n">
        <f aca="false">SUMIFS(Pedidos!$X$2:$X$2224,Pedidos!$AL$2:$AL$2224,"SIM")/SUMIFS(Pedidos!$M$2:$M$2224,Pedidos!$AL$2:$AL$2224,"SIM")-1</f>
        <v>0.806592429509469</v>
      </c>
      <c r="O24" s="30" t="n">
        <f aca="false">AVERAGEIFS(Pedidos!$AJ$2:$AJ$2224,Pedidos!$AL$2:$AL$2224,"SIM")</f>
        <v>4.13441422594142</v>
      </c>
      <c r="P24" s="30" t="n">
        <f aca="false">AVERAGEIFS(Pedidos!$AK$2:$AK$2224,Pedidos!$AL$2:$AL$2224,"SIM")</f>
        <v>6.06903765690377</v>
      </c>
      <c r="Q24" s="29" t="n">
        <f aca="false">MAX(0,1-H24/I24)</f>
        <v>0.302809804302789</v>
      </c>
    </row>
    <row r="26" customFormat="false" ht="15" hidden="false" customHeight="false" outlineLevel="0" collapsed="false">
      <c r="A26" s="20" t="s">
        <v>180</v>
      </c>
    </row>
  </sheetData>
  <conditionalFormatting sqref="J4:J2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4:N23">
    <cfRule type="colorScale" priority="3">
      <colorScale>
        <cfvo type="num" val="-0.3"/>
        <cfvo type="num" val="0"/>
        <cfvo type="num" val="1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15" min="3" style="0" width="10"/>
  </cols>
  <sheetData>
    <row r="1" customFormat="false" ht="17.35" hidden="false" customHeight="false" outlineLevel="0" collapsed="false">
      <c r="A1" s="1" t="s">
        <v>181</v>
      </c>
    </row>
    <row r="4" customFormat="false" ht="15" hidden="false" customHeight="false" outlineLevel="0" collapsed="false">
      <c r="A4" s="2" t="s">
        <v>182</v>
      </c>
    </row>
    <row r="5" customFormat="false" ht="30" hidden="false" customHeight="true" outlineLevel="0" collapsed="false">
      <c r="A5" s="31" t="s">
        <v>143</v>
      </c>
      <c r="B5" s="31" t="s">
        <v>144</v>
      </c>
      <c r="C5" s="31" t="s">
        <v>183</v>
      </c>
      <c r="D5" s="31" t="s">
        <v>184</v>
      </c>
      <c r="E5" s="31" t="s">
        <v>185</v>
      </c>
      <c r="F5" s="31" t="s">
        <v>186</v>
      </c>
      <c r="G5" s="31" t="s">
        <v>187</v>
      </c>
      <c r="H5" s="31" t="s">
        <v>188</v>
      </c>
      <c r="I5" s="31" t="s">
        <v>189</v>
      </c>
      <c r="J5" s="31" t="s">
        <v>190</v>
      </c>
      <c r="K5" s="31" t="s">
        <v>191</v>
      </c>
      <c r="L5" s="31" t="s">
        <v>192</v>
      </c>
      <c r="M5" s="31" t="s">
        <v>193</v>
      </c>
      <c r="N5" s="31" t="s">
        <v>194</v>
      </c>
      <c r="O5" s="31" t="s">
        <v>195</v>
      </c>
    </row>
    <row r="6" customFormat="false" ht="15" hidden="false" customHeight="false" outlineLevel="0" collapsed="false">
      <c r="A6" s="4" t="s">
        <v>159</v>
      </c>
      <c r="B6" s="4" t="s">
        <v>196</v>
      </c>
      <c r="C6" s="7" t="n">
        <v>46.98</v>
      </c>
      <c r="D6" s="7" t="n">
        <v>82.21</v>
      </c>
      <c r="E6" s="7" t="n">
        <v>93.97</v>
      </c>
      <c r="F6" s="7" t="n">
        <v>93.97</v>
      </c>
      <c r="G6" s="7" t="n">
        <v>112.3</v>
      </c>
      <c r="H6" s="7" t="n">
        <v>131.02</v>
      </c>
      <c r="I6" s="7" t="n">
        <v>134.39</v>
      </c>
      <c r="J6" s="7" t="n">
        <v>167.99</v>
      </c>
      <c r="K6" s="7" t="n">
        <v>201.59</v>
      </c>
      <c r="L6" s="7" t="n">
        <v>239.25</v>
      </c>
      <c r="M6" s="7" t="n">
        <v>271.15</v>
      </c>
      <c r="N6" s="7" t="n">
        <v>319</v>
      </c>
      <c r="O6" s="7" t="n">
        <v>398.74</v>
      </c>
    </row>
    <row r="7" customFormat="false" ht="15" hidden="false" customHeight="false" outlineLevel="0" collapsed="false">
      <c r="A7" s="4" t="s">
        <v>160</v>
      </c>
      <c r="B7" s="4" t="s">
        <v>197</v>
      </c>
      <c r="C7" s="7" t="n">
        <v>57.47</v>
      </c>
      <c r="D7" s="7" t="n">
        <v>100.58</v>
      </c>
      <c r="E7" s="7" t="n">
        <v>114.95</v>
      </c>
      <c r="F7" s="7" t="n">
        <v>114.95</v>
      </c>
      <c r="G7" s="7" t="n">
        <v>128.14</v>
      </c>
      <c r="H7" s="7" t="n">
        <v>149.5</v>
      </c>
      <c r="I7" s="7" t="n">
        <v>142.74</v>
      </c>
      <c r="J7" s="7" t="n">
        <v>178.42</v>
      </c>
      <c r="K7" s="7" t="n">
        <v>214.11</v>
      </c>
      <c r="L7" s="7" t="n">
        <v>249.03</v>
      </c>
      <c r="M7" s="7" t="n">
        <v>282.23</v>
      </c>
      <c r="N7" s="7" t="n">
        <v>332.05</v>
      </c>
      <c r="O7" s="7" t="n">
        <v>415.05</v>
      </c>
    </row>
    <row r="8" customFormat="false" ht="15" hidden="false" customHeight="false" outlineLevel="0" collapsed="false">
      <c r="A8" s="4" t="s">
        <v>161</v>
      </c>
      <c r="B8" s="4" t="s">
        <v>197</v>
      </c>
      <c r="C8" s="7" t="n">
        <v>46.98</v>
      </c>
      <c r="D8" s="7" t="n">
        <v>82.21</v>
      </c>
      <c r="E8" s="7" t="n">
        <v>93.97</v>
      </c>
      <c r="F8" s="7" t="n">
        <v>93.97</v>
      </c>
      <c r="G8" s="7" t="n">
        <v>112.3</v>
      </c>
      <c r="H8" s="7" t="n">
        <v>131.02</v>
      </c>
      <c r="I8" s="7" t="n">
        <v>134.39</v>
      </c>
      <c r="J8" s="7" t="n">
        <v>167.99</v>
      </c>
      <c r="K8" s="7" t="n">
        <v>201.59</v>
      </c>
      <c r="L8" s="7" t="n">
        <v>239.25</v>
      </c>
      <c r="M8" s="7" t="n">
        <v>271.15</v>
      </c>
      <c r="N8" s="7" t="n">
        <v>319</v>
      </c>
      <c r="O8" s="7" t="n">
        <v>398.74</v>
      </c>
    </row>
    <row r="9" customFormat="false" ht="15" hidden="false" customHeight="false" outlineLevel="0" collapsed="false">
      <c r="A9" s="4" t="s">
        <v>162</v>
      </c>
      <c r="B9" s="4" t="s">
        <v>197</v>
      </c>
      <c r="C9" s="7" t="n">
        <v>46.98</v>
      </c>
      <c r="D9" s="7" t="n">
        <v>82.21</v>
      </c>
      <c r="E9" s="7" t="n">
        <v>93.97</v>
      </c>
      <c r="F9" s="7" t="n">
        <v>93.97</v>
      </c>
      <c r="G9" s="7" t="n">
        <v>112.3</v>
      </c>
      <c r="H9" s="7" t="n">
        <v>131.02</v>
      </c>
      <c r="I9" s="7" t="n">
        <v>134.39</v>
      </c>
      <c r="J9" s="7" t="n">
        <v>167.99</v>
      </c>
      <c r="K9" s="7" t="n">
        <v>201.59</v>
      </c>
      <c r="L9" s="7" t="n">
        <v>239.25</v>
      </c>
      <c r="M9" s="7" t="n">
        <v>271.15</v>
      </c>
      <c r="N9" s="7" t="n">
        <v>319</v>
      </c>
      <c r="O9" s="7" t="n">
        <v>398.74</v>
      </c>
    </row>
    <row r="10" customFormat="false" ht="15" hidden="false" customHeight="false" outlineLevel="0" collapsed="false">
      <c r="A10" s="4" t="s">
        <v>163</v>
      </c>
      <c r="B10" s="4" t="s">
        <v>197</v>
      </c>
      <c r="C10" s="7" t="n">
        <v>57.47</v>
      </c>
      <c r="D10" s="7" t="n">
        <v>100.58</v>
      </c>
      <c r="E10" s="7" t="n">
        <v>114.95</v>
      </c>
      <c r="F10" s="7" t="n">
        <v>114.95</v>
      </c>
      <c r="G10" s="7" t="n">
        <v>128.14</v>
      </c>
      <c r="H10" s="7" t="n">
        <v>149.5</v>
      </c>
      <c r="I10" s="7" t="n">
        <v>142.74</v>
      </c>
      <c r="J10" s="7" t="n">
        <v>178.42</v>
      </c>
      <c r="K10" s="7" t="n">
        <v>214.11</v>
      </c>
      <c r="L10" s="7" t="n">
        <v>249.03</v>
      </c>
      <c r="M10" s="7" t="n">
        <v>282.23</v>
      </c>
      <c r="N10" s="7" t="n">
        <v>332.05</v>
      </c>
      <c r="O10" s="7" t="n">
        <v>415.05</v>
      </c>
    </row>
    <row r="11" customFormat="false" ht="15" hidden="false" customHeight="false" outlineLevel="0" collapsed="false">
      <c r="A11" s="4" t="s">
        <v>164</v>
      </c>
      <c r="B11" s="4" t="s">
        <v>198</v>
      </c>
      <c r="C11" s="7" t="n">
        <v>124.04</v>
      </c>
      <c r="D11" s="7" t="n">
        <v>138.29</v>
      </c>
      <c r="E11" s="7" t="n">
        <v>143.04</v>
      </c>
      <c r="F11" s="7" t="n">
        <v>152.54</v>
      </c>
      <c r="G11" s="7" t="n">
        <v>162.04</v>
      </c>
      <c r="H11" s="7" t="n">
        <v>171.54</v>
      </c>
      <c r="I11" s="7" t="n">
        <v>181.04</v>
      </c>
      <c r="J11" s="7" t="n">
        <v>200.04</v>
      </c>
      <c r="K11" s="7" t="n">
        <v>236.82</v>
      </c>
      <c r="L11" s="7" t="n">
        <v>264.84</v>
      </c>
      <c r="M11" s="7" t="n">
        <v>300.15</v>
      </c>
      <c r="N11" s="7" t="n">
        <v>353.17</v>
      </c>
      <c r="O11" s="7" t="n">
        <v>441.4</v>
      </c>
    </row>
    <row r="12" customFormat="false" ht="15" hidden="false" customHeight="false" outlineLevel="0" collapsed="false">
      <c r="A12" s="4" t="s">
        <v>165</v>
      </c>
      <c r="B12" s="4" t="s">
        <v>197</v>
      </c>
      <c r="C12" s="7" t="n">
        <v>46.98</v>
      </c>
      <c r="D12" s="7" t="n">
        <v>82.21</v>
      </c>
      <c r="E12" s="7" t="n">
        <v>93.97</v>
      </c>
      <c r="F12" s="7" t="n">
        <v>93.97</v>
      </c>
      <c r="G12" s="7" t="n">
        <v>112.3</v>
      </c>
      <c r="H12" s="7" t="n">
        <v>131.02</v>
      </c>
      <c r="I12" s="7" t="n">
        <v>134.39</v>
      </c>
      <c r="J12" s="7" t="n">
        <v>167.99</v>
      </c>
      <c r="K12" s="7" t="n">
        <v>201.59</v>
      </c>
      <c r="L12" s="7" t="n">
        <v>239.25</v>
      </c>
      <c r="M12" s="7" t="n">
        <v>271.15</v>
      </c>
      <c r="N12" s="7" t="n">
        <v>319</v>
      </c>
      <c r="O12" s="7" t="n">
        <v>398.74</v>
      </c>
    </row>
    <row r="13" customFormat="false" ht="15" hidden="false" customHeight="false" outlineLevel="0" collapsed="false">
      <c r="A13" s="4" t="s">
        <v>166</v>
      </c>
      <c r="B13" s="4" t="s">
        <v>198</v>
      </c>
      <c r="C13" s="7" t="n">
        <v>124.04</v>
      </c>
      <c r="D13" s="7" t="n">
        <v>138.29</v>
      </c>
      <c r="E13" s="7" t="n">
        <v>143.04</v>
      </c>
      <c r="F13" s="7" t="n">
        <v>152.54</v>
      </c>
      <c r="G13" s="7" t="n">
        <v>162.04</v>
      </c>
      <c r="H13" s="7" t="n">
        <v>171.54</v>
      </c>
      <c r="I13" s="7" t="n">
        <v>181.04</v>
      </c>
      <c r="J13" s="7" t="n">
        <v>200.04</v>
      </c>
      <c r="K13" s="7" t="n">
        <v>236.82</v>
      </c>
      <c r="L13" s="7" t="n">
        <v>264.84</v>
      </c>
      <c r="M13" s="7" t="n">
        <v>300.15</v>
      </c>
      <c r="N13" s="7" t="n">
        <v>353.17</v>
      </c>
      <c r="O13" s="7" t="n">
        <v>441.4</v>
      </c>
    </row>
    <row r="14" customFormat="false" ht="15" hidden="false" customHeight="false" outlineLevel="0" collapsed="false">
      <c r="A14" s="4" t="s">
        <v>167</v>
      </c>
      <c r="B14" s="4" t="s">
        <v>197</v>
      </c>
      <c r="C14" s="7" t="n">
        <v>46.98</v>
      </c>
      <c r="D14" s="7" t="n">
        <v>82.21</v>
      </c>
      <c r="E14" s="7" t="n">
        <v>93.97</v>
      </c>
      <c r="F14" s="7" t="n">
        <v>93.97</v>
      </c>
      <c r="G14" s="7" t="n">
        <v>112.3</v>
      </c>
      <c r="H14" s="7" t="n">
        <v>131.02</v>
      </c>
      <c r="I14" s="7" t="n">
        <v>134.39</v>
      </c>
      <c r="J14" s="7" t="n">
        <v>167.99</v>
      </c>
      <c r="K14" s="7" t="n">
        <v>201.59</v>
      </c>
      <c r="L14" s="7" t="n">
        <v>239.25</v>
      </c>
      <c r="M14" s="7" t="n">
        <v>271.15</v>
      </c>
      <c r="N14" s="7" t="n">
        <v>319</v>
      </c>
      <c r="O14" s="7" t="n">
        <v>398.74</v>
      </c>
    </row>
    <row r="15" customFormat="false" ht="15" hidden="false" customHeight="false" outlineLevel="0" collapsed="false">
      <c r="A15" s="4" t="s">
        <v>168</v>
      </c>
      <c r="B15" s="4" t="s">
        <v>198</v>
      </c>
      <c r="C15" s="7" t="n">
        <v>77.35</v>
      </c>
      <c r="D15" s="7" t="n">
        <v>108.83</v>
      </c>
      <c r="E15" s="7" t="n">
        <v>124.38</v>
      </c>
      <c r="F15" s="7" t="n">
        <v>124.38</v>
      </c>
      <c r="G15" s="7" t="n">
        <v>142.32</v>
      </c>
      <c r="H15" s="7" t="n">
        <v>166.05</v>
      </c>
      <c r="I15" s="7" t="n">
        <v>157.88</v>
      </c>
      <c r="J15" s="7" t="n">
        <v>197.35</v>
      </c>
      <c r="K15" s="7" t="n">
        <v>236.82</v>
      </c>
      <c r="L15" s="7" t="n">
        <v>264.84</v>
      </c>
      <c r="M15" s="7" t="n">
        <v>300.15</v>
      </c>
      <c r="N15" s="7" t="n">
        <v>353.12</v>
      </c>
      <c r="O15" s="7" t="n">
        <v>441.4</v>
      </c>
    </row>
    <row r="16" customFormat="false" ht="15" hidden="false" customHeight="false" outlineLevel="0" collapsed="false">
      <c r="A16" s="4" t="s">
        <v>169</v>
      </c>
      <c r="B16" s="4" t="s">
        <v>198</v>
      </c>
      <c r="C16" s="7" t="n">
        <v>77.35</v>
      </c>
      <c r="D16" s="7" t="n">
        <v>108.83</v>
      </c>
      <c r="E16" s="7" t="n">
        <v>124.38</v>
      </c>
      <c r="F16" s="7" t="n">
        <v>124.38</v>
      </c>
      <c r="G16" s="7" t="n">
        <v>142.32</v>
      </c>
      <c r="H16" s="7" t="n">
        <v>166.05</v>
      </c>
      <c r="I16" s="7" t="n">
        <v>157.88</v>
      </c>
      <c r="J16" s="7" t="n">
        <v>197.35</v>
      </c>
      <c r="K16" s="7" t="n">
        <v>236.82</v>
      </c>
      <c r="L16" s="7" t="n">
        <v>264.84</v>
      </c>
      <c r="M16" s="7" t="n">
        <v>300.15</v>
      </c>
      <c r="N16" s="7" t="n">
        <v>353.12</v>
      </c>
      <c r="O16" s="7" t="n">
        <v>441.4</v>
      </c>
    </row>
    <row r="17" customFormat="false" ht="15" hidden="false" customHeight="false" outlineLevel="0" collapsed="false">
      <c r="A17" s="4" t="s">
        <v>170</v>
      </c>
      <c r="B17" s="4" t="s">
        <v>198</v>
      </c>
      <c r="C17" s="7" t="n">
        <v>89.03</v>
      </c>
      <c r="D17" s="7" t="n">
        <v>108.83</v>
      </c>
      <c r="E17" s="7" t="n">
        <v>124.38</v>
      </c>
      <c r="F17" s="7" t="n">
        <v>124.38</v>
      </c>
      <c r="G17" s="7" t="n">
        <v>142.32</v>
      </c>
      <c r="H17" s="7" t="n">
        <v>166.05</v>
      </c>
      <c r="I17" s="7" t="n">
        <v>166.05</v>
      </c>
      <c r="J17" s="7" t="n">
        <v>197.35</v>
      </c>
      <c r="K17" s="7" t="n">
        <v>236.82</v>
      </c>
      <c r="L17" s="7" t="n">
        <v>264.84</v>
      </c>
      <c r="M17" s="7" t="n">
        <v>300.15</v>
      </c>
      <c r="N17" s="7" t="n">
        <v>353.12</v>
      </c>
      <c r="O17" s="7" t="n">
        <v>441.4</v>
      </c>
    </row>
    <row r="18" customFormat="false" ht="15" hidden="false" customHeight="false" outlineLevel="0" collapsed="false">
      <c r="A18" s="4" t="s">
        <v>171</v>
      </c>
      <c r="B18" s="4" t="s">
        <v>198</v>
      </c>
      <c r="C18" s="7" t="n">
        <v>57.47</v>
      </c>
      <c r="D18" s="7" t="n">
        <v>100.58</v>
      </c>
      <c r="E18" s="7" t="n">
        <v>114.95</v>
      </c>
      <c r="F18" s="7" t="n">
        <v>114.95</v>
      </c>
      <c r="G18" s="7" t="n">
        <v>128.14</v>
      </c>
      <c r="H18" s="7" t="n">
        <v>149.5</v>
      </c>
      <c r="I18" s="7" t="n">
        <v>142.74</v>
      </c>
      <c r="J18" s="7" t="n">
        <v>178.42</v>
      </c>
      <c r="K18" s="7" t="n">
        <v>214.11</v>
      </c>
      <c r="L18" s="7" t="n">
        <v>249.03</v>
      </c>
      <c r="M18" s="7" t="n">
        <v>282.23</v>
      </c>
      <c r="N18" s="7" t="n">
        <v>332.05</v>
      </c>
      <c r="O18" s="7" t="n">
        <v>415.05</v>
      </c>
    </row>
    <row r="19" customFormat="false" ht="15" hidden="false" customHeight="false" outlineLevel="0" collapsed="false">
      <c r="A19" s="4" t="s">
        <v>172</v>
      </c>
      <c r="B19" s="4" t="s">
        <v>198</v>
      </c>
      <c r="C19" s="7" t="n">
        <v>100.7</v>
      </c>
      <c r="D19" s="7" t="n">
        <v>114.95</v>
      </c>
      <c r="E19" s="7" t="n">
        <v>124.38</v>
      </c>
      <c r="F19" s="7" t="n">
        <v>129.29</v>
      </c>
      <c r="G19" s="7" t="n">
        <v>142.32</v>
      </c>
      <c r="H19" s="7" t="n">
        <v>166.05</v>
      </c>
      <c r="I19" s="7" t="n">
        <v>166.05</v>
      </c>
      <c r="J19" s="7" t="n">
        <v>197.35</v>
      </c>
      <c r="K19" s="7" t="n">
        <v>236.82</v>
      </c>
      <c r="L19" s="7" t="n">
        <v>264.84</v>
      </c>
      <c r="M19" s="7" t="n">
        <v>300.15</v>
      </c>
      <c r="N19" s="7" t="n">
        <v>353.12</v>
      </c>
      <c r="O19" s="7" t="n">
        <v>441.4</v>
      </c>
    </row>
    <row r="20" customFormat="false" ht="15" hidden="false" customHeight="false" outlineLevel="0" collapsed="false">
      <c r="A20" s="4" t="s">
        <v>173</v>
      </c>
      <c r="B20" s="4" t="s">
        <v>198</v>
      </c>
      <c r="C20" s="7" t="n">
        <v>100.7</v>
      </c>
      <c r="D20" s="7" t="n">
        <v>114.95</v>
      </c>
      <c r="E20" s="7" t="n">
        <v>124.38</v>
      </c>
      <c r="F20" s="7" t="n">
        <v>129.29</v>
      </c>
      <c r="G20" s="7" t="n">
        <v>142.32</v>
      </c>
      <c r="H20" s="7" t="n">
        <v>166.05</v>
      </c>
      <c r="I20" s="7" t="n">
        <v>166.05</v>
      </c>
      <c r="J20" s="7" t="n">
        <v>197.35</v>
      </c>
      <c r="K20" s="7" t="n">
        <v>236.82</v>
      </c>
      <c r="L20" s="7" t="n">
        <v>264.84</v>
      </c>
      <c r="M20" s="7" t="n">
        <v>300.15</v>
      </c>
      <c r="N20" s="7" t="n">
        <v>353.12</v>
      </c>
      <c r="O20" s="7" t="n">
        <v>441.4</v>
      </c>
    </row>
    <row r="21" customFormat="false" ht="15" hidden="false" customHeight="false" outlineLevel="0" collapsed="false">
      <c r="A21" s="4" t="s">
        <v>174</v>
      </c>
      <c r="B21" s="4" t="s">
        <v>198</v>
      </c>
      <c r="C21" s="7" t="n">
        <v>57.47</v>
      </c>
      <c r="D21" s="7" t="n">
        <v>100.58</v>
      </c>
      <c r="E21" s="7" t="n">
        <v>114.95</v>
      </c>
      <c r="F21" s="7" t="n">
        <v>114.95</v>
      </c>
      <c r="G21" s="7" t="n">
        <v>128.14</v>
      </c>
      <c r="H21" s="7" t="n">
        <v>149.5</v>
      </c>
      <c r="I21" s="7" t="n">
        <v>142.74</v>
      </c>
      <c r="J21" s="7" t="n">
        <v>178.42</v>
      </c>
      <c r="K21" s="7" t="n">
        <v>214.11</v>
      </c>
      <c r="L21" s="7" t="n">
        <v>249.03</v>
      </c>
      <c r="M21" s="7" t="n">
        <v>282.23</v>
      </c>
      <c r="N21" s="7" t="n">
        <v>332.05</v>
      </c>
      <c r="O21" s="7" t="n">
        <v>415.05</v>
      </c>
    </row>
    <row r="22" customFormat="false" ht="15" hidden="false" customHeight="false" outlineLevel="0" collapsed="false">
      <c r="A22" s="4" t="s">
        <v>175</v>
      </c>
      <c r="B22" s="4" t="s">
        <v>197</v>
      </c>
      <c r="C22" s="7" t="n">
        <v>46.98</v>
      </c>
      <c r="D22" s="7" t="n">
        <v>82.21</v>
      </c>
      <c r="E22" s="7" t="n">
        <v>93.97</v>
      </c>
      <c r="F22" s="7" t="n">
        <v>93.97</v>
      </c>
      <c r="G22" s="7" t="n">
        <v>112.3</v>
      </c>
      <c r="H22" s="7" t="n">
        <v>131.02</v>
      </c>
      <c r="I22" s="7" t="n">
        <v>134.39</v>
      </c>
      <c r="J22" s="7" t="n">
        <v>167.99</v>
      </c>
      <c r="K22" s="7" t="n">
        <v>201.59</v>
      </c>
      <c r="L22" s="7" t="n">
        <v>239.25</v>
      </c>
      <c r="M22" s="7" t="n">
        <v>271.15</v>
      </c>
      <c r="N22" s="7" t="n">
        <v>319</v>
      </c>
      <c r="O22" s="7" t="n">
        <v>398.74</v>
      </c>
    </row>
    <row r="23" customFormat="false" ht="15" hidden="false" customHeight="false" outlineLevel="0" collapsed="false">
      <c r="A23" s="4" t="s">
        <v>176</v>
      </c>
      <c r="B23" s="4" t="s">
        <v>198</v>
      </c>
      <c r="C23" s="7" t="n">
        <v>89.03</v>
      </c>
      <c r="D23" s="7" t="n">
        <v>103.28</v>
      </c>
      <c r="E23" s="7" t="n">
        <v>108.03</v>
      </c>
      <c r="F23" s="7" t="n">
        <v>117.23</v>
      </c>
      <c r="G23" s="7" t="n">
        <v>127.03</v>
      </c>
      <c r="H23" s="7" t="n">
        <v>136.53</v>
      </c>
      <c r="I23" s="7" t="n">
        <v>146.03</v>
      </c>
      <c r="J23" s="7" t="n">
        <v>167.99</v>
      </c>
      <c r="K23" s="7" t="n">
        <v>201.59</v>
      </c>
      <c r="L23" s="7" t="n">
        <v>239.25</v>
      </c>
      <c r="M23" s="7" t="n">
        <v>271.15</v>
      </c>
      <c r="N23" s="7" t="n">
        <v>319</v>
      </c>
      <c r="O23" s="7" t="n">
        <v>398.74</v>
      </c>
    </row>
    <row r="24" customFormat="false" ht="15" hidden="false" customHeight="false" outlineLevel="0" collapsed="false">
      <c r="A24" s="4" t="s">
        <v>177</v>
      </c>
      <c r="B24" s="4" t="s">
        <v>198</v>
      </c>
      <c r="C24" s="7" t="n">
        <v>106.53</v>
      </c>
      <c r="D24" s="7" t="n">
        <v>120.78</v>
      </c>
      <c r="E24" s="7" t="n">
        <v>125.63</v>
      </c>
      <c r="F24" s="7" t="n">
        <v>135.03</v>
      </c>
      <c r="G24" s="7" t="n">
        <v>144.53</v>
      </c>
      <c r="H24" s="7" t="n">
        <v>166.05</v>
      </c>
      <c r="I24" s="7" t="n">
        <v>166.05</v>
      </c>
      <c r="J24" s="7" t="n">
        <v>197.35</v>
      </c>
      <c r="K24" s="7" t="n">
        <v>236.82</v>
      </c>
      <c r="L24" s="7" t="n">
        <v>264.84</v>
      </c>
      <c r="M24" s="7" t="n">
        <v>300.15</v>
      </c>
      <c r="N24" s="7" t="n">
        <v>353.12</v>
      </c>
      <c r="O24" s="7" t="n">
        <v>441.4</v>
      </c>
    </row>
    <row r="25" customFormat="false" ht="15" hidden="false" customHeight="false" outlineLevel="0" collapsed="false">
      <c r="A25" s="4" t="s">
        <v>178</v>
      </c>
      <c r="B25" s="4" t="s">
        <v>198</v>
      </c>
      <c r="C25" s="7" t="n">
        <v>100.7</v>
      </c>
      <c r="D25" s="7" t="n">
        <v>114.95</v>
      </c>
      <c r="E25" s="7" t="n">
        <v>124.38</v>
      </c>
      <c r="F25" s="7" t="n">
        <v>129.29</v>
      </c>
      <c r="G25" s="7" t="n">
        <v>142.32</v>
      </c>
      <c r="H25" s="7" t="n">
        <v>166.05</v>
      </c>
      <c r="I25" s="7" t="n">
        <v>166.05</v>
      </c>
      <c r="J25" s="7" t="n">
        <v>197.35</v>
      </c>
      <c r="K25" s="7" t="n">
        <v>236.82</v>
      </c>
      <c r="L25" s="7" t="n">
        <v>264.84</v>
      </c>
      <c r="M25" s="7" t="n">
        <v>300.15</v>
      </c>
      <c r="N25" s="7" t="n">
        <v>353.12</v>
      </c>
      <c r="O25" s="7" t="n">
        <v>441.4</v>
      </c>
    </row>
    <row r="27" customFormat="false" ht="15" hidden="false" customHeight="false" outlineLevel="0" collapsed="false">
      <c r="A27" s="2" t="s">
        <v>199</v>
      </c>
    </row>
    <row r="28" customFormat="false" ht="30" hidden="false" customHeight="true" outlineLevel="0" collapsed="false">
      <c r="A28" s="32" t="s">
        <v>143</v>
      </c>
      <c r="B28" s="32" t="s">
        <v>144</v>
      </c>
      <c r="C28" s="32" t="s">
        <v>183</v>
      </c>
      <c r="D28" s="32" t="s">
        <v>184</v>
      </c>
      <c r="E28" s="32" t="s">
        <v>185</v>
      </c>
      <c r="F28" s="32" t="s">
        <v>186</v>
      </c>
      <c r="G28" s="32" t="s">
        <v>187</v>
      </c>
      <c r="H28" s="32" t="s">
        <v>188</v>
      </c>
      <c r="I28" s="32" t="s">
        <v>189</v>
      </c>
      <c r="J28" s="32" t="s">
        <v>190</v>
      </c>
      <c r="K28" s="32" t="s">
        <v>191</v>
      </c>
      <c r="L28" s="32" t="s">
        <v>192</v>
      </c>
      <c r="M28" s="32" t="s">
        <v>193</v>
      </c>
      <c r="N28" s="32" t="s">
        <v>194</v>
      </c>
      <c r="O28" s="32" t="s">
        <v>195</v>
      </c>
    </row>
    <row r="29" customFormat="false" ht="15" hidden="false" customHeight="false" outlineLevel="0" collapsed="false">
      <c r="A29" s="4" t="s">
        <v>159</v>
      </c>
      <c r="B29" s="4" t="s">
        <v>196</v>
      </c>
      <c r="C29" s="7" t="n">
        <v>33.42</v>
      </c>
      <c r="D29" s="7" t="n">
        <v>42.11</v>
      </c>
      <c r="E29" s="7" t="n">
        <v>48.35</v>
      </c>
      <c r="F29" s="7" t="n">
        <v>53.55</v>
      </c>
      <c r="G29" s="7" t="n">
        <v>58.6</v>
      </c>
      <c r="H29" s="7" t="n">
        <v>63.21</v>
      </c>
      <c r="I29" s="7" t="n">
        <v>68.88</v>
      </c>
      <c r="J29" s="7" t="n">
        <v>83.79</v>
      </c>
      <c r="K29" s="7" t="n">
        <v>92.34</v>
      </c>
      <c r="L29" s="7" t="n">
        <v>120.59</v>
      </c>
      <c r="M29" s="7" t="n">
        <v>130.31</v>
      </c>
      <c r="N29" s="7" t="n">
        <v>144.9</v>
      </c>
      <c r="O29" s="7" t="n">
        <v>181.55</v>
      </c>
    </row>
    <row r="30" customFormat="false" ht="15" hidden="false" customHeight="false" outlineLevel="0" collapsed="false">
      <c r="A30" s="4" t="s">
        <v>160</v>
      </c>
      <c r="B30" s="4" t="s">
        <v>197</v>
      </c>
      <c r="C30" s="7" t="n">
        <v>42.72</v>
      </c>
      <c r="D30" s="7" t="n">
        <v>58.8</v>
      </c>
      <c r="E30" s="7" t="n">
        <v>66.83</v>
      </c>
      <c r="F30" s="7" t="n">
        <v>65.36</v>
      </c>
      <c r="G30" s="7" t="n">
        <v>70.98</v>
      </c>
      <c r="H30" s="7" t="n">
        <v>76.55</v>
      </c>
      <c r="I30" s="7" t="n">
        <v>82.48</v>
      </c>
      <c r="J30" s="7" t="n">
        <v>92.32</v>
      </c>
      <c r="K30" s="7" t="n">
        <v>101.26</v>
      </c>
      <c r="L30" s="7" t="n">
        <v>129.62</v>
      </c>
      <c r="M30" s="7" t="n">
        <v>139.81</v>
      </c>
      <c r="N30" s="7" t="n">
        <v>155.09</v>
      </c>
      <c r="O30" s="7" t="n">
        <v>194.34</v>
      </c>
    </row>
    <row r="31" customFormat="false" ht="15" hidden="false" customHeight="false" outlineLevel="0" collapsed="false">
      <c r="A31" s="4" t="s">
        <v>161</v>
      </c>
      <c r="B31" s="4" t="s">
        <v>197</v>
      </c>
      <c r="C31" s="7" t="n">
        <v>42.72</v>
      </c>
      <c r="D31" s="7" t="n">
        <v>58.8</v>
      </c>
      <c r="E31" s="7" t="n">
        <v>66.83</v>
      </c>
      <c r="F31" s="7" t="n">
        <v>65.36</v>
      </c>
      <c r="G31" s="7" t="n">
        <v>70.98</v>
      </c>
      <c r="H31" s="7" t="n">
        <v>76.55</v>
      </c>
      <c r="I31" s="7" t="n">
        <v>82.48</v>
      </c>
      <c r="J31" s="7" t="n">
        <v>92.32</v>
      </c>
      <c r="K31" s="7" t="n">
        <v>101.26</v>
      </c>
      <c r="L31" s="7" t="n">
        <v>129.62</v>
      </c>
      <c r="M31" s="7" t="n">
        <v>139.81</v>
      </c>
      <c r="N31" s="7" t="n">
        <v>155.09</v>
      </c>
      <c r="O31" s="7" t="n">
        <v>194.34</v>
      </c>
    </row>
    <row r="32" customFormat="false" ht="15" hidden="false" customHeight="false" outlineLevel="0" collapsed="false">
      <c r="A32" s="4" t="s">
        <v>162</v>
      </c>
      <c r="B32" s="4" t="s">
        <v>197</v>
      </c>
      <c r="C32" s="7" t="n">
        <v>42.72</v>
      </c>
      <c r="D32" s="7" t="n">
        <v>58.8</v>
      </c>
      <c r="E32" s="7" t="n">
        <v>66.83</v>
      </c>
      <c r="F32" s="7" t="n">
        <v>65.36</v>
      </c>
      <c r="G32" s="7" t="n">
        <v>70.98</v>
      </c>
      <c r="H32" s="7" t="n">
        <v>76.55</v>
      </c>
      <c r="I32" s="7" t="n">
        <v>82.48</v>
      </c>
      <c r="J32" s="7" t="n">
        <v>92.32</v>
      </c>
      <c r="K32" s="7" t="n">
        <v>101.26</v>
      </c>
      <c r="L32" s="7" t="n">
        <v>129.62</v>
      </c>
      <c r="M32" s="7" t="n">
        <v>139.81</v>
      </c>
      <c r="N32" s="7" t="n">
        <v>155.09</v>
      </c>
      <c r="O32" s="7" t="n">
        <v>194.34</v>
      </c>
    </row>
    <row r="33" customFormat="false" ht="15" hidden="false" customHeight="false" outlineLevel="0" collapsed="false">
      <c r="A33" s="4" t="s">
        <v>163</v>
      </c>
      <c r="B33" s="4" t="s">
        <v>197</v>
      </c>
      <c r="C33" s="7" t="n">
        <v>42.72</v>
      </c>
      <c r="D33" s="7" t="n">
        <v>58.8</v>
      </c>
      <c r="E33" s="7" t="n">
        <v>66.83</v>
      </c>
      <c r="F33" s="7" t="n">
        <v>65.36</v>
      </c>
      <c r="G33" s="7" t="n">
        <v>70.98</v>
      </c>
      <c r="H33" s="7" t="n">
        <v>76.55</v>
      </c>
      <c r="I33" s="7" t="n">
        <v>82.48</v>
      </c>
      <c r="J33" s="7" t="n">
        <v>92.32</v>
      </c>
      <c r="K33" s="7" t="n">
        <v>101.26</v>
      </c>
      <c r="L33" s="7" t="n">
        <v>129.62</v>
      </c>
      <c r="M33" s="7" t="n">
        <v>139.81</v>
      </c>
      <c r="N33" s="7" t="n">
        <v>155.09</v>
      </c>
      <c r="O33" s="7" t="n">
        <v>194.34</v>
      </c>
    </row>
    <row r="34" customFormat="false" ht="15" hidden="false" customHeight="false" outlineLevel="0" collapsed="false">
      <c r="A34" s="4" t="s">
        <v>164</v>
      </c>
      <c r="B34" s="4" t="s">
        <v>198</v>
      </c>
      <c r="C34" s="7" t="n">
        <v>46.95</v>
      </c>
      <c r="D34" s="7" t="n">
        <v>65.63</v>
      </c>
      <c r="E34" s="7" t="n">
        <v>74.97</v>
      </c>
      <c r="F34" s="7" t="n">
        <v>77.7</v>
      </c>
      <c r="G34" s="7" t="n">
        <v>83.58</v>
      </c>
      <c r="H34" s="7" t="n">
        <v>90.2</v>
      </c>
      <c r="I34" s="7" t="n">
        <v>96.77</v>
      </c>
      <c r="J34" s="7" t="n">
        <v>109.63</v>
      </c>
      <c r="K34" s="7" t="n">
        <v>119.5</v>
      </c>
      <c r="L34" s="7" t="n">
        <v>144.24</v>
      </c>
      <c r="M34" s="7" t="n">
        <v>155.09</v>
      </c>
      <c r="N34" s="7" t="n">
        <v>66.69</v>
      </c>
      <c r="O34" s="7" t="n">
        <v>214.88</v>
      </c>
    </row>
    <row r="35" customFormat="false" ht="15" hidden="false" customHeight="false" outlineLevel="0" collapsed="false">
      <c r="A35" s="4" t="s">
        <v>165</v>
      </c>
      <c r="B35" s="4" t="s">
        <v>197</v>
      </c>
      <c r="C35" s="7" t="n">
        <v>42.72</v>
      </c>
      <c r="D35" s="7" t="n">
        <v>58.8</v>
      </c>
      <c r="E35" s="7" t="n">
        <v>66.83</v>
      </c>
      <c r="F35" s="7" t="n">
        <v>65.36</v>
      </c>
      <c r="G35" s="7" t="n">
        <v>70.98</v>
      </c>
      <c r="H35" s="7" t="n">
        <v>76.55</v>
      </c>
      <c r="I35" s="7" t="n">
        <v>82.48</v>
      </c>
      <c r="J35" s="7" t="n">
        <v>92.32</v>
      </c>
      <c r="K35" s="7" t="n">
        <v>101.26</v>
      </c>
      <c r="L35" s="7" t="n">
        <v>129.62</v>
      </c>
      <c r="M35" s="7" t="n">
        <v>139.81</v>
      </c>
      <c r="N35" s="7" t="n">
        <v>155.09</v>
      </c>
      <c r="O35" s="7" t="n">
        <v>194.34</v>
      </c>
    </row>
    <row r="36" customFormat="false" ht="15" hidden="false" customHeight="false" outlineLevel="0" collapsed="false">
      <c r="A36" s="4" t="s">
        <v>166</v>
      </c>
      <c r="B36" s="4" t="s">
        <v>198</v>
      </c>
      <c r="C36" s="7" t="n">
        <v>46.95</v>
      </c>
      <c r="D36" s="7" t="n">
        <v>65.63</v>
      </c>
      <c r="E36" s="7" t="n">
        <v>74.97</v>
      </c>
      <c r="F36" s="7" t="n">
        <v>77.7</v>
      </c>
      <c r="G36" s="7" t="n">
        <v>83.58</v>
      </c>
      <c r="H36" s="7" t="n">
        <v>90.2</v>
      </c>
      <c r="I36" s="7" t="n">
        <v>96.77</v>
      </c>
      <c r="J36" s="7" t="n">
        <v>109.63</v>
      </c>
      <c r="K36" s="7" t="n">
        <v>119.5</v>
      </c>
      <c r="L36" s="7" t="n">
        <v>144.24</v>
      </c>
      <c r="M36" s="7" t="n">
        <v>155.09</v>
      </c>
      <c r="N36" s="7" t="n">
        <v>66.69</v>
      </c>
      <c r="O36" s="7" t="n">
        <v>214.88</v>
      </c>
    </row>
    <row r="37" customFormat="false" ht="15" hidden="false" customHeight="false" outlineLevel="0" collapsed="false">
      <c r="A37" s="4" t="s">
        <v>167</v>
      </c>
      <c r="B37" s="4" t="s">
        <v>197</v>
      </c>
      <c r="C37" s="7" t="n">
        <v>42.72</v>
      </c>
      <c r="D37" s="7" t="n">
        <v>58.8</v>
      </c>
      <c r="E37" s="7" t="n">
        <v>66.83</v>
      </c>
      <c r="F37" s="7" t="n">
        <v>65.36</v>
      </c>
      <c r="G37" s="7" t="n">
        <v>70.98</v>
      </c>
      <c r="H37" s="7" t="n">
        <v>76.55</v>
      </c>
      <c r="I37" s="7" t="n">
        <v>82.48</v>
      </c>
      <c r="J37" s="7" t="n">
        <v>92.32</v>
      </c>
      <c r="K37" s="7" t="n">
        <v>101.26</v>
      </c>
      <c r="L37" s="7" t="n">
        <v>129.62</v>
      </c>
      <c r="M37" s="7" t="n">
        <v>139.81</v>
      </c>
      <c r="N37" s="7" t="n">
        <v>155.09</v>
      </c>
      <c r="O37" s="7" t="n">
        <v>194.34</v>
      </c>
    </row>
    <row r="38" customFormat="false" ht="15" hidden="false" customHeight="false" outlineLevel="0" collapsed="false">
      <c r="A38" s="4" t="s">
        <v>168</v>
      </c>
      <c r="B38" s="4" t="s">
        <v>198</v>
      </c>
      <c r="C38" s="7" t="n">
        <v>46.95</v>
      </c>
      <c r="D38" s="7" t="n">
        <v>65.63</v>
      </c>
      <c r="E38" s="7" t="n">
        <v>74.97</v>
      </c>
      <c r="F38" s="7" t="n">
        <v>77.7</v>
      </c>
      <c r="G38" s="7" t="n">
        <v>83.58</v>
      </c>
      <c r="H38" s="7" t="n">
        <v>90.2</v>
      </c>
      <c r="I38" s="7" t="n">
        <v>96.77</v>
      </c>
      <c r="J38" s="7" t="n">
        <v>109.63</v>
      </c>
      <c r="K38" s="7" t="n">
        <v>119.5</v>
      </c>
      <c r="L38" s="7" t="n">
        <v>144.24</v>
      </c>
      <c r="M38" s="7" t="n">
        <v>155.09</v>
      </c>
      <c r="N38" s="7" t="n">
        <v>66.69</v>
      </c>
      <c r="O38" s="7" t="n">
        <v>214.88</v>
      </c>
    </row>
    <row r="39" customFormat="false" ht="15" hidden="false" customHeight="false" outlineLevel="0" collapsed="false">
      <c r="A39" s="4" t="s">
        <v>169</v>
      </c>
      <c r="B39" s="4" t="s">
        <v>198</v>
      </c>
      <c r="C39" s="7" t="n">
        <v>46.95</v>
      </c>
      <c r="D39" s="7" t="n">
        <v>65.63</v>
      </c>
      <c r="E39" s="7" t="n">
        <v>74.97</v>
      </c>
      <c r="F39" s="7" t="n">
        <v>77.7</v>
      </c>
      <c r="G39" s="7" t="n">
        <v>83.58</v>
      </c>
      <c r="H39" s="7" t="n">
        <v>90.2</v>
      </c>
      <c r="I39" s="7" t="n">
        <v>96.77</v>
      </c>
      <c r="J39" s="7" t="n">
        <v>109.63</v>
      </c>
      <c r="K39" s="7" t="n">
        <v>119.5</v>
      </c>
      <c r="L39" s="7" t="n">
        <v>144.24</v>
      </c>
      <c r="M39" s="7" t="n">
        <v>155.09</v>
      </c>
      <c r="N39" s="7" t="n">
        <v>66.69</v>
      </c>
      <c r="O39" s="7" t="n">
        <v>214.88</v>
      </c>
    </row>
    <row r="40" customFormat="false" ht="15" hidden="false" customHeight="false" outlineLevel="0" collapsed="false">
      <c r="A40" s="4" t="s">
        <v>170</v>
      </c>
      <c r="B40" s="4" t="s">
        <v>198</v>
      </c>
      <c r="C40" s="7" t="n">
        <v>46.95</v>
      </c>
      <c r="D40" s="7" t="n">
        <v>65.63</v>
      </c>
      <c r="E40" s="7" t="n">
        <v>74.97</v>
      </c>
      <c r="F40" s="7" t="n">
        <v>77.7</v>
      </c>
      <c r="G40" s="7" t="n">
        <v>83.58</v>
      </c>
      <c r="H40" s="7" t="n">
        <v>90.2</v>
      </c>
      <c r="I40" s="7" t="n">
        <v>96.77</v>
      </c>
      <c r="J40" s="7" t="n">
        <v>109.63</v>
      </c>
      <c r="K40" s="7" t="n">
        <v>119.5</v>
      </c>
      <c r="L40" s="7" t="n">
        <v>144.24</v>
      </c>
      <c r="M40" s="7" t="n">
        <v>155.09</v>
      </c>
      <c r="N40" s="7" t="n">
        <v>66.69</v>
      </c>
      <c r="O40" s="7" t="n">
        <v>214.88</v>
      </c>
    </row>
    <row r="41" customFormat="false" ht="15" hidden="false" customHeight="false" outlineLevel="0" collapsed="false">
      <c r="A41" s="4" t="s">
        <v>171</v>
      </c>
      <c r="B41" s="4" t="s">
        <v>198</v>
      </c>
      <c r="C41" s="7" t="n">
        <v>46.95</v>
      </c>
      <c r="D41" s="7" t="n">
        <v>65.63</v>
      </c>
      <c r="E41" s="7" t="n">
        <v>74.97</v>
      </c>
      <c r="F41" s="7" t="n">
        <v>77.7</v>
      </c>
      <c r="G41" s="7" t="n">
        <v>83.58</v>
      </c>
      <c r="H41" s="7" t="n">
        <v>90.2</v>
      </c>
      <c r="I41" s="7" t="n">
        <v>96.77</v>
      </c>
      <c r="J41" s="7" t="n">
        <v>109.63</v>
      </c>
      <c r="K41" s="7" t="n">
        <v>119.5</v>
      </c>
      <c r="L41" s="7" t="n">
        <v>144.24</v>
      </c>
      <c r="M41" s="7" t="n">
        <v>155.09</v>
      </c>
      <c r="N41" s="7" t="n">
        <v>66.69</v>
      </c>
      <c r="O41" s="7" t="n">
        <v>214.88</v>
      </c>
    </row>
    <row r="42" customFormat="false" ht="15" hidden="false" customHeight="false" outlineLevel="0" collapsed="false">
      <c r="A42" s="4" t="s">
        <v>172</v>
      </c>
      <c r="B42" s="4" t="s">
        <v>198</v>
      </c>
      <c r="C42" s="7" t="n">
        <v>46.95</v>
      </c>
      <c r="D42" s="7" t="n">
        <v>65.63</v>
      </c>
      <c r="E42" s="7" t="n">
        <v>74.97</v>
      </c>
      <c r="F42" s="7" t="n">
        <v>77.7</v>
      </c>
      <c r="G42" s="7" t="n">
        <v>83.58</v>
      </c>
      <c r="H42" s="7" t="n">
        <v>90.2</v>
      </c>
      <c r="I42" s="7" t="n">
        <v>96.77</v>
      </c>
      <c r="J42" s="7" t="n">
        <v>109.63</v>
      </c>
      <c r="K42" s="7" t="n">
        <v>119.5</v>
      </c>
      <c r="L42" s="7" t="n">
        <v>144.24</v>
      </c>
      <c r="M42" s="7" t="n">
        <v>155.09</v>
      </c>
      <c r="N42" s="7" t="n">
        <v>66.69</v>
      </c>
      <c r="O42" s="7" t="n">
        <v>214.88</v>
      </c>
    </row>
    <row r="43" customFormat="false" ht="15" hidden="false" customHeight="false" outlineLevel="0" collapsed="false">
      <c r="A43" s="4" t="s">
        <v>173</v>
      </c>
      <c r="B43" s="4" t="s">
        <v>198</v>
      </c>
      <c r="C43" s="7" t="n">
        <v>46.95</v>
      </c>
      <c r="D43" s="7" t="n">
        <v>65.63</v>
      </c>
      <c r="E43" s="7" t="n">
        <v>74.97</v>
      </c>
      <c r="F43" s="7" t="n">
        <v>77.7</v>
      </c>
      <c r="G43" s="7" t="n">
        <v>83.58</v>
      </c>
      <c r="H43" s="7" t="n">
        <v>90.2</v>
      </c>
      <c r="I43" s="7" t="n">
        <v>96.77</v>
      </c>
      <c r="J43" s="7" t="n">
        <v>109.63</v>
      </c>
      <c r="K43" s="7" t="n">
        <v>119.5</v>
      </c>
      <c r="L43" s="7" t="n">
        <v>144.24</v>
      </c>
      <c r="M43" s="7" t="n">
        <v>155.09</v>
      </c>
      <c r="N43" s="7" t="n">
        <v>66.69</v>
      </c>
      <c r="O43" s="7" t="n">
        <v>214.88</v>
      </c>
    </row>
    <row r="44" customFormat="false" ht="15" hidden="false" customHeight="false" outlineLevel="0" collapsed="false">
      <c r="A44" s="4" t="s">
        <v>174</v>
      </c>
      <c r="B44" s="4" t="s">
        <v>198</v>
      </c>
      <c r="C44" s="7" t="n">
        <v>46.95</v>
      </c>
      <c r="D44" s="7" t="n">
        <v>65.63</v>
      </c>
      <c r="E44" s="7" t="n">
        <v>74.97</v>
      </c>
      <c r="F44" s="7" t="n">
        <v>77.7</v>
      </c>
      <c r="G44" s="7" t="n">
        <v>83.58</v>
      </c>
      <c r="H44" s="7" t="n">
        <v>90.2</v>
      </c>
      <c r="I44" s="7" t="n">
        <v>96.77</v>
      </c>
      <c r="J44" s="7" t="n">
        <v>109.63</v>
      </c>
      <c r="K44" s="7" t="n">
        <v>119.5</v>
      </c>
      <c r="L44" s="7" t="n">
        <v>144.24</v>
      </c>
      <c r="M44" s="7" t="n">
        <v>155.09</v>
      </c>
      <c r="N44" s="7" t="n">
        <v>66.69</v>
      </c>
      <c r="O44" s="7" t="n">
        <v>214.88</v>
      </c>
    </row>
    <row r="45" customFormat="false" ht="15" hidden="false" customHeight="false" outlineLevel="0" collapsed="false">
      <c r="A45" s="4" t="s">
        <v>175</v>
      </c>
      <c r="B45" s="4" t="s">
        <v>197</v>
      </c>
      <c r="C45" s="7" t="n">
        <v>42.72</v>
      </c>
      <c r="D45" s="7" t="n">
        <v>58.8</v>
      </c>
      <c r="E45" s="7" t="n">
        <v>66.83</v>
      </c>
      <c r="F45" s="7" t="n">
        <v>65.36</v>
      </c>
      <c r="G45" s="7" t="n">
        <v>70.98</v>
      </c>
      <c r="H45" s="7" t="n">
        <v>76.55</v>
      </c>
      <c r="I45" s="7" t="n">
        <v>82.48</v>
      </c>
      <c r="J45" s="7" t="n">
        <v>92.32</v>
      </c>
      <c r="K45" s="7" t="n">
        <v>101.26</v>
      </c>
      <c r="L45" s="7" t="n">
        <v>129.62</v>
      </c>
      <c r="M45" s="7" t="n">
        <v>139.81</v>
      </c>
      <c r="N45" s="7" t="n">
        <v>155.09</v>
      </c>
      <c r="O45" s="7" t="n">
        <v>194.34</v>
      </c>
    </row>
    <row r="46" customFormat="false" ht="15" hidden="false" customHeight="false" outlineLevel="0" collapsed="false">
      <c r="A46" s="4" t="s">
        <v>176</v>
      </c>
      <c r="B46" s="4" t="s">
        <v>198</v>
      </c>
      <c r="C46" s="7" t="n">
        <v>46.95</v>
      </c>
      <c r="D46" s="7" t="n">
        <v>65.63</v>
      </c>
      <c r="E46" s="7" t="n">
        <v>74.97</v>
      </c>
      <c r="F46" s="7" t="n">
        <v>77.7</v>
      </c>
      <c r="G46" s="7" t="n">
        <v>83.58</v>
      </c>
      <c r="H46" s="7" t="n">
        <v>90.2</v>
      </c>
      <c r="I46" s="7" t="n">
        <v>96.77</v>
      </c>
      <c r="J46" s="7" t="n">
        <v>109.63</v>
      </c>
      <c r="K46" s="7" t="n">
        <v>119.5</v>
      </c>
      <c r="L46" s="7" t="n">
        <v>144.24</v>
      </c>
      <c r="M46" s="7" t="n">
        <v>155.09</v>
      </c>
      <c r="N46" s="7" t="n">
        <v>66.69</v>
      </c>
      <c r="O46" s="7" t="n">
        <v>214.88</v>
      </c>
    </row>
    <row r="47" customFormat="false" ht="15" hidden="false" customHeight="false" outlineLevel="0" collapsed="false">
      <c r="A47" s="4" t="s">
        <v>177</v>
      </c>
      <c r="B47" s="4" t="s">
        <v>198</v>
      </c>
      <c r="C47" s="7" t="n">
        <v>46.95</v>
      </c>
      <c r="D47" s="7" t="n">
        <v>65.63</v>
      </c>
      <c r="E47" s="7" t="n">
        <v>74.97</v>
      </c>
      <c r="F47" s="7" t="n">
        <v>77.7</v>
      </c>
      <c r="G47" s="7" t="n">
        <v>83.58</v>
      </c>
      <c r="H47" s="7" t="n">
        <v>90.2</v>
      </c>
      <c r="I47" s="7" t="n">
        <v>96.77</v>
      </c>
      <c r="J47" s="7" t="n">
        <v>109.63</v>
      </c>
      <c r="K47" s="7" t="n">
        <v>119.5</v>
      </c>
      <c r="L47" s="7" t="n">
        <v>144.24</v>
      </c>
      <c r="M47" s="7" t="n">
        <v>155.09</v>
      </c>
      <c r="N47" s="7" t="n">
        <v>66.69</v>
      </c>
      <c r="O47" s="7" t="n">
        <v>214.88</v>
      </c>
    </row>
    <row r="48" customFormat="false" ht="15" hidden="false" customHeight="false" outlineLevel="0" collapsed="false">
      <c r="A48" s="4" t="s">
        <v>178</v>
      </c>
      <c r="B48" s="4" t="s">
        <v>198</v>
      </c>
      <c r="C48" s="7" t="n">
        <v>46.95</v>
      </c>
      <c r="D48" s="7" t="n">
        <v>65.63</v>
      </c>
      <c r="E48" s="7" t="n">
        <v>74.97</v>
      </c>
      <c r="F48" s="7" t="n">
        <v>77.7</v>
      </c>
      <c r="G48" s="7" t="n">
        <v>83.58</v>
      </c>
      <c r="H48" s="7" t="n">
        <v>90.2</v>
      </c>
      <c r="I48" s="7" t="n">
        <v>96.77</v>
      </c>
      <c r="J48" s="7" t="n">
        <v>109.63</v>
      </c>
      <c r="K48" s="7" t="n">
        <v>119.5</v>
      </c>
      <c r="L48" s="7" t="n">
        <v>144.24</v>
      </c>
      <c r="M48" s="7" t="n">
        <v>155.09</v>
      </c>
      <c r="N48" s="7" t="n">
        <v>66.69</v>
      </c>
      <c r="O48" s="7" t="n">
        <v>214.88</v>
      </c>
    </row>
    <row r="50" customFormat="false" ht="15" hidden="false" customHeight="false" outlineLevel="0" collapsed="false">
      <c r="A50" s="2" t="s">
        <v>200</v>
      </c>
    </row>
    <row r="51" customFormat="false" ht="30" hidden="false" customHeight="true" outlineLevel="0" collapsed="false">
      <c r="A51" s="3" t="s">
        <v>143</v>
      </c>
      <c r="B51" s="3" t="s">
        <v>144</v>
      </c>
      <c r="C51" s="3" t="s">
        <v>183</v>
      </c>
      <c r="D51" s="3" t="s">
        <v>184</v>
      </c>
      <c r="E51" s="3" t="s">
        <v>185</v>
      </c>
      <c r="F51" s="3" t="s">
        <v>186</v>
      </c>
      <c r="G51" s="3" t="s">
        <v>187</v>
      </c>
      <c r="H51" s="3" t="s">
        <v>188</v>
      </c>
      <c r="I51" s="3" t="s">
        <v>189</v>
      </c>
      <c r="J51" s="3" t="s">
        <v>190</v>
      </c>
      <c r="K51" s="3" t="s">
        <v>191</v>
      </c>
      <c r="L51" s="3" t="s">
        <v>192</v>
      </c>
      <c r="M51" s="3" t="s">
        <v>193</v>
      </c>
      <c r="N51" s="3" t="s">
        <v>194</v>
      </c>
      <c r="O51" s="3" t="s">
        <v>195</v>
      </c>
    </row>
    <row r="52" customFormat="false" ht="15" hidden="false" customHeight="false" outlineLevel="0" collapsed="false">
      <c r="A52" s="4" t="s">
        <v>159</v>
      </c>
      <c r="B52" s="4" t="s">
        <v>196</v>
      </c>
      <c r="C52" s="13" t="n">
        <f aca="false">C6/C29-1</f>
        <v>0.405745062836625</v>
      </c>
      <c r="D52" s="13" t="n">
        <f aca="false">D6/D29-1</f>
        <v>0.95226786986464</v>
      </c>
      <c r="E52" s="13" t="n">
        <f aca="false">E6/E29-1</f>
        <v>0.9435367114788</v>
      </c>
      <c r="F52" s="13" t="n">
        <f aca="false">F6/F29-1</f>
        <v>0.754808590102708</v>
      </c>
      <c r="G52" s="13" t="n">
        <f aca="false">G6/G29-1</f>
        <v>0.916382252559727</v>
      </c>
      <c r="H52" s="13" t="n">
        <f aca="false">H6/H29-1</f>
        <v>1.07277329536466</v>
      </c>
      <c r="I52" s="13" t="n">
        <f aca="false">I6/I29-1</f>
        <v>0.951074332171893</v>
      </c>
      <c r="J52" s="13" t="n">
        <f aca="false">J6/J29-1</f>
        <v>1.00489318534431</v>
      </c>
      <c r="K52" s="13" t="n">
        <f aca="false">K6/K29-1</f>
        <v>1.18312757201646</v>
      </c>
      <c r="L52" s="13" t="n">
        <f aca="false">L6/L29-1</f>
        <v>0.98399535616552</v>
      </c>
      <c r="M52" s="13" t="n">
        <f aca="false">M6/M29-1</f>
        <v>1.08080730565574</v>
      </c>
      <c r="N52" s="13" t="n">
        <f aca="false">N6/N29-1</f>
        <v>1.20151828847481</v>
      </c>
      <c r="O52" s="13" t="n">
        <f aca="false">O6/O29-1</f>
        <v>1.19630955659598</v>
      </c>
    </row>
    <row r="53" customFormat="false" ht="15" hidden="false" customHeight="false" outlineLevel="0" collapsed="false">
      <c r="A53" s="4" t="s">
        <v>160</v>
      </c>
      <c r="B53" s="4" t="s">
        <v>197</v>
      </c>
      <c r="C53" s="13" t="n">
        <f aca="false">C7/C30-1</f>
        <v>0.345271535580524</v>
      </c>
      <c r="D53" s="13" t="n">
        <f aca="false">D7/D30-1</f>
        <v>0.710544217687075</v>
      </c>
      <c r="E53" s="13" t="n">
        <f aca="false">E7/E30-1</f>
        <v>0.720035912015562</v>
      </c>
      <c r="F53" s="13" t="n">
        <f aca="false">F7/F30-1</f>
        <v>0.758720930232558</v>
      </c>
      <c r="G53" s="13" t="n">
        <f aca="false">G7/G30-1</f>
        <v>0.805297266835728</v>
      </c>
      <c r="H53" s="13" t="n">
        <f aca="false">H7/H30-1</f>
        <v>0.952971913781842</v>
      </c>
      <c r="I53" s="13" t="n">
        <f aca="false">I7/I30-1</f>
        <v>0.730601357904947</v>
      </c>
      <c r="J53" s="13" t="n">
        <f aca="false">J7/J30-1</f>
        <v>0.932625649913345</v>
      </c>
      <c r="K53" s="13" t="n">
        <f aca="false">K7/K30-1</f>
        <v>1.1144578313253</v>
      </c>
      <c r="L53" s="13" t="n">
        <f aca="false">L7/L30-1</f>
        <v>0.921231291467366</v>
      </c>
      <c r="M53" s="13" t="n">
        <f aca="false">M7/M30-1</f>
        <v>1.01866819254703</v>
      </c>
      <c r="N53" s="13" t="n">
        <f aca="false">N7/N30-1</f>
        <v>1.14101489457734</v>
      </c>
      <c r="O53" s="13" t="n">
        <f aca="false">O7/O30-1</f>
        <v>1.13569002778635</v>
      </c>
    </row>
    <row r="54" customFormat="false" ht="15" hidden="false" customHeight="false" outlineLevel="0" collapsed="false">
      <c r="A54" s="4" t="s">
        <v>161</v>
      </c>
      <c r="B54" s="4" t="s">
        <v>197</v>
      </c>
      <c r="C54" s="13" t="n">
        <f aca="false">C8/C31-1</f>
        <v>0.0997191011235954</v>
      </c>
      <c r="D54" s="13" t="n">
        <f aca="false">D8/D31-1</f>
        <v>0.39812925170068</v>
      </c>
      <c r="E54" s="13" t="n">
        <f aca="false">E8/E31-1</f>
        <v>0.406105042645518</v>
      </c>
      <c r="F54" s="13" t="n">
        <f aca="false">F8/F31-1</f>
        <v>0.437729498164015</v>
      </c>
      <c r="G54" s="13" t="n">
        <f aca="false">G8/G31-1</f>
        <v>0.582135812905044</v>
      </c>
      <c r="H54" s="13" t="n">
        <f aca="false">H8/H31-1</f>
        <v>0.711561071195297</v>
      </c>
      <c r="I54" s="13" t="n">
        <f aca="false">I8/I31-1</f>
        <v>0.629364694471387</v>
      </c>
      <c r="J54" s="13" t="n">
        <f aca="false">J8/J31-1</f>
        <v>0.819649046793761</v>
      </c>
      <c r="K54" s="13" t="n">
        <f aca="false">K8/K31-1</f>
        <v>0.99081572190401</v>
      </c>
      <c r="L54" s="13" t="n">
        <f aca="false">L8/L31-1</f>
        <v>0.845779972226508</v>
      </c>
      <c r="M54" s="13" t="n">
        <f aca="false">M8/M31-1</f>
        <v>0.939417781274587</v>
      </c>
      <c r="N54" s="13" t="n">
        <f aca="false">N8/N31-1</f>
        <v>1.05687020439745</v>
      </c>
      <c r="O54" s="13" t="n">
        <f aca="false">O8/O31-1</f>
        <v>1.05176494802923</v>
      </c>
    </row>
    <row r="55" customFormat="false" ht="15" hidden="false" customHeight="false" outlineLevel="0" collapsed="false">
      <c r="A55" s="4" t="s">
        <v>162</v>
      </c>
      <c r="B55" s="4" t="s">
        <v>197</v>
      </c>
      <c r="C55" s="13" t="n">
        <f aca="false">C9/C32-1</f>
        <v>0.0997191011235954</v>
      </c>
      <c r="D55" s="13" t="n">
        <f aca="false">D9/D32-1</f>
        <v>0.39812925170068</v>
      </c>
      <c r="E55" s="13" t="n">
        <f aca="false">E9/E32-1</f>
        <v>0.406105042645518</v>
      </c>
      <c r="F55" s="13" t="n">
        <f aca="false">F9/F32-1</f>
        <v>0.437729498164015</v>
      </c>
      <c r="G55" s="13" t="n">
        <f aca="false">G9/G32-1</f>
        <v>0.582135812905044</v>
      </c>
      <c r="H55" s="13" t="n">
        <f aca="false">H9/H32-1</f>
        <v>0.711561071195297</v>
      </c>
      <c r="I55" s="13" t="n">
        <f aca="false">I9/I32-1</f>
        <v>0.629364694471387</v>
      </c>
      <c r="J55" s="13" t="n">
        <f aca="false">J9/J32-1</f>
        <v>0.819649046793761</v>
      </c>
      <c r="K55" s="13" t="n">
        <f aca="false">K9/K32-1</f>
        <v>0.99081572190401</v>
      </c>
      <c r="L55" s="13" t="n">
        <f aca="false">L9/L32-1</f>
        <v>0.845779972226508</v>
      </c>
      <c r="M55" s="13" t="n">
        <f aca="false">M9/M32-1</f>
        <v>0.939417781274587</v>
      </c>
      <c r="N55" s="13" t="n">
        <f aca="false">N9/N32-1</f>
        <v>1.05687020439745</v>
      </c>
      <c r="O55" s="13" t="n">
        <f aca="false">O9/O32-1</f>
        <v>1.05176494802923</v>
      </c>
    </row>
    <row r="56" customFormat="false" ht="15" hidden="false" customHeight="false" outlineLevel="0" collapsed="false">
      <c r="A56" s="4" t="s">
        <v>163</v>
      </c>
      <c r="B56" s="4" t="s">
        <v>197</v>
      </c>
      <c r="C56" s="13" t="n">
        <f aca="false">C10/C33-1</f>
        <v>0.345271535580524</v>
      </c>
      <c r="D56" s="13" t="n">
        <f aca="false">D10/D33-1</f>
        <v>0.710544217687075</v>
      </c>
      <c r="E56" s="13" t="n">
        <f aca="false">E10/E33-1</f>
        <v>0.720035912015562</v>
      </c>
      <c r="F56" s="13" t="n">
        <f aca="false">F10/F33-1</f>
        <v>0.758720930232558</v>
      </c>
      <c r="G56" s="13" t="n">
        <f aca="false">G10/G33-1</f>
        <v>0.805297266835728</v>
      </c>
      <c r="H56" s="13" t="n">
        <f aca="false">H10/H33-1</f>
        <v>0.952971913781842</v>
      </c>
      <c r="I56" s="13" t="n">
        <f aca="false">I10/I33-1</f>
        <v>0.730601357904947</v>
      </c>
      <c r="J56" s="13" t="n">
        <f aca="false">J10/J33-1</f>
        <v>0.932625649913345</v>
      </c>
      <c r="K56" s="13" t="n">
        <f aca="false">K10/K33-1</f>
        <v>1.1144578313253</v>
      </c>
      <c r="L56" s="13" t="n">
        <f aca="false">L10/L33-1</f>
        <v>0.921231291467366</v>
      </c>
      <c r="M56" s="13" t="n">
        <f aca="false">M10/M33-1</f>
        <v>1.01866819254703</v>
      </c>
      <c r="N56" s="13" t="n">
        <f aca="false">N10/N33-1</f>
        <v>1.14101489457734</v>
      </c>
      <c r="O56" s="13" t="n">
        <f aca="false">O10/O33-1</f>
        <v>1.13569002778635</v>
      </c>
    </row>
    <row r="57" customFormat="false" ht="15" hidden="false" customHeight="false" outlineLevel="0" collapsed="false">
      <c r="A57" s="4" t="s">
        <v>164</v>
      </c>
      <c r="B57" s="4" t="s">
        <v>198</v>
      </c>
      <c r="C57" s="13" t="n">
        <f aca="false">C11/C34-1</f>
        <v>1.6419595314164</v>
      </c>
      <c r="D57" s="13" t="n">
        <f aca="false">D11/D34-1</f>
        <v>1.10711564833156</v>
      </c>
      <c r="E57" s="13" t="n">
        <f aca="false">E11/E34-1</f>
        <v>0.90796318527411</v>
      </c>
      <c r="F57" s="13" t="n">
        <f aca="false">F11/F34-1</f>
        <v>0.963191763191763</v>
      </c>
      <c r="G57" s="13" t="n">
        <f aca="false">G11/G34-1</f>
        <v>0.938741325675999</v>
      </c>
      <c r="H57" s="13" t="n">
        <f aca="false">H11/H34-1</f>
        <v>0.901773835920177</v>
      </c>
      <c r="I57" s="13" t="n">
        <f aca="false">I11/I34-1</f>
        <v>0.870827735868554</v>
      </c>
      <c r="J57" s="13" t="n">
        <f aca="false">J11/J34-1</f>
        <v>0.824683024719511</v>
      </c>
      <c r="K57" s="13" t="n">
        <f aca="false">K11/K34-1</f>
        <v>0.981757322175732</v>
      </c>
      <c r="L57" s="13" t="n">
        <f aca="false">L11/L34-1</f>
        <v>0.836106489184692</v>
      </c>
      <c r="M57" s="13" t="n">
        <f aca="false">M11/M34-1</f>
        <v>0.935327874137597</v>
      </c>
      <c r="N57" s="13" t="n">
        <f aca="false">N11/N34-1</f>
        <v>4.29569650622282</v>
      </c>
      <c r="O57" s="13" t="n">
        <f aca="false">O11/O34-1</f>
        <v>1.05416976917349</v>
      </c>
    </row>
    <row r="58" customFormat="false" ht="15" hidden="false" customHeight="false" outlineLevel="0" collapsed="false">
      <c r="A58" s="4" t="s">
        <v>165</v>
      </c>
      <c r="B58" s="4" t="s">
        <v>197</v>
      </c>
      <c r="C58" s="13" t="n">
        <f aca="false">C12/C35-1</f>
        <v>0.0997191011235954</v>
      </c>
      <c r="D58" s="13" t="n">
        <f aca="false">D12/D35-1</f>
        <v>0.39812925170068</v>
      </c>
      <c r="E58" s="13" t="n">
        <f aca="false">E12/E35-1</f>
        <v>0.406105042645518</v>
      </c>
      <c r="F58" s="13" t="n">
        <f aca="false">F12/F35-1</f>
        <v>0.437729498164015</v>
      </c>
      <c r="G58" s="13" t="n">
        <f aca="false">G12/G35-1</f>
        <v>0.582135812905044</v>
      </c>
      <c r="H58" s="13" t="n">
        <f aca="false">H12/H35-1</f>
        <v>0.711561071195297</v>
      </c>
      <c r="I58" s="13" t="n">
        <f aca="false">I12/I35-1</f>
        <v>0.629364694471387</v>
      </c>
      <c r="J58" s="13" t="n">
        <f aca="false">J12/J35-1</f>
        <v>0.819649046793761</v>
      </c>
      <c r="K58" s="13" t="n">
        <f aca="false">K12/K35-1</f>
        <v>0.99081572190401</v>
      </c>
      <c r="L58" s="13" t="n">
        <f aca="false">L12/L35-1</f>
        <v>0.845779972226508</v>
      </c>
      <c r="M58" s="13" t="n">
        <f aca="false">M12/M35-1</f>
        <v>0.939417781274587</v>
      </c>
      <c r="N58" s="13" t="n">
        <f aca="false">N12/N35-1</f>
        <v>1.05687020439745</v>
      </c>
      <c r="O58" s="13" t="n">
        <f aca="false">O12/O35-1</f>
        <v>1.05176494802923</v>
      </c>
    </row>
    <row r="59" customFormat="false" ht="15" hidden="false" customHeight="false" outlineLevel="0" collapsed="false">
      <c r="A59" s="4" t="s">
        <v>166</v>
      </c>
      <c r="B59" s="4" t="s">
        <v>198</v>
      </c>
      <c r="C59" s="13" t="n">
        <f aca="false">C13/C36-1</f>
        <v>1.6419595314164</v>
      </c>
      <c r="D59" s="13" t="n">
        <f aca="false">D13/D36-1</f>
        <v>1.10711564833156</v>
      </c>
      <c r="E59" s="13" t="n">
        <f aca="false">E13/E36-1</f>
        <v>0.90796318527411</v>
      </c>
      <c r="F59" s="13" t="n">
        <f aca="false">F13/F36-1</f>
        <v>0.963191763191763</v>
      </c>
      <c r="G59" s="13" t="n">
        <f aca="false">G13/G36-1</f>
        <v>0.938741325675999</v>
      </c>
      <c r="H59" s="13" t="n">
        <f aca="false">H13/H36-1</f>
        <v>0.901773835920177</v>
      </c>
      <c r="I59" s="13" t="n">
        <f aca="false">I13/I36-1</f>
        <v>0.870827735868554</v>
      </c>
      <c r="J59" s="13" t="n">
        <f aca="false">J13/J36-1</f>
        <v>0.824683024719511</v>
      </c>
      <c r="K59" s="13" t="n">
        <f aca="false">K13/K36-1</f>
        <v>0.981757322175732</v>
      </c>
      <c r="L59" s="13" t="n">
        <f aca="false">L13/L36-1</f>
        <v>0.836106489184692</v>
      </c>
      <c r="M59" s="13" t="n">
        <f aca="false">M13/M36-1</f>
        <v>0.935327874137597</v>
      </c>
      <c r="N59" s="13" t="n">
        <f aca="false">N13/N36-1</f>
        <v>4.29569650622282</v>
      </c>
      <c r="O59" s="13" t="n">
        <f aca="false">O13/O36-1</f>
        <v>1.05416976917349</v>
      </c>
    </row>
    <row r="60" customFormat="false" ht="15" hidden="false" customHeight="false" outlineLevel="0" collapsed="false">
      <c r="A60" s="4" t="s">
        <v>167</v>
      </c>
      <c r="B60" s="4" t="s">
        <v>197</v>
      </c>
      <c r="C60" s="13" t="n">
        <f aca="false">C14/C37-1</f>
        <v>0.0997191011235954</v>
      </c>
      <c r="D60" s="13" t="n">
        <f aca="false">D14/D37-1</f>
        <v>0.39812925170068</v>
      </c>
      <c r="E60" s="13" t="n">
        <f aca="false">E14/E37-1</f>
        <v>0.406105042645518</v>
      </c>
      <c r="F60" s="13" t="n">
        <f aca="false">F14/F37-1</f>
        <v>0.437729498164015</v>
      </c>
      <c r="G60" s="13" t="n">
        <f aca="false">G14/G37-1</f>
        <v>0.582135812905044</v>
      </c>
      <c r="H60" s="13" t="n">
        <f aca="false">H14/H37-1</f>
        <v>0.711561071195297</v>
      </c>
      <c r="I60" s="13" t="n">
        <f aca="false">I14/I37-1</f>
        <v>0.629364694471387</v>
      </c>
      <c r="J60" s="13" t="n">
        <f aca="false">J14/J37-1</f>
        <v>0.819649046793761</v>
      </c>
      <c r="K60" s="13" t="n">
        <f aca="false">K14/K37-1</f>
        <v>0.99081572190401</v>
      </c>
      <c r="L60" s="13" t="n">
        <f aca="false">L14/L37-1</f>
        <v>0.845779972226508</v>
      </c>
      <c r="M60" s="13" t="n">
        <f aca="false">M14/M37-1</f>
        <v>0.939417781274587</v>
      </c>
      <c r="N60" s="13" t="n">
        <f aca="false">N14/N37-1</f>
        <v>1.05687020439745</v>
      </c>
      <c r="O60" s="13" t="n">
        <f aca="false">O14/O37-1</f>
        <v>1.05176494802923</v>
      </c>
    </row>
    <row r="61" customFormat="false" ht="15" hidden="false" customHeight="false" outlineLevel="0" collapsed="false">
      <c r="A61" s="4" t="s">
        <v>168</v>
      </c>
      <c r="B61" s="4" t="s">
        <v>198</v>
      </c>
      <c r="C61" s="13" t="n">
        <f aca="false">C15/C38-1</f>
        <v>0.647497337593184</v>
      </c>
      <c r="D61" s="13" t="n">
        <f aca="false">D15/D38-1</f>
        <v>0.658235563004724</v>
      </c>
      <c r="E61" s="13" t="n">
        <f aca="false">E15/E38-1</f>
        <v>0.65906362545018</v>
      </c>
      <c r="F61" s="13" t="n">
        <f aca="false">F15/F38-1</f>
        <v>0.600772200772201</v>
      </c>
      <c r="G61" s="13" t="n">
        <f aca="false">G15/G38-1</f>
        <v>0.702799712849964</v>
      </c>
      <c r="H61" s="13" t="n">
        <f aca="false">H15/H38-1</f>
        <v>0.840909090909091</v>
      </c>
      <c r="I61" s="13" t="n">
        <f aca="false">I15/I38-1</f>
        <v>0.631497364885812</v>
      </c>
      <c r="J61" s="13" t="n">
        <f aca="false">J15/J38-1</f>
        <v>0.800145945452887</v>
      </c>
      <c r="K61" s="13" t="n">
        <f aca="false">K15/K38-1</f>
        <v>0.981757322175732</v>
      </c>
      <c r="L61" s="13" t="n">
        <f aca="false">L15/L38-1</f>
        <v>0.836106489184692</v>
      </c>
      <c r="M61" s="13" t="n">
        <f aca="false">M15/M38-1</f>
        <v>0.935327874137597</v>
      </c>
      <c r="N61" s="13" t="n">
        <f aca="false">N15/N38-1</f>
        <v>4.29494676863098</v>
      </c>
      <c r="O61" s="13" t="n">
        <f aca="false">O15/O38-1</f>
        <v>1.05416976917349</v>
      </c>
    </row>
    <row r="62" customFormat="false" ht="15" hidden="false" customHeight="false" outlineLevel="0" collapsed="false">
      <c r="A62" s="4" t="s">
        <v>169</v>
      </c>
      <c r="B62" s="4" t="s">
        <v>198</v>
      </c>
      <c r="C62" s="13" t="n">
        <f aca="false">C16/C39-1</f>
        <v>0.647497337593184</v>
      </c>
      <c r="D62" s="13" t="n">
        <f aca="false">D16/D39-1</f>
        <v>0.658235563004724</v>
      </c>
      <c r="E62" s="13" t="n">
        <f aca="false">E16/E39-1</f>
        <v>0.65906362545018</v>
      </c>
      <c r="F62" s="13" t="n">
        <f aca="false">F16/F39-1</f>
        <v>0.600772200772201</v>
      </c>
      <c r="G62" s="13" t="n">
        <f aca="false">G16/G39-1</f>
        <v>0.702799712849964</v>
      </c>
      <c r="H62" s="13" t="n">
        <f aca="false">H16/H39-1</f>
        <v>0.840909090909091</v>
      </c>
      <c r="I62" s="13" t="n">
        <f aca="false">I16/I39-1</f>
        <v>0.631497364885812</v>
      </c>
      <c r="J62" s="13" t="n">
        <f aca="false">J16/J39-1</f>
        <v>0.800145945452887</v>
      </c>
      <c r="K62" s="13" t="n">
        <f aca="false">K16/K39-1</f>
        <v>0.981757322175732</v>
      </c>
      <c r="L62" s="13" t="n">
        <f aca="false">L16/L39-1</f>
        <v>0.836106489184692</v>
      </c>
      <c r="M62" s="13" t="n">
        <f aca="false">M16/M39-1</f>
        <v>0.935327874137597</v>
      </c>
      <c r="N62" s="13" t="n">
        <f aca="false">N16/N39-1</f>
        <v>4.29494676863098</v>
      </c>
      <c r="O62" s="13" t="n">
        <f aca="false">O16/O39-1</f>
        <v>1.05416976917349</v>
      </c>
    </row>
    <row r="63" customFormat="false" ht="15" hidden="false" customHeight="false" outlineLevel="0" collapsed="false">
      <c r="A63" s="4" t="s">
        <v>170</v>
      </c>
      <c r="B63" s="4" t="s">
        <v>198</v>
      </c>
      <c r="C63" s="13" t="n">
        <f aca="false">C17/C40-1</f>
        <v>0.896272630457934</v>
      </c>
      <c r="D63" s="13" t="n">
        <f aca="false">D17/D40-1</f>
        <v>0.658235563004724</v>
      </c>
      <c r="E63" s="13" t="n">
        <f aca="false">E17/E40-1</f>
        <v>0.65906362545018</v>
      </c>
      <c r="F63" s="13" t="n">
        <f aca="false">F17/F40-1</f>
        <v>0.600772200772201</v>
      </c>
      <c r="G63" s="13" t="n">
        <f aca="false">G17/G40-1</f>
        <v>0.702799712849964</v>
      </c>
      <c r="H63" s="13" t="n">
        <f aca="false">H17/H40-1</f>
        <v>0.840909090909091</v>
      </c>
      <c r="I63" s="13" t="n">
        <f aca="false">I17/I40-1</f>
        <v>0.715924356722125</v>
      </c>
      <c r="J63" s="13" t="n">
        <f aca="false">J17/J40-1</f>
        <v>0.800145945452887</v>
      </c>
      <c r="K63" s="13" t="n">
        <f aca="false">K17/K40-1</f>
        <v>0.981757322175732</v>
      </c>
      <c r="L63" s="13" t="n">
        <f aca="false">L17/L40-1</f>
        <v>0.836106489184692</v>
      </c>
      <c r="M63" s="13" t="n">
        <f aca="false">M17/M40-1</f>
        <v>0.935327874137597</v>
      </c>
      <c r="N63" s="13" t="n">
        <f aca="false">N17/N40-1</f>
        <v>4.29494676863098</v>
      </c>
      <c r="O63" s="13" t="n">
        <f aca="false">O17/O40-1</f>
        <v>1.05416976917349</v>
      </c>
    </row>
    <row r="64" customFormat="false" ht="15" hidden="false" customHeight="false" outlineLevel="0" collapsed="false">
      <c r="A64" s="4" t="s">
        <v>171</v>
      </c>
      <c r="B64" s="4" t="s">
        <v>198</v>
      </c>
      <c r="C64" s="13" t="n">
        <f aca="false">C18/C41-1</f>
        <v>0.224068157614483</v>
      </c>
      <c r="D64" s="13" t="n">
        <f aca="false">D18/D41-1</f>
        <v>0.532530854792016</v>
      </c>
      <c r="E64" s="13" t="n">
        <f aca="false">E18/E41-1</f>
        <v>0.53327997865813</v>
      </c>
      <c r="F64" s="13" t="n">
        <f aca="false">F18/F41-1</f>
        <v>0.479407979407979</v>
      </c>
      <c r="G64" s="13" t="n">
        <f aca="false">G18/G41-1</f>
        <v>0.533141899976071</v>
      </c>
      <c r="H64" s="13" t="n">
        <f aca="false">H18/H41-1</f>
        <v>0.657427937915743</v>
      </c>
      <c r="I64" s="13" t="n">
        <f aca="false">I18/I41-1</f>
        <v>0.475043918569805</v>
      </c>
      <c r="J64" s="13" t="n">
        <f aca="false">J18/J41-1</f>
        <v>0.627474231505975</v>
      </c>
      <c r="K64" s="13" t="n">
        <f aca="false">K18/K41-1</f>
        <v>0.791715481171548</v>
      </c>
      <c r="L64" s="13" t="n">
        <f aca="false">L18/L41-1</f>
        <v>0.726497504159734</v>
      </c>
      <c r="M64" s="13" t="n">
        <f aca="false">M18/M41-1</f>
        <v>0.8197820620285</v>
      </c>
      <c r="N64" s="13" t="n">
        <f aca="false">N18/N41-1</f>
        <v>3.9790073474284</v>
      </c>
      <c r="O64" s="13" t="n">
        <f aca="false">O18/O41-1</f>
        <v>0.931543186895011</v>
      </c>
    </row>
    <row r="65" customFormat="false" ht="15" hidden="false" customHeight="false" outlineLevel="0" collapsed="false">
      <c r="A65" s="4" t="s">
        <v>172</v>
      </c>
      <c r="B65" s="4" t="s">
        <v>198</v>
      </c>
      <c r="C65" s="13" t="n">
        <f aca="false">C19/C42-1</f>
        <v>1.14483493077742</v>
      </c>
      <c r="D65" s="13" t="n">
        <f aca="false">D19/D42-1</f>
        <v>0.751485601097059</v>
      </c>
      <c r="E65" s="13" t="n">
        <f aca="false">E19/E42-1</f>
        <v>0.65906362545018</v>
      </c>
      <c r="F65" s="13" t="n">
        <f aca="false">F19/F42-1</f>
        <v>0.663963963963964</v>
      </c>
      <c r="G65" s="13" t="n">
        <f aca="false">G19/G42-1</f>
        <v>0.702799712849964</v>
      </c>
      <c r="H65" s="13" t="n">
        <f aca="false">H19/H42-1</f>
        <v>0.840909090909091</v>
      </c>
      <c r="I65" s="13" t="n">
        <f aca="false">I19/I42-1</f>
        <v>0.715924356722125</v>
      </c>
      <c r="J65" s="13" t="n">
        <f aca="false">J19/J42-1</f>
        <v>0.800145945452887</v>
      </c>
      <c r="K65" s="13" t="n">
        <f aca="false">K19/K42-1</f>
        <v>0.981757322175732</v>
      </c>
      <c r="L65" s="13" t="n">
        <f aca="false">L19/L42-1</f>
        <v>0.836106489184692</v>
      </c>
      <c r="M65" s="13" t="n">
        <f aca="false">M19/M42-1</f>
        <v>0.935327874137597</v>
      </c>
      <c r="N65" s="13" t="n">
        <f aca="false">N19/N42-1</f>
        <v>4.29494676863098</v>
      </c>
      <c r="O65" s="13" t="n">
        <f aca="false">O19/O42-1</f>
        <v>1.05416976917349</v>
      </c>
    </row>
    <row r="66" customFormat="false" ht="15" hidden="false" customHeight="false" outlineLevel="0" collapsed="false">
      <c r="A66" s="4" t="s">
        <v>173</v>
      </c>
      <c r="B66" s="4" t="s">
        <v>198</v>
      </c>
      <c r="C66" s="13" t="n">
        <f aca="false">C20/C43-1</f>
        <v>1.14483493077742</v>
      </c>
      <c r="D66" s="13" t="n">
        <f aca="false">D20/D43-1</f>
        <v>0.751485601097059</v>
      </c>
      <c r="E66" s="13" t="n">
        <f aca="false">E20/E43-1</f>
        <v>0.65906362545018</v>
      </c>
      <c r="F66" s="13" t="n">
        <f aca="false">F20/F43-1</f>
        <v>0.663963963963964</v>
      </c>
      <c r="G66" s="13" t="n">
        <f aca="false">G20/G43-1</f>
        <v>0.702799712849964</v>
      </c>
      <c r="H66" s="13" t="n">
        <f aca="false">H20/H43-1</f>
        <v>0.840909090909091</v>
      </c>
      <c r="I66" s="13" t="n">
        <f aca="false">I20/I43-1</f>
        <v>0.715924356722125</v>
      </c>
      <c r="J66" s="13" t="n">
        <f aca="false">J20/J43-1</f>
        <v>0.800145945452887</v>
      </c>
      <c r="K66" s="13" t="n">
        <f aca="false">K20/K43-1</f>
        <v>0.981757322175732</v>
      </c>
      <c r="L66" s="13" t="n">
        <f aca="false">L20/L43-1</f>
        <v>0.836106489184692</v>
      </c>
      <c r="M66" s="13" t="n">
        <f aca="false">M20/M43-1</f>
        <v>0.935327874137597</v>
      </c>
      <c r="N66" s="13" t="n">
        <f aca="false">N20/N43-1</f>
        <v>4.29494676863098</v>
      </c>
      <c r="O66" s="13" t="n">
        <f aca="false">O20/O43-1</f>
        <v>1.05416976917349</v>
      </c>
    </row>
    <row r="67" customFormat="false" ht="15" hidden="false" customHeight="false" outlineLevel="0" collapsed="false">
      <c r="A67" s="4" t="s">
        <v>174</v>
      </c>
      <c r="B67" s="4" t="s">
        <v>198</v>
      </c>
      <c r="C67" s="13" t="n">
        <f aca="false">C21/C44-1</f>
        <v>0.224068157614483</v>
      </c>
      <c r="D67" s="13" t="n">
        <f aca="false">D21/D44-1</f>
        <v>0.532530854792016</v>
      </c>
      <c r="E67" s="13" t="n">
        <f aca="false">E21/E44-1</f>
        <v>0.53327997865813</v>
      </c>
      <c r="F67" s="13" t="n">
        <f aca="false">F21/F44-1</f>
        <v>0.479407979407979</v>
      </c>
      <c r="G67" s="13" t="n">
        <f aca="false">G21/G44-1</f>
        <v>0.533141899976071</v>
      </c>
      <c r="H67" s="13" t="n">
        <f aca="false">H21/H44-1</f>
        <v>0.657427937915743</v>
      </c>
      <c r="I67" s="13" t="n">
        <f aca="false">I21/I44-1</f>
        <v>0.475043918569805</v>
      </c>
      <c r="J67" s="13" t="n">
        <f aca="false">J21/J44-1</f>
        <v>0.627474231505975</v>
      </c>
      <c r="K67" s="13" t="n">
        <f aca="false">K21/K44-1</f>
        <v>0.791715481171548</v>
      </c>
      <c r="L67" s="13" t="n">
        <f aca="false">L21/L44-1</f>
        <v>0.726497504159734</v>
      </c>
      <c r="M67" s="13" t="n">
        <f aca="false">M21/M44-1</f>
        <v>0.8197820620285</v>
      </c>
      <c r="N67" s="13" t="n">
        <f aca="false">N21/N44-1</f>
        <v>3.9790073474284</v>
      </c>
      <c r="O67" s="13" t="n">
        <f aca="false">O21/O44-1</f>
        <v>0.931543186895011</v>
      </c>
    </row>
    <row r="68" customFormat="false" ht="15" hidden="false" customHeight="false" outlineLevel="0" collapsed="false">
      <c r="A68" s="4" t="s">
        <v>175</v>
      </c>
      <c r="B68" s="4" t="s">
        <v>197</v>
      </c>
      <c r="C68" s="13" t="n">
        <f aca="false">C22/C45-1</f>
        <v>0.0997191011235954</v>
      </c>
      <c r="D68" s="13" t="n">
        <f aca="false">D22/D45-1</f>
        <v>0.39812925170068</v>
      </c>
      <c r="E68" s="13" t="n">
        <f aca="false">E22/E45-1</f>
        <v>0.406105042645518</v>
      </c>
      <c r="F68" s="13" t="n">
        <f aca="false">F22/F45-1</f>
        <v>0.437729498164015</v>
      </c>
      <c r="G68" s="13" t="n">
        <f aca="false">G22/G45-1</f>
        <v>0.582135812905044</v>
      </c>
      <c r="H68" s="13" t="n">
        <f aca="false">H22/H45-1</f>
        <v>0.711561071195297</v>
      </c>
      <c r="I68" s="13" t="n">
        <f aca="false">I22/I45-1</f>
        <v>0.629364694471387</v>
      </c>
      <c r="J68" s="13" t="n">
        <f aca="false">J22/J45-1</f>
        <v>0.819649046793761</v>
      </c>
      <c r="K68" s="13" t="n">
        <f aca="false">K22/K45-1</f>
        <v>0.99081572190401</v>
      </c>
      <c r="L68" s="13" t="n">
        <f aca="false">L22/L45-1</f>
        <v>0.845779972226508</v>
      </c>
      <c r="M68" s="13" t="n">
        <f aca="false">M22/M45-1</f>
        <v>0.939417781274587</v>
      </c>
      <c r="N68" s="13" t="n">
        <f aca="false">N22/N45-1</f>
        <v>1.05687020439745</v>
      </c>
      <c r="O68" s="13" t="n">
        <f aca="false">O22/O45-1</f>
        <v>1.05176494802923</v>
      </c>
    </row>
    <row r="69" customFormat="false" ht="15" hidden="false" customHeight="false" outlineLevel="0" collapsed="false">
      <c r="A69" s="4" t="s">
        <v>176</v>
      </c>
      <c r="B69" s="4" t="s">
        <v>198</v>
      </c>
      <c r="C69" s="13" t="n">
        <f aca="false">C23/C46-1</f>
        <v>0.896272630457934</v>
      </c>
      <c r="D69" s="13" t="n">
        <f aca="false">D23/D46-1</f>
        <v>0.573670577479811</v>
      </c>
      <c r="E69" s="13" t="n">
        <f aca="false">E23/E46-1</f>
        <v>0.440976390556223</v>
      </c>
      <c r="F69" s="13" t="n">
        <f aca="false">F23/F46-1</f>
        <v>0.508751608751609</v>
      </c>
      <c r="G69" s="13" t="n">
        <f aca="false">G23/G46-1</f>
        <v>0.519861210815985</v>
      </c>
      <c r="H69" s="13" t="n">
        <f aca="false">H23/H46-1</f>
        <v>0.513636363636364</v>
      </c>
      <c r="I69" s="13" t="n">
        <f aca="false">I23/I46-1</f>
        <v>0.509042058489201</v>
      </c>
      <c r="J69" s="13" t="n">
        <f aca="false">J23/J46-1</f>
        <v>0.532336039405273</v>
      </c>
      <c r="K69" s="13" t="n">
        <f aca="false">K23/K46-1</f>
        <v>0.686945606694561</v>
      </c>
      <c r="L69" s="13" t="n">
        <f aca="false">L23/L46-1</f>
        <v>0.65869384359401</v>
      </c>
      <c r="M69" s="13" t="n">
        <f aca="false">M23/M46-1</f>
        <v>0.748339673737829</v>
      </c>
      <c r="N69" s="13" t="n">
        <f aca="false">N23/N46-1</f>
        <v>3.78332583595742</v>
      </c>
      <c r="O69" s="13" t="n">
        <f aca="false">O23/O46-1</f>
        <v>0.855640357408786</v>
      </c>
    </row>
    <row r="70" customFormat="false" ht="15" hidden="false" customHeight="false" outlineLevel="0" collapsed="false">
      <c r="A70" s="4" t="s">
        <v>177</v>
      </c>
      <c r="B70" s="4" t="s">
        <v>198</v>
      </c>
      <c r="C70" s="13" t="n">
        <f aca="false">C24/C47-1</f>
        <v>1.26900958466454</v>
      </c>
      <c r="D70" s="13" t="n">
        <f aca="false">D24/D47-1</f>
        <v>0.84031692823404</v>
      </c>
      <c r="E70" s="13" t="n">
        <f aca="false">E24/E47-1</f>
        <v>0.675736961451247</v>
      </c>
      <c r="F70" s="13" t="n">
        <f aca="false">F24/F47-1</f>
        <v>0.737837837837838</v>
      </c>
      <c r="G70" s="13" t="n">
        <f aca="false">G24/G47-1</f>
        <v>0.729241445321847</v>
      </c>
      <c r="H70" s="13" t="n">
        <f aca="false">H24/H47-1</f>
        <v>0.840909090909091</v>
      </c>
      <c r="I70" s="13" t="n">
        <f aca="false">I24/I47-1</f>
        <v>0.715924356722125</v>
      </c>
      <c r="J70" s="13" t="n">
        <f aca="false">J24/J47-1</f>
        <v>0.800145945452887</v>
      </c>
      <c r="K70" s="13" t="n">
        <f aca="false">K24/K47-1</f>
        <v>0.981757322175732</v>
      </c>
      <c r="L70" s="13" t="n">
        <f aca="false">L24/L47-1</f>
        <v>0.836106489184692</v>
      </c>
      <c r="M70" s="13" t="n">
        <f aca="false">M24/M47-1</f>
        <v>0.935327874137597</v>
      </c>
      <c r="N70" s="13" t="n">
        <f aca="false">N24/N47-1</f>
        <v>4.29494676863098</v>
      </c>
      <c r="O70" s="13" t="n">
        <f aca="false">O24/O47-1</f>
        <v>1.05416976917349</v>
      </c>
    </row>
    <row r="71" customFormat="false" ht="15" hidden="false" customHeight="false" outlineLevel="0" collapsed="false">
      <c r="A71" s="4" t="s">
        <v>178</v>
      </c>
      <c r="B71" s="4" t="s">
        <v>198</v>
      </c>
      <c r="C71" s="13" t="n">
        <f aca="false">C25/C48-1</f>
        <v>1.14483493077742</v>
      </c>
      <c r="D71" s="13" t="n">
        <f aca="false">D25/D48-1</f>
        <v>0.751485601097059</v>
      </c>
      <c r="E71" s="13" t="n">
        <f aca="false">E25/E48-1</f>
        <v>0.65906362545018</v>
      </c>
      <c r="F71" s="13" t="n">
        <f aca="false">F25/F48-1</f>
        <v>0.663963963963964</v>
      </c>
      <c r="G71" s="13" t="n">
        <f aca="false">G25/G48-1</f>
        <v>0.702799712849964</v>
      </c>
      <c r="H71" s="13" t="n">
        <f aca="false">H25/H48-1</f>
        <v>0.840909090909091</v>
      </c>
      <c r="I71" s="13" t="n">
        <f aca="false">I25/I48-1</f>
        <v>0.715924356722125</v>
      </c>
      <c r="J71" s="13" t="n">
        <f aca="false">J25/J48-1</f>
        <v>0.800145945452887</v>
      </c>
      <c r="K71" s="13" t="n">
        <f aca="false">K25/K48-1</f>
        <v>0.981757322175732</v>
      </c>
      <c r="L71" s="13" t="n">
        <f aca="false">L25/L48-1</f>
        <v>0.836106489184692</v>
      </c>
      <c r="M71" s="13" t="n">
        <f aca="false">M25/M48-1</f>
        <v>0.935327874137597</v>
      </c>
      <c r="N71" s="13" t="n">
        <f aca="false">N25/N48-1</f>
        <v>4.29494676863098</v>
      </c>
      <c r="O71" s="13" t="n">
        <f aca="false">O25/O48-1</f>
        <v>1.05416976917349</v>
      </c>
    </row>
  </sheetData>
  <conditionalFormatting sqref="C52:O71">
    <cfRule type="colorScale" priority="2">
      <colorScale>
        <cfvo type="num" val="-0.3"/>
        <cfvo type="num" val="0"/>
        <cfvo type="num" val="1.2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7" min="3" style="0" width="11"/>
    <col collapsed="false" customWidth="true" hidden="false" outlineLevel="0" max="59" min="8" style="0" width="9.51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0" t="s">
        <v>202</v>
      </c>
    </row>
    <row r="3" customFormat="false" ht="15" hidden="false" customHeight="false" outlineLevel="0" collapsed="false">
      <c r="AG3" s="2" t="s">
        <v>203</v>
      </c>
      <c r="AH3" s="17" t="n">
        <f aca="false">IFERROR(AVERAGEIFS(Pedidos!$I$2:$I$2224,Pedidos!$H$2:$H$2224,"0-20"),10)</f>
        <v>17.6675700934579</v>
      </c>
      <c r="AI3" s="17" t="n">
        <f aca="false">IFERROR(AVERAGEIFS(Pedidos!$I$2:$I$2224,Pedidos!$H$2:$H$2224,"20-35"),27.5)</f>
        <v>28.3101616161616</v>
      </c>
      <c r="AJ3" s="17" t="n">
        <f aca="false">IFERROR(AVERAGEIFS(Pedidos!$I$2:$I$2224,Pedidos!$H$2:$H$2224,"35-40"),37.5)</f>
        <v>37.7385633802817</v>
      </c>
      <c r="AK3" s="17" t="n">
        <f aca="false">IFERROR(AVERAGEIFS(Pedidos!$I$2:$I$2224,Pedidos!$H$2:$H$2224,"40-50"),45)</f>
        <v>45.8947674418605</v>
      </c>
      <c r="AL3" s="17" t="n">
        <f aca="false">IFERROR(AVERAGEIFS(Pedidos!$I$2:$I$2224,Pedidos!$H$2:$H$2224,"50-60"),55)</f>
        <v>53.7578365384615</v>
      </c>
      <c r="AM3" s="17" t="n">
        <f aca="false">IFERROR(AVERAGEIFS(Pedidos!$I$2:$I$2224,Pedidos!$H$2:$H$2224,"60-70"),65)</f>
        <v>66.0062271062271</v>
      </c>
      <c r="AN3" s="17" t="n">
        <f aca="false">IFERROR(AVERAGEIFS(Pedidos!$I$2:$I$2224,Pedidos!$H$2:$H$2224,"70-80"),75)</f>
        <v>74.5873333333333</v>
      </c>
      <c r="AO3" s="17" t="n">
        <f aca="false">IFERROR(AVERAGEIFS(Pedidos!$I$2:$I$2224,Pedidos!$H$2:$H$2224,"80-100"),90)</f>
        <v>87.6333333333333</v>
      </c>
      <c r="AP3" s="17" t="n">
        <f aca="false">IFERROR(AVERAGEIFS(Pedidos!$I$2:$I$2224,Pedidos!$H$2:$H$2224,"100-120"),110)</f>
        <v>110.322452830189</v>
      </c>
      <c r="AQ3" s="17" t="n">
        <f aca="false">IFERROR(AVERAGEIFS(Pedidos!$I$2:$I$2224,Pedidos!$H$2:$H$2224,"120-150"),135)</f>
        <v>128.146976744186</v>
      </c>
      <c r="AR3" s="17" t="n">
        <f aca="false">IFERROR(AVERAGEIFS(Pedidos!$I$2:$I$2224,Pedidos!$H$2:$H$2224,"150-170"),160)</f>
        <v>160.633333333333</v>
      </c>
      <c r="AS3" s="17" t="n">
        <f aca="false">IFERROR(AVERAGEIFS(Pedidos!$I$2:$I$2224,Pedidos!$H$2:$H$2224,"170-200"),185)</f>
        <v>188.4</v>
      </c>
      <c r="AT3" s="17" t="n">
        <f aca="false">IFERROR(AVERAGEIFS(Pedidos!$I$2:$I$2224,Pedidos!$H$2:$H$2224,"200-250"),225)</f>
        <v>208.2</v>
      </c>
    </row>
    <row r="4" customFormat="false" ht="15" hidden="false" customHeight="false" outlineLevel="0" collapsed="false">
      <c r="AG4" s="2" t="s">
        <v>204</v>
      </c>
      <c r="AH4" s="12" t="n">
        <f aca="false">IFERROR(AVERAGEIFS(Pedidos!$J$2:$J$2224,Pedidos!$H$2:$H$2224,"0-20"),AH3*SUM(Pedidos!$J$2:$J$2224)/SUM(Pedidos!$I$2:$I$2224))</f>
        <v>314.905981308411</v>
      </c>
      <c r="AI4" s="12" t="n">
        <f aca="false">IFERROR(AVERAGEIFS(Pedidos!$J$2:$J$2224,Pedidos!$H$2:$H$2224,"20-35"),AI3*SUM(Pedidos!$J$2:$J$2224)/SUM(Pedidos!$I$2:$I$2224))</f>
        <v>434.464161616162</v>
      </c>
      <c r="AJ4" s="12" t="n">
        <f aca="false">IFERROR(AVERAGEIFS(Pedidos!$J$2:$J$2224,Pedidos!$H$2:$H$2224,"35-40"),AJ3*SUM(Pedidos!$J$2:$J$2224)/SUM(Pedidos!$I$2:$I$2224))</f>
        <v>465.110253521127</v>
      </c>
      <c r="AK4" s="12" t="n">
        <f aca="false">IFERROR(AVERAGEIFS(Pedidos!$J$2:$J$2224,Pedidos!$H$2:$H$2224,"40-50"),AK3*SUM(Pedidos!$J$2:$J$2224)/SUM(Pedidos!$I$2:$I$2224))</f>
        <v>603.080348837209</v>
      </c>
      <c r="AL4" s="12" t="n">
        <f aca="false">IFERROR(AVERAGEIFS(Pedidos!$J$2:$J$2224,Pedidos!$H$2:$H$2224,"50-60"),AL3*SUM(Pedidos!$J$2:$J$2224)/SUM(Pedidos!$I$2:$I$2224))</f>
        <v>694.483509615385</v>
      </c>
      <c r="AM4" s="12" t="n">
        <f aca="false">IFERROR(AVERAGEIFS(Pedidos!$J$2:$J$2224,Pedidos!$H$2:$H$2224,"60-70"),AM3*SUM(Pedidos!$J$2:$J$2224)/SUM(Pedidos!$I$2:$I$2224))</f>
        <v>759.360366300366</v>
      </c>
      <c r="AN4" s="12" t="n">
        <f aca="false">IFERROR(AVERAGEIFS(Pedidos!$J$2:$J$2224,Pedidos!$H$2:$H$2224,"70-80"),AN3*SUM(Pedidos!$J$2:$J$2224)/SUM(Pedidos!$I$2:$I$2224))</f>
        <v>951.882</v>
      </c>
      <c r="AO4" s="12" t="n">
        <f aca="false">IFERROR(AVERAGEIFS(Pedidos!$J$2:$J$2224,Pedidos!$H$2:$H$2224,"80-100"),AO3*SUM(Pedidos!$J$2:$J$2224)/SUM(Pedidos!$I$2:$I$2224))</f>
        <v>970.36649122807</v>
      </c>
      <c r="AP4" s="12" t="n">
        <f aca="false">IFERROR(AVERAGEIFS(Pedidos!$J$2:$J$2224,Pedidos!$H$2:$H$2224,"100-120"),AP3*SUM(Pedidos!$J$2:$J$2224)/SUM(Pedidos!$I$2:$I$2224))</f>
        <v>1259.43773584906</v>
      </c>
      <c r="AQ4" s="12" t="n">
        <f aca="false">IFERROR(AVERAGEIFS(Pedidos!$J$2:$J$2224,Pedidos!$H$2:$H$2224,"120-150"),AQ3*SUM(Pedidos!$J$2:$J$2224)/SUM(Pedidos!$I$2:$I$2224))</f>
        <v>1647.78081395349</v>
      </c>
      <c r="AR4" s="12" t="n">
        <f aca="false">IFERROR(AVERAGEIFS(Pedidos!$J$2:$J$2224,Pedidos!$H$2:$H$2224,"150-170"),AR3*SUM(Pedidos!$J$2:$J$2224)/SUM(Pedidos!$I$2:$I$2224))</f>
        <v>1909.17333333333</v>
      </c>
      <c r="AS4" s="12" t="n">
        <f aca="false">IFERROR(AVERAGEIFS(Pedidos!$J$2:$J$2224,Pedidos!$H$2:$H$2224,"170-200"),AS3*SUM(Pedidos!$J$2:$J$2224)/SUM(Pedidos!$I$2:$I$2224))</f>
        <v>1994</v>
      </c>
      <c r="AT4" s="12" t="n">
        <f aca="false">IFERROR(AVERAGEIFS(Pedidos!$J$2:$J$2224,Pedidos!$H$2:$H$2224,"200-250"),AT3*SUM(Pedidos!$J$2:$J$2224)/SUM(Pedidos!$I$2:$I$2224))</f>
        <v>3070.27666666667</v>
      </c>
    </row>
    <row r="5" customFormat="false" ht="15" hidden="false" customHeight="false" outlineLevel="0" collapsed="false">
      <c r="H5" s="33" t="s">
        <v>205</v>
      </c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4" t="s">
        <v>206</v>
      </c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5" t="s">
        <v>207</v>
      </c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 t="s">
        <v>208</v>
      </c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</row>
    <row r="6" customFormat="false" ht="30" hidden="false" customHeight="true" outlineLevel="0" collapsed="false">
      <c r="A6" s="3" t="s">
        <v>209</v>
      </c>
      <c r="B6" s="3" t="s">
        <v>210</v>
      </c>
      <c r="C6" s="3" t="s">
        <v>211</v>
      </c>
      <c r="D6" s="3" t="s">
        <v>212</v>
      </c>
      <c r="E6" s="3" t="s">
        <v>144</v>
      </c>
      <c r="F6" s="3" t="s">
        <v>213</v>
      </c>
      <c r="G6" s="3" t="s">
        <v>214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  <c r="M6" s="3" t="s">
        <v>188</v>
      </c>
      <c r="N6" s="3" t="s">
        <v>189</v>
      </c>
      <c r="O6" s="3" t="s">
        <v>190</v>
      </c>
      <c r="P6" s="3" t="s">
        <v>191</v>
      </c>
      <c r="Q6" s="3" t="s">
        <v>192</v>
      </c>
      <c r="R6" s="3" t="s">
        <v>193</v>
      </c>
      <c r="S6" s="3" t="s">
        <v>194</v>
      </c>
      <c r="T6" s="3" t="s">
        <v>195</v>
      </c>
      <c r="U6" s="3" t="s">
        <v>183</v>
      </c>
      <c r="V6" s="3" t="s">
        <v>184</v>
      </c>
      <c r="W6" s="3" t="s">
        <v>185</v>
      </c>
      <c r="X6" s="3" t="s">
        <v>186</v>
      </c>
      <c r="Y6" s="3" t="s">
        <v>187</v>
      </c>
      <c r="Z6" s="3" t="s">
        <v>188</v>
      </c>
      <c r="AA6" s="3" t="s">
        <v>189</v>
      </c>
      <c r="AB6" s="3" t="s">
        <v>190</v>
      </c>
      <c r="AC6" s="3" t="s">
        <v>191</v>
      </c>
      <c r="AD6" s="3" t="s">
        <v>192</v>
      </c>
      <c r="AE6" s="3" t="s">
        <v>193</v>
      </c>
      <c r="AF6" s="3" t="s">
        <v>194</v>
      </c>
      <c r="AG6" s="3" t="s">
        <v>195</v>
      </c>
      <c r="AH6" s="3" t="s">
        <v>183</v>
      </c>
      <c r="AI6" s="3" t="s">
        <v>184</v>
      </c>
      <c r="AJ6" s="3" t="s">
        <v>185</v>
      </c>
      <c r="AK6" s="3" t="s">
        <v>186</v>
      </c>
      <c r="AL6" s="3" t="s">
        <v>187</v>
      </c>
      <c r="AM6" s="3" t="s">
        <v>188</v>
      </c>
      <c r="AN6" s="3" t="s">
        <v>189</v>
      </c>
      <c r="AO6" s="3" t="s">
        <v>190</v>
      </c>
      <c r="AP6" s="3" t="s">
        <v>191</v>
      </c>
      <c r="AQ6" s="3" t="s">
        <v>192</v>
      </c>
      <c r="AR6" s="3" t="s">
        <v>193</v>
      </c>
      <c r="AS6" s="3" t="s">
        <v>194</v>
      </c>
      <c r="AT6" s="3" t="s">
        <v>195</v>
      </c>
      <c r="AU6" s="3" t="s">
        <v>183</v>
      </c>
      <c r="AV6" s="3" t="s">
        <v>184</v>
      </c>
      <c r="AW6" s="3" t="s">
        <v>185</v>
      </c>
      <c r="AX6" s="3" t="s">
        <v>186</v>
      </c>
      <c r="AY6" s="3" t="s">
        <v>187</v>
      </c>
      <c r="AZ6" s="3" t="s">
        <v>188</v>
      </c>
      <c r="BA6" s="3" t="s">
        <v>189</v>
      </c>
      <c r="BB6" s="3" t="s">
        <v>190</v>
      </c>
      <c r="BC6" s="3" t="s">
        <v>191</v>
      </c>
      <c r="BD6" s="3" t="s">
        <v>192</v>
      </c>
      <c r="BE6" s="3" t="s">
        <v>193</v>
      </c>
      <c r="BF6" s="3" t="s">
        <v>194</v>
      </c>
      <c r="BG6" s="3" t="s">
        <v>195</v>
      </c>
    </row>
    <row r="7" customFormat="false" ht="15" hidden="false" customHeight="false" outlineLevel="0" collapsed="false">
      <c r="A7" s="4" t="s">
        <v>215</v>
      </c>
      <c r="B7" s="4" t="s">
        <v>159</v>
      </c>
      <c r="C7" s="36" t="n">
        <v>20000000</v>
      </c>
      <c r="D7" s="36" t="n">
        <v>23799999</v>
      </c>
      <c r="E7" s="4" t="s">
        <v>196</v>
      </c>
      <c r="F7" s="4" t="s">
        <v>216</v>
      </c>
      <c r="G7" s="4" t="n">
        <f aca="false">COUNTIFS(Pedidos!$E$2:$E$2224,"&gt;="&amp;C7,Pedidos!$E$2:$E$2224,"&lt;="&amp;D7)</f>
        <v>1030</v>
      </c>
      <c r="H7" s="7" t="n">
        <v>46.98</v>
      </c>
      <c r="I7" s="7" t="n">
        <v>82.21</v>
      </c>
      <c r="J7" s="7" t="n">
        <v>93.97</v>
      </c>
      <c r="K7" s="7" t="n">
        <v>93.97</v>
      </c>
      <c r="L7" s="7" t="n">
        <v>112.3</v>
      </c>
      <c r="M7" s="7" t="n">
        <v>131.02</v>
      </c>
      <c r="N7" s="7" t="n">
        <v>134.39</v>
      </c>
      <c r="O7" s="7" t="n">
        <v>167.99</v>
      </c>
      <c r="P7" s="7" t="n">
        <v>201.59</v>
      </c>
      <c r="Q7" s="7" t="n">
        <v>239.25</v>
      </c>
      <c r="R7" s="7" t="n">
        <v>271.15</v>
      </c>
      <c r="S7" s="7" t="n">
        <v>319</v>
      </c>
      <c r="T7" s="7" t="n">
        <v>398.74</v>
      </c>
      <c r="U7" s="7" t="n">
        <v>33.42</v>
      </c>
      <c r="V7" s="7" t="n">
        <v>42.11</v>
      </c>
      <c r="W7" s="7" t="n">
        <v>48.35</v>
      </c>
      <c r="X7" s="7" t="n">
        <v>53.55</v>
      </c>
      <c r="Y7" s="7" t="n">
        <v>58.6</v>
      </c>
      <c r="Z7" s="7" t="n">
        <v>63.21</v>
      </c>
      <c r="AA7" s="7" t="n">
        <v>68.88</v>
      </c>
      <c r="AB7" s="7" t="n">
        <v>83.79</v>
      </c>
      <c r="AC7" s="7" t="n">
        <v>92.34</v>
      </c>
      <c r="AD7" s="7" t="n">
        <v>120.59</v>
      </c>
      <c r="AE7" s="7" t="n">
        <v>130.31</v>
      </c>
      <c r="AF7" s="7" t="n">
        <v>144.9</v>
      </c>
      <c r="AG7" s="7" t="n">
        <v>181.55</v>
      </c>
      <c r="AH7" s="12" t="n">
        <f aca="false">(U7+AH$4*(Resumo!$C$6+Resumo!$C$7+Resumo!$C$8)+Resumo!$C$10*CEILING(AH$3/100,1)+Resumo!$C$9+Resumo!$C$13+Resumo!$C$14*CEILING(AH$3,1))*(1+Resumo!$C$11)-(AH$4*(Resumo!$B$6+Resumo!$B$7)+Resumo!$B$9+Resumo!$B$10*CEILING(AH$3/100,1)+(Resumo!$B$12+Resumo!$B$14)*CEILING(AH$3,1))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41.8178871775701</v>
      </c>
      <c r="AI7" s="12" t="n">
        <f aca="false">(V7+AI$4*(Resumo!$C$6+Resumo!$C$7+Resumo!$C$8)+Resumo!$C$10*CEILING(AI$3/100,1)+Resumo!$C$9+Resumo!$C$13+Resumo!$C$14*CEILING(AI$3,1))*(1+Resumo!$C$11)-(AI$4*(Resumo!$B$6+Resumo!$B$7)+Resumo!$B$9+Resumo!$B$10*CEILING(AI$3/100,1)+(Resumo!$B$12+Resumo!$B$14)*CEILING(AI$3,1))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49.9913569939394</v>
      </c>
      <c r="AJ7" s="12" t="n">
        <f aca="false">(W7+AJ$4*(Resumo!$C$6+Resumo!$C$7+Resumo!$C$8)+Resumo!$C$10*CEILING(AJ$3/100,1)+Resumo!$C$9+Resumo!$C$13+Resumo!$C$14*CEILING(AJ$3,1))*(1+Resumo!$C$11)-(AJ$4*(Resumo!$B$6+Resumo!$B$7)+Resumo!$B$9+Resumo!$B$10*CEILING(AJ$3/100,1)+(Resumo!$B$12+Resumo!$B$14)*CEILING(AJ$3,1))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55.7281323042254</v>
      </c>
      <c r="AK7" s="12" t="n">
        <f aca="false">(X7+AK$4*(Resumo!$C$6+Resumo!$C$7+Resumo!$C$8)+Resumo!$C$10*CEILING(AK$3/100,1)+Resumo!$C$9+Resumo!$C$13+Resumo!$C$14*CEILING(AK$3,1))*(1+Resumo!$C$11)-(AK$4*(Resumo!$B$6+Resumo!$B$7)+Resumo!$B$9+Resumo!$B$10*CEILING(AK$3/100,1)+(Resumo!$B$12+Resumo!$B$14)*CEILING(AK$3,1))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60.6136964186046</v>
      </c>
      <c r="AL7" s="12" t="n">
        <f aca="false">(Y7+AL$4*(Resumo!$C$6+Resumo!$C$7+Resumo!$C$8)+Resumo!$C$10*CEILING(AL$3/100,1)+Resumo!$C$9+Resumo!$C$13+Resumo!$C$14*CEILING(AL$3,1))*(1+Resumo!$C$11)-(AL$4*(Resumo!$B$6+Resumo!$B$7)+Resumo!$B$9+Resumo!$B$10*CEILING(AL$3/100,1)+(Resumo!$B$12+Resumo!$B$14)*CEILING(AL$3,1))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65.2933802115385</v>
      </c>
      <c r="AM7" s="12" t="n">
        <f aca="false">(Z7+AM$4*(Resumo!$C$6+Resumo!$C$7+Resumo!$C$8)+Resumo!$C$10*CEILING(AM$3/100,1)+Resumo!$C$9+Resumo!$C$13+Resumo!$C$14*CEILING(AM$3,1))*(1+Resumo!$C$11)-(AM$4*(Resumo!$B$6+Resumo!$B$7)+Resumo!$B$9+Resumo!$B$10*CEILING(AM$3/100,1)+(Resumo!$B$12+Resumo!$B$14)*CEILING(AM$3,1))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69.2012324395604</v>
      </c>
      <c r="AN7" s="12" t="n">
        <f aca="false">(AA7+AN$4*(Resumo!$C$6+Resumo!$C$7+Resumo!$C$8)+Resumo!$C$10*CEILING(AN$3/100,1)+Resumo!$C$9+Resumo!$C$13+Resumo!$C$14*CEILING(AN$3,1))*(1+Resumo!$C$11)-(AN$4*(Resumo!$B$6+Resumo!$B$7)+Resumo!$B$9+Resumo!$B$10*CEILING(AN$3/100,1)+(Resumo!$B$12+Resumo!$B$14)*CEILING(AN$3,1))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74.6222584</v>
      </c>
      <c r="AO7" s="12" t="n">
        <f aca="false">(AB7+AO$4*(Resumo!$C$6+Resumo!$C$7+Resumo!$C$8)+Resumo!$C$10*CEILING(AO$3/100,1)+Resumo!$C$9+Resumo!$C$13+Resumo!$C$14*CEILING(AO$3,1))*(1+Resumo!$C$11)-(AO$4*(Resumo!$B$6+Resumo!$B$7)+Resumo!$B$9+Resumo!$B$10*CEILING(AO$3/100,1)+(Resumo!$B$12+Resumo!$B$14)*CEILING(AO$3,1))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88.7744397894737</v>
      </c>
      <c r="AP7" s="12" t="n">
        <f aca="false">(AC7+AP$4*(Resumo!$C$6+Resumo!$C$7+Resumo!$C$8)+Resumo!$C$10*CEILING(AP$3/100,1)+Resumo!$C$9+Resumo!$C$13+Resumo!$C$14*CEILING(AP$3,1))*(1+Resumo!$C$11)-(AP$4*(Resumo!$B$6+Resumo!$B$7)+Resumo!$B$9+Resumo!$B$10*CEILING(AP$3/100,1)+(Resumo!$B$12+Resumo!$B$14)*CEILING(AP$3,1))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92.8413252830189</v>
      </c>
      <c r="AQ7" s="12" t="n">
        <f aca="false">(AD7+AQ$4*(Resumo!$C$6+Resumo!$C$7+Resumo!$C$8)+Resumo!$C$10*CEILING(AQ$3/100,1)+Resumo!$C$9+Resumo!$C$13+Resumo!$C$14*CEILING(AQ$3,1))*(1+Resumo!$C$11)-(AQ$4*(Resumo!$B$6+Resumo!$B$7)+Resumo!$B$9+Resumo!$B$10*CEILING(AQ$3/100,1)+(Resumo!$B$12+Resumo!$B$14)*CEILING(AQ$3,1))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120.477336976744</v>
      </c>
      <c r="AR7" s="12" t="n">
        <f aca="false">(AE7+AR$4*(Resumo!$C$6+Resumo!$C$7+Resumo!$C$8)+Resumo!$C$10*CEILING(AR$3/100,1)+Resumo!$C$9+Resumo!$C$13+Resumo!$C$14*CEILING(AR$3,1))*(1+Resumo!$C$11)-(AR$4*(Resumo!$B$6+Resumo!$B$7)+Resumo!$B$9+Resumo!$B$10*CEILING(AR$3/100,1)+(Resumo!$B$12+Resumo!$B$14)*CEILING(AR$3,1))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128.591008</v>
      </c>
      <c r="AS7" s="12" t="n">
        <f aca="false">(AF7+AS$4*(Resumo!$C$6+Resumo!$C$7+Resumo!$C$8)+Resumo!$C$10*CEILING(AS$3/100,1)+Resumo!$C$9+Resumo!$C$13+Resumo!$C$14*CEILING(AS$3,1))*(1+Resumo!$C$11)-(AS$4*(Resumo!$B$6+Resumo!$B$7)+Resumo!$B$9+Resumo!$B$10*CEILING(AS$3/100,1)+(Resumo!$B$12+Resumo!$B$14)*CEILING(AS$3,1))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141.6028</v>
      </c>
      <c r="AT7" s="12" t="n">
        <f aca="false">(AG7+AT$4*(Resumo!$C$6+Resumo!$C$7+Resumo!$C$8)+Resumo!$C$10*CEILING(AT$3/100,1)+Resumo!$C$9+Resumo!$C$13+Resumo!$C$14*CEILING(AT$3,1))*(1+Resumo!$C$11)-(AT$4*(Resumo!$B$6+Resumo!$B$7)+Resumo!$B$9+Resumo!$B$10*CEILING(AT$3/100,1)+(Resumo!$B$12+Resumo!$B$14)*CEILING(AT$3,1))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174.894332</v>
      </c>
      <c r="AU7" s="13" t="n">
        <f aca="false">1-AH7/H7</f>
        <v>0.109878944709023</v>
      </c>
      <c r="AV7" s="13" t="n">
        <f aca="false">1-AI7/I7</f>
        <v>0.391906617273575</v>
      </c>
      <c r="AW7" s="13" t="n">
        <f aca="false">1-AJ7/J7</f>
        <v>0.40695826003804</v>
      </c>
      <c r="AX7" s="13" t="n">
        <f aca="false">1-AK7/K7</f>
        <v>0.354967580944933</v>
      </c>
      <c r="AY7" s="13" t="n">
        <f aca="false">1-AL7/L7</f>
        <v>0.418580763922186</v>
      </c>
      <c r="AZ7" s="13" t="n">
        <f aca="false">1-AM7/M7</f>
        <v>0.471826954361468</v>
      </c>
      <c r="BA7" s="13" t="n">
        <f aca="false">1-AN7/N7</f>
        <v>0.44473354862713</v>
      </c>
      <c r="BB7" s="13" t="n">
        <f aca="false">1-AO7/O7</f>
        <v>0.471549260137665</v>
      </c>
      <c r="BC7" s="13" t="n">
        <f aca="false">1-AP7/P7</f>
        <v>0.539454708651129</v>
      </c>
      <c r="BD7" s="13" t="n">
        <f aca="false">1-AQ7/Q7</f>
        <v>0.496437463002114</v>
      </c>
      <c r="BE7" s="13" t="n">
        <f aca="false">1-AR7/R7</f>
        <v>0.525756931587682</v>
      </c>
      <c r="BF7" s="13" t="n">
        <f aca="false">1-AS7/S7</f>
        <v>0.55610407523511</v>
      </c>
      <c r="BG7" s="13" t="n">
        <f aca="false">1-AT7/T7</f>
        <v>0.561382524953604</v>
      </c>
    </row>
    <row r="8" customFormat="false" ht="15" hidden="false" customHeight="false" outlineLevel="0" collapsed="false">
      <c r="A8" s="4" t="s">
        <v>215</v>
      </c>
      <c r="B8" s="4" t="s">
        <v>217</v>
      </c>
      <c r="C8" s="36" t="n">
        <v>23800000</v>
      </c>
      <c r="D8" s="36" t="n">
        <v>23859999</v>
      </c>
      <c r="E8" s="4" t="s">
        <v>198</v>
      </c>
      <c r="F8" s="4" t="s">
        <v>218</v>
      </c>
      <c r="G8" s="4" t="n">
        <f aca="false">COUNTIFS(Pedidos!$E$2:$E$2224,"&gt;="&amp;C8,Pedidos!$E$2:$E$2224,"&lt;="&amp;D8)</f>
        <v>7</v>
      </c>
      <c r="H8" s="7" t="n">
        <v>56.98</v>
      </c>
      <c r="I8" s="7" t="n">
        <v>92.21</v>
      </c>
      <c r="J8" s="7" t="n">
        <v>103.97</v>
      </c>
      <c r="K8" s="7" t="n">
        <v>103.97</v>
      </c>
      <c r="L8" s="7" t="n">
        <v>122.3</v>
      </c>
      <c r="M8" s="7" t="n">
        <v>141.02</v>
      </c>
      <c r="N8" s="7" t="n">
        <v>144.39</v>
      </c>
      <c r="O8" s="7" t="n">
        <v>177.99</v>
      </c>
      <c r="P8" s="7" t="n">
        <v>211.59</v>
      </c>
      <c r="Q8" s="7" t="n">
        <v>249.25</v>
      </c>
      <c r="R8" s="7" t="n">
        <v>281.15</v>
      </c>
      <c r="S8" s="7" t="n">
        <v>329</v>
      </c>
      <c r="T8" s="7" t="n">
        <v>408.74</v>
      </c>
      <c r="U8" s="7" t="n">
        <v>46.95</v>
      </c>
      <c r="V8" s="7" t="n">
        <v>65.63</v>
      </c>
      <c r="W8" s="7" t="n">
        <v>74.97</v>
      </c>
      <c r="X8" s="7" t="n">
        <v>77.7</v>
      </c>
      <c r="Y8" s="7" t="n">
        <v>83.58</v>
      </c>
      <c r="Z8" s="7" t="n">
        <v>90.2</v>
      </c>
      <c r="AA8" s="7" t="n">
        <v>96.77</v>
      </c>
      <c r="AB8" s="7" t="n">
        <v>109.63</v>
      </c>
      <c r="AC8" s="7" t="n">
        <v>119.5</v>
      </c>
      <c r="AD8" s="7" t="n">
        <v>144.24</v>
      </c>
      <c r="AE8" s="7" t="n">
        <v>155.09</v>
      </c>
      <c r="AF8" s="7" t="n">
        <v>66.69</v>
      </c>
      <c r="AG8" s="7" t="n">
        <v>214.88</v>
      </c>
      <c r="AH8" s="12" t="n">
        <f aca="false">(U8+AH$4*(Resumo!$C$6+Resumo!$C$7+Resumo!$C$8)+Resumo!$C$10*CEILING(AH$3/100,1)+Resumo!$C$9+Resumo!$C$13+Resumo!$C$14*CEILING(AH$3,1))*(1+Resumo!$C$11)-(AH$4*(Resumo!$B$6+Resumo!$B$7)+Resumo!$B$9+Resumo!$B$10*CEILING(AH$3/100,1)+(Resumo!$B$12+Resumo!$B$14)*CEILING(AH$3,1))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" s="12" t="n">
        <f aca="false">(V8+AI$4*(Resumo!$C$6+Resumo!$C$7+Resumo!$C$8)+Resumo!$C$10*CEILING(AI$3/100,1)+Resumo!$C$9+Resumo!$C$13+Resumo!$C$14*CEILING(AI$3,1))*(1+Resumo!$C$11)-(AI$4*(Resumo!$B$6+Resumo!$B$7)+Resumo!$B$9+Resumo!$B$10*CEILING(AI$3/100,1)+(Resumo!$B$12+Resumo!$B$14)*CEILING(AI$3,1))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" s="12" t="n">
        <f aca="false">(W8+AJ$4*(Resumo!$C$6+Resumo!$C$7+Resumo!$C$8)+Resumo!$C$10*CEILING(AJ$3/100,1)+Resumo!$C$9+Resumo!$C$13+Resumo!$C$14*CEILING(AJ$3,1))*(1+Resumo!$C$11)-(AJ$4*(Resumo!$B$6+Resumo!$B$7)+Resumo!$B$9+Resumo!$B$10*CEILING(AJ$3/100,1)+(Resumo!$B$12+Resumo!$B$14)*CEILING(AJ$3,1))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" s="12" t="n">
        <f aca="false">(X8+AK$4*(Resumo!$C$6+Resumo!$C$7+Resumo!$C$8)+Resumo!$C$10*CEILING(AK$3/100,1)+Resumo!$C$9+Resumo!$C$13+Resumo!$C$14*CEILING(AK$3,1))*(1+Resumo!$C$11)-(AK$4*(Resumo!$B$6+Resumo!$B$7)+Resumo!$B$9+Resumo!$B$10*CEILING(AK$3/100,1)+(Resumo!$B$12+Resumo!$B$14)*CEILING(AK$3,1))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" s="12" t="n">
        <f aca="false">(Y8+AL$4*(Resumo!$C$6+Resumo!$C$7+Resumo!$C$8)+Resumo!$C$10*CEILING(AL$3/100,1)+Resumo!$C$9+Resumo!$C$13+Resumo!$C$14*CEILING(AL$3,1))*(1+Resumo!$C$11)-(AL$4*(Resumo!$B$6+Resumo!$B$7)+Resumo!$B$9+Resumo!$B$10*CEILING(AL$3/100,1)+(Resumo!$B$12+Resumo!$B$14)*CEILING(AL$3,1))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" s="12" t="n">
        <f aca="false">(Z8+AM$4*(Resumo!$C$6+Resumo!$C$7+Resumo!$C$8)+Resumo!$C$10*CEILING(AM$3/100,1)+Resumo!$C$9+Resumo!$C$13+Resumo!$C$14*CEILING(AM$3,1))*(1+Resumo!$C$11)-(AM$4*(Resumo!$B$6+Resumo!$B$7)+Resumo!$B$9+Resumo!$B$10*CEILING(AM$3/100,1)+(Resumo!$B$12+Resumo!$B$14)*CEILING(AM$3,1))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" s="12" t="n">
        <f aca="false">(AA8+AN$4*(Resumo!$C$6+Resumo!$C$7+Resumo!$C$8)+Resumo!$C$10*CEILING(AN$3/100,1)+Resumo!$C$9+Resumo!$C$13+Resumo!$C$14*CEILING(AN$3,1))*(1+Resumo!$C$11)-(AN$4*(Resumo!$B$6+Resumo!$B$7)+Resumo!$B$9+Resumo!$B$10*CEILING(AN$3/100,1)+(Resumo!$B$12+Resumo!$B$14)*CEILING(AN$3,1))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" s="12" t="n">
        <f aca="false">(AB8+AO$4*(Resumo!$C$6+Resumo!$C$7+Resumo!$C$8)+Resumo!$C$10*CEILING(AO$3/100,1)+Resumo!$C$9+Resumo!$C$13+Resumo!$C$14*CEILING(AO$3,1))*(1+Resumo!$C$11)-(AO$4*(Resumo!$B$6+Resumo!$B$7)+Resumo!$B$9+Resumo!$B$10*CEILING(AO$3/100,1)+(Resumo!$B$12+Resumo!$B$14)*CEILING(AO$3,1))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" s="12" t="n">
        <f aca="false">(AC8+AP$4*(Resumo!$C$6+Resumo!$C$7+Resumo!$C$8)+Resumo!$C$10*CEILING(AP$3/100,1)+Resumo!$C$9+Resumo!$C$13+Resumo!$C$14*CEILING(AP$3,1))*(1+Resumo!$C$11)-(AP$4*(Resumo!$B$6+Resumo!$B$7)+Resumo!$B$9+Resumo!$B$10*CEILING(AP$3/100,1)+(Resumo!$B$12+Resumo!$B$14)*CEILING(AP$3,1))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" s="12" t="n">
        <f aca="false">(AD8+AQ$4*(Resumo!$C$6+Resumo!$C$7+Resumo!$C$8)+Resumo!$C$10*CEILING(AQ$3/100,1)+Resumo!$C$9+Resumo!$C$13+Resumo!$C$14*CEILING(AQ$3,1))*(1+Resumo!$C$11)-(AQ$4*(Resumo!$B$6+Resumo!$B$7)+Resumo!$B$9+Resumo!$B$10*CEILING(AQ$3/100,1)+(Resumo!$B$12+Resumo!$B$14)*CEILING(AQ$3,1))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" s="12" t="n">
        <f aca="false">(AE8+AR$4*(Resumo!$C$6+Resumo!$C$7+Resumo!$C$8)+Resumo!$C$10*CEILING(AR$3/100,1)+Resumo!$C$9+Resumo!$C$13+Resumo!$C$14*CEILING(AR$3,1))*(1+Resumo!$C$11)-(AR$4*(Resumo!$B$6+Resumo!$B$7)+Resumo!$B$9+Resumo!$B$10*CEILING(AR$3/100,1)+(Resumo!$B$12+Resumo!$B$14)*CEILING(AR$3,1))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" s="12" t="n">
        <f aca="false">(AF8+AS$4*(Resumo!$C$6+Resumo!$C$7+Resumo!$C$8)+Resumo!$C$10*CEILING(AS$3/100,1)+Resumo!$C$9+Resumo!$C$13+Resumo!$C$14*CEILING(AS$3,1))*(1+Resumo!$C$11)-(AS$4*(Resumo!$B$6+Resumo!$B$7)+Resumo!$B$9+Resumo!$B$10*CEILING(AS$3/100,1)+(Resumo!$B$12+Resumo!$B$14)*CEILING(AS$3,1))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" s="12" t="n">
        <f aca="false">(AG8+AT$4*(Resumo!$C$6+Resumo!$C$7+Resumo!$C$8)+Resumo!$C$10*CEILING(AT$3/100,1)+Resumo!$C$9+Resumo!$C$13+Resumo!$C$14*CEILING(AT$3,1))*(1+Resumo!$C$11)-(AT$4*(Resumo!$B$6+Resumo!$B$7)+Resumo!$B$9+Resumo!$B$10*CEILING(AT$3/100,1)+(Resumo!$B$12+Resumo!$B$14)*CEILING(AT$3,1))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" s="13" t="n">
        <f aca="false">1-AH8/H8</f>
        <v>0.0286436086772536</v>
      </c>
      <c r="AV8" s="13" t="n">
        <f aca="false">1-AI8/I8</f>
        <v>0.202783244833105</v>
      </c>
      <c r="AW8" s="13" t="n">
        <f aca="false">1-AJ8/J8</f>
        <v>0.207962563198756</v>
      </c>
      <c r="AX8" s="13" t="n">
        <f aca="false">1-AK8/K8</f>
        <v>0.184729283268206</v>
      </c>
      <c r="AY8" s="13" t="n">
        <f aca="false">1-AL8/L8</f>
        <v>0.261869335964526</v>
      </c>
      <c r="AZ8" s="13" t="n">
        <f aca="false">1-AM8/M8</f>
        <v>0.317889431005812</v>
      </c>
      <c r="BA8" s="13" t="n">
        <f aca="false">1-AN8/N8</f>
        <v>0.290032146270517</v>
      </c>
      <c r="BB8" s="13" t="n">
        <f aca="false">1-AO8/O8</f>
        <v>0.356062476602766</v>
      </c>
      <c r="BC8" s="13" t="n">
        <f aca="false">1-AP8/P8</f>
        <v>0.432859183879111</v>
      </c>
      <c r="BD8" s="13" t="n">
        <f aca="false">1-AQ8/Q8</f>
        <v>0.421755919852581</v>
      </c>
      <c r="BE8" s="13" t="n">
        <f aca="false">1-AR8/R8</f>
        <v>0.454486900231193</v>
      </c>
      <c r="BF8" s="13" t="n">
        <f aca="false">1-AS8/S8</f>
        <v>0.807316717325228</v>
      </c>
      <c r="BG8" s="13" t="n">
        <f aca="false">1-AT8/T8</f>
        <v>0.49057021089201</v>
      </c>
    </row>
    <row r="9" customFormat="false" ht="15" hidden="false" customHeight="false" outlineLevel="0" collapsed="false">
      <c r="A9" s="4" t="s">
        <v>215</v>
      </c>
      <c r="B9" s="4" t="s">
        <v>219</v>
      </c>
      <c r="C9" s="36" t="n">
        <v>23860000</v>
      </c>
      <c r="D9" s="36" t="n">
        <v>23889999</v>
      </c>
      <c r="E9" s="4" t="s">
        <v>198</v>
      </c>
      <c r="F9" s="4" t="s">
        <v>220</v>
      </c>
      <c r="G9" s="4" t="n">
        <f aca="false">COUNTIFS(Pedidos!$E$2:$E$2224,"&gt;="&amp;C9,Pedidos!$E$2:$E$2224,"&lt;="&amp;D9)</f>
        <v>6</v>
      </c>
      <c r="H9" s="7" t="n">
        <v>77.35</v>
      </c>
      <c r="I9" s="7" t="n">
        <v>108.83</v>
      </c>
      <c r="J9" s="7" t="n">
        <v>124.38</v>
      </c>
      <c r="K9" s="7" t="n">
        <v>124.38</v>
      </c>
      <c r="L9" s="7" t="n">
        <v>142.32</v>
      </c>
      <c r="M9" s="7" t="n">
        <v>166.05</v>
      </c>
      <c r="N9" s="7" t="n">
        <v>157.88</v>
      </c>
      <c r="O9" s="7" t="n">
        <v>197.35</v>
      </c>
      <c r="P9" s="7" t="n">
        <v>236.82</v>
      </c>
      <c r="Q9" s="7" t="n">
        <v>264.84</v>
      </c>
      <c r="R9" s="7" t="n">
        <v>300.15</v>
      </c>
      <c r="S9" s="7" t="n">
        <v>353.12</v>
      </c>
      <c r="T9" s="7" t="n">
        <v>441.4</v>
      </c>
      <c r="U9" s="7" t="n">
        <v>46.95</v>
      </c>
      <c r="V9" s="7" t="n">
        <v>65.63</v>
      </c>
      <c r="W9" s="7" t="n">
        <v>74.97</v>
      </c>
      <c r="X9" s="7" t="n">
        <v>77.7</v>
      </c>
      <c r="Y9" s="7" t="n">
        <v>83.58</v>
      </c>
      <c r="Z9" s="7" t="n">
        <v>90.2</v>
      </c>
      <c r="AA9" s="7" t="n">
        <v>96.77</v>
      </c>
      <c r="AB9" s="7" t="n">
        <v>109.63</v>
      </c>
      <c r="AC9" s="7" t="n">
        <v>119.5</v>
      </c>
      <c r="AD9" s="7" t="n">
        <v>144.24</v>
      </c>
      <c r="AE9" s="7" t="n">
        <v>155.09</v>
      </c>
      <c r="AF9" s="7" t="n">
        <v>66.69</v>
      </c>
      <c r="AG9" s="7" t="n">
        <v>214.88</v>
      </c>
      <c r="AH9" s="12" t="n">
        <f aca="false">(U9+AH$4*(Resumo!$C$6+Resumo!$C$7+Resumo!$C$8)+Resumo!$C$10*CEILING(AH$3/100,1)+Resumo!$C$9+Resumo!$C$13+Resumo!$C$14*CEILING(AH$3,1))*(1+Resumo!$C$11)-(AH$4*(Resumo!$B$6+Resumo!$B$7)+Resumo!$B$9+Resumo!$B$10*CEILING(AH$3/100,1)+(Resumo!$B$12+Resumo!$B$14)*CEILING(AH$3,1))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" s="12" t="n">
        <f aca="false">(V9+AI$4*(Resumo!$C$6+Resumo!$C$7+Resumo!$C$8)+Resumo!$C$10*CEILING(AI$3/100,1)+Resumo!$C$9+Resumo!$C$13+Resumo!$C$14*CEILING(AI$3,1))*(1+Resumo!$C$11)-(AI$4*(Resumo!$B$6+Resumo!$B$7)+Resumo!$B$9+Resumo!$B$10*CEILING(AI$3/100,1)+(Resumo!$B$12+Resumo!$B$14)*CEILING(AI$3,1))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" s="12" t="n">
        <f aca="false">(W9+AJ$4*(Resumo!$C$6+Resumo!$C$7+Resumo!$C$8)+Resumo!$C$10*CEILING(AJ$3/100,1)+Resumo!$C$9+Resumo!$C$13+Resumo!$C$14*CEILING(AJ$3,1))*(1+Resumo!$C$11)-(AJ$4*(Resumo!$B$6+Resumo!$B$7)+Resumo!$B$9+Resumo!$B$10*CEILING(AJ$3/100,1)+(Resumo!$B$12+Resumo!$B$14)*CEILING(AJ$3,1))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" s="12" t="n">
        <f aca="false">(X9+AK$4*(Resumo!$C$6+Resumo!$C$7+Resumo!$C$8)+Resumo!$C$10*CEILING(AK$3/100,1)+Resumo!$C$9+Resumo!$C$13+Resumo!$C$14*CEILING(AK$3,1))*(1+Resumo!$C$11)-(AK$4*(Resumo!$B$6+Resumo!$B$7)+Resumo!$B$9+Resumo!$B$10*CEILING(AK$3/100,1)+(Resumo!$B$12+Resumo!$B$14)*CEILING(AK$3,1))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" s="12" t="n">
        <f aca="false">(Y9+AL$4*(Resumo!$C$6+Resumo!$C$7+Resumo!$C$8)+Resumo!$C$10*CEILING(AL$3/100,1)+Resumo!$C$9+Resumo!$C$13+Resumo!$C$14*CEILING(AL$3,1))*(1+Resumo!$C$11)-(AL$4*(Resumo!$B$6+Resumo!$B$7)+Resumo!$B$9+Resumo!$B$10*CEILING(AL$3/100,1)+(Resumo!$B$12+Resumo!$B$14)*CEILING(AL$3,1))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" s="12" t="n">
        <f aca="false">(Z9+AM$4*(Resumo!$C$6+Resumo!$C$7+Resumo!$C$8)+Resumo!$C$10*CEILING(AM$3/100,1)+Resumo!$C$9+Resumo!$C$13+Resumo!$C$14*CEILING(AM$3,1))*(1+Resumo!$C$11)-(AM$4*(Resumo!$B$6+Resumo!$B$7)+Resumo!$B$9+Resumo!$B$10*CEILING(AM$3/100,1)+(Resumo!$B$12+Resumo!$B$14)*CEILING(AM$3,1))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" s="12" t="n">
        <f aca="false">(AA9+AN$4*(Resumo!$C$6+Resumo!$C$7+Resumo!$C$8)+Resumo!$C$10*CEILING(AN$3/100,1)+Resumo!$C$9+Resumo!$C$13+Resumo!$C$14*CEILING(AN$3,1))*(1+Resumo!$C$11)-(AN$4*(Resumo!$B$6+Resumo!$B$7)+Resumo!$B$9+Resumo!$B$10*CEILING(AN$3/100,1)+(Resumo!$B$12+Resumo!$B$14)*CEILING(AN$3,1))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" s="12" t="n">
        <f aca="false">(AB9+AO$4*(Resumo!$C$6+Resumo!$C$7+Resumo!$C$8)+Resumo!$C$10*CEILING(AO$3/100,1)+Resumo!$C$9+Resumo!$C$13+Resumo!$C$14*CEILING(AO$3,1))*(1+Resumo!$C$11)-(AO$4*(Resumo!$B$6+Resumo!$B$7)+Resumo!$B$9+Resumo!$B$10*CEILING(AO$3/100,1)+(Resumo!$B$12+Resumo!$B$14)*CEILING(AO$3,1))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" s="12" t="n">
        <f aca="false">(AC9+AP$4*(Resumo!$C$6+Resumo!$C$7+Resumo!$C$8)+Resumo!$C$10*CEILING(AP$3/100,1)+Resumo!$C$9+Resumo!$C$13+Resumo!$C$14*CEILING(AP$3,1))*(1+Resumo!$C$11)-(AP$4*(Resumo!$B$6+Resumo!$B$7)+Resumo!$B$9+Resumo!$B$10*CEILING(AP$3/100,1)+(Resumo!$B$12+Resumo!$B$14)*CEILING(AP$3,1))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" s="12" t="n">
        <f aca="false">(AD9+AQ$4*(Resumo!$C$6+Resumo!$C$7+Resumo!$C$8)+Resumo!$C$10*CEILING(AQ$3/100,1)+Resumo!$C$9+Resumo!$C$13+Resumo!$C$14*CEILING(AQ$3,1))*(1+Resumo!$C$11)-(AQ$4*(Resumo!$B$6+Resumo!$B$7)+Resumo!$B$9+Resumo!$B$10*CEILING(AQ$3/100,1)+(Resumo!$B$12+Resumo!$B$14)*CEILING(AQ$3,1))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" s="12" t="n">
        <f aca="false">(AE9+AR$4*(Resumo!$C$6+Resumo!$C$7+Resumo!$C$8)+Resumo!$C$10*CEILING(AR$3/100,1)+Resumo!$C$9+Resumo!$C$13+Resumo!$C$14*CEILING(AR$3,1))*(1+Resumo!$C$11)-(AR$4*(Resumo!$B$6+Resumo!$B$7)+Resumo!$B$9+Resumo!$B$10*CEILING(AR$3/100,1)+(Resumo!$B$12+Resumo!$B$14)*CEILING(AR$3,1))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" s="12" t="n">
        <f aca="false">(AF9+AS$4*(Resumo!$C$6+Resumo!$C$7+Resumo!$C$8)+Resumo!$C$10*CEILING(AS$3/100,1)+Resumo!$C$9+Resumo!$C$13+Resumo!$C$14*CEILING(AS$3,1))*(1+Resumo!$C$11)-(AS$4*(Resumo!$B$6+Resumo!$B$7)+Resumo!$B$9+Resumo!$B$10*CEILING(AS$3/100,1)+(Resumo!$B$12+Resumo!$B$14)*CEILING(AS$3,1))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" s="12" t="n">
        <f aca="false">(AG9+AT$4*(Resumo!$C$6+Resumo!$C$7+Resumo!$C$8)+Resumo!$C$10*CEILING(AT$3/100,1)+Resumo!$C$9+Resumo!$C$13+Resumo!$C$14*CEILING(AT$3,1))*(1+Resumo!$C$11)-(AT$4*(Resumo!$B$6+Resumo!$B$7)+Resumo!$B$9+Resumo!$B$10*CEILING(AT$3/100,1)+(Resumo!$B$12+Resumo!$B$14)*CEILING(AT$3,1))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" s="13" t="n">
        <f aca="false">1-AH9/H9</f>
        <v>0.284448775984873</v>
      </c>
      <c r="AV9" s="13" t="n">
        <f aca="false">1-AI9/I9</f>
        <v>0.324530396086195</v>
      </c>
      <c r="AW9" s="13" t="n">
        <f aca="false">1-AJ9/J9</f>
        <v>0.337931079721616</v>
      </c>
      <c r="AX9" s="13" t="n">
        <f aca="false">1-AK9/K9</f>
        <v>0.318510239438779</v>
      </c>
      <c r="AY9" s="13" t="n">
        <f aca="false">1-AL9/L9</f>
        <v>0.365701375691832</v>
      </c>
      <c r="AZ9" s="13" t="n">
        <f aca="false">1-AM9/M9</f>
        <v>0.420709229511831</v>
      </c>
      <c r="BA9" s="13" t="n">
        <f aca="false">1-AN9/N9</f>
        <v>0.350695095008868</v>
      </c>
      <c r="BB9" s="13" t="n">
        <f aca="false">1-AO9/O9</f>
        <v>0.419232633445788</v>
      </c>
      <c r="BC9" s="13" t="n">
        <f aca="false">1-AP9/P9</f>
        <v>0.493280443868681</v>
      </c>
      <c r="BD9" s="13" t="n">
        <f aca="false">1-AQ9/Q9</f>
        <v>0.455794679894486</v>
      </c>
      <c r="BE9" s="13" t="n">
        <f aca="false">1-AR9/R9</f>
        <v>0.489018797268033</v>
      </c>
      <c r="BF9" s="13" t="n">
        <f aca="false">1-AS9/S9</f>
        <v>0.820478024467603</v>
      </c>
      <c r="BG9" s="13" t="n">
        <f aca="false">1-AT9/T9</f>
        <v>0.528263860444042</v>
      </c>
    </row>
    <row r="10" customFormat="false" ht="15" hidden="false" customHeight="false" outlineLevel="0" collapsed="false">
      <c r="A10" s="4" t="s">
        <v>215</v>
      </c>
      <c r="B10" s="4" t="s">
        <v>221</v>
      </c>
      <c r="C10" s="36" t="n">
        <v>23890000</v>
      </c>
      <c r="D10" s="36" t="n">
        <v>23899999</v>
      </c>
      <c r="E10" s="4" t="s">
        <v>198</v>
      </c>
      <c r="F10" s="4" t="s">
        <v>218</v>
      </c>
      <c r="G10" s="4" t="n">
        <f aca="false">COUNTIFS(Pedidos!$E$2:$E$2224,"&gt;="&amp;C10,Pedidos!$E$2:$E$2224,"&lt;="&amp;D10)</f>
        <v>13</v>
      </c>
      <c r="H10" s="7" t="n">
        <v>56.98</v>
      </c>
      <c r="I10" s="7" t="n">
        <v>92.21</v>
      </c>
      <c r="J10" s="7" t="n">
        <v>103.97</v>
      </c>
      <c r="K10" s="7" t="n">
        <v>103.97</v>
      </c>
      <c r="L10" s="7" t="n">
        <v>122.3</v>
      </c>
      <c r="M10" s="7" t="n">
        <v>141.02</v>
      </c>
      <c r="N10" s="7" t="n">
        <v>144.39</v>
      </c>
      <c r="O10" s="7" t="n">
        <v>177.99</v>
      </c>
      <c r="P10" s="7" t="n">
        <v>211.59</v>
      </c>
      <c r="Q10" s="7" t="n">
        <v>249.25</v>
      </c>
      <c r="R10" s="7" t="n">
        <v>281.15</v>
      </c>
      <c r="S10" s="7" t="n">
        <v>329</v>
      </c>
      <c r="T10" s="7" t="n">
        <v>408.74</v>
      </c>
      <c r="U10" s="7" t="n">
        <v>46.95</v>
      </c>
      <c r="V10" s="7" t="n">
        <v>65.63</v>
      </c>
      <c r="W10" s="7" t="n">
        <v>74.97</v>
      </c>
      <c r="X10" s="7" t="n">
        <v>77.7</v>
      </c>
      <c r="Y10" s="7" t="n">
        <v>83.58</v>
      </c>
      <c r="Z10" s="7" t="n">
        <v>90.2</v>
      </c>
      <c r="AA10" s="7" t="n">
        <v>96.77</v>
      </c>
      <c r="AB10" s="7" t="n">
        <v>109.63</v>
      </c>
      <c r="AC10" s="7" t="n">
        <v>119.5</v>
      </c>
      <c r="AD10" s="7" t="n">
        <v>144.24</v>
      </c>
      <c r="AE10" s="7" t="n">
        <v>155.09</v>
      </c>
      <c r="AF10" s="7" t="n">
        <v>66.69</v>
      </c>
      <c r="AG10" s="7" t="n">
        <v>214.88</v>
      </c>
      <c r="AH10" s="12" t="n">
        <f aca="false">(U10+AH$4*(Resumo!$C$6+Resumo!$C$7+Resumo!$C$8)+Resumo!$C$10*CEILING(AH$3/100,1)+Resumo!$C$9+Resumo!$C$13+Resumo!$C$14*CEILING(AH$3,1))*(1+Resumo!$C$11)-(AH$4*(Resumo!$B$6+Resumo!$B$7)+Resumo!$B$9+Resumo!$B$10*CEILING(AH$3/100,1)+(Resumo!$B$12+Resumo!$B$14)*CEILING(AH$3,1))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0" s="12" t="n">
        <f aca="false">(V10+AI$4*(Resumo!$C$6+Resumo!$C$7+Resumo!$C$8)+Resumo!$C$10*CEILING(AI$3/100,1)+Resumo!$C$9+Resumo!$C$13+Resumo!$C$14*CEILING(AI$3,1))*(1+Resumo!$C$11)-(AI$4*(Resumo!$B$6+Resumo!$B$7)+Resumo!$B$9+Resumo!$B$10*CEILING(AI$3/100,1)+(Resumo!$B$12+Resumo!$B$14)*CEILING(AI$3,1))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0" s="12" t="n">
        <f aca="false">(W10+AJ$4*(Resumo!$C$6+Resumo!$C$7+Resumo!$C$8)+Resumo!$C$10*CEILING(AJ$3/100,1)+Resumo!$C$9+Resumo!$C$13+Resumo!$C$14*CEILING(AJ$3,1))*(1+Resumo!$C$11)-(AJ$4*(Resumo!$B$6+Resumo!$B$7)+Resumo!$B$9+Resumo!$B$10*CEILING(AJ$3/100,1)+(Resumo!$B$12+Resumo!$B$14)*CEILING(AJ$3,1))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0" s="12" t="n">
        <f aca="false">(X10+AK$4*(Resumo!$C$6+Resumo!$C$7+Resumo!$C$8)+Resumo!$C$10*CEILING(AK$3/100,1)+Resumo!$C$9+Resumo!$C$13+Resumo!$C$14*CEILING(AK$3,1))*(1+Resumo!$C$11)-(AK$4*(Resumo!$B$6+Resumo!$B$7)+Resumo!$B$9+Resumo!$B$10*CEILING(AK$3/100,1)+(Resumo!$B$12+Resumo!$B$14)*CEILING(AK$3,1))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0" s="12" t="n">
        <f aca="false">(Y10+AL$4*(Resumo!$C$6+Resumo!$C$7+Resumo!$C$8)+Resumo!$C$10*CEILING(AL$3/100,1)+Resumo!$C$9+Resumo!$C$13+Resumo!$C$14*CEILING(AL$3,1))*(1+Resumo!$C$11)-(AL$4*(Resumo!$B$6+Resumo!$B$7)+Resumo!$B$9+Resumo!$B$10*CEILING(AL$3/100,1)+(Resumo!$B$12+Resumo!$B$14)*CEILING(AL$3,1))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0" s="12" t="n">
        <f aca="false">(Z10+AM$4*(Resumo!$C$6+Resumo!$C$7+Resumo!$C$8)+Resumo!$C$10*CEILING(AM$3/100,1)+Resumo!$C$9+Resumo!$C$13+Resumo!$C$14*CEILING(AM$3,1))*(1+Resumo!$C$11)-(AM$4*(Resumo!$B$6+Resumo!$B$7)+Resumo!$B$9+Resumo!$B$10*CEILING(AM$3/100,1)+(Resumo!$B$12+Resumo!$B$14)*CEILING(AM$3,1))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0" s="12" t="n">
        <f aca="false">(AA10+AN$4*(Resumo!$C$6+Resumo!$C$7+Resumo!$C$8)+Resumo!$C$10*CEILING(AN$3/100,1)+Resumo!$C$9+Resumo!$C$13+Resumo!$C$14*CEILING(AN$3,1))*(1+Resumo!$C$11)-(AN$4*(Resumo!$B$6+Resumo!$B$7)+Resumo!$B$9+Resumo!$B$10*CEILING(AN$3/100,1)+(Resumo!$B$12+Resumo!$B$14)*CEILING(AN$3,1))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0" s="12" t="n">
        <f aca="false">(AB10+AO$4*(Resumo!$C$6+Resumo!$C$7+Resumo!$C$8)+Resumo!$C$10*CEILING(AO$3/100,1)+Resumo!$C$9+Resumo!$C$13+Resumo!$C$14*CEILING(AO$3,1))*(1+Resumo!$C$11)-(AO$4*(Resumo!$B$6+Resumo!$B$7)+Resumo!$B$9+Resumo!$B$10*CEILING(AO$3/100,1)+(Resumo!$B$12+Resumo!$B$14)*CEILING(AO$3,1))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0" s="12" t="n">
        <f aca="false">(AC10+AP$4*(Resumo!$C$6+Resumo!$C$7+Resumo!$C$8)+Resumo!$C$10*CEILING(AP$3/100,1)+Resumo!$C$9+Resumo!$C$13+Resumo!$C$14*CEILING(AP$3,1))*(1+Resumo!$C$11)-(AP$4*(Resumo!$B$6+Resumo!$B$7)+Resumo!$B$9+Resumo!$B$10*CEILING(AP$3/100,1)+(Resumo!$B$12+Resumo!$B$14)*CEILING(AP$3,1))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0" s="12" t="n">
        <f aca="false">(AD10+AQ$4*(Resumo!$C$6+Resumo!$C$7+Resumo!$C$8)+Resumo!$C$10*CEILING(AQ$3/100,1)+Resumo!$C$9+Resumo!$C$13+Resumo!$C$14*CEILING(AQ$3,1))*(1+Resumo!$C$11)-(AQ$4*(Resumo!$B$6+Resumo!$B$7)+Resumo!$B$9+Resumo!$B$10*CEILING(AQ$3/100,1)+(Resumo!$B$12+Resumo!$B$14)*CEILING(AQ$3,1))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0" s="12" t="n">
        <f aca="false">(AE10+AR$4*(Resumo!$C$6+Resumo!$C$7+Resumo!$C$8)+Resumo!$C$10*CEILING(AR$3/100,1)+Resumo!$C$9+Resumo!$C$13+Resumo!$C$14*CEILING(AR$3,1))*(1+Resumo!$C$11)-(AR$4*(Resumo!$B$6+Resumo!$B$7)+Resumo!$B$9+Resumo!$B$10*CEILING(AR$3/100,1)+(Resumo!$B$12+Resumo!$B$14)*CEILING(AR$3,1))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0" s="12" t="n">
        <f aca="false">(AF10+AS$4*(Resumo!$C$6+Resumo!$C$7+Resumo!$C$8)+Resumo!$C$10*CEILING(AS$3/100,1)+Resumo!$C$9+Resumo!$C$13+Resumo!$C$14*CEILING(AS$3,1))*(1+Resumo!$C$11)-(AS$4*(Resumo!$B$6+Resumo!$B$7)+Resumo!$B$9+Resumo!$B$10*CEILING(AS$3/100,1)+(Resumo!$B$12+Resumo!$B$14)*CEILING(AS$3,1))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0" s="12" t="n">
        <f aca="false">(AG10+AT$4*(Resumo!$C$6+Resumo!$C$7+Resumo!$C$8)+Resumo!$C$10*CEILING(AT$3/100,1)+Resumo!$C$9+Resumo!$C$13+Resumo!$C$14*CEILING(AT$3,1))*(1+Resumo!$C$11)-(AT$4*(Resumo!$B$6+Resumo!$B$7)+Resumo!$B$9+Resumo!$B$10*CEILING(AT$3/100,1)+(Resumo!$B$12+Resumo!$B$14)*CEILING(AT$3,1))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0" s="13" t="n">
        <f aca="false">1-AH10/H10</f>
        <v>0.0286436086772536</v>
      </c>
      <c r="AV10" s="13" t="n">
        <f aca="false">1-AI10/I10</f>
        <v>0.202783244833105</v>
      </c>
      <c r="AW10" s="13" t="n">
        <f aca="false">1-AJ10/J10</f>
        <v>0.207962563198756</v>
      </c>
      <c r="AX10" s="13" t="n">
        <f aca="false">1-AK10/K10</f>
        <v>0.184729283268206</v>
      </c>
      <c r="AY10" s="13" t="n">
        <f aca="false">1-AL10/L10</f>
        <v>0.261869335964526</v>
      </c>
      <c r="AZ10" s="13" t="n">
        <f aca="false">1-AM10/M10</f>
        <v>0.317889431005812</v>
      </c>
      <c r="BA10" s="13" t="n">
        <f aca="false">1-AN10/N10</f>
        <v>0.290032146270517</v>
      </c>
      <c r="BB10" s="13" t="n">
        <f aca="false">1-AO10/O10</f>
        <v>0.356062476602766</v>
      </c>
      <c r="BC10" s="13" t="n">
        <f aca="false">1-AP10/P10</f>
        <v>0.432859183879111</v>
      </c>
      <c r="BD10" s="13" t="n">
        <f aca="false">1-AQ10/Q10</f>
        <v>0.421755919852581</v>
      </c>
      <c r="BE10" s="13" t="n">
        <f aca="false">1-AR10/R10</f>
        <v>0.454486900231193</v>
      </c>
      <c r="BF10" s="13" t="n">
        <f aca="false">1-AS10/S10</f>
        <v>0.807316717325228</v>
      </c>
      <c r="BG10" s="13" t="n">
        <f aca="false">1-AT10/T10</f>
        <v>0.49057021089201</v>
      </c>
    </row>
    <row r="11" customFormat="false" ht="15" hidden="false" customHeight="false" outlineLevel="0" collapsed="false">
      <c r="A11" s="4" t="s">
        <v>215</v>
      </c>
      <c r="B11" s="4" t="s">
        <v>169</v>
      </c>
      <c r="C11" s="36" t="n">
        <v>23900000</v>
      </c>
      <c r="D11" s="36" t="n">
        <v>23969999</v>
      </c>
      <c r="E11" s="4" t="s">
        <v>198</v>
      </c>
      <c r="F11" s="4" t="s">
        <v>220</v>
      </c>
      <c r="G11" s="4" t="n">
        <f aca="false">COUNTIFS(Pedidos!$E$2:$E$2224,"&gt;="&amp;C11,Pedidos!$E$2:$E$2224,"&lt;="&amp;D11)</f>
        <v>35</v>
      </c>
      <c r="H11" s="7" t="n">
        <v>77.35</v>
      </c>
      <c r="I11" s="7" t="n">
        <v>108.83</v>
      </c>
      <c r="J11" s="7" t="n">
        <v>124.38</v>
      </c>
      <c r="K11" s="7" t="n">
        <v>124.38</v>
      </c>
      <c r="L11" s="7" t="n">
        <v>142.32</v>
      </c>
      <c r="M11" s="7" t="n">
        <v>166.05</v>
      </c>
      <c r="N11" s="7" t="n">
        <v>157.88</v>
      </c>
      <c r="O11" s="7" t="n">
        <v>197.35</v>
      </c>
      <c r="P11" s="7" t="n">
        <v>236.82</v>
      </c>
      <c r="Q11" s="7" t="n">
        <v>264.84</v>
      </c>
      <c r="R11" s="7" t="n">
        <v>300.15</v>
      </c>
      <c r="S11" s="7" t="n">
        <v>353.12</v>
      </c>
      <c r="T11" s="7" t="n">
        <v>441.4</v>
      </c>
      <c r="U11" s="7" t="n">
        <v>46.95</v>
      </c>
      <c r="V11" s="7" t="n">
        <v>65.63</v>
      </c>
      <c r="W11" s="7" t="n">
        <v>74.97</v>
      </c>
      <c r="X11" s="7" t="n">
        <v>77.7</v>
      </c>
      <c r="Y11" s="7" t="n">
        <v>83.58</v>
      </c>
      <c r="Z11" s="7" t="n">
        <v>90.2</v>
      </c>
      <c r="AA11" s="7" t="n">
        <v>96.77</v>
      </c>
      <c r="AB11" s="7" t="n">
        <v>109.63</v>
      </c>
      <c r="AC11" s="7" t="n">
        <v>119.5</v>
      </c>
      <c r="AD11" s="7" t="n">
        <v>144.24</v>
      </c>
      <c r="AE11" s="7" t="n">
        <v>155.09</v>
      </c>
      <c r="AF11" s="7" t="n">
        <v>66.69</v>
      </c>
      <c r="AG11" s="7" t="n">
        <v>214.88</v>
      </c>
      <c r="AH11" s="12" t="n">
        <f aca="false">(U11+AH$4*(Resumo!$C$6+Resumo!$C$7+Resumo!$C$8)+Resumo!$C$10*CEILING(AH$3/100,1)+Resumo!$C$9+Resumo!$C$13+Resumo!$C$14*CEILING(AH$3,1))*(1+Resumo!$C$11)-(AH$4*(Resumo!$B$6+Resumo!$B$7)+Resumo!$B$9+Resumo!$B$10*CEILING(AH$3/100,1)+(Resumo!$B$12+Resumo!$B$14)*CEILING(AH$3,1))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1" s="12" t="n">
        <f aca="false">(V11+AI$4*(Resumo!$C$6+Resumo!$C$7+Resumo!$C$8)+Resumo!$C$10*CEILING(AI$3/100,1)+Resumo!$C$9+Resumo!$C$13+Resumo!$C$14*CEILING(AI$3,1))*(1+Resumo!$C$11)-(AI$4*(Resumo!$B$6+Resumo!$B$7)+Resumo!$B$9+Resumo!$B$10*CEILING(AI$3/100,1)+(Resumo!$B$12+Resumo!$B$14)*CEILING(AI$3,1))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1" s="12" t="n">
        <f aca="false">(W11+AJ$4*(Resumo!$C$6+Resumo!$C$7+Resumo!$C$8)+Resumo!$C$10*CEILING(AJ$3/100,1)+Resumo!$C$9+Resumo!$C$13+Resumo!$C$14*CEILING(AJ$3,1))*(1+Resumo!$C$11)-(AJ$4*(Resumo!$B$6+Resumo!$B$7)+Resumo!$B$9+Resumo!$B$10*CEILING(AJ$3/100,1)+(Resumo!$B$12+Resumo!$B$14)*CEILING(AJ$3,1))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1" s="12" t="n">
        <f aca="false">(X11+AK$4*(Resumo!$C$6+Resumo!$C$7+Resumo!$C$8)+Resumo!$C$10*CEILING(AK$3/100,1)+Resumo!$C$9+Resumo!$C$13+Resumo!$C$14*CEILING(AK$3,1))*(1+Resumo!$C$11)-(AK$4*(Resumo!$B$6+Resumo!$B$7)+Resumo!$B$9+Resumo!$B$10*CEILING(AK$3/100,1)+(Resumo!$B$12+Resumo!$B$14)*CEILING(AK$3,1))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1" s="12" t="n">
        <f aca="false">(Y11+AL$4*(Resumo!$C$6+Resumo!$C$7+Resumo!$C$8)+Resumo!$C$10*CEILING(AL$3/100,1)+Resumo!$C$9+Resumo!$C$13+Resumo!$C$14*CEILING(AL$3,1))*(1+Resumo!$C$11)-(AL$4*(Resumo!$B$6+Resumo!$B$7)+Resumo!$B$9+Resumo!$B$10*CEILING(AL$3/100,1)+(Resumo!$B$12+Resumo!$B$14)*CEILING(AL$3,1))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1" s="12" t="n">
        <f aca="false">(Z11+AM$4*(Resumo!$C$6+Resumo!$C$7+Resumo!$C$8)+Resumo!$C$10*CEILING(AM$3/100,1)+Resumo!$C$9+Resumo!$C$13+Resumo!$C$14*CEILING(AM$3,1))*(1+Resumo!$C$11)-(AM$4*(Resumo!$B$6+Resumo!$B$7)+Resumo!$B$9+Resumo!$B$10*CEILING(AM$3/100,1)+(Resumo!$B$12+Resumo!$B$14)*CEILING(AM$3,1))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1" s="12" t="n">
        <f aca="false">(AA11+AN$4*(Resumo!$C$6+Resumo!$C$7+Resumo!$C$8)+Resumo!$C$10*CEILING(AN$3/100,1)+Resumo!$C$9+Resumo!$C$13+Resumo!$C$14*CEILING(AN$3,1))*(1+Resumo!$C$11)-(AN$4*(Resumo!$B$6+Resumo!$B$7)+Resumo!$B$9+Resumo!$B$10*CEILING(AN$3/100,1)+(Resumo!$B$12+Resumo!$B$14)*CEILING(AN$3,1))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1" s="12" t="n">
        <f aca="false">(AB11+AO$4*(Resumo!$C$6+Resumo!$C$7+Resumo!$C$8)+Resumo!$C$10*CEILING(AO$3/100,1)+Resumo!$C$9+Resumo!$C$13+Resumo!$C$14*CEILING(AO$3,1))*(1+Resumo!$C$11)-(AO$4*(Resumo!$B$6+Resumo!$B$7)+Resumo!$B$9+Resumo!$B$10*CEILING(AO$3/100,1)+(Resumo!$B$12+Resumo!$B$14)*CEILING(AO$3,1))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1" s="12" t="n">
        <f aca="false">(AC11+AP$4*(Resumo!$C$6+Resumo!$C$7+Resumo!$C$8)+Resumo!$C$10*CEILING(AP$3/100,1)+Resumo!$C$9+Resumo!$C$13+Resumo!$C$14*CEILING(AP$3,1))*(1+Resumo!$C$11)-(AP$4*(Resumo!$B$6+Resumo!$B$7)+Resumo!$B$9+Resumo!$B$10*CEILING(AP$3/100,1)+(Resumo!$B$12+Resumo!$B$14)*CEILING(AP$3,1))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1" s="12" t="n">
        <f aca="false">(AD11+AQ$4*(Resumo!$C$6+Resumo!$C$7+Resumo!$C$8)+Resumo!$C$10*CEILING(AQ$3/100,1)+Resumo!$C$9+Resumo!$C$13+Resumo!$C$14*CEILING(AQ$3,1))*(1+Resumo!$C$11)-(AQ$4*(Resumo!$B$6+Resumo!$B$7)+Resumo!$B$9+Resumo!$B$10*CEILING(AQ$3/100,1)+(Resumo!$B$12+Resumo!$B$14)*CEILING(AQ$3,1))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1" s="12" t="n">
        <f aca="false">(AE11+AR$4*(Resumo!$C$6+Resumo!$C$7+Resumo!$C$8)+Resumo!$C$10*CEILING(AR$3/100,1)+Resumo!$C$9+Resumo!$C$13+Resumo!$C$14*CEILING(AR$3,1))*(1+Resumo!$C$11)-(AR$4*(Resumo!$B$6+Resumo!$B$7)+Resumo!$B$9+Resumo!$B$10*CEILING(AR$3/100,1)+(Resumo!$B$12+Resumo!$B$14)*CEILING(AR$3,1))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1" s="12" t="n">
        <f aca="false">(AF11+AS$4*(Resumo!$C$6+Resumo!$C$7+Resumo!$C$8)+Resumo!$C$10*CEILING(AS$3/100,1)+Resumo!$C$9+Resumo!$C$13+Resumo!$C$14*CEILING(AS$3,1))*(1+Resumo!$C$11)-(AS$4*(Resumo!$B$6+Resumo!$B$7)+Resumo!$B$9+Resumo!$B$10*CEILING(AS$3/100,1)+(Resumo!$B$12+Resumo!$B$14)*CEILING(AS$3,1))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1" s="12" t="n">
        <f aca="false">(AG11+AT$4*(Resumo!$C$6+Resumo!$C$7+Resumo!$C$8)+Resumo!$C$10*CEILING(AT$3/100,1)+Resumo!$C$9+Resumo!$C$13+Resumo!$C$14*CEILING(AT$3,1))*(1+Resumo!$C$11)-(AT$4*(Resumo!$B$6+Resumo!$B$7)+Resumo!$B$9+Resumo!$B$10*CEILING(AT$3/100,1)+(Resumo!$B$12+Resumo!$B$14)*CEILING(AT$3,1))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1" s="13" t="n">
        <f aca="false">1-AH11/H11</f>
        <v>0.284448775984873</v>
      </c>
      <c r="AV11" s="13" t="n">
        <f aca="false">1-AI11/I11</f>
        <v>0.324530396086195</v>
      </c>
      <c r="AW11" s="13" t="n">
        <f aca="false">1-AJ11/J11</f>
        <v>0.337931079721616</v>
      </c>
      <c r="AX11" s="13" t="n">
        <f aca="false">1-AK11/K11</f>
        <v>0.318510239438779</v>
      </c>
      <c r="AY11" s="13" t="n">
        <f aca="false">1-AL11/L11</f>
        <v>0.365701375691832</v>
      </c>
      <c r="AZ11" s="13" t="n">
        <f aca="false">1-AM11/M11</f>
        <v>0.420709229511831</v>
      </c>
      <c r="BA11" s="13" t="n">
        <f aca="false">1-AN11/N11</f>
        <v>0.350695095008868</v>
      </c>
      <c r="BB11" s="13" t="n">
        <f aca="false">1-AO11/O11</f>
        <v>0.419232633445788</v>
      </c>
      <c r="BC11" s="13" t="n">
        <f aca="false">1-AP11/P11</f>
        <v>0.493280443868681</v>
      </c>
      <c r="BD11" s="13" t="n">
        <f aca="false">1-AQ11/Q11</f>
        <v>0.455794679894486</v>
      </c>
      <c r="BE11" s="13" t="n">
        <f aca="false">1-AR11/R11</f>
        <v>0.489018797268033</v>
      </c>
      <c r="BF11" s="13" t="n">
        <f aca="false">1-AS11/S11</f>
        <v>0.820478024467603</v>
      </c>
      <c r="BG11" s="13" t="n">
        <f aca="false">1-AT11/T11</f>
        <v>0.528263860444042</v>
      </c>
    </row>
    <row r="12" customFormat="false" ht="15" hidden="false" customHeight="false" outlineLevel="0" collapsed="false">
      <c r="A12" s="4" t="s">
        <v>215</v>
      </c>
      <c r="B12" s="4" t="s">
        <v>222</v>
      </c>
      <c r="C12" s="36" t="n">
        <v>23970000</v>
      </c>
      <c r="D12" s="36" t="n">
        <v>23999999</v>
      </c>
      <c r="E12" s="4" t="s">
        <v>198</v>
      </c>
      <c r="F12" s="4" t="s">
        <v>220</v>
      </c>
      <c r="G12" s="4" t="n">
        <f aca="false">COUNTIFS(Pedidos!$E$2:$E$2224,"&gt;="&amp;C12,Pedidos!$E$2:$E$2224,"&lt;="&amp;D12)</f>
        <v>5</v>
      </c>
      <c r="H12" s="7" t="n">
        <v>77.35</v>
      </c>
      <c r="I12" s="7" t="n">
        <v>108.83</v>
      </c>
      <c r="J12" s="7" t="n">
        <v>124.38</v>
      </c>
      <c r="K12" s="7" t="n">
        <v>124.38</v>
      </c>
      <c r="L12" s="7" t="n">
        <v>142.32</v>
      </c>
      <c r="M12" s="7" t="n">
        <v>166.05</v>
      </c>
      <c r="N12" s="7" t="n">
        <v>157.88</v>
      </c>
      <c r="O12" s="7" t="n">
        <v>197.35</v>
      </c>
      <c r="P12" s="7" t="n">
        <v>236.82</v>
      </c>
      <c r="Q12" s="7" t="n">
        <v>264.84</v>
      </c>
      <c r="R12" s="7" t="n">
        <v>300.15</v>
      </c>
      <c r="S12" s="7" t="n">
        <v>353.12</v>
      </c>
      <c r="T12" s="7" t="n">
        <v>441.4</v>
      </c>
      <c r="U12" s="7" t="n">
        <v>46.95</v>
      </c>
      <c r="V12" s="7" t="n">
        <v>65.63</v>
      </c>
      <c r="W12" s="7" t="n">
        <v>74.97</v>
      </c>
      <c r="X12" s="7" t="n">
        <v>77.7</v>
      </c>
      <c r="Y12" s="7" t="n">
        <v>83.58</v>
      </c>
      <c r="Z12" s="7" t="n">
        <v>90.2</v>
      </c>
      <c r="AA12" s="7" t="n">
        <v>96.77</v>
      </c>
      <c r="AB12" s="7" t="n">
        <v>109.63</v>
      </c>
      <c r="AC12" s="7" t="n">
        <v>119.5</v>
      </c>
      <c r="AD12" s="7" t="n">
        <v>144.24</v>
      </c>
      <c r="AE12" s="7" t="n">
        <v>155.09</v>
      </c>
      <c r="AF12" s="7" t="n">
        <v>66.69</v>
      </c>
      <c r="AG12" s="7" t="n">
        <v>214.88</v>
      </c>
      <c r="AH12" s="12" t="n">
        <f aca="false">(U12+AH$4*(Resumo!$C$6+Resumo!$C$7+Resumo!$C$8)+Resumo!$C$10*CEILING(AH$3/100,1)+Resumo!$C$9+Resumo!$C$13+Resumo!$C$14*CEILING(AH$3,1))*(1+Resumo!$C$11)-(AH$4*(Resumo!$B$6+Resumo!$B$7)+Resumo!$B$9+Resumo!$B$10*CEILING(AH$3/100,1)+(Resumo!$B$12+Resumo!$B$14)*CEILING(AH$3,1))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2" s="12" t="n">
        <f aca="false">(V12+AI$4*(Resumo!$C$6+Resumo!$C$7+Resumo!$C$8)+Resumo!$C$10*CEILING(AI$3/100,1)+Resumo!$C$9+Resumo!$C$13+Resumo!$C$14*CEILING(AI$3,1))*(1+Resumo!$C$11)-(AI$4*(Resumo!$B$6+Resumo!$B$7)+Resumo!$B$9+Resumo!$B$10*CEILING(AI$3/100,1)+(Resumo!$B$12+Resumo!$B$14)*CEILING(AI$3,1))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2" s="12" t="n">
        <f aca="false">(W12+AJ$4*(Resumo!$C$6+Resumo!$C$7+Resumo!$C$8)+Resumo!$C$10*CEILING(AJ$3/100,1)+Resumo!$C$9+Resumo!$C$13+Resumo!$C$14*CEILING(AJ$3,1))*(1+Resumo!$C$11)-(AJ$4*(Resumo!$B$6+Resumo!$B$7)+Resumo!$B$9+Resumo!$B$10*CEILING(AJ$3/100,1)+(Resumo!$B$12+Resumo!$B$14)*CEILING(AJ$3,1))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2" s="12" t="n">
        <f aca="false">(X12+AK$4*(Resumo!$C$6+Resumo!$C$7+Resumo!$C$8)+Resumo!$C$10*CEILING(AK$3/100,1)+Resumo!$C$9+Resumo!$C$13+Resumo!$C$14*CEILING(AK$3,1))*(1+Resumo!$C$11)-(AK$4*(Resumo!$B$6+Resumo!$B$7)+Resumo!$B$9+Resumo!$B$10*CEILING(AK$3/100,1)+(Resumo!$B$12+Resumo!$B$14)*CEILING(AK$3,1))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2" s="12" t="n">
        <f aca="false">(Y12+AL$4*(Resumo!$C$6+Resumo!$C$7+Resumo!$C$8)+Resumo!$C$10*CEILING(AL$3/100,1)+Resumo!$C$9+Resumo!$C$13+Resumo!$C$14*CEILING(AL$3,1))*(1+Resumo!$C$11)-(AL$4*(Resumo!$B$6+Resumo!$B$7)+Resumo!$B$9+Resumo!$B$10*CEILING(AL$3/100,1)+(Resumo!$B$12+Resumo!$B$14)*CEILING(AL$3,1))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2" s="12" t="n">
        <f aca="false">(Z12+AM$4*(Resumo!$C$6+Resumo!$C$7+Resumo!$C$8)+Resumo!$C$10*CEILING(AM$3/100,1)+Resumo!$C$9+Resumo!$C$13+Resumo!$C$14*CEILING(AM$3,1))*(1+Resumo!$C$11)-(AM$4*(Resumo!$B$6+Resumo!$B$7)+Resumo!$B$9+Resumo!$B$10*CEILING(AM$3/100,1)+(Resumo!$B$12+Resumo!$B$14)*CEILING(AM$3,1))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2" s="12" t="n">
        <f aca="false">(AA12+AN$4*(Resumo!$C$6+Resumo!$C$7+Resumo!$C$8)+Resumo!$C$10*CEILING(AN$3/100,1)+Resumo!$C$9+Resumo!$C$13+Resumo!$C$14*CEILING(AN$3,1))*(1+Resumo!$C$11)-(AN$4*(Resumo!$B$6+Resumo!$B$7)+Resumo!$B$9+Resumo!$B$10*CEILING(AN$3/100,1)+(Resumo!$B$12+Resumo!$B$14)*CEILING(AN$3,1))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2" s="12" t="n">
        <f aca="false">(AB12+AO$4*(Resumo!$C$6+Resumo!$C$7+Resumo!$C$8)+Resumo!$C$10*CEILING(AO$3/100,1)+Resumo!$C$9+Resumo!$C$13+Resumo!$C$14*CEILING(AO$3,1))*(1+Resumo!$C$11)-(AO$4*(Resumo!$B$6+Resumo!$B$7)+Resumo!$B$9+Resumo!$B$10*CEILING(AO$3/100,1)+(Resumo!$B$12+Resumo!$B$14)*CEILING(AO$3,1))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2" s="12" t="n">
        <f aca="false">(AC12+AP$4*(Resumo!$C$6+Resumo!$C$7+Resumo!$C$8)+Resumo!$C$10*CEILING(AP$3/100,1)+Resumo!$C$9+Resumo!$C$13+Resumo!$C$14*CEILING(AP$3,1))*(1+Resumo!$C$11)-(AP$4*(Resumo!$B$6+Resumo!$B$7)+Resumo!$B$9+Resumo!$B$10*CEILING(AP$3/100,1)+(Resumo!$B$12+Resumo!$B$14)*CEILING(AP$3,1))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2" s="12" t="n">
        <f aca="false">(AD12+AQ$4*(Resumo!$C$6+Resumo!$C$7+Resumo!$C$8)+Resumo!$C$10*CEILING(AQ$3/100,1)+Resumo!$C$9+Resumo!$C$13+Resumo!$C$14*CEILING(AQ$3,1))*(1+Resumo!$C$11)-(AQ$4*(Resumo!$B$6+Resumo!$B$7)+Resumo!$B$9+Resumo!$B$10*CEILING(AQ$3/100,1)+(Resumo!$B$12+Resumo!$B$14)*CEILING(AQ$3,1))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2" s="12" t="n">
        <f aca="false">(AE12+AR$4*(Resumo!$C$6+Resumo!$C$7+Resumo!$C$8)+Resumo!$C$10*CEILING(AR$3/100,1)+Resumo!$C$9+Resumo!$C$13+Resumo!$C$14*CEILING(AR$3,1))*(1+Resumo!$C$11)-(AR$4*(Resumo!$B$6+Resumo!$B$7)+Resumo!$B$9+Resumo!$B$10*CEILING(AR$3/100,1)+(Resumo!$B$12+Resumo!$B$14)*CEILING(AR$3,1))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2" s="12" t="n">
        <f aca="false">(AF12+AS$4*(Resumo!$C$6+Resumo!$C$7+Resumo!$C$8)+Resumo!$C$10*CEILING(AS$3/100,1)+Resumo!$C$9+Resumo!$C$13+Resumo!$C$14*CEILING(AS$3,1))*(1+Resumo!$C$11)-(AS$4*(Resumo!$B$6+Resumo!$B$7)+Resumo!$B$9+Resumo!$B$10*CEILING(AS$3/100,1)+(Resumo!$B$12+Resumo!$B$14)*CEILING(AS$3,1))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2" s="12" t="n">
        <f aca="false">(AG12+AT$4*(Resumo!$C$6+Resumo!$C$7+Resumo!$C$8)+Resumo!$C$10*CEILING(AT$3/100,1)+Resumo!$C$9+Resumo!$C$13+Resumo!$C$14*CEILING(AT$3,1))*(1+Resumo!$C$11)-(AT$4*(Resumo!$B$6+Resumo!$B$7)+Resumo!$B$9+Resumo!$B$10*CEILING(AT$3/100,1)+(Resumo!$B$12+Resumo!$B$14)*CEILING(AT$3,1))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2" s="13" t="n">
        <f aca="false">1-AH12/H12</f>
        <v>0.284448775984873</v>
      </c>
      <c r="AV12" s="13" t="n">
        <f aca="false">1-AI12/I12</f>
        <v>0.324530396086195</v>
      </c>
      <c r="AW12" s="13" t="n">
        <f aca="false">1-AJ12/J12</f>
        <v>0.337931079721616</v>
      </c>
      <c r="AX12" s="13" t="n">
        <f aca="false">1-AK12/K12</f>
        <v>0.318510239438779</v>
      </c>
      <c r="AY12" s="13" t="n">
        <f aca="false">1-AL12/L12</f>
        <v>0.365701375691832</v>
      </c>
      <c r="AZ12" s="13" t="n">
        <f aca="false">1-AM12/M12</f>
        <v>0.420709229511831</v>
      </c>
      <c r="BA12" s="13" t="n">
        <f aca="false">1-AN12/N12</f>
        <v>0.350695095008868</v>
      </c>
      <c r="BB12" s="13" t="n">
        <f aca="false">1-AO12/O12</f>
        <v>0.419232633445788</v>
      </c>
      <c r="BC12" s="13" t="n">
        <f aca="false">1-AP12/P12</f>
        <v>0.493280443868681</v>
      </c>
      <c r="BD12" s="13" t="n">
        <f aca="false">1-AQ12/Q12</f>
        <v>0.455794679894486</v>
      </c>
      <c r="BE12" s="13" t="n">
        <f aca="false">1-AR12/R12</f>
        <v>0.489018797268033</v>
      </c>
      <c r="BF12" s="13" t="n">
        <f aca="false">1-AS12/S12</f>
        <v>0.820478024467603</v>
      </c>
      <c r="BG12" s="13" t="n">
        <f aca="false">1-AT12/T12</f>
        <v>0.528263860444042</v>
      </c>
    </row>
    <row r="13" customFormat="false" ht="15" hidden="false" customHeight="false" outlineLevel="0" collapsed="false">
      <c r="A13" s="4" t="s">
        <v>215</v>
      </c>
      <c r="B13" s="4" t="s">
        <v>163</v>
      </c>
      <c r="C13" s="36" t="n">
        <v>24000000</v>
      </c>
      <c r="D13" s="36" t="n">
        <v>24399999</v>
      </c>
      <c r="E13" s="4" t="s">
        <v>197</v>
      </c>
      <c r="F13" s="4" t="s">
        <v>223</v>
      </c>
      <c r="G13" s="4" t="n">
        <f aca="false">COUNTIFS(Pedidos!$E$2:$E$2224,"&gt;="&amp;C13,Pedidos!$E$2:$E$2224,"&lt;="&amp;D13)</f>
        <v>68</v>
      </c>
      <c r="H13" s="7" t="n">
        <v>57.47</v>
      </c>
      <c r="I13" s="7" t="n">
        <v>100.58</v>
      </c>
      <c r="J13" s="7" t="n">
        <v>114.95</v>
      </c>
      <c r="K13" s="7" t="n">
        <v>114.95</v>
      </c>
      <c r="L13" s="7" t="n">
        <v>128.14</v>
      </c>
      <c r="M13" s="7" t="n">
        <v>149.5</v>
      </c>
      <c r="N13" s="7" t="n">
        <v>142.74</v>
      </c>
      <c r="O13" s="7" t="n">
        <v>178.42</v>
      </c>
      <c r="P13" s="7" t="n">
        <v>214.11</v>
      </c>
      <c r="Q13" s="7" t="n">
        <v>249.03</v>
      </c>
      <c r="R13" s="7" t="n">
        <v>282.23</v>
      </c>
      <c r="S13" s="7" t="n">
        <v>332.05</v>
      </c>
      <c r="T13" s="7" t="n">
        <v>415.05</v>
      </c>
      <c r="U13" s="7" t="n">
        <v>42.72</v>
      </c>
      <c r="V13" s="7" t="n">
        <v>58.8</v>
      </c>
      <c r="W13" s="7" t="n">
        <v>66.83</v>
      </c>
      <c r="X13" s="7" t="n">
        <v>65.36</v>
      </c>
      <c r="Y13" s="7" t="n">
        <v>70.98</v>
      </c>
      <c r="Z13" s="7" t="n">
        <v>76.55</v>
      </c>
      <c r="AA13" s="7" t="n">
        <v>82.48</v>
      </c>
      <c r="AB13" s="7" t="n">
        <v>92.32</v>
      </c>
      <c r="AC13" s="7" t="n">
        <v>101.26</v>
      </c>
      <c r="AD13" s="7" t="n">
        <v>129.62</v>
      </c>
      <c r="AE13" s="7" t="n">
        <v>139.81</v>
      </c>
      <c r="AF13" s="7" t="n">
        <v>155.09</v>
      </c>
      <c r="AG13" s="7" t="n">
        <v>194.34</v>
      </c>
      <c r="AH13" s="12" t="n">
        <f aca="false">(U13+AH$4*(Resumo!$C$6+Resumo!$C$7+Resumo!$C$8)+Resumo!$C$10*CEILING(AH$3/100,1)+Resumo!$C$9+Resumo!$C$13+Resumo!$C$14*CEILING(AH$3,1))*(1+Resumo!$C$11)-(AH$4*(Resumo!$B$6+Resumo!$B$7)+Resumo!$B$9+Resumo!$B$10*CEILING(AH$3/100,1)+(Resumo!$B$12+Resumo!$B$14)*CEILING(AH$3,1))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13" s="12" t="n">
        <f aca="false">(V13+AI$4*(Resumo!$C$6+Resumo!$C$7+Resumo!$C$8)+Resumo!$C$10*CEILING(AI$3/100,1)+Resumo!$C$9+Resumo!$C$13+Resumo!$C$14*CEILING(AI$3,1))*(1+Resumo!$C$11)-(AI$4*(Resumo!$B$6+Resumo!$B$7)+Resumo!$B$9+Resumo!$B$10*CEILING(AI$3/100,1)+(Resumo!$B$12+Resumo!$B$14)*CEILING(AI$3,1))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13" s="12" t="n">
        <f aca="false">(W13+AJ$4*(Resumo!$C$6+Resumo!$C$7+Resumo!$C$8)+Resumo!$C$10*CEILING(AJ$3/100,1)+Resumo!$C$9+Resumo!$C$13+Resumo!$C$14*CEILING(AJ$3,1))*(1+Resumo!$C$11)-(AJ$4*(Resumo!$B$6+Resumo!$B$7)+Resumo!$B$9+Resumo!$B$10*CEILING(AJ$3/100,1)+(Resumo!$B$12+Resumo!$B$14)*CEILING(AJ$3,1))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13" s="12" t="n">
        <f aca="false">(X13+AK$4*(Resumo!$C$6+Resumo!$C$7+Resumo!$C$8)+Resumo!$C$10*CEILING(AK$3/100,1)+Resumo!$C$9+Resumo!$C$13+Resumo!$C$14*CEILING(AK$3,1))*(1+Resumo!$C$11)-(AK$4*(Resumo!$B$6+Resumo!$B$7)+Resumo!$B$9+Resumo!$B$10*CEILING(AK$3/100,1)+(Resumo!$B$12+Resumo!$B$14)*CEILING(AK$3,1))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13" s="12" t="n">
        <f aca="false">(Y13+AL$4*(Resumo!$C$6+Resumo!$C$7+Resumo!$C$8)+Resumo!$C$10*CEILING(AL$3/100,1)+Resumo!$C$9+Resumo!$C$13+Resumo!$C$14*CEILING(AL$3,1))*(1+Resumo!$C$11)-(AL$4*(Resumo!$B$6+Resumo!$B$7)+Resumo!$B$9+Resumo!$B$10*CEILING(AL$3/100,1)+(Resumo!$B$12+Resumo!$B$14)*CEILING(AL$3,1))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13" s="12" t="n">
        <f aca="false">(Z13+AM$4*(Resumo!$C$6+Resumo!$C$7+Resumo!$C$8)+Resumo!$C$10*CEILING(AM$3/100,1)+Resumo!$C$9+Resumo!$C$13+Resumo!$C$14*CEILING(AM$3,1))*(1+Resumo!$C$11)-(AM$4*(Resumo!$B$6+Resumo!$B$7)+Resumo!$B$9+Resumo!$B$10*CEILING(AM$3/100,1)+(Resumo!$B$12+Resumo!$B$14)*CEILING(AM$3,1))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13" s="12" t="n">
        <f aca="false">(AA13+AN$4*(Resumo!$C$6+Resumo!$C$7+Resumo!$C$8)+Resumo!$C$10*CEILING(AN$3/100,1)+Resumo!$C$9+Resumo!$C$13+Resumo!$C$14*CEILING(AN$3,1))*(1+Resumo!$C$11)-(AN$4*(Resumo!$B$6+Resumo!$B$7)+Resumo!$B$9+Resumo!$B$10*CEILING(AN$3/100,1)+(Resumo!$B$12+Resumo!$B$14)*CEILING(AN$3,1))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13" s="12" t="n">
        <f aca="false">(AB13+AO$4*(Resumo!$C$6+Resumo!$C$7+Resumo!$C$8)+Resumo!$C$10*CEILING(AO$3/100,1)+Resumo!$C$9+Resumo!$C$13+Resumo!$C$14*CEILING(AO$3,1))*(1+Resumo!$C$11)-(AO$4*(Resumo!$B$6+Resumo!$B$7)+Resumo!$B$9+Resumo!$B$10*CEILING(AO$3/100,1)+(Resumo!$B$12+Resumo!$B$14)*CEILING(AO$3,1))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13" s="12" t="n">
        <f aca="false">(AC13+AP$4*(Resumo!$C$6+Resumo!$C$7+Resumo!$C$8)+Resumo!$C$10*CEILING(AP$3/100,1)+Resumo!$C$9+Resumo!$C$13+Resumo!$C$14*CEILING(AP$3,1))*(1+Resumo!$C$11)-(AP$4*(Resumo!$B$6+Resumo!$B$7)+Resumo!$B$9+Resumo!$B$10*CEILING(AP$3/100,1)+(Resumo!$B$12+Resumo!$B$14)*CEILING(AP$3,1))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13" s="12" t="n">
        <f aca="false">(AD13+AQ$4*(Resumo!$C$6+Resumo!$C$7+Resumo!$C$8)+Resumo!$C$10*CEILING(AQ$3/100,1)+Resumo!$C$9+Resumo!$C$13+Resumo!$C$14*CEILING(AQ$3,1))*(1+Resumo!$C$11)-(AQ$4*(Resumo!$B$6+Resumo!$B$7)+Resumo!$B$9+Resumo!$B$10*CEILING(AQ$3/100,1)+(Resumo!$B$12+Resumo!$B$14)*CEILING(AQ$3,1))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13" s="12" t="n">
        <f aca="false">(AE13+AR$4*(Resumo!$C$6+Resumo!$C$7+Resumo!$C$8)+Resumo!$C$10*CEILING(AR$3/100,1)+Resumo!$C$9+Resumo!$C$13+Resumo!$C$14*CEILING(AR$3,1))*(1+Resumo!$C$11)-(AR$4*(Resumo!$B$6+Resumo!$B$7)+Resumo!$B$9+Resumo!$B$10*CEILING(AR$3/100,1)+(Resumo!$B$12+Resumo!$B$14)*CEILING(AR$3,1))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13" s="12" t="n">
        <f aca="false">(AF13+AS$4*(Resumo!$C$6+Resumo!$C$7+Resumo!$C$8)+Resumo!$C$10*CEILING(AS$3/100,1)+Resumo!$C$9+Resumo!$C$13+Resumo!$C$14*CEILING(AS$3,1))*(1+Resumo!$C$11)-(AS$4*(Resumo!$B$6+Resumo!$B$7)+Resumo!$B$9+Resumo!$B$10*CEILING(AS$3/100,1)+(Resumo!$B$12+Resumo!$B$14)*CEILING(AS$3,1))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13" s="12" t="n">
        <f aca="false">(AG13+AT$4*(Resumo!$C$6+Resumo!$C$7+Resumo!$C$8)+Resumo!$C$10*CEILING(AT$3/100,1)+Resumo!$C$9+Resumo!$C$13+Resumo!$C$14*CEILING(AT$3,1))*(1+Resumo!$C$11)-(AT$4*(Resumo!$B$6+Resumo!$B$7)+Resumo!$B$9+Resumo!$B$10*CEILING(AT$3/100,1)+(Resumo!$B$12+Resumo!$B$14)*CEILING(AT$3,1))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13" s="13" t="n">
        <f aca="false">1-AH13/H13</f>
        <v>0.110529194752565</v>
      </c>
      <c r="AV13" s="13" t="n">
        <f aca="false">1-AI13/I13</f>
        <v>0.337031646510843</v>
      </c>
      <c r="AW13" s="13" t="n">
        <f aca="false">1-AJ13/J13</f>
        <v>0.354431210924529</v>
      </c>
      <c r="AX13" s="13" t="n">
        <f aca="false">1-AK13/K13</f>
        <v>0.369954794096523</v>
      </c>
      <c r="AY13" s="13" t="n">
        <f aca="false">1-AL13/L13</f>
        <v>0.393839704920099</v>
      </c>
      <c r="AZ13" s="13" t="n">
        <f aca="false">1-AM13/M13</f>
        <v>0.44788473284575</v>
      </c>
      <c r="BA13" s="13" t="n">
        <f aca="false">1-AN13/N13</f>
        <v>0.381937379851478</v>
      </c>
      <c r="BB13" s="13" t="n">
        <f aca="false">1-AO13/O13</f>
        <v>0.454632665679444</v>
      </c>
      <c r="BC13" s="13" t="n">
        <f aca="false">1-AP13/P13</f>
        <v>0.524724089098973</v>
      </c>
      <c r="BD13" s="13" t="n">
        <f aca="false">1-AQ13/Q13</f>
        <v>0.479952869225619</v>
      </c>
      <c r="BE13" s="13" t="n">
        <f aca="false">1-AR13/R13</f>
        <v>0.510714636998193</v>
      </c>
      <c r="BF13" s="13" t="n">
        <f aca="false">1-AS13/S13</f>
        <v>0.542861617226321</v>
      </c>
      <c r="BG13" s="13" t="n">
        <f aca="false">1-AT13/T13</f>
        <v>0.547803079147091</v>
      </c>
    </row>
    <row r="14" customFormat="false" ht="15" hidden="false" customHeight="false" outlineLevel="0" collapsed="false">
      <c r="A14" s="4" t="s">
        <v>215</v>
      </c>
      <c r="B14" s="4" t="s">
        <v>160</v>
      </c>
      <c r="C14" s="36" t="n">
        <v>24400000</v>
      </c>
      <c r="D14" s="36" t="n">
        <v>24799999</v>
      </c>
      <c r="E14" s="4" t="s">
        <v>197</v>
      </c>
      <c r="F14" s="4" t="s">
        <v>223</v>
      </c>
      <c r="G14" s="4" t="n">
        <f aca="false">COUNTIFS(Pedidos!$E$2:$E$2224,"&gt;="&amp;C14,Pedidos!$E$2:$E$2224,"&lt;="&amp;D14)</f>
        <v>135</v>
      </c>
      <c r="H14" s="7" t="n">
        <v>57.47</v>
      </c>
      <c r="I14" s="7" t="n">
        <v>100.58</v>
      </c>
      <c r="J14" s="7" t="n">
        <v>114.95</v>
      </c>
      <c r="K14" s="7" t="n">
        <v>114.95</v>
      </c>
      <c r="L14" s="7" t="n">
        <v>128.14</v>
      </c>
      <c r="M14" s="7" t="n">
        <v>149.5</v>
      </c>
      <c r="N14" s="7" t="n">
        <v>142.74</v>
      </c>
      <c r="O14" s="7" t="n">
        <v>178.42</v>
      </c>
      <c r="P14" s="7" t="n">
        <v>214.11</v>
      </c>
      <c r="Q14" s="7" t="n">
        <v>249.03</v>
      </c>
      <c r="R14" s="7" t="n">
        <v>282.23</v>
      </c>
      <c r="S14" s="7" t="n">
        <v>332.05</v>
      </c>
      <c r="T14" s="7" t="n">
        <v>415.05</v>
      </c>
      <c r="U14" s="7" t="n">
        <v>42.72</v>
      </c>
      <c r="V14" s="7" t="n">
        <v>58.8</v>
      </c>
      <c r="W14" s="7" t="n">
        <v>66.83</v>
      </c>
      <c r="X14" s="7" t="n">
        <v>65.36</v>
      </c>
      <c r="Y14" s="7" t="n">
        <v>70.98</v>
      </c>
      <c r="Z14" s="7" t="n">
        <v>76.55</v>
      </c>
      <c r="AA14" s="7" t="n">
        <v>82.48</v>
      </c>
      <c r="AB14" s="7" t="n">
        <v>92.32</v>
      </c>
      <c r="AC14" s="7" t="n">
        <v>101.26</v>
      </c>
      <c r="AD14" s="7" t="n">
        <v>129.62</v>
      </c>
      <c r="AE14" s="7" t="n">
        <v>139.81</v>
      </c>
      <c r="AF14" s="7" t="n">
        <v>155.09</v>
      </c>
      <c r="AG14" s="7" t="n">
        <v>194.34</v>
      </c>
      <c r="AH14" s="12" t="n">
        <f aca="false">(U14+AH$4*(Resumo!$C$6+Resumo!$C$7+Resumo!$C$8)+Resumo!$C$10*CEILING(AH$3/100,1)+Resumo!$C$9+Resumo!$C$13+Resumo!$C$14*CEILING(AH$3,1))*(1+Resumo!$C$11)-(AH$4*(Resumo!$B$6+Resumo!$B$7)+Resumo!$B$9+Resumo!$B$10*CEILING(AH$3/100,1)+(Resumo!$B$12+Resumo!$B$14)*CEILING(AH$3,1))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14" s="12" t="n">
        <f aca="false">(V14+AI$4*(Resumo!$C$6+Resumo!$C$7+Resumo!$C$8)+Resumo!$C$10*CEILING(AI$3/100,1)+Resumo!$C$9+Resumo!$C$13+Resumo!$C$14*CEILING(AI$3,1))*(1+Resumo!$C$11)-(AI$4*(Resumo!$B$6+Resumo!$B$7)+Resumo!$B$9+Resumo!$B$10*CEILING(AI$3/100,1)+(Resumo!$B$12+Resumo!$B$14)*CEILING(AI$3,1))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14" s="12" t="n">
        <f aca="false">(W14+AJ$4*(Resumo!$C$6+Resumo!$C$7+Resumo!$C$8)+Resumo!$C$10*CEILING(AJ$3/100,1)+Resumo!$C$9+Resumo!$C$13+Resumo!$C$14*CEILING(AJ$3,1))*(1+Resumo!$C$11)-(AJ$4*(Resumo!$B$6+Resumo!$B$7)+Resumo!$B$9+Resumo!$B$10*CEILING(AJ$3/100,1)+(Resumo!$B$12+Resumo!$B$14)*CEILING(AJ$3,1))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14" s="12" t="n">
        <f aca="false">(X14+AK$4*(Resumo!$C$6+Resumo!$C$7+Resumo!$C$8)+Resumo!$C$10*CEILING(AK$3/100,1)+Resumo!$C$9+Resumo!$C$13+Resumo!$C$14*CEILING(AK$3,1))*(1+Resumo!$C$11)-(AK$4*(Resumo!$B$6+Resumo!$B$7)+Resumo!$B$9+Resumo!$B$10*CEILING(AK$3/100,1)+(Resumo!$B$12+Resumo!$B$14)*CEILING(AK$3,1))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14" s="12" t="n">
        <f aca="false">(Y14+AL$4*(Resumo!$C$6+Resumo!$C$7+Resumo!$C$8)+Resumo!$C$10*CEILING(AL$3/100,1)+Resumo!$C$9+Resumo!$C$13+Resumo!$C$14*CEILING(AL$3,1))*(1+Resumo!$C$11)-(AL$4*(Resumo!$B$6+Resumo!$B$7)+Resumo!$B$9+Resumo!$B$10*CEILING(AL$3/100,1)+(Resumo!$B$12+Resumo!$B$14)*CEILING(AL$3,1))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14" s="12" t="n">
        <f aca="false">(Z14+AM$4*(Resumo!$C$6+Resumo!$C$7+Resumo!$C$8)+Resumo!$C$10*CEILING(AM$3/100,1)+Resumo!$C$9+Resumo!$C$13+Resumo!$C$14*CEILING(AM$3,1))*(1+Resumo!$C$11)-(AM$4*(Resumo!$B$6+Resumo!$B$7)+Resumo!$B$9+Resumo!$B$10*CEILING(AM$3/100,1)+(Resumo!$B$12+Resumo!$B$14)*CEILING(AM$3,1))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14" s="12" t="n">
        <f aca="false">(AA14+AN$4*(Resumo!$C$6+Resumo!$C$7+Resumo!$C$8)+Resumo!$C$10*CEILING(AN$3/100,1)+Resumo!$C$9+Resumo!$C$13+Resumo!$C$14*CEILING(AN$3,1))*(1+Resumo!$C$11)-(AN$4*(Resumo!$B$6+Resumo!$B$7)+Resumo!$B$9+Resumo!$B$10*CEILING(AN$3/100,1)+(Resumo!$B$12+Resumo!$B$14)*CEILING(AN$3,1))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14" s="12" t="n">
        <f aca="false">(AB14+AO$4*(Resumo!$C$6+Resumo!$C$7+Resumo!$C$8)+Resumo!$C$10*CEILING(AO$3/100,1)+Resumo!$C$9+Resumo!$C$13+Resumo!$C$14*CEILING(AO$3,1))*(1+Resumo!$C$11)-(AO$4*(Resumo!$B$6+Resumo!$B$7)+Resumo!$B$9+Resumo!$B$10*CEILING(AO$3/100,1)+(Resumo!$B$12+Resumo!$B$14)*CEILING(AO$3,1))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14" s="12" t="n">
        <f aca="false">(AC14+AP$4*(Resumo!$C$6+Resumo!$C$7+Resumo!$C$8)+Resumo!$C$10*CEILING(AP$3/100,1)+Resumo!$C$9+Resumo!$C$13+Resumo!$C$14*CEILING(AP$3,1))*(1+Resumo!$C$11)-(AP$4*(Resumo!$B$6+Resumo!$B$7)+Resumo!$B$9+Resumo!$B$10*CEILING(AP$3/100,1)+(Resumo!$B$12+Resumo!$B$14)*CEILING(AP$3,1))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14" s="12" t="n">
        <f aca="false">(AD14+AQ$4*(Resumo!$C$6+Resumo!$C$7+Resumo!$C$8)+Resumo!$C$10*CEILING(AQ$3/100,1)+Resumo!$C$9+Resumo!$C$13+Resumo!$C$14*CEILING(AQ$3,1))*(1+Resumo!$C$11)-(AQ$4*(Resumo!$B$6+Resumo!$B$7)+Resumo!$B$9+Resumo!$B$10*CEILING(AQ$3/100,1)+(Resumo!$B$12+Resumo!$B$14)*CEILING(AQ$3,1))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14" s="12" t="n">
        <f aca="false">(AE14+AR$4*(Resumo!$C$6+Resumo!$C$7+Resumo!$C$8)+Resumo!$C$10*CEILING(AR$3/100,1)+Resumo!$C$9+Resumo!$C$13+Resumo!$C$14*CEILING(AR$3,1))*(1+Resumo!$C$11)-(AR$4*(Resumo!$B$6+Resumo!$B$7)+Resumo!$B$9+Resumo!$B$10*CEILING(AR$3/100,1)+(Resumo!$B$12+Resumo!$B$14)*CEILING(AR$3,1))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14" s="12" t="n">
        <f aca="false">(AF14+AS$4*(Resumo!$C$6+Resumo!$C$7+Resumo!$C$8)+Resumo!$C$10*CEILING(AS$3/100,1)+Resumo!$C$9+Resumo!$C$13+Resumo!$C$14*CEILING(AS$3,1))*(1+Resumo!$C$11)-(AS$4*(Resumo!$B$6+Resumo!$B$7)+Resumo!$B$9+Resumo!$B$10*CEILING(AS$3/100,1)+(Resumo!$B$12+Resumo!$B$14)*CEILING(AS$3,1))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14" s="12" t="n">
        <f aca="false">(AG14+AT$4*(Resumo!$C$6+Resumo!$C$7+Resumo!$C$8)+Resumo!$C$10*CEILING(AT$3/100,1)+Resumo!$C$9+Resumo!$C$13+Resumo!$C$14*CEILING(AT$3,1))*(1+Resumo!$C$11)-(AT$4*(Resumo!$B$6+Resumo!$B$7)+Resumo!$B$9+Resumo!$B$10*CEILING(AT$3/100,1)+(Resumo!$B$12+Resumo!$B$14)*CEILING(AT$3,1))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14" s="13" t="n">
        <f aca="false">1-AH14/H14</f>
        <v>0.110529194752565</v>
      </c>
      <c r="AV14" s="13" t="n">
        <f aca="false">1-AI14/I14</f>
        <v>0.337031646510843</v>
      </c>
      <c r="AW14" s="13" t="n">
        <f aca="false">1-AJ14/J14</f>
        <v>0.354431210924529</v>
      </c>
      <c r="AX14" s="13" t="n">
        <f aca="false">1-AK14/K14</f>
        <v>0.369954794096523</v>
      </c>
      <c r="AY14" s="13" t="n">
        <f aca="false">1-AL14/L14</f>
        <v>0.393839704920099</v>
      </c>
      <c r="AZ14" s="13" t="n">
        <f aca="false">1-AM14/M14</f>
        <v>0.44788473284575</v>
      </c>
      <c r="BA14" s="13" t="n">
        <f aca="false">1-AN14/N14</f>
        <v>0.381937379851478</v>
      </c>
      <c r="BB14" s="13" t="n">
        <f aca="false">1-AO14/O14</f>
        <v>0.454632665679444</v>
      </c>
      <c r="BC14" s="13" t="n">
        <f aca="false">1-AP14/P14</f>
        <v>0.524724089098973</v>
      </c>
      <c r="BD14" s="13" t="n">
        <f aca="false">1-AQ14/Q14</f>
        <v>0.479952869225619</v>
      </c>
      <c r="BE14" s="13" t="n">
        <f aca="false">1-AR14/R14</f>
        <v>0.510714636998193</v>
      </c>
      <c r="BF14" s="13" t="n">
        <f aca="false">1-AS14/S14</f>
        <v>0.542861617226321</v>
      </c>
      <c r="BG14" s="13" t="n">
        <f aca="false">1-AT14/T14</f>
        <v>0.547803079147091</v>
      </c>
    </row>
    <row r="15" customFormat="false" ht="15" hidden="false" customHeight="false" outlineLevel="0" collapsed="false">
      <c r="A15" s="4" t="s">
        <v>215</v>
      </c>
      <c r="B15" s="4" t="s">
        <v>174</v>
      </c>
      <c r="C15" s="36" t="n">
        <v>24800000</v>
      </c>
      <c r="D15" s="36" t="n">
        <v>24889999</v>
      </c>
      <c r="E15" s="4" t="s">
        <v>198</v>
      </c>
      <c r="F15" s="4" t="s">
        <v>224</v>
      </c>
      <c r="G15" s="4" t="n">
        <f aca="false">COUNTIFS(Pedidos!$E$2:$E$2224,"&gt;="&amp;C15,Pedidos!$E$2:$E$2224,"&lt;="&amp;D15)</f>
        <v>25</v>
      </c>
      <c r="H15" s="7" t="n">
        <v>57.47</v>
      </c>
      <c r="I15" s="7" t="n">
        <v>100.58</v>
      </c>
      <c r="J15" s="7" t="n">
        <v>114.95</v>
      </c>
      <c r="K15" s="7" t="n">
        <v>114.95</v>
      </c>
      <c r="L15" s="7" t="n">
        <v>128.14</v>
      </c>
      <c r="M15" s="7" t="n">
        <v>149.5</v>
      </c>
      <c r="N15" s="7" t="n">
        <v>142.74</v>
      </c>
      <c r="O15" s="7" t="n">
        <v>178.42</v>
      </c>
      <c r="P15" s="7" t="n">
        <v>214.11</v>
      </c>
      <c r="Q15" s="7" t="n">
        <v>249.03</v>
      </c>
      <c r="R15" s="7" t="n">
        <v>282.23</v>
      </c>
      <c r="S15" s="7" t="n">
        <v>332.05</v>
      </c>
      <c r="T15" s="7" t="n">
        <v>415.05</v>
      </c>
      <c r="U15" s="7" t="n">
        <v>46.95</v>
      </c>
      <c r="V15" s="7" t="n">
        <v>65.63</v>
      </c>
      <c r="W15" s="7" t="n">
        <v>74.97</v>
      </c>
      <c r="X15" s="7" t="n">
        <v>77.7</v>
      </c>
      <c r="Y15" s="7" t="n">
        <v>83.58</v>
      </c>
      <c r="Z15" s="7" t="n">
        <v>90.2</v>
      </c>
      <c r="AA15" s="7" t="n">
        <v>96.77</v>
      </c>
      <c r="AB15" s="7" t="n">
        <v>109.63</v>
      </c>
      <c r="AC15" s="7" t="n">
        <v>119.5</v>
      </c>
      <c r="AD15" s="7" t="n">
        <v>144.24</v>
      </c>
      <c r="AE15" s="7" t="n">
        <v>155.09</v>
      </c>
      <c r="AF15" s="7" t="n">
        <v>66.69</v>
      </c>
      <c r="AG15" s="7" t="n">
        <v>214.88</v>
      </c>
      <c r="AH15" s="12" t="n">
        <f aca="false">(U15+AH$4*(Resumo!$C$6+Resumo!$C$7+Resumo!$C$8)+Resumo!$C$10*CEILING(AH$3/100,1)+Resumo!$C$9+Resumo!$C$13+Resumo!$C$14*CEILING(AH$3,1))*(1+Resumo!$C$11)-(AH$4*(Resumo!$B$6+Resumo!$B$7)+Resumo!$B$9+Resumo!$B$10*CEILING(AH$3/100,1)+(Resumo!$B$12+Resumo!$B$14)*CEILING(AH$3,1))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5" s="12" t="n">
        <f aca="false">(V15+AI$4*(Resumo!$C$6+Resumo!$C$7+Resumo!$C$8)+Resumo!$C$10*CEILING(AI$3/100,1)+Resumo!$C$9+Resumo!$C$13+Resumo!$C$14*CEILING(AI$3,1))*(1+Resumo!$C$11)-(AI$4*(Resumo!$B$6+Resumo!$B$7)+Resumo!$B$9+Resumo!$B$10*CEILING(AI$3/100,1)+(Resumo!$B$12+Resumo!$B$14)*CEILING(AI$3,1))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5" s="12" t="n">
        <f aca="false">(W15+AJ$4*(Resumo!$C$6+Resumo!$C$7+Resumo!$C$8)+Resumo!$C$10*CEILING(AJ$3/100,1)+Resumo!$C$9+Resumo!$C$13+Resumo!$C$14*CEILING(AJ$3,1))*(1+Resumo!$C$11)-(AJ$4*(Resumo!$B$6+Resumo!$B$7)+Resumo!$B$9+Resumo!$B$10*CEILING(AJ$3/100,1)+(Resumo!$B$12+Resumo!$B$14)*CEILING(AJ$3,1))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5" s="12" t="n">
        <f aca="false">(X15+AK$4*(Resumo!$C$6+Resumo!$C$7+Resumo!$C$8)+Resumo!$C$10*CEILING(AK$3/100,1)+Resumo!$C$9+Resumo!$C$13+Resumo!$C$14*CEILING(AK$3,1))*(1+Resumo!$C$11)-(AK$4*(Resumo!$B$6+Resumo!$B$7)+Resumo!$B$9+Resumo!$B$10*CEILING(AK$3/100,1)+(Resumo!$B$12+Resumo!$B$14)*CEILING(AK$3,1))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5" s="12" t="n">
        <f aca="false">(Y15+AL$4*(Resumo!$C$6+Resumo!$C$7+Resumo!$C$8)+Resumo!$C$10*CEILING(AL$3/100,1)+Resumo!$C$9+Resumo!$C$13+Resumo!$C$14*CEILING(AL$3,1))*(1+Resumo!$C$11)-(AL$4*(Resumo!$B$6+Resumo!$B$7)+Resumo!$B$9+Resumo!$B$10*CEILING(AL$3/100,1)+(Resumo!$B$12+Resumo!$B$14)*CEILING(AL$3,1))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5" s="12" t="n">
        <f aca="false">(Z15+AM$4*(Resumo!$C$6+Resumo!$C$7+Resumo!$C$8)+Resumo!$C$10*CEILING(AM$3/100,1)+Resumo!$C$9+Resumo!$C$13+Resumo!$C$14*CEILING(AM$3,1))*(1+Resumo!$C$11)-(AM$4*(Resumo!$B$6+Resumo!$B$7)+Resumo!$B$9+Resumo!$B$10*CEILING(AM$3/100,1)+(Resumo!$B$12+Resumo!$B$14)*CEILING(AM$3,1))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5" s="12" t="n">
        <f aca="false">(AA15+AN$4*(Resumo!$C$6+Resumo!$C$7+Resumo!$C$8)+Resumo!$C$10*CEILING(AN$3/100,1)+Resumo!$C$9+Resumo!$C$13+Resumo!$C$14*CEILING(AN$3,1))*(1+Resumo!$C$11)-(AN$4*(Resumo!$B$6+Resumo!$B$7)+Resumo!$B$9+Resumo!$B$10*CEILING(AN$3/100,1)+(Resumo!$B$12+Resumo!$B$14)*CEILING(AN$3,1))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5" s="12" t="n">
        <f aca="false">(AB15+AO$4*(Resumo!$C$6+Resumo!$C$7+Resumo!$C$8)+Resumo!$C$10*CEILING(AO$3/100,1)+Resumo!$C$9+Resumo!$C$13+Resumo!$C$14*CEILING(AO$3,1))*(1+Resumo!$C$11)-(AO$4*(Resumo!$B$6+Resumo!$B$7)+Resumo!$B$9+Resumo!$B$10*CEILING(AO$3/100,1)+(Resumo!$B$12+Resumo!$B$14)*CEILING(AO$3,1))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5" s="12" t="n">
        <f aca="false">(AC15+AP$4*(Resumo!$C$6+Resumo!$C$7+Resumo!$C$8)+Resumo!$C$10*CEILING(AP$3/100,1)+Resumo!$C$9+Resumo!$C$13+Resumo!$C$14*CEILING(AP$3,1))*(1+Resumo!$C$11)-(AP$4*(Resumo!$B$6+Resumo!$B$7)+Resumo!$B$9+Resumo!$B$10*CEILING(AP$3/100,1)+(Resumo!$B$12+Resumo!$B$14)*CEILING(AP$3,1))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5" s="12" t="n">
        <f aca="false">(AD15+AQ$4*(Resumo!$C$6+Resumo!$C$7+Resumo!$C$8)+Resumo!$C$10*CEILING(AQ$3/100,1)+Resumo!$C$9+Resumo!$C$13+Resumo!$C$14*CEILING(AQ$3,1))*(1+Resumo!$C$11)-(AQ$4*(Resumo!$B$6+Resumo!$B$7)+Resumo!$B$9+Resumo!$B$10*CEILING(AQ$3/100,1)+(Resumo!$B$12+Resumo!$B$14)*CEILING(AQ$3,1))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5" s="12" t="n">
        <f aca="false">(AE15+AR$4*(Resumo!$C$6+Resumo!$C$7+Resumo!$C$8)+Resumo!$C$10*CEILING(AR$3/100,1)+Resumo!$C$9+Resumo!$C$13+Resumo!$C$14*CEILING(AR$3,1))*(1+Resumo!$C$11)-(AR$4*(Resumo!$B$6+Resumo!$B$7)+Resumo!$B$9+Resumo!$B$10*CEILING(AR$3/100,1)+(Resumo!$B$12+Resumo!$B$14)*CEILING(AR$3,1))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5" s="12" t="n">
        <f aca="false">(AF15+AS$4*(Resumo!$C$6+Resumo!$C$7+Resumo!$C$8)+Resumo!$C$10*CEILING(AS$3/100,1)+Resumo!$C$9+Resumo!$C$13+Resumo!$C$14*CEILING(AS$3,1))*(1+Resumo!$C$11)-(AS$4*(Resumo!$B$6+Resumo!$B$7)+Resumo!$B$9+Resumo!$B$10*CEILING(AS$3/100,1)+(Resumo!$B$12+Resumo!$B$14)*CEILING(AS$3,1))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5" s="12" t="n">
        <f aca="false">(AG15+AT$4*(Resumo!$C$6+Resumo!$C$7+Resumo!$C$8)+Resumo!$C$10*CEILING(AT$3/100,1)+Resumo!$C$9+Resumo!$C$13+Resumo!$C$14*CEILING(AT$3,1))*(1+Resumo!$C$11)-(AT$4*(Resumo!$B$6+Resumo!$B$7)+Resumo!$B$9+Resumo!$B$10*CEILING(AT$3/100,1)+(Resumo!$B$12+Resumo!$B$14)*CEILING(AT$3,1))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5" s="13" t="n">
        <f aca="false">1-AH15/H15</f>
        <v>0.0369255754729408</v>
      </c>
      <c r="AV15" s="13" t="n">
        <f aca="false">1-AI15/I15</f>
        <v>0.269125502148147</v>
      </c>
      <c r="AW15" s="13" t="n">
        <f aca="false">1-AJ15/J15</f>
        <v>0.283617813795343</v>
      </c>
      <c r="AX15" s="13" t="n">
        <f aca="false">1-AK15/K15</f>
        <v>0.262603771912965</v>
      </c>
      <c r="AY15" s="13" t="n">
        <f aca="false">1-AL15/L15</f>
        <v>0.295509753304679</v>
      </c>
      <c r="AZ15" s="13" t="n">
        <f aca="false">1-AM15/M15</f>
        <v>0.356580385019663</v>
      </c>
      <c r="BA15" s="13" t="n">
        <f aca="false">1-AN15/N15</f>
        <v>0.281825287936108</v>
      </c>
      <c r="BB15" s="13" t="n">
        <f aca="false">1-AO15/O15</f>
        <v>0.357614394185216</v>
      </c>
      <c r="BC15" s="13" t="n">
        <f aca="false">1-AP15/P15</f>
        <v>0.439534233417314</v>
      </c>
      <c r="BD15" s="13" t="n">
        <f aca="false">1-AQ15/Q15</f>
        <v>0.421245083015122</v>
      </c>
      <c r="BE15" s="13" t="n">
        <f aca="false">1-AR15/R15</f>
        <v>0.456574396768593</v>
      </c>
      <c r="BF15" s="13" t="n">
        <f aca="false">1-AS15/S15</f>
        <v>0.809086583345882</v>
      </c>
      <c r="BG15" s="13" t="n">
        <f aca="false">1-AT15/T15</f>
        <v>0.49831506565474</v>
      </c>
    </row>
    <row r="16" customFormat="false" ht="15" hidden="false" customHeight="false" outlineLevel="0" collapsed="false">
      <c r="A16" s="4" t="s">
        <v>215</v>
      </c>
      <c r="B16" s="4" t="s">
        <v>225</v>
      </c>
      <c r="C16" s="36" t="n">
        <v>24890000</v>
      </c>
      <c r="D16" s="36" t="n">
        <v>24899999</v>
      </c>
      <c r="E16" s="4" t="s">
        <v>198</v>
      </c>
      <c r="F16" s="4" t="s">
        <v>224</v>
      </c>
      <c r="G16" s="4" t="n">
        <f aca="false">COUNTIFS(Pedidos!$E$2:$E$2224,"&gt;="&amp;C16,Pedidos!$E$2:$E$2224,"&lt;="&amp;D16)</f>
        <v>0</v>
      </c>
      <c r="H16" s="7" t="n">
        <v>57.47</v>
      </c>
      <c r="I16" s="7" t="n">
        <v>100.58</v>
      </c>
      <c r="J16" s="7" t="n">
        <v>114.95</v>
      </c>
      <c r="K16" s="7" t="n">
        <v>114.95</v>
      </c>
      <c r="L16" s="7" t="n">
        <v>128.14</v>
      </c>
      <c r="M16" s="7" t="n">
        <v>149.5</v>
      </c>
      <c r="N16" s="7" t="n">
        <v>142.74</v>
      </c>
      <c r="O16" s="7" t="n">
        <v>178.42</v>
      </c>
      <c r="P16" s="7" t="n">
        <v>214.11</v>
      </c>
      <c r="Q16" s="7" t="n">
        <v>249.03</v>
      </c>
      <c r="R16" s="7" t="n">
        <v>282.23</v>
      </c>
      <c r="S16" s="7" t="n">
        <v>332.05</v>
      </c>
      <c r="T16" s="7" t="n">
        <v>415.05</v>
      </c>
      <c r="U16" s="7" t="n">
        <v>46.95</v>
      </c>
      <c r="V16" s="7" t="n">
        <v>65.63</v>
      </c>
      <c r="W16" s="7" t="n">
        <v>74.97</v>
      </c>
      <c r="X16" s="7" t="n">
        <v>77.7</v>
      </c>
      <c r="Y16" s="7" t="n">
        <v>83.58</v>
      </c>
      <c r="Z16" s="7" t="n">
        <v>90.2</v>
      </c>
      <c r="AA16" s="7" t="n">
        <v>96.77</v>
      </c>
      <c r="AB16" s="7" t="n">
        <v>109.63</v>
      </c>
      <c r="AC16" s="7" t="n">
        <v>119.5</v>
      </c>
      <c r="AD16" s="7" t="n">
        <v>144.24</v>
      </c>
      <c r="AE16" s="7" t="n">
        <v>155.09</v>
      </c>
      <c r="AF16" s="7" t="n">
        <v>66.69</v>
      </c>
      <c r="AG16" s="7" t="n">
        <v>214.88</v>
      </c>
      <c r="AH16" s="12" t="n">
        <f aca="false">(U16+AH$4*(Resumo!$C$6+Resumo!$C$7+Resumo!$C$8)+Resumo!$C$10*CEILING(AH$3/100,1)+Resumo!$C$9+Resumo!$C$13+Resumo!$C$14*CEILING(AH$3,1))*(1+Resumo!$C$11)-(AH$4*(Resumo!$B$6+Resumo!$B$7)+Resumo!$B$9+Resumo!$B$10*CEILING(AH$3/100,1)+(Resumo!$B$12+Resumo!$B$14)*CEILING(AH$3,1))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6" s="12" t="n">
        <f aca="false">(V16+AI$4*(Resumo!$C$6+Resumo!$C$7+Resumo!$C$8)+Resumo!$C$10*CEILING(AI$3/100,1)+Resumo!$C$9+Resumo!$C$13+Resumo!$C$14*CEILING(AI$3,1))*(1+Resumo!$C$11)-(AI$4*(Resumo!$B$6+Resumo!$B$7)+Resumo!$B$9+Resumo!$B$10*CEILING(AI$3/100,1)+(Resumo!$B$12+Resumo!$B$14)*CEILING(AI$3,1))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6" s="12" t="n">
        <f aca="false">(W16+AJ$4*(Resumo!$C$6+Resumo!$C$7+Resumo!$C$8)+Resumo!$C$10*CEILING(AJ$3/100,1)+Resumo!$C$9+Resumo!$C$13+Resumo!$C$14*CEILING(AJ$3,1))*(1+Resumo!$C$11)-(AJ$4*(Resumo!$B$6+Resumo!$B$7)+Resumo!$B$9+Resumo!$B$10*CEILING(AJ$3/100,1)+(Resumo!$B$12+Resumo!$B$14)*CEILING(AJ$3,1))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6" s="12" t="n">
        <f aca="false">(X16+AK$4*(Resumo!$C$6+Resumo!$C$7+Resumo!$C$8)+Resumo!$C$10*CEILING(AK$3/100,1)+Resumo!$C$9+Resumo!$C$13+Resumo!$C$14*CEILING(AK$3,1))*(1+Resumo!$C$11)-(AK$4*(Resumo!$B$6+Resumo!$B$7)+Resumo!$B$9+Resumo!$B$10*CEILING(AK$3/100,1)+(Resumo!$B$12+Resumo!$B$14)*CEILING(AK$3,1))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6" s="12" t="n">
        <f aca="false">(Y16+AL$4*(Resumo!$C$6+Resumo!$C$7+Resumo!$C$8)+Resumo!$C$10*CEILING(AL$3/100,1)+Resumo!$C$9+Resumo!$C$13+Resumo!$C$14*CEILING(AL$3,1))*(1+Resumo!$C$11)-(AL$4*(Resumo!$B$6+Resumo!$B$7)+Resumo!$B$9+Resumo!$B$10*CEILING(AL$3/100,1)+(Resumo!$B$12+Resumo!$B$14)*CEILING(AL$3,1))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6" s="12" t="n">
        <f aca="false">(Z16+AM$4*(Resumo!$C$6+Resumo!$C$7+Resumo!$C$8)+Resumo!$C$10*CEILING(AM$3/100,1)+Resumo!$C$9+Resumo!$C$13+Resumo!$C$14*CEILING(AM$3,1))*(1+Resumo!$C$11)-(AM$4*(Resumo!$B$6+Resumo!$B$7)+Resumo!$B$9+Resumo!$B$10*CEILING(AM$3/100,1)+(Resumo!$B$12+Resumo!$B$14)*CEILING(AM$3,1))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6" s="12" t="n">
        <f aca="false">(AA16+AN$4*(Resumo!$C$6+Resumo!$C$7+Resumo!$C$8)+Resumo!$C$10*CEILING(AN$3/100,1)+Resumo!$C$9+Resumo!$C$13+Resumo!$C$14*CEILING(AN$3,1))*(1+Resumo!$C$11)-(AN$4*(Resumo!$B$6+Resumo!$B$7)+Resumo!$B$9+Resumo!$B$10*CEILING(AN$3/100,1)+(Resumo!$B$12+Resumo!$B$14)*CEILING(AN$3,1))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6" s="12" t="n">
        <f aca="false">(AB16+AO$4*(Resumo!$C$6+Resumo!$C$7+Resumo!$C$8)+Resumo!$C$10*CEILING(AO$3/100,1)+Resumo!$C$9+Resumo!$C$13+Resumo!$C$14*CEILING(AO$3,1))*(1+Resumo!$C$11)-(AO$4*(Resumo!$B$6+Resumo!$B$7)+Resumo!$B$9+Resumo!$B$10*CEILING(AO$3/100,1)+(Resumo!$B$12+Resumo!$B$14)*CEILING(AO$3,1))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6" s="12" t="n">
        <f aca="false">(AC16+AP$4*(Resumo!$C$6+Resumo!$C$7+Resumo!$C$8)+Resumo!$C$10*CEILING(AP$3/100,1)+Resumo!$C$9+Resumo!$C$13+Resumo!$C$14*CEILING(AP$3,1))*(1+Resumo!$C$11)-(AP$4*(Resumo!$B$6+Resumo!$B$7)+Resumo!$B$9+Resumo!$B$10*CEILING(AP$3/100,1)+(Resumo!$B$12+Resumo!$B$14)*CEILING(AP$3,1))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6" s="12" t="n">
        <f aca="false">(AD16+AQ$4*(Resumo!$C$6+Resumo!$C$7+Resumo!$C$8)+Resumo!$C$10*CEILING(AQ$3/100,1)+Resumo!$C$9+Resumo!$C$13+Resumo!$C$14*CEILING(AQ$3,1))*(1+Resumo!$C$11)-(AQ$4*(Resumo!$B$6+Resumo!$B$7)+Resumo!$B$9+Resumo!$B$10*CEILING(AQ$3/100,1)+(Resumo!$B$12+Resumo!$B$14)*CEILING(AQ$3,1))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6" s="12" t="n">
        <f aca="false">(AE16+AR$4*(Resumo!$C$6+Resumo!$C$7+Resumo!$C$8)+Resumo!$C$10*CEILING(AR$3/100,1)+Resumo!$C$9+Resumo!$C$13+Resumo!$C$14*CEILING(AR$3,1))*(1+Resumo!$C$11)-(AR$4*(Resumo!$B$6+Resumo!$B$7)+Resumo!$B$9+Resumo!$B$10*CEILING(AR$3/100,1)+(Resumo!$B$12+Resumo!$B$14)*CEILING(AR$3,1))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6" s="12" t="n">
        <f aca="false">(AF16+AS$4*(Resumo!$C$6+Resumo!$C$7+Resumo!$C$8)+Resumo!$C$10*CEILING(AS$3/100,1)+Resumo!$C$9+Resumo!$C$13+Resumo!$C$14*CEILING(AS$3,1))*(1+Resumo!$C$11)-(AS$4*(Resumo!$B$6+Resumo!$B$7)+Resumo!$B$9+Resumo!$B$10*CEILING(AS$3/100,1)+(Resumo!$B$12+Resumo!$B$14)*CEILING(AS$3,1))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6" s="12" t="n">
        <f aca="false">(AG16+AT$4*(Resumo!$C$6+Resumo!$C$7+Resumo!$C$8)+Resumo!$C$10*CEILING(AT$3/100,1)+Resumo!$C$9+Resumo!$C$13+Resumo!$C$14*CEILING(AT$3,1))*(1+Resumo!$C$11)-(AT$4*(Resumo!$B$6+Resumo!$B$7)+Resumo!$B$9+Resumo!$B$10*CEILING(AT$3/100,1)+(Resumo!$B$12+Resumo!$B$14)*CEILING(AT$3,1))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6" s="13" t="n">
        <f aca="false">1-AH16/H16</f>
        <v>0.0369255754729408</v>
      </c>
      <c r="AV16" s="13" t="n">
        <f aca="false">1-AI16/I16</f>
        <v>0.269125502148147</v>
      </c>
      <c r="AW16" s="13" t="n">
        <f aca="false">1-AJ16/J16</f>
        <v>0.283617813795343</v>
      </c>
      <c r="AX16" s="13" t="n">
        <f aca="false">1-AK16/K16</f>
        <v>0.262603771912965</v>
      </c>
      <c r="AY16" s="13" t="n">
        <f aca="false">1-AL16/L16</f>
        <v>0.295509753304679</v>
      </c>
      <c r="AZ16" s="13" t="n">
        <f aca="false">1-AM16/M16</f>
        <v>0.356580385019663</v>
      </c>
      <c r="BA16" s="13" t="n">
        <f aca="false">1-AN16/N16</f>
        <v>0.281825287936108</v>
      </c>
      <c r="BB16" s="13" t="n">
        <f aca="false">1-AO16/O16</f>
        <v>0.357614394185216</v>
      </c>
      <c r="BC16" s="13" t="n">
        <f aca="false">1-AP16/P16</f>
        <v>0.439534233417314</v>
      </c>
      <c r="BD16" s="13" t="n">
        <f aca="false">1-AQ16/Q16</f>
        <v>0.421245083015122</v>
      </c>
      <c r="BE16" s="13" t="n">
        <f aca="false">1-AR16/R16</f>
        <v>0.456574396768593</v>
      </c>
      <c r="BF16" s="13" t="n">
        <f aca="false">1-AS16/S16</f>
        <v>0.809086583345882</v>
      </c>
      <c r="BG16" s="13" t="n">
        <f aca="false">1-AT16/T16</f>
        <v>0.49831506565474</v>
      </c>
    </row>
    <row r="17" customFormat="false" ht="15" hidden="false" customHeight="false" outlineLevel="0" collapsed="false">
      <c r="A17" s="4" t="s">
        <v>215</v>
      </c>
      <c r="B17" s="4" t="s">
        <v>171</v>
      </c>
      <c r="C17" s="36" t="n">
        <v>24900000</v>
      </c>
      <c r="D17" s="36" t="n">
        <v>24999999</v>
      </c>
      <c r="E17" s="4" t="s">
        <v>198</v>
      </c>
      <c r="F17" s="4" t="s">
        <v>224</v>
      </c>
      <c r="G17" s="4" t="n">
        <f aca="false">COUNTIFS(Pedidos!$E$2:$E$2224,"&gt;="&amp;C17,Pedidos!$E$2:$E$2224,"&lt;="&amp;D17)</f>
        <v>32</v>
      </c>
      <c r="H17" s="7" t="n">
        <v>57.47</v>
      </c>
      <c r="I17" s="7" t="n">
        <v>100.58</v>
      </c>
      <c r="J17" s="7" t="n">
        <v>114.95</v>
      </c>
      <c r="K17" s="7" t="n">
        <v>114.95</v>
      </c>
      <c r="L17" s="7" t="n">
        <v>128.14</v>
      </c>
      <c r="M17" s="7" t="n">
        <v>149.5</v>
      </c>
      <c r="N17" s="7" t="n">
        <v>142.74</v>
      </c>
      <c r="O17" s="7" t="n">
        <v>178.42</v>
      </c>
      <c r="P17" s="7" t="n">
        <v>214.11</v>
      </c>
      <c r="Q17" s="7" t="n">
        <v>249.03</v>
      </c>
      <c r="R17" s="7" t="n">
        <v>282.23</v>
      </c>
      <c r="S17" s="7" t="n">
        <v>332.05</v>
      </c>
      <c r="T17" s="7" t="n">
        <v>415.05</v>
      </c>
      <c r="U17" s="7" t="n">
        <v>46.95</v>
      </c>
      <c r="V17" s="7" t="n">
        <v>65.63</v>
      </c>
      <c r="W17" s="7" t="n">
        <v>74.97</v>
      </c>
      <c r="X17" s="7" t="n">
        <v>77.7</v>
      </c>
      <c r="Y17" s="7" t="n">
        <v>83.58</v>
      </c>
      <c r="Z17" s="7" t="n">
        <v>90.2</v>
      </c>
      <c r="AA17" s="7" t="n">
        <v>96.77</v>
      </c>
      <c r="AB17" s="7" t="n">
        <v>109.63</v>
      </c>
      <c r="AC17" s="7" t="n">
        <v>119.5</v>
      </c>
      <c r="AD17" s="7" t="n">
        <v>144.24</v>
      </c>
      <c r="AE17" s="7" t="n">
        <v>155.09</v>
      </c>
      <c r="AF17" s="7" t="n">
        <v>66.69</v>
      </c>
      <c r="AG17" s="7" t="n">
        <v>214.88</v>
      </c>
      <c r="AH17" s="12" t="n">
        <f aca="false">(U17+AH$4*(Resumo!$C$6+Resumo!$C$7+Resumo!$C$8)+Resumo!$C$10*CEILING(AH$3/100,1)+Resumo!$C$9+Resumo!$C$13+Resumo!$C$14*CEILING(AH$3,1))*(1+Resumo!$C$11)-(AH$4*(Resumo!$B$6+Resumo!$B$7)+Resumo!$B$9+Resumo!$B$10*CEILING(AH$3/100,1)+(Resumo!$B$12+Resumo!$B$14)*CEILING(AH$3,1))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17" s="12" t="n">
        <f aca="false">(V17+AI$4*(Resumo!$C$6+Resumo!$C$7+Resumo!$C$8)+Resumo!$C$10*CEILING(AI$3/100,1)+Resumo!$C$9+Resumo!$C$13+Resumo!$C$14*CEILING(AI$3,1))*(1+Resumo!$C$11)-(AI$4*(Resumo!$B$6+Resumo!$B$7)+Resumo!$B$9+Resumo!$B$10*CEILING(AI$3/100,1)+(Resumo!$B$12+Resumo!$B$14)*CEILING(AI$3,1))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17" s="12" t="n">
        <f aca="false">(W17+AJ$4*(Resumo!$C$6+Resumo!$C$7+Resumo!$C$8)+Resumo!$C$10*CEILING(AJ$3/100,1)+Resumo!$C$9+Resumo!$C$13+Resumo!$C$14*CEILING(AJ$3,1))*(1+Resumo!$C$11)-(AJ$4*(Resumo!$B$6+Resumo!$B$7)+Resumo!$B$9+Resumo!$B$10*CEILING(AJ$3/100,1)+(Resumo!$B$12+Resumo!$B$14)*CEILING(AJ$3,1))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17" s="12" t="n">
        <f aca="false">(X17+AK$4*(Resumo!$C$6+Resumo!$C$7+Resumo!$C$8)+Resumo!$C$10*CEILING(AK$3/100,1)+Resumo!$C$9+Resumo!$C$13+Resumo!$C$14*CEILING(AK$3,1))*(1+Resumo!$C$11)-(AK$4*(Resumo!$B$6+Resumo!$B$7)+Resumo!$B$9+Resumo!$B$10*CEILING(AK$3/100,1)+(Resumo!$B$12+Resumo!$B$14)*CEILING(AK$3,1))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17" s="12" t="n">
        <f aca="false">(Y17+AL$4*(Resumo!$C$6+Resumo!$C$7+Resumo!$C$8)+Resumo!$C$10*CEILING(AL$3/100,1)+Resumo!$C$9+Resumo!$C$13+Resumo!$C$14*CEILING(AL$3,1))*(1+Resumo!$C$11)-(AL$4*(Resumo!$B$6+Resumo!$B$7)+Resumo!$B$9+Resumo!$B$10*CEILING(AL$3/100,1)+(Resumo!$B$12+Resumo!$B$14)*CEILING(AL$3,1))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17" s="12" t="n">
        <f aca="false">(Z17+AM$4*(Resumo!$C$6+Resumo!$C$7+Resumo!$C$8)+Resumo!$C$10*CEILING(AM$3/100,1)+Resumo!$C$9+Resumo!$C$13+Resumo!$C$14*CEILING(AM$3,1))*(1+Resumo!$C$11)-(AM$4*(Resumo!$B$6+Resumo!$B$7)+Resumo!$B$9+Resumo!$B$10*CEILING(AM$3/100,1)+(Resumo!$B$12+Resumo!$B$14)*CEILING(AM$3,1))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17" s="12" t="n">
        <f aca="false">(AA17+AN$4*(Resumo!$C$6+Resumo!$C$7+Resumo!$C$8)+Resumo!$C$10*CEILING(AN$3/100,1)+Resumo!$C$9+Resumo!$C$13+Resumo!$C$14*CEILING(AN$3,1))*(1+Resumo!$C$11)-(AN$4*(Resumo!$B$6+Resumo!$B$7)+Resumo!$B$9+Resumo!$B$10*CEILING(AN$3/100,1)+(Resumo!$B$12+Resumo!$B$14)*CEILING(AN$3,1))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17" s="12" t="n">
        <f aca="false">(AB17+AO$4*(Resumo!$C$6+Resumo!$C$7+Resumo!$C$8)+Resumo!$C$10*CEILING(AO$3/100,1)+Resumo!$C$9+Resumo!$C$13+Resumo!$C$14*CEILING(AO$3,1))*(1+Resumo!$C$11)-(AO$4*(Resumo!$B$6+Resumo!$B$7)+Resumo!$B$9+Resumo!$B$10*CEILING(AO$3/100,1)+(Resumo!$B$12+Resumo!$B$14)*CEILING(AO$3,1))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17" s="12" t="n">
        <f aca="false">(AC17+AP$4*(Resumo!$C$6+Resumo!$C$7+Resumo!$C$8)+Resumo!$C$10*CEILING(AP$3/100,1)+Resumo!$C$9+Resumo!$C$13+Resumo!$C$14*CEILING(AP$3,1))*(1+Resumo!$C$11)-(AP$4*(Resumo!$B$6+Resumo!$B$7)+Resumo!$B$9+Resumo!$B$10*CEILING(AP$3/100,1)+(Resumo!$B$12+Resumo!$B$14)*CEILING(AP$3,1))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17" s="12" t="n">
        <f aca="false">(AD17+AQ$4*(Resumo!$C$6+Resumo!$C$7+Resumo!$C$8)+Resumo!$C$10*CEILING(AQ$3/100,1)+Resumo!$C$9+Resumo!$C$13+Resumo!$C$14*CEILING(AQ$3,1))*(1+Resumo!$C$11)-(AQ$4*(Resumo!$B$6+Resumo!$B$7)+Resumo!$B$9+Resumo!$B$10*CEILING(AQ$3/100,1)+(Resumo!$B$12+Resumo!$B$14)*CEILING(AQ$3,1))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17" s="12" t="n">
        <f aca="false">(AE17+AR$4*(Resumo!$C$6+Resumo!$C$7+Resumo!$C$8)+Resumo!$C$10*CEILING(AR$3/100,1)+Resumo!$C$9+Resumo!$C$13+Resumo!$C$14*CEILING(AR$3,1))*(1+Resumo!$C$11)-(AR$4*(Resumo!$B$6+Resumo!$B$7)+Resumo!$B$9+Resumo!$B$10*CEILING(AR$3/100,1)+(Resumo!$B$12+Resumo!$B$14)*CEILING(AR$3,1))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17" s="12" t="n">
        <f aca="false">(AF17+AS$4*(Resumo!$C$6+Resumo!$C$7+Resumo!$C$8)+Resumo!$C$10*CEILING(AS$3/100,1)+Resumo!$C$9+Resumo!$C$13+Resumo!$C$14*CEILING(AS$3,1))*(1+Resumo!$C$11)-(AS$4*(Resumo!$B$6+Resumo!$B$7)+Resumo!$B$9+Resumo!$B$10*CEILING(AS$3/100,1)+(Resumo!$B$12+Resumo!$B$14)*CEILING(AS$3,1))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17" s="12" t="n">
        <f aca="false">(AG17+AT$4*(Resumo!$C$6+Resumo!$C$7+Resumo!$C$8)+Resumo!$C$10*CEILING(AT$3/100,1)+Resumo!$C$9+Resumo!$C$13+Resumo!$C$14*CEILING(AT$3,1))*(1+Resumo!$C$11)-(AT$4*(Resumo!$B$6+Resumo!$B$7)+Resumo!$B$9+Resumo!$B$10*CEILING(AT$3/100,1)+(Resumo!$B$12+Resumo!$B$14)*CEILING(AT$3,1))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17" s="13" t="n">
        <f aca="false">1-AH17/H17</f>
        <v>0.0369255754729408</v>
      </c>
      <c r="AV17" s="13" t="n">
        <f aca="false">1-AI17/I17</f>
        <v>0.269125502148147</v>
      </c>
      <c r="AW17" s="13" t="n">
        <f aca="false">1-AJ17/J17</f>
        <v>0.283617813795343</v>
      </c>
      <c r="AX17" s="13" t="n">
        <f aca="false">1-AK17/K17</f>
        <v>0.262603771912965</v>
      </c>
      <c r="AY17" s="13" t="n">
        <f aca="false">1-AL17/L17</f>
        <v>0.295509753304679</v>
      </c>
      <c r="AZ17" s="13" t="n">
        <f aca="false">1-AM17/M17</f>
        <v>0.356580385019663</v>
      </c>
      <c r="BA17" s="13" t="n">
        <f aca="false">1-AN17/N17</f>
        <v>0.281825287936108</v>
      </c>
      <c r="BB17" s="13" t="n">
        <f aca="false">1-AO17/O17</f>
        <v>0.357614394185216</v>
      </c>
      <c r="BC17" s="13" t="n">
        <f aca="false">1-AP17/P17</f>
        <v>0.439534233417314</v>
      </c>
      <c r="BD17" s="13" t="n">
        <f aca="false">1-AQ17/Q17</f>
        <v>0.421245083015122</v>
      </c>
      <c r="BE17" s="13" t="n">
        <f aca="false">1-AR17/R17</f>
        <v>0.456574396768593</v>
      </c>
      <c r="BF17" s="13" t="n">
        <f aca="false">1-AS17/S17</f>
        <v>0.809086583345882</v>
      </c>
      <c r="BG17" s="13" t="n">
        <f aca="false">1-AT17/T17</f>
        <v>0.49831506565474</v>
      </c>
    </row>
    <row r="18" customFormat="false" ht="15" hidden="false" customHeight="false" outlineLevel="0" collapsed="false">
      <c r="A18" s="4" t="s">
        <v>215</v>
      </c>
      <c r="B18" s="4" t="s">
        <v>161</v>
      </c>
      <c r="C18" s="36" t="n">
        <v>25000000</v>
      </c>
      <c r="D18" s="36" t="n">
        <v>25499999</v>
      </c>
      <c r="E18" s="4" t="s">
        <v>197</v>
      </c>
      <c r="F18" s="4" t="s">
        <v>216</v>
      </c>
      <c r="G18" s="4" t="n">
        <f aca="false">COUNTIFS(Pedidos!$E$2:$E$2224,"&gt;="&amp;C18,Pedidos!$E$2:$E$2224,"&lt;="&amp;D18)</f>
        <v>106</v>
      </c>
      <c r="H18" s="7" t="n">
        <v>46.98</v>
      </c>
      <c r="I18" s="7" t="n">
        <v>82.21</v>
      </c>
      <c r="J18" s="7" t="n">
        <v>93.97</v>
      </c>
      <c r="K18" s="7" t="n">
        <v>93.97</v>
      </c>
      <c r="L18" s="7" t="n">
        <v>112.3</v>
      </c>
      <c r="M18" s="7" t="n">
        <v>131.02</v>
      </c>
      <c r="N18" s="7" t="n">
        <v>134.39</v>
      </c>
      <c r="O18" s="7" t="n">
        <v>167.99</v>
      </c>
      <c r="P18" s="7" t="n">
        <v>201.59</v>
      </c>
      <c r="Q18" s="7" t="n">
        <v>239.25</v>
      </c>
      <c r="R18" s="7" t="n">
        <v>271.15</v>
      </c>
      <c r="S18" s="7" t="n">
        <v>319</v>
      </c>
      <c r="T18" s="7" t="n">
        <v>398.74</v>
      </c>
      <c r="U18" s="7" t="n">
        <v>42.72</v>
      </c>
      <c r="V18" s="7" t="n">
        <v>58.8</v>
      </c>
      <c r="W18" s="7" t="n">
        <v>66.83</v>
      </c>
      <c r="X18" s="7" t="n">
        <v>65.36</v>
      </c>
      <c r="Y18" s="7" t="n">
        <v>70.98</v>
      </c>
      <c r="Z18" s="7" t="n">
        <v>76.55</v>
      </c>
      <c r="AA18" s="7" t="n">
        <v>82.48</v>
      </c>
      <c r="AB18" s="7" t="n">
        <v>92.32</v>
      </c>
      <c r="AC18" s="7" t="n">
        <v>101.26</v>
      </c>
      <c r="AD18" s="7" t="n">
        <v>129.62</v>
      </c>
      <c r="AE18" s="7" t="n">
        <v>139.81</v>
      </c>
      <c r="AF18" s="7" t="n">
        <v>155.09</v>
      </c>
      <c r="AG18" s="7" t="n">
        <v>194.34</v>
      </c>
      <c r="AH18" s="12" t="n">
        <f aca="false">(U18+AH$4*(Resumo!$C$6+Resumo!$C$7+Resumo!$C$8)+Resumo!$C$10*CEILING(AH$3/100,1)+Resumo!$C$9+Resumo!$C$13+Resumo!$C$14*CEILING(AH$3,1))*(1+Resumo!$C$11)-(AH$4*(Resumo!$B$6+Resumo!$B$7)+Resumo!$B$9+Resumo!$B$10*CEILING(AH$3/100,1)+(Resumo!$B$12+Resumo!$B$14)*CEILING(AH$3,1))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18" s="12" t="n">
        <f aca="false">(V18+AI$4*(Resumo!$C$6+Resumo!$C$7+Resumo!$C$8)+Resumo!$C$10*CEILING(AI$3/100,1)+Resumo!$C$9+Resumo!$C$13+Resumo!$C$14*CEILING(AI$3,1))*(1+Resumo!$C$11)-(AI$4*(Resumo!$B$6+Resumo!$B$7)+Resumo!$B$9+Resumo!$B$10*CEILING(AI$3/100,1)+(Resumo!$B$12+Resumo!$B$14)*CEILING(AI$3,1))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18" s="12" t="n">
        <f aca="false">(W18+AJ$4*(Resumo!$C$6+Resumo!$C$7+Resumo!$C$8)+Resumo!$C$10*CEILING(AJ$3/100,1)+Resumo!$C$9+Resumo!$C$13+Resumo!$C$14*CEILING(AJ$3,1))*(1+Resumo!$C$11)-(AJ$4*(Resumo!$B$6+Resumo!$B$7)+Resumo!$B$9+Resumo!$B$10*CEILING(AJ$3/100,1)+(Resumo!$B$12+Resumo!$B$14)*CEILING(AJ$3,1))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18" s="12" t="n">
        <f aca="false">(X18+AK$4*(Resumo!$C$6+Resumo!$C$7+Resumo!$C$8)+Resumo!$C$10*CEILING(AK$3/100,1)+Resumo!$C$9+Resumo!$C$13+Resumo!$C$14*CEILING(AK$3,1))*(1+Resumo!$C$11)-(AK$4*(Resumo!$B$6+Resumo!$B$7)+Resumo!$B$9+Resumo!$B$10*CEILING(AK$3/100,1)+(Resumo!$B$12+Resumo!$B$14)*CEILING(AK$3,1))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18" s="12" t="n">
        <f aca="false">(Y18+AL$4*(Resumo!$C$6+Resumo!$C$7+Resumo!$C$8)+Resumo!$C$10*CEILING(AL$3/100,1)+Resumo!$C$9+Resumo!$C$13+Resumo!$C$14*CEILING(AL$3,1))*(1+Resumo!$C$11)-(AL$4*(Resumo!$B$6+Resumo!$B$7)+Resumo!$B$9+Resumo!$B$10*CEILING(AL$3/100,1)+(Resumo!$B$12+Resumo!$B$14)*CEILING(AL$3,1))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18" s="12" t="n">
        <f aca="false">(Z18+AM$4*(Resumo!$C$6+Resumo!$C$7+Resumo!$C$8)+Resumo!$C$10*CEILING(AM$3/100,1)+Resumo!$C$9+Resumo!$C$13+Resumo!$C$14*CEILING(AM$3,1))*(1+Resumo!$C$11)-(AM$4*(Resumo!$B$6+Resumo!$B$7)+Resumo!$B$9+Resumo!$B$10*CEILING(AM$3/100,1)+(Resumo!$B$12+Resumo!$B$14)*CEILING(AM$3,1))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18" s="12" t="n">
        <f aca="false">(AA18+AN$4*(Resumo!$C$6+Resumo!$C$7+Resumo!$C$8)+Resumo!$C$10*CEILING(AN$3/100,1)+Resumo!$C$9+Resumo!$C$13+Resumo!$C$14*CEILING(AN$3,1))*(1+Resumo!$C$11)-(AN$4*(Resumo!$B$6+Resumo!$B$7)+Resumo!$B$9+Resumo!$B$10*CEILING(AN$3/100,1)+(Resumo!$B$12+Resumo!$B$14)*CEILING(AN$3,1))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18" s="12" t="n">
        <f aca="false">(AB18+AO$4*(Resumo!$C$6+Resumo!$C$7+Resumo!$C$8)+Resumo!$C$10*CEILING(AO$3/100,1)+Resumo!$C$9+Resumo!$C$13+Resumo!$C$14*CEILING(AO$3,1))*(1+Resumo!$C$11)-(AO$4*(Resumo!$B$6+Resumo!$B$7)+Resumo!$B$9+Resumo!$B$10*CEILING(AO$3/100,1)+(Resumo!$B$12+Resumo!$B$14)*CEILING(AO$3,1))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18" s="12" t="n">
        <f aca="false">(AC18+AP$4*(Resumo!$C$6+Resumo!$C$7+Resumo!$C$8)+Resumo!$C$10*CEILING(AP$3/100,1)+Resumo!$C$9+Resumo!$C$13+Resumo!$C$14*CEILING(AP$3,1))*(1+Resumo!$C$11)-(AP$4*(Resumo!$B$6+Resumo!$B$7)+Resumo!$B$9+Resumo!$B$10*CEILING(AP$3/100,1)+(Resumo!$B$12+Resumo!$B$14)*CEILING(AP$3,1))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18" s="12" t="n">
        <f aca="false">(AD18+AQ$4*(Resumo!$C$6+Resumo!$C$7+Resumo!$C$8)+Resumo!$C$10*CEILING(AQ$3/100,1)+Resumo!$C$9+Resumo!$C$13+Resumo!$C$14*CEILING(AQ$3,1))*(1+Resumo!$C$11)-(AQ$4*(Resumo!$B$6+Resumo!$B$7)+Resumo!$B$9+Resumo!$B$10*CEILING(AQ$3/100,1)+(Resumo!$B$12+Resumo!$B$14)*CEILING(AQ$3,1))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18" s="12" t="n">
        <f aca="false">(AE18+AR$4*(Resumo!$C$6+Resumo!$C$7+Resumo!$C$8)+Resumo!$C$10*CEILING(AR$3/100,1)+Resumo!$C$9+Resumo!$C$13+Resumo!$C$14*CEILING(AR$3,1))*(1+Resumo!$C$11)-(AR$4*(Resumo!$B$6+Resumo!$B$7)+Resumo!$B$9+Resumo!$B$10*CEILING(AR$3/100,1)+(Resumo!$B$12+Resumo!$B$14)*CEILING(AR$3,1))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18" s="12" t="n">
        <f aca="false">(AF18+AS$4*(Resumo!$C$6+Resumo!$C$7+Resumo!$C$8)+Resumo!$C$10*CEILING(AS$3/100,1)+Resumo!$C$9+Resumo!$C$13+Resumo!$C$14*CEILING(AS$3,1))*(1+Resumo!$C$11)-(AS$4*(Resumo!$B$6+Resumo!$B$7)+Resumo!$B$9+Resumo!$B$10*CEILING(AS$3/100,1)+(Resumo!$B$12+Resumo!$B$14)*CEILING(AS$3,1))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18" s="12" t="n">
        <f aca="false">(AG18+AT$4*(Resumo!$C$6+Resumo!$C$7+Resumo!$C$8)+Resumo!$C$10*CEILING(AT$3/100,1)+Resumo!$C$9+Resumo!$C$13+Resumo!$C$14*CEILING(AT$3,1))*(1+Resumo!$C$11)-(AT$4*(Resumo!$B$6+Resumo!$B$7)+Resumo!$B$9+Resumo!$B$10*CEILING(AT$3/100,1)+(Resumo!$B$12+Resumo!$B$14)*CEILING(AT$3,1))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18" s="13" t="n">
        <f aca="false">1-AH18/H18</f>
        <v>-0.0880776325578989</v>
      </c>
      <c r="AV18" s="13" t="n">
        <f aca="false">1-AI18/I18</f>
        <v>0.188889952634237</v>
      </c>
      <c r="AW18" s="13" t="n">
        <f aca="false">1-AJ18/J18</f>
        <v>0.210299752003561</v>
      </c>
      <c r="AX18" s="13" t="n">
        <f aca="false">1-AK18/K18</f>
        <v>0.229289172942379</v>
      </c>
      <c r="AY18" s="13" t="n">
        <f aca="false">1-AL18/L18</f>
        <v>0.30834033649565</v>
      </c>
      <c r="AZ18" s="13" t="n">
        <f aca="false">1-AM18/M18</f>
        <v>0.370010437799111</v>
      </c>
      <c r="BA18" s="13" t="n">
        <f aca="false">1-AN18/N18</f>
        <v>0.343535542823127</v>
      </c>
      <c r="BB18" s="13" t="n">
        <f aca="false">1-AO18/O18</f>
        <v>0.420772428183382</v>
      </c>
      <c r="BC18" s="13" t="n">
        <f aca="false">1-AP18/P18</f>
        <v>0.495206482052588</v>
      </c>
      <c r="BD18" s="13" t="n">
        <f aca="false">1-AQ18/Q18</f>
        <v>0.45869451629365</v>
      </c>
      <c r="BE18" s="13" t="n">
        <f aca="false">1-AR18/R18</f>
        <v>0.490720973630831</v>
      </c>
      <c r="BF18" s="13" t="n">
        <f aca="false">1-AS18/S18</f>
        <v>0.524160501567398</v>
      </c>
      <c r="BG18" s="13" t="n">
        <f aca="false">1-AT18/T18</f>
        <v>0.529306485429102</v>
      </c>
    </row>
    <row r="19" customFormat="false" ht="15" hidden="false" customHeight="false" outlineLevel="0" collapsed="false">
      <c r="A19" s="4" t="s">
        <v>215</v>
      </c>
      <c r="B19" s="4" t="s">
        <v>167</v>
      </c>
      <c r="C19" s="36" t="n">
        <v>25500000</v>
      </c>
      <c r="D19" s="36" t="n">
        <v>25599999</v>
      </c>
      <c r="E19" s="4" t="s">
        <v>197</v>
      </c>
      <c r="F19" s="4" t="s">
        <v>216</v>
      </c>
      <c r="G19" s="4" t="n">
        <f aca="false">COUNTIFS(Pedidos!$E$2:$E$2224,"&gt;="&amp;C19,Pedidos!$E$2:$E$2224,"&lt;="&amp;D19)</f>
        <v>37</v>
      </c>
      <c r="H19" s="7" t="n">
        <v>46.98</v>
      </c>
      <c r="I19" s="7" t="n">
        <v>82.21</v>
      </c>
      <c r="J19" s="7" t="n">
        <v>93.97</v>
      </c>
      <c r="K19" s="7" t="n">
        <v>93.97</v>
      </c>
      <c r="L19" s="7" t="n">
        <v>112.3</v>
      </c>
      <c r="M19" s="7" t="n">
        <v>131.02</v>
      </c>
      <c r="N19" s="7" t="n">
        <v>134.39</v>
      </c>
      <c r="O19" s="7" t="n">
        <v>167.99</v>
      </c>
      <c r="P19" s="7" t="n">
        <v>201.59</v>
      </c>
      <c r="Q19" s="7" t="n">
        <v>239.25</v>
      </c>
      <c r="R19" s="7" t="n">
        <v>271.15</v>
      </c>
      <c r="S19" s="7" t="n">
        <v>319</v>
      </c>
      <c r="T19" s="7" t="n">
        <v>398.74</v>
      </c>
      <c r="U19" s="7" t="n">
        <v>42.72</v>
      </c>
      <c r="V19" s="7" t="n">
        <v>58.8</v>
      </c>
      <c r="W19" s="7" t="n">
        <v>66.83</v>
      </c>
      <c r="X19" s="7" t="n">
        <v>65.36</v>
      </c>
      <c r="Y19" s="7" t="n">
        <v>70.98</v>
      </c>
      <c r="Z19" s="7" t="n">
        <v>76.55</v>
      </c>
      <c r="AA19" s="7" t="n">
        <v>82.48</v>
      </c>
      <c r="AB19" s="7" t="n">
        <v>92.32</v>
      </c>
      <c r="AC19" s="7" t="n">
        <v>101.26</v>
      </c>
      <c r="AD19" s="7" t="n">
        <v>129.62</v>
      </c>
      <c r="AE19" s="7" t="n">
        <v>139.81</v>
      </c>
      <c r="AF19" s="7" t="n">
        <v>155.09</v>
      </c>
      <c r="AG19" s="7" t="n">
        <v>194.34</v>
      </c>
      <c r="AH19" s="12" t="n">
        <f aca="false">(U19+AH$4*(Resumo!$C$6+Resumo!$C$7+Resumo!$C$8)+Resumo!$C$10*CEILING(AH$3/100,1)+Resumo!$C$9+Resumo!$C$13+Resumo!$C$14*CEILING(AH$3,1))*(1+Resumo!$C$11)-(AH$4*(Resumo!$B$6+Resumo!$B$7)+Resumo!$B$9+Resumo!$B$10*CEILING(AH$3/100,1)+(Resumo!$B$12+Resumo!$B$14)*CEILING(AH$3,1))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19" s="12" t="n">
        <f aca="false">(V19+AI$4*(Resumo!$C$6+Resumo!$C$7+Resumo!$C$8)+Resumo!$C$10*CEILING(AI$3/100,1)+Resumo!$C$9+Resumo!$C$13+Resumo!$C$14*CEILING(AI$3,1))*(1+Resumo!$C$11)-(AI$4*(Resumo!$B$6+Resumo!$B$7)+Resumo!$B$9+Resumo!$B$10*CEILING(AI$3/100,1)+(Resumo!$B$12+Resumo!$B$14)*CEILING(AI$3,1))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19" s="12" t="n">
        <f aca="false">(W19+AJ$4*(Resumo!$C$6+Resumo!$C$7+Resumo!$C$8)+Resumo!$C$10*CEILING(AJ$3/100,1)+Resumo!$C$9+Resumo!$C$13+Resumo!$C$14*CEILING(AJ$3,1))*(1+Resumo!$C$11)-(AJ$4*(Resumo!$B$6+Resumo!$B$7)+Resumo!$B$9+Resumo!$B$10*CEILING(AJ$3/100,1)+(Resumo!$B$12+Resumo!$B$14)*CEILING(AJ$3,1))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19" s="12" t="n">
        <f aca="false">(X19+AK$4*(Resumo!$C$6+Resumo!$C$7+Resumo!$C$8)+Resumo!$C$10*CEILING(AK$3/100,1)+Resumo!$C$9+Resumo!$C$13+Resumo!$C$14*CEILING(AK$3,1))*(1+Resumo!$C$11)-(AK$4*(Resumo!$B$6+Resumo!$B$7)+Resumo!$B$9+Resumo!$B$10*CEILING(AK$3/100,1)+(Resumo!$B$12+Resumo!$B$14)*CEILING(AK$3,1))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19" s="12" t="n">
        <f aca="false">(Y19+AL$4*(Resumo!$C$6+Resumo!$C$7+Resumo!$C$8)+Resumo!$C$10*CEILING(AL$3/100,1)+Resumo!$C$9+Resumo!$C$13+Resumo!$C$14*CEILING(AL$3,1))*(1+Resumo!$C$11)-(AL$4*(Resumo!$B$6+Resumo!$B$7)+Resumo!$B$9+Resumo!$B$10*CEILING(AL$3/100,1)+(Resumo!$B$12+Resumo!$B$14)*CEILING(AL$3,1))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19" s="12" t="n">
        <f aca="false">(Z19+AM$4*(Resumo!$C$6+Resumo!$C$7+Resumo!$C$8)+Resumo!$C$10*CEILING(AM$3/100,1)+Resumo!$C$9+Resumo!$C$13+Resumo!$C$14*CEILING(AM$3,1))*(1+Resumo!$C$11)-(AM$4*(Resumo!$B$6+Resumo!$B$7)+Resumo!$B$9+Resumo!$B$10*CEILING(AM$3/100,1)+(Resumo!$B$12+Resumo!$B$14)*CEILING(AM$3,1))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19" s="12" t="n">
        <f aca="false">(AA19+AN$4*(Resumo!$C$6+Resumo!$C$7+Resumo!$C$8)+Resumo!$C$10*CEILING(AN$3/100,1)+Resumo!$C$9+Resumo!$C$13+Resumo!$C$14*CEILING(AN$3,1))*(1+Resumo!$C$11)-(AN$4*(Resumo!$B$6+Resumo!$B$7)+Resumo!$B$9+Resumo!$B$10*CEILING(AN$3/100,1)+(Resumo!$B$12+Resumo!$B$14)*CEILING(AN$3,1))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19" s="12" t="n">
        <f aca="false">(AB19+AO$4*(Resumo!$C$6+Resumo!$C$7+Resumo!$C$8)+Resumo!$C$10*CEILING(AO$3/100,1)+Resumo!$C$9+Resumo!$C$13+Resumo!$C$14*CEILING(AO$3,1))*(1+Resumo!$C$11)-(AO$4*(Resumo!$B$6+Resumo!$B$7)+Resumo!$B$9+Resumo!$B$10*CEILING(AO$3/100,1)+(Resumo!$B$12+Resumo!$B$14)*CEILING(AO$3,1))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19" s="12" t="n">
        <f aca="false">(AC19+AP$4*(Resumo!$C$6+Resumo!$C$7+Resumo!$C$8)+Resumo!$C$10*CEILING(AP$3/100,1)+Resumo!$C$9+Resumo!$C$13+Resumo!$C$14*CEILING(AP$3,1))*(1+Resumo!$C$11)-(AP$4*(Resumo!$B$6+Resumo!$B$7)+Resumo!$B$9+Resumo!$B$10*CEILING(AP$3/100,1)+(Resumo!$B$12+Resumo!$B$14)*CEILING(AP$3,1))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19" s="12" t="n">
        <f aca="false">(AD19+AQ$4*(Resumo!$C$6+Resumo!$C$7+Resumo!$C$8)+Resumo!$C$10*CEILING(AQ$3/100,1)+Resumo!$C$9+Resumo!$C$13+Resumo!$C$14*CEILING(AQ$3,1))*(1+Resumo!$C$11)-(AQ$4*(Resumo!$B$6+Resumo!$B$7)+Resumo!$B$9+Resumo!$B$10*CEILING(AQ$3/100,1)+(Resumo!$B$12+Resumo!$B$14)*CEILING(AQ$3,1))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19" s="12" t="n">
        <f aca="false">(AE19+AR$4*(Resumo!$C$6+Resumo!$C$7+Resumo!$C$8)+Resumo!$C$10*CEILING(AR$3/100,1)+Resumo!$C$9+Resumo!$C$13+Resumo!$C$14*CEILING(AR$3,1))*(1+Resumo!$C$11)-(AR$4*(Resumo!$B$6+Resumo!$B$7)+Resumo!$B$9+Resumo!$B$10*CEILING(AR$3/100,1)+(Resumo!$B$12+Resumo!$B$14)*CEILING(AR$3,1))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19" s="12" t="n">
        <f aca="false">(AF19+AS$4*(Resumo!$C$6+Resumo!$C$7+Resumo!$C$8)+Resumo!$C$10*CEILING(AS$3/100,1)+Resumo!$C$9+Resumo!$C$13+Resumo!$C$14*CEILING(AS$3,1))*(1+Resumo!$C$11)-(AS$4*(Resumo!$B$6+Resumo!$B$7)+Resumo!$B$9+Resumo!$B$10*CEILING(AS$3/100,1)+(Resumo!$B$12+Resumo!$B$14)*CEILING(AS$3,1))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19" s="12" t="n">
        <f aca="false">(AG19+AT$4*(Resumo!$C$6+Resumo!$C$7+Resumo!$C$8)+Resumo!$C$10*CEILING(AT$3/100,1)+Resumo!$C$9+Resumo!$C$13+Resumo!$C$14*CEILING(AT$3,1))*(1+Resumo!$C$11)-(AT$4*(Resumo!$B$6+Resumo!$B$7)+Resumo!$B$9+Resumo!$B$10*CEILING(AT$3/100,1)+(Resumo!$B$12+Resumo!$B$14)*CEILING(AT$3,1))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19" s="13" t="n">
        <f aca="false">1-AH19/H19</f>
        <v>-0.0880776325578989</v>
      </c>
      <c r="AV19" s="13" t="n">
        <f aca="false">1-AI19/I19</f>
        <v>0.188889952634237</v>
      </c>
      <c r="AW19" s="13" t="n">
        <f aca="false">1-AJ19/J19</f>
        <v>0.210299752003561</v>
      </c>
      <c r="AX19" s="13" t="n">
        <f aca="false">1-AK19/K19</f>
        <v>0.229289172942379</v>
      </c>
      <c r="AY19" s="13" t="n">
        <f aca="false">1-AL19/L19</f>
        <v>0.30834033649565</v>
      </c>
      <c r="AZ19" s="13" t="n">
        <f aca="false">1-AM19/M19</f>
        <v>0.370010437799111</v>
      </c>
      <c r="BA19" s="13" t="n">
        <f aca="false">1-AN19/N19</f>
        <v>0.343535542823127</v>
      </c>
      <c r="BB19" s="13" t="n">
        <f aca="false">1-AO19/O19</f>
        <v>0.420772428183382</v>
      </c>
      <c r="BC19" s="13" t="n">
        <f aca="false">1-AP19/P19</f>
        <v>0.495206482052588</v>
      </c>
      <c r="BD19" s="13" t="n">
        <f aca="false">1-AQ19/Q19</f>
        <v>0.45869451629365</v>
      </c>
      <c r="BE19" s="13" t="n">
        <f aca="false">1-AR19/R19</f>
        <v>0.490720973630831</v>
      </c>
      <c r="BF19" s="13" t="n">
        <f aca="false">1-AS19/S19</f>
        <v>0.524160501567398</v>
      </c>
      <c r="BG19" s="13" t="n">
        <f aca="false">1-AT19/T19</f>
        <v>0.529306485429102</v>
      </c>
    </row>
    <row r="20" customFormat="false" ht="15" hidden="false" customHeight="false" outlineLevel="0" collapsed="false">
      <c r="A20" s="4" t="s">
        <v>215</v>
      </c>
      <c r="B20" s="4" t="s">
        <v>170</v>
      </c>
      <c r="C20" s="36" t="n">
        <v>25600000</v>
      </c>
      <c r="D20" s="36" t="n">
        <v>25779999</v>
      </c>
      <c r="E20" s="4" t="s">
        <v>198</v>
      </c>
      <c r="F20" s="4" t="s">
        <v>226</v>
      </c>
      <c r="G20" s="4" t="n">
        <f aca="false">COUNTIFS(Pedidos!$E$2:$E$2224,"&gt;="&amp;C20,Pedidos!$E$2:$E$2224,"&lt;="&amp;D20)</f>
        <v>32</v>
      </c>
      <c r="H20" s="7" t="n">
        <v>89.03</v>
      </c>
      <c r="I20" s="7" t="n">
        <v>108.83</v>
      </c>
      <c r="J20" s="7" t="n">
        <v>124.38</v>
      </c>
      <c r="K20" s="7" t="n">
        <v>124.38</v>
      </c>
      <c r="L20" s="7" t="n">
        <v>142.32</v>
      </c>
      <c r="M20" s="7" t="n">
        <v>166.05</v>
      </c>
      <c r="N20" s="7" t="n">
        <v>166.05</v>
      </c>
      <c r="O20" s="7" t="n">
        <v>197.35</v>
      </c>
      <c r="P20" s="7" t="n">
        <v>236.82</v>
      </c>
      <c r="Q20" s="7" t="n">
        <v>264.84</v>
      </c>
      <c r="R20" s="7" t="n">
        <v>300.15</v>
      </c>
      <c r="S20" s="7" t="n">
        <v>353.12</v>
      </c>
      <c r="T20" s="7" t="n">
        <v>441.4</v>
      </c>
      <c r="U20" s="7" t="n">
        <v>46.95</v>
      </c>
      <c r="V20" s="7" t="n">
        <v>65.63</v>
      </c>
      <c r="W20" s="7" t="n">
        <v>74.97</v>
      </c>
      <c r="X20" s="7" t="n">
        <v>77.7</v>
      </c>
      <c r="Y20" s="7" t="n">
        <v>83.58</v>
      </c>
      <c r="Z20" s="7" t="n">
        <v>90.2</v>
      </c>
      <c r="AA20" s="7" t="n">
        <v>96.77</v>
      </c>
      <c r="AB20" s="7" t="n">
        <v>109.63</v>
      </c>
      <c r="AC20" s="7" t="n">
        <v>119.5</v>
      </c>
      <c r="AD20" s="7" t="n">
        <v>144.24</v>
      </c>
      <c r="AE20" s="7" t="n">
        <v>155.09</v>
      </c>
      <c r="AF20" s="7" t="n">
        <v>66.69</v>
      </c>
      <c r="AG20" s="7" t="n">
        <v>214.88</v>
      </c>
      <c r="AH20" s="12" t="n">
        <f aca="false">(U20+AH$4*(Resumo!$C$6+Resumo!$C$7+Resumo!$C$8)+Resumo!$C$10*CEILING(AH$3/100,1)+Resumo!$C$9+Resumo!$C$13+Resumo!$C$14*CEILING(AH$3,1))*(1+Resumo!$C$11)-(AH$4*(Resumo!$B$6+Resumo!$B$7)+Resumo!$B$9+Resumo!$B$10*CEILING(AH$3/100,1)+(Resumo!$B$12+Resumo!$B$14)*CEILING(AH$3,1))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0" s="12" t="n">
        <f aca="false">(V20+AI$4*(Resumo!$C$6+Resumo!$C$7+Resumo!$C$8)+Resumo!$C$10*CEILING(AI$3/100,1)+Resumo!$C$9+Resumo!$C$13+Resumo!$C$14*CEILING(AI$3,1))*(1+Resumo!$C$11)-(AI$4*(Resumo!$B$6+Resumo!$B$7)+Resumo!$B$9+Resumo!$B$10*CEILING(AI$3/100,1)+(Resumo!$B$12+Resumo!$B$14)*CEILING(AI$3,1))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0" s="12" t="n">
        <f aca="false">(W20+AJ$4*(Resumo!$C$6+Resumo!$C$7+Resumo!$C$8)+Resumo!$C$10*CEILING(AJ$3/100,1)+Resumo!$C$9+Resumo!$C$13+Resumo!$C$14*CEILING(AJ$3,1))*(1+Resumo!$C$11)-(AJ$4*(Resumo!$B$6+Resumo!$B$7)+Resumo!$B$9+Resumo!$B$10*CEILING(AJ$3/100,1)+(Resumo!$B$12+Resumo!$B$14)*CEILING(AJ$3,1))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0" s="12" t="n">
        <f aca="false">(X20+AK$4*(Resumo!$C$6+Resumo!$C$7+Resumo!$C$8)+Resumo!$C$10*CEILING(AK$3/100,1)+Resumo!$C$9+Resumo!$C$13+Resumo!$C$14*CEILING(AK$3,1))*(1+Resumo!$C$11)-(AK$4*(Resumo!$B$6+Resumo!$B$7)+Resumo!$B$9+Resumo!$B$10*CEILING(AK$3/100,1)+(Resumo!$B$12+Resumo!$B$14)*CEILING(AK$3,1))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0" s="12" t="n">
        <f aca="false">(Y20+AL$4*(Resumo!$C$6+Resumo!$C$7+Resumo!$C$8)+Resumo!$C$10*CEILING(AL$3/100,1)+Resumo!$C$9+Resumo!$C$13+Resumo!$C$14*CEILING(AL$3,1))*(1+Resumo!$C$11)-(AL$4*(Resumo!$B$6+Resumo!$B$7)+Resumo!$B$9+Resumo!$B$10*CEILING(AL$3/100,1)+(Resumo!$B$12+Resumo!$B$14)*CEILING(AL$3,1))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0" s="12" t="n">
        <f aca="false">(Z20+AM$4*(Resumo!$C$6+Resumo!$C$7+Resumo!$C$8)+Resumo!$C$10*CEILING(AM$3/100,1)+Resumo!$C$9+Resumo!$C$13+Resumo!$C$14*CEILING(AM$3,1))*(1+Resumo!$C$11)-(AM$4*(Resumo!$B$6+Resumo!$B$7)+Resumo!$B$9+Resumo!$B$10*CEILING(AM$3/100,1)+(Resumo!$B$12+Resumo!$B$14)*CEILING(AM$3,1))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0" s="12" t="n">
        <f aca="false">(AA20+AN$4*(Resumo!$C$6+Resumo!$C$7+Resumo!$C$8)+Resumo!$C$10*CEILING(AN$3/100,1)+Resumo!$C$9+Resumo!$C$13+Resumo!$C$14*CEILING(AN$3,1))*(1+Resumo!$C$11)-(AN$4*(Resumo!$B$6+Resumo!$B$7)+Resumo!$B$9+Resumo!$B$10*CEILING(AN$3/100,1)+(Resumo!$B$12+Resumo!$B$14)*CEILING(AN$3,1))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0" s="12" t="n">
        <f aca="false">(AB20+AO$4*(Resumo!$C$6+Resumo!$C$7+Resumo!$C$8)+Resumo!$C$10*CEILING(AO$3/100,1)+Resumo!$C$9+Resumo!$C$13+Resumo!$C$14*CEILING(AO$3,1))*(1+Resumo!$C$11)-(AO$4*(Resumo!$B$6+Resumo!$B$7)+Resumo!$B$9+Resumo!$B$10*CEILING(AO$3/100,1)+(Resumo!$B$12+Resumo!$B$14)*CEILING(AO$3,1))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0" s="12" t="n">
        <f aca="false">(AC20+AP$4*(Resumo!$C$6+Resumo!$C$7+Resumo!$C$8)+Resumo!$C$10*CEILING(AP$3/100,1)+Resumo!$C$9+Resumo!$C$13+Resumo!$C$14*CEILING(AP$3,1))*(1+Resumo!$C$11)-(AP$4*(Resumo!$B$6+Resumo!$B$7)+Resumo!$B$9+Resumo!$B$10*CEILING(AP$3/100,1)+(Resumo!$B$12+Resumo!$B$14)*CEILING(AP$3,1))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0" s="12" t="n">
        <f aca="false">(AD20+AQ$4*(Resumo!$C$6+Resumo!$C$7+Resumo!$C$8)+Resumo!$C$10*CEILING(AQ$3/100,1)+Resumo!$C$9+Resumo!$C$13+Resumo!$C$14*CEILING(AQ$3,1))*(1+Resumo!$C$11)-(AQ$4*(Resumo!$B$6+Resumo!$B$7)+Resumo!$B$9+Resumo!$B$10*CEILING(AQ$3/100,1)+(Resumo!$B$12+Resumo!$B$14)*CEILING(AQ$3,1))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0" s="12" t="n">
        <f aca="false">(AE20+AR$4*(Resumo!$C$6+Resumo!$C$7+Resumo!$C$8)+Resumo!$C$10*CEILING(AR$3/100,1)+Resumo!$C$9+Resumo!$C$13+Resumo!$C$14*CEILING(AR$3,1))*(1+Resumo!$C$11)-(AR$4*(Resumo!$B$6+Resumo!$B$7)+Resumo!$B$9+Resumo!$B$10*CEILING(AR$3/100,1)+(Resumo!$B$12+Resumo!$B$14)*CEILING(AR$3,1))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0" s="12" t="n">
        <f aca="false">(AF20+AS$4*(Resumo!$C$6+Resumo!$C$7+Resumo!$C$8)+Resumo!$C$10*CEILING(AS$3/100,1)+Resumo!$C$9+Resumo!$C$13+Resumo!$C$14*CEILING(AS$3,1))*(1+Resumo!$C$11)-(AS$4*(Resumo!$B$6+Resumo!$B$7)+Resumo!$B$9+Resumo!$B$10*CEILING(AS$3/100,1)+(Resumo!$B$12+Resumo!$B$14)*CEILING(AS$3,1))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0" s="12" t="n">
        <f aca="false">(AG20+AT$4*(Resumo!$C$6+Resumo!$C$7+Resumo!$C$8)+Resumo!$C$10*CEILING(AT$3/100,1)+Resumo!$C$9+Resumo!$C$13+Resumo!$C$14*CEILING(AT$3,1))*(1+Resumo!$C$11)-(AT$4*(Resumo!$B$6+Resumo!$B$7)+Resumo!$B$9+Resumo!$B$10*CEILING(AT$3/100,1)+(Resumo!$B$12+Resumo!$B$14)*CEILING(AT$3,1))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0" s="13" t="n">
        <f aca="false">1-AH20/H20</f>
        <v>0.378323181202178</v>
      </c>
      <c r="AV20" s="13" t="n">
        <f aca="false">1-AI20/I20</f>
        <v>0.324530396086195</v>
      </c>
      <c r="AW20" s="13" t="n">
        <f aca="false">1-AJ20/J20</f>
        <v>0.337931079721616</v>
      </c>
      <c r="AX20" s="13" t="n">
        <f aca="false">1-AK20/K20</f>
        <v>0.318510239438779</v>
      </c>
      <c r="AY20" s="13" t="n">
        <f aca="false">1-AL20/L20</f>
        <v>0.365701375691832</v>
      </c>
      <c r="AZ20" s="13" t="n">
        <f aca="false">1-AM20/M20</f>
        <v>0.420709229511831</v>
      </c>
      <c r="BA20" s="13" t="n">
        <f aca="false">1-AN20/N20</f>
        <v>0.382642225835592</v>
      </c>
      <c r="BB20" s="13" t="n">
        <f aca="false">1-AO20/O20</f>
        <v>0.419232633445788</v>
      </c>
      <c r="BC20" s="13" t="n">
        <f aca="false">1-AP20/P20</f>
        <v>0.493280443868681</v>
      </c>
      <c r="BD20" s="13" t="n">
        <f aca="false">1-AQ20/Q20</f>
        <v>0.455794679894486</v>
      </c>
      <c r="BE20" s="13" t="n">
        <f aca="false">1-AR20/R20</f>
        <v>0.489018797268033</v>
      </c>
      <c r="BF20" s="13" t="n">
        <f aca="false">1-AS20/S20</f>
        <v>0.820478024467603</v>
      </c>
      <c r="BG20" s="13" t="n">
        <f aca="false">1-AT20/T20</f>
        <v>0.528263860444042</v>
      </c>
    </row>
    <row r="21" customFormat="false" ht="15" hidden="false" customHeight="false" outlineLevel="0" collapsed="false">
      <c r="A21" s="4" t="s">
        <v>215</v>
      </c>
      <c r="B21" s="4" t="s">
        <v>227</v>
      </c>
      <c r="C21" s="36" t="n">
        <v>25780000</v>
      </c>
      <c r="D21" s="36" t="n">
        <v>25799999</v>
      </c>
      <c r="E21" s="4" t="s">
        <v>198</v>
      </c>
      <c r="F21" s="4" t="s">
        <v>220</v>
      </c>
      <c r="G21" s="4" t="n">
        <f aca="false">COUNTIFS(Pedidos!$E$2:$E$2224,"&gt;="&amp;C21,Pedidos!$E$2:$E$2224,"&lt;="&amp;D21)</f>
        <v>1</v>
      </c>
      <c r="H21" s="7" t="n">
        <v>106.53</v>
      </c>
      <c r="I21" s="7" t="n">
        <v>120.78</v>
      </c>
      <c r="J21" s="7" t="n">
        <v>125.63</v>
      </c>
      <c r="K21" s="7" t="n">
        <v>135.03</v>
      </c>
      <c r="L21" s="7" t="n">
        <v>144.53</v>
      </c>
      <c r="M21" s="7" t="n">
        <v>166.05</v>
      </c>
      <c r="N21" s="7" t="n">
        <v>166.05</v>
      </c>
      <c r="O21" s="7" t="n">
        <v>197.35</v>
      </c>
      <c r="P21" s="7" t="n">
        <v>236.82</v>
      </c>
      <c r="Q21" s="7" t="n">
        <v>264.84</v>
      </c>
      <c r="R21" s="7" t="n">
        <v>300.15</v>
      </c>
      <c r="S21" s="7" t="n">
        <v>353.12</v>
      </c>
      <c r="T21" s="7" t="n">
        <v>441.4</v>
      </c>
      <c r="U21" s="7" t="n">
        <v>46.95</v>
      </c>
      <c r="V21" s="7" t="n">
        <v>65.63</v>
      </c>
      <c r="W21" s="7" t="n">
        <v>74.97</v>
      </c>
      <c r="X21" s="7" t="n">
        <v>77.7</v>
      </c>
      <c r="Y21" s="7" t="n">
        <v>83.58</v>
      </c>
      <c r="Z21" s="7" t="n">
        <v>90.2</v>
      </c>
      <c r="AA21" s="7" t="n">
        <v>96.77</v>
      </c>
      <c r="AB21" s="7" t="n">
        <v>109.63</v>
      </c>
      <c r="AC21" s="7" t="n">
        <v>119.5</v>
      </c>
      <c r="AD21" s="7" t="n">
        <v>144.24</v>
      </c>
      <c r="AE21" s="7" t="n">
        <v>155.09</v>
      </c>
      <c r="AF21" s="7" t="n">
        <v>66.69</v>
      </c>
      <c r="AG21" s="7" t="n">
        <v>214.88</v>
      </c>
      <c r="AH21" s="12" t="n">
        <f aca="false">(U21+AH$4*(Resumo!$C$6+Resumo!$C$7+Resumo!$C$8)+Resumo!$C$10*CEILING(AH$3/100,1)+Resumo!$C$9+Resumo!$C$13+Resumo!$C$14*CEILING(AH$3,1))*(1+Resumo!$C$11)-(AH$4*(Resumo!$B$6+Resumo!$B$7)+Resumo!$B$9+Resumo!$B$10*CEILING(AH$3/100,1)+(Resumo!$B$12+Resumo!$B$14)*CEILING(AH$3,1))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1" s="12" t="n">
        <f aca="false">(V21+AI$4*(Resumo!$C$6+Resumo!$C$7+Resumo!$C$8)+Resumo!$C$10*CEILING(AI$3/100,1)+Resumo!$C$9+Resumo!$C$13+Resumo!$C$14*CEILING(AI$3,1))*(1+Resumo!$C$11)-(AI$4*(Resumo!$B$6+Resumo!$B$7)+Resumo!$B$9+Resumo!$B$10*CEILING(AI$3/100,1)+(Resumo!$B$12+Resumo!$B$14)*CEILING(AI$3,1))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1" s="12" t="n">
        <f aca="false">(W21+AJ$4*(Resumo!$C$6+Resumo!$C$7+Resumo!$C$8)+Resumo!$C$10*CEILING(AJ$3/100,1)+Resumo!$C$9+Resumo!$C$13+Resumo!$C$14*CEILING(AJ$3,1))*(1+Resumo!$C$11)-(AJ$4*(Resumo!$B$6+Resumo!$B$7)+Resumo!$B$9+Resumo!$B$10*CEILING(AJ$3/100,1)+(Resumo!$B$12+Resumo!$B$14)*CEILING(AJ$3,1))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1" s="12" t="n">
        <f aca="false">(X21+AK$4*(Resumo!$C$6+Resumo!$C$7+Resumo!$C$8)+Resumo!$C$10*CEILING(AK$3/100,1)+Resumo!$C$9+Resumo!$C$13+Resumo!$C$14*CEILING(AK$3,1))*(1+Resumo!$C$11)-(AK$4*(Resumo!$B$6+Resumo!$B$7)+Resumo!$B$9+Resumo!$B$10*CEILING(AK$3/100,1)+(Resumo!$B$12+Resumo!$B$14)*CEILING(AK$3,1))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1" s="12" t="n">
        <f aca="false">(Y21+AL$4*(Resumo!$C$6+Resumo!$C$7+Resumo!$C$8)+Resumo!$C$10*CEILING(AL$3/100,1)+Resumo!$C$9+Resumo!$C$13+Resumo!$C$14*CEILING(AL$3,1))*(1+Resumo!$C$11)-(AL$4*(Resumo!$B$6+Resumo!$B$7)+Resumo!$B$9+Resumo!$B$10*CEILING(AL$3/100,1)+(Resumo!$B$12+Resumo!$B$14)*CEILING(AL$3,1))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1" s="12" t="n">
        <f aca="false">(Z21+AM$4*(Resumo!$C$6+Resumo!$C$7+Resumo!$C$8)+Resumo!$C$10*CEILING(AM$3/100,1)+Resumo!$C$9+Resumo!$C$13+Resumo!$C$14*CEILING(AM$3,1))*(1+Resumo!$C$11)-(AM$4*(Resumo!$B$6+Resumo!$B$7)+Resumo!$B$9+Resumo!$B$10*CEILING(AM$3/100,1)+(Resumo!$B$12+Resumo!$B$14)*CEILING(AM$3,1))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1" s="12" t="n">
        <f aca="false">(AA21+AN$4*(Resumo!$C$6+Resumo!$C$7+Resumo!$C$8)+Resumo!$C$10*CEILING(AN$3/100,1)+Resumo!$C$9+Resumo!$C$13+Resumo!$C$14*CEILING(AN$3,1))*(1+Resumo!$C$11)-(AN$4*(Resumo!$B$6+Resumo!$B$7)+Resumo!$B$9+Resumo!$B$10*CEILING(AN$3/100,1)+(Resumo!$B$12+Resumo!$B$14)*CEILING(AN$3,1))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1" s="12" t="n">
        <f aca="false">(AB21+AO$4*(Resumo!$C$6+Resumo!$C$7+Resumo!$C$8)+Resumo!$C$10*CEILING(AO$3/100,1)+Resumo!$C$9+Resumo!$C$13+Resumo!$C$14*CEILING(AO$3,1))*(1+Resumo!$C$11)-(AO$4*(Resumo!$B$6+Resumo!$B$7)+Resumo!$B$9+Resumo!$B$10*CEILING(AO$3/100,1)+(Resumo!$B$12+Resumo!$B$14)*CEILING(AO$3,1))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1" s="12" t="n">
        <f aca="false">(AC21+AP$4*(Resumo!$C$6+Resumo!$C$7+Resumo!$C$8)+Resumo!$C$10*CEILING(AP$3/100,1)+Resumo!$C$9+Resumo!$C$13+Resumo!$C$14*CEILING(AP$3,1))*(1+Resumo!$C$11)-(AP$4*(Resumo!$B$6+Resumo!$B$7)+Resumo!$B$9+Resumo!$B$10*CEILING(AP$3/100,1)+(Resumo!$B$12+Resumo!$B$14)*CEILING(AP$3,1))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1" s="12" t="n">
        <f aca="false">(AD21+AQ$4*(Resumo!$C$6+Resumo!$C$7+Resumo!$C$8)+Resumo!$C$10*CEILING(AQ$3/100,1)+Resumo!$C$9+Resumo!$C$13+Resumo!$C$14*CEILING(AQ$3,1))*(1+Resumo!$C$11)-(AQ$4*(Resumo!$B$6+Resumo!$B$7)+Resumo!$B$9+Resumo!$B$10*CEILING(AQ$3/100,1)+(Resumo!$B$12+Resumo!$B$14)*CEILING(AQ$3,1))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1" s="12" t="n">
        <f aca="false">(AE21+AR$4*(Resumo!$C$6+Resumo!$C$7+Resumo!$C$8)+Resumo!$C$10*CEILING(AR$3/100,1)+Resumo!$C$9+Resumo!$C$13+Resumo!$C$14*CEILING(AR$3,1))*(1+Resumo!$C$11)-(AR$4*(Resumo!$B$6+Resumo!$B$7)+Resumo!$B$9+Resumo!$B$10*CEILING(AR$3/100,1)+(Resumo!$B$12+Resumo!$B$14)*CEILING(AR$3,1))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1" s="12" t="n">
        <f aca="false">(AF21+AS$4*(Resumo!$C$6+Resumo!$C$7+Resumo!$C$8)+Resumo!$C$10*CEILING(AS$3/100,1)+Resumo!$C$9+Resumo!$C$13+Resumo!$C$14*CEILING(AS$3,1))*(1+Resumo!$C$11)-(AS$4*(Resumo!$B$6+Resumo!$B$7)+Resumo!$B$9+Resumo!$B$10*CEILING(AS$3/100,1)+(Resumo!$B$12+Resumo!$B$14)*CEILING(AS$3,1))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1" s="12" t="n">
        <f aca="false">(AG21+AT$4*(Resumo!$C$6+Resumo!$C$7+Resumo!$C$8)+Resumo!$C$10*CEILING(AT$3/100,1)+Resumo!$C$9+Resumo!$C$13+Resumo!$C$14*CEILING(AT$3,1))*(1+Resumo!$C$11)-(AT$4*(Resumo!$B$6+Resumo!$B$7)+Resumo!$B$9+Resumo!$B$10*CEILING(AT$3/100,1)+(Resumo!$B$12+Resumo!$B$14)*CEILING(AT$3,1))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1" s="13" t="n">
        <f aca="false">1-AH21/H21</f>
        <v>0.480447881558527</v>
      </c>
      <c r="AV21" s="13" t="n">
        <f aca="false">1-AI21/I21</f>
        <v>0.391361508578081</v>
      </c>
      <c r="AW21" s="13" t="n">
        <f aca="false">1-AJ21/J21</f>
        <v>0.34451856798356</v>
      </c>
      <c r="AX21" s="13" t="n">
        <f aca="false">1-AK21/K21</f>
        <v>0.372260264988487</v>
      </c>
      <c r="AY21" s="13" t="n">
        <f aca="false">1-AL21/L21</f>
        <v>0.375400399837138</v>
      </c>
      <c r="AZ21" s="13" t="n">
        <f aca="false">1-AM21/M21</f>
        <v>0.420709229511831</v>
      </c>
      <c r="BA21" s="13" t="n">
        <f aca="false">1-AN21/N21</f>
        <v>0.382642225835592</v>
      </c>
      <c r="BB21" s="13" t="n">
        <f aca="false">1-AO21/O21</f>
        <v>0.419232633445788</v>
      </c>
      <c r="BC21" s="13" t="n">
        <f aca="false">1-AP21/P21</f>
        <v>0.493280443868681</v>
      </c>
      <c r="BD21" s="13" t="n">
        <f aca="false">1-AQ21/Q21</f>
        <v>0.455794679894486</v>
      </c>
      <c r="BE21" s="13" t="n">
        <f aca="false">1-AR21/R21</f>
        <v>0.489018797268033</v>
      </c>
      <c r="BF21" s="13" t="n">
        <f aca="false">1-AS21/S21</f>
        <v>0.820478024467603</v>
      </c>
      <c r="BG21" s="13" t="n">
        <f aca="false">1-AT21/T21</f>
        <v>0.528263860444042</v>
      </c>
    </row>
    <row r="22" customFormat="false" ht="15" hidden="false" customHeight="false" outlineLevel="0" collapsed="false">
      <c r="A22" s="4" t="s">
        <v>215</v>
      </c>
      <c r="B22" s="4" t="s">
        <v>228</v>
      </c>
      <c r="C22" s="36" t="n">
        <v>25800000</v>
      </c>
      <c r="D22" s="36" t="n">
        <v>25844999</v>
      </c>
      <c r="E22" s="4" t="s">
        <v>198</v>
      </c>
      <c r="F22" s="4" t="s">
        <v>226</v>
      </c>
      <c r="G22" s="4" t="n">
        <f aca="false">COUNTIFS(Pedidos!$E$2:$E$2224,"&gt;="&amp;C22,Pedidos!$E$2:$E$2224,"&lt;="&amp;D22)</f>
        <v>10</v>
      </c>
      <c r="H22" s="7" t="n">
        <v>89.03</v>
      </c>
      <c r="I22" s="7" t="n">
        <v>108.83</v>
      </c>
      <c r="J22" s="7" t="n">
        <v>124.38</v>
      </c>
      <c r="K22" s="7" t="n">
        <v>124.38</v>
      </c>
      <c r="L22" s="7" t="n">
        <v>142.32</v>
      </c>
      <c r="M22" s="7" t="n">
        <v>166.05</v>
      </c>
      <c r="N22" s="7" t="n">
        <v>166.05</v>
      </c>
      <c r="O22" s="7" t="n">
        <v>197.35</v>
      </c>
      <c r="P22" s="7" t="n">
        <v>236.82</v>
      </c>
      <c r="Q22" s="7" t="n">
        <v>264.84</v>
      </c>
      <c r="R22" s="7" t="n">
        <v>300.15</v>
      </c>
      <c r="S22" s="7" t="n">
        <v>353.12</v>
      </c>
      <c r="T22" s="7" t="n">
        <v>441.4</v>
      </c>
      <c r="U22" s="7" t="n">
        <v>46.95</v>
      </c>
      <c r="V22" s="7" t="n">
        <v>65.63</v>
      </c>
      <c r="W22" s="7" t="n">
        <v>74.97</v>
      </c>
      <c r="X22" s="7" t="n">
        <v>77.7</v>
      </c>
      <c r="Y22" s="7" t="n">
        <v>83.58</v>
      </c>
      <c r="Z22" s="7" t="n">
        <v>90.2</v>
      </c>
      <c r="AA22" s="7" t="n">
        <v>96.77</v>
      </c>
      <c r="AB22" s="7" t="n">
        <v>109.63</v>
      </c>
      <c r="AC22" s="7" t="n">
        <v>119.5</v>
      </c>
      <c r="AD22" s="7" t="n">
        <v>144.24</v>
      </c>
      <c r="AE22" s="7" t="n">
        <v>155.09</v>
      </c>
      <c r="AF22" s="7" t="n">
        <v>66.69</v>
      </c>
      <c r="AG22" s="7" t="n">
        <v>214.88</v>
      </c>
      <c r="AH22" s="12" t="n">
        <f aca="false">(U22+AH$4*(Resumo!$C$6+Resumo!$C$7+Resumo!$C$8)+Resumo!$C$10*CEILING(AH$3/100,1)+Resumo!$C$9+Resumo!$C$13+Resumo!$C$14*CEILING(AH$3,1))*(1+Resumo!$C$11)-(AH$4*(Resumo!$B$6+Resumo!$B$7)+Resumo!$B$9+Resumo!$B$10*CEILING(AH$3/100,1)+(Resumo!$B$12+Resumo!$B$14)*CEILING(AH$3,1))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2" s="12" t="n">
        <f aca="false">(V22+AI$4*(Resumo!$C$6+Resumo!$C$7+Resumo!$C$8)+Resumo!$C$10*CEILING(AI$3/100,1)+Resumo!$C$9+Resumo!$C$13+Resumo!$C$14*CEILING(AI$3,1))*(1+Resumo!$C$11)-(AI$4*(Resumo!$B$6+Resumo!$B$7)+Resumo!$B$9+Resumo!$B$10*CEILING(AI$3/100,1)+(Resumo!$B$12+Resumo!$B$14)*CEILING(AI$3,1))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2" s="12" t="n">
        <f aca="false">(W22+AJ$4*(Resumo!$C$6+Resumo!$C$7+Resumo!$C$8)+Resumo!$C$10*CEILING(AJ$3/100,1)+Resumo!$C$9+Resumo!$C$13+Resumo!$C$14*CEILING(AJ$3,1))*(1+Resumo!$C$11)-(AJ$4*(Resumo!$B$6+Resumo!$B$7)+Resumo!$B$9+Resumo!$B$10*CEILING(AJ$3/100,1)+(Resumo!$B$12+Resumo!$B$14)*CEILING(AJ$3,1))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2" s="12" t="n">
        <f aca="false">(X22+AK$4*(Resumo!$C$6+Resumo!$C$7+Resumo!$C$8)+Resumo!$C$10*CEILING(AK$3/100,1)+Resumo!$C$9+Resumo!$C$13+Resumo!$C$14*CEILING(AK$3,1))*(1+Resumo!$C$11)-(AK$4*(Resumo!$B$6+Resumo!$B$7)+Resumo!$B$9+Resumo!$B$10*CEILING(AK$3/100,1)+(Resumo!$B$12+Resumo!$B$14)*CEILING(AK$3,1))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2" s="12" t="n">
        <f aca="false">(Y22+AL$4*(Resumo!$C$6+Resumo!$C$7+Resumo!$C$8)+Resumo!$C$10*CEILING(AL$3/100,1)+Resumo!$C$9+Resumo!$C$13+Resumo!$C$14*CEILING(AL$3,1))*(1+Resumo!$C$11)-(AL$4*(Resumo!$B$6+Resumo!$B$7)+Resumo!$B$9+Resumo!$B$10*CEILING(AL$3/100,1)+(Resumo!$B$12+Resumo!$B$14)*CEILING(AL$3,1))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2" s="12" t="n">
        <f aca="false">(Z22+AM$4*(Resumo!$C$6+Resumo!$C$7+Resumo!$C$8)+Resumo!$C$10*CEILING(AM$3/100,1)+Resumo!$C$9+Resumo!$C$13+Resumo!$C$14*CEILING(AM$3,1))*(1+Resumo!$C$11)-(AM$4*(Resumo!$B$6+Resumo!$B$7)+Resumo!$B$9+Resumo!$B$10*CEILING(AM$3/100,1)+(Resumo!$B$12+Resumo!$B$14)*CEILING(AM$3,1))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2" s="12" t="n">
        <f aca="false">(AA22+AN$4*(Resumo!$C$6+Resumo!$C$7+Resumo!$C$8)+Resumo!$C$10*CEILING(AN$3/100,1)+Resumo!$C$9+Resumo!$C$13+Resumo!$C$14*CEILING(AN$3,1))*(1+Resumo!$C$11)-(AN$4*(Resumo!$B$6+Resumo!$B$7)+Resumo!$B$9+Resumo!$B$10*CEILING(AN$3/100,1)+(Resumo!$B$12+Resumo!$B$14)*CEILING(AN$3,1))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2" s="12" t="n">
        <f aca="false">(AB22+AO$4*(Resumo!$C$6+Resumo!$C$7+Resumo!$C$8)+Resumo!$C$10*CEILING(AO$3/100,1)+Resumo!$C$9+Resumo!$C$13+Resumo!$C$14*CEILING(AO$3,1))*(1+Resumo!$C$11)-(AO$4*(Resumo!$B$6+Resumo!$B$7)+Resumo!$B$9+Resumo!$B$10*CEILING(AO$3/100,1)+(Resumo!$B$12+Resumo!$B$14)*CEILING(AO$3,1))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2" s="12" t="n">
        <f aca="false">(AC22+AP$4*(Resumo!$C$6+Resumo!$C$7+Resumo!$C$8)+Resumo!$C$10*CEILING(AP$3/100,1)+Resumo!$C$9+Resumo!$C$13+Resumo!$C$14*CEILING(AP$3,1))*(1+Resumo!$C$11)-(AP$4*(Resumo!$B$6+Resumo!$B$7)+Resumo!$B$9+Resumo!$B$10*CEILING(AP$3/100,1)+(Resumo!$B$12+Resumo!$B$14)*CEILING(AP$3,1))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2" s="12" t="n">
        <f aca="false">(AD22+AQ$4*(Resumo!$C$6+Resumo!$C$7+Resumo!$C$8)+Resumo!$C$10*CEILING(AQ$3/100,1)+Resumo!$C$9+Resumo!$C$13+Resumo!$C$14*CEILING(AQ$3,1))*(1+Resumo!$C$11)-(AQ$4*(Resumo!$B$6+Resumo!$B$7)+Resumo!$B$9+Resumo!$B$10*CEILING(AQ$3/100,1)+(Resumo!$B$12+Resumo!$B$14)*CEILING(AQ$3,1))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2" s="12" t="n">
        <f aca="false">(AE22+AR$4*(Resumo!$C$6+Resumo!$C$7+Resumo!$C$8)+Resumo!$C$10*CEILING(AR$3/100,1)+Resumo!$C$9+Resumo!$C$13+Resumo!$C$14*CEILING(AR$3,1))*(1+Resumo!$C$11)-(AR$4*(Resumo!$B$6+Resumo!$B$7)+Resumo!$B$9+Resumo!$B$10*CEILING(AR$3/100,1)+(Resumo!$B$12+Resumo!$B$14)*CEILING(AR$3,1))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2" s="12" t="n">
        <f aca="false">(AF22+AS$4*(Resumo!$C$6+Resumo!$C$7+Resumo!$C$8)+Resumo!$C$10*CEILING(AS$3/100,1)+Resumo!$C$9+Resumo!$C$13+Resumo!$C$14*CEILING(AS$3,1))*(1+Resumo!$C$11)-(AS$4*(Resumo!$B$6+Resumo!$B$7)+Resumo!$B$9+Resumo!$B$10*CEILING(AS$3/100,1)+(Resumo!$B$12+Resumo!$B$14)*CEILING(AS$3,1))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2" s="12" t="n">
        <f aca="false">(AG22+AT$4*(Resumo!$C$6+Resumo!$C$7+Resumo!$C$8)+Resumo!$C$10*CEILING(AT$3/100,1)+Resumo!$C$9+Resumo!$C$13+Resumo!$C$14*CEILING(AT$3,1))*(1+Resumo!$C$11)-(AT$4*(Resumo!$B$6+Resumo!$B$7)+Resumo!$B$9+Resumo!$B$10*CEILING(AT$3/100,1)+(Resumo!$B$12+Resumo!$B$14)*CEILING(AT$3,1))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2" s="13" t="n">
        <f aca="false">1-AH22/H22</f>
        <v>0.378323181202178</v>
      </c>
      <c r="AV22" s="13" t="n">
        <f aca="false">1-AI22/I22</f>
        <v>0.324530396086195</v>
      </c>
      <c r="AW22" s="13" t="n">
        <f aca="false">1-AJ22/J22</f>
        <v>0.337931079721616</v>
      </c>
      <c r="AX22" s="13" t="n">
        <f aca="false">1-AK22/K22</f>
        <v>0.318510239438779</v>
      </c>
      <c r="AY22" s="13" t="n">
        <f aca="false">1-AL22/L22</f>
        <v>0.365701375691832</v>
      </c>
      <c r="AZ22" s="13" t="n">
        <f aca="false">1-AM22/M22</f>
        <v>0.420709229511831</v>
      </c>
      <c r="BA22" s="13" t="n">
        <f aca="false">1-AN22/N22</f>
        <v>0.382642225835592</v>
      </c>
      <c r="BB22" s="13" t="n">
        <f aca="false">1-AO22/O22</f>
        <v>0.419232633445788</v>
      </c>
      <c r="BC22" s="13" t="n">
        <f aca="false">1-AP22/P22</f>
        <v>0.493280443868681</v>
      </c>
      <c r="BD22" s="13" t="n">
        <f aca="false">1-AQ22/Q22</f>
        <v>0.455794679894486</v>
      </c>
      <c r="BE22" s="13" t="n">
        <f aca="false">1-AR22/R22</f>
        <v>0.489018797268033</v>
      </c>
      <c r="BF22" s="13" t="n">
        <f aca="false">1-AS22/S22</f>
        <v>0.820478024467603</v>
      </c>
      <c r="BG22" s="13" t="n">
        <f aca="false">1-AT22/T22</f>
        <v>0.528263860444042</v>
      </c>
    </row>
    <row r="23" customFormat="false" ht="15" hidden="false" customHeight="false" outlineLevel="0" collapsed="false">
      <c r="A23" s="4" t="s">
        <v>215</v>
      </c>
      <c r="B23" s="4" t="s">
        <v>229</v>
      </c>
      <c r="C23" s="36" t="n">
        <v>25845000</v>
      </c>
      <c r="D23" s="36" t="n">
        <v>25849999</v>
      </c>
      <c r="E23" s="4" t="s">
        <v>198</v>
      </c>
      <c r="F23" s="4" t="s">
        <v>226</v>
      </c>
      <c r="G23" s="4" t="n">
        <f aca="false">COUNTIFS(Pedidos!$E$2:$E$2224,"&gt;="&amp;C23,Pedidos!$E$2:$E$2224,"&lt;="&amp;D23)</f>
        <v>3</v>
      </c>
      <c r="H23" s="7" t="n">
        <v>89.03</v>
      </c>
      <c r="I23" s="7" t="n">
        <v>108.83</v>
      </c>
      <c r="J23" s="7" t="n">
        <v>124.38</v>
      </c>
      <c r="K23" s="7" t="n">
        <v>124.38</v>
      </c>
      <c r="L23" s="7" t="n">
        <v>142.32</v>
      </c>
      <c r="M23" s="7" t="n">
        <v>166.05</v>
      </c>
      <c r="N23" s="7" t="n">
        <v>166.05</v>
      </c>
      <c r="O23" s="7" t="n">
        <v>197.35</v>
      </c>
      <c r="P23" s="7" t="n">
        <v>236.82</v>
      </c>
      <c r="Q23" s="7" t="n">
        <v>264.84</v>
      </c>
      <c r="R23" s="7" t="n">
        <v>300.15</v>
      </c>
      <c r="S23" s="7" t="n">
        <v>353.12</v>
      </c>
      <c r="T23" s="7" t="n">
        <v>441.4</v>
      </c>
      <c r="U23" s="7" t="n">
        <v>46.95</v>
      </c>
      <c r="V23" s="7" t="n">
        <v>65.63</v>
      </c>
      <c r="W23" s="7" t="n">
        <v>74.97</v>
      </c>
      <c r="X23" s="7" t="n">
        <v>77.7</v>
      </c>
      <c r="Y23" s="7" t="n">
        <v>83.58</v>
      </c>
      <c r="Z23" s="7" t="n">
        <v>90.2</v>
      </c>
      <c r="AA23" s="7" t="n">
        <v>96.77</v>
      </c>
      <c r="AB23" s="7" t="n">
        <v>109.63</v>
      </c>
      <c r="AC23" s="7" t="n">
        <v>119.5</v>
      </c>
      <c r="AD23" s="7" t="n">
        <v>144.24</v>
      </c>
      <c r="AE23" s="7" t="n">
        <v>155.09</v>
      </c>
      <c r="AF23" s="7" t="n">
        <v>66.69</v>
      </c>
      <c r="AG23" s="7" t="n">
        <v>214.88</v>
      </c>
      <c r="AH23" s="12" t="n">
        <f aca="false">(U23+AH$4*(Resumo!$C$6+Resumo!$C$7+Resumo!$C$8)+Resumo!$C$10*CEILING(AH$3/100,1)+Resumo!$C$9+Resumo!$C$13+Resumo!$C$14*CEILING(AH$3,1))*(1+Resumo!$C$11)-(AH$4*(Resumo!$B$6+Resumo!$B$7)+Resumo!$B$9+Resumo!$B$10*CEILING(AH$3/100,1)+(Resumo!$B$12+Resumo!$B$14)*CEILING(AH$3,1))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3" s="12" t="n">
        <f aca="false">(V23+AI$4*(Resumo!$C$6+Resumo!$C$7+Resumo!$C$8)+Resumo!$C$10*CEILING(AI$3/100,1)+Resumo!$C$9+Resumo!$C$13+Resumo!$C$14*CEILING(AI$3,1))*(1+Resumo!$C$11)-(AI$4*(Resumo!$B$6+Resumo!$B$7)+Resumo!$B$9+Resumo!$B$10*CEILING(AI$3/100,1)+(Resumo!$B$12+Resumo!$B$14)*CEILING(AI$3,1))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3" s="12" t="n">
        <f aca="false">(W23+AJ$4*(Resumo!$C$6+Resumo!$C$7+Resumo!$C$8)+Resumo!$C$10*CEILING(AJ$3/100,1)+Resumo!$C$9+Resumo!$C$13+Resumo!$C$14*CEILING(AJ$3,1))*(1+Resumo!$C$11)-(AJ$4*(Resumo!$B$6+Resumo!$B$7)+Resumo!$B$9+Resumo!$B$10*CEILING(AJ$3/100,1)+(Resumo!$B$12+Resumo!$B$14)*CEILING(AJ$3,1))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3" s="12" t="n">
        <f aca="false">(X23+AK$4*(Resumo!$C$6+Resumo!$C$7+Resumo!$C$8)+Resumo!$C$10*CEILING(AK$3/100,1)+Resumo!$C$9+Resumo!$C$13+Resumo!$C$14*CEILING(AK$3,1))*(1+Resumo!$C$11)-(AK$4*(Resumo!$B$6+Resumo!$B$7)+Resumo!$B$9+Resumo!$B$10*CEILING(AK$3/100,1)+(Resumo!$B$12+Resumo!$B$14)*CEILING(AK$3,1))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3" s="12" t="n">
        <f aca="false">(Y23+AL$4*(Resumo!$C$6+Resumo!$C$7+Resumo!$C$8)+Resumo!$C$10*CEILING(AL$3/100,1)+Resumo!$C$9+Resumo!$C$13+Resumo!$C$14*CEILING(AL$3,1))*(1+Resumo!$C$11)-(AL$4*(Resumo!$B$6+Resumo!$B$7)+Resumo!$B$9+Resumo!$B$10*CEILING(AL$3/100,1)+(Resumo!$B$12+Resumo!$B$14)*CEILING(AL$3,1))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3" s="12" t="n">
        <f aca="false">(Z23+AM$4*(Resumo!$C$6+Resumo!$C$7+Resumo!$C$8)+Resumo!$C$10*CEILING(AM$3/100,1)+Resumo!$C$9+Resumo!$C$13+Resumo!$C$14*CEILING(AM$3,1))*(1+Resumo!$C$11)-(AM$4*(Resumo!$B$6+Resumo!$B$7)+Resumo!$B$9+Resumo!$B$10*CEILING(AM$3/100,1)+(Resumo!$B$12+Resumo!$B$14)*CEILING(AM$3,1))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3" s="12" t="n">
        <f aca="false">(AA23+AN$4*(Resumo!$C$6+Resumo!$C$7+Resumo!$C$8)+Resumo!$C$10*CEILING(AN$3/100,1)+Resumo!$C$9+Resumo!$C$13+Resumo!$C$14*CEILING(AN$3,1))*(1+Resumo!$C$11)-(AN$4*(Resumo!$B$6+Resumo!$B$7)+Resumo!$B$9+Resumo!$B$10*CEILING(AN$3/100,1)+(Resumo!$B$12+Resumo!$B$14)*CEILING(AN$3,1))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3" s="12" t="n">
        <f aca="false">(AB23+AO$4*(Resumo!$C$6+Resumo!$C$7+Resumo!$C$8)+Resumo!$C$10*CEILING(AO$3/100,1)+Resumo!$C$9+Resumo!$C$13+Resumo!$C$14*CEILING(AO$3,1))*(1+Resumo!$C$11)-(AO$4*(Resumo!$B$6+Resumo!$B$7)+Resumo!$B$9+Resumo!$B$10*CEILING(AO$3/100,1)+(Resumo!$B$12+Resumo!$B$14)*CEILING(AO$3,1))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3" s="12" t="n">
        <f aca="false">(AC23+AP$4*(Resumo!$C$6+Resumo!$C$7+Resumo!$C$8)+Resumo!$C$10*CEILING(AP$3/100,1)+Resumo!$C$9+Resumo!$C$13+Resumo!$C$14*CEILING(AP$3,1))*(1+Resumo!$C$11)-(AP$4*(Resumo!$B$6+Resumo!$B$7)+Resumo!$B$9+Resumo!$B$10*CEILING(AP$3/100,1)+(Resumo!$B$12+Resumo!$B$14)*CEILING(AP$3,1))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3" s="12" t="n">
        <f aca="false">(AD23+AQ$4*(Resumo!$C$6+Resumo!$C$7+Resumo!$C$8)+Resumo!$C$10*CEILING(AQ$3/100,1)+Resumo!$C$9+Resumo!$C$13+Resumo!$C$14*CEILING(AQ$3,1))*(1+Resumo!$C$11)-(AQ$4*(Resumo!$B$6+Resumo!$B$7)+Resumo!$B$9+Resumo!$B$10*CEILING(AQ$3/100,1)+(Resumo!$B$12+Resumo!$B$14)*CEILING(AQ$3,1))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3" s="12" t="n">
        <f aca="false">(AE23+AR$4*(Resumo!$C$6+Resumo!$C$7+Resumo!$C$8)+Resumo!$C$10*CEILING(AR$3/100,1)+Resumo!$C$9+Resumo!$C$13+Resumo!$C$14*CEILING(AR$3,1))*(1+Resumo!$C$11)-(AR$4*(Resumo!$B$6+Resumo!$B$7)+Resumo!$B$9+Resumo!$B$10*CEILING(AR$3/100,1)+(Resumo!$B$12+Resumo!$B$14)*CEILING(AR$3,1))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3" s="12" t="n">
        <f aca="false">(AF23+AS$4*(Resumo!$C$6+Resumo!$C$7+Resumo!$C$8)+Resumo!$C$10*CEILING(AS$3/100,1)+Resumo!$C$9+Resumo!$C$13+Resumo!$C$14*CEILING(AS$3,1))*(1+Resumo!$C$11)-(AS$4*(Resumo!$B$6+Resumo!$B$7)+Resumo!$B$9+Resumo!$B$10*CEILING(AS$3/100,1)+(Resumo!$B$12+Resumo!$B$14)*CEILING(AS$3,1))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3" s="12" t="n">
        <f aca="false">(AG23+AT$4*(Resumo!$C$6+Resumo!$C$7+Resumo!$C$8)+Resumo!$C$10*CEILING(AT$3/100,1)+Resumo!$C$9+Resumo!$C$13+Resumo!$C$14*CEILING(AT$3,1))*(1+Resumo!$C$11)-(AT$4*(Resumo!$B$6+Resumo!$B$7)+Resumo!$B$9+Resumo!$B$10*CEILING(AT$3/100,1)+(Resumo!$B$12+Resumo!$B$14)*CEILING(AT$3,1))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3" s="13" t="n">
        <f aca="false">1-AH23/H23</f>
        <v>0.378323181202178</v>
      </c>
      <c r="AV23" s="13" t="n">
        <f aca="false">1-AI23/I23</f>
        <v>0.324530396086195</v>
      </c>
      <c r="AW23" s="13" t="n">
        <f aca="false">1-AJ23/J23</f>
        <v>0.337931079721616</v>
      </c>
      <c r="AX23" s="13" t="n">
        <f aca="false">1-AK23/K23</f>
        <v>0.318510239438779</v>
      </c>
      <c r="AY23" s="13" t="n">
        <f aca="false">1-AL23/L23</f>
        <v>0.365701375691832</v>
      </c>
      <c r="AZ23" s="13" t="n">
        <f aca="false">1-AM23/M23</f>
        <v>0.420709229511831</v>
      </c>
      <c r="BA23" s="13" t="n">
        <f aca="false">1-AN23/N23</f>
        <v>0.382642225835592</v>
      </c>
      <c r="BB23" s="13" t="n">
        <f aca="false">1-AO23/O23</f>
        <v>0.419232633445788</v>
      </c>
      <c r="BC23" s="13" t="n">
        <f aca="false">1-AP23/P23</f>
        <v>0.493280443868681</v>
      </c>
      <c r="BD23" s="13" t="n">
        <f aca="false">1-AQ23/Q23</f>
        <v>0.455794679894486</v>
      </c>
      <c r="BE23" s="13" t="n">
        <f aca="false">1-AR23/R23</f>
        <v>0.489018797268033</v>
      </c>
      <c r="BF23" s="13" t="n">
        <f aca="false">1-AS23/S23</f>
        <v>0.820478024467603</v>
      </c>
      <c r="BG23" s="13" t="n">
        <f aca="false">1-AT23/T23</f>
        <v>0.528263860444042</v>
      </c>
    </row>
    <row r="24" customFormat="false" ht="15" hidden="false" customHeight="false" outlineLevel="0" collapsed="false">
      <c r="A24" s="4" t="s">
        <v>215</v>
      </c>
      <c r="B24" s="4" t="s">
        <v>230</v>
      </c>
      <c r="C24" s="36" t="n">
        <v>25850000</v>
      </c>
      <c r="D24" s="36" t="n">
        <v>25869999</v>
      </c>
      <c r="E24" s="4" t="s">
        <v>198</v>
      </c>
      <c r="F24" s="4" t="s">
        <v>220</v>
      </c>
      <c r="G24" s="4" t="n">
        <f aca="false">COUNTIFS(Pedidos!$E$2:$E$2224,"&gt;="&amp;C24,Pedidos!$E$2:$E$2224,"&lt;="&amp;D24)</f>
        <v>3</v>
      </c>
      <c r="H24" s="7" t="n">
        <v>106.53</v>
      </c>
      <c r="I24" s="7" t="n">
        <v>120.78</v>
      </c>
      <c r="J24" s="7" t="n">
        <v>125.63</v>
      </c>
      <c r="K24" s="7" t="n">
        <v>135.03</v>
      </c>
      <c r="L24" s="7" t="n">
        <v>144.53</v>
      </c>
      <c r="M24" s="7" t="n">
        <v>166.05</v>
      </c>
      <c r="N24" s="7" t="n">
        <v>166.05</v>
      </c>
      <c r="O24" s="7" t="n">
        <v>197.35</v>
      </c>
      <c r="P24" s="7" t="n">
        <v>236.82</v>
      </c>
      <c r="Q24" s="7" t="n">
        <v>264.84</v>
      </c>
      <c r="R24" s="7" t="n">
        <v>300.15</v>
      </c>
      <c r="S24" s="7" t="n">
        <v>353.12</v>
      </c>
      <c r="T24" s="7" t="n">
        <v>441.4</v>
      </c>
      <c r="U24" s="7" t="n">
        <v>46.95</v>
      </c>
      <c r="V24" s="7" t="n">
        <v>65.63</v>
      </c>
      <c r="W24" s="7" t="n">
        <v>74.97</v>
      </c>
      <c r="X24" s="7" t="n">
        <v>77.7</v>
      </c>
      <c r="Y24" s="7" t="n">
        <v>83.58</v>
      </c>
      <c r="Z24" s="7" t="n">
        <v>90.2</v>
      </c>
      <c r="AA24" s="7" t="n">
        <v>96.77</v>
      </c>
      <c r="AB24" s="7" t="n">
        <v>109.63</v>
      </c>
      <c r="AC24" s="7" t="n">
        <v>119.5</v>
      </c>
      <c r="AD24" s="7" t="n">
        <v>144.24</v>
      </c>
      <c r="AE24" s="7" t="n">
        <v>155.09</v>
      </c>
      <c r="AF24" s="7" t="n">
        <v>66.69</v>
      </c>
      <c r="AG24" s="7" t="n">
        <v>214.88</v>
      </c>
      <c r="AH24" s="12" t="n">
        <f aca="false">(U24+AH$4*(Resumo!$C$6+Resumo!$C$7+Resumo!$C$8)+Resumo!$C$10*CEILING(AH$3/100,1)+Resumo!$C$9+Resumo!$C$13+Resumo!$C$14*CEILING(AH$3,1))*(1+Resumo!$C$11)-(AH$4*(Resumo!$B$6+Resumo!$B$7)+Resumo!$B$9+Resumo!$B$10*CEILING(AH$3/100,1)+(Resumo!$B$12+Resumo!$B$14)*CEILING(AH$3,1))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4" s="12" t="n">
        <f aca="false">(V24+AI$4*(Resumo!$C$6+Resumo!$C$7+Resumo!$C$8)+Resumo!$C$10*CEILING(AI$3/100,1)+Resumo!$C$9+Resumo!$C$13+Resumo!$C$14*CEILING(AI$3,1))*(1+Resumo!$C$11)-(AI$4*(Resumo!$B$6+Resumo!$B$7)+Resumo!$B$9+Resumo!$B$10*CEILING(AI$3/100,1)+(Resumo!$B$12+Resumo!$B$14)*CEILING(AI$3,1))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4" s="12" t="n">
        <f aca="false">(W24+AJ$4*(Resumo!$C$6+Resumo!$C$7+Resumo!$C$8)+Resumo!$C$10*CEILING(AJ$3/100,1)+Resumo!$C$9+Resumo!$C$13+Resumo!$C$14*CEILING(AJ$3,1))*(1+Resumo!$C$11)-(AJ$4*(Resumo!$B$6+Resumo!$B$7)+Resumo!$B$9+Resumo!$B$10*CEILING(AJ$3/100,1)+(Resumo!$B$12+Resumo!$B$14)*CEILING(AJ$3,1))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4" s="12" t="n">
        <f aca="false">(X24+AK$4*(Resumo!$C$6+Resumo!$C$7+Resumo!$C$8)+Resumo!$C$10*CEILING(AK$3/100,1)+Resumo!$C$9+Resumo!$C$13+Resumo!$C$14*CEILING(AK$3,1))*(1+Resumo!$C$11)-(AK$4*(Resumo!$B$6+Resumo!$B$7)+Resumo!$B$9+Resumo!$B$10*CEILING(AK$3/100,1)+(Resumo!$B$12+Resumo!$B$14)*CEILING(AK$3,1))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4" s="12" t="n">
        <f aca="false">(Y24+AL$4*(Resumo!$C$6+Resumo!$C$7+Resumo!$C$8)+Resumo!$C$10*CEILING(AL$3/100,1)+Resumo!$C$9+Resumo!$C$13+Resumo!$C$14*CEILING(AL$3,1))*(1+Resumo!$C$11)-(AL$4*(Resumo!$B$6+Resumo!$B$7)+Resumo!$B$9+Resumo!$B$10*CEILING(AL$3/100,1)+(Resumo!$B$12+Resumo!$B$14)*CEILING(AL$3,1))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4" s="12" t="n">
        <f aca="false">(Z24+AM$4*(Resumo!$C$6+Resumo!$C$7+Resumo!$C$8)+Resumo!$C$10*CEILING(AM$3/100,1)+Resumo!$C$9+Resumo!$C$13+Resumo!$C$14*CEILING(AM$3,1))*(1+Resumo!$C$11)-(AM$4*(Resumo!$B$6+Resumo!$B$7)+Resumo!$B$9+Resumo!$B$10*CEILING(AM$3/100,1)+(Resumo!$B$12+Resumo!$B$14)*CEILING(AM$3,1))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4" s="12" t="n">
        <f aca="false">(AA24+AN$4*(Resumo!$C$6+Resumo!$C$7+Resumo!$C$8)+Resumo!$C$10*CEILING(AN$3/100,1)+Resumo!$C$9+Resumo!$C$13+Resumo!$C$14*CEILING(AN$3,1))*(1+Resumo!$C$11)-(AN$4*(Resumo!$B$6+Resumo!$B$7)+Resumo!$B$9+Resumo!$B$10*CEILING(AN$3/100,1)+(Resumo!$B$12+Resumo!$B$14)*CEILING(AN$3,1))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4" s="12" t="n">
        <f aca="false">(AB24+AO$4*(Resumo!$C$6+Resumo!$C$7+Resumo!$C$8)+Resumo!$C$10*CEILING(AO$3/100,1)+Resumo!$C$9+Resumo!$C$13+Resumo!$C$14*CEILING(AO$3,1))*(1+Resumo!$C$11)-(AO$4*(Resumo!$B$6+Resumo!$B$7)+Resumo!$B$9+Resumo!$B$10*CEILING(AO$3/100,1)+(Resumo!$B$12+Resumo!$B$14)*CEILING(AO$3,1))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4" s="12" t="n">
        <f aca="false">(AC24+AP$4*(Resumo!$C$6+Resumo!$C$7+Resumo!$C$8)+Resumo!$C$10*CEILING(AP$3/100,1)+Resumo!$C$9+Resumo!$C$13+Resumo!$C$14*CEILING(AP$3,1))*(1+Resumo!$C$11)-(AP$4*(Resumo!$B$6+Resumo!$B$7)+Resumo!$B$9+Resumo!$B$10*CEILING(AP$3/100,1)+(Resumo!$B$12+Resumo!$B$14)*CEILING(AP$3,1))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4" s="12" t="n">
        <f aca="false">(AD24+AQ$4*(Resumo!$C$6+Resumo!$C$7+Resumo!$C$8)+Resumo!$C$10*CEILING(AQ$3/100,1)+Resumo!$C$9+Resumo!$C$13+Resumo!$C$14*CEILING(AQ$3,1))*(1+Resumo!$C$11)-(AQ$4*(Resumo!$B$6+Resumo!$B$7)+Resumo!$B$9+Resumo!$B$10*CEILING(AQ$3/100,1)+(Resumo!$B$12+Resumo!$B$14)*CEILING(AQ$3,1))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4" s="12" t="n">
        <f aca="false">(AE24+AR$4*(Resumo!$C$6+Resumo!$C$7+Resumo!$C$8)+Resumo!$C$10*CEILING(AR$3/100,1)+Resumo!$C$9+Resumo!$C$13+Resumo!$C$14*CEILING(AR$3,1))*(1+Resumo!$C$11)-(AR$4*(Resumo!$B$6+Resumo!$B$7)+Resumo!$B$9+Resumo!$B$10*CEILING(AR$3/100,1)+(Resumo!$B$12+Resumo!$B$14)*CEILING(AR$3,1))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4" s="12" t="n">
        <f aca="false">(AF24+AS$4*(Resumo!$C$6+Resumo!$C$7+Resumo!$C$8)+Resumo!$C$10*CEILING(AS$3/100,1)+Resumo!$C$9+Resumo!$C$13+Resumo!$C$14*CEILING(AS$3,1))*(1+Resumo!$C$11)-(AS$4*(Resumo!$B$6+Resumo!$B$7)+Resumo!$B$9+Resumo!$B$10*CEILING(AS$3/100,1)+(Resumo!$B$12+Resumo!$B$14)*CEILING(AS$3,1))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4" s="12" t="n">
        <f aca="false">(AG24+AT$4*(Resumo!$C$6+Resumo!$C$7+Resumo!$C$8)+Resumo!$C$10*CEILING(AT$3/100,1)+Resumo!$C$9+Resumo!$C$13+Resumo!$C$14*CEILING(AT$3,1))*(1+Resumo!$C$11)-(AT$4*(Resumo!$B$6+Resumo!$B$7)+Resumo!$B$9+Resumo!$B$10*CEILING(AT$3/100,1)+(Resumo!$B$12+Resumo!$B$14)*CEILING(AT$3,1))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4" s="13" t="n">
        <f aca="false">1-AH24/H24</f>
        <v>0.480447881558527</v>
      </c>
      <c r="AV24" s="13" t="n">
        <f aca="false">1-AI24/I24</f>
        <v>0.391361508578081</v>
      </c>
      <c r="AW24" s="13" t="n">
        <f aca="false">1-AJ24/J24</f>
        <v>0.34451856798356</v>
      </c>
      <c r="AX24" s="13" t="n">
        <f aca="false">1-AK24/K24</f>
        <v>0.372260264988487</v>
      </c>
      <c r="AY24" s="13" t="n">
        <f aca="false">1-AL24/L24</f>
        <v>0.375400399837138</v>
      </c>
      <c r="AZ24" s="13" t="n">
        <f aca="false">1-AM24/M24</f>
        <v>0.420709229511831</v>
      </c>
      <c r="BA24" s="13" t="n">
        <f aca="false">1-AN24/N24</f>
        <v>0.382642225835592</v>
      </c>
      <c r="BB24" s="13" t="n">
        <f aca="false">1-AO24/O24</f>
        <v>0.419232633445788</v>
      </c>
      <c r="BC24" s="13" t="n">
        <f aca="false">1-AP24/P24</f>
        <v>0.493280443868681</v>
      </c>
      <c r="BD24" s="13" t="n">
        <f aca="false">1-AQ24/Q24</f>
        <v>0.455794679894486</v>
      </c>
      <c r="BE24" s="13" t="n">
        <f aca="false">1-AR24/R24</f>
        <v>0.489018797268033</v>
      </c>
      <c r="BF24" s="13" t="n">
        <f aca="false">1-AS24/S24</f>
        <v>0.820478024467603</v>
      </c>
      <c r="BG24" s="13" t="n">
        <f aca="false">1-AT24/T24</f>
        <v>0.528263860444042</v>
      </c>
    </row>
    <row r="25" customFormat="false" ht="15" hidden="false" customHeight="false" outlineLevel="0" collapsed="false">
      <c r="A25" s="4" t="s">
        <v>215</v>
      </c>
      <c r="B25" s="4" t="s">
        <v>231</v>
      </c>
      <c r="C25" s="36" t="n">
        <v>25870000</v>
      </c>
      <c r="D25" s="36" t="n">
        <v>25879999</v>
      </c>
      <c r="E25" s="4" t="s">
        <v>198</v>
      </c>
      <c r="F25" s="4" t="s">
        <v>220</v>
      </c>
      <c r="G25" s="4" t="n">
        <f aca="false">COUNTIFS(Pedidos!$E$2:$E$2224,"&gt;="&amp;C25,Pedidos!$E$2:$E$2224,"&lt;="&amp;D25)</f>
        <v>0</v>
      </c>
      <c r="H25" s="7" t="n">
        <v>106.53</v>
      </c>
      <c r="I25" s="7" t="n">
        <v>120.78</v>
      </c>
      <c r="J25" s="7" t="n">
        <v>125.63</v>
      </c>
      <c r="K25" s="7" t="n">
        <v>135.03</v>
      </c>
      <c r="L25" s="7" t="n">
        <v>144.53</v>
      </c>
      <c r="M25" s="7" t="n">
        <v>166.05</v>
      </c>
      <c r="N25" s="7" t="n">
        <v>166.05</v>
      </c>
      <c r="O25" s="7" t="n">
        <v>197.35</v>
      </c>
      <c r="P25" s="7" t="n">
        <v>236.82</v>
      </c>
      <c r="Q25" s="7" t="n">
        <v>264.84</v>
      </c>
      <c r="R25" s="7" t="n">
        <v>300.15</v>
      </c>
      <c r="S25" s="7" t="n">
        <v>353.12</v>
      </c>
      <c r="T25" s="7" t="n">
        <v>441.4</v>
      </c>
      <c r="U25" s="7" t="n">
        <v>46.95</v>
      </c>
      <c r="V25" s="7" t="n">
        <v>65.63</v>
      </c>
      <c r="W25" s="7" t="n">
        <v>74.97</v>
      </c>
      <c r="X25" s="7" t="n">
        <v>77.7</v>
      </c>
      <c r="Y25" s="7" t="n">
        <v>83.58</v>
      </c>
      <c r="Z25" s="7" t="n">
        <v>90.2</v>
      </c>
      <c r="AA25" s="7" t="n">
        <v>96.77</v>
      </c>
      <c r="AB25" s="7" t="n">
        <v>109.63</v>
      </c>
      <c r="AC25" s="7" t="n">
        <v>119.5</v>
      </c>
      <c r="AD25" s="7" t="n">
        <v>144.24</v>
      </c>
      <c r="AE25" s="7" t="n">
        <v>155.09</v>
      </c>
      <c r="AF25" s="7" t="n">
        <v>66.69</v>
      </c>
      <c r="AG25" s="7" t="n">
        <v>214.88</v>
      </c>
      <c r="AH25" s="12" t="n">
        <f aca="false">(U25+AH$4*(Resumo!$C$6+Resumo!$C$7+Resumo!$C$8)+Resumo!$C$10*CEILING(AH$3/100,1)+Resumo!$C$9+Resumo!$C$13+Resumo!$C$14*CEILING(AH$3,1))*(1+Resumo!$C$11)-(AH$4*(Resumo!$B$6+Resumo!$B$7)+Resumo!$B$9+Resumo!$B$10*CEILING(AH$3/100,1)+(Resumo!$B$12+Resumo!$B$14)*CEILING(AH$3,1))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5" s="12" t="n">
        <f aca="false">(V25+AI$4*(Resumo!$C$6+Resumo!$C$7+Resumo!$C$8)+Resumo!$C$10*CEILING(AI$3/100,1)+Resumo!$C$9+Resumo!$C$13+Resumo!$C$14*CEILING(AI$3,1))*(1+Resumo!$C$11)-(AI$4*(Resumo!$B$6+Resumo!$B$7)+Resumo!$B$9+Resumo!$B$10*CEILING(AI$3/100,1)+(Resumo!$B$12+Resumo!$B$14)*CEILING(AI$3,1))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5" s="12" t="n">
        <f aca="false">(W25+AJ$4*(Resumo!$C$6+Resumo!$C$7+Resumo!$C$8)+Resumo!$C$10*CEILING(AJ$3/100,1)+Resumo!$C$9+Resumo!$C$13+Resumo!$C$14*CEILING(AJ$3,1))*(1+Resumo!$C$11)-(AJ$4*(Resumo!$B$6+Resumo!$B$7)+Resumo!$B$9+Resumo!$B$10*CEILING(AJ$3/100,1)+(Resumo!$B$12+Resumo!$B$14)*CEILING(AJ$3,1))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5" s="12" t="n">
        <f aca="false">(X25+AK$4*(Resumo!$C$6+Resumo!$C$7+Resumo!$C$8)+Resumo!$C$10*CEILING(AK$3/100,1)+Resumo!$C$9+Resumo!$C$13+Resumo!$C$14*CEILING(AK$3,1))*(1+Resumo!$C$11)-(AK$4*(Resumo!$B$6+Resumo!$B$7)+Resumo!$B$9+Resumo!$B$10*CEILING(AK$3/100,1)+(Resumo!$B$12+Resumo!$B$14)*CEILING(AK$3,1))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5" s="12" t="n">
        <f aca="false">(Y25+AL$4*(Resumo!$C$6+Resumo!$C$7+Resumo!$C$8)+Resumo!$C$10*CEILING(AL$3/100,1)+Resumo!$C$9+Resumo!$C$13+Resumo!$C$14*CEILING(AL$3,1))*(1+Resumo!$C$11)-(AL$4*(Resumo!$B$6+Resumo!$B$7)+Resumo!$B$9+Resumo!$B$10*CEILING(AL$3/100,1)+(Resumo!$B$12+Resumo!$B$14)*CEILING(AL$3,1))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5" s="12" t="n">
        <f aca="false">(Z25+AM$4*(Resumo!$C$6+Resumo!$C$7+Resumo!$C$8)+Resumo!$C$10*CEILING(AM$3/100,1)+Resumo!$C$9+Resumo!$C$13+Resumo!$C$14*CEILING(AM$3,1))*(1+Resumo!$C$11)-(AM$4*(Resumo!$B$6+Resumo!$B$7)+Resumo!$B$9+Resumo!$B$10*CEILING(AM$3/100,1)+(Resumo!$B$12+Resumo!$B$14)*CEILING(AM$3,1))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5" s="12" t="n">
        <f aca="false">(AA25+AN$4*(Resumo!$C$6+Resumo!$C$7+Resumo!$C$8)+Resumo!$C$10*CEILING(AN$3/100,1)+Resumo!$C$9+Resumo!$C$13+Resumo!$C$14*CEILING(AN$3,1))*(1+Resumo!$C$11)-(AN$4*(Resumo!$B$6+Resumo!$B$7)+Resumo!$B$9+Resumo!$B$10*CEILING(AN$3/100,1)+(Resumo!$B$12+Resumo!$B$14)*CEILING(AN$3,1))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5" s="12" t="n">
        <f aca="false">(AB25+AO$4*(Resumo!$C$6+Resumo!$C$7+Resumo!$C$8)+Resumo!$C$10*CEILING(AO$3/100,1)+Resumo!$C$9+Resumo!$C$13+Resumo!$C$14*CEILING(AO$3,1))*(1+Resumo!$C$11)-(AO$4*(Resumo!$B$6+Resumo!$B$7)+Resumo!$B$9+Resumo!$B$10*CEILING(AO$3/100,1)+(Resumo!$B$12+Resumo!$B$14)*CEILING(AO$3,1))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5" s="12" t="n">
        <f aca="false">(AC25+AP$4*(Resumo!$C$6+Resumo!$C$7+Resumo!$C$8)+Resumo!$C$10*CEILING(AP$3/100,1)+Resumo!$C$9+Resumo!$C$13+Resumo!$C$14*CEILING(AP$3,1))*(1+Resumo!$C$11)-(AP$4*(Resumo!$B$6+Resumo!$B$7)+Resumo!$B$9+Resumo!$B$10*CEILING(AP$3/100,1)+(Resumo!$B$12+Resumo!$B$14)*CEILING(AP$3,1))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5" s="12" t="n">
        <f aca="false">(AD25+AQ$4*(Resumo!$C$6+Resumo!$C$7+Resumo!$C$8)+Resumo!$C$10*CEILING(AQ$3/100,1)+Resumo!$C$9+Resumo!$C$13+Resumo!$C$14*CEILING(AQ$3,1))*(1+Resumo!$C$11)-(AQ$4*(Resumo!$B$6+Resumo!$B$7)+Resumo!$B$9+Resumo!$B$10*CEILING(AQ$3/100,1)+(Resumo!$B$12+Resumo!$B$14)*CEILING(AQ$3,1))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5" s="12" t="n">
        <f aca="false">(AE25+AR$4*(Resumo!$C$6+Resumo!$C$7+Resumo!$C$8)+Resumo!$C$10*CEILING(AR$3/100,1)+Resumo!$C$9+Resumo!$C$13+Resumo!$C$14*CEILING(AR$3,1))*(1+Resumo!$C$11)-(AR$4*(Resumo!$B$6+Resumo!$B$7)+Resumo!$B$9+Resumo!$B$10*CEILING(AR$3/100,1)+(Resumo!$B$12+Resumo!$B$14)*CEILING(AR$3,1))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5" s="12" t="n">
        <f aca="false">(AF25+AS$4*(Resumo!$C$6+Resumo!$C$7+Resumo!$C$8)+Resumo!$C$10*CEILING(AS$3/100,1)+Resumo!$C$9+Resumo!$C$13+Resumo!$C$14*CEILING(AS$3,1))*(1+Resumo!$C$11)-(AS$4*(Resumo!$B$6+Resumo!$B$7)+Resumo!$B$9+Resumo!$B$10*CEILING(AS$3/100,1)+(Resumo!$B$12+Resumo!$B$14)*CEILING(AS$3,1))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5" s="12" t="n">
        <f aca="false">(AG25+AT$4*(Resumo!$C$6+Resumo!$C$7+Resumo!$C$8)+Resumo!$C$10*CEILING(AT$3/100,1)+Resumo!$C$9+Resumo!$C$13+Resumo!$C$14*CEILING(AT$3,1))*(1+Resumo!$C$11)-(AT$4*(Resumo!$B$6+Resumo!$B$7)+Resumo!$B$9+Resumo!$B$10*CEILING(AT$3/100,1)+(Resumo!$B$12+Resumo!$B$14)*CEILING(AT$3,1))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5" s="13" t="n">
        <f aca="false">1-AH25/H25</f>
        <v>0.480447881558527</v>
      </c>
      <c r="AV25" s="13" t="n">
        <f aca="false">1-AI25/I25</f>
        <v>0.391361508578081</v>
      </c>
      <c r="AW25" s="13" t="n">
        <f aca="false">1-AJ25/J25</f>
        <v>0.34451856798356</v>
      </c>
      <c r="AX25" s="13" t="n">
        <f aca="false">1-AK25/K25</f>
        <v>0.372260264988487</v>
      </c>
      <c r="AY25" s="13" t="n">
        <f aca="false">1-AL25/L25</f>
        <v>0.375400399837138</v>
      </c>
      <c r="AZ25" s="13" t="n">
        <f aca="false">1-AM25/M25</f>
        <v>0.420709229511831</v>
      </c>
      <c r="BA25" s="13" t="n">
        <f aca="false">1-AN25/N25</f>
        <v>0.382642225835592</v>
      </c>
      <c r="BB25" s="13" t="n">
        <f aca="false">1-AO25/O25</f>
        <v>0.419232633445788</v>
      </c>
      <c r="BC25" s="13" t="n">
        <f aca="false">1-AP25/P25</f>
        <v>0.493280443868681</v>
      </c>
      <c r="BD25" s="13" t="n">
        <f aca="false">1-AQ25/Q25</f>
        <v>0.455794679894486</v>
      </c>
      <c r="BE25" s="13" t="n">
        <f aca="false">1-AR25/R25</f>
        <v>0.489018797268033</v>
      </c>
      <c r="BF25" s="13" t="n">
        <f aca="false">1-AS25/S25</f>
        <v>0.820478024467603</v>
      </c>
      <c r="BG25" s="13" t="n">
        <f aca="false">1-AT25/T25</f>
        <v>0.528263860444042</v>
      </c>
    </row>
    <row r="26" customFormat="false" ht="15" hidden="false" customHeight="false" outlineLevel="0" collapsed="false">
      <c r="A26" s="4" t="s">
        <v>215</v>
      </c>
      <c r="B26" s="4" t="s">
        <v>232</v>
      </c>
      <c r="C26" s="36" t="n">
        <v>25880000</v>
      </c>
      <c r="D26" s="36" t="n">
        <v>25899999</v>
      </c>
      <c r="E26" s="4" t="s">
        <v>198</v>
      </c>
      <c r="F26" s="4" t="s">
        <v>220</v>
      </c>
      <c r="G26" s="4" t="n">
        <f aca="false">COUNTIFS(Pedidos!$E$2:$E$2224,"&gt;="&amp;C26,Pedidos!$E$2:$E$2224,"&lt;="&amp;D26)</f>
        <v>3</v>
      </c>
      <c r="H26" s="7" t="n">
        <v>106.53</v>
      </c>
      <c r="I26" s="7" t="n">
        <v>120.78</v>
      </c>
      <c r="J26" s="7" t="n">
        <v>125.63</v>
      </c>
      <c r="K26" s="7" t="n">
        <v>135.03</v>
      </c>
      <c r="L26" s="7" t="n">
        <v>144.53</v>
      </c>
      <c r="M26" s="7" t="n">
        <v>166.05</v>
      </c>
      <c r="N26" s="7" t="n">
        <v>166.05</v>
      </c>
      <c r="O26" s="7" t="n">
        <v>197.35</v>
      </c>
      <c r="P26" s="7" t="n">
        <v>236.82</v>
      </c>
      <c r="Q26" s="7" t="n">
        <v>264.84</v>
      </c>
      <c r="R26" s="7" t="n">
        <v>300.15</v>
      </c>
      <c r="S26" s="7" t="n">
        <v>353.12</v>
      </c>
      <c r="T26" s="7" t="n">
        <v>441.4</v>
      </c>
      <c r="U26" s="7" t="n">
        <v>46.95</v>
      </c>
      <c r="V26" s="7" t="n">
        <v>65.63</v>
      </c>
      <c r="W26" s="7" t="n">
        <v>74.97</v>
      </c>
      <c r="X26" s="7" t="n">
        <v>77.7</v>
      </c>
      <c r="Y26" s="7" t="n">
        <v>83.58</v>
      </c>
      <c r="Z26" s="7" t="n">
        <v>90.2</v>
      </c>
      <c r="AA26" s="7" t="n">
        <v>96.77</v>
      </c>
      <c r="AB26" s="7" t="n">
        <v>109.63</v>
      </c>
      <c r="AC26" s="7" t="n">
        <v>119.5</v>
      </c>
      <c r="AD26" s="7" t="n">
        <v>144.24</v>
      </c>
      <c r="AE26" s="7" t="n">
        <v>155.09</v>
      </c>
      <c r="AF26" s="7" t="n">
        <v>66.69</v>
      </c>
      <c r="AG26" s="7" t="n">
        <v>214.88</v>
      </c>
      <c r="AH26" s="12" t="n">
        <f aca="false">(U26+AH$4*(Resumo!$C$6+Resumo!$C$7+Resumo!$C$8)+Resumo!$C$10*CEILING(AH$3/100,1)+Resumo!$C$9+Resumo!$C$13+Resumo!$C$14*CEILING(AH$3,1))*(1+Resumo!$C$11)-(AH$4*(Resumo!$B$6+Resumo!$B$7)+Resumo!$B$9+Resumo!$B$10*CEILING(AH$3/100,1)+(Resumo!$B$12+Resumo!$B$14)*CEILING(AH$3,1))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6" s="12" t="n">
        <f aca="false">(V26+AI$4*(Resumo!$C$6+Resumo!$C$7+Resumo!$C$8)+Resumo!$C$10*CEILING(AI$3/100,1)+Resumo!$C$9+Resumo!$C$13+Resumo!$C$14*CEILING(AI$3,1))*(1+Resumo!$C$11)-(AI$4*(Resumo!$B$6+Resumo!$B$7)+Resumo!$B$9+Resumo!$B$10*CEILING(AI$3/100,1)+(Resumo!$B$12+Resumo!$B$14)*CEILING(AI$3,1))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6" s="12" t="n">
        <f aca="false">(W26+AJ$4*(Resumo!$C$6+Resumo!$C$7+Resumo!$C$8)+Resumo!$C$10*CEILING(AJ$3/100,1)+Resumo!$C$9+Resumo!$C$13+Resumo!$C$14*CEILING(AJ$3,1))*(1+Resumo!$C$11)-(AJ$4*(Resumo!$B$6+Resumo!$B$7)+Resumo!$B$9+Resumo!$B$10*CEILING(AJ$3/100,1)+(Resumo!$B$12+Resumo!$B$14)*CEILING(AJ$3,1))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6" s="12" t="n">
        <f aca="false">(X26+AK$4*(Resumo!$C$6+Resumo!$C$7+Resumo!$C$8)+Resumo!$C$10*CEILING(AK$3/100,1)+Resumo!$C$9+Resumo!$C$13+Resumo!$C$14*CEILING(AK$3,1))*(1+Resumo!$C$11)-(AK$4*(Resumo!$B$6+Resumo!$B$7)+Resumo!$B$9+Resumo!$B$10*CEILING(AK$3/100,1)+(Resumo!$B$12+Resumo!$B$14)*CEILING(AK$3,1))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6" s="12" t="n">
        <f aca="false">(Y26+AL$4*(Resumo!$C$6+Resumo!$C$7+Resumo!$C$8)+Resumo!$C$10*CEILING(AL$3/100,1)+Resumo!$C$9+Resumo!$C$13+Resumo!$C$14*CEILING(AL$3,1))*(1+Resumo!$C$11)-(AL$4*(Resumo!$B$6+Resumo!$B$7)+Resumo!$B$9+Resumo!$B$10*CEILING(AL$3/100,1)+(Resumo!$B$12+Resumo!$B$14)*CEILING(AL$3,1))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6" s="12" t="n">
        <f aca="false">(Z26+AM$4*(Resumo!$C$6+Resumo!$C$7+Resumo!$C$8)+Resumo!$C$10*CEILING(AM$3/100,1)+Resumo!$C$9+Resumo!$C$13+Resumo!$C$14*CEILING(AM$3,1))*(1+Resumo!$C$11)-(AM$4*(Resumo!$B$6+Resumo!$B$7)+Resumo!$B$9+Resumo!$B$10*CEILING(AM$3/100,1)+(Resumo!$B$12+Resumo!$B$14)*CEILING(AM$3,1))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6" s="12" t="n">
        <f aca="false">(AA26+AN$4*(Resumo!$C$6+Resumo!$C$7+Resumo!$C$8)+Resumo!$C$10*CEILING(AN$3/100,1)+Resumo!$C$9+Resumo!$C$13+Resumo!$C$14*CEILING(AN$3,1))*(1+Resumo!$C$11)-(AN$4*(Resumo!$B$6+Resumo!$B$7)+Resumo!$B$9+Resumo!$B$10*CEILING(AN$3/100,1)+(Resumo!$B$12+Resumo!$B$14)*CEILING(AN$3,1))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6" s="12" t="n">
        <f aca="false">(AB26+AO$4*(Resumo!$C$6+Resumo!$C$7+Resumo!$C$8)+Resumo!$C$10*CEILING(AO$3/100,1)+Resumo!$C$9+Resumo!$C$13+Resumo!$C$14*CEILING(AO$3,1))*(1+Resumo!$C$11)-(AO$4*(Resumo!$B$6+Resumo!$B$7)+Resumo!$B$9+Resumo!$B$10*CEILING(AO$3/100,1)+(Resumo!$B$12+Resumo!$B$14)*CEILING(AO$3,1))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6" s="12" t="n">
        <f aca="false">(AC26+AP$4*(Resumo!$C$6+Resumo!$C$7+Resumo!$C$8)+Resumo!$C$10*CEILING(AP$3/100,1)+Resumo!$C$9+Resumo!$C$13+Resumo!$C$14*CEILING(AP$3,1))*(1+Resumo!$C$11)-(AP$4*(Resumo!$B$6+Resumo!$B$7)+Resumo!$B$9+Resumo!$B$10*CEILING(AP$3/100,1)+(Resumo!$B$12+Resumo!$B$14)*CEILING(AP$3,1))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6" s="12" t="n">
        <f aca="false">(AD26+AQ$4*(Resumo!$C$6+Resumo!$C$7+Resumo!$C$8)+Resumo!$C$10*CEILING(AQ$3/100,1)+Resumo!$C$9+Resumo!$C$13+Resumo!$C$14*CEILING(AQ$3,1))*(1+Resumo!$C$11)-(AQ$4*(Resumo!$B$6+Resumo!$B$7)+Resumo!$B$9+Resumo!$B$10*CEILING(AQ$3/100,1)+(Resumo!$B$12+Resumo!$B$14)*CEILING(AQ$3,1))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6" s="12" t="n">
        <f aca="false">(AE26+AR$4*(Resumo!$C$6+Resumo!$C$7+Resumo!$C$8)+Resumo!$C$10*CEILING(AR$3/100,1)+Resumo!$C$9+Resumo!$C$13+Resumo!$C$14*CEILING(AR$3,1))*(1+Resumo!$C$11)-(AR$4*(Resumo!$B$6+Resumo!$B$7)+Resumo!$B$9+Resumo!$B$10*CEILING(AR$3/100,1)+(Resumo!$B$12+Resumo!$B$14)*CEILING(AR$3,1))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6" s="12" t="n">
        <f aca="false">(AF26+AS$4*(Resumo!$C$6+Resumo!$C$7+Resumo!$C$8)+Resumo!$C$10*CEILING(AS$3/100,1)+Resumo!$C$9+Resumo!$C$13+Resumo!$C$14*CEILING(AS$3,1))*(1+Resumo!$C$11)-(AS$4*(Resumo!$B$6+Resumo!$B$7)+Resumo!$B$9+Resumo!$B$10*CEILING(AS$3/100,1)+(Resumo!$B$12+Resumo!$B$14)*CEILING(AS$3,1))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6" s="12" t="n">
        <f aca="false">(AG26+AT$4*(Resumo!$C$6+Resumo!$C$7+Resumo!$C$8)+Resumo!$C$10*CEILING(AT$3/100,1)+Resumo!$C$9+Resumo!$C$13+Resumo!$C$14*CEILING(AT$3,1))*(1+Resumo!$C$11)-(AT$4*(Resumo!$B$6+Resumo!$B$7)+Resumo!$B$9+Resumo!$B$10*CEILING(AT$3/100,1)+(Resumo!$B$12+Resumo!$B$14)*CEILING(AT$3,1))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6" s="13" t="n">
        <f aca="false">1-AH26/H26</f>
        <v>0.480447881558527</v>
      </c>
      <c r="AV26" s="13" t="n">
        <f aca="false">1-AI26/I26</f>
        <v>0.391361508578081</v>
      </c>
      <c r="AW26" s="13" t="n">
        <f aca="false">1-AJ26/J26</f>
        <v>0.34451856798356</v>
      </c>
      <c r="AX26" s="13" t="n">
        <f aca="false">1-AK26/K26</f>
        <v>0.372260264988487</v>
      </c>
      <c r="AY26" s="13" t="n">
        <f aca="false">1-AL26/L26</f>
        <v>0.375400399837138</v>
      </c>
      <c r="AZ26" s="13" t="n">
        <f aca="false">1-AM26/M26</f>
        <v>0.420709229511831</v>
      </c>
      <c r="BA26" s="13" t="n">
        <f aca="false">1-AN26/N26</f>
        <v>0.382642225835592</v>
      </c>
      <c r="BB26" s="13" t="n">
        <f aca="false">1-AO26/O26</f>
        <v>0.419232633445788</v>
      </c>
      <c r="BC26" s="13" t="n">
        <f aca="false">1-AP26/P26</f>
        <v>0.493280443868681</v>
      </c>
      <c r="BD26" s="13" t="n">
        <f aca="false">1-AQ26/Q26</f>
        <v>0.455794679894486</v>
      </c>
      <c r="BE26" s="13" t="n">
        <f aca="false">1-AR26/R26</f>
        <v>0.489018797268033</v>
      </c>
      <c r="BF26" s="13" t="n">
        <f aca="false">1-AS26/S26</f>
        <v>0.820478024467603</v>
      </c>
      <c r="BG26" s="13" t="n">
        <f aca="false">1-AT26/T26</f>
        <v>0.528263860444042</v>
      </c>
    </row>
    <row r="27" customFormat="false" ht="15" hidden="false" customHeight="false" outlineLevel="0" collapsed="false">
      <c r="A27" s="4" t="s">
        <v>215</v>
      </c>
      <c r="B27" s="4" t="s">
        <v>176</v>
      </c>
      <c r="C27" s="36" t="n">
        <v>25900000</v>
      </c>
      <c r="D27" s="36" t="n">
        <v>25939999</v>
      </c>
      <c r="E27" s="4" t="s">
        <v>198</v>
      </c>
      <c r="F27" s="4" t="s">
        <v>233</v>
      </c>
      <c r="G27" s="4" t="n">
        <f aca="false">COUNTIFS(Pedidos!$E$2:$E$2224,"&gt;="&amp;C27,Pedidos!$E$2:$E$2224,"&lt;="&amp;D27)</f>
        <v>20</v>
      </c>
      <c r="H27" s="7" t="n">
        <v>89.03</v>
      </c>
      <c r="I27" s="7" t="n">
        <v>103.28</v>
      </c>
      <c r="J27" s="7" t="n">
        <v>108.03</v>
      </c>
      <c r="K27" s="7" t="n">
        <v>117.23</v>
      </c>
      <c r="L27" s="7" t="n">
        <v>127.03</v>
      </c>
      <c r="M27" s="7" t="n">
        <v>136.53</v>
      </c>
      <c r="N27" s="7" t="n">
        <v>146.03</v>
      </c>
      <c r="O27" s="7" t="n">
        <v>167.99</v>
      </c>
      <c r="P27" s="7" t="n">
        <v>201.59</v>
      </c>
      <c r="Q27" s="7" t="n">
        <v>239.25</v>
      </c>
      <c r="R27" s="7" t="n">
        <v>271.15</v>
      </c>
      <c r="S27" s="7" t="n">
        <v>319</v>
      </c>
      <c r="T27" s="7" t="n">
        <v>398.74</v>
      </c>
      <c r="U27" s="7" t="n">
        <v>46.95</v>
      </c>
      <c r="V27" s="7" t="n">
        <v>65.63</v>
      </c>
      <c r="W27" s="7" t="n">
        <v>74.97</v>
      </c>
      <c r="X27" s="7" t="n">
        <v>77.7</v>
      </c>
      <c r="Y27" s="7" t="n">
        <v>83.58</v>
      </c>
      <c r="Z27" s="7" t="n">
        <v>90.2</v>
      </c>
      <c r="AA27" s="7" t="n">
        <v>96.77</v>
      </c>
      <c r="AB27" s="7" t="n">
        <v>109.63</v>
      </c>
      <c r="AC27" s="7" t="n">
        <v>119.5</v>
      </c>
      <c r="AD27" s="7" t="n">
        <v>144.24</v>
      </c>
      <c r="AE27" s="7" t="n">
        <v>155.09</v>
      </c>
      <c r="AF27" s="7" t="n">
        <v>66.69</v>
      </c>
      <c r="AG27" s="7" t="n">
        <v>214.88</v>
      </c>
      <c r="AH27" s="12" t="n">
        <f aca="false">(U27+AH$4*(Resumo!$C$6+Resumo!$C$7+Resumo!$C$8)+Resumo!$C$10*CEILING(AH$3/100,1)+Resumo!$C$9+Resumo!$C$13+Resumo!$C$14*CEILING(AH$3,1))*(1+Resumo!$C$11)-(AH$4*(Resumo!$B$6+Resumo!$B$7)+Resumo!$B$9+Resumo!$B$10*CEILING(AH$3/100,1)+(Resumo!$B$12+Resumo!$B$14)*CEILING(AH$3,1))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7" s="12" t="n">
        <f aca="false">(V27+AI$4*(Resumo!$C$6+Resumo!$C$7+Resumo!$C$8)+Resumo!$C$10*CEILING(AI$3/100,1)+Resumo!$C$9+Resumo!$C$13+Resumo!$C$14*CEILING(AI$3,1))*(1+Resumo!$C$11)-(AI$4*(Resumo!$B$6+Resumo!$B$7)+Resumo!$B$9+Resumo!$B$10*CEILING(AI$3/100,1)+(Resumo!$B$12+Resumo!$B$14)*CEILING(AI$3,1))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7" s="12" t="n">
        <f aca="false">(W27+AJ$4*(Resumo!$C$6+Resumo!$C$7+Resumo!$C$8)+Resumo!$C$10*CEILING(AJ$3/100,1)+Resumo!$C$9+Resumo!$C$13+Resumo!$C$14*CEILING(AJ$3,1))*(1+Resumo!$C$11)-(AJ$4*(Resumo!$B$6+Resumo!$B$7)+Resumo!$B$9+Resumo!$B$10*CEILING(AJ$3/100,1)+(Resumo!$B$12+Resumo!$B$14)*CEILING(AJ$3,1))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7" s="12" t="n">
        <f aca="false">(X27+AK$4*(Resumo!$C$6+Resumo!$C$7+Resumo!$C$8)+Resumo!$C$10*CEILING(AK$3/100,1)+Resumo!$C$9+Resumo!$C$13+Resumo!$C$14*CEILING(AK$3,1))*(1+Resumo!$C$11)-(AK$4*(Resumo!$B$6+Resumo!$B$7)+Resumo!$B$9+Resumo!$B$10*CEILING(AK$3/100,1)+(Resumo!$B$12+Resumo!$B$14)*CEILING(AK$3,1))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7" s="12" t="n">
        <f aca="false">(Y27+AL$4*(Resumo!$C$6+Resumo!$C$7+Resumo!$C$8)+Resumo!$C$10*CEILING(AL$3/100,1)+Resumo!$C$9+Resumo!$C$13+Resumo!$C$14*CEILING(AL$3,1))*(1+Resumo!$C$11)-(AL$4*(Resumo!$B$6+Resumo!$B$7)+Resumo!$B$9+Resumo!$B$10*CEILING(AL$3/100,1)+(Resumo!$B$12+Resumo!$B$14)*CEILING(AL$3,1))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7" s="12" t="n">
        <f aca="false">(Z27+AM$4*(Resumo!$C$6+Resumo!$C$7+Resumo!$C$8)+Resumo!$C$10*CEILING(AM$3/100,1)+Resumo!$C$9+Resumo!$C$13+Resumo!$C$14*CEILING(AM$3,1))*(1+Resumo!$C$11)-(AM$4*(Resumo!$B$6+Resumo!$B$7)+Resumo!$B$9+Resumo!$B$10*CEILING(AM$3/100,1)+(Resumo!$B$12+Resumo!$B$14)*CEILING(AM$3,1))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7" s="12" t="n">
        <f aca="false">(AA27+AN$4*(Resumo!$C$6+Resumo!$C$7+Resumo!$C$8)+Resumo!$C$10*CEILING(AN$3/100,1)+Resumo!$C$9+Resumo!$C$13+Resumo!$C$14*CEILING(AN$3,1))*(1+Resumo!$C$11)-(AN$4*(Resumo!$B$6+Resumo!$B$7)+Resumo!$B$9+Resumo!$B$10*CEILING(AN$3/100,1)+(Resumo!$B$12+Resumo!$B$14)*CEILING(AN$3,1))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7" s="12" t="n">
        <f aca="false">(AB27+AO$4*(Resumo!$C$6+Resumo!$C$7+Resumo!$C$8)+Resumo!$C$10*CEILING(AO$3/100,1)+Resumo!$C$9+Resumo!$C$13+Resumo!$C$14*CEILING(AO$3,1))*(1+Resumo!$C$11)-(AO$4*(Resumo!$B$6+Resumo!$B$7)+Resumo!$B$9+Resumo!$B$10*CEILING(AO$3/100,1)+(Resumo!$B$12+Resumo!$B$14)*CEILING(AO$3,1))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7" s="12" t="n">
        <f aca="false">(AC27+AP$4*(Resumo!$C$6+Resumo!$C$7+Resumo!$C$8)+Resumo!$C$10*CEILING(AP$3/100,1)+Resumo!$C$9+Resumo!$C$13+Resumo!$C$14*CEILING(AP$3,1))*(1+Resumo!$C$11)-(AP$4*(Resumo!$B$6+Resumo!$B$7)+Resumo!$B$9+Resumo!$B$10*CEILING(AP$3/100,1)+(Resumo!$B$12+Resumo!$B$14)*CEILING(AP$3,1))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7" s="12" t="n">
        <f aca="false">(AD27+AQ$4*(Resumo!$C$6+Resumo!$C$7+Resumo!$C$8)+Resumo!$C$10*CEILING(AQ$3/100,1)+Resumo!$C$9+Resumo!$C$13+Resumo!$C$14*CEILING(AQ$3,1))*(1+Resumo!$C$11)-(AQ$4*(Resumo!$B$6+Resumo!$B$7)+Resumo!$B$9+Resumo!$B$10*CEILING(AQ$3/100,1)+(Resumo!$B$12+Resumo!$B$14)*CEILING(AQ$3,1))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7" s="12" t="n">
        <f aca="false">(AE27+AR$4*(Resumo!$C$6+Resumo!$C$7+Resumo!$C$8)+Resumo!$C$10*CEILING(AR$3/100,1)+Resumo!$C$9+Resumo!$C$13+Resumo!$C$14*CEILING(AR$3,1))*(1+Resumo!$C$11)-(AR$4*(Resumo!$B$6+Resumo!$B$7)+Resumo!$B$9+Resumo!$B$10*CEILING(AR$3/100,1)+(Resumo!$B$12+Resumo!$B$14)*CEILING(AR$3,1))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7" s="12" t="n">
        <f aca="false">(AF27+AS$4*(Resumo!$C$6+Resumo!$C$7+Resumo!$C$8)+Resumo!$C$10*CEILING(AS$3/100,1)+Resumo!$C$9+Resumo!$C$13+Resumo!$C$14*CEILING(AS$3,1))*(1+Resumo!$C$11)-(AS$4*(Resumo!$B$6+Resumo!$B$7)+Resumo!$B$9+Resumo!$B$10*CEILING(AS$3/100,1)+(Resumo!$B$12+Resumo!$B$14)*CEILING(AS$3,1))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7" s="12" t="n">
        <f aca="false">(AG27+AT$4*(Resumo!$C$6+Resumo!$C$7+Resumo!$C$8)+Resumo!$C$10*CEILING(AT$3/100,1)+Resumo!$C$9+Resumo!$C$13+Resumo!$C$14*CEILING(AT$3,1))*(1+Resumo!$C$11)-(AT$4*(Resumo!$B$6+Resumo!$B$7)+Resumo!$B$9+Resumo!$B$10*CEILING(AT$3/100,1)+(Resumo!$B$12+Resumo!$B$14)*CEILING(AT$3,1))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7" s="13" t="n">
        <f aca="false">1-AH27/H27</f>
        <v>0.378323181202178</v>
      </c>
      <c r="AV27" s="13" t="n">
        <f aca="false">1-AI27/I27</f>
        <v>0.288232407107481</v>
      </c>
      <c r="AW27" s="13" t="n">
        <f aca="false">1-AJ27/J27</f>
        <v>0.237729035414002</v>
      </c>
      <c r="AX27" s="13" t="n">
        <f aca="false">1-AK27/K27</f>
        <v>0.276945351713686</v>
      </c>
      <c r="AY27" s="13" t="n">
        <f aca="false">1-AL27/L27</f>
        <v>0.289353851755188</v>
      </c>
      <c r="AZ27" s="13" t="n">
        <f aca="false">1-AM27/M27</f>
        <v>0.295457171027903</v>
      </c>
      <c r="BA27" s="13" t="n">
        <f aca="false">1-AN27/N27</f>
        <v>0.298005489283024</v>
      </c>
      <c r="BB27" s="13" t="n">
        <f aca="false">1-AO27/O27</f>
        <v>0.31773058045435</v>
      </c>
      <c r="BC27" s="13" t="n">
        <f aca="false">1-AP27/P27</f>
        <v>0.404725803447498</v>
      </c>
      <c r="BD27" s="13" t="n">
        <f aca="false">1-AQ27/Q27</f>
        <v>0.39758688828947</v>
      </c>
      <c r="BE27" s="13" t="n">
        <f aca="false">1-AR27/R27</f>
        <v>0.434368401253918</v>
      </c>
      <c r="BF27" s="13" t="n">
        <f aca="false">1-AS27/S27</f>
        <v>0.801276489028213</v>
      </c>
      <c r="BG27" s="13" t="n">
        <f aca="false">1-AT27/T27</f>
        <v>0.477794221798666</v>
      </c>
    </row>
    <row r="28" customFormat="false" ht="15" hidden="false" customHeight="false" outlineLevel="0" collapsed="false">
      <c r="A28" s="4" t="s">
        <v>215</v>
      </c>
      <c r="B28" s="4" t="s">
        <v>234</v>
      </c>
      <c r="C28" s="36" t="n">
        <v>25940000</v>
      </c>
      <c r="D28" s="36" t="n">
        <v>25949999</v>
      </c>
      <c r="E28" s="4" t="s">
        <v>198</v>
      </c>
      <c r="F28" s="4" t="s">
        <v>233</v>
      </c>
      <c r="G28" s="4" t="n">
        <f aca="false">COUNTIFS(Pedidos!$E$2:$E$2224,"&gt;="&amp;C28,Pedidos!$E$2:$E$2224,"&lt;="&amp;D28)</f>
        <v>7</v>
      </c>
      <c r="H28" s="7" t="n">
        <v>89.03</v>
      </c>
      <c r="I28" s="7" t="n">
        <v>103.28</v>
      </c>
      <c r="J28" s="7" t="n">
        <v>108.03</v>
      </c>
      <c r="K28" s="7" t="n">
        <v>117.23</v>
      </c>
      <c r="L28" s="7" t="n">
        <v>127.03</v>
      </c>
      <c r="M28" s="7" t="n">
        <v>136.53</v>
      </c>
      <c r="N28" s="7" t="n">
        <v>146.03</v>
      </c>
      <c r="O28" s="7" t="n">
        <v>167.99</v>
      </c>
      <c r="P28" s="7" t="n">
        <v>201.59</v>
      </c>
      <c r="Q28" s="7" t="n">
        <v>239.25</v>
      </c>
      <c r="R28" s="7" t="n">
        <v>271.15</v>
      </c>
      <c r="S28" s="7" t="n">
        <v>319</v>
      </c>
      <c r="T28" s="7" t="n">
        <v>398.74</v>
      </c>
      <c r="U28" s="7" t="n">
        <v>46.95</v>
      </c>
      <c r="V28" s="7" t="n">
        <v>65.63</v>
      </c>
      <c r="W28" s="7" t="n">
        <v>74.97</v>
      </c>
      <c r="X28" s="7" t="n">
        <v>77.7</v>
      </c>
      <c r="Y28" s="7" t="n">
        <v>83.58</v>
      </c>
      <c r="Z28" s="7" t="n">
        <v>90.2</v>
      </c>
      <c r="AA28" s="7" t="n">
        <v>96.77</v>
      </c>
      <c r="AB28" s="7" t="n">
        <v>109.63</v>
      </c>
      <c r="AC28" s="7" t="n">
        <v>119.5</v>
      </c>
      <c r="AD28" s="7" t="n">
        <v>144.24</v>
      </c>
      <c r="AE28" s="7" t="n">
        <v>155.09</v>
      </c>
      <c r="AF28" s="7" t="n">
        <v>66.69</v>
      </c>
      <c r="AG28" s="7" t="n">
        <v>214.88</v>
      </c>
      <c r="AH28" s="12" t="n">
        <f aca="false">(U28+AH$4*(Resumo!$C$6+Resumo!$C$7+Resumo!$C$8)+Resumo!$C$10*CEILING(AH$3/100,1)+Resumo!$C$9+Resumo!$C$13+Resumo!$C$14*CEILING(AH$3,1))*(1+Resumo!$C$11)-(AH$4*(Resumo!$B$6+Resumo!$B$7)+Resumo!$B$9+Resumo!$B$10*CEILING(AH$3/100,1)+(Resumo!$B$12+Resumo!$B$14)*CEILING(AH$3,1))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8" s="12" t="n">
        <f aca="false">(V28+AI$4*(Resumo!$C$6+Resumo!$C$7+Resumo!$C$8)+Resumo!$C$10*CEILING(AI$3/100,1)+Resumo!$C$9+Resumo!$C$13+Resumo!$C$14*CEILING(AI$3,1))*(1+Resumo!$C$11)-(AI$4*(Resumo!$B$6+Resumo!$B$7)+Resumo!$B$9+Resumo!$B$10*CEILING(AI$3/100,1)+(Resumo!$B$12+Resumo!$B$14)*CEILING(AI$3,1))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8" s="12" t="n">
        <f aca="false">(W28+AJ$4*(Resumo!$C$6+Resumo!$C$7+Resumo!$C$8)+Resumo!$C$10*CEILING(AJ$3/100,1)+Resumo!$C$9+Resumo!$C$13+Resumo!$C$14*CEILING(AJ$3,1))*(1+Resumo!$C$11)-(AJ$4*(Resumo!$B$6+Resumo!$B$7)+Resumo!$B$9+Resumo!$B$10*CEILING(AJ$3/100,1)+(Resumo!$B$12+Resumo!$B$14)*CEILING(AJ$3,1))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8" s="12" t="n">
        <f aca="false">(X28+AK$4*(Resumo!$C$6+Resumo!$C$7+Resumo!$C$8)+Resumo!$C$10*CEILING(AK$3/100,1)+Resumo!$C$9+Resumo!$C$13+Resumo!$C$14*CEILING(AK$3,1))*(1+Resumo!$C$11)-(AK$4*(Resumo!$B$6+Resumo!$B$7)+Resumo!$B$9+Resumo!$B$10*CEILING(AK$3/100,1)+(Resumo!$B$12+Resumo!$B$14)*CEILING(AK$3,1))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8" s="12" t="n">
        <f aca="false">(Y28+AL$4*(Resumo!$C$6+Resumo!$C$7+Resumo!$C$8)+Resumo!$C$10*CEILING(AL$3/100,1)+Resumo!$C$9+Resumo!$C$13+Resumo!$C$14*CEILING(AL$3,1))*(1+Resumo!$C$11)-(AL$4*(Resumo!$B$6+Resumo!$B$7)+Resumo!$B$9+Resumo!$B$10*CEILING(AL$3/100,1)+(Resumo!$B$12+Resumo!$B$14)*CEILING(AL$3,1))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8" s="12" t="n">
        <f aca="false">(Z28+AM$4*(Resumo!$C$6+Resumo!$C$7+Resumo!$C$8)+Resumo!$C$10*CEILING(AM$3/100,1)+Resumo!$C$9+Resumo!$C$13+Resumo!$C$14*CEILING(AM$3,1))*(1+Resumo!$C$11)-(AM$4*(Resumo!$B$6+Resumo!$B$7)+Resumo!$B$9+Resumo!$B$10*CEILING(AM$3/100,1)+(Resumo!$B$12+Resumo!$B$14)*CEILING(AM$3,1))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8" s="12" t="n">
        <f aca="false">(AA28+AN$4*(Resumo!$C$6+Resumo!$C$7+Resumo!$C$8)+Resumo!$C$10*CEILING(AN$3/100,1)+Resumo!$C$9+Resumo!$C$13+Resumo!$C$14*CEILING(AN$3,1))*(1+Resumo!$C$11)-(AN$4*(Resumo!$B$6+Resumo!$B$7)+Resumo!$B$9+Resumo!$B$10*CEILING(AN$3/100,1)+(Resumo!$B$12+Resumo!$B$14)*CEILING(AN$3,1))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8" s="12" t="n">
        <f aca="false">(AB28+AO$4*(Resumo!$C$6+Resumo!$C$7+Resumo!$C$8)+Resumo!$C$10*CEILING(AO$3/100,1)+Resumo!$C$9+Resumo!$C$13+Resumo!$C$14*CEILING(AO$3,1))*(1+Resumo!$C$11)-(AO$4*(Resumo!$B$6+Resumo!$B$7)+Resumo!$B$9+Resumo!$B$10*CEILING(AO$3/100,1)+(Resumo!$B$12+Resumo!$B$14)*CEILING(AO$3,1))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8" s="12" t="n">
        <f aca="false">(AC28+AP$4*(Resumo!$C$6+Resumo!$C$7+Resumo!$C$8)+Resumo!$C$10*CEILING(AP$3/100,1)+Resumo!$C$9+Resumo!$C$13+Resumo!$C$14*CEILING(AP$3,1))*(1+Resumo!$C$11)-(AP$4*(Resumo!$B$6+Resumo!$B$7)+Resumo!$B$9+Resumo!$B$10*CEILING(AP$3/100,1)+(Resumo!$B$12+Resumo!$B$14)*CEILING(AP$3,1))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8" s="12" t="n">
        <f aca="false">(AD28+AQ$4*(Resumo!$C$6+Resumo!$C$7+Resumo!$C$8)+Resumo!$C$10*CEILING(AQ$3/100,1)+Resumo!$C$9+Resumo!$C$13+Resumo!$C$14*CEILING(AQ$3,1))*(1+Resumo!$C$11)-(AQ$4*(Resumo!$B$6+Resumo!$B$7)+Resumo!$B$9+Resumo!$B$10*CEILING(AQ$3/100,1)+(Resumo!$B$12+Resumo!$B$14)*CEILING(AQ$3,1))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8" s="12" t="n">
        <f aca="false">(AE28+AR$4*(Resumo!$C$6+Resumo!$C$7+Resumo!$C$8)+Resumo!$C$10*CEILING(AR$3/100,1)+Resumo!$C$9+Resumo!$C$13+Resumo!$C$14*CEILING(AR$3,1))*(1+Resumo!$C$11)-(AR$4*(Resumo!$B$6+Resumo!$B$7)+Resumo!$B$9+Resumo!$B$10*CEILING(AR$3/100,1)+(Resumo!$B$12+Resumo!$B$14)*CEILING(AR$3,1))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8" s="12" t="n">
        <f aca="false">(AF28+AS$4*(Resumo!$C$6+Resumo!$C$7+Resumo!$C$8)+Resumo!$C$10*CEILING(AS$3/100,1)+Resumo!$C$9+Resumo!$C$13+Resumo!$C$14*CEILING(AS$3,1))*(1+Resumo!$C$11)-(AS$4*(Resumo!$B$6+Resumo!$B$7)+Resumo!$B$9+Resumo!$B$10*CEILING(AS$3/100,1)+(Resumo!$B$12+Resumo!$B$14)*CEILING(AS$3,1))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8" s="12" t="n">
        <f aca="false">(AG28+AT$4*(Resumo!$C$6+Resumo!$C$7+Resumo!$C$8)+Resumo!$C$10*CEILING(AT$3/100,1)+Resumo!$C$9+Resumo!$C$13+Resumo!$C$14*CEILING(AT$3,1))*(1+Resumo!$C$11)-(AT$4*(Resumo!$B$6+Resumo!$B$7)+Resumo!$B$9+Resumo!$B$10*CEILING(AT$3/100,1)+(Resumo!$B$12+Resumo!$B$14)*CEILING(AT$3,1))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8" s="13" t="n">
        <f aca="false">1-AH28/H28</f>
        <v>0.378323181202178</v>
      </c>
      <c r="AV28" s="13" t="n">
        <f aca="false">1-AI28/I28</f>
        <v>0.288232407107481</v>
      </c>
      <c r="AW28" s="13" t="n">
        <f aca="false">1-AJ28/J28</f>
        <v>0.237729035414002</v>
      </c>
      <c r="AX28" s="13" t="n">
        <f aca="false">1-AK28/K28</f>
        <v>0.276945351713686</v>
      </c>
      <c r="AY28" s="13" t="n">
        <f aca="false">1-AL28/L28</f>
        <v>0.289353851755188</v>
      </c>
      <c r="AZ28" s="13" t="n">
        <f aca="false">1-AM28/M28</f>
        <v>0.295457171027903</v>
      </c>
      <c r="BA28" s="13" t="n">
        <f aca="false">1-AN28/N28</f>
        <v>0.298005489283024</v>
      </c>
      <c r="BB28" s="13" t="n">
        <f aca="false">1-AO28/O28</f>
        <v>0.31773058045435</v>
      </c>
      <c r="BC28" s="13" t="n">
        <f aca="false">1-AP28/P28</f>
        <v>0.404725803447498</v>
      </c>
      <c r="BD28" s="13" t="n">
        <f aca="false">1-AQ28/Q28</f>
        <v>0.39758688828947</v>
      </c>
      <c r="BE28" s="13" t="n">
        <f aca="false">1-AR28/R28</f>
        <v>0.434368401253918</v>
      </c>
      <c r="BF28" s="13" t="n">
        <f aca="false">1-AS28/S28</f>
        <v>0.801276489028213</v>
      </c>
      <c r="BG28" s="13" t="n">
        <f aca="false">1-AT28/T28</f>
        <v>0.477794221798666</v>
      </c>
    </row>
    <row r="29" customFormat="false" ht="15" hidden="false" customHeight="false" outlineLevel="0" collapsed="false">
      <c r="A29" s="4" t="s">
        <v>215</v>
      </c>
      <c r="B29" s="4" t="s">
        <v>235</v>
      </c>
      <c r="C29" s="36" t="n">
        <v>25950000</v>
      </c>
      <c r="D29" s="36" t="n">
        <v>25999999</v>
      </c>
      <c r="E29" s="4" t="s">
        <v>198</v>
      </c>
      <c r="F29" s="4" t="s">
        <v>220</v>
      </c>
      <c r="G29" s="4" t="n">
        <f aca="false">COUNTIFS(Pedidos!$E$2:$E$2224,"&gt;="&amp;C29,Pedidos!$E$2:$E$2224,"&lt;="&amp;D29)</f>
        <v>17</v>
      </c>
      <c r="H29" s="7" t="n">
        <v>106.53</v>
      </c>
      <c r="I29" s="7" t="n">
        <v>120.78</v>
      </c>
      <c r="J29" s="7" t="n">
        <v>125.63</v>
      </c>
      <c r="K29" s="7" t="n">
        <v>135.03</v>
      </c>
      <c r="L29" s="7" t="n">
        <v>144.53</v>
      </c>
      <c r="M29" s="7" t="n">
        <v>166.05</v>
      </c>
      <c r="N29" s="7" t="n">
        <v>166.05</v>
      </c>
      <c r="O29" s="7" t="n">
        <v>197.35</v>
      </c>
      <c r="P29" s="7" t="n">
        <v>236.82</v>
      </c>
      <c r="Q29" s="7" t="n">
        <v>264.84</v>
      </c>
      <c r="R29" s="7" t="n">
        <v>300.15</v>
      </c>
      <c r="S29" s="7" t="n">
        <v>353.12</v>
      </c>
      <c r="T29" s="7" t="n">
        <v>441.4</v>
      </c>
      <c r="U29" s="7" t="n">
        <v>46.95</v>
      </c>
      <c r="V29" s="7" t="n">
        <v>65.63</v>
      </c>
      <c r="W29" s="7" t="n">
        <v>74.97</v>
      </c>
      <c r="X29" s="7" t="n">
        <v>77.7</v>
      </c>
      <c r="Y29" s="7" t="n">
        <v>83.58</v>
      </c>
      <c r="Z29" s="7" t="n">
        <v>90.2</v>
      </c>
      <c r="AA29" s="7" t="n">
        <v>96.77</v>
      </c>
      <c r="AB29" s="7" t="n">
        <v>109.63</v>
      </c>
      <c r="AC29" s="7" t="n">
        <v>119.5</v>
      </c>
      <c r="AD29" s="7" t="n">
        <v>144.24</v>
      </c>
      <c r="AE29" s="7" t="n">
        <v>155.09</v>
      </c>
      <c r="AF29" s="7" t="n">
        <v>66.69</v>
      </c>
      <c r="AG29" s="7" t="n">
        <v>214.88</v>
      </c>
      <c r="AH29" s="12" t="n">
        <f aca="false">(U29+AH$4*(Resumo!$C$6+Resumo!$C$7+Resumo!$C$8)+Resumo!$C$10*CEILING(AH$3/100,1)+Resumo!$C$9+Resumo!$C$13+Resumo!$C$14*CEILING(AH$3,1))*(1+Resumo!$C$11)-(AH$4*(Resumo!$B$6+Resumo!$B$7)+Resumo!$B$9+Resumo!$B$10*CEILING(AH$3/100,1)+(Resumo!$B$12+Resumo!$B$14)*CEILING(AH$3,1))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29" s="12" t="n">
        <f aca="false">(V29+AI$4*(Resumo!$C$6+Resumo!$C$7+Resumo!$C$8)+Resumo!$C$10*CEILING(AI$3/100,1)+Resumo!$C$9+Resumo!$C$13+Resumo!$C$14*CEILING(AI$3,1))*(1+Resumo!$C$11)-(AI$4*(Resumo!$B$6+Resumo!$B$7)+Resumo!$B$9+Resumo!$B$10*CEILING(AI$3/100,1)+(Resumo!$B$12+Resumo!$B$14)*CEILING(AI$3,1))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29" s="12" t="n">
        <f aca="false">(W29+AJ$4*(Resumo!$C$6+Resumo!$C$7+Resumo!$C$8)+Resumo!$C$10*CEILING(AJ$3/100,1)+Resumo!$C$9+Resumo!$C$13+Resumo!$C$14*CEILING(AJ$3,1))*(1+Resumo!$C$11)-(AJ$4*(Resumo!$B$6+Resumo!$B$7)+Resumo!$B$9+Resumo!$B$10*CEILING(AJ$3/100,1)+(Resumo!$B$12+Resumo!$B$14)*CEILING(AJ$3,1))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29" s="12" t="n">
        <f aca="false">(X29+AK$4*(Resumo!$C$6+Resumo!$C$7+Resumo!$C$8)+Resumo!$C$10*CEILING(AK$3/100,1)+Resumo!$C$9+Resumo!$C$13+Resumo!$C$14*CEILING(AK$3,1))*(1+Resumo!$C$11)-(AK$4*(Resumo!$B$6+Resumo!$B$7)+Resumo!$B$9+Resumo!$B$10*CEILING(AK$3/100,1)+(Resumo!$B$12+Resumo!$B$14)*CEILING(AK$3,1))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29" s="12" t="n">
        <f aca="false">(Y29+AL$4*(Resumo!$C$6+Resumo!$C$7+Resumo!$C$8)+Resumo!$C$10*CEILING(AL$3/100,1)+Resumo!$C$9+Resumo!$C$13+Resumo!$C$14*CEILING(AL$3,1))*(1+Resumo!$C$11)-(AL$4*(Resumo!$B$6+Resumo!$B$7)+Resumo!$B$9+Resumo!$B$10*CEILING(AL$3/100,1)+(Resumo!$B$12+Resumo!$B$14)*CEILING(AL$3,1))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29" s="12" t="n">
        <f aca="false">(Z29+AM$4*(Resumo!$C$6+Resumo!$C$7+Resumo!$C$8)+Resumo!$C$10*CEILING(AM$3/100,1)+Resumo!$C$9+Resumo!$C$13+Resumo!$C$14*CEILING(AM$3,1))*(1+Resumo!$C$11)-(AM$4*(Resumo!$B$6+Resumo!$B$7)+Resumo!$B$9+Resumo!$B$10*CEILING(AM$3/100,1)+(Resumo!$B$12+Resumo!$B$14)*CEILING(AM$3,1))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29" s="12" t="n">
        <f aca="false">(AA29+AN$4*(Resumo!$C$6+Resumo!$C$7+Resumo!$C$8)+Resumo!$C$10*CEILING(AN$3/100,1)+Resumo!$C$9+Resumo!$C$13+Resumo!$C$14*CEILING(AN$3,1))*(1+Resumo!$C$11)-(AN$4*(Resumo!$B$6+Resumo!$B$7)+Resumo!$B$9+Resumo!$B$10*CEILING(AN$3/100,1)+(Resumo!$B$12+Resumo!$B$14)*CEILING(AN$3,1))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29" s="12" t="n">
        <f aca="false">(AB29+AO$4*(Resumo!$C$6+Resumo!$C$7+Resumo!$C$8)+Resumo!$C$10*CEILING(AO$3/100,1)+Resumo!$C$9+Resumo!$C$13+Resumo!$C$14*CEILING(AO$3,1))*(1+Resumo!$C$11)-(AO$4*(Resumo!$B$6+Resumo!$B$7)+Resumo!$B$9+Resumo!$B$10*CEILING(AO$3/100,1)+(Resumo!$B$12+Resumo!$B$14)*CEILING(AO$3,1))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29" s="12" t="n">
        <f aca="false">(AC29+AP$4*(Resumo!$C$6+Resumo!$C$7+Resumo!$C$8)+Resumo!$C$10*CEILING(AP$3/100,1)+Resumo!$C$9+Resumo!$C$13+Resumo!$C$14*CEILING(AP$3,1))*(1+Resumo!$C$11)-(AP$4*(Resumo!$B$6+Resumo!$B$7)+Resumo!$B$9+Resumo!$B$10*CEILING(AP$3/100,1)+(Resumo!$B$12+Resumo!$B$14)*CEILING(AP$3,1))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29" s="12" t="n">
        <f aca="false">(AD29+AQ$4*(Resumo!$C$6+Resumo!$C$7+Resumo!$C$8)+Resumo!$C$10*CEILING(AQ$3/100,1)+Resumo!$C$9+Resumo!$C$13+Resumo!$C$14*CEILING(AQ$3,1))*(1+Resumo!$C$11)-(AQ$4*(Resumo!$B$6+Resumo!$B$7)+Resumo!$B$9+Resumo!$B$10*CEILING(AQ$3/100,1)+(Resumo!$B$12+Resumo!$B$14)*CEILING(AQ$3,1))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29" s="12" t="n">
        <f aca="false">(AE29+AR$4*(Resumo!$C$6+Resumo!$C$7+Resumo!$C$8)+Resumo!$C$10*CEILING(AR$3/100,1)+Resumo!$C$9+Resumo!$C$13+Resumo!$C$14*CEILING(AR$3,1))*(1+Resumo!$C$11)-(AR$4*(Resumo!$B$6+Resumo!$B$7)+Resumo!$B$9+Resumo!$B$10*CEILING(AR$3/100,1)+(Resumo!$B$12+Resumo!$B$14)*CEILING(AR$3,1))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29" s="12" t="n">
        <f aca="false">(AF29+AS$4*(Resumo!$C$6+Resumo!$C$7+Resumo!$C$8)+Resumo!$C$10*CEILING(AS$3/100,1)+Resumo!$C$9+Resumo!$C$13+Resumo!$C$14*CEILING(AS$3,1))*(1+Resumo!$C$11)-(AS$4*(Resumo!$B$6+Resumo!$B$7)+Resumo!$B$9+Resumo!$B$10*CEILING(AS$3/100,1)+(Resumo!$B$12+Resumo!$B$14)*CEILING(AS$3,1))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29" s="12" t="n">
        <f aca="false">(AG29+AT$4*(Resumo!$C$6+Resumo!$C$7+Resumo!$C$8)+Resumo!$C$10*CEILING(AT$3/100,1)+Resumo!$C$9+Resumo!$C$13+Resumo!$C$14*CEILING(AT$3,1))*(1+Resumo!$C$11)-(AT$4*(Resumo!$B$6+Resumo!$B$7)+Resumo!$B$9+Resumo!$B$10*CEILING(AT$3/100,1)+(Resumo!$B$12+Resumo!$B$14)*CEILING(AT$3,1))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29" s="13" t="n">
        <f aca="false">1-AH29/H29</f>
        <v>0.480447881558527</v>
      </c>
      <c r="AV29" s="13" t="n">
        <f aca="false">1-AI29/I29</f>
        <v>0.391361508578081</v>
      </c>
      <c r="AW29" s="13" t="n">
        <f aca="false">1-AJ29/J29</f>
        <v>0.34451856798356</v>
      </c>
      <c r="AX29" s="13" t="n">
        <f aca="false">1-AK29/K29</f>
        <v>0.372260264988487</v>
      </c>
      <c r="AY29" s="13" t="n">
        <f aca="false">1-AL29/L29</f>
        <v>0.375400399837138</v>
      </c>
      <c r="AZ29" s="13" t="n">
        <f aca="false">1-AM29/M29</f>
        <v>0.420709229511831</v>
      </c>
      <c r="BA29" s="13" t="n">
        <f aca="false">1-AN29/N29</f>
        <v>0.382642225835592</v>
      </c>
      <c r="BB29" s="13" t="n">
        <f aca="false">1-AO29/O29</f>
        <v>0.419232633445788</v>
      </c>
      <c r="BC29" s="13" t="n">
        <f aca="false">1-AP29/P29</f>
        <v>0.493280443868681</v>
      </c>
      <c r="BD29" s="13" t="n">
        <f aca="false">1-AQ29/Q29</f>
        <v>0.455794679894486</v>
      </c>
      <c r="BE29" s="13" t="n">
        <f aca="false">1-AR29/R29</f>
        <v>0.489018797268033</v>
      </c>
      <c r="BF29" s="13" t="n">
        <f aca="false">1-AS29/S29</f>
        <v>0.820478024467603</v>
      </c>
      <c r="BG29" s="13" t="n">
        <f aca="false">1-AT29/T29</f>
        <v>0.528263860444042</v>
      </c>
    </row>
    <row r="30" customFormat="false" ht="15" hidden="false" customHeight="false" outlineLevel="0" collapsed="false">
      <c r="A30" s="4" t="s">
        <v>215</v>
      </c>
      <c r="B30" s="4" t="s">
        <v>162</v>
      </c>
      <c r="C30" s="36" t="n">
        <v>26000000</v>
      </c>
      <c r="D30" s="36" t="n">
        <v>26099999</v>
      </c>
      <c r="E30" s="4" t="s">
        <v>197</v>
      </c>
      <c r="F30" s="4" t="s">
        <v>216</v>
      </c>
      <c r="G30" s="4" t="n">
        <f aca="false">COUNTIFS(Pedidos!$E$2:$E$2224,"&gt;="&amp;C30,Pedidos!$E$2:$E$2224,"&lt;="&amp;D30)</f>
        <v>40</v>
      </c>
      <c r="H30" s="7" t="n">
        <v>46.98</v>
      </c>
      <c r="I30" s="7" t="n">
        <v>82.21</v>
      </c>
      <c r="J30" s="7" t="n">
        <v>93.97</v>
      </c>
      <c r="K30" s="7" t="n">
        <v>93.97</v>
      </c>
      <c r="L30" s="7" t="n">
        <v>112.3</v>
      </c>
      <c r="M30" s="7" t="n">
        <v>131.02</v>
      </c>
      <c r="N30" s="7" t="n">
        <v>134.39</v>
      </c>
      <c r="O30" s="7" t="n">
        <v>167.99</v>
      </c>
      <c r="P30" s="7" t="n">
        <v>201.59</v>
      </c>
      <c r="Q30" s="7" t="n">
        <v>239.25</v>
      </c>
      <c r="R30" s="7" t="n">
        <v>271.15</v>
      </c>
      <c r="S30" s="7" t="n">
        <v>319</v>
      </c>
      <c r="T30" s="7" t="n">
        <v>398.74</v>
      </c>
      <c r="U30" s="7" t="n">
        <v>42.72</v>
      </c>
      <c r="V30" s="7" t="n">
        <v>58.8</v>
      </c>
      <c r="W30" s="7" t="n">
        <v>66.83</v>
      </c>
      <c r="X30" s="7" t="n">
        <v>65.36</v>
      </c>
      <c r="Y30" s="7" t="n">
        <v>70.98</v>
      </c>
      <c r="Z30" s="7" t="n">
        <v>76.55</v>
      </c>
      <c r="AA30" s="7" t="n">
        <v>82.48</v>
      </c>
      <c r="AB30" s="7" t="n">
        <v>92.32</v>
      </c>
      <c r="AC30" s="7" t="n">
        <v>101.26</v>
      </c>
      <c r="AD30" s="7" t="n">
        <v>129.62</v>
      </c>
      <c r="AE30" s="7" t="n">
        <v>139.81</v>
      </c>
      <c r="AF30" s="7" t="n">
        <v>155.09</v>
      </c>
      <c r="AG30" s="7" t="n">
        <v>194.34</v>
      </c>
      <c r="AH30" s="12" t="n">
        <f aca="false">(U30+AH$4*(Resumo!$C$6+Resumo!$C$7+Resumo!$C$8)+Resumo!$C$10*CEILING(AH$3/100,1)+Resumo!$C$9+Resumo!$C$13+Resumo!$C$14*CEILING(AH$3,1))*(1+Resumo!$C$11)-(AH$4*(Resumo!$B$6+Resumo!$B$7)+Resumo!$B$9+Resumo!$B$10*CEILING(AH$3/100,1)+(Resumo!$B$12+Resumo!$B$14)*CEILING(AH$3,1))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0" s="12" t="n">
        <f aca="false">(V30+AI$4*(Resumo!$C$6+Resumo!$C$7+Resumo!$C$8)+Resumo!$C$10*CEILING(AI$3/100,1)+Resumo!$C$9+Resumo!$C$13+Resumo!$C$14*CEILING(AI$3,1))*(1+Resumo!$C$11)-(AI$4*(Resumo!$B$6+Resumo!$B$7)+Resumo!$B$9+Resumo!$B$10*CEILING(AI$3/100,1)+(Resumo!$B$12+Resumo!$B$14)*CEILING(AI$3,1))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0" s="12" t="n">
        <f aca="false">(W30+AJ$4*(Resumo!$C$6+Resumo!$C$7+Resumo!$C$8)+Resumo!$C$10*CEILING(AJ$3/100,1)+Resumo!$C$9+Resumo!$C$13+Resumo!$C$14*CEILING(AJ$3,1))*(1+Resumo!$C$11)-(AJ$4*(Resumo!$B$6+Resumo!$B$7)+Resumo!$B$9+Resumo!$B$10*CEILING(AJ$3/100,1)+(Resumo!$B$12+Resumo!$B$14)*CEILING(AJ$3,1))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0" s="12" t="n">
        <f aca="false">(X30+AK$4*(Resumo!$C$6+Resumo!$C$7+Resumo!$C$8)+Resumo!$C$10*CEILING(AK$3/100,1)+Resumo!$C$9+Resumo!$C$13+Resumo!$C$14*CEILING(AK$3,1))*(1+Resumo!$C$11)-(AK$4*(Resumo!$B$6+Resumo!$B$7)+Resumo!$B$9+Resumo!$B$10*CEILING(AK$3/100,1)+(Resumo!$B$12+Resumo!$B$14)*CEILING(AK$3,1))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0" s="12" t="n">
        <f aca="false">(Y30+AL$4*(Resumo!$C$6+Resumo!$C$7+Resumo!$C$8)+Resumo!$C$10*CEILING(AL$3/100,1)+Resumo!$C$9+Resumo!$C$13+Resumo!$C$14*CEILING(AL$3,1))*(1+Resumo!$C$11)-(AL$4*(Resumo!$B$6+Resumo!$B$7)+Resumo!$B$9+Resumo!$B$10*CEILING(AL$3/100,1)+(Resumo!$B$12+Resumo!$B$14)*CEILING(AL$3,1))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0" s="12" t="n">
        <f aca="false">(Z30+AM$4*(Resumo!$C$6+Resumo!$C$7+Resumo!$C$8)+Resumo!$C$10*CEILING(AM$3/100,1)+Resumo!$C$9+Resumo!$C$13+Resumo!$C$14*CEILING(AM$3,1))*(1+Resumo!$C$11)-(AM$4*(Resumo!$B$6+Resumo!$B$7)+Resumo!$B$9+Resumo!$B$10*CEILING(AM$3/100,1)+(Resumo!$B$12+Resumo!$B$14)*CEILING(AM$3,1))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0" s="12" t="n">
        <f aca="false">(AA30+AN$4*(Resumo!$C$6+Resumo!$C$7+Resumo!$C$8)+Resumo!$C$10*CEILING(AN$3/100,1)+Resumo!$C$9+Resumo!$C$13+Resumo!$C$14*CEILING(AN$3,1))*(1+Resumo!$C$11)-(AN$4*(Resumo!$B$6+Resumo!$B$7)+Resumo!$B$9+Resumo!$B$10*CEILING(AN$3/100,1)+(Resumo!$B$12+Resumo!$B$14)*CEILING(AN$3,1))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0" s="12" t="n">
        <f aca="false">(AB30+AO$4*(Resumo!$C$6+Resumo!$C$7+Resumo!$C$8)+Resumo!$C$10*CEILING(AO$3/100,1)+Resumo!$C$9+Resumo!$C$13+Resumo!$C$14*CEILING(AO$3,1))*(1+Resumo!$C$11)-(AO$4*(Resumo!$B$6+Resumo!$B$7)+Resumo!$B$9+Resumo!$B$10*CEILING(AO$3/100,1)+(Resumo!$B$12+Resumo!$B$14)*CEILING(AO$3,1))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0" s="12" t="n">
        <f aca="false">(AC30+AP$4*(Resumo!$C$6+Resumo!$C$7+Resumo!$C$8)+Resumo!$C$10*CEILING(AP$3/100,1)+Resumo!$C$9+Resumo!$C$13+Resumo!$C$14*CEILING(AP$3,1))*(1+Resumo!$C$11)-(AP$4*(Resumo!$B$6+Resumo!$B$7)+Resumo!$B$9+Resumo!$B$10*CEILING(AP$3/100,1)+(Resumo!$B$12+Resumo!$B$14)*CEILING(AP$3,1))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0" s="12" t="n">
        <f aca="false">(AD30+AQ$4*(Resumo!$C$6+Resumo!$C$7+Resumo!$C$8)+Resumo!$C$10*CEILING(AQ$3/100,1)+Resumo!$C$9+Resumo!$C$13+Resumo!$C$14*CEILING(AQ$3,1))*(1+Resumo!$C$11)-(AQ$4*(Resumo!$B$6+Resumo!$B$7)+Resumo!$B$9+Resumo!$B$10*CEILING(AQ$3/100,1)+(Resumo!$B$12+Resumo!$B$14)*CEILING(AQ$3,1))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0" s="12" t="n">
        <f aca="false">(AE30+AR$4*(Resumo!$C$6+Resumo!$C$7+Resumo!$C$8)+Resumo!$C$10*CEILING(AR$3/100,1)+Resumo!$C$9+Resumo!$C$13+Resumo!$C$14*CEILING(AR$3,1))*(1+Resumo!$C$11)-(AR$4*(Resumo!$B$6+Resumo!$B$7)+Resumo!$B$9+Resumo!$B$10*CEILING(AR$3/100,1)+(Resumo!$B$12+Resumo!$B$14)*CEILING(AR$3,1))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0" s="12" t="n">
        <f aca="false">(AF30+AS$4*(Resumo!$C$6+Resumo!$C$7+Resumo!$C$8)+Resumo!$C$10*CEILING(AS$3/100,1)+Resumo!$C$9+Resumo!$C$13+Resumo!$C$14*CEILING(AS$3,1))*(1+Resumo!$C$11)-(AS$4*(Resumo!$B$6+Resumo!$B$7)+Resumo!$B$9+Resumo!$B$10*CEILING(AS$3/100,1)+(Resumo!$B$12+Resumo!$B$14)*CEILING(AS$3,1))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0" s="12" t="n">
        <f aca="false">(AG30+AT$4*(Resumo!$C$6+Resumo!$C$7+Resumo!$C$8)+Resumo!$C$10*CEILING(AT$3/100,1)+Resumo!$C$9+Resumo!$C$13+Resumo!$C$14*CEILING(AT$3,1))*(1+Resumo!$C$11)-(AT$4*(Resumo!$B$6+Resumo!$B$7)+Resumo!$B$9+Resumo!$B$10*CEILING(AT$3/100,1)+(Resumo!$B$12+Resumo!$B$14)*CEILING(AT$3,1))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0" s="13" t="n">
        <f aca="false">1-AH30/H30</f>
        <v>-0.0880776325578989</v>
      </c>
      <c r="AV30" s="13" t="n">
        <f aca="false">1-AI30/I30</f>
        <v>0.188889952634237</v>
      </c>
      <c r="AW30" s="13" t="n">
        <f aca="false">1-AJ30/J30</f>
        <v>0.210299752003561</v>
      </c>
      <c r="AX30" s="13" t="n">
        <f aca="false">1-AK30/K30</f>
        <v>0.229289172942379</v>
      </c>
      <c r="AY30" s="13" t="n">
        <f aca="false">1-AL30/L30</f>
        <v>0.30834033649565</v>
      </c>
      <c r="AZ30" s="13" t="n">
        <f aca="false">1-AM30/M30</f>
        <v>0.370010437799111</v>
      </c>
      <c r="BA30" s="13" t="n">
        <f aca="false">1-AN30/N30</f>
        <v>0.343535542823127</v>
      </c>
      <c r="BB30" s="13" t="n">
        <f aca="false">1-AO30/O30</f>
        <v>0.420772428183382</v>
      </c>
      <c r="BC30" s="13" t="n">
        <f aca="false">1-AP30/P30</f>
        <v>0.495206482052588</v>
      </c>
      <c r="BD30" s="13" t="n">
        <f aca="false">1-AQ30/Q30</f>
        <v>0.45869451629365</v>
      </c>
      <c r="BE30" s="13" t="n">
        <f aca="false">1-AR30/R30</f>
        <v>0.490720973630831</v>
      </c>
      <c r="BF30" s="13" t="n">
        <f aca="false">1-AS30/S30</f>
        <v>0.524160501567398</v>
      </c>
      <c r="BG30" s="13" t="n">
        <f aca="false">1-AT30/T30</f>
        <v>0.529306485429102</v>
      </c>
    </row>
    <row r="31" customFormat="false" ht="15" hidden="false" customHeight="false" outlineLevel="0" collapsed="false">
      <c r="A31" s="4" t="s">
        <v>215</v>
      </c>
      <c r="B31" s="4" t="s">
        <v>165</v>
      </c>
      <c r="C31" s="36" t="n">
        <v>26100000</v>
      </c>
      <c r="D31" s="36" t="n">
        <v>26199999</v>
      </c>
      <c r="E31" s="4" t="s">
        <v>197</v>
      </c>
      <c r="F31" s="4" t="s">
        <v>216</v>
      </c>
      <c r="G31" s="4" t="n">
        <f aca="false">COUNTIFS(Pedidos!$E$2:$E$2224,"&gt;="&amp;C31,Pedidos!$E$2:$E$2224,"&lt;="&amp;D31)</f>
        <v>49</v>
      </c>
      <c r="H31" s="7" t="n">
        <v>46.98</v>
      </c>
      <c r="I31" s="7" t="n">
        <v>82.21</v>
      </c>
      <c r="J31" s="7" t="n">
        <v>93.97</v>
      </c>
      <c r="K31" s="7" t="n">
        <v>93.97</v>
      </c>
      <c r="L31" s="7" t="n">
        <v>112.3</v>
      </c>
      <c r="M31" s="7" t="n">
        <v>131.02</v>
      </c>
      <c r="N31" s="7" t="n">
        <v>134.39</v>
      </c>
      <c r="O31" s="7" t="n">
        <v>167.99</v>
      </c>
      <c r="P31" s="7" t="n">
        <v>201.59</v>
      </c>
      <c r="Q31" s="7" t="n">
        <v>239.25</v>
      </c>
      <c r="R31" s="7" t="n">
        <v>271.15</v>
      </c>
      <c r="S31" s="7" t="n">
        <v>319</v>
      </c>
      <c r="T31" s="7" t="n">
        <v>398.74</v>
      </c>
      <c r="U31" s="7" t="n">
        <v>42.72</v>
      </c>
      <c r="V31" s="7" t="n">
        <v>58.8</v>
      </c>
      <c r="W31" s="7" t="n">
        <v>66.83</v>
      </c>
      <c r="X31" s="7" t="n">
        <v>65.36</v>
      </c>
      <c r="Y31" s="7" t="n">
        <v>70.98</v>
      </c>
      <c r="Z31" s="7" t="n">
        <v>76.55</v>
      </c>
      <c r="AA31" s="7" t="n">
        <v>82.48</v>
      </c>
      <c r="AB31" s="7" t="n">
        <v>92.32</v>
      </c>
      <c r="AC31" s="7" t="n">
        <v>101.26</v>
      </c>
      <c r="AD31" s="7" t="n">
        <v>129.62</v>
      </c>
      <c r="AE31" s="7" t="n">
        <v>139.81</v>
      </c>
      <c r="AF31" s="7" t="n">
        <v>155.09</v>
      </c>
      <c r="AG31" s="7" t="n">
        <v>194.34</v>
      </c>
      <c r="AH31" s="12" t="n">
        <f aca="false">(U31+AH$4*(Resumo!$C$6+Resumo!$C$7+Resumo!$C$8)+Resumo!$C$10*CEILING(AH$3/100,1)+Resumo!$C$9+Resumo!$C$13+Resumo!$C$14*CEILING(AH$3,1))*(1+Resumo!$C$11)-(AH$4*(Resumo!$B$6+Resumo!$B$7)+Resumo!$B$9+Resumo!$B$10*CEILING(AH$3/100,1)+(Resumo!$B$12+Resumo!$B$14)*CEILING(AH$3,1))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1" s="12" t="n">
        <f aca="false">(V31+AI$4*(Resumo!$C$6+Resumo!$C$7+Resumo!$C$8)+Resumo!$C$10*CEILING(AI$3/100,1)+Resumo!$C$9+Resumo!$C$13+Resumo!$C$14*CEILING(AI$3,1))*(1+Resumo!$C$11)-(AI$4*(Resumo!$B$6+Resumo!$B$7)+Resumo!$B$9+Resumo!$B$10*CEILING(AI$3/100,1)+(Resumo!$B$12+Resumo!$B$14)*CEILING(AI$3,1))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1" s="12" t="n">
        <f aca="false">(W31+AJ$4*(Resumo!$C$6+Resumo!$C$7+Resumo!$C$8)+Resumo!$C$10*CEILING(AJ$3/100,1)+Resumo!$C$9+Resumo!$C$13+Resumo!$C$14*CEILING(AJ$3,1))*(1+Resumo!$C$11)-(AJ$4*(Resumo!$B$6+Resumo!$B$7)+Resumo!$B$9+Resumo!$B$10*CEILING(AJ$3/100,1)+(Resumo!$B$12+Resumo!$B$14)*CEILING(AJ$3,1))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1" s="12" t="n">
        <f aca="false">(X31+AK$4*(Resumo!$C$6+Resumo!$C$7+Resumo!$C$8)+Resumo!$C$10*CEILING(AK$3/100,1)+Resumo!$C$9+Resumo!$C$13+Resumo!$C$14*CEILING(AK$3,1))*(1+Resumo!$C$11)-(AK$4*(Resumo!$B$6+Resumo!$B$7)+Resumo!$B$9+Resumo!$B$10*CEILING(AK$3/100,1)+(Resumo!$B$12+Resumo!$B$14)*CEILING(AK$3,1))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1" s="12" t="n">
        <f aca="false">(Y31+AL$4*(Resumo!$C$6+Resumo!$C$7+Resumo!$C$8)+Resumo!$C$10*CEILING(AL$3/100,1)+Resumo!$C$9+Resumo!$C$13+Resumo!$C$14*CEILING(AL$3,1))*(1+Resumo!$C$11)-(AL$4*(Resumo!$B$6+Resumo!$B$7)+Resumo!$B$9+Resumo!$B$10*CEILING(AL$3/100,1)+(Resumo!$B$12+Resumo!$B$14)*CEILING(AL$3,1))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1" s="12" t="n">
        <f aca="false">(Z31+AM$4*(Resumo!$C$6+Resumo!$C$7+Resumo!$C$8)+Resumo!$C$10*CEILING(AM$3/100,1)+Resumo!$C$9+Resumo!$C$13+Resumo!$C$14*CEILING(AM$3,1))*(1+Resumo!$C$11)-(AM$4*(Resumo!$B$6+Resumo!$B$7)+Resumo!$B$9+Resumo!$B$10*CEILING(AM$3/100,1)+(Resumo!$B$12+Resumo!$B$14)*CEILING(AM$3,1))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1" s="12" t="n">
        <f aca="false">(AA31+AN$4*(Resumo!$C$6+Resumo!$C$7+Resumo!$C$8)+Resumo!$C$10*CEILING(AN$3/100,1)+Resumo!$C$9+Resumo!$C$13+Resumo!$C$14*CEILING(AN$3,1))*(1+Resumo!$C$11)-(AN$4*(Resumo!$B$6+Resumo!$B$7)+Resumo!$B$9+Resumo!$B$10*CEILING(AN$3/100,1)+(Resumo!$B$12+Resumo!$B$14)*CEILING(AN$3,1))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1" s="12" t="n">
        <f aca="false">(AB31+AO$4*(Resumo!$C$6+Resumo!$C$7+Resumo!$C$8)+Resumo!$C$10*CEILING(AO$3/100,1)+Resumo!$C$9+Resumo!$C$13+Resumo!$C$14*CEILING(AO$3,1))*(1+Resumo!$C$11)-(AO$4*(Resumo!$B$6+Resumo!$B$7)+Resumo!$B$9+Resumo!$B$10*CEILING(AO$3/100,1)+(Resumo!$B$12+Resumo!$B$14)*CEILING(AO$3,1))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1" s="12" t="n">
        <f aca="false">(AC31+AP$4*(Resumo!$C$6+Resumo!$C$7+Resumo!$C$8)+Resumo!$C$10*CEILING(AP$3/100,1)+Resumo!$C$9+Resumo!$C$13+Resumo!$C$14*CEILING(AP$3,1))*(1+Resumo!$C$11)-(AP$4*(Resumo!$B$6+Resumo!$B$7)+Resumo!$B$9+Resumo!$B$10*CEILING(AP$3/100,1)+(Resumo!$B$12+Resumo!$B$14)*CEILING(AP$3,1))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1" s="12" t="n">
        <f aca="false">(AD31+AQ$4*(Resumo!$C$6+Resumo!$C$7+Resumo!$C$8)+Resumo!$C$10*CEILING(AQ$3/100,1)+Resumo!$C$9+Resumo!$C$13+Resumo!$C$14*CEILING(AQ$3,1))*(1+Resumo!$C$11)-(AQ$4*(Resumo!$B$6+Resumo!$B$7)+Resumo!$B$9+Resumo!$B$10*CEILING(AQ$3/100,1)+(Resumo!$B$12+Resumo!$B$14)*CEILING(AQ$3,1))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1" s="12" t="n">
        <f aca="false">(AE31+AR$4*(Resumo!$C$6+Resumo!$C$7+Resumo!$C$8)+Resumo!$C$10*CEILING(AR$3/100,1)+Resumo!$C$9+Resumo!$C$13+Resumo!$C$14*CEILING(AR$3,1))*(1+Resumo!$C$11)-(AR$4*(Resumo!$B$6+Resumo!$B$7)+Resumo!$B$9+Resumo!$B$10*CEILING(AR$3/100,1)+(Resumo!$B$12+Resumo!$B$14)*CEILING(AR$3,1))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1" s="12" t="n">
        <f aca="false">(AF31+AS$4*(Resumo!$C$6+Resumo!$C$7+Resumo!$C$8)+Resumo!$C$10*CEILING(AS$3/100,1)+Resumo!$C$9+Resumo!$C$13+Resumo!$C$14*CEILING(AS$3,1))*(1+Resumo!$C$11)-(AS$4*(Resumo!$B$6+Resumo!$B$7)+Resumo!$B$9+Resumo!$B$10*CEILING(AS$3/100,1)+(Resumo!$B$12+Resumo!$B$14)*CEILING(AS$3,1))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1" s="12" t="n">
        <f aca="false">(AG31+AT$4*(Resumo!$C$6+Resumo!$C$7+Resumo!$C$8)+Resumo!$C$10*CEILING(AT$3/100,1)+Resumo!$C$9+Resumo!$C$13+Resumo!$C$14*CEILING(AT$3,1))*(1+Resumo!$C$11)-(AT$4*(Resumo!$B$6+Resumo!$B$7)+Resumo!$B$9+Resumo!$B$10*CEILING(AT$3/100,1)+(Resumo!$B$12+Resumo!$B$14)*CEILING(AT$3,1))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1" s="13" t="n">
        <f aca="false">1-AH31/H31</f>
        <v>-0.0880776325578989</v>
      </c>
      <c r="AV31" s="13" t="n">
        <f aca="false">1-AI31/I31</f>
        <v>0.188889952634237</v>
      </c>
      <c r="AW31" s="13" t="n">
        <f aca="false">1-AJ31/J31</f>
        <v>0.210299752003561</v>
      </c>
      <c r="AX31" s="13" t="n">
        <f aca="false">1-AK31/K31</f>
        <v>0.229289172942379</v>
      </c>
      <c r="AY31" s="13" t="n">
        <f aca="false">1-AL31/L31</f>
        <v>0.30834033649565</v>
      </c>
      <c r="AZ31" s="13" t="n">
        <f aca="false">1-AM31/M31</f>
        <v>0.370010437799111</v>
      </c>
      <c r="BA31" s="13" t="n">
        <f aca="false">1-AN31/N31</f>
        <v>0.343535542823127</v>
      </c>
      <c r="BB31" s="13" t="n">
        <f aca="false">1-AO31/O31</f>
        <v>0.420772428183382</v>
      </c>
      <c r="BC31" s="13" t="n">
        <f aca="false">1-AP31/P31</f>
        <v>0.495206482052588</v>
      </c>
      <c r="BD31" s="13" t="n">
        <f aca="false">1-AQ31/Q31</f>
        <v>0.45869451629365</v>
      </c>
      <c r="BE31" s="13" t="n">
        <f aca="false">1-AR31/R31</f>
        <v>0.490720973630831</v>
      </c>
      <c r="BF31" s="13" t="n">
        <f aca="false">1-AS31/S31</f>
        <v>0.524160501567398</v>
      </c>
      <c r="BG31" s="13" t="n">
        <f aca="false">1-AT31/T31</f>
        <v>0.529306485429102</v>
      </c>
    </row>
    <row r="32" customFormat="false" ht="15" hidden="false" customHeight="false" outlineLevel="0" collapsed="false">
      <c r="A32" s="4" t="s">
        <v>215</v>
      </c>
      <c r="B32" s="4" t="s">
        <v>162</v>
      </c>
      <c r="C32" s="36" t="n">
        <v>26200000</v>
      </c>
      <c r="D32" s="36" t="n">
        <v>26299999</v>
      </c>
      <c r="E32" s="4" t="s">
        <v>197</v>
      </c>
      <c r="F32" s="4" t="s">
        <v>216</v>
      </c>
      <c r="G32" s="4" t="n">
        <f aca="false">COUNTIFS(Pedidos!$E$2:$E$2224,"&gt;="&amp;C32,Pedidos!$E$2:$E$2224,"&lt;="&amp;D32)</f>
        <v>55</v>
      </c>
      <c r="H32" s="7" t="n">
        <v>46.98</v>
      </c>
      <c r="I32" s="7" t="n">
        <v>82.21</v>
      </c>
      <c r="J32" s="7" t="n">
        <v>93.97</v>
      </c>
      <c r="K32" s="7" t="n">
        <v>93.97</v>
      </c>
      <c r="L32" s="7" t="n">
        <v>112.3</v>
      </c>
      <c r="M32" s="7" t="n">
        <v>131.02</v>
      </c>
      <c r="N32" s="7" t="n">
        <v>134.39</v>
      </c>
      <c r="O32" s="7" t="n">
        <v>167.99</v>
      </c>
      <c r="P32" s="7" t="n">
        <v>201.59</v>
      </c>
      <c r="Q32" s="7" t="n">
        <v>239.25</v>
      </c>
      <c r="R32" s="7" t="n">
        <v>271.15</v>
      </c>
      <c r="S32" s="7" t="n">
        <v>319</v>
      </c>
      <c r="T32" s="7" t="n">
        <v>398.74</v>
      </c>
      <c r="U32" s="7" t="n">
        <v>42.72</v>
      </c>
      <c r="V32" s="7" t="n">
        <v>58.8</v>
      </c>
      <c r="W32" s="7" t="n">
        <v>66.83</v>
      </c>
      <c r="X32" s="7" t="n">
        <v>65.36</v>
      </c>
      <c r="Y32" s="7" t="n">
        <v>70.98</v>
      </c>
      <c r="Z32" s="7" t="n">
        <v>76.55</v>
      </c>
      <c r="AA32" s="7" t="n">
        <v>82.48</v>
      </c>
      <c r="AB32" s="7" t="n">
        <v>92.32</v>
      </c>
      <c r="AC32" s="7" t="n">
        <v>101.26</v>
      </c>
      <c r="AD32" s="7" t="n">
        <v>129.62</v>
      </c>
      <c r="AE32" s="7" t="n">
        <v>139.81</v>
      </c>
      <c r="AF32" s="7" t="n">
        <v>155.09</v>
      </c>
      <c r="AG32" s="7" t="n">
        <v>194.34</v>
      </c>
      <c r="AH32" s="12" t="n">
        <f aca="false">(U32+AH$4*(Resumo!$C$6+Resumo!$C$7+Resumo!$C$8)+Resumo!$C$10*CEILING(AH$3/100,1)+Resumo!$C$9+Resumo!$C$13+Resumo!$C$14*CEILING(AH$3,1))*(1+Resumo!$C$11)-(AH$4*(Resumo!$B$6+Resumo!$B$7)+Resumo!$B$9+Resumo!$B$10*CEILING(AH$3/100,1)+(Resumo!$B$12+Resumo!$B$14)*CEILING(AH$3,1))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2" s="12" t="n">
        <f aca="false">(V32+AI$4*(Resumo!$C$6+Resumo!$C$7+Resumo!$C$8)+Resumo!$C$10*CEILING(AI$3/100,1)+Resumo!$C$9+Resumo!$C$13+Resumo!$C$14*CEILING(AI$3,1))*(1+Resumo!$C$11)-(AI$4*(Resumo!$B$6+Resumo!$B$7)+Resumo!$B$9+Resumo!$B$10*CEILING(AI$3/100,1)+(Resumo!$B$12+Resumo!$B$14)*CEILING(AI$3,1))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2" s="12" t="n">
        <f aca="false">(W32+AJ$4*(Resumo!$C$6+Resumo!$C$7+Resumo!$C$8)+Resumo!$C$10*CEILING(AJ$3/100,1)+Resumo!$C$9+Resumo!$C$13+Resumo!$C$14*CEILING(AJ$3,1))*(1+Resumo!$C$11)-(AJ$4*(Resumo!$B$6+Resumo!$B$7)+Resumo!$B$9+Resumo!$B$10*CEILING(AJ$3/100,1)+(Resumo!$B$12+Resumo!$B$14)*CEILING(AJ$3,1))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2" s="12" t="n">
        <f aca="false">(X32+AK$4*(Resumo!$C$6+Resumo!$C$7+Resumo!$C$8)+Resumo!$C$10*CEILING(AK$3/100,1)+Resumo!$C$9+Resumo!$C$13+Resumo!$C$14*CEILING(AK$3,1))*(1+Resumo!$C$11)-(AK$4*(Resumo!$B$6+Resumo!$B$7)+Resumo!$B$9+Resumo!$B$10*CEILING(AK$3/100,1)+(Resumo!$B$12+Resumo!$B$14)*CEILING(AK$3,1))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2" s="12" t="n">
        <f aca="false">(Y32+AL$4*(Resumo!$C$6+Resumo!$C$7+Resumo!$C$8)+Resumo!$C$10*CEILING(AL$3/100,1)+Resumo!$C$9+Resumo!$C$13+Resumo!$C$14*CEILING(AL$3,1))*(1+Resumo!$C$11)-(AL$4*(Resumo!$B$6+Resumo!$B$7)+Resumo!$B$9+Resumo!$B$10*CEILING(AL$3/100,1)+(Resumo!$B$12+Resumo!$B$14)*CEILING(AL$3,1))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2" s="12" t="n">
        <f aca="false">(Z32+AM$4*(Resumo!$C$6+Resumo!$C$7+Resumo!$C$8)+Resumo!$C$10*CEILING(AM$3/100,1)+Resumo!$C$9+Resumo!$C$13+Resumo!$C$14*CEILING(AM$3,1))*(1+Resumo!$C$11)-(AM$4*(Resumo!$B$6+Resumo!$B$7)+Resumo!$B$9+Resumo!$B$10*CEILING(AM$3/100,1)+(Resumo!$B$12+Resumo!$B$14)*CEILING(AM$3,1))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2" s="12" t="n">
        <f aca="false">(AA32+AN$4*(Resumo!$C$6+Resumo!$C$7+Resumo!$C$8)+Resumo!$C$10*CEILING(AN$3/100,1)+Resumo!$C$9+Resumo!$C$13+Resumo!$C$14*CEILING(AN$3,1))*(1+Resumo!$C$11)-(AN$4*(Resumo!$B$6+Resumo!$B$7)+Resumo!$B$9+Resumo!$B$10*CEILING(AN$3/100,1)+(Resumo!$B$12+Resumo!$B$14)*CEILING(AN$3,1))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2" s="12" t="n">
        <f aca="false">(AB32+AO$4*(Resumo!$C$6+Resumo!$C$7+Resumo!$C$8)+Resumo!$C$10*CEILING(AO$3/100,1)+Resumo!$C$9+Resumo!$C$13+Resumo!$C$14*CEILING(AO$3,1))*(1+Resumo!$C$11)-(AO$4*(Resumo!$B$6+Resumo!$B$7)+Resumo!$B$9+Resumo!$B$10*CEILING(AO$3/100,1)+(Resumo!$B$12+Resumo!$B$14)*CEILING(AO$3,1))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2" s="12" t="n">
        <f aca="false">(AC32+AP$4*(Resumo!$C$6+Resumo!$C$7+Resumo!$C$8)+Resumo!$C$10*CEILING(AP$3/100,1)+Resumo!$C$9+Resumo!$C$13+Resumo!$C$14*CEILING(AP$3,1))*(1+Resumo!$C$11)-(AP$4*(Resumo!$B$6+Resumo!$B$7)+Resumo!$B$9+Resumo!$B$10*CEILING(AP$3/100,1)+(Resumo!$B$12+Resumo!$B$14)*CEILING(AP$3,1))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2" s="12" t="n">
        <f aca="false">(AD32+AQ$4*(Resumo!$C$6+Resumo!$C$7+Resumo!$C$8)+Resumo!$C$10*CEILING(AQ$3/100,1)+Resumo!$C$9+Resumo!$C$13+Resumo!$C$14*CEILING(AQ$3,1))*(1+Resumo!$C$11)-(AQ$4*(Resumo!$B$6+Resumo!$B$7)+Resumo!$B$9+Resumo!$B$10*CEILING(AQ$3/100,1)+(Resumo!$B$12+Resumo!$B$14)*CEILING(AQ$3,1))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2" s="12" t="n">
        <f aca="false">(AE32+AR$4*(Resumo!$C$6+Resumo!$C$7+Resumo!$C$8)+Resumo!$C$10*CEILING(AR$3/100,1)+Resumo!$C$9+Resumo!$C$13+Resumo!$C$14*CEILING(AR$3,1))*(1+Resumo!$C$11)-(AR$4*(Resumo!$B$6+Resumo!$B$7)+Resumo!$B$9+Resumo!$B$10*CEILING(AR$3/100,1)+(Resumo!$B$12+Resumo!$B$14)*CEILING(AR$3,1))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2" s="12" t="n">
        <f aca="false">(AF32+AS$4*(Resumo!$C$6+Resumo!$C$7+Resumo!$C$8)+Resumo!$C$10*CEILING(AS$3/100,1)+Resumo!$C$9+Resumo!$C$13+Resumo!$C$14*CEILING(AS$3,1))*(1+Resumo!$C$11)-(AS$4*(Resumo!$B$6+Resumo!$B$7)+Resumo!$B$9+Resumo!$B$10*CEILING(AS$3/100,1)+(Resumo!$B$12+Resumo!$B$14)*CEILING(AS$3,1))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2" s="12" t="n">
        <f aca="false">(AG32+AT$4*(Resumo!$C$6+Resumo!$C$7+Resumo!$C$8)+Resumo!$C$10*CEILING(AT$3/100,1)+Resumo!$C$9+Resumo!$C$13+Resumo!$C$14*CEILING(AT$3,1))*(1+Resumo!$C$11)-(AT$4*(Resumo!$B$6+Resumo!$B$7)+Resumo!$B$9+Resumo!$B$10*CEILING(AT$3/100,1)+(Resumo!$B$12+Resumo!$B$14)*CEILING(AT$3,1))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2" s="13" t="n">
        <f aca="false">1-AH32/H32</f>
        <v>-0.0880776325578989</v>
      </c>
      <c r="AV32" s="13" t="n">
        <f aca="false">1-AI32/I32</f>
        <v>0.188889952634237</v>
      </c>
      <c r="AW32" s="13" t="n">
        <f aca="false">1-AJ32/J32</f>
        <v>0.210299752003561</v>
      </c>
      <c r="AX32" s="13" t="n">
        <f aca="false">1-AK32/K32</f>
        <v>0.229289172942379</v>
      </c>
      <c r="AY32" s="13" t="n">
        <f aca="false">1-AL32/L32</f>
        <v>0.30834033649565</v>
      </c>
      <c r="AZ32" s="13" t="n">
        <f aca="false">1-AM32/M32</f>
        <v>0.370010437799111</v>
      </c>
      <c r="BA32" s="13" t="n">
        <f aca="false">1-AN32/N32</f>
        <v>0.343535542823127</v>
      </c>
      <c r="BB32" s="13" t="n">
        <f aca="false">1-AO32/O32</f>
        <v>0.420772428183382</v>
      </c>
      <c r="BC32" s="13" t="n">
        <f aca="false">1-AP32/P32</f>
        <v>0.495206482052588</v>
      </c>
      <c r="BD32" s="13" t="n">
        <f aca="false">1-AQ32/Q32</f>
        <v>0.45869451629365</v>
      </c>
      <c r="BE32" s="13" t="n">
        <f aca="false">1-AR32/R32</f>
        <v>0.490720973630831</v>
      </c>
      <c r="BF32" s="13" t="n">
        <f aca="false">1-AS32/S32</f>
        <v>0.524160501567398</v>
      </c>
      <c r="BG32" s="13" t="n">
        <f aca="false">1-AT32/T32</f>
        <v>0.529306485429102</v>
      </c>
    </row>
    <row r="33" customFormat="false" ht="15" hidden="false" customHeight="false" outlineLevel="0" collapsed="false">
      <c r="A33" s="4" t="s">
        <v>215</v>
      </c>
      <c r="B33" s="4" t="s">
        <v>236</v>
      </c>
      <c r="C33" s="36" t="n">
        <v>26300000</v>
      </c>
      <c r="D33" s="36" t="n">
        <v>26399999</v>
      </c>
      <c r="E33" s="4" t="s">
        <v>197</v>
      </c>
      <c r="F33" s="4" t="s">
        <v>216</v>
      </c>
      <c r="G33" s="4" t="n">
        <f aca="false">COUNTIFS(Pedidos!$E$2:$E$2224,"&gt;="&amp;C33,Pedidos!$E$2:$E$2224,"&lt;="&amp;D33)</f>
        <v>14</v>
      </c>
      <c r="H33" s="7" t="n">
        <v>46.98</v>
      </c>
      <c r="I33" s="7" t="n">
        <v>82.21</v>
      </c>
      <c r="J33" s="7" t="n">
        <v>93.97</v>
      </c>
      <c r="K33" s="7" t="n">
        <v>93.97</v>
      </c>
      <c r="L33" s="7" t="n">
        <v>112.3</v>
      </c>
      <c r="M33" s="7" t="n">
        <v>131.02</v>
      </c>
      <c r="N33" s="7" t="n">
        <v>134.39</v>
      </c>
      <c r="O33" s="7" t="n">
        <v>167.99</v>
      </c>
      <c r="P33" s="7" t="n">
        <v>201.59</v>
      </c>
      <c r="Q33" s="7" t="n">
        <v>239.25</v>
      </c>
      <c r="R33" s="7" t="n">
        <v>271.15</v>
      </c>
      <c r="S33" s="7" t="n">
        <v>319</v>
      </c>
      <c r="T33" s="7" t="n">
        <v>398.74</v>
      </c>
      <c r="U33" s="7" t="n">
        <v>42.72</v>
      </c>
      <c r="V33" s="7" t="n">
        <v>58.8</v>
      </c>
      <c r="W33" s="7" t="n">
        <v>66.83</v>
      </c>
      <c r="X33" s="7" t="n">
        <v>65.36</v>
      </c>
      <c r="Y33" s="7" t="n">
        <v>70.98</v>
      </c>
      <c r="Z33" s="7" t="n">
        <v>76.55</v>
      </c>
      <c r="AA33" s="7" t="n">
        <v>82.48</v>
      </c>
      <c r="AB33" s="7" t="n">
        <v>92.32</v>
      </c>
      <c r="AC33" s="7" t="n">
        <v>101.26</v>
      </c>
      <c r="AD33" s="7" t="n">
        <v>129.62</v>
      </c>
      <c r="AE33" s="7" t="n">
        <v>139.81</v>
      </c>
      <c r="AF33" s="7" t="n">
        <v>155.09</v>
      </c>
      <c r="AG33" s="7" t="n">
        <v>194.34</v>
      </c>
      <c r="AH33" s="12" t="n">
        <f aca="false">(U33+AH$4*(Resumo!$C$6+Resumo!$C$7+Resumo!$C$8)+Resumo!$C$10*CEILING(AH$3/100,1)+Resumo!$C$9+Resumo!$C$13+Resumo!$C$14*CEILING(AH$3,1))*(1+Resumo!$C$11)-(AH$4*(Resumo!$B$6+Resumo!$B$7)+Resumo!$B$9+Resumo!$B$10*CEILING(AH$3/100,1)+(Resumo!$B$12+Resumo!$B$14)*CEILING(AH$3,1))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3" s="12" t="n">
        <f aca="false">(V33+AI$4*(Resumo!$C$6+Resumo!$C$7+Resumo!$C$8)+Resumo!$C$10*CEILING(AI$3/100,1)+Resumo!$C$9+Resumo!$C$13+Resumo!$C$14*CEILING(AI$3,1))*(1+Resumo!$C$11)-(AI$4*(Resumo!$B$6+Resumo!$B$7)+Resumo!$B$9+Resumo!$B$10*CEILING(AI$3/100,1)+(Resumo!$B$12+Resumo!$B$14)*CEILING(AI$3,1))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3" s="12" t="n">
        <f aca="false">(W33+AJ$4*(Resumo!$C$6+Resumo!$C$7+Resumo!$C$8)+Resumo!$C$10*CEILING(AJ$3/100,1)+Resumo!$C$9+Resumo!$C$13+Resumo!$C$14*CEILING(AJ$3,1))*(1+Resumo!$C$11)-(AJ$4*(Resumo!$B$6+Resumo!$B$7)+Resumo!$B$9+Resumo!$B$10*CEILING(AJ$3/100,1)+(Resumo!$B$12+Resumo!$B$14)*CEILING(AJ$3,1))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3" s="12" t="n">
        <f aca="false">(X33+AK$4*(Resumo!$C$6+Resumo!$C$7+Resumo!$C$8)+Resumo!$C$10*CEILING(AK$3/100,1)+Resumo!$C$9+Resumo!$C$13+Resumo!$C$14*CEILING(AK$3,1))*(1+Resumo!$C$11)-(AK$4*(Resumo!$B$6+Resumo!$B$7)+Resumo!$B$9+Resumo!$B$10*CEILING(AK$3/100,1)+(Resumo!$B$12+Resumo!$B$14)*CEILING(AK$3,1))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3" s="12" t="n">
        <f aca="false">(Y33+AL$4*(Resumo!$C$6+Resumo!$C$7+Resumo!$C$8)+Resumo!$C$10*CEILING(AL$3/100,1)+Resumo!$C$9+Resumo!$C$13+Resumo!$C$14*CEILING(AL$3,1))*(1+Resumo!$C$11)-(AL$4*(Resumo!$B$6+Resumo!$B$7)+Resumo!$B$9+Resumo!$B$10*CEILING(AL$3/100,1)+(Resumo!$B$12+Resumo!$B$14)*CEILING(AL$3,1))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3" s="12" t="n">
        <f aca="false">(Z33+AM$4*(Resumo!$C$6+Resumo!$C$7+Resumo!$C$8)+Resumo!$C$10*CEILING(AM$3/100,1)+Resumo!$C$9+Resumo!$C$13+Resumo!$C$14*CEILING(AM$3,1))*(1+Resumo!$C$11)-(AM$4*(Resumo!$B$6+Resumo!$B$7)+Resumo!$B$9+Resumo!$B$10*CEILING(AM$3/100,1)+(Resumo!$B$12+Resumo!$B$14)*CEILING(AM$3,1))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3" s="12" t="n">
        <f aca="false">(AA33+AN$4*(Resumo!$C$6+Resumo!$C$7+Resumo!$C$8)+Resumo!$C$10*CEILING(AN$3/100,1)+Resumo!$C$9+Resumo!$C$13+Resumo!$C$14*CEILING(AN$3,1))*(1+Resumo!$C$11)-(AN$4*(Resumo!$B$6+Resumo!$B$7)+Resumo!$B$9+Resumo!$B$10*CEILING(AN$3/100,1)+(Resumo!$B$12+Resumo!$B$14)*CEILING(AN$3,1))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3" s="12" t="n">
        <f aca="false">(AB33+AO$4*(Resumo!$C$6+Resumo!$C$7+Resumo!$C$8)+Resumo!$C$10*CEILING(AO$3/100,1)+Resumo!$C$9+Resumo!$C$13+Resumo!$C$14*CEILING(AO$3,1))*(1+Resumo!$C$11)-(AO$4*(Resumo!$B$6+Resumo!$B$7)+Resumo!$B$9+Resumo!$B$10*CEILING(AO$3/100,1)+(Resumo!$B$12+Resumo!$B$14)*CEILING(AO$3,1))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3" s="12" t="n">
        <f aca="false">(AC33+AP$4*(Resumo!$C$6+Resumo!$C$7+Resumo!$C$8)+Resumo!$C$10*CEILING(AP$3/100,1)+Resumo!$C$9+Resumo!$C$13+Resumo!$C$14*CEILING(AP$3,1))*(1+Resumo!$C$11)-(AP$4*(Resumo!$B$6+Resumo!$B$7)+Resumo!$B$9+Resumo!$B$10*CEILING(AP$3/100,1)+(Resumo!$B$12+Resumo!$B$14)*CEILING(AP$3,1))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3" s="12" t="n">
        <f aca="false">(AD33+AQ$4*(Resumo!$C$6+Resumo!$C$7+Resumo!$C$8)+Resumo!$C$10*CEILING(AQ$3/100,1)+Resumo!$C$9+Resumo!$C$13+Resumo!$C$14*CEILING(AQ$3,1))*(1+Resumo!$C$11)-(AQ$4*(Resumo!$B$6+Resumo!$B$7)+Resumo!$B$9+Resumo!$B$10*CEILING(AQ$3/100,1)+(Resumo!$B$12+Resumo!$B$14)*CEILING(AQ$3,1))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3" s="12" t="n">
        <f aca="false">(AE33+AR$4*(Resumo!$C$6+Resumo!$C$7+Resumo!$C$8)+Resumo!$C$10*CEILING(AR$3/100,1)+Resumo!$C$9+Resumo!$C$13+Resumo!$C$14*CEILING(AR$3,1))*(1+Resumo!$C$11)-(AR$4*(Resumo!$B$6+Resumo!$B$7)+Resumo!$B$9+Resumo!$B$10*CEILING(AR$3/100,1)+(Resumo!$B$12+Resumo!$B$14)*CEILING(AR$3,1))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3" s="12" t="n">
        <f aca="false">(AF33+AS$4*(Resumo!$C$6+Resumo!$C$7+Resumo!$C$8)+Resumo!$C$10*CEILING(AS$3/100,1)+Resumo!$C$9+Resumo!$C$13+Resumo!$C$14*CEILING(AS$3,1))*(1+Resumo!$C$11)-(AS$4*(Resumo!$B$6+Resumo!$B$7)+Resumo!$B$9+Resumo!$B$10*CEILING(AS$3/100,1)+(Resumo!$B$12+Resumo!$B$14)*CEILING(AS$3,1))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3" s="12" t="n">
        <f aca="false">(AG33+AT$4*(Resumo!$C$6+Resumo!$C$7+Resumo!$C$8)+Resumo!$C$10*CEILING(AT$3/100,1)+Resumo!$C$9+Resumo!$C$13+Resumo!$C$14*CEILING(AT$3,1))*(1+Resumo!$C$11)-(AT$4*(Resumo!$B$6+Resumo!$B$7)+Resumo!$B$9+Resumo!$B$10*CEILING(AT$3/100,1)+(Resumo!$B$12+Resumo!$B$14)*CEILING(AT$3,1))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3" s="13" t="n">
        <f aca="false">1-AH33/H33</f>
        <v>-0.0880776325578989</v>
      </c>
      <c r="AV33" s="13" t="n">
        <f aca="false">1-AI33/I33</f>
        <v>0.188889952634237</v>
      </c>
      <c r="AW33" s="13" t="n">
        <f aca="false">1-AJ33/J33</f>
        <v>0.210299752003561</v>
      </c>
      <c r="AX33" s="13" t="n">
        <f aca="false">1-AK33/K33</f>
        <v>0.229289172942379</v>
      </c>
      <c r="AY33" s="13" t="n">
        <f aca="false">1-AL33/L33</f>
        <v>0.30834033649565</v>
      </c>
      <c r="AZ33" s="13" t="n">
        <f aca="false">1-AM33/M33</f>
        <v>0.370010437799111</v>
      </c>
      <c r="BA33" s="13" t="n">
        <f aca="false">1-AN33/N33</f>
        <v>0.343535542823127</v>
      </c>
      <c r="BB33" s="13" t="n">
        <f aca="false">1-AO33/O33</f>
        <v>0.420772428183382</v>
      </c>
      <c r="BC33" s="13" t="n">
        <f aca="false">1-AP33/P33</f>
        <v>0.495206482052588</v>
      </c>
      <c r="BD33" s="13" t="n">
        <f aca="false">1-AQ33/Q33</f>
        <v>0.45869451629365</v>
      </c>
      <c r="BE33" s="13" t="n">
        <f aca="false">1-AR33/R33</f>
        <v>0.490720973630831</v>
      </c>
      <c r="BF33" s="13" t="n">
        <f aca="false">1-AS33/S33</f>
        <v>0.524160501567398</v>
      </c>
      <c r="BG33" s="13" t="n">
        <f aca="false">1-AT33/T33</f>
        <v>0.529306485429102</v>
      </c>
    </row>
    <row r="34" customFormat="false" ht="15" hidden="false" customHeight="false" outlineLevel="0" collapsed="false">
      <c r="A34" s="4" t="s">
        <v>215</v>
      </c>
      <c r="B34" s="4" t="s">
        <v>237</v>
      </c>
      <c r="C34" s="36" t="n">
        <v>26400000</v>
      </c>
      <c r="D34" s="36" t="n">
        <v>26499999</v>
      </c>
      <c r="E34" s="4" t="s">
        <v>198</v>
      </c>
      <c r="F34" s="4" t="s">
        <v>218</v>
      </c>
      <c r="G34" s="4" t="n">
        <f aca="false">COUNTIFS(Pedidos!$E$2:$E$2224,"&gt;="&amp;C34,Pedidos!$E$2:$E$2224,"&lt;="&amp;D34)</f>
        <v>14</v>
      </c>
      <c r="H34" s="7" t="n">
        <v>46.98</v>
      </c>
      <c r="I34" s="7" t="n">
        <v>82.21</v>
      </c>
      <c r="J34" s="7" t="n">
        <v>93.97</v>
      </c>
      <c r="K34" s="7" t="n">
        <v>93.97</v>
      </c>
      <c r="L34" s="7" t="n">
        <v>112.3</v>
      </c>
      <c r="M34" s="7" t="n">
        <v>131.02</v>
      </c>
      <c r="N34" s="7" t="n">
        <v>134.39</v>
      </c>
      <c r="O34" s="7" t="n">
        <v>167.99</v>
      </c>
      <c r="P34" s="7" t="n">
        <v>201.59</v>
      </c>
      <c r="Q34" s="7" t="n">
        <v>239.25</v>
      </c>
      <c r="R34" s="7" t="n">
        <v>271.15</v>
      </c>
      <c r="S34" s="7" t="n">
        <v>319</v>
      </c>
      <c r="T34" s="7" t="n">
        <v>398.74</v>
      </c>
      <c r="U34" s="7" t="n">
        <v>46.95</v>
      </c>
      <c r="V34" s="7" t="n">
        <v>65.63</v>
      </c>
      <c r="W34" s="7" t="n">
        <v>74.97</v>
      </c>
      <c r="X34" s="7" t="n">
        <v>77.7</v>
      </c>
      <c r="Y34" s="7" t="n">
        <v>83.58</v>
      </c>
      <c r="Z34" s="7" t="n">
        <v>90.2</v>
      </c>
      <c r="AA34" s="7" t="n">
        <v>96.77</v>
      </c>
      <c r="AB34" s="7" t="n">
        <v>109.63</v>
      </c>
      <c r="AC34" s="7" t="n">
        <v>119.5</v>
      </c>
      <c r="AD34" s="7" t="n">
        <v>144.24</v>
      </c>
      <c r="AE34" s="7" t="n">
        <v>155.09</v>
      </c>
      <c r="AF34" s="7" t="n">
        <v>66.69</v>
      </c>
      <c r="AG34" s="7" t="n">
        <v>214.88</v>
      </c>
      <c r="AH34" s="12" t="n">
        <f aca="false">(U34+AH$4*(Resumo!$C$6+Resumo!$C$7+Resumo!$C$8)+Resumo!$C$10*CEILING(AH$3/100,1)+Resumo!$C$9+Resumo!$C$13+Resumo!$C$14*CEILING(AH$3,1))*(1+Resumo!$C$11)-(AH$4*(Resumo!$B$6+Resumo!$B$7)+Resumo!$B$9+Resumo!$B$10*CEILING(AH$3/100,1)+(Resumo!$B$12+Resumo!$B$14)*CEILING(AH$3,1))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34" s="12" t="n">
        <f aca="false">(V34+AI$4*(Resumo!$C$6+Resumo!$C$7+Resumo!$C$8)+Resumo!$C$10*CEILING(AI$3/100,1)+Resumo!$C$9+Resumo!$C$13+Resumo!$C$14*CEILING(AI$3,1))*(1+Resumo!$C$11)-(AI$4*(Resumo!$B$6+Resumo!$B$7)+Resumo!$B$9+Resumo!$B$10*CEILING(AI$3/100,1)+(Resumo!$B$12+Resumo!$B$14)*CEILING(AI$3,1))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34" s="12" t="n">
        <f aca="false">(W34+AJ$4*(Resumo!$C$6+Resumo!$C$7+Resumo!$C$8)+Resumo!$C$10*CEILING(AJ$3/100,1)+Resumo!$C$9+Resumo!$C$13+Resumo!$C$14*CEILING(AJ$3,1))*(1+Resumo!$C$11)-(AJ$4*(Resumo!$B$6+Resumo!$B$7)+Resumo!$B$9+Resumo!$B$10*CEILING(AJ$3/100,1)+(Resumo!$B$12+Resumo!$B$14)*CEILING(AJ$3,1))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34" s="12" t="n">
        <f aca="false">(X34+AK$4*(Resumo!$C$6+Resumo!$C$7+Resumo!$C$8)+Resumo!$C$10*CEILING(AK$3/100,1)+Resumo!$C$9+Resumo!$C$13+Resumo!$C$14*CEILING(AK$3,1))*(1+Resumo!$C$11)-(AK$4*(Resumo!$B$6+Resumo!$B$7)+Resumo!$B$9+Resumo!$B$10*CEILING(AK$3/100,1)+(Resumo!$B$12+Resumo!$B$14)*CEILING(AK$3,1))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34" s="12" t="n">
        <f aca="false">(Y34+AL$4*(Resumo!$C$6+Resumo!$C$7+Resumo!$C$8)+Resumo!$C$10*CEILING(AL$3/100,1)+Resumo!$C$9+Resumo!$C$13+Resumo!$C$14*CEILING(AL$3,1))*(1+Resumo!$C$11)-(AL$4*(Resumo!$B$6+Resumo!$B$7)+Resumo!$B$9+Resumo!$B$10*CEILING(AL$3/100,1)+(Resumo!$B$12+Resumo!$B$14)*CEILING(AL$3,1))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34" s="12" t="n">
        <f aca="false">(Z34+AM$4*(Resumo!$C$6+Resumo!$C$7+Resumo!$C$8)+Resumo!$C$10*CEILING(AM$3/100,1)+Resumo!$C$9+Resumo!$C$13+Resumo!$C$14*CEILING(AM$3,1))*(1+Resumo!$C$11)-(AM$4*(Resumo!$B$6+Resumo!$B$7)+Resumo!$B$9+Resumo!$B$10*CEILING(AM$3/100,1)+(Resumo!$B$12+Resumo!$B$14)*CEILING(AM$3,1))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34" s="12" t="n">
        <f aca="false">(AA34+AN$4*(Resumo!$C$6+Resumo!$C$7+Resumo!$C$8)+Resumo!$C$10*CEILING(AN$3/100,1)+Resumo!$C$9+Resumo!$C$13+Resumo!$C$14*CEILING(AN$3,1))*(1+Resumo!$C$11)-(AN$4*(Resumo!$B$6+Resumo!$B$7)+Resumo!$B$9+Resumo!$B$10*CEILING(AN$3/100,1)+(Resumo!$B$12+Resumo!$B$14)*CEILING(AN$3,1))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34" s="12" t="n">
        <f aca="false">(AB34+AO$4*(Resumo!$C$6+Resumo!$C$7+Resumo!$C$8)+Resumo!$C$10*CEILING(AO$3/100,1)+Resumo!$C$9+Resumo!$C$13+Resumo!$C$14*CEILING(AO$3,1))*(1+Resumo!$C$11)-(AO$4*(Resumo!$B$6+Resumo!$B$7)+Resumo!$B$9+Resumo!$B$10*CEILING(AO$3/100,1)+(Resumo!$B$12+Resumo!$B$14)*CEILING(AO$3,1))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34" s="12" t="n">
        <f aca="false">(AC34+AP$4*(Resumo!$C$6+Resumo!$C$7+Resumo!$C$8)+Resumo!$C$10*CEILING(AP$3/100,1)+Resumo!$C$9+Resumo!$C$13+Resumo!$C$14*CEILING(AP$3,1))*(1+Resumo!$C$11)-(AP$4*(Resumo!$B$6+Resumo!$B$7)+Resumo!$B$9+Resumo!$B$10*CEILING(AP$3/100,1)+(Resumo!$B$12+Resumo!$B$14)*CEILING(AP$3,1))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34" s="12" t="n">
        <f aca="false">(AD34+AQ$4*(Resumo!$C$6+Resumo!$C$7+Resumo!$C$8)+Resumo!$C$10*CEILING(AQ$3/100,1)+Resumo!$C$9+Resumo!$C$13+Resumo!$C$14*CEILING(AQ$3,1))*(1+Resumo!$C$11)-(AQ$4*(Resumo!$B$6+Resumo!$B$7)+Resumo!$B$9+Resumo!$B$10*CEILING(AQ$3/100,1)+(Resumo!$B$12+Resumo!$B$14)*CEILING(AQ$3,1))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34" s="12" t="n">
        <f aca="false">(AE34+AR$4*(Resumo!$C$6+Resumo!$C$7+Resumo!$C$8)+Resumo!$C$10*CEILING(AR$3/100,1)+Resumo!$C$9+Resumo!$C$13+Resumo!$C$14*CEILING(AR$3,1))*(1+Resumo!$C$11)-(AR$4*(Resumo!$B$6+Resumo!$B$7)+Resumo!$B$9+Resumo!$B$10*CEILING(AR$3/100,1)+(Resumo!$B$12+Resumo!$B$14)*CEILING(AR$3,1))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34" s="12" t="n">
        <f aca="false">(AF34+AS$4*(Resumo!$C$6+Resumo!$C$7+Resumo!$C$8)+Resumo!$C$10*CEILING(AS$3/100,1)+Resumo!$C$9+Resumo!$C$13+Resumo!$C$14*CEILING(AS$3,1))*(1+Resumo!$C$11)-(AS$4*(Resumo!$B$6+Resumo!$B$7)+Resumo!$B$9+Resumo!$B$10*CEILING(AS$3/100,1)+(Resumo!$B$12+Resumo!$B$14)*CEILING(AS$3,1))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34" s="12" t="n">
        <f aca="false">(AG34+AT$4*(Resumo!$C$6+Resumo!$C$7+Resumo!$C$8)+Resumo!$C$10*CEILING(AT$3/100,1)+Resumo!$C$9+Resumo!$C$13+Resumo!$C$14*CEILING(AT$3,1))*(1+Resumo!$C$11)-(AT$4*(Resumo!$B$6+Resumo!$B$7)+Resumo!$B$9+Resumo!$B$10*CEILING(AT$3/100,1)+(Resumo!$B$12+Resumo!$B$14)*CEILING(AT$3,1))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34" s="13" t="n">
        <f aca="false">1-AH34/H34</f>
        <v>-0.178115946734144</v>
      </c>
      <c r="AV34" s="13" t="n">
        <f aca="false">1-AI34/I34</f>
        <v>0.105810035349235</v>
      </c>
      <c r="AW34" s="13" t="n">
        <f aca="false">1-AJ34/J34</f>
        <v>0.123676361559803</v>
      </c>
      <c r="AX34" s="13" t="n">
        <f aca="false">1-AK34/K34</f>
        <v>0.0979706670362388</v>
      </c>
      <c r="AY34" s="13" t="n">
        <f aca="false">1-AL34/L34</f>
        <v>0.196140870778821</v>
      </c>
      <c r="AZ34" s="13" t="n">
        <f aca="false">1-AM34/M34</f>
        <v>0.265827870252172</v>
      </c>
      <c r="BA34" s="13" t="n">
        <f aca="false">1-AN34/N34</f>
        <v>0.237203226430538</v>
      </c>
      <c r="BB34" s="13" t="n">
        <f aca="false">1-AO34/O34</f>
        <v>0.31773058045435</v>
      </c>
      <c r="BC34" s="13" t="n">
        <f aca="false">1-AP34/P34</f>
        <v>0.404725803447498</v>
      </c>
      <c r="BD34" s="13" t="n">
        <f aca="false">1-AQ34/Q34</f>
        <v>0.39758688828947</v>
      </c>
      <c r="BE34" s="13" t="n">
        <f aca="false">1-AR34/R34</f>
        <v>0.434368401253918</v>
      </c>
      <c r="BF34" s="13" t="n">
        <f aca="false">1-AS34/S34</f>
        <v>0.801276489028213</v>
      </c>
      <c r="BG34" s="13" t="n">
        <f aca="false">1-AT34/T34</f>
        <v>0.477794221798666</v>
      </c>
    </row>
    <row r="35" customFormat="false" ht="15" hidden="false" customHeight="false" outlineLevel="0" collapsed="false">
      <c r="A35" s="4" t="s">
        <v>215</v>
      </c>
      <c r="B35" s="4" t="s">
        <v>238</v>
      </c>
      <c r="C35" s="36" t="n">
        <v>26500000</v>
      </c>
      <c r="D35" s="36" t="n">
        <v>26549999</v>
      </c>
      <c r="E35" s="4" t="s">
        <v>197</v>
      </c>
      <c r="F35" s="4" t="s">
        <v>216</v>
      </c>
      <c r="G35" s="4" t="n">
        <f aca="false">COUNTIFS(Pedidos!$E$2:$E$2224,"&gt;="&amp;C35,Pedidos!$E$2:$E$2224,"&lt;="&amp;D35)</f>
        <v>17</v>
      </c>
      <c r="H35" s="7" t="n">
        <v>46.98</v>
      </c>
      <c r="I35" s="7" t="n">
        <v>82.21</v>
      </c>
      <c r="J35" s="7" t="n">
        <v>93.97</v>
      </c>
      <c r="K35" s="7" t="n">
        <v>93.97</v>
      </c>
      <c r="L35" s="7" t="n">
        <v>112.3</v>
      </c>
      <c r="M35" s="7" t="n">
        <v>131.02</v>
      </c>
      <c r="N35" s="7" t="n">
        <v>134.39</v>
      </c>
      <c r="O35" s="7" t="n">
        <v>167.99</v>
      </c>
      <c r="P35" s="7" t="n">
        <v>201.59</v>
      </c>
      <c r="Q35" s="7" t="n">
        <v>239.25</v>
      </c>
      <c r="R35" s="7" t="n">
        <v>271.15</v>
      </c>
      <c r="S35" s="7" t="n">
        <v>319</v>
      </c>
      <c r="T35" s="7" t="n">
        <v>398.74</v>
      </c>
      <c r="U35" s="7" t="n">
        <v>42.72</v>
      </c>
      <c r="V35" s="7" t="n">
        <v>58.8</v>
      </c>
      <c r="W35" s="7" t="n">
        <v>66.83</v>
      </c>
      <c r="X35" s="7" t="n">
        <v>65.36</v>
      </c>
      <c r="Y35" s="7" t="n">
        <v>70.98</v>
      </c>
      <c r="Z35" s="7" t="n">
        <v>76.55</v>
      </c>
      <c r="AA35" s="7" t="n">
        <v>82.48</v>
      </c>
      <c r="AB35" s="7" t="n">
        <v>92.32</v>
      </c>
      <c r="AC35" s="7" t="n">
        <v>101.26</v>
      </c>
      <c r="AD35" s="7" t="n">
        <v>129.62</v>
      </c>
      <c r="AE35" s="7" t="n">
        <v>139.81</v>
      </c>
      <c r="AF35" s="7" t="n">
        <v>155.09</v>
      </c>
      <c r="AG35" s="7" t="n">
        <v>194.34</v>
      </c>
      <c r="AH35" s="12" t="n">
        <f aca="false">(U35+AH$4*(Resumo!$C$6+Resumo!$C$7+Resumo!$C$8)+Resumo!$C$10*CEILING(AH$3/100,1)+Resumo!$C$9+Resumo!$C$13+Resumo!$C$14*CEILING(AH$3,1))*(1+Resumo!$C$11)-(AH$4*(Resumo!$B$6+Resumo!$B$7)+Resumo!$B$9+Resumo!$B$10*CEILING(AH$3/100,1)+(Resumo!$B$12+Resumo!$B$14)*CEILING(AH$3,1))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5" s="12" t="n">
        <f aca="false">(V35+AI$4*(Resumo!$C$6+Resumo!$C$7+Resumo!$C$8)+Resumo!$C$10*CEILING(AI$3/100,1)+Resumo!$C$9+Resumo!$C$13+Resumo!$C$14*CEILING(AI$3,1))*(1+Resumo!$C$11)-(AI$4*(Resumo!$B$6+Resumo!$B$7)+Resumo!$B$9+Resumo!$B$10*CEILING(AI$3/100,1)+(Resumo!$B$12+Resumo!$B$14)*CEILING(AI$3,1))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5" s="12" t="n">
        <f aca="false">(W35+AJ$4*(Resumo!$C$6+Resumo!$C$7+Resumo!$C$8)+Resumo!$C$10*CEILING(AJ$3/100,1)+Resumo!$C$9+Resumo!$C$13+Resumo!$C$14*CEILING(AJ$3,1))*(1+Resumo!$C$11)-(AJ$4*(Resumo!$B$6+Resumo!$B$7)+Resumo!$B$9+Resumo!$B$10*CEILING(AJ$3/100,1)+(Resumo!$B$12+Resumo!$B$14)*CEILING(AJ$3,1))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5" s="12" t="n">
        <f aca="false">(X35+AK$4*(Resumo!$C$6+Resumo!$C$7+Resumo!$C$8)+Resumo!$C$10*CEILING(AK$3/100,1)+Resumo!$C$9+Resumo!$C$13+Resumo!$C$14*CEILING(AK$3,1))*(1+Resumo!$C$11)-(AK$4*(Resumo!$B$6+Resumo!$B$7)+Resumo!$B$9+Resumo!$B$10*CEILING(AK$3/100,1)+(Resumo!$B$12+Resumo!$B$14)*CEILING(AK$3,1))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5" s="12" t="n">
        <f aca="false">(Y35+AL$4*(Resumo!$C$6+Resumo!$C$7+Resumo!$C$8)+Resumo!$C$10*CEILING(AL$3/100,1)+Resumo!$C$9+Resumo!$C$13+Resumo!$C$14*CEILING(AL$3,1))*(1+Resumo!$C$11)-(AL$4*(Resumo!$B$6+Resumo!$B$7)+Resumo!$B$9+Resumo!$B$10*CEILING(AL$3/100,1)+(Resumo!$B$12+Resumo!$B$14)*CEILING(AL$3,1))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5" s="12" t="n">
        <f aca="false">(Z35+AM$4*(Resumo!$C$6+Resumo!$C$7+Resumo!$C$8)+Resumo!$C$10*CEILING(AM$3/100,1)+Resumo!$C$9+Resumo!$C$13+Resumo!$C$14*CEILING(AM$3,1))*(1+Resumo!$C$11)-(AM$4*(Resumo!$B$6+Resumo!$B$7)+Resumo!$B$9+Resumo!$B$10*CEILING(AM$3/100,1)+(Resumo!$B$12+Resumo!$B$14)*CEILING(AM$3,1))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5" s="12" t="n">
        <f aca="false">(AA35+AN$4*(Resumo!$C$6+Resumo!$C$7+Resumo!$C$8)+Resumo!$C$10*CEILING(AN$3/100,1)+Resumo!$C$9+Resumo!$C$13+Resumo!$C$14*CEILING(AN$3,1))*(1+Resumo!$C$11)-(AN$4*(Resumo!$B$6+Resumo!$B$7)+Resumo!$B$9+Resumo!$B$10*CEILING(AN$3/100,1)+(Resumo!$B$12+Resumo!$B$14)*CEILING(AN$3,1))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5" s="12" t="n">
        <f aca="false">(AB35+AO$4*(Resumo!$C$6+Resumo!$C$7+Resumo!$C$8)+Resumo!$C$10*CEILING(AO$3/100,1)+Resumo!$C$9+Resumo!$C$13+Resumo!$C$14*CEILING(AO$3,1))*(1+Resumo!$C$11)-(AO$4*(Resumo!$B$6+Resumo!$B$7)+Resumo!$B$9+Resumo!$B$10*CEILING(AO$3/100,1)+(Resumo!$B$12+Resumo!$B$14)*CEILING(AO$3,1))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5" s="12" t="n">
        <f aca="false">(AC35+AP$4*(Resumo!$C$6+Resumo!$C$7+Resumo!$C$8)+Resumo!$C$10*CEILING(AP$3/100,1)+Resumo!$C$9+Resumo!$C$13+Resumo!$C$14*CEILING(AP$3,1))*(1+Resumo!$C$11)-(AP$4*(Resumo!$B$6+Resumo!$B$7)+Resumo!$B$9+Resumo!$B$10*CEILING(AP$3/100,1)+(Resumo!$B$12+Resumo!$B$14)*CEILING(AP$3,1))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5" s="12" t="n">
        <f aca="false">(AD35+AQ$4*(Resumo!$C$6+Resumo!$C$7+Resumo!$C$8)+Resumo!$C$10*CEILING(AQ$3/100,1)+Resumo!$C$9+Resumo!$C$13+Resumo!$C$14*CEILING(AQ$3,1))*(1+Resumo!$C$11)-(AQ$4*(Resumo!$B$6+Resumo!$B$7)+Resumo!$B$9+Resumo!$B$10*CEILING(AQ$3/100,1)+(Resumo!$B$12+Resumo!$B$14)*CEILING(AQ$3,1))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5" s="12" t="n">
        <f aca="false">(AE35+AR$4*(Resumo!$C$6+Resumo!$C$7+Resumo!$C$8)+Resumo!$C$10*CEILING(AR$3/100,1)+Resumo!$C$9+Resumo!$C$13+Resumo!$C$14*CEILING(AR$3,1))*(1+Resumo!$C$11)-(AR$4*(Resumo!$B$6+Resumo!$B$7)+Resumo!$B$9+Resumo!$B$10*CEILING(AR$3/100,1)+(Resumo!$B$12+Resumo!$B$14)*CEILING(AR$3,1))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5" s="12" t="n">
        <f aca="false">(AF35+AS$4*(Resumo!$C$6+Resumo!$C$7+Resumo!$C$8)+Resumo!$C$10*CEILING(AS$3/100,1)+Resumo!$C$9+Resumo!$C$13+Resumo!$C$14*CEILING(AS$3,1))*(1+Resumo!$C$11)-(AS$4*(Resumo!$B$6+Resumo!$B$7)+Resumo!$B$9+Resumo!$B$10*CEILING(AS$3/100,1)+(Resumo!$B$12+Resumo!$B$14)*CEILING(AS$3,1))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5" s="12" t="n">
        <f aca="false">(AG35+AT$4*(Resumo!$C$6+Resumo!$C$7+Resumo!$C$8)+Resumo!$C$10*CEILING(AT$3/100,1)+Resumo!$C$9+Resumo!$C$13+Resumo!$C$14*CEILING(AT$3,1))*(1+Resumo!$C$11)-(AT$4*(Resumo!$B$6+Resumo!$B$7)+Resumo!$B$9+Resumo!$B$10*CEILING(AT$3/100,1)+(Resumo!$B$12+Resumo!$B$14)*CEILING(AT$3,1))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5" s="13" t="n">
        <f aca="false">1-AH35/H35</f>
        <v>-0.0880776325578989</v>
      </c>
      <c r="AV35" s="13" t="n">
        <f aca="false">1-AI35/I35</f>
        <v>0.188889952634237</v>
      </c>
      <c r="AW35" s="13" t="n">
        <f aca="false">1-AJ35/J35</f>
        <v>0.210299752003561</v>
      </c>
      <c r="AX35" s="13" t="n">
        <f aca="false">1-AK35/K35</f>
        <v>0.229289172942379</v>
      </c>
      <c r="AY35" s="13" t="n">
        <f aca="false">1-AL35/L35</f>
        <v>0.30834033649565</v>
      </c>
      <c r="AZ35" s="13" t="n">
        <f aca="false">1-AM35/M35</f>
        <v>0.370010437799111</v>
      </c>
      <c r="BA35" s="13" t="n">
        <f aca="false">1-AN35/N35</f>
        <v>0.343535542823127</v>
      </c>
      <c r="BB35" s="13" t="n">
        <f aca="false">1-AO35/O35</f>
        <v>0.420772428183382</v>
      </c>
      <c r="BC35" s="13" t="n">
        <f aca="false">1-AP35/P35</f>
        <v>0.495206482052588</v>
      </c>
      <c r="BD35" s="13" t="n">
        <f aca="false">1-AQ35/Q35</f>
        <v>0.45869451629365</v>
      </c>
      <c r="BE35" s="13" t="n">
        <f aca="false">1-AR35/R35</f>
        <v>0.490720973630831</v>
      </c>
      <c r="BF35" s="13" t="n">
        <f aca="false">1-AS35/S35</f>
        <v>0.524160501567398</v>
      </c>
      <c r="BG35" s="13" t="n">
        <f aca="false">1-AT35/T35</f>
        <v>0.529306485429102</v>
      </c>
    </row>
    <row r="36" customFormat="false" ht="15" hidden="false" customHeight="false" outlineLevel="0" collapsed="false">
      <c r="A36" s="4" t="s">
        <v>215</v>
      </c>
      <c r="B36" s="4" t="s">
        <v>175</v>
      </c>
      <c r="C36" s="36" t="n">
        <v>26550000</v>
      </c>
      <c r="D36" s="36" t="n">
        <v>26599999</v>
      </c>
      <c r="E36" s="4" t="s">
        <v>197</v>
      </c>
      <c r="F36" s="4" t="s">
        <v>216</v>
      </c>
      <c r="G36" s="4" t="n">
        <f aca="false">COUNTIFS(Pedidos!$E$2:$E$2224,"&gt;="&amp;C36,Pedidos!$E$2:$E$2224,"&lt;="&amp;D36)</f>
        <v>21</v>
      </c>
      <c r="H36" s="7" t="n">
        <v>46.98</v>
      </c>
      <c r="I36" s="7" t="n">
        <v>82.21</v>
      </c>
      <c r="J36" s="7" t="n">
        <v>93.97</v>
      </c>
      <c r="K36" s="7" t="n">
        <v>93.97</v>
      </c>
      <c r="L36" s="7" t="n">
        <v>112.3</v>
      </c>
      <c r="M36" s="7" t="n">
        <v>131.02</v>
      </c>
      <c r="N36" s="7" t="n">
        <v>134.39</v>
      </c>
      <c r="O36" s="7" t="n">
        <v>167.99</v>
      </c>
      <c r="P36" s="7" t="n">
        <v>201.59</v>
      </c>
      <c r="Q36" s="7" t="n">
        <v>239.25</v>
      </c>
      <c r="R36" s="7" t="n">
        <v>271.15</v>
      </c>
      <c r="S36" s="7" t="n">
        <v>319</v>
      </c>
      <c r="T36" s="7" t="n">
        <v>398.74</v>
      </c>
      <c r="U36" s="7" t="n">
        <v>42.72</v>
      </c>
      <c r="V36" s="7" t="n">
        <v>58.8</v>
      </c>
      <c r="W36" s="7" t="n">
        <v>66.83</v>
      </c>
      <c r="X36" s="7" t="n">
        <v>65.36</v>
      </c>
      <c r="Y36" s="7" t="n">
        <v>70.98</v>
      </c>
      <c r="Z36" s="7" t="n">
        <v>76.55</v>
      </c>
      <c r="AA36" s="7" t="n">
        <v>82.48</v>
      </c>
      <c r="AB36" s="7" t="n">
        <v>92.32</v>
      </c>
      <c r="AC36" s="7" t="n">
        <v>101.26</v>
      </c>
      <c r="AD36" s="7" t="n">
        <v>129.62</v>
      </c>
      <c r="AE36" s="7" t="n">
        <v>139.81</v>
      </c>
      <c r="AF36" s="7" t="n">
        <v>155.09</v>
      </c>
      <c r="AG36" s="7" t="n">
        <v>194.34</v>
      </c>
      <c r="AH36" s="12" t="n">
        <f aca="false">(U36+AH$4*(Resumo!$C$6+Resumo!$C$7+Resumo!$C$8)+Resumo!$C$10*CEILING(AH$3/100,1)+Resumo!$C$9+Resumo!$C$13+Resumo!$C$14*CEILING(AH$3,1))*(1+Resumo!$C$11)-(AH$4*(Resumo!$B$6+Resumo!$B$7)+Resumo!$B$9+Resumo!$B$10*CEILING(AH$3/100,1)+(Resumo!$B$12+Resumo!$B$14)*CEILING(AH$3,1))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51.1178871775701</v>
      </c>
      <c r="AI36" s="12" t="n">
        <f aca="false">(V36+AI$4*(Resumo!$C$6+Resumo!$C$7+Resumo!$C$8)+Resumo!$C$10*CEILING(AI$3/100,1)+Resumo!$C$9+Resumo!$C$13+Resumo!$C$14*CEILING(AI$3,1))*(1+Resumo!$C$11)-(AI$4*(Resumo!$B$6+Resumo!$B$7)+Resumo!$B$9+Resumo!$B$10*CEILING(AI$3/100,1)+(Resumo!$B$12+Resumo!$B$14)*CEILING(AI$3,1))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66.6813569939394</v>
      </c>
      <c r="AJ36" s="12" t="n">
        <f aca="false">(W36+AJ$4*(Resumo!$C$6+Resumo!$C$7+Resumo!$C$8)+Resumo!$C$10*CEILING(AJ$3/100,1)+Resumo!$C$9+Resumo!$C$13+Resumo!$C$14*CEILING(AJ$3,1))*(1+Resumo!$C$11)-(AJ$4*(Resumo!$B$6+Resumo!$B$7)+Resumo!$B$9+Resumo!$B$10*CEILING(AJ$3/100,1)+(Resumo!$B$12+Resumo!$B$14)*CEILING(AJ$3,1))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74.2081323042254</v>
      </c>
      <c r="AK36" s="12" t="n">
        <f aca="false">(X36+AK$4*(Resumo!$C$6+Resumo!$C$7+Resumo!$C$8)+Resumo!$C$10*CEILING(AK$3/100,1)+Resumo!$C$9+Resumo!$C$13+Resumo!$C$14*CEILING(AK$3,1))*(1+Resumo!$C$11)-(AK$4*(Resumo!$B$6+Resumo!$B$7)+Resumo!$B$9+Resumo!$B$10*CEILING(AK$3/100,1)+(Resumo!$B$12+Resumo!$B$14)*CEILING(AK$3,1))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72.4236964186046</v>
      </c>
      <c r="AL36" s="12" t="n">
        <f aca="false">(Y36+AL$4*(Resumo!$C$6+Resumo!$C$7+Resumo!$C$8)+Resumo!$C$10*CEILING(AL$3/100,1)+Resumo!$C$9+Resumo!$C$13+Resumo!$C$14*CEILING(AL$3,1))*(1+Resumo!$C$11)-(AL$4*(Resumo!$B$6+Resumo!$B$7)+Resumo!$B$9+Resumo!$B$10*CEILING(AL$3/100,1)+(Resumo!$B$12+Resumo!$B$14)*CEILING(AL$3,1))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77.6733802115385</v>
      </c>
      <c r="AM36" s="12" t="n">
        <f aca="false">(Z36+AM$4*(Resumo!$C$6+Resumo!$C$7+Resumo!$C$8)+Resumo!$C$10*CEILING(AM$3/100,1)+Resumo!$C$9+Resumo!$C$13+Resumo!$C$14*CEILING(AM$3,1))*(1+Resumo!$C$11)-(AM$4*(Resumo!$B$6+Resumo!$B$7)+Resumo!$B$9+Resumo!$B$10*CEILING(AM$3/100,1)+(Resumo!$B$12+Resumo!$B$14)*CEILING(AM$3,1))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82.5412324395604</v>
      </c>
      <c r="AN36" s="12" t="n">
        <f aca="false">(AA36+AN$4*(Resumo!$C$6+Resumo!$C$7+Resumo!$C$8)+Resumo!$C$10*CEILING(AN$3/100,1)+Resumo!$C$9+Resumo!$C$13+Resumo!$C$14*CEILING(AN$3,1))*(1+Resumo!$C$11)-(AN$4*(Resumo!$B$6+Resumo!$B$7)+Resumo!$B$9+Resumo!$B$10*CEILING(AN$3/100,1)+(Resumo!$B$12+Resumo!$B$14)*CEILING(AN$3,1))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88.2222584</v>
      </c>
      <c r="AO36" s="12" t="n">
        <f aca="false">(AB36+AO$4*(Resumo!$C$6+Resumo!$C$7+Resumo!$C$8)+Resumo!$C$10*CEILING(AO$3/100,1)+Resumo!$C$9+Resumo!$C$13+Resumo!$C$14*CEILING(AO$3,1))*(1+Resumo!$C$11)-(AO$4*(Resumo!$B$6+Resumo!$B$7)+Resumo!$B$9+Resumo!$B$10*CEILING(AO$3/100,1)+(Resumo!$B$12+Resumo!$B$14)*CEILING(AO$3,1))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97.3044397894737</v>
      </c>
      <c r="AP36" s="12" t="n">
        <f aca="false">(AC36+AP$4*(Resumo!$C$6+Resumo!$C$7+Resumo!$C$8)+Resumo!$C$10*CEILING(AP$3/100,1)+Resumo!$C$9+Resumo!$C$13+Resumo!$C$14*CEILING(AP$3,1))*(1+Resumo!$C$11)-(AP$4*(Resumo!$B$6+Resumo!$B$7)+Resumo!$B$9+Resumo!$B$10*CEILING(AP$3/100,1)+(Resumo!$B$12+Resumo!$B$14)*CEILING(AP$3,1))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101.761325283019</v>
      </c>
      <c r="AQ36" s="12" t="n">
        <f aca="false">(AD36+AQ$4*(Resumo!$C$6+Resumo!$C$7+Resumo!$C$8)+Resumo!$C$10*CEILING(AQ$3/100,1)+Resumo!$C$9+Resumo!$C$13+Resumo!$C$14*CEILING(AQ$3,1))*(1+Resumo!$C$11)-(AQ$4*(Resumo!$B$6+Resumo!$B$7)+Resumo!$B$9+Resumo!$B$10*CEILING(AQ$3/100,1)+(Resumo!$B$12+Resumo!$B$14)*CEILING(AQ$3,1))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129.507336976744</v>
      </c>
      <c r="AR36" s="12" t="n">
        <f aca="false">(AE36+AR$4*(Resumo!$C$6+Resumo!$C$7+Resumo!$C$8)+Resumo!$C$10*CEILING(AR$3/100,1)+Resumo!$C$9+Resumo!$C$13+Resumo!$C$14*CEILING(AR$3,1))*(1+Resumo!$C$11)-(AR$4*(Resumo!$B$6+Resumo!$B$7)+Resumo!$B$9+Resumo!$B$10*CEILING(AR$3/100,1)+(Resumo!$B$12+Resumo!$B$14)*CEILING(AR$3,1))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138.091008</v>
      </c>
      <c r="AS36" s="12" t="n">
        <f aca="false">(AF36+AS$4*(Resumo!$C$6+Resumo!$C$7+Resumo!$C$8)+Resumo!$C$10*CEILING(AS$3/100,1)+Resumo!$C$9+Resumo!$C$13+Resumo!$C$14*CEILING(AS$3,1))*(1+Resumo!$C$11)-(AS$4*(Resumo!$B$6+Resumo!$B$7)+Resumo!$B$9+Resumo!$B$10*CEILING(AS$3/100,1)+(Resumo!$B$12+Resumo!$B$14)*CEILING(AS$3,1))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151.7928</v>
      </c>
      <c r="AT36" s="12" t="n">
        <f aca="false">(AG36+AT$4*(Resumo!$C$6+Resumo!$C$7+Resumo!$C$8)+Resumo!$C$10*CEILING(AT$3/100,1)+Resumo!$C$9+Resumo!$C$13+Resumo!$C$14*CEILING(AT$3,1))*(1+Resumo!$C$11)-(AT$4*(Resumo!$B$6+Resumo!$B$7)+Resumo!$B$9+Resumo!$B$10*CEILING(AT$3/100,1)+(Resumo!$B$12+Resumo!$B$14)*CEILING(AT$3,1))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187.684332</v>
      </c>
      <c r="AU36" s="13" t="n">
        <f aca="false">1-AH36/H36</f>
        <v>-0.0880776325578989</v>
      </c>
      <c r="AV36" s="13" t="n">
        <f aca="false">1-AI36/I36</f>
        <v>0.188889952634237</v>
      </c>
      <c r="AW36" s="13" t="n">
        <f aca="false">1-AJ36/J36</f>
        <v>0.210299752003561</v>
      </c>
      <c r="AX36" s="13" t="n">
        <f aca="false">1-AK36/K36</f>
        <v>0.229289172942379</v>
      </c>
      <c r="AY36" s="13" t="n">
        <f aca="false">1-AL36/L36</f>
        <v>0.30834033649565</v>
      </c>
      <c r="AZ36" s="13" t="n">
        <f aca="false">1-AM36/M36</f>
        <v>0.370010437799111</v>
      </c>
      <c r="BA36" s="13" t="n">
        <f aca="false">1-AN36/N36</f>
        <v>0.343535542823127</v>
      </c>
      <c r="BB36" s="13" t="n">
        <f aca="false">1-AO36/O36</f>
        <v>0.420772428183382</v>
      </c>
      <c r="BC36" s="13" t="n">
        <f aca="false">1-AP36/P36</f>
        <v>0.495206482052588</v>
      </c>
      <c r="BD36" s="13" t="n">
        <f aca="false">1-AQ36/Q36</f>
        <v>0.45869451629365</v>
      </c>
      <c r="BE36" s="13" t="n">
        <f aca="false">1-AR36/R36</f>
        <v>0.490720973630831</v>
      </c>
      <c r="BF36" s="13" t="n">
        <f aca="false">1-AS36/S36</f>
        <v>0.524160501567398</v>
      </c>
      <c r="BG36" s="13" t="n">
        <f aca="false">1-AT36/T36</f>
        <v>0.529306485429102</v>
      </c>
    </row>
    <row r="37" customFormat="false" ht="15" hidden="false" customHeight="false" outlineLevel="0" collapsed="false">
      <c r="A37" s="4" t="s">
        <v>215</v>
      </c>
      <c r="B37" s="4" t="s">
        <v>239</v>
      </c>
      <c r="C37" s="36" t="n">
        <v>26600000</v>
      </c>
      <c r="D37" s="36" t="n">
        <v>26649999</v>
      </c>
      <c r="E37" s="4" t="s">
        <v>198</v>
      </c>
      <c r="F37" s="4" t="s">
        <v>220</v>
      </c>
      <c r="G37" s="4" t="n">
        <f aca="false">COUNTIFS(Pedidos!$E$2:$E$2224,"&gt;="&amp;C37,Pedidos!$E$2:$E$2224,"&lt;="&amp;D37)</f>
        <v>3</v>
      </c>
      <c r="H37" s="7" t="n">
        <v>77.35</v>
      </c>
      <c r="I37" s="7" t="n">
        <v>108.83</v>
      </c>
      <c r="J37" s="7" t="n">
        <v>124.38</v>
      </c>
      <c r="K37" s="7" t="n">
        <v>124.38</v>
      </c>
      <c r="L37" s="7" t="n">
        <v>142.32</v>
      </c>
      <c r="M37" s="7" t="n">
        <v>166.05</v>
      </c>
      <c r="N37" s="7" t="n">
        <v>157.88</v>
      </c>
      <c r="O37" s="7" t="n">
        <v>197.35</v>
      </c>
      <c r="P37" s="7" t="n">
        <v>236.82</v>
      </c>
      <c r="Q37" s="7" t="n">
        <v>264.84</v>
      </c>
      <c r="R37" s="7" t="n">
        <v>300.15</v>
      </c>
      <c r="S37" s="7" t="n">
        <v>353.12</v>
      </c>
      <c r="T37" s="7" t="n">
        <v>441.4</v>
      </c>
      <c r="U37" s="7" t="n">
        <v>46.95</v>
      </c>
      <c r="V37" s="7" t="n">
        <v>65.63</v>
      </c>
      <c r="W37" s="7" t="n">
        <v>74.97</v>
      </c>
      <c r="X37" s="7" t="n">
        <v>77.7</v>
      </c>
      <c r="Y37" s="7" t="n">
        <v>83.58</v>
      </c>
      <c r="Z37" s="7" t="n">
        <v>90.2</v>
      </c>
      <c r="AA37" s="7" t="n">
        <v>96.77</v>
      </c>
      <c r="AB37" s="7" t="n">
        <v>109.63</v>
      </c>
      <c r="AC37" s="7" t="n">
        <v>119.5</v>
      </c>
      <c r="AD37" s="7" t="n">
        <v>144.24</v>
      </c>
      <c r="AE37" s="7" t="n">
        <v>155.09</v>
      </c>
      <c r="AF37" s="7" t="n">
        <v>66.69</v>
      </c>
      <c r="AG37" s="7" t="n">
        <v>214.88</v>
      </c>
      <c r="AH37" s="12" t="n">
        <f aca="false">(U37+AH$4*(Resumo!$C$6+Resumo!$C$7+Resumo!$C$8)+Resumo!$C$10*CEILING(AH$3/100,1)+Resumo!$C$9+Resumo!$C$13+Resumo!$C$14*CEILING(AH$3,1))*(1+Resumo!$C$11)-(AH$4*(Resumo!$B$6+Resumo!$B$7)+Resumo!$B$9+Resumo!$B$10*CEILING(AH$3/100,1)+(Resumo!$B$12+Resumo!$B$14)*CEILING(AH$3,1))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37" s="12" t="n">
        <f aca="false">(V37+AI$4*(Resumo!$C$6+Resumo!$C$7+Resumo!$C$8)+Resumo!$C$10*CEILING(AI$3/100,1)+Resumo!$C$9+Resumo!$C$13+Resumo!$C$14*CEILING(AI$3,1))*(1+Resumo!$C$11)-(AI$4*(Resumo!$B$6+Resumo!$B$7)+Resumo!$B$9+Resumo!$B$10*CEILING(AI$3/100,1)+(Resumo!$B$12+Resumo!$B$14)*CEILING(AI$3,1))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37" s="12" t="n">
        <f aca="false">(W37+AJ$4*(Resumo!$C$6+Resumo!$C$7+Resumo!$C$8)+Resumo!$C$10*CEILING(AJ$3/100,1)+Resumo!$C$9+Resumo!$C$13+Resumo!$C$14*CEILING(AJ$3,1))*(1+Resumo!$C$11)-(AJ$4*(Resumo!$B$6+Resumo!$B$7)+Resumo!$B$9+Resumo!$B$10*CEILING(AJ$3/100,1)+(Resumo!$B$12+Resumo!$B$14)*CEILING(AJ$3,1))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37" s="12" t="n">
        <f aca="false">(X37+AK$4*(Resumo!$C$6+Resumo!$C$7+Resumo!$C$8)+Resumo!$C$10*CEILING(AK$3/100,1)+Resumo!$C$9+Resumo!$C$13+Resumo!$C$14*CEILING(AK$3,1))*(1+Resumo!$C$11)-(AK$4*(Resumo!$B$6+Resumo!$B$7)+Resumo!$B$9+Resumo!$B$10*CEILING(AK$3/100,1)+(Resumo!$B$12+Resumo!$B$14)*CEILING(AK$3,1))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37" s="12" t="n">
        <f aca="false">(Y37+AL$4*(Resumo!$C$6+Resumo!$C$7+Resumo!$C$8)+Resumo!$C$10*CEILING(AL$3/100,1)+Resumo!$C$9+Resumo!$C$13+Resumo!$C$14*CEILING(AL$3,1))*(1+Resumo!$C$11)-(AL$4*(Resumo!$B$6+Resumo!$B$7)+Resumo!$B$9+Resumo!$B$10*CEILING(AL$3/100,1)+(Resumo!$B$12+Resumo!$B$14)*CEILING(AL$3,1))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37" s="12" t="n">
        <f aca="false">(Z37+AM$4*(Resumo!$C$6+Resumo!$C$7+Resumo!$C$8)+Resumo!$C$10*CEILING(AM$3/100,1)+Resumo!$C$9+Resumo!$C$13+Resumo!$C$14*CEILING(AM$3,1))*(1+Resumo!$C$11)-(AM$4*(Resumo!$B$6+Resumo!$B$7)+Resumo!$B$9+Resumo!$B$10*CEILING(AM$3/100,1)+(Resumo!$B$12+Resumo!$B$14)*CEILING(AM$3,1))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37" s="12" t="n">
        <f aca="false">(AA37+AN$4*(Resumo!$C$6+Resumo!$C$7+Resumo!$C$8)+Resumo!$C$10*CEILING(AN$3/100,1)+Resumo!$C$9+Resumo!$C$13+Resumo!$C$14*CEILING(AN$3,1))*(1+Resumo!$C$11)-(AN$4*(Resumo!$B$6+Resumo!$B$7)+Resumo!$B$9+Resumo!$B$10*CEILING(AN$3/100,1)+(Resumo!$B$12+Resumo!$B$14)*CEILING(AN$3,1))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37" s="12" t="n">
        <f aca="false">(AB37+AO$4*(Resumo!$C$6+Resumo!$C$7+Resumo!$C$8)+Resumo!$C$10*CEILING(AO$3/100,1)+Resumo!$C$9+Resumo!$C$13+Resumo!$C$14*CEILING(AO$3,1))*(1+Resumo!$C$11)-(AO$4*(Resumo!$B$6+Resumo!$B$7)+Resumo!$B$9+Resumo!$B$10*CEILING(AO$3/100,1)+(Resumo!$B$12+Resumo!$B$14)*CEILING(AO$3,1))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37" s="12" t="n">
        <f aca="false">(AC37+AP$4*(Resumo!$C$6+Resumo!$C$7+Resumo!$C$8)+Resumo!$C$10*CEILING(AP$3/100,1)+Resumo!$C$9+Resumo!$C$13+Resumo!$C$14*CEILING(AP$3,1))*(1+Resumo!$C$11)-(AP$4*(Resumo!$B$6+Resumo!$B$7)+Resumo!$B$9+Resumo!$B$10*CEILING(AP$3/100,1)+(Resumo!$B$12+Resumo!$B$14)*CEILING(AP$3,1))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37" s="12" t="n">
        <f aca="false">(AD37+AQ$4*(Resumo!$C$6+Resumo!$C$7+Resumo!$C$8)+Resumo!$C$10*CEILING(AQ$3/100,1)+Resumo!$C$9+Resumo!$C$13+Resumo!$C$14*CEILING(AQ$3,1))*(1+Resumo!$C$11)-(AQ$4*(Resumo!$B$6+Resumo!$B$7)+Resumo!$B$9+Resumo!$B$10*CEILING(AQ$3/100,1)+(Resumo!$B$12+Resumo!$B$14)*CEILING(AQ$3,1))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37" s="12" t="n">
        <f aca="false">(AE37+AR$4*(Resumo!$C$6+Resumo!$C$7+Resumo!$C$8)+Resumo!$C$10*CEILING(AR$3/100,1)+Resumo!$C$9+Resumo!$C$13+Resumo!$C$14*CEILING(AR$3,1))*(1+Resumo!$C$11)-(AR$4*(Resumo!$B$6+Resumo!$B$7)+Resumo!$B$9+Resumo!$B$10*CEILING(AR$3/100,1)+(Resumo!$B$12+Resumo!$B$14)*CEILING(AR$3,1))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37" s="12" t="n">
        <f aca="false">(AF37+AS$4*(Resumo!$C$6+Resumo!$C$7+Resumo!$C$8)+Resumo!$C$10*CEILING(AS$3/100,1)+Resumo!$C$9+Resumo!$C$13+Resumo!$C$14*CEILING(AS$3,1))*(1+Resumo!$C$11)-(AS$4*(Resumo!$B$6+Resumo!$B$7)+Resumo!$B$9+Resumo!$B$10*CEILING(AS$3/100,1)+(Resumo!$B$12+Resumo!$B$14)*CEILING(AS$3,1))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37" s="12" t="n">
        <f aca="false">(AG37+AT$4*(Resumo!$C$6+Resumo!$C$7+Resumo!$C$8)+Resumo!$C$10*CEILING(AT$3/100,1)+Resumo!$C$9+Resumo!$C$13+Resumo!$C$14*CEILING(AT$3,1))*(1+Resumo!$C$11)-(AT$4*(Resumo!$B$6+Resumo!$B$7)+Resumo!$B$9+Resumo!$B$10*CEILING(AT$3/100,1)+(Resumo!$B$12+Resumo!$B$14)*CEILING(AT$3,1))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37" s="13" t="n">
        <f aca="false">1-AH37/H37</f>
        <v>0.284448775984873</v>
      </c>
      <c r="AV37" s="13" t="n">
        <f aca="false">1-AI37/I37</f>
        <v>0.324530396086195</v>
      </c>
      <c r="AW37" s="13" t="n">
        <f aca="false">1-AJ37/J37</f>
        <v>0.337931079721616</v>
      </c>
      <c r="AX37" s="13" t="n">
        <f aca="false">1-AK37/K37</f>
        <v>0.318510239438779</v>
      </c>
      <c r="AY37" s="13" t="n">
        <f aca="false">1-AL37/L37</f>
        <v>0.365701375691832</v>
      </c>
      <c r="AZ37" s="13" t="n">
        <f aca="false">1-AM37/M37</f>
        <v>0.420709229511831</v>
      </c>
      <c r="BA37" s="13" t="n">
        <f aca="false">1-AN37/N37</f>
        <v>0.350695095008868</v>
      </c>
      <c r="BB37" s="13" t="n">
        <f aca="false">1-AO37/O37</f>
        <v>0.419232633445788</v>
      </c>
      <c r="BC37" s="13" t="n">
        <f aca="false">1-AP37/P37</f>
        <v>0.493280443868681</v>
      </c>
      <c r="BD37" s="13" t="n">
        <f aca="false">1-AQ37/Q37</f>
        <v>0.455794679894486</v>
      </c>
      <c r="BE37" s="13" t="n">
        <f aca="false">1-AR37/R37</f>
        <v>0.489018797268033</v>
      </c>
      <c r="BF37" s="13" t="n">
        <f aca="false">1-AS37/S37</f>
        <v>0.820478024467603</v>
      </c>
      <c r="BG37" s="13" t="n">
        <f aca="false">1-AT37/T37</f>
        <v>0.528263860444042</v>
      </c>
    </row>
    <row r="38" customFormat="false" ht="15" hidden="false" customHeight="false" outlineLevel="0" collapsed="false">
      <c r="A38" s="4" t="s">
        <v>215</v>
      </c>
      <c r="B38" s="4" t="s">
        <v>240</v>
      </c>
      <c r="C38" s="36" t="n">
        <v>26650000</v>
      </c>
      <c r="D38" s="36" t="n">
        <v>26699999</v>
      </c>
      <c r="E38" s="4" t="s">
        <v>198</v>
      </c>
      <c r="F38" s="4" t="s">
        <v>220</v>
      </c>
      <c r="G38" s="4" t="n">
        <f aca="false">COUNTIFS(Pedidos!$E$2:$E$2224,"&gt;="&amp;C38,Pedidos!$E$2:$E$2224,"&lt;="&amp;D38)</f>
        <v>0</v>
      </c>
      <c r="H38" s="7" t="n">
        <v>77.35</v>
      </c>
      <c r="I38" s="7" t="n">
        <v>108.83</v>
      </c>
      <c r="J38" s="7" t="n">
        <v>124.38</v>
      </c>
      <c r="K38" s="7" t="n">
        <v>124.38</v>
      </c>
      <c r="L38" s="7" t="n">
        <v>142.32</v>
      </c>
      <c r="M38" s="7" t="n">
        <v>166.05</v>
      </c>
      <c r="N38" s="7" t="n">
        <v>157.88</v>
      </c>
      <c r="O38" s="7" t="n">
        <v>197.35</v>
      </c>
      <c r="P38" s="7" t="n">
        <v>236.82</v>
      </c>
      <c r="Q38" s="7" t="n">
        <v>264.84</v>
      </c>
      <c r="R38" s="7" t="n">
        <v>300.15</v>
      </c>
      <c r="S38" s="7" t="n">
        <v>353.12</v>
      </c>
      <c r="T38" s="7" t="n">
        <v>441.4</v>
      </c>
      <c r="U38" s="7" t="n">
        <v>46.95</v>
      </c>
      <c r="V38" s="7" t="n">
        <v>65.63</v>
      </c>
      <c r="W38" s="7" t="n">
        <v>74.97</v>
      </c>
      <c r="X38" s="7" t="n">
        <v>77.7</v>
      </c>
      <c r="Y38" s="7" t="n">
        <v>83.58</v>
      </c>
      <c r="Z38" s="7" t="n">
        <v>90.2</v>
      </c>
      <c r="AA38" s="7" t="n">
        <v>96.77</v>
      </c>
      <c r="AB38" s="7" t="n">
        <v>109.63</v>
      </c>
      <c r="AC38" s="7" t="n">
        <v>119.5</v>
      </c>
      <c r="AD38" s="7" t="n">
        <v>144.24</v>
      </c>
      <c r="AE38" s="7" t="n">
        <v>155.09</v>
      </c>
      <c r="AF38" s="7" t="n">
        <v>66.69</v>
      </c>
      <c r="AG38" s="7" t="n">
        <v>214.88</v>
      </c>
      <c r="AH38" s="12" t="n">
        <f aca="false">(U38+AH$4*(Resumo!$C$6+Resumo!$C$7+Resumo!$C$8)+Resumo!$C$10*CEILING(AH$3/100,1)+Resumo!$C$9+Resumo!$C$13+Resumo!$C$14*CEILING(AH$3,1))*(1+Resumo!$C$11)-(AH$4*(Resumo!$B$6+Resumo!$B$7)+Resumo!$B$9+Resumo!$B$10*CEILING(AH$3/100,1)+(Resumo!$B$12+Resumo!$B$14)*CEILING(AH$3,1))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38" s="12" t="n">
        <f aca="false">(V38+AI$4*(Resumo!$C$6+Resumo!$C$7+Resumo!$C$8)+Resumo!$C$10*CEILING(AI$3/100,1)+Resumo!$C$9+Resumo!$C$13+Resumo!$C$14*CEILING(AI$3,1))*(1+Resumo!$C$11)-(AI$4*(Resumo!$B$6+Resumo!$B$7)+Resumo!$B$9+Resumo!$B$10*CEILING(AI$3/100,1)+(Resumo!$B$12+Resumo!$B$14)*CEILING(AI$3,1))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38" s="12" t="n">
        <f aca="false">(W38+AJ$4*(Resumo!$C$6+Resumo!$C$7+Resumo!$C$8)+Resumo!$C$10*CEILING(AJ$3/100,1)+Resumo!$C$9+Resumo!$C$13+Resumo!$C$14*CEILING(AJ$3,1))*(1+Resumo!$C$11)-(AJ$4*(Resumo!$B$6+Resumo!$B$7)+Resumo!$B$9+Resumo!$B$10*CEILING(AJ$3/100,1)+(Resumo!$B$12+Resumo!$B$14)*CEILING(AJ$3,1))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38" s="12" t="n">
        <f aca="false">(X38+AK$4*(Resumo!$C$6+Resumo!$C$7+Resumo!$C$8)+Resumo!$C$10*CEILING(AK$3/100,1)+Resumo!$C$9+Resumo!$C$13+Resumo!$C$14*CEILING(AK$3,1))*(1+Resumo!$C$11)-(AK$4*(Resumo!$B$6+Resumo!$B$7)+Resumo!$B$9+Resumo!$B$10*CEILING(AK$3/100,1)+(Resumo!$B$12+Resumo!$B$14)*CEILING(AK$3,1))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38" s="12" t="n">
        <f aca="false">(Y38+AL$4*(Resumo!$C$6+Resumo!$C$7+Resumo!$C$8)+Resumo!$C$10*CEILING(AL$3/100,1)+Resumo!$C$9+Resumo!$C$13+Resumo!$C$14*CEILING(AL$3,1))*(1+Resumo!$C$11)-(AL$4*(Resumo!$B$6+Resumo!$B$7)+Resumo!$B$9+Resumo!$B$10*CEILING(AL$3/100,1)+(Resumo!$B$12+Resumo!$B$14)*CEILING(AL$3,1))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38" s="12" t="n">
        <f aca="false">(Z38+AM$4*(Resumo!$C$6+Resumo!$C$7+Resumo!$C$8)+Resumo!$C$10*CEILING(AM$3/100,1)+Resumo!$C$9+Resumo!$C$13+Resumo!$C$14*CEILING(AM$3,1))*(1+Resumo!$C$11)-(AM$4*(Resumo!$B$6+Resumo!$B$7)+Resumo!$B$9+Resumo!$B$10*CEILING(AM$3/100,1)+(Resumo!$B$12+Resumo!$B$14)*CEILING(AM$3,1))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38" s="12" t="n">
        <f aca="false">(AA38+AN$4*(Resumo!$C$6+Resumo!$C$7+Resumo!$C$8)+Resumo!$C$10*CEILING(AN$3/100,1)+Resumo!$C$9+Resumo!$C$13+Resumo!$C$14*CEILING(AN$3,1))*(1+Resumo!$C$11)-(AN$4*(Resumo!$B$6+Resumo!$B$7)+Resumo!$B$9+Resumo!$B$10*CEILING(AN$3/100,1)+(Resumo!$B$12+Resumo!$B$14)*CEILING(AN$3,1))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38" s="12" t="n">
        <f aca="false">(AB38+AO$4*(Resumo!$C$6+Resumo!$C$7+Resumo!$C$8)+Resumo!$C$10*CEILING(AO$3/100,1)+Resumo!$C$9+Resumo!$C$13+Resumo!$C$14*CEILING(AO$3,1))*(1+Resumo!$C$11)-(AO$4*(Resumo!$B$6+Resumo!$B$7)+Resumo!$B$9+Resumo!$B$10*CEILING(AO$3/100,1)+(Resumo!$B$12+Resumo!$B$14)*CEILING(AO$3,1))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38" s="12" t="n">
        <f aca="false">(AC38+AP$4*(Resumo!$C$6+Resumo!$C$7+Resumo!$C$8)+Resumo!$C$10*CEILING(AP$3/100,1)+Resumo!$C$9+Resumo!$C$13+Resumo!$C$14*CEILING(AP$3,1))*(1+Resumo!$C$11)-(AP$4*(Resumo!$B$6+Resumo!$B$7)+Resumo!$B$9+Resumo!$B$10*CEILING(AP$3/100,1)+(Resumo!$B$12+Resumo!$B$14)*CEILING(AP$3,1))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38" s="12" t="n">
        <f aca="false">(AD38+AQ$4*(Resumo!$C$6+Resumo!$C$7+Resumo!$C$8)+Resumo!$C$10*CEILING(AQ$3/100,1)+Resumo!$C$9+Resumo!$C$13+Resumo!$C$14*CEILING(AQ$3,1))*(1+Resumo!$C$11)-(AQ$4*(Resumo!$B$6+Resumo!$B$7)+Resumo!$B$9+Resumo!$B$10*CEILING(AQ$3/100,1)+(Resumo!$B$12+Resumo!$B$14)*CEILING(AQ$3,1))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38" s="12" t="n">
        <f aca="false">(AE38+AR$4*(Resumo!$C$6+Resumo!$C$7+Resumo!$C$8)+Resumo!$C$10*CEILING(AR$3/100,1)+Resumo!$C$9+Resumo!$C$13+Resumo!$C$14*CEILING(AR$3,1))*(1+Resumo!$C$11)-(AR$4*(Resumo!$B$6+Resumo!$B$7)+Resumo!$B$9+Resumo!$B$10*CEILING(AR$3/100,1)+(Resumo!$B$12+Resumo!$B$14)*CEILING(AR$3,1))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38" s="12" t="n">
        <f aca="false">(AF38+AS$4*(Resumo!$C$6+Resumo!$C$7+Resumo!$C$8)+Resumo!$C$10*CEILING(AS$3/100,1)+Resumo!$C$9+Resumo!$C$13+Resumo!$C$14*CEILING(AS$3,1))*(1+Resumo!$C$11)-(AS$4*(Resumo!$B$6+Resumo!$B$7)+Resumo!$B$9+Resumo!$B$10*CEILING(AS$3/100,1)+(Resumo!$B$12+Resumo!$B$14)*CEILING(AS$3,1))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38" s="12" t="n">
        <f aca="false">(AG38+AT$4*(Resumo!$C$6+Resumo!$C$7+Resumo!$C$8)+Resumo!$C$10*CEILING(AT$3/100,1)+Resumo!$C$9+Resumo!$C$13+Resumo!$C$14*CEILING(AT$3,1))*(1+Resumo!$C$11)-(AT$4*(Resumo!$B$6+Resumo!$B$7)+Resumo!$B$9+Resumo!$B$10*CEILING(AT$3/100,1)+(Resumo!$B$12+Resumo!$B$14)*CEILING(AT$3,1))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38" s="13" t="n">
        <f aca="false">1-AH38/H38</f>
        <v>0.284448775984873</v>
      </c>
      <c r="AV38" s="13" t="n">
        <f aca="false">1-AI38/I38</f>
        <v>0.324530396086195</v>
      </c>
      <c r="AW38" s="13" t="n">
        <f aca="false">1-AJ38/J38</f>
        <v>0.337931079721616</v>
      </c>
      <c r="AX38" s="13" t="n">
        <f aca="false">1-AK38/K38</f>
        <v>0.318510239438779</v>
      </c>
      <c r="AY38" s="13" t="n">
        <f aca="false">1-AL38/L38</f>
        <v>0.365701375691832</v>
      </c>
      <c r="AZ38" s="13" t="n">
        <f aca="false">1-AM38/M38</f>
        <v>0.420709229511831</v>
      </c>
      <c r="BA38" s="13" t="n">
        <f aca="false">1-AN38/N38</f>
        <v>0.350695095008868</v>
      </c>
      <c r="BB38" s="13" t="n">
        <f aca="false">1-AO38/O38</f>
        <v>0.419232633445788</v>
      </c>
      <c r="BC38" s="13" t="n">
        <f aca="false">1-AP38/P38</f>
        <v>0.493280443868681</v>
      </c>
      <c r="BD38" s="13" t="n">
        <f aca="false">1-AQ38/Q38</f>
        <v>0.455794679894486</v>
      </c>
      <c r="BE38" s="13" t="n">
        <f aca="false">1-AR38/R38</f>
        <v>0.489018797268033</v>
      </c>
      <c r="BF38" s="13" t="n">
        <f aca="false">1-AS38/S38</f>
        <v>0.820478024467603</v>
      </c>
      <c r="BG38" s="13" t="n">
        <f aca="false">1-AT38/T38</f>
        <v>0.528263860444042</v>
      </c>
    </row>
    <row r="39" customFormat="false" ht="15" hidden="false" customHeight="false" outlineLevel="0" collapsed="false">
      <c r="A39" s="4" t="s">
        <v>215</v>
      </c>
      <c r="B39" s="4" t="s">
        <v>241</v>
      </c>
      <c r="C39" s="36" t="n">
        <v>26700000</v>
      </c>
      <c r="D39" s="36" t="n">
        <v>26899999</v>
      </c>
      <c r="E39" s="4" t="s">
        <v>198</v>
      </c>
      <c r="F39" s="4" t="s">
        <v>220</v>
      </c>
      <c r="G39" s="4" t="n">
        <f aca="false">COUNTIFS(Pedidos!$E$2:$E$2224,"&gt;="&amp;C39,Pedidos!$E$2:$E$2224,"&lt;="&amp;D39)</f>
        <v>2</v>
      </c>
      <c r="H39" s="7" t="n">
        <v>77.35</v>
      </c>
      <c r="I39" s="7" t="n">
        <v>108.83</v>
      </c>
      <c r="J39" s="7" t="n">
        <v>124.38</v>
      </c>
      <c r="K39" s="7" t="n">
        <v>124.38</v>
      </c>
      <c r="L39" s="7" t="n">
        <v>142.32</v>
      </c>
      <c r="M39" s="7" t="n">
        <v>166.05</v>
      </c>
      <c r="N39" s="7" t="n">
        <v>157.88</v>
      </c>
      <c r="O39" s="7" t="n">
        <v>197.35</v>
      </c>
      <c r="P39" s="7" t="n">
        <v>236.82</v>
      </c>
      <c r="Q39" s="7" t="n">
        <v>264.84</v>
      </c>
      <c r="R39" s="7" t="n">
        <v>300.15</v>
      </c>
      <c r="S39" s="7" t="n">
        <v>353.12</v>
      </c>
      <c r="T39" s="7" t="n">
        <v>441.4</v>
      </c>
      <c r="U39" s="7" t="n">
        <v>46.95</v>
      </c>
      <c r="V39" s="7" t="n">
        <v>65.63</v>
      </c>
      <c r="W39" s="7" t="n">
        <v>74.97</v>
      </c>
      <c r="X39" s="7" t="n">
        <v>77.7</v>
      </c>
      <c r="Y39" s="7" t="n">
        <v>83.58</v>
      </c>
      <c r="Z39" s="7" t="n">
        <v>90.2</v>
      </c>
      <c r="AA39" s="7" t="n">
        <v>96.77</v>
      </c>
      <c r="AB39" s="7" t="n">
        <v>109.63</v>
      </c>
      <c r="AC39" s="7" t="n">
        <v>119.5</v>
      </c>
      <c r="AD39" s="7" t="n">
        <v>144.24</v>
      </c>
      <c r="AE39" s="7" t="n">
        <v>155.09</v>
      </c>
      <c r="AF39" s="7" t="n">
        <v>66.69</v>
      </c>
      <c r="AG39" s="7" t="n">
        <v>214.88</v>
      </c>
      <c r="AH39" s="12" t="n">
        <f aca="false">(U39+AH$4*(Resumo!$C$6+Resumo!$C$7+Resumo!$C$8)+Resumo!$C$10*CEILING(AH$3/100,1)+Resumo!$C$9+Resumo!$C$13+Resumo!$C$14*CEILING(AH$3,1))*(1+Resumo!$C$11)-(AH$4*(Resumo!$B$6+Resumo!$B$7)+Resumo!$B$9+Resumo!$B$10*CEILING(AH$3/100,1)+(Resumo!$B$12+Resumo!$B$14)*CEILING(AH$3,1))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39" s="12" t="n">
        <f aca="false">(V39+AI$4*(Resumo!$C$6+Resumo!$C$7+Resumo!$C$8)+Resumo!$C$10*CEILING(AI$3/100,1)+Resumo!$C$9+Resumo!$C$13+Resumo!$C$14*CEILING(AI$3,1))*(1+Resumo!$C$11)-(AI$4*(Resumo!$B$6+Resumo!$B$7)+Resumo!$B$9+Resumo!$B$10*CEILING(AI$3/100,1)+(Resumo!$B$12+Resumo!$B$14)*CEILING(AI$3,1))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39" s="12" t="n">
        <f aca="false">(W39+AJ$4*(Resumo!$C$6+Resumo!$C$7+Resumo!$C$8)+Resumo!$C$10*CEILING(AJ$3/100,1)+Resumo!$C$9+Resumo!$C$13+Resumo!$C$14*CEILING(AJ$3,1))*(1+Resumo!$C$11)-(AJ$4*(Resumo!$B$6+Resumo!$B$7)+Resumo!$B$9+Resumo!$B$10*CEILING(AJ$3/100,1)+(Resumo!$B$12+Resumo!$B$14)*CEILING(AJ$3,1))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39" s="12" t="n">
        <f aca="false">(X39+AK$4*(Resumo!$C$6+Resumo!$C$7+Resumo!$C$8)+Resumo!$C$10*CEILING(AK$3/100,1)+Resumo!$C$9+Resumo!$C$13+Resumo!$C$14*CEILING(AK$3,1))*(1+Resumo!$C$11)-(AK$4*(Resumo!$B$6+Resumo!$B$7)+Resumo!$B$9+Resumo!$B$10*CEILING(AK$3/100,1)+(Resumo!$B$12+Resumo!$B$14)*CEILING(AK$3,1))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39" s="12" t="n">
        <f aca="false">(Y39+AL$4*(Resumo!$C$6+Resumo!$C$7+Resumo!$C$8)+Resumo!$C$10*CEILING(AL$3/100,1)+Resumo!$C$9+Resumo!$C$13+Resumo!$C$14*CEILING(AL$3,1))*(1+Resumo!$C$11)-(AL$4*(Resumo!$B$6+Resumo!$B$7)+Resumo!$B$9+Resumo!$B$10*CEILING(AL$3/100,1)+(Resumo!$B$12+Resumo!$B$14)*CEILING(AL$3,1))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39" s="12" t="n">
        <f aca="false">(Z39+AM$4*(Resumo!$C$6+Resumo!$C$7+Resumo!$C$8)+Resumo!$C$10*CEILING(AM$3/100,1)+Resumo!$C$9+Resumo!$C$13+Resumo!$C$14*CEILING(AM$3,1))*(1+Resumo!$C$11)-(AM$4*(Resumo!$B$6+Resumo!$B$7)+Resumo!$B$9+Resumo!$B$10*CEILING(AM$3/100,1)+(Resumo!$B$12+Resumo!$B$14)*CEILING(AM$3,1))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39" s="12" t="n">
        <f aca="false">(AA39+AN$4*(Resumo!$C$6+Resumo!$C$7+Resumo!$C$8)+Resumo!$C$10*CEILING(AN$3/100,1)+Resumo!$C$9+Resumo!$C$13+Resumo!$C$14*CEILING(AN$3,1))*(1+Resumo!$C$11)-(AN$4*(Resumo!$B$6+Resumo!$B$7)+Resumo!$B$9+Resumo!$B$10*CEILING(AN$3/100,1)+(Resumo!$B$12+Resumo!$B$14)*CEILING(AN$3,1))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39" s="12" t="n">
        <f aca="false">(AB39+AO$4*(Resumo!$C$6+Resumo!$C$7+Resumo!$C$8)+Resumo!$C$10*CEILING(AO$3/100,1)+Resumo!$C$9+Resumo!$C$13+Resumo!$C$14*CEILING(AO$3,1))*(1+Resumo!$C$11)-(AO$4*(Resumo!$B$6+Resumo!$B$7)+Resumo!$B$9+Resumo!$B$10*CEILING(AO$3/100,1)+(Resumo!$B$12+Resumo!$B$14)*CEILING(AO$3,1))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39" s="12" t="n">
        <f aca="false">(AC39+AP$4*(Resumo!$C$6+Resumo!$C$7+Resumo!$C$8)+Resumo!$C$10*CEILING(AP$3/100,1)+Resumo!$C$9+Resumo!$C$13+Resumo!$C$14*CEILING(AP$3,1))*(1+Resumo!$C$11)-(AP$4*(Resumo!$B$6+Resumo!$B$7)+Resumo!$B$9+Resumo!$B$10*CEILING(AP$3/100,1)+(Resumo!$B$12+Resumo!$B$14)*CEILING(AP$3,1))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39" s="12" t="n">
        <f aca="false">(AD39+AQ$4*(Resumo!$C$6+Resumo!$C$7+Resumo!$C$8)+Resumo!$C$10*CEILING(AQ$3/100,1)+Resumo!$C$9+Resumo!$C$13+Resumo!$C$14*CEILING(AQ$3,1))*(1+Resumo!$C$11)-(AQ$4*(Resumo!$B$6+Resumo!$B$7)+Resumo!$B$9+Resumo!$B$10*CEILING(AQ$3/100,1)+(Resumo!$B$12+Resumo!$B$14)*CEILING(AQ$3,1))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39" s="12" t="n">
        <f aca="false">(AE39+AR$4*(Resumo!$C$6+Resumo!$C$7+Resumo!$C$8)+Resumo!$C$10*CEILING(AR$3/100,1)+Resumo!$C$9+Resumo!$C$13+Resumo!$C$14*CEILING(AR$3,1))*(1+Resumo!$C$11)-(AR$4*(Resumo!$B$6+Resumo!$B$7)+Resumo!$B$9+Resumo!$B$10*CEILING(AR$3/100,1)+(Resumo!$B$12+Resumo!$B$14)*CEILING(AR$3,1))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39" s="12" t="n">
        <f aca="false">(AF39+AS$4*(Resumo!$C$6+Resumo!$C$7+Resumo!$C$8)+Resumo!$C$10*CEILING(AS$3/100,1)+Resumo!$C$9+Resumo!$C$13+Resumo!$C$14*CEILING(AS$3,1))*(1+Resumo!$C$11)-(AS$4*(Resumo!$B$6+Resumo!$B$7)+Resumo!$B$9+Resumo!$B$10*CEILING(AS$3/100,1)+(Resumo!$B$12+Resumo!$B$14)*CEILING(AS$3,1))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39" s="12" t="n">
        <f aca="false">(AG39+AT$4*(Resumo!$C$6+Resumo!$C$7+Resumo!$C$8)+Resumo!$C$10*CEILING(AT$3/100,1)+Resumo!$C$9+Resumo!$C$13+Resumo!$C$14*CEILING(AT$3,1))*(1+Resumo!$C$11)-(AT$4*(Resumo!$B$6+Resumo!$B$7)+Resumo!$B$9+Resumo!$B$10*CEILING(AT$3/100,1)+(Resumo!$B$12+Resumo!$B$14)*CEILING(AT$3,1))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39" s="13" t="n">
        <f aca="false">1-AH39/H39</f>
        <v>0.284448775984873</v>
      </c>
      <c r="AV39" s="13" t="n">
        <f aca="false">1-AI39/I39</f>
        <v>0.324530396086195</v>
      </c>
      <c r="AW39" s="13" t="n">
        <f aca="false">1-AJ39/J39</f>
        <v>0.337931079721616</v>
      </c>
      <c r="AX39" s="13" t="n">
        <f aca="false">1-AK39/K39</f>
        <v>0.318510239438779</v>
      </c>
      <c r="AY39" s="13" t="n">
        <f aca="false">1-AL39/L39</f>
        <v>0.365701375691832</v>
      </c>
      <c r="AZ39" s="13" t="n">
        <f aca="false">1-AM39/M39</f>
        <v>0.420709229511831</v>
      </c>
      <c r="BA39" s="13" t="n">
        <f aca="false">1-AN39/N39</f>
        <v>0.350695095008868</v>
      </c>
      <c r="BB39" s="13" t="n">
        <f aca="false">1-AO39/O39</f>
        <v>0.419232633445788</v>
      </c>
      <c r="BC39" s="13" t="n">
        <f aca="false">1-AP39/P39</f>
        <v>0.493280443868681</v>
      </c>
      <c r="BD39" s="13" t="n">
        <f aca="false">1-AQ39/Q39</f>
        <v>0.455794679894486</v>
      </c>
      <c r="BE39" s="13" t="n">
        <f aca="false">1-AR39/R39</f>
        <v>0.489018797268033</v>
      </c>
      <c r="BF39" s="13" t="n">
        <f aca="false">1-AS39/S39</f>
        <v>0.820478024467603</v>
      </c>
      <c r="BG39" s="13" t="n">
        <f aca="false">1-AT39/T39</f>
        <v>0.528263860444042</v>
      </c>
    </row>
    <row r="40" customFormat="false" ht="15" hidden="false" customHeight="false" outlineLevel="0" collapsed="false">
      <c r="A40" s="4" t="s">
        <v>215</v>
      </c>
      <c r="B40" s="4" t="s">
        <v>242</v>
      </c>
      <c r="C40" s="36" t="n">
        <v>26900000</v>
      </c>
      <c r="D40" s="36" t="n">
        <v>26949999</v>
      </c>
      <c r="E40" s="4" t="s">
        <v>198</v>
      </c>
      <c r="F40" s="4" t="s">
        <v>220</v>
      </c>
      <c r="G40" s="4" t="n">
        <f aca="false">COUNTIFS(Pedidos!$E$2:$E$2224,"&gt;="&amp;C40,Pedidos!$E$2:$E$2224,"&lt;="&amp;D40)</f>
        <v>2</v>
      </c>
      <c r="H40" s="7" t="n">
        <v>77.35</v>
      </c>
      <c r="I40" s="7" t="n">
        <v>108.83</v>
      </c>
      <c r="J40" s="7" t="n">
        <v>124.38</v>
      </c>
      <c r="K40" s="7" t="n">
        <v>124.38</v>
      </c>
      <c r="L40" s="7" t="n">
        <v>142.32</v>
      </c>
      <c r="M40" s="7" t="n">
        <v>166.05</v>
      </c>
      <c r="N40" s="7" t="n">
        <v>157.88</v>
      </c>
      <c r="O40" s="7" t="n">
        <v>197.35</v>
      </c>
      <c r="P40" s="7" t="n">
        <v>236.82</v>
      </c>
      <c r="Q40" s="7" t="n">
        <v>264.84</v>
      </c>
      <c r="R40" s="7" t="n">
        <v>300.15</v>
      </c>
      <c r="S40" s="7" t="n">
        <v>353.12</v>
      </c>
      <c r="T40" s="7" t="n">
        <v>441.4</v>
      </c>
      <c r="U40" s="7" t="n">
        <v>46.95</v>
      </c>
      <c r="V40" s="7" t="n">
        <v>65.63</v>
      </c>
      <c r="W40" s="7" t="n">
        <v>74.97</v>
      </c>
      <c r="X40" s="7" t="n">
        <v>77.7</v>
      </c>
      <c r="Y40" s="7" t="n">
        <v>83.58</v>
      </c>
      <c r="Z40" s="7" t="n">
        <v>90.2</v>
      </c>
      <c r="AA40" s="7" t="n">
        <v>96.77</v>
      </c>
      <c r="AB40" s="7" t="n">
        <v>109.63</v>
      </c>
      <c r="AC40" s="7" t="n">
        <v>119.5</v>
      </c>
      <c r="AD40" s="7" t="n">
        <v>144.24</v>
      </c>
      <c r="AE40" s="7" t="n">
        <v>155.09</v>
      </c>
      <c r="AF40" s="7" t="n">
        <v>66.69</v>
      </c>
      <c r="AG40" s="7" t="n">
        <v>214.88</v>
      </c>
      <c r="AH40" s="12" t="n">
        <f aca="false">(U40+AH$4*(Resumo!$C$6+Resumo!$C$7+Resumo!$C$8)+Resumo!$C$10*CEILING(AH$3/100,1)+Resumo!$C$9+Resumo!$C$13+Resumo!$C$14*CEILING(AH$3,1))*(1+Resumo!$C$11)-(AH$4*(Resumo!$B$6+Resumo!$B$7)+Resumo!$B$9+Resumo!$B$10*CEILING(AH$3/100,1)+(Resumo!$B$12+Resumo!$B$14)*CEILING(AH$3,1))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0" s="12" t="n">
        <f aca="false">(V40+AI$4*(Resumo!$C$6+Resumo!$C$7+Resumo!$C$8)+Resumo!$C$10*CEILING(AI$3/100,1)+Resumo!$C$9+Resumo!$C$13+Resumo!$C$14*CEILING(AI$3,1))*(1+Resumo!$C$11)-(AI$4*(Resumo!$B$6+Resumo!$B$7)+Resumo!$B$9+Resumo!$B$10*CEILING(AI$3/100,1)+(Resumo!$B$12+Resumo!$B$14)*CEILING(AI$3,1))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0" s="12" t="n">
        <f aca="false">(W40+AJ$4*(Resumo!$C$6+Resumo!$C$7+Resumo!$C$8)+Resumo!$C$10*CEILING(AJ$3/100,1)+Resumo!$C$9+Resumo!$C$13+Resumo!$C$14*CEILING(AJ$3,1))*(1+Resumo!$C$11)-(AJ$4*(Resumo!$B$6+Resumo!$B$7)+Resumo!$B$9+Resumo!$B$10*CEILING(AJ$3/100,1)+(Resumo!$B$12+Resumo!$B$14)*CEILING(AJ$3,1))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0" s="12" t="n">
        <f aca="false">(X40+AK$4*(Resumo!$C$6+Resumo!$C$7+Resumo!$C$8)+Resumo!$C$10*CEILING(AK$3/100,1)+Resumo!$C$9+Resumo!$C$13+Resumo!$C$14*CEILING(AK$3,1))*(1+Resumo!$C$11)-(AK$4*(Resumo!$B$6+Resumo!$B$7)+Resumo!$B$9+Resumo!$B$10*CEILING(AK$3/100,1)+(Resumo!$B$12+Resumo!$B$14)*CEILING(AK$3,1))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0" s="12" t="n">
        <f aca="false">(Y40+AL$4*(Resumo!$C$6+Resumo!$C$7+Resumo!$C$8)+Resumo!$C$10*CEILING(AL$3/100,1)+Resumo!$C$9+Resumo!$C$13+Resumo!$C$14*CEILING(AL$3,1))*(1+Resumo!$C$11)-(AL$4*(Resumo!$B$6+Resumo!$B$7)+Resumo!$B$9+Resumo!$B$10*CEILING(AL$3/100,1)+(Resumo!$B$12+Resumo!$B$14)*CEILING(AL$3,1))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0" s="12" t="n">
        <f aca="false">(Z40+AM$4*(Resumo!$C$6+Resumo!$C$7+Resumo!$C$8)+Resumo!$C$10*CEILING(AM$3/100,1)+Resumo!$C$9+Resumo!$C$13+Resumo!$C$14*CEILING(AM$3,1))*(1+Resumo!$C$11)-(AM$4*(Resumo!$B$6+Resumo!$B$7)+Resumo!$B$9+Resumo!$B$10*CEILING(AM$3/100,1)+(Resumo!$B$12+Resumo!$B$14)*CEILING(AM$3,1))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0" s="12" t="n">
        <f aca="false">(AA40+AN$4*(Resumo!$C$6+Resumo!$C$7+Resumo!$C$8)+Resumo!$C$10*CEILING(AN$3/100,1)+Resumo!$C$9+Resumo!$C$13+Resumo!$C$14*CEILING(AN$3,1))*(1+Resumo!$C$11)-(AN$4*(Resumo!$B$6+Resumo!$B$7)+Resumo!$B$9+Resumo!$B$10*CEILING(AN$3/100,1)+(Resumo!$B$12+Resumo!$B$14)*CEILING(AN$3,1))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0" s="12" t="n">
        <f aca="false">(AB40+AO$4*(Resumo!$C$6+Resumo!$C$7+Resumo!$C$8)+Resumo!$C$10*CEILING(AO$3/100,1)+Resumo!$C$9+Resumo!$C$13+Resumo!$C$14*CEILING(AO$3,1))*(1+Resumo!$C$11)-(AO$4*(Resumo!$B$6+Resumo!$B$7)+Resumo!$B$9+Resumo!$B$10*CEILING(AO$3/100,1)+(Resumo!$B$12+Resumo!$B$14)*CEILING(AO$3,1))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0" s="12" t="n">
        <f aca="false">(AC40+AP$4*(Resumo!$C$6+Resumo!$C$7+Resumo!$C$8)+Resumo!$C$10*CEILING(AP$3/100,1)+Resumo!$C$9+Resumo!$C$13+Resumo!$C$14*CEILING(AP$3,1))*(1+Resumo!$C$11)-(AP$4*(Resumo!$B$6+Resumo!$B$7)+Resumo!$B$9+Resumo!$B$10*CEILING(AP$3/100,1)+(Resumo!$B$12+Resumo!$B$14)*CEILING(AP$3,1))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0" s="12" t="n">
        <f aca="false">(AD40+AQ$4*(Resumo!$C$6+Resumo!$C$7+Resumo!$C$8)+Resumo!$C$10*CEILING(AQ$3/100,1)+Resumo!$C$9+Resumo!$C$13+Resumo!$C$14*CEILING(AQ$3,1))*(1+Resumo!$C$11)-(AQ$4*(Resumo!$B$6+Resumo!$B$7)+Resumo!$B$9+Resumo!$B$10*CEILING(AQ$3/100,1)+(Resumo!$B$12+Resumo!$B$14)*CEILING(AQ$3,1))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0" s="12" t="n">
        <f aca="false">(AE40+AR$4*(Resumo!$C$6+Resumo!$C$7+Resumo!$C$8)+Resumo!$C$10*CEILING(AR$3/100,1)+Resumo!$C$9+Resumo!$C$13+Resumo!$C$14*CEILING(AR$3,1))*(1+Resumo!$C$11)-(AR$4*(Resumo!$B$6+Resumo!$B$7)+Resumo!$B$9+Resumo!$B$10*CEILING(AR$3/100,1)+(Resumo!$B$12+Resumo!$B$14)*CEILING(AR$3,1))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0" s="12" t="n">
        <f aca="false">(AF40+AS$4*(Resumo!$C$6+Resumo!$C$7+Resumo!$C$8)+Resumo!$C$10*CEILING(AS$3/100,1)+Resumo!$C$9+Resumo!$C$13+Resumo!$C$14*CEILING(AS$3,1))*(1+Resumo!$C$11)-(AS$4*(Resumo!$B$6+Resumo!$B$7)+Resumo!$B$9+Resumo!$B$10*CEILING(AS$3/100,1)+(Resumo!$B$12+Resumo!$B$14)*CEILING(AS$3,1))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0" s="12" t="n">
        <f aca="false">(AG40+AT$4*(Resumo!$C$6+Resumo!$C$7+Resumo!$C$8)+Resumo!$C$10*CEILING(AT$3/100,1)+Resumo!$C$9+Resumo!$C$13+Resumo!$C$14*CEILING(AT$3,1))*(1+Resumo!$C$11)-(AT$4*(Resumo!$B$6+Resumo!$B$7)+Resumo!$B$9+Resumo!$B$10*CEILING(AT$3/100,1)+(Resumo!$B$12+Resumo!$B$14)*CEILING(AT$3,1))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0" s="13" t="n">
        <f aca="false">1-AH40/H40</f>
        <v>0.284448775984873</v>
      </c>
      <c r="AV40" s="13" t="n">
        <f aca="false">1-AI40/I40</f>
        <v>0.324530396086195</v>
      </c>
      <c r="AW40" s="13" t="n">
        <f aca="false">1-AJ40/J40</f>
        <v>0.337931079721616</v>
      </c>
      <c r="AX40" s="13" t="n">
        <f aca="false">1-AK40/K40</f>
        <v>0.318510239438779</v>
      </c>
      <c r="AY40" s="13" t="n">
        <f aca="false">1-AL40/L40</f>
        <v>0.365701375691832</v>
      </c>
      <c r="AZ40" s="13" t="n">
        <f aca="false">1-AM40/M40</f>
        <v>0.420709229511831</v>
      </c>
      <c r="BA40" s="13" t="n">
        <f aca="false">1-AN40/N40</f>
        <v>0.350695095008868</v>
      </c>
      <c r="BB40" s="13" t="n">
        <f aca="false">1-AO40/O40</f>
        <v>0.419232633445788</v>
      </c>
      <c r="BC40" s="13" t="n">
        <f aca="false">1-AP40/P40</f>
        <v>0.493280443868681</v>
      </c>
      <c r="BD40" s="13" t="n">
        <f aca="false">1-AQ40/Q40</f>
        <v>0.455794679894486</v>
      </c>
      <c r="BE40" s="13" t="n">
        <f aca="false">1-AR40/R40</f>
        <v>0.489018797268033</v>
      </c>
      <c r="BF40" s="13" t="n">
        <f aca="false">1-AS40/S40</f>
        <v>0.820478024467603</v>
      </c>
      <c r="BG40" s="13" t="n">
        <f aca="false">1-AT40/T40</f>
        <v>0.528263860444042</v>
      </c>
    </row>
    <row r="41" customFormat="false" ht="15" hidden="false" customHeight="false" outlineLevel="0" collapsed="false">
      <c r="A41" s="4" t="s">
        <v>215</v>
      </c>
      <c r="B41" s="4" t="s">
        <v>243</v>
      </c>
      <c r="C41" s="36" t="n">
        <v>26950000</v>
      </c>
      <c r="D41" s="36" t="n">
        <v>26999999</v>
      </c>
      <c r="E41" s="4" t="s">
        <v>198</v>
      </c>
      <c r="F41" s="4" t="s">
        <v>220</v>
      </c>
      <c r="G41" s="4" t="n">
        <f aca="false">COUNTIFS(Pedidos!$E$2:$E$2224,"&gt;="&amp;C41,Pedidos!$E$2:$E$2224,"&lt;="&amp;D41)</f>
        <v>1</v>
      </c>
      <c r="H41" s="7" t="n">
        <v>77.35</v>
      </c>
      <c r="I41" s="7" t="n">
        <v>108.83</v>
      </c>
      <c r="J41" s="7" t="n">
        <v>124.38</v>
      </c>
      <c r="K41" s="7" t="n">
        <v>124.38</v>
      </c>
      <c r="L41" s="7" t="n">
        <v>142.32</v>
      </c>
      <c r="M41" s="7" t="n">
        <v>166.05</v>
      </c>
      <c r="N41" s="7" t="n">
        <v>157.88</v>
      </c>
      <c r="O41" s="7" t="n">
        <v>197.35</v>
      </c>
      <c r="P41" s="7" t="n">
        <v>236.82</v>
      </c>
      <c r="Q41" s="7" t="n">
        <v>264.84</v>
      </c>
      <c r="R41" s="7" t="n">
        <v>300.15</v>
      </c>
      <c r="S41" s="7" t="n">
        <v>353.12</v>
      </c>
      <c r="T41" s="7" t="n">
        <v>441.4</v>
      </c>
      <c r="U41" s="7" t="n">
        <v>46.95</v>
      </c>
      <c r="V41" s="7" t="n">
        <v>65.63</v>
      </c>
      <c r="W41" s="7" t="n">
        <v>74.97</v>
      </c>
      <c r="X41" s="7" t="n">
        <v>77.7</v>
      </c>
      <c r="Y41" s="7" t="n">
        <v>83.58</v>
      </c>
      <c r="Z41" s="7" t="n">
        <v>90.2</v>
      </c>
      <c r="AA41" s="7" t="n">
        <v>96.77</v>
      </c>
      <c r="AB41" s="7" t="n">
        <v>109.63</v>
      </c>
      <c r="AC41" s="7" t="n">
        <v>119.5</v>
      </c>
      <c r="AD41" s="7" t="n">
        <v>144.24</v>
      </c>
      <c r="AE41" s="7" t="n">
        <v>155.09</v>
      </c>
      <c r="AF41" s="7" t="n">
        <v>66.69</v>
      </c>
      <c r="AG41" s="7" t="n">
        <v>214.88</v>
      </c>
      <c r="AH41" s="12" t="n">
        <f aca="false">(U41+AH$4*(Resumo!$C$6+Resumo!$C$7+Resumo!$C$8)+Resumo!$C$10*CEILING(AH$3/100,1)+Resumo!$C$9+Resumo!$C$13+Resumo!$C$14*CEILING(AH$3,1))*(1+Resumo!$C$11)-(AH$4*(Resumo!$B$6+Resumo!$B$7)+Resumo!$B$9+Resumo!$B$10*CEILING(AH$3/100,1)+(Resumo!$B$12+Resumo!$B$14)*CEILING(AH$3,1))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1" s="12" t="n">
        <f aca="false">(V41+AI$4*(Resumo!$C$6+Resumo!$C$7+Resumo!$C$8)+Resumo!$C$10*CEILING(AI$3/100,1)+Resumo!$C$9+Resumo!$C$13+Resumo!$C$14*CEILING(AI$3,1))*(1+Resumo!$C$11)-(AI$4*(Resumo!$B$6+Resumo!$B$7)+Resumo!$B$9+Resumo!$B$10*CEILING(AI$3/100,1)+(Resumo!$B$12+Resumo!$B$14)*CEILING(AI$3,1))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1" s="12" t="n">
        <f aca="false">(W41+AJ$4*(Resumo!$C$6+Resumo!$C$7+Resumo!$C$8)+Resumo!$C$10*CEILING(AJ$3/100,1)+Resumo!$C$9+Resumo!$C$13+Resumo!$C$14*CEILING(AJ$3,1))*(1+Resumo!$C$11)-(AJ$4*(Resumo!$B$6+Resumo!$B$7)+Resumo!$B$9+Resumo!$B$10*CEILING(AJ$3/100,1)+(Resumo!$B$12+Resumo!$B$14)*CEILING(AJ$3,1))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1" s="12" t="n">
        <f aca="false">(X41+AK$4*(Resumo!$C$6+Resumo!$C$7+Resumo!$C$8)+Resumo!$C$10*CEILING(AK$3/100,1)+Resumo!$C$9+Resumo!$C$13+Resumo!$C$14*CEILING(AK$3,1))*(1+Resumo!$C$11)-(AK$4*(Resumo!$B$6+Resumo!$B$7)+Resumo!$B$9+Resumo!$B$10*CEILING(AK$3/100,1)+(Resumo!$B$12+Resumo!$B$14)*CEILING(AK$3,1))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1" s="12" t="n">
        <f aca="false">(Y41+AL$4*(Resumo!$C$6+Resumo!$C$7+Resumo!$C$8)+Resumo!$C$10*CEILING(AL$3/100,1)+Resumo!$C$9+Resumo!$C$13+Resumo!$C$14*CEILING(AL$3,1))*(1+Resumo!$C$11)-(AL$4*(Resumo!$B$6+Resumo!$B$7)+Resumo!$B$9+Resumo!$B$10*CEILING(AL$3/100,1)+(Resumo!$B$12+Resumo!$B$14)*CEILING(AL$3,1))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1" s="12" t="n">
        <f aca="false">(Z41+AM$4*(Resumo!$C$6+Resumo!$C$7+Resumo!$C$8)+Resumo!$C$10*CEILING(AM$3/100,1)+Resumo!$C$9+Resumo!$C$13+Resumo!$C$14*CEILING(AM$3,1))*(1+Resumo!$C$11)-(AM$4*(Resumo!$B$6+Resumo!$B$7)+Resumo!$B$9+Resumo!$B$10*CEILING(AM$3/100,1)+(Resumo!$B$12+Resumo!$B$14)*CEILING(AM$3,1))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1" s="12" t="n">
        <f aca="false">(AA41+AN$4*(Resumo!$C$6+Resumo!$C$7+Resumo!$C$8)+Resumo!$C$10*CEILING(AN$3/100,1)+Resumo!$C$9+Resumo!$C$13+Resumo!$C$14*CEILING(AN$3,1))*(1+Resumo!$C$11)-(AN$4*(Resumo!$B$6+Resumo!$B$7)+Resumo!$B$9+Resumo!$B$10*CEILING(AN$3/100,1)+(Resumo!$B$12+Resumo!$B$14)*CEILING(AN$3,1))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1" s="12" t="n">
        <f aca="false">(AB41+AO$4*(Resumo!$C$6+Resumo!$C$7+Resumo!$C$8)+Resumo!$C$10*CEILING(AO$3/100,1)+Resumo!$C$9+Resumo!$C$13+Resumo!$C$14*CEILING(AO$3,1))*(1+Resumo!$C$11)-(AO$4*(Resumo!$B$6+Resumo!$B$7)+Resumo!$B$9+Resumo!$B$10*CEILING(AO$3/100,1)+(Resumo!$B$12+Resumo!$B$14)*CEILING(AO$3,1))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1" s="12" t="n">
        <f aca="false">(AC41+AP$4*(Resumo!$C$6+Resumo!$C$7+Resumo!$C$8)+Resumo!$C$10*CEILING(AP$3/100,1)+Resumo!$C$9+Resumo!$C$13+Resumo!$C$14*CEILING(AP$3,1))*(1+Resumo!$C$11)-(AP$4*(Resumo!$B$6+Resumo!$B$7)+Resumo!$B$9+Resumo!$B$10*CEILING(AP$3/100,1)+(Resumo!$B$12+Resumo!$B$14)*CEILING(AP$3,1))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1" s="12" t="n">
        <f aca="false">(AD41+AQ$4*(Resumo!$C$6+Resumo!$C$7+Resumo!$C$8)+Resumo!$C$10*CEILING(AQ$3/100,1)+Resumo!$C$9+Resumo!$C$13+Resumo!$C$14*CEILING(AQ$3,1))*(1+Resumo!$C$11)-(AQ$4*(Resumo!$B$6+Resumo!$B$7)+Resumo!$B$9+Resumo!$B$10*CEILING(AQ$3/100,1)+(Resumo!$B$12+Resumo!$B$14)*CEILING(AQ$3,1))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1" s="12" t="n">
        <f aca="false">(AE41+AR$4*(Resumo!$C$6+Resumo!$C$7+Resumo!$C$8)+Resumo!$C$10*CEILING(AR$3/100,1)+Resumo!$C$9+Resumo!$C$13+Resumo!$C$14*CEILING(AR$3,1))*(1+Resumo!$C$11)-(AR$4*(Resumo!$B$6+Resumo!$B$7)+Resumo!$B$9+Resumo!$B$10*CEILING(AR$3/100,1)+(Resumo!$B$12+Resumo!$B$14)*CEILING(AR$3,1))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1" s="12" t="n">
        <f aca="false">(AF41+AS$4*(Resumo!$C$6+Resumo!$C$7+Resumo!$C$8)+Resumo!$C$10*CEILING(AS$3/100,1)+Resumo!$C$9+Resumo!$C$13+Resumo!$C$14*CEILING(AS$3,1))*(1+Resumo!$C$11)-(AS$4*(Resumo!$B$6+Resumo!$B$7)+Resumo!$B$9+Resumo!$B$10*CEILING(AS$3/100,1)+(Resumo!$B$12+Resumo!$B$14)*CEILING(AS$3,1))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1" s="12" t="n">
        <f aca="false">(AG41+AT$4*(Resumo!$C$6+Resumo!$C$7+Resumo!$C$8)+Resumo!$C$10*CEILING(AT$3/100,1)+Resumo!$C$9+Resumo!$C$13+Resumo!$C$14*CEILING(AT$3,1))*(1+Resumo!$C$11)-(AT$4*(Resumo!$B$6+Resumo!$B$7)+Resumo!$B$9+Resumo!$B$10*CEILING(AT$3/100,1)+(Resumo!$B$12+Resumo!$B$14)*CEILING(AT$3,1))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1" s="13" t="n">
        <f aca="false">1-AH41/H41</f>
        <v>0.284448775984873</v>
      </c>
      <c r="AV41" s="13" t="n">
        <f aca="false">1-AI41/I41</f>
        <v>0.324530396086195</v>
      </c>
      <c r="AW41" s="13" t="n">
        <f aca="false">1-AJ41/J41</f>
        <v>0.337931079721616</v>
      </c>
      <c r="AX41" s="13" t="n">
        <f aca="false">1-AK41/K41</f>
        <v>0.318510239438779</v>
      </c>
      <c r="AY41" s="13" t="n">
        <f aca="false">1-AL41/L41</f>
        <v>0.365701375691832</v>
      </c>
      <c r="AZ41" s="13" t="n">
        <f aca="false">1-AM41/M41</f>
        <v>0.420709229511831</v>
      </c>
      <c r="BA41" s="13" t="n">
        <f aca="false">1-AN41/N41</f>
        <v>0.350695095008868</v>
      </c>
      <c r="BB41" s="13" t="n">
        <f aca="false">1-AO41/O41</f>
        <v>0.419232633445788</v>
      </c>
      <c r="BC41" s="13" t="n">
        <f aca="false">1-AP41/P41</f>
        <v>0.493280443868681</v>
      </c>
      <c r="BD41" s="13" t="n">
        <f aca="false">1-AQ41/Q41</f>
        <v>0.455794679894486</v>
      </c>
      <c r="BE41" s="13" t="n">
        <f aca="false">1-AR41/R41</f>
        <v>0.489018797268033</v>
      </c>
      <c r="BF41" s="13" t="n">
        <f aca="false">1-AS41/S41</f>
        <v>0.820478024467603</v>
      </c>
      <c r="BG41" s="13" t="n">
        <f aca="false">1-AT41/T41</f>
        <v>0.528263860444042</v>
      </c>
    </row>
    <row r="42" customFormat="false" ht="15" hidden="false" customHeight="false" outlineLevel="0" collapsed="false">
      <c r="A42" s="4" t="s">
        <v>215</v>
      </c>
      <c r="B42" s="4" t="s">
        <v>244</v>
      </c>
      <c r="C42" s="36" t="n">
        <v>27000000</v>
      </c>
      <c r="D42" s="36" t="n">
        <v>27174999</v>
      </c>
      <c r="E42" s="4" t="s">
        <v>198</v>
      </c>
      <c r="F42" s="4" t="s">
        <v>220</v>
      </c>
      <c r="G42" s="4" t="n">
        <f aca="false">COUNTIFS(Pedidos!$E$2:$E$2224,"&gt;="&amp;C42,Pedidos!$E$2:$E$2224,"&lt;="&amp;D42)</f>
        <v>9</v>
      </c>
      <c r="H42" s="7" t="n">
        <v>77.35</v>
      </c>
      <c r="I42" s="7" t="n">
        <v>108.83</v>
      </c>
      <c r="J42" s="7" t="n">
        <v>124.38</v>
      </c>
      <c r="K42" s="7" t="n">
        <v>124.38</v>
      </c>
      <c r="L42" s="7" t="n">
        <v>142.32</v>
      </c>
      <c r="M42" s="7" t="n">
        <v>166.05</v>
      </c>
      <c r="N42" s="7" t="n">
        <v>157.88</v>
      </c>
      <c r="O42" s="7" t="n">
        <v>197.35</v>
      </c>
      <c r="P42" s="7" t="n">
        <v>236.82</v>
      </c>
      <c r="Q42" s="7" t="n">
        <v>264.84</v>
      </c>
      <c r="R42" s="7" t="n">
        <v>300.15</v>
      </c>
      <c r="S42" s="7" t="n">
        <v>353.12</v>
      </c>
      <c r="T42" s="7" t="n">
        <v>441.4</v>
      </c>
      <c r="U42" s="7" t="n">
        <v>46.95</v>
      </c>
      <c r="V42" s="7" t="n">
        <v>65.63</v>
      </c>
      <c r="W42" s="7" t="n">
        <v>74.97</v>
      </c>
      <c r="X42" s="7" t="n">
        <v>77.7</v>
      </c>
      <c r="Y42" s="7" t="n">
        <v>83.58</v>
      </c>
      <c r="Z42" s="7" t="n">
        <v>90.2</v>
      </c>
      <c r="AA42" s="7" t="n">
        <v>96.77</v>
      </c>
      <c r="AB42" s="7" t="n">
        <v>109.63</v>
      </c>
      <c r="AC42" s="7" t="n">
        <v>119.5</v>
      </c>
      <c r="AD42" s="7" t="n">
        <v>144.24</v>
      </c>
      <c r="AE42" s="7" t="n">
        <v>155.09</v>
      </c>
      <c r="AF42" s="7" t="n">
        <v>66.69</v>
      </c>
      <c r="AG42" s="7" t="n">
        <v>214.88</v>
      </c>
      <c r="AH42" s="12" t="n">
        <f aca="false">(U42+AH$4*(Resumo!$C$6+Resumo!$C$7+Resumo!$C$8)+Resumo!$C$10*CEILING(AH$3/100,1)+Resumo!$C$9+Resumo!$C$13+Resumo!$C$14*CEILING(AH$3,1))*(1+Resumo!$C$11)-(AH$4*(Resumo!$B$6+Resumo!$B$7)+Resumo!$B$9+Resumo!$B$10*CEILING(AH$3/100,1)+(Resumo!$B$12+Resumo!$B$14)*CEILING(AH$3,1))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2" s="12" t="n">
        <f aca="false">(V42+AI$4*(Resumo!$C$6+Resumo!$C$7+Resumo!$C$8)+Resumo!$C$10*CEILING(AI$3/100,1)+Resumo!$C$9+Resumo!$C$13+Resumo!$C$14*CEILING(AI$3,1))*(1+Resumo!$C$11)-(AI$4*(Resumo!$B$6+Resumo!$B$7)+Resumo!$B$9+Resumo!$B$10*CEILING(AI$3/100,1)+(Resumo!$B$12+Resumo!$B$14)*CEILING(AI$3,1))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2" s="12" t="n">
        <f aca="false">(W42+AJ$4*(Resumo!$C$6+Resumo!$C$7+Resumo!$C$8)+Resumo!$C$10*CEILING(AJ$3/100,1)+Resumo!$C$9+Resumo!$C$13+Resumo!$C$14*CEILING(AJ$3,1))*(1+Resumo!$C$11)-(AJ$4*(Resumo!$B$6+Resumo!$B$7)+Resumo!$B$9+Resumo!$B$10*CEILING(AJ$3/100,1)+(Resumo!$B$12+Resumo!$B$14)*CEILING(AJ$3,1))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2" s="12" t="n">
        <f aca="false">(X42+AK$4*(Resumo!$C$6+Resumo!$C$7+Resumo!$C$8)+Resumo!$C$10*CEILING(AK$3/100,1)+Resumo!$C$9+Resumo!$C$13+Resumo!$C$14*CEILING(AK$3,1))*(1+Resumo!$C$11)-(AK$4*(Resumo!$B$6+Resumo!$B$7)+Resumo!$B$9+Resumo!$B$10*CEILING(AK$3/100,1)+(Resumo!$B$12+Resumo!$B$14)*CEILING(AK$3,1))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2" s="12" t="n">
        <f aca="false">(Y42+AL$4*(Resumo!$C$6+Resumo!$C$7+Resumo!$C$8)+Resumo!$C$10*CEILING(AL$3/100,1)+Resumo!$C$9+Resumo!$C$13+Resumo!$C$14*CEILING(AL$3,1))*(1+Resumo!$C$11)-(AL$4*(Resumo!$B$6+Resumo!$B$7)+Resumo!$B$9+Resumo!$B$10*CEILING(AL$3/100,1)+(Resumo!$B$12+Resumo!$B$14)*CEILING(AL$3,1))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2" s="12" t="n">
        <f aca="false">(Z42+AM$4*(Resumo!$C$6+Resumo!$C$7+Resumo!$C$8)+Resumo!$C$10*CEILING(AM$3/100,1)+Resumo!$C$9+Resumo!$C$13+Resumo!$C$14*CEILING(AM$3,1))*(1+Resumo!$C$11)-(AM$4*(Resumo!$B$6+Resumo!$B$7)+Resumo!$B$9+Resumo!$B$10*CEILING(AM$3/100,1)+(Resumo!$B$12+Resumo!$B$14)*CEILING(AM$3,1))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2" s="12" t="n">
        <f aca="false">(AA42+AN$4*(Resumo!$C$6+Resumo!$C$7+Resumo!$C$8)+Resumo!$C$10*CEILING(AN$3/100,1)+Resumo!$C$9+Resumo!$C$13+Resumo!$C$14*CEILING(AN$3,1))*(1+Resumo!$C$11)-(AN$4*(Resumo!$B$6+Resumo!$B$7)+Resumo!$B$9+Resumo!$B$10*CEILING(AN$3/100,1)+(Resumo!$B$12+Resumo!$B$14)*CEILING(AN$3,1))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2" s="12" t="n">
        <f aca="false">(AB42+AO$4*(Resumo!$C$6+Resumo!$C$7+Resumo!$C$8)+Resumo!$C$10*CEILING(AO$3/100,1)+Resumo!$C$9+Resumo!$C$13+Resumo!$C$14*CEILING(AO$3,1))*(1+Resumo!$C$11)-(AO$4*(Resumo!$B$6+Resumo!$B$7)+Resumo!$B$9+Resumo!$B$10*CEILING(AO$3/100,1)+(Resumo!$B$12+Resumo!$B$14)*CEILING(AO$3,1))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2" s="12" t="n">
        <f aca="false">(AC42+AP$4*(Resumo!$C$6+Resumo!$C$7+Resumo!$C$8)+Resumo!$C$10*CEILING(AP$3/100,1)+Resumo!$C$9+Resumo!$C$13+Resumo!$C$14*CEILING(AP$3,1))*(1+Resumo!$C$11)-(AP$4*(Resumo!$B$6+Resumo!$B$7)+Resumo!$B$9+Resumo!$B$10*CEILING(AP$3/100,1)+(Resumo!$B$12+Resumo!$B$14)*CEILING(AP$3,1))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2" s="12" t="n">
        <f aca="false">(AD42+AQ$4*(Resumo!$C$6+Resumo!$C$7+Resumo!$C$8)+Resumo!$C$10*CEILING(AQ$3/100,1)+Resumo!$C$9+Resumo!$C$13+Resumo!$C$14*CEILING(AQ$3,1))*(1+Resumo!$C$11)-(AQ$4*(Resumo!$B$6+Resumo!$B$7)+Resumo!$B$9+Resumo!$B$10*CEILING(AQ$3/100,1)+(Resumo!$B$12+Resumo!$B$14)*CEILING(AQ$3,1))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2" s="12" t="n">
        <f aca="false">(AE42+AR$4*(Resumo!$C$6+Resumo!$C$7+Resumo!$C$8)+Resumo!$C$10*CEILING(AR$3/100,1)+Resumo!$C$9+Resumo!$C$13+Resumo!$C$14*CEILING(AR$3,1))*(1+Resumo!$C$11)-(AR$4*(Resumo!$B$6+Resumo!$B$7)+Resumo!$B$9+Resumo!$B$10*CEILING(AR$3/100,1)+(Resumo!$B$12+Resumo!$B$14)*CEILING(AR$3,1))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2" s="12" t="n">
        <f aca="false">(AF42+AS$4*(Resumo!$C$6+Resumo!$C$7+Resumo!$C$8)+Resumo!$C$10*CEILING(AS$3/100,1)+Resumo!$C$9+Resumo!$C$13+Resumo!$C$14*CEILING(AS$3,1))*(1+Resumo!$C$11)-(AS$4*(Resumo!$B$6+Resumo!$B$7)+Resumo!$B$9+Resumo!$B$10*CEILING(AS$3/100,1)+(Resumo!$B$12+Resumo!$B$14)*CEILING(AS$3,1))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2" s="12" t="n">
        <f aca="false">(AG42+AT$4*(Resumo!$C$6+Resumo!$C$7+Resumo!$C$8)+Resumo!$C$10*CEILING(AT$3/100,1)+Resumo!$C$9+Resumo!$C$13+Resumo!$C$14*CEILING(AT$3,1))*(1+Resumo!$C$11)-(AT$4*(Resumo!$B$6+Resumo!$B$7)+Resumo!$B$9+Resumo!$B$10*CEILING(AT$3/100,1)+(Resumo!$B$12+Resumo!$B$14)*CEILING(AT$3,1))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2" s="13" t="n">
        <f aca="false">1-AH42/H42</f>
        <v>0.284448775984873</v>
      </c>
      <c r="AV42" s="13" t="n">
        <f aca="false">1-AI42/I42</f>
        <v>0.324530396086195</v>
      </c>
      <c r="AW42" s="13" t="n">
        <f aca="false">1-AJ42/J42</f>
        <v>0.337931079721616</v>
      </c>
      <c r="AX42" s="13" t="n">
        <f aca="false">1-AK42/K42</f>
        <v>0.318510239438779</v>
      </c>
      <c r="AY42" s="13" t="n">
        <f aca="false">1-AL42/L42</f>
        <v>0.365701375691832</v>
      </c>
      <c r="AZ42" s="13" t="n">
        <f aca="false">1-AM42/M42</f>
        <v>0.420709229511831</v>
      </c>
      <c r="BA42" s="13" t="n">
        <f aca="false">1-AN42/N42</f>
        <v>0.350695095008868</v>
      </c>
      <c r="BB42" s="13" t="n">
        <f aca="false">1-AO42/O42</f>
        <v>0.419232633445788</v>
      </c>
      <c r="BC42" s="13" t="n">
        <f aca="false">1-AP42/P42</f>
        <v>0.493280443868681</v>
      </c>
      <c r="BD42" s="13" t="n">
        <f aca="false">1-AQ42/Q42</f>
        <v>0.455794679894486</v>
      </c>
      <c r="BE42" s="13" t="n">
        <f aca="false">1-AR42/R42</f>
        <v>0.489018797268033</v>
      </c>
      <c r="BF42" s="13" t="n">
        <f aca="false">1-AS42/S42</f>
        <v>0.820478024467603</v>
      </c>
      <c r="BG42" s="13" t="n">
        <f aca="false">1-AT42/T42</f>
        <v>0.528263860444042</v>
      </c>
    </row>
    <row r="43" customFormat="false" ht="15" hidden="false" customHeight="false" outlineLevel="0" collapsed="false">
      <c r="A43" s="4" t="s">
        <v>215</v>
      </c>
      <c r="B43" s="4" t="s">
        <v>245</v>
      </c>
      <c r="C43" s="36" t="n">
        <v>27175000</v>
      </c>
      <c r="D43" s="36" t="n">
        <v>27196999</v>
      </c>
      <c r="E43" s="4" t="s">
        <v>198</v>
      </c>
      <c r="F43" s="4" t="s">
        <v>220</v>
      </c>
      <c r="G43" s="4" t="n">
        <f aca="false">COUNTIFS(Pedidos!$E$2:$E$2224,"&gt;="&amp;C43,Pedidos!$E$2:$E$2224,"&lt;="&amp;D43)</f>
        <v>2</v>
      </c>
      <c r="H43" s="7" t="n">
        <v>77.35</v>
      </c>
      <c r="I43" s="7" t="n">
        <v>108.83</v>
      </c>
      <c r="J43" s="7" t="n">
        <v>124.38</v>
      </c>
      <c r="K43" s="7" t="n">
        <v>124.38</v>
      </c>
      <c r="L43" s="7" t="n">
        <v>142.32</v>
      </c>
      <c r="M43" s="7" t="n">
        <v>166.05</v>
      </c>
      <c r="N43" s="7" t="n">
        <v>157.88</v>
      </c>
      <c r="O43" s="7" t="n">
        <v>197.35</v>
      </c>
      <c r="P43" s="7" t="n">
        <v>236.82</v>
      </c>
      <c r="Q43" s="7" t="n">
        <v>264.84</v>
      </c>
      <c r="R43" s="7" t="n">
        <v>300.15</v>
      </c>
      <c r="S43" s="7" t="n">
        <v>353.12</v>
      </c>
      <c r="T43" s="7" t="n">
        <v>441.4</v>
      </c>
      <c r="U43" s="7" t="n">
        <v>46.95</v>
      </c>
      <c r="V43" s="7" t="n">
        <v>65.63</v>
      </c>
      <c r="W43" s="7" t="n">
        <v>74.97</v>
      </c>
      <c r="X43" s="7" t="n">
        <v>77.7</v>
      </c>
      <c r="Y43" s="7" t="n">
        <v>83.58</v>
      </c>
      <c r="Z43" s="7" t="n">
        <v>90.2</v>
      </c>
      <c r="AA43" s="7" t="n">
        <v>96.77</v>
      </c>
      <c r="AB43" s="7" t="n">
        <v>109.63</v>
      </c>
      <c r="AC43" s="7" t="n">
        <v>119.5</v>
      </c>
      <c r="AD43" s="7" t="n">
        <v>144.24</v>
      </c>
      <c r="AE43" s="7" t="n">
        <v>155.09</v>
      </c>
      <c r="AF43" s="7" t="n">
        <v>66.69</v>
      </c>
      <c r="AG43" s="7" t="n">
        <v>214.88</v>
      </c>
      <c r="AH43" s="12" t="n">
        <f aca="false">(U43+AH$4*(Resumo!$C$6+Resumo!$C$7+Resumo!$C$8)+Resumo!$C$10*CEILING(AH$3/100,1)+Resumo!$C$9+Resumo!$C$13+Resumo!$C$14*CEILING(AH$3,1))*(1+Resumo!$C$11)-(AH$4*(Resumo!$B$6+Resumo!$B$7)+Resumo!$B$9+Resumo!$B$10*CEILING(AH$3/100,1)+(Resumo!$B$12+Resumo!$B$14)*CEILING(AH$3,1))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3" s="12" t="n">
        <f aca="false">(V43+AI$4*(Resumo!$C$6+Resumo!$C$7+Resumo!$C$8)+Resumo!$C$10*CEILING(AI$3/100,1)+Resumo!$C$9+Resumo!$C$13+Resumo!$C$14*CEILING(AI$3,1))*(1+Resumo!$C$11)-(AI$4*(Resumo!$B$6+Resumo!$B$7)+Resumo!$B$9+Resumo!$B$10*CEILING(AI$3/100,1)+(Resumo!$B$12+Resumo!$B$14)*CEILING(AI$3,1))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3" s="12" t="n">
        <f aca="false">(W43+AJ$4*(Resumo!$C$6+Resumo!$C$7+Resumo!$C$8)+Resumo!$C$10*CEILING(AJ$3/100,1)+Resumo!$C$9+Resumo!$C$13+Resumo!$C$14*CEILING(AJ$3,1))*(1+Resumo!$C$11)-(AJ$4*(Resumo!$B$6+Resumo!$B$7)+Resumo!$B$9+Resumo!$B$10*CEILING(AJ$3/100,1)+(Resumo!$B$12+Resumo!$B$14)*CEILING(AJ$3,1))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3" s="12" t="n">
        <f aca="false">(X43+AK$4*(Resumo!$C$6+Resumo!$C$7+Resumo!$C$8)+Resumo!$C$10*CEILING(AK$3/100,1)+Resumo!$C$9+Resumo!$C$13+Resumo!$C$14*CEILING(AK$3,1))*(1+Resumo!$C$11)-(AK$4*(Resumo!$B$6+Resumo!$B$7)+Resumo!$B$9+Resumo!$B$10*CEILING(AK$3/100,1)+(Resumo!$B$12+Resumo!$B$14)*CEILING(AK$3,1))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3" s="12" t="n">
        <f aca="false">(Y43+AL$4*(Resumo!$C$6+Resumo!$C$7+Resumo!$C$8)+Resumo!$C$10*CEILING(AL$3/100,1)+Resumo!$C$9+Resumo!$C$13+Resumo!$C$14*CEILING(AL$3,1))*(1+Resumo!$C$11)-(AL$4*(Resumo!$B$6+Resumo!$B$7)+Resumo!$B$9+Resumo!$B$10*CEILING(AL$3/100,1)+(Resumo!$B$12+Resumo!$B$14)*CEILING(AL$3,1))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3" s="12" t="n">
        <f aca="false">(Z43+AM$4*(Resumo!$C$6+Resumo!$C$7+Resumo!$C$8)+Resumo!$C$10*CEILING(AM$3/100,1)+Resumo!$C$9+Resumo!$C$13+Resumo!$C$14*CEILING(AM$3,1))*(1+Resumo!$C$11)-(AM$4*(Resumo!$B$6+Resumo!$B$7)+Resumo!$B$9+Resumo!$B$10*CEILING(AM$3/100,1)+(Resumo!$B$12+Resumo!$B$14)*CEILING(AM$3,1))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3" s="12" t="n">
        <f aca="false">(AA43+AN$4*(Resumo!$C$6+Resumo!$C$7+Resumo!$C$8)+Resumo!$C$10*CEILING(AN$3/100,1)+Resumo!$C$9+Resumo!$C$13+Resumo!$C$14*CEILING(AN$3,1))*(1+Resumo!$C$11)-(AN$4*(Resumo!$B$6+Resumo!$B$7)+Resumo!$B$9+Resumo!$B$10*CEILING(AN$3/100,1)+(Resumo!$B$12+Resumo!$B$14)*CEILING(AN$3,1))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3" s="12" t="n">
        <f aca="false">(AB43+AO$4*(Resumo!$C$6+Resumo!$C$7+Resumo!$C$8)+Resumo!$C$10*CEILING(AO$3/100,1)+Resumo!$C$9+Resumo!$C$13+Resumo!$C$14*CEILING(AO$3,1))*(1+Resumo!$C$11)-(AO$4*(Resumo!$B$6+Resumo!$B$7)+Resumo!$B$9+Resumo!$B$10*CEILING(AO$3/100,1)+(Resumo!$B$12+Resumo!$B$14)*CEILING(AO$3,1))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3" s="12" t="n">
        <f aca="false">(AC43+AP$4*(Resumo!$C$6+Resumo!$C$7+Resumo!$C$8)+Resumo!$C$10*CEILING(AP$3/100,1)+Resumo!$C$9+Resumo!$C$13+Resumo!$C$14*CEILING(AP$3,1))*(1+Resumo!$C$11)-(AP$4*(Resumo!$B$6+Resumo!$B$7)+Resumo!$B$9+Resumo!$B$10*CEILING(AP$3/100,1)+(Resumo!$B$12+Resumo!$B$14)*CEILING(AP$3,1))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3" s="12" t="n">
        <f aca="false">(AD43+AQ$4*(Resumo!$C$6+Resumo!$C$7+Resumo!$C$8)+Resumo!$C$10*CEILING(AQ$3/100,1)+Resumo!$C$9+Resumo!$C$13+Resumo!$C$14*CEILING(AQ$3,1))*(1+Resumo!$C$11)-(AQ$4*(Resumo!$B$6+Resumo!$B$7)+Resumo!$B$9+Resumo!$B$10*CEILING(AQ$3/100,1)+(Resumo!$B$12+Resumo!$B$14)*CEILING(AQ$3,1))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3" s="12" t="n">
        <f aca="false">(AE43+AR$4*(Resumo!$C$6+Resumo!$C$7+Resumo!$C$8)+Resumo!$C$10*CEILING(AR$3/100,1)+Resumo!$C$9+Resumo!$C$13+Resumo!$C$14*CEILING(AR$3,1))*(1+Resumo!$C$11)-(AR$4*(Resumo!$B$6+Resumo!$B$7)+Resumo!$B$9+Resumo!$B$10*CEILING(AR$3/100,1)+(Resumo!$B$12+Resumo!$B$14)*CEILING(AR$3,1))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3" s="12" t="n">
        <f aca="false">(AF43+AS$4*(Resumo!$C$6+Resumo!$C$7+Resumo!$C$8)+Resumo!$C$10*CEILING(AS$3/100,1)+Resumo!$C$9+Resumo!$C$13+Resumo!$C$14*CEILING(AS$3,1))*(1+Resumo!$C$11)-(AS$4*(Resumo!$B$6+Resumo!$B$7)+Resumo!$B$9+Resumo!$B$10*CEILING(AS$3/100,1)+(Resumo!$B$12+Resumo!$B$14)*CEILING(AS$3,1))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3" s="12" t="n">
        <f aca="false">(AG43+AT$4*(Resumo!$C$6+Resumo!$C$7+Resumo!$C$8)+Resumo!$C$10*CEILING(AT$3/100,1)+Resumo!$C$9+Resumo!$C$13+Resumo!$C$14*CEILING(AT$3,1))*(1+Resumo!$C$11)-(AT$4*(Resumo!$B$6+Resumo!$B$7)+Resumo!$B$9+Resumo!$B$10*CEILING(AT$3/100,1)+(Resumo!$B$12+Resumo!$B$14)*CEILING(AT$3,1))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3" s="13" t="n">
        <f aca="false">1-AH43/H43</f>
        <v>0.284448775984873</v>
      </c>
      <c r="AV43" s="13" t="n">
        <f aca="false">1-AI43/I43</f>
        <v>0.324530396086195</v>
      </c>
      <c r="AW43" s="13" t="n">
        <f aca="false">1-AJ43/J43</f>
        <v>0.337931079721616</v>
      </c>
      <c r="AX43" s="13" t="n">
        <f aca="false">1-AK43/K43</f>
        <v>0.318510239438779</v>
      </c>
      <c r="AY43" s="13" t="n">
        <f aca="false">1-AL43/L43</f>
        <v>0.365701375691832</v>
      </c>
      <c r="AZ43" s="13" t="n">
        <f aca="false">1-AM43/M43</f>
        <v>0.420709229511831</v>
      </c>
      <c r="BA43" s="13" t="n">
        <f aca="false">1-AN43/N43</f>
        <v>0.350695095008868</v>
      </c>
      <c r="BB43" s="13" t="n">
        <f aca="false">1-AO43/O43</f>
        <v>0.419232633445788</v>
      </c>
      <c r="BC43" s="13" t="n">
        <f aca="false">1-AP43/P43</f>
        <v>0.493280443868681</v>
      </c>
      <c r="BD43" s="13" t="n">
        <f aca="false">1-AQ43/Q43</f>
        <v>0.455794679894486</v>
      </c>
      <c r="BE43" s="13" t="n">
        <f aca="false">1-AR43/R43</f>
        <v>0.489018797268033</v>
      </c>
      <c r="BF43" s="13" t="n">
        <f aca="false">1-AS43/S43</f>
        <v>0.820478024467603</v>
      </c>
      <c r="BG43" s="13" t="n">
        <f aca="false">1-AT43/T43</f>
        <v>0.528263860444042</v>
      </c>
    </row>
    <row r="44" customFormat="false" ht="15" hidden="false" customHeight="false" outlineLevel="0" collapsed="false">
      <c r="A44" s="4" t="s">
        <v>215</v>
      </c>
      <c r="B44" s="4" t="s">
        <v>246</v>
      </c>
      <c r="C44" s="36" t="n">
        <v>27197000</v>
      </c>
      <c r="D44" s="36" t="n">
        <v>27199999</v>
      </c>
      <c r="E44" s="4" t="s">
        <v>198</v>
      </c>
      <c r="F44" s="4" t="s">
        <v>220</v>
      </c>
      <c r="G44" s="4" t="n">
        <f aca="false">COUNTIFS(Pedidos!$E$2:$E$2224,"&gt;="&amp;C44,Pedidos!$E$2:$E$2224,"&lt;="&amp;D44)</f>
        <v>3</v>
      </c>
      <c r="H44" s="7" t="n">
        <v>77.35</v>
      </c>
      <c r="I44" s="7" t="n">
        <v>108.83</v>
      </c>
      <c r="J44" s="7" t="n">
        <v>124.38</v>
      </c>
      <c r="K44" s="7" t="n">
        <v>124.38</v>
      </c>
      <c r="L44" s="7" t="n">
        <v>142.32</v>
      </c>
      <c r="M44" s="7" t="n">
        <v>166.05</v>
      </c>
      <c r="N44" s="7" t="n">
        <v>157.88</v>
      </c>
      <c r="O44" s="7" t="n">
        <v>197.35</v>
      </c>
      <c r="P44" s="7" t="n">
        <v>236.82</v>
      </c>
      <c r="Q44" s="7" t="n">
        <v>264.84</v>
      </c>
      <c r="R44" s="7" t="n">
        <v>300.15</v>
      </c>
      <c r="S44" s="7" t="n">
        <v>353.12</v>
      </c>
      <c r="T44" s="7" t="n">
        <v>441.4</v>
      </c>
      <c r="U44" s="7" t="n">
        <v>46.95</v>
      </c>
      <c r="V44" s="7" t="n">
        <v>65.63</v>
      </c>
      <c r="W44" s="7" t="n">
        <v>74.97</v>
      </c>
      <c r="X44" s="7" t="n">
        <v>77.7</v>
      </c>
      <c r="Y44" s="7" t="n">
        <v>83.58</v>
      </c>
      <c r="Z44" s="7" t="n">
        <v>90.2</v>
      </c>
      <c r="AA44" s="7" t="n">
        <v>96.77</v>
      </c>
      <c r="AB44" s="7" t="n">
        <v>109.63</v>
      </c>
      <c r="AC44" s="7" t="n">
        <v>119.5</v>
      </c>
      <c r="AD44" s="7" t="n">
        <v>144.24</v>
      </c>
      <c r="AE44" s="7" t="n">
        <v>155.09</v>
      </c>
      <c r="AF44" s="7" t="n">
        <v>66.69</v>
      </c>
      <c r="AG44" s="7" t="n">
        <v>214.88</v>
      </c>
      <c r="AH44" s="12" t="n">
        <f aca="false">(U44+AH$4*(Resumo!$C$6+Resumo!$C$7+Resumo!$C$8)+Resumo!$C$10*CEILING(AH$3/100,1)+Resumo!$C$9+Resumo!$C$13+Resumo!$C$14*CEILING(AH$3,1))*(1+Resumo!$C$11)-(AH$4*(Resumo!$B$6+Resumo!$B$7)+Resumo!$B$9+Resumo!$B$10*CEILING(AH$3/100,1)+(Resumo!$B$12+Resumo!$B$14)*CEILING(AH$3,1))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4" s="12" t="n">
        <f aca="false">(V44+AI$4*(Resumo!$C$6+Resumo!$C$7+Resumo!$C$8)+Resumo!$C$10*CEILING(AI$3/100,1)+Resumo!$C$9+Resumo!$C$13+Resumo!$C$14*CEILING(AI$3,1))*(1+Resumo!$C$11)-(AI$4*(Resumo!$B$6+Resumo!$B$7)+Resumo!$B$9+Resumo!$B$10*CEILING(AI$3/100,1)+(Resumo!$B$12+Resumo!$B$14)*CEILING(AI$3,1))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4" s="12" t="n">
        <f aca="false">(W44+AJ$4*(Resumo!$C$6+Resumo!$C$7+Resumo!$C$8)+Resumo!$C$10*CEILING(AJ$3/100,1)+Resumo!$C$9+Resumo!$C$13+Resumo!$C$14*CEILING(AJ$3,1))*(1+Resumo!$C$11)-(AJ$4*(Resumo!$B$6+Resumo!$B$7)+Resumo!$B$9+Resumo!$B$10*CEILING(AJ$3/100,1)+(Resumo!$B$12+Resumo!$B$14)*CEILING(AJ$3,1))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4" s="12" t="n">
        <f aca="false">(X44+AK$4*(Resumo!$C$6+Resumo!$C$7+Resumo!$C$8)+Resumo!$C$10*CEILING(AK$3/100,1)+Resumo!$C$9+Resumo!$C$13+Resumo!$C$14*CEILING(AK$3,1))*(1+Resumo!$C$11)-(AK$4*(Resumo!$B$6+Resumo!$B$7)+Resumo!$B$9+Resumo!$B$10*CEILING(AK$3/100,1)+(Resumo!$B$12+Resumo!$B$14)*CEILING(AK$3,1))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4" s="12" t="n">
        <f aca="false">(Y44+AL$4*(Resumo!$C$6+Resumo!$C$7+Resumo!$C$8)+Resumo!$C$10*CEILING(AL$3/100,1)+Resumo!$C$9+Resumo!$C$13+Resumo!$C$14*CEILING(AL$3,1))*(1+Resumo!$C$11)-(AL$4*(Resumo!$B$6+Resumo!$B$7)+Resumo!$B$9+Resumo!$B$10*CEILING(AL$3/100,1)+(Resumo!$B$12+Resumo!$B$14)*CEILING(AL$3,1))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4" s="12" t="n">
        <f aca="false">(Z44+AM$4*(Resumo!$C$6+Resumo!$C$7+Resumo!$C$8)+Resumo!$C$10*CEILING(AM$3/100,1)+Resumo!$C$9+Resumo!$C$13+Resumo!$C$14*CEILING(AM$3,1))*(1+Resumo!$C$11)-(AM$4*(Resumo!$B$6+Resumo!$B$7)+Resumo!$B$9+Resumo!$B$10*CEILING(AM$3/100,1)+(Resumo!$B$12+Resumo!$B$14)*CEILING(AM$3,1))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4" s="12" t="n">
        <f aca="false">(AA44+AN$4*(Resumo!$C$6+Resumo!$C$7+Resumo!$C$8)+Resumo!$C$10*CEILING(AN$3/100,1)+Resumo!$C$9+Resumo!$C$13+Resumo!$C$14*CEILING(AN$3,1))*(1+Resumo!$C$11)-(AN$4*(Resumo!$B$6+Resumo!$B$7)+Resumo!$B$9+Resumo!$B$10*CEILING(AN$3/100,1)+(Resumo!$B$12+Resumo!$B$14)*CEILING(AN$3,1))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4" s="12" t="n">
        <f aca="false">(AB44+AO$4*(Resumo!$C$6+Resumo!$C$7+Resumo!$C$8)+Resumo!$C$10*CEILING(AO$3/100,1)+Resumo!$C$9+Resumo!$C$13+Resumo!$C$14*CEILING(AO$3,1))*(1+Resumo!$C$11)-(AO$4*(Resumo!$B$6+Resumo!$B$7)+Resumo!$B$9+Resumo!$B$10*CEILING(AO$3/100,1)+(Resumo!$B$12+Resumo!$B$14)*CEILING(AO$3,1))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4" s="12" t="n">
        <f aca="false">(AC44+AP$4*(Resumo!$C$6+Resumo!$C$7+Resumo!$C$8)+Resumo!$C$10*CEILING(AP$3/100,1)+Resumo!$C$9+Resumo!$C$13+Resumo!$C$14*CEILING(AP$3,1))*(1+Resumo!$C$11)-(AP$4*(Resumo!$B$6+Resumo!$B$7)+Resumo!$B$9+Resumo!$B$10*CEILING(AP$3/100,1)+(Resumo!$B$12+Resumo!$B$14)*CEILING(AP$3,1))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4" s="12" t="n">
        <f aca="false">(AD44+AQ$4*(Resumo!$C$6+Resumo!$C$7+Resumo!$C$8)+Resumo!$C$10*CEILING(AQ$3/100,1)+Resumo!$C$9+Resumo!$C$13+Resumo!$C$14*CEILING(AQ$3,1))*(1+Resumo!$C$11)-(AQ$4*(Resumo!$B$6+Resumo!$B$7)+Resumo!$B$9+Resumo!$B$10*CEILING(AQ$3/100,1)+(Resumo!$B$12+Resumo!$B$14)*CEILING(AQ$3,1))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4" s="12" t="n">
        <f aca="false">(AE44+AR$4*(Resumo!$C$6+Resumo!$C$7+Resumo!$C$8)+Resumo!$C$10*CEILING(AR$3/100,1)+Resumo!$C$9+Resumo!$C$13+Resumo!$C$14*CEILING(AR$3,1))*(1+Resumo!$C$11)-(AR$4*(Resumo!$B$6+Resumo!$B$7)+Resumo!$B$9+Resumo!$B$10*CEILING(AR$3/100,1)+(Resumo!$B$12+Resumo!$B$14)*CEILING(AR$3,1))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4" s="12" t="n">
        <f aca="false">(AF44+AS$4*(Resumo!$C$6+Resumo!$C$7+Resumo!$C$8)+Resumo!$C$10*CEILING(AS$3/100,1)+Resumo!$C$9+Resumo!$C$13+Resumo!$C$14*CEILING(AS$3,1))*(1+Resumo!$C$11)-(AS$4*(Resumo!$B$6+Resumo!$B$7)+Resumo!$B$9+Resumo!$B$10*CEILING(AS$3/100,1)+(Resumo!$B$12+Resumo!$B$14)*CEILING(AS$3,1))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4" s="12" t="n">
        <f aca="false">(AG44+AT$4*(Resumo!$C$6+Resumo!$C$7+Resumo!$C$8)+Resumo!$C$10*CEILING(AT$3/100,1)+Resumo!$C$9+Resumo!$C$13+Resumo!$C$14*CEILING(AT$3,1))*(1+Resumo!$C$11)-(AT$4*(Resumo!$B$6+Resumo!$B$7)+Resumo!$B$9+Resumo!$B$10*CEILING(AT$3/100,1)+(Resumo!$B$12+Resumo!$B$14)*CEILING(AT$3,1))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4" s="13" t="n">
        <f aca="false">1-AH44/H44</f>
        <v>0.284448775984873</v>
      </c>
      <c r="AV44" s="13" t="n">
        <f aca="false">1-AI44/I44</f>
        <v>0.324530396086195</v>
      </c>
      <c r="AW44" s="13" t="n">
        <f aca="false">1-AJ44/J44</f>
        <v>0.337931079721616</v>
      </c>
      <c r="AX44" s="13" t="n">
        <f aca="false">1-AK44/K44</f>
        <v>0.318510239438779</v>
      </c>
      <c r="AY44" s="13" t="n">
        <f aca="false">1-AL44/L44</f>
        <v>0.365701375691832</v>
      </c>
      <c r="AZ44" s="13" t="n">
        <f aca="false">1-AM44/M44</f>
        <v>0.420709229511831</v>
      </c>
      <c r="BA44" s="13" t="n">
        <f aca="false">1-AN44/N44</f>
        <v>0.350695095008868</v>
      </c>
      <c r="BB44" s="13" t="n">
        <f aca="false">1-AO44/O44</f>
        <v>0.419232633445788</v>
      </c>
      <c r="BC44" s="13" t="n">
        <f aca="false">1-AP44/P44</f>
        <v>0.493280443868681</v>
      </c>
      <c r="BD44" s="13" t="n">
        <f aca="false">1-AQ44/Q44</f>
        <v>0.455794679894486</v>
      </c>
      <c r="BE44" s="13" t="n">
        <f aca="false">1-AR44/R44</f>
        <v>0.489018797268033</v>
      </c>
      <c r="BF44" s="13" t="n">
        <f aca="false">1-AS44/S44</f>
        <v>0.820478024467603</v>
      </c>
      <c r="BG44" s="13" t="n">
        <f aca="false">1-AT44/T44</f>
        <v>0.528263860444042</v>
      </c>
    </row>
    <row r="45" customFormat="false" ht="15" hidden="false" customHeight="false" outlineLevel="0" collapsed="false">
      <c r="A45" s="4" t="s">
        <v>215</v>
      </c>
      <c r="B45" s="4" t="s">
        <v>168</v>
      </c>
      <c r="C45" s="36" t="n">
        <v>27200000</v>
      </c>
      <c r="D45" s="36" t="n">
        <v>27299999</v>
      </c>
      <c r="E45" s="4" t="s">
        <v>198</v>
      </c>
      <c r="F45" s="4" t="s">
        <v>220</v>
      </c>
      <c r="G45" s="4" t="n">
        <f aca="false">COUNTIFS(Pedidos!$E$2:$E$2224,"&gt;="&amp;C45,Pedidos!$E$2:$E$2224,"&lt;="&amp;D45)</f>
        <v>37</v>
      </c>
      <c r="H45" s="7" t="n">
        <v>77.35</v>
      </c>
      <c r="I45" s="7" t="n">
        <v>108.83</v>
      </c>
      <c r="J45" s="7" t="n">
        <v>124.38</v>
      </c>
      <c r="K45" s="7" t="n">
        <v>124.38</v>
      </c>
      <c r="L45" s="7" t="n">
        <v>142.32</v>
      </c>
      <c r="M45" s="7" t="n">
        <v>166.05</v>
      </c>
      <c r="N45" s="7" t="n">
        <v>157.88</v>
      </c>
      <c r="O45" s="7" t="n">
        <v>197.35</v>
      </c>
      <c r="P45" s="7" t="n">
        <v>236.82</v>
      </c>
      <c r="Q45" s="7" t="n">
        <v>264.84</v>
      </c>
      <c r="R45" s="7" t="n">
        <v>300.15</v>
      </c>
      <c r="S45" s="7" t="n">
        <v>353.12</v>
      </c>
      <c r="T45" s="7" t="n">
        <v>441.4</v>
      </c>
      <c r="U45" s="7" t="n">
        <v>46.95</v>
      </c>
      <c r="V45" s="7" t="n">
        <v>65.63</v>
      </c>
      <c r="W45" s="7" t="n">
        <v>74.97</v>
      </c>
      <c r="X45" s="7" t="n">
        <v>77.7</v>
      </c>
      <c r="Y45" s="7" t="n">
        <v>83.58</v>
      </c>
      <c r="Z45" s="7" t="n">
        <v>90.2</v>
      </c>
      <c r="AA45" s="7" t="n">
        <v>96.77</v>
      </c>
      <c r="AB45" s="7" t="n">
        <v>109.63</v>
      </c>
      <c r="AC45" s="7" t="n">
        <v>119.5</v>
      </c>
      <c r="AD45" s="7" t="n">
        <v>144.24</v>
      </c>
      <c r="AE45" s="7" t="n">
        <v>155.09</v>
      </c>
      <c r="AF45" s="7" t="n">
        <v>66.69</v>
      </c>
      <c r="AG45" s="7" t="n">
        <v>214.88</v>
      </c>
      <c r="AH45" s="12" t="n">
        <f aca="false">(U45+AH$4*(Resumo!$C$6+Resumo!$C$7+Resumo!$C$8)+Resumo!$C$10*CEILING(AH$3/100,1)+Resumo!$C$9+Resumo!$C$13+Resumo!$C$14*CEILING(AH$3,1))*(1+Resumo!$C$11)-(AH$4*(Resumo!$B$6+Resumo!$B$7)+Resumo!$B$9+Resumo!$B$10*CEILING(AH$3/100,1)+(Resumo!$B$12+Resumo!$B$14)*CEILING(AH$3,1))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5" s="12" t="n">
        <f aca="false">(V45+AI$4*(Resumo!$C$6+Resumo!$C$7+Resumo!$C$8)+Resumo!$C$10*CEILING(AI$3/100,1)+Resumo!$C$9+Resumo!$C$13+Resumo!$C$14*CEILING(AI$3,1))*(1+Resumo!$C$11)-(AI$4*(Resumo!$B$6+Resumo!$B$7)+Resumo!$B$9+Resumo!$B$10*CEILING(AI$3/100,1)+(Resumo!$B$12+Resumo!$B$14)*CEILING(AI$3,1))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5" s="12" t="n">
        <f aca="false">(W45+AJ$4*(Resumo!$C$6+Resumo!$C$7+Resumo!$C$8)+Resumo!$C$10*CEILING(AJ$3/100,1)+Resumo!$C$9+Resumo!$C$13+Resumo!$C$14*CEILING(AJ$3,1))*(1+Resumo!$C$11)-(AJ$4*(Resumo!$B$6+Resumo!$B$7)+Resumo!$B$9+Resumo!$B$10*CEILING(AJ$3/100,1)+(Resumo!$B$12+Resumo!$B$14)*CEILING(AJ$3,1))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5" s="12" t="n">
        <f aca="false">(X45+AK$4*(Resumo!$C$6+Resumo!$C$7+Resumo!$C$8)+Resumo!$C$10*CEILING(AK$3/100,1)+Resumo!$C$9+Resumo!$C$13+Resumo!$C$14*CEILING(AK$3,1))*(1+Resumo!$C$11)-(AK$4*(Resumo!$B$6+Resumo!$B$7)+Resumo!$B$9+Resumo!$B$10*CEILING(AK$3/100,1)+(Resumo!$B$12+Resumo!$B$14)*CEILING(AK$3,1))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5" s="12" t="n">
        <f aca="false">(Y45+AL$4*(Resumo!$C$6+Resumo!$C$7+Resumo!$C$8)+Resumo!$C$10*CEILING(AL$3/100,1)+Resumo!$C$9+Resumo!$C$13+Resumo!$C$14*CEILING(AL$3,1))*(1+Resumo!$C$11)-(AL$4*(Resumo!$B$6+Resumo!$B$7)+Resumo!$B$9+Resumo!$B$10*CEILING(AL$3/100,1)+(Resumo!$B$12+Resumo!$B$14)*CEILING(AL$3,1))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5" s="12" t="n">
        <f aca="false">(Z45+AM$4*(Resumo!$C$6+Resumo!$C$7+Resumo!$C$8)+Resumo!$C$10*CEILING(AM$3/100,1)+Resumo!$C$9+Resumo!$C$13+Resumo!$C$14*CEILING(AM$3,1))*(1+Resumo!$C$11)-(AM$4*(Resumo!$B$6+Resumo!$B$7)+Resumo!$B$9+Resumo!$B$10*CEILING(AM$3/100,1)+(Resumo!$B$12+Resumo!$B$14)*CEILING(AM$3,1))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5" s="12" t="n">
        <f aca="false">(AA45+AN$4*(Resumo!$C$6+Resumo!$C$7+Resumo!$C$8)+Resumo!$C$10*CEILING(AN$3/100,1)+Resumo!$C$9+Resumo!$C$13+Resumo!$C$14*CEILING(AN$3,1))*(1+Resumo!$C$11)-(AN$4*(Resumo!$B$6+Resumo!$B$7)+Resumo!$B$9+Resumo!$B$10*CEILING(AN$3/100,1)+(Resumo!$B$12+Resumo!$B$14)*CEILING(AN$3,1))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5" s="12" t="n">
        <f aca="false">(AB45+AO$4*(Resumo!$C$6+Resumo!$C$7+Resumo!$C$8)+Resumo!$C$10*CEILING(AO$3/100,1)+Resumo!$C$9+Resumo!$C$13+Resumo!$C$14*CEILING(AO$3,1))*(1+Resumo!$C$11)-(AO$4*(Resumo!$B$6+Resumo!$B$7)+Resumo!$B$9+Resumo!$B$10*CEILING(AO$3/100,1)+(Resumo!$B$12+Resumo!$B$14)*CEILING(AO$3,1))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5" s="12" t="n">
        <f aca="false">(AC45+AP$4*(Resumo!$C$6+Resumo!$C$7+Resumo!$C$8)+Resumo!$C$10*CEILING(AP$3/100,1)+Resumo!$C$9+Resumo!$C$13+Resumo!$C$14*CEILING(AP$3,1))*(1+Resumo!$C$11)-(AP$4*(Resumo!$B$6+Resumo!$B$7)+Resumo!$B$9+Resumo!$B$10*CEILING(AP$3/100,1)+(Resumo!$B$12+Resumo!$B$14)*CEILING(AP$3,1))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5" s="12" t="n">
        <f aca="false">(AD45+AQ$4*(Resumo!$C$6+Resumo!$C$7+Resumo!$C$8)+Resumo!$C$10*CEILING(AQ$3/100,1)+Resumo!$C$9+Resumo!$C$13+Resumo!$C$14*CEILING(AQ$3,1))*(1+Resumo!$C$11)-(AQ$4*(Resumo!$B$6+Resumo!$B$7)+Resumo!$B$9+Resumo!$B$10*CEILING(AQ$3/100,1)+(Resumo!$B$12+Resumo!$B$14)*CEILING(AQ$3,1))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5" s="12" t="n">
        <f aca="false">(AE45+AR$4*(Resumo!$C$6+Resumo!$C$7+Resumo!$C$8)+Resumo!$C$10*CEILING(AR$3/100,1)+Resumo!$C$9+Resumo!$C$13+Resumo!$C$14*CEILING(AR$3,1))*(1+Resumo!$C$11)-(AR$4*(Resumo!$B$6+Resumo!$B$7)+Resumo!$B$9+Resumo!$B$10*CEILING(AR$3/100,1)+(Resumo!$B$12+Resumo!$B$14)*CEILING(AR$3,1))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5" s="12" t="n">
        <f aca="false">(AF45+AS$4*(Resumo!$C$6+Resumo!$C$7+Resumo!$C$8)+Resumo!$C$10*CEILING(AS$3/100,1)+Resumo!$C$9+Resumo!$C$13+Resumo!$C$14*CEILING(AS$3,1))*(1+Resumo!$C$11)-(AS$4*(Resumo!$B$6+Resumo!$B$7)+Resumo!$B$9+Resumo!$B$10*CEILING(AS$3/100,1)+(Resumo!$B$12+Resumo!$B$14)*CEILING(AS$3,1))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5" s="12" t="n">
        <f aca="false">(AG45+AT$4*(Resumo!$C$6+Resumo!$C$7+Resumo!$C$8)+Resumo!$C$10*CEILING(AT$3/100,1)+Resumo!$C$9+Resumo!$C$13+Resumo!$C$14*CEILING(AT$3,1))*(1+Resumo!$C$11)-(AT$4*(Resumo!$B$6+Resumo!$B$7)+Resumo!$B$9+Resumo!$B$10*CEILING(AT$3/100,1)+(Resumo!$B$12+Resumo!$B$14)*CEILING(AT$3,1))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5" s="13" t="n">
        <f aca="false">1-AH45/H45</f>
        <v>0.284448775984873</v>
      </c>
      <c r="AV45" s="13" t="n">
        <f aca="false">1-AI45/I45</f>
        <v>0.324530396086195</v>
      </c>
      <c r="AW45" s="13" t="n">
        <f aca="false">1-AJ45/J45</f>
        <v>0.337931079721616</v>
      </c>
      <c r="AX45" s="13" t="n">
        <f aca="false">1-AK45/K45</f>
        <v>0.318510239438779</v>
      </c>
      <c r="AY45" s="13" t="n">
        <f aca="false">1-AL45/L45</f>
        <v>0.365701375691832</v>
      </c>
      <c r="AZ45" s="13" t="n">
        <f aca="false">1-AM45/M45</f>
        <v>0.420709229511831</v>
      </c>
      <c r="BA45" s="13" t="n">
        <f aca="false">1-AN45/N45</f>
        <v>0.350695095008868</v>
      </c>
      <c r="BB45" s="13" t="n">
        <f aca="false">1-AO45/O45</f>
        <v>0.419232633445788</v>
      </c>
      <c r="BC45" s="13" t="n">
        <f aca="false">1-AP45/P45</f>
        <v>0.493280443868681</v>
      </c>
      <c r="BD45" s="13" t="n">
        <f aca="false">1-AQ45/Q45</f>
        <v>0.455794679894486</v>
      </c>
      <c r="BE45" s="13" t="n">
        <f aca="false">1-AR45/R45</f>
        <v>0.489018797268033</v>
      </c>
      <c r="BF45" s="13" t="n">
        <f aca="false">1-AS45/S45</f>
        <v>0.820478024467603</v>
      </c>
      <c r="BG45" s="13" t="n">
        <f aca="false">1-AT45/T45</f>
        <v>0.528263860444042</v>
      </c>
    </row>
    <row r="46" customFormat="false" ht="15" hidden="false" customHeight="false" outlineLevel="0" collapsed="false">
      <c r="A46" s="4" t="s">
        <v>215</v>
      </c>
      <c r="B46" s="4" t="s">
        <v>247</v>
      </c>
      <c r="C46" s="36" t="n">
        <v>27300000</v>
      </c>
      <c r="D46" s="36" t="n">
        <v>27399999</v>
      </c>
      <c r="E46" s="4" t="s">
        <v>198</v>
      </c>
      <c r="F46" s="4" t="s">
        <v>220</v>
      </c>
      <c r="G46" s="4" t="n">
        <f aca="false">COUNTIFS(Pedidos!$E$2:$E$2224,"&gt;="&amp;C46,Pedidos!$E$2:$E$2224,"&lt;="&amp;D46)</f>
        <v>15</v>
      </c>
      <c r="H46" s="7" t="n">
        <v>77.35</v>
      </c>
      <c r="I46" s="7" t="n">
        <v>108.83</v>
      </c>
      <c r="J46" s="7" t="n">
        <v>124.38</v>
      </c>
      <c r="K46" s="7" t="n">
        <v>124.38</v>
      </c>
      <c r="L46" s="7" t="n">
        <v>142.32</v>
      </c>
      <c r="M46" s="7" t="n">
        <v>166.05</v>
      </c>
      <c r="N46" s="7" t="n">
        <v>157.88</v>
      </c>
      <c r="O46" s="7" t="n">
        <v>197.35</v>
      </c>
      <c r="P46" s="7" t="n">
        <v>236.82</v>
      </c>
      <c r="Q46" s="7" t="n">
        <v>264.84</v>
      </c>
      <c r="R46" s="7" t="n">
        <v>300.15</v>
      </c>
      <c r="S46" s="7" t="n">
        <v>353.12</v>
      </c>
      <c r="T46" s="7" t="n">
        <v>441.4</v>
      </c>
      <c r="U46" s="7" t="n">
        <v>46.95</v>
      </c>
      <c r="V46" s="7" t="n">
        <v>65.63</v>
      </c>
      <c r="W46" s="7" t="n">
        <v>74.97</v>
      </c>
      <c r="X46" s="7" t="n">
        <v>77.7</v>
      </c>
      <c r="Y46" s="7" t="n">
        <v>83.58</v>
      </c>
      <c r="Z46" s="7" t="n">
        <v>90.2</v>
      </c>
      <c r="AA46" s="7" t="n">
        <v>96.77</v>
      </c>
      <c r="AB46" s="7" t="n">
        <v>109.63</v>
      </c>
      <c r="AC46" s="7" t="n">
        <v>119.5</v>
      </c>
      <c r="AD46" s="7" t="n">
        <v>144.24</v>
      </c>
      <c r="AE46" s="7" t="n">
        <v>155.09</v>
      </c>
      <c r="AF46" s="7" t="n">
        <v>66.69</v>
      </c>
      <c r="AG46" s="7" t="n">
        <v>214.88</v>
      </c>
      <c r="AH46" s="12" t="n">
        <f aca="false">(U46+AH$4*(Resumo!$C$6+Resumo!$C$7+Resumo!$C$8)+Resumo!$C$10*CEILING(AH$3/100,1)+Resumo!$C$9+Resumo!$C$13+Resumo!$C$14*CEILING(AH$3,1))*(1+Resumo!$C$11)-(AH$4*(Resumo!$B$6+Resumo!$B$7)+Resumo!$B$9+Resumo!$B$10*CEILING(AH$3/100,1)+(Resumo!$B$12+Resumo!$B$14)*CEILING(AH$3,1))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6" s="12" t="n">
        <f aca="false">(V46+AI$4*(Resumo!$C$6+Resumo!$C$7+Resumo!$C$8)+Resumo!$C$10*CEILING(AI$3/100,1)+Resumo!$C$9+Resumo!$C$13+Resumo!$C$14*CEILING(AI$3,1))*(1+Resumo!$C$11)-(AI$4*(Resumo!$B$6+Resumo!$B$7)+Resumo!$B$9+Resumo!$B$10*CEILING(AI$3/100,1)+(Resumo!$B$12+Resumo!$B$14)*CEILING(AI$3,1))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6" s="12" t="n">
        <f aca="false">(W46+AJ$4*(Resumo!$C$6+Resumo!$C$7+Resumo!$C$8)+Resumo!$C$10*CEILING(AJ$3/100,1)+Resumo!$C$9+Resumo!$C$13+Resumo!$C$14*CEILING(AJ$3,1))*(1+Resumo!$C$11)-(AJ$4*(Resumo!$B$6+Resumo!$B$7)+Resumo!$B$9+Resumo!$B$10*CEILING(AJ$3/100,1)+(Resumo!$B$12+Resumo!$B$14)*CEILING(AJ$3,1))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6" s="12" t="n">
        <f aca="false">(X46+AK$4*(Resumo!$C$6+Resumo!$C$7+Resumo!$C$8)+Resumo!$C$10*CEILING(AK$3/100,1)+Resumo!$C$9+Resumo!$C$13+Resumo!$C$14*CEILING(AK$3,1))*(1+Resumo!$C$11)-(AK$4*(Resumo!$B$6+Resumo!$B$7)+Resumo!$B$9+Resumo!$B$10*CEILING(AK$3/100,1)+(Resumo!$B$12+Resumo!$B$14)*CEILING(AK$3,1))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6" s="12" t="n">
        <f aca="false">(Y46+AL$4*(Resumo!$C$6+Resumo!$C$7+Resumo!$C$8)+Resumo!$C$10*CEILING(AL$3/100,1)+Resumo!$C$9+Resumo!$C$13+Resumo!$C$14*CEILING(AL$3,1))*(1+Resumo!$C$11)-(AL$4*(Resumo!$B$6+Resumo!$B$7)+Resumo!$B$9+Resumo!$B$10*CEILING(AL$3/100,1)+(Resumo!$B$12+Resumo!$B$14)*CEILING(AL$3,1))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6" s="12" t="n">
        <f aca="false">(Z46+AM$4*(Resumo!$C$6+Resumo!$C$7+Resumo!$C$8)+Resumo!$C$10*CEILING(AM$3/100,1)+Resumo!$C$9+Resumo!$C$13+Resumo!$C$14*CEILING(AM$3,1))*(1+Resumo!$C$11)-(AM$4*(Resumo!$B$6+Resumo!$B$7)+Resumo!$B$9+Resumo!$B$10*CEILING(AM$3/100,1)+(Resumo!$B$12+Resumo!$B$14)*CEILING(AM$3,1))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6" s="12" t="n">
        <f aca="false">(AA46+AN$4*(Resumo!$C$6+Resumo!$C$7+Resumo!$C$8)+Resumo!$C$10*CEILING(AN$3/100,1)+Resumo!$C$9+Resumo!$C$13+Resumo!$C$14*CEILING(AN$3,1))*(1+Resumo!$C$11)-(AN$4*(Resumo!$B$6+Resumo!$B$7)+Resumo!$B$9+Resumo!$B$10*CEILING(AN$3/100,1)+(Resumo!$B$12+Resumo!$B$14)*CEILING(AN$3,1))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6" s="12" t="n">
        <f aca="false">(AB46+AO$4*(Resumo!$C$6+Resumo!$C$7+Resumo!$C$8)+Resumo!$C$10*CEILING(AO$3/100,1)+Resumo!$C$9+Resumo!$C$13+Resumo!$C$14*CEILING(AO$3,1))*(1+Resumo!$C$11)-(AO$4*(Resumo!$B$6+Resumo!$B$7)+Resumo!$B$9+Resumo!$B$10*CEILING(AO$3/100,1)+(Resumo!$B$12+Resumo!$B$14)*CEILING(AO$3,1))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6" s="12" t="n">
        <f aca="false">(AC46+AP$4*(Resumo!$C$6+Resumo!$C$7+Resumo!$C$8)+Resumo!$C$10*CEILING(AP$3/100,1)+Resumo!$C$9+Resumo!$C$13+Resumo!$C$14*CEILING(AP$3,1))*(1+Resumo!$C$11)-(AP$4*(Resumo!$B$6+Resumo!$B$7)+Resumo!$B$9+Resumo!$B$10*CEILING(AP$3/100,1)+(Resumo!$B$12+Resumo!$B$14)*CEILING(AP$3,1))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6" s="12" t="n">
        <f aca="false">(AD46+AQ$4*(Resumo!$C$6+Resumo!$C$7+Resumo!$C$8)+Resumo!$C$10*CEILING(AQ$3/100,1)+Resumo!$C$9+Resumo!$C$13+Resumo!$C$14*CEILING(AQ$3,1))*(1+Resumo!$C$11)-(AQ$4*(Resumo!$B$6+Resumo!$B$7)+Resumo!$B$9+Resumo!$B$10*CEILING(AQ$3/100,1)+(Resumo!$B$12+Resumo!$B$14)*CEILING(AQ$3,1))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6" s="12" t="n">
        <f aca="false">(AE46+AR$4*(Resumo!$C$6+Resumo!$C$7+Resumo!$C$8)+Resumo!$C$10*CEILING(AR$3/100,1)+Resumo!$C$9+Resumo!$C$13+Resumo!$C$14*CEILING(AR$3,1))*(1+Resumo!$C$11)-(AR$4*(Resumo!$B$6+Resumo!$B$7)+Resumo!$B$9+Resumo!$B$10*CEILING(AR$3/100,1)+(Resumo!$B$12+Resumo!$B$14)*CEILING(AR$3,1))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6" s="12" t="n">
        <f aca="false">(AF46+AS$4*(Resumo!$C$6+Resumo!$C$7+Resumo!$C$8)+Resumo!$C$10*CEILING(AS$3/100,1)+Resumo!$C$9+Resumo!$C$13+Resumo!$C$14*CEILING(AS$3,1))*(1+Resumo!$C$11)-(AS$4*(Resumo!$B$6+Resumo!$B$7)+Resumo!$B$9+Resumo!$B$10*CEILING(AS$3/100,1)+(Resumo!$B$12+Resumo!$B$14)*CEILING(AS$3,1))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6" s="12" t="n">
        <f aca="false">(AG46+AT$4*(Resumo!$C$6+Resumo!$C$7+Resumo!$C$8)+Resumo!$C$10*CEILING(AT$3/100,1)+Resumo!$C$9+Resumo!$C$13+Resumo!$C$14*CEILING(AT$3,1))*(1+Resumo!$C$11)-(AT$4*(Resumo!$B$6+Resumo!$B$7)+Resumo!$B$9+Resumo!$B$10*CEILING(AT$3/100,1)+(Resumo!$B$12+Resumo!$B$14)*CEILING(AT$3,1))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6" s="13" t="n">
        <f aca="false">1-AH46/H46</f>
        <v>0.284448775984873</v>
      </c>
      <c r="AV46" s="13" t="n">
        <f aca="false">1-AI46/I46</f>
        <v>0.324530396086195</v>
      </c>
      <c r="AW46" s="13" t="n">
        <f aca="false">1-AJ46/J46</f>
        <v>0.337931079721616</v>
      </c>
      <c r="AX46" s="13" t="n">
        <f aca="false">1-AK46/K46</f>
        <v>0.318510239438779</v>
      </c>
      <c r="AY46" s="13" t="n">
        <f aca="false">1-AL46/L46</f>
        <v>0.365701375691832</v>
      </c>
      <c r="AZ46" s="13" t="n">
        <f aca="false">1-AM46/M46</f>
        <v>0.420709229511831</v>
      </c>
      <c r="BA46" s="13" t="n">
        <f aca="false">1-AN46/N46</f>
        <v>0.350695095008868</v>
      </c>
      <c r="BB46" s="13" t="n">
        <f aca="false">1-AO46/O46</f>
        <v>0.419232633445788</v>
      </c>
      <c r="BC46" s="13" t="n">
        <f aca="false">1-AP46/P46</f>
        <v>0.493280443868681</v>
      </c>
      <c r="BD46" s="13" t="n">
        <f aca="false">1-AQ46/Q46</f>
        <v>0.455794679894486</v>
      </c>
      <c r="BE46" s="13" t="n">
        <f aca="false">1-AR46/R46</f>
        <v>0.489018797268033</v>
      </c>
      <c r="BF46" s="13" t="n">
        <f aca="false">1-AS46/S46</f>
        <v>0.820478024467603</v>
      </c>
      <c r="BG46" s="13" t="n">
        <f aca="false">1-AT46/T46</f>
        <v>0.528263860444042</v>
      </c>
    </row>
    <row r="47" customFormat="false" ht="15" hidden="false" customHeight="false" outlineLevel="0" collapsed="false">
      <c r="A47" s="4" t="s">
        <v>215</v>
      </c>
      <c r="B47" s="4" t="s">
        <v>248</v>
      </c>
      <c r="C47" s="36" t="n">
        <v>27400000</v>
      </c>
      <c r="D47" s="36" t="n">
        <v>27459999</v>
      </c>
      <c r="E47" s="4" t="s">
        <v>198</v>
      </c>
      <c r="F47" s="4" t="s">
        <v>220</v>
      </c>
      <c r="G47" s="4" t="n">
        <f aca="false">COUNTIFS(Pedidos!$E$2:$E$2224,"&gt;="&amp;C47,Pedidos!$E$2:$E$2224,"&lt;="&amp;D47)</f>
        <v>1</v>
      </c>
      <c r="H47" s="7" t="n">
        <v>77.35</v>
      </c>
      <c r="I47" s="7" t="n">
        <v>108.83</v>
      </c>
      <c r="J47" s="7" t="n">
        <v>124.38</v>
      </c>
      <c r="K47" s="7" t="n">
        <v>124.38</v>
      </c>
      <c r="L47" s="7" t="n">
        <v>142.32</v>
      </c>
      <c r="M47" s="7" t="n">
        <v>166.05</v>
      </c>
      <c r="N47" s="7" t="n">
        <v>157.88</v>
      </c>
      <c r="O47" s="7" t="n">
        <v>197.35</v>
      </c>
      <c r="P47" s="7" t="n">
        <v>236.82</v>
      </c>
      <c r="Q47" s="7" t="n">
        <v>264.84</v>
      </c>
      <c r="R47" s="7" t="n">
        <v>300.15</v>
      </c>
      <c r="S47" s="7" t="n">
        <v>353.12</v>
      </c>
      <c r="T47" s="7" t="n">
        <v>441.4</v>
      </c>
      <c r="U47" s="7" t="n">
        <v>46.95</v>
      </c>
      <c r="V47" s="7" t="n">
        <v>65.63</v>
      </c>
      <c r="W47" s="7" t="n">
        <v>74.97</v>
      </c>
      <c r="X47" s="7" t="n">
        <v>77.7</v>
      </c>
      <c r="Y47" s="7" t="n">
        <v>83.58</v>
      </c>
      <c r="Z47" s="7" t="n">
        <v>90.2</v>
      </c>
      <c r="AA47" s="7" t="n">
        <v>96.77</v>
      </c>
      <c r="AB47" s="7" t="n">
        <v>109.63</v>
      </c>
      <c r="AC47" s="7" t="n">
        <v>119.5</v>
      </c>
      <c r="AD47" s="7" t="n">
        <v>144.24</v>
      </c>
      <c r="AE47" s="7" t="n">
        <v>155.09</v>
      </c>
      <c r="AF47" s="7" t="n">
        <v>66.69</v>
      </c>
      <c r="AG47" s="7" t="n">
        <v>214.88</v>
      </c>
      <c r="AH47" s="12" t="n">
        <f aca="false">(U47+AH$4*(Resumo!$C$6+Resumo!$C$7+Resumo!$C$8)+Resumo!$C$10*CEILING(AH$3/100,1)+Resumo!$C$9+Resumo!$C$13+Resumo!$C$14*CEILING(AH$3,1))*(1+Resumo!$C$11)-(AH$4*(Resumo!$B$6+Resumo!$B$7)+Resumo!$B$9+Resumo!$B$10*CEILING(AH$3/100,1)+(Resumo!$B$12+Resumo!$B$14)*CEILING(AH$3,1))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7" s="12" t="n">
        <f aca="false">(V47+AI$4*(Resumo!$C$6+Resumo!$C$7+Resumo!$C$8)+Resumo!$C$10*CEILING(AI$3/100,1)+Resumo!$C$9+Resumo!$C$13+Resumo!$C$14*CEILING(AI$3,1))*(1+Resumo!$C$11)-(AI$4*(Resumo!$B$6+Resumo!$B$7)+Resumo!$B$9+Resumo!$B$10*CEILING(AI$3/100,1)+(Resumo!$B$12+Resumo!$B$14)*CEILING(AI$3,1))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7" s="12" t="n">
        <f aca="false">(W47+AJ$4*(Resumo!$C$6+Resumo!$C$7+Resumo!$C$8)+Resumo!$C$10*CEILING(AJ$3/100,1)+Resumo!$C$9+Resumo!$C$13+Resumo!$C$14*CEILING(AJ$3,1))*(1+Resumo!$C$11)-(AJ$4*(Resumo!$B$6+Resumo!$B$7)+Resumo!$B$9+Resumo!$B$10*CEILING(AJ$3/100,1)+(Resumo!$B$12+Resumo!$B$14)*CEILING(AJ$3,1))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7" s="12" t="n">
        <f aca="false">(X47+AK$4*(Resumo!$C$6+Resumo!$C$7+Resumo!$C$8)+Resumo!$C$10*CEILING(AK$3/100,1)+Resumo!$C$9+Resumo!$C$13+Resumo!$C$14*CEILING(AK$3,1))*(1+Resumo!$C$11)-(AK$4*(Resumo!$B$6+Resumo!$B$7)+Resumo!$B$9+Resumo!$B$10*CEILING(AK$3/100,1)+(Resumo!$B$12+Resumo!$B$14)*CEILING(AK$3,1))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7" s="12" t="n">
        <f aca="false">(Y47+AL$4*(Resumo!$C$6+Resumo!$C$7+Resumo!$C$8)+Resumo!$C$10*CEILING(AL$3/100,1)+Resumo!$C$9+Resumo!$C$13+Resumo!$C$14*CEILING(AL$3,1))*(1+Resumo!$C$11)-(AL$4*(Resumo!$B$6+Resumo!$B$7)+Resumo!$B$9+Resumo!$B$10*CEILING(AL$3/100,1)+(Resumo!$B$12+Resumo!$B$14)*CEILING(AL$3,1))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7" s="12" t="n">
        <f aca="false">(Z47+AM$4*(Resumo!$C$6+Resumo!$C$7+Resumo!$C$8)+Resumo!$C$10*CEILING(AM$3/100,1)+Resumo!$C$9+Resumo!$C$13+Resumo!$C$14*CEILING(AM$3,1))*(1+Resumo!$C$11)-(AM$4*(Resumo!$B$6+Resumo!$B$7)+Resumo!$B$9+Resumo!$B$10*CEILING(AM$3/100,1)+(Resumo!$B$12+Resumo!$B$14)*CEILING(AM$3,1))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7" s="12" t="n">
        <f aca="false">(AA47+AN$4*(Resumo!$C$6+Resumo!$C$7+Resumo!$C$8)+Resumo!$C$10*CEILING(AN$3/100,1)+Resumo!$C$9+Resumo!$C$13+Resumo!$C$14*CEILING(AN$3,1))*(1+Resumo!$C$11)-(AN$4*(Resumo!$B$6+Resumo!$B$7)+Resumo!$B$9+Resumo!$B$10*CEILING(AN$3/100,1)+(Resumo!$B$12+Resumo!$B$14)*CEILING(AN$3,1))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7" s="12" t="n">
        <f aca="false">(AB47+AO$4*(Resumo!$C$6+Resumo!$C$7+Resumo!$C$8)+Resumo!$C$10*CEILING(AO$3/100,1)+Resumo!$C$9+Resumo!$C$13+Resumo!$C$14*CEILING(AO$3,1))*(1+Resumo!$C$11)-(AO$4*(Resumo!$B$6+Resumo!$B$7)+Resumo!$B$9+Resumo!$B$10*CEILING(AO$3/100,1)+(Resumo!$B$12+Resumo!$B$14)*CEILING(AO$3,1))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7" s="12" t="n">
        <f aca="false">(AC47+AP$4*(Resumo!$C$6+Resumo!$C$7+Resumo!$C$8)+Resumo!$C$10*CEILING(AP$3/100,1)+Resumo!$C$9+Resumo!$C$13+Resumo!$C$14*CEILING(AP$3,1))*(1+Resumo!$C$11)-(AP$4*(Resumo!$B$6+Resumo!$B$7)+Resumo!$B$9+Resumo!$B$10*CEILING(AP$3/100,1)+(Resumo!$B$12+Resumo!$B$14)*CEILING(AP$3,1))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7" s="12" t="n">
        <f aca="false">(AD47+AQ$4*(Resumo!$C$6+Resumo!$C$7+Resumo!$C$8)+Resumo!$C$10*CEILING(AQ$3/100,1)+Resumo!$C$9+Resumo!$C$13+Resumo!$C$14*CEILING(AQ$3,1))*(1+Resumo!$C$11)-(AQ$4*(Resumo!$B$6+Resumo!$B$7)+Resumo!$B$9+Resumo!$B$10*CEILING(AQ$3/100,1)+(Resumo!$B$12+Resumo!$B$14)*CEILING(AQ$3,1))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7" s="12" t="n">
        <f aca="false">(AE47+AR$4*(Resumo!$C$6+Resumo!$C$7+Resumo!$C$8)+Resumo!$C$10*CEILING(AR$3/100,1)+Resumo!$C$9+Resumo!$C$13+Resumo!$C$14*CEILING(AR$3,1))*(1+Resumo!$C$11)-(AR$4*(Resumo!$B$6+Resumo!$B$7)+Resumo!$B$9+Resumo!$B$10*CEILING(AR$3/100,1)+(Resumo!$B$12+Resumo!$B$14)*CEILING(AR$3,1))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7" s="12" t="n">
        <f aca="false">(AF47+AS$4*(Resumo!$C$6+Resumo!$C$7+Resumo!$C$8)+Resumo!$C$10*CEILING(AS$3/100,1)+Resumo!$C$9+Resumo!$C$13+Resumo!$C$14*CEILING(AS$3,1))*(1+Resumo!$C$11)-(AS$4*(Resumo!$B$6+Resumo!$B$7)+Resumo!$B$9+Resumo!$B$10*CEILING(AS$3/100,1)+(Resumo!$B$12+Resumo!$B$14)*CEILING(AS$3,1))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7" s="12" t="n">
        <f aca="false">(AG47+AT$4*(Resumo!$C$6+Resumo!$C$7+Resumo!$C$8)+Resumo!$C$10*CEILING(AT$3/100,1)+Resumo!$C$9+Resumo!$C$13+Resumo!$C$14*CEILING(AT$3,1))*(1+Resumo!$C$11)-(AT$4*(Resumo!$B$6+Resumo!$B$7)+Resumo!$B$9+Resumo!$B$10*CEILING(AT$3/100,1)+(Resumo!$B$12+Resumo!$B$14)*CEILING(AT$3,1))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7" s="13" t="n">
        <f aca="false">1-AH47/H47</f>
        <v>0.284448775984873</v>
      </c>
      <c r="AV47" s="13" t="n">
        <f aca="false">1-AI47/I47</f>
        <v>0.324530396086195</v>
      </c>
      <c r="AW47" s="13" t="n">
        <f aca="false">1-AJ47/J47</f>
        <v>0.337931079721616</v>
      </c>
      <c r="AX47" s="13" t="n">
        <f aca="false">1-AK47/K47</f>
        <v>0.318510239438779</v>
      </c>
      <c r="AY47" s="13" t="n">
        <f aca="false">1-AL47/L47</f>
        <v>0.365701375691832</v>
      </c>
      <c r="AZ47" s="13" t="n">
        <f aca="false">1-AM47/M47</f>
        <v>0.420709229511831</v>
      </c>
      <c r="BA47" s="13" t="n">
        <f aca="false">1-AN47/N47</f>
        <v>0.350695095008868</v>
      </c>
      <c r="BB47" s="13" t="n">
        <f aca="false">1-AO47/O47</f>
        <v>0.419232633445788</v>
      </c>
      <c r="BC47" s="13" t="n">
        <f aca="false">1-AP47/P47</f>
        <v>0.493280443868681</v>
      </c>
      <c r="BD47" s="13" t="n">
        <f aca="false">1-AQ47/Q47</f>
        <v>0.455794679894486</v>
      </c>
      <c r="BE47" s="13" t="n">
        <f aca="false">1-AR47/R47</f>
        <v>0.489018797268033</v>
      </c>
      <c r="BF47" s="13" t="n">
        <f aca="false">1-AS47/S47</f>
        <v>0.820478024467603</v>
      </c>
      <c r="BG47" s="13" t="n">
        <f aca="false">1-AT47/T47</f>
        <v>0.528263860444042</v>
      </c>
    </row>
    <row r="48" customFormat="false" ht="15" hidden="false" customHeight="false" outlineLevel="0" collapsed="false">
      <c r="A48" s="4" t="s">
        <v>215</v>
      </c>
      <c r="B48" s="4" t="s">
        <v>249</v>
      </c>
      <c r="C48" s="36" t="n">
        <v>27460000</v>
      </c>
      <c r="D48" s="36" t="n">
        <v>27499999</v>
      </c>
      <c r="E48" s="4" t="s">
        <v>198</v>
      </c>
      <c r="F48" s="4" t="s">
        <v>220</v>
      </c>
      <c r="G48" s="4" t="n">
        <f aca="false">COUNTIFS(Pedidos!$E$2:$E$2224,"&gt;="&amp;C48,Pedidos!$E$2:$E$2224,"&lt;="&amp;D48)</f>
        <v>1</v>
      </c>
      <c r="H48" s="7" t="n">
        <v>77.35</v>
      </c>
      <c r="I48" s="7" t="n">
        <v>108.83</v>
      </c>
      <c r="J48" s="7" t="n">
        <v>124.38</v>
      </c>
      <c r="K48" s="7" t="n">
        <v>124.38</v>
      </c>
      <c r="L48" s="7" t="n">
        <v>142.32</v>
      </c>
      <c r="M48" s="7" t="n">
        <v>166.05</v>
      </c>
      <c r="N48" s="7" t="n">
        <v>157.88</v>
      </c>
      <c r="O48" s="7" t="n">
        <v>197.35</v>
      </c>
      <c r="P48" s="7" t="n">
        <v>236.82</v>
      </c>
      <c r="Q48" s="7" t="n">
        <v>264.84</v>
      </c>
      <c r="R48" s="7" t="n">
        <v>300.15</v>
      </c>
      <c r="S48" s="7" t="n">
        <v>353.12</v>
      </c>
      <c r="T48" s="7" t="n">
        <v>441.4</v>
      </c>
      <c r="U48" s="7" t="n">
        <v>46.95</v>
      </c>
      <c r="V48" s="7" t="n">
        <v>65.63</v>
      </c>
      <c r="W48" s="7" t="n">
        <v>74.97</v>
      </c>
      <c r="X48" s="7" t="n">
        <v>77.7</v>
      </c>
      <c r="Y48" s="7" t="n">
        <v>83.58</v>
      </c>
      <c r="Z48" s="7" t="n">
        <v>90.2</v>
      </c>
      <c r="AA48" s="7" t="n">
        <v>96.77</v>
      </c>
      <c r="AB48" s="7" t="n">
        <v>109.63</v>
      </c>
      <c r="AC48" s="7" t="n">
        <v>119.5</v>
      </c>
      <c r="AD48" s="7" t="n">
        <v>144.24</v>
      </c>
      <c r="AE48" s="7" t="n">
        <v>155.09</v>
      </c>
      <c r="AF48" s="7" t="n">
        <v>66.69</v>
      </c>
      <c r="AG48" s="7" t="n">
        <v>214.88</v>
      </c>
      <c r="AH48" s="12" t="n">
        <f aca="false">(U48+AH$4*(Resumo!$C$6+Resumo!$C$7+Resumo!$C$8)+Resumo!$C$10*CEILING(AH$3/100,1)+Resumo!$C$9+Resumo!$C$13+Resumo!$C$14*CEILING(AH$3,1))*(1+Resumo!$C$11)-(AH$4*(Resumo!$B$6+Resumo!$B$7)+Resumo!$B$9+Resumo!$B$10*CEILING(AH$3/100,1)+(Resumo!$B$12+Resumo!$B$14)*CEILING(AH$3,1))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8" s="12" t="n">
        <f aca="false">(V48+AI$4*(Resumo!$C$6+Resumo!$C$7+Resumo!$C$8)+Resumo!$C$10*CEILING(AI$3/100,1)+Resumo!$C$9+Resumo!$C$13+Resumo!$C$14*CEILING(AI$3,1))*(1+Resumo!$C$11)-(AI$4*(Resumo!$B$6+Resumo!$B$7)+Resumo!$B$9+Resumo!$B$10*CEILING(AI$3/100,1)+(Resumo!$B$12+Resumo!$B$14)*CEILING(AI$3,1))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8" s="12" t="n">
        <f aca="false">(W48+AJ$4*(Resumo!$C$6+Resumo!$C$7+Resumo!$C$8)+Resumo!$C$10*CEILING(AJ$3/100,1)+Resumo!$C$9+Resumo!$C$13+Resumo!$C$14*CEILING(AJ$3,1))*(1+Resumo!$C$11)-(AJ$4*(Resumo!$B$6+Resumo!$B$7)+Resumo!$B$9+Resumo!$B$10*CEILING(AJ$3/100,1)+(Resumo!$B$12+Resumo!$B$14)*CEILING(AJ$3,1))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8" s="12" t="n">
        <f aca="false">(X48+AK$4*(Resumo!$C$6+Resumo!$C$7+Resumo!$C$8)+Resumo!$C$10*CEILING(AK$3/100,1)+Resumo!$C$9+Resumo!$C$13+Resumo!$C$14*CEILING(AK$3,1))*(1+Resumo!$C$11)-(AK$4*(Resumo!$B$6+Resumo!$B$7)+Resumo!$B$9+Resumo!$B$10*CEILING(AK$3/100,1)+(Resumo!$B$12+Resumo!$B$14)*CEILING(AK$3,1))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8" s="12" t="n">
        <f aca="false">(Y48+AL$4*(Resumo!$C$6+Resumo!$C$7+Resumo!$C$8)+Resumo!$C$10*CEILING(AL$3/100,1)+Resumo!$C$9+Resumo!$C$13+Resumo!$C$14*CEILING(AL$3,1))*(1+Resumo!$C$11)-(AL$4*(Resumo!$B$6+Resumo!$B$7)+Resumo!$B$9+Resumo!$B$10*CEILING(AL$3/100,1)+(Resumo!$B$12+Resumo!$B$14)*CEILING(AL$3,1))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8" s="12" t="n">
        <f aca="false">(Z48+AM$4*(Resumo!$C$6+Resumo!$C$7+Resumo!$C$8)+Resumo!$C$10*CEILING(AM$3/100,1)+Resumo!$C$9+Resumo!$C$13+Resumo!$C$14*CEILING(AM$3,1))*(1+Resumo!$C$11)-(AM$4*(Resumo!$B$6+Resumo!$B$7)+Resumo!$B$9+Resumo!$B$10*CEILING(AM$3/100,1)+(Resumo!$B$12+Resumo!$B$14)*CEILING(AM$3,1))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8" s="12" t="n">
        <f aca="false">(AA48+AN$4*(Resumo!$C$6+Resumo!$C$7+Resumo!$C$8)+Resumo!$C$10*CEILING(AN$3/100,1)+Resumo!$C$9+Resumo!$C$13+Resumo!$C$14*CEILING(AN$3,1))*(1+Resumo!$C$11)-(AN$4*(Resumo!$B$6+Resumo!$B$7)+Resumo!$B$9+Resumo!$B$10*CEILING(AN$3/100,1)+(Resumo!$B$12+Resumo!$B$14)*CEILING(AN$3,1))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8" s="12" t="n">
        <f aca="false">(AB48+AO$4*(Resumo!$C$6+Resumo!$C$7+Resumo!$C$8)+Resumo!$C$10*CEILING(AO$3/100,1)+Resumo!$C$9+Resumo!$C$13+Resumo!$C$14*CEILING(AO$3,1))*(1+Resumo!$C$11)-(AO$4*(Resumo!$B$6+Resumo!$B$7)+Resumo!$B$9+Resumo!$B$10*CEILING(AO$3/100,1)+(Resumo!$B$12+Resumo!$B$14)*CEILING(AO$3,1))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8" s="12" t="n">
        <f aca="false">(AC48+AP$4*(Resumo!$C$6+Resumo!$C$7+Resumo!$C$8)+Resumo!$C$10*CEILING(AP$3/100,1)+Resumo!$C$9+Resumo!$C$13+Resumo!$C$14*CEILING(AP$3,1))*(1+Resumo!$C$11)-(AP$4*(Resumo!$B$6+Resumo!$B$7)+Resumo!$B$9+Resumo!$B$10*CEILING(AP$3/100,1)+(Resumo!$B$12+Resumo!$B$14)*CEILING(AP$3,1))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8" s="12" t="n">
        <f aca="false">(AD48+AQ$4*(Resumo!$C$6+Resumo!$C$7+Resumo!$C$8)+Resumo!$C$10*CEILING(AQ$3/100,1)+Resumo!$C$9+Resumo!$C$13+Resumo!$C$14*CEILING(AQ$3,1))*(1+Resumo!$C$11)-(AQ$4*(Resumo!$B$6+Resumo!$B$7)+Resumo!$B$9+Resumo!$B$10*CEILING(AQ$3/100,1)+(Resumo!$B$12+Resumo!$B$14)*CEILING(AQ$3,1))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8" s="12" t="n">
        <f aca="false">(AE48+AR$4*(Resumo!$C$6+Resumo!$C$7+Resumo!$C$8)+Resumo!$C$10*CEILING(AR$3/100,1)+Resumo!$C$9+Resumo!$C$13+Resumo!$C$14*CEILING(AR$3,1))*(1+Resumo!$C$11)-(AR$4*(Resumo!$B$6+Resumo!$B$7)+Resumo!$B$9+Resumo!$B$10*CEILING(AR$3/100,1)+(Resumo!$B$12+Resumo!$B$14)*CEILING(AR$3,1))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8" s="12" t="n">
        <f aca="false">(AF48+AS$4*(Resumo!$C$6+Resumo!$C$7+Resumo!$C$8)+Resumo!$C$10*CEILING(AS$3/100,1)+Resumo!$C$9+Resumo!$C$13+Resumo!$C$14*CEILING(AS$3,1))*(1+Resumo!$C$11)-(AS$4*(Resumo!$B$6+Resumo!$B$7)+Resumo!$B$9+Resumo!$B$10*CEILING(AS$3/100,1)+(Resumo!$B$12+Resumo!$B$14)*CEILING(AS$3,1))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8" s="12" t="n">
        <f aca="false">(AG48+AT$4*(Resumo!$C$6+Resumo!$C$7+Resumo!$C$8)+Resumo!$C$10*CEILING(AT$3/100,1)+Resumo!$C$9+Resumo!$C$13+Resumo!$C$14*CEILING(AT$3,1))*(1+Resumo!$C$11)-(AT$4*(Resumo!$B$6+Resumo!$B$7)+Resumo!$B$9+Resumo!$B$10*CEILING(AT$3/100,1)+(Resumo!$B$12+Resumo!$B$14)*CEILING(AT$3,1))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8" s="13" t="n">
        <f aca="false">1-AH48/H48</f>
        <v>0.284448775984873</v>
      </c>
      <c r="AV48" s="13" t="n">
        <f aca="false">1-AI48/I48</f>
        <v>0.324530396086195</v>
      </c>
      <c r="AW48" s="13" t="n">
        <f aca="false">1-AJ48/J48</f>
        <v>0.337931079721616</v>
      </c>
      <c r="AX48" s="13" t="n">
        <f aca="false">1-AK48/K48</f>
        <v>0.318510239438779</v>
      </c>
      <c r="AY48" s="13" t="n">
        <f aca="false">1-AL48/L48</f>
        <v>0.365701375691832</v>
      </c>
      <c r="AZ48" s="13" t="n">
        <f aca="false">1-AM48/M48</f>
        <v>0.420709229511831</v>
      </c>
      <c r="BA48" s="13" t="n">
        <f aca="false">1-AN48/N48</f>
        <v>0.350695095008868</v>
      </c>
      <c r="BB48" s="13" t="n">
        <f aca="false">1-AO48/O48</f>
        <v>0.419232633445788</v>
      </c>
      <c r="BC48" s="13" t="n">
        <f aca="false">1-AP48/P48</f>
        <v>0.493280443868681</v>
      </c>
      <c r="BD48" s="13" t="n">
        <f aca="false">1-AQ48/Q48</f>
        <v>0.455794679894486</v>
      </c>
      <c r="BE48" s="13" t="n">
        <f aca="false">1-AR48/R48</f>
        <v>0.489018797268033</v>
      </c>
      <c r="BF48" s="13" t="n">
        <f aca="false">1-AS48/S48</f>
        <v>0.820478024467603</v>
      </c>
      <c r="BG48" s="13" t="n">
        <f aca="false">1-AT48/T48</f>
        <v>0.528263860444042</v>
      </c>
    </row>
    <row r="49" customFormat="false" ht="15" hidden="false" customHeight="false" outlineLevel="0" collapsed="false">
      <c r="A49" s="4" t="s">
        <v>215</v>
      </c>
      <c r="B49" s="4" t="s">
        <v>250</v>
      </c>
      <c r="C49" s="36" t="n">
        <v>27500000</v>
      </c>
      <c r="D49" s="36" t="n">
        <v>27569999</v>
      </c>
      <c r="E49" s="4" t="s">
        <v>198</v>
      </c>
      <c r="F49" s="4" t="s">
        <v>220</v>
      </c>
      <c r="G49" s="4" t="n">
        <f aca="false">COUNTIFS(Pedidos!$E$2:$E$2224,"&gt;="&amp;C49,Pedidos!$E$2:$E$2224,"&lt;="&amp;D49)</f>
        <v>13</v>
      </c>
      <c r="H49" s="7" t="n">
        <v>77.35</v>
      </c>
      <c r="I49" s="7" t="n">
        <v>108.83</v>
      </c>
      <c r="J49" s="7" t="n">
        <v>124.38</v>
      </c>
      <c r="K49" s="7" t="n">
        <v>124.38</v>
      </c>
      <c r="L49" s="7" t="n">
        <v>142.32</v>
      </c>
      <c r="M49" s="7" t="n">
        <v>166.05</v>
      </c>
      <c r="N49" s="7" t="n">
        <v>157.88</v>
      </c>
      <c r="O49" s="7" t="n">
        <v>197.35</v>
      </c>
      <c r="P49" s="7" t="n">
        <v>236.82</v>
      </c>
      <c r="Q49" s="7" t="n">
        <v>264.84</v>
      </c>
      <c r="R49" s="7" t="n">
        <v>300.15</v>
      </c>
      <c r="S49" s="7" t="n">
        <v>353.12</v>
      </c>
      <c r="T49" s="7" t="n">
        <v>441.4</v>
      </c>
      <c r="U49" s="7" t="n">
        <v>46.95</v>
      </c>
      <c r="V49" s="7" t="n">
        <v>65.63</v>
      </c>
      <c r="W49" s="7" t="n">
        <v>74.97</v>
      </c>
      <c r="X49" s="7" t="n">
        <v>77.7</v>
      </c>
      <c r="Y49" s="7" t="n">
        <v>83.58</v>
      </c>
      <c r="Z49" s="7" t="n">
        <v>90.2</v>
      </c>
      <c r="AA49" s="7" t="n">
        <v>96.77</v>
      </c>
      <c r="AB49" s="7" t="n">
        <v>109.63</v>
      </c>
      <c r="AC49" s="7" t="n">
        <v>119.5</v>
      </c>
      <c r="AD49" s="7" t="n">
        <v>144.24</v>
      </c>
      <c r="AE49" s="7" t="n">
        <v>155.09</v>
      </c>
      <c r="AF49" s="7" t="n">
        <v>66.69</v>
      </c>
      <c r="AG49" s="7" t="n">
        <v>214.88</v>
      </c>
      <c r="AH49" s="12" t="n">
        <f aca="false">(U49+AH$4*(Resumo!$C$6+Resumo!$C$7+Resumo!$C$8)+Resumo!$C$10*CEILING(AH$3/100,1)+Resumo!$C$9+Resumo!$C$13+Resumo!$C$14*CEILING(AH$3,1))*(1+Resumo!$C$11)-(AH$4*(Resumo!$B$6+Resumo!$B$7)+Resumo!$B$9+Resumo!$B$10*CEILING(AH$3/100,1)+(Resumo!$B$12+Resumo!$B$14)*CEILING(AH$3,1))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49" s="12" t="n">
        <f aca="false">(V49+AI$4*(Resumo!$C$6+Resumo!$C$7+Resumo!$C$8)+Resumo!$C$10*CEILING(AI$3/100,1)+Resumo!$C$9+Resumo!$C$13+Resumo!$C$14*CEILING(AI$3,1))*(1+Resumo!$C$11)-(AI$4*(Resumo!$B$6+Resumo!$B$7)+Resumo!$B$9+Resumo!$B$10*CEILING(AI$3/100,1)+(Resumo!$B$12+Resumo!$B$14)*CEILING(AI$3,1))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49" s="12" t="n">
        <f aca="false">(W49+AJ$4*(Resumo!$C$6+Resumo!$C$7+Resumo!$C$8)+Resumo!$C$10*CEILING(AJ$3/100,1)+Resumo!$C$9+Resumo!$C$13+Resumo!$C$14*CEILING(AJ$3,1))*(1+Resumo!$C$11)-(AJ$4*(Resumo!$B$6+Resumo!$B$7)+Resumo!$B$9+Resumo!$B$10*CEILING(AJ$3/100,1)+(Resumo!$B$12+Resumo!$B$14)*CEILING(AJ$3,1))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49" s="12" t="n">
        <f aca="false">(X49+AK$4*(Resumo!$C$6+Resumo!$C$7+Resumo!$C$8)+Resumo!$C$10*CEILING(AK$3/100,1)+Resumo!$C$9+Resumo!$C$13+Resumo!$C$14*CEILING(AK$3,1))*(1+Resumo!$C$11)-(AK$4*(Resumo!$B$6+Resumo!$B$7)+Resumo!$B$9+Resumo!$B$10*CEILING(AK$3/100,1)+(Resumo!$B$12+Resumo!$B$14)*CEILING(AK$3,1))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49" s="12" t="n">
        <f aca="false">(Y49+AL$4*(Resumo!$C$6+Resumo!$C$7+Resumo!$C$8)+Resumo!$C$10*CEILING(AL$3/100,1)+Resumo!$C$9+Resumo!$C$13+Resumo!$C$14*CEILING(AL$3,1))*(1+Resumo!$C$11)-(AL$4*(Resumo!$B$6+Resumo!$B$7)+Resumo!$B$9+Resumo!$B$10*CEILING(AL$3/100,1)+(Resumo!$B$12+Resumo!$B$14)*CEILING(AL$3,1))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49" s="12" t="n">
        <f aca="false">(Z49+AM$4*(Resumo!$C$6+Resumo!$C$7+Resumo!$C$8)+Resumo!$C$10*CEILING(AM$3/100,1)+Resumo!$C$9+Resumo!$C$13+Resumo!$C$14*CEILING(AM$3,1))*(1+Resumo!$C$11)-(AM$4*(Resumo!$B$6+Resumo!$B$7)+Resumo!$B$9+Resumo!$B$10*CEILING(AM$3/100,1)+(Resumo!$B$12+Resumo!$B$14)*CEILING(AM$3,1))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49" s="12" t="n">
        <f aca="false">(AA49+AN$4*(Resumo!$C$6+Resumo!$C$7+Resumo!$C$8)+Resumo!$C$10*CEILING(AN$3/100,1)+Resumo!$C$9+Resumo!$C$13+Resumo!$C$14*CEILING(AN$3,1))*(1+Resumo!$C$11)-(AN$4*(Resumo!$B$6+Resumo!$B$7)+Resumo!$B$9+Resumo!$B$10*CEILING(AN$3/100,1)+(Resumo!$B$12+Resumo!$B$14)*CEILING(AN$3,1))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49" s="12" t="n">
        <f aca="false">(AB49+AO$4*(Resumo!$C$6+Resumo!$C$7+Resumo!$C$8)+Resumo!$C$10*CEILING(AO$3/100,1)+Resumo!$C$9+Resumo!$C$13+Resumo!$C$14*CEILING(AO$3,1))*(1+Resumo!$C$11)-(AO$4*(Resumo!$B$6+Resumo!$B$7)+Resumo!$B$9+Resumo!$B$10*CEILING(AO$3/100,1)+(Resumo!$B$12+Resumo!$B$14)*CEILING(AO$3,1))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49" s="12" t="n">
        <f aca="false">(AC49+AP$4*(Resumo!$C$6+Resumo!$C$7+Resumo!$C$8)+Resumo!$C$10*CEILING(AP$3/100,1)+Resumo!$C$9+Resumo!$C$13+Resumo!$C$14*CEILING(AP$3,1))*(1+Resumo!$C$11)-(AP$4*(Resumo!$B$6+Resumo!$B$7)+Resumo!$B$9+Resumo!$B$10*CEILING(AP$3/100,1)+(Resumo!$B$12+Resumo!$B$14)*CEILING(AP$3,1))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49" s="12" t="n">
        <f aca="false">(AD49+AQ$4*(Resumo!$C$6+Resumo!$C$7+Resumo!$C$8)+Resumo!$C$10*CEILING(AQ$3/100,1)+Resumo!$C$9+Resumo!$C$13+Resumo!$C$14*CEILING(AQ$3,1))*(1+Resumo!$C$11)-(AQ$4*(Resumo!$B$6+Resumo!$B$7)+Resumo!$B$9+Resumo!$B$10*CEILING(AQ$3/100,1)+(Resumo!$B$12+Resumo!$B$14)*CEILING(AQ$3,1))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49" s="12" t="n">
        <f aca="false">(AE49+AR$4*(Resumo!$C$6+Resumo!$C$7+Resumo!$C$8)+Resumo!$C$10*CEILING(AR$3/100,1)+Resumo!$C$9+Resumo!$C$13+Resumo!$C$14*CEILING(AR$3,1))*(1+Resumo!$C$11)-(AR$4*(Resumo!$B$6+Resumo!$B$7)+Resumo!$B$9+Resumo!$B$10*CEILING(AR$3/100,1)+(Resumo!$B$12+Resumo!$B$14)*CEILING(AR$3,1))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49" s="12" t="n">
        <f aca="false">(AF49+AS$4*(Resumo!$C$6+Resumo!$C$7+Resumo!$C$8)+Resumo!$C$10*CEILING(AS$3/100,1)+Resumo!$C$9+Resumo!$C$13+Resumo!$C$14*CEILING(AS$3,1))*(1+Resumo!$C$11)-(AS$4*(Resumo!$B$6+Resumo!$B$7)+Resumo!$B$9+Resumo!$B$10*CEILING(AS$3/100,1)+(Resumo!$B$12+Resumo!$B$14)*CEILING(AS$3,1))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49" s="12" t="n">
        <f aca="false">(AG49+AT$4*(Resumo!$C$6+Resumo!$C$7+Resumo!$C$8)+Resumo!$C$10*CEILING(AT$3/100,1)+Resumo!$C$9+Resumo!$C$13+Resumo!$C$14*CEILING(AT$3,1))*(1+Resumo!$C$11)-(AT$4*(Resumo!$B$6+Resumo!$B$7)+Resumo!$B$9+Resumo!$B$10*CEILING(AT$3/100,1)+(Resumo!$B$12+Resumo!$B$14)*CEILING(AT$3,1))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49" s="13" t="n">
        <f aca="false">1-AH49/H49</f>
        <v>0.284448775984873</v>
      </c>
      <c r="AV49" s="13" t="n">
        <f aca="false">1-AI49/I49</f>
        <v>0.324530396086195</v>
      </c>
      <c r="AW49" s="13" t="n">
        <f aca="false">1-AJ49/J49</f>
        <v>0.337931079721616</v>
      </c>
      <c r="AX49" s="13" t="n">
        <f aca="false">1-AK49/K49</f>
        <v>0.318510239438779</v>
      </c>
      <c r="AY49" s="13" t="n">
        <f aca="false">1-AL49/L49</f>
        <v>0.365701375691832</v>
      </c>
      <c r="AZ49" s="13" t="n">
        <f aca="false">1-AM49/M49</f>
        <v>0.420709229511831</v>
      </c>
      <c r="BA49" s="13" t="n">
        <f aca="false">1-AN49/N49</f>
        <v>0.350695095008868</v>
      </c>
      <c r="BB49" s="13" t="n">
        <f aca="false">1-AO49/O49</f>
        <v>0.419232633445788</v>
      </c>
      <c r="BC49" s="13" t="n">
        <f aca="false">1-AP49/P49</f>
        <v>0.493280443868681</v>
      </c>
      <c r="BD49" s="13" t="n">
        <f aca="false">1-AQ49/Q49</f>
        <v>0.455794679894486</v>
      </c>
      <c r="BE49" s="13" t="n">
        <f aca="false">1-AR49/R49</f>
        <v>0.489018797268033</v>
      </c>
      <c r="BF49" s="13" t="n">
        <f aca="false">1-AS49/S49</f>
        <v>0.820478024467603</v>
      </c>
      <c r="BG49" s="13" t="n">
        <f aca="false">1-AT49/T49</f>
        <v>0.528263860444042</v>
      </c>
    </row>
    <row r="50" customFormat="false" ht="15" hidden="false" customHeight="false" outlineLevel="0" collapsed="false">
      <c r="A50" s="4" t="s">
        <v>215</v>
      </c>
      <c r="B50" s="4" t="s">
        <v>251</v>
      </c>
      <c r="C50" s="36" t="n">
        <v>27570000</v>
      </c>
      <c r="D50" s="36" t="n">
        <v>27579999</v>
      </c>
      <c r="E50" s="4" t="s">
        <v>198</v>
      </c>
      <c r="F50" s="4" t="s">
        <v>220</v>
      </c>
      <c r="G50" s="4" t="n">
        <f aca="false">COUNTIFS(Pedidos!$E$2:$E$2224,"&gt;="&amp;C50,Pedidos!$E$2:$E$2224,"&lt;="&amp;D50)</f>
        <v>0</v>
      </c>
      <c r="H50" s="7" t="n">
        <v>77.35</v>
      </c>
      <c r="I50" s="7" t="n">
        <v>108.83</v>
      </c>
      <c r="J50" s="7" t="n">
        <v>124.38</v>
      </c>
      <c r="K50" s="7" t="n">
        <v>124.38</v>
      </c>
      <c r="L50" s="7" t="n">
        <v>142.32</v>
      </c>
      <c r="M50" s="7" t="n">
        <v>166.05</v>
      </c>
      <c r="N50" s="7" t="n">
        <v>157.88</v>
      </c>
      <c r="O50" s="7" t="n">
        <v>197.35</v>
      </c>
      <c r="P50" s="7" t="n">
        <v>236.82</v>
      </c>
      <c r="Q50" s="7" t="n">
        <v>264.84</v>
      </c>
      <c r="R50" s="7" t="n">
        <v>300.15</v>
      </c>
      <c r="S50" s="7" t="n">
        <v>353.12</v>
      </c>
      <c r="T50" s="7" t="n">
        <v>441.4</v>
      </c>
      <c r="U50" s="7" t="n">
        <v>46.95</v>
      </c>
      <c r="V50" s="7" t="n">
        <v>65.63</v>
      </c>
      <c r="W50" s="7" t="n">
        <v>74.97</v>
      </c>
      <c r="X50" s="7" t="n">
        <v>77.7</v>
      </c>
      <c r="Y50" s="7" t="n">
        <v>83.58</v>
      </c>
      <c r="Z50" s="7" t="n">
        <v>90.2</v>
      </c>
      <c r="AA50" s="7" t="n">
        <v>96.77</v>
      </c>
      <c r="AB50" s="7" t="n">
        <v>109.63</v>
      </c>
      <c r="AC50" s="7" t="n">
        <v>119.5</v>
      </c>
      <c r="AD50" s="7" t="n">
        <v>144.24</v>
      </c>
      <c r="AE50" s="7" t="n">
        <v>155.09</v>
      </c>
      <c r="AF50" s="7" t="n">
        <v>66.69</v>
      </c>
      <c r="AG50" s="7" t="n">
        <v>214.88</v>
      </c>
      <c r="AH50" s="12" t="n">
        <f aca="false">(U50+AH$4*(Resumo!$C$6+Resumo!$C$7+Resumo!$C$8)+Resumo!$C$10*CEILING(AH$3/100,1)+Resumo!$C$9+Resumo!$C$13+Resumo!$C$14*CEILING(AH$3,1))*(1+Resumo!$C$11)-(AH$4*(Resumo!$B$6+Resumo!$B$7)+Resumo!$B$9+Resumo!$B$10*CEILING(AH$3/100,1)+(Resumo!$B$12+Resumo!$B$14)*CEILING(AH$3,1))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0" s="12" t="n">
        <f aca="false">(V50+AI$4*(Resumo!$C$6+Resumo!$C$7+Resumo!$C$8)+Resumo!$C$10*CEILING(AI$3/100,1)+Resumo!$C$9+Resumo!$C$13+Resumo!$C$14*CEILING(AI$3,1))*(1+Resumo!$C$11)-(AI$4*(Resumo!$B$6+Resumo!$B$7)+Resumo!$B$9+Resumo!$B$10*CEILING(AI$3/100,1)+(Resumo!$B$12+Resumo!$B$14)*CEILING(AI$3,1))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0" s="12" t="n">
        <f aca="false">(W50+AJ$4*(Resumo!$C$6+Resumo!$C$7+Resumo!$C$8)+Resumo!$C$10*CEILING(AJ$3/100,1)+Resumo!$C$9+Resumo!$C$13+Resumo!$C$14*CEILING(AJ$3,1))*(1+Resumo!$C$11)-(AJ$4*(Resumo!$B$6+Resumo!$B$7)+Resumo!$B$9+Resumo!$B$10*CEILING(AJ$3/100,1)+(Resumo!$B$12+Resumo!$B$14)*CEILING(AJ$3,1))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0" s="12" t="n">
        <f aca="false">(X50+AK$4*(Resumo!$C$6+Resumo!$C$7+Resumo!$C$8)+Resumo!$C$10*CEILING(AK$3/100,1)+Resumo!$C$9+Resumo!$C$13+Resumo!$C$14*CEILING(AK$3,1))*(1+Resumo!$C$11)-(AK$4*(Resumo!$B$6+Resumo!$B$7)+Resumo!$B$9+Resumo!$B$10*CEILING(AK$3/100,1)+(Resumo!$B$12+Resumo!$B$14)*CEILING(AK$3,1))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0" s="12" t="n">
        <f aca="false">(Y50+AL$4*(Resumo!$C$6+Resumo!$C$7+Resumo!$C$8)+Resumo!$C$10*CEILING(AL$3/100,1)+Resumo!$C$9+Resumo!$C$13+Resumo!$C$14*CEILING(AL$3,1))*(1+Resumo!$C$11)-(AL$4*(Resumo!$B$6+Resumo!$B$7)+Resumo!$B$9+Resumo!$B$10*CEILING(AL$3/100,1)+(Resumo!$B$12+Resumo!$B$14)*CEILING(AL$3,1))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0" s="12" t="n">
        <f aca="false">(Z50+AM$4*(Resumo!$C$6+Resumo!$C$7+Resumo!$C$8)+Resumo!$C$10*CEILING(AM$3/100,1)+Resumo!$C$9+Resumo!$C$13+Resumo!$C$14*CEILING(AM$3,1))*(1+Resumo!$C$11)-(AM$4*(Resumo!$B$6+Resumo!$B$7)+Resumo!$B$9+Resumo!$B$10*CEILING(AM$3/100,1)+(Resumo!$B$12+Resumo!$B$14)*CEILING(AM$3,1))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0" s="12" t="n">
        <f aca="false">(AA50+AN$4*(Resumo!$C$6+Resumo!$C$7+Resumo!$C$8)+Resumo!$C$10*CEILING(AN$3/100,1)+Resumo!$C$9+Resumo!$C$13+Resumo!$C$14*CEILING(AN$3,1))*(1+Resumo!$C$11)-(AN$4*(Resumo!$B$6+Resumo!$B$7)+Resumo!$B$9+Resumo!$B$10*CEILING(AN$3/100,1)+(Resumo!$B$12+Resumo!$B$14)*CEILING(AN$3,1))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0" s="12" t="n">
        <f aca="false">(AB50+AO$4*(Resumo!$C$6+Resumo!$C$7+Resumo!$C$8)+Resumo!$C$10*CEILING(AO$3/100,1)+Resumo!$C$9+Resumo!$C$13+Resumo!$C$14*CEILING(AO$3,1))*(1+Resumo!$C$11)-(AO$4*(Resumo!$B$6+Resumo!$B$7)+Resumo!$B$9+Resumo!$B$10*CEILING(AO$3/100,1)+(Resumo!$B$12+Resumo!$B$14)*CEILING(AO$3,1))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0" s="12" t="n">
        <f aca="false">(AC50+AP$4*(Resumo!$C$6+Resumo!$C$7+Resumo!$C$8)+Resumo!$C$10*CEILING(AP$3/100,1)+Resumo!$C$9+Resumo!$C$13+Resumo!$C$14*CEILING(AP$3,1))*(1+Resumo!$C$11)-(AP$4*(Resumo!$B$6+Resumo!$B$7)+Resumo!$B$9+Resumo!$B$10*CEILING(AP$3/100,1)+(Resumo!$B$12+Resumo!$B$14)*CEILING(AP$3,1))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0" s="12" t="n">
        <f aca="false">(AD50+AQ$4*(Resumo!$C$6+Resumo!$C$7+Resumo!$C$8)+Resumo!$C$10*CEILING(AQ$3/100,1)+Resumo!$C$9+Resumo!$C$13+Resumo!$C$14*CEILING(AQ$3,1))*(1+Resumo!$C$11)-(AQ$4*(Resumo!$B$6+Resumo!$B$7)+Resumo!$B$9+Resumo!$B$10*CEILING(AQ$3/100,1)+(Resumo!$B$12+Resumo!$B$14)*CEILING(AQ$3,1))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0" s="12" t="n">
        <f aca="false">(AE50+AR$4*(Resumo!$C$6+Resumo!$C$7+Resumo!$C$8)+Resumo!$C$10*CEILING(AR$3/100,1)+Resumo!$C$9+Resumo!$C$13+Resumo!$C$14*CEILING(AR$3,1))*(1+Resumo!$C$11)-(AR$4*(Resumo!$B$6+Resumo!$B$7)+Resumo!$B$9+Resumo!$B$10*CEILING(AR$3/100,1)+(Resumo!$B$12+Resumo!$B$14)*CEILING(AR$3,1))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0" s="12" t="n">
        <f aca="false">(AF50+AS$4*(Resumo!$C$6+Resumo!$C$7+Resumo!$C$8)+Resumo!$C$10*CEILING(AS$3/100,1)+Resumo!$C$9+Resumo!$C$13+Resumo!$C$14*CEILING(AS$3,1))*(1+Resumo!$C$11)-(AS$4*(Resumo!$B$6+Resumo!$B$7)+Resumo!$B$9+Resumo!$B$10*CEILING(AS$3/100,1)+(Resumo!$B$12+Resumo!$B$14)*CEILING(AS$3,1))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0" s="12" t="n">
        <f aca="false">(AG50+AT$4*(Resumo!$C$6+Resumo!$C$7+Resumo!$C$8)+Resumo!$C$10*CEILING(AT$3/100,1)+Resumo!$C$9+Resumo!$C$13+Resumo!$C$14*CEILING(AT$3,1))*(1+Resumo!$C$11)-(AT$4*(Resumo!$B$6+Resumo!$B$7)+Resumo!$B$9+Resumo!$B$10*CEILING(AT$3/100,1)+(Resumo!$B$12+Resumo!$B$14)*CEILING(AT$3,1))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0" s="13" t="n">
        <f aca="false">1-AH50/H50</f>
        <v>0.284448775984873</v>
      </c>
      <c r="AV50" s="13" t="n">
        <f aca="false">1-AI50/I50</f>
        <v>0.324530396086195</v>
      </c>
      <c r="AW50" s="13" t="n">
        <f aca="false">1-AJ50/J50</f>
        <v>0.337931079721616</v>
      </c>
      <c r="AX50" s="13" t="n">
        <f aca="false">1-AK50/K50</f>
        <v>0.318510239438779</v>
      </c>
      <c r="AY50" s="13" t="n">
        <f aca="false">1-AL50/L50</f>
        <v>0.365701375691832</v>
      </c>
      <c r="AZ50" s="13" t="n">
        <f aca="false">1-AM50/M50</f>
        <v>0.420709229511831</v>
      </c>
      <c r="BA50" s="13" t="n">
        <f aca="false">1-AN50/N50</f>
        <v>0.350695095008868</v>
      </c>
      <c r="BB50" s="13" t="n">
        <f aca="false">1-AO50/O50</f>
        <v>0.419232633445788</v>
      </c>
      <c r="BC50" s="13" t="n">
        <f aca="false">1-AP50/P50</f>
        <v>0.493280443868681</v>
      </c>
      <c r="BD50" s="13" t="n">
        <f aca="false">1-AQ50/Q50</f>
        <v>0.455794679894486</v>
      </c>
      <c r="BE50" s="13" t="n">
        <f aca="false">1-AR50/R50</f>
        <v>0.489018797268033</v>
      </c>
      <c r="BF50" s="13" t="n">
        <f aca="false">1-AS50/S50</f>
        <v>0.820478024467603</v>
      </c>
      <c r="BG50" s="13" t="n">
        <f aca="false">1-AT50/T50</f>
        <v>0.528263860444042</v>
      </c>
    </row>
    <row r="51" customFormat="false" ht="15" hidden="false" customHeight="false" outlineLevel="0" collapsed="false">
      <c r="A51" s="4" t="s">
        <v>215</v>
      </c>
      <c r="B51" s="4" t="s">
        <v>252</v>
      </c>
      <c r="C51" s="36" t="n">
        <v>27580000</v>
      </c>
      <c r="D51" s="36" t="n">
        <v>27599999</v>
      </c>
      <c r="E51" s="4" t="s">
        <v>198</v>
      </c>
      <c r="F51" s="4" t="s">
        <v>220</v>
      </c>
      <c r="G51" s="4" t="n">
        <f aca="false">COUNTIFS(Pedidos!$E$2:$E$2224,"&gt;="&amp;C51,Pedidos!$E$2:$E$2224,"&lt;="&amp;D51)</f>
        <v>4</v>
      </c>
      <c r="H51" s="7" t="n">
        <v>77.35</v>
      </c>
      <c r="I51" s="7" t="n">
        <v>108.83</v>
      </c>
      <c r="J51" s="7" t="n">
        <v>124.38</v>
      </c>
      <c r="K51" s="7" t="n">
        <v>124.38</v>
      </c>
      <c r="L51" s="7" t="n">
        <v>142.32</v>
      </c>
      <c r="M51" s="7" t="n">
        <v>166.05</v>
      </c>
      <c r="N51" s="7" t="n">
        <v>157.88</v>
      </c>
      <c r="O51" s="7" t="n">
        <v>197.35</v>
      </c>
      <c r="P51" s="7" t="n">
        <v>236.82</v>
      </c>
      <c r="Q51" s="7" t="n">
        <v>264.84</v>
      </c>
      <c r="R51" s="7" t="n">
        <v>300.15</v>
      </c>
      <c r="S51" s="7" t="n">
        <v>353.12</v>
      </c>
      <c r="T51" s="7" t="n">
        <v>441.4</v>
      </c>
      <c r="U51" s="7" t="n">
        <v>46.95</v>
      </c>
      <c r="V51" s="7" t="n">
        <v>65.63</v>
      </c>
      <c r="W51" s="7" t="n">
        <v>74.97</v>
      </c>
      <c r="X51" s="7" t="n">
        <v>77.7</v>
      </c>
      <c r="Y51" s="7" t="n">
        <v>83.58</v>
      </c>
      <c r="Z51" s="7" t="n">
        <v>90.2</v>
      </c>
      <c r="AA51" s="7" t="n">
        <v>96.77</v>
      </c>
      <c r="AB51" s="7" t="n">
        <v>109.63</v>
      </c>
      <c r="AC51" s="7" t="n">
        <v>119.5</v>
      </c>
      <c r="AD51" s="7" t="n">
        <v>144.24</v>
      </c>
      <c r="AE51" s="7" t="n">
        <v>155.09</v>
      </c>
      <c r="AF51" s="7" t="n">
        <v>66.69</v>
      </c>
      <c r="AG51" s="7" t="n">
        <v>214.88</v>
      </c>
      <c r="AH51" s="12" t="n">
        <f aca="false">(U51+AH$4*(Resumo!$C$6+Resumo!$C$7+Resumo!$C$8)+Resumo!$C$10*CEILING(AH$3/100,1)+Resumo!$C$9+Resumo!$C$13+Resumo!$C$14*CEILING(AH$3,1))*(1+Resumo!$C$11)-(AH$4*(Resumo!$B$6+Resumo!$B$7)+Resumo!$B$9+Resumo!$B$10*CEILING(AH$3/100,1)+(Resumo!$B$12+Resumo!$B$14)*CEILING(AH$3,1))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1" s="12" t="n">
        <f aca="false">(V51+AI$4*(Resumo!$C$6+Resumo!$C$7+Resumo!$C$8)+Resumo!$C$10*CEILING(AI$3/100,1)+Resumo!$C$9+Resumo!$C$13+Resumo!$C$14*CEILING(AI$3,1))*(1+Resumo!$C$11)-(AI$4*(Resumo!$B$6+Resumo!$B$7)+Resumo!$B$9+Resumo!$B$10*CEILING(AI$3/100,1)+(Resumo!$B$12+Resumo!$B$14)*CEILING(AI$3,1))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1" s="12" t="n">
        <f aca="false">(W51+AJ$4*(Resumo!$C$6+Resumo!$C$7+Resumo!$C$8)+Resumo!$C$10*CEILING(AJ$3/100,1)+Resumo!$C$9+Resumo!$C$13+Resumo!$C$14*CEILING(AJ$3,1))*(1+Resumo!$C$11)-(AJ$4*(Resumo!$B$6+Resumo!$B$7)+Resumo!$B$9+Resumo!$B$10*CEILING(AJ$3/100,1)+(Resumo!$B$12+Resumo!$B$14)*CEILING(AJ$3,1))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1" s="12" t="n">
        <f aca="false">(X51+AK$4*(Resumo!$C$6+Resumo!$C$7+Resumo!$C$8)+Resumo!$C$10*CEILING(AK$3/100,1)+Resumo!$C$9+Resumo!$C$13+Resumo!$C$14*CEILING(AK$3,1))*(1+Resumo!$C$11)-(AK$4*(Resumo!$B$6+Resumo!$B$7)+Resumo!$B$9+Resumo!$B$10*CEILING(AK$3/100,1)+(Resumo!$B$12+Resumo!$B$14)*CEILING(AK$3,1))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1" s="12" t="n">
        <f aca="false">(Y51+AL$4*(Resumo!$C$6+Resumo!$C$7+Resumo!$C$8)+Resumo!$C$10*CEILING(AL$3/100,1)+Resumo!$C$9+Resumo!$C$13+Resumo!$C$14*CEILING(AL$3,1))*(1+Resumo!$C$11)-(AL$4*(Resumo!$B$6+Resumo!$B$7)+Resumo!$B$9+Resumo!$B$10*CEILING(AL$3/100,1)+(Resumo!$B$12+Resumo!$B$14)*CEILING(AL$3,1))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1" s="12" t="n">
        <f aca="false">(Z51+AM$4*(Resumo!$C$6+Resumo!$C$7+Resumo!$C$8)+Resumo!$C$10*CEILING(AM$3/100,1)+Resumo!$C$9+Resumo!$C$13+Resumo!$C$14*CEILING(AM$3,1))*(1+Resumo!$C$11)-(AM$4*(Resumo!$B$6+Resumo!$B$7)+Resumo!$B$9+Resumo!$B$10*CEILING(AM$3/100,1)+(Resumo!$B$12+Resumo!$B$14)*CEILING(AM$3,1))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1" s="12" t="n">
        <f aca="false">(AA51+AN$4*(Resumo!$C$6+Resumo!$C$7+Resumo!$C$8)+Resumo!$C$10*CEILING(AN$3/100,1)+Resumo!$C$9+Resumo!$C$13+Resumo!$C$14*CEILING(AN$3,1))*(1+Resumo!$C$11)-(AN$4*(Resumo!$B$6+Resumo!$B$7)+Resumo!$B$9+Resumo!$B$10*CEILING(AN$3/100,1)+(Resumo!$B$12+Resumo!$B$14)*CEILING(AN$3,1))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1" s="12" t="n">
        <f aca="false">(AB51+AO$4*(Resumo!$C$6+Resumo!$C$7+Resumo!$C$8)+Resumo!$C$10*CEILING(AO$3/100,1)+Resumo!$C$9+Resumo!$C$13+Resumo!$C$14*CEILING(AO$3,1))*(1+Resumo!$C$11)-(AO$4*(Resumo!$B$6+Resumo!$B$7)+Resumo!$B$9+Resumo!$B$10*CEILING(AO$3/100,1)+(Resumo!$B$12+Resumo!$B$14)*CEILING(AO$3,1))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1" s="12" t="n">
        <f aca="false">(AC51+AP$4*(Resumo!$C$6+Resumo!$C$7+Resumo!$C$8)+Resumo!$C$10*CEILING(AP$3/100,1)+Resumo!$C$9+Resumo!$C$13+Resumo!$C$14*CEILING(AP$3,1))*(1+Resumo!$C$11)-(AP$4*(Resumo!$B$6+Resumo!$B$7)+Resumo!$B$9+Resumo!$B$10*CEILING(AP$3/100,1)+(Resumo!$B$12+Resumo!$B$14)*CEILING(AP$3,1))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1" s="12" t="n">
        <f aca="false">(AD51+AQ$4*(Resumo!$C$6+Resumo!$C$7+Resumo!$C$8)+Resumo!$C$10*CEILING(AQ$3/100,1)+Resumo!$C$9+Resumo!$C$13+Resumo!$C$14*CEILING(AQ$3,1))*(1+Resumo!$C$11)-(AQ$4*(Resumo!$B$6+Resumo!$B$7)+Resumo!$B$9+Resumo!$B$10*CEILING(AQ$3/100,1)+(Resumo!$B$12+Resumo!$B$14)*CEILING(AQ$3,1))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1" s="12" t="n">
        <f aca="false">(AE51+AR$4*(Resumo!$C$6+Resumo!$C$7+Resumo!$C$8)+Resumo!$C$10*CEILING(AR$3/100,1)+Resumo!$C$9+Resumo!$C$13+Resumo!$C$14*CEILING(AR$3,1))*(1+Resumo!$C$11)-(AR$4*(Resumo!$B$6+Resumo!$B$7)+Resumo!$B$9+Resumo!$B$10*CEILING(AR$3/100,1)+(Resumo!$B$12+Resumo!$B$14)*CEILING(AR$3,1))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1" s="12" t="n">
        <f aca="false">(AF51+AS$4*(Resumo!$C$6+Resumo!$C$7+Resumo!$C$8)+Resumo!$C$10*CEILING(AS$3/100,1)+Resumo!$C$9+Resumo!$C$13+Resumo!$C$14*CEILING(AS$3,1))*(1+Resumo!$C$11)-(AS$4*(Resumo!$B$6+Resumo!$B$7)+Resumo!$B$9+Resumo!$B$10*CEILING(AS$3/100,1)+(Resumo!$B$12+Resumo!$B$14)*CEILING(AS$3,1))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1" s="12" t="n">
        <f aca="false">(AG51+AT$4*(Resumo!$C$6+Resumo!$C$7+Resumo!$C$8)+Resumo!$C$10*CEILING(AT$3/100,1)+Resumo!$C$9+Resumo!$C$13+Resumo!$C$14*CEILING(AT$3,1))*(1+Resumo!$C$11)-(AT$4*(Resumo!$B$6+Resumo!$B$7)+Resumo!$B$9+Resumo!$B$10*CEILING(AT$3/100,1)+(Resumo!$B$12+Resumo!$B$14)*CEILING(AT$3,1))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1" s="13" t="n">
        <f aca="false">1-AH51/H51</f>
        <v>0.284448775984873</v>
      </c>
      <c r="AV51" s="13" t="n">
        <f aca="false">1-AI51/I51</f>
        <v>0.324530396086195</v>
      </c>
      <c r="AW51" s="13" t="n">
        <f aca="false">1-AJ51/J51</f>
        <v>0.337931079721616</v>
      </c>
      <c r="AX51" s="13" t="n">
        <f aca="false">1-AK51/K51</f>
        <v>0.318510239438779</v>
      </c>
      <c r="AY51" s="13" t="n">
        <f aca="false">1-AL51/L51</f>
        <v>0.365701375691832</v>
      </c>
      <c r="AZ51" s="13" t="n">
        <f aca="false">1-AM51/M51</f>
        <v>0.420709229511831</v>
      </c>
      <c r="BA51" s="13" t="n">
        <f aca="false">1-AN51/N51</f>
        <v>0.350695095008868</v>
      </c>
      <c r="BB51" s="13" t="n">
        <f aca="false">1-AO51/O51</f>
        <v>0.419232633445788</v>
      </c>
      <c r="BC51" s="13" t="n">
        <f aca="false">1-AP51/P51</f>
        <v>0.493280443868681</v>
      </c>
      <c r="BD51" s="13" t="n">
        <f aca="false">1-AQ51/Q51</f>
        <v>0.455794679894486</v>
      </c>
      <c r="BE51" s="13" t="n">
        <f aca="false">1-AR51/R51</f>
        <v>0.489018797268033</v>
      </c>
      <c r="BF51" s="13" t="n">
        <f aca="false">1-AS51/S51</f>
        <v>0.820478024467603</v>
      </c>
      <c r="BG51" s="13" t="n">
        <f aca="false">1-AT51/T51</f>
        <v>0.528263860444042</v>
      </c>
    </row>
    <row r="52" customFormat="false" ht="15" hidden="false" customHeight="false" outlineLevel="0" collapsed="false">
      <c r="A52" s="4" t="s">
        <v>215</v>
      </c>
      <c r="B52" s="4" t="s">
        <v>253</v>
      </c>
      <c r="C52" s="36" t="n">
        <v>27600000</v>
      </c>
      <c r="D52" s="36" t="n">
        <v>27659999</v>
      </c>
      <c r="E52" s="4" t="s">
        <v>198</v>
      </c>
      <c r="F52" s="4" t="s">
        <v>220</v>
      </c>
      <c r="G52" s="4" t="n">
        <f aca="false">COUNTIFS(Pedidos!$E$2:$E$2224,"&gt;="&amp;C52,Pedidos!$E$2:$E$2224,"&lt;="&amp;D52)</f>
        <v>3</v>
      </c>
      <c r="H52" s="7" t="n">
        <v>77.35</v>
      </c>
      <c r="I52" s="7" t="n">
        <v>108.83</v>
      </c>
      <c r="J52" s="7" t="n">
        <v>124.38</v>
      </c>
      <c r="K52" s="7" t="n">
        <v>124.38</v>
      </c>
      <c r="L52" s="7" t="n">
        <v>142.32</v>
      </c>
      <c r="M52" s="7" t="n">
        <v>166.05</v>
      </c>
      <c r="N52" s="7" t="n">
        <v>157.88</v>
      </c>
      <c r="O52" s="7" t="n">
        <v>197.35</v>
      </c>
      <c r="P52" s="7" t="n">
        <v>236.82</v>
      </c>
      <c r="Q52" s="7" t="n">
        <v>264.84</v>
      </c>
      <c r="R52" s="7" t="n">
        <v>300.15</v>
      </c>
      <c r="S52" s="7" t="n">
        <v>353.12</v>
      </c>
      <c r="T52" s="7" t="n">
        <v>441.4</v>
      </c>
      <c r="U52" s="7" t="n">
        <v>46.95</v>
      </c>
      <c r="V52" s="7" t="n">
        <v>65.63</v>
      </c>
      <c r="W52" s="7" t="n">
        <v>74.97</v>
      </c>
      <c r="X52" s="7" t="n">
        <v>77.7</v>
      </c>
      <c r="Y52" s="7" t="n">
        <v>83.58</v>
      </c>
      <c r="Z52" s="7" t="n">
        <v>90.2</v>
      </c>
      <c r="AA52" s="7" t="n">
        <v>96.77</v>
      </c>
      <c r="AB52" s="7" t="n">
        <v>109.63</v>
      </c>
      <c r="AC52" s="7" t="n">
        <v>119.5</v>
      </c>
      <c r="AD52" s="7" t="n">
        <v>144.24</v>
      </c>
      <c r="AE52" s="7" t="n">
        <v>155.09</v>
      </c>
      <c r="AF52" s="7" t="n">
        <v>66.69</v>
      </c>
      <c r="AG52" s="7" t="n">
        <v>214.88</v>
      </c>
      <c r="AH52" s="12" t="n">
        <f aca="false">(U52+AH$4*(Resumo!$C$6+Resumo!$C$7+Resumo!$C$8)+Resumo!$C$10*CEILING(AH$3/100,1)+Resumo!$C$9+Resumo!$C$13+Resumo!$C$14*CEILING(AH$3,1))*(1+Resumo!$C$11)-(AH$4*(Resumo!$B$6+Resumo!$B$7)+Resumo!$B$9+Resumo!$B$10*CEILING(AH$3/100,1)+(Resumo!$B$12+Resumo!$B$14)*CEILING(AH$3,1))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2" s="12" t="n">
        <f aca="false">(V52+AI$4*(Resumo!$C$6+Resumo!$C$7+Resumo!$C$8)+Resumo!$C$10*CEILING(AI$3/100,1)+Resumo!$C$9+Resumo!$C$13+Resumo!$C$14*CEILING(AI$3,1))*(1+Resumo!$C$11)-(AI$4*(Resumo!$B$6+Resumo!$B$7)+Resumo!$B$9+Resumo!$B$10*CEILING(AI$3/100,1)+(Resumo!$B$12+Resumo!$B$14)*CEILING(AI$3,1))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2" s="12" t="n">
        <f aca="false">(W52+AJ$4*(Resumo!$C$6+Resumo!$C$7+Resumo!$C$8)+Resumo!$C$10*CEILING(AJ$3/100,1)+Resumo!$C$9+Resumo!$C$13+Resumo!$C$14*CEILING(AJ$3,1))*(1+Resumo!$C$11)-(AJ$4*(Resumo!$B$6+Resumo!$B$7)+Resumo!$B$9+Resumo!$B$10*CEILING(AJ$3/100,1)+(Resumo!$B$12+Resumo!$B$14)*CEILING(AJ$3,1))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2" s="12" t="n">
        <f aca="false">(X52+AK$4*(Resumo!$C$6+Resumo!$C$7+Resumo!$C$8)+Resumo!$C$10*CEILING(AK$3/100,1)+Resumo!$C$9+Resumo!$C$13+Resumo!$C$14*CEILING(AK$3,1))*(1+Resumo!$C$11)-(AK$4*(Resumo!$B$6+Resumo!$B$7)+Resumo!$B$9+Resumo!$B$10*CEILING(AK$3/100,1)+(Resumo!$B$12+Resumo!$B$14)*CEILING(AK$3,1))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2" s="12" t="n">
        <f aca="false">(Y52+AL$4*(Resumo!$C$6+Resumo!$C$7+Resumo!$C$8)+Resumo!$C$10*CEILING(AL$3/100,1)+Resumo!$C$9+Resumo!$C$13+Resumo!$C$14*CEILING(AL$3,1))*(1+Resumo!$C$11)-(AL$4*(Resumo!$B$6+Resumo!$B$7)+Resumo!$B$9+Resumo!$B$10*CEILING(AL$3/100,1)+(Resumo!$B$12+Resumo!$B$14)*CEILING(AL$3,1))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2" s="12" t="n">
        <f aca="false">(Z52+AM$4*(Resumo!$C$6+Resumo!$C$7+Resumo!$C$8)+Resumo!$C$10*CEILING(AM$3/100,1)+Resumo!$C$9+Resumo!$C$13+Resumo!$C$14*CEILING(AM$3,1))*(1+Resumo!$C$11)-(AM$4*(Resumo!$B$6+Resumo!$B$7)+Resumo!$B$9+Resumo!$B$10*CEILING(AM$3/100,1)+(Resumo!$B$12+Resumo!$B$14)*CEILING(AM$3,1))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2" s="12" t="n">
        <f aca="false">(AA52+AN$4*(Resumo!$C$6+Resumo!$C$7+Resumo!$C$8)+Resumo!$C$10*CEILING(AN$3/100,1)+Resumo!$C$9+Resumo!$C$13+Resumo!$C$14*CEILING(AN$3,1))*(1+Resumo!$C$11)-(AN$4*(Resumo!$B$6+Resumo!$B$7)+Resumo!$B$9+Resumo!$B$10*CEILING(AN$3/100,1)+(Resumo!$B$12+Resumo!$B$14)*CEILING(AN$3,1))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2" s="12" t="n">
        <f aca="false">(AB52+AO$4*(Resumo!$C$6+Resumo!$C$7+Resumo!$C$8)+Resumo!$C$10*CEILING(AO$3/100,1)+Resumo!$C$9+Resumo!$C$13+Resumo!$C$14*CEILING(AO$3,1))*(1+Resumo!$C$11)-(AO$4*(Resumo!$B$6+Resumo!$B$7)+Resumo!$B$9+Resumo!$B$10*CEILING(AO$3/100,1)+(Resumo!$B$12+Resumo!$B$14)*CEILING(AO$3,1))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2" s="12" t="n">
        <f aca="false">(AC52+AP$4*(Resumo!$C$6+Resumo!$C$7+Resumo!$C$8)+Resumo!$C$10*CEILING(AP$3/100,1)+Resumo!$C$9+Resumo!$C$13+Resumo!$C$14*CEILING(AP$3,1))*(1+Resumo!$C$11)-(AP$4*(Resumo!$B$6+Resumo!$B$7)+Resumo!$B$9+Resumo!$B$10*CEILING(AP$3/100,1)+(Resumo!$B$12+Resumo!$B$14)*CEILING(AP$3,1))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2" s="12" t="n">
        <f aca="false">(AD52+AQ$4*(Resumo!$C$6+Resumo!$C$7+Resumo!$C$8)+Resumo!$C$10*CEILING(AQ$3/100,1)+Resumo!$C$9+Resumo!$C$13+Resumo!$C$14*CEILING(AQ$3,1))*(1+Resumo!$C$11)-(AQ$4*(Resumo!$B$6+Resumo!$B$7)+Resumo!$B$9+Resumo!$B$10*CEILING(AQ$3/100,1)+(Resumo!$B$12+Resumo!$B$14)*CEILING(AQ$3,1))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2" s="12" t="n">
        <f aca="false">(AE52+AR$4*(Resumo!$C$6+Resumo!$C$7+Resumo!$C$8)+Resumo!$C$10*CEILING(AR$3/100,1)+Resumo!$C$9+Resumo!$C$13+Resumo!$C$14*CEILING(AR$3,1))*(1+Resumo!$C$11)-(AR$4*(Resumo!$B$6+Resumo!$B$7)+Resumo!$B$9+Resumo!$B$10*CEILING(AR$3/100,1)+(Resumo!$B$12+Resumo!$B$14)*CEILING(AR$3,1))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2" s="12" t="n">
        <f aca="false">(AF52+AS$4*(Resumo!$C$6+Resumo!$C$7+Resumo!$C$8)+Resumo!$C$10*CEILING(AS$3/100,1)+Resumo!$C$9+Resumo!$C$13+Resumo!$C$14*CEILING(AS$3,1))*(1+Resumo!$C$11)-(AS$4*(Resumo!$B$6+Resumo!$B$7)+Resumo!$B$9+Resumo!$B$10*CEILING(AS$3/100,1)+(Resumo!$B$12+Resumo!$B$14)*CEILING(AS$3,1))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2" s="12" t="n">
        <f aca="false">(AG52+AT$4*(Resumo!$C$6+Resumo!$C$7+Resumo!$C$8)+Resumo!$C$10*CEILING(AT$3/100,1)+Resumo!$C$9+Resumo!$C$13+Resumo!$C$14*CEILING(AT$3,1))*(1+Resumo!$C$11)-(AT$4*(Resumo!$B$6+Resumo!$B$7)+Resumo!$B$9+Resumo!$B$10*CEILING(AT$3/100,1)+(Resumo!$B$12+Resumo!$B$14)*CEILING(AT$3,1))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2" s="13" t="n">
        <f aca="false">1-AH52/H52</f>
        <v>0.284448775984873</v>
      </c>
      <c r="AV52" s="13" t="n">
        <f aca="false">1-AI52/I52</f>
        <v>0.324530396086195</v>
      </c>
      <c r="AW52" s="13" t="n">
        <f aca="false">1-AJ52/J52</f>
        <v>0.337931079721616</v>
      </c>
      <c r="AX52" s="13" t="n">
        <f aca="false">1-AK52/K52</f>
        <v>0.318510239438779</v>
      </c>
      <c r="AY52" s="13" t="n">
        <f aca="false">1-AL52/L52</f>
        <v>0.365701375691832</v>
      </c>
      <c r="AZ52" s="13" t="n">
        <f aca="false">1-AM52/M52</f>
        <v>0.420709229511831</v>
      </c>
      <c r="BA52" s="13" t="n">
        <f aca="false">1-AN52/N52</f>
        <v>0.350695095008868</v>
      </c>
      <c r="BB52" s="13" t="n">
        <f aca="false">1-AO52/O52</f>
        <v>0.419232633445788</v>
      </c>
      <c r="BC52" s="13" t="n">
        <f aca="false">1-AP52/P52</f>
        <v>0.493280443868681</v>
      </c>
      <c r="BD52" s="13" t="n">
        <f aca="false">1-AQ52/Q52</f>
        <v>0.455794679894486</v>
      </c>
      <c r="BE52" s="13" t="n">
        <f aca="false">1-AR52/R52</f>
        <v>0.489018797268033</v>
      </c>
      <c r="BF52" s="13" t="n">
        <f aca="false">1-AS52/S52</f>
        <v>0.820478024467603</v>
      </c>
      <c r="BG52" s="13" t="n">
        <f aca="false">1-AT52/T52</f>
        <v>0.528263860444042</v>
      </c>
    </row>
    <row r="53" customFormat="false" ht="15" hidden="false" customHeight="false" outlineLevel="0" collapsed="false">
      <c r="A53" s="4" t="s">
        <v>215</v>
      </c>
      <c r="B53" s="4" t="s">
        <v>254</v>
      </c>
      <c r="C53" s="36" t="n">
        <v>27660000</v>
      </c>
      <c r="D53" s="36" t="n">
        <v>27699999</v>
      </c>
      <c r="E53" s="4" t="s">
        <v>198</v>
      </c>
      <c r="F53" s="4" t="s">
        <v>220</v>
      </c>
      <c r="G53" s="4" t="n">
        <f aca="false">COUNTIFS(Pedidos!$E$2:$E$2224,"&gt;="&amp;C53,Pedidos!$E$2:$E$2224,"&lt;="&amp;D53)</f>
        <v>0</v>
      </c>
      <c r="H53" s="7" t="n">
        <v>77.35</v>
      </c>
      <c r="I53" s="7" t="n">
        <v>108.83</v>
      </c>
      <c r="J53" s="7" t="n">
        <v>124.38</v>
      </c>
      <c r="K53" s="7" t="n">
        <v>124.38</v>
      </c>
      <c r="L53" s="7" t="n">
        <v>142.32</v>
      </c>
      <c r="M53" s="7" t="n">
        <v>166.05</v>
      </c>
      <c r="N53" s="7" t="n">
        <v>157.88</v>
      </c>
      <c r="O53" s="7" t="n">
        <v>197.35</v>
      </c>
      <c r="P53" s="7" t="n">
        <v>236.82</v>
      </c>
      <c r="Q53" s="7" t="n">
        <v>264.84</v>
      </c>
      <c r="R53" s="7" t="n">
        <v>300.15</v>
      </c>
      <c r="S53" s="7" t="n">
        <v>353.12</v>
      </c>
      <c r="T53" s="7" t="n">
        <v>441.4</v>
      </c>
      <c r="U53" s="7" t="n">
        <v>46.95</v>
      </c>
      <c r="V53" s="7" t="n">
        <v>65.63</v>
      </c>
      <c r="W53" s="7" t="n">
        <v>74.97</v>
      </c>
      <c r="X53" s="7" t="n">
        <v>77.7</v>
      </c>
      <c r="Y53" s="7" t="n">
        <v>83.58</v>
      </c>
      <c r="Z53" s="7" t="n">
        <v>90.2</v>
      </c>
      <c r="AA53" s="7" t="n">
        <v>96.77</v>
      </c>
      <c r="AB53" s="7" t="n">
        <v>109.63</v>
      </c>
      <c r="AC53" s="7" t="n">
        <v>119.5</v>
      </c>
      <c r="AD53" s="7" t="n">
        <v>144.24</v>
      </c>
      <c r="AE53" s="7" t="n">
        <v>155.09</v>
      </c>
      <c r="AF53" s="7" t="n">
        <v>66.69</v>
      </c>
      <c r="AG53" s="7" t="n">
        <v>214.88</v>
      </c>
      <c r="AH53" s="12" t="n">
        <f aca="false">(U53+AH$4*(Resumo!$C$6+Resumo!$C$7+Resumo!$C$8)+Resumo!$C$10*CEILING(AH$3/100,1)+Resumo!$C$9+Resumo!$C$13+Resumo!$C$14*CEILING(AH$3,1))*(1+Resumo!$C$11)-(AH$4*(Resumo!$B$6+Resumo!$B$7)+Resumo!$B$9+Resumo!$B$10*CEILING(AH$3/100,1)+(Resumo!$B$12+Resumo!$B$14)*CEILING(AH$3,1))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3" s="12" t="n">
        <f aca="false">(V53+AI$4*(Resumo!$C$6+Resumo!$C$7+Resumo!$C$8)+Resumo!$C$10*CEILING(AI$3/100,1)+Resumo!$C$9+Resumo!$C$13+Resumo!$C$14*CEILING(AI$3,1))*(1+Resumo!$C$11)-(AI$4*(Resumo!$B$6+Resumo!$B$7)+Resumo!$B$9+Resumo!$B$10*CEILING(AI$3/100,1)+(Resumo!$B$12+Resumo!$B$14)*CEILING(AI$3,1))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3" s="12" t="n">
        <f aca="false">(W53+AJ$4*(Resumo!$C$6+Resumo!$C$7+Resumo!$C$8)+Resumo!$C$10*CEILING(AJ$3/100,1)+Resumo!$C$9+Resumo!$C$13+Resumo!$C$14*CEILING(AJ$3,1))*(1+Resumo!$C$11)-(AJ$4*(Resumo!$B$6+Resumo!$B$7)+Resumo!$B$9+Resumo!$B$10*CEILING(AJ$3/100,1)+(Resumo!$B$12+Resumo!$B$14)*CEILING(AJ$3,1))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3" s="12" t="n">
        <f aca="false">(X53+AK$4*(Resumo!$C$6+Resumo!$C$7+Resumo!$C$8)+Resumo!$C$10*CEILING(AK$3/100,1)+Resumo!$C$9+Resumo!$C$13+Resumo!$C$14*CEILING(AK$3,1))*(1+Resumo!$C$11)-(AK$4*(Resumo!$B$6+Resumo!$B$7)+Resumo!$B$9+Resumo!$B$10*CEILING(AK$3/100,1)+(Resumo!$B$12+Resumo!$B$14)*CEILING(AK$3,1))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3" s="12" t="n">
        <f aca="false">(Y53+AL$4*(Resumo!$C$6+Resumo!$C$7+Resumo!$C$8)+Resumo!$C$10*CEILING(AL$3/100,1)+Resumo!$C$9+Resumo!$C$13+Resumo!$C$14*CEILING(AL$3,1))*(1+Resumo!$C$11)-(AL$4*(Resumo!$B$6+Resumo!$B$7)+Resumo!$B$9+Resumo!$B$10*CEILING(AL$3/100,1)+(Resumo!$B$12+Resumo!$B$14)*CEILING(AL$3,1))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3" s="12" t="n">
        <f aca="false">(Z53+AM$4*(Resumo!$C$6+Resumo!$C$7+Resumo!$C$8)+Resumo!$C$10*CEILING(AM$3/100,1)+Resumo!$C$9+Resumo!$C$13+Resumo!$C$14*CEILING(AM$3,1))*(1+Resumo!$C$11)-(AM$4*(Resumo!$B$6+Resumo!$B$7)+Resumo!$B$9+Resumo!$B$10*CEILING(AM$3/100,1)+(Resumo!$B$12+Resumo!$B$14)*CEILING(AM$3,1))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3" s="12" t="n">
        <f aca="false">(AA53+AN$4*(Resumo!$C$6+Resumo!$C$7+Resumo!$C$8)+Resumo!$C$10*CEILING(AN$3/100,1)+Resumo!$C$9+Resumo!$C$13+Resumo!$C$14*CEILING(AN$3,1))*(1+Resumo!$C$11)-(AN$4*(Resumo!$B$6+Resumo!$B$7)+Resumo!$B$9+Resumo!$B$10*CEILING(AN$3/100,1)+(Resumo!$B$12+Resumo!$B$14)*CEILING(AN$3,1))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3" s="12" t="n">
        <f aca="false">(AB53+AO$4*(Resumo!$C$6+Resumo!$C$7+Resumo!$C$8)+Resumo!$C$10*CEILING(AO$3/100,1)+Resumo!$C$9+Resumo!$C$13+Resumo!$C$14*CEILING(AO$3,1))*(1+Resumo!$C$11)-(AO$4*(Resumo!$B$6+Resumo!$B$7)+Resumo!$B$9+Resumo!$B$10*CEILING(AO$3/100,1)+(Resumo!$B$12+Resumo!$B$14)*CEILING(AO$3,1))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3" s="12" t="n">
        <f aca="false">(AC53+AP$4*(Resumo!$C$6+Resumo!$C$7+Resumo!$C$8)+Resumo!$C$10*CEILING(AP$3/100,1)+Resumo!$C$9+Resumo!$C$13+Resumo!$C$14*CEILING(AP$3,1))*(1+Resumo!$C$11)-(AP$4*(Resumo!$B$6+Resumo!$B$7)+Resumo!$B$9+Resumo!$B$10*CEILING(AP$3/100,1)+(Resumo!$B$12+Resumo!$B$14)*CEILING(AP$3,1))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3" s="12" t="n">
        <f aca="false">(AD53+AQ$4*(Resumo!$C$6+Resumo!$C$7+Resumo!$C$8)+Resumo!$C$10*CEILING(AQ$3/100,1)+Resumo!$C$9+Resumo!$C$13+Resumo!$C$14*CEILING(AQ$3,1))*(1+Resumo!$C$11)-(AQ$4*(Resumo!$B$6+Resumo!$B$7)+Resumo!$B$9+Resumo!$B$10*CEILING(AQ$3/100,1)+(Resumo!$B$12+Resumo!$B$14)*CEILING(AQ$3,1))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3" s="12" t="n">
        <f aca="false">(AE53+AR$4*(Resumo!$C$6+Resumo!$C$7+Resumo!$C$8)+Resumo!$C$10*CEILING(AR$3/100,1)+Resumo!$C$9+Resumo!$C$13+Resumo!$C$14*CEILING(AR$3,1))*(1+Resumo!$C$11)-(AR$4*(Resumo!$B$6+Resumo!$B$7)+Resumo!$B$9+Resumo!$B$10*CEILING(AR$3/100,1)+(Resumo!$B$12+Resumo!$B$14)*CEILING(AR$3,1))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3" s="12" t="n">
        <f aca="false">(AF53+AS$4*(Resumo!$C$6+Resumo!$C$7+Resumo!$C$8)+Resumo!$C$10*CEILING(AS$3/100,1)+Resumo!$C$9+Resumo!$C$13+Resumo!$C$14*CEILING(AS$3,1))*(1+Resumo!$C$11)-(AS$4*(Resumo!$B$6+Resumo!$B$7)+Resumo!$B$9+Resumo!$B$10*CEILING(AS$3/100,1)+(Resumo!$B$12+Resumo!$B$14)*CEILING(AS$3,1))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3" s="12" t="n">
        <f aca="false">(AG53+AT$4*(Resumo!$C$6+Resumo!$C$7+Resumo!$C$8)+Resumo!$C$10*CEILING(AT$3/100,1)+Resumo!$C$9+Resumo!$C$13+Resumo!$C$14*CEILING(AT$3,1))*(1+Resumo!$C$11)-(AT$4*(Resumo!$B$6+Resumo!$B$7)+Resumo!$B$9+Resumo!$B$10*CEILING(AT$3/100,1)+(Resumo!$B$12+Resumo!$B$14)*CEILING(AT$3,1))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3" s="13" t="n">
        <f aca="false">1-AH53/H53</f>
        <v>0.284448775984873</v>
      </c>
      <c r="AV53" s="13" t="n">
        <f aca="false">1-AI53/I53</f>
        <v>0.324530396086195</v>
      </c>
      <c r="AW53" s="13" t="n">
        <f aca="false">1-AJ53/J53</f>
        <v>0.337931079721616</v>
      </c>
      <c r="AX53" s="13" t="n">
        <f aca="false">1-AK53/K53</f>
        <v>0.318510239438779</v>
      </c>
      <c r="AY53" s="13" t="n">
        <f aca="false">1-AL53/L53</f>
        <v>0.365701375691832</v>
      </c>
      <c r="AZ53" s="13" t="n">
        <f aca="false">1-AM53/M53</f>
        <v>0.420709229511831</v>
      </c>
      <c r="BA53" s="13" t="n">
        <f aca="false">1-AN53/N53</f>
        <v>0.350695095008868</v>
      </c>
      <c r="BB53" s="13" t="n">
        <f aca="false">1-AO53/O53</f>
        <v>0.419232633445788</v>
      </c>
      <c r="BC53" s="13" t="n">
        <f aca="false">1-AP53/P53</f>
        <v>0.493280443868681</v>
      </c>
      <c r="BD53" s="13" t="n">
        <f aca="false">1-AQ53/Q53</f>
        <v>0.455794679894486</v>
      </c>
      <c r="BE53" s="13" t="n">
        <f aca="false">1-AR53/R53</f>
        <v>0.489018797268033</v>
      </c>
      <c r="BF53" s="13" t="n">
        <f aca="false">1-AS53/S53</f>
        <v>0.820478024467603</v>
      </c>
      <c r="BG53" s="13" t="n">
        <f aca="false">1-AT53/T53</f>
        <v>0.528263860444042</v>
      </c>
    </row>
    <row r="54" customFormat="false" ht="15" hidden="false" customHeight="false" outlineLevel="0" collapsed="false">
      <c r="A54" s="4" t="s">
        <v>215</v>
      </c>
      <c r="B54" s="4" t="s">
        <v>255</v>
      </c>
      <c r="C54" s="36" t="n">
        <v>27700000</v>
      </c>
      <c r="D54" s="36" t="n">
        <v>27899999</v>
      </c>
      <c r="E54" s="4" t="s">
        <v>198</v>
      </c>
      <c r="F54" s="4" t="s">
        <v>220</v>
      </c>
      <c r="G54" s="4" t="n">
        <f aca="false">COUNTIFS(Pedidos!$E$2:$E$2224,"&gt;="&amp;C54,Pedidos!$E$2:$E$2224,"&lt;="&amp;D54)</f>
        <v>2</v>
      </c>
      <c r="H54" s="7" t="n">
        <v>77.35</v>
      </c>
      <c r="I54" s="7" t="n">
        <v>108.83</v>
      </c>
      <c r="J54" s="7" t="n">
        <v>124.38</v>
      </c>
      <c r="K54" s="7" t="n">
        <v>124.38</v>
      </c>
      <c r="L54" s="7" t="n">
        <v>142.32</v>
      </c>
      <c r="M54" s="7" t="n">
        <v>166.05</v>
      </c>
      <c r="N54" s="7" t="n">
        <v>157.88</v>
      </c>
      <c r="O54" s="7" t="n">
        <v>197.35</v>
      </c>
      <c r="P54" s="7" t="n">
        <v>236.82</v>
      </c>
      <c r="Q54" s="7" t="n">
        <v>264.84</v>
      </c>
      <c r="R54" s="7" t="n">
        <v>300.15</v>
      </c>
      <c r="S54" s="7" t="n">
        <v>353.12</v>
      </c>
      <c r="T54" s="7" t="n">
        <v>441.4</v>
      </c>
      <c r="U54" s="7" t="n">
        <v>46.95</v>
      </c>
      <c r="V54" s="7" t="n">
        <v>65.63</v>
      </c>
      <c r="W54" s="7" t="n">
        <v>74.97</v>
      </c>
      <c r="X54" s="7" t="n">
        <v>77.7</v>
      </c>
      <c r="Y54" s="7" t="n">
        <v>83.58</v>
      </c>
      <c r="Z54" s="7" t="n">
        <v>90.2</v>
      </c>
      <c r="AA54" s="7" t="n">
        <v>96.77</v>
      </c>
      <c r="AB54" s="7" t="n">
        <v>109.63</v>
      </c>
      <c r="AC54" s="7" t="n">
        <v>119.5</v>
      </c>
      <c r="AD54" s="7" t="n">
        <v>144.24</v>
      </c>
      <c r="AE54" s="7" t="n">
        <v>155.09</v>
      </c>
      <c r="AF54" s="7" t="n">
        <v>66.69</v>
      </c>
      <c r="AG54" s="7" t="n">
        <v>214.88</v>
      </c>
      <c r="AH54" s="12" t="n">
        <f aca="false">(U54+AH$4*(Resumo!$C$6+Resumo!$C$7+Resumo!$C$8)+Resumo!$C$10*CEILING(AH$3/100,1)+Resumo!$C$9+Resumo!$C$13+Resumo!$C$14*CEILING(AH$3,1))*(1+Resumo!$C$11)-(AH$4*(Resumo!$B$6+Resumo!$B$7)+Resumo!$B$9+Resumo!$B$10*CEILING(AH$3/100,1)+(Resumo!$B$12+Resumo!$B$14)*CEILING(AH$3,1))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4" s="12" t="n">
        <f aca="false">(V54+AI$4*(Resumo!$C$6+Resumo!$C$7+Resumo!$C$8)+Resumo!$C$10*CEILING(AI$3/100,1)+Resumo!$C$9+Resumo!$C$13+Resumo!$C$14*CEILING(AI$3,1))*(1+Resumo!$C$11)-(AI$4*(Resumo!$B$6+Resumo!$B$7)+Resumo!$B$9+Resumo!$B$10*CEILING(AI$3/100,1)+(Resumo!$B$12+Resumo!$B$14)*CEILING(AI$3,1))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4" s="12" t="n">
        <f aca="false">(W54+AJ$4*(Resumo!$C$6+Resumo!$C$7+Resumo!$C$8)+Resumo!$C$10*CEILING(AJ$3/100,1)+Resumo!$C$9+Resumo!$C$13+Resumo!$C$14*CEILING(AJ$3,1))*(1+Resumo!$C$11)-(AJ$4*(Resumo!$B$6+Resumo!$B$7)+Resumo!$B$9+Resumo!$B$10*CEILING(AJ$3/100,1)+(Resumo!$B$12+Resumo!$B$14)*CEILING(AJ$3,1))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4" s="12" t="n">
        <f aca="false">(X54+AK$4*(Resumo!$C$6+Resumo!$C$7+Resumo!$C$8)+Resumo!$C$10*CEILING(AK$3/100,1)+Resumo!$C$9+Resumo!$C$13+Resumo!$C$14*CEILING(AK$3,1))*(1+Resumo!$C$11)-(AK$4*(Resumo!$B$6+Resumo!$B$7)+Resumo!$B$9+Resumo!$B$10*CEILING(AK$3/100,1)+(Resumo!$B$12+Resumo!$B$14)*CEILING(AK$3,1))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4" s="12" t="n">
        <f aca="false">(Y54+AL$4*(Resumo!$C$6+Resumo!$C$7+Resumo!$C$8)+Resumo!$C$10*CEILING(AL$3/100,1)+Resumo!$C$9+Resumo!$C$13+Resumo!$C$14*CEILING(AL$3,1))*(1+Resumo!$C$11)-(AL$4*(Resumo!$B$6+Resumo!$B$7)+Resumo!$B$9+Resumo!$B$10*CEILING(AL$3/100,1)+(Resumo!$B$12+Resumo!$B$14)*CEILING(AL$3,1))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4" s="12" t="n">
        <f aca="false">(Z54+AM$4*(Resumo!$C$6+Resumo!$C$7+Resumo!$C$8)+Resumo!$C$10*CEILING(AM$3/100,1)+Resumo!$C$9+Resumo!$C$13+Resumo!$C$14*CEILING(AM$3,1))*(1+Resumo!$C$11)-(AM$4*(Resumo!$B$6+Resumo!$B$7)+Resumo!$B$9+Resumo!$B$10*CEILING(AM$3/100,1)+(Resumo!$B$12+Resumo!$B$14)*CEILING(AM$3,1))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4" s="12" t="n">
        <f aca="false">(AA54+AN$4*(Resumo!$C$6+Resumo!$C$7+Resumo!$C$8)+Resumo!$C$10*CEILING(AN$3/100,1)+Resumo!$C$9+Resumo!$C$13+Resumo!$C$14*CEILING(AN$3,1))*(1+Resumo!$C$11)-(AN$4*(Resumo!$B$6+Resumo!$B$7)+Resumo!$B$9+Resumo!$B$10*CEILING(AN$3/100,1)+(Resumo!$B$12+Resumo!$B$14)*CEILING(AN$3,1))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4" s="12" t="n">
        <f aca="false">(AB54+AO$4*(Resumo!$C$6+Resumo!$C$7+Resumo!$C$8)+Resumo!$C$10*CEILING(AO$3/100,1)+Resumo!$C$9+Resumo!$C$13+Resumo!$C$14*CEILING(AO$3,1))*(1+Resumo!$C$11)-(AO$4*(Resumo!$B$6+Resumo!$B$7)+Resumo!$B$9+Resumo!$B$10*CEILING(AO$3/100,1)+(Resumo!$B$12+Resumo!$B$14)*CEILING(AO$3,1))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4" s="12" t="n">
        <f aca="false">(AC54+AP$4*(Resumo!$C$6+Resumo!$C$7+Resumo!$C$8)+Resumo!$C$10*CEILING(AP$3/100,1)+Resumo!$C$9+Resumo!$C$13+Resumo!$C$14*CEILING(AP$3,1))*(1+Resumo!$C$11)-(AP$4*(Resumo!$B$6+Resumo!$B$7)+Resumo!$B$9+Resumo!$B$10*CEILING(AP$3/100,1)+(Resumo!$B$12+Resumo!$B$14)*CEILING(AP$3,1))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4" s="12" t="n">
        <f aca="false">(AD54+AQ$4*(Resumo!$C$6+Resumo!$C$7+Resumo!$C$8)+Resumo!$C$10*CEILING(AQ$3/100,1)+Resumo!$C$9+Resumo!$C$13+Resumo!$C$14*CEILING(AQ$3,1))*(1+Resumo!$C$11)-(AQ$4*(Resumo!$B$6+Resumo!$B$7)+Resumo!$B$9+Resumo!$B$10*CEILING(AQ$3/100,1)+(Resumo!$B$12+Resumo!$B$14)*CEILING(AQ$3,1))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4" s="12" t="n">
        <f aca="false">(AE54+AR$4*(Resumo!$C$6+Resumo!$C$7+Resumo!$C$8)+Resumo!$C$10*CEILING(AR$3/100,1)+Resumo!$C$9+Resumo!$C$13+Resumo!$C$14*CEILING(AR$3,1))*(1+Resumo!$C$11)-(AR$4*(Resumo!$B$6+Resumo!$B$7)+Resumo!$B$9+Resumo!$B$10*CEILING(AR$3/100,1)+(Resumo!$B$12+Resumo!$B$14)*CEILING(AR$3,1))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4" s="12" t="n">
        <f aca="false">(AF54+AS$4*(Resumo!$C$6+Resumo!$C$7+Resumo!$C$8)+Resumo!$C$10*CEILING(AS$3/100,1)+Resumo!$C$9+Resumo!$C$13+Resumo!$C$14*CEILING(AS$3,1))*(1+Resumo!$C$11)-(AS$4*(Resumo!$B$6+Resumo!$B$7)+Resumo!$B$9+Resumo!$B$10*CEILING(AS$3/100,1)+(Resumo!$B$12+Resumo!$B$14)*CEILING(AS$3,1))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4" s="12" t="n">
        <f aca="false">(AG54+AT$4*(Resumo!$C$6+Resumo!$C$7+Resumo!$C$8)+Resumo!$C$10*CEILING(AT$3/100,1)+Resumo!$C$9+Resumo!$C$13+Resumo!$C$14*CEILING(AT$3,1))*(1+Resumo!$C$11)-(AT$4*(Resumo!$B$6+Resumo!$B$7)+Resumo!$B$9+Resumo!$B$10*CEILING(AT$3/100,1)+(Resumo!$B$12+Resumo!$B$14)*CEILING(AT$3,1))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4" s="13" t="n">
        <f aca="false">1-AH54/H54</f>
        <v>0.284448775984873</v>
      </c>
      <c r="AV54" s="13" t="n">
        <f aca="false">1-AI54/I54</f>
        <v>0.324530396086195</v>
      </c>
      <c r="AW54" s="13" t="n">
        <f aca="false">1-AJ54/J54</f>
        <v>0.337931079721616</v>
      </c>
      <c r="AX54" s="13" t="n">
        <f aca="false">1-AK54/K54</f>
        <v>0.318510239438779</v>
      </c>
      <c r="AY54" s="13" t="n">
        <f aca="false">1-AL54/L54</f>
        <v>0.365701375691832</v>
      </c>
      <c r="AZ54" s="13" t="n">
        <f aca="false">1-AM54/M54</f>
        <v>0.420709229511831</v>
      </c>
      <c r="BA54" s="13" t="n">
        <f aca="false">1-AN54/N54</f>
        <v>0.350695095008868</v>
      </c>
      <c r="BB54" s="13" t="n">
        <f aca="false">1-AO54/O54</f>
        <v>0.419232633445788</v>
      </c>
      <c r="BC54" s="13" t="n">
        <f aca="false">1-AP54/P54</f>
        <v>0.493280443868681</v>
      </c>
      <c r="BD54" s="13" t="n">
        <f aca="false">1-AQ54/Q54</f>
        <v>0.455794679894486</v>
      </c>
      <c r="BE54" s="13" t="n">
        <f aca="false">1-AR54/R54</f>
        <v>0.489018797268033</v>
      </c>
      <c r="BF54" s="13" t="n">
        <f aca="false">1-AS54/S54</f>
        <v>0.820478024467603</v>
      </c>
      <c r="BG54" s="13" t="n">
        <f aca="false">1-AT54/T54</f>
        <v>0.528263860444042</v>
      </c>
    </row>
    <row r="55" customFormat="false" ht="15" hidden="false" customHeight="false" outlineLevel="0" collapsed="false">
      <c r="A55" s="4" t="s">
        <v>215</v>
      </c>
      <c r="B55" s="4" t="s">
        <v>166</v>
      </c>
      <c r="C55" s="36" t="n">
        <v>27900000</v>
      </c>
      <c r="D55" s="36" t="n">
        <v>27997999</v>
      </c>
      <c r="E55" s="4" t="s">
        <v>198</v>
      </c>
      <c r="F55" s="4" t="s">
        <v>256</v>
      </c>
      <c r="G55" s="4" t="n">
        <f aca="false">COUNTIFS(Pedidos!$E$2:$E$2224,"&gt;="&amp;C55,Pedidos!$E$2:$E$2224,"&lt;="&amp;D55)</f>
        <v>46</v>
      </c>
      <c r="H55" s="7" t="n">
        <v>124.04</v>
      </c>
      <c r="I55" s="7" t="n">
        <v>138.29</v>
      </c>
      <c r="J55" s="7" t="n">
        <v>143.04</v>
      </c>
      <c r="K55" s="7" t="n">
        <v>152.54</v>
      </c>
      <c r="L55" s="7" t="n">
        <v>162.04</v>
      </c>
      <c r="M55" s="7" t="n">
        <v>171.54</v>
      </c>
      <c r="N55" s="7" t="n">
        <v>181.04</v>
      </c>
      <c r="O55" s="7" t="n">
        <v>200.04</v>
      </c>
      <c r="P55" s="7" t="n">
        <v>236.82</v>
      </c>
      <c r="Q55" s="7" t="n">
        <v>264.84</v>
      </c>
      <c r="R55" s="7" t="n">
        <v>300.15</v>
      </c>
      <c r="S55" s="7" t="n">
        <v>353.17</v>
      </c>
      <c r="T55" s="7" t="n">
        <v>441.4</v>
      </c>
      <c r="U55" s="7" t="n">
        <v>46.95</v>
      </c>
      <c r="V55" s="7" t="n">
        <v>65.63</v>
      </c>
      <c r="W55" s="7" t="n">
        <v>74.97</v>
      </c>
      <c r="X55" s="7" t="n">
        <v>77.7</v>
      </c>
      <c r="Y55" s="7" t="n">
        <v>83.58</v>
      </c>
      <c r="Z55" s="7" t="n">
        <v>90.2</v>
      </c>
      <c r="AA55" s="7" t="n">
        <v>96.77</v>
      </c>
      <c r="AB55" s="7" t="n">
        <v>109.63</v>
      </c>
      <c r="AC55" s="7" t="n">
        <v>119.5</v>
      </c>
      <c r="AD55" s="7" t="n">
        <v>144.24</v>
      </c>
      <c r="AE55" s="7" t="n">
        <v>155.09</v>
      </c>
      <c r="AF55" s="7" t="n">
        <v>66.69</v>
      </c>
      <c r="AG55" s="7" t="n">
        <v>214.88</v>
      </c>
      <c r="AH55" s="12" t="n">
        <f aca="false">(U55+AH$4*(Resumo!$C$6+Resumo!$C$7+Resumo!$C$8)+Resumo!$C$10*CEILING(AH$3/100,1)+Resumo!$C$9+Resumo!$C$13+Resumo!$C$14*CEILING(AH$3,1))*(1+Resumo!$C$11)-(AH$4*(Resumo!$B$6+Resumo!$B$7)+Resumo!$B$9+Resumo!$B$10*CEILING(AH$3/100,1)+(Resumo!$B$12+Resumo!$B$14)*CEILING(AH$3,1))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5" s="12" t="n">
        <f aca="false">(V55+AI$4*(Resumo!$C$6+Resumo!$C$7+Resumo!$C$8)+Resumo!$C$10*CEILING(AI$3/100,1)+Resumo!$C$9+Resumo!$C$13+Resumo!$C$14*CEILING(AI$3,1))*(1+Resumo!$C$11)-(AI$4*(Resumo!$B$6+Resumo!$B$7)+Resumo!$B$9+Resumo!$B$10*CEILING(AI$3/100,1)+(Resumo!$B$12+Resumo!$B$14)*CEILING(AI$3,1))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5" s="12" t="n">
        <f aca="false">(W55+AJ$4*(Resumo!$C$6+Resumo!$C$7+Resumo!$C$8)+Resumo!$C$10*CEILING(AJ$3/100,1)+Resumo!$C$9+Resumo!$C$13+Resumo!$C$14*CEILING(AJ$3,1))*(1+Resumo!$C$11)-(AJ$4*(Resumo!$B$6+Resumo!$B$7)+Resumo!$B$9+Resumo!$B$10*CEILING(AJ$3/100,1)+(Resumo!$B$12+Resumo!$B$14)*CEILING(AJ$3,1))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5" s="12" t="n">
        <f aca="false">(X55+AK$4*(Resumo!$C$6+Resumo!$C$7+Resumo!$C$8)+Resumo!$C$10*CEILING(AK$3/100,1)+Resumo!$C$9+Resumo!$C$13+Resumo!$C$14*CEILING(AK$3,1))*(1+Resumo!$C$11)-(AK$4*(Resumo!$B$6+Resumo!$B$7)+Resumo!$B$9+Resumo!$B$10*CEILING(AK$3/100,1)+(Resumo!$B$12+Resumo!$B$14)*CEILING(AK$3,1))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5" s="12" t="n">
        <f aca="false">(Y55+AL$4*(Resumo!$C$6+Resumo!$C$7+Resumo!$C$8)+Resumo!$C$10*CEILING(AL$3/100,1)+Resumo!$C$9+Resumo!$C$13+Resumo!$C$14*CEILING(AL$3,1))*(1+Resumo!$C$11)-(AL$4*(Resumo!$B$6+Resumo!$B$7)+Resumo!$B$9+Resumo!$B$10*CEILING(AL$3/100,1)+(Resumo!$B$12+Resumo!$B$14)*CEILING(AL$3,1))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5" s="12" t="n">
        <f aca="false">(Z55+AM$4*(Resumo!$C$6+Resumo!$C$7+Resumo!$C$8)+Resumo!$C$10*CEILING(AM$3/100,1)+Resumo!$C$9+Resumo!$C$13+Resumo!$C$14*CEILING(AM$3,1))*(1+Resumo!$C$11)-(AM$4*(Resumo!$B$6+Resumo!$B$7)+Resumo!$B$9+Resumo!$B$10*CEILING(AM$3/100,1)+(Resumo!$B$12+Resumo!$B$14)*CEILING(AM$3,1))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5" s="12" t="n">
        <f aca="false">(AA55+AN$4*(Resumo!$C$6+Resumo!$C$7+Resumo!$C$8)+Resumo!$C$10*CEILING(AN$3/100,1)+Resumo!$C$9+Resumo!$C$13+Resumo!$C$14*CEILING(AN$3,1))*(1+Resumo!$C$11)-(AN$4*(Resumo!$B$6+Resumo!$B$7)+Resumo!$B$9+Resumo!$B$10*CEILING(AN$3/100,1)+(Resumo!$B$12+Resumo!$B$14)*CEILING(AN$3,1))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5" s="12" t="n">
        <f aca="false">(AB55+AO$4*(Resumo!$C$6+Resumo!$C$7+Resumo!$C$8)+Resumo!$C$10*CEILING(AO$3/100,1)+Resumo!$C$9+Resumo!$C$13+Resumo!$C$14*CEILING(AO$3,1))*(1+Resumo!$C$11)-(AO$4*(Resumo!$B$6+Resumo!$B$7)+Resumo!$B$9+Resumo!$B$10*CEILING(AO$3/100,1)+(Resumo!$B$12+Resumo!$B$14)*CEILING(AO$3,1))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5" s="12" t="n">
        <f aca="false">(AC55+AP$4*(Resumo!$C$6+Resumo!$C$7+Resumo!$C$8)+Resumo!$C$10*CEILING(AP$3/100,1)+Resumo!$C$9+Resumo!$C$13+Resumo!$C$14*CEILING(AP$3,1))*(1+Resumo!$C$11)-(AP$4*(Resumo!$B$6+Resumo!$B$7)+Resumo!$B$9+Resumo!$B$10*CEILING(AP$3/100,1)+(Resumo!$B$12+Resumo!$B$14)*CEILING(AP$3,1))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5" s="12" t="n">
        <f aca="false">(AD55+AQ$4*(Resumo!$C$6+Resumo!$C$7+Resumo!$C$8)+Resumo!$C$10*CEILING(AQ$3/100,1)+Resumo!$C$9+Resumo!$C$13+Resumo!$C$14*CEILING(AQ$3,1))*(1+Resumo!$C$11)-(AQ$4*(Resumo!$B$6+Resumo!$B$7)+Resumo!$B$9+Resumo!$B$10*CEILING(AQ$3/100,1)+(Resumo!$B$12+Resumo!$B$14)*CEILING(AQ$3,1))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5" s="12" t="n">
        <f aca="false">(AE55+AR$4*(Resumo!$C$6+Resumo!$C$7+Resumo!$C$8)+Resumo!$C$10*CEILING(AR$3/100,1)+Resumo!$C$9+Resumo!$C$13+Resumo!$C$14*CEILING(AR$3,1))*(1+Resumo!$C$11)-(AR$4*(Resumo!$B$6+Resumo!$B$7)+Resumo!$B$9+Resumo!$B$10*CEILING(AR$3/100,1)+(Resumo!$B$12+Resumo!$B$14)*CEILING(AR$3,1))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5" s="12" t="n">
        <f aca="false">(AF55+AS$4*(Resumo!$C$6+Resumo!$C$7+Resumo!$C$8)+Resumo!$C$10*CEILING(AS$3/100,1)+Resumo!$C$9+Resumo!$C$13+Resumo!$C$14*CEILING(AS$3,1))*(1+Resumo!$C$11)-(AS$4*(Resumo!$B$6+Resumo!$B$7)+Resumo!$B$9+Resumo!$B$10*CEILING(AS$3/100,1)+(Resumo!$B$12+Resumo!$B$14)*CEILING(AS$3,1))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5" s="12" t="n">
        <f aca="false">(AG55+AT$4*(Resumo!$C$6+Resumo!$C$7+Resumo!$C$8)+Resumo!$C$10*CEILING(AT$3/100,1)+Resumo!$C$9+Resumo!$C$13+Resumo!$C$14*CEILING(AT$3,1))*(1+Resumo!$C$11)-(AT$4*(Resumo!$B$6+Resumo!$B$7)+Resumo!$B$9+Resumo!$B$10*CEILING(AT$3/100,1)+(Resumo!$B$12+Resumo!$B$14)*CEILING(AT$3,1))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5" s="13" t="n">
        <f aca="false">1-AH55/H55</f>
        <v>0.553790009855127</v>
      </c>
      <c r="AV55" s="13" t="n">
        <f aca="false">1-AI55/I55</f>
        <v>0.468426082913158</v>
      </c>
      <c r="AW55" s="13" t="n">
        <f aca="false">1-AJ55/J55</f>
        <v>0.424299969908939</v>
      </c>
      <c r="AX55" s="13" t="n">
        <f aca="false">1-AK55/K55</f>
        <v>0.444318235095027</v>
      </c>
      <c r="AY55" s="13" t="n">
        <f aca="false">1-AL55/L55</f>
        <v>0.44289446919564</v>
      </c>
      <c r="AZ55" s="13" t="n">
        <f aca="false">1-AM55/M55</f>
        <v>0.439248965608252</v>
      </c>
      <c r="BA55" s="13" t="n">
        <f aca="false">1-AN55/N55</f>
        <v>0.433759067609368</v>
      </c>
      <c r="BB55" s="13" t="n">
        <f aca="false">1-AO55/O55</f>
        <v>0.427042392574117</v>
      </c>
      <c r="BC55" s="13" t="n">
        <f aca="false">1-AP55/P55</f>
        <v>0.493280443868681</v>
      </c>
      <c r="BD55" s="13" t="n">
        <f aca="false">1-AQ55/Q55</f>
        <v>0.455794679894486</v>
      </c>
      <c r="BE55" s="13" t="n">
        <f aca="false">1-AR55/R55</f>
        <v>0.489018797268033</v>
      </c>
      <c r="BF55" s="13" t="n">
        <f aca="false">1-AS55/S55</f>
        <v>0.820503440269559</v>
      </c>
      <c r="BG55" s="13" t="n">
        <f aca="false">1-AT55/T55</f>
        <v>0.528263860444042</v>
      </c>
    </row>
    <row r="56" customFormat="false" ht="15" hidden="false" customHeight="false" outlineLevel="0" collapsed="false">
      <c r="A56" s="4" t="s">
        <v>215</v>
      </c>
      <c r="B56" s="4" t="s">
        <v>257</v>
      </c>
      <c r="C56" s="36" t="n">
        <v>27998000</v>
      </c>
      <c r="D56" s="36" t="n">
        <v>27999999</v>
      </c>
      <c r="E56" s="4" t="s">
        <v>198</v>
      </c>
      <c r="F56" s="4" t="s">
        <v>256</v>
      </c>
      <c r="G56" s="4" t="n">
        <f aca="false">COUNTIFS(Pedidos!$E$2:$E$2224,"&gt;="&amp;C56,Pedidos!$E$2:$E$2224,"&lt;="&amp;D56)</f>
        <v>1</v>
      </c>
      <c r="H56" s="7" t="n">
        <v>124.04</v>
      </c>
      <c r="I56" s="7" t="n">
        <v>138.29</v>
      </c>
      <c r="J56" s="7" t="n">
        <v>143.04</v>
      </c>
      <c r="K56" s="7" t="n">
        <v>152.54</v>
      </c>
      <c r="L56" s="7" t="n">
        <v>162.04</v>
      </c>
      <c r="M56" s="7" t="n">
        <v>171.54</v>
      </c>
      <c r="N56" s="7" t="n">
        <v>181.04</v>
      </c>
      <c r="O56" s="7" t="n">
        <v>200.04</v>
      </c>
      <c r="P56" s="7" t="n">
        <v>236.82</v>
      </c>
      <c r="Q56" s="7" t="n">
        <v>264.84</v>
      </c>
      <c r="R56" s="7" t="n">
        <v>300.15</v>
      </c>
      <c r="S56" s="7" t="n">
        <v>353.17</v>
      </c>
      <c r="T56" s="7" t="n">
        <v>441.4</v>
      </c>
      <c r="U56" s="7" t="n">
        <v>46.95</v>
      </c>
      <c r="V56" s="7" t="n">
        <v>65.63</v>
      </c>
      <c r="W56" s="7" t="n">
        <v>74.97</v>
      </c>
      <c r="X56" s="7" t="n">
        <v>77.7</v>
      </c>
      <c r="Y56" s="7" t="n">
        <v>83.58</v>
      </c>
      <c r="Z56" s="7" t="n">
        <v>90.2</v>
      </c>
      <c r="AA56" s="7" t="n">
        <v>96.77</v>
      </c>
      <c r="AB56" s="7" t="n">
        <v>109.63</v>
      </c>
      <c r="AC56" s="7" t="n">
        <v>119.5</v>
      </c>
      <c r="AD56" s="7" t="n">
        <v>144.24</v>
      </c>
      <c r="AE56" s="7" t="n">
        <v>155.09</v>
      </c>
      <c r="AF56" s="7" t="n">
        <v>66.69</v>
      </c>
      <c r="AG56" s="7" t="n">
        <v>214.88</v>
      </c>
      <c r="AH56" s="12" t="n">
        <f aca="false">(U56+AH$4*(Resumo!$C$6+Resumo!$C$7+Resumo!$C$8)+Resumo!$C$10*CEILING(AH$3/100,1)+Resumo!$C$9+Resumo!$C$13+Resumo!$C$14*CEILING(AH$3,1))*(1+Resumo!$C$11)-(AH$4*(Resumo!$B$6+Resumo!$B$7)+Resumo!$B$9+Resumo!$B$10*CEILING(AH$3/100,1)+(Resumo!$B$12+Resumo!$B$14)*CEILING(AH$3,1))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6" s="12" t="n">
        <f aca="false">(V56+AI$4*(Resumo!$C$6+Resumo!$C$7+Resumo!$C$8)+Resumo!$C$10*CEILING(AI$3/100,1)+Resumo!$C$9+Resumo!$C$13+Resumo!$C$14*CEILING(AI$3,1))*(1+Resumo!$C$11)-(AI$4*(Resumo!$B$6+Resumo!$B$7)+Resumo!$B$9+Resumo!$B$10*CEILING(AI$3/100,1)+(Resumo!$B$12+Resumo!$B$14)*CEILING(AI$3,1))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6" s="12" t="n">
        <f aca="false">(W56+AJ$4*(Resumo!$C$6+Resumo!$C$7+Resumo!$C$8)+Resumo!$C$10*CEILING(AJ$3/100,1)+Resumo!$C$9+Resumo!$C$13+Resumo!$C$14*CEILING(AJ$3,1))*(1+Resumo!$C$11)-(AJ$4*(Resumo!$B$6+Resumo!$B$7)+Resumo!$B$9+Resumo!$B$10*CEILING(AJ$3/100,1)+(Resumo!$B$12+Resumo!$B$14)*CEILING(AJ$3,1))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6" s="12" t="n">
        <f aca="false">(X56+AK$4*(Resumo!$C$6+Resumo!$C$7+Resumo!$C$8)+Resumo!$C$10*CEILING(AK$3/100,1)+Resumo!$C$9+Resumo!$C$13+Resumo!$C$14*CEILING(AK$3,1))*(1+Resumo!$C$11)-(AK$4*(Resumo!$B$6+Resumo!$B$7)+Resumo!$B$9+Resumo!$B$10*CEILING(AK$3/100,1)+(Resumo!$B$12+Resumo!$B$14)*CEILING(AK$3,1))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6" s="12" t="n">
        <f aca="false">(Y56+AL$4*(Resumo!$C$6+Resumo!$C$7+Resumo!$C$8)+Resumo!$C$10*CEILING(AL$3/100,1)+Resumo!$C$9+Resumo!$C$13+Resumo!$C$14*CEILING(AL$3,1))*(1+Resumo!$C$11)-(AL$4*(Resumo!$B$6+Resumo!$B$7)+Resumo!$B$9+Resumo!$B$10*CEILING(AL$3/100,1)+(Resumo!$B$12+Resumo!$B$14)*CEILING(AL$3,1))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6" s="12" t="n">
        <f aca="false">(Z56+AM$4*(Resumo!$C$6+Resumo!$C$7+Resumo!$C$8)+Resumo!$C$10*CEILING(AM$3/100,1)+Resumo!$C$9+Resumo!$C$13+Resumo!$C$14*CEILING(AM$3,1))*(1+Resumo!$C$11)-(AM$4*(Resumo!$B$6+Resumo!$B$7)+Resumo!$B$9+Resumo!$B$10*CEILING(AM$3/100,1)+(Resumo!$B$12+Resumo!$B$14)*CEILING(AM$3,1))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6" s="12" t="n">
        <f aca="false">(AA56+AN$4*(Resumo!$C$6+Resumo!$C$7+Resumo!$C$8)+Resumo!$C$10*CEILING(AN$3/100,1)+Resumo!$C$9+Resumo!$C$13+Resumo!$C$14*CEILING(AN$3,1))*(1+Resumo!$C$11)-(AN$4*(Resumo!$B$6+Resumo!$B$7)+Resumo!$B$9+Resumo!$B$10*CEILING(AN$3/100,1)+(Resumo!$B$12+Resumo!$B$14)*CEILING(AN$3,1))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6" s="12" t="n">
        <f aca="false">(AB56+AO$4*(Resumo!$C$6+Resumo!$C$7+Resumo!$C$8)+Resumo!$C$10*CEILING(AO$3/100,1)+Resumo!$C$9+Resumo!$C$13+Resumo!$C$14*CEILING(AO$3,1))*(1+Resumo!$C$11)-(AO$4*(Resumo!$B$6+Resumo!$B$7)+Resumo!$B$9+Resumo!$B$10*CEILING(AO$3/100,1)+(Resumo!$B$12+Resumo!$B$14)*CEILING(AO$3,1))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6" s="12" t="n">
        <f aca="false">(AC56+AP$4*(Resumo!$C$6+Resumo!$C$7+Resumo!$C$8)+Resumo!$C$10*CEILING(AP$3/100,1)+Resumo!$C$9+Resumo!$C$13+Resumo!$C$14*CEILING(AP$3,1))*(1+Resumo!$C$11)-(AP$4*(Resumo!$B$6+Resumo!$B$7)+Resumo!$B$9+Resumo!$B$10*CEILING(AP$3/100,1)+(Resumo!$B$12+Resumo!$B$14)*CEILING(AP$3,1))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6" s="12" t="n">
        <f aca="false">(AD56+AQ$4*(Resumo!$C$6+Resumo!$C$7+Resumo!$C$8)+Resumo!$C$10*CEILING(AQ$3/100,1)+Resumo!$C$9+Resumo!$C$13+Resumo!$C$14*CEILING(AQ$3,1))*(1+Resumo!$C$11)-(AQ$4*(Resumo!$B$6+Resumo!$B$7)+Resumo!$B$9+Resumo!$B$10*CEILING(AQ$3/100,1)+(Resumo!$B$12+Resumo!$B$14)*CEILING(AQ$3,1))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6" s="12" t="n">
        <f aca="false">(AE56+AR$4*(Resumo!$C$6+Resumo!$C$7+Resumo!$C$8)+Resumo!$C$10*CEILING(AR$3/100,1)+Resumo!$C$9+Resumo!$C$13+Resumo!$C$14*CEILING(AR$3,1))*(1+Resumo!$C$11)-(AR$4*(Resumo!$B$6+Resumo!$B$7)+Resumo!$B$9+Resumo!$B$10*CEILING(AR$3/100,1)+(Resumo!$B$12+Resumo!$B$14)*CEILING(AR$3,1))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6" s="12" t="n">
        <f aca="false">(AF56+AS$4*(Resumo!$C$6+Resumo!$C$7+Resumo!$C$8)+Resumo!$C$10*CEILING(AS$3/100,1)+Resumo!$C$9+Resumo!$C$13+Resumo!$C$14*CEILING(AS$3,1))*(1+Resumo!$C$11)-(AS$4*(Resumo!$B$6+Resumo!$B$7)+Resumo!$B$9+Resumo!$B$10*CEILING(AS$3/100,1)+(Resumo!$B$12+Resumo!$B$14)*CEILING(AS$3,1))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6" s="12" t="n">
        <f aca="false">(AG56+AT$4*(Resumo!$C$6+Resumo!$C$7+Resumo!$C$8)+Resumo!$C$10*CEILING(AT$3/100,1)+Resumo!$C$9+Resumo!$C$13+Resumo!$C$14*CEILING(AT$3,1))*(1+Resumo!$C$11)-(AT$4*(Resumo!$B$6+Resumo!$B$7)+Resumo!$B$9+Resumo!$B$10*CEILING(AT$3/100,1)+(Resumo!$B$12+Resumo!$B$14)*CEILING(AT$3,1))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6" s="13" t="n">
        <f aca="false">1-AH56/H56</f>
        <v>0.553790009855127</v>
      </c>
      <c r="AV56" s="13" t="n">
        <f aca="false">1-AI56/I56</f>
        <v>0.468426082913158</v>
      </c>
      <c r="AW56" s="13" t="n">
        <f aca="false">1-AJ56/J56</f>
        <v>0.424299969908939</v>
      </c>
      <c r="AX56" s="13" t="n">
        <f aca="false">1-AK56/K56</f>
        <v>0.444318235095027</v>
      </c>
      <c r="AY56" s="13" t="n">
        <f aca="false">1-AL56/L56</f>
        <v>0.44289446919564</v>
      </c>
      <c r="AZ56" s="13" t="n">
        <f aca="false">1-AM56/M56</f>
        <v>0.439248965608252</v>
      </c>
      <c r="BA56" s="13" t="n">
        <f aca="false">1-AN56/N56</f>
        <v>0.433759067609368</v>
      </c>
      <c r="BB56" s="13" t="n">
        <f aca="false">1-AO56/O56</f>
        <v>0.427042392574117</v>
      </c>
      <c r="BC56" s="13" t="n">
        <f aca="false">1-AP56/P56</f>
        <v>0.493280443868681</v>
      </c>
      <c r="BD56" s="13" t="n">
        <f aca="false">1-AQ56/Q56</f>
        <v>0.455794679894486</v>
      </c>
      <c r="BE56" s="13" t="n">
        <f aca="false">1-AR56/R56</f>
        <v>0.489018797268033</v>
      </c>
      <c r="BF56" s="13" t="n">
        <f aca="false">1-AS56/S56</f>
        <v>0.820503440269559</v>
      </c>
      <c r="BG56" s="13" t="n">
        <f aca="false">1-AT56/T56</f>
        <v>0.528263860444042</v>
      </c>
    </row>
    <row r="57" customFormat="false" ht="15" hidden="false" customHeight="false" outlineLevel="0" collapsed="false">
      <c r="A57" s="4" t="s">
        <v>215</v>
      </c>
      <c r="B57" s="4" t="s">
        <v>164</v>
      </c>
      <c r="C57" s="36" t="n">
        <v>28000000</v>
      </c>
      <c r="D57" s="36" t="n">
        <v>28179999</v>
      </c>
      <c r="E57" s="4" t="s">
        <v>198</v>
      </c>
      <c r="F57" s="4" t="s">
        <v>256</v>
      </c>
      <c r="G57" s="4" t="n">
        <f aca="false">COUNTIFS(Pedidos!$E$2:$E$2224,"&gt;="&amp;C57,Pedidos!$E$2:$E$2224,"&lt;="&amp;D57)</f>
        <v>53</v>
      </c>
      <c r="H57" s="7" t="n">
        <v>124.04</v>
      </c>
      <c r="I57" s="7" t="n">
        <v>138.29</v>
      </c>
      <c r="J57" s="7" t="n">
        <v>143.04</v>
      </c>
      <c r="K57" s="7" t="n">
        <v>152.54</v>
      </c>
      <c r="L57" s="7" t="n">
        <v>162.04</v>
      </c>
      <c r="M57" s="7" t="n">
        <v>171.54</v>
      </c>
      <c r="N57" s="7" t="n">
        <v>181.04</v>
      </c>
      <c r="O57" s="7" t="n">
        <v>200.04</v>
      </c>
      <c r="P57" s="7" t="n">
        <v>236.82</v>
      </c>
      <c r="Q57" s="7" t="n">
        <v>264.84</v>
      </c>
      <c r="R57" s="7" t="n">
        <v>300.15</v>
      </c>
      <c r="S57" s="7" t="n">
        <v>353.17</v>
      </c>
      <c r="T57" s="7" t="n">
        <v>441.4</v>
      </c>
      <c r="U57" s="7" t="n">
        <v>46.95</v>
      </c>
      <c r="V57" s="7" t="n">
        <v>65.63</v>
      </c>
      <c r="W57" s="7" t="n">
        <v>74.97</v>
      </c>
      <c r="X57" s="7" t="n">
        <v>77.7</v>
      </c>
      <c r="Y57" s="7" t="n">
        <v>83.58</v>
      </c>
      <c r="Z57" s="7" t="n">
        <v>90.2</v>
      </c>
      <c r="AA57" s="7" t="n">
        <v>96.77</v>
      </c>
      <c r="AB57" s="7" t="n">
        <v>109.63</v>
      </c>
      <c r="AC57" s="7" t="n">
        <v>119.5</v>
      </c>
      <c r="AD57" s="7" t="n">
        <v>144.24</v>
      </c>
      <c r="AE57" s="7" t="n">
        <v>155.09</v>
      </c>
      <c r="AF57" s="7" t="n">
        <v>66.69</v>
      </c>
      <c r="AG57" s="7" t="n">
        <v>214.88</v>
      </c>
      <c r="AH57" s="12" t="n">
        <f aca="false">(U57+AH$4*(Resumo!$C$6+Resumo!$C$7+Resumo!$C$8)+Resumo!$C$10*CEILING(AH$3/100,1)+Resumo!$C$9+Resumo!$C$13+Resumo!$C$14*CEILING(AH$3,1))*(1+Resumo!$C$11)-(AH$4*(Resumo!$B$6+Resumo!$B$7)+Resumo!$B$9+Resumo!$B$10*CEILING(AH$3/100,1)+(Resumo!$B$12+Resumo!$B$14)*CEILING(AH$3,1))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7" s="12" t="n">
        <f aca="false">(V57+AI$4*(Resumo!$C$6+Resumo!$C$7+Resumo!$C$8)+Resumo!$C$10*CEILING(AI$3/100,1)+Resumo!$C$9+Resumo!$C$13+Resumo!$C$14*CEILING(AI$3,1))*(1+Resumo!$C$11)-(AI$4*(Resumo!$B$6+Resumo!$B$7)+Resumo!$B$9+Resumo!$B$10*CEILING(AI$3/100,1)+(Resumo!$B$12+Resumo!$B$14)*CEILING(AI$3,1))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7" s="12" t="n">
        <f aca="false">(W57+AJ$4*(Resumo!$C$6+Resumo!$C$7+Resumo!$C$8)+Resumo!$C$10*CEILING(AJ$3/100,1)+Resumo!$C$9+Resumo!$C$13+Resumo!$C$14*CEILING(AJ$3,1))*(1+Resumo!$C$11)-(AJ$4*(Resumo!$B$6+Resumo!$B$7)+Resumo!$B$9+Resumo!$B$10*CEILING(AJ$3/100,1)+(Resumo!$B$12+Resumo!$B$14)*CEILING(AJ$3,1))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7" s="12" t="n">
        <f aca="false">(X57+AK$4*(Resumo!$C$6+Resumo!$C$7+Resumo!$C$8)+Resumo!$C$10*CEILING(AK$3/100,1)+Resumo!$C$9+Resumo!$C$13+Resumo!$C$14*CEILING(AK$3,1))*(1+Resumo!$C$11)-(AK$4*(Resumo!$B$6+Resumo!$B$7)+Resumo!$B$9+Resumo!$B$10*CEILING(AK$3/100,1)+(Resumo!$B$12+Resumo!$B$14)*CEILING(AK$3,1))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7" s="12" t="n">
        <f aca="false">(Y57+AL$4*(Resumo!$C$6+Resumo!$C$7+Resumo!$C$8)+Resumo!$C$10*CEILING(AL$3/100,1)+Resumo!$C$9+Resumo!$C$13+Resumo!$C$14*CEILING(AL$3,1))*(1+Resumo!$C$11)-(AL$4*(Resumo!$B$6+Resumo!$B$7)+Resumo!$B$9+Resumo!$B$10*CEILING(AL$3/100,1)+(Resumo!$B$12+Resumo!$B$14)*CEILING(AL$3,1))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7" s="12" t="n">
        <f aca="false">(Z57+AM$4*(Resumo!$C$6+Resumo!$C$7+Resumo!$C$8)+Resumo!$C$10*CEILING(AM$3/100,1)+Resumo!$C$9+Resumo!$C$13+Resumo!$C$14*CEILING(AM$3,1))*(1+Resumo!$C$11)-(AM$4*(Resumo!$B$6+Resumo!$B$7)+Resumo!$B$9+Resumo!$B$10*CEILING(AM$3/100,1)+(Resumo!$B$12+Resumo!$B$14)*CEILING(AM$3,1))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7" s="12" t="n">
        <f aca="false">(AA57+AN$4*(Resumo!$C$6+Resumo!$C$7+Resumo!$C$8)+Resumo!$C$10*CEILING(AN$3/100,1)+Resumo!$C$9+Resumo!$C$13+Resumo!$C$14*CEILING(AN$3,1))*(1+Resumo!$C$11)-(AN$4*(Resumo!$B$6+Resumo!$B$7)+Resumo!$B$9+Resumo!$B$10*CEILING(AN$3/100,1)+(Resumo!$B$12+Resumo!$B$14)*CEILING(AN$3,1))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7" s="12" t="n">
        <f aca="false">(AB57+AO$4*(Resumo!$C$6+Resumo!$C$7+Resumo!$C$8)+Resumo!$C$10*CEILING(AO$3/100,1)+Resumo!$C$9+Resumo!$C$13+Resumo!$C$14*CEILING(AO$3,1))*(1+Resumo!$C$11)-(AO$4*(Resumo!$B$6+Resumo!$B$7)+Resumo!$B$9+Resumo!$B$10*CEILING(AO$3/100,1)+(Resumo!$B$12+Resumo!$B$14)*CEILING(AO$3,1))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7" s="12" t="n">
        <f aca="false">(AC57+AP$4*(Resumo!$C$6+Resumo!$C$7+Resumo!$C$8)+Resumo!$C$10*CEILING(AP$3/100,1)+Resumo!$C$9+Resumo!$C$13+Resumo!$C$14*CEILING(AP$3,1))*(1+Resumo!$C$11)-(AP$4*(Resumo!$B$6+Resumo!$B$7)+Resumo!$B$9+Resumo!$B$10*CEILING(AP$3/100,1)+(Resumo!$B$12+Resumo!$B$14)*CEILING(AP$3,1))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7" s="12" t="n">
        <f aca="false">(AD57+AQ$4*(Resumo!$C$6+Resumo!$C$7+Resumo!$C$8)+Resumo!$C$10*CEILING(AQ$3/100,1)+Resumo!$C$9+Resumo!$C$13+Resumo!$C$14*CEILING(AQ$3,1))*(1+Resumo!$C$11)-(AQ$4*(Resumo!$B$6+Resumo!$B$7)+Resumo!$B$9+Resumo!$B$10*CEILING(AQ$3/100,1)+(Resumo!$B$12+Resumo!$B$14)*CEILING(AQ$3,1))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7" s="12" t="n">
        <f aca="false">(AE57+AR$4*(Resumo!$C$6+Resumo!$C$7+Resumo!$C$8)+Resumo!$C$10*CEILING(AR$3/100,1)+Resumo!$C$9+Resumo!$C$13+Resumo!$C$14*CEILING(AR$3,1))*(1+Resumo!$C$11)-(AR$4*(Resumo!$B$6+Resumo!$B$7)+Resumo!$B$9+Resumo!$B$10*CEILING(AR$3/100,1)+(Resumo!$B$12+Resumo!$B$14)*CEILING(AR$3,1))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7" s="12" t="n">
        <f aca="false">(AF57+AS$4*(Resumo!$C$6+Resumo!$C$7+Resumo!$C$8)+Resumo!$C$10*CEILING(AS$3/100,1)+Resumo!$C$9+Resumo!$C$13+Resumo!$C$14*CEILING(AS$3,1))*(1+Resumo!$C$11)-(AS$4*(Resumo!$B$6+Resumo!$B$7)+Resumo!$B$9+Resumo!$B$10*CEILING(AS$3/100,1)+(Resumo!$B$12+Resumo!$B$14)*CEILING(AS$3,1))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7" s="12" t="n">
        <f aca="false">(AG57+AT$4*(Resumo!$C$6+Resumo!$C$7+Resumo!$C$8)+Resumo!$C$10*CEILING(AT$3/100,1)+Resumo!$C$9+Resumo!$C$13+Resumo!$C$14*CEILING(AT$3,1))*(1+Resumo!$C$11)-(AT$4*(Resumo!$B$6+Resumo!$B$7)+Resumo!$B$9+Resumo!$B$10*CEILING(AT$3/100,1)+(Resumo!$B$12+Resumo!$B$14)*CEILING(AT$3,1))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7" s="13" t="n">
        <f aca="false">1-AH57/H57</f>
        <v>0.553790009855127</v>
      </c>
      <c r="AV57" s="13" t="n">
        <f aca="false">1-AI57/I57</f>
        <v>0.468426082913158</v>
      </c>
      <c r="AW57" s="13" t="n">
        <f aca="false">1-AJ57/J57</f>
        <v>0.424299969908939</v>
      </c>
      <c r="AX57" s="13" t="n">
        <f aca="false">1-AK57/K57</f>
        <v>0.444318235095027</v>
      </c>
      <c r="AY57" s="13" t="n">
        <f aca="false">1-AL57/L57</f>
        <v>0.44289446919564</v>
      </c>
      <c r="AZ57" s="13" t="n">
        <f aca="false">1-AM57/M57</f>
        <v>0.439248965608252</v>
      </c>
      <c r="BA57" s="13" t="n">
        <f aca="false">1-AN57/N57</f>
        <v>0.433759067609368</v>
      </c>
      <c r="BB57" s="13" t="n">
        <f aca="false">1-AO57/O57</f>
        <v>0.427042392574117</v>
      </c>
      <c r="BC57" s="13" t="n">
        <f aca="false">1-AP57/P57</f>
        <v>0.493280443868681</v>
      </c>
      <c r="BD57" s="13" t="n">
        <f aca="false">1-AQ57/Q57</f>
        <v>0.455794679894486</v>
      </c>
      <c r="BE57" s="13" t="n">
        <f aca="false">1-AR57/R57</f>
        <v>0.489018797268033</v>
      </c>
      <c r="BF57" s="13" t="n">
        <f aca="false">1-AS57/S57</f>
        <v>0.820503440269559</v>
      </c>
      <c r="BG57" s="13" t="n">
        <f aca="false">1-AT57/T57</f>
        <v>0.528263860444042</v>
      </c>
    </row>
    <row r="58" customFormat="false" ht="15" hidden="false" customHeight="false" outlineLevel="0" collapsed="false">
      <c r="A58" s="4" t="s">
        <v>215</v>
      </c>
      <c r="B58" s="4" t="s">
        <v>258</v>
      </c>
      <c r="C58" s="36" t="n">
        <v>28180000</v>
      </c>
      <c r="D58" s="36" t="n">
        <v>28199999</v>
      </c>
      <c r="E58" s="4" t="s">
        <v>198</v>
      </c>
      <c r="F58" s="4" t="s">
        <v>256</v>
      </c>
      <c r="G58" s="4" t="n">
        <f aca="false">COUNTIFS(Pedidos!$E$2:$E$2224,"&gt;="&amp;C58,Pedidos!$E$2:$E$2224,"&lt;="&amp;D58)</f>
        <v>1</v>
      </c>
      <c r="H58" s="7" t="n">
        <v>124.04</v>
      </c>
      <c r="I58" s="7" t="n">
        <v>138.29</v>
      </c>
      <c r="J58" s="7" t="n">
        <v>143.04</v>
      </c>
      <c r="K58" s="7" t="n">
        <v>152.54</v>
      </c>
      <c r="L58" s="7" t="n">
        <v>162.04</v>
      </c>
      <c r="M58" s="7" t="n">
        <v>171.54</v>
      </c>
      <c r="N58" s="7" t="n">
        <v>181.04</v>
      </c>
      <c r="O58" s="7" t="n">
        <v>200.04</v>
      </c>
      <c r="P58" s="7" t="n">
        <v>236.82</v>
      </c>
      <c r="Q58" s="7" t="n">
        <v>264.84</v>
      </c>
      <c r="R58" s="7" t="n">
        <v>300.15</v>
      </c>
      <c r="S58" s="7" t="n">
        <v>353.17</v>
      </c>
      <c r="T58" s="7" t="n">
        <v>441.4</v>
      </c>
      <c r="U58" s="7" t="n">
        <v>46.95</v>
      </c>
      <c r="V58" s="7" t="n">
        <v>65.63</v>
      </c>
      <c r="W58" s="7" t="n">
        <v>74.97</v>
      </c>
      <c r="X58" s="7" t="n">
        <v>77.7</v>
      </c>
      <c r="Y58" s="7" t="n">
        <v>83.58</v>
      </c>
      <c r="Z58" s="7" t="n">
        <v>90.2</v>
      </c>
      <c r="AA58" s="7" t="n">
        <v>96.77</v>
      </c>
      <c r="AB58" s="7" t="n">
        <v>109.63</v>
      </c>
      <c r="AC58" s="7" t="n">
        <v>119.5</v>
      </c>
      <c r="AD58" s="7" t="n">
        <v>144.24</v>
      </c>
      <c r="AE58" s="7" t="n">
        <v>155.09</v>
      </c>
      <c r="AF58" s="7" t="n">
        <v>66.69</v>
      </c>
      <c r="AG58" s="7" t="n">
        <v>214.88</v>
      </c>
      <c r="AH58" s="12" t="n">
        <f aca="false">(U58+AH$4*(Resumo!$C$6+Resumo!$C$7+Resumo!$C$8)+Resumo!$C$10*CEILING(AH$3/100,1)+Resumo!$C$9+Resumo!$C$13+Resumo!$C$14*CEILING(AH$3,1))*(1+Resumo!$C$11)-(AH$4*(Resumo!$B$6+Resumo!$B$7)+Resumo!$B$9+Resumo!$B$10*CEILING(AH$3/100,1)+(Resumo!$B$12+Resumo!$B$14)*CEILING(AH$3,1))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8" s="12" t="n">
        <f aca="false">(V58+AI$4*(Resumo!$C$6+Resumo!$C$7+Resumo!$C$8)+Resumo!$C$10*CEILING(AI$3/100,1)+Resumo!$C$9+Resumo!$C$13+Resumo!$C$14*CEILING(AI$3,1))*(1+Resumo!$C$11)-(AI$4*(Resumo!$B$6+Resumo!$B$7)+Resumo!$B$9+Resumo!$B$10*CEILING(AI$3/100,1)+(Resumo!$B$12+Resumo!$B$14)*CEILING(AI$3,1))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8" s="12" t="n">
        <f aca="false">(W58+AJ$4*(Resumo!$C$6+Resumo!$C$7+Resumo!$C$8)+Resumo!$C$10*CEILING(AJ$3/100,1)+Resumo!$C$9+Resumo!$C$13+Resumo!$C$14*CEILING(AJ$3,1))*(1+Resumo!$C$11)-(AJ$4*(Resumo!$B$6+Resumo!$B$7)+Resumo!$B$9+Resumo!$B$10*CEILING(AJ$3/100,1)+(Resumo!$B$12+Resumo!$B$14)*CEILING(AJ$3,1))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8" s="12" t="n">
        <f aca="false">(X58+AK$4*(Resumo!$C$6+Resumo!$C$7+Resumo!$C$8)+Resumo!$C$10*CEILING(AK$3/100,1)+Resumo!$C$9+Resumo!$C$13+Resumo!$C$14*CEILING(AK$3,1))*(1+Resumo!$C$11)-(AK$4*(Resumo!$B$6+Resumo!$B$7)+Resumo!$B$9+Resumo!$B$10*CEILING(AK$3/100,1)+(Resumo!$B$12+Resumo!$B$14)*CEILING(AK$3,1))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8" s="12" t="n">
        <f aca="false">(Y58+AL$4*(Resumo!$C$6+Resumo!$C$7+Resumo!$C$8)+Resumo!$C$10*CEILING(AL$3/100,1)+Resumo!$C$9+Resumo!$C$13+Resumo!$C$14*CEILING(AL$3,1))*(1+Resumo!$C$11)-(AL$4*(Resumo!$B$6+Resumo!$B$7)+Resumo!$B$9+Resumo!$B$10*CEILING(AL$3/100,1)+(Resumo!$B$12+Resumo!$B$14)*CEILING(AL$3,1))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8" s="12" t="n">
        <f aca="false">(Z58+AM$4*(Resumo!$C$6+Resumo!$C$7+Resumo!$C$8)+Resumo!$C$10*CEILING(AM$3/100,1)+Resumo!$C$9+Resumo!$C$13+Resumo!$C$14*CEILING(AM$3,1))*(1+Resumo!$C$11)-(AM$4*(Resumo!$B$6+Resumo!$B$7)+Resumo!$B$9+Resumo!$B$10*CEILING(AM$3/100,1)+(Resumo!$B$12+Resumo!$B$14)*CEILING(AM$3,1))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8" s="12" t="n">
        <f aca="false">(AA58+AN$4*(Resumo!$C$6+Resumo!$C$7+Resumo!$C$8)+Resumo!$C$10*CEILING(AN$3/100,1)+Resumo!$C$9+Resumo!$C$13+Resumo!$C$14*CEILING(AN$3,1))*(1+Resumo!$C$11)-(AN$4*(Resumo!$B$6+Resumo!$B$7)+Resumo!$B$9+Resumo!$B$10*CEILING(AN$3/100,1)+(Resumo!$B$12+Resumo!$B$14)*CEILING(AN$3,1))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8" s="12" t="n">
        <f aca="false">(AB58+AO$4*(Resumo!$C$6+Resumo!$C$7+Resumo!$C$8)+Resumo!$C$10*CEILING(AO$3/100,1)+Resumo!$C$9+Resumo!$C$13+Resumo!$C$14*CEILING(AO$3,1))*(1+Resumo!$C$11)-(AO$4*(Resumo!$B$6+Resumo!$B$7)+Resumo!$B$9+Resumo!$B$10*CEILING(AO$3/100,1)+(Resumo!$B$12+Resumo!$B$14)*CEILING(AO$3,1))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8" s="12" t="n">
        <f aca="false">(AC58+AP$4*(Resumo!$C$6+Resumo!$C$7+Resumo!$C$8)+Resumo!$C$10*CEILING(AP$3/100,1)+Resumo!$C$9+Resumo!$C$13+Resumo!$C$14*CEILING(AP$3,1))*(1+Resumo!$C$11)-(AP$4*(Resumo!$B$6+Resumo!$B$7)+Resumo!$B$9+Resumo!$B$10*CEILING(AP$3/100,1)+(Resumo!$B$12+Resumo!$B$14)*CEILING(AP$3,1))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8" s="12" t="n">
        <f aca="false">(AD58+AQ$4*(Resumo!$C$6+Resumo!$C$7+Resumo!$C$8)+Resumo!$C$10*CEILING(AQ$3/100,1)+Resumo!$C$9+Resumo!$C$13+Resumo!$C$14*CEILING(AQ$3,1))*(1+Resumo!$C$11)-(AQ$4*(Resumo!$B$6+Resumo!$B$7)+Resumo!$B$9+Resumo!$B$10*CEILING(AQ$3/100,1)+(Resumo!$B$12+Resumo!$B$14)*CEILING(AQ$3,1))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8" s="12" t="n">
        <f aca="false">(AE58+AR$4*(Resumo!$C$6+Resumo!$C$7+Resumo!$C$8)+Resumo!$C$10*CEILING(AR$3/100,1)+Resumo!$C$9+Resumo!$C$13+Resumo!$C$14*CEILING(AR$3,1))*(1+Resumo!$C$11)-(AR$4*(Resumo!$B$6+Resumo!$B$7)+Resumo!$B$9+Resumo!$B$10*CEILING(AR$3/100,1)+(Resumo!$B$12+Resumo!$B$14)*CEILING(AR$3,1))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8" s="12" t="n">
        <f aca="false">(AF58+AS$4*(Resumo!$C$6+Resumo!$C$7+Resumo!$C$8)+Resumo!$C$10*CEILING(AS$3/100,1)+Resumo!$C$9+Resumo!$C$13+Resumo!$C$14*CEILING(AS$3,1))*(1+Resumo!$C$11)-(AS$4*(Resumo!$B$6+Resumo!$B$7)+Resumo!$B$9+Resumo!$B$10*CEILING(AS$3/100,1)+(Resumo!$B$12+Resumo!$B$14)*CEILING(AS$3,1))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8" s="12" t="n">
        <f aca="false">(AG58+AT$4*(Resumo!$C$6+Resumo!$C$7+Resumo!$C$8)+Resumo!$C$10*CEILING(AT$3/100,1)+Resumo!$C$9+Resumo!$C$13+Resumo!$C$14*CEILING(AT$3,1))*(1+Resumo!$C$11)-(AT$4*(Resumo!$B$6+Resumo!$B$7)+Resumo!$B$9+Resumo!$B$10*CEILING(AT$3/100,1)+(Resumo!$B$12+Resumo!$B$14)*CEILING(AT$3,1))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8" s="13" t="n">
        <f aca="false">1-AH58/H58</f>
        <v>0.553790009855127</v>
      </c>
      <c r="AV58" s="13" t="n">
        <f aca="false">1-AI58/I58</f>
        <v>0.468426082913158</v>
      </c>
      <c r="AW58" s="13" t="n">
        <f aca="false">1-AJ58/J58</f>
        <v>0.424299969908939</v>
      </c>
      <c r="AX58" s="13" t="n">
        <f aca="false">1-AK58/K58</f>
        <v>0.444318235095027</v>
      </c>
      <c r="AY58" s="13" t="n">
        <f aca="false">1-AL58/L58</f>
        <v>0.44289446919564</v>
      </c>
      <c r="AZ58" s="13" t="n">
        <f aca="false">1-AM58/M58</f>
        <v>0.439248965608252</v>
      </c>
      <c r="BA58" s="13" t="n">
        <f aca="false">1-AN58/N58</f>
        <v>0.433759067609368</v>
      </c>
      <c r="BB58" s="13" t="n">
        <f aca="false">1-AO58/O58</f>
        <v>0.427042392574117</v>
      </c>
      <c r="BC58" s="13" t="n">
        <f aca="false">1-AP58/P58</f>
        <v>0.493280443868681</v>
      </c>
      <c r="BD58" s="13" t="n">
        <f aca="false">1-AQ58/Q58</f>
        <v>0.455794679894486</v>
      </c>
      <c r="BE58" s="13" t="n">
        <f aca="false">1-AR58/R58</f>
        <v>0.489018797268033</v>
      </c>
      <c r="BF58" s="13" t="n">
        <f aca="false">1-AS58/S58</f>
        <v>0.820503440269559</v>
      </c>
      <c r="BG58" s="13" t="n">
        <f aca="false">1-AT58/T58</f>
        <v>0.528263860444042</v>
      </c>
    </row>
    <row r="59" customFormat="false" ht="15" hidden="false" customHeight="false" outlineLevel="0" collapsed="false">
      <c r="A59" s="4" t="s">
        <v>215</v>
      </c>
      <c r="B59" s="4" t="s">
        <v>259</v>
      </c>
      <c r="C59" s="36" t="n">
        <v>28200000</v>
      </c>
      <c r="D59" s="36" t="n">
        <v>28229999</v>
      </c>
      <c r="E59" s="4" t="s">
        <v>198</v>
      </c>
      <c r="F59" s="4" t="s">
        <v>256</v>
      </c>
      <c r="G59" s="4" t="n">
        <f aca="false">COUNTIFS(Pedidos!$E$2:$E$2224,"&gt;="&amp;C59,Pedidos!$E$2:$E$2224,"&lt;="&amp;D59)</f>
        <v>14</v>
      </c>
      <c r="H59" s="7" t="n">
        <v>124.04</v>
      </c>
      <c r="I59" s="7" t="n">
        <v>138.29</v>
      </c>
      <c r="J59" s="7" t="n">
        <v>143.04</v>
      </c>
      <c r="K59" s="7" t="n">
        <v>152.54</v>
      </c>
      <c r="L59" s="7" t="n">
        <v>162.04</v>
      </c>
      <c r="M59" s="7" t="n">
        <v>171.54</v>
      </c>
      <c r="N59" s="7" t="n">
        <v>181.04</v>
      </c>
      <c r="O59" s="7" t="n">
        <v>200.04</v>
      </c>
      <c r="P59" s="7" t="n">
        <v>236.82</v>
      </c>
      <c r="Q59" s="7" t="n">
        <v>264.84</v>
      </c>
      <c r="R59" s="7" t="n">
        <v>300.15</v>
      </c>
      <c r="S59" s="7" t="n">
        <v>353.17</v>
      </c>
      <c r="T59" s="7" t="n">
        <v>441.4</v>
      </c>
      <c r="U59" s="7" t="n">
        <v>46.95</v>
      </c>
      <c r="V59" s="7" t="n">
        <v>65.63</v>
      </c>
      <c r="W59" s="7" t="n">
        <v>74.97</v>
      </c>
      <c r="X59" s="7" t="n">
        <v>77.7</v>
      </c>
      <c r="Y59" s="7" t="n">
        <v>83.58</v>
      </c>
      <c r="Z59" s="7" t="n">
        <v>90.2</v>
      </c>
      <c r="AA59" s="7" t="n">
        <v>96.77</v>
      </c>
      <c r="AB59" s="7" t="n">
        <v>109.63</v>
      </c>
      <c r="AC59" s="7" t="n">
        <v>119.5</v>
      </c>
      <c r="AD59" s="7" t="n">
        <v>144.24</v>
      </c>
      <c r="AE59" s="7" t="n">
        <v>155.09</v>
      </c>
      <c r="AF59" s="7" t="n">
        <v>66.69</v>
      </c>
      <c r="AG59" s="7" t="n">
        <v>214.88</v>
      </c>
      <c r="AH59" s="12" t="n">
        <f aca="false">(U59+AH$4*(Resumo!$C$6+Resumo!$C$7+Resumo!$C$8)+Resumo!$C$10*CEILING(AH$3/100,1)+Resumo!$C$9+Resumo!$C$13+Resumo!$C$14*CEILING(AH$3,1))*(1+Resumo!$C$11)-(AH$4*(Resumo!$B$6+Resumo!$B$7)+Resumo!$B$9+Resumo!$B$10*CEILING(AH$3/100,1)+(Resumo!$B$12+Resumo!$B$14)*CEILING(AH$3,1))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59" s="12" t="n">
        <f aca="false">(V59+AI$4*(Resumo!$C$6+Resumo!$C$7+Resumo!$C$8)+Resumo!$C$10*CEILING(AI$3/100,1)+Resumo!$C$9+Resumo!$C$13+Resumo!$C$14*CEILING(AI$3,1))*(1+Resumo!$C$11)-(AI$4*(Resumo!$B$6+Resumo!$B$7)+Resumo!$B$9+Resumo!$B$10*CEILING(AI$3/100,1)+(Resumo!$B$12+Resumo!$B$14)*CEILING(AI$3,1))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59" s="12" t="n">
        <f aca="false">(W59+AJ$4*(Resumo!$C$6+Resumo!$C$7+Resumo!$C$8)+Resumo!$C$10*CEILING(AJ$3/100,1)+Resumo!$C$9+Resumo!$C$13+Resumo!$C$14*CEILING(AJ$3,1))*(1+Resumo!$C$11)-(AJ$4*(Resumo!$B$6+Resumo!$B$7)+Resumo!$B$9+Resumo!$B$10*CEILING(AJ$3/100,1)+(Resumo!$B$12+Resumo!$B$14)*CEILING(AJ$3,1))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59" s="12" t="n">
        <f aca="false">(X59+AK$4*(Resumo!$C$6+Resumo!$C$7+Resumo!$C$8)+Resumo!$C$10*CEILING(AK$3/100,1)+Resumo!$C$9+Resumo!$C$13+Resumo!$C$14*CEILING(AK$3,1))*(1+Resumo!$C$11)-(AK$4*(Resumo!$B$6+Resumo!$B$7)+Resumo!$B$9+Resumo!$B$10*CEILING(AK$3/100,1)+(Resumo!$B$12+Resumo!$B$14)*CEILING(AK$3,1))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59" s="12" t="n">
        <f aca="false">(Y59+AL$4*(Resumo!$C$6+Resumo!$C$7+Resumo!$C$8)+Resumo!$C$10*CEILING(AL$3/100,1)+Resumo!$C$9+Resumo!$C$13+Resumo!$C$14*CEILING(AL$3,1))*(1+Resumo!$C$11)-(AL$4*(Resumo!$B$6+Resumo!$B$7)+Resumo!$B$9+Resumo!$B$10*CEILING(AL$3/100,1)+(Resumo!$B$12+Resumo!$B$14)*CEILING(AL$3,1))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59" s="12" t="n">
        <f aca="false">(Z59+AM$4*(Resumo!$C$6+Resumo!$C$7+Resumo!$C$8)+Resumo!$C$10*CEILING(AM$3/100,1)+Resumo!$C$9+Resumo!$C$13+Resumo!$C$14*CEILING(AM$3,1))*(1+Resumo!$C$11)-(AM$4*(Resumo!$B$6+Resumo!$B$7)+Resumo!$B$9+Resumo!$B$10*CEILING(AM$3/100,1)+(Resumo!$B$12+Resumo!$B$14)*CEILING(AM$3,1))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59" s="12" t="n">
        <f aca="false">(AA59+AN$4*(Resumo!$C$6+Resumo!$C$7+Resumo!$C$8)+Resumo!$C$10*CEILING(AN$3/100,1)+Resumo!$C$9+Resumo!$C$13+Resumo!$C$14*CEILING(AN$3,1))*(1+Resumo!$C$11)-(AN$4*(Resumo!$B$6+Resumo!$B$7)+Resumo!$B$9+Resumo!$B$10*CEILING(AN$3/100,1)+(Resumo!$B$12+Resumo!$B$14)*CEILING(AN$3,1))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59" s="12" t="n">
        <f aca="false">(AB59+AO$4*(Resumo!$C$6+Resumo!$C$7+Resumo!$C$8)+Resumo!$C$10*CEILING(AO$3/100,1)+Resumo!$C$9+Resumo!$C$13+Resumo!$C$14*CEILING(AO$3,1))*(1+Resumo!$C$11)-(AO$4*(Resumo!$B$6+Resumo!$B$7)+Resumo!$B$9+Resumo!$B$10*CEILING(AO$3/100,1)+(Resumo!$B$12+Resumo!$B$14)*CEILING(AO$3,1))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59" s="12" t="n">
        <f aca="false">(AC59+AP$4*(Resumo!$C$6+Resumo!$C$7+Resumo!$C$8)+Resumo!$C$10*CEILING(AP$3/100,1)+Resumo!$C$9+Resumo!$C$13+Resumo!$C$14*CEILING(AP$3,1))*(1+Resumo!$C$11)-(AP$4*(Resumo!$B$6+Resumo!$B$7)+Resumo!$B$9+Resumo!$B$10*CEILING(AP$3/100,1)+(Resumo!$B$12+Resumo!$B$14)*CEILING(AP$3,1))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59" s="12" t="n">
        <f aca="false">(AD59+AQ$4*(Resumo!$C$6+Resumo!$C$7+Resumo!$C$8)+Resumo!$C$10*CEILING(AQ$3/100,1)+Resumo!$C$9+Resumo!$C$13+Resumo!$C$14*CEILING(AQ$3,1))*(1+Resumo!$C$11)-(AQ$4*(Resumo!$B$6+Resumo!$B$7)+Resumo!$B$9+Resumo!$B$10*CEILING(AQ$3/100,1)+(Resumo!$B$12+Resumo!$B$14)*CEILING(AQ$3,1))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59" s="12" t="n">
        <f aca="false">(AE59+AR$4*(Resumo!$C$6+Resumo!$C$7+Resumo!$C$8)+Resumo!$C$10*CEILING(AR$3/100,1)+Resumo!$C$9+Resumo!$C$13+Resumo!$C$14*CEILING(AR$3,1))*(1+Resumo!$C$11)-(AR$4*(Resumo!$B$6+Resumo!$B$7)+Resumo!$B$9+Resumo!$B$10*CEILING(AR$3/100,1)+(Resumo!$B$12+Resumo!$B$14)*CEILING(AR$3,1))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59" s="12" t="n">
        <f aca="false">(AF59+AS$4*(Resumo!$C$6+Resumo!$C$7+Resumo!$C$8)+Resumo!$C$10*CEILING(AS$3/100,1)+Resumo!$C$9+Resumo!$C$13+Resumo!$C$14*CEILING(AS$3,1))*(1+Resumo!$C$11)-(AS$4*(Resumo!$B$6+Resumo!$B$7)+Resumo!$B$9+Resumo!$B$10*CEILING(AS$3/100,1)+(Resumo!$B$12+Resumo!$B$14)*CEILING(AS$3,1))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59" s="12" t="n">
        <f aca="false">(AG59+AT$4*(Resumo!$C$6+Resumo!$C$7+Resumo!$C$8)+Resumo!$C$10*CEILING(AT$3/100,1)+Resumo!$C$9+Resumo!$C$13+Resumo!$C$14*CEILING(AT$3,1))*(1+Resumo!$C$11)-(AT$4*(Resumo!$B$6+Resumo!$B$7)+Resumo!$B$9+Resumo!$B$10*CEILING(AT$3/100,1)+(Resumo!$B$12+Resumo!$B$14)*CEILING(AT$3,1))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59" s="13" t="n">
        <f aca="false">1-AH59/H59</f>
        <v>0.553790009855127</v>
      </c>
      <c r="AV59" s="13" t="n">
        <f aca="false">1-AI59/I59</f>
        <v>0.468426082913158</v>
      </c>
      <c r="AW59" s="13" t="n">
        <f aca="false">1-AJ59/J59</f>
        <v>0.424299969908939</v>
      </c>
      <c r="AX59" s="13" t="n">
        <f aca="false">1-AK59/K59</f>
        <v>0.444318235095027</v>
      </c>
      <c r="AY59" s="13" t="n">
        <f aca="false">1-AL59/L59</f>
        <v>0.44289446919564</v>
      </c>
      <c r="AZ59" s="13" t="n">
        <f aca="false">1-AM59/M59</f>
        <v>0.439248965608252</v>
      </c>
      <c r="BA59" s="13" t="n">
        <f aca="false">1-AN59/N59</f>
        <v>0.433759067609368</v>
      </c>
      <c r="BB59" s="13" t="n">
        <f aca="false">1-AO59/O59</f>
        <v>0.427042392574117</v>
      </c>
      <c r="BC59" s="13" t="n">
        <f aca="false">1-AP59/P59</f>
        <v>0.493280443868681</v>
      </c>
      <c r="BD59" s="13" t="n">
        <f aca="false">1-AQ59/Q59</f>
        <v>0.455794679894486</v>
      </c>
      <c r="BE59" s="13" t="n">
        <f aca="false">1-AR59/R59</f>
        <v>0.489018797268033</v>
      </c>
      <c r="BF59" s="13" t="n">
        <f aca="false">1-AS59/S59</f>
        <v>0.820503440269559</v>
      </c>
      <c r="BG59" s="13" t="n">
        <f aca="false">1-AT59/T59</f>
        <v>0.528263860444042</v>
      </c>
    </row>
    <row r="60" customFormat="false" ht="15" hidden="false" customHeight="false" outlineLevel="0" collapsed="false">
      <c r="A60" s="4" t="s">
        <v>215</v>
      </c>
      <c r="B60" s="4" t="s">
        <v>260</v>
      </c>
      <c r="C60" s="36" t="n">
        <v>28230000</v>
      </c>
      <c r="D60" s="36" t="n">
        <v>28249999</v>
      </c>
      <c r="E60" s="4" t="s">
        <v>198</v>
      </c>
      <c r="F60" s="4" t="s">
        <v>256</v>
      </c>
      <c r="G60" s="4" t="n">
        <f aca="false">COUNTIFS(Pedidos!$E$2:$E$2224,"&gt;="&amp;C60,Pedidos!$E$2:$E$2224,"&lt;="&amp;D60)</f>
        <v>2</v>
      </c>
      <c r="H60" s="7" t="n">
        <v>124.04</v>
      </c>
      <c r="I60" s="7" t="n">
        <v>138.29</v>
      </c>
      <c r="J60" s="7" t="n">
        <v>143.04</v>
      </c>
      <c r="K60" s="7" t="n">
        <v>152.54</v>
      </c>
      <c r="L60" s="7" t="n">
        <v>162.04</v>
      </c>
      <c r="M60" s="7" t="n">
        <v>171.54</v>
      </c>
      <c r="N60" s="7" t="n">
        <v>181.04</v>
      </c>
      <c r="O60" s="7" t="n">
        <v>200.04</v>
      </c>
      <c r="P60" s="7" t="n">
        <v>236.82</v>
      </c>
      <c r="Q60" s="7" t="n">
        <v>264.84</v>
      </c>
      <c r="R60" s="7" t="n">
        <v>300.15</v>
      </c>
      <c r="S60" s="7" t="n">
        <v>353.17</v>
      </c>
      <c r="T60" s="7" t="n">
        <v>441.4</v>
      </c>
      <c r="U60" s="7" t="n">
        <v>46.95</v>
      </c>
      <c r="V60" s="7" t="n">
        <v>65.63</v>
      </c>
      <c r="W60" s="7" t="n">
        <v>74.97</v>
      </c>
      <c r="X60" s="7" t="n">
        <v>77.7</v>
      </c>
      <c r="Y60" s="7" t="n">
        <v>83.58</v>
      </c>
      <c r="Z60" s="7" t="n">
        <v>90.2</v>
      </c>
      <c r="AA60" s="7" t="n">
        <v>96.77</v>
      </c>
      <c r="AB60" s="7" t="n">
        <v>109.63</v>
      </c>
      <c r="AC60" s="7" t="n">
        <v>119.5</v>
      </c>
      <c r="AD60" s="7" t="n">
        <v>144.24</v>
      </c>
      <c r="AE60" s="7" t="n">
        <v>155.09</v>
      </c>
      <c r="AF60" s="7" t="n">
        <v>66.69</v>
      </c>
      <c r="AG60" s="7" t="n">
        <v>214.88</v>
      </c>
      <c r="AH60" s="12" t="n">
        <f aca="false">(U60+AH$4*(Resumo!$C$6+Resumo!$C$7+Resumo!$C$8)+Resumo!$C$10*CEILING(AH$3/100,1)+Resumo!$C$9+Resumo!$C$13+Resumo!$C$14*CEILING(AH$3,1))*(1+Resumo!$C$11)-(AH$4*(Resumo!$B$6+Resumo!$B$7)+Resumo!$B$9+Resumo!$B$10*CEILING(AH$3/100,1)+(Resumo!$B$12+Resumo!$B$14)*CEILING(AH$3,1))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0" s="12" t="n">
        <f aca="false">(V60+AI$4*(Resumo!$C$6+Resumo!$C$7+Resumo!$C$8)+Resumo!$C$10*CEILING(AI$3/100,1)+Resumo!$C$9+Resumo!$C$13+Resumo!$C$14*CEILING(AI$3,1))*(1+Resumo!$C$11)-(AI$4*(Resumo!$B$6+Resumo!$B$7)+Resumo!$B$9+Resumo!$B$10*CEILING(AI$3/100,1)+(Resumo!$B$12+Resumo!$B$14)*CEILING(AI$3,1))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0" s="12" t="n">
        <f aca="false">(W60+AJ$4*(Resumo!$C$6+Resumo!$C$7+Resumo!$C$8)+Resumo!$C$10*CEILING(AJ$3/100,1)+Resumo!$C$9+Resumo!$C$13+Resumo!$C$14*CEILING(AJ$3,1))*(1+Resumo!$C$11)-(AJ$4*(Resumo!$B$6+Resumo!$B$7)+Resumo!$B$9+Resumo!$B$10*CEILING(AJ$3/100,1)+(Resumo!$B$12+Resumo!$B$14)*CEILING(AJ$3,1))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0" s="12" t="n">
        <f aca="false">(X60+AK$4*(Resumo!$C$6+Resumo!$C$7+Resumo!$C$8)+Resumo!$C$10*CEILING(AK$3/100,1)+Resumo!$C$9+Resumo!$C$13+Resumo!$C$14*CEILING(AK$3,1))*(1+Resumo!$C$11)-(AK$4*(Resumo!$B$6+Resumo!$B$7)+Resumo!$B$9+Resumo!$B$10*CEILING(AK$3/100,1)+(Resumo!$B$12+Resumo!$B$14)*CEILING(AK$3,1))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0" s="12" t="n">
        <f aca="false">(Y60+AL$4*(Resumo!$C$6+Resumo!$C$7+Resumo!$C$8)+Resumo!$C$10*CEILING(AL$3/100,1)+Resumo!$C$9+Resumo!$C$13+Resumo!$C$14*CEILING(AL$3,1))*(1+Resumo!$C$11)-(AL$4*(Resumo!$B$6+Resumo!$B$7)+Resumo!$B$9+Resumo!$B$10*CEILING(AL$3/100,1)+(Resumo!$B$12+Resumo!$B$14)*CEILING(AL$3,1))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0" s="12" t="n">
        <f aca="false">(Z60+AM$4*(Resumo!$C$6+Resumo!$C$7+Resumo!$C$8)+Resumo!$C$10*CEILING(AM$3/100,1)+Resumo!$C$9+Resumo!$C$13+Resumo!$C$14*CEILING(AM$3,1))*(1+Resumo!$C$11)-(AM$4*(Resumo!$B$6+Resumo!$B$7)+Resumo!$B$9+Resumo!$B$10*CEILING(AM$3/100,1)+(Resumo!$B$12+Resumo!$B$14)*CEILING(AM$3,1))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0" s="12" t="n">
        <f aca="false">(AA60+AN$4*(Resumo!$C$6+Resumo!$C$7+Resumo!$C$8)+Resumo!$C$10*CEILING(AN$3/100,1)+Resumo!$C$9+Resumo!$C$13+Resumo!$C$14*CEILING(AN$3,1))*(1+Resumo!$C$11)-(AN$4*(Resumo!$B$6+Resumo!$B$7)+Resumo!$B$9+Resumo!$B$10*CEILING(AN$3/100,1)+(Resumo!$B$12+Resumo!$B$14)*CEILING(AN$3,1))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0" s="12" t="n">
        <f aca="false">(AB60+AO$4*(Resumo!$C$6+Resumo!$C$7+Resumo!$C$8)+Resumo!$C$10*CEILING(AO$3/100,1)+Resumo!$C$9+Resumo!$C$13+Resumo!$C$14*CEILING(AO$3,1))*(1+Resumo!$C$11)-(AO$4*(Resumo!$B$6+Resumo!$B$7)+Resumo!$B$9+Resumo!$B$10*CEILING(AO$3/100,1)+(Resumo!$B$12+Resumo!$B$14)*CEILING(AO$3,1))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0" s="12" t="n">
        <f aca="false">(AC60+AP$4*(Resumo!$C$6+Resumo!$C$7+Resumo!$C$8)+Resumo!$C$10*CEILING(AP$3/100,1)+Resumo!$C$9+Resumo!$C$13+Resumo!$C$14*CEILING(AP$3,1))*(1+Resumo!$C$11)-(AP$4*(Resumo!$B$6+Resumo!$B$7)+Resumo!$B$9+Resumo!$B$10*CEILING(AP$3/100,1)+(Resumo!$B$12+Resumo!$B$14)*CEILING(AP$3,1))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0" s="12" t="n">
        <f aca="false">(AD60+AQ$4*(Resumo!$C$6+Resumo!$C$7+Resumo!$C$8)+Resumo!$C$10*CEILING(AQ$3/100,1)+Resumo!$C$9+Resumo!$C$13+Resumo!$C$14*CEILING(AQ$3,1))*(1+Resumo!$C$11)-(AQ$4*(Resumo!$B$6+Resumo!$B$7)+Resumo!$B$9+Resumo!$B$10*CEILING(AQ$3/100,1)+(Resumo!$B$12+Resumo!$B$14)*CEILING(AQ$3,1))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0" s="12" t="n">
        <f aca="false">(AE60+AR$4*(Resumo!$C$6+Resumo!$C$7+Resumo!$C$8)+Resumo!$C$10*CEILING(AR$3/100,1)+Resumo!$C$9+Resumo!$C$13+Resumo!$C$14*CEILING(AR$3,1))*(1+Resumo!$C$11)-(AR$4*(Resumo!$B$6+Resumo!$B$7)+Resumo!$B$9+Resumo!$B$10*CEILING(AR$3/100,1)+(Resumo!$B$12+Resumo!$B$14)*CEILING(AR$3,1))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0" s="12" t="n">
        <f aca="false">(AF60+AS$4*(Resumo!$C$6+Resumo!$C$7+Resumo!$C$8)+Resumo!$C$10*CEILING(AS$3/100,1)+Resumo!$C$9+Resumo!$C$13+Resumo!$C$14*CEILING(AS$3,1))*(1+Resumo!$C$11)-(AS$4*(Resumo!$B$6+Resumo!$B$7)+Resumo!$B$9+Resumo!$B$10*CEILING(AS$3/100,1)+(Resumo!$B$12+Resumo!$B$14)*CEILING(AS$3,1))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0" s="12" t="n">
        <f aca="false">(AG60+AT$4*(Resumo!$C$6+Resumo!$C$7+Resumo!$C$8)+Resumo!$C$10*CEILING(AT$3/100,1)+Resumo!$C$9+Resumo!$C$13+Resumo!$C$14*CEILING(AT$3,1))*(1+Resumo!$C$11)-(AT$4*(Resumo!$B$6+Resumo!$B$7)+Resumo!$B$9+Resumo!$B$10*CEILING(AT$3/100,1)+(Resumo!$B$12+Resumo!$B$14)*CEILING(AT$3,1))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0" s="13" t="n">
        <f aca="false">1-AH60/H60</f>
        <v>0.553790009855127</v>
      </c>
      <c r="AV60" s="13" t="n">
        <f aca="false">1-AI60/I60</f>
        <v>0.468426082913158</v>
      </c>
      <c r="AW60" s="13" t="n">
        <f aca="false">1-AJ60/J60</f>
        <v>0.424299969908939</v>
      </c>
      <c r="AX60" s="13" t="n">
        <f aca="false">1-AK60/K60</f>
        <v>0.444318235095027</v>
      </c>
      <c r="AY60" s="13" t="n">
        <f aca="false">1-AL60/L60</f>
        <v>0.44289446919564</v>
      </c>
      <c r="AZ60" s="13" t="n">
        <f aca="false">1-AM60/M60</f>
        <v>0.439248965608252</v>
      </c>
      <c r="BA60" s="13" t="n">
        <f aca="false">1-AN60/N60</f>
        <v>0.433759067609368</v>
      </c>
      <c r="BB60" s="13" t="n">
        <f aca="false">1-AO60/O60</f>
        <v>0.427042392574117</v>
      </c>
      <c r="BC60" s="13" t="n">
        <f aca="false">1-AP60/P60</f>
        <v>0.493280443868681</v>
      </c>
      <c r="BD60" s="13" t="n">
        <f aca="false">1-AQ60/Q60</f>
        <v>0.455794679894486</v>
      </c>
      <c r="BE60" s="13" t="n">
        <f aca="false">1-AR60/R60</f>
        <v>0.489018797268033</v>
      </c>
      <c r="BF60" s="13" t="n">
        <f aca="false">1-AS60/S60</f>
        <v>0.820503440269559</v>
      </c>
      <c r="BG60" s="13" t="n">
        <f aca="false">1-AT60/T60</f>
        <v>0.528263860444042</v>
      </c>
    </row>
    <row r="61" customFormat="false" ht="15" hidden="false" customHeight="false" outlineLevel="0" collapsed="false">
      <c r="A61" s="4" t="s">
        <v>215</v>
      </c>
      <c r="B61" s="4" t="s">
        <v>261</v>
      </c>
      <c r="C61" s="36" t="n">
        <v>28250000</v>
      </c>
      <c r="D61" s="36" t="n">
        <v>28299999</v>
      </c>
      <c r="E61" s="4" t="s">
        <v>198</v>
      </c>
      <c r="F61" s="4" t="s">
        <v>256</v>
      </c>
      <c r="G61" s="4" t="n">
        <f aca="false">COUNTIFS(Pedidos!$E$2:$E$2224,"&gt;="&amp;C61,Pedidos!$E$2:$E$2224,"&lt;="&amp;D61)</f>
        <v>1</v>
      </c>
      <c r="H61" s="7" t="n">
        <v>124.04</v>
      </c>
      <c r="I61" s="7" t="n">
        <v>138.29</v>
      </c>
      <c r="J61" s="7" t="n">
        <v>143.04</v>
      </c>
      <c r="K61" s="7" t="n">
        <v>152.54</v>
      </c>
      <c r="L61" s="7" t="n">
        <v>162.04</v>
      </c>
      <c r="M61" s="7" t="n">
        <v>171.54</v>
      </c>
      <c r="N61" s="7" t="n">
        <v>181.04</v>
      </c>
      <c r="O61" s="7" t="n">
        <v>200.04</v>
      </c>
      <c r="P61" s="7" t="n">
        <v>236.82</v>
      </c>
      <c r="Q61" s="7" t="n">
        <v>264.84</v>
      </c>
      <c r="R61" s="7" t="n">
        <v>300.15</v>
      </c>
      <c r="S61" s="7" t="n">
        <v>353.17</v>
      </c>
      <c r="T61" s="7" t="n">
        <v>441.4</v>
      </c>
      <c r="U61" s="7" t="n">
        <v>46.95</v>
      </c>
      <c r="V61" s="7" t="n">
        <v>65.63</v>
      </c>
      <c r="W61" s="7" t="n">
        <v>74.97</v>
      </c>
      <c r="X61" s="7" t="n">
        <v>77.7</v>
      </c>
      <c r="Y61" s="7" t="n">
        <v>83.58</v>
      </c>
      <c r="Z61" s="7" t="n">
        <v>90.2</v>
      </c>
      <c r="AA61" s="7" t="n">
        <v>96.77</v>
      </c>
      <c r="AB61" s="7" t="n">
        <v>109.63</v>
      </c>
      <c r="AC61" s="7" t="n">
        <v>119.5</v>
      </c>
      <c r="AD61" s="7" t="n">
        <v>144.24</v>
      </c>
      <c r="AE61" s="7" t="n">
        <v>155.09</v>
      </c>
      <c r="AF61" s="7" t="n">
        <v>66.69</v>
      </c>
      <c r="AG61" s="7" t="n">
        <v>214.88</v>
      </c>
      <c r="AH61" s="12" t="n">
        <f aca="false">(U61+AH$4*(Resumo!$C$6+Resumo!$C$7+Resumo!$C$8)+Resumo!$C$10*CEILING(AH$3/100,1)+Resumo!$C$9+Resumo!$C$13+Resumo!$C$14*CEILING(AH$3,1))*(1+Resumo!$C$11)-(AH$4*(Resumo!$B$6+Resumo!$B$7)+Resumo!$B$9+Resumo!$B$10*CEILING(AH$3/100,1)+(Resumo!$B$12+Resumo!$B$14)*CEILING(AH$3,1))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1" s="12" t="n">
        <f aca="false">(V61+AI$4*(Resumo!$C$6+Resumo!$C$7+Resumo!$C$8)+Resumo!$C$10*CEILING(AI$3/100,1)+Resumo!$C$9+Resumo!$C$13+Resumo!$C$14*CEILING(AI$3,1))*(1+Resumo!$C$11)-(AI$4*(Resumo!$B$6+Resumo!$B$7)+Resumo!$B$9+Resumo!$B$10*CEILING(AI$3/100,1)+(Resumo!$B$12+Resumo!$B$14)*CEILING(AI$3,1))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1" s="12" t="n">
        <f aca="false">(W61+AJ$4*(Resumo!$C$6+Resumo!$C$7+Resumo!$C$8)+Resumo!$C$10*CEILING(AJ$3/100,1)+Resumo!$C$9+Resumo!$C$13+Resumo!$C$14*CEILING(AJ$3,1))*(1+Resumo!$C$11)-(AJ$4*(Resumo!$B$6+Resumo!$B$7)+Resumo!$B$9+Resumo!$B$10*CEILING(AJ$3/100,1)+(Resumo!$B$12+Resumo!$B$14)*CEILING(AJ$3,1))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1" s="12" t="n">
        <f aca="false">(X61+AK$4*(Resumo!$C$6+Resumo!$C$7+Resumo!$C$8)+Resumo!$C$10*CEILING(AK$3/100,1)+Resumo!$C$9+Resumo!$C$13+Resumo!$C$14*CEILING(AK$3,1))*(1+Resumo!$C$11)-(AK$4*(Resumo!$B$6+Resumo!$B$7)+Resumo!$B$9+Resumo!$B$10*CEILING(AK$3/100,1)+(Resumo!$B$12+Resumo!$B$14)*CEILING(AK$3,1))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1" s="12" t="n">
        <f aca="false">(Y61+AL$4*(Resumo!$C$6+Resumo!$C$7+Resumo!$C$8)+Resumo!$C$10*CEILING(AL$3/100,1)+Resumo!$C$9+Resumo!$C$13+Resumo!$C$14*CEILING(AL$3,1))*(1+Resumo!$C$11)-(AL$4*(Resumo!$B$6+Resumo!$B$7)+Resumo!$B$9+Resumo!$B$10*CEILING(AL$3/100,1)+(Resumo!$B$12+Resumo!$B$14)*CEILING(AL$3,1))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1" s="12" t="n">
        <f aca="false">(Z61+AM$4*(Resumo!$C$6+Resumo!$C$7+Resumo!$C$8)+Resumo!$C$10*CEILING(AM$3/100,1)+Resumo!$C$9+Resumo!$C$13+Resumo!$C$14*CEILING(AM$3,1))*(1+Resumo!$C$11)-(AM$4*(Resumo!$B$6+Resumo!$B$7)+Resumo!$B$9+Resumo!$B$10*CEILING(AM$3/100,1)+(Resumo!$B$12+Resumo!$B$14)*CEILING(AM$3,1))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1" s="12" t="n">
        <f aca="false">(AA61+AN$4*(Resumo!$C$6+Resumo!$C$7+Resumo!$C$8)+Resumo!$C$10*CEILING(AN$3/100,1)+Resumo!$C$9+Resumo!$C$13+Resumo!$C$14*CEILING(AN$3,1))*(1+Resumo!$C$11)-(AN$4*(Resumo!$B$6+Resumo!$B$7)+Resumo!$B$9+Resumo!$B$10*CEILING(AN$3/100,1)+(Resumo!$B$12+Resumo!$B$14)*CEILING(AN$3,1))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1" s="12" t="n">
        <f aca="false">(AB61+AO$4*(Resumo!$C$6+Resumo!$C$7+Resumo!$C$8)+Resumo!$C$10*CEILING(AO$3/100,1)+Resumo!$C$9+Resumo!$C$13+Resumo!$C$14*CEILING(AO$3,1))*(1+Resumo!$C$11)-(AO$4*(Resumo!$B$6+Resumo!$B$7)+Resumo!$B$9+Resumo!$B$10*CEILING(AO$3/100,1)+(Resumo!$B$12+Resumo!$B$14)*CEILING(AO$3,1))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1" s="12" t="n">
        <f aca="false">(AC61+AP$4*(Resumo!$C$6+Resumo!$C$7+Resumo!$C$8)+Resumo!$C$10*CEILING(AP$3/100,1)+Resumo!$C$9+Resumo!$C$13+Resumo!$C$14*CEILING(AP$3,1))*(1+Resumo!$C$11)-(AP$4*(Resumo!$B$6+Resumo!$B$7)+Resumo!$B$9+Resumo!$B$10*CEILING(AP$3/100,1)+(Resumo!$B$12+Resumo!$B$14)*CEILING(AP$3,1))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1" s="12" t="n">
        <f aca="false">(AD61+AQ$4*(Resumo!$C$6+Resumo!$C$7+Resumo!$C$8)+Resumo!$C$10*CEILING(AQ$3/100,1)+Resumo!$C$9+Resumo!$C$13+Resumo!$C$14*CEILING(AQ$3,1))*(1+Resumo!$C$11)-(AQ$4*(Resumo!$B$6+Resumo!$B$7)+Resumo!$B$9+Resumo!$B$10*CEILING(AQ$3/100,1)+(Resumo!$B$12+Resumo!$B$14)*CEILING(AQ$3,1))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1" s="12" t="n">
        <f aca="false">(AE61+AR$4*(Resumo!$C$6+Resumo!$C$7+Resumo!$C$8)+Resumo!$C$10*CEILING(AR$3/100,1)+Resumo!$C$9+Resumo!$C$13+Resumo!$C$14*CEILING(AR$3,1))*(1+Resumo!$C$11)-(AR$4*(Resumo!$B$6+Resumo!$B$7)+Resumo!$B$9+Resumo!$B$10*CEILING(AR$3/100,1)+(Resumo!$B$12+Resumo!$B$14)*CEILING(AR$3,1))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1" s="12" t="n">
        <f aca="false">(AF61+AS$4*(Resumo!$C$6+Resumo!$C$7+Resumo!$C$8)+Resumo!$C$10*CEILING(AS$3/100,1)+Resumo!$C$9+Resumo!$C$13+Resumo!$C$14*CEILING(AS$3,1))*(1+Resumo!$C$11)-(AS$4*(Resumo!$B$6+Resumo!$B$7)+Resumo!$B$9+Resumo!$B$10*CEILING(AS$3/100,1)+(Resumo!$B$12+Resumo!$B$14)*CEILING(AS$3,1))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1" s="12" t="n">
        <f aca="false">(AG61+AT$4*(Resumo!$C$6+Resumo!$C$7+Resumo!$C$8)+Resumo!$C$10*CEILING(AT$3/100,1)+Resumo!$C$9+Resumo!$C$13+Resumo!$C$14*CEILING(AT$3,1))*(1+Resumo!$C$11)-(AT$4*(Resumo!$B$6+Resumo!$B$7)+Resumo!$B$9+Resumo!$B$10*CEILING(AT$3/100,1)+(Resumo!$B$12+Resumo!$B$14)*CEILING(AT$3,1))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1" s="13" t="n">
        <f aca="false">1-AH61/H61</f>
        <v>0.553790009855127</v>
      </c>
      <c r="AV61" s="13" t="n">
        <f aca="false">1-AI61/I61</f>
        <v>0.468426082913158</v>
      </c>
      <c r="AW61" s="13" t="n">
        <f aca="false">1-AJ61/J61</f>
        <v>0.424299969908939</v>
      </c>
      <c r="AX61" s="13" t="n">
        <f aca="false">1-AK61/K61</f>
        <v>0.444318235095027</v>
      </c>
      <c r="AY61" s="13" t="n">
        <f aca="false">1-AL61/L61</f>
        <v>0.44289446919564</v>
      </c>
      <c r="AZ61" s="13" t="n">
        <f aca="false">1-AM61/M61</f>
        <v>0.439248965608252</v>
      </c>
      <c r="BA61" s="13" t="n">
        <f aca="false">1-AN61/N61</f>
        <v>0.433759067609368</v>
      </c>
      <c r="BB61" s="13" t="n">
        <f aca="false">1-AO61/O61</f>
        <v>0.427042392574117</v>
      </c>
      <c r="BC61" s="13" t="n">
        <f aca="false">1-AP61/P61</f>
        <v>0.493280443868681</v>
      </c>
      <c r="BD61" s="13" t="n">
        <f aca="false">1-AQ61/Q61</f>
        <v>0.455794679894486</v>
      </c>
      <c r="BE61" s="13" t="n">
        <f aca="false">1-AR61/R61</f>
        <v>0.489018797268033</v>
      </c>
      <c r="BF61" s="13" t="n">
        <f aca="false">1-AS61/S61</f>
        <v>0.820503440269559</v>
      </c>
      <c r="BG61" s="13" t="n">
        <f aca="false">1-AT61/T61</f>
        <v>0.528263860444042</v>
      </c>
    </row>
    <row r="62" customFormat="false" ht="15" hidden="false" customHeight="false" outlineLevel="0" collapsed="false">
      <c r="A62" s="4" t="s">
        <v>215</v>
      </c>
      <c r="B62" s="4" t="s">
        <v>262</v>
      </c>
      <c r="C62" s="36" t="n">
        <v>28300000</v>
      </c>
      <c r="D62" s="36" t="n">
        <v>28349999</v>
      </c>
      <c r="E62" s="4" t="s">
        <v>198</v>
      </c>
      <c r="F62" s="4" t="s">
        <v>256</v>
      </c>
      <c r="G62" s="4" t="n">
        <f aca="false">COUNTIFS(Pedidos!$E$2:$E$2224,"&gt;="&amp;C62,Pedidos!$E$2:$E$2224,"&lt;="&amp;D62)</f>
        <v>5</v>
      </c>
      <c r="H62" s="7" t="n">
        <v>124.04</v>
      </c>
      <c r="I62" s="7" t="n">
        <v>138.29</v>
      </c>
      <c r="J62" s="7" t="n">
        <v>143.04</v>
      </c>
      <c r="K62" s="7" t="n">
        <v>152.54</v>
      </c>
      <c r="L62" s="7" t="n">
        <v>162.04</v>
      </c>
      <c r="M62" s="7" t="n">
        <v>171.54</v>
      </c>
      <c r="N62" s="7" t="n">
        <v>181.04</v>
      </c>
      <c r="O62" s="7" t="n">
        <v>200.04</v>
      </c>
      <c r="P62" s="7" t="n">
        <v>236.82</v>
      </c>
      <c r="Q62" s="7" t="n">
        <v>264.84</v>
      </c>
      <c r="R62" s="7" t="n">
        <v>300.15</v>
      </c>
      <c r="S62" s="7" t="n">
        <v>353.17</v>
      </c>
      <c r="T62" s="7" t="n">
        <v>441.4</v>
      </c>
      <c r="U62" s="7" t="n">
        <v>46.95</v>
      </c>
      <c r="V62" s="7" t="n">
        <v>65.63</v>
      </c>
      <c r="W62" s="7" t="n">
        <v>74.97</v>
      </c>
      <c r="X62" s="7" t="n">
        <v>77.7</v>
      </c>
      <c r="Y62" s="7" t="n">
        <v>83.58</v>
      </c>
      <c r="Z62" s="7" t="n">
        <v>90.2</v>
      </c>
      <c r="AA62" s="7" t="n">
        <v>96.77</v>
      </c>
      <c r="AB62" s="7" t="n">
        <v>109.63</v>
      </c>
      <c r="AC62" s="7" t="n">
        <v>119.5</v>
      </c>
      <c r="AD62" s="7" t="n">
        <v>144.24</v>
      </c>
      <c r="AE62" s="7" t="n">
        <v>155.09</v>
      </c>
      <c r="AF62" s="7" t="n">
        <v>66.69</v>
      </c>
      <c r="AG62" s="7" t="n">
        <v>214.88</v>
      </c>
      <c r="AH62" s="12" t="n">
        <f aca="false">(U62+AH$4*(Resumo!$C$6+Resumo!$C$7+Resumo!$C$8)+Resumo!$C$10*CEILING(AH$3/100,1)+Resumo!$C$9+Resumo!$C$13+Resumo!$C$14*CEILING(AH$3,1))*(1+Resumo!$C$11)-(AH$4*(Resumo!$B$6+Resumo!$B$7)+Resumo!$B$9+Resumo!$B$10*CEILING(AH$3/100,1)+(Resumo!$B$12+Resumo!$B$14)*CEILING(AH$3,1))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2" s="12" t="n">
        <f aca="false">(V62+AI$4*(Resumo!$C$6+Resumo!$C$7+Resumo!$C$8)+Resumo!$C$10*CEILING(AI$3/100,1)+Resumo!$C$9+Resumo!$C$13+Resumo!$C$14*CEILING(AI$3,1))*(1+Resumo!$C$11)-(AI$4*(Resumo!$B$6+Resumo!$B$7)+Resumo!$B$9+Resumo!$B$10*CEILING(AI$3/100,1)+(Resumo!$B$12+Resumo!$B$14)*CEILING(AI$3,1))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2" s="12" t="n">
        <f aca="false">(W62+AJ$4*(Resumo!$C$6+Resumo!$C$7+Resumo!$C$8)+Resumo!$C$10*CEILING(AJ$3/100,1)+Resumo!$C$9+Resumo!$C$13+Resumo!$C$14*CEILING(AJ$3,1))*(1+Resumo!$C$11)-(AJ$4*(Resumo!$B$6+Resumo!$B$7)+Resumo!$B$9+Resumo!$B$10*CEILING(AJ$3/100,1)+(Resumo!$B$12+Resumo!$B$14)*CEILING(AJ$3,1))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2" s="12" t="n">
        <f aca="false">(X62+AK$4*(Resumo!$C$6+Resumo!$C$7+Resumo!$C$8)+Resumo!$C$10*CEILING(AK$3/100,1)+Resumo!$C$9+Resumo!$C$13+Resumo!$C$14*CEILING(AK$3,1))*(1+Resumo!$C$11)-(AK$4*(Resumo!$B$6+Resumo!$B$7)+Resumo!$B$9+Resumo!$B$10*CEILING(AK$3/100,1)+(Resumo!$B$12+Resumo!$B$14)*CEILING(AK$3,1))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2" s="12" t="n">
        <f aca="false">(Y62+AL$4*(Resumo!$C$6+Resumo!$C$7+Resumo!$C$8)+Resumo!$C$10*CEILING(AL$3/100,1)+Resumo!$C$9+Resumo!$C$13+Resumo!$C$14*CEILING(AL$3,1))*(1+Resumo!$C$11)-(AL$4*(Resumo!$B$6+Resumo!$B$7)+Resumo!$B$9+Resumo!$B$10*CEILING(AL$3/100,1)+(Resumo!$B$12+Resumo!$B$14)*CEILING(AL$3,1))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2" s="12" t="n">
        <f aca="false">(Z62+AM$4*(Resumo!$C$6+Resumo!$C$7+Resumo!$C$8)+Resumo!$C$10*CEILING(AM$3/100,1)+Resumo!$C$9+Resumo!$C$13+Resumo!$C$14*CEILING(AM$3,1))*(1+Resumo!$C$11)-(AM$4*(Resumo!$B$6+Resumo!$B$7)+Resumo!$B$9+Resumo!$B$10*CEILING(AM$3/100,1)+(Resumo!$B$12+Resumo!$B$14)*CEILING(AM$3,1))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2" s="12" t="n">
        <f aca="false">(AA62+AN$4*(Resumo!$C$6+Resumo!$C$7+Resumo!$C$8)+Resumo!$C$10*CEILING(AN$3/100,1)+Resumo!$C$9+Resumo!$C$13+Resumo!$C$14*CEILING(AN$3,1))*(1+Resumo!$C$11)-(AN$4*(Resumo!$B$6+Resumo!$B$7)+Resumo!$B$9+Resumo!$B$10*CEILING(AN$3/100,1)+(Resumo!$B$12+Resumo!$B$14)*CEILING(AN$3,1))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2" s="12" t="n">
        <f aca="false">(AB62+AO$4*(Resumo!$C$6+Resumo!$C$7+Resumo!$C$8)+Resumo!$C$10*CEILING(AO$3/100,1)+Resumo!$C$9+Resumo!$C$13+Resumo!$C$14*CEILING(AO$3,1))*(1+Resumo!$C$11)-(AO$4*(Resumo!$B$6+Resumo!$B$7)+Resumo!$B$9+Resumo!$B$10*CEILING(AO$3/100,1)+(Resumo!$B$12+Resumo!$B$14)*CEILING(AO$3,1))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2" s="12" t="n">
        <f aca="false">(AC62+AP$4*(Resumo!$C$6+Resumo!$C$7+Resumo!$C$8)+Resumo!$C$10*CEILING(AP$3/100,1)+Resumo!$C$9+Resumo!$C$13+Resumo!$C$14*CEILING(AP$3,1))*(1+Resumo!$C$11)-(AP$4*(Resumo!$B$6+Resumo!$B$7)+Resumo!$B$9+Resumo!$B$10*CEILING(AP$3/100,1)+(Resumo!$B$12+Resumo!$B$14)*CEILING(AP$3,1))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2" s="12" t="n">
        <f aca="false">(AD62+AQ$4*(Resumo!$C$6+Resumo!$C$7+Resumo!$C$8)+Resumo!$C$10*CEILING(AQ$3/100,1)+Resumo!$C$9+Resumo!$C$13+Resumo!$C$14*CEILING(AQ$3,1))*(1+Resumo!$C$11)-(AQ$4*(Resumo!$B$6+Resumo!$B$7)+Resumo!$B$9+Resumo!$B$10*CEILING(AQ$3/100,1)+(Resumo!$B$12+Resumo!$B$14)*CEILING(AQ$3,1))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2" s="12" t="n">
        <f aca="false">(AE62+AR$4*(Resumo!$C$6+Resumo!$C$7+Resumo!$C$8)+Resumo!$C$10*CEILING(AR$3/100,1)+Resumo!$C$9+Resumo!$C$13+Resumo!$C$14*CEILING(AR$3,1))*(1+Resumo!$C$11)-(AR$4*(Resumo!$B$6+Resumo!$B$7)+Resumo!$B$9+Resumo!$B$10*CEILING(AR$3/100,1)+(Resumo!$B$12+Resumo!$B$14)*CEILING(AR$3,1))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2" s="12" t="n">
        <f aca="false">(AF62+AS$4*(Resumo!$C$6+Resumo!$C$7+Resumo!$C$8)+Resumo!$C$10*CEILING(AS$3/100,1)+Resumo!$C$9+Resumo!$C$13+Resumo!$C$14*CEILING(AS$3,1))*(1+Resumo!$C$11)-(AS$4*(Resumo!$B$6+Resumo!$B$7)+Resumo!$B$9+Resumo!$B$10*CEILING(AS$3/100,1)+(Resumo!$B$12+Resumo!$B$14)*CEILING(AS$3,1))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2" s="12" t="n">
        <f aca="false">(AG62+AT$4*(Resumo!$C$6+Resumo!$C$7+Resumo!$C$8)+Resumo!$C$10*CEILING(AT$3/100,1)+Resumo!$C$9+Resumo!$C$13+Resumo!$C$14*CEILING(AT$3,1))*(1+Resumo!$C$11)-(AT$4*(Resumo!$B$6+Resumo!$B$7)+Resumo!$B$9+Resumo!$B$10*CEILING(AT$3/100,1)+(Resumo!$B$12+Resumo!$B$14)*CEILING(AT$3,1))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2" s="13" t="n">
        <f aca="false">1-AH62/H62</f>
        <v>0.553790009855127</v>
      </c>
      <c r="AV62" s="13" t="n">
        <f aca="false">1-AI62/I62</f>
        <v>0.468426082913158</v>
      </c>
      <c r="AW62" s="13" t="n">
        <f aca="false">1-AJ62/J62</f>
        <v>0.424299969908939</v>
      </c>
      <c r="AX62" s="13" t="n">
        <f aca="false">1-AK62/K62</f>
        <v>0.444318235095027</v>
      </c>
      <c r="AY62" s="13" t="n">
        <f aca="false">1-AL62/L62</f>
        <v>0.44289446919564</v>
      </c>
      <c r="AZ62" s="13" t="n">
        <f aca="false">1-AM62/M62</f>
        <v>0.439248965608252</v>
      </c>
      <c r="BA62" s="13" t="n">
        <f aca="false">1-AN62/N62</f>
        <v>0.433759067609368</v>
      </c>
      <c r="BB62" s="13" t="n">
        <f aca="false">1-AO62/O62</f>
        <v>0.427042392574117</v>
      </c>
      <c r="BC62" s="13" t="n">
        <f aca="false">1-AP62/P62</f>
        <v>0.493280443868681</v>
      </c>
      <c r="BD62" s="13" t="n">
        <f aca="false">1-AQ62/Q62</f>
        <v>0.455794679894486</v>
      </c>
      <c r="BE62" s="13" t="n">
        <f aca="false">1-AR62/R62</f>
        <v>0.489018797268033</v>
      </c>
      <c r="BF62" s="13" t="n">
        <f aca="false">1-AS62/S62</f>
        <v>0.820503440269559</v>
      </c>
      <c r="BG62" s="13" t="n">
        <f aca="false">1-AT62/T62</f>
        <v>0.528263860444042</v>
      </c>
    </row>
    <row r="63" customFormat="false" ht="15" hidden="false" customHeight="false" outlineLevel="0" collapsed="false">
      <c r="A63" s="4" t="s">
        <v>215</v>
      </c>
      <c r="B63" s="4" t="s">
        <v>263</v>
      </c>
      <c r="C63" s="36" t="n">
        <v>28350000</v>
      </c>
      <c r="D63" s="36" t="n">
        <v>28359999</v>
      </c>
      <c r="E63" s="4" t="s">
        <v>198</v>
      </c>
      <c r="F63" s="4" t="s">
        <v>256</v>
      </c>
      <c r="G63" s="4" t="n">
        <f aca="false">COUNTIFS(Pedidos!$E$2:$E$2224,"&gt;="&amp;C63,Pedidos!$E$2:$E$2224,"&lt;="&amp;D63)</f>
        <v>1</v>
      </c>
      <c r="H63" s="7" t="n">
        <v>124.04</v>
      </c>
      <c r="I63" s="7" t="n">
        <v>138.29</v>
      </c>
      <c r="J63" s="7" t="n">
        <v>143.04</v>
      </c>
      <c r="K63" s="7" t="n">
        <v>152.54</v>
      </c>
      <c r="L63" s="7" t="n">
        <v>162.04</v>
      </c>
      <c r="M63" s="7" t="n">
        <v>171.54</v>
      </c>
      <c r="N63" s="7" t="n">
        <v>181.04</v>
      </c>
      <c r="O63" s="7" t="n">
        <v>200.04</v>
      </c>
      <c r="P63" s="7" t="n">
        <v>236.82</v>
      </c>
      <c r="Q63" s="7" t="n">
        <v>264.84</v>
      </c>
      <c r="R63" s="7" t="n">
        <v>300.15</v>
      </c>
      <c r="S63" s="7" t="n">
        <v>353.17</v>
      </c>
      <c r="T63" s="7" t="n">
        <v>441.4</v>
      </c>
      <c r="U63" s="7" t="n">
        <v>46.95</v>
      </c>
      <c r="V63" s="7" t="n">
        <v>65.63</v>
      </c>
      <c r="W63" s="7" t="n">
        <v>74.97</v>
      </c>
      <c r="X63" s="7" t="n">
        <v>77.7</v>
      </c>
      <c r="Y63" s="7" t="n">
        <v>83.58</v>
      </c>
      <c r="Z63" s="7" t="n">
        <v>90.2</v>
      </c>
      <c r="AA63" s="7" t="n">
        <v>96.77</v>
      </c>
      <c r="AB63" s="7" t="n">
        <v>109.63</v>
      </c>
      <c r="AC63" s="7" t="n">
        <v>119.5</v>
      </c>
      <c r="AD63" s="7" t="n">
        <v>144.24</v>
      </c>
      <c r="AE63" s="7" t="n">
        <v>155.09</v>
      </c>
      <c r="AF63" s="7" t="n">
        <v>66.69</v>
      </c>
      <c r="AG63" s="7" t="n">
        <v>214.88</v>
      </c>
      <c r="AH63" s="12" t="n">
        <f aca="false">(U63+AH$4*(Resumo!$C$6+Resumo!$C$7+Resumo!$C$8)+Resumo!$C$10*CEILING(AH$3/100,1)+Resumo!$C$9+Resumo!$C$13+Resumo!$C$14*CEILING(AH$3,1))*(1+Resumo!$C$11)-(AH$4*(Resumo!$B$6+Resumo!$B$7)+Resumo!$B$9+Resumo!$B$10*CEILING(AH$3/100,1)+(Resumo!$B$12+Resumo!$B$14)*CEILING(AH$3,1))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3" s="12" t="n">
        <f aca="false">(V63+AI$4*(Resumo!$C$6+Resumo!$C$7+Resumo!$C$8)+Resumo!$C$10*CEILING(AI$3/100,1)+Resumo!$C$9+Resumo!$C$13+Resumo!$C$14*CEILING(AI$3,1))*(1+Resumo!$C$11)-(AI$4*(Resumo!$B$6+Resumo!$B$7)+Resumo!$B$9+Resumo!$B$10*CEILING(AI$3/100,1)+(Resumo!$B$12+Resumo!$B$14)*CEILING(AI$3,1))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3" s="12" t="n">
        <f aca="false">(W63+AJ$4*(Resumo!$C$6+Resumo!$C$7+Resumo!$C$8)+Resumo!$C$10*CEILING(AJ$3/100,1)+Resumo!$C$9+Resumo!$C$13+Resumo!$C$14*CEILING(AJ$3,1))*(1+Resumo!$C$11)-(AJ$4*(Resumo!$B$6+Resumo!$B$7)+Resumo!$B$9+Resumo!$B$10*CEILING(AJ$3/100,1)+(Resumo!$B$12+Resumo!$B$14)*CEILING(AJ$3,1))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3" s="12" t="n">
        <f aca="false">(X63+AK$4*(Resumo!$C$6+Resumo!$C$7+Resumo!$C$8)+Resumo!$C$10*CEILING(AK$3/100,1)+Resumo!$C$9+Resumo!$C$13+Resumo!$C$14*CEILING(AK$3,1))*(1+Resumo!$C$11)-(AK$4*(Resumo!$B$6+Resumo!$B$7)+Resumo!$B$9+Resumo!$B$10*CEILING(AK$3/100,1)+(Resumo!$B$12+Resumo!$B$14)*CEILING(AK$3,1))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3" s="12" t="n">
        <f aca="false">(Y63+AL$4*(Resumo!$C$6+Resumo!$C$7+Resumo!$C$8)+Resumo!$C$10*CEILING(AL$3/100,1)+Resumo!$C$9+Resumo!$C$13+Resumo!$C$14*CEILING(AL$3,1))*(1+Resumo!$C$11)-(AL$4*(Resumo!$B$6+Resumo!$B$7)+Resumo!$B$9+Resumo!$B$10*CEILING(AL$3/100,1)+(Resumo!$B$12+Resumo!$B$14)*CEILING(AL$3,1))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3" s="12" t="n">
        <f aca="false">(Z63+AM$4*(Resumo!$C$6+Resumo!$C$7+Resumo!$C$8)+Resumo!$C$10*CEILING(AM$3/100,1)+Resumo!$C$9+Resumo!$C$13+Resumo!$C$14*CEILING(AM$3,1))*(1+Resumo!$C$11)-(AM$4*(Resumo!$B$6+Resumo!$B$7)+Resumo!$B$9+Resumo!$B$10*CEILING(AM$3/100,1)+(Resumo!$B$12+Resumo!$B$14)*CEILING(AM$3,1))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3" s="12" t="n">
        <f aca="false">(AA63+AN$4*(Resumo!$C$6+Resumo!$C$7+Resumo!$C$8)+Resumo!$C$10*CEILING(AN$3/100,1)+Resumo!$C$9+Resumo!$C$13+Resumo!$C$14*CEILING(AN$3,1))*(1+Resumo!$C$11)-(AN$4*(Resumo!$B$6+Resumo!$B$7)+Resumo!$B$9+Resumo!$B$10*CEILING(AN$3/100,1)+(Resumo!$B$12+Resumo!$B$14)*CEILING(AN$3,1))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3" s="12" t="n">
        <f aca="false">(AB63+AO$4*(Resumo!$C$6+Resumo!$C$7+Resumo!$C$8)+Resumo!$C$10*CEILING(AO$3/100,1)+Resumo!$C$9+Resumo!$C$13+Resumo!$C$14*CEILING(AO$3,1))*(1+Resumo!$C$11)-(AO$4*(Resumo!$B$6+Resumo!$B$7)+Resumo!$B$9+Resumo!$B$10*CEILING(AO$3/100,1)+(Resumo!$B$12+Resumo!$B$14)*CEILING(AO$3,1))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3" s="12" t="n">
        <f aca="false">(AC63+AP$4*(Resumo!$C$6+Resumo!$C$7+Resumo!$C$8)+Resumo!$C$10*CEILING(AP$3/100,1)+Resumo!$C$9+Resumo!$C$13+Resumo!$C$14*CEILING(AP$3,1))*(1+Resumo!$C$11)-(AP$4*(Resumo!$B$6+Resumo!$B$7)+Resumo!$B$9+Resumo!$B$10*CEILING(AP$3/100,1)+(Resumo!$B$12+Resumo!$B$14)*CEILING(AP$3,1))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3" s="12" t="n">
        <f aca="false">(AD63+AQ$4*(Resumo!$C$6+Resumo!$C$7+Resumo!$C$8)+Resumo!$C$10*CEILING(AQ$3/100,1)+Resumo!$C$9+Resumo!$C$13+Resumo!$C$14*CEILING(AQ$3,1))*(1+Resumo!$C$11)-(AQ$4*(Resumo!$B$6+Resumo!$B$7)+Resumo!$B$9+Resumo!$B$10*CEILING(AQ$3/100,1)+(Resumo!$B$12+Resumo!$B$14)*CEILING(AQ$3,1))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3" s="12" t="n">
        <f aca="false">(AE63+AR$4*(Resumo!$C$6+Resumo!$C$7+Resumo!$C$8)+Resumo!$C$10*CEILING(AR$3/100,1)+Resumo!$C$9+Resumo!$C$13+Resumo!$C$14*CEILING(AR$3,1))*(1+Resumo!$C$11)-(AR$4*(Resumo!$B$6+Resumo!$B$7)+Resumo!$B$9+Resumo!$B$10*CEILING(AR$3/100,1)+(Resumo!$B$12+Resumo!$B$14)*CEILING(AR$3,1))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3" s="12" t="n">
        <f aca="false">(AF63+AS$4*(Resumo!$C$6+Resumo!$C$7+Resumo!$C$8)+Resumo!$C$10*CEILING(AS$3/100,1)+Resumo!$C$9+Resumo!$C$13+Resumo!$C$14*CEILING(AS$3,1))*(1+Resumo!$C$11)-(AS$4*(Resumo!$B$6+Resumo!$B$7)+Resumo!$B$9+Resumo!$B$10*CEILING(AS$3/100,1)+(Resumo!$B$12+Resumo!$B$14)*CEILING(AS$3,1))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3" s="12" t="n">
        <f aca="false">(AG63+AT$4*(Resumo!$C$6+Resumo!$C$7+Resumo!$C$8)+Resumo!$C$10*CEILING(AT$3/100,1)+Resumo!$C$9+Resumo!$C$13+Resumo!$C$14*CEILING(AT$3,1))*(1+Resumo!$C$11)-(AT$4*(Resumo!$B$6+Resumo!$B$7)+Resumo!$B$9+Resumo!$B$10*CEILING(AT$3/100,1)+(Resumo!$B$12+Resumo!$B$14)*CEILING(AT$3,1))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3" s="13" t="n">
        <f aca="false">1-AH63/H63</f>
        <v>0.553790009855127</v>
      </c>
      <c r="AV63" s="13" t="n">
        <f aca="false">1-AI63/I63</f>
        <v>0.468426082913158</v>
      </c>
      <c r="AW63" s="13" t="n">
        <f aca="false">1-AJ63/J63</f>
        <v>0.424299969908939</v>
      </c>
      <c r="AX63" s="13" t="n">
        <f aca="false">1-AK63/K63</f>
        <v>0.444318235095027</v>
      </c>
      <c r="AY63" s="13" t="n">
        <f aca="false">1-AL63/L63</f>
        <v>0.44289446919564</v>
      </c>
      <c r="AZ63" s="13" t="n">
        <f aca="false">1-AM63/M63</f>
        <v>0.439248965608252</v>
      </c>
      <c r="BA63" s="13" t="n">
        <f aca="false">1-AN63/N63</f>
        <v>0.433759067609368</v>
      </c>
      <c r="BB63" s="13" t="n">
        <f aca="false">1-AO63/O63</f>
        <v>0.427042392574117</v>
      </c>
      <c r="BC63" s="13" t="n">
        <f aca="false">1-AP63/P63</f>
        <v>0.493280443868681</v>
      </c>
      <c r="BD63" s="13" t="n">
        <f aca="false">1-AQ63/Q63</f>
        <v>0.455794679894486</v>
      </c>
      <c r="BE63" s="13" t="n">
        <f aca="false">1-AR63/R63</f>
        <v>0.489018797268033</v>
      </c>
      <c r="BF63" s="13" t="n">
        <f aca="false">1-AS63/S63</f>
        <v>0.820503440269559</v>
      </c>
      <c r="BG63" s="13" t="n">
        <f aca="false">1-AT63/T63</f>
        <v>0.528263860444042</v>
      </c>
    </row>
    <row r="64" customFormat="false" ht="15" hidden="false" customHeight="false" outlineLevel="0" collapsed="false">
      <c r="A64" s="4" t="s">
        <v>215</v>
      </c>
      <c r="B64" s="4" t="s">
        <v>264</v>
      </c>
      <c r="C64" s="36" t="n">
        <v>28360000</v>
      </c>
      <c r="D64" s="36" t="n">
        <v>28374999</v>
      </c>
      <c r="E64" s="4" t="s">
        <v>198</v>
      </c>
      <c r="F64" s="4" t="s">
        <v>256</v>
      </c>
      <c r="G64" s="4" t="n">
        <f aca="false">COUNTIFS(Pedidos!$E$2:$E$2224,"&gt;="&amp;C64,Pedidos!$E$2:$E$2224,"&lt;="&amp;D64)</f>
        <v>4</v>
      </c>
      <c r="H64" s="7" t="n">
        <v>124.04</v>
      </c>
      <c r="I64" s="7" t="n">
        <v>138.29</v>
      </c>
      <c r="J64" s="7" t="n">
        <v>143.04</v>
      </c>
      <c r="K64" s="7" t="n">
        <v>152.54</v>
      </c>
      <c r="L64" s="7" t="n">
        <v>162.04</v>
      </c>
      <c r="M64" s="7" t="n">
        <v>171.54</v>
      </c>
      <c r="N64" s="7" t="n">
        <v>181.04</v>
      </c>
      <c r="O64" s="7" t="n">
        <v>200.04</v>
      </c>
      <c r="P64" s="7" t="n">
        <v>236.82</v>
      </c>
      <c r="Q64" s="7" t="n">
        <v>264.84</v>
      </c>
      <c r="R64" s="7" t="n">
        <v>300.15</v>
      </c>
      <c r="S64" s="7" t="n">
        <v>353.17</v>
      </c>
      <c r="T64" s="7" t="n">
        <v>441.4</v>
      </c>
      <c r="U64" s="7" t="n">
        <v>46.95</v>
      </c>
      <c r="V64" s="7" t="n">
        <v>65.63</v>
      </c>
      <c r="W64" s="7" t="n">
        <v>74.97</v>
      </c>
      <c r="X64" s="7" t="n">
        <v>77.7</v>
      </c>
      <c r="Y64" s="7" t="n">
        <v>83.58</v>
      </c>
      <c r="Z64" s="7" t="n">
        <v>90.2</v>
      </c>
      <c r="AA64" s="7" t="n">
        <v>96.77</v>
      </c>
      <c r="AB64" s="7" t="n">
        <v>109.63</v>
      </c>
      <c r="AC64" s="7" t="n">
        <v>119.5</v>
      </c>
      <c r="AD64" s="7" t="n">
        <v>144.24</v>
      </c>
      <c r="AE64" s="7" t="n">
        <v>155.09</v>
      </c>
      <c r="AF64" s="7" t="n">
        <v>66.69</v>
      </c>
      <c r="AG64" s="7" t="n">
        <v>214.88</v>
      </c>
      <c r="AH64" s="12" t="n">
        <f aca="false">(U64+AH$4*(Resumo!$C$6+Resumo!$C$7+Resumo!$C$8)+Resumo!$C$10*CEILING(AH$3/100,1)+Resumo!$C$9+Resumo!$C$13+Resumo!$C$14*CEILING(AH$3,1))*(1+Resumo!$C$11)-(AH$4*(Resumo!$B$6+Resumo!$B$7)+Resumo!$B$9+Resumo!$B$10*CEILING(AH$3/100,1)+(Resumo!$B$12+Resumo!$B$14)*CEILING(AH$3,1))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4" s="12" t="n">
        <f aca="false">(V64+AI$4*(Resumo!$C$6+Resumo!$C$7+Resumo!$C$8)+Resumo!$C$10*CEILING(AI$3/100,1)+Resumo!$C$9+Resumo!$C$13+Resumo!$C$14*CEILING(AI$3,1))*(1+Resumo!$C$11)-(AI$4*(Resumo!$B$6+Resumo!$B$7)+Resumo!$B$9+Resumo!$B$10*CEILING(AI$3/100,1)+(Resumo!$B$12+Resumo!$B$14)*CEILING(AI$3,1))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4" s="12" t="n">
        <f aca="false">(W64+AJ$4*(Resumo!$C$6+Resumo!$C$7+Resumo!$C$8)+Resumo!$C$10*CEILING(AJ$3/100,1)+Resumo!$C$9+Resumo!$C$13+Resumo!$C$14*CEILING(AJ$3,1))*(1+Resumo!$C$11)-(AJ$4*(Resumo!$B$6+Resumo!$B$7)+Resumo!$B$9+Resumo!$B$10*CEILING(AJ$3/100,1)+(Resumo!$B$12+Resumo!$B$14)*CEILING(AJ$3,1))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4" s="12" t="n">
        <f aca="false">(X64+AK$4*(Resumo!$C$6+Resumo!$C$7+Resumo!$C$8)+Resumo!$C$10*CEILING(AK$3/100,1)+Resumo!$C$9+Resumo!$C$13+Resumo!$C$14*CEILING(AK$3,1))*(1+Resumo!$C$11)-(AK$4*(Resumo!$B$6+Resumo!$B$7)+Resumo!$B$9+Resumo!$B$10*CEILING(AK$3/100,1)+(Resumo!$B$12+Resumo!$B$14)*CEILING(AK$3,1))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4" s="12" t="n">
        <f aca="false">(Y64+AL$4*(Resumo!$C$6+Resumo!$C$7+Resumo!$C$8)+Resumo!$C$10*CEILING(AL$3/100,1)+Resumo!$C$9+Resumo!$C$13+Resumo!$C$14*CEILING(AL$3,1))*(1+Resumo!$C$11)-(AL$4*(Resumo!$B$6+Resumo!$B$7)+Resumo!$B$9+Resumo!$B$10*CEILING(AL$3/100,1)+(Resumo!$B$12+Resumo!$B$14)*CEILING(AL$3,1))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4" s="12" t="n">
        <f aca="false">(Z64+AM$4*(Resumo!$C$6+Resumo!$C$7+Resumo!$C$8)+Resumo!$C$10*CEILING(AM$3/100,1)+Resumo!$C$9+Resumo!$C$13+Resumo!$C$14*CEILING(AM$3,1))*(1+Resumo!$C$11)-(AM$4*(Resumo!$B$6+Resumo!$B$7)+Resumo!$B$9+Resumo!$B$10*CEILING(AM$3/100,1)+(Resumo!$B$12+Resumo!$B$14)*CEILING(AM$3,1))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4" s="12" t="n">
        <f aca="false">(AA64+AN$4*(Resumo!$C$6+Resumo!$C$7+Resumo!$C$8)+Resumo!$C$10*CEILING(AN$3/100,1)+Resumo!$C$9+Resumo!$C$13+Resumo!$C$14*CEILING(AN$3,1))*(1+Resumo!$C$11)-(AN$4*(Resumo!$B$6+Resumo!$B$7)+Resumo!$B$9+Resumo!$B$10*CEILING(AN$3/100,1)+(Resumo!$B$12+Resumo!$B$14)*CEILING(AN$3,1))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4" s="12" t="n">
        <f aca="false">(AB64+AO$4*(Resumo!$C$6+Resumo!$C$7+Resumo!$C$8)+Resumo!$C$10*CEILING(AO$3/100,1)+Resumo!$C$9+Resumo!$C$13+Resumo!$C$14*CEILING(AO$3,1))*(1+Resumo!$C$11)-(AO$4*(Resumo!$B$6+Resumo!$B$7)+Resumo!$B$9+Resumo!$B$10*CEILING(AO$3/100,1)+(Resumo!$B$12+Resumo!$B$14)*CEILING(AO$3,1))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4" s="12" t="n">
        <f aca="false">(AC64+AP$4*(Resumo!$C$6+Resumo!$C$7+Resumo!$C$8)+Resumo!$C$10*CEILING(AP$3/100,1)+Resumo!$C$9+Resumo!$C$13+Resumo!$C$14*CEILING(AP$3,1))*(1+Resumo!$C$11)-(AP$4*(Resumo!$B$6+Resumo!$B$7)+Resumo!$B$9+Resumo!$B$10*CEILING(AP$3/100,1)+(Resumo!$B$12+Resumo!$B$14)*CEILING(AP$3,1))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4" s="12" t="n">
        <f aca="false">(AD64+AQ$4*(Resumo!$C$6+Resumo!$C$7+Resumo!$C$8)+Resumo!$C$10*CEILING(AQ$3/100,1)+Resumo!$C$9+Resumo!$C$13+Resumo!$C$14*CEILING(AQ$3,1))*(1+Resumo!$C$11)-(AQ$4*(Resumo!$B$6+Resumo!$B$7)+Resumo!$B$9+Resumo!$B$10*CEILING(AQ$3/100,1)+(Resumo!$B$12+Resumo!$B$14)*CEILING(AQ$3,1))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4" s="12" t="n">
        <f aca="false">(AE64+AR$4*(Resumo!$C$6+Resumo!$C$7+Resumo!$C$8)+Resumo!$C$10*CEILING(AR$3/100,1)+Resumo!$C$9+Resumo!$C$13+Resumo!$C$14*CEILING(AR$3,1))*(1+Resumo!$C$11)-(AR$4*(Resumo!$B$6+Resumo!$B$7)+Resumo!$B$9+Resumo!$B$10*CEILING(AR$3/100,1)+(Resumo!$B$12+Resumo!$B$14)*CEILING(AR$3,1))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4" s="12" t="n">
        <f aca="false">(AF64+AS$4*(Resumo!$C$6+Resumo!$C$7+Resumo!$C$8)+Resumo!$C$10*CEILING(AS$3/100,1)+Resumo!$C$9+Resumo!$C$13+Resumo!$C$14*CEILING(AS$3,1))*(1+Resumo!$C$11)-(AS$4*(Resumo!$B$6+Resumo!$B$7)+Resumo!$B$9+Resumo!$B$10*CEILING(AS$3/100,1)+(Resumo!$B$12+Resumo!$B$14)*CEILING(AS$3,1))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4" s="12" t="n">
        <f aca="false">(AG64+AT$4*(Resumo!$C$6+Resumo!$C$7+Resumo!$C$8)+Resumo!$C$10*CEILING(AT$3/100,1)+Resumo!$C$9+Resumo!$C$13+Resumo!$C$14*CEILING(AT$3,1))*(1+Resumo!$C$11)-(AT$4*(Resumo!$B$6+Resumo!$B$7)+Resumo!$B$9+Resumo!$B$10*CEILING(AT$3/100,1)+(Resumo!$B$12+Resumo!$B$14)*CEILING(AT$3,1))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4" s="13" t="n">
        <f aca="false">1-AH64/H64</f>
        <v>0.553790009855127</v>
      </c>
      <c r="AV64" s="13" t="n">
        <f aca="false">1-AI64/I64</f>
        <v>0.468426082913158</v>
      </c>
      <c r="AW64" s="13" t="n">
        <f aca="false">1-AJ64/J64</f>
        <v>0.424299969908939</v>
      </c>
      <c r="AX64" s="13" t="n">
        <f aca="false">1-AK64/K64</f>
        <v>0.444318235095027</v>
      </c>
      <c r="AY64" s="13" t="n">
        <f aca="false">1-AL64/L64</f>
        <v>0.44289446919564</v>
      </c>
      <c r="AZ64" s="13" t="n">
        <f aca="false">1-AM64/M64</f>
        <v>0.439248965608252</v>
      </c>
      <c r="BA64" s="13" t="n">
        <f aca="false">1-AN64/N64</f>
        <v>0.433759067609368</v>
      </c>
      <c r="BB64" s="13" t="n">
        <f aca="false">1-AO64/O64</f>
        <v>0.427042392574117</v>
      </c>
      <c r="BC64" s="13" t="n">
        <f aca="false">1-AP64/P64</f>
        <v>0.493280443868681</v>
      </c>
      <c r="BD64" s="13" t="n">
        <f aca="false">1-AQ64/Q64</f>
        <v>0.455794679894486</v>
      </c>
      <c r="BE64" s="13" t="n">
        <f aca="false">1-AR64/R64</f>
        <v>0.489018797268033</v>
      </c>
      <c r="BF64" s="13" t="n">
        <f aca="false">1-AS64/S64</f>
        <v>0.820503440269559</v>
      </c>
      <c r="BG64" s="13" t="n">
        <f aca="false">1-AT64/T64</f>
        <v>0.528263860444042</v>
      </c>
    </row>
    <row r="65" customFormat="false" ht="15" hidden="false" customHeight="false" outlineLevel="0" collapsed="false">
      <c r="A65" s="4" t="s">
        <v>215</v>
      </c>
      <c r="B65" s="4" t="s">
        <v>265</v>
      </c>
      <c r="C65" s="36" t="n">
        <v>28375000</v>
      </c>
      <c r="D65" s="36" t="n">
        <v>28379999</v>
      </c>
      <c r="E65" s="4" t="s">
        <v>198</v>
      </c>
      <c r="F65" s="4" t="s">
        <v>256</v>
      </c>
      <c r="G65" s="4" t="n">
        <f aca="false">COUNTIFS(Pedidos!$E$2:$E$2224,"&gt;="&amp;C65,Pedidos!$E$2:$E$2224,"&lt;="&amp;D65)</f>
        <v>1</v>
      </c>
      <c r="H65" s="7" t="n">
        <v>124.04</v>
      </c>
      <c r="I65" s="7" t="n">
        <v>138.29</v>
      </c>
      <c r="J65" s="7" t="n">
        <v>143.04</v>
      </c>
      <c r="K65" s="7" t="n">
        <v>152.54</v>
      </c>
      <c r="L65" s="7" t="n">
        <v>162.04</v>
      </c>
      <c r="M65" s="7" t="n">
        <v>171.54</v>
      </c>
      <c r="N65" s="7" t="n">
        <v>181.04</v>
      </c>
      <c r="O65" s="7" t="n">
        <v>200.04</v>
      </c>
      <c r="P65" s="7" t="n">
        <v>236.82</v>
      </c>
      <c r="Q65" s="7" t="n">
        <v>264.84</v>
      </c>
      <c r="R65" s="7" t="n">
        <v>300.15</v>
      </c>
      <c r="S65" s="7" t="n">
        <v>353.17</v>
      </c>
      <c r="T65" s="7" t="n">
        <v>441.4</v>
      </c>
      <c r="U65" s="7" t="n">
        <v>46.95</v>
      </c>
      <c r="V65" s="7" t="n">
        <v>65.63</v>
      </c>
      <c r="W65" s="7" t="n">
        <v>74.97</v>
      </c>
      <c r="X65" s="7" t="n">
        <v>77.7</v>
      </c>
      <c r="Y65" s="7" t="n">
        <v>83.58</v>
      </c>
      <c r="Z65" s="7" t="n">
        <v>90.2</v>
      </c>
      <c r="AA65" s="7" t="n">
        <v>96.77</v>
      </c>
      <c r="AB65" s="7" t="n">
        <v>109.63</v>
      </c>
      <c r="AC65" s="7" t="n">
        <v>119.5</v>
      </c>
      <c r="AD65" s="7" t="n">
        <v>144.24</v>
      </c>
      <c r="AE65" s="7" t="n">
        <v>155.09</v>
      </c>
      <c r="AF65" s="7" t="n">
        <v>66.69</v>
      </c>
      <c r="AG65" s="7" t="n">
        <v>214.88</v>
      </c>
      <c r="AH65" s="12" t="n">
        <f aca="false">(U65+AH$4*(Resumo!$C$6+Resumo!$C$7+Resumo!$C$8)+Resumo!$C$10*CEILING(AH$3/100,1)+Resumo!$C$9+Resumo!$C$13+Resumo!$C$14*CEILING(AH$3,1))*(1+Resumo!$C$11)-(AH$4*(Resumo!$B$6+Resumo!$B$7)+Resumo!$B$9+Resumo!$B$10*CEILING(AH$3/100,1)+(Resumo!$B$12+Resumo!$B$14)*CEILING(AH$3,1))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5" s="12" t="n">
        <f aca="false">(V65+AI$4*(Resumo!$C$6+Resumo!$C$7+Resumo!$C$8)+Resumo!$C$10*CEILING(AI$3/100,1)+Resumo!$C$9+Resumo!$C$13+Resumo!$C$14*CEILING(AI$3,1))*(1+Resumo!$C$11)-(AI$4*(Resumo!$B$6+Resumo!$B$7)+Resumo!$B$9+Resumo!$B$10*CEILING(AI$3/100,1)+(Resumo!$B$12+Resumo!$B$14)*CEILING(AI$3,1))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5" s="12" t="n">
        <f aca="false">(W65+AJ$4*(Resumo!$C$6+Resumo!$C$7+Resumo!$C$8)+Resumo!$C$10*CEILING(AJ$3/100,1)+Resumo!$C$9+Resumo!$C$13+Resumo!$C$14*CEILING(AJ$3,1))*(1+Resumo!$C$11)-(AJ$4*(Resumo!$B$6+Resumo!$B$7)+Resumo!$B$9+Resumo!$B$10*CEILING(AJ$3/100,1)+(Resumo!$B$12+Resumo!$B$14)*CEILING(AJ$3,1))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5" s="12" t="n">
        <f aca="false">(X65+AK$4*(Resumo!$C$6+Resumo!$C$7+Resumo!$C$8)+Resumo!$C$10*CEILING(AK$3/100,1)+Resumo!$C$9+Resumo!$C$13+Resumo!$C$14*CEILING(AK$3,1))*(1+Resumo!$C$11)-(AK$4*(Resumo!$B$6+Resumo!$B$7)+Resumo!$B$9+Resumo!$B$10*CEILING(AK$3/100,1)+(Resumo!$B$12+Resumo!$B$14)*CEILING(AK$3,1))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5" s="12" t="n">
        <f aca="false">(Y65+AL$4*(Resumo!$C$6+Resumo!$C$7+Resumo!$C$8)+Resumo!$C$10*CEILING(AL$3/100,1)+Resumo!$C$9+Resumo!$C$13+Resumo!$C$14*CEILING(AL$3,1))*(1+Resumo!$C$11)-(AL$4*(Resumo!$B$6+Resumo!$B$7)+Resumo!$B$9+Resumo!$B$10*CEILING(AL$3/100,1)+(Resumo!$B$12+Resumo!$B$14)*CEILING(AL$3,1))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5" s="12" t="n">
        <f aca="false">(Z65+AM$4*(Resumo!$C$6+Resumo!$C$7+Resumo!$C$8)+Resumo!$C$10*CEILING(AM$3/100,1)+Resumo!$C$9+Resumo!$C$13+Resumo!$C$14*CEILING(AM$3,1))*(1+Resumo!$C$11)-(AM$4*(Resumo!$B$6+Resumo!$B$7)+Resumo!$B$9+Resumo!$B$10*CEILING(AM$3/100,1)+(Resumo!$B$12+Resumo!$B$14)*CEILING(AM$3,1))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5" s="12" t="n">
        <f aca="false">(AA65+AN$4*(Resumo!$C$6+Resumo!$C$7+Resumo!$C$8)+Resumo!$C$10*CEILING(AN$3/100,1)+Resumo!$C$9+Resumo!$C$13+Resumo!$C$14*CEILING(AN$3,1))*(1+Resumo!$C$11)-(AN$4*(Resumo!$B$6+Resumo!$B$7)+Resumo!$B$9+Resumo!$B$10*CEILING(AN$3/100,1)+(Resumo!$B$12+Resumo!$B$14)*CEILING(AN$3,1))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5" s="12" t="n">
        <f aca="false">(AB65+AO$4*(Resumo!$C$6+Resumo!$C$7+Resumo!$C$8)+Resumo!$C$10*CEILING(AO$3/100,1)+Resumo!$C$9+Resumo!$C$13+Resumo!$C$14*CEILING(AO$3,1))*(1+Resumo!$C$11)-(AO$4*(Resumo!$B$6+Resumo!$B$7)+Resumo!$B$9+Resumo!$B$10*CEILING(AO$3/100,1)+(Resumo!$B$12+Resumo!$B$14)*CEILING(AO$3,1))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5" s="12" t="n">
        <f aca="false">(AC65+AP$4*(Resumo!$C$6+Resumo!$C$7+Resumo!$C$8)+Resumo!$C$10*CEILING(AP$3/100,1)+Resumo!$C$9+Resumo!$C$13+Resumo!$C$14*CEILING(AP$3,1))*(1+Resumo!$C$11)-(AP$4*(Resumo!$B$6+Resumo!$B$7)+Resumo!$B$9+Resumo!$B$10*CEILING(AP$3/100,1)+(Resumo!$B$12+Resumo!$B$14)*CEILING(AP$3,1))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5" s="12" t="n">
        <f aca="false">(AD65+AQ$4*(Resumo!$C$6+Resumo!$C$7+Resumo!$C$8)+Resumo!$C$10*CEILING(AQ$3/100,1)+Resumo!$C$9+Resumo!$C$13+Resumo!$C$14*CEILING(AQ$3,1))*(1+Resumo!$C$11)-(AQ$4*(Resumo!$B$6+Resumo!$B$7)+Resumo!$B$9+Resumo!$B$10*CEILING(AQ$3/100,1)+(Resumo!$B$12+Resumo!$B$14)*CEILING(AQ$3,1))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5" s="12" t="n">
        <f aca="false">(AE65+AR$4*(Resumo!$C$6+Resumo!$C$7+Resumo!$C$8)+Resumo!$C$10*CEILING(AR$3/100,1)+Resumo!$C$9+Resumo!$C$13+Resumo!$C$14*CEILING(AR$3,1))*(1+Resumo!$C$11)-(AR$4*(Resumo!$B$6+Resumo!$B$7)+Resumo!$B$9+Resumo!$B$10*CEILING(AR$3/100,1)+(Resumo!$B$12+Resumo!$B$14)*CEILING(AR$3,1))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5" s="12" t="n">
        <f aca="false">(AF65+AS$4*(Resumo!$C$6+Resumo!$C$7+Resumo!$C$8)+Resumo!$C$10*CEILING(AS$3/100,1)+Resumo!$C$9+Resumo!$C$13+Resumo!$C$14*CEILING(AS$3,1))*(1+Resumo!$C$11)-(AS$4*(Resumo!$B$6+Resumo!$B$7)+Resumo!$B$9+Resumo!$B$10*CEILING(AS$3/100,1)+(Resumo!$B$12+Resumo!$B$14)*CEILING(AS$3,1))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5" s="12" t="n">
        <f aca="false">(AG65+AT$4*(Resumo!$C$6+Resumo!$C$7+Resumo!$C$8)+Resumo!$C$10*CEILING(AT$3/100,1)+Resumo!$C$9+Resumo!$C$13+Resumo!$C$14*CEILING(AT$3,1))*(1+Resumo!$C$11)-(AT$4*(Resumo!$B$6+Resumo!$B$7)+Resumo!$B$9+Resumo!$B$10*CEILING(AT$3/100,1)+(Resumo!$B$12+Resumo!$B$14)*CEILING(AT$3,1))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5" s="13" t="n">
        <f aca="false">1-AH65/H65</f>
        <v>0.553790009855127</v>
      </c>
      <c r="AV65" s="13" t="n">
        <f aca="false">1-AI65/I65</f>
        <v>0.468426082913158</v>
      </c>
      <c r="AW65" s="13" t="n">
        <f aca="false">1-AJ65/J65</f>
        <v>0.424299969908939</v>
      </c>
      <c r="AX65" s="13" t="n">
        <f aca="false">1-AK65/K65</f>
        <v>0.444318235095027</v>
      </c>
      <c r="AY65" s="13" t="n">
        <f aca="false">1-AL65/L65</f>
        <v>0.44289446919564</v>
      </c>
      <c r="AZ65" s="13" t="n">
        <f aca="false">1-AM65/M65</f>
        <v>0.439248965608252</v>
      </c>
      <c r="BA65" s="13" t="n">
        <f aca="false">1-AN65/N65</f>
        <v>0.433759067609368</v>
      </c>
      <c r="BB65" s="13" t="n">
        <f aca="false">1-AO65/O65</f>
        <v>0.427042392574117</v>
      </c>
      <c r="BC65" s="13" t="n">
        <f aca="false">1-AP65/P65</f>
        <v>0.493280443868681</v>
      </c>
      <c r="BD65" s="13" t="n">
        <f aca="false">1-AQ65/Q65</f>
        <v>0.455794679894486</v>
      </c>
      <c r="BE65" s="13" t="n">
        <f aca="false">1-AR65/R65</f>
        <v>0.489018797268033</v>
      </c>
      <c r="BF65" s="13" t="n">
        <f aca="false">1-AS65/S65</f>
        <v>0.820503440269559</v>
      </c>
      <c r="BG65" s="13" t="n">
        <f aca="false">1-AT65/T65</f>
        <v>0.528263860444042</v>
      </c>
    </row>
    <row r="66" customFormat="false" ht="15" hidden="false" customHeight="false" outlineLevel="0" collapsed="false">
      <c r="A66" s="4" t="s">
        <v>215</v>
      </c>
      <c r="B66" s="4" t="s">
        <v>266</v>
      </c>
      <c r="C66" s="36" t="n">
        <v>28380000</v>
      </c>
      <c r="D66" s="36" t="n">
        <v>28389999</v>
      </c>
      <c r="E66" s="4" t="s">
        <v>198</v>
      </c>
      <c r="F66" s="4" t="s">
        <v>256</v>
      </c>
      <c r="G66" s="4" t="n">
        <f aca="false">COUNTIFS(Pedidos!$E$2:$E$2224,"&gt;="&amp;C66,Pedidos!$E$2:$E$2224,"&lt;="&amp;D66)</f>
        <v>3</v>
      </c>
      <c r="H66" s="7" t="n">
        <v>124.04</v>
      </c>
      <c r="I66" s="7" t="n">
        <v>138.29</v>
      </c>
      <c r="J66" s="7" t="n">
        <v>143.04</v>
      </c>
      <c r="K66" s="7" t="n">
        <v>152.54</v>
      </c>
      <c r="L66" s="7" t="n">
        <v>162.04</v>
      </c>
      <c r="M66" s="7" t="n">
        <v>171.54</v>
      </c>
      <c r="N66" s="7" t="n">
        <v>181.04</v>
      </c>
      <c r="O66" s="7" t="n">
        <v>200.04</v>
      </c>
      <c r="P66" s="7" t="n">
        <v>236.82</v>
      </c>
      <c r="Q66" s="7" t="n">
        <v>264.84</v>
      </c>
      <c r="R66" s="7" t="n">
        <v>300.15</v>
      </c>
      <c r="S66" s="7" t="n">
        <v>353.17</v>
      </c>
      <c r="T66" s="7" t="n">
        <v>441.4</v>
      </c>
      <c r="U66" s="7" t="n">
        <v>46.95</v>
      </c>
      <c r="V66" s="7" t="n">
        <v>65.63</v>
      </c>
      <c r="W66" s="7" t="n">
        <v>74.97</v>
      </c>
      <c r="X66" s="7" t="n">
        <v>77.7</v>
      </c>
      <c r="Y66" s="7" t="n">
        <v>83.58</v>
      </c>
      <c r="Z66" s="7" t="n">
        <v>90.2</v>
      </c>
      <c r="AA66" s="7" t="n">
        <v>96.77</v>
      </c>
      <c r="AB66" s="7" t="n">
        <v>109.63</v>
      </c>
      <c r="AC66" s="7" t="n">
        <v>119.5</v>
      </c>
      <c r="AD66" s="7" t="n">
        <v>144.24</v>
      </c>
      <c r="AE66" s="7" t="n">
        <v>155.09</v>
      </c>
      <c r="AF66" s="7" t="n">
        <v>66.69</v>
      </c>
      <c r="AG66" s="7" t="n">
        <v>214.88</v>
      </c>
      <c r="AH66" s="12" t="n">
        <f aca="false">(U66+AH$4*(Resumo!$C$6+Resumo!$C$7+Resumo!$C$8)+Resumo!$C$10*CEILING(AH$3/100,1)+Resumo!$C$9+Resumo!$C$13+Resumo!$C$14*CEILING(AH$3,1))*(1+Resumo!$C$11)-(AH$4*(Resumo!$B$6+Resumo!$B$7)+Resumo!$B$9+Resumo!$B$10*CEILING(AH$3/100,1)+(Resumo!$B$12+Resumo!$B$14)*CEILING(AH$3,1))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6" s="12" t="n">
        <f aca="false">(V66+AI$4*(Resumo!$C$6+Resumo!$C$7+Resumo!$C$8)+Resumo!$C$10*CEILING(AI$3/100,1)+Resumo!$C$9+Resumo!$C$13+Resumo!$C$14*CEILING(AI$3,1))*(1+Resumo!$C$11)-(AI$4*(Resumo!$B$6+Resumo!$B$7)+Resumo!$B$9+Resumo!$B$10*CEILING(AI$3/100,1)+(Resumo!$B$12+Resumo!$B$14)*CEILING(AI$3,1))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6" s="12" t="n">
        <f aca="false">(W66+AJ$4*(Resumo!$C$6+Resumo!$C$7+Resumo!$C$8)+Resumo!$C$10*CEILING(AJ$3/100,1)+Resumo!$C$9+Resumo!$C$13+Resumo!$C$14*CEILING(AJ$3,1))*(1+Resumo!$C$11)-(AJ$4*(Resumo!$B$6+Resumo!$B$7)+Resumo!$B$9+Resumo!$B$10*CEILING(AJ$3/100,1)+(Resumo!$B$12+Resumo!$B$14)*CEILING(AJ$3,1))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6" s="12" t="n">
        <f aca="false">(X66+AK$4*(Resumo!$C$6+Resumo!$C$7+Resumo!$C$8)+Resumo!$C$10*CEILING(AK$3/100,1)+Resumo!$C$9+Resumo!$C$13+Resumo!$C$14*CEILING(AK$3,1))*(1+Resumo!$C$11)-(AK$4*(Resumo!$B$6+Resumo!$B$7)+Resumo!$B$9+Resumo!$B$10*CEILING(AK$3/100,1)+(Resumo!$B$12+Resumo!$B$14)*CEILING(AK$3,1))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6" s="12" t="n">
        <f aca="false">(Y66+AL$4*(Resumo!$C$6+Resumo!$C$7+Resumo!$C$8)+Resumo!$C$10*CEILING(AL$3/100,1)+Resumo!$C$9+Resumo!$C$13+Resumo!$C$14*CEILING(AL$3,1))*(1+Resumo!$C$11)-(AL$4*(Resumo!$B$6+Resumo!$B$7)+Resumo!$B$9+Resumo!$B$10*CEILING(AL$3/100,1)+(Resumo!$B$12+Resumo!$B$14)*CEILING(AL$3,1))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6" s="12" t="n">
        <f aca="false">(Z66+AM$4*(Resumo!$C$6+Resumo!$C$7+Resumo!$C$8)+Resumo!$C$10*CEILING(AM$3/100,1)+Resumo!$C$9+Resumo!$C$13+Resumo!$C$14*CEILING(AM$3,1))*(1+Resumo!$C$11)-(AM$4*(Resumo!$B$6+Resumo!$B$7)+Resumo!$B$9+Resumo!$B$10*CEILING(AM$3/100,1)+(Resumo!$B$12+Resumo!$B$14)*CEILING(AM$3,1))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6" s="12" t="n">
        <f aca="false">(AA66+AN$4*(Resumo!$C$6+Resumo!$C$7+Resumo!$C$8)+Resumo!$C$10*CEILING(AN$3/100,1)+Resumo!$C$9+Resumo!$C$13+Resumo!$C$14*CEILING(AN$3,1))*(1+Resumo!$C$11)-(AN$4*(Resumo!$B$6+Resumo!$B$7)+Resumo!$B$9+Resumo!$B$10*CEILING(AN$3/100,1)+(Resumo!$B$12+Resumo!$B$14)*CEILING(AN$3,1))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6" s="12" t="n">
        <f aca="false">(AB66+AO$4*(Resumo!$C$6+Resumo!$C$7+Resumo!$C$8)+Resumo!$C$10*CEILING(AO$3/100,1)+Resumo!$C$9+Resumo!$C$13+Resumo!$C$14*CEILING(AO$3,1))*(1+Resumo!$C$11)-(AO$4*(Resumo!$B$6+Resumo!$B$7)+Resumo!$B$9+Resumo!$B$10*CEILING(AO$3/100,1)+(Resumo!$B$12+Resumo!$B$14)*CEILING(AO$3,1))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6" s="12" t="n">
        <f aca="false">(AC66+AP$4*(Resumo!$C$6+Resumo!$C$7+Resumo!$C$8)+Resumo!$C$10*CEILING(AP$3/100,1)+Resumo!$C$9+Resumo!$C$13+Resumo!$C$14*CEILING(AP$3,1))*(1+Resumo!$C$11)-(AP$4*(Resumo!$B$6+Resumo!$B$7)+Resumo!$B$9+Resumo!$B$10*CEILING(AP$3/100,1)+(Resumo!$B$12+Resumo!$B$14)*CEILING(AP$3,1))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6" s="12" t="n">
        <f aca="false">(AD66+AQ$4*(Resumo!$C$6+Resumo!$C$7+Resumo!$C$8)+Resumo!$C$10*CEILING(AQ$3/100,1)+Resumo!$C$9+Resumo!$C$13+Resumo!$C$14*CEILING(AQ$3,1))*(1+Resumo!$C$11)-(AQ$4*(Resumo!$B$6+Resumo!$B$7)+Resumo!$B$9+Resumo!$B$10*CEILING(AQ$3/100,1)+(Resumo!$B$12+Resumo!$B$14)*CEILING(AQ$3,1))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6" s="12" t="n">
        <f aca="false">(AE66+AR$4*(Resumo!$C$6+Resumo!$C$7+Resumo!$C$8)+Resumo!$C$10*CEILING(AR$3/100,1)+Resumo!$C$9+Resumo!$C$13+Resumo!$C$14*CEILING(AR$3,1))*(1+Resumo!$C$11)-(AR$4*(Resumo!$B$6+Resumo!$B$7)+Resumo!$B$9+Resumo!$B$10*CEILING(AR$3/100,1)+(Resumo!$B$12+Resumo!$B$14)*CEILING(AR$3,1))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6" s="12" t="n">
        <f aca="false">(AF66+AS$4*(Resumo!$C$6+Resumo!$C$7+Resumo!$C$8)+Resumo!$C$10*CEILING(AS$3/100,1)+Resumo!$C$9+Resumo!$C$13+Resumo!$C$14*CEILING(AS$3,1))*(1+Resumo!$C$11)-(AS$4*(Resumo!$B$6+Resumo!$B$7)+Resumo!$B$9+Resumo!$B$10*CEILING(AS$3/100,1)+(Resumo!$B$12+Resumo!$B$14)*CEILING(AS$3,1))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6" s="12" t="n">
        <f aca="false">(AG66+AT$4*(Resumo!$C$6+Resumo!$C$7+Resumo!$C$8)+Resumo!$C$10*CEILING(AT$3/100,1)+Resumo!$C$9+Resumo!$C$13+Resumo!$C$14*CEILING(AT$3,1))*(1+Resumo!$C$11)-(AT$4*(Resumo!$B$6+Resumo!$B$7)+Resumo!$B$9+Resumo!$B$10*CEILING(AT$3/100,1)+(Resumo!$B$12+Resumo!$B$14)*CEILING(AT$3,1))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6" s="13" t="n">
        <f aca="false">1-AH66/H66</f>
        <v>0.553790009855127</v>
      </c>
      <c r="AV66" s="13" t="n">
        <f aca="false">1-AI66/I66</f>
        <v>0.468426082913158</v>
      </c>
      <c r="AW66" s="13" t="n">
        <f aca="false">1-AJ66/J66</f>
        <v>0.424299969908939</v>
      </c>
      <c r="AX66" s="13" t="n">
        <f aca="false">1-AK66/K66</f>
        <v>0.444318235095027</v>
      </c>
      <c r="AY66" s="13" t="n">
        <f aca="false">1-AL66/L66</f>
        <v>0.44289446919564</v>
      </c>
      <c r="AZ66" s="13" t="n">
        <f aca="false">1-AM66/M66</f>
        <v>0.439248965608252</v>
      </c>
      <c r="BA66" s="13" t="n">
        <f aca="false">1-AN66/N66</f>
        <v>0.433759067609368</v>
      </c>
      <c r="BB66" s="13" t="n">
        <f aca="false">1-AO66/O66</f>
        <v>0.427042392574117</v>
      </c>
      <c r="BC66" s="13" t="n">
        <f aca="false">1-AP66/P66</f>
        <v>0.493280443868681</v>
      </c>
      <c r="BD66" s="13" t="n">
        <f aca="false">1-AQ66/Q66</f>
        <v>0.455794679894486</v>
      </c>
      <c r="BE66" s="13" t="n">
        <f aca="false">1-AR66/R66</f>
        <v>0.489018797268033</v>
      </c>
      <c r="BF66" s="13" t="n">
        <f aca="false">1-AS66/S66</f>
        <v>0.820503440269559</v>
      </c>
      <c r="BG66" s="13" t="n">
        <f aca="false">1-AT66/T66</f>
        <v>0.528263860444042</v>
      </c>
    </row>
    <row r="67" customFormat="false" ht="15" hidden="false" customHeight="false" outlineLevel="0" collapsed="false">
      <c r="A67" s="4" t="s">
        <v>215</v>
      </c>
      <c r="B67" s="4" t="s">
        <v>267</v>
      </c>
      <c r="C67" s="36" t="n">
        <v>28390000</v>
      </c>
      <c r="D67" s="36" t="n">
        <v>28399999</v>
      </c>
      <c r="E67" s="4" t="s">
        <v>198</v>
      </c>
      <c r="F67" s="4" t="s">
        <v>256</v>
      </c>
      <c r="G67" s="4" t="n">
        <f aca="false">COUNTIFS(Pedidos!$E$2:$E$2224,"&gt;="&amp;C67,Pedidos!$E$2:$E$2224,"&lt;="&amp;D67)</f>
        <v>0</v>
      </c>
      <c r="H67" s="7" t="n">
        <v>124.04</v>
      </c>
      <c r="I67" s="7" t="n">
        <v>138.29</v>
      </c>
      <c r="J67" s="7" t="n">
        <v>143.04</v>
      </c>
      <c r="K67" s="7" t="n">
        <v>152.54</v>
      </c>
      <c r="L67" s="7" t="n">
        <v>162.04</v>
      </c>
      <c r="M67" s="7" t="n">
        <v>171.54</v>
      </c>
      <c r="N67" s="7" t="n">
        <v>181.04</v>
      </c>
      <c r="O67" s="7" t="n">
        <v>200.04</v>
      </c>
      <c r="P67" s="7" t="n">
        <v>236.82</v>
      </c>
      <c r="Q67" s="7" t="n">
        <v>264.84</v>
      </c>
      <c r="R67" s="7" t="n">
        <v>300.15</v>
      </c>
      <c r="S67" s="7" t="n">
        <v>353.17</v>
      </c>
      <c r="T67" s="7" t="n">
        <v>441.4</v>
      </c>
      <c r="U67" s="7" t="n">
        <v>46.95</v>
      </c>
      <c r="V67" s="7" t="n">
        <v>65.63</v>
      </c>
      <c r="W67" s="7" t="n">
        <v>74.97</v>
      </c>
      <c r="X67" s="7" t="n">
        <v>77.7</v>
      </c>
      <c r="Y67" s="7" t="n">
        <v>83.58</v>
      </c>
      <c r="Z67" s="7" t="n">
        <v>90.2</v>
      </c>
      <c r="AA67" s="7" t="n">
        <v>96.77</v>
      </c>
      <c r="AB67" s="7" t="n">
        <v>109.63</v>
      </c>
      <c r="AC67" s="7" t="n">
        <v>119.5</v>
      </c>
      <c r="AD67" s="7" t="n">
        <v>144.24</v>
      </c>
      <c r="AE67" s="7" t="n">
        <v>155.09</v>
      </c>
      <c r="AF67" s="7" t="n">
        <v>66.69</v>
      </c>
      <c r="AG67" s="7" t="n">
        <v>214.88</v>
      </c>
      <c r="AH67" s="12" t="n">
        <f aca="false">(U67+AH$4*(Resumo!$C$6+Resumo!$C$7+Resumo!$C$8)+Resumo!$C$10*CEILING(AH$3/100,1)+Resumo!$C$9+Resumo!$C$13+Resumo!$C$14*CEILING(AH$3,1))*(1+Resumo!$C$11)-(AH$4*(Resumo!$B$6+Resumo!$B$7)+Resumo!$B$9+Resumo!$B$10*CEILING(AH$3/100,1)+(Resumo!$B$12+Resumo!$B$14)*CEILING(AH$3,1))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7" s="12" t="n">
        <f aca="false">(V67+AI$4*(Resumo!$C$6+Resumo!$C$7+Resumo!$C$8)+Resumo!$C$10*CEILING(AI$3/100,1)+Resumo!$C$9+Resumo!$C$13+Resumo!$C$14*CEILING(AI$3,1))*(1+Resumo!$C$11)-(AI$4*(Resumo!$B$6+Resumo!$B$7)+Resumo!$B$9+Resumo!$B$10*CEILING(AI$3/100,1)+(Resumo!$B$12+Resumo!$B$14)*CEILING(AI$3,1))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7" s="12" t="n">
        <f aca="false">(W67+AJ$4*(Resumo!$C$6+Resumo!$C$7+Resumo!$C$8)+Resumo!$C$10*CEILING(AJ$3/100,1)+Resumo!$C$9+Resumo!$C$13+Resumo!$C$14*CEILING(AJ$3,1))*(1+Resumo!$C$11)-(AJ$4*(Resumo!$B$6+Resumo!$B$7)+Resumo!$B$9+Resumo!$B$10*CEILING(AJ$3/100,1)+(Resumo!$B$12+Resumo!$B$14)*CEILING(AJ$3,1))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7" s="12" t="n">
        <f aca="false">(X67+AK$4*(Resumo!$C$6+Resumo!$C$7+Resumo!$C$8)+Resumo!$C$10*CEILING(AK$3/100,1)+Resumo!$C$9+Resumo!$C$13+Resumo!$C$14*CEILING(AK$3,1))*(1+Resumo!$C$11)-(AK$4*(Resumo!$B$6+Resumo!$B$7)+Resumo!$B$9+Resumo!$B$10*CEILING(AK$3/100,1)+(Resumo!$B$12+Resumo!$B$14)*CEILING(AK$3,1))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7" s="12" t="n">
        <f aca="false">(Y67+AL$4*(Resumo!$C$6+Resumo!$C$7+Resumo!$C$8)+Resumo!$C$10*CEILING(AL$3/100,1)+Resumo!$C$9+Resumo!$C$13+Resumo!$C$14*CEILING(AL$3,1))*(1+Resumo!$C$11)-(AL$4*(Resumo!$B$6+Resumo!$B$7)+Resumo!$B$9+Resumo!$B$10*CEILING(AL$3/100,1)+(Resumo!$B$12+Resumo!$B$14)*CEILING(AL$3,1))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7" s="12" t="n">
        <f aca="false">(Z67+AM$4*(Resumo!$C$6+Resumo!$C$7+Resumo!$C$8)+Resumo!$C$10*CEILING(AM$3/100,1)+Resumo!$C$9+Resumo!$C$13+Resumo!$C$14*CEILING(AM$3,1))*(1+Resumo!$C$11)-(AM$4*(Resumo!$B$6+Resumo!$B$7)+Resumo!$B$9+Resumo!$B$10*CEILING(AM$3/100,1)+(Resumo!$B$12+Resumo!$B$14)*CEILING(AM$3,1))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7" s="12" t="n">
        <f aca="false">(AA67+AN$4*(Resumo!$C$6+Resumo!$C$7+Resumo!$C$8)+Resumo!$C$10*CEILING(AN$3/100,1)+Resumo!$C$9+Resumo!$C$13+Resumo!$C$14*CEILING(AN$3,1))*(1+Resumo!$C$11)-(AN$4*(Resumo!$B$6+Resumo!$B$7)+Resumo!$B$9+Resumo!$B$10*CEILING(AN$3/100,1)+(Resumo!$B$12+Resumo!$B$14)*CEILING(AN$3,1))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7" s="12" t="n">
        <f aca="false">(AB67+AO$4*(Resumo!$C$6+Resumo!$C$7+Resumo!$C$8)+Resumo!$C$10*CEILING(AO$3/100,1)+Resumo!$C$9+Resumo!$C$13+Resumo!$C$14*CEILING(AO$3,1))*(1+Resumo!$C$11)-(AO$4*(Resumo!$B$6+Resumo!$B$7)+Resumo!$B$9+Resumo!$B$10*CEILING(AO$3/100,1)+(Resumo!$B$12+Resumo!$B$14)*CEILING(AO$3,1))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7" s="12" t="n">
        <f aca="false">(AC67+AP$4*(Resumo!$C$6+Resumo!$C$7+Resumo!$C$8)+Resumo!$C$10*CEILING(AP$3/100,1)+Resumo!$C$9+Resumo!$C$13+Resumo!$C$14*CEILING(AP$3,1))*(1+Resumo!$C$11)-(AP$4*(Resumo!$B$6+Resumo!$B$7)+Resumo!$B$9+Resumo!$B$10*CEILING(AP$3/100,1)+(Resumo!$B$12+Resumo!$B$14)*CEILING(AP$3,1))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7" s="12" t="n">
        <f aca="false">(AD67+AQ$4*(Resumo!$C$6+Resumo!$C$7+Resumo!$C$8)+Resumo!$C$10*CEILING(AQ$3/100,1)+Resumo!$C$9+Resumo!$C$13+Resumo!$C$14*CEILING(AQ$3,1))*(1+Resumo!$C$11)-(AQ$4*(Resumo!$B$6+Resumo!$B$7)+Resumo!$B$9+Resumo!$B$10*CEILING(AQ$3/100,1)+(Resumo!$B$12+Resumo!$B$14)*CEILING(AQ$3,1))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7" s="12" t="n">
        <f aca="false">(AE67+AR$4*(Resumo!$C$6+Resumo!$C$7+Resumo!$C$8)+Resumo!$C$10*CEILING(AR$3/100,1)+Resumo!$C$9+Resumo!$C$13+Resumo!$C$14*CEILING(AR$3,1))*(1+Resumo!$C$11)-(AR$4*(Resumo!$B$6+Resumo!$B$7)+Resumo!$B$9+Resumo!$B$10*CEILING(AR$3/100,1)+(Resumo!$B$12+Resumo!$B$14)*CEILING(AR$3,1))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7" s="12" t="n">
        <f aca="false">(AF67+AS$4*(Resumo!$C$6+Resumo!$C$7+Resumo!$C$8)+Resumo!$C$10*CEILING(AS$3/100,1)+Resumo!$C$9+Resumo!$C$13+Resumo!$C$14*CEILING(AS$3,1))*(1+Resumo!$C$11)-(AS$4*(Resumo!$B$6+Resumo!$B$7)+Resumo!$B$9+Resumo!$B$10*CEILING(AS$3/100,1)+(Resumo!$B$12+Resumo!$B$14)*CEILING(AS$3,1))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7" s="12" t="n">
        <f aca="false">(AG67+AT$4*(Resumo!$C$6+Resumo!$C$7+Resumo!$C$8)+Resumo!$C$10*CEILING(AT$3/100,1)+Resumo!$C$9+Resumo!$C$13+Resumo!$C$14*CEILING(AT$3,1))*(1+Resumo!$C$11)-(AT$4*(Resumo!$B$6+Resumo!$B$7)+Resumo!$B$9+Resumo!$B$10*CEILING(AT$3/100,1)+(Resumo!$B$12+Resumo!$B$14)*CEILING(AT$3,1))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7" s="13" t="n">
        <f aca="false">1-AH67/H67</f>
        <v>0.553790009855127</v>
      </c>
      <c r="AV67" s="13" t="n">
        <f aca="false">1-AI67/I67</f>
        <v>0.468426082913158</v>
      </c>
      <c r="AW67" s="13" t="n">
        <f aca="false">1-AJ67/J67</f>
        <v>0.424299969908939</v>
      </c>
      <c r="AX67" s="13" t="n">
        <f aca="false">1-AK67/K67</f>
        <v>0.444318235095027</v>
      </c>
      <c r="AY67" s="13" t="n">
        <f aca="false">1-AL67/L67</f>
        <v>0.44289446919564</v>
      </c>
      <c r="AZ67" s="13" t="n">
        <f aca="false">1-AM67/M67</f>
        <v>0.439248965608252</v>
      </c>
      <c r="BA67" s="13" t="n">
        <f aca="false">1-AN67/N67</f>
        <v>0.433759067609368</v>
      </c>
      <c r="BB67" s="13" t="n">
        <f aca="false">1-AO67/O67</f>
        <v>0.427042392574117</v>
      </c>
      <c r="BC67" s="13" t="n">
        <f aca="false">1-AP67/P67</f>
        <v>0.493280443868681</v>
      </c>
      <c r="BD67" s="13" t="n">
        <f aca="false">1-AQ67/Q67</f>
        <v>0.455794679894486</v>
      </c>
      <c r="BE67" s="13" t="n">
        <f aca="false">1-AR67/R67</f>
        <v>0.489018797268033</v>
      </c>
      <c r="BF67" s="13" t="n">
        <f aca="false">1-AS67/S67</f>
        <v>0.820503440269559</v>
      </c>
      <c r="BG67" s="13" t="n">
        <f aca="false">1-AT67/T67</f>
        <v>0.528263860444042</v>
      </c>
    </row>
    <row r="68" customFormat="false" ht="15" hidden="false" customHeight="false" outlineLevel="0" collapsed="false">
      <c r="A68" s="4" t="s">
        <v>215</v>
      </c>
      <c r="B68" s="4" t="s">
        <v>268</v>
      </c>
      <c r="C68" s="36" t="n">
        <v>28400000</v>
      </c>
      <c r="D68" s="36" t="n">
        <v>28429999</v>
      </c>
      <c r="E68" s="4" t="s">
        <v>198</v>
      </c>
      <c r="F68" s="4" t="s">
        <v>256</v>
      </c>
      <c r="G68" s="4" t="n">
        <f aca="false">COUNTIFS(Pedidos!$E$2:$E$2224,"&gt;="&amp;C68,Pedidos!$E$2:$E$2224,"&lt;="&amp;D68)</f>
        <v>4</v>
      </c>
      <c r="H68" s="7" t="n">
        <v>124.04</v>
      </c>
      <c r="I68" s="7" t="n">
        <v>138.29</v>
      </c>
      <c r="J68" s="7" t="n">
        <v>143.04</v>
      </c>
      <c r="K68" s="7" t="n">
        <v>152.54</v>
      </c>
      <c r="L68" s="7" t="n">
        <v>162.04</v>
      </c>
      <c r="M68" s="7" t="n">
        <v>171.54</v>
      </c>
      <c r="N68" s="7" t="n">
        <v>181.04</v>
      </c>
      <c r="O68" s="7" t="n">
        <v>200.04</v>
      </c>
      <c r="P68" s="7" t="n">
        <v>236.82</v>
      </c>
      <c r="Q68" s="7" t="n">
        <v>264.84</v>
      </c>
      <c r="R68" s="7" t="n">
        <v>300.15</v>
      </c>
      <c r="S68" s="7" t="n">
        <v>353.17</v>
      </c>
      <c r="T68" s="7" t="n">
        <v>441.4</v>
      </c>
      <c r="U68" s="7" t="n">
        <v>46.95</v>
      </c>
      <c r="V68" s="7" t="n">
        <v>65.63</v>
      </c>
      <c r="W68" s="7" t="n">
        <v>74.97</v>
      </c>
      <c r="X68" s="7" t="n">
        <v>77.7</v>
      </c>
      <c r="Y68" s="7" t="n">
        <v>83.58</v>
      </c>
      <c r="Z68" s="7" t="n">
        <v>90.2</v>
      </c>
      <c r="AA68" s="7" t="n">
        <v>96.77</v>
      </c>
      <c r="AB68" s="7" t="n">
        <v>109.63</v>
      </c>
      <c r="AC68" s="7" t="n">
        <v>119.5</v>
      </c>
      <c r="AD68" s="7" t="n">
        <v>144.24</v>
      </c>
      <c r="AE68" s="7" t="n">
        <v>155.09</v>
      </c>
      <c r="AF68" s="7" t="n">
        <v>66.69</v>
      </c>
      <c r="AG68" s="7" t="n">
        <v>214.88</v>
      </c>
      <c r="AH68" s="12" t="n">
        <f aca="false">(U68+AH$4*(Resumo!$C$6+Resumo!$C$7+Resumo!$C$8)+Resumo!$C$10*CEILING(AH$3/100,1)+Resumo!$C$9+Resumo!$C$13+Resumo!$C$14*CEILING(AH$3,1))*(1+Resumo!$C$11)-(AH$4*(Resumo!$B$6+Resumo!$B$7)+Resumo!$B$9+Resumo!$B$10*CEILING(AH$3/100,1)+(Resumo!$B$12+Resumo!$B$14)*CEILING(AH$3,1))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8" s="12" t="n">
        <f aca="false">(V68+AI$4*(Resumo!$C$6+Resumo!$C$7+Resumo!$C$8)+Resumo!$C$10*CEILING(AI$3/100,1)+Resumo!$C$9+Resumo!$C$13+Resumo!$C$14*CEILING(AI$3,1))*(1+Resumo!$C$11)-(AI$4*(Resumo!$B$6+Resumo!$B$7)+Resumo!$B$9+Resumo!$B$10*CEILING(AI$3/100,1)+(Resumo!$B$12+Resumo!$B$14)*CEILING(AI$3,1))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8" s="12" t="n">
        <f aca="false">(W68+AJ$4*(Resumo!$C$6+Resumo!$C$7+Resumo!$C$8)+Resumo!$C$10*CEILING(AJ$3/100,1)+Resumo!$C$9+Resumo!$C$13+Resumo!$C$14*CEILING(AJ$3,1))*(1+Resumo!$C$11)-(AJ$4*(Resumo!$B$6+Resumo!$B$7)+Resumo!$B$9+Resumo!$B$10*CEILING(AJ$3/100,1)+(Resumo!$B$12+Resumo!$B$14)*CEILING(AJ$3,1))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8" s="12" t="n">
        <f aca="false">(X68+AK$4*(Resumo!$C$6+Resumo!$C$7+Resumo!$C$8)+Resumo!$C$10*CEILING(AK$3/100,1)+Resumo!$C$9+Resumo!$C$13+Resumo!$C$14*CEILING(AK$3,1))*(1+Resumo!$C$11)-(AK$4*(Resumo!$B$6+Resumo!$B$7)+Resumo!$B$9+Resumo!$B$10*CEILING(AK$3/100,1)+(Resumo!$B$12+Resumo!$B$14)*CEILING(AK$3,1))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8" s="12" t="n">
        <f aca="false">(Y68+AL$4*(Resumo!$C$6+Resumo!$C$7+Resumo!$C$8)+Resumo!$C$10*CEILING(AL$3/100,1)+Resumo!$C$9+Resumo!$C$13+Resumo!$C$14*CEILING(AL$3,1))*(1+Resumo!$C$11)-(AL$4*(Resumo!$B$6+Resumo!$B$7)+Resumo!$B$9+Resumo!$B$10*CEILING(AL$3/100,1)+(Resumo!$B$12+Resumo!$B$14)*CEILING(AL$3,1))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8" s="12" t="n">
        <f aca="false">(Z68+AM$4*(Resumo!$C$6+Resumo!$C$7+Resumo!$C$8)+Resumo!$C$10*CEILING(AM$3/100,1)+Resumo!$C$9+Resumo!$C$13+Resumo!$C$14*CEILING(AM$3,1))*(1+Resumo!$C$11)-(AM$4*(Resumo!$B$6+Resumo!$B$7)+Resumo!$B$9+Resumo!$B$10*CEILING(AM$3/100,1)+(Resumo!$B$12+Resumo!$B$14)*CEILING(AM$3,1))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8" s="12" t="n">
        <f aca="false">(AA68+AN$4*(Resumo!$C$6+Resumo!$C$7+Resumo!$C$8)+Resumo!$C$10*CEILING(AN$3/100,1)+Resumo!$C$9+Resumo!$C$13+Resumo!$C$14*CEILING(AN$3,1))*(1+Resumo!$C$11)-(AN$4*(Resumo!$B$6+Resumo!$B$7)+Resumo!$B$9+Resumo!$B$10*CEILING(AN$3/100,1)+(Resumo!$B$12+Resumo!$B$14)*CEILING(AN$3,1))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8" s="12" t="n">
        <f aca="false">(AB68+AO$4*(Resumo!$C$6+Resumo!$C$7+Resumo!$C$8)+Resumo!$C$10*CEILING(AO$3/100,1)+Resumo!$C$9+Resumo!$C$13+Resumo!$C$14*CEILING(AO$3,1))*(1+Resumo!$C$11)-(AO$4*(Resumo!$B$6+Resumo!$B$7)+Resumo!$B$9+Resumo!$B$10*CEILING(AO$3/100,1)+(Resumo!$B$12+Resumo!$B$14)*CEILING(AO$3,1))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8" s="12" t="n">
        <f aca="false">(AC68+AP$4*(Resumo!$C$6+Resumo!$C$7+Resumo!$C$8)+Resumo!$C$10*CEILING(AP$3/100,1)+Resumo!$C$9+Resumo!$C$13+Resumo!$C$14*CEILING(AP$3,1))*(1+Resumo!$C$11)-(AP$4*(Resumo!$B$6+Resumo!$B$7)+Resumo!$B$9+Resumo!$B$10*CEILING(AP$3/100,1)+(Resumo!$B$12+Resumo!$B$14)*CEILING(AP$3,1))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8" s="12" t="n">
        <f aca="false">(AD68+AQ$4*(Resumo!$C$6+Resumo!$C$7+Resumo!$C$8)+Resumo!$C$10*CEILING(AQ$3/100,1)+Resumo!$C$9+Resumo!$C$13+Resumo!$C$14*CEILING(AQ$3,1))*(1+Resumo!$C$11)-(AQ$4*(Resumo!$B$6+Resumo!$B$7)+Resumo!$B$9+Resumo!$B$10*CEILING(AQ$3/100,1)+(Resumo!$B$12+Resumo!$B$14)*CEILING(AQ$3,1))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8" s="12" t="n">
        <f aca="false">(AE68+AR$4*(Resumo!$C$6+Resumo!$C$7+Resumo!$C$8)+Resumo!$C$10*CEILING(AR$3/100,1)+Resumo!$C$9+Resumo!$C$13+Resumo!$C$14*CEILING(AR$3,1))*(1+Resumo!$C$11)-(AR$4*(Resumo!$B$6+Resumo!$B$7)+Resumo!$B$9+Resumo!$B$10*CEILING(AR$3/100,1)+(Resumo!$B$12+Resumo!$B$14)*CEILING(AR$3,1))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8" s="12" t="n">
        <f aca="false">(AF68+AS$4*(Resumo!$C$6+Resumo!$C$7+Resumo!$C$8)+Resumo!$C$10*CEILING(AS$3/100,1)+Resumo!$C$9+Resumo!$C$13+Resumo!$C$14*CEILING(AS$3,1))*(1+Resumo!$C$11)-(AS$4*(Resumo!$B$6+Resumo!$B$7)+Resumo!$B$9+Resumo!$B$10*CEILING(AS$3/100,1)+(Resumo!$B$12+Resumo!$B$14)*CEILING(AS$3,1))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8" s="12" t="n">
        <f aca="false">(AG68+AT$4*(Resumo!$C$6+Resumo!$C$7+Resumo!$C$8)+Resumo!$C$10*CEILING(AT$3/100,1)+Resumo!$C$9+Resumo!$C$13+Resumo!$C$14*CEILING(AT$3,1))*(1+Resumo!$C$11)-(AT$4*(Resumo!$B$6+Resumo!$B$7)+Resumo!$B$9+Resumo!$B$10*CEILING(AT$3/100,1)+(Resumo!$B$12+Resumo!$B$14)*CEILING(AT$3,1))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8" s="13" t="n">
        <f aca="false">1-AH68/H68</f>
        <v>0.553790009855127</v>
      </c>
      <c r="AV68" s="13" t="n">
        <f aca="false">1-AI68/I68</f>
        <v>0.468426082913158</v>
      </c>
      <c r="AW68" s="13" t="n">
        <f aca="false">1-AJ68/J68</f>
        <v>0.424299969908939</v>
      </c>
      <c r="AX68" s="13" t="n">
        <f aca="false">1-AK68/K68</f>
        <v>0.444318235095027</v>
      </c>
      <c r="AY68" s="13" t="n">
        <f aca="false">1-AL68/L68</f>
        <v>0.44289446919564</v>
      </c>
      <c r="AZ68" s="13" t="n">
        <f aca="false">1-AM68/M68</f>
        <v>0.439248965608252</v>
      </c>
      <c r="BA68" s="13" t="n">
        <f aca="false">1-AN68/N68</f>
        <v>0.433759067609368</v>
      </c>
      <c r="BB68" s="13" t="n">
        <f aca="false">1-AO68/O68</f>
        <v>0.427042392574117</v>
      </c>
      <c r="BC68" s="13" t="n">
        <f aca="false">1-AP68/P68</f>
        <v>0.493280443868681</v>
      </c>
      <c r="BD68" s="13" t="n">
        <f aca="false">1-AQ68/Q68</f>
        <v>0.455794679894486</v>
      </c>
      <c r="BE68" s="13" t="n">
        <f aca="false">1-AR68/R68</f>
        <v>0.489018797268033</v>
      </c>
      <c r="BF68" s="13" t="n">
        <f aca="false">1-AS68/S68</f>
        <v>0.820503440269559</v>
      </c>
      <c r="BG68" s="13" t="n">
        <f aca="false">1-AT68/T68</f>
        <v>0.528263860444042</v>
      </c>
    </row>
    <row r="69" customFormat="false" ht="15" hidden="false" customHeight="false" outlineLevel="0" collapsed="false">
      <c r="A69" s="4" t="s">
        <v>215</v>
      </c>
      <c r="B69" s="4" t="s">
        <v>269</v>
      </c>
      <c r="C69" s="36" t="n">
        <v>28430000</v>
      </c>
      <c r="D69" s="36" t="n">
        <v>28454999</v>
      </c>
      <c r="E69" s="4" t="s">
        <v>198</v>
      </c>
      <c r="F69" s="4" t="s">
        <v>256</v>
      </c>
      <c r="G69" s="4" t="n">
        <f aca="false">COUNTIFS(Pedidos!$E$2:$E$2224,"&gt;="&amp;C69,Pedidos!$E$2:$E$2224,"&lt;="&amp;D69)</f>
        <v>1</v>
      </c>
      <c r="H69" s="7" t="n">
        <v>124.04</v>
      </c>
      <c r="I69" s="7" t="n">
        <v>138.29</v>
      </c>
      <c r="J69" s="7" t="n">
        <v>143.04</v>
      </c>
      <c r="K69" s="7" t="n">
        <v>152.54</v>
      </c>
      <c r="L69" s="7" t="n">
        <v>162.04</v>
      </c>
      <c r="M69" s="7" t="n">
        <v>171.54</v>
      </c>
      <c r="N69" s="7" t="n">
        <v>181.04</v>
      </c>
      <c r="O69" s="7" t="n">
        <v>200.04</v>
      </c>
      <c r="P69" s="7" t="n">
        <v>236.82</v>
      </c>
      <c r="Q69" s="7" t="n">
        <v>264.84</v>
      </c>
      <c r="R69" s="7" t="n">
        <v>300.15</v>
      </c>
      <c r="S69" s="7" t="n">
        <v>353.17</v>
      </c>
      <c r="T69" s="7" t="n">
        <v>441.4</v>
      </c>
      <c r="U69" s="7" t="n">
        <v>46.95</v>
      </c>
      <c r="V69" s="7" t="n">
        <v>65.63</v>
      </c>
      <c r="W69" s="7" t="n">
        <v>74.97</v>
      </c>
      <c r="X69" s="7" t="n">
        <v>77.7</v>
      </c>
      <c r="Y69" s="7" t="n">
        <v>83.58</v>
      </c>
      <c r="Z69" s="7" t="n">
        <v>90.2</v>
      </c>
      <c r="AA69" s="7" t="n">
        <v>96.77</v>
      </c>
      <c r="AB69" s="7" t="n">
        <v>109.63</v>
      </c>
      <c r="AC69" s="7" t="n">
        <v>119.5</v>
      </c>
      <c r="AD69" s="7" t="n">
        <v>144.24</v>
      </c>
      <c r="AE69" s="7" t="n">
        <v>155.09</v>
      </c>
      <c r="AF69" s="7" t="n">
        <v>66.69</v>
      </c>
      <c r="AG69" s="7" t="n">
        <v>214.88</v>
      </c>
      <c r="AH69" s="12" t="n">
        <f aca="false">(U69+AH$4*(Resumo!$C$6+Resumo!$C$7+Resumo!$C$8)+Resumo!$C$10*CEILING(AH$3/100,1)+Resumo!$C$9+Resumo!$C$13+Resumo!$C$14*CEILING(AH$3,1))*(1+Resumo!$C$11)-(AH$4*(Resumo!$B$6+Resumo!$B$7)+Resumo!$B$9+Resumo!$B$10*CEILING(AH$3/100,1)+(Resumo!$B$12+Resumo!$B$14)*CEILING(AH$3,1))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69" s="12" t="n">
        <f aca="false">(V69+AI$4*(Resumo!$C$6+Resumo!$C$7+Resumo!$C$8)+Resumo!$C$10*CEILING(AI$3/100,1)+Resumo!$C$9+Resumo!$C$13+Resumo!$C$14*CEILING(AI$3,1))*(1+Resumo!$C$11)-(AI$4*(Resumo!$B$6+Resumo!$B$7)+Resumo!$B$9+Resumo!$B$10*CEILING(AI$3/100,1)+(Resumo!$B$12+Resumo!$B$14)*CEILING(AI$3,1))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69" s="12" t="n">
        <f aca="false">(W69+AJ$4*(Resumo!$C$6+Resumo!$C$7+Resumo!$C$8)+Resumo!$C$10*CEILING(AJ$3/100,1)+Resumo!$C$9+Resumo!$C$13+Resumo!$C$14*CEILING(AJ$3,1))*(1+Resumo!$C$11)-(AJ$4*(Resumo!$B$6+Resumo!$B$7)+Resumo!$B$9+Resumo!$B$10*CEILING(AJ$3/100,1)+(Resumo!$B$12+Resumo!$B$14)*CEILING(AJ$3,1))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69" s="12" t="n">
        <f aca="false">(X69+AK$4*(Resumo!$C$6+Resumo!$C$7+Resumo!$C$8)+Resumo!$C$10*CEILING(AK$3/100,1)+Resumo!$C$9+Resumo!$C$13+Resumo!$C$14*CEILING(AK$3,1))*(1+Resumo!$C$11)-(AK$4*(Resumo!$B$6+Resumo!$B$7)+Resumo!$B$9+Resumo!$B$10*CEILING(AK$3/100,1)+(Resumo!$B$12+Resumo!$B$14)*CEILING(AK$3,1))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69" s="12" t="n">
        <f aca="false">(Y69+AL$4*(Resumo!$C$6+Resumo!$C$7+Resumo!$C$8)+Resumo!$C$10*CEILING(AL$3/100,1)+Resumo!$C$9+Resumo!$C$13+Resumo!$C$14*CEILING(AL$3,1))*(1+Resumo!$C$11)-(AL$4*(Resumo!$B$6+Resumo!$B$7)+Resumo!$B$9+Resumo!$B$10*CEILING(AL$3/100,1)+(Resumo!$B$12+Resumo!$B$14)*CEILING(AL$3,1))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69" s="12" t="n">
        <f aca="false">(Z69+AM$4*(Resumo!$C$6+Resumo!$C$7+Resumo!$C$8)+Resumo!$C$10*CEILING(AM$3/100,1)+Resumo!$C$9+Resumo!$C$13+Resumo!$C$14*CEILING(AM$3,1))*(1+Resumo!$C$11)-(AM$4*(Resumo!$B$6+Resumo!$B$7)+Resumo!$B$9+Resumo!$B$10*CEILING(AM$3/100,1)+(Resumo!$B$12+Resumo!$B$14)*CEILING(AM$3,1))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69" s="12" t="n">
        <f aca="false">(AA69+AN$4*(Resumo!$C$6+Resumo!$C$7+Resumo!$C$8)+Resumo!$C$10*CEILING(AN$3/100,1)+Resumo!$C$9+Resumo!$C$13+Resumo!$C$14*CEILING(AN$3,1))*(1+Resumo!$C$11)-(AN$4*(Resumo!$B$6+Resumo!$B$7)+Resumo!$B$9+Resumo!$B$10*CEILING(AN$3/100,1)+(Resumo!$B$12+Resumo!$B$14)*CEILING(AN$3,1))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69" s="12" t="n">
        <f aca="false">(AB69+AO$4*(Resumo!$C$6+Resumo!$C$7+Resumo!$C$8)+Resumo!$C$10*CEILING(AO$3/100,1)+Resumo!$C$9+Resumo!$C$13+Resumo!$C$14*CEILING(AO$3,1))*(1+Resumo!$C$11)-(AO$4*(Resumo!$B$6+Resumo!$B$7)+Resumo!$B$9+Resumo!$B$10*CEILING(AO$3/100,1)+(Resumo!$B$12+Resumo!$B$14)*CEILING(AO$3,1))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69" s="12" t="n">
        <f aca="false">(AC69+AP$4*(Resumo!$C$6+Resumo!$C$7+Resumo!$C$8)+Resumo!$C$10*CEILING(AP$3/100,1)+Resumo!$C$9+Resumo!$C$13+Resumo!$C$14*CEILING(AP$3,1))*(1+Resumo!$C$11)-(AP$4*(Resumo!$B$6+Resumo!$B$7)+Resumo!$B$9+Resumo!$B$10*CEILING(AP$3/100,1)+(Resumo!$B$12+Resumo!$B$14)*CEILING(AP$3,1))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69" s="12" t="n">
        <f aca="false">(AD69+AQ$4*(Resumo!$C$6+Resumo!$C$7+Resumo!$C$8)+Resumo!$C$10*CEILING(AQ$3/100,1)+Resumo!$C$9+Resumo!$C$13+Resumo!$C$14*CEILING(AQ$3,1))*(1+Resumo!$C$11)-(AQ$4*(Resumo!$B$6+Resumo!$B$7)+Resumo!$B$9+Resumo!$B$10*CEILING(AQ$3/100,1)+(Resumo!$B$12+Resumo!$B$14)*CEILING(AQ$3,1))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69" s="12" t="n">
        <f aca="false">(AE69+AR$4*(Resumo!$C$6+Resumo!$C$7+Resumo!$C$8)+Resumo!$C$10*CEILING(AR$3/100,1)+Resumo!$C$9+Resumo!$C$13+Resumo!$C$14*CEILING(AR$3,1))*(1+Resumo!$C$11)-(AR$4*(Resumo!$B$6+Resumo!$B$7)+Resumo!$B$9+Resumo!$B$10*CEILING(AR$3/100,1)+(Resumo!$B$12+Resumo!$B$14)*CEILING(AR$3,1))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69" s="12" t="n">
        <f aca="false">(AF69+AS$4*(Resumo!$C$6+Resumo!$C$7+Resumo!$C$8)+Resumo!$C$10*CEILING(AS$3/100,1)+Resumo!$C$9+Resumo!$C$13+Resumo!$C$14*CEILING(AS$3,1))*(1+Resumo!$C$11)-(AS$4*(Resumo!$B$6+Resumo!$B$7)+Resumo!$B$9+Resumo!$B$10*CEILING(AS$3/100,1)+(Resumo!$B$12+Resumo!$B$14)*CEILING(AS$3,1))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69" s="12" t="n">
        <f aca="false">(AG69+AT$4*(Resumo!$C$6+Resumo!$C$7+Resumo!$C$8)+Resumo!$C$10*CEILING(AT$3/100,1)+Resumo!$C$9+Resumo!$C$13+Resumo!$C$14*CEILING(AT$3,1))*(1+Resumo!$C$11)-(AT$4*(Resumo!$B$6+Resumo!$B$7)+Resumo!$B$9+Resumo!$B$10*CEILING(AT$3/100,1)+(Resumo!$B$12+Resumo!$B$14)*CEILING(AT$3,1))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69" s="13" t="n">
        <f aca="false">1-AH69/H69</f>
        <v>0.553790009855127</v>
      </c>
      <c r="AV69" s="13" t="n">
        <f aca="false">1-AI69/I69</f>
        <v>0.468426082913158</v>
      </c>
      <c r="AW69" s="13" t="n">
        <f aca="false">1-AJ69/J69</f>
        <v>0.424299969908939</v>
      </c>
      <c r="AX69" s="13" t="n">
        <f aca="false">1-AK69/K69</f>
        <v>0.444318235095027</v>
      </c>
      <c r="AY69" s="13" t="n">
        <f aca="false">1-AL69/L69</f>
        <v>0.44289446919564</v>
      </c>
      <c r="AZ69" s="13" t="n">
        <f aca="false">1-AM69/M69</f>
        <v>0.439248965608252</v>
      </c>
      <c r="BA69" s="13" t="n">
        <f aca="false">1-AN69/N69</f>
        <v>0.433759067609368</v>
      </c>
      <c r="BB69" s="13" t="n">
        <f aca="false">1-AO69/O69</f>
        <v>0.427042392574117</v>
      </c>
      <c r="BC69" s="13" t="n">
        <f aca="false">1-AP69/P69</f>
        <v>0.493280443868681</v>
      </c>
      <c r="BD69" s="13" t="n">
        <f aca="false">1-AQ69/Q69</f>
        <v>0.455794679894486</v>
      </c>
      <c r="BE69" s="13" t="n">
        <f aca="false">1-AR69/R69</f>
        <v>0.489018797268033</v>
      </c>
      <c r="BF69" s="13" t="n">
        <f aca="false">1-AS69/S69</f>
        <v>0.820503440269559</v>
      </c>
      <c r="BG69" s="13" t="n">
        <f aca="false">1-AT69/T69</f>
        <v>0.528263860444042</v>
      </c>
    </row>
    <row r="70" customFormat="false" ht="15" hidden="false" customHeight="false" outlineLevel="0" collapsed="false">
      <c r="A70" s="4" t="s">
        <v>215</v>
      </c>
      <c r="B70" s="4" t="s">
        <v>270</v>
      </c>
      <c r="C70" s="36" t="n">
        <v>28455000</v>
      </c>
      <c r="D70" s="36" t="n">
        <v>28459999</v>
      </c>
      <c r="E70" s="4" t="s">
        <v>198</v>
      </c>
      <c r="F70" s="4" t="s">
        <v>256</v>
      </c>
      <c r="G70" s="4" t="n">
        <f aca="false">COUNTIFS(Pedidos!$E$2:$E$2224,"&gt;="&amp;C70,Pedidos!$E$2:$E$2224,"&lt;="&amp;D70)</f>
        <v>1</v>
      </c>
      <c r="H70" s="7" t="n">
        <v>124.04</v>
      </c>
      <c r="I70" s="7" t="n">
        <v>138.29</v>
      </c>
      <c r="J70" s="7" t="n">
        <v>143.04</v>
      </c>
      <c r="K70" s="7" t="n">
        <v>152.54</v>
      </c>
      <c r="L70" s="7" t="n">
        <v>162.04</v>
      </c>
      <c r="M70" s="7" t="n">
        <v>171.54</v>
      </c>
      <c r="N70" s="7" t="n">
        <v>181.04</v>
      </c>
      <c r="O70" s="7" t="n">
        <v>200.04</v>
      </c>
      <c r="P70" s="7" t="n">
        <v>236.82</v>
      </c>
      <c r="Q70" s="7" t="n">
        <v>264.84</v>
      </c>
      <c r="R70" s="7" t="n">
        <v>300.15</v>
      </c>
      <c r="S70" s="7" t="n">
        <v>353.17</v>
      </c>
      <c r="T70" s="7" t="n">
        <v>441.4</v>
      </c>
      <c r="U70" s="7" t="n">
        <v>46.95</v>
      </c>
      <c r="V70" s="7" t="n">
        <v>65.63</v>
      </c>
      <c r="W70" s="7" t="n">
        <v>74.97</v>
      </c>
      <c r="X70" s="7" t="n">
        <v>77.7</v>
      </c>
      <c r="Y70" s="7" t="n">
        <v>83.58</v>
      </c>
      <c r="Z70" s="7" t="n">
        <v>90.2</v>
      </c>
      <c r="AA70" s="7" t="n">
        <v>96.77</v>
      </c>
      <c r="AB70" s="7" t="n">
        <v>109.63</v>
      </c>
      <c r="AC70" s="7" t="n">
        <v>119.5</v>
      </c>
      <c r="AD70" s="7" t="n">
        <v>144.24</v>
      </c>
      <c r="AE70" s="7" t="n">
        <v>155.09</v>
      </c>
      <c r="AF70" s="7" t="n">
        <v>66.69</v>
      </c>
      <c r="AG70" s="7" t="n">
        <v>214.88</v>
      </c>
      <c r="AH70" s="12" t="n">
        <f aca="false">(U70+AH$4*(Resumo!$C$6+Resumo!$C$7+Resumo!$C$8)+Resumo!$C$10*CEILING(AH$3/100,1)+Resumo!$C$9+Resumo!$C$13+Resumo!$C$14*CEILING(AH$3,1))*(1+Resumo!$C$11)-(AH$4*(Resumo!$B$6+Resumo!$B$7)+Resumo!$B$9+Resumo!$B$10*CEILING(AH$3/100,1)+(Resumo!$B$12+Resumo!$B$14)*CEILING(AH$3,1))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0" s="12" t="n">
        <f aca="false">(V70+AI$4*(Resumo!$C$6+Resumo!$C$7+Resumo!$C$8)+Resumo!$C$10*CEILING(AI$3/100,1)+Resumo!$C$9+Resumo!$C$13+Resumo!$C$14*CEILING(AI$3,1))*(1+Resumo!$C$11)-(AI$4*(Resumo!$B$6+Resumo!$B$7)+Resumo!$B$9+Resumo!$B$10*CEILING(AI$3/100,1)+(Resumo!$B$12+Resumo!$B$14)*CEILING(AI$3,1))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0" s="12" t="n">
        <f aca="false">(W70+AJ$4*(Resumo!$C$6+Resumo!$C$7+Resumo!$C$8)+Resumo!$C$10*CEILING(AJ$3/100,1)+Resumo!$C$9+Resumo!$C$13+Resumo!$C$14*CEILING(AJ$3,1))*(1+Resumo!$C$11)-(AJ$4*(Resumo!$B$6+Resumo!$B$7)+Resumo!$B$9+Resumo!$B$10*CEILING(AJ$3/100,1)+(Resumo!$B$12+Resumo!$B$14)*CEILING(AJ$3,1))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0" s="12" t="n">
        <f aca="false">(X70+AK$4*(Resumo!$C$6+Resumo!$C$7+Resumo!$C$8)+Resumo!$C$10*CEILING(AK$3/100,1)+Resumo!$C$9+Resumo!$C$13+Resumo!$C$14*CEILING(AK$3,1))*(1+Resumo!$C$11)-(AK$4*(Resumo!$B$6+Resumo!$B$7)+Resumo!$B$9+Resumo!$B$10*CEILING(AK$3/100,1)+(Resumo!$B$12+Resumo!$B$14)*CEILING(AK$3,1))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0" s="12" t="n">
        <f aca="false">(Y70+AL$4*(Resumo!$C$6+Resumo!$C$7+Resumo!$C$8)+Resumo!$C$10*CEILING(AL$3/100,1)+Resumo!$C$9+Resumo!$C$13+Resumo!$C$14*CEILING(AL$3,1))*(1+Resumo!$C$11)-(AL$4*(Resumo!$B$6+Resumo!$B$7)+Resumo!$B$9+Resumo!$B$10*CEILING(AL$3/100,1)+(Resumo!$B$12+Resumo!$B$14)*CEILING(AL$3,1))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0" s="12" t="n">
        <f aca="false">(Z70+AM$4*(Resumo!$C$6+Resumo!$C$7+Resumo!$C$8)+Resumo!$C$10*CEILING(AM$3/100,1)+Resumo!$C$9+Resumo!$C$13+Resumo!$C$14*CEILING(AM$3,1))*(1+Resumo!$C$11)-(AM$4*(Resumo!$B$6+Resumo!$B$7)+Resumo!$B$9+Resumo!$B$10*CEILING(AM$3/100,1)+(Resumo!$B$12+Resumo!$B$14)*CEILING(AM$3,1))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0" s="12" t="n">
        <f aca="false">(AA70+AN$4*(Resumo!$C$6+Resumo!$C$7+Resumo!$C$8)+Resumo!$C$10*CEILING(AN$3/100,1)+Resumo!$C$9+Resumo!$C$13+Resumo!$C$14*CEILING(AN$3,1))*(1+Resumo!$C$11)-(AN$4*(Resumo!$B$6+Resumo!$B$7)+Resumo!$B$9+Resumo!$B$10*CEILING(AN$3/100,1)+(Resumo!$B$12+Resumo!$B$14)*CEILING(AN$3,1))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0" s="12" t="n">
        <f aca="false">(AB70+AO$4*(Resumo!$C$6+Resumo!$C$7+Resumo!$C$8)+Resumo!$C$10*CEILING(AO$3/100,1)+Resumo!$C$9+Resumo!$C$13+Resumo!$C$14*CEILING(AO$3,1))*(1+Resumo!$C$11)-(AO$4*(Resumo!$B$6+Resumo!$B$7)+Resumo!$B$9+Resumo!$B$10*CEILING(AO$3/100,1)+(Resumo!$B$12+Resumo!$B$14)*CEILING(AO$3,1))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0" s="12" t="n">
        <f aca="false">(AC70+AP$4*(Resumo!$C$6+Resumo!$C$7+Resumo!$C$8)+Resumo!$C$10*CEILING(AP$3/100,1)+Resumo!$C$9+Resumo!$C$13+Resumo!$C$14*CEILING(AP$3,1))*(1+Resumo!$C$11)-(AP$4*(Resumo!$B$6+Resumo!$B$7)+Resumo!$B$9+Resumo!$B$10*CEILING(AP$3/100,1)+(Resumo!$B$12+Resumo!$B$14)*CEILING(AP$3,1))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0" s="12" t="n">
        <f aca="false">(AD70+AQ$4*(Resumo!$C$6+Resumo!$C$7+Resumo!$C$8)+Resumo!$C$10*CEILING(AQ$3/100,1)+Resumo!$C$9+Resumo!$C$13+Resumo!$C$14*CEILING(AQ$3,1))*(1+Resumo!$C$11)-(AQ$4*(Resumo!$B$6+Resumo!$B$7)+Resumo!$B$9+Resumo!$B$10*CEILING(AQ$3/100,1)+(Resumo!$B$12+Resumo!$B$14)*CEILING(AQ$3,1))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0" s="12" t="n">
        <f aca="false">(AE70+AR$4*(Resumo!$C$6+Resumo!$C$7+Resumo!$C$8)+Resumo!$C$10*CEILING(AR$3/100,1)+Resumo!$C$9+Resumo!$C$13+Resumo!$C$14*CEILING(AR$3,1))*(1+Resumo!$C$11)-(AR$4*(Resumo!$B$6+Resumo!$B$7)+Resumo!$B$9+Resumo!$B$10*CEILING(AR$3/100,1)+(Resumo!$B$12+Resumo!$B$14)*CEILING(AR$3,1))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0" s="12" t="n">
        <f aca="false">(AF70+AS$4*(Resumo!$C$6+Resumo!$C$7+Resumo!$C$8)+Resumo!$C$10*CEILING(AS$3/100,1)+Resumo!$C$9+Resumo!$C$13+Resumo!$C$14*CEILING(AS$3,1))*(1+Resumo!$C$11)-(AS$4*(Resumo!$B$6+Resumo!$B$7)+Resumo!$B$9+Resumo!$B$10*CEILING(AS$3/100,1)+(Resumo!$B$12+Resumo!$B$14)*CEILING(AS$3,1))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0" s="12" t="n">
        <f aca="false">(AG70+AT$4*(Resumo!$C$6+Resumo!$C$7+Resumo!$C$8)+Resumo!$C$10*CEILING(AT$3/100,1)+Resumo!$C$9+Resumo!$C$13+Resumo!$C$14*CEILING(AT$3,1))*(1+Resumo!$C$11)-(AT$4*(Resumo!$B$6+Resumo!$B$7)+Resumo!$B$9+Resumo!$B$10*CEILING(AT$3/100,1)+(Resumo!$B$12+Resumo!$B$14)*CEILING(AT$3,1))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0" s="13" t="n">
        <f aca="false">1-AH70/H70</f>
        <v>0.553790009855127</v>
      </c>
      <c r="AV70" s="13" t="n">
        <f aca="false">1-AI70/I70</f>
        <v>0.468426082913158</v>
      </c>
      <c r="AW70" s="13" t="n">
        <f aca="false">1-AJ70/J70</f>
        <v>0.424299969908939</v>
      </c>
      <c r="AX70" s="13" t="n">
        <f aca="false">1-AK70/K70</f>
        <v>0.444318235095027</v>
      </c>
      <c r="AY70" s="13" t="n">
        <f aca="false">1-AL70/L70</f>
        <v>0.44289446919564</v>
      </c>
      <c r="AZ70" s="13" t="n">
        <f aca="false">1-AM70/M70</f>
        <v>0.439248965608252</v>
      </c>
      <c r="BA70" s="13" t="n">
        <f aca="false">1-AN70/N70</f>
        <v>0.433759067609368</v>
      </c>
      <c r="BB70" s="13" t="n">
        <f aca="false">1-AO70/O70</f>
        <v>0.427042392574117</v>
      </c>
      <c r="BC70" s="13" t="n">
        <f aca="false">1-AP70/P70</f>
        <v>0.493280443868681</v>
      </c>
      <c r="BD70" s="13" t="n">
        <f aca="false">1-AQ70/Q70</f>
        <v>0.455794679894486</v>
      </c>
      <c r="BE70" s="13" t="n">
        <f aca="false">1-AR70/R70</f>
        <v>0.489018797268033</v>
      </c>
      <c r="BF70" s="13" t="n">
        <f aca="false">1-AS70/S70</f>
        <v>0.820503440269559</v>
      </c>
      <c r="BG70" s="13" t="n">
        <f aca="false">1-AT70/T70</f>
        <v>0.528263860444042</v>
      </c>
    </row>
    <row r="71" customFormat="false" ht="15" hidden="false" customHeight="false" outlineLevel="0" collapsed="false">
      <c r="A71" s="4" t="s">
        <v>215</v>
      </c>
      <c r="B71" s="4" t="s">
        <v>271</v>
      </c>
      <c r="C71" s="36" t="n">
        <v>28460000</v>
      </c>
      <c r="D71" s="36" t="n">
        <v>28469999</v>
      </c>
      <c r="E71" s="4" t="s">
        <v>198</v>
      </c>
      <c r="F71" s="4" t="s">
        <v>256</v>
      </c>
      <c r="G71" s="4" t="n">
        <f aca="false">COUNTIFS(Pedidos!$E$2:$E$2224,"&gt;="&amp;C71,Pedidos!$E$2:$E$2224,"&lt;="&amp;D71)</f>
        <v>0</v>
      </c>
      <c r="H71" s="7" t="n">
        <v>124.04</v>
      </c>
      <c r="I71" s="7" t="n">
        <v>138.29</v>
      </c>
      <c r="J71" s="7" t="n">
        <v>143.04</v>
      </c>
      <c r="K71" s="7" t="n">
        <v>152.54</v>
      </c>
      <c r="L71" s="7" t="n">
        <v>162.04</v>
      </c>
      <c r="M71" s="7" t="n">
        <v>171.54</v>
      </c>
      <c r="N71" s="7" t="n">
        <v>181.04</v>
      </c>
      <c r="O71" s="7" t="n">
        <v>200.04</v>
      </c>
      <c r="P71" s="7" t="n">
        <v>236.82</v>
      </c>
      <c r="Q71" s="7" t="n">
        <v>264.84</v>
      </c>
      <c r="R71" s="7" t="n">
        <v>300.15</v>
      </c>
      <c r="S71" s="7" t="n">
        <v>353.17</v>
      </c>
      <c r="T71" s="7" t="n">
        <v>441.4</v>
      </c>
      <c r="U71" s="7" t="n">
        <v>46.95</v>
      </c>
      <c r="V71" s="7" t="n">
        <v>65.63</v>
      </c>
      <c r="W71" s="7" t="n">
        <v>74.97</v>
      </c>
      <c r="X71" s="7" t="n">
        <v>77.7</v>
      </c>
      <c r="Y71" s="7" t="n">
        <v>83.58</v>
      </c>
      <c r="Z71" s="7" t="n">
        <v>90.2</v>
      </c>
      <c r="AA71" s="7" t="n">
        <v>96.77</v>
      </c>
      <c r="AB71" s="7" t="n">
        <v>109.63</v>
      </c>
      <c r="AC71" s="7" t="n">
        <v>119.5</v>
      </c>
      <c r="AD71" s="7" t="n">
        <v>144.24</v>
      </c>
      <c r="AE71" s="7" t="n">
        <v>155.09</v>
      </c>
      <c r="AF71" s="7" t="n">
        <v>66.69</v>
      </c>
      <c r="AG71" s="7" t="n">
        <v>214.88</v>
      </c>
      <c r="AH71" s="12" t="n">
        <f aca="false">(U71+AH$4*(Resumo!$C$6+Resumo!$C$7+Resumo!$C$8)+Resumo!$C$10*CEILING(AH$3/100,1)+Resumo!$C$9+Resumo!$C$13+Resumo!$C$14*CEILING(AH$3,1))*(1+Resumo!$C$11)-(AH$4*(Resumo!$B$6+Resumo!$B$7)+Resumo!$B$9+Resumo!$B$10*CEILING(AH$3/100,1)+(Resumo!$B$12+Resumo!$B$14)*CEILING(AH$3,1))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1" s="12" t="n">
        <f aca="false">(V71+AI$4*(Resumo!$C$6+Resumo!$C$7+Resumo!$C$8)+Resumo!$C$10*CEILING(AI$3/100,1)+Resumo!$C$9+Resumo!$C$13+Resumo!$C$14*CEILING(AI$3,1))*(1+Resumo!$C$11)-(AI$4*(Resumo!$B$6+Resumo!$B$7)+Resumo!$B$9+Resumo!$B$10*CEILING(AI$3/100,1)+(Resumo!$B$12+Resumo!$B$14)*CEILING(AI$3,1))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1" s="12" t="n">
        <f aca="false">(W71+AJ$4*(Resumo!$C$6+Resumo!$C$7+Resumo!$C$8)+Resumo!$C$10*CEILING(AJ$3/100,1)+Resumo!$C$9+Resumo!$C$13+Resumo!$C$14*CEILING(AJ$3,1))*(1+Resumo!$C$11)-(AJ$4*(Resumo!$B$6+Resumo!$B$7)+Resumo!$B$9+Resumo!$B$10*CEILING(AJ$3/100,1)+(Resumo!$B$12+Resumo!$B$14)*CEILING(AJ$3,1))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1" s="12" t="n">
        <f aca="false">(X71+AK$4*(Resumo!$C$6+Resumo!$C$7+Resumo!$C$8)+Resumo!$C$10*CEILING(AK$3/100,1)+Resumo!$C$9+Resumo!$C$13+Resumo!$C$14*CEILING(AK$3,1))*(1+Resumo!$C$11)-(AK$4*(Resumo!$B$6+Resumo!$B$7)+Resumo!$B$9+Resumo!$B$10*CEILING(AK$3/100,1)+(Resumo!$B$12+Resumo!$B$14)*CEILING(AK$3,1))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1" s="12" t="n">
        <f aca="false">(Y71+AL$4*(Resumo!$C$6+Resumo!$C$7+Resumo!$C$8)+Resumo!$C$10*CEILING(AL$3/100,1)+Resumo!$C$9+Resumo!$C$13+Resumo!$C$14*CEILING(AL$3,1))*(1+Resumo!$C$11)-(AL$4*(Resumo!$B$6+Resumo!$B$7)+Resumo!$B$9+Resumo!$B$10*CEILING(AL$3/100,1)+(Resumo!$B$12+Resumo!$B$14)*CEILING(AL$3,1))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1" s="12" t="n">
        <f aca="false">(Z71+AM$4*(Resumo!$C$6+Resumo!$C$7+Resumo!$C$8)+Resumo!$C$10*CEILING(AM$3/100,1)+Resumo!$C$9+Resumo!$C$13+Resumo!$C$14*CEILING(AM$3,1))*(1+Resumo!$C$11)-(AM$4*(Resumo!$B$6+Resumo!$B$7)+Resumo!$B$9+Resumo!$B$10*CEILING(AM$3/100,1)+(Resumo!$B$12+Resumo!$B$14)*CEILING(AM$3,1))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1" s="12" t="n">
        <f aca="false">(AA71+AN$4*(Resumo!$C$6+Resumo!$C$7+Resumo!$C$8)+Resumo!$C$10*CEILING(AN$3/100,1)+Resumo!$C$9+Resumo!$C$13+Resumo!$C$14*CEILING(AN$3,1))*(1+Resumo!$C$11)-(AN$4*(Resumo!$B$6+Resumo!$B$7)+Resumo!$B$9+Resumo!$B$10*CEILING(AN$3/100,1)+(Resumo!$B$12+Resumo!$B$14)*CEILING(AN$3,1))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1" s="12" t="n">
        <f aca="false">(AB71+AO$4*(Resumo!$C$6+Resumo!$C$7+Resumo!$C$8)+Resumo!$C$10*CEILING(AO$3/100,1)+Resumo!$C$9+Resumo!$C$13+Resumo!$C$14*CEILING(AO$3,1))*(1+Resumo!$C$11)-(AO$4*(Resumo!$B$6+Resumo!$B$7)+Resumo!$B$9+Resumo!$B$10*CEILING(AO$3/100,1)+(Resumo!$B$12+Resumo!$B$14)*CEILING(AO$3,1))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1" s="12" t="n">
        <f aca="false">(AC71+AP$4*(Resumo!$C$6+Resumo!$C$7+Resumo!$C$8)+Resumo!$C$10*CEILING(AP$3/100,1)+Resumo!$C$9+Resumo!$C$13+Resumo!$C$14*CEILING(AP$3,1))*(1+Resumo!$C$11)-(AP$4*(Resumo!$B$6+Resumo!$B$7)+Resumo!$B$9+Resumo!$B$10*CEILING(AP$3/100,1)+(Resumo!$B$12+Resumo!$B$14)*CEILING(AP$3,1))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1" s="12" t="n">
        <f aca="false">(AD71+AQ$4*(Resumo!$C$6+Resumo!$C$7+Resumo!$C$8)+Resumo!$C$10*CEILING(AQ$3/100,1)+Resumo!$C$9+Resumo!$C$13+Resumo!$C$14*CEILING(AQ$3,1))*(1+Resumo!$C$11)-(AQ$4*(Resumo!$B$6+Resumo!$B$7)+Resumo!$B$9+Resumo!$B$10*CEILING(AQ$3/100,1)+(Resumo!$B$12+Resumo!$B$14)*CEILING(AQ$3,1))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1" s="12" t="n">
        <f aca="false">(AE71+AR$4*(Resumo!$C$6+Resumo!$C$7+Resumo!$C$8)+Resumo!$C$10*CEILING(AR$3/100,1)+Resumo!$C$9+Resumo!$C$13+Resumo!$C$14*CEILING(AR$3,1))*(1+Resumo!$C$11)-(AR$4*(Resumo!$B$6+Resumo!$B$7)+Resumo!$B$9+Resumo!$B$10*CEILING(AR$3/100,1)+(Resumo!$B$12+Resumo!$B$14)*CEILING(AR$3,1))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1" s="12" t="n">
        <f aca="false">(AF71+AS$4*(Resumo!$C$6+Resumo!$C$7+Resumo!$C$8)+Resumo!$C$10*CEILING(AS$3/100,1)+Resumo!$C$9+Resumo!$C$13+Resumo!$C$14*CEILING(AS$3,1))*(1+Resumo!$C$11)-(AS$4*(Resumo!$B$6+Resumo!$B$7)+Resumo!$B$9+Resumo!$B$10*CEILING(AS$3/100,1)+(Resumo!$B$12+Resumo!$B$14)*CEILING(AS$3,1))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1" s="12" t="n">
        <f aca="false">(AG71+AT$4*(Resumo!$C$6+Resumo!$C$7+Resumo!$C$8)+Resumo!$C$10*CEILING(AT$3/100,1)+Resumo!$C$9+Resumo!$C$13+Resumo!$C$14*CEILING(AT$3,1))*(1+Resumo!$C$11)-(AT$4*(Resumo!$B$6+Resumo!$B$7)+Resumo!$B$9+Resumo!$B$10*CEILING(AT$3/100,1)+(Resumo!$B$12+Resumo!$B$14)*CEILING(AT$3,1))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1" s="13" t="n">
        <f aca="false">1-AH71/H71</f>
        <v>0.553790009855127</v>
      </c>
      <c r="AV71" s="13" t="n">
        <f aca="false">1-AI71/I71</f>
        <v>0.468426082913158</v>
      </c>
      <c r="AW71" s="13" t="n">
        <f aca="false">1-AJ71/J71</f>
        <v>0.424299969908939</v>
      </c>
      <c r="AX71" s="13" t="n">
        <f aca="false">1-AK71/K71</f>
        <v>0.444318235095027</v>
      </c>
      <c r="AY71" s="13" t="n">
        <f aca="false">1-AL71/L71</f>
        <v>0.44289446919564</v>
      </c>
      <c r="AZ71" s="13" t="n">
        <f aca="false">1-AM71/M71</f>
        <v>0.439248965608252</v>
      </c>
      <c r="BA71" s="13" t="n">
        <f aca="false">1-AN71/N71</f>
        <v>0.433759067609368</v>
      </c>
      <c r="BB71" s="13" t="n">
        <f aca="false">1-AO71/O71</f>
        <v>0.427042392574117</v>
      </c>
      <c r="BC71" s="13" t="n">
        <f aca="false">1-AP71/P71</f>
        <v>0.493280443868681</v>
      </c>
      <c r="BD71" s="13" t="n">
        <f aca="false">1-AQ71/Q71</f>
        <v>0.455794679894486</v>
      </c>
      <c r="BE71" s="13" t="n">
        <f aca="false">1-AR71/R71</f>
        <v>0.489018797268033</v>
      </c>
      <c r="BF71" s="13" t="n">
        <f aca="false">1-AS71/S71</f>
        <v>0.820503440269559</v>
      </c>
      <c r="BG71" s="13" t="n">
        <f aca="false">1-AT71/T71</f>
        <v>0.528263860444042</v>
      </c>
    </row>
    <row r="72" customFormat="false" ht="15" hidden="false" customHeight="false" outlineLevel="0" collapsed="false">
      <c r="A72" s="4" t="s">
        <v>215</v>
      </c>
      <c r="B72" s="4" t="s">
        <v>272</v>
      </c>
      <c r="C72" s="36" t="n">
        <v>28470000</v>
      </c>
      <c r="D72" s="36" t="n">
        <v>28494999</v>
      </c>
      <c r="E72" s="4" t="s">
        <v>198</v>
      </c>
      <c r="F72" s="4" t="s">
        <v>256</v>
      </c>
      <c r="G72" s="4" t="n">
        <f aca="false">COUNTIFS(Pedidos!$E$2:$E$2224,"&gt;="&amp;C72,Pedidos!$E$2:$E$2224,"&lt;="&amp;D72)</f>
        <v>3</v>
      </c>
      <c r="H72" s="7" t="n">
        <v>124.04</v>
      </c>
      <c r="I72" s="7" t="n">
        <v>138.29</v>
      </c>
      <c r="J72" s="7" t="n">
        <v>143.04</v>
      </c>
      <c r="K72" s="7" t="n">
        <v>152.54</v>
      </c>
      <c r="L72" s="7" t="n">
        <v>162.04</v>
      </c>
      <c r="M72" s="7" t="n">
        <v>171.54</v>
      </c>
      <c r="N72" s="7" t="n">
        <v>181.04</v>
      </c>
      <c r="O72" s="7" t="n">
        <v>200.04</v>
      </c>
      <c r="P72" s="7" t="n">
        <v>236.82</v>
      </c>
      <c r="Q72" s="7" t="n">
        <v>264.84</v>
      </c>
      <c r="R72" s="7" t="n">
        <v>300.15</v>
      </c>
      <c r="S72" s="7" t="n">
        <v>353.17</v>
      </c>
      <c r="T72" s="7" t="n">
        <v>441.4</v>
      </c>
      <c r="U72" s="7" t="n">
        <v>46.95</v>
      </c>
      <c r="V72" s="7" t="n">
        <v>65.63</v>
      </c>
      <c r="W72" s="7" t="n">
        <v>74.97</v>
      </c>
      <c r="X72" s="7" t="n">
        <v>77.7</v>
      </c>
      <c r="Y72" s="7" t="n">
        <v>83.58</v>
      </c>
      <c r="Z72" s="7" t="n">
        <v>90.2</v>
      </c>
      <c r="AA72" s="7" t="n">
        <v>96.77</v>
      </c>
      <c r="AB72" s="7" t="n">
        <v>109.63</v>
      </c>
      <c r="AC72" s="7" t="n">
        <v>119.5</v>
      </c>
      <c r="AD72" s="7" t="n">
        <v>144.24</v>
      </c>
      <c r="AE72" s="7" t="n">
        <v>155.09</v>
      </c>
      <c r="AF72" s="7" t="n">
        <v>66.69</v>
      </c>
      <c r="AG72" s="7" t="n">
        <v>214.88</v>
      </c>
      <c r="AH72" s="12" t="n">
        <f aca="false">(U72+AH$4*(Resumo!$C$6+Resumo!$C$7+Resumo!$C$8)+Resumo!$C$10*CEILING(AH$3/100,1)+Resumo!$C$9+Resumo!$C$13+Resumo!$C$14*CEILING(AH$3,1))*(1+Resumo!$C$11)-(AH$4*(Resumo!$B$6+Resumo!$B$7)+Resumo!$B$9+Resumo!$B$10*CEILING(AH$3/100,1)+(Resumo!$B$12+Resumo!$B$14)*CEILING(AH$3,1))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2" s="12" t="n">
        <f aca="false">(V72+AI$4*(Resumo!$C$6+Resumo!$C$7+Resumo!$C$8)+Resumo!$C$10*CEILING(AI$3/100,1)+Resumo!$C$9+Resumo!$C$13+Resumo!$C$14*CEILING(AI$3,1))*(1+Resumo!$C$11)-(AI$4*(Resumo!$B$6+Resumo!$B$7)+Resumo!$B$9+Resumo!$B$10*CEILING(AI$3/100,1)+(Resumo!$B$12+Resumo!$B$14)*CEILING(AI$3,1))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2" s="12" t="n">
        <f aca="false">(W72+AJ$4*(Resumo!$C$6+Resumo!$C$7+Resumo!$C$8)+Resumo!$C$10*CEILING(AJ$3/100,1)+Resumo!$C$9+Resumo!$C$13+Resumo!$C$14*CEILING(AJ$3,1))*(1+Resumo!$C$11)-(AJ$4*(Resumo!$B$6+Resumo!$B$7)+Resumo!$B$9+Resumo!$B$10*CEILING(AJ$3/100,1)+(Resumo!$B$12+Resumo!$B$14)*CEILING(AJ$3,1))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2" s="12" t="n">
        <f aca="false">(X72+AK$4*(Resumo!$C$6+Resumo!$C$7+Resumo!$C$8)+Resumo!$C$10*CEILING(AK$3/100,1)+Resumo!$C$9+Resumo!$C$13+Resumo!$C$14*CEILING(AK$3,1))*(1+Resumo!$C$11)-(AK$4*(Resumo!$B$6+Resumo!$B$7)+Resumo!$B$9+Resumo!$B$10*CEILING(AK$3/100,1)+(Resumo!$B$12+Resumo!$B$14)*CEILING(AK$3,1))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2" s="12" t="n">
        <f aca="false">(Y72+AL$4*(Resumo!$C$6+Resumo!$C$7+Resumo!$C$8)+Resumo!$C$10*CEILING(AL$3/100,1)+Resumo!$C$9+Resumo!$C$13+Resumo!$C$14*CEILING(AL$3,1))*(1+Resumo!$C$11)-(AL$4*(Resumo!$B$6+Resumo!$B$7)+Resumo!$B$9+Resumo!$B$10*CEILING(AL$3/100,1)+(Resumo!$B$12+Resumo!$B$14)*CEILING(AL$3,1))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2" s="12" t="n">
        <f aca="false">(Z72+AM$4*(Resumo!$C$6+Resumo!$C$7+Resumo!$C$8)+Resumo!$C$10*CEILING(AM$3/100,1)+Resumo!$C$9+Resumo!$C$13+Resumo!$C$14*CEILING(AM$3,1))*(1+Resumo!$C$11)-(AM$4*(Resumo!$B$6+Resumo!$B$7)+Resumo!$B$9+Resumo!$B$10*CEILING(AM$3/100,1)+(Resumo!$B$12+Resumo!$B$14)*CEILING(AM$3,1))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2" s="12" t="n">
        <f aca="false">(AA72+AN$4*(Resumo!$C$6+Resumo!$C$7+Resumo!$C$8)+Resumo!$C$10*CEILING(AN$3/100,1)+Resumo!$C$9+Resumo!$C$13+Resumo!$C$14*CEILING(AN$3,1))*(1+Resumo!$C$11)-(AN$4*(Resumo!$B$6+Resumo!$B$7)+Resumo!$B$9+Resumo!$B$10*CEILING(AN$3/100,1)+(Resumo!$B$12+Resumo!$B$14)*CEILING(AN$3,1))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2" s="12" t="n">
        <f aca="false">(AB72+AO$4*(Resumo!$C$6+Resumo!$C$7+Resumo!$C$8)+Resumo!$C$10*CEILING(AO$3/100,1)+Resumo!$C$9+Resumo!$C$13+Resumo!$C$14*CEILING(AO$3,1))*(1+Resumo!$C$11)-(AO$4*(Resumo!$B$6+Resumo!$B$7)+Resumo!$B$9+Resumo!$B$10*CEILING(AO$3/100,1)+(Resumo!$B$12+Resumo!$B$14)*CEILING(AO$3,1))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2" s="12" t="n">
        <f aca="false">(AC72+AP$4*(Resumo!$C$6+Resumo!$C$7+Resumo!$C$8)+Resumo!$C$10*CEILING(AP$3/100,1)+Resumo!$C$9+Resumo!$C$13+Resumo!$C$14*CEILING(AP$3,1))*(1+Resumo!$C$11)-(AP$4*(Resumo!$B$6+Resumo!$B$7)+Resumo!$B$9+Resumo!$B$10*CEILING(AP$3/100,1)+(Resumo!$B$12+Resumo!$B$14)*CEILING(AP$3,1))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2" s="12" t="n">
        <f aca="false">(AD72+AQ$4*(Resumo!$C$6+Resumo!$C$7+Resumo!$C$8)+Resumo!$C$10*CEILING(AQ$3/100,1)+Resumo!$C$9+Resumo!$C$13+Resumo!$C$14*CEILING(AQ$3,1))*(1+Resumo!$C$11)-(AQ$4*(Resumo!$B$6+Resumo!$B$7)+Resumo!$B$9+Resumo!$B$10*CEILING(AQ$3/100,1)+(Resumo!$B$12+Resumo!$B$14)*CEILING(AQ$3,1))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2" s="12" t="n">
        <f aca="false">(AE72+AR$4*(Resumo!$C$6+Resumo!$C$7+Resumo!$C$8)+Resumo!$C$10*CEILING(AR$3/100,1)+Resumo!$C$9+Resumo!$C$13+Resumo!$C$14*CEILING(AR$3,1))*(1+Resumo!$C$11)-(AR$4*(Resumo!$B$6+Resumo!$B$7)+Resumo!$B$9+Resumo!$B$10*CEILING(AR$3/100,1)+(Resumo!$B$12+Resumo!$B$14)*CEILING(AR$3,1))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2" s="12" t="n">
        <f aca="false">(AF72+AS$4*(Resumo!$C$6+Resumo!$C$7+Resumo!$C$8)+Resumo!$C$10*CEILING(AS$3/100,1)+Resumo!$C$9+Resumo!$C$13+Resumo!$C$14*CEILING(AS$3,1))*(1+Resumo!$C$11)-(AS$4*(Resumo!$B$6+Resumo!$B$7)+Resumo!$B$9+Resumo!$B$10*CEILING(AS$3/100,1)+(Resumo!$B$12+Resumo!$B$14)*CEILING(AS$3,1))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2" s="12" t="n">
        <f aca="false">(AG72+AT$4*(Resumo!$C$6+Resumo!$C$7+Resumo!$C$8)+Resumo!$C$10*CEILING(AT$3/100,1)+Resumo!$C$9+Resumo!$C$13+Resumo!$C$14*CEILING(AT$3,1))*(1+Resumo!$C$11)-(AT$4*(Resumo!$B$6+Resumo!$B$7)+Resumo!$B$9+Resumo!$B$10*CEILING(AT$3/100,1)+(Resumo!$B$12+Resumo!$B$14)*CEILING(AT$3,1))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2" s="13" t="n">
        <f aca="false">1-AH72/H72</f>
        <v>0.553790009855127</v>
      </c>
      <c r="AV72" s="13" t="n">
        <f aca="false">1-AI72/I72</f>
        <v>0.468426082913158</v>
      </c>
      <c r="AW72" s="13" t="n">
        <f aca="false">1-AJ72/J72</f>
        <v>0.424299969908939</v>
      </c>
      <c r="AX72" s="13" t="n">
        <f aca="false">1-AK72/K72</f>
        <v>0.444318235095027</v>
      </c>
      <c r="AY72" s="13" t="n">
        <f aca="false">1-AL72/L72</f>
        <v>0.44289446919564</v>
      </c>
      <c r="AZ72" s="13" t="n">
        <f aca="false">1-AM72/M72</f>
        <v>0.439248965608252</v>
      </c>
      <c r="BA72" s="13" t="n">
        <f aca="false">1-AN72/N72</f>
        <v>0.433759067609368</v>
      </c>
      <c r="BB72" s="13" t="n">
        <f aca="false">1-AO72/O72</f>
        <v>0.427042392574117</v>
      </c>
      <c r="BC72" s="13" t="n">
        <f aca="false">1-AP72/P72</f>
        <v>0.493280443868681</v>
      </c>
      <c r="BD72" s="13" t="n">
        <f aca="false">1-AQ72/Q72</f>
        <v>0.455794679894486</v>
      </c>
      <c r="BE72" s="13" t="n">
        <f aca="false">1-AR72/R72</f>
        <v>0.489018797268033</v>
      </c>
      <c r="BF72" s="13" t="n">
        <f aca="false">1-AS72/S72</f>
        <v>0.820503440269559</v>
      </c>
      <c r="BG72" s="13" t="n">
        <f aca="false">1-AT72/T72</f>
        <v>0.528263860444042</v>
      </c>
    </row>
    <row r="73" customFormat="false" ht="15" hidden="false" customHeight="false" outlineLevel="0" collapsed="false">
      <c r="A73" s="4" t="s">
        <v>215</v>
      </c>
      <c r="B73" s="4" t="s">
        <v>273</v>
      </c>
      <c r="C73" s="36" t="n">
        <v>28495000</v>
      </c>
      <c r="D73" s="36" t="n">
        <v>28499999</v>
      </c>
      <c r="E73" s="4" t="s">
        <v>198</v>
      </c>
      <c r="F73" s="4" t="s">
        <v>256</v>
      </c>
      <c r="G73" s="4" t="n">
        <f aca="false">COUNTIFS(Pedidos!$E$2:$E$2224,"&gt;="&amp;C73,Pedidos!$E$2:$E$2224,"&lt;="&amp;D73)</f>
        <v>1</v>
      </c>
      <c r="H73" s="7" t="n">
        <v>124.04</v>
      </c>
      <c r="I73" s="7" t="n">
        <v>138.29</v>
      </c>
      <c r="J73" s="7" t="n">
        <v>143.04</v>
      </c>
      <c r="K73" s="7" t="n">
        <v>152.54</v>
      </c>
      <c r="L73" s="7" t="n">
        <v>162.04</v>
      </c>
      <c r="M73" s="7" t="n">
        <v>171.54</v>
      </c>
      <c r="N73" s="7" t="n">
        <v>181.04</v>
      </c>
      <c r="O73" s="7" t="n">
        <v>200.04</v>
      </c>
      <c r="P73" s="7" t="n">
        <v>236.82</v>
      </c>
      <c r="Q73" s="7" t="n">
        <v>264.84</v>
      </c>
      <c r="R73" s="7" t="n">
        <v>300.15</v>
      </c>
      <c r="S73" s="7" t="n">
        <v>353.17</v>
      </c>
      <c r="T73" s="7" t="n">
        <v>441.4</v>
      </c>
      <c r="U73" s="7" t="n">
        <v>46.95</v>
      </c>
      <c r="V73" s="7" t="n">
        <v>65.63</v>
      </c>
      <c r="W73" s="7" t="n">
        <v>74.97</v>
      </c>
      <c r="X73" s="7" t="n">
        <v>77.7</v>
      </c>
      <c r="Y73" s="7" t="n">
        <v>83.58</v>
      </c>
      <c r="Z73" s="7" t="n">
        <v>90.2</v>
      </c>
      <c r="AA73" s="7" t="n">
        <v>96.77</v>
      </c>
      <c r="AB73" s="7" t="n">
        <v>109.63</v>
      </c>
      <c r="AC73" s="7" t="n">
        <v>119.5</v>
      </c>
      <c r="AD73" s="7" t="n">
        <v>144.24</v>
      </c>
      <c r="AE73" s="7" t="n">
        <v>155.09</v>
      </c>
      <c r="AF73" s="7" t="n">
        <v>66.69</v>
      </c>
      <c r="AG73" s="7" t="n">
        <v>214.88</v>
      </c>
      <c r="AH73" s="12" t="n">
        <f aca="false">(U73+AH$4*(Resumo!$C$6+Resumo!$C$7+Resumo!$C$8)+Resumo!$C$10*CEILING(AH$3/100,1)+Resumo!$C$9+Resumo!$C$13+Resumo!$C$14*CEILING(AH$3,1))*(1+Resumo!$C$11)-(AH$4*(Resumo!$B$6+Resumo!$B$7)+Resumo!$B$9+Resumo!$B$10*CEILING(AH$3/100,1)+(Resumo!$B$12+Resumo!$B$14)*CEILING(AH$3,1))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3" s="12" t="n">
        <f aca="false">(V73+AI$4*(Resumo!$C$6+Resumo!$C$7+Resumo!$C$8)+Resumo!$C$10*CEILING(AI$3/100,1)+Resumo!$C$9+Resumo!$C$13+Resumo!$C$14*CEILING(AI$3,1))*(1+Resumo!$C$11)-(AI$4*(Resumo!$B$6+Resumo!$B$7)+Resumo!$B$9+Resumo!$B$10*CEILING(AI$3/100,1)+(Resumo!$B$12+Resumo!$B$14)*CEILING(AI$3,1))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3" s="12" t="n">
        <f aca="false">(W73+AJ$4*(Resumo!$C$6+Resumo!$C$7+Resumo!$C$8)+Resumo!$C$10*CEILING(AJ$3/100,1)+Resumo!$C$9+Resumo!$C$13+Resumo!$C$14*CEILING(AJ$3,1))*(1+Resumo!$C$11)-(AJ$4*(Resumo!$B$6+Resumo!$B$7)+Resumo!$B$9+Resumo!$B$10*CEILING(AJ$3/100,1)+(Resumo!$B$12+Resumo!$B$14)*CEILING(AJ$3,1))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3" s="12" t="n">
        <f aca="false">(X73+AK$4*(Resumo!$C$6+Resumo!$C$7+Resumo!$C$8)+Resumo!$C$10*CEILING(AK$3/100,1)+Resumo!$C$9+Resumo!$C$13+Resumo!$C$14*CEILING(AK$3,1))*(1+Resumo!$C$11)-(AK$4*(Resumo!$B$6+Resumo!$B$7)+Resumo!$B$9+Resumo!$B$10*CEILING(AK$3/100,1)+(Resumo!$B$12+Resumo!$B$14)*CEILING(AK$3,1))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3" s="12" t="n">
        <f aca="false">(Y73+AL$4*(Resumo!$C$6+Resumo!$C$7+Resumo!$C$8)+Resumo!$C$10*CEILING(AL$3/100,1)+Resumo!$C$9+Resumo!$C$13+Resumo!$C$14*CEILING(AL$3,1))*(1+Resumo!$C$11)-(AL$4*(Resumo!$B$6+Resumo!$B$7)+Resumo!$B$9+Resumo!$B$10*CEILING(AL$3/100,1)+(Resumo!$B$12+Resumo!$B$14)*CEILING(AL$3,1))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3" s="12" t="n">
        <f aca="false">(Z73+AM$4*(Resumo!$C$6+Resumo!$C$7+Resumo!$C$8)+Resumo!$C$10*CEILING(AM$3/100,1)+Resumo!$C$9+Resumo!$C$13+Resumo!$C$14*CEILING(AM$3,1))*(1+Resumo!$C$11)-(AM$4*(Resumo!$B$6+Resumo!$B$7)+Resumo!$B$9+Resumo!$B$10*CEILING(AM$3/100,1)+(Resumo!$B$12+Resumo!$B$14)*CEILING(AM$3,1))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3" s="12" t="n">
        <f aca="false">(AA73+AN$4*(Resumo!$C$6+Resumo!$C$7+Resumo!$C$8)+Resumo!$C$10*CEILING(AN$3/100,1)+Resumo!$C$9+Resumo!$C$13+Resumo!$C$14*CEILING(AN$3,1))*(1+Resumo!$C$11)-(AN$4*(Resumo!$B$6+Resumo!$B$7)+Resumo!$B$9+Resumo!$B$10*CEILING(AN$3/100,1)+(Resumo!$B$12+Resumo!$B$14)*CEILING(AN$3,1))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3" s="12" t="n">
        <f aca="false">(AB73+AO$4*(Resumo!$C$6+Resumo!$C$7+Resumo!$C$8)+Resumo!$C$10*CEILING(AO$3/100,1)+Resumo!$C$9+Resumo!$C$13+Resumo!$C$14*CEILING(AO$3,1))*(1+Resumo!$C$11)-(AO$4*(Resumo!$B$6+Resumo!$B$7)+Resumo!$B$9+Resumo!$B$10*CEILING(AO$3/100,1)+(Resumo!$B$12+Resumo!$B$14)*CEILING(AO$3,1))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3" s="12" t="n">
        <f aca="false">(AC73+AP$4*(Resumo!$C$6+Resumo!$C$7+Resumo!$C$8)+Resumo!$C$10*CEILING(AP$3/100,1)+Resumo!$C$9+Resumo!$C$13+Resumo!$C$14*CEILING(AP$3,1))*(1+Resumo!$C$11)-(AP$4*(Resumo!$B$6+Resumo!$B$7)+Resumo!$B$9+Resumo!$B$10*CEILING(AP$3/100,1)+(Resumo!$B$12+Resumo!$B$14)*CEILING(AP$3,1))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3" s="12" t="n">
        <f aca="false">(AD73+AQ$4*(Resumo!$C$6+Resumo!$C$7+Resumo!$C$8)+Resumo!$C$10*CEILING(AQ$3/100,1)+Resumo!$C$9+Resumo!$C$13+Resumo!$C$14*CEILING(AQ$3,1))*(1+Resumo!$C$11)-(AQ$4*(Resumo!$B$6+Resumo!$B$7)+Resumo!$B$9+Resumo!$B$10*CEILING(AQ$3/100,1)+(Resumo!$B$12+Resumo!$B$14)*CEILING(AQ$3,1))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3" s="12" t="n">
        <f aca="false">(AE73+AR$4*(Resumo!$C$6+Resumo!$C$7+Resumo!$C$8)+Resumo!$C$10*CEILING(AR$3/100,1)+Resumo!$C$9+Resumo!$C$13+Resumo!$C$14*CEILING(AR$3,1))*(1+Resumo!$C$11)-(AR$4*(Resumo!$B$6+Resumo!$B$7)+Resumo!$B$9+Resumo!$B$10*CEILING(AR$3/100,1)+(Resumo!$B$12+Resumo!$B$14)*CEILING(AR$3,1))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3" s="12" t="n">
        <f aca="false">(AF73+AS$4*(Resumo!$C$6+Resumo!$C$7+Resumo!$C$8)+Resumo!$C$10*CEILING(AS$3/100,1)+Resumo!$C$9+Resumo!$C$13+Resumo!$C$14*CEILING(AS$3,1))*(1+Resumo!$C$11)-(AS$4*(Resumo!$B$6+Resumo!$B$7)+Resumo!$B$9+Resumo!$B$10*CEILING(AS$3/100,1)+(Resumo!$B$12+Resumo!$B$14)*CEILING(AS$3,1))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3" s="12" t="n">
        <f aca="false">(AG73+AT$4*(Resumo!$C$6+Resumo!$C$7+Resumo!$C$8)+Resumo!$C$10*CEILING(AT$3/100,1)+Resumo!$C$9+Resumo!$C$13+Resumo!$C$14*CEILING(AT$3,1))*(1+Resumo!$C$11)-(AT$4*(Resumo!$B$6+Resumo!$B$7)+Resumo!$B$9+Resumo!$B$10*CEILING(AT$3/100,1)+(Resumo!$B$12+Resumo!$B$14)*CEILING(AT$3,1))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3" s="13" t="n">
        <f aca="false">1-AH73/H73</f>
        <v>0.553790009855127</v>
      </c>
      <c r="AV73" s="13" t="n">
        <f aca="false">1-AI73/I73</f>
        <v>0.468426082913158</v>
      </c>
      <c r="AW73" s="13" t="n">
        <f aca="false">1-AJ73/J73</f>
        <v>0.424299969908939</v>
      </c>
      <c r="AX73" s="13" t="n">
        <f aca="false">1-AK73/K73</f>
        <v>0.444318235095027</v>
      </c>
      <c r="AY73" s="13" t="n">
        <f aca="false">1-AL73/L73</f>
        <v>0.44289446919564</v>
      </c>
      <c r="AZ73" s="13" t="n">
        <f aca="false">1-AM73/M73</f>
        <v>0.439248965608252</v>
      </c>
      <c r="BA73" s="13" t="n">
        <f aca="false">1-AN73/N73</f>
        <v>0.433759067609368</v>
      </c>
      <c r="BB73" s="13" t="n">
        <f aca="false">1-AO73/O73</f>
        <v>0.427042392574117</v>
      </c>
      <c r="BC73" s="13" t="n">
        <f aca="false">1-AP73/P73</f>
        <v>0.493280443868681</v>
      </c>
      <c r="BD73" s="13" t="n">
        <f aca="false">1-AQ73/Q73</f>
        <v>0.455794679894486</v>
      </c>
      <c r="BE73" s="13" t="n">
        <f aca="false">1-AR73/R73</f>
        <v>0.489018797268033</v>
      </c>
      <c r="BF73" s="13" t="n">
        <f aca="false">1-AS73/S73</f>
        <v>0.820503440269559</v>
      </c>
      <c r="BG73" s="13" t="n">
        <f aca="false">1-AT73/T73</f>
        <v>0.528263860444042</v>
      </c>
    </row>
    <row r="74" customFormat="false" ht="15" hidden="false" customHeight="false" outlineLevel="0" collapsed="false">
      <c r="A74" s="4" t="s">
        <v>215</v>
      </c>
      <c r="B74" s="4" t="s">
        <v>274</v>
      </c>
      <c r="C74" s="36" t="n">
        <v>28500000</v>
      </c>
      <c r="D74" s="36" t="n">
        <v>28539999</v>
      </c>
      <c r="E74" s="4" t="s">
        <v>198</v>
      </c>
      <c r="F74" s="4" t="s">
        <v>256</v>
      </c>
      <c r="G74" s="4" t="n">
        <f aca="false">COUNTIFS(Pedidos!$E$2:$E$2224,"&gt;="&amp;C74,Pedidos!$E$2:$E$2224,"&lt;="&amp;D74)</f>
        <v>2</v>
      </c>
      <c r="H74" s="7" t="n">
        <v>124.04</v>
      </c>
      <c r="I74" s="7" t="n">
        <v>138.29</v>
      </c>
      <c r="J74" s="7" t="n">
        <v>143.04</v>
      </c>
      <c r="K74" s="7" t="n">
        <v>152.54</v>
      </c>
      <c r="L74" s="7" t="n">
        <v>162.04</v>
      </c>
      <c r="M74" s="7" t="n">
        <v>171.54</v>
      </c>
      <c r="N74" s="7" t="n">
        <v>181.04</v>
      </c>
      <c r="O74" s="7" t="n">
        <v>200.04</v>
      </c>
      <c r="P74" s="7" t="n">
        <v>236.82</v>
      </c>
      <c r="Q74" s="7" t="n">
        <v>264.84</v>
      </c>
      <c r="R74" s="7" t="n">
        <v>300.15</v>
      </c>
      <c r="S74" s="7" t="n">
        <v>353.17</v>
      </c>
      <c r="T74" s="7" t="n">
        <v>441.4</v>
      </c>
      <c r="U74" s="7" t="n">
        <v>46.95</v>
      </c>
      <c r="V74" s="7" t="n">
        <v>65.63</v>
      </c>
      <c r="W74" s="7" t="n">
        <v>74.97</v>
      </c>
      <c r="X74" s="7" t="n">
        <v>77.7</v>
      </c>
      <c r="Y74" s="7" t="n">
        <v>83.58</v>
      </c>
      <c r="Z74" s="7" t="n">
        <v>90.2</v>
      </c>
      <c r="AA74" s="7" t="n">
        <v>96.77</v>
      </c>
      <c r="AB74" s="7" t="n">
        <v>109.63</v>
      </c>
      <c r="AC74" s="7" t="n">
        <v>119.5</v>
      </c>
      <c r="AD74" s="7" t="n">
        <v>144.24</v>
      </c>
      <c r="AE74" s="7" t="n">
        <v>155.09</v>
      </c>
      <c r="AF74" s="7" t="n">
        <v>66.69</v>
      </c>
      <c r="AG74" s="7" t="n">
        <v>214.88</v>
      </c>
      <c r="AH74" s="12" t="n">
        <f aca="false">(U74+AH$4*(Resumo!$C$6+Resumo!$C$7+Resumo!$C$8)+Resumo!$C$10*CEILING(AH$3/100,1)+Resumo!$C$9+Resumo!$C$13+Resumo!$C$14*CEILING(AH$3,1))*(1+Resumo!$C$11)-(AH$4*(Resumo!$B$6+Resumo!$B$7)+Resumo!$B$9+Resumo!$B$10*CEILING(AH$3/100,1)+(Resumo!$B$12+Resumo!$B$14)*CEILING(AH$3,1))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4" s="12" t="n">
        <f aca="false">(V74+AI$4*(Resumo!$C$6+Resumo!$C$7+Resumo!$C$8)+Resumo!$C$10*CEILING(AI$3/100,1)+Resumo!$C$9+Resumo!$C$13+Resumo!$C$14*CEILING(AI$3,1))*(1+Resumo!$C$11)-(AI$4*(Resumo!$B$6+Resumo!$B$7)+Resumo!$B$9+Resumo!$B$10*CEILING(AI$3/100,1)+(Resumo!$B$12+Resumo!$B$14)*CEILING(AI$3,1))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4" s="12" t="n">
        <f aca="false">(W74+AJ$4*(Resumo!$C$6+Resumo!$C$7+Resumo!$C$8)+Resumo!$C$10*CEILING(AJ$3/100,1)+Resumo!$C$9+Resumo!$C$13+Resumo!$C$14*CEILING(AJ$3,1))*(1+Resumo!$C$11)-(AJ$4*(Resumo!$B$6+Resumo!$B$7)+Resumo!$B$9+Resumo!$B$10*CEILING(AJ$3/100,1)+(Resumo!$B$12+Resumo!$B$14)*CEILING(AJ$3,1))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4" s="12" t="n">
        <f aca="false">(X74+AK$4*(Resumo!$C$6+Resumo!$C$7+Resumo!$C$8)+Resumo!$C$10*CEILING(AK$3/100,1)+Resumo!$C$9+Resumo!$C$13+Resumo!$C$14*CEILING(AK$3,1))*(1+Resumo!$C$11)-(AK$4*(Resumo!$B$6+Resumo!$B$7)+Resumo!$B$9+Resumo!$B$10*CEILING(AK$3/100,1)+(Resumo!$B$12+Resumo!$B$14)*CEILING(AK$3,1))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4" s="12" t="n">
        <f aca="false">(Y74+AL$4*(Resumo!$C$6+Resumo!$C$7+Resumo!$C$8)+Resumo!$C$10*CEILING(AL$3/100,1)+Resumo!$C$9+Resumo!$C$13+Resumo!$C$14*CEILING(AL$3,1))*(1+Resumo!$C$11)-(AL$4*(Resumo!$B$6+Resumo!$B$7)+Resumo!$B$9+Resumo!$B$10*CEILING(AL$3/100,1)+(Resumo!$B$12+Resumo!$B$14)*CEILING(AL$3,1))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4" s="12" t="n">
        <f aca="false">(Z74+AM$4*(Resumo!$C$6+Resumo!$C$7+Resumo!$C$8)+Resumo!$C$10*CEILING(AM$3/100,1)+Resumo!$C$9+Resumo!$C$13+Resumo!$C$14*CEILING(AM$3,1))*(1+Resumo!$C$11)-(AM$4*(Resumo!$B$6+Resumo!$B$7)+Resumo!$B$9+Resumo!$B$10*CEILING(AM$3/100,1)+(Resumo!$B$12+Resumo!$B$14)*CEILING(AM$3,1))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4" s="12" t="n">
        <f aca="false">(AA74+AN$4*(Resumo!$C$6+Resumo!$C$7+Resumo!$C$8)+Resumo!$C$10*CEILING(AN$3/100,1)+Resumo!$C$9+Resumo!$C$13+Resumo!$C$14*CEILING(AN$3,1))*(1+Resumo!$C$11)-(AN$4*(Resumo!$B$6+Resumo!$B$7)+Resumo!$B$9+Resumo!$B$10*CEILING(AN$3/100,1)+(Resumo!$B$12+Resumo!$B$14)*CEILING(AN$3,1))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4" s="12" t="n">
        <f aca="false">(AB74+AO$4*(Resumo!$C$6+Resumo!$C$7+Resumo!$C$8)+Resumo!$C$10*CEILING(AO$3/100,1)+Resumo!$C$9+Resumo!$C$13+Resumo!$C$14*CEILING(AO$3,1))*(1+Resumo!$C$11)-(AO$4*(Resumo!$B$6+Resumo!$B$7)+Resumo!$B$9+Resumo!$B$10*CEILING(AO$3/100,1)+(Resumo!$B$12+Resumo!$B$14)*CEILING(AO$3,1))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4" s="12" t="n">
        <f aca="false">(AC74+AP$4*(Resumo!$C$6+Resumo!$C$7+Resumo!$C$8)+Resumo!$C$10*CEILING(AP$3/100,1)+Resumo!$C$9+Resumo!$C$13+Resumo!$C$14*CEILING(AP$3,1))*(1+Resumo!$C$11)-(AP$4*(Resumo!$B$6+Resumo!$B$7)+Resumo!$B$9+Resumo!$B$10*CEILING(AP$3/100,1)+(Resumo!$B$12+Resumo!$B$14)*CEILING(AP$3,1))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4" s="12" t="n">
        <f aca="false">(AD74+AQ$4*(Resumo!$C$6+Resumo!$C$7+Resumo!$C$8)+Resumo!$C$10*CEILING(AQ$3/100,1)+Resumo!$C$9+Resumo!$C$13+Resumo!$C$14*CEILING(AQ$3,1))*(1+Resumo!$C$11)-(AQ$4*(Resumo!$B$6+Resumo!$B$7)+Resumo!$B$9+Resumo!$B$10*CEILING(AQ$3/100,1)+(Resumo!$B$12+Resumo!$B$14)*CEILING(AQ$3,1))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4" s="12" t="n">
        <f aca="false">(AE74+AR$4*(Resumo!$C$6+Resumo!$C$7+Resumo!$C$8)+Resumo!$C$10*CEILING(AR$3/100,1)+Resumo!$C$9+Resumo!$C$13+Resumo!$C$14*CEILING(AR$3,1))*(1+Resumo!$C$11)-(AR$4*(Resumo!$B$6+Resumo!$B$7)+Resumo!$B$9+Resumo!$B$10*CEILING(AR$3/100,1)+(Resumo!$B$12+Resumo!$B$14)*CEILING(AR$3,1))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4" s="12" t="n">
        <f aca="false">(AF74+AS$4*(Resumo!$C$6+Resumo!$C$7+Resumo!$C$8)+Resumo!$C$10*CEILING(AS$3/100,1)+Resumo!$C$9+Resumo!$C$13+Resumo!$C$14*CEILING(AS$3,1))*(1+Resumo!$C$11)-(AS$4*(Resumo!$B$6+Resumo!$B$7)+Resumo!$B$9+Resumo!$B$10*CEILING(AS$3/100,1)+(Resumo!$B$12+Resumo!$B$14)*CEILING(AS$3,1))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4" s="12" t="n">
        <f aca="false">(AG74+AT$4*(Resumo!$C$6+Resumo!$C$7+Resumo!$C$8)+Resumo!$C$10*CEILING(AT$3/100,1)+Resumo!$C$9+Resumo!$C$13+Resumo!$C$14*CEILING(AT$3,1))*(1+Resumo!$C$11)-(AT$4*(Resumo!$B$6+Resumo!$B$7)+Resumo!$B$9+Resumo!$B$10*CEILING(AT$3/100,1)+(Resumo!$B$12+Resumo!$B$14)*CEILING(AT$3,1))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4" s="13" t="n">
        <f aca="false">1-AH74/H74</f>
        <v>0.553790009855127</v>
      </c>
      <c r="AV74" s="13" t="n">
        <f aca="false">1-AI74/I74</f>
        <v>0.468426082913158</v>
      </c>
      <c r="AW74" s="13" t="n">
        <f aca="false">1-AJ74/J74</f>
        <v>0.424299969908939</v>
      </c>
      <c r="AX74" s="13" t="n">
        <f aca="false">1-AK74/K74</f>
        <v>0.444318235095027</v>
      </c>
      <c r="AY74" s="13" t="n">
        <f aca="false">1-AL74/L74</f>
        <v>0.44289446919564</v>
      </c>
      <c r="AZ74" s="13" t="n">
        <f aca="false">1-AM74/M74</f>
        <v>0.439248965608252</v>
      </c>
      <c r="BA74" s="13" t="n">
        <f aca="false">1-AN74/N74</f>
        <v>0.433759067609368</v>
      </c>
      <c r="BB74" s="13" t="n">
        <f aca="false">1-AO74/O74</f>
        <v>0.427042392574117</v>
      </c>
      <c r="BC74" s="13" t="n">
        <f aca="false">1-AP74/P74</f>
        <v>0.493280443868681</v>
      </c>
      <c r="BD74" s="13" t="n">
        <f aca="false">1-AQ74/Q74</f>
        <v>0.455794679894486</v>
      </c>
      <c r="BE74" s="13" t="n">
        <f aca="false">1-AR74/R74</f>
        <v>0.489018797268033</v>
      </c>
      <c r="BF74" s="13" t="n">
        <f aca="false">1-AS74/S74</f>
        <v>0.820503440269559</v>
      </c>
      <c r="BG74" s="13" t="n">
        <f aca="false">1-AT74/T74</f>
        <v>0.528263860444042</v>
      </c>
    </row>
    <row r="75" customFormat="false" ht="15" hidden="false" customHeight="false" outlineLevel="0" collapsed="false">
      <c r="A75" s="4" t="s">
        <v>215</v>
      </c>
      <c r="B75" s="4" t="s">
        <v>275</v>
      </c>
      <c r="C75" s="36" t="n">
        <v>28540000</v>
      </c>
      <c r="D75" s="36" t="n">
        <v>28544999</v>
      </c>
      <c r="E75" s="4" t="s">
        <v>198</v>
      </c>
      <c r="F75" s="4" t="s">
        <v>220</v>
      </c>
      <c r="G75" s="4" t="n">
        <f aca="false">COUNTIFS(Pedidos!$E$2:$E$2224,"&gt;="&amp;C75,Pedidos!$E$2:$E$2224,"&lt;="&amp;D75)</f>
        <v>3</v>
      </c>
      <c r="H75" s="7" t="n">
        <v>106.53</v>
      </c>
      <c r="I75" s="7" t="n">
        <v>120.78</v>
      </c>
      <c r="J75" s="7" t="n">
        <v>125.63</v>
      </c>
      <c r="K75" s="7" t="n">
        <v>135.03</v>
      </c>
      <c r="L75" s="7" t="n">
        <v>144.53</v>
      </c>
      <c r="M75" s="7" t="n">
        <v>166.05</v>
      </c>
      <c r="N75" s="7" t="n">
        <v>166.05</v>
      </c>
      <c r="O75" s="7" t="n">
        <v>197.35</v>
      </c>
      <c r="P75" s="7" t="n">
        <v>236.82</v>
      </c>
      <c r="Q75" s="7" t="n">
        <v>264.84</v>
      </c>
      <c r="R75" s="7" t="n">
        <v>300.15</v>
      </c>
      <c r="S75" s="7" t="n">
        <v>353.12</v>
      </c>
      <c r="T75" s="7" t="n">
        <v>441.4</v>
      </c>
      <c r="U75" s="7" t="n">
        <v>46.95</v>
      </c>
      <c r="V75" s="7" t="n">
        <v>65.63</v>
      </c>
      <c r="W75" s="7" t="n">
        <v>74.97</v>
      </c>
      <c r="X75" s="7" t="n">
        <v>77.7</v>
      </c>
      <c r="Y75" s="7" t="n">
        <v>83.58</v>
      </c>
      <c r="Z75" s="7" t="n">
        <v>90.2</v>
      </c>
      <c r="AA75" s="7" t="n">
        <v>96.77</v>
      </c>
      <c r="AB75" s="7" t="n">
        <v>109.63</v>
      </c>
      <c r="AC75" s="7" t="n">
        <v>119.5</v>
      </c>
      <c r="AD75" s="7" t="n">
        <v>144.24</v>
      </c>
      <c r="AE75" s="7" t="n">
        <v>155.09</v>
      </c>
      <c r="AF75" s="7" t="n">
        <v>66.69</v>
      </c>
      <c r="AG75" s="7" t="n">
        <v>214.88</v>
      </c>
      <c r="AH75" s="12" t="n">
        <f aca="false">(U75+AH$4*(Resumo!$C$6+Resumo!$C$7+Resumo!$C$8)+Resumo!$C$10*CEILING(AH$3/100,1)+Resumo!$C$9+Resumo!$C$13+Resumo!$C$14*CEILING(AH$3,1))*(1+Resumo!$C$11)-(AH$4*(Resumo!$B$6+Resumo!$B$7)+Resumo!$B$9+Resumo!$B$10*CEILING(AH$3/100,1)+(Resumo!$B$12+Resumo!$B$14)*CEILING(AH$3,1))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5" s="12" t="n">
        <f aca="false">(V75+AI$4*(Resumo!$C$6+Resumo!$C$7+Resumo!$C$8)+Resumo!$C$10*CEILING(AI$3/100,1)+Resumo!$C$9+Resumo!$C$13+Resumo!$C$14*CEILING(AI$3,1))*(1+Resumo!$C$11)-(AI$4*(Resumo!$B$6+Resumo!$B$7)+Resumo!$B$9+Resumo!$B$10*CEILING(AI$3/100,1)+(Resumo!$B$12+Resumo!$B$14)*CEILING(AI$3,1))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5" s="12" t="n">
        <f aca="false">(W75+AJ$4*(Resumo!$C$6+Resumo!$C$7+Resumo!$C$8)+Resumo!$C$10*CEILING(AJ$3/100,1)+Resumo!$C$9+Resumo!$C$13+Resumo!$C$14*CEILING(AJ$3,1))*(1+Resumo!$C$11)-(AJ$4*(Resumo!$B$6+Resumo!$B$7)+Resumo!$B$9+Resumo!$B$10*CEILING(AJ$3/100,1)+(Resumo!$B$12+Resumo!$B$14)*CEILING(AJ$3,1))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5" s="12" t="n">
        <f aca="false">(X75+AK$4*(Resumo!$C$6+Resumo!$C$7+Resumo!$C$8)+Resumo!$C$10*CEILING(AK$3/100,1)+Resumo!$C$9+Resumo!$C$13+Resumo!$C$14*CEILING(AK$3,1))*(1+Resumo!$C$11)-(AK$4*(Resumo!$B$6+Resumo!$B$7)+Resumo!$B$9+Resumo!$B$10*CEILING(AK$3/100,1)+(Resumo!$B$12+Resumo!$B$14)*CEILING(AK$3,1))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5" s="12" t="n">
        <f aca="false">(Y75+AL$4*(Resumo!$C$6+Resumo!$C$7+Resumo!$C$8)+Resumo!$C$10*CEILING(AL$3/100,1)+Resumo!$C$9+Resumo!$C$13+Resumo!$C$14*CEILING(AL$3,1))*(1+Resumo!$C$11)-(AL$4*(Resumo!$B$6+Resumo!$B$7)+Resumo!$B$9+Resumo!$B$10*CEILING(AL$3/100,1)+(Resumo!$B$12+Resumo!$B$14)*CEILING(AL$3,1))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5" s="12" t="n">
        <f aca="false">(Z75+AM$4*(Resumo!$C$6+Resumo!$C$7+Resumo!$C$8)+Resumo!$C$10*CEILING(AM$3/100,1)+Resumo!$C$9+Resumo!$C$13+Resumo!$C$14*CEILING(AM$3,1))*(1+Resumo!$C$11)-(AM$4*(Resumo!$B$6+Resumo!$B$7)+Resumo!$B$9+Resumo!$B$10*CEILING(AM$3/100,1)+(Resumo!$B$12+Resumo!$B$14)*CEILING(AM$3,1))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5" s="12" t="n">
        <f aca="false">(AA75+AN$4*(Resumo!$C$6+Resumo!$C$7+Resumo!$C$8)+Resumo!$C$10*CEILING(AN$3/100,1)+Resumo!$C$9+Resumo!$C$13+Resumo!$C$14*CEILING(AN$3,1))*(1+Resumo!$C$11)-(AN$4*(Resumo!$B$6+Resumo!$B$7)+Resumo!$B$9+Resumo!$B$10*CEILING(AN$3/100,1)+(Resumo!$B$12+Resumo!$B$14)*CEILING(AN$3,1))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5" s="12" t="n">
        <f aca="false">(AB75+AO$4*(Resumo!$C$6+Resumo!$C$7+Resumo!$C$8)+Resumo!$C$10*CEILING(AO$3/100,1)+Resumo!$C$9+Resumo!$C$13+Resumo!$C$14*CEILING(AO$3,1))*(1+Resumo!$C$11)-(AO$4*(Resumo!$B$6+Resumo!$B$7)+Resumo!$B$9+Resumo!$B$10*CEILING(AO$3/100,1)+(Resumo!$B$12+Resumo!$B$14)*CEILING(AO$3,1))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5" s="12" t="n">
        <f aca="false">(AC75+AP$4*(Resumo!$C$6+Resumo!$C$7+Resumo!$C$8)+Resumo!$C$10*CEILING(AP$3/100,1)+Resumo!$C$9+Resumo!$C$13+Resumo!$C$14*CEILING(AP$3,1))*(1+Resumo!$C$11)-(AP$4*(Resumo!$B$6+Resumo!$B$7)+Resumo!$B$9+Resumo!$B$10*CEILING(AP$3/100,1)+(Resumo!$B$12+Resumo!$B$14)*CEILING(AP$3,1))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5" s="12" t="n">
        <f aca="false">(AD75+AQ$4*(Resumo!$C$6+Resumo!$C$7+Resumo!$C$8)+Resumo!$C$10*CEILING(AQ$3/100,1)+Resumo!$C$9+Resumo!$C$13+Resumo!$C$14*CEILING(AQ$3,1))*(1+Resumo!$C$11)-(AQ$4*(Resumo!$B$6+Resumo!$B$7)+Resumo!$B$9+Resumo!$B$10*CEILING(AQ$3/100,1)+(Resumo!$B$12+Resumo!$B$14)*CEILING(AQ$3,1))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5" s="12" t="n">
        <f aca="false">(AE75+AR$4*(Resumo!$C$6+Resumo!$C$7+Resumo!$C$8)+Resumo!$C$10*CEILING(AR$3/100,1)+Resumo!$C$9+Resumo!$C$13+Resumo!$C$14*CEILING(AR$3,1))*(1+Resumo!$C$11)-(AR$4*(Resumo!$B$6+Resumo!$B$7)+Resumo!$B$9+Resumo!$B$10*CEILING(AR$3/100,1)+(Resumo!$B$12+Resumo!$B$14)*CEILING(AR$3,1))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5" s="12" t="n">
        <f aca="false">(AF75+AS$4*(Resumo!$C$6+Resumo!$C$7+Resumo!$C$8)+Resumo!$C$10*CEILING(AS$3/100,1)+Resumo!$C$9+Resumo!$C$13+Resumo!$C$14*CEILING(AS$3,1))*(1+Resumo!$C$11)-(AS$4*(Resumo!$B$6+Resumo!$B$7)+Resumo!$B$9+Resumo!$B$10*CEILING(AS$3/100,1)+(Resumo!$B$12+Resumo!$B$14)*CEILING(AS$3,1))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5" s="12" t="n">
        <f aca="false">(AG75+AT$4*(Resumo!$C$6+Resumo!$C$7+Resumo!$C$8)+Resumo!$C$10*CEILING(AT$3/100,1)+Resumo!$C$9+Resumo!$C$13+Resumo!$C$14*CEILING(AT$3,1))*(1+Resumo!$C$11)-(AT$4*(Resumo!$B$6+Resumo!$B$7)+Resumo!$B$9+Resumo!$B$10*CEILING(AT$3/100,1)+(Resumo!$B$12+Resumo!$B$14)*CEILING(AT$3,1))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5" s="13" t="n">
        <f aca="false">1-AH75/H75</f>
        <v>0.480447881558527</v>
      </c>
      <c r="AV75" s="13" t="n">
        <f aca="false">1-AI75/I75</f>
        <v>0.391361508578081</v>
      </c>
      <c r="AW75" s="13" t="n">
        <f aca="false">1-AJ75/J75</f>
        <v>0.34451856798356</v>
      </c>
      <c r="AX75" s="13" t="n">
        <f aca="false">1-AK75/K75</f>
        <v>0.372260264988487</v>
      </c>
      <c r="AY75" s="13" t="n">
        <f aca="false">1-AL75/L75</f>
        <v>0.375400399837138</v>
      </c>
      <c r="AZ75" s="13" t="n">
        <f aca="false">1-AM75/M75</f>
        <v>0.420709229511831</v>
      </c>
      <c r="BA75" s="13" t="n">
        <f aca="false">1-AN75/N75</f>
        <v>0.382642225835592</v>
      </c>
      <c r="BB75" s="13" t="n">
        <f aca="false">1-AO75/O75</f>
        <v>0.419232633445788</v>
      </c>
      <c r="BC75" s="13" t="n">
        <f aca="false">1-AP75/P75</f>
        <v>0.493280443868681</v>
      </c>
      <c r="BD75" s="13" t="n">
        <f aca="false">1-AQ75/Q75</f>
        <v>0.455794679894486</v>
      </c>
      <c r="BE75" s="13" t="n">
        <f aca="false">1-AR75/R75</f>
        <v>0.489018797268033</v>
      </c>
      <c r="BF75" s="13" t="n">
        <f aca="false">1-AS75/S75</f>
        <v>0.820478024467603</v>
      </c>
      <c r="BG75" s="13" t="n">
        <f aca="false">1-AT75/T75</f>
        <v>0.528263860444042</v>
      </c>
    </row>
    <row r="76" customFormat="false" ht="15" hidden="false" customHeight="false" outlineLevel="0" collapsed="false">
      <c r="A76" s="4" t="s">
        <v>215</v>
      </c>
      <c r="B76" s="4" t="s">
        <v>276</v>
      </c>
      <c r="C76" s="36" t="n">
        <v>28545000</v>
      </c>
      <c r="D76" s="36" t="n">
        <v>28549999</v>
      </c>
      <c r="E76" s="4" t="s">
        <v>198</v>
      </c>
      <c r="F76" s="4" t="s">
        <v>220</v>
      </c>
      <c r="G76" s="4" t="n">
        <f aca="false">COUNTIFS(Pedidos!$E$2:$E$2224,"&gt;="&amp;C76,Pedidos!$E$2:$E$2224,"&lt;="&amp;D76)</f>
        <v>0</v>
      </c>
      <c r="H76" s="7" t="n">
        <v>106.53</v>
      </c>
      <c r="I76" s="7" t="n">
        <v>120.78</v>
      </c>
      <c r="J76" s="7" t="n">
        <v>125.63</v>
      </c>
      <c r="K76" s="7" t="n">
        <v>135.03</v>
      </c>
      <c r="L76" s="7" t="n">
        <v>144.53</v>
      </c>
      <c r="M76" s="7" t="n">
        <v>166.05</v>
      </c>
      <c r="N76" s="7" t="n">
        <v>166.05</v>
      </c>
      <c r="O76" s="7" t="n">
        <v>197.35</v>
      </c>
      <c r="P76" s="7" t="n">
        <v>236.82</v>
      </c>
      <c r="Q76" s="7" t="n">
        <v>264.84</v>
      </c>
      <c r="R76" s="7" t="n">
        <v>300.15</v>
      </c>
      <c r="S76" s="7" t="n">
        <v>353.12</v>
      </c>
      <c r="T76" s="7" t="n">
        <v>441.4</v>
      </c>
      <c r="U76" s="7" t="n">
        <v>46.95</v>
      </c>
      <c r="V76" s="7" t="n">
        <v>65.63</v>
      </c>
      <c r="W76" s="7" t="n">
        <v>74.97</v>
      </c>
      <c r="X76" s="7" t="n">
        <v>77.7</v>
      </c>
      <c r="Y76" s="7" t="n">
        <v>83.58</v>
      </c>
      <c r="Z76" s="7" t="n">
        <v>90.2</v>
      </c>
      <c r="AA76" s="7" t="n">
        <v>96.77</v>
      </c>
      <c r="AB76" s="7" t="n">
        <v>109.63</v>
      </c>
      <c r="AC76" s="7" t="n">
        <v>119.5</v>
      </c>
      <c r="AD76" s="7" t="n">
        <v>144.24</v>
      </c>
      <c r="AE76" s="7" t="n">
        <v>155.09</v>
      </c>
      <c r="AF76" s="7" t="n">
        <v>66.69</v>
      </c>
      <c r="AG76" s="7" t="n">
        <v>214.88</v>
      </c>
      <c r="AH76" s="12" t="n">
        <f aca="false">(U76+AH$4*(Resumo!$C$6+Resumo!$C$7+Resumo!$C$8)+Resumo!$C$10*CEILING(AH$3/100,1)+Resumo!$C$9+Resumo!$C$13+Resumo!$C$14*CEILING(AH$3,1))*(1+Resumo!$C$11)-(AH$4*(Resumo!$B$6+Resumo!$B$7)+Resumo!$B$9+Resumo!$B$10*CEILING(AH$3/100,1)+(Resumo!$B$12+Resumo!$B$14)*CEILING(AH$3,1))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6" s="12" t="n">
        <f aca="false">(V76+AI$4*(Resumo!$C$6+Resumo!$C$7+Resumo!$C$8)+Resumo!$C$10*CEILING(AI$3/100,1)+Resumo!$C$9+Resumo!$C$13+Resumo!$C$14*CEILING(AI$3,1))*(1+Resumo!$C$11)-(AI$4*(Resumo!$B$6+Resumo!$B$7)+Resumo!$B$9+Resumo!$B$10*CEILING(AI$3/100,1)+(Resumo!$B$12+Resumo!$B$14)*CEILING(AI$3,1))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6" s="12" t="n">
        <f aca="false">(W76+AJ$4*(Resumo!$C$6+Resumo!$C$7+Resumo!$C$8)+Resumo!$C$10*CEILING(AJ$3/100,1)+Resumo!$C$9+Resumo!$C$13+Resumo!$C$14*CEILING(AJ$3,1))*(1+Resumo!$C$11)-(AJ$4*(Resumo!$B$6+Resumo!$B$7)+Resumo!$B$9+Resumo!$B$10*CEILING(AJ$3/100,1)+(Resumo!$B$12+Resumo!$B$14)*CEILING(AJ$3,1))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6" s="12" t="n">
        <f aca="false">(X76+AK$4*(Resumo!$C$6+Resumo!$C$7+Resumo!$C$8)+Resumo!$C$10*CEILING(AK$3/100,1)+Resumo!$C$9+Resumo!$C$13+Resumo!$C$14*CEILING(AK$3,1))*(1+Resumo!$C$11)-(AK$4*(Resumo!$B$6+Resumo!$B$7)+Resumo!$B$9+Resumo!$B$10*CEILING(AK$3/100,1)+(Resumo!$B$12+Resumo!$B$14)*CEILING(AK$3,1))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6" s="12" t="n">
        <f aca="false">(Y76+AL$4*(Resumo!$C$6+Resumo!$C$7+Resumo!$C$8)+Resumo!$C$10*CEILING(AL$3/100,1)+Resumo!$C$9+Resumo!$C$13+Resumo!$C$14*CEILING(AL$3,1))*(1+Resumo!$C$11)-(AL$4*(Resumo!$B$6+Resumo!$B$7)+Resumo!$B$9+Resumo!$B$10*CEILING(AL$3/100,1)+(Resumo!$B$12+Resumo!$B$14)*CEILING(AL$3,1))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6" s="12" t="n">
        <f aca="false">(Z76+AM$4*(Resumo!$C$6+Resumo!$C$7+Resumo!$C$8)+Resumo!$C$10*CEILING(AM$3/100,1)+Resumo!$C$9+Resumo!$C$13+Resumo!$C$14*CEILING(AM$3,1))*(1+Resumo!$C$11)-(AM$4*(Resumo!$B$6+Resumo!$B$7)+Resumo!$B$9+Resumo!$B$10*CEILING(AM$3/100,1)+(Resumo!$B$12+Resumo!$B$14)*CEILING(AM$3,1))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6" s="12" t="n">
        <f aca="false">(AA76+AN$4*(Resumo!$C$6+Resumo!$C$7+Resumo!$C$8)+Resumo!$C$10*CEILING(AN$3/100,1)+Resumo!$C$9+Resumo!$C$13+Resumo!$C$14*CEILING(AN$3,1))*(1+Resumo!$C$11)-(AN$4*(Resumo!$B$6+Resumo!$B$7)+Resumo!$B$9+Resumo!$B$10*CEILING(AN$3/100,1)+(Resumo!$B$12+Resumo!$B$14)*CEILING(AN$3,1))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6" s="12" t="n">
        <f aca="false">(AB76+AO$4*(Resumo!$C$6+Resumo!$C$7+Resumo!$C$8)+Resumo!$C$10*CEILING(AO$3/100,1)+Resumo!$C$9+Resumo!$C$13+Resumo!$C$14*CEILING(AO$3,1))*(1+Resumo!$C$11)-(AO$4*(Resumo!$B$6+Resumo!$B$7)+Resumo!$B$9+Resumo!$B$10*CEILING(AO$3/100,1)+(Resumo!$B$12+Resumo!$B$14)*CEILING(AO$3,1))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6" s="12" t="n">
        <f aca="false">(AC76+AP$4*(Resumo!$C$6+Resumo!$C$7+Resumo!$C$8)+Resumo!$C$10*CEILING(AP$3/100,1)+Resumo!$C$9+Resumo!$C$13+Resumo!$C$14*CEILING(AP$3,1))*(1+Resumo!$C$11)-(AP$4*(Resumo!$B$6+Resumo!$B$7)+Resumo!$B$9+Resumo!$B$10*CEILING(AP$3/100,1)+(Resumo!$B$12+Resumo!$B$14)*CEILING(AP$3,1))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6" s="12" t="n">
        <f aca="false">(AD76+AQ$4*(Resumo!$C$6+Resumo!$C$7+Resumo!$C$8)+Resumo!$C$10*CEILING(AQ$3/100,1)+Resumo!$C$9+Resumo!$C$13+Resumo!$C$14*CEILING(AQ$3,1))*(1+Resumo!$C$11)-(AQ$4*(Resumo!$B$6+Resumo!$B$7)+Resumo!$B$9+Resumo!$B$10*CEILING(AQ$3/100,1)+(Resumo!$B$12+Resumo!$B$14)*CEILING(AQ$3,1))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6" s="12" t="n">
        <f aca="false">(AE76+AR$4*(Resumo!$C$6+Resumo!$C$7+Resumo!$C$8)+Resumo!$C$10*CEILING(AR$3/100,1)+Resumo!$C$9+Resumo!$C$13+Resumo!$C$14*CEILING(AR$3,1))*(1+Resumo!$C$11)-(AR$4*(Resumo!$B$6+Resumo!$B$7)+Resumo!$B$9+Resumo!$B$10*CEILING(AR$3/100,1)+(Resumo!$B$12+Resumo!$B$14)*CEILING(AR$3,1))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6" s="12" t="n">
        <f aca="false">(AF76+AS$4*(Resumo!$C$6+Resumo!$C$7+Resumo!$C$8)+Resumo!$C$10*CEILING(AS$3/100,1)+Resumo!$C$9+Resumo!$C$13+Resumo!$C$14*CEILING(AS$3,1))*(1+Resumo!$C$11)-(AS$4*(Resumo!$B$6+Resumo!$B$7)+Resumo!$B$9+Resumo!$B$10*CEILING(AS$3/100,1)+(Resumo!$B$12+Resumo!$B$14)*CEILING(AS$3,1))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6" s="12" t="n">
        <f aca="false">(AG76+AT$4*(Resumo!$C$6+Resumo!$C$7+Resumo!$C$8)+Resumo!$C$10*CEILING(AT$3/100,1)+Resumo!$C$9+Resumo!$C$13+Resumo!$C$14*CEILING(AT$3,1))*(1+Resumo!$C$11)-(AT$4*(Resumo!$B$6+Resumo!$B$7)+Resumo!$B$9+Resumo!$B$10*CEILING(AT$3/100,1)+(Resumo!$B$12+Resumo!$B$14)*CEILING(AT$3,1))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6" s="13" t="n">
        <f aca="false">1-AH76/H76</f>
        <v>0.480447881558527</v>
      </c>
      <c r="AV76" s="13" t="n">
        <f aca="false">1-AI76/I76</f>
        <v>0.391361508578081</v>
      </c>
      <c r="AW76" s="13" t="n">
        <f aca="false">1-AJ76/J76</f>
        <v>0.34451856798356</v>
      </c>
      <c r="AX76" s="13" t="n">
        <f aca="false">1-AK76/K76</f>
        <v>0.372260264988487</v>
      </c>
      <c r="AY76" s="13" t="n">
        <f aca="false">1-AL76/L76</f>
        <v>0.375400399837138</v>
      </c>
      <c r="AZ76" s="13" t="n">
        <f aca="false">1-AM76/M76</f>
        <v>0.420709229511831</v>
      </c>
      <c r="BA76" s="13" t="n">
        <f aca="false">1-AN76/N76</f>
        <v>0.382642225835592</v>
      </c>
      <c r="BB76" s="13" t="n">
        <f aca="false">1-AO76/O76</f>
        <v>0.419232633445788</v>
      </c>
      <c r="BC76" s="13" t="n">
        <f aca="false">1-AP76/P76</f>
        <v>0.493280443868681</v>
      </c>
      <c r="BD76" s="13" t="n">
        <f aca="false">1-AQ76/Q76</f>
        <v>0.455794679894486</v>
      </c>
      <c r="BE76" s="13" t="n">
        <f aca="false">1-AR76/R76</f>
        <v>0.489018797268033</v>
      </c>
      <c r="BF76" s="13" t="n">
        <f aca="false">1-AS76/S76</f>
        <v>0.820478024467603</v>
      </c>
      <c r="BG76" s="13" t="n">
        <f aca="false">1-AT76/T76</f>
        <v>0.528263860444042</v>
      </c>
    </row>
    <row r="77" customFormat="false" ht="15" hidden="false" customHeight="false" outlineLevel="0" collapsed="false">
      <c r="A77" s="4" t="s">
        <v>215</v>
      </c>
      <c r="B77" s="4" t="s">
        <v>277</v>
      </c>
      <c r="C77" s="36" t="n">
        <v>28550000</v>
      </c>
      <c r="D77" s="36" t="n">
        <v>28569999</v>
      </c>
      <c r="E77" s="4" t="s">
        <v>198</v>
      </c>
      <c r="F77" s="4" t="s">
        <v>220</v>
      </c>
      <c r="G77" s="4" t="n">
        <f aca="false">COUNTIFS(Pedidos!$E$2:$E$2224,"&gt;="&amp;C77,Pedidos!$E$2:$E$2224,"&lt;="&amp;D77)</f>
        <v>0</v>
      </c>
      <c r="H77" s="7" t="n">
        <v>106.53</v>
      </c>
      <c r="I77" s="7" t="n">
        <v>120.78</v>
      </c>
      <c r="J77" s="7" t="n">
        <v>125.63</v>
      </c>
      <c r="K77" s="7" t="n">
        <v>135.03</v>
      </c>
      <c r="L77" s="7" t="n">
        <v>144.53</v>
      </c>
      <c r="M77" s="7" t="n">
        <v>166.05</v>
      </c>
      <c r="N77" s="7" t="n">
        <v>166.05</v>
      </c>
      <c r="O77" s="7" t="n">
        <v>197.35</v>
      </c>
      <c r="P77" s="7" t="n">
        <v>236.82</v>
      </c>
      <c r="Q77" s="7" t="n">
        <v>264.84</v>
      </c>
      <c r="R77" s="7" t="n">
        <v>300.15</v>
      </c>
      <c r="S77" s="7" t="n">
        <v>353.12</v>
      </c>
      <c r="T77" s="7" t="n">
        <v>441.4</v>
      </c>
      <c r="U77" s="7" t="n">
        <v>46.95</v>
      </c>
      <c r="V77" s="7" t="n">
        <v>65.63</v>
      </c>
      <c r="W77" s="7" t="n">
        <v>74.97</v>
      </c>
      <c r="X77" s="7" t="n">
        <v>77.7</v>
      </c>
      <c r="Y77" s="7" t="n">
        <v>83.58</v>
      </c>
      <c r="Z77" s="7" t="n">
        <v>90.2</v>
      </c>
      <c r="AA77" s="7" t="n">
        <v>96.77</v>
      </c>
      <c r="AB77" s="7" t="n">
        <v>109.63</v>
      </c>
      <c r="AC77" s="7" t="n">
        <v>119.5</v>
      </c>
      <c r="AD77" s="7" t="n">
        <v>144.24</v>
      </c>
      <c r="AE77" s="7" t="n">
        <v>155.09</v>
      </c>
      <c r="AF77" s="7" t="n">
        <v>66.69</v>
      </c>
      <c r="AG77" s="7" t="n">
        <v>214.88</v>
      </c>
      <c r="AH77" s="12" t="n">
        <f aca="false">(U77+AH$4*(Resumo!$C$6+Resumo!$C$7+Resumo!$C$8)+Resumo!$C$10*CEILING(AH$3/100,1)+Resumo!$C$9+Resumo!$C$13+Resumo!$C$14*CEILING(AH$3,1))*(1+Resumo!$C$11)-(AH$4*(Resumo!$B$6+Resumo!$B$7)+Resumo!$B$9+Resumo!$B$10*CEILING(AH$3/100,1)+(Resumo!$B$12+Resumo!$B$14)*CEILING(AH$3,1))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7" s="12" t="n">
        <f aca="false">(V77+AI$4*(Resumo!$C$6+Resumo!$C$7+Resumo!$C$8)+Resumo!$C$10*CEILING(AI$3/100,1)+Resumo!$C$9+Resumo!$C$13+Resumo!$C$14*CEILING(AI$3,1))*(1+Resumo!$C$11)-(AI$4*(Resumo!$B$6+Resumo!$B$7)+Resumo!$B$9+Resumo!$B$10*CEILING(AI$3/100,1)+(Resumo!$B$12+Resumo!$B$14)*CEILING(AI$3,1))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7" s="12" t="n">
        <f aca="false">(W77+AJ$4*(Resumo!$C$6+Resumo!$C$7+Resumo!$C$8)+Resumo!$C$10*CEILING(AJ$3/100,1)+Resumo!$C$9+Resumo!$C$13+Resumo!$C$14*CEILING(AJ$3,1))*(1+Resumo!$C$11)-(AJ$4*(Resumo!$B$6+Resumo!$B$7)+Resumo!$B$9+Resumo!$B$10*CEILING(AJ$3/100,1)+(Resumo!$B$12+Resumo!$B$14)*CEILING(AJ$3,1))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7" s="12" t="n">
        <f aca="false">(X77+AK$4*(Resumo!$C$6+Resumo!$C$7+Resumo!$C$8)+Resumo!$C$10*CEILING(AK$3/100,1)+Resumo!$C$9+Resumo!$C$13+Resumo!$C$14*CEILING(AK$3,1))*(1+Resumo!$C$11)-(AK$4*(Resumo!$B$6+Resumo!$B$7)+Resumo!$B$9+Resumo!$B$10*CEILING(AK$3/100,1)+(Resumo!$B$12+Resumo!$B$14)*CEILING(AK$3,1))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7" s="12" t="n">
        <f aca="false">(Y77+AL$4*(Resumo!$C$6+Resumo!$C$7+Resumo!$C$8)+Resumo!$C$10*CEILING(AL$3/100,1)+Resumo!$C$9+Resumo!$C$13+Resumo!$C$14*CEILING(AL$3,1))*(1+Resumo!$C$11)-(AL$4*(Resumo!$B$6+Resumo!$B$7)+Resumo!$B$9+Resumo!$B$10*CEILING(AL$3/100,1)+(Resumo!$B$12+Resumo!$B$14)*CEILING(AL$3,1))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7" s="12" t="n">
        <f aca="false">(Z77+AM$4*(Resumo!$C$6+Resumo!$C$7+Resumo!$C$8)+Resumo!$C$10*CEILING(AM$3/100,1)+Resumo!$C$9+Resumo!$C$13+Resumo!$C$14*CEILING(AM$3,1))*(1+Resumo!$C$11)-(AM$4*(Resumo!$B$6+Resumo!$B$7)+Resumo!$B$9+Resumo!$B$10*CEILING(AM$3/100,1)+(Resumo!$B$12+Resumo!$B$14)*CEILING(AM$3,1))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7" s="12" t="n">
        <f aca="false">(AA77+AN$4*(Resumo!$C$6+Resumo!$C$7+Resumo!$C$8)+Resumo!$C$10*CEILING(AN$3/100,1)+Resumo!$C$9+Resumo!$C$13+Resumo!$C$14*CEILING(AN$3,1))*(1+Resumo!$C$11)-(AN$4*(Resumo!$B$6+Resumo!$B$7)+Resumo!$B$9+Resumo!$B$10*CEILING(AN$3/100,1)+(Resumo!$B$12+Resumo!$B$14)*CEILING(AN$3,1))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7" s="12" t="n">
        <f aca="false">(AB77+AO$4*(Resumo!$C$6+Resumo!$C$7+Resumo!$C$8)+Resumo!$C$10*CEILING(AO$3/100,1)+Resumo!$C$9+Resumo!$C$13+Resumo!$C$14*CEILING(AO$3,1))*(1+Resumo!$C$11)-(AO$4*(Resumo!$B$6+Resumo!$B$7)+Resumo!$B$9+Resumo!$B$10*CEILING(AO$3/100,1)+(Resumo!$B$12+Resumo!$B$14)*CEILING(AO$3,1))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7" s="12" t="n">
        <f aca="false">(AC77+AP$4*(Resumo!$C$6+Resumo!$C$7+Resumo!$C$8)+Resumo!$C$10*CEILING(AP$3/100,1)+Resumo!$C$9+Resumo!$C$13+Resumo!$C$14*CEILING(AP$3,1))*(1+Resumo!$C$11)-(AP$4*(Resumo!$B$6+Resumo!$B$7)+Resumo!$B$9+Resumo!$B$10*CEILING(AP$3/100,1)+(Resumo!$B$12+Resumo!$B$14)*CEILING(AP$3,1))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7" s="12" t="n">
        <f aca="false">(AD77+AQ$4*(Resumo!$C$6+Resumo!$C$7+Resumo!$C$8)+Resumo!$C$10*CEILING(AQ$3/100,1)+Resumo!$C$9+Resumo!$C$13+Resumo!$C$14*CEILING(AQ$3,1))*(1+Resumo!$C$11)-(AQ$4*(Resumo!$B$6+Resumo!$B$7)+Resumo!$B$9+Resumo!$B$10*CEILING(AQ$3/100,1)+(Resumo!$B$12+Resumo!$B$14)*CEILING(AQ$3,1))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7" s="12" t="n">
        <f aca="false">(AE77+AR$4*(Resumo!$C$6+Resumo!$C$7+Resumo!$C$8)+Resumo!$C$10*CEILING(AR$3/100,1)+Resumo!$C$9+Resumo!$C$13+Resumo!$C$14*CEILING(AR$3,1))*(1+Resumo!$C$11)-(AR$4*(Resumo!$B$6+Resumo!$B$7)+Resumo!$B$9+Resumo!$B$10*CEILING(AR$3/100,1)+(Resumo!$B$12+Resumo!$B$14)*CEILING(AR$3,1))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7" s="12" t="n">
        <f aca="false">(AF77+AS$4*(Resumo!$C$6+Resumo!$C$7+Resumo!$C$8)+Resumo!$C$10*CEILING(AS$3/100,1)+Resumo!$C$9+Resumo!$C$13+Resumo!$C$14*CEILING(AS$3,1))*(1+Resumo!$C$11)-(AS$4*(Resumo!$B$6+Resumo!$B$7)+Resumo!$B$9+Resumo!$B$10*CEILING(AS$3/100,1)+(Resumo!$B$12+Resumo!$B$14)*CEILING(AS$3,1))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7" s="12" t="n">
        <f aca="false">(AG77+AT$4*(Resumo!$C$6+Resumo!$C$7+Resumo!$C$8)+Resumo!$C$10*CEILING(AT$3/100,1)+Resumo!$C$9+Resumo!$C$13+Resumo!$C$14*CEILING(AT$3,1))*(1+Resumo!$C$11)-(AT$4*(Resumo!$B$6+Resumo!$B$7)+Resumo!$B$9+Resumo!$B$10*CEILING(AT$3/100,1)+(Resumo!$B$12+Resumo!$B$14)*CEILING(AT$3,1))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7" s="13" t="n">
        <f aca="false">1-AH77/H77</f>
        <v>0.480447881558527</v>
      </c>
      <c r="AV77" s="13" t="n">
        <f aca="false">1-AI77/I77</f>
        <v>0.391361508578081</v>
      </c>
      <c r="AW77" s="13" t="n">
        <f aca="false">1-AJ77/J77</f>
        <v>0.34451856798356</v>
      </c>
      <c r="AX77" s="13" t="n">
        <f aca="false">1-AK77/K77</f>
        <v>0.372260264988487</v>
      </c>
      <c r="AY77" s="13" t="n">
        <f aca="false">1-AL77/L77</f>
        <v>0.375400399837138</v>
      </c>
      <c r="AZ77" s="13" t="n">
        <f aca="false">1-AM77/M77</f>
        <v>0.420709229511831</v>
      </c>
      <c r="BA77" s="13" t="n">
        <f aca="false">1-AN77/N77</f>
        <v>0.382642225835592</v>
      </c>
      <c r="BB77" s="13" t="n">
        <f aca="false">1-AO77/O77</f>
        <v>0.419232633445788</v>
      </c>
      <c r="BC77" s="13" t="n">
        <f aca="false">1-AP77/P77</f>
        <v>0.493280443868681</v>
      </c>
      <c r="BD77" s="13" t="n">
        <f aca="false">1-AQ77/Q77</f>
        <v>0.455794679894486</v>
      </c>
      <c r="BE77" s="13" t="n">
        <f aca="false">1-AR77/R77</f>
        <v>0.489018797268033</v>
      </c>
      <c r="BF77" s="13" t="n">
        <f aca="false">1-AS77/S77</f>
        <v>0.820478024467603</v>
      </c>
      <c r="BG77" s="13" t="n">
        <f aca="false">1-AT77/T77</f>
        <v>0.528263860444042</v>
      </c>
    </row>
    <row r="78" customFormat="false" ht="15" hidden="false" customHeight="false" outlineLevel="0" collapsed="false">
      <c r="A78" s="4" t="s">
        <v>215</v>
      </c>
      <c r="B78" s="4" t="s">
        <v>278</v>
      </c>
      <c r="C78" s="36" t="n">
        <v>28570000</v>
      </c>
      <c r="D78" s="36" t="n">
        <v>28599999</v>
      </c>
      <c r="E78" s="4" t="s">
        <v>198</v>
      </c>
      <c r="F78" s="4" t="s">
        <v>256</v>
      </c>
      <c r="G78" s="4" t="n">
        <f aca="false">COUNTIFS(Pedidos!$E$2:$E$2224,"&gt;="&amp;C78,Pedidos!$E$2:$E$2224,"&lt;="&amp;D78)</f>
        <v>1</v>
      </c>
      <c r="H78" s="7" t="n">
        <v>124.04</v>
      </c>
      <c r="I78" s="7" t="n">
        <v>138.29</v>
      </c>
      <c r="J78" s="7" t="n">
        <v>143.04</v>
      </c>
      <c r="K78" s="7" t="n">
        <v>152.54</v>
      </c>
      <c r="L78" s="7" t="n">
        <v>162.04</v>
      </c>
      <c r="M78" s="7" t="n">
        <v>171.54</v>
      </c>
      <c r="N78" s="7" t="n">
        <v>181.04</v>
      </c>
      <c r="O78" s="7" t="n">
        <v>200.04</v>
      </c>
      <c r="P78" s="7" t="n">
        <v>236.82</v>
      </c>
      <c r="Q78" s="7" t="n">
        <v>264.84</v>
      </c>
      <c r="R78" s="7" t="n">
        <v>300.15</v>
      </c>
      <c r="S78" s="7" t="n">
        <v>353.17</v>
      </c>
      <c r="T78" s="7" t="n">
        <v>441.4</v>
      </c>
      <c r="U78" s="7" t="n">
        <v>46.95</v>
      </c>
      <c r="V78" s="7" t="n">
        <v>65.63</v>
      </c>
      <c r="W78" s="7" t="n">
        <v>74.97</v>
      </c>
      <c r="X78" s="7" t="n">
        <v>77.7</v>
      </c>
      <c r="Y78" s="7" t="n">
        <v>83.58</v>
      </c>
      <c r="Z78" s="7" t="n">
        <v>90.2</v>
      </c>
      <c r="AA78" s="7" t="n">
        <v>96.77</v>
      </c>
      <c r="AB78" s="7" t="n">
        <v>109.63</v>
      </c>
      <c r="AC78" s="7" t="n">
        <v>119.5</v>
      </c>
      <c r="AD78" s="7" t="n">
        <v>144.24</v>
      </c>
      <c r="AE78" s="7" t="n">
        <v>155.09</v>
      </c>
      <c r="AF78" s="7" t="n">
        <v>66.69</v>
      </c>
      <c r="AG78" s="7" t="n">
        <v>214.88</v>
      </c>
      <c r="AH78" s="12" t="n">
        <f aca="false">(U78+AH$4*(Resumo!$C$6+Resumo!$C$7+Resumo!$C$8)+Resumo!$C$10*CEILING(AH$3/100,1)+Resumo!$C$9+Resumo!$C$13+Resumo!$C$14*CEILING(AH$3,1))*(1+Resumo!$C$11)-(AH$4*(Resumo!$B$6+Resumo!$B$7)+Resumo!$B$9+Resumo!$B$10*CEILING(AH$3/100,1)+(Resumo!$B$12+Resumo!$B$14)*CEILING(AH$3,1))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8" s="12" t="n">
        <f aca="false">(V78+AI$4*(Resumo!$C$6+Resumo!$C$7+Resumo!$C$8)+Resumo!$C$10*CEILING(AI$3/100,1)+Resumo!$C$9+Resumo!$C$13+Resumo!$C$14*CEILING(AI$3,1))*(1+Resumo!$C$11)-(AI$4*(Resumo!$B$6+Resumo!$B$7)+Resumo!$B$9+Resumo!$B$10*CEILING(AI$3/100,1)+(Resumo!$B$12+Resumo!$B$14)*CEILING(AI$3,1))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8" s="12" t="n">
        <f aca="false">(W78+AJ$4*(Resumo!$C$6+Resumo!$C$7+Resumo!$C$8)+Resumo!$C$10*CEILING(AJ$3/100,1)+Resumo!$C$9+Resumo!$C$13+Resumo!$C$14*CEILING(AJ$3,1))*(1+Resumo!$C$11)-(AJ$4*(Resumo!$B$6+Resumo!$B$7)+Resumo!$B$9+Resumo!$B$10*CEILING(AJ$3/100,1)+(Resumo!$B$12+Resumo!$B$14)*CEILING(AJ$3,1))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8" s="12" t="n">
        <f aca="false">(X78+AK$4*(Resumo!$C$6+Resumo!$C$7+Resumo!$C$8)+Resumo!$C$10*CEILING(AK$3/100,1)+Resumo!$C$9+Resumo!$C$13+Resumo!$C$14*CEILING(AK$3,1))*(1+Resumo!$C$11)-(AK$4*(Resumo!$B$6+Resumo!$B$7)+Resumo!$B$9+Resumo!$B$10*CEILING(AK$3/100,1)+(Resumo!$B$12+Resumo!$B$14)*CEILING(AK$3,1))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8" s="12" t="n">
        <f aca="false">(Y78+AL$4*(Resumo!$C$6+Resumo!$C$7+Resumo!$C$8)+Resumo!$C$10*CEILING(AL$3/100,1)+Resumo!$C$9+Resumo!$C$13+Resumo!$C$14*CEILING(AL$3,1))*(1+Resumo!$C$11)-(AL$4*(Resumo!$B$6+Resumo!$B$7)+Resumo!$B$9+Resumo!$B$10*CEILING(AL$3/100,1)+(Resumo!$B$12+Resumo!$B$14)*CEILING(AL$3,1))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8" s="12" t="n">
        <f aca="false">(Z78+AM$4*(Resumo!$C$6+Resumo!$C$7+Resumo!$C$8)+Resumo!$C$10*CEILING(AM$3/100,1)+Resumo!$C$9+Resumo!$C$13+Resumo!$C$14*CEILING(AM$3,1))*(1+Resumo!$C$11)-(AM$4*(Resumo!$B$6+Resumo!$B$7)+Resumo!$B$9+Resumo!$B$10*CEILING(AM$3/100,1)+(Resumo!$B$12+Resumo!$B$14)*CEILING(AM$3,1))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8" s="12" t="n">
        <f aca="false">(AA78+AN$4*(Resumo!$C$6+Resumo!$C$7+Resumo!$C$8)+Resumo!$C$10*CEILING(AN$3/100,1)+Resumo!$C$9+Resumo!$C$13+Resumo!$C$14*CEILING(AN$3,1))*(1+Resumo!$C$11)-(AN$4*(Resumo!$B$6+Resumo!$B$7)+Resumo!$B$9+Resumo!$B$10*CEILING(AN$3/100,1)+(Resumo!$B$12+Resumo!$B$14)*CEILING(AN$3,1))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8" s="12" t="n">
        <f aca="false">(AB78+AO$4*(Resumo!$C$6+Resumo!$C$7+Resumo!$C$8)+Resumo!$C$10*CEILING(AO$3/100,1)+Resumo!$C$9+Resumo!$C$13+Resumo!$C$14*CEILING(AO$3,1))*(1+Resumo!$C$11)-(AO$4*(Resumo!$B$6+Resumo!$B$7)+Resumo!$B$9+Resumo!$B$10*CEILING(AO$3/100,1)+(Resumo!$B$12+Resumo!$B$14)*CEILING(AO$3,1))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8" s="12" t="n">
        <f aca="false">(AC78+AP$4*(Resumo!$C$6+Resumo!$C$7+Resumo!$C$8)+Resumo!$C$10*CEILING(AP$3/100,1)+Resumo!$C$9+Resumo!$C$13+Resumo!$C$14*CEILING(AP$3,1))*(1+Resumo!$C$11)-(AP$4*(Resumo!$B$6+Resumo!$B$7)+Resumo!$B$9+Resumo!$B$10*CEILING(AP$3/100,1)+(Resumo!$B$12+Resumo!$B$14)*CEILING(AP$3,1))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8" s="12" t="n">
        <f aca="false">(AD78+AQ$4*(Resumo!$C$6+Resumo!$C$7+Resumo!$C$8)+Resumo!$C$10*CEILING(AQ$3/100,1)+Resumo!$C$9+Resumo!$C$13+Resumo!$C$14*CEILING(AQ$3,1))*(1+Resumo!$C$11)-(AQ$4*(Resumo!$B$6+Resumo!$B$7)+Resumo!$B$9+Resumo!$B$10*CEILING(AQ$3/100,1)+(Resumo!$B$12+Resumo!$B$14)*CEILING(AQ$3,1))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8" s="12" t="n">
        <f aca="false">(AE78+AR$4*(Resumo!$C$6+Resumo!$C$7+Resumo!$C$8)+Resumo!$C$10*CEILING(AR$3/100,1)+Resumo!$C$9+Resumo!$C$13+Resumo!$C$14*CEILING(AR$3,1))*(1+Resumo!$C$11)-(AR$4*(Resumo!$B$6+Resumo!$B$7)+Resumo!$B$9+Resumo!$B$10*CEILING(AR$3/100,1)+(Resumo!$B$12+Resumo!$B$14)*CEILING(AR$3,1))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8" s="12" t="n">
        <f aca="false">(AF78+AS$4*(Resumo!$C$6+Resumo!$C$7+Resumo!$C$8)+Resumo!$C$10*CEILING(AS$3/100,1)+Resumo!$C$9+Resumo!$C$13+Resumo!$C$14*CEILING(AS$3,1))*(1+Resumo!$C$11)-(AS$4*(Resumo!$B$6+Resumo!$B$7)+Resumo!$B$9+Resumo!$B$10*CEILING(AS$3/100,1)+(Resumo!$B$12+Resumo!$B$14)*CEILING(AS$3,1))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8" s="12" t="n">
        <f aca="false">(AG78+AT$4*(Resumo!$C$6+Resumo!$C$7+Resumo!$C$8)+Resumo!$C$10*CEILING(AT$3/100,1)+Resumo!$C$9+Resumo!$C$13+Resumo!$C$14*CEILING(AT$3,1))*(1+Resumo!$C$11)-(AT$4*(Resumo!$B$6+Resumo!$B$7)+Resumo!$B$9+Resumo!$B$10*CEILING(AT$3/100,1)+(Resumo!$B$12+Resumo!$B$14)*CEILING(AT$3,1))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8" s="13" t="n">
        <f aca="false">1-AH78/H78</f>
        <v>0.553790009855127</v>
      </c>
      <c r="AV78" s="13" t="n">
        <f aca="false">1-AI78/I78</f>
        <v>0.468426082913158</v>
      </c>
      <c r="AW78" s="13" t="n">
        <f aca="false">1-AJ78/J78</f>
        <v>0.424299969908939</v>
      </c>
      <c r="AX78" s="13" t="n">
        <f aca="false">1-AK78/K78</f>
        <v>0.444318235095027</v>
      </c>
      <c r="AY78" s="13" t="n">
        <f aca="false">1-AL78/L78</f>
        <v>0.44289446919564</v>
      </c>
      <c r="AZ78" s="13" t="n">
        <f aca="false">1-AM78/M78</f>
        <v>0.439248965608252</v>
      </c>
      <c r="BA78" s="13" t="n">
        <f aca="false">1-AN78/N78</f>
        <v>0.433759067609368</v>
      </c>
      <c r="BB78" s="13" t="n">
        <f aca="false">1-AO78/O78</f>
        <v>0.427042392574117</v>
      </c>
      <c r="BC78" s="13" t="n">
        <f aca="false">1-AP78/P78</f>
        <v>0.493280443868681</v>
      </c>
      <c r="BD78" s="13" t="n">
        <f aca="false">1-AQ78/Q78</f>
        <v>0.455794679894486</v>
      </c>
      <c r="BE78" s="13" t="n">
        <f aca="false">1-AR78/R78</f>
        <v>0.489018797268033</v>
      </c>
      <c r="BF78" s="13" t="n">
        <f aca="false">1-AS78/S78</f>
        <v>0.820503440269559</v>
      </c>
      <c r="BG78" s="13" t="n">
        <f aca="false">1-AT78/T78</f>
        <v>0.528263860444042</v>
      </c>
    </row>
    <row r="79" customFormat="false" ht="15" hidden="false" customHeight="false" outlineLevel="0" collapsed="false">
      <c r="A79" s="4" t="s">
        <v>215</v>
      </c>
      <c r="B79" s="4" t="s">
        <v>177</v>
      </c>
      <c r="C79" s="36" t="n">
        <v>28600000</v>
      </c>
      <c r="D79" s="36" t="n">
        <v>28636999</v>
      </c>
      <c r="E79" s="4" t="s">
        <v>198</v>
      </c>
      <c r="F79" s="4" t="s">
        <v>220</v>
      </c>
      <c r="G79" s="4" t="n">
        <f aca="false">COUNTIFS(Pedidos!$E$2:$E$2224,"&gt;="&amp;C79,Pedidos!$E$2:$E$2224,"&lt;="&amp;D79)</f>
        <v>18</v>
      </c>
      <c r="H79" s="7" t="n">
        <v>106.53</v>
      </c>
      <c r="I79" s="7" t="n">
        <v>120.78</v>
      </c>
      <c r="J79" s="7" t="n">
        <v>125.63</v>
      </c>
      <c r="K79" s="7" t="n">
        <v>135.03</v>
      </c>
      <c r="L79" s="7" t="n">
        <v>144.53</v>
      </c>
      <c r="M79" s="7" t="n">
        <v>166.05</v>
      </c>
      <c r="N79" s="7" t="n">
        <v>166.05</v>
      </c>
      <c r="O79" s="7" t="n">
        <v>197.35</v>
      </c>
      <c r="P79" s="7" t="n">
        <v>236.82</v>
      </c>
      <c r="Q79" s="7" t="n">
        <v>264.84</v>
      </c>
      <c r="R79" s="7" t="n">
        <v>300.15</v>
      </c>
      <c r="S79" s="7" t="n">
        <v>353.12</v>
      </c>
      <c r="T79" s="7" t="n">
        <v>441.4</v>
      </c>
      <c r="U79" s="7" t="n">
        <v>46.95</v>
      </c>
      <c r="V79" s="7" t="n">
        <v>65.63</v>
      </c>
      <c r="W79" s="7" t="n">
        <v>74.97</v>
      </c>
      <c r="X79" s="7" t="n">
        <v>77.7</v>
      </c>
      <c r="Y79" s="7" t="n">
        <v>83.58</v>
      </c>
      <c r="Z79" s="7" t="n">
        <v>90.2</v>
      </c>
      <c r="AA79" s="7" t="n">
        <v>96.77</v>
      </c>
      <c r="AB79" s="7" t="n">
        <v>109.63</v>
      </c>
      <c r="AC79" s="7" t="n">
        <v>119.5</v>
      </c>
      <c r="AD79" s="7" t="n">
        <v>144.24</v>
      </c>
      <c r="AE79" s="7" t="n">
        <v>155.09</v>
      </c>
      <c r="AF79" s="7" t="n">
        <v>66.69</v>
      </c>
      <c r="AG79" s="7" t="n">
        <v>214.88</v>
      </c>
      <c r="AH79" s="12" t="n">
        <f aca="false">(U79+AH$4*(Resumo!$C$6+Resumo!$C$7+Resumo!$C$8)+Resumo!$C$10*CEILING(AH$3/100,1)+Resumo!$C$9+Resumo!$C$13+Resumo!$C$14*CEILING(AH$3,1))*(1+Resumo!$C$11)-(AH$4*(Resumo!$B$6+Resumo!$B$7)+Resumo!$B$9+Resumo!$B$10*CEILING(AH$3/100,1)+(Resumo!$B$12+Resumo!$B$14)*CEILING(AH$3,1))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79" s="12" t="n">
        <f aca="false">(V79+AI$4*(Resumo!$C$6+Resumo!$C$7+Resumo!$C$8)+Resumo!$C$10*CEILING(AI$3/100,1)+Resumo!$C$9+Resumo!$C$13+Resumo!$C$14*CEILING(AI$3,1))*(1+Resumo!$C$11)-(AI$4*(Resumo!$B$6+Resumo!$B$7)+Resumo!$B$9+Resumo!$B$10*CEILING(AI$3/100,1)+(Resumo!$B$12+Resumo!$B$14)*CEILING(AI$3,1))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79" s="12" t="n">
        <f aca="false">(W79+AJ$4*(Resumo!$C$6+Resumo!$C$7+Resumo!$C$8)+Resumo!$C$10*CEILING(AJ$3/100,1)+Resumo!$C$9+Resumo!$C$13+Resumo!$C$14*CEILING(AJ$3,1))*(1+Resumo!$C$11)-(AJ$4*(Resumo!$B$6+Resumo!$B$7)+Resumo!$B$9+Resumo!$B$10*CEILING(AJ$3/100,1)+(Resumo!$B$12+Resumo!$B$14)*CEILING(AJ$3,1))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79" s="12" t="n">
        <f aca="false">(X79+AK$4*(Resumo!$C$6+Resumo!$C$7+Resumo!$C$8)+Resumo!$C$10*CEILING(AK$3/100,1)+Resumo!$C$9+Resumo!$C$13+Resumo!$C$14*CEILING(AK$3,1))*(1+Resumo!$C$11)-(AK$4*(Resumo!$B$6+Resumo!$B$7)+Resumo!$B$9+Resumo!$B$10*CEILING(AK$3/100,1)+(Resumo!$B$12+Resumo!$B$14)*CEILING(AK$3,1))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79" s="12" t="n">
        <f aca="false">(Y79+AL$4*(Resumo!$C$6+Resumo!$C$7+Resumo!$C$8)+Resumo!$C$10*CEILING(AL$3/100,1)+Resumo!$C$9+Resumo!$C$13+Resumo!$C$14*CEILING(AL$3,1))*(1+Resumo!$C$11)-(AL$4*(Resumo!$B$6+Resumo!$B$7)+Resumo!$B$9+Resumo!$B$10*CEILING(AL$3/100,1)+(Resumo!$B$12+Resumo!$B$14)*CEILING(AL$3,1))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79" s="12" t="n">
        <f aca="false">(Z79+AM$4*(Resumo!$C$6+Resumo!$C$7+Resumo!$C$8)+Resumo!$C$10*CEILING(AM$3/100,1)+Resumo!$C$9+Resumo!$C$13+Resumo!$C$14*CEILING(AM$3,1))*(1+Resumo!$C$11)-(AM$4*(Resumo!$B$6+Resumo!$B$7)+Resumo!$B$9+Resumo!$B$10*CEILING(AM$3/100,1)+(Resumo!$B$12+Resumo!$B$14)*CEILING(AM$3,1))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79" s="12" t="n">
        <f aca="false">(AA79+AN$4*(Resumo!$C$6+Resumo!$C$7+Resumo!$C$8)+Resumo!$C$10*CEILING(AN$3/100,1)+Resumo!$C$9+Resumo!$C$13+Resumo!$C$14*CEILING(AN$3,1))*(1+Resumo!$C$11)-(AN$4*(Resumo!$B$6+Resumo!$B$7)+Resumo!$B$9+Resumo!$B$10*CEILING(AN$3/100,1)+(Resumo!$B$12+Resumo!$B$14)*CEILING(AN$3,1))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79" s="12" t="n">
        <f aca="false">(AB79+AO$4*(Resumo!$C$6+Resumo!$C$7+Resumo!$C$8)+Resumo!$C$10*CEILING(AO$3/100,1)+Resumo!$C$9+Resumo!$C$13+Resumo!$C$14*CEILING(AO$3,1))*(1+Resumo!$C$11)-(AO$4*(Resumo!$B$6+Resumo!$B$7)+Resumo!$B$9+Resumo!$B$10*CEILING(AO$3/100,1)+(Resumo!$B$12+Resumo!$B$14)*CEILING(AO$3,1))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79" s="12" t="n">
        <f aca="false">(AC79+AP$4*(Resumo!$C$6+Resumo!$C$7+Resumo!$C$8)+Resumo!$C$10*CEILING(AP$3/100,1)+Resumo!$C$9+Resumo!$C$13+Resumo!$C$14*CEILING(AP$3,1))*(1+Resumo!$C$11)-(AP$4*(Resumo!$B$6+Resumo!$B$7)+Resumo!$B$9+Resumo!$B$10*CEILING(AP$3/100,1)+(Resumo!$B$12+Resumo!$B$14)*CEILING(AP$3,1))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79" s="12" t="n">
        <f aca="false">(AD79+AQ$4*(Resumo!$C$6+Resumo!$C$7+Resumo!$C$8)+Resumo!$C$10*CEILING(AQ$3/100,1)+Resumo!$C$9+Resumo!$C$13+Resumo!$C$14*CEILING(AQ$3,1))*(1+Resumo!$C$11)-(AQ$4*(Resumo!$B$6+Resumo!$B$7)+Resumo!$B$9+Resumo!$B$10*CEILING(AQ$3/100,1)+(Resumo!$B$12+Resumo!$B$14)*CEILING(AQ$3,1))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79" s="12" t="n">
        <f aca="false">(AE79+AR$4*(Resumo!$C$6+Resumo!$C$7+Resumo!$C$8)+Resumo!$C$10*CEILING(AR$3/100,1)+Resumo!$C$9+Resumo!$C$13+Resumo!$C$14*CEILING(AR$3,1))*(1+Resumo!$C$11)-(AR$4*(Resumo!$B$6+Resumo!$B$7)+Resumo!$B$9+Resumo!$B$10*CEILING(AR$3/100,1)+(Resumo!$B$12+Resumo!$B$14)*CEILING(AR$3,1))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79" s="12" t="n">
        <f aca="false">(AF79+AS$4*(Resumo!$C$6+Resumo!$C$7+Resumo!$C$8)+Resumo!$C$10*CEILING(AS$3/100,1)+Resumo!$C$9+Resumo!$C$13+Resumo!$C$14*CEILING(AS$3,1))*(1+Resumo!$C$11)-(AS$4*(Resumo!$B$6+Resumo!$B$7)+Resumo!$B$9+Resumo!$B$10*CEILING(AS$3/100,1)+(Resumo!$B$12+Resumo!$B$14)*CEILING(AS$3,1))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79" s="12" t="n">
        <f aca="false">(AG79+AT$4*(Resumo!$C$6+Resumo!$C$7+Resumo!$C$8)+Resumo!$C$10*CEILING(AT$3/100,1)+Resumo!$C$9+Resumo!$C$13+Resumo!$C$14*CEILING(AT$3,1))*(1+Resumo!$C$11)-(AT$4*(Resumo!$B$6+Resumo!$B$7)+Resumo!$B$9+Resumo!$B$10*CEILING(AT$3/100,1)+(Resumo!$B$12+Resumo!$B$14)*CEILING(AT$3,1))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79" s="13" t="n">
        <f aca="false">1-AH79/H79</f>
        <v>0.480447881558527</v>
      </c>
      <c r="AV79" s="13" t="n">
        <f aca="false">1-AI79/I79</f>
        <v>0.391361508578081</v>
      </c>
      <c r="AW79" s="13" t="n">
        <f aca="false">1-AJ79/J79</f>
        <v>0.34451856798356</v>
      </c>
      <c r="AX79" s="13" t="n">
        <f aca="false">1-AK79/K79</f>
        <v>0.372260264988487</v>
      </c>
      <c r="AY79" s="13" t="n">
        <f aca="false">1-AL79/L79</f>
        <v>0.375400399837138</v>
      </c>
      <c r="AZ79" s="13" t="n">
        <f aca="false">1-AM79/M79</f>
        <v>0.420709229511831</v>
      </c>
      <c r="BA79" s="13" t="n">
        <f aca="false">1-AN79/N79</f>
        <v>0.382642225835592</v>
      </c>
      <c r="BB79" s="13" t="n">
        <f aca="false">1-AO79/O79</f>
        <v>0.419232633445788</v>
      </c>
      <c r="BC79" s="13" t="n">
        <f aca="false">1-AP79/P79</f>
        <v>0.493280443868681</v>
      </c>
      <c r="BD79" s="13" t="n">
        <f aca="false">1-AQ79/Q79</f>
        <v>0.455794679894486</v>
      </c>
      <c r="BE79" s="13" t="n">
        <f aca="false">1-AR79/R79</f>
        <v>0.489018797268033</v>
      </c>
      <c r="BF79" s="13" t="n">
        <f aca="false">1-AS79/S79</f>
        <v>0.820478024467603</v>
      </c>
      <c r="BG79" s="13" t="n">
        <f aca="false">1-AT79/T79</f>
        <v>0.528263860444042</v>
      </c>
    </row>
    <row r="80" customFormat="false" ht="15" hidden="false" customHeight="false" outlineLevel="0" collapsed="false">
      <c r="A80" s="4" t="s">
        <v>215</v>
      </c>
      <c r="B80" s="4" t="s">
        <v>279</v>
      </c>
      <c r="C80" s="36" t="n">
        <v>28637000</v>
      </c>
      <c r="D80" s="36" t="n">
        <v>28639999</v>
      </c>
      <c r="E80" s="4" t="s">
        <v>198</v>
      </c>
      <c r="F80" s="4" t="s">
        <v>220</v>
      </c>
      <c r="G80" s="4" t="n">
        <f aca="false">COUNTIFS(Pedidos!$E$2:$E$2224,"&gt;="&amp;C80,Pedidos!$E$2:$E$2224,"&lt;="&amp;D80)</f>
        <v>3</v>
      </c>
      <c r="H80" s="7" t="n">
        <v>106.53</v>
      </c>
      <c r="I80" s="7" t="n">
        <v>120.78</v>
      </c>
      <c r="J80" s="7" t="n">
        <v>125.63</v>
      </c>
      <c r="K80" s="7" t="n">
        <v>135.03</v>
      </c>
      <c r="L80" s="7" t="n">
        <v>144.53</v>
      </c>
      <c r="M80" s="7" t="n">
        <v>166.05</v>
      </c>
      <c r="N80" s="7" t="n">
        <v>166.05</v>
      </c>
      <c r="O80" s="7" t="n">
        <v>197.35</v>
      </c>
      <c r="P80" s="7" t="n">
        <v>236.82</v>
      </c>
      <c r="Q80" s="7" t="n">
        <v>264.84</v>
      </c>
      <c r="R80" s="7" t="n">
        <v>300.15</v>
      </c>
      <c r="S80" s="7" t="n">
        <v>353.12</v>
      </c>
      <c r="T80" s="7" t="n">
        <v>441.4</v>
      </c>
      <c r="U80" s="7" t="n">
        <v>46.95</v>
      </c>
      <c r="V80" s="7" t="n">
        <v>65.63</v>
      </c>
      <c r="W80" s="7" t="n">
        <v>74.97</v>
      </c>
      <c r="X80" s="7" t="n">
        <v>77.7</v>
      </c>
      <c r="Y80" s="7" t="n">
        <v>83.58</v>
      </c>
      <c r="Z80" s="7" t="n">
        <v>90.2</v>
      </c>
      <c r="AA80" s="7" t="n">
        <v>96.77</v>
      </c>
      <c r="AB80" s="7" t="n">
        <v>109.63</v>
      </c>
      <c r="AC80" s="7" t="n">
        <v>119.5</v>
      </c>
      <c r="AD80" s="7" t="n">
        <v>144.24</v>
      </c>
      <c r="AE80" s="7" t="n">
        <v>155.09</v>
      </c>
      <c r="AF80" s="7" t="n">
        <v>66.69</v>
      </c>
      <c r="AG80" s="7" t="n">
        <v>214.88</v>
      </c>
      <c r="AH80" s="12" t="n">
        <f aca="false">(U80+AH$4*(Resumo!$C$6+Resumo!$C$7+Resumo!$C$8)+Resumo!$C$10*CEILING(AH$3/100,1)+Resumo!$C$9+Resumo!$C$13+Resumo!$C$14*CEILING(AH$3,1))*(1+Resumo!$C$11)-(AH$4*(Resumo!$B$6+Resumo!$B$7)+Resumo!$B$9+Resumo!$B$10*CEILING(AH$3/100,1)+(Resumo!$B$12+Resumo!$B$14)*CEILING(AH$3,1))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0" s="12" t="n">
        <f aca="false">(V80+AI$4*(Resumo!$C$6+Resumo!$C$7+Resumo!$C$8)+Resumo!$C$10*CEILING(AI$3/100,1)+Resumo!$C$9+Resumo!$C$13+Resumo!$C$14*CEILING(AI$3,1))*(1+Resumo!$C$11)-(AI$4*(Resumo!$B$6+Resumo!$B$7)+Resumo!$B$9+Resumo!$B$10*CEILING(AI$3/100,1)+(Resumo!$B$12+Resumo!$B$14)*CEILING(AI$3,1))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0" s="12" t="n">
        <f aca="false">(W80+AJ$4*(Resumo!$C$6+Resumo!$C$7+Resumo!$C$8)+Resumo!$C$10*CEILING(AJ$3/100,1)+Resumo!$C$9+Resumo!$C$13+Resumo!$C$14*CEILING(AJ$3,1))*(1+Resumo!$C$11)-(AJ$4*(Resumo!$B$6+Resumo!$B$7)+Resumo!$B$9+Resumo!$B$10*CEILING(AJ$3/100,1)+(Resumo!$B$12+Resumo!$B$14)*CEILING(AJ$3,1))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0" s="12" t="n">
        <f aca="false">(X80+AK$4*(Resumo!$C$6+Resumo!$C$7+Resumo!$C$8)+Resumo!$C$10*CEILING(AK$3/100,1)+Resumo!$C$9+Resumo!$C$13+Resumo!$C$14*CEILING(AK$3,1))*(1+Resumo!$C$11)-(AK$4*(Resumo!$B$6+Resumo!$B$7)+Resumo!$B$9+Resumo!$B$10*CEILING(AK$3/100,1)+(Resumo!$B$12+Resumo!$B$14)*CEILING(AK$3,1))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0" s="12" t="n">
        <f aca="false">(Y80+AL$4*(Resumo!$C$6+Resumo!$C$7+Resumo!$C$8)+Resumo!$C$10*CEILING(AL$3/100,1)+Resumo!$C$9+Resumo!$C$13+Resumo!$C$14*CEILING(AL$3,1))*(1+Resumo!$C$11)-(AL$4*(Resumo!$B$6+Resumo!$B$7)+Resumo!$B$9+Resumo!$B$10*CEILING(AL$3/100,1)+(Resumo!$B$12+Resumo!$B$14)*CEILING(AL$3,1))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0" s="12" t="n">
        <f aca="false">(Z80+AM$4*(Resumo!$C$6+Resumo!$C$7+Resumo!$C$8)+Resumo!$C$10*CEILING(AM$3/100,1)+Resumo!$C$9+Resumo!$C$13+Resumo!$C$14*CEILING(AM$3,1))*(1+Resumo!$C$11)-(AM$4*(Resumo!$B$6+Resumo!$B$7)+Resumo!$B$9+Resumo!$B$10*CEILING(AM$3/100,1)+(Resumo!$B$12+Resumo!$B$14)*CEILING(AM$3,1))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0" s="12" t="n">
        <f aca="false">(AA80+AN$4*(Resumo!$C$6+Resumo!$C$7+Resumo!$C$8)+Resumo!$C$10*CEILING(AN$3/100,1)+Resumo!$C$9+Resumo!$C$13+Resumo!$C$14*CEILING(AN$3,1))*(1+Resumo!$C$11)-(AN$4*(Resumo!$B$6+Resumo!$B$7)+Resumo!$B$9+Resumo!$B$10*CEILING(AN$3/100,1)+(Resumo!$B$12+Resumo!$B$14)*CEILING(AN$3,1))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0" s="12" t="n">
        <f aca="false">(AB80+AO$4*(Resumo!$C$6+Resumo!$C$7+Resumo!$C$8)+Resumo!$C$10*CEILING(AO$3/100,1)+Resumo!$C$9+Resumo!$C$13+Resumo!$C$14*CEILING(AO$3,1))*(1+Resumo!$C$11)-(AO$4*(Resumo!$B$6+Resumo!$B$7)+Resumo!$B$9+Resumo!$B$10*CEILING(AO$3/100,1)+(Resumo!$B$12+Resumo!$B$14)*CEILING(AO$3,1))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0" s="12" t="n">
        <f aca="false">(AC80+AP$4*(Resumo!$C$6+Resumo!$C$7+Resumo!$C$8)+Resumo!$C$10*CEILING(AP$3/100,1)+Resumo!$C$9+Resumo!$C$13+Resumo!$C$14*CEILING(AP$3,1))*(1+Resumo!$C$11)-(AP$4*(Resumo!$B$6+Resumo!$B$7)+Resumo!$B$9+Resumo!$B$10*CEILING(AP$3/100,1)+(Resumo!$B$12+Resumo!$B$14)*CEILING(AP$3,1))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0" s="12" t="n">
        <f aca="false">(AD80+AQ$4*(Resumo!$C$6+Resumo!$C$7+Resumo!$C$8)+Resumo!$C$10*CEILING(AQ$3/100,1)+Resumo!$C$9+Resumo!$C$13+Resumo!$C$14*CEILING(AQ$3,1))*(1+Resumo!$C$11)-(AQ$4*(Resumo!$B$6+Resumo!$B$7)+Resumo!$B$9+Resumo!$B$10*CEILING(AQ$3/100,1)+(Resumo!$B$12+Resumo!$B$14)*CEILING(AQ$3,1))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0" s="12" t="n">
        <f aca="false">(AE80+AR$4*(Resumo!$C$6+Resumo!$C$7+Resumo!$C$8)+Resumo!$C$10*CEILING(AR$3/100,1)+Resumo!$C$9+Resumo!$C$13+Resumo!$C$14*CEILING(AR$3,1))*(1+Resumo!$C$11)-(AR$4*(Resumo!$B$6+Resumo!$B$7)+Resumo!$B$9+Resumo!$B$10*CEILING(AR$3/100,1)+(Resumo!$B$12+Resumo!$B$14)*CEILING(AR$3,1))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0" s="12" t="n">
        <f aca="false">(AF80+AS$4*(Resumo!$C$6+Resumo!$C$7+Resumo!$C$8)+Resumo!$C$10*CEILING(AS$3/100,1)+Resumo!$C$9+Resumo!$C$13+Resumo!$C$14*CEILING(AS$3,1))*(1+Resumo!$C$11)-(AS$4*(Resumo!$B$6+Resumo!$B$7)+Resumo!$B$9+Resumo!$B$10*CEILING(AS$3/100,1)+(Resumo!$B$12+Resumo!$B$14)*CEILING(AS$3,1))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0" s="12" t="n">
        <f aca="false">(AG80+AT$4*(Resumo!$C$6+Resumo!$C$7+Resumo!$C$8)+Resumo!$C$10*CEILING(AT$3/100,1)+Resumo!$C$9+Resumo!$C$13+Resumo!$C$14*CEILING(AT$3,1))*(1+Resumo!$C$11)-(AT$4*(Resumo!$B$6+Resumo!$B$7)+Resumo!$B$9+Resumo!$B$10*CEILING(AT$3/100,1)+(Resumo!$B$12+Resumo!$B$14)*CEILING(AT$3,1))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0" s="13" t="n">
        <f aca="false">1-AH80/H80</f>
        <v>0.480447881558527</v>
      </c>
      <c r="AV80" s="13" t="n">
        <f aca="false">1-AI80/I80</f>
        <v>0.391361508578081</v>
      </c>
      <c r="AW80" s="13" t="n">
        <f aca="false">1-AJ80/J80</f>
        <v>0.34451856798356</v>
      </c>
      <c r="AX80" s="13" t="n">
        <f aca="false">1-AK80/K80</f>
        <v>0.372260264988487</v>
      </c>
      <c r="AY80" s="13" t="n">
        <f aca="false">1-AL80/L80</f>
        <v>0.375400399837138</v>
      </c>
      <c r="AZ80" s="13" t="n">
        <f aca="false">1-AM80/M80</f>
        <v>0.420709229511831</v>
      </c>
      <c r="BA80" s="13" t="n">
        <f aca="false">1-AN80/N80</f>
        <v>0.382642225835592</v>
      </c>
      <c r="BB80" s="13" t="n">
        <f aca="false">1-AO80/O80</f>
        <v>0.419232633445788</v>
      </c>
      <c r="BC80" s="13" t="n">
        <f aca="false">1-AP80/P80</f>
        <v>0.493280443868681</v>
      </c>
      <c r="BD80" s="13" t="n">
        <f aca="false">1-AQ80/Q80</f>
        <v>0.455794679894486</v>
      </c>
      <c r="BE80" s="13" t="n">
        <f aca="false">1-AR80/R80</f>
        <v>0.489018797268033</v>
      </c>
      <c r="BF80" s="13" t="n">
        <f aca="false">1-AS80/S80</f>
        <v>0.820478024467603</v>
      </c>
      <c r="BG80" s="13" t="n">
        <f aca="false">1-AT80/T80</f>
        <v>0.528263860444042</v>
      </c>
    </row>
    <row r="81" customFormat="false" ht="15" hidden="false" customHeight="false" outlineLevel="0" collapsed="false">
      <c r="A81" s="4" t="s">
        <v>215</v>
      </c>
      <c r="B81" s="4" t="s">
        <v>280</v>
      </c>
      <c r="C81" s="36" t="n">
        <v>28640000</v>
      </c>
      <c r="D81" s="36" t="n">
        <v>28649999</v>
      </c>
      <c r="E81" s="4" t="s">
        <v>198</v>
      </c>
      <c r="F81" s="4" t="s">
        <v>220</v>
      </c>
      <c r="G81" s="4" t="n">
        <f aca="false">COUNTIFS(Pedidos!$E$2:$E$2224,"&gt;="&amp;C81,Pedidos!$E$2:$E$2224,"&lt;="&amp;D81)</f>
        <v>0</v>
      </c>
      <c r="H81" s="7" t="n">
        <v>106.53</v>
      </c>
      <c r="I81" s="7" t="n">
        <v>120.78</v>
      </c>
      <c r="J81" s="7" t="n">
        <v>125.63</v>
      </c>
      <c r="K81" s="7" t="n">
        <v>135.03</v>
      </c>
      <c r="L81" s="7" t="n">
        <v>144.53</v>
      </c>
      <c r="M81" s="7" t="n">
        <v>166.05</v>
      </c>
      <c r="N81" s="7" t="n">
        <v>166.05</v>
      </c>
      <c r="O81" s="7" t="n">
        <v>197.35</v>
      </c>
      <c r="P81" s="7" t="n">
        <v>236.82</v>
      </c>
      <c r="Q81" s="7" t="n">
        <v>264.84</v>
      </c>
      <c r="R81" s="7" t="n">
        <v>300.15</v>
      </c>
      <c r="S81" s="7" t="n">
        <v>353.12</v>
      </c>
      <c r="T81" s="7" t="n">
        <v>441.4</v>
      </c>
      <c r="U81" s="7" t="n">
        <v>46.95</v>
      </c>
      <c r="V81" s="7" t="n">
        <v>65.63</v>
      </c>
      <c r="W81" s="7" t="n">
        <v>74.97</v>
      </c>
      <c r="X81" s="7" t="n">
        <v>77.7</v>
      </c>
      <c r="Y81" s="7" t="n">
        <v>83.58</v>
      </c>
      <c r="Z81" s="7" t="n">
        <v>90.2</v>
      </c>
      <c r="AA81" s="7" t="n">
        <v>96.77</v>
      </c>
      <c r="AB81" s="7" t="n">
        <v>109.63</v>
      </c>
      <c r="AC81" s="7" t="n">
        <v>119.5</v>
      </c>
      <c r="AD81" s="7" t="n">
        <v>144.24</v>
      </c>
      <c r="AE81" s="7" t="n">
        <v>155.09</v>
      </c>
      <c r="AF81" s="7" t="n">
        <v>66.69</v>
      </c>
      <c r="AG81" s="7" t="n">
        <v>214.88</v>
      </c>
      <c r="AH81" s="12" t="n">
        <f aca="false">(U81+AH$4*(Resumo!$C$6+Resumo!$C$7+Resumo!$C$8)+Resumo!$C$10*CEILING(AH$3/100,1)+Resumo!$C$9+Resumo!$C$13+Resumo!$C$14*CEILING(AH$3,1))*(1+Resumo!$C$11)-(AH$4*(Resumo!$B$6+Resumo!$B$7)+Resumo!$B$9+Resumo!$B$10*CEILING(AH$3/100,1)+(Resumo!$B$12+Resumo!$B$14)*CEILING(AH$3,1))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1" s="12" t="n">
        <f aca="false">(V81+AI$4*(Resumo!$C$6+Resumo!$C$7+Resumo!$C$8)+Resumo!$C$10*CEILING(AI$3/100,1)+Resumo!$C$9+Resumo!$C$13+Resumo!$C$14*CEILING(AI$3,1))*(1+Resumo!$C$11)-(AI$4*(Resumo!$B$6+Resumo!$B$7)+Resumo!$B$9+Resumo!$B$10*CEILING(AI$3/100,1)+(Resumo!$B$12+Resumo!$B$14)*CEILING(AI$3,1))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1" s="12" t="n">
        <f aca="false">(W81+AJ$4*(Resumo!$C$6+Resumo!$C$7+Resumo!$C$8)+Resumo!$C$10*CEILING(AJ$3/100,1)+Resumo!$C$9+Resumo!$C$13+Resumo!$C$14*CEILING(AJ$3,1))*(1+Resumo!$C$11)-(AJ$4*(Resumo!$B$6+Resumo!$B$7)+Resumo!$B$9+Resumo!$B$10*CEILING(AJ$3/100,1)+(Resumo!$B$12+Resumo!$B$14)*CEILING(AJ$3,1))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1" s="12" t="n">
        <f aca="false">(X81+AK$4*(Resumo!$C$6+Resumo!$C$7+Resumo!$C$8)+Resumo!$C$10*CEILING(AK$3/100,1)+Resumo!$C$9+Resumo!$C$13+Resumo!$C$14*CEILING(AK$3,1))*(1+Resumo!$C$11)-(AK$4*(Resumo!$B$6+Resumo!$B$7)+Resumo!$B$9+Resumo!$B$10*CEILING(AK$3/100,1)+(Resumo!$B$12+Resumo!$B$14)*CEILING(AK$3,1))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1" s="12" t="n">
        <f aca="false">(Y81+AL$4*(Resumo!$C$6+Resumo!$C$7+Resumo!$C$8)+Resumo!$C$10*CEILING(AL$3/100,1)+Resumo!$C$9+Resumo!$C$13+Resumo!$C$14*CEILING(AL$3,1))*(1+Resumo!$C$11)-(AL$4*(Resumo!$B$6+Resumo!$B$7)+Resumo!$B$9+Resumo!$B$10*CEILING(AL$3/100,1)+(Resumo!$B$12+Resumo!$B$14)*CEILING(AL$3,1))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1" s="12" t="n">
        <f aca="false">(Z81+AM$4*(Resumo!$C$6+Resumo!$C$7+Resumo!$C$8)+Resumo!$C$10*CEILING(AM$3/100,1)+Resumo!$C$9+Resumo!$C$13+Resumo!$C$14*CEILING(AM$3,1))*(1+Resumo!$C$11)-(AM$4*(Resumo!$B$6+Resumo!$B$7)+Resumo!$B$9+Resumo!$B$10*CEILING(AM$3/100,1)+(Resumo!$B$12+Resumo!$B$14)*CEILING(AM$3,1))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1" s="12" t="n">
        <f aca="false">(AA81+AN$4*(Resumo!$C$6+Resumo!$C$7+Resumo!$C$8)+Resumo!$C$10*CEILING(AN$3/100,1)+Resumo!$C$9+Resumo!$C$13+Resumo!$C$14*CEILING(AN$3,1))*(1+Resumo!$C$11)-(AN$4*(Resumo!$B$6+Resumo!$B$7)+Resumo!$B$9+Resumo!$B$10*CEILING(AN$3/100,1)+(Resumo!$B$12+Resumo!$B$14)*CEILING(AN$3,1))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1" s="12" t="n">
        <f aca="false">(AB81+AO$4*(Resumo!$C$6+Resumo!$C$7+Resumo!$C$8)+Resumo!$C$10*CEILING(AO$3/100,1)+Resumo!$C$9+Resumo!$C$13+Resumo!$C$14*CEILING(AO$3,1))*(1+Resumo!$C$11)-(AO$4*(Resumo!$B$6+Resumo!$B$7)+Resumo!$B$9+Resumo!$B$10*CEILING(AO$3/100,1)+(Resumo!$B$12+Resumo!$B$14)*CEILING(AO$3,1))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1" s="12" t="n">
        <f aca="false">(AC81+AP$4*(Resumo!$C$6+Resumo!$C$7+Resumo!$C$8)+Resumo!$C$10*CEILING(AP$3/100,1)+Resumo!$C$9+Resumo!$C$13+Resumo!$C$14*CEILING(AP$3,1))*(1+Resumo!$C$11)-(AP$4*(Resumo!$B$6+Resumo!$B$7)+Resumo!$B$9+Resumo!$B$10*CEILING(AP$3/100,1)+(Resumo!$B$12+Resumo!$B$14)*CEILING(AP$3,1))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1" s="12" t="n">
        <f aca="false">(AD81+AQ$4*(Resumo!$C$6+Resumo!$C$7+Resumo!$C$8)+Resumo!$C$10*CEILING(AQ$3/100,1)+Resumo!$C$9+Resumo!$C$13+Resumo!$C$14*CEILING(AQ$3,1))*(1+Resumo!$C$11)-(AQ$4*(Resumo!$B$6+Resumo!$B$7)+Resumo!$B$9+Resumo!$B$10*CEILING(AQ$3/100,1)+(Resumo!$B$12+Resumo!$B$14)*CEILING(AQ$3,1))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1" s="12" t="n">
        <f aca="false">(AE81+AR$4*(Resumo!$C$6+Resumo!$C$7+Resumo!$C$8)+Resumo!$C$10*CEILING(AR$3/100,1)+Resumo!$C$9+Resumo!$C$13+Resumo!$C$14*CEILING(AR$3,1))*(1+Resumo!$C$11)-(AR$4*(Resumo!$B$6+Resumo!$B$7)+Resumo!$B$9+Resumo!$B$10*CEILING(AR$3/100,1)+(Resumo!$B$12+Resumo!$B$14)*CEILING(AR$3,1))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1" s="12" t="n">
        <f aca="false">(AF81+AS$4*(Resumo!$C$6+Resumo!$C$7+Resumo!$C$8)+Resumo!$C$10*CEILING(AS$3/100,1)+Resumo!$C$9+Resumo!$C$13+Resumo!$C$14*CEILING(AS$3,1))*(1+Resumo!$C$11)-(AS$4*(Resumo!$B$6+Resumo!$B$7)+Resumo!$B$9+Resumo!$B$10*CEILING(AS$3/100,1)+(Resumo!$B$12+Resumo!$B$14)*CEILING(AS$3,1))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1" s="12" t="n">
        <f aca="false">(AG81+AT$4*(Resumo!$C$6+Resumo!$C$7+Resumo!$C$8)+Resumo!$C$10*CEILING(AT$3/100,1)+Resumo!$C$9+Resumo!$C$13+Resumo!$C$14*CEILING(AT$3,1))*(1+Resumo!$C$11)-(AT$4*(Resumo!$B$6+Resumo!$B$7)+Resumo!$B$9+Resumo!$B$10*CEILING(AT$3/100,1)+(Resumo!$B$12+Resumo!$B$14)*CEILING(AT$3,1))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1" s="13" t="n">
        <f aca="false">1-AH81/H81</f>
        <v>0.480447881558527</v>
      </c>
      <c r="AV81" s="13" t="n">
        <f aca="false">1-AI81/I81</f>
        <v>0.391361508578081</v>
      </c>
      <c r="AW81" s="13" t="n">
        <f aca="false">1-AJ81/J81</f>
        <v>0.34451856798356</v>
      </c>
      <c r="AX81" s="13" t="n">
        <f aca="false">1-AK81/K81</f>
        <v>0.372260264988487</v>
      </c>
      <c r="AY81" s="13" t="n">
        <f aca="false">1-AL81/L81</f>
        <v>0.375400399837138</v>
      </c>
      <c r="AZ81" s="13" t="n">
        <f aca="false">1-AM81/M81</f>
        <v>0.420709229511831</v>
      </c>
      <c r="BA81" s="13" t="n">
        <f aca="false">1-AN81/N81</f>
        <v>0.382642225835592</v>
      </c>
      <c r="BB81" s="13" t="n">
        <f aca="false">1-AO81/O81</f>
        <v>0.419232633445788</v>
      </c>
      <c r="BC81" s="13" t="n">
        <f aca="false">1-AP81/P81</f>
        <v>0.493280443868681</v>
      </c>
      <c r="BD81" s="13" t="n">
        <f aca="false">1-AQ81/Q81</f>
        <v>0.455794679894486</v>
      </c>
      <c r="BE81" s="13" t="n">
        <f aca="false">1-AR81/R81</f>
        <v>0.489018797268033</v>
      </c>
      <c r="BF81" s="13" t="n">
        <f aca="false">1-AS81/S81</f>
        <v>0.820478024467603</v>
      </c>
      <c r="BG81" s="13" t="n">
        <f aca="false">1-AT81/T81</f>
        <v>0.528263860444042</v>
      </c>
    </row>
    <row r="82" customFormat="false" ht="15" hidden="false" customHeight="false" outlineLevel="0" collapsed="false">
      <c r="A82" s="4" t="s">
        <v>215</v>
      </c>
      <c r="B82" s="4" t="s">
        <v>281</v>
      </c>
      <c r="C82" s="36" t="n">
        <v>28650000</v>
      </c>
      <c r="D82" s="36" t="n">
        <v>28659999</v>
      </c>
      <c r="E82" s="4" t="s">
        <v>198</v>
      </c>
      <c r="F82" s="4" t="s">
        <v>220</v>
      </c>
      <c r="G82" s="4" t="n">
        <f aca="false">COUNTIFS(Pedidos!$E$2:$E$2224,"&gt;="&amp;C82,Pedidos!$E$2:$E$2224,"&lt;="&amp;D82)</f>
        <v>2</v>
      </c>
      <c r="H82" s="7" t="n">
        <v>106.53</v>
      </c>
      <c r="I82" s="7" t="n">
        <v>120.78</v>
      </c>
      <c r="J82" s="7" t="n">
        <v>125.63</v>
      </c>
      <c r="K82" s="7" t="n">
        <v>135.03</v>
      </c>
      <c r="L82" s="7" t="n">
        <v>144.53</v>
      </c>
      <c r="M82" s="7" t="n">
        <v>166.05</v>
      </c>
      <c r="N82" s="7" t="n">
        <v>166.05</v>
      </c>
      <c r="O82" s="7" t="n">
        <v>197.35</v>
      </c>
      <c r="P82" s="7" t="n">
        <v>236.82</v>
      </c>
      <c r="Q82" s="7" t="n">
        <v>264.84</v>
      </c>
      <c r="R82" s="7" t="n">
        <v>300.15</v>
      </c>
      <c r="S82" s="7" t="n">
        <v>353.12</v>
      </c>
      <c r="T82" s="7" t="n">
        <v>441.4</v>
      </c>
      <c r="U82" s="7" t="n">
        <v>46.95</v>
      </c>
      <c r="V82" s="7" t="n">
        <v>65.63</v>
      </c>
      <c r="W82" s="7" t="n">
        <v>74.97</v>
      </c>
      <c r="X82" s="7" t="n">
        <v>77.7</v>
      </c>
      <c r="Y82" s="7" t="n">
        <v>83.58</v>
      </c>
      <c r="Z82" s="7" t="n">
        <v>90.2</v>
      </c>
      <c r="AA82" s="7" t="n">
        <v>96.77</v>
      </c>
      <c r="AB82" s="7" t="n">
        <v>109.63</v>
      </c>
      <c r="AC82" s="7" t="n">
        <v>119.5</v>
      </c>
      <c r="AD82" s="7" t="n">
        <v>144.24</v>
      </c>
      <c r="AE82" s="7" t="n">
        <v>155.09</v>
      </c>
      <c r="AF82" s="7" t="n">
        <v>66.69</v>
      </c>
      <c r="AG82" s="7" t="n">
        <v>214.88</v>
      </c>
      <c r="AH82" s="12" t="n">
        <f aca="false">(U82+AH$4*(Resumo!$C$6+Resumo!$C$7+Resumo!$C$8)+Resumo!$C$10*CEILING(AH$3/100,1)+Resumo!$C$9+Resumo!$C$13+Resumo!$C$14*CEILING(AH$3,1))*(1+Resumo!$C$11)-(AH$4*(Resumo!$B$6+Resumo!$B$7)+Resumo!$B$9+Resumo!$B$10*CEILING(AH$3/100,1)+(Resumo!$B$12+Resumo!$B$14)*CEILING(AH$3,1))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2" s="12" t="n">
        <f aca="false">(V82+AI$4*(Resumo!$C$6+Resumo!$C$7+Resumo!$C$8)+Resumo!$C$10*CEILING(AI$3/100,1)+Resumo!$C$9+Resumo!$C$13+Resumo!$C$14*CEILING(AI$3,1))*(1+Resumo!$C$11)-(AI$4*(Resumo!$B$6+Resumo!$B$7)+Resumo!$B$9+Resumo!$B$10*CEILING(AI$3/100,1)+(Resumo!$B$12+Resumo!$B$14)*CEILING(AI$3,1))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2" s="12" t="n">
        <f aca="false">(W82+AJ$4*(Resumo!$C$6+Resumo!$C$7+Resumo!$C$8)+Resumo!$C$10*CEILING(AJ$3/100,1)+Resumo!$C$9+Resumo!$C$13+Resumo!$C$14*CEILING(AJ$3,1))*(1+Resumo!$C$11)-(AJ$4*(Resumo!$B$6+Resumo!$B$7)+Resumo!$B$9+Resumo!$B$10*CEILING(AJ$3/100,1)+(Resumo!$B$12+Resumo!$B$14)*CEILING(AJ$3,1))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2" s="12" t="n">
        <f aca="false">(X82+AK$4*(Resumo!$C$6+Resumo!$C$7+Resumo!$C$8)+Resumo!$C$10*CEILING(AK$3/100,1)+Resumo!$C$9+Resumo!$C$13+Resumo!$C$14*CEILING(AK$3,1))*(1+Resumo!$C$11)-(AK$4*(Resumo!$B$6+Resumo!$B$7)+Resumo!$B$9+Resumo!$B$10*CEILING(AK$3/100,1)+(Resumo!$B$12+Resumo!$B$14)*CEILING(AK$3,1))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2" s="12" t="n">
        <f aca="false">(Y82+AL$4*(Resumo!$C$6+Resumo!$C$7+Resumo!$C$8)+Resumo!$C$10*CEILING(AL$3/100,1)+Resumo!$C$9+Resumo!$C$13+Resumo!$C$14*CEILING(AL$3,1))*(1+Resumo!$C$11)-(AL$4*(Resumo!$B$6+Resumo!$B$7)+Resumo!$B$9+Resumo!$B$10*CEILING(AL$3/100,1)+(Resumo!$B$12+Resumo!$B$14)*CEILING(AL$3,1))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2" s="12" t="n">
        <f aca="false">(Z82+AM$4*(Resumo!$C$6+Resumo!$C$7+Resumo!$C$8)+Resumo!$C$10*CEILING(AM$3/100,1)+Resumo!$C$9+Resumo!$C$13+Resumo!$C$14*CEILING(AM$3,1))*(1+Resumo!$C$11)-(AM$4*(Resumo!$B$6+Resumo!$B$7)+Resumo!$B$9+Resumo!$B$10*CEILING(AM$3/100,1)+(Resumo!$B$12+Resumo!$B$14)*CEILING(AM$3,1))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2" s="12" t="n">
        <f aca="false">(AA82+AN$4*(Resumo!$C$6+Resumo!$C$7+Resumo!$C$8)+Resumo!$C$10*CEILING(AN$3/100,1)+Resumo!$C$9+Resumo!$C$13+Resumo!$C$14*CEILING(AN$3,1))*(1+Resumo!$C$11)-(AN$4*(Resumo!$B$6+Resumo!$B$7)+Resumo!$B$9+Resumo!$B$10*CEILING(AN$3/100,1)+(Resumo!$B$12+Resumo!$B$14)*CEILING(AN$3,1))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2" s="12" t="n">
        <f aca="false">(AB82+AO$4*(Resumo!$C$6+Resumo!$C$7+Resumo!$C$8)+Resumo!$C$10*CEILING(AO$3/100,1)+Resumo!$C$9+Resumo!$C$13+Resumo!$C$14*CEILING(AO$3,1))*(1+Resumo!$C$11)-(AO$4*(Resumo!$B$6+Resumo!$B$7)+Resumo!$B$9+Resumo!$B$10*CEILING(AO$3/100,1)+(Resumo!$B$12+Resumo!$B$14)*CEILING(AO$3,1))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2" s="12" t="n">
        <f aca="false">(AC82+AP$4*(Resumo!$C$6+Resumo!$C$7+Resumo!$C$8)+Resumo!$C$10*CEILING(AP$3/100,1)+Resumo!$C$9+Resumo!$C$13+Resumo!$C$14*CEILING(AP$3,1))*(1+Resumo!$C$11)-(AP$4*(Resumo!$B$6+Resumo!$B$7)+Resumo!$B$9+Resumo!$B$10*CEILING(AP$3/100,1)+(Resumo!$B$12+Resumo!$B$14)*CEILING(AP$3,1))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2" s="12" t="n">
        <f aca="false">(AD82+AQ$4*(Resumo!$C$6+Resumo!$C$7+Resumo!$C$8)+Resumo!$C$10*CEILING(AQ$3/100,1)+Resumo!$C$9+Resumo!$C$13+Resumo!$C$14*CEILING(AQ$3,1))*(1+Resumo!$C$11)-(AQ$4*(Resumo!$B$6+Resumo!$B$7)+Resumo!$B$9+Resumo!$B$10*CEILING(AQ$3/100,1)+(Resumo!$B$12+Resumo!$B$14)*CEILING(AQ$3,1))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2" s="12" t="n">
        <f aca="false">(AE82+AR$4*(Resumo!$C$6+Resumo!$C$7+Resumo!$C$8)+Resumo!$C$10*CEILING(AR$3/100,1)+Resumo!$C$9+Resumo!$C$13+Resumo!$C$14*CEILING(AR$3,1))*(1+Resumo!$C$11)-(AR$4*(Resumo!$B$6+Resumo!$B$7)+Resumo!$B$9+Resumo!$B$10*CEILING(AR$3/100,1)+(Resumo!$B$12+Resumo!$B$14)*CEILING(AR$3,1))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2" s="12" t="n">
        <f aca="false">(AF82+AS$4*(Resumo!$C$6+Resumo!$C$7+Resumo!$C$8)+Resumo!$C$10*CEILING(AS$3/100,1)+Resumo!$C$9+Resumo!$C$13+Resumo!$C$14*CEILING(AS$3,1))*(1+Resumo!$C$11)-(AS$4*(Resumo!$B$6+Resumo!$B$7)+Resumo!$B$9+Resumo!$B$10*CEILING(AS$3/100,1)+(Resumo!$B$12+Resumo!$B$14)*CEILING(AS$3,1))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2" s="12" t="n">
        <f aca="false">(AG82+AT$4*(Resumo!$C$6+Resumo!$C$7+Resumo!$C$8)+Resumo!$C$10*CEILING(AT$3/100,1)+Resumo!$C$9+Resumo!$C$13+Resumo!$C$14*CEILING(AT$3,1))*(1+Resumo!$C$11)-(AT$4*(Resumo!$B$6+Resumo!$B$7)+Resumo!$B$9+Resumo!$B$10*CEILING(AT$3/100,1)+(Resumo!$B$12+Resumo!$B$14)*CEILING(AT$3,1))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2" s="13" t="n">
        <f aca="false">1-AH82/H82</f>
        <v>0.480447881558527</v>
      </c>
      <c r="AV82" s="13" t="n">
        <f aca="false">1-AI82/I82</f>
        <v>0.391361508578081</v>
      </c>
      <c r="AW82" s="13" t="n">
        <f aca="false">1-AJ82/J82</f>
        <v>0.34451856798356</v>
      </c>
      <c r="AX82" s="13" t="n">
        <f aca="false">1-AK82/K82</f>
        <v>0.372260264988487</v>
      </c>
      <c r="AY82" s="13" t="n">
        <f aca="false">1-AL82/L82</f>
        <v>0.375400399837138</v>
      </c>
      <c r="AZ82" s="13" t="n">
        <f aca="false">1-AM82/M82</f>
        <v>0.420709229511831</v>
      </c>
      <c r="BA82" s="13" t="n">
        <f aca="false">1-AN82/N82</f>
        <v>0.382642225835592</v>
      </c>
      <c r="BB82" s="13" t="n">
        <f aca="false">1-AO82/O82</f>
        <v>0.419232633445788</v>
      </c>
      <c r="BC82" s="13" t="n">
        <f aca="false">1-AP82/P82</f>
        <v>0.493280443868681</v>
      </c>
      <c r="BD82" s="13" t="n">
        <f aca="false">1-AQ82/Q82</f>
        <v>0.455794679894486</v>
      </c>
      <c r="BE82" s="13" t="n">
        <f aca="false">1-AR82/R82</f>
        <v>0.489018797268033</v>
      </c>
      <c r="BF82" s="13" t="n">
        <f aca="false">1-AS82/S82</f>
        <v>0.820478024467603</v>
      </c>
      <c r="BG82" s="13" t="n">
        <f aca="false">1-AT82/T82</f>
        <v>0.528263860444042</v>
      </c>
    </row>
    <row r="83" customFormat="false" ht="15" hidden="false" customHeight="false" outlineLevel="0" collapsed="false">
      <c r="A83" s="4" t="s">
        <v>215</v>
      </c>
      <c r="B83" s="4" t="s">
        <v>282</v>
      </c>
      <c r="C83" s="36" t="n">
        <v>28660000</v>
      </c>
      <c r="D83" s="36" t="n">
        <v>28679999</v>
      </c>
      <c r="E83" s="4" t="s">
        <v>198</v>
      </c>
      <c r="F83" s="4" t="s">
        <v>220</v>
      </c>
      <c r="G83" s="4" t="n">
        <f aca="false">COUNTIFS(Pedidos!$E$2:$E$2224,"&gt;="&amp;C83,Pedidos!$E$2:$E$2224,"&lt;="&amp;D83)</f>
        <v>4</v>
      </c>
      <c r="H83" s="7" t="n">
        <v>106.53</v>
      </c>
      <c r="I83" s="7" t="n">
        <v>120.78</v>
      </c>
      <c r="J83" s="7" t="n">
        <v>125.63</v>
      </c>
      <c r="K83" s="7" t="n">
        <v>135.03</v>
      </c>
      <c r="L83" s="7" t="n">
        <v>144.53</v>
      </c>
      <c r="M83" s="7" t="n">
        <v>166.05</v>
      </c>
      <c r="N83" s="7" t="n">
        <v>166.05</v>
      </c>
      <c r="O83" s="7" t="n">
        <v>197.35</v>
      </c>
      <c r="P83" s="7" t="n">
        <v>236.82</v>
      </c>
      <c r="Q83" s="7" t="n">
        <v>264.84</v>
      </c>
      <c r="R83" s="7" t="n">
        <v>300.15</v>
      </c>
      <c r="S83" s="7" t="n">
        <v>353.12</v>
      </c>
      <c r="T83" s="7" t="n">
        <v>441.4</v>
      </c>
      <c r="U83" s="7" t="n">
        <v>46.95</v>
      </c>
      <c r="V83" s="7" t="n">
        <v>65.63</v>
      </c>
      <c r="W83" s="7" t="n">
        <v>74.97</v>
      </c>
      <c r="X83" s="7" t="n">
        <v>77.7</v>
      </c>
      <c r="Y83" s="7" t="n">
        <v>83.58</v>
      </c>
      <c r="Z83" s="7" t="n">
        <v>90.2</v>
      </c>
      <c r="AA83" s="7" t="n">
        <v>96.77</v>
      </c>
      <c r="AB83" s="7" t="n">
        <v>109.63</v>
      </c>
      <c r="AC83" s="7" t="n">
        <v>119.5</v>
      </c>
      <c r="AD83" s="7" t="n">
        <v>144.24</v>
      </c>
      <c r="AE83" s="7" t="n">
        <v>155.09</v>
      </c>
      <c r="AF83" s="7" t="n">
        <v>66.69</v>
      </c>
      <c r="AG83" s="7" t="n">
        <v>214.88</v>
      </c>
      <c r="AH83" s="12" t="n">
        <f aca="false">(U83+AH$4*(Resumo!$C$6+Resumo!$C$7+Resumo!$C$8)+Resumo!$C$10*CEILING(AH$3/100,1)+Resumo!$C$9+Resumo!$C$13+Resumo!$C$14*CEILING(AH$3,1))*(1+Resumo!$C$11)-(AH$4*(Resumo!$B$6+Resumo!$B$7)+Resumo!$B$9+Resumo!$B$10*CEILING(AH$3/100,1)+(Resumo!$B$12+Resumo!$B$14)*CEILING(AH$3,1))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3" s="12" t="n">
        <f aca="false">(V83+AI$4*(Resumo!$C$6+Resumo!$C$7+Resumo!$C$8)+Resumo!$C$10*CEILING(AI$3/100,1)+Resumo!$C$9+Resumo!$C$13+Resumo!$C$14*CEILING(AI$3,1))*(1+Resumo!$C$11)-(AI$4*(Resumo!$B$6+Resumo!$B$7)+Resumo!$B$9+Resumo!$B$10*CEILING(AI$3/100,1)+(Resumo!$B$12+Resumo!$B$14)*CEILING(AI$3,1))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3" s="12" t="n">
        <f aca="false">(W83+AJ$4*(Resumo!$C$6+Resumo!$C$7+Resumo!$C$8)+Resumo!$C$10*CEILING(AJ$3/100,1)+Resumo!$C$9+Resumo!$C$13+Resumo!$C$14*CEILING(AJ$3,1))*(1+Resumo!$C$11)-(AJ$4*(Resumo!$B$6+Resumo!$B$7)+Resumo!$B$9+Resumo!$B$10*CEILING(AJ$3/100,1)+(Resumo!$B$12+Resumo!$B$14)*CEILING(AJ$3,1))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3" s="12" t="n">
        <f aca="false">(X83+AK$4*(Resumo!$C$6+Resumo!$C$7+Resumo!$C$8)+Resumo!$C$10*CEILING(AK$3/100,1)+Resumo!$C$9+Resumo!$C$13+Resumo!$C$14*CEILING(AK$3,1))*(1+Resumo!$C$11)-(AK$4*(Resumo!$B$6+Resumo!$B$7)+Resumo!$B$9+Resumo!$B$10*CEILING(AK$3/100,1)+(Resumo!$B$12+Resumo!$B$14)*CEILING(AK$3,1))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3" s="12" t="n">
        <f aca="false">(Y83+AL$4*(Resumo!$C$6+Resumo!$C$7+Resumo!$C$8)+Resumo!$C$10*CEILING(AL$3/100,1)+Resumo!$C$9+Resumo!$C$13+Resumo!$C$14*CEILING(AL$3,1))*(1+Resumo!$C$11)-(AL$4*(Resumo!$B$6+Resumo!$B$7)+Resumo!$B$9+Resumo!$B$10*CEILING(AL$3/100,1)+(Resumo!$B$12+Resumo!$B$14)*CEILING(AL$3,1))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3" s="12" t="n">
        <f aca="false">(Z83+AM$4*(Resumo!$C$6+Resumo!$C$7+Resumo!$C$8)+Resumo!$C$10*CEILING(AM$3/100,1)+Resumo!$C$9+Resumo!$C$13+Resumo!$C$14*CEILING(AM$3,1))*(1+Resumo!$C$11)-(AM$4*(Resumo!$B$6+Resumo!$B$7)+Resumo!$B$9+Resumo!$B$10*CEILING(AM$3/100,1)+(Resumo!$B$12+Resumo!$B$14)*CEILING(AM$3,1))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3" s="12" t="n">
        <f aca="false">(AA83+AN$4*(Resumo!$C$6+Resumo!$C$7+Resumo!$C$8)+Resumo!$C$10*CEILING(AN$3/100,1)+Resumo!$C$9+Resumo!$C$13+Resumo!$C$14*CEILING(AN$3,1))*(1+Resumo!$C$11)-(AN$4*(Resumo!$B$6+Resumo!$B$7)+Resumo!$B$9+Resumo!$B$10*CEILING(AN$3/100,1)+(Resumo!$B$12+Resumo!$B$14)*CEILING(AN$3,1))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3" s="12" t="n">
        <f aca="false">(AB83+AO$4*(Resumo!$C$6+Resumo!$C$7+Resumo!$C$8)+Resumo!$C$10*CEILING(AO$3/100,1)+Resumo!$C$9+Resumo!$C$13+Resumo!$C$14*CEILING(AO$3,1))*(1+Resumo!$C$11)-(AO$4*(Resumo!$B$6+Resumo!$B$7)+Resumo!$B$9+Resumo!$B$10*CEILING(AO$3/100,1)+(Resumo!$B$12+Resumo!$B$14)*CEILING(AO$3,1))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3" s="12" t="n">
        <f aca="false">(AC83+AP$4*(Resumo!$C$6+Resumo!$C$7+Resumo!$C$8)+Resumo!$C$10*CEILING(AP$3/100,1)+Resumo!$C$9+Resumo!$C$13+Resumo!$C$14*CEILING(AP$3,1))*(1+Resumo!$C$11)-(AP$4*(Resumo!$B$6+Resumo!$B$7)+Resumo!$B$9+Resumo!$B$10*CEILING(AP$3/100,1)+(Resumo!$B$12+Resumo!$B$14)*CEILING(AP$3,1))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3" s="12" t="n">
        <f aca="false">(AD83+AQ$4*(Resumo!$C$6+Resumo!$C$7+Resumo!$C$8)+Resumo!$C$10*CEILING(AQ$3/100,1)+Resumo!$C$9+Resumo!$C$13+Resumo!$C$14*CEILING(AQ$3,1))*(1+Resumo!$C$11)-(AQ$4*(Resumo!$B$6+Resumo!$B$7)+Resumo!$B$9+Resumo!$B$10*CEILING(AQ$3/100,1)+(Resumo!$B$12+Resumo!$B$14)*CEILING(AQ$3,1))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3" s="12" t="n">
        <f aca="false">(AE83+AR$4*(Resumo!$C$6+Resumo!$C$7+Resumo!$C$8)+Resumo!$C$10*CEILING(AR$3/100,1)+Resumo!$C$9+Resumo!$C$13+Resumo!$C$14*CEILING(AR$3,1))*(1+Resumo!$C$11)-(AR$4*(Resumo!$B$6+Resumo!$B$7)+Resumo!$B$9+Resumo!$B$10*CEILING(AR$3/100,1)+(Resumo!$B$12+Resumo!$B$14)*CEILING(AR$3,1))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3" s="12" t="n">
        <f aca="false">(AF83+AS$4*(Resumo!$C$6+Resumo!$C$7+Resumo!$C$8)+Resumo!$C$10*CEILING(AS$3/100,1)+Resumo!$C$9+Resumo!$C$13+Resumo!$C$14*CEILING(AS$3,1))*(1+Resumo!$C$11)-(AS$4*(Resumo!$B$6+Resumo!$B$7)+Resumo!$B$9+Resumo!$B$10*CEILING(AS$3/100,1)+(Resumo!$B$12+Resumo!$B$14)*CEILING(AS$3,1))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3" s="12" t="n">
        <f aca="false">(AG83+AT$4*(Resumo!$C$6+Resumo!$C$7+Resumo!$C$8)+Resumo!$C$10*CEILING(AT$3/100,1)+Resumo!$C$9+Resumo!$C$13+Resumo!$C$14*CEILING(AT$3,1))*(1+Resumo!$C$11)-(AT$4*(Resumo!$B$6+Resumo!$B$7)+Resumo!$B$9+Resumo!$B$10*CEILING(AT$3/100,1)+(Resumo!$B$12+Resumo!$B$14)*CEILING(AT$3,1))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3" s="13" t="n">
        <f aca="false">1-AH83/H83</f>
        <v>0.480447881558527</v>
      </c>
      <c r="AV83" s="13" t="n">
        <f aca="false">1-AI83/I83</f>
        <v>0.391361508578081</v>
      </c>
      <c r="AW83" s="13" t="n">
        <f aca="false">1-AJ83/J83</f>
        <v>0.34451856798356</v>
      </c>
      <c r="AX83" s="13" t="n">
        <f aca="false">1-AK83/K83</f>
        <v>0.372260264988487</v>
      </c>
      <c r="AY83" s="13" t="n">
        <f aca="false">1-AL83/L83</f>
        <v>0.375400399837138</v>
      </c>
      <c r="AZ83" s="13" t="n">
        <f aca="false">1-AM83/M83</f>
        <v>0.420709229511831</v>
      </c>
      <c r="BA83" s="13" t="n">
        <f aca="false">1-AN83/N83</f>
        <v>0.382642225835592</v>
      </c>
      <c r="BB83" s="13" t="n">
        <f aca="false">1-AO83/O83</f>
        <v>0.419232633445788</v>
      </c>
      <c r="BC83" s="13" t="n">
        <f aca="false">1-AP83/P83</f>
        <v>0.493280443868681</v>
      </c>
      <c r="BD83" s="13" t="n">
        <f aca="false">1-AQ83/Q83</f>
        <v>0.455794679894486</v>
      </c>
      <c r="BE83" s="13" t="n">
        <f aca="false">1-AR83/R83</f>
        <v>0.489018797268033</v>
      </c>
      <c r="BF83" s="13" t="n">
        <f aca="false">1-AS83/S83</f>
        <v>0.820478024467603</v>
      </c>
      <c r="BG83" s="13" t="n">
        <f aca="false">1-AT83/T83</f>
        <v>0.528263860444042</v>
      </c>
    </row>
    <row r="84" customFormat="false" ht="15" hidden="false" customHeight="false" outlineLevel="0" collapsed="false">
      <c r="A84" s="4" t="s">
        <v>215</v>
      </c>
      <c r="B84" s="4" t="s">
        <v>283</v>
      </c>
      <c r="C84" s="36" t="n">
        <v>28680000</v>
      </c>
      <c r="D84" s="36" t="n">
        <v>28699999</v>
      </c>
      <c r="E84" s="4" t="s">
        <v>198</v>
      </c>
      <c r="F84" s="4" t="s">
        <v>220</v>
      </c>
      <c r="G84" s="4" t="n">
        <f aca="false">COUNTIFS(Pedidos!$E$2:$E$2224,"&gt;="&amp;C84,Pedidos!$E$2:$E$2224,"&lt;="&amp;D84)</f>
        <v>7</v>
      </c>
      <c r="H84" s="7" t="n">
        <v>106.53</v>
      </c>
      <c r="I84" s="7" t="n">
        <v>120.78</v>
      </c>
      <c r="J84" s="7" t="n">
        <v>125.63</v>
      </c>
      <c r="K84" s="7" t="n">
        <v>135.03</v>
      </c>
      <c r="L84" s="7" t="n">
        <v>144.53</v>
      </c>
      <c r="M84" s="7" t="n">
        <v>166.05</v>
      </c>
      <c r="N84" s="7" t="n">
        <v>166.05</v>
      </c>
      <c r="O84" s="7" t="n">
        <v>197.35</v>
      </c>
      <c r="P84" s="7" t="n">
        <v>236.82</v>
      </c>
      <c r="Q84" s="7" t="n">
        <v>264.84</v>
      </c>
      <c r="R84" s="7" t="n">
        <v>300.15</v>
      </c>
      <c r="S84" s="7" t="n">
        <v>353.12</v>
      </c>
      <c r="T84" s="7" t="n">
        <v>441.4</v>
      </c>
      <c r="U84" s="7" t="n">
        <v>46.95</v>
      </c>
      <c r="V84" s="7" t="n">
        <v>65.63</v>
      </c>
      <c r="W84" s="7" t="n">
        <v>74.97</v>
      </c>
      <c r="X84" s="7" t="n">
        <v>77.7</v>
      </c>
      <c r="Y84" s="7" t="n">
        <v>83.58</v>
      </c>
      <c r="Z84" s="7" t="n">
        <v>90.2</v>
      </c>
      <c r="AA84" s="7" t="n">
        <v>96.77</v>
      </c>
      <c r="AB84" s="7" t="n">
        <v>109.63</v>
      </c>
      <c r="AC84" s="7" t="n">
        <v>119.5</v>
      </c>
      <c r="AD84" s="7" t="n">
        <v>144.24</v>
      </c>
      <c r="AE84" s="7" t="n">
        <v>155.09</v>
      </c>
      <c r="AF84" s="7" t="n">
        <v>66.69</v>
      </c>
      <c r="AG84" s="7" t="n">
        <v>214.88</v>
      </c>
      <c r="AH84" s="12" t="n">
        <f aca="false">(U84+AH$4*(Resumo!$C$6+Resumo!$C$7+Resumo!$C$8)+Resumo!$C$10*CEILING(AH$3/100,1)+Resumo!$C$9+Resumo!$C$13+Resumo!$C$14*CEILING(AH$3,1))*(1+Resumo!$C$11)-(AH$4*(Resumo!$B$6+Resumo!$B$7)+Resumo!$B$9+Resumo!$B$10*CEILING(AH$3/100,1)+(Resumo!$B$12+Resumo!$B$14)*CEILING(AH$3,1))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4" s="12" t="n">
        <f aca="false">(V84+AI$4*(Resumo!$C$6+Resumo!$C$7+Resumo!$C$8)+Resumo!$C$10*CEILING(AI$3/100,1)+Resumo!$C$9+Resumo!$C$13+Resumo!$C$14*CEILING(AI$3,1))*(1+Resumo!$C$11)-(AI$4*(Resumo!$B$6+Resumo!$B$7)+Resumo!$B$9+Resumo!$B$10*CEILING(AI$3/100,1)+(Resumo!$B$12+Resumo!$B$14)*CEILING(AI$3,1))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4" s="12" t="n">
        <f aca="false">(W84+AJ$4*(Resumo!$C$6+Resumo!$C$7+Resumo!$C$8)+Resumo!$C$10*CEILING(AJ$3/100,1)+Resumo!$C$9+Resumo!$C$13+Resumo!$C$14*CEILING(AJ$3,1))*(1+Resumo!$C$11)-(AJ$4*(Resumo!$B$6+Resumo!$B$7)+Resumo!$B$9+Resumo!$B$10*CEILING(AJ$3/100,1)+(Resumo!$B$12+Resumo!$B$14)*CEILING(AJ$3,1))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4" s="12" t="n">
        <f aca="false">(X84+AK$4*(Resumo!$C$6+Resumo!$C$7+Resumo!$C$8)+Resumo!$C$10*CEILING(AK$3/100,1)+Resumo!$C$9+Resumo!$C$13+Resumo!$C$14*CEILING(AK$3,1))*(1+Resumo!$C$11)-(AK$4*(Resumo!$B$6+Resumo!$B$7)+Resumo!$B$9+Resumo!$B$10*CEILING(AK$3/100,1)+(Resumo!$B$12+Resumo!$B$14)*CEILING(AK$3,1))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4" s="12" t="n">
        <f aca="false">(Y84+AL$4*(Resumo!$C$6+Resumo!$C$7+Resumo!$C$8)+Resumo!$C$10*CEILING(AL$3/100,1)+Resumo!$C$9+Resumo!$C$13+Resumo!$C$14*CEILING(AL$3,1))*(1+Resumo!$C$11)-(AL$4*(Resumo!$B$6+Resumo!$B$7)+Resumo!$B$9+Resumo!$B$10*CEILING(AL$3/100,1)+(Resumo!$B$12+Resumo!$B$14)*CEILING(AL$3,1))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4" s="12" t="n">
        <f aca="false">(Z84+AM$4*(Resumo!$C$6+Resumo!$C$7+Resumo!$C$8)+Resumo!$C$10*CEILING(AM$3/100,1)+Resumo!$C$9+Resumo!$C$13+Resumo!$C$14*CEILING(AM$3,1))*(1+Resumo!$C$11)-(AM$4*(Resumo!$B$6+Resumo!$B$7)+Resumo!$B$9+Resumo!$B$10*CEILING(AM$3/100,1)+(Resumo!$B$12+Resumo!$B$14)*CEILING(AM$3,1))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4" s="12" t="n">
        <f aca="false">(AA84+AN$4*(Resumo!$C$6+Resumo!$C$7+Resumo!$C$8)+Resumo!$C$10*CEILING(AN$3/100,1)+Resumo!$C$9+Resumo!$C$13+Resumo!$C$14*CEILING(AN$3,1))*(1+Resumo!$C$11)-(AN$4*(Resumo!$B$6+Resumo!$B$7)+Resumo!$B$9+Resumo!$B$10*CEILING(AN$3/100,1)+(Resumo!$B$12+Resumo!$B$14)*CEILING(AN$3,1))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4" s="12" t="n">
        <f aca="false">(AB84+AO$4*(Resumo!$C$6+Resumo!$C$7+Resumo!$C$8)+Resumo!$C$10*CEILING(AO$3/100,1)+Resumo!$C$9+Resumo!$C$13+Resumo!$C$14*CEILING(AO$3,1))*(1+Resumo!$C$11)-(AO$4*(Resumo!$B$6+Resumo!$B$7)+Resumo!$B$9+Resumo!$B$10*CEILING(AO$3/100,1)+(Resumo!$B$12+Resumo!$B$14)*CEILING(AO$3,1))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4" s="12" t="n">
        <f aca="false">(AC84+AP$4*(Resumo!$C$6+Resumo!$C$7+Resumo!$C$8)+Resumo!$C$10*CEILING(AP$3/100,1)+Resumo!$C$9+Resumo!$C$13+Resumo!$C$14*CEILING(AP$3,1))*(1+Resumo!$C$11)-(AP$4*(Resumo!$B$6+Resumo!$B$7)+Resumo!$B$9+Resumo!$B$10*CEILING(AP$3/100,1)+(Resumo!$B$12+Resumo!$B$14)*CEILING(AP$3,1))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4" s="12" t="n">
        <f aca="false">(AD84+AQ$4*(Resumo!$C$6+Resumo!$C$7+Resumo!$C$8)+Resumo!$C$10*CEILING(AQ$3/100,1)+Resumo!$C$9+Resumo!$C$13+Resumo!$C$14*CEILING(AQ$3,1))*(1+Resumo!$C$11)-(AQ$4*(Resumo!$B$6+Resumo!$B$7)+Resumo!$B$9+Resumo!$B$10*CEILING(AQ$3/100,1)+(Resumo!$B$12+Resumo!$B$14)*CEILING(AQ$3,1))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4" s="12" t="n">
        <f aca="false">(AE84+AR$4*(Resumo!$C$6+Resumo!$C$7+Resumo!$C$8)+Resumo!$C$10*CEILING(AR$3/100,1)+Resumo!$C$9+Resumo!$C$13+Resumo!$C$14*CEILING(AR$3,1))*(1+Resumo!$C$11)-(AR$4*(Resumo!$B$6+Resumo!$B$7)+Resumo!$B$9+Resumo!$B$10*CEILING(AR$3/100,1)+(Resumo!$B$12+Resumo!$B$14)*CEILING(AR$3,1))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4" s="12" t="n">
        <f aca="false">(AF84+AS$4*(Resumo!$C$6+Resumo!$C$7+Resumo!$C$8)+Resumo!$C$10*CEILING(AS$3/100,1)+Resumo!$C$9+Resumo!$C$13+Resumo!$C$14*CEILING(AS$3,1))*(1+Resumo!$C$11)-(AS$4*(Resumo!$B$6+Resumo!$B$7)+Resumo!$B$9+Resumo!$B$10*CEILING(AS$3/100,1)+(Resumo!$B$12+Resumo!$B$14)*CEILING(AS$3,1))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4" s="12" t="n">
        <f aca="false">(AG84+AT$4*(Resumo!$C$6+Resumo!$C$7+Resumo!$C$8)+Resumo!$C$10*CEILING(AT$3/100,1)+Resumo!$C$9+Resumo!$C$13+Resumo!$C$14*CEILING(AT$3,1))*(1+Resumo!$C$11)-(AT$4*(Resumo!$B$6+Resumo!$B$7)+Resumo!$B$9+Resumo!$B$10*CEILING(AT$3/100,1)+(Resumo!$B$12+Resumo!$B$14)*CEILING(AT$3,1))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4" s="13" t="n">
        <f aca="false">1-AH84/H84</f>
        <v>0.480447881558527</v>
      </c>
      <c r="AV84" s="13" t="n">
        <f aca="false">1-AI84/I84</f>
        <v>0.391361508578081</v>
      </c>
      <c r="AW84" s="13" t="n">
        <f aca="false">1-AJ84/J84</f>
        <v>0.34451856798356</v>
      </c>
      <c r="AX84" s="13" t="n">
        <f aca="false">1-AK84/K84</f>
        <v>0.372260264988487</v>
      </c>
      <c r="AY84" s="13" t="n">
        <f aca="false">1-AL84/L84</f>
        <v>0.375400399837138</v>
      </c>
      <c r="AZ84" s="13" t="n">
        <f aca="false">1-AM84/M84</f>
        <v>0.420709229511831</v>
      </c>
      <c r="BA84" s="13" t="n">
        <f aca="false">1-AN84/N84</f>
        <v>0.382642225835592</v>
      </c>
      <c r="BB84" s="13" t="n">
        <f aca="false">1-AO84/O84</f>
        <v>0.419232633445788</v>
      </c>
      <c r="BC84" s="13" t="n">
        <f aca="false">1-AP84/P84</f>
        <v>0.493280443868681</v>
      </c>
      <c r="BD84" s="13" t="n">
        <f aca="false">1-AQ84/Q84</f>
        <v>0.455794679894486</v>
      </c>
      <c r="BE84" s="13" t="n">
        <f aca="false">1-AR84/R84</f>
        <v>0.489018797268033</v>
      </c>
      <c r="BF84" s="13" t="n">
        <f aca="false">1-AS84/S84</f>
        <v>0.820478024467603</v>
      </c>
      <c r="BG84" s="13" t="n">
        <f aca="false">1-AT84/T84</f>
        <v>0.528263860444042</v>
      </c>
    </row>
    <row r="85" customFormat="false" ht="15" hidden="false" customHeight="false" outlineLevel="0" collapsed="false">
      <c r="A85" s="4" t="s">
        <v>215</v>
      </c>
      <c r="B85" s="4" t="s">
        <v>284</v>
      </c>
      <c r="C85" s="36" t="n">
        <v>28735000</v>
      </c>
      <c r="D85" s="36" t="n">
        <v>28739999</v>
      </c>
      <c r="E85" s="4" t="s">
        <v>198</v>
      </c>
      <c r="F85" s="4" t="s">
        <v>256</v>
      </c>
      <c r="G85" s="4" t="n">
        <f aca="false">COUNTIFS(Pedidos!$E$2:$E$2224,"&gt;="&amp;C85,Pedidos!$E$2:$E$2224,"&lt;="&amp;D85)</f>
        <v>1</v>
      </c>
      <c r="H85" s="7" t="n">
        <v>124.04</v>
      </c>
      <c r="I85" s="7" t="n">
        <v>138.29</v>
      </c>
      <c r="J85" s="7" t="n">
        <v>143.04</v>
      </c>
      <c r="K85" s="7" t="n">
        <v>152.54</v>
      </c>
      <c r="L85" s="7" t="n">
        <v>162.04</v>
      </c>
      <c r="M85" s="7" t="n">
        <v>171.54</v>
      </c>
      <c r="N85" s="7" t="n">
        <v>181.04</v>
      </c>
      <c r="O85" s="7" t="n">
        <v>200.04</v>
      </c>
      <c r="P85" s="7" t="n">
        <v>236.82</v>
      </c>
      <c r="Q85" s="7" t="n">
        <v>264.84</v>
      </c>
      <c r="R85" s="7" t="n">
        <v>300.15</v>
      </c>
      <c r="S85" s="7" t="n">
        <v>353.17</v>
      </c>
      <c r="T85" s="7" t="n">
        <v>441.4</v>
      </c>
      <c r="U85" s="7" t="n">
        <v>46.95</v>
      </c>
      <c r="V85" s="7" t="n">
        <v>65.63</v>
      </c>
      <c r="W85" s="7" t="n">
        <v>74.97</v>
      </c>
      <c r="X85" s="7" t="n">
        <v>77.7</v>
      </c>
      <c r="Y85" s="7" t="n">
        <v>83.58</v>
      </c>
      <c r="Z85" s="7" t="n">
        <v>90.2</v>
      </c>
      <c r="AA85" s="7" t="n">
        <v>96.77</v>
      </c>
      <c r="AB85" s="7" t="n">
        <v>109.63</v>
      </c>
      <c r="AC85" s="7" t="n">
        <v>119.5</v>
      </c>
      <c r="AD85" s="7" t="n">
        <v>144.24</v>
      </c>
      <c r="AE85" s="7" t="n">
        <v>155.09</v>
      </c>
      <c r="AF85" s="7" t="n">
        <v>66.69</v>
      </c>
      <c r="AG85" s="7" t="n">
        <v>214.88</v>
      </c>
      <c r="AH85" s="12" t="n">
        <f aca="false">(U85+AH$4*(Resumo!$C$6+Resumo!$C$7+Resumo!$C$8)+Resumo!$C$10*CEILING(AH$3/100,1)+Resumo!$C$9+Resumo!$C$13+Resumo!$C$14*CEILING(AH$3,1))*(1+Resumo!$C$11)-(AH$4*(Resumo!$B$6+Resumo!$B$7)+Resumo!$B$9+Resumo!$B$10*CEILING(AH$3/100,1)+(Resumo!$B$12+Resumo!$B$14)*CEILING(AH$3,1))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5" s="12" t="n">
        <f aca="false">(V85+AI$4*(Resumo!$C$6+Resumo!$C$7+Resumo!$C$8)+Resumo!$C$10*CEILING(AI$3/100,1)+Resumo!$C$9+Resumo!$C$13+Resumo!$C$14*CEILING(AI$3,1))*(1+Resumo!$C$11)-(AI$4*(Resumo!$B$6+Resumo!$B$7)+Resumo!$B$9+Resumo!$B$10*CEILING(AI$3/100,1)+(Resumo!$B$12+Resumo!$B$14)*CEILING(AI$3,1))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5" s="12" t="n">
        <f aca="false">(W85+AJ$4*(Resumo!$C$6+Resumo!$C$7+Resumo!$C$8)+Resumo!$C$10*CEILING(AJ$3/100,1)+Resumo!$C$9+Resumo!$C$13+Resumo!$C$14*CEILING(AJ$3,1))*(1+Resumo!$C$11)-(AJ$4*(Resumo!$B$6+Resumo!$B$7)+Resumo!$B$9+Resumo!$B$10*CEILING(AJ$3/100,1)+(Resumo!$B$12+Resumo!$B$14)*CEILING(AJ$3,1))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5" s="12" t="n">
        <f aca="false">(X85+AK$4*(Resumo!$C$6+Resumo!$C$7+Resumo!$C$8)+Resumo!$C$10*CEILING(AK$3/100,1)+Resumo!$C$9+Resumo!$C$13+Resumo!$C$14*CEILING(AK$3,1))*(1+Resumo!$C$11)-(AK$4*(Resumo!$B$6+Resumo!$B$7)+Resumo!$B$9+Resumo!$B$10*CEILING(AK$3/100,1)+(Resumo!$B$12+Resumo!$B$14)*CEILING(AK$3,1))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5" s="12" t="n">
        <f aca="false">(Y85+AL$4*(Resumo!$C$6+Resumo!$C$7+Resumo!$C$8)+Resumo!$C$10*CEILING(AL$3/100,1)+Resumo!$C$9+Resumo!$C$13+Resumo!$C$14*CEILING(AL$3,1))*(1+Resumo!$C$11)-(AL$4*(Resumo!$B$6+Resumo!$B$7)+Resumo!$B$9+Resumo!$B$10*CEILING(AL$3/100,1)+(Resumo!$B$12+Resumo!$B$14)*CEILING(AL$3,1))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5" s="12" t="n">
        <f aca="false">(Z85+AM$4*(Resumo!$C$6+Resumo!$C$7+Resumo!$C$8)+Resumo!$C$10*CEILING(AM$3/100,1)+Resumo!$C$9+Resumo!$C$13+Resumo!$C$14*CEILING(AM$3,1))*(1+Resumo!$C$11)-(AM$4*(Resumo!$B$6+Resumo!$B$7)+Resumo!$B$9+Resumo!$B$10*CEILING(AM$3/100,1)+(Resumo!$B$12+Resumo!$B$14)*CEILING(AM$3,1))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5" s="12" t="n">
        <f aca="false">(AA85+AN$4*(Resumo!$C$6+Resumo!$C$7+Resumo!$C$8)+Resumo!$C$10*CEILING(AN$3/100,1)+Resumo!$C$9+Resumo!$C$13+Resumo!$C$14*CEILING(AN$3,1))*(1+Resumo!$C$11)-(AN$4*(Resumo!$B$6+Resumo!$B$7)+Resumo!$B$9+Resumo!$B$10*CEILING(AN$3/100,1)+(Resumo!$B$12+Resumo!$B$14)*CEILING(AN$3,1))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5" s="12" t="n">
        <f aca="false">(AB85+AO$4*(Resumo!$C$6+Resumo!$C$7+Resumo!$C$8)+Resumo!$C$10*CEILING(AO$3/100,1)+Resumo!$C$9+Resumo!$C$13+Resumo!$C$14*CEILING(AO$3,1))*(1+Resumo!$C$11)-(AO$4*(Resumo!$B$6+Resumo!$B$7)+Resumo!$B$9+Resumo!$B$10*CEILING(AO$3/100,1)+(Resumo!$B$12+Resumo!$B$14)*CEILING(AO$3,1))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5" s="12" t="n">
        <f aca="false">(AC85+AP$4*(Resumo!$C$6+Resumo!$C$7+Resumo!$C$8)+Resumo!$C$10*CEILING(AP$3/100,1)+Resumo!$C$9+Resumo!$C$13+Resumo!$C$14*CEILING(AP$3,1))*(1+Resumo!$C$11)-(AP$4*(Resumo!$B$6+Resumo!$B$7)+Resumo!$B$9+Resumo!$B$10*CEILING(AP$3/100,1)+(Resumo!$B$12+Resumo!$B$14)*CEILING(AP$3,1))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5" s="12" t="n">
        <f aca="false">(AD85+AQ$4*(Resumo!$C$6+Resumo!$C$7+Resumo!$C$8)+Resumo!$C$10*CEILING(AQ$3/100,1)+Resumo!$C$9+Resumo!$C$13+Resumo!$C$14*CEILING(AQ$3,1))*(1+Resumo!$C$11)-(AQ$4*(Resumo!$B$6+Resumo!$B$7)+Resumo!$B$9+Resumo!$B$10*CEILING(AQ$3/100,1)+(Resumo!$B$12+Resumo!$B$14)*CEILING(AQ$3,1))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5" s="12" t="n">
        <f aca="false">(AE85+AR$4*(Resumo!$C$6+Resumo!$C$7+Resumo!$C$8)+Resumo!$C$10*CEILING(AR$3/100,1)+Resumo!$C$9+Resumo!$C$13+Resumo!$C$14*CEILING(AR$3,1))*(1+Resumo!$C$11)-(AR$4*(Resumo!$B$6+Resumo!$B$7)+Resumo!$B$9+Resumo!$B$10*CEILING(AR$3/100,1)+(Resumo!$B$12+Resumo!$B$14)*CEILING(AR$3,1))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5" s="12" t="n">
        <f aca="false">(AF85+AS$4*(Resumo!$C$6+Resumo!$C$7+Resumo!$C$8)+Resumo!$C$10*CEILING(AS$3/100,1)+Resumo!$C$9+Resumo!$C$13+Resumo!$C$14*CEILING(AS$3,1))*(1+Resumo!$C$11)-(AS$4*(Resumo!$B$6+Resumo!$B$7)+Resumo!$B$9+Resumo!$B$10*CEILING(AS$3/100,1)+(Resumo!$B$12+Resumo!$B$14)*CEILING(AS$3,1))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5" s="12" t="n">
        <f aca="false">(AG85+AT$4*(Resumo!$C$6+Resumo!$C$7+Resumo!$C$8)+Resumo!$C$10*CEILING(AT$3/100,1)+Resumo!$C$9+Resumo!$C$13+Resumo!$C$14*CEILING(AT$3,1))*(1+Resumo!$C$11)-(AT$4*(Resumo!$B$6+Resumo!$B$7)+Resumo!$B$9+Resumo!$B$10*CEILING(AT$3/100,1)+(Resumo!$B$12+Resumo!$B$14)*CEILING(AT$3,1))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5" s="13" t="n">
        <f aca="false">1-AH85/H85</f>
        <v>0.553790009855127</v>
      </c>
      <c r="AV85" s="13" t="n">
        <f aca="false">1-AI85/I85</f>
        <v>0.468426082913158</v>
      </c>
      <c r="AW85" s="13" t="n">
        <f aca="false">1-AJ85/J85</f>
        <v>0.424299969908939</v>
      </c>
      <c r="AX85" s="13" t="n">
        <f aca="false">1-AK85/K85</f>
        <v>0.444318235095027</v>
      </c>
      <c r="AY85" s="13" t="n">
        <f aca="false">1-AL85/L85</f>
        <v>0.44289446919564</v>
      </c>
      <c r="AZ85" s="13" t="n">
        <f aca="false">1-AM85/M85</f>
        <v>0.439248965608252</v>
      </c>
      <c r="BA85" s="13" t="n">
        <f aca="false">1-AN85/N85</f>
        <v>0.433759067609368</v>
      </c>
      <c r="BB85" s="13" t="n">
        <f aca="false">1-AO85/O85</f>
        <v>0.427042392574117</v>
      </c>
      <c r="BC85" s="13" t="n">
        <f aca="false">1-AP85/P85</f>
        <v>0.493280443868681</v>
      </c>
      <c r="BD85" s="13" t="n">
        <f aca="false">1-AQ85/Q85</f>
        <v>0.455794679894486</v>
      </c>
      <c r="BE85" s="13" t="n">
        <f aca="false">1-AR85/R85</f>
        <v>0.489018797268033</v>
      </c>
      <c r="BF85" s="13" t="n">
        <f aca="false">1-AS85/S85</f>
        <v>0.820503440269559</v>
      </c>
      <c r="BG85" s="13" t="n">
        <f aca="false">1-AT85/T85</f>
        <v>0.528263860444042</v>
      </c>
    </row>
    <row r="86" customFormat="false" ht="15" hidden="false" customHeight="false" outlineLevel="0" collapsed="false">
      <c r="A86" s="4" t="s">
        <v>215</v>
      </c>
      <c r="B86" s="4" t="s">
        <v>285</v>
      </c>
      <c r="C86" s="36" t="n">
        <v>28740000</v>
      </c>
      <c r="D86" s="36" t="n">
        <v>28749999</v>
      </c>
      <c r="E86" s="4" t="s">
        <v>198</v>
      </c>
      <c r="F86" s="4" t="s">
        <v>256</v>
      </c>
      <c r="G86" s="4" t="n">
        <f aca="false">COUNTIFS(Pedidos!$E$2:$E$2224,"&gt;="&amp;C86,Pedidos!$E$2:$E$2224,"&lt;="&amp;D86)</f>
        <v>2</v>
      </c>
      <c r="H86" s="7" t="n">
        <v>124.04</v>
      </c>
      <c r="I86" s="7" t="n">
        <v>138.29</v>
      </c>
      <c r="J86" s="7" t="n">
        <v>143.04</v>
      </c>
      <c r="K86" s="7" t="n">
        <v>152.54</v>
      </c>
      <c r="L86" s="7" t="n">
        <v>162.04</v>
      </c>
      <c r="M86" s="7" t="n">
        <v>171.54</v>
      </c>
      <c r="N86" s="7" t="n">
        <v>181.04</v>
      </c>
      <c r="O86" s="7" t="n">
        <v>200.04</v>
      </c>
      <c r="P86" s="7" t="n">
        <v>236.82</v>
      </c>
      <c r="Q86" s="7" t="n">
        <v>264.84</v>
      </c>
      <c r="R86" s="7" t="n">
        <v>300.15</v>
      </c>
      <c r="S86" s="7" t="n">
        <v>353.17</v>
      </c>
      <c r="T86" s="7" t="n">
        <v>441.4</v>
      </c>
      <c r="U86" s="7" t="n">
        <v>46.95</v>
      </c>
      <c r="V86" s="7" t="n">
        <v>65.63</v>
      </c>
      <c r="W86" s="7" t="n">
        <v>74.97</v>
      </c>
      <c r="X86" s="7" t="n">
        <v>77.7</v>
      </c>
      <c r="Y86" s="7" t="n">
        <v>83.58</v>
      </c>
      <c r="Z86" s="7" t="n">
        <v>90.2</v>
      </c>
      <c r="AA86" s="7" t="n">
        <v>96.77</v>
      </c>
      <c r="AB86" s="7" t="n">
        <v>109.63</v>
      </c>
      <c r="AC86" s="7" t="n">
        <v>119.5</v>
      </c>
      <c r="AD86" s="7" t="n">
        <v>144.24</v>
      </c>
      <c r="AE86" s="7" t="n">
        <v>155.09</v>
      </c>
      <c r="AF86" s="7" t="n">
        <v>66.69</v>
      </c>
      <c r="AG86" s="7" t="n">
        <v>214.88</v>
      </c>
      <c r="AH86" s="12" t="n">
        <f aca="false">(U86+AH$4*(Resumo!$C$6+Resumo!$C$7+Resumo!$C$8)+Resumo!$C$10*CEILING(AH$3/100,1)+Resumo!$C$9+Resumo!$C$13+Resumo!$C$14*CEILING(AH$3,1))*(1+Resumo!$C$11)-(AH$4*(Resumo!$B$6+Resumo!$B$7)+Resumo!$B$9+Resumo!$B$10*CEILING(AH$3/100,1)+(Resumo!$B$12+Resumo!$B$14)*CEILING(AH$3,1))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6" s="12" t="n">
        <f aca="false">(V86+AI$4*(Resumo!$C$6+Resumo!$C$7+Resumo!$C$8)+Resumo!$C$10*CEILING(AI$3/100,1)+Resumo!$C$9+Resumo!$C$13+Resumo!$C$14*CEILING(AI$3,1))*(1+Resumo!$C$11)-(AI$4*(Resumo!$B$6+Resumo!$B$7)+Resumo!$B$9+Resumo!$B$10*CEILING(AI$3/100,1)+(Resumo!$B$12+Resumo!$B$14)*CEILING(AI$3,1))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6" s="12" t="n">
        <f aca="false">(W86+AJ$4*(Resumo!$C$6+Resumo!$C$7+Resumo!$C$8)+Resumo!$C$10*CEILING(AJ$3/100,1)+Resumo!$C$9+Resumo!$C$13+Resumo!$C$14*CEILING(AJ$3,1))*(1+Resumo!$C$11)-(AJ$4*(Resumo!$B$6+Resumo!$B$7)+Resumo!$B$9+Resumo!$B$10*CEILING(AJ$3/100,1)+(Resumo!$B$12+Resumo!$B$14)*CEILING(AJ$3,1))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6" s="12" t="n">
        <f aca="false">(X86+AK$4*(Resumo!$C$6+Resumo!$C$7+Resumo!$C$8)+Resumo!$C$10*CEILING(AK$3/100,1)+Resumo!$C$9+Resumo!$C$13+Resumo!$C$14*CEILING(AK$3,1))*(1+Resumo!$C$11)-(AK$4*(Resumo!$B$6+Resumo!$B$7)+Resumo!$B$9+Resumo!$B$10*CEILING(AK$3/100,1)+(Resumo!$B$12+Resumo!$B$14)*CEILING(AK$3,1))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6" s="12" t="n">
        <f aca="false">(Y86+AL$4*(Resumo!$C$6+Resumo!$C$7+Resumo!$C$8)+Resumo!$C$10*CEILING(AL$3/100,1)+Resumo!$C$9+Resumo!$C$13+Resumo!$C$14*CEILING(AL$3,1))*(1+Resumo!$C$11)-(AL$4*(Resumo!$B$6+Resumo!$B$7)+Resumo!$B$9+Resumo!$B$10*CEILING(AL$3/100,1)+(Resumo!$B$12+Resumo!$B$14)*CEILING(AL$3,1))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6" s="12" t="n">
        <f aca="false">(Z86+AM$4*(Resumo!$C$6+Resumo!$C$7+Resumo!$C$8)+Resumo!$C$10*CEILING(AM$3/100,1)+Resumo!$C$9+Resumo!$C$13+Resumo!$C$14*CEILING(AM$3,1))*(1+Resumo!$C$11)-(AM$4*(Resumo!$B$6+Resumo!$B$7)+Resumo!$B$9+Resumo!$B$10*CEILING(AM$3/100,1)+(Resumo!$B$12+Resumo!$B$14)*CEILING(AM$3,1))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6" s="12" t="n">
        <f aca="false">(AA86+AN$4*(Resumo!$C$6+Resumo!$C$7+Resumo!$C$8)+Resumo!$C$10*CEILING(AN$3/100,1)+Resumo!$C$9+Resumo!$C$13+Resumo!$C$14*CEILING(AN$3,1))*(1+Resumo!$C$11)-(AN$4*(Resumo!$B$6+Resumo!$B$7)+Resumo!$B$9+Resumo!$B$10*CEILING(AN$3/100,1)+(Resumo!$B$12+Resumo!$B$14)*CEILING(AN$3,1))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6" s="12" t="n">
        <f aca="false">(AB86+AO$4*(Resumo!$C$6+Resumo!$C$7+Resumo!$C$8)+Resumo!$C$10*CEILING(AO$3/100,1)+Resumo!$C$9+Resumo!$C$13+Resumo!$C$14*CEILING(AO$3,1))*(1+Resumo!$C$11)-(AO$4*(Resumo!$B$6+Resumo!$B$7)+Resumo!$B$9+Resumo!$B$10*CEILING(AO$3/100,1)+(Resumo!$B$12+Resumo!$B$14)*CEILING(AO$3,1))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6" s="12" t="n">
        <f aca="false">(AC86+AP$4*(Resumo!$C$6+Resumo!$C$7+Resumo!$C$8)+Resumo!$C$10*CEILING(AP$3/100,1)+Resumo!$C$9+Resumo!$C$13+Resumo!$C$14*CEILING(AP$3,1))*(1+Resumo!$C$11)-(AP$4*(Resumo!$B$6+Resumo!$B$7)+Resumo!$B$9+Resumo!$B$10*CEILING(AP$3/100,1)+(Resumo!$B$12+Resumo!$B$14)*CEILING(AP$3,1))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6" s="12" t="n">
        <f aca="false">(AD86+AQ$4*(Resumo!$C$6+Resumo!$C$7+Resumo!$C$8)+Resumo!$C$10*CEILING(AQ$3/100,1)+Resumo!$C$9+Resumo!$C$13+Resumo!$C$14*CEILING(AQ$3,1))*(1+Resumo!$C$11)-(AQ$4*(Resumo!$B$6+Resumo!$B$7)+Resumo!$B$9+Resumo!$B$10*CEILING(AQ$3/100,1)+(Resumo!$B$12+Resumo!$B$14)*CEILING(AQ$3,1))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6" s="12" t="n">
        <f aca="false">(AE86+AR$4*(Resumo!$C$6+Resumo!$C$7+Resumo!$C$8)+Resumo!$C$10*CEILING(AR$3/100,1)+Resumo!$C$9+Resumo!$C$13+Resumo!$C$14*CEILING(AR$3,1))*(1+Resumo!$C$11)-(AR$4*(Resumo!$B$6+Resumo!$B$7)+Resumo!$B$9+Resumo!$B$10*CEILING(AR$3/100,1)+(Resumo!$B$12+Resumo!$B$14)*CEILING(AR$3,1))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6" s="12" t="n">
        <f aca="false">(AF86+AS$4*(Resumo!$C$6+Resumo!$C$7+Resumo!$C$8)+Resumo!$C$10*CEILING(AS$3/100,1)+Resumo!$C$9+Resumo!$C$13+Resumo!$C$14*CEILING(AS$3,1))*(1+Resumo!$C$11)-(AS$4*(Resumo!$B$6+Resumo!$B$7)+Resumo!$B$9+Resumo!$B$10*CEILING(AS$3/100,1)+(Resumo!$B$12+Resumo!$B$14)*CEILING(AS$3,1))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6" s="12" t="n">
        <f aca="false">(AG86+AT$4*(Resumo!$C$6+Resumo!$C$7+Resumo!$C$8)+Resumo!$C$10*CEILING(AT$3/100,1)+Resumo!$C$9+Resumo!$C$13+Resumo!$C$14*CEILING(AT$3,1))*(1+Resumo!$C$11)-(AT$4*(Resumo!$B$6+Resumo!$B$7)+Resumo!$B$9+Resumo!$B$10*CEILING(AT$3/100,1)+(Resumo!$B$12+Resumo!$B$14)*CEILING(AT$3,1))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6" s="13" t="n">
        <f aca="false">1-AH86/H86</f>
        <v>0.553790009855127</v>
      </c>
      <c r="AV86" s="13" t="n">
        <f aca="false">1-AI86/I86</f>
        <v>0.468426082913158</v>
      </c>
      <c r="AW86" s="13" t="n">
        <f aca="false">1-AJ86/J86</f>
        <v>0.424299969908939</v>
      </c>
      <c r="AX86" s="13" t="n">
        <f aca="false">1-AK86/K86</f>
        <v>0.444318235095027</v>
      </c>
      <c r="AY86" s="13" t="n">
        <f aca="false">1-AL86/L86</f>
        <v>0.44289446919564</v>
      </c>
      <c r="AZ86" s="13" t="n">
        <f aca="false">1-AM86/M86</f>
        <v>0.439248965608252</v>
      </c>
      <c r="BA86" s="13" t="n">
        <f aca="false">1-AN86/N86</f>
        <v>0.433759067609368</v>
      </c>
      <c r="BB86" s="13" t="n">
        <f aca="false">1-AO86/O86</f>
        <v>0.427042392574117</v>
      </c>
      <c r="BC86" s="13" t="n">
        <f aca="false">1-AP86/P86</f>
        <v>0.493280443868681</v>
      </c>
      <c r="BD86" s="13" t="n">
        <f aca="false">1-AQ86/Q86</f>
        <v>0.455794679894486</v>
      </c>
      <c r="BE86" s="13" t="n">
        <f aca="false">1-AR86/R86</f>
        <v>0.489018797268033</v>
      </c>
      <c r="BF86" s="13" t="n">
        <f aca="false">1-AS86/S86</f>
        <v>0.820503440269559</v>
      </c>
      <c r="BG86" s="13" t="n">
        <f aca="false">1-AT86/T86</f>
        <v>0.528263860444042</v>
      </c>
    </row>
    <row r="87" customFormat="false" ht="15" hidden="false" customHeight="false" outlineLevel="0" collapsed="false">
      <c r="A87" s="4" t="s">
        <v>215</v>
      </c>
      <c r="B87" s="4" t="s">
        <v>286</v>
      </c>
      <c r="C87" s="36" t="n">
        <v>28750000</v>
      </c>
      <c r="D87" s="36" t="n">
        <v>28769999</v>
      </c>
      <c r="E87" s="4" t="s">
        <v>198</v>
      </c>
      <c r="F87" s="4" t="s">
        <v>256</v>
      </c>
      <c r="G87" s="4" t="n">
        <f aca="false">COUNTIFS(Pedidos!$E$2:$E$2224,"&gt;="&amp;C87,Pedidos!$E$2:$E$2224,"&lt;="&amp;D87)</f>
        <v>1</v>
      </c>
      <c r="H87" s="7" t="n">
        <v>124.04</v>
      </c>
      <c r="I87" s="7" t="n">
        <v>138.29</v>
      </c>
      <c r="J87" s="7" t="n">
        <v>143.04</v>
      </c>
      <c r="K87" s="7" t="n">
        <v>152.54</v>
      </c>
      <c r="L87" s="7" t="n">
        <v>162.04</v>
      </c>
      <c r="M87" s="7" t="n">
        <v>171.54</v>
      </c>
      <c r="N87" s="7" t="n">
        <v>181.04</v>
      </c>
      <c r="O87" s="7" t="n">
        <v>200.04</v>
      </c>
      <c r="P87" s="7" t="n">
        <v>236.82</v>
      </c>
      <c r="Q87" s="7" t="n">
        <v>264.84</v>
      </c>
      <c r="R87" s="7" t="n">
        <v>300.15</v>
      </c>
      <c r="S87" s="7" t="n">
        <v>353.17</v>
      </c>
      <c r="T87" s="7" t="n">
        <v>441.4</v>
      </c>
      <c r="U87" s="7" t="n">
        <v>46.95</v>
      </c>
      <c r="V87" s="7" t="n">
        <v>65.63</v>
      </c>
      <c r="W87" s="7" t="n">
        <v>74.97</v>
      </c>
      <c r="X87" s="7" t="n">
        <v>77.7</v>
      </c>
      <c r="Y87" s="7" t="n">
        <v>83.58</v>
      </c>
      <c r="Z87" s="7" t="n">
        <v>90.2</v>
      </c>
      <c r="AA87" s="7" t="n">
        <v>96.77</v>
      </c>
      <c r="AB87" s="7" t="n">
        <v>109.63</v>
      </c>
      <c r="AC87" s="7" t="n">
        <v>119.5</v>
      </c>
      <c r="AD87" s="7" t="n">
        <v>144.24</v>
      </c>
      <c r="AE87" s="7" t="n">
        <v>155.09</v>
      </c>
      <c r="AF87" s="7" t="n">
        <v>66.69</v>
      </c>
      <c r="AG87" s="7" t="n">
        <v>214.88</v>
      </c>
      <c r="AH87" s="12" t="n">
        <f aca="false">(U87+AH$4*(Resumo!$C$6+Resumo!$C$7+Resumo!$C$8)+Resumo!$C$10*CEILING(AH$3/100,1)+Resumo!$C$9+Resumo!$C$13+Resumo!$C$14*CEILING(AH$3,1))*(1+Resumo!$C$11)-(AH$4*(Resumo!$B$6+Resumo!$B$7)+Resumo!$B$9+Resumo!$B$10*CEILING(AH$3/100,1)+(Resumo!$B$12+Resumo!$B$14)*CEILING(AH$3,1))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7" s="12" t="n">
        <f aca="false">(V87+AI$4*(Resumo!$C$6+Resumo!$C$7+Resumo!$C$8)+Resumo!$C$10*CEILING(AI$3/100,1)+Resumo!$C$9+Resumo!$C$13+Resumo!$C$14*CEILING(AI$3,1))*(1+Resumo!$C$11)-(AI$4*(Resumo!$B$6+Resumo!$B$7)+Resumo!$B$9+Resumo!$B$10*CEILING(AI$3/100,1)+(Resumo!$B$12+Resumo!$B$14)*CEILING(AI$3,1))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7" s="12" t="n">
        <f aca="false">(W87+AJ$4*(Resumo!$C$6+Resumo!$C$7+Resumo!$C$8)+Resumo!$C$10*CEILING(AJ$3/100,1)+Resumo!$C$9+Resumo!$C$13+Resumo!$C$14*CEILING(AJ$3,1))*(1+Resumo!$C$11)-(AJ$4*(Resumo!$B$6+Resumo!$B$7)+Resumo!$B$9+Resumo!$B$10*CEILING(AJ$3/100,1)+(Resumo!$B$12+Resumo!$B$14)*CEILING(AJ$3,1))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7" s="12" t="n">
        <f aca="false">(X87+AK$4*(Resumo!$C$6+Resumo!$C$7+Resumo!$C$8)+Resumo!$C$10*CEILING(AK$3/100,1)+Resumo!$C$9+Resumo!$C$13+Resumo!$C$14*CEILING(AK$3,1))*(1+Resumo!$C$11)-(AK$4*(Resumo!$B$6+Resumo!$B$7)+Resumo!$B$9+Resumo!$B$10*CEILING(AK$3/100,1)+(Resumo!$B$12+Resumo!$B$14)*CEILING(AK$3,1))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7" s="12" t="n">
        <f aca="false">(Y87+AL$4*(Resumo!$C$6+Resumo!$C$7+Resumo!$C$8)+Resumo!$C$10*CEILING(AL$3/100,1)+Resumo!$C$9+Resumo!$C$13+Resumo!$C$14*CEILING(AL$3,1))*(1+Resumo!$C$11)-(AL$4*(Resumo!$B$6+Resumo!$B$7)+Resumo!$B$9+Resumo!$B$10*CEILING(AL$3/100,1)+(Resumo!$B$12+Resumo!$B$14)*CEILING(AL$3,1))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7" s="12" t="n">
        <f aca="false">(Z87+AM$4*(Resumo!$C$6+Resumo!$C$7+Resumo!$C$8)+Resumo!$C$10*CEILING(AM$3/100,1)+Resumo!$C$9+Resumo!$C$13+Resumo!$C$14*CEILING(AM$3,1))*(1+Resumo!$C$11)-(AM$4*(Resumo!$B$6+Resumo!$B$7)+Resumo!$B$9+Resumo!$B$10*CEILING(AM$3/100,1)+(Resumo!$B$12+Resumo!$B$14)*CEILING(AM$3,1))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7" s="12" t="n">
        <f aca="false">(AA87+AN$4*(Resumo!$C$6+Resumo!$C$7+Resumo!$C$8)+Resumo!$C$10*CEILING(AN$3/100,1)+Resumo!$C$9+Resumo!$C$13+Resumo!$C$14*CEILING(AN$3,1))*(1+Resumo!$C$11)-(AN$4*(Resumo!$B$6+Resumo!$B$7)+Resumo!$B$9+Resumo!$B$10*CEILING(AN$3/100,1)+(Resumo!$B$12+Resumo!$B$14)*CEILING(AN$3,1))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7" s="12" t="n">
        <f aca="false">(AB87+AO$4*(Resumo!$C$6+Resumo!$C$7+Resumo!$C$8)+Resumo!$C$10*CEILING(AO$3/100,1)+Resumo!$C$9+Resumo!$C$13+Resumo!$C$14*CEILING(AO$3,1))*(1+Resumo!$C$11)-(AO$4*(Resumo!$B$6+Resumo!$B$7)+Resumo!$B$9+Resumo!$B$10*CEILING(AO$3/100,1)+(Resumo!$B$12+Resumo!$B$14)*CEILING(AO$3,1))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7" s="12" t="n">
        <f aca="false">(AC87+AP$4*(Resumo!$C$6+Resumo!$C$7+Resumo!$C$8)+Resumo!$C$10*CEILING(AP$3/100,1)+Resumo!$C$9+Resumo!$C$13+Resumo!$C$14*CEILING(AP$3,1))*(1+Resumo!$C$11)-(AP$4*(Resumo!$B$6+Resumo!$B$7)+Resumo!$B$9+Resumo!$B$10*CEILING(AP$3/100,1)+(Resumo!$B$12+Resumo!$B$14)*CEILING(AP$3,1))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7" s="12" t="n">
        <f aca="false">(AD87+AQ$4*(Resumo!$C$6+Resumo!$C$7+Resumo!$C$8)+Resumo!$C$10*CEILING(AQ$3/100,1)+Resumo!$C$9+Resumo!$C$13+Resumo!$C$14*CEILING(AQ$3,1))*(1+Resumo!$C$11)-(AQ$4*(Resumo!$B$6+Resumo!$B$7)+Resumo!$B$9+Resumo!$B$10*CEILING(AQ$3/100,1)+(Resumo!$B$12+Resumo!$B$14)*CEILING(AQ$3,1))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7" s="12" t="n">
        <f aca="false">(AE87+AR$4*(Resumo!$C$6+Resumo!$C$7+Resumo!$C$8)+Resumo!$C$10*CEILING(AR$3/100,1)+Resumo!$C$9+Resumo!$C$13+Resumo!$C$14*CEILING(AR$3,1))*(1+Resumo!$C$11)-(AR$4*(Resumo!$B$6+Resumo!$B$7)+Resumo!$B$9+Resumo!$B$10*CEILING(AR$3/100,1)+(Resumo!$B$12+Resumo!$B$14)*CEILING(AR$3,1))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7" s="12" t="n">
        <f aca="false">(AF87+AS$4*(Resumo!$C$6+Resumo!$C$7+Resumo!$C$8)+Resumo!$C$10*CEILING(AS$3/100,1)+Resumo!$C$9+Resumo!$C$13+Resumo!$C$14*CEILING(AS$3,1))*(1+Resumo!$C$11)-(AS$4*(Resumo!$B$6+Resumo!$B$7)+Resumo!$B$9+Resumo!$B$10*CEILING(AS$3/100,1)+(Resumo!$B$12+Resumo!$B$14)*CEILING(AS$3,1))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7" s="12" t="n">
        <f aca="false">(AG87+AT$4*(Resumo!$C$6+Resumo!$C$7+Resumo!$C$8)+Resumo!$C$10*CEILING(AT$3/100,1)+Resumo!$C$9+Resumo!$C$13+Resumo!$C$14*CEILING(AT$3,1))*(1+Resumo!$C$11)-(AT$4*(Resumo!$B$6+Resumo!$B$7)+Resumo!$B$9+Resumo!$B$10*CEILING(AT$3/100,1)+(Resumo!$B$12+Resumo!$B$14)*CEILING(AT$3,1))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7" s="13" t="n">
        <f aca="false">1-AH87/H87</f>
        <v>0.553790009855127</v>
      </c>
      <c r="AV87" s="13" t="n">
        <f aca="false">1-AI87/I87</f>
        <v>0.468426082913158</v>
      </c>
      <c r="AW87" s="13" t="n">
        <f aca="false">1-AJ87/J87</f>
        <v>0.424299969908939</v>
      </c>
      <c r="AX87" s="13" t="n">
        <f aca="false">1-AK87/K87</f>
        <v>0.444318235095027</v>
      </c>
      <c r="AY87" s="13" t="n">
        <f aca="false">1-AL87/L87</f>
        <v>0.44289446919564</v>
      </c>
      <c r="AZ87" s="13" t="n">
        <f aca="false">1-AM87/M87</f>
        <v>0.439248965608252</v>
      </c>
      <c r="BA87" s="13" t="n">
        <f aca="false">1-AN87/N87</f>
        <v>0.433759067609368</v>
      </c>
      <c r="BB87" s="13" t="n">
        <f aca="false">1-AO87/O87</f>
        <v>0.427042392574117</v>
      </c>
      <c r="BC87" s="13" t="n">
        <f aca="false">1-AP87/P87</f>
        <v>0.493280443868681</v>
      </c>
      <c r="BD87" s="13" t="n">
        <f aca="false">1-AQ87/Q87</f>
        <v>0.455794679894486</v>
      </c>
      <c r="BE87" s="13" t="n">
        <f aca="false">1-AR87/R87</f>
        <v>0.489018797268033</v>
      </c>
      <c r="BF87" s="13" t="n">
        <f aca="false">1-AS87/S87</f>
        <v>0.820503440269559</v>
      </c>
      <c r="BG87" s="13" t="n">
        <f aca="false">1-AT87/T87</f>
        <v>0.528263860444042</v>
      </c>
    </row>
    <row r="88" customFormat="false" ht="15" hidden="false" customHeight="false" outlineLevel="0" collapsed="false">
      <c r="A88" s="4" t="s">
        <v>215</v>
      </c>
      <c r="B88" s="4" t="s">
        <v>287</v>
      </c>
      <c r="C88" s="36" t="n">
        <v>28770000</v>
      </c>
      <c r="D88" s="36" t="n">
        <v>28799999</v>
      </c>
      <c r="E88" s="4" t="s">
        <v>198</v>
      </c>
      <c r="F88" s="4" t="s">
        <v>256</v>
      </c>
      <c r="G88" s="4" t="n">
        <f aca="false">COUNTIFS(Pedidos!$E$2:$E$2224,"&gt;="&amp;C88,Pedidos!$E$2:$E$2224,"&lt;="&amp;D88)</f>
        <v>2</v>
      </c>
      <c r="H88" s="7" t="n">
        <v>124.04</v>
      </c>
      <c r="I88" s="7" t="n">
        <v>138.29</v>
      </c>
      <c r="J88" s="7" t="n">
        <v>143.04</v>
      </c>
      <c r="K88" s="7" t="n">
        <v>152.54</v>
      </c>
      <c r="L88" s="7" t="n">
        <v>162.04</v>
      </c>
      <c r="M88" s="7" t="n">
        <v>171.54</v>
      </c>
      <c r="N88" s="7" t="n">
        <v>181.04</v>
      </c>
      <c r="O88" s="7" t="n">
        <v>200.04</v>
      </c>
      <c r="P88" s="7" t="n">
        <v>236.82</v>
      </c>
      <c r="Q88" s="7" t="n">
        <v>264.84</v>
      </c>
      <c r="R88" s="7" t="n">
        <v>300.15</v>
      </c>
      <c r="S88" s="7" t="n">
        <v>353.17</v>
      </c>
      <c r="T88" s="7" t="n">
        <v>441.4</v>
      </c>
      <c r="U88" s="7" t="n">
        <v>46.95</v>
      </c>
      <c r="V88" s="7" t="n">
        <v>65.63</v>
      </c>
      <c r="W88" s="7" t="n">
        <v>74.97</v>
      </c>
      <c r="X88" s="7" t="n">
        <v>77.7</v>
      </c>
      <c r="Y88" s="7" t="n">
        <v>83.58</v>
      </c>
      <c r="Z88" s="7" t="n">
        <v>90.2</v>
      </c>
      <c r="AA88" s="7" t="n">
        <v>96.77</v>
      </c>
      <c r="AB88" s="7" t="n">
        <v>109.63</v>
      </c>
      <c r="AC88" s="7" t="n">
        <v>119.5</v>
      </c>
      <c r="AD88" s="7" t="n">
        <v>144.24</v>
      </c>
      <c r="AE88" s="7" t="n">
        <v>155.09</v>
      </c>
      <c r="AF88" s="7" t="n">
        <v>66.69</v>
      </c>
      <c r="AG88" s="7" t="n">
        <v>214.88</v>
      </c>
      <c r="AH88" s="12" t="n">
        <f aca="false">(U88+AH$4*(Resumo!$C$6+Resumo!$C$7+Resumo!$C$8)+Resumo!$C$10*CEILING(AH$3/100,1)+Resumo!$C$9+Resumo!$C$13+Resumo!$C$14*CEILING(AH$3,1))*(1+Resumo!$C$11)-(AH$4*(Resumo!$B$6+Resumo!$B$7)+Resumo!$B$9+Resumo!$B$10*CEILING(AH$3/100,1)+(Resumo!$B$12+Resumo!$B$14)*CEILING(AH$3,1))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8" s="12" t="n">
        <f aca="false">(V88+AI$4*(Resumo!$C$6+Resumo!$C$7+Resumo!$C$8)+Resumo!$C$10*CEILING(AI$3/100,1)+Resumo!$C$9+Resumo!$C$13+Resumo!$C$14*CEILING(AI$3,1))*(1+Resumo!$C$11)-(AI$4*(Resumo!$B$6+Resumo!$B$7)+Resumo!$B$9+Resumo!$B$10*CEILING(AI$3/100,1)+(Resumo!$B$12+Resumo!$B$14)*CEILING(AI$3,1))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8" s="12" t="n">
        <f aca="false">(W88+AJ$4*(Resumo!$C$6+Resumo!$C$7+Resumo!$C$8)+Resumo!$C$10*CEILING(AJ$3/100,1)+Resumo!$C$9+Resumo!$C$13+Resumo!$C$14*CEILING(AJ$3,1))*(1+Resumo!$C$11)-(AJ$4*(Resumo!$B$6+Resumo!$B$7)+Resumo!$B$9+Resumo!$B$10*CEILING(AJ$3/100,1)+(Resumo!$B$12+Resumo!$B$14)*CEILING(AJ$3,1))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8" s="12" t="n">
        <f aca="false">(X88+AK$4*(Resumo!$C$6+Resumo!$C$7+Resumo!$C$8)+Resumo!$C$10*CEILING(AK$3/100,1)+Resumo!$C$9+Resumo!$C$13+Resumo!$C$14*CEILING(AK$3,1))*(1+Resumo!$C$11)-(AK$4*(Resumo!$B$6+Resumo!$B$7)+Resumo!$B$9+Resumo!$B$10*CEILING(AK$3/100,1)+(Resumo!$B$12+Resumo!$B$14)*CEILING(AK$3,1))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8" s="12" t="n">
        <f aca="false">(Y88+AL$4*(Resumo!$C$6+Resumo!$C$7+Resumo!$C$8)+Resumo!$C$10*CEILING(AL$3/100,1)+Resumo!$C$9+Resumo!$C$13+Resumo!$C$14*CEILING(AL$3,1))*(1+Resumo!$C$11)-(AL$4*(Resumo!$B$6+Resumo!$B$7)+Resumo!$B$9+Resumo!$B$10*CEILING(AL$3/100,1)+(Resumo!$B$12+Resumo!$B$14)*CEILING(AL$3,1))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8" s="12" t="n">
        <f aca="false">(Z88+AM$4*(Resumo!$C$6+Resumo!$C$7+Resumo!$C$8)+Resumo!$C$10*CEILING(AM$3/100,1)+Resumo!$C$9+Resumo!$C$13+Resumo!$C$14*CEILING(AM$3,1))*(1+Resumo!$C$11)-(AM$4*(Resumo!$B$6+Resumo!$B$7)+Resumo!$B$9+Resumo!$B$10*CEILING(AM$3/100,1)+(Resumo!$B$12+Resumo!$B$14)*CEILING(AM$3,1))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8" s="12" t="n">
        <f aca="false">(AA88+AN$4*(Resumo!$C$6+Resumo!$C$7+Resumo!$C$8)+Resumo!$C$10*CEILING(AN$3/100,1)+Resumo!$C$9+Resumo!$C$13+Resumo!$C$14*CEILING(AN$3,1))*(1+Resumo!$C$11)-(AN$4*(Resumo!$B$6+Resumo!$B$7)+Resumo!$B$9+Resumo!$B$10*CEILING(AN$3/100,1)+(Resumo!$B$12+Resumo!$B$14)*CEILING(AN$3,1))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8" s="12" t="n">
        <f aca="false">(AB88+AO$4*(Resumo!$C$6+Resumo!$C$7+Resumo!$C$8)+Resumo!$C$10*CEILING(AO$3/100,1)+Resumo!$C$9+Resumo!$C$13+Resumo!$C$14*CEILING(AO$3,1))*(1+Resumo!$C$11)-(AO$4*(Resumo!$B$6+Resumo!$B$7)+Resumo!$B$9+Resumo!$B$10*CEILING(AO$3/100,1)+(Resumo!$B$12+Resumo!$B$14)*CEILING(AO$3,1))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8" s="12" t="n">
        <f aca="false">(AC88+AP$4*(Resumo!$C$6+Resumo!$C$7+Resumo!$C$8)+Resumo!$C$10*CEILING(AP$3/100,1)+Resumo!$C$9+Resumo!$C$13+Resumo!$C$14*CEILING(AP$3,1))*(1+Resumo!$C$11)-(AP$4*(Resumo!$B$6+Resumo!$B$7)+Resumo!$B$9+Resumo!$B$10*CEILING(AP$3/100,1)+(Resumo!$B$12+Resumo!$B$14)*CEILING(AP$3,1))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8" s="12" t="n">
        <f aca="false">(AD88+AQ$4*(Resumo!$C$6+Resumo!$C$7+Resumo!$C$8)+Resumo!$C$10*CEILING(AQ$3/100,1)+Resumo!$C$9+Resumo!$C$13+Resumo!$C$14*CEILING(AQ$3,1))*(1+Resumo!$C$11)-(AQ$4*(Resumo!$B$6+Resumo!$B$7)+Resumo!$B$9+Resumo!$B$10*CEILING(AQ$3/100,1)+(Resumo!$B$12+Resumo!$B$14)*CEILING(AQ$3,1))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8" s="12" t="n">
        <f aca="false">(AE88+AR$4*(Resumo!$C$6+Resumo!$C$7+Resumo!$C$8)+Resumo!$C$10*CEILING(AR$3/100,1)+Resumo!$C$9+Resumo!$C$13+Resumo!$C$14*CEILING(AR$3,1))*(1+Resumo!$C$11)-(AR$4*(Resumo!$B$6+Resumo!$B$7)+Resumo!$B$9+Resumo!$B$10*CEILING(AR$3/100,1)+(Resumo!$B$12+Resumo!$B$14)*CEILING(AR$3,1))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8" s="12" t="n">
        <f aca="false">(AF88+AS$4*(Resumo!$C$6+Resumo!$C$7+Resumo!$C$8)+Resumo!$C$10*CEILING(AS$3/100,1)+Resumo!$C$9+Resumo!$C$13+Resumo!$C$14*CEILING(AS$3,1))*(1+Resumo!$C$11)-(AS$4*(Resumo!$B$6+Resumo!$B$7)+Resumo!$B$9+Resumo!$B$10*CEILING(AS$3/100,1)+(Resumo!$B$12+Resumo!$B$14)*CEILING(AS$3,1))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8" s="12" t="n">
        <f aca="false">(AG88+AT$4*(Resumo!$C$6+Resumo!$C$7+Resumo!$C$8)+Resumo!$C$10*CEILING(AT$3/100,1)+Resumo!$C$9+Resumo!$C$13+Resumo!$C$14*CEILING(AT$3,1))*(1+Resumo!$C$11)-(AT$4*(Resumo!$B$6+Resumo!$B$7)+Resumo!$B$9+Resumo!$B$10*CEILING(AT$3/100,1)+(Resumo!$B$12+Resumo!$B$14)*CEILING(AT$3,1))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8" s="13" t="n">
        <f aca="false">1-AH88/H88</f>
        <v>0.553790009855127</v>
      </c>
      <c r="AV88" s="13" t="n">
        <f aca="false">1-AI88/I88</f>
        <v>0.468426082913158</v>
      </c>
      <c r="AW88" s="13" t="n">
        <f aca="false">1-AJ88/J88</f>
        <v>0.424299969908939</v>
      </c>
      <c r="AX88" s="13" t="n">
        <f aca="false">1-AK88/K88</f>
        <v>0.444318235095027</v>
      </c>
      <c r="AY88" s="13" t="n">
        <f aca="false">1-AL88/L88</f>
        <v>0.44289446919564</v>
      </c>
      <c r="AZ88" s="13" t="n">
        <f aca="false">1-AM88/M88</f>
        <v>0.439248965608252</v>
      </c>
      <c r="BA88" s="13" t="n">
        <f aca="false">1-AN88/N88</f>
        <v>0.433759067609368</v>
      </c>
      <c r="BB88" s="13" t="n">
        <f aca="false">1-AO88/O88</f>
        <v>0.427042392574117</v>
      </c>
      <c r="BC88" s="13" t="n">
        <f aca="false">1-AP88/P88</f>
        <v>0.493280443868681</v>
      </c>
      <c r="BD88" s="13" t="n">
        <f aca="false">1-AQ88/Q88</f>
        <v>0.455794679894486</v>
      </c>
      <c r="BE88" s="13" t="n">
        <f aca="false">1-AR88/R88</f>
        <v>0.489018797268033</v>
      </c>
      <c r="BF88" s="13" t="n">
        <f aca="false">1-AS88/S88</f>
        <v>0.820503440269559</v>
      </c>
      <c r="BG88" s="13" t="n">
        <f aca="false">1-AT88/T88</f>
        <v>0.528263860444042</v>
      </c>
    </row>
    <row r="89" customFormat="false" ht="15" hidden="false" customHeight="false" outlineLevel="0" collapsed="false">
      <c r="A89" s="4" t="s">
        <v>215</v>
      </c>
      <c r="B89" s="4" t="s">
        <v>288</v>
      </c>
      <c r="C89" s="36" t="n">
        <v>28800000</v>
      </c>
      <c r="D89" s="36" t="n">
        <v>28819999</v>
      </c>
      <c r="E89" s="4" t="s">
        <v>198</v>
      </c>
      <c r="F89" s="4" t="s">
        <v>224</v>
      </c>
      <c r="G89" s="4" t="n">
        <f aca="false">COUNTIFS(Pedidos!$E$2:$E$2224,"&gt;="&amp;C89,Pedidos!$E$2:$E$2224,"&lt;="&amp;D89)</f>
        <v>4</v>
      </c>
      <c r="H89" s="7" t="n">
        <v>57.47</v>
      </c>
      <c r="I89" s="7" t="n">
        <v>100.58</v>
      </c>
      <c r="J89" s="7" t="n">
        <v>114.95</v>
      </c>
      <c r="K89" s="7" t="n">
        <v>114.95</v>
      </c>
      <c r="L89" s="7" t="n">
        <v>128.14</v>
      </c>
      <c r="M89" s="7" t="n">
        <v>149.5</v>
      </c>
      <c r="N89" s="7" t="n">
        <v>142.74</v>
      </c>
      <c r="O89" s="7" t="n">
        <v>178.42</v>
      </c>
      <c r="P89" s="7" t="n">
        <v>214.11</v>
      </c>
      <c r="Q89" s="7" t="n">
        <v>249.03</v>
      </c>
      <c r="R89" s="7" t="n">
        <v>282.23</v>
      </c>
      <c r="S89" s="7" t="n">
        <v>332.05</v>
      </c>
      <c r="T89" s="7" t="n">
        <v>415.05</v>
      </c>
      <c r="U89" s="7" t="n">
        <v>46.95</v>
      </c>
      <c r="V89" s="7" t="n">
        <v>65.63</v>
      </c>
      <c r="W89" s="7" t="n">
        <v>74.97</v>
      </c>
      <c r="X89" s="7" t="n">
        <v>77.7</v>
      </c>
      <c r="Y89" s="7" t="n">
        <v>83.58</v>
      </c>
      <c r="Z89" s="7" t="n">
        <v>90.2</v>
      </c>
      <c r="AA89" s="7" t="n">
        <v>96.77</v>
      </c>
      <c r="AB89" s="7" t="n">
        <v>109.63</v>
      </c>
      <c r="AC89" s="7" t="n">
        <v>119.5</v>
      </c>
      <c r="AD89" s="7" t="n">
        <v>144.24</v>
      </c>
      <c r="AE89" s="7" t="n">
        <v>155.09</v>
      </c>
      <c r="AF89" s="7" t="n">
        <v>66.69</v>
      </c>
      <c r="AG89" s="7" t="n">
        <v>214.88</v>
      </c>
      <c r="AH89" s="12" t="n">
        <f aca="false">(U89+AH$4*(Resumo!$C$6+Resumo!$C$7+Resumo!$C$8)+Resumo!$C$10*CEILING(AH$3/100,1)+Resumo!$C$9+Resumo!$C$13+Resumo!$C$14*CEILING(AH$3,1))*(1+Resumo!$C$11)-(AH$4*(Resumo!$B$6+Resumo!$B$7)+Resumo!$B$9+Resumo!$B$10*CEILING(AH$3/100,1)+(Resumo!$B$12+Resumo!$B$14)*CEILING(AH$3,1))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89" s="12" t="n">
        <f aca="false">(V89+AI$4*(Resumo!$C$6+Resumo!$C$7+Resumo!$C$8)+Resumo!$C$10*CEILING(AI$3/100,1)+Resumo!$C$9+Resumo!$C$13+Resumo!$C$14*CEILING(AI$3,1))*(1+Resumo!$C$11)-(AI$4*(Resumo!$B$6+Resumo!$B$7)+Resumo!$B$9+Resumo!$B$10*CEILING(AI$3/100,1)+(Resumo!$B$12+Resumo!$B$14)*CEILING(AI$3,1))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89" s="12" t="n">
        <f aca="false">(W89+AJ$4*(Resumo!$C$6+Resumo!$C$7+Resumo!$C$8)+Resumo!$C$10*CEILING(AJ$3/100,1)+Resumo!$C$9+Resumo!$C$13+Resumo!$C$14*CEILING(AJ$3,1))*(1+Resumo!$C$11)-(AJ$4*(Resumo!$B$6+Resumo!$B$7)+Resumo!$B$9+Resumo!$B$10*CEILING(AJ$3/100,1)+(Resumo!$B$12+Resumo!$B$14)*CEILING(AJ$3,1))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89" s="12" t="n">
        <f aca="false">(X89+AK$4*(Resumo!$C$6+Resumo!$C$7+Resumo!$C$8)+Resumo!$C$10*CEILING(AK$3/100,1)+Resumo!$C$9+Resumo!$C$13+Resumo!$C$14*CEILING(AK$3,1))*(1+Resumo!$C$11)-(AK$4*(Resumo!$B$6+Resumo!$B$7)+Resumo!$B$9+Resumo!$B$10*CEILING(AK$3/100,1)+(Resumo!$B$12+Resumo!$B$14)*CEILING(AK$3,1))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89" s="12" t="n">
        <f aca="false">(Y89+AL$4*(Resumo!$C$6+Resumo!$C$7+Resumo!$C$8)+Resumo!$C$10*CEILING(AL$3/100,1)+Resumo!$C$9+Resumo!$C$13+Resumo!$C$14*CEILING(AL$3,1))*(1+Resumo!$C$11)-(AL$4*(Resumo!$B$6+Resumo!$B$7)+Resumo!$B$9+Resumo!$B$10*CEILING(AL$3/100,1)+(Resumo!$B$12+Resumo!$B$14)*CEILING(AL$3,1))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89" s="12" t="n">
        <f aca="false">(Z89+AM$4*(Resumo!$C$6+Resumo!$C$7+Resumo!$C$8)+Resumo!$C$10*CEILING(AM$3/100,1)+Resumo!$C$9+Resumo!$C$13+Resumo!$C$14*CEILING(AM$3,1))*(1+Resumo!$C$11)-(AM$4*(Resumo!$B$6+Resumo!$B$7)+Resumo!$B$9+Resumo!$B$10*CEILING(AM$3/100,1)+(Resumo!$B$12+Resumo!$B$14)*CEILING(AM$3,1))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89" s="12" t="n">
        <f aca="false">(AA89+AN$4*(Resumo!$C$6+Resumo!$C$7+Resumo!$C$8)+Resumo!$C$10*CEILING(AN$3/100,1)+Resumo!$C$9+Resumo!$C$13+Resumo!$C$14*CEILING(AN$3,1))*(1+Resumo!$C$11)-(AN$4*(Resumo!$B$6+Resumo!$B$7)+Resumo!$B$9+Resumo!$B$10*CEILING(AN$3/100,1)+(Resumo!$B$12+Resumo!$B$14)*CEILING(AN$3,1))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89" s="12" t="n">
        <f aca="false">(AB89+AO$4*(Resumo!$C$6+Resumo!$C$7+Resumo!$C$8)+Resumo!$C$10*CEILING(AO$3/100,1)+Resumo!$C$9+Resumo!$C$13+Resumo!$C$14*CEILING(AO$3,1))*(1+Resumo!$C$11)-(AO$4*(Resumo!$B$6+Resumo!$B$7)+Resumo!$B$9+Resumo!$B$10*CEILING(AO$3/100,1)+(Resumo!$B$12+Resumo!$B$14)*CEILING(AO$3,1))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89" s="12" t="n">
        <f aca="false">(AC89+AP$4*(Resumo!$C$6+Resumo!$C$7+Resumo!$C$8)+Resumo!$C$10*CEILING(AP$3/100,1)+Resumo!$C$9+Resumo!$C$13+Resumo!$C$14*CEILING(AP$3,1))*(1+Resumo!$C$11)-(AP$4*(Resumo!$B$6+Resumo!$B$7)+Resumo!$B$9+Resumo!$B$10*CEILING(AP$3/100,1)+(Resumo!$B$12+Resumo!$B$14)*CEILING(AP$3,1))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89" s="12" t="n">
        <f aca="false">(AD89+AQ$4*(Resumo!$C$6+Resumo!$C$7+Resumo!$C$8)+Resumo!$C$10*CEILING(AQ$3/100,1)+Resumo!$C$9+Resumo!$C$13+Resumo!$C$14*CEILING(AQ$3,1))*(1+Resumo!$C$11)-(AQ$4*(Resumo!$B$6+Resumo!$B$7)+Resumo!$B$9+Resumo!$B$10*CEILING(AQ$3/100,1)+(Resumo!$B$12+Resumo!$B$14)*CEILING(AQ$3,1))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89" s="12" t="n">
        <f aca="false">(AE89+AR$4*(Resumo!$C$6+Resumo!$C$7+Resumo!$C$8)+Resumo!$C$10*CEILING(AR$3/100,1)+Resumo!$C$9+Resumo!$C$13+Resumo!$C$14*CEILING(AR$3,1))*(1+Resumo!$C$11)-(AR$4*(Resumo!$B$6+Resumo!$B$7)+Resumo!$B$9+Resumo!$B$10*CEILING(AR$3/100,1)+(Resumo!$B$12+Resumo!$B$14)*CEILING(AR$3,1))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89" s="12" t="n">
        <f aca="false">(AF89+AS$4*(Resumo!$C$6+Resumo!$C$7+Resumo!$C$8)+Resumo!$C$10*CEILING(AS$3/100,1)+Resumo!$C$9+Resumo!$C$13+Resumo!$C$14*CEILING(AS$3,1))*(1+Resumo!$C$11)-(AS$4*(Resumo!$B$6+Resumo!$B$7)+Resumo!$B$9+Resumo!$B$10*CEILING(AS$3/100,1)+(Resumo!$B$12+Resumo!$B$14)*CEILING(AS$3,1))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89" s="12" t="n">
        <f aca="false">(AG89+AT$4*(Resumo!$C$6+Resumo!$C$7+Resumo!$C$8)+Resumo!$C$10*CEILING(AT$3/100,1)+Resumo!$C$9+Resumo!$C$13+Resumo!$C$14*CEILING(AT$3,1))*(1+Resumo!$C$11)-(AT$4*(Resumo!$B$6+Resumo!$B$7)+Resumo!$B$9+Resumo!$B$10*CEILING(AT$3/100,1)+(Resumo!$B$12+Resumo!$B$14)*CEILING(AT$3,1))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89" s="13" t="n">
        <f aca="false">1-AH89/H89</f>
        <v>0.0369255754729408</v>
      </c>
      <c r="AV89" s="13" t="n">
        <f aca="false">1-AI89/I89</f>
        <v>0.269125502148147</v>
      </c>
      <c r="AW89" s="13" t="n">
        <f aca="false">1-AJ89/J89</f>
        <v>0.283617813795343</v>
      </c>
      <c r="AX89" s="13" t="n">
        <f aca="false">1-AK89/K89</f>
        <v>0.262603771912965</v>
      </c>
      <c r="AY89" s="13" t="n">
        <f aca="false">1-AL89/L89</f>
        <v>0.295509753304679</v>
      </c>
      <c r="AZ89" s="13" t="n">
        <f aca="false">1-AM89/M89</f>
        <v>0.356580385019663</v>
      </c>
      <c r="BA89" s="13" t="n">
        <f aca="false">1-AN89/N89</f>
        <v>0.281825287936108</v>
      </c>
      <c r="BB89" s="13" t="n">
        <f aca="false">1-AO89/O89</f>
        <v>0.357614394185216</v>
      </c>
      <c r="BC89" s="13" t="n">
        <f aca="false">1-AP89/P89</f>
        <v>0.439534233417314</v>
      </c>
      <c r="BD89" s="13" t="n">
        <f aca="false">1-AQ89/Q89</f>
        <v>0.421245083015122</v>
      </c>
      <c r="BE89" s="13" t="n">
        <f aca="false">1-AR89/R89</f>
        <v>0.456574396768593</v>
      </c>
      <c r="BF89" s="13" t="n">
        <f aca="false">1-AS89/S89</f>
        <v>0.809086583345882</v>
      </c>
      <c r="BG89" s="13" t="n">
        <f aca="false">1-AT89/T89</f>
        <v>0.49831506565474</v>
      </c>
    </row>
    <row r="90" customFormat="false" ht="15" hidden="false" customHeight="false" outlineLevel="0" collapsed="false">
      <c r="A90" s="4" t="s">
        <v>215</v>
      </c>
      <c r="B90" s="4" t="s">
        <v>289</v>
      </c>
      <c r="C90" s="36" t="n">
        <v>28820000</v>
      </c>
      <c r="D90" s="36" t="n">
        <v>28859999</v>
      </c>
      <c r="E90" s="4" t="s">
        <v>198</v>
      </c>
      <c r="F90" s="4" t="s">
        <v>224</v>
      </c>
      <c r="G90" s="4" t="n">
        <f aca="false">COUNTIFS(Pedidos!$E$2:$E$2224,"&gt;="&amp;C90,Pedidos!$E$2:$E$2224,"&lt;="&amp;D90)</f>
        <v>0</v>
      </c>
      <c r="H90" s="7" t="n">
        <v>57.47</v>
      </c>
      <c r="I90" s="7" t="n">
        <v>100.58</v>
      </c>
      <c r="J90" s="7" t="n">
        <v>114.95</v>
      </c>
      <c r="K90" s="7" t="n">
        <v>114.95</v>
      </c>
      <c r="L90" s="7" t="n">
        <v>128.14</v>
      </c>
      <c r="M90" s="7" t="n">
        <v>149.5</v>
      </c>
      <c r="N90" s="7" t="n">
        <v>142.74</v>
      </c>
      <c r="O90" s="7" t="n">
        <v>178.42</v>
      </c>
      <c r="P90" s="7" t="n">
        <v>214.11</v>
      </c>
      <c r="Q90" s="7" t="n">
        <v>249.03</v>
      </c>
      <c r="R90" s="7" t="n">
        <v>282.23</v>
      </c>
      <c r="S90" s="7" t="n">
        <v>332.05</v>
      </c>
      <c r="T90" s="7" t="n">
        <v>415.05</v>
      </c>
      <c r="U90" s="7" t="n">
        <v>46.95</v>
      </c>
      <c r="V90" s="7" t="n">
        <v>65.63</v>
      </c>
      <c r="W90" s="7" t="n">
        <v>74.97</v>
      </c>
      <c r="X90" s="7" t="n">
        <v>77.7</v>
      </c>
      <c r="Y90" s="7" t="n">
        <v>83.58</v>
      </c>
      <c r="Z90" s="7" t="n">
        <v>90.2</v>
      </c>
      <c r="AA90" s="7" t="n">
        <v>96.77</v>
      </c>
      <c r="AB90" s="7" t="n">
        <v>109.63</v>
      </c>
      <c r="AC90" s="7" t="n">
        <v>119.5</v>
      </c>
      <c r="AD90" s="7" t="n">
        <v>144.24</v>
      </c>
      <c r="AE90" s="7" t="n">
        <v>155.09</v>
      </c>
      <c r="AF90" s="7" t="n">
        <v>66.69</v>
      </c>
      <c r="AG90" s="7" t="n">
        <v>214.88</v>
      </c>
      <c r="AH90" s="12" t="n">
        <f aca="false">(U90+AH$4*(Resumo!$C$6+Resumo!$C$7+Resumo!$C$8)+Resumo!$C$10*CEILING(AH$3/100,1)+Resumo!$C$9+Resumo!$C$13+Resumo!$C$14*CEILING(AH$3,1))*(1+Resumo!$C$11)-(AH$4*(Resumo!$B$6+Resumo!$B$7)+Resumo!$B$9+Resumo!$B$10*CEILING(AH$3/100,1)+(Resumo!$B$12+Resumo!$B$14)*CEILING(AH$3,1))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0" s="12" t="n">
        <f aca="false">(V90+AI$4*(Resumo!$C$6+Resumo!$C$7+Resumo!$C$8)+Resumo!$C$10*CEILING(AI$3/100,1)+Resumo!$C$9+Resumo!$C$13+Resumo!$C$14*CEILING(AI$3,1))*(1+Resumo!$C$11)-(AI$4*(Resumo!$B$6+Resumo!$B$7)+Resumo!$B$9+Resumo!$B$10*CEILING(AI$3/100,1)+(Resumo!$B$12+Resumo!$B$14)*CEILING(AI$3,1))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0" s="12" t="n">
        <f aca="false">(W90+AJ$4*(Resumo!$C$6+Resumo!$C$7+Resumo!$C$8)+Resumo!$C$10*CEILING(AJ$3/100,1)+Resumo!$C$9+Resumo!$C$13+Resumo!$C$14*CEILING(AJ$3,1))*(1+Resumo!$C$11)-(AJ$4*(Resumo!$B$6+Resumo!$B$7)+Resumo!$B$9+Resumo!$B$10*CEILING(AJ$3/100,1)+(Resumo!$B$12+Resumo!$B$14)*CEILING(AJ$3,1))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0" s="12" t="n">
        <f aca="false">(X90+AK$4*(Resumo!$C$6+Resumo!$C$7+Resumo!$C$8)+Resumo!$C$10*CEILING(AK$3/100,1)+Resumo!$C$9+Resumo!$C$13+Resumo!$C$14*CEILING(AK$3,1))*(1+Resumo!$C$11)-(AK$4*(Resumo!$B$6+Resumo!$B$7)+Resumo!$B$9+Resumo!$B$10*CEILING(AK$3/100,1)+(Resumo!$B$12+Resumo!$B$14)*CEILING(AK$3,1))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0" s="12" t="n">
        <f aca="false">(Y90+AL$4*(Resumo!$C$6+Resumo!$C$7+Resumo!$C$8)+Resumo!$C$10*CEILING(AL$3/100,1)+Resumo!$C$9+Resumo!$C$13+Resumo!$C$14*CEILING(AL$3,1))*(1+Resumo!$C$11)-(AL$4*(Resumo!$B$6+Resumo!$B$7)+Resumo!$B$9+Resumo!$B$10*CEILING(AL$3/100,1)+(Resumo!$B$12+Resumo!$B$14)*CEILING(AL$3,1))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0" s="12" t="n">
        <f aca="false">(Z90+AM$4*(Resumo!$C$6+Resumo!$C$7+Resumo!$C$8)+Resumo!$C$10*CEILING(AM$3/100,1)+Resumo!$C$9+Resumo!$C$13+Resumo!$C$14*CEILING(AM$3,1))*(1+Resumo!$C$11)-(AM$4*(Resumo!$B$6+Resumo!$B$7)+Resumo!$B$9+Resumo!$B$10*CEILING(AM$3/100,1)+(Resumo!$B$12+Resumo!$B$14)*CEILING(AM$3,1))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0" s="12" t="n">
        <f aca="false">(AA90+AN$4*(Resumo!$C$6+Resumo!$C$7+Resumo!$C$8)+Resumo!$C$10*CEILING(AN$3/100,1)+Resumo!$C$9+Resumo!$C$13+Resumo!$C$14*CEILING(AN$3,1))*(1+Resumo!$C$11)-(AN$4*(Resumo!$B$6+Resumo!$B$7)+Resumo!$B$9+Resumo!$B$10*CEILING(AN$3/100,1)+(Resumo!$B$12+Resumo!$B$14)*CEILING(AN$3,1))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0" s="12" t="n">
        <f aca="false">(AB90+AO$4*(Resumo!$C$6+Resumo!$C$7+Resumo!$C$8)+Resumo!$C$10*CEILING(AO$3/100,1)+Resumo!$C$9+Resumo!$C$13+Resumo!$C$14*CEILING(AO$3,1))*(1+Resumo!$C$11)-(AO$4*(Resumo!$B$6+Resumo!$B$7)+Resumo!$B$9+Resumo!$B$10*CEILING(AO$3/100,1)+(Resumo!$B$12+Resumo!$B$14)*CEILING(AO$3,1))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0" s="12" t="n">
        <f aca="false">(AC90+AP$4*(Resumo!$C$6+Resumo!$C$7+Resumo!$C$8)+Resumo!$C$10*CEILING(AP$3/100,1)+Resumo!$C$9+Resumo!$C$13+Resumo!$C$14*CEILING(AP$3,1))*(1+Resumo!$C$11)-(AP$4*(Resumo!$B$6+Resumo!$B$7)+Resumo!$B$9+Resumo!$B$10*CEILING(AP$3/100,1)+(Resumo!$B$12+Resumo!$B$14)*CEILING(AP$3,1))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0" s="12" t="n">
        <f aca="false">(AD90+AQ$4*(Resumo!$C$6+Resumo!$C$7+Resumo!$C$8)+Resumo!$C$10*CEILING(AQ$3/100,1)+Resumo!$C$9+Resumo!$C$13+Resumo!$C$14*CEILING(AQ$3,1))*(1+Resumo!$C$11)-(AQ$4*(Resumo!$B$6+Resumo!$B$7)+Resumo!$B$9+Resumo!$B$10*CEILING(AQ$3/100,1)+(Resumo!$B$12+Resumo!$B$14)*CEILING(AQ$3,1))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0" s="12" t="n">
        <f aca="false">(AE90+AR$4*(Resumo!$C$6+Resumo!$C$7+Resumo!$C$8)+Resumo!$C$10*CEILING(AR$3/100,1)+Resumo!$C$9+Resumo!$C$13+Resumo!$C$14*CEILING(AR$3,1))*(1+Resumo!$C$11)-(AR$4*(Resumo!$B$6+Resumo!$B$7)+Resumo!$B$9+Resumo!$B$10*CEILING(AR$3/100,1)+(Resumo!$B$12+Resumo!$B$14)*CEILING(AR$3,1))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0" s="12" t="n">
        <f aca="false">(AF90+AS$4*(Resumo!$C$6+Resumo!$C$7+Resumo!$C$8)+Resumo!$C$10*CEILING(AS$3/100,1)+Resumo!$C$9+Resumo!$C$13+Resumo!$C$14*CEILING(AS$3,1))*(1+Resumo!$C$11)-(AS$4*(Resumo!$B$6+Resumo!$B$7)+Resumo!$B$9+Resumo!$B$10*CEILING(AS$3/100,1)+(Resumo!$B$12+Resumo!$B$14)*CEILING(AS$3,1))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0" s="12" t="n">
        <f aca="false">(AG90+AT$4*(Resumo!$C$6+Resumo!$C$7+Resumo!$C$8)+Resumo!$C$10*CEILING(AT$3/100,1)+Resumo!$C$9+Resumo!$C$13+Resumo!$C$14*CEILING(AT$3,1))*(1+Resumo!$C$11)-(AT$4*(Resumo!$B$6+Resumo!$B$7)+Resumo!$B$9+Resumo!$B$10*CEILING(AT$3/100,1)+(Resumo!$B$12+Resumo!$B$14)*CEILING(AT$3,1))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0" s="13" t="n">
        <f aca="false">1-AH90/H90</f>
        <v>0.0369255754729408</v>
      </c>
      <c r="AV90" s="13" t="n">
        <f aca="false">1-AI90/I90</f>
        <v>0.269125502148147</v>
      </c>
      <c r="AW90" s="13" t="n">
        <f aca="false">1-AJ90/J90</f>
        <v>0.283617813795343</v>
      </c>
      <c r="AX90" s="13" t="n">
        <f aca="false">1-AK90/K90</f>
        <v>0.262603771912965</v>
      </c>
      <c r="AY90" s="13" t="n">
        <f aca="false">1-AL90/L90</f>
        <v>0.295509753304679</v>
      </c>
      <c r="AZ90" s="13" t="n">
        <f aca="false">1-AM90/M90</f>
        <v>0.356580385019663</v>
      </c>
      <c r="BA90" s="13" t="n">
        <f aca="false">1-AN90/N90</f>
        <v>0.281825287936108</v>
      </c>
      <c r="BB90" s="13" t="n">
        <f aca="false">1-AO90/O90</f>
        <v>0.357614394185216</v>
      </c>
      <c r="BC90" s="13" t="n">
        <f aca="false">1-AP90/P90</f>
        <v>0.439534233417314</v>
      </c>
      <c r="BD90" s="13" t="n">
        <f aca="false">1-AQ90/Q90</f>
        <v>0.421245083015122</v>
      </c>
      <c r="BE90" s="13" t="n">
        <f aca="false">1-AR90/R90</f>
        <v>0.456574396768593</v>
      </c>
      <c r="BF90" s="13" t="n">
        <f aca="false">1-AS90/S90</f>
        <v>0.809086583345882</v>
      </c>
      <c r="BG90" s="13" t="n">
        <f aca="false">1-AT90/T90</f>
        <v>0.49831506565474</v>
      </c>
    </row>
    <row r="91" customFormat="false" ht="15" hidden="false" customHeight="false" outlineLevel="0" collapsed="false">
      <c r="A91" s="4" t="s">
        <v>215</v>
      </c>
      <c r="B91" s="4" t="s">
        <v>290</v>
      </c>
      <c r="C91" s="36" t="n">
        <v>28860000</v>
      </c>
      <c r="D91" s="36" t="n">
        <v>28889999</v>
      </c>
      <c r="E91" s="4" t="s">
        <v>198</v>
      </c>
      <c r="F91" s="4" t="s">
        <v>220</v>
      </c>
      <c r="G91" s="4" t="n">
        <f aca="false">COUNTIFS(Pedidos!$E$2:$E$2224,"&gt;="&amp;C91,Pedidos!$E$2:$E$2224,"&lt;="&amp;D91)</f>
        <v>7</v>
      </c>
      <c r="H91" s="7" t="n">
        <v>100.7</v>
      </c>
      <c r="I91" s="7" t="n">
        <v>114.95</v>
      </c>
      <c r="J91" s="7" t="n">
        <v>124.38</v>
      </c>
      <c r="K91" s="7" t="n">
        <v>129.29</v>
      </c>
      <c r="L91" s="7" t="n">
        <v>142.32</v>
      </c>
      <c r="M91" s="7" t="n">
        <v>166.05</v>
      </c>
      <c r="N91" s="7" t="n">
        <v>166.05</v>
      </c>
      <c r="O91" s="7" t="n">
        <v>197.35</v>
      </c>
      <c r="P91" s="7" t="n">
        <v>236.82</v>
      </c>
      <c r="Q91" s="7" t="n">
        <v>264.84</v>
      </c>
      <c r="R91" s="7" t="n">
        <v>300.15</v>
      </c>
      <c r="S91" s="7" t="n">
        <v>353.12</v>
      </c>
      <c r="T91" s="7" t="n">
        <v>441.4</v>
      </c>
      <c r="U91" s="7" t="n">
        <v>46.95</v>
      </c>
      <c r="V91" s="7" t="n">
        <v>65.63</v>
      </c>
      <c r="W91" s="7" t="n">
        <v>74.97</v>
      </c>
      <c r="X91" s="7" t="n">
        <v>77.7</v>
      </c>
      <c r="Y91" s="7" t="n">
        <v>83.58</v>
      </c>
      <c r="Z91" s="7" t="n">
        <v>90.2</v>
      </c>
      <c r="AA91" s="7" t="n">
        <v>96.77</v>
      </c>
      <c r="AB91" s="7" t="n">
        <v>109.63</v>
      </c>
      <c r="AC91" s="7" t="n">
        <v>119.5</v>
      </c>
      <c r="AD91" s="7" t="n">
        <v>144.24</v>
      </c>
      <c r="AE91" s="7" t="n">
        <v>155.09</v>
      </c>
      <c r="AF91" s="7" t="n">
        <v>66.69</v>
      </c>
      <c r="AG91" s="7" t="n">
        <v>214.88</v>
      </c>
      <c r="AH91" s="12" t="n">
        <f aca="false">(U91+AH$4*(Resumo!$C$6+Resumo!$C$7+Resumo!$C$8)+Resumo!$C$10*CEILING(AH$3/100,1)+Resumo!$C$9+Resumo!$C$13+Resumo!$C$14*CEILING(AH$3,1))*(1+Resumo!$C$11)-(AH$4*(Resumo!$B$6+Resumo!$B$7)+Resumo!$B$9+Resumo!$B$10*CEILING(AH$3/100,1)+(Resumo!$B$12+Resumo!$B$14)*CEILING(AH$3,1))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1" s="12" t="n">
        <f aca="false">(V91+AI$4*(Resumo!$C$6+Resumo!$C$7+Resumo!$C$8)+Resumo!$C$10*CEILING(AI$3/100,1)+Resumo!$C$9+Resumo!$C$13+Resumo!$C$14*CEILING(AI$3,1))*(1+Resumo!$C$11)-(AI$4*(Resumo!$B$6+Resumo!$B$7)+Resumo!$B$9+Resumo!$B$10*CEILING(AI$3/100,1)+(Resumo!$B$12+Resumo!$B$14)*CEILING(AI$3,1))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1" s="12" t="n">
        <f aca="false">(W91+AJ$4*(Resumo!$C$6+Resumo!$C$7+Resumo!$C$8)+Resumo!$C$10*CEILING(AJ$3/100,1)+Resumo!$C$9+Resumo!$C$13+Resumo!$C$14*CEILING(AJ$3,1))*(1+Resumo!$C$11)-(AJ$4*(Resumo!$B$6+Resumo!$B$7)+Resumo!$B$9+Resumo!$B$10*CEILING(AJ$3/100,1)+(Resumo!$B$12+Resumo!$B$14)*CEILING(AJ$3,1))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1" s="12" t="n">
        <f aca="false">(X91+AK$4*(Resumo!$C$6+Resumo!$C$7+Resumo!$C$8)+Resumo!$C$10*CEILING(AK$3/100,1)+Resumo!$C$9+Resumo!$C$13+Resumo!$C$14*CEILING(AK$3,1))*(1+Resumo!$C$11)-(AK$4*(Resumo!$B$6+Resumo!$B$7)+Resumo!$B$9+Resumo!$B$10*CEILING(AK$3/100,1)+(Resumo!$B$12+Resumo!$B$14)*CEILING(AK$3,1))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1" s="12" t="n">
        <f aca="false">(Y91+AL$4*(Resumo!$C$6+Resumo!$C$7+Resumo!$C$8)+Resumo!$C$10*CEILING(AL$3/100,1)+Resumo!$C$9+Resumo!$C$13+Resumo!$C$14*CEILING(AL$3,1))*(1+Resumo!$C$11)-(AL$4*(Resumo!$B$6+Resumo!$B$7)+Resumo!$B$9+Resumo!$B$10*CEILING(AL$3/100,1)+(Resumo!$B$12+Resumo!$B$14)*CEILING(AL$3,1))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1" s="12" t="n">
        <f aca="false">(Z91+AM$4*(Resumo!$C$6+Resumo!$C$7+Resumo!$C$8)+Resumo!$C$10*CEILING(AM$3/100,1)+Resumo!$C$9+Resumo!$C$13+Resumo!$C$14*CEILING(AM$3,1))*(1+Resumo!$C$11)-(AM$4*(Resumo!$B$6+Resumo!$B$7)+Resumo!$B$9+Resumo!$B$10*CEILING(AM$3/100,1)+(Resumo!$B$12+Resumo!$B$14)*CEILING(AM$3,1))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1" s="12" t="n">
        <f aca="false">(AA91+AN$4*(Resumo!$C$6+Resumo!$C$7+Resumo!$C$8)+Resumo!$C$10*CEILING(AN$3/100,1)+Resumo!$C$9+Resumo!$C$13+Resumo!$C$14*CEILING(AN$3,1))*(1+Resumo!$C$11)-(AN$4*(Resumo!$B$6+Resumo!$B$7)+Resumo!$B$9+Resumo!$B$10*CEILING(AN$3/100,1)+(Resumo!$B$12+Resumo!$B$14)*CEILING(AN$3,1))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1" s="12" t="n">
        <f aca="false">(AB91+AO$4*(Resumo!$C$6+Resumo!$C$7+Resumo!$C$8)+Resumo!$C$10*CEILING(AO$3/100,1)+Resumo!$C$9+Resumo!$C$13+Resumo!$C$14*CEILING(AO$3,1))*(1+Resumo!$C$11)-(AO$4*(Resumo!$B$6+Resumo!$B$7)+Resumo!$B$9+Resumo!$B$10*CEILING(AO$3/100,1)+(Resumo!$B$12+Resumo!$B$14)*CEILING(AO$3,1))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1" s="12" t="n">
        <f aca="false">(AC91+AP$4*(Resumo!$C$6+Resumo!$C$7+Resumo!$C$8)+Resumo!$C$10*CEILING(AP$3/100,1)+Resumo!$C$9+Resumo!$C$13+Resumo!$C$14*CEILING(AP$3,1))*(1+Resumo!$C$11)-(AP$4*(Resumo!$B$6+Resumo!$B$7)+Resumo!$B$9+Resumo!$B$10*CEILING(AP$3/100,1)+(Resumo!$B$12+Resumo!$B$14)*CEILING(AP$3,1))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1" s="12" t="n">
        <f aca="false">(AD91+AQ$4*(Resumo!$C$6+Resumo!$C$7+Resumo!$C$8)+Resumo!$C$10*CEILING(AQ$3/100,1)+Resumo!$C$9+Resumo!$C$13+Resumo!$C$14*CEILING(AQ$3,1))*(1+Resumo!$C$11)-(AQ$4*(Resumo!$B$6+Resumo!$B$7)+Resumo!$B$9+Resumo!$B$10*CEILING(AQ$3/100,1)+(Resumo!$B$12+Resumo!$B$14)*CEILING(AQ$3,1))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1" s="12" t="n">
        <f aca="false">(AE91+AR$4*(Resumo!$C$6+Resumo!$C$7+Resumo!$C$8)+Resumo!$C$10*CEILING(AR$3/100,1)+Resumo!$C$9+Resumo!$C$13+Resumo!$C$14*CEILING(AR$3,1))*(1+Resumo!$C$11)-(AR$4*(Resumo!$B$6+Resumo!$B$7)+Resumo!$B$9+Resumo!$B$10*CEILING(AR$3/100,1)+(Resumo!$B$12+Resumo!$B$14)*CEILING(AR$3,1))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1" s="12" t="n">
        <f aca="false">(AF91+AS$4*(Resumo!$C$6+Resumo!$C$7+Resumo!$C$8)+Resumo!$C$10*CEILING(AS$3/100,1)+Resumo!$C$9+Resumo!$C$13+Resumo!$C$14*CEILING(AS$3,1))*(1+Resumo!$C$11)-(AS$4*(Resumo!$B$6+Resumo!$B$7)+Resumo!$B$9+Resumo!$B$10*CEILING(AS$3/100,1)+(Resumo!$B$12+Resumo!$B$14)*CEILING(AS$3,1))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1" s="12" t="n">
        <f aca="false">(AG91+AT$4*(Resumo!$C$6+Resumo!$C$7+Resumo!$C$8)+Resumo!$C$10*CEILING(AT$3/100,1)+Resumo!$C$9+Resumo!$C$13+Resumo!$C$14*CEILING(AT$3,1))*(1+Resumo!$C$11)-(AT$4*(Resumo!$B$6+Resumo!$B$7)+Resumo!$B$9+Resumo!$B$10*CEILING(AT$3/100,1)+(Resumo!$B$12+Resumo!$B$14)*CEILING(AT$3,1))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1" s="13" t="n">
        <f aca="false">1-AH91/H91</f>
        <v>0.4503685483856</v>
      </c>
      <c r="AV91" s="13" t="n">
        <f aca="false">1-AI91/I91</f>
        <v>0.360492762123189</v>
      </c>
      <c r="AW91" s="13" t="n">
        <f aca="false">1-AJ91/J91</f>
        <v>0.337931079721616</v>
      </c>
      <c r="AX91" s="13" t="n">
        <f aca="false">1-AK91/K91</f>
        <v>0.344390931869405</v>
      </c>
      <c r="AY91" s="13" t="n">
        <f aca="false">1-AL91/L91</f>
        <v>0.365701375691832</v>
      </c>
      <c r="AZ91" s="13" t="n">
        <f aca="false">1-AM91/M91</f>
        <v>0.420709229511831</v>
      </c>
      <c r="BA91" s="13" t="n">
        <f aca="false">1-AN91/N91</f>
        <v>0.382642225835592</v>
      </c>
      <c r="BB91" s="13" t="n">
        <f aca="false">1-AO91/O91</f>
        <v>0.419232633445788</v>
      </c>
      <c r="BC91" s="13" t="n">
        <f aca="false">1-AP91/P91</f>
        <v>0.493280443868681</v>
      </c>
      <c r="BD91" s="13" t="n">
        <f aca="false">1-AQ91/Q91</f>
        <v>0.455794679894486</v>
      </c>
      <c r="BE91" s="13" t="n">
        <f aca="false">1-AR91/R91</f>
        <v>0.489018797268033</v>
      </c>
      <c r="BF91" s="13" t="n">
        <f aca="false">1-AS91/S91</f>
        <v>0.820478024467603</v>
      </c>
      <c r="BG91" s="13" t="n">
        <f aca="false">1-AT91/T91</f>
        <v>0.528263860444042</v>
      </c>
    </row>
    <row r="92" customFormat="false" ht="15" hidden="false" customHeight="false" outlineLevel="0" collapsed="false">
      <c r="A92" s="4" t="s">
        <v>215</v>
      </c>
      <c r="B92" s="4" t="s">
        <v>178</v>
      </c>
      <c r="C92" s="36" t="n">
        <v>28890000</v>
      </c>
      <c r="D92" s="36" t="n">
        <v>28899999</v>
      </c>
      <c r="E92" s="4" t="s">
        <v>198</v>
      </c>
      <c r="F92" s="4" t="s">
        <v>220</v>
      </c>
      <c r="G92" s="4" t="n">
        <f aca="false">COUNTIFS(Pedidos!$E$2:$E$2224,"&gt;="&amp;C92,Pedidos!$E$2:$E$2224,"&lt;="&amp;D92)</f>
        <v>18</v>
      </c>
      <c r="H92" s="7" t="n">
        <v>100.7</v>
      </c>
      <c r="I92" s="7" t="n">
        <v>114.95</v>
      </c>
      <c r="J92" s="7" t="n">
        <v>124.38</v>
      </c>
      <c r="K92" s="7" t="n">
        <v>129.29</v>
      </c>
      <c r="L92" s="7" t="n">
        <v>142.32</v>
      </c>
      <c r="M92" s="7" t="n">
        <v>166.05</v>
      </c>
      <c r="N92" s="7" t="n">
        <v>166.05</v>
      </c>
      <c r="O92" s="7" t="n">
        <v>197.35</v>
      </c>
      <c r="P92" s="7" t="n">
        <v>236.82</v>
      </c>
      <c r="Q92" s="7" t="n">
        <v>264.84</v>
      </c>
      <c r="R92" s="7" t="n">
        <v>300.15</v>
      </c>
      <c r="S92" s="7" t="n">
        <v>353.12</v>
      </c>
      <c r="T92" s="7" t="n">
        <v>441.4</v>
      </c>
      <c r="U92" s="7" t="n">
        <v>46.95</v>
      </c>
      <c r="V92" s="7" t="n">
        <v>65.63</v>
      </c>
      <c r="W92" s="7" t="n">
        <v>74.97</v>
      </c>
      <c r="X92" s="7" t="n">
        <v>77.7</v>
      </c>
      <c r="Y92" s="7" t="n">
        <v>83.58</v>
      </c>
      <c r="Z92" s="7" t="n">
        <v>90.2</v>
      </c>
      <c r="AA92" s="7" t="n">
        <v>96.77</v>
      </c>
      <c r="AB92" s="7" t="n">
        <v>109.63</v>
      </c>
      <c r="AC92" s="7" t="n">
        <v>119.5</v>
      </c>
      <c r="AD92" s="7" t="n">
        <v>144.24</v>
      </c>
      <c r="AE92" s="7" t="n">
        <v>155.09</v>
      </c>
      <c r="AF92" s="7" t="n">
        <v>66.69</v>
      </c>
      <c r="AG92" s="7" t="n">
        <v>214.88</v>
      </c>
      <c r="AH92" s="12" t="n">
        <f aca="false">(U92+AH$4*(Resumo!$C$6+Resumo!$C$7+Resumo!$C$8)+Resumo!$C$10*CEILING(AH$3/100,1)+Resumo!$C$9+Resumo!$C$13+Resumo!$C$14*CEILING(AH$3,1))*(1+Resumo!$C$11)-(AH$4*(Resumo!$B$6+Resumo!$B$7)+Resumo!$B$9+Resumo!$B$10*CEILING(AH$3/100,1)+(Resumo!$B$12+Resumo!$B$14)*CEILING(AH$3,1))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2" s="12" t="n">
        <f aca="false">(V92+AI$4*(Resumo!$C$6+Resumo!$C$7+Resumo!$C$8)+Resumo!$C$10*CEILING(AI$3/100,1)+Resumo!$C$9+Resumo!$C$13+Resumo!$C$14*CEILING(AI$3,1))*(1+Resumo!$C$11)-(AI$4*(Resumo!$B$6+Resumo!$B$7)+Resumo!$B$9+Resumo!$B$10*CEILING(AI$3/100,1)+(Resumo!$B$12+Resumo!$B$14)*CEILING(AI$3,1))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2" s="12" t="n">
        <f aca="false">(W92+AJ$4*(Resumo!$C$6+Resumo!$C$7+Resumo!$C$8)+Resumo!$C$10*CEILING(AJ$3/100,1)+Resumo!$C$9+Resumo!$C$13+Resumo!$C$14*CEILING(AJ$3,1))*(1+Resumo!$C$11)-(AJ$4*(Resumo!$B$6+Resumo!$B$7)+Resumo!$B$9+Resumo!$B$10*CEILING(AJ$3/100,1)+(Resumo!$B$12+Resumo!$B$14)*CEILING(AJ$3,1))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2" s="12" t="n">
        <f aca="false">(X92+AK$4*(Resumo!$C$6+Resumo!$C$7+Resumo!$C$8)+Resumo!$C$10*CEILING(AK$3/100,1)+Resumo!$C$9+Resumo!$C$13+Resumo!$C$14*CEILING(AK$3,1))*(1+Resumo!$C$11)-(AK$4*(Resumo!$B$6+Resumo!$B$7)+Resumo!$B$9+Resumo!$B$10*CEILING(AK$3/100,1)+(Resumo!$B$12+Resumo!$B$14)*CEILING(AK$3,1))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2" s="12" t="n">
        <f aca="false">(Y92+AL$4*(Resumo!$C$6+Resumo!$C$7+Resumo!$C$8)+Resumo!$C$10*CEILING(AL$3/100,1)+Resumo!$C$9+Resumo!$C$13+Resumo!$C$14*CEILING(AL$3,1))*(1+Resumo!$C$11)-(AL$4*(Resumo!$B$6+Resumo!$B$7)+Resumo!$B$9+Resumo!$B$10*CEILING(AL$3/100,1)+(Resumo!$B$12+Resumo!$B$14)*CEILING(AL$3,1))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2" s="12" t="n">
        <f aca="false">(Z92+AM$4*(Resumo!$C$6+Resumo!$C$7+Resumo!$C$8)+Resumo!$C$10*CEILING(AM$3/100,1)+Resumo!$C$9+Resumo!$C$13+Resumo!$C$14*CEILING(AM$3,1))*(1+Resumo!$C$11)-(AM$4*(Resumo!$B$6+Resumo!$B$7)+Resumo!$B$9+Resumo!$B$10*CEILING(AM$3/100,1)+(Resumo!$B$12+Resumo!$B$14)*CEILING(AM$3,1))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2" s="12" t="n">
        <f aca="false">(AA92+AN$4*(Resumo!$C$6+Resumo!$C$7+Resumo!$C$8)+Resumo!$C$10*CEILING(AN$3/100,1)+Resumo!$C$9+Resumo!$C$13+Resumo!$C$14*CEILING(AN$3,1))*(1+Resumo!$C$11)-(AN$4*(Resumo!$B$6+Resumo!$B$7)+Resumo!$B$9+Resumo!$B$10*CEILING(AN$3/100,1)+(Resumo!$B$12+Resumo!$B$14)*CEILING(AN$3,1))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2" s="12" t="n">
        <f aca="false">(AB92+AO$4*(Resumo!$C$6+Resumo!$C$7+Resumo!$C$8)+Resumo!$C$10*CEILING(AO$3/100,1)+Resumo!$C$9+Resumo!$C$13+Resumo!$C$14*CEILING(AO$3,1))*(1+Resumo!$C$11)-(AO$4*(Resumo!$B$6+Resumo!$B$7)+Resumo!$B$9+Resumo!$B$10*CEILING(AO$3/100,1)+(Resumo!$B$12+Resumo!$B$14)*CEILING(AO$3,1))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2" s="12" t="n">
        <f aca="false">(AC92+AP$4*(Resumo!$C$6+Resumo!$C$7+Resumo!$C$8)+Resumo!$C$10*CEILING(AP$3/100,1)+Resumo!$C$9+Resumo!$C$13+Resumo!$C$14*CEILING(AP$3,1))*(1+Resumo!$C$11)-(AP$4*(Resumo!$B$6+Resumo!$B$7)+Resumo!$B$9+Resumo!$B$10*CEILING(AP$3/100,1)+(Resumo!$B$12+Resumo!$B$14)*CEILING(AP$3,1))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2" s="12" t="n">
        <f aca="false">(AD92+AQ$4*(Resumo!$C$6+Resumo!$C$7+Resumo!$C$8)+Resumo!$C$10*CEILING(AQ$3/100,1)+Resumo!$C$9+Resumo!$C$13+Resumo!$C$14*CEILING(AQ$3,1))*(1+Resumo!$C$11)-(AQ$4*(Resumo!$B$6+Resumo!$B$7)+Resumo!$B$9+Resumo!$B$10*CEILING(AQ$3/100,1)+(Resumo!$B$12+Resumo!$B$14)*CEILING(AQ$3,1))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2" s="12" t="n">
        <f aca="false">(AE92+AR$4*(Resumo!$C$6+Resumo!$C$7+Resumo!$C$8)+Resumo!$C$10*CEILING(AR$3/100,1)+Resumo!$C$9+Resumo!$C$13+Resumo!$C$14*CEILING(AR$3,1))*(1+Resumo!$C$11)-(AR$4*(Resumo!$B$6+Resumo!$B$7)+Resumo!$B$9+Resumo!$B$10*CEILING(AR$3/100,1)+(Resumo!$B$12+Resumo!$B$14)*CEILING(AR$3,1))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2" s="12" t="n">
        <f aca="false">(AF92+AS$4*(Resumo!$C$6+Resumo!$C$7+Resumo!$C$8)+Resumo!$C$10*CEILING(AS$3/100,1)+Resumo!$C$9+Resumo!$C$13+Resumo!$C$14*CEILING(AS$3,1))*(1+Resumo!$C$11)-(AS$4*(Resumo!$B$6+Resumo!$B$7)+Resumo!$B$9+Resumo!$B$10*CEILING(AS$3/100,1)+(Resumo!$B$12+Resumo!$B$14)*CEILING(AS$3,1))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2" s="12" t="n">
        <f aca="false">(AG92+AT$4*(Resumo!$C$6+Resumo!$C$7+Resumo!$C$8)+Resumo!$C$10*CEILING(AT$3/100,1)+Resumo!$C$9+Resumo!$C$13+Resumo!$C$14*CEILING(AT$3,1))*(1+Resumo!$C$11)-(AT$4*(Resumo!$B$6+Resumo!$B$7)+Resumo!$B$9+Resumo!$B$10*CEILING(AT$3/100,1)+(Resumo!$B$12+Resumo!$B$14)*CEILING(AT$3,1))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2" s="13" t="n">
        <f aca="false">1-AH92/H92</f>
        <v>0.4503685483856</v>
      </c>
      <c r="AV92" s="13" t="n">
        <f aca="false">1-AI92/I92</f>
        <v>0.360492762123189</v>
      </c>
      <c r="AW92" s="13" t="n">
        <f aca="false">1-AJ92/J92</f>
        <v>0.337931079721616</v>
      </c>
      <c r="AX92" s="13" t="n">
        <f aca="false">1-AK92/K92</f>
        <v>0.344390931869405</v>
      </c>
      <c r="AY92" s="13" t="n">
        <f aca="false">1-AL92/L92</f>
        <v>0.365701375691832</v>
      </c>
      <c r="AZ92" s="13" t="n">
        <f aca="false">1-AM92/M92</f>
        <v>0.420709229511831</v>
      </c>
      <c r="BA92" s="13" t="n">
        <f aca="false">1-AN92/N92</f>
        <v>0.382642225835592</v>
      </c>
      <c r="BB92" s="13" t="n">
        <f aca="false">1-AO92/O92</f>
        <v>0.419232633445788</v>
      </c>
      <c r="BC92" s="13" t="n">
        <f aca="false">1-AP92/P92</f>
        <v>0.493280443868681</v>
      </c>
      <c r="BD92" s="13" t="n">
        <f aca="false">1-AQ92/Q92</f>
        <v>0.455794679894486</v>
      </c>
      <c r="BE92" s="13" t="n">
        <f aca="false">1-AR92/R92</f>
        <v>0.489018797268033</v>
      </c>
      <c r="BF92" s="13" t="n">
        <f aca="false">1-AS92/S92</f>
        <v>0.820478024467603</v>
      </c>
      <c r="BG92" s="13" t="n">
        <f aca="false">1-AT92/T92</f>
        <v>0.528263860444042</v>
      </c>
    </row>
    <row r="93" customFormat="false" ht="15" hidden="false" customHeight="false" outlineLevel="0" collapsed="false">
      <c r="A93" s="4" t="s">
        <v>215</v>
      </c>
      <c r="B93" s="4" t="s">
        <v>172</v>
      </c>
      <c r="C93" s="36" t="n">
        <v>28900000</v>
      </c>
      <c r="D93" s="36" t="n">
        <v>28929999</v>
      </c>
      <c r="E93" s="4" t="s">
        <v>198</v>
      </c>
      <c r="F93" s="4" t="s">
        <v>220</v>
      </c>
      <c r="G93" s="4" t="n">
        <f aca="false">COUNTIFS(Pedidos!$E$2:$E$2224,"&gt;="&amp;C93,Pedidos!$E$2:$E$2224,"&lt;="&amp;D93)</f>
        <v>28</v>
      </c>
      <c r="H93" s="7" t="n">
        <v>100.7</v>
      </c>
      <c r="I93" s="7" t="n">
        <v>114.95</v>
      </c>
      <c r="J93" s="7" t="n">
        <v>124.38</v>
      </c>
      <c r="K93" s="7" t="n">
        <v>129.29</v>
      </c>
      <c r="L93" s="7" t="n">
        <v>142.32</v>
      </c>
      <c r="M93" s="7" t="n">
        <v>166.05</v>
      </c>
      <c r="N93" s="7" t="n">
        <v>166.05</v>
      </c>
      <c r="O93" s="7" t="n">
        <v>197.35</v>
      </c>
      <c r="P93" s="7" t="n">
        <v>236.82</v>
      </c>
      <c r="Q93" s="7" t="n">
        <v>264.84</v>
      </c>
      <c r="R93" s="7" t="n">
        <v>300.15</v>
      </c>
      <c r="S93" s="7" t="n">
        <v>353.12</v>
      </c>
      <c r="T93" s="7" t="n">
        <v>441.4</v>
      </c>
      <c r="U93" s="7" t="n">
        <v>46.95</v>
      </c>
      <c r="V93" s="7" t="n">
        <v>65.63</v>
      </c>
      <c r="W93" s="7" t="n">
        <v>74.97</v>
      </c>
      <c r="X93" s="7" t="n">
        <v>77.7</v>
      </c>
      <c r="Y93" s="7" t="n">
        <v>83.58</v>
      </c>
      <c r="Z93" s="7" t="n">
        <v>90.2</v>
      </c>
      <c r="AA93" s="7" t="n">
        <v>96.77</v>
      </c>
      <c r="AB93" s="7" t="n">
        <v>109.63</v>
      </c>
      <c r="AC93" s="7" t="n">
        <v>119.5</v>
      </c>
      <c r="AD93" s="7" t="n">
        <v>144.24</v>
      </c>
      <c r="AE93" s="7" t="n">
        <v>155.09</v>
      </c>
      <c r="AF93" s="7" t="n">
        <v>66.69</v>
      </c>
      <c r="AG93" s="7" t="n">
        <v>214.88</v>
      </c>
      <c r="AH93" s="12" t="n">
        <f aca="false">(U93+AH$4*(Resumo!$C$6+Resumo!$C$7+Resumo!$C$8)+Resumo!$C$10*CEILING(AH$3/100,1)+Resumo!$C$9+Resumo!$C$13+Resumo!$C$14*CEILING(AH$3,1))*(1+Resumo!$C$11)-(AH$4*(Resumo!$B$6+Resumo!$B$7)+Resumo!$B$9+Resumo!$B$10*CEILING(AH$3/100,1)+(Resumo!$B$12+Resumo!$B$14)*CEILING(AH$3,1))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3" s="12" t="n">
        <f aca="false">(V93+AI$4*(Resumo!$C$6+Resumo!$C$7+Resumo!$C$8)+Resumo!$C$10*CEILING(AI$3/100,1)+Resumo!$C$9+Resumo!$C$13+Resumo!$C$14*CEILING(AI$3,1))*(1+Resumo!$C$11)-(AI$4*(Resumo!$B$6+Resumo!$B$7)+Resumo!$B$9+Resumo!$B$10*CEILING(AI$3/100,1)+(Resumo!$B$12+Resumo!$B$14)*CEILING(AI$3,1))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3" s="12" t="n">
        <f aca="false">(W93+AJ$4*(Resumo!$C$6+Resumo!$C$7+Resumo!$C$8)+Resumo!$C$10*CEILING(AJ$3/100,1)+Resumo!$C$9+Resumo!$C$13+Resumo!$C$14*CEILING(AJ$3,1))*(1+Resumo!$C$11)-(AJ$4*(Resumo!$B$6+Resumo!$B$7)+Resumo!$B$9+Resumo!$B$10*CEILING(AJ$3/100,1)+(Resumo!$B$12+Resumo!$B$14)*CEILING(AJ$3,1))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3" s="12" t="n">
        <f aca="false">(X93+AK$4*(Resumo!$C$6+Resumo!$C$7+Resumo!$C$8)+Resumo!$C$10*CEILING(AK$3/100,1)+Resumo!$C$9+Resumo!$C$13+Resumo!$C$14*CEILING(AK$3,1))*(1+Resumo!$C$11)-(AK$4*(Resumo!$B$6+Resumo!$B$7)+Resumo!$B$9+Resumo!$B$10*CEILING(AK$3/100,1)+(Resumo!$B$12+Resumo!$B$14)*CEILING(AK$3,1))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3" s="12" t="n">
        <f aca="false">(Y93+AL$4*(Resumo!$C$6+Resumo!$C$7+Resumo!$C$8)+Resumo!$C$10*CEILING(AL$3/100,1)+Resumo!$C$9+Resumo!$C$13+Resumo!$C$14*CEILING(AL$3,1))*(1+Resumo!$C$11)-(AL$4*(Resumo!$B$6+Resumo!$B$7)+Resumo!$B$9+Resumo!$B$10*CEILING(AL$3/100,1)+(Resumo!$B$12+Resumo!$B$14)*CEILING(AL$3,1))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3" s="12" t="n">
        <f aca="false">(Z93+AM$4*(Resumo!$C$6+Resumo!$C$7+Resumo!$C$8)+Resumo!$C$10*CEILING(AM$3/100,1)+Resumo!$C$9+Resumo!$C$13+Resumo!$C$14*CEILING(AM$3,1))*(1+Resumo!$C$11)-(AM$4*(Resumo!$B$6+Resumo!$B$7)+Resumo!$B$9+Resumo!$B$10*CEILING(AM$3/100,1)+(Resumo!$B$12+Resumo!$B$14)*CEILING(AM$3,1))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3" s="12" t="n">
        <f aca="false">(AA93+AN$4*(Resumo!$C$6+Resumo!$C$7+Resumo!$C$8)+Resumo!$C$10*CEILING(AN$3/100,1)+Resumo!$C$9+Resumo!$C$13+Resumo!$C$14*CEILING(AN$3,1))*(1+Resumo!$C$11)-(AN$4*(Resumo!$B$6+Resumo!$B$7)+Resumo!$B$9+Resumo!$B$10*CEILING(AN$3/100,1)+(Resumo!$B$12+Resumo!$B$14)*CEILING(AN$3,1))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3" s="12" t="n">
        <f aca="false">(AB93+AO$4*(Resumo!$C$6+Resumo!$C$7+Resumo!$C$8)+Resumo!$C$10*CEILING(AO$3/100,1)+Resumo!$C$9+Resumo!$C$13+Resumo!$C$14*CEILING(AO$3,1))*(1+Resumo!$C$11)-(AO$4*(Resumo!$B$6+Resumo!$B$7)+Resumo!$B$9+Resumo!$B$10*CEILING(AO$3/100,1)+(Resumo!$B$12+Resumo!$B$14)*CEILING(AO$3,1))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3" s="12" t="n">
        <f aca="false">(AC93+AP$4*(Resumo!$C$6+Resumo!$C$7+Resumo!$C$8)+Resumo!$C$10*CEILING(AP$3/100,1)+Resumo!$C$9+Resumo!$C$13+Resumo!$C$14*CEILING(AP$3,1))*(1+Resumo!$C$11)-(AP$4*(Resumo!$B$6+Resumo!$B$7)+Resumo!$B$9+Resumo!$B$10*CEILING(AP$3/100,1)+(Resumo!$B$12+Resumo!$B$14)*CEILING(AP$3,1))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3" s="12" t="n">
        <f aca="false">(AD93+AQ$4*(Resumo!$C$6+Resumo!$C$7+Resumo!$C$8)+Resumo!$C$10*CEILING(AQ$3/100,1)+Resumo!$C$9+Resumo!$C$13+Resumo!$C$14*CEILING(AQ$3,1))*(1+Resumo!$C$11)-(AQ$4*(Resumo!$B$6+Resumo!$B$7)+Resumo!$B$9+Resumo!$B$10*CEILING(AQ$3/100,1)+(Resumo!$B$12+Resumo!$B$14)*CEILING(AQ$3,1))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3" s="12" t="n">
        <f aca="false">(AE93+AR$4*(Resumo!$C$6+Resumo!$C$7+Resumo!$C$8)+Resumo!$C$10*CEILING(AR$3/100,1)+Resumo!$C$9+Resumo!$C$13+Resumo!$C$14*CEILING(AR$3,1))*(1+Resumo!$C$11)-(AR$4*(Resumo!$B$6+Resumo!$B$7)+Resumo!$B$9+Resumo!$B$10*CEILING(AR$3/100,1)+(Resumo!$B$12+Resumo!$B$14)*CEILING(AR$3,1))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3" s="12" t="n">
        <f aca="false">(AF93+AS$4*(Resumo!$C$6+Resumo!$C$7+Resumo!$C$8)+Resumo!$C$10*CEILING(AS$3/100,1)+Resumo!$C$9+Resumo!$C$13+Resumo!$C$14*CEILING(AS$3,1))*(1+Resumo!$C$11)-(AS$4*(Resumo!$B$6+Resumo!$B$7)+Resumo!$B$9+Resumo!$B$10*CEILING(AS$3/100,1)+(Resumo!$B$12+Resumo!$B$14)*CEILING(AS$3,1))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3" s="12" t="n">
        <f aca="false">(AG93+AT$4*(Resumo!$C$6+Resumo!$C$7+Resumo!$C$8)+Resumo!$C$10*CEILING(AT$3/100,1)+Resumo!$C$9+Resumo!$C$13+Resumo!$C$14*CEILING(AT$3,1))*(1+Resumo!$C$11)-(AT$4*(Resumo!$B$6+Resumo!$B$7)+Resumo!$B$9+Resumo!$B$10*CEILING(AT$3/100,1)+(Resumo!$B$12+Resumo!$B$14)*CEILING(AT$3,1))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3" s="13" t="n">
        <f aca="false">1-AH93/H93</f>
        <v>0.4503685483856</v>
      </c>
      <c r="AV93" s="13" t="n">
        <f aca="false">1-AI93/I93</f>
        <v>0.360492762123189</v>
      </c>
      <c r="AW93" s="13" t="n">
        <f aca="false">1-AJ93/J93</f>
        <v>0.337931079721616</v>
      </c>
      <c r="AX93" s="13" t="n">
        <f aca="false">1-AK93/K93</f>
        <v>0.344390931869405</v>
      </c>
      <c r="AY93" s="13" t="n">
        <f aca="false">1-AL93/L93</f>
        <v>0.365701375691832</v>
      </c>
      <c r="AZ93" s="13" t="n">
        <f aca="false">1-AM93/M93</f>
        <v>0.420709229511831</v>
      </c>
      <c r="BA93" s="13" t="n">
        <f aca="false">1-AN93/N93</f>
        <v>0.382642225835592</v>
      </c>
      <c r="BB93" s="13" t="n">
        <f aca="false">1-AO93/O93</f>
        <v>0.419232633445788</v>
      </c>
      <c r="BC93" s="13" t="n">
        <f aca="false">1-AP93/P93</f>
        <v>0.493280443868681</v>
      </c>
      <c r="BD93" s="13" t="n">
        <f aca="false">1-AQ93/Q93</f>
        <v>0.455794679894486</v>
      </c>
      <c r="BE93" s="13" t="n">
        <f aca="false">1-AR93/R93</f>
        <v>0.489018797268033</v>
      </c>
      <c r="BF93" s="13" t="n">
        <f aca="false">1-AS93/S93</f>
        <v>0.820478024467603</v>
      </c>
      <c r="BG93" s="13" t="n">
        <f aca="false">1-AT93/T93</f>
        <v>0.528263860444042</v>
      </c>
    </row>
    <row r="94" customFormat="false" ht="15" hidden="false" customHeight="false" outlineLevel="0" collapsed="false">
      <c r="A94" s="4" t="s">
        <v>215</v>
      </c>
      <c r="B94" s="4" t="s">
        <v>291</v>
      </c>
      <c r="C94" s="36" t="n">
        <v>28930000</v>
      </c>
      <c r="D94" s="36" t="n">
        <v>28939999</v>
      </c>
      <c r="E94" s="4" t="s">
        <v>198</v>
      </c>
      <c r="F94" s="4" t="s">
        <v>220</v>
      </c>
      <c r="G94" s="4" t="n">
        <f aca="false">COUNTIFS(Pedidos!$E$2:$E$2224,"&gt;="&amp;C94,Pedidos!$E$2:$E$2224,"&lt;="&amp;D94)</f>
        <v>6</v>
      </c>
      <c r="H94" s="7" t="n">
        <v>100.7</v>
      </c>
      <c r="I94" s="7" t="n">
        <v>114.95</v>
      </c>
      <c r="J94" s="7" t="n">
        <v>124.38</v>
      </c>
      <c r="K94" s="7" t="n">
        <v>129.29</v>
      </c>
      <c r="L94" s="7" t="n">
        <v>142.32</v>
      </c>
      <c r="M94" s="7" t="n">
        <v>166.05</v>
      </c>
      <c r="N94" s="7" t="n">
        <v>166.05</v>
      </c>
      <c r="O94" s="7" t="n">
        <v>197.35</v>
      </c>
      <c r="P94" s="7" t="n">
        <v>236.82</v>
      </c>
      <c r="Q94" s="7" t="n">
        <v>264.84</v>
      </c>
      <c r="R94" s="7" t="n">
        <v>300.15</v>
      </c>
      <c r="S94" s="7" t="n">
        <v>353.12</v>
      </c>
      <c r="T94" s="7" t="n">
        <v>441.4</v>
      </c>
      <c r="U94" s="7" t="n">
        <v>46.95</v>
      </c>
      <c r="V94" s="7" t="n">
        <v>65.63</v>
      </c>
      <c r="W94" s="7" t="n">
        <v>74.97</v>
      </c>
      <c r="X94" s="7" t="n">
        <v>77.7</v>
      </c>
      <c r="Y94" s="7" t="n">
        <v>83.58</v>
      </c>
      <c r="Z94" s="7" t="n">
        <v>90.2</v>
      </c>
      <c r="AA94" s="7" t="n">
        <v>96.77</v>
      </c>
      <c r="AB94" s="7" t="n">
        <v>109.63</v>
      </c>
      <c r="AC94" s="7" t="n">
        <v>119.5</v>
      </c>
      <c r="AD94" s="7" t="n">
        <v>144.24</v>
      </c>
      <c r="AE94" s="7" t="n">
        <v>155.09</v>
      </c>
      <c r="AF94" s="7" t="n">
        <v>66.69</v>
      </c>
      <c r="AG94" s="7" t="n">
        <v>214.88</v>
      </c>
      <c r="AH94" s="12" t="n">
        <f aca="false">(U94+AH$4*(Resumo!$C$6+Resumo!$C$7+Resumo!$C$8)+Resumo!$C$10*CEILING(AH$3/100,1)+Resumo!$C$9+Resumo!$C$13+Resumo!$C$14*CEILING(AH$3,1))*(1+Resumo!$C$11)-(AH$4*(Resumo!$B$6+Resumo!$B$7)+Resumo!$B$9+Resumo!$B$10*CEILING(AH$3/100,1)+(Resumo!$B$12+Resumo!$B$14)*CEILING(AH$3,1))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4" s="12" t="n">
        <f aca="false">(V94+AI$4*(Resumo!$C$6+Resumo!$C$7+Resumo!$C$8)+Resumo!$C$10*CEILING(AI$3/100,1)+Resumo!$C$9+Resumo!$C$13+Resumo!$C$14*CEILING(AI$3,1))*(1+Resumo!$C$11)-(AI$4*(Resumo!$B$6+Resumo!$B$7)+Resumo!$B$9+Resumo!$B$10*CEILING(AI$3/100,1)+(Resumo!$B$12+Resumo!$B$14)*CEILING(AI$3,1))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4" s="12" t="n">
        <f aca="false">(W94+AJ$4*(Resumo!$C$6+Resumo!$C$7+Resumo!$C$8)+Resumo!$C$10*CEILING(AJ$3/100,1)+Resumo!$C$9+Resumo!$C$13+Resumo!$C$14*CEILING(AJ$3,1))*(1+Resumo!$C$11)-(AJ$4*(Resumo!$B$6+Resumo!$B$7)+Resumo!$B$9+Resumo!$B$10*CEILING(AJ$3/100,1)+(Resumo!$B$12+Resumo!$B$14)*CEILING(AJ$3,1))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4" s="12" t="n">
        <f aca="false">(X94+AK$4*(Resumo!$C$6+Resumo!$C$7+Resumo!$C$8)+Resumo!$C$10*CEILING(AK$3/100,1)+Resumo!$C$9+Resumo!$C$13+Resumo!$C$14*CEILING(AK$3,1))*(1+Resumo!$C$11)-(AK$4*(Resumo!$B$6+Resumo!$B$7)+Resumo!$B$9+Resumo!$B$10*CEILING(AK$3/100,1)+(Resumo!$B$12+Resumo!$B$14)*CEILING(AK$3,1))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4" s="12" t="n">
        <f aca="false">(Y94+AL$4*(Resumo!$C$6+Resumo!$C$7+Resumo!$C$8)+Resumo!$C$10*CEILING(AL$3/100,1)+Resumo!$C$9+Resumo!$C$13+Resumo!$C$14*CEILING(AL$3,1))*(1+Resumo!$C$11)-(AL$4*(Resumo!$B$6+Resumo!$B$7)+Resumo!$B$9+Resumo!$B$10*CEILING(AL$3/100,1)+(Resumo!$B$12+Resumo!$B$14)*CEILING(AL$3,1))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4" s="12" t="n">
        <f aca="false">(Z94+AM$4*(Resumo!$C$6+Resumo!$C$7+Resumo!$C$8)+Resumo!$C$10*CEILING(AM$3/100,1)+Resumo!$C$9+Resumo!$C$13+Resumo!$C$14*CEILING(AM$3,1))*(1+Resumo!$C$11)-(AM$4*(Resumo!$B$6+Resumo!$B$7)+Resumo!$B$9+Resumo!$B$10*CEILING(AM$3/100,1)+(Resumo!$B$12+Resumo!$B$14)*CEILING(AM$3,1))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4" s="12" t="n">
        <f aca="false">(AA94+AN$4*(Resumo!$C$6+Resumo!$C$7+Resumo!$C$8)+Resumo!$C$10*CEILING(AN$3/100,1)+Resumo!$C$9+Resumo!$C$13+Resumo!$C$14*CEILING(AN$3,1))*(1+Resumo!$C$11)-(AN$4*(Resumo!$B$6+Resumo!$B$7)+Resumo!$B$9+Resumo!$B$10*CEILING(AN$3/100,1)+(Resumo!$B$12+Resumo!$B$14)*CEILING(AN$3,1))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4" s="12" t="n">
        <f aca="false">(AB94+AO$4*(Resumo!$C$6+Resumo!$C$7+Resumo!$C$8)+Resumo!$C$10*CEILING(AO$3/100,1)+Resumo!$C$9+Resumo!$C$13+Resumo!$C$14*CEILING(AO$3,1))*(1+Resumo!$C$11)-(AO$4*(Resumo!$B$6+Resumo!$B$7)+Resumo!$B$9+Resumo!$B$10*CEILING(AO$3/100,1)+(Resumo!$B$12+Resumo!$B$14)*CEILING(AO$3,1))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4" s="12" t="n">
        <f aca="false">(AC94+AP$4*(Resumo!$C$6+Resumo!$C$7+Resumo!$C$8)+Resumo!$C$10*CEILING(AP$3/100,1)+Resumo!$C$9+Resumo!$C$13+Resumo!$C$14*CEILING(AP$3,1))*(1+Resumo!$C$11)-(AP$4*(Resumo!$B$6+Resumo!$B$7)+Resumo!$B$9+Resumo!$B$10*CEILING(AP$3/100,1)+(Resumo!$B$12+Resumo!$B$14)*CEILING(AP$3,1))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4" s="12" t="n">
        <f aca="false">(AD94+AQ$4*(Resumo!$C$6+Resumo!$C$7+Resumo!$C$8)+Resumo!$C$10*CEILING(AQ$3/100,1)+Resumo!$C$9+Resumo!$C$13+Resumo!$C$14*CEILING(AQ$3,1))*(1+Resumo!$C$11)-(AQ$4*(Resumo!$B$6+Resumo!$B$7)+Resumo!$B$9+Resumo!$B$10*CEILING(AQ$3/100,1)+(Resumo!$B$12+Resumo!$B$14)*CEILING(AQ$3,1))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4" s="12" t="n">
        <f aca="false">(AE94+AR$4*(Resumo!$C$6+Resumo!$C$7+Resumo!$C$8)+Resumo!$C$10*CEILING(AR$3/100,1)+Resumo!$C$9+Resumo!$C$13+Resumo!$C$14*CEILING(AR$3,1))*(1+Resumo!$C$11)-(AR$4*(Resumo!$B$6+Resumo!$B$7)+Resumo!$B$9+Resumo!$B$10*CEILING(AR$3/100,1)+(Resumo!$B$12+Resumo!$B$14)*CEILING(AR$3,1))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4" s="12" t="n">
        <f aca="false">(AF94+AS$4*(Resumo!$C$6+Resumo!$C$7+Resumo!$C$8)+Resumo!$C$10*CEILING(AS$3/100,1)+Resumo!$C$9+Resumo!$C$13+Resumo!$C$14*CEILING(AS$3,1))*(1+Resumo!$C$11)-(AS$4*(Resumo!$B$6+Resumo!$B$7)+Resumo!$B$9+Resumo!$B$10*CEILING(AS$3/100,1)+(Resumo!$B$12+Resumo!$B$14)*CEILING(AS$3,1))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4" s="12" t="n">
        <f aca="false">(AG94+AT$4*(Resumo!$C$6+Resumo!$C$7+Resumo!$C$8)+Resumo!$C$10*CEILING(AT$3/100,1)+Resumo!$C$9+Resumo!$C$13+Resumo!$C$14*CEILING(AT$3,1))*(1+Resumo!$C$11)-(AT$4*(Resumo!$B$6+Resumo!$B$7)+Resumo!$B$9+Resumo!$B$10*CEILING(AT$3/100,1)+(Resumo!$B$12+Resumo!$B$14)*CEILING(AT$3,1))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4" s="13" t="n">
        <f aca="false">1-AH94/H94</f>
        <v>0.4503685483856</v>
      </c>
      <c r="AV94" s="13" t="n">
        <f aca="false">1-AI94/I94</f>
        <v>0.360492762123189</v>
      </c>
      <c r="AW94" s="13" t="n">
        <f aca="false">1-AJ94/J94</f>
        <v>0.337931079721616</v>
      </c>
      <c r="AX94" s="13" t="n">
        <f aca="false">1-AK94/K94</f>
        <v>0.344390931869405</v>
      </c>
      <c r="AY94" s="13" t="n">
        <f aca="false">1-AL94/L94</f>
        <v>0.365701375691832</v>
      </c>
      <c r="AZ94" s="13" t="n">
        <f aca="false">1-AM94/M94</f>
        <v>0.420709229511831</v>
      </c>
      <c r="BA94" s="13" t="n">
        <f aca="false">1-AN94/N94</f>
        <v>0.382642225835592</v>
      </c>
      <c r="BB94" s="13" t="n">
        <f aca="false">1-AO94/O94</f>
        <v>0.419232633445788</v>
      </c>
      <c r="BC94" s="13" t="n">
        <f aca="false">1-AP94/P94</f>
        <v>0.493280443868681</v>
      </c>
      <c r="BD94" s="13" t="n">
        <f aca="false">1-AQ94/Q94</f>
        <v>0.455794679894486</v>
      </c>
      <c r="BE94" s="13" t="n">
        <f aca="false">1-AR94/R94</f>
        <v>0.489018797268033</v>
      </c>
      <c r="BF94" s="13" t="n">
        <f aca="false">1-AS94/S94</f>
        <v>0.820478024467603</v>
      </c>
      <c r="BG94" s="13" t="n">
        <f aca="false">1-AT94/T94</f>
        <v>0.528263860444042</v>
      </c>
    </row>
    <row r="95" customFormat="false" ht="15" hidden="false" customHeight="false" outlineLevel="0" collapsed="false">
      <c r="A95" s="4" t="s">
        <v>215</v>
      </c>
      <c r="B95" s="4" t="s">
        <v>292</v>
      </c>
      <c r="C95" s="36" t="n">
        <v>28940000</v>
      </c>
      <c r="D95" s="36" t="n">
        <v>28949999</v>
      </c>
      <c r="E95" s="4" t="s">
        <v>198</v>
      </c>
      <c r="F95" s="4" t="s">
        <v>220</v>
      </c>
      <c r="G95" s="4" t="n">
        <f aca="false">COUNTIFS(Pedidos!$E$2:$E$2224,"&gt;="&amp;C95,Pedidos!$E$2:$E$2224,"&lt;="&amp;D95)</f>
        <v>14</v>
      </c>
      <c r="H95" s="7" t="n">
        <v>100.7</v>
      </c>
      <c r="I95" s="7" t="n">
        <v>114.95</v>
      </c>
      <c r="J95" s="7" t="n">
        <v>124.38</v>
      </c>
      <c r="K95" s="7" t="n">
        <v>129.29</v>
      </c>
      <c r="L95" s="7" t="n">
        <v>142.32</v>
      </c>
      <c r="M95" s="7" t="n">
        <v>166.05</v>
      </c>
      <c r="N95" s="7" t="n">
        <v>166.05</v>
      </c>
      <c r="O95" s="7" t="n">
        <v>197.35</v>
      </c>
      <c r="P95" s="7" t="n">
        <v>236.82</v>
      </c>
      <c r="Q95" s="7" t="n">
        <v>264.84</v>
      </c>
      <c r="R95" s="7" t="n">
        <v>300.15</v>
      </c>
      <c r="S95" s="7" t="n">
        <v>353.12</v>
      </c>
      <c r="T95" s="7" t="n">
        <v>441.4</v>
      </c>
      <c r="U95" s="7" t="n">
        <v>46.95</v>
      </c>
      <c r="V95" s="7" t="n">
        <v>65.63</v>
      </c>
      <c r="W95" s="7" t="n">
        <v>74.97</v>
      </c>
      <c r="X95" s="7" t="n">
        <v>77.7</v>
      </c>
      <c r="Y95" s="7" t="n">
        <v>83.58</v>
      </c>
      <c r="Z95" s="7" t="n">
        <v>90.2</v>
      </c>
      <c r="AA95" s="7" t="n">
        <v>96.77</v>
      </c>
      <c r="AB95" s="7" t="n">
        <v>109.63</v>
      </c>
      <c r="AC95" s="7" t="n">
        <v>119.5</v>
      </c>
      <c r="AD95" s="7" t="n">
        <v>144.24</v>
      </c>
      <c r="AE95" s="7" t="n">
        <v>155.09</v>
      </c>
      <c r="AF95" s="7" t="n">
        <v>66.69</v>
      </c>
      <c r="AG95" s="7" t="n">
        <v>214.88</v>
      </c>
      <c r="AH95" s="12" t="n">
        <f aca="false">(U95+AH$4*(Resumo!$C$6+Resumo!$C$7+Resumo!$C$8)+Resumo!$C$10*CEILING(AH$3/100,1)+Resumo!$C$9+Resumo!$C$13+Resumo!$C$14*CEILING(AH$3,1))*(1+Resumo!$C$11)-(AH$4*(Resumo!$B$6+Resumo!$B$7)+Resumo!$B$9+Resumo!$B$10*CEILING(AH$3/100,1)+(Resumo!$B$12+Resumo!$B$14)*CEILING(AH$3,1))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5" s="12" t="n">
        <f aca="false">(V95+AI$4*(Resumo!$C$6+Resumo!$C$7+Resumo!$C$8)+Resumo!$C$10*CEILING(AI$3/100,1)+Resumo!$C$9+Resumo!$C$13+Resumo!$C$14*CEILING(AI$3,1))*(1+Resumo!$C$11)-(AI$4*(Resumo!$B$6+Resumo!$B$7)+Resumo!$B$9+Resumo!$B$10*CEILING(AI$3/100,1)+(Resumo!$B$12+Resumo!$B$14)*CEILING(AI$3,1))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5" s="12" t="n">
        <f aca="false">(W95+AJ$4*(Resumo!$C$6+Resumo!$C$7+Resumo!$C$8)+Resumo!$C$10*CEILING(AJ$3/100,1)+Resumo!$C$9+Resumo!$C$13+Resumo!$C$14*CEILING(AJ$3,1))*(1+Resumo!$C$11)-(AJ$4*(Resumo!$B$6+Resumo!$B$7)+Resumo!$B$9+Resumo!$B$10*CEILING(AJ$3/100,1)+(Resumo!$B$12+Resumo!$B$14)*CEILING(AJ$3,1))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5" s="12" t="n">
        <f aca="false">(X95+AK$4*(Resumo!$C$6+Resumo!$C$7+Resumo!$C$8)+Resumo!$C$10*CEILING(AK$3/100,1)+Resumo!$C$9+Resumo!$C$13+Resumo!$C$14*CEILING(AK$3,1))*(1+Resumo!$C$11)-(AK$4*(Resumo!$B$6+Resumo!$B$7)+Resumo!$B$9+Resumo!$B$10*CEILING(AK$3/100,1)+(Resumo!$B$12+Resumo!$B$14)*CEILING(AK$3,1))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5" s="12" t="n">
        <f aca="false">(Y95+AL$4*(Resumo!$C$6+Resumo!$C$7+Resumo!$C$8)+Resumo!$C$10*CEILING(AL$3/100,1)+Resumo!$C$9+Resumo!$C$13+Resumo!$C$14*CEILING(AL$3,1))*(1+Resumo!$C$11)-(AL$4*(Resumo!$B$6+Resumo!$B$7)+Resumo!$B$9+Resumo!$B$10*CEILING(AL$3/100,1)+(Resumo!$B$12+Resumo!$B$14)*CEILING(AL$3,1))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5" s="12" t="n">
        <f aca="false">(Z95+AM$4*(Resumo!$C$6+Resumo!$C$7+Resumo!$C$8)+Resumo!$C$10*CEILING(AM$3/100,1)+Resumo!$C$9+Resumo!$C$13+Resumo!$C$14*CEILING(AM$3,1))*(1+Resumo!$C$11)-(AM$4*(Resumo!$B$6+Resumo!$B$7)+Resumo!$B$9+Resumo!$B$10*CEILING(AM$3/100,1)+(Resumo!$B$12+Resumo!$B$14)*CEILING(AM$3,1))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5" s="12" t="n">
        <f aca="false">(AA95+AN$4*(Resumo!$C$6+Resumo!$C$7+Resumo!$C$8)+Resumo!$C$10*CEILING(AN$3/100,1)+Resumo!$C$9+Resumo!$C$13+Resumo!$C$14*CEILING(AN$3,1))*(1+Resumo!$C$11)-(AN$4*(Resumo!$B$6+Resumo!$B$7)+Resumo!$B$9+Resumo!$B$10*CEILING(AN$3/100,1)+(Resumo!$B$12+Resumo!$B$14)*CEILING(AN$3,1))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5" s="12" t="n">
        <f aca="false">(AB95+AO$4*(Resumo!$C$6+Resumo!$C$7+Resumo!$C$8)+Resumo!$C$10*CEILING(AO$3/100,1)+Resumo!$C$9+Resumo!$C$13+Resumo!$C$14*CEILING(AO$3,1))*(1+Resumo!$C$11)-(AO$4*(Resumo!$B$6+Resumo!$B$7)+Resumo!$B$9+Resumo!$B$10*CEILING(AO$3/100,1)+(Resumo!$B$12+Resumo!$B$14)*CEILING(AO$3,1))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5" s="12" t="n">
        <f aca="false">(AC95+AP$4*(Resumo!$C$6+Resumo!$C$7+Resumo!$C$8)+Resumo!$C$10*CEILING(AP$3/100,1)+Resumo!$C$9+Resumo!$C$13+Resumo!$C$14*CEILING(AP$3,1))*(1+Resumo!$C$11)-(AP$4*(Resumo!$B$6+Resumo!$B$7)+Resumo!$B$9+Resumo!$B$10*CEILING(AP$3/100,1)+(Resumo!$B$12+Resumo!$B$14)*CEILING(AP$3,1))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5" s="12" t="n">
        <f aca="false">(AD95+AQ$4*(Resumo!$C$6+Resumo!$C$7+Resumo!$C$8)+Resumo!$C$10*CEILING(AQ$3/100,1)+Resumo!$C$9+Resumo!$C$13+Resumo!$C$14*CEILING(AQ$3,1))*(1+Resumo!$C$11)-(AQ$4*(Resumo!$B$6+Resumo!$B$7)+Resumo!$B$9+Resumo!$B$10*CEILING(AQ$3/100,1)+(Resumo!$B$12+Resumo!$B$14)*CEILING(AQ$3,1))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5" s="12" t="n">
        <f aca="false">(AE95+AR$4*(Resumo!$C$6+Resumo!$C$7+Resumo!$C$8)+Resumo!$C$10*CEILING(AR$3/100,1)+Resumo!$C$9+Resumo!$C$13+Resumo!$C$14*CEILING(AR$3,1))*(1+Resumo!$C$11)-(AR$4*(Resumo!$B$6+Resumo!$B$7)+Resumo!$B$9+Resumo!$B$10*CEILING(AR$3/100,1)+(Resumo!$B$12+Resumo!$B$14)*CEILING(AR$3,1))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5" s="12" t="n">
        <f aca="false">(AF95+AS$4*(Resumo!$C$6+Resumo!$C$7+Resumo!$C$8)+Resumo!$C$10*CEILING(AS$3/100,1)+Resumo!$C$9+Resumo!$C$13+Resumo!$C$14*CEILING(AS$3,1))*(1+Resumo!$C$11)-(AS$4*(Resumo!$B$6+Resumo!$B$7)+Resumo!$B$9+Resumo!$B$10*CEILING(AS$3/100,1)+(Resumo!$B$12+Resumo!$B$14)*CEILING(AS$3,1))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5" s="12" t="n">
        <f aca="false">(AG95+AT$4*(Resumo!$C$6+Resumo!$C$7+Resumo!$C$8)+Resumo!$C$10*CEILING(AT$3/100,1)+Resumo!$C$9+Resumo!$C$13+Resumo!$C$14*CEILING(AT$3,1))*(1+Resumo!$C$11)-(AT$4*(Resumo!$B$6+Resumo!$B$7)+Resumo!$B$9+Resumo!$B$10*CEILING(AT$3/100,1)+(Resumo!$B$12+Resumo!$B$14)*CEILING(AT$3,1))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5" s="13" t="n">
        <f aca="false">1-AH95/H95</f>
        <v>0.4503685483856</v>
      </c>
      <c r="AV95" s="13" t="n">
        <f aca="false">1-AI95/I95</f>
        <v>0.360492762123189</v>
      </c>
      <c r="AW95" s="13" t="n">
        <f aca="false">1-AJ95/J95</f>
        <v>0.337931079721616</v>
      </c>
      <c r="AX95" s="13" t="n">
        <f aca="false">1-AK95/K95</f>
        <v>0.344390931869405</v>
      </c>
      <c r="AY95" s="13" t="n">
        <f aca="false">1-AL95/L95</f>
        <v>0.365701375691832</v>
      </c>
      <c r="AZ95" s="13" t="n">
        <f aca="false">1-AM95/M95</f>
        <v>0.420709229511831</v>
      </c>
      <c r="BA95" s="13" t="n">
        <f aca="false">1-AN95/N95</f>
        <v>0.382642225835592</v>
      </c>
      <c r="BB95" s="13" t="n">
        <f aca="false">1-AO95/O95</f>
        <v>0.419232633445788</v>
      </c>
      <c r="BC95" s="13" t="n">
        <f aca="false">1-AP95/P95</f>
        <v>0.493280443868681</v>
      </c>
      <c r="BD95" s="13" t="n">
        <f aca="false">1-AQ95/Q95</f>
        <v>0.455794679894486</v>
      </c>
      <c r="BE95" s="13" t="n">
        <f aca="false">1-AR95/R95</f>
        <v>0.489018797268033</v>
      </c>
      <c r="BF95" s="13" t="n">
        <f aca="false">1-AS95/S95</f>
        <v>0.820478024467603</v>
      </c>
      <c r="BG95" s="13" t="n">
        <f aca="false">1-AT95/T95</f>
        <v>0.528263860444042</v>
      </c>
    </row>
    <row r="96" customFormat="false" ht="15" hidden="false" customHeight="false" outlineLevel="0" collapsed="false">
      <c r="A96" s="4" t="s">
        <v>215</v>
      </c>
      <c r="B96" s="4" t="s">
        <v>293</v>
      </c>
      <c r="C96" s="36" t="n">
        <v>28950000</v>
      </c>
      <c r="D96" s="36" t="n">
        <v>28959999</v>
      </c>
      <c r="E96" s="4" t="s">
        <v>198</v>
      </c>
      <c r="F96" s="4" t="s">
        <v>220</v>
      </c>
      <c r="G96" s="4" t="n">
        <f aca="false">COUNTIFS(Pedidos!$E$2:$E$2224,"&gt;="&amp;C96,Pedidos!$E$2:$E$2224,"&lt;="&amp;D96)</f>
        <v>5</v>
      </c>
      <c r="H96" s="7" t="n">
        <v>100.7</v>
      </c>
      <c r="I96" s="7" t="n">
        <v>114.95</v>
      </c>
      <c r="J96" s="7" t="n">
        <v>124.38</v>
      </c>
      <c r="K96" s="7" t="n">
        <v>129.29</v>
      </c>
      <c r="L96" s="7" t="n">
        <v>142.32</v>
      </c>
      <c r="M96" s="7" t="n">
        <v>166.05</v>
      </c>
      <c r="N96" s="7" t="n">
        <v>166.05</v>
      </c>
      <c r="O96" s="7" t="n">
        <v>197.35</v>
      </c>
      <c r="P96" s="7" t="n">
        <v>236.82</v>
      </c>
      <c r="Q96" s="7" t="n">
        <v>264.84</v>
      </c>
      <c r="R96" s="7" t="n">
        <v>300.15</v>
      </c>
      <c r="S96" s="7" t="n">
        <v>353.12</v>
      </c>
      <c r="T96" s="7" t="n">
        <v>441.4</v>
      </c>
      <c r="U96" s="7" t="n">
        <v>46.95</v>
      </c>
      <c r="V96" s="7" t="n">
        <v>65.63</v>
      </c>
      <c r="W96" s="7" t="n">
        <v>74.97</v>
      </c>
      <c r="X96" s="7" t="n">
        <v>77.7</v>
      </c>
      <c r="Y96" s="7" t="n">
        <v>83.58</v>
      </c>
      <c r="Z96" s="7" t="n">
        <v>90.2</v>
      </c>
      <c r="AA96" s="7" t="n">
        <v>96.77</v>
      </c>
      <c r="AB96" s="7" t="n">
        <v>109.63</v>
      </c>
      <c r="AC96" s="7" t="n">
        <v>119.5</v>
      </c>
      <c r="AD96" s="7" t="n">
        <v>144.24</v>
      </c>
      <c r="AE96" s="7" t="n">
        <v>155.09</v>
      </c>
      <c r="AF96" s="7" t="n">
        <v>66.69</v>
      </c>
      <c r="AG96" s="7" t="n">
        <v>214.88</v>
      </c>
      <c r="AH96" s="12" t="n">
        <f aca="false">(U96+AH$4*(Resumo!$C$6+Resumo!$C$7+Resumo!$C$8)+Resumo!$C$10*CEILING(AH$3/100,1)+Resumo!$C$9+Resumo!$C$13+Resumo!$C$14*CEILING(AH$3,1))*(1+Resumo!$C$11)-(AH$4*(Resumo!$B$6+Resumo!$B$7)+Resumo!$B$9+Resumo!$B$10*CEILING(AH$3/100,1)+(Resumo!$B$12+Resumo!$B$14)*CEILING(AH$3,1))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6" s="12" t="n">
        <f aca="false">(V96+AI$4*(Resumo!$C$6+Resumo!$C$7+Resumo!$C$8)+Resumo!$C$10*CEILING(AI$3/100,1)+Resumo!$C$9+Resumo!$C$13+Resumo!$C$14*CEILING(AI$3,1))*(1+Resumo!$C$11)-(AI$4*(Resumo!$B$6+Resumo!$B$7)+Resumo!$B$9+Resumo!$B$10*CEILING(AI$3/100,1)+(Resumo!$B$12+Resumo!$B$14)*CEILING(AI$3,1))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6" s="12" t="n">
        <f aca="false">(W96+AJ$4*(Resumo!$C$6+Resumo!$C$7+Resumo!$C$8)+Resumo!$C$10*CEILING(AJ$3/100,1)+Resumo!$C$9+Resumo!$C$13+Resumo!$C$14*CEILING(AJ$3,1))*(1+Resumo!$C$11)-(AJ$4*(Resumo!$B$6+Resumo!$B$7)+Resumo!$B$9+Resumo!$B$10*CEILING(AJ$3/100,1)+(Resumo!$B$12+Resumo!$B$14)*CEILING(AJ$3,1))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6" s="12" t="n">
        <f aca="false">(X96+AK$4*(Resumo!$C$6+Resumo!$C$7+Resumo!$C$8)+Resumo!$C$10*CEILING(AK$3/100,1)+Resumo!$C$9+Resumo!$C$13+Resumo!$C$14*CEILING(AK$3,1))*(1+Resumo!$C$11)-(AK$4*(Resumo!$B$6+Resumo!$B$7)+Resumo!$B$9+Resumo!$B$10*CEILING(AK$3/100,1)+(Resumo!$B$12+Resumo!$B$14)*CEILING(AK$3,1))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6" s="12" t="n">
        <f aca="false">(Y96+AL$4*(Resumo!$C$6+Resumo!$C$7+Resumo!$C$8)+Resumo!$C$10*CEILING(AL$3/100,1)+Resumo!$C$9+Resumo!$C$13+Resumo!$C$14*CEILING(AL$3,1))*(1+Resumo!$C$11)-(AL$4*(Resumo!$B$6+Resumo!$B$7)+Resumo!$B$9+Resumo!$B$10*CEILING(AL$3/100,1)+(Resumo!$B$12+Resumo!$B$14)*CEILING(AL$3,1))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6" s="12" t="n">
        <f aca="false">(Z96+AM$4*(Resumo!$C$6+Resumo!$C$7+Resumo!$C$8)+Resumo!$C$10*CEILING(AM$3/100,1)+Resumo!$C$9+Resumo!$C$13+Resumo!$C$14*CEILING(AM$3,1))*(1+Resumo!$C$11)-(AM$4*(Resumo!$B$6+Resumo!$B$7)+Resumo!$B$9+Resumo!$B$10*CEILING(AM$3/100,1)+(Resumo!$B$12+Resumo!$B$14)*CEILING(AM$3,1))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6" s="12" t="n">
        <f aca="false">(AA96+AN$4*(Resumo!$C$6+Resumo!$C$7+Resumo!$C$8)+Resumo!$C$10*CEILING(AN$3/100,1)+Resumo!$C$9+Resumo!$C$13+Resumo!$C$14*CEILING(AN$3,1))*(1+Resumo!$C$11)-(AN$4*(Resumo!$B$6+Resumo!$B$7)+Resumo!$B$9+Resumo!$B$10*CEILING(AN$3/100,1)+(Resumo!$B$12+Resumo!$B$14)*CEILING(AN$3,1))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6" s="12" t="n">
        <f aca="false">(AB96+AO$4*(Resumo!$C$6+Resumo!$C$7+Resumo!$C$8)+Resumo!$C$10*CEILING(AO$3/100,1)+Resumo!$C$9+Resumo!$C$13+Resumo!$C$14*CEILING(AO$3,1))*(1+Resumo!$C$11)-(AO$4*(Resumo!$B$6+Resumo!$B$7)+Resumo!$B$9+Resumo!$B$10*CEILING(AO$3/100,1)+(Resumo!$B$12+Resumo!$B$14)*CEILING(AO$3,1))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6" s="12" t="n">
        <f aca="false">(AC96+AP$4*(Resumo!$C$6+Resumo!$C$7+Resumo!$C$8)+Resumo!$C$10*CEILING(AP$3/100,1)+Resumo!$C$9+Resumo!$C$13+Resumo!$C$14*CEILING(AP$3,1))*(1+Resumo!$C$11)-(AP$4*(Resumo!$B$6+Resumo!$B$7)+Resumo!$B$9+Resumo!$B$10*CEILING(AP$3/100,1)+(Resumo!$B$12+Resumo!$B$14)*CEILING(AP$3,1))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6" s="12" t="n">
        <f aca="false">(AD96+AQ$4*(Resumo!$C$6+Resumo!$C$7+Resumo!$C$8)+Resumo!$C$10*CEILING(AQ$3/100,1)+Resumo!$C$9+Resumo!$C$13+Resumo!$C$14*CEILING(AQ$3,1))*(1+Resumo!$C$11)-(AQ$4*(Resumo!$B$6+Resumo!$B$7)+Resumo!$B$9+Resumo!$B$10*CEILING(AQ$3/100,1)+(Resumo!$B$12+Resumo!$B$14)*CEILING(AQ$3,1))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6" s="12" t="n">
        <f aca="false">(AE96+AR$4*(Resumo!$C$6+Resumo!$C$7+Resumo!$C$8)+Resumo!$C$10*CEILING(AR$3/100,1)+Resumo!$C$9+Resumo!$C$13+Resumo!$C$14*CEILING(AR$3,1))*(1+Resumo!$C$11)-(AR$4*(Resumo!$B$6+Resumo!$B$7)+Resumo!$B$9+Resumo!$B$10*CEILING(AR$3/100,1)+(Resumo!$B$12+Resumo!$B$14)*CEILING(AR$3,1))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6" s="12" t="n">
        <f aca="false">(AF96+AS$4*(Resumo!$C$6+Resumo!$C$7+Resumo!$C$8)+Resumo!$C$10*CEILING(AS$3/100,1)+Resumo!$C$9+Resumo!$C$13+Resumo!$C$14*CEILING(AS$3,1))*(1+Resumo!$C$11)-(AS$4*(Resumo!$B$6+Resumo!$B$7)+Resumo!$B$9+Resumo!$B$10*CEILING(AS$3/100,1)+(Resumo!$B$12+Resumo!$B$14)*CEILING(AS$3,1))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6" s="12" t="n">
        <f aca="false">(AG96+AT$4*(Resumo!$C$6+Resumo!$C$7+Resumo!$C$8)+Resumo!$C$10*CEILING(AT$3/100,1)+Resumo!$C$9+Resumo!$C$13+Resumo!$C$14*CEILING(AT$3,1))*(1+Resumo!$C$11)-(AT$4*(Resumo!$B$6+Resumo!$B$7)+Resumo!$B$9+Resumo!$B$10*CEILING(AT$3/100,1)+(Resumo!$B$12+Resumo!$B$14)*CEILING(AT$3,1))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6" s="13" t="n">
        <f aca="false">1-AH96/H96</f>
        <v>0.4503685483856</v>
      </c>
      <c r="AV96" s="13" t="n">
        <f aca="false">1-AI96/I96</f>
        <v>0.360492762123189</v>
      </c>
      <c r="AW96" s="13" t="n">
        <f aca="false">1-AJ96/J96</f>
        <v>0.337931079721616</v>
      </c>
      <c r="AX96" s="13" t="n">
        <f aca="false">1-AK96/K96</f>
        <v>0.344390931869405</v>
      </c>
      <c r="AY96" s="13" t="n">
        <f aca="false">1-AL96/L96</f>
        <v>0.365701375691832</v>
      </c>
      <c r="AZ96" s="13" t="n">
        <f aca="false">1-AM96/M96</f>
        <v>0.420709229511831</v>
      </c>
      <c r="BA96" s="13" t="n">
        <f aca="false">1-AN96/N96</f>
        <v>0.382642225835592</v>
      </c>
      <c r="BB96" s="13" t="n">
        <f aca="false">1-AO96/O96</f>
        <v>0.419232633445788</v>
      </c>
      <c r="BC96" s="13" t="n">
        <f aca="false">1-AP96/P96</f>
        <v>0.493280443868681</v>
      </c>
      <c r="BD96" s="13" t="n">
        <f aca="false">1-AQ96/Q96</f>
        <v>0.455794679894486</v>
      </c>
      <c r="BE96" s="13" t="n">
        <f aca="false">1-AR96/R96</f>
        <v>0.489018797268033</v>
      </c>
      <c r="BF96" s="13" t="n">
        <f aca="false">1-AS96/S96</f>
        <v>0.820478024467603</v>
      </c>
      <c r="BG96" s="13" t="n">
        <f aca="false">1-AT96/T96</f>
        <v>0.528263860444042</v>
      </c>
    </row>
    <row r="97" customFormat="false" ht="15" hidden="false" customHeight="false" outlineLevel="0" collapsed="false">
      <c r="A97" s="4" t="s">
        <v>215</v>
      </c>
      <c r="B97" s="4" t="s">
        <v>294</v>
      </c>
      <c r="C97" s="36" t="n">
        <v>28960000</v>
      </c>
      <c r="D97" s="36" t="n">
        <v>28969999</v>
      </c>
      <c r="E97" s="4" t="s">
        <v>198</v>
      </c>
      <c r="F97" s="4" t="s">
        <v>220</v>
      </c>
      <c r="G97" s="4" t="n">
        <f aca="false">COUNTIFS(Pedidos!$E$2:$E$2224,"&gt;="&amp;C97,Pedidos!$E$2:$E$2224,"&lt;="&amp;D97)</f>
        <v>7</v>
      </c>
      <c r="H97" s="7" t="n">
        <v>100.7</v>
      </c>
      <c r="I97" s="7" t="n">
        <v>114.95</v>
      </c>
      <c r="J97" s="7" t="n">
        <v>124.38</v>
      </c>
      <c r="K97" s="7" t="n">
        <v>129.29</v>
      </c>
      <c r="L97" s="7" t="n">
        <v>142.32</v>
      </c>
      <c r="M97" s="7" t="n">
        <v>166.05</v>
      </c>
      <c r="N97" s="7" t="n">
        <v>166.05</v>
      </c>
      <c r="O97" s="7" t="n">
        <v>197.35</v>
      </c>
      <c r="P97" s="7" t="n">
        <v>236.82</v>
      </c>
      <c r="Q97" s="7" t="n">
        <v>264.84</v>
      </c>
      <c r="R97" s="7" t="n">
        <v>300.15</v>
      </c>
      <c r="S97" s="7" t="n">
        <v>353.12</v>
      </c>
      <c r="T97" s="7" t="n">
        <v>441.4</v>
      </c>
      <c r="U97" s="7" t="n">
        <v>46.95</v>
      </c>
      <c r="V97" s="7" t="n">
        <v>65.63</v>
      </c>
      <c r="W97" s="7" t="n">
        <v>74.97</v>
      </c>
      <c r="X97" s="7" t="n">
        <v>77.7</v>
      </c>
      <c r="Y97" s="7" t="n">
        <v>83.58</v>
      </c>
      <c r="Z97" s="7" t="n">
        <v>90.2</v>
      </c>
      <c r="AA97" s="7" t="n">
        <v>96.77</v>
      </c>
      <c r="AB97" s="7" t="n">
        <v>109.63</v>
      </c>
      <c r="AC97" s="7" t="n">
        <v>119.5</v>
      </c>
      <c r="AD97" s="7" t="n">
        <v>144.24</v>
      </c>
      <c r="AE97" s="7" t="n">
        <v>155.09</v>
      </c>
      <c r="AF97" s="7" t="n">
        <v>66.69</v>
      </c>
      <c r="AG97" s="7" t="n">
        <v>214.88</v>
      </c>
      <c r="AH97" s="12" t="n">
        <f aca="false">(U97+AH$4*(Resumo!$C$6+Resumo!$C$7+Resumo!$C$8)+Resumo!$C$10*CEILING(AH$3/100,1)+Resumo!$C$9+Resumo!$C$13+Resumo!$C$14*CEILING(AH$3,1))*(1+Resumo!$C$11)-(AH$4*(Resumo!$B$6+Resumo!$B$7)+Resumo!$B$9+Resumo!$B$10*CEILING(AH$3/100,1)+(Resumo!$B$12+Resumo!$B$14)*CEILING(AH$3,1))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7" s="12" t="n">
        <f aca="false">(V97+AI$4*(Resumo!$C$6+Resumo!$C$7+Resumo!$C$8)+Resumo!$C$10*CEILING(AI$3/100,1)+Resumo!$C$9+Resumo!$C$13+Resumo!$C$14*CEILING(AI$3,1))*(1+Resumo!$C$11)-(AI$4*(Resumo!$B$6+Resumo!$B$7)+Resumo!$B$9+Resumo!$B$10*CEILING(AI$3/100,1)+(Resumo!$B$12+Resumo!$B$14)*CEILING(AI$3,1))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7" s="12" t="n">
        <f aca="false">(W97+AJ$4*(Resumo!$C$6+Resumo!$C$7+Resumo!$C$8)+Resumo!$C$10*CEILING(AJ$3/100,1)+Resumo!$C$9+Resumo!$C$13+Resumo!$C$14*CEILING(AJ$3,1))*(1+Resumo!$C$11)-(AJ$4*(Resumo!$B$6+Resumo!$B$7)+Resumo!$B$9+Resumo!$B$10*CEILING(AJ$3/100,1)+(Resumo!$B$12+Resumo!$B$14)*CEILING(AJ$3,1))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7" s="12" t="n">
        <f aca="false">(X97+AK$4*(Resumo!$C$6+Resumo!$C$7+Resumo!$C$8)+Resumo!$C$10*CEILING(AK$3/100,1)+Resumo!$C$9+Resumo!$C$13+Resumo!$C$14*CEILING(AK$3,1))*(1+Resumo!$C$11)-(AK$4*(Resumo!$B$6+Resumo!$B$7)+Resumo!$B$9+Resumo!$B$10*CEILING(AK$3/100,1)+(Resumo!$B$12+Resumo!$B$14)*CEILING(AK$3,1))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7" s="12" t="n">
        <f aca="false">(Y97+AL$4*(Resumo!$C$6+Resumo!$C$7+Resumo!$C$8)+Resumo!$C$10*CEILING(AL$3/100,1)+Resumo!$C$9+Resumo!$C$13+Resumo!$C$14*CEILING(AL$3,1))*(1+Resumo!$C$11)-(AL$4*(Resumo!$B$6+Resumo!$B$7)+Resumo!$B$9+Resumo!$B$10*CEILING(AL$3/100,1)+(Resumo!$B$12+Resumo!$B$14)*CEILING(AL$3,1))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7" s="12" t="n">
        <f aca="false">(Z97+AM$4*(Resumo!$C$6+Resumo!$C$7+Resumo!$C$8)+Resumo!$C$10*CEILING(AM$3/100,1)+Resumo!$C$9+Resumo!$C$13+Resumo!$C$14*CEILING(AM$3,1))*(1+Resumo!$C$11)-(AM$4*(Resumo!$B$6+Resumo!$B$7)+Resumo!$B$9+Resumo!$B$10*CEILING(AM$3/100,1)+(Resumo!$B$12+Resumo!$B$14)*CEILING(AM$3,1))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7" s="12" t="n">
        <f aca="false">(AA97+AN$4*(Resumo!$C$6+Resumo!$C$7+Resumo!$C$8)+Resumo!$C$10*CEILING(AN$3/100,1)+Resumo!$C$9+Resumo!$C$13+Resumo!$C$14*CEILING(AN$3,1))*(1+Resumo!$C$11)-(AN$4*(Resumo!$B$6+Resumo!$B$7)+Resumo!$B$9+Resumo!$B$10*CEILING(AN$3/100,1)+(Resumo!$B$12+Resumo!$B$14)*CEILING(AN$3,1))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7" s="12" t="n">
        <f aca="false">(AB97+AO$4*(Resumo!$C$6+Resumo!$C$7+Resumo!$C$8)+Resumo!$C$10*CEILING(AO$3/100,1)+Resumo!$C$9+Resumo!$C$13+Resumo!$C$14*CEILING(AO$3,1))*(1+Resumo!$C$11)-(AO$4*(Resumo!$B$6+Resumo!$B$7)+Resumo!$B$9+Resumo!$B$10*CEILING(AO$3/100,1)+(Resumo!$B$12+Resumo!$B$14)*CEILING(AO$3,1))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7" s="12" t="n">
        <f aca="false">(AC97+AP$4*(Resumo!$C$6+Resumo!$C$7+Resumo!$C$8)+Resumo!$C$10*CEILING(AP$3/100,1)+Resumo!$C$9+Resumo!$C$13+Resumo!$C$14*CEILING(AP$3,1))*(1+Resumo!$C$11)-(AP$4*(Resumo!$B$6+Resumo!$B$7)+Resumo!$B$9+Resumo!$B$10*CEILING(AP$3/100,1)+(Resumo!$B$12+Resumo!$B$14)*CEILING(AP$3,1))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7" s="12" t="n">
        <f aca="false">(AD97+AQ$4*(Resumo!$C$6+Resumo!$C$7+Resumo!$C$8)+Resumo!$C$10*CEILING(AQ$3/100,1)+Resumo!$C$9+Resumo!$C$13+Resumo!$C$14*CEILING(AQ$3,1))*(1+Resumo!$C$11)-(AQ$4*(Resumo!$B$6+Resumo!$B$7)+Resumo!$B$9+Resumo!$B$10*CEILING(AQ$3/100,1)+(Resumo!$B$12+Resumo!$B$14)*CEILING(AQ$3,1))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7" s="12" t="n">
        <f aca="false">(AE97+AR$4*(Resumo!$C$6+Resumo!$C$7+Resumo!$C$8)+Resumo!$C$10*CEILING(AR$3/100,1)+Resumo!$C$9+Resumo!$C$13+Resumo!$C$14*CEILING(AR$3,1))*(1+Resumo!$C$11)-(AR$4*(Resumo!$B$6+Resumo!$B$7)+Resumo!$B$9+Resumo!$B$10*CEILING(AR$3/100,1)+(Resumo!$B$12+Resumo!$B$14)*CEILING(AR$3,1))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7" s="12" t="n">
        <f aca="false">(AF97+AS$4*(Resumo!$C$6+Resumo!$C$7+Resumo!$C$8)+Resumo!$C$10*CEILING(AS$3/100,1)+Resumo!$C$9+Resumo!$C$13+Resumo!$C$14*CEILING(AS$3,1))*(1+Resumo!$C$11)-(AS$4*(Resumo!$B$6+Resumo!$B$7)+Resumo!$B$9+Resumo!$B$10*CEILING(AS$3/100,1)+(Resumo!$B$12+Resumo!$B$14)*CEILING(AS$3,1))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7" s="12" t="n">
        <f aca="false">(AG97+AT$4*(Resumo!$C$6+Resumo!$C$7+Resumo!$C$8)+Resumo!$C$10*CEILING(AT$3/100,1)+Resumo!$C$9+Resumo!$C$13+Resumo!$C$14*CEILING(AT$3,1))*(1+Resumo!$C$11)-(AT$4*(Resumo!$B$6+Resumo!$B$7)+Resumo!$B$9+Resumo!$B$10*CEILING(AT$3/100,1)+(Resumo!$B$12+Resumo!$B$14)*CEILING(AT$3,1))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7" s="13" t="n">
        <f aca="false">1-AH97/H97</f>
        <v>0.4503685483856</v>
      </c>
      <c r="AV97" s="13" t="n">
        <f aca="false">1-AI97/I97</f>
        <v>0.360492762123189</v>
      </c>
      <c r="AW97" s="13" t="n">
        <f aca="false">1-AJ97/J97</f>
        <v>0.337931079721616</v>
      </c>
      <c r="AX97" s="13" t="n">
        <f aca="false">1-AK97/K97</f>
        <v>0.344390931869405</v>
      </c>
      <c r="AY97" s="13" t="n">
        <f aca="false">1-AL97/L97</f>
        <v>0.365701375691832</v>
      </c>
      <c r="AZ97" s="13" t="n">
        <f aca="false">1-AM97/M97</f>
        <v>0.420709229511831</v>
      </c>
      <c r="BA97" s="13" t="n">
        <f aca="false">1-AN97/N97</f>
        <v>0.382642225835592</v>
      </c>
      <c r="BB97" s="13" t="n">
        <f aca="false">1-AO97/O97</f>
        <v>0.419232633445788</v>
      </c>
      <c r="BC97" s="13" t="n">
        <f aca="false">1-AP97/P97</f>
        <v>0.493280443868681</v>
      </c>
      <c r="BD97" s="13" t="n">
        <f aca="false">1-AQ97/Q97</f>
        <v>0.455794679894486</v>
      </c>
      <c r="BE97" s="13" t="n">
        <f aca="false">1-AR97/R97</f>
        <v>0.489018797268033</v>
      </c>
      <c r="BF97" s="13" t="n">
        <f aca="false">1-AS97/S97</f>
        <v>0.820478024467603</v>
      </c>
      <c r="BG97" s="13" t="n">
        <f aca="false">1-AT97/T97</f>
        <v>0.528263860444042</v>
      </c>
    </row>
    <row r="98" customFormat="false" ht="15" hidden="false" customHeight="false" outlineLevel="0" collapsed="false">
      <c r="A98" s="4" t="s">
        <v>215</v>
      </c>
      <c r="B98" s="4" t="s">
        <v>173</v>
      </c>
      <c r="C98" s="36" t="n">
        <v>28970000</v>
      </c>
      <c r="D98" s="36" t="n">
        <v>28989999</v>
      </c>
      <c r="E98" s="4" t="s">
        <v>198</v>
      </c>
      <c r="F98" s="4" t="s">
        <v>220</v>
      </c>
      <c r="G98" s="4" t="n">
        <f aca="false">COUNTIFS(Pedidos!$E$2:$E$2224,"&gt;="&amp;C98,Pedidos!$E$2:$E$2224,"&lt;="&amp;D98)</f>
        <v>28</v>
      </c>
      <c r="H98" s="7" t="n">
        <v>100.7</v>
      </c>
      <c r="I98" s="7" t="n">
        <v>114.95</v>
      </c>
      <c r="J98" s="7" t="n">
        <v>124.38</v>
      </c>
      <c r="K98" s="7" t="n">
        <v>129.29</v>
      </c>
      <c r="L98" s="7" t="n">
        <v>142.32</v>
      </c>
      <c r="M98" s="7" t="n">
        <v>166.05</v>
      </c>
      <c r="N98" s="7" t="n">
        <v>166.05</v>
      </c>
      <c r="O98" s="7" t="n">
        <v>197.35</v>
      </c>
      <c r="P98" s="7" t="n">
        <v>236.82</v>
      </c>
      <c r="Q98" s="7" t="n">
        <v>264.84</v>
      </c>
      <c r="R98" s="7" t="n">
        <v>300.15</v>
      </c>
      <c r="S98" s="7" t="n">
        <v>353.12</v>
      </c>
      <c r="T98" s="7" t="n">
        <v>441.4</v>
      </c>
      <c r="U98" s="7" t="n">
        <v>46.95</v>
      </c>
      <c r="V98" s="7" t="n">
        <v>65.63</v>
      </c>
      <c r="W98" s="7" t="n">
        <v>74.97</v>
      </c>
      <c r="X98" s="7" t="n">
        <v>77.7</v>
      </c>
      <c r="Y98" s="7" t="n">
        <v>83.58</v>
      </c>
      <c r="Z98" s="7" t="n">
        <v>90.2</v>
      </c>
      <c r="AA98" s="7" t="n">
        <v>96.77</v>
      </c>
      <c r="AB98" s="7" t="n">
        <v>109.63</v>
      </c>
      <c r="AC98" s="7" t="n">
        <v>119.5</v>
      </c>
      <c r="AD98" s="7" t="n">
        <v>144.24</v>
      </c>
      <c r="AE98" s="7" t="n">
        <v>155.09</v>
      </c>
      <c r="AF98" s="7" t="n">
        <v>66.69</v>
      </c>
      <c r="AG98" s="7" t="n">
        <v>214.88</v>
      </c>
      <c r="AH98" s="12" t="n">
        <f aca="false">(U98+AH$4*(Resumo!$C$6+Resumo!$C$7+Resumo!$C$8)+Resumo!$C$10*CEILING(AH$3/100,1)+Resumo!$C$9+Resumo!$C$13+Resumo!$C$14*CEILING(AH$3,1))*(1+Resumo!$C$11)-(AH$4*(Resumo!$B$6+Resumo!$B$7)+Resumo!$B$9+Resumo!$B$10*CEILING(AH$3/100,1)+(Resumo!$B$12+Resumo!$B$14)*CEILING(AH$3,1))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8" s="12" t="n">
        <f aca="false">(V98+AI$4*(Resumo!$C$6+Resumo!$C$7+Resumo!$C$8)+Resumo!$C$10*CEILING(AI$3/100,1)+Resumo!$C$9+Resumo!$C$13+Resumo!$C$14*CEILING(AI$3,1))*(1+Resumo!$C$11)-(AI$4*(Resumo!$B$6+Resumo!$B$7)+Resumo!$B$9+Resumo!$B$10*CEILING(AI$3/100,1)+(Resumo!$B$12+Resumo!$B$14)*CEILING(AI$3,1))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8" s="12" t="n">
        <f aca="false">(W98+AJ$4*(Resumo!$C$6+Resumo!$C$7+Resumo!$C$8)+Resumo!$C$10*CEILING(AJ$3/100,1)+Resumo!$C$9+Resumo!$C$13+Resumo!$C$14*CEILING(AJ$3,1))*(1+Resumo!$C$11)-(AJ$4*(Resumo!$B$6+Resumo!$B$7)+Resumo!$B$9+Resumo!$B$10*CEILING(AJ$3/100,1)+(Resumo!$B$12+Resumo!$B$14)*CEILING(AJ$3,1))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8" s="12" t="n">
        <f aca="false">(X98+AK$4*(Resumo!$C$6+Resumo!$C$7+Resumo!$C$8)+Resumo!$C$10*CEILING(AK$3/100,1)+Resumo!$C$9+Resumo!$C$13+Resumo!$C$14*CEILING(AK$3,1))*(1+Resumo!$C$11)-(AK$4*(Resumo!$B$6+Resumo!$B$7)+Resumo!$B$9+Resumo!$B$10*CEILING(AK$3/100,1)+(Resumo!$B$12+Resumo!$B$14)*CEILING(AK$3,1))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8" s="12" t="n">
        <f aca="false">(Y98+AL$4*(Resumo!$C$6+Resumo!$C$7+Resumo!$C$8)+Resumo!$C$10*CEILING(AL$3/100,1)+Resumo!$C$9+Resumo!$C$13+Resumo!$C$14*CEILING(AL$3,1))*(1+Resumo!$C$11)-(AL$4*(Resumo!$B$6+Resumo!$B$7)+Resumo!$B$9+Resumo!$B$10*CEILING(AL$3/100,1)+(Resumo!$B$12+Resumo!$B$14)*CEILING(AL$3,1))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8" s="12" t="n">
        <f aca="false">(Z98+AM$4*(Resumo!$C$6+Resumo!$C$7+Resumo!$C$8)+Resumo!$C$10*CEILING(AM$3/100,1)+Resumo!$C$9+Resumo!$C$13+Resumo!$C$14*CEILING(AM$3,1))*(1+Resumo!$C$11)-(AM$4*(Resumo!$B$6+Resumo!$B$7)+Resumo!$B$9+Resumo!$B$10*CEILING(AM$3/100,1)+(Resumo!$B$12+Resumo!$B$14)*CEILING(AM$3,1))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8" s="12" t="n">
        <f aca="false">(AA98+AN$4*(Resumo!$C$6+Resumo!$C$7+Resumo!$C$8)+Resumo!$C$10*CEILING(AN$3/100,1)+Resumo!$C$9+Resumo!$C$13+Resumo!$C$14*CEILING(AN$3,1))*(1+Resumo!$C$11)-(AN$4*(Resumo!$B$6+Resumo!$B$7)+Resumo!$B$9+Resumo!$B$10*CEILING(AN$3/100,1)+(Resumo!$B$12+Resumo!$B$14)*CEILING(AN$3,1))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8" s="12" t="n">
        <f aca="false">(AB98+AO$4*(Resumo!$C$6+Resumo!$C$7+Resumo!$C$8)+Resumo!$C$10*CEILING(AO$3/100,1)+Resumo!$C$9+Resumo!$C$13+Resumo!$C$14*CEILING(AO$3,1))*(1+Resumo!$C$11)-(AO$4*(Resumo!$B$6+Resumo!$B$7)+Resumo!$B$9+Resumo!$B$10*CEILING(AO$3/100,1)+(Resumo!$B$12+Resumo!$B$14)*CEILING(AO$3,1))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8" s="12" t="n">
        <f aca="false">(AC98+AP$4*(Resumo!$C$6+Resumo!$C$7+Resumo!$C$8)+Resumo!$C$10*CEILING(AP$3/100,1)+Resumo!$C$9+Resumo!$C$13+Resumo!$C$14*CEILING(AP$3,1))*(1+Resumo!$C$11)-(AP$4*(Resumo!$B$6+Resumo!$B$7)+Resumo!$B$9+Resumo!$B$10*CEILING(AP$3/100,1)+(Resumo!$B$12+Resumo!$B$14)*CEILING(AP$3,1))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8" s="12" t="n">
        <f aca="false">(AD98+AQ$4*(Resumo!$C$6+Resumo!$C$7+Resumo!$C$8)+Resumo!$C$10*CEILING(AQ$3/100,1)+Resumo!$C$9+Resumo!$C$13+Resumo!$C$14*CEILING(AQ$3,1))*(1+Resumo!$C$11)-(AQ$4*(Resumo!$B$6+Resumo!$B$7)+Resumo!$B$9+Resumo!$B$10*CEILING(AQ$3/100,1)+(Resumo!$B$12+Resumo!$B$14)*CEILING(AQ$3,1))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8" s="12" t="n">
        <f aca="false">(AE98+AR$4*(Resumo!$C$6+Resumo!$C$7+Resumo!$C$8)+Resumo!$C$10*CEILING(AR$3/100,1)+Resumo!$C$9+Resumo!$C$13+Resumo!$C$14*CEILING(AR$3,1))*(1+Resumo!$C$11)-(AR$4*(Resumo!$B$6+Resumo!$B$7)+Resumo!$B$9+Resumo!$B$10*CEILING(AR$3/100,1)+(Resumo!$B$12+Resumo!$B$14)*CEILING(AR$3,1))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8" s="12" t="n">
        <f aca="false">(AF98+AS$4*(Resumo!$C$6+Resumo!$C$7+Resumo!$C$8)+Resumo!$C$10*CEILING(AS$3/100,1)+Resumo!$C$9+Resumo!$C$13+Resumo!$C$14*CEILING(AS$3,1))*(1+Resumo!$C$11)-(AS$4*(Resumo!$B$6+Resumo!$B$7)+Resumo!$B$9+Resumo!$B$10*CEILING(AS$3/100,1)+(Resumo!$B$12+Resumo!$B$14)*CEILING(AS$3,1))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8" s="12" t="n">
        <f aca="false">(AG98+AT$4*(Resumo!$C$6+Resumo!$C$7+Resumo!$C$8)+Resumo!$C$10*CEILING(AT$3/100,1)+Resumo!$C$9+Resumo!$C$13+Resumo!$C$14*CEILING(AT$3,1))*(1+Resumo!$C$11)-(AT$4*(Resumo!$B$6+Resumo!$B$7)+Resumo!$B$9+Resumo!$B$10*CEILING(AT$3/100,1)+(Resumo!$B$12+Resumo!$B$14)*CEILING(AT$3,1))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8" s="13" t="n">
        <f aca="false">1-AH98/H98</f>
        <v>0.4503685483856</v>
      </c>
      <c r="AV98" s="13" t="n">
        <f aca="false">1-AI98/I98</f>
        <v>0.360492762123189</v>
      </c>
      <c r="AW98" s="13" t="n">
        <f aca="false">1-AJ98/J98</f>
        <v>0.337931079721616</v>
      </c>
      <c r="AX98" s="13" t="n">
        <f aca="false">1-AK98/K98</f>
        <v>0.344390931869405</v>
      </c>
      <c r="AY98" s="13" t="n">
        <f aca="false">1-AL98/L98</f>
        <v>0.365701375691832</v>
      </c>
      <c r="AZ98" s="13" t="n">
        <f aca="false">1-AM98/M98</f>
        <v>0.420709229511831</v>
      </c>
      <c r="BA98" s="13" t="n">
        <f aca="false">1-AN98/N98</f>
        <v>0.382642225835592</v>
      </c>
      <c r="BB98" s="13" t="n">
        <f aca="false">1-AO98/O98</f>
        <v>0.419232633445788</v>
      </c>
      <c r="BC98" s="13" t="n">
        <f aca="false">1-AP98/P98</f>
        <v>0.493280443868681</v>
      </c>
      <c r="BD98" s="13" t="n">
        <f aca="false">1-AQ98/Q98</f>
        <v>0.455794679894486</v>
      </c>
      <c r="BE98" s="13" t="n">
        <f aca="false">1-AR98/R98</f>
        <v>0.489018797268033</v>
      </c>
      <c r="BF98" s="13" t="n">
        <f aca="false">1-AS98/S98</f>
        <v>0.820478024467603</v>
      </c>
      <c r="BG98" s="13" t="n">
        <f aca="false">1-AT98/T98</f>
        <v>0.528263860444042</v>
      </c>
    </row>
    <row r="99" customFormat="false" ht="15" hidden="false" customHeight="false" outlineLevel="0" collapsed="false">
      <c r="A99" s="4" t="s">
        <v>215</v>
      </c>
      <c r="B99" s="4" t="s">
        <v>295</v>
      </c>
      <c r="C99" s="36" t="n">
        <v>28990000</v>
      </c>
      <c r="D99" s="36" t="n">
        <v>28999999</v>
      </c>
      <c r="E99" s="4" t="s">
        <v>198</v>
      </c>
      <c r="F99" s="4" t="s">
        <v>220</v>
      </c>
      <c r="G99" s="4" t="n">
        <f aca="false">COUNTIFS(Pedidos!$E$2:$E$2224,"&gt;="&amp;C99,Pedidos!$E$2:$E$2224,"&lt;="&amp;D99)</f>
        <v>15</v>
      </c>
      <c r="H99" s="7" t="n">
        <v>100.7</v>
      </c>
      <c r="I99" s="7" t="n">
        <v>114.95</v>
      </c>
      <c r="J99" s="7" t="n">
        <v>124.38</v>
      </c>
      <c r="K99" s="7" t="n">
        <v>129.29</v>
      </c>
      <c r="L99" s="7" t="n">
        <v>142.32</v>
      </c>
      <c r="M99" s="7" t="n">
        <v>166.05</v>
      </c>
      <c r="N99" s="7" t="n">
        <v>166.05</v>
      </c>
      <c r="O99" s="7" t="n">
        <v>197.35</v>
      </c>
      <c r="P99" s="7" t="n">
        <v>236.82</v>
      </c>
      <c r="Q99" s="7" t="n">
        <v>264.84</v>
      </c>
      <c r="R99" s="7" t="n">
        <v>300.15</v>
      </c>
      <c r="S99" s="7" t="n">
        <v>353.12</v>
      </c>
      <c r="T99" s="7" t="n">
        <v>441.4</v>
      </c>
      <c r="U99" s="7" t="n">
        <v>46.95</v>
      </c>
      <c r="V99" s="7" t="n">
        <v>65.63</v>
      </c>
      <c r="W99" s="7" t="n">
        <v>74.97</v>
      </c>
      <c r="X99" s="7" t="n">
        <v>77.7</v>
      </c>
      <c r="Y99" s="7" t="n">
        <v>83.58</v>
      </c>
      <c r="Z99" s="7" t="n">
        <v>90.2</v>
      </c>
      <c r="AA99" s="7" t="n">
        <v>96.77</v>
      </c>
      <c r="AB99" s="7" t="n">
        <v>109.63</v>
      </c>
      <c r="AC99" s="7" t="n">
        <v>119.5</v>
      </c>
      <c r="AD99" s="7" t="n">
        <v>144.24</v>
      </c>
      <c r="AE99" s="7" t="n">
        <v>155.09</v>
      </c>
      <c r="AF99" s="7" t="n">
        <v>66.69</v>
      </c>
      <c r="AG99" s="7" t="n">
        <v>214.88</v>
      </c>
      <c r="AH99" s="12" t="n">
        <f aca="false">(U99+AH$4*(Resumo!$C$6+Resumo!$C$7+Resumo!$C$8)+Resumo!$C$10*CEILING(AH$3/100,1)+Resumo!$C$9+Resumo!$C$13+Resumo!$C$14*CEILING(AH$3,1))*(1+Resumo!$C$11)-(AH$4*(Resumo!$B$6+Resumo!$B$7)+Resumo!$B$9+Resumo!$B$10*CEILING(AH$3/100,1)+(Resumo!$B$12+Resumo!$B$14)*CEILING(AH$3,1))</f>
        <v>55.3478871775701</v>
      </c>
      <c r="AI99" s="12" t="n">
        <f aca="false">(V99+AI$4*(Resumo!$C$6+Resumo!$C$7+Resumo!$C$8)+Resumo!$C$10*CEILING(AI$3/100,1)+Resumo!$C$9+Resumo!$C$13+Resumo!$C$14*CEILING(AI$3,1))*(1+Resumo!$C$11)-(AI$4*(Resumo!$B$6+Resumo!$B$7)+Resumo!$B$9+Resumo!$B$10*CEILING(AI$3/100,1)+(Resumo!$B$12+Resumo!$B$14)*CEILING(AI$3,1))</f>
        <v>73.5113569939394</v>
      </c>
      <c r="AJ99" s="12" t="n">
        <f aca="false">(W99+AJ$4*(Resumo!$C$6+Resumo!$C$7+Resumo!$C$8)+Resumo!$C$10*CEILING(AJ$3/100,1)+Resumo!$C$9+Resumo!$C$13+Resumo!$C$14*CEILING(AJ$3,1))*(1+Resumo!$C$11)-(AJ$4*(Resumo!$B$6+Resumo!$B$7)+Resumo!$B$9+Resumo!$B$10*CEILING(AJ$3/100,1)+(Resumo!$B$12+Resumo!$B$14)*CEILING(AJ$3,1))</f>
        <v>82.3481323042254</v>
      </c>
      <c r="AK99" s="12" t="n">
        <f aca="false">(X99+AK$4*(Resumo!$C$6+Resumo!$C$7+Resumo!$C$8)+Resumo!$C$10*CEILING(AK$3/100,1)+Resumo!$C$9+Resumo!$C$13+Resumo!$C$14*CEILING(AK$3,1))*(1+Resumo!$C$11)-(AK$4*(Resumo!$B$6+Resumo!$B$7)+Resumo!$B$9+Resumo!$B$10*CEILING(AK$3/100,1)+(Resumo!$B$12+Resumo!$B$14)*CEILING(AK$3,1))</f>
        <v>84.7636964186046</v>
      </c>
      <c r="AL99" s="12" t="n">
        <f aca="false">(Y99+AL$4*(Resumo!$C$6+Resumo!$C$7+Resumo!$C$8)+Resumo!$C$10*CEILING(AL$3/100,1)+Resumo!$C$9+Resumo!$C$13+Resumo!$C$14*CEILING(AL$3,1))*(1+Resumo!$C$11)-(AL$4*(Resumo!$B$6+Resumo!$B$7)+Resumo!$B$9+Resumo!$B$10*CEILING(AL$3/100,1)+(Resumo!$B$12+Resumo!$B$14)*CEILING(AL$3,1))</f>
        <v>90.2733802115385</v>
      </c>
      <c r="AM99" s="12" t="n">
        <f aca="false">(Z99+AM$4*(Resumo!$C$6+Resumo!$C$7+Resumo!$C$8)+Resumo!$C$10*CEILING(AM$3/100,1)+Resumo!$C$9+Resumo!$C$13+Resumo!$C$14*CEILING(AM$3,1))*(1+Resumo!$C$11)-(AM$4*(Resumo!$B$6+Resumo!$B$7)+Resumo!$B$9+Resumo!$B$10*CEILING(AM$3/100,1)+(Resumo!$B$12+Resumo!$B$14)*CEILING(AM$3,1))</f>
        <v>96.1912324395604</v>
      </c>
      <c r="AN99" s="12" t="n">
        <f aca="false">(AA99+AN$4*(Resumo!$C$6+Resumo!$C$7+Resumo!$C$8)+Resumo!$C$10*CEILING(AN$3/100,1)+Resumo!$C$9+Resumo!$C$13+Resumo!$C$14*CEILING(AN$3,1))*(1+Resumo!$C$11)-(AN$4*(Resumo!$B$6+Resumo!$B$7)+Resumo!$B$9+Resumo!$B$10*CEILING(AN$3/100,1)+(Resumo!$B$12+Resumo!$B$14)*CEILING(AN$3,1))</f>
        <v>102.5122584</v>
      </c>
      <c r="AO99" s="12" t="n">
        <f aca="false">(AB99+AO$4*(Resumo!$C$6+Resumo!$C$7+Resumo!$C$8)+Resumo!$C$10*CEILING(AO$3/100,1)+Resumo!$C$9+Resumo!$C$13+Resumo!$C$14*CEILING(AO$3,1))*(1+Resumo!$C$11)-(AO$4*(Resumo!$B$6+Resumo!$B$7)+Resumo!$B$9+Resumo!$B$10*CEILING(AO$3/100,1)+(Resumo!$B$12+Resumo!$B$14)*CEILING(AO$3,1))</f>
        <v>114.614439789474</v>
      </c>
      <c r="AP99" s="12" t="n">
        <f aca="false">(AC99+AP$4*(Resumo!$C$6+Resumo!$C$7+Resumo!$C$8)+Resumo!$C$10*CEILING(AP$3/100,1)+Resumo!$C$9+Resumo!$C$13+Resumo!$C$14*CEILING(AP$3,1))*(1+Resumo!$C$11)-(AP$4*(Resumo!$B$6+Resumo!$B$7)+Resumo!$B$9+Resumo!$B$10*CEILING(AP$3/100,1)+(Resumo!$B$12+Resumo!$B$14)*CEILING(AP$3,1))</f>
        <v>120.001325283019</v>
      </c>
      <c r="AQ99" s="12" t="n">
        <f aca="false">(AD99+AQ$4*(Resumo!$C$6+Resumo!$C$7+Resumo!$C$8)+Resumo!$C$10*CEILING(AQ$3/100,1)+Resumo!$C$9+Resumo!$C$13+Resumo!$C$14*CEILING(AQ$3,1))*(1+Resumo!$C$11)-(AQ$4*(Resumo!$B$6+Resumo!$B$7)+Resumo!$B$9+Resumo!$B$10*CEILING(AQ$3/100,1)+(Resumo!$B$12+Resumo!$B$14)*CEILING(AQ$3,1))</f>
        <v>144.127336976744</v>
      </c>
      <c r="AR99" s="12" t="n">
        <f aca="false">(AE99+AR$4*(Resumo!$C$6+Resumo!$C$7+Resumo!$C$8)+Resumo!$C$10*CEILING(AR$3/100,1)+Resumo!$C$9+Resumo!$C$13+Resumo!$C$14*CEILING(AR$3,1))*(1+Resumo!$C$11)-(AR$4*(Resumo!$B$6+Resumo!$B$7)+Resumo!$B$9+Resumo!$B$10*CEILING(AR$3/100,1)+(Resumo!$B$12+Resumo!$B$14)*CEILING(AR$3,1))</f>
        <v>153.371008</v>
      </c>
      <c r="AS99" s="12" t="n">
        <f aca="false">(AF99+AS$4*(Resumo!$C$6+Resumo!$C$7+Resumo!$C$8)+Resumo!$C$10*CEILING(AS$3/100,1)+Resumo!$C$9+Resumo!$C$13+Resumo!$C$14*CEILING(AS$3,1))*(1+Resumo!$C$11)-(AS$4*(Resumo!$B$6+Resumo!$B$7)+Resumo!$B$9+Resumo!$B$10*CEILING(AS$3/100,1)+(Resumo!$B$12+Resumo!$B$14)*CEILING(AS$3,1))</f>
        <v>63.3928</v>
      </c>
      <c r="AT99" s="12" t="n">
        <f aca="false">(AG99+AT$4*(Resumo!$C$6+Resumo!$C$7+Resumo!$C$8)+Resumo!$C$10*CEILING(AT$3/100,1)+Resumo!$C$9+Resumo!$C$13+Resumo!$C$14*CEILING(AT$3,1))*(1+Resumo!$C$11)-(AT$4*(Resumo!$B$6+Resumo!$B$7)+Resumo!$B$9+Resumo!$B$10*CEILING(AT$3/100,1)+(Resumo!$B$12+Resumo!$B$14)*CEILING(AT$3,1))</f>
        <v>208.224332</v>
      </c>
      <c r="AU99" s="13" t="n">
        <f aca="false">1-AH99/H99</f>
        <v>0.4503685483856</v>
      </c>
      <c r="AV99" s="13" t="n">
        <f aca="false">1-AI99/I99</f>
        <v>0.360492762123189</v>
      </c>
      <c r="AW99" s="13" t="n">
        <f aca="false">1-AJ99/J99</f>
        <v>0.337931079721616</v>
      </c>
      <c r="AX99" s="13" t="n">
        <f aca="false">1-AK99/K99</f>
        <v>0.344390931869405</v>
      </c>
      <c r="AY99" s="13" t="n">
        <f aca="false">1-AL99/L99</f>
        <v>0.365701375691832</v>
      </c>
      <c r="AZ99" s="13" t="n">
        <f aca="false">1-AM99/M99</f>
        <v>0.420709229511831</v>
      </c>
      <c r="BA99" s="13" t="n">
        <f aca="false">1-AN99/N99</f>
        <v>0.382642225835592</v>
      </c>
      <c r="BB99" s="13" t="n">
        <f aca="false">1-AO99/O99</f>
        <v>0.419232633445788</v>
      </c>
      <c r="BC99" s="13" t="n">
        <f aca="false">1-AP99/P99</f>
        <v>0.493280443868681</v>
      </c>
      <c r="BD99" s="13" t="n">
        <f aca="false">1-AQ99/Q99</f>
        <v>0.455794679894486</v>
      </c>
      <c r="BE99" s="13" t="n">
        <f aca="false">1-AR99/R99</f>
        <v>0.489018797268033</v>
      </c>
      <c r="BF99" s="13" t="n">
        <f aca="false">1-AS99/S99</f>
        <v>0.820478024467603</v>
      </c>
      <c r="BG99" s="13" t="n">
        <f aca="false">1-AT99/T99</f>
        <v>0.528263860444042</v>
      </c>
    </row>
    <row r="101" customFormat="false" ht="15" hidden="false" customHeight="false" outlineLevel="0" collapsed="false">
      <c r="B101" s="20" t="s">
        <v>296</v>
      </c>
    </row>
  </sheetData>
  <mergeCells count="4">
    <mergeCell ref="H5:T5"/>
    <mergeCell ref="U5:AG5"/>
    <mergeCell ref="AH5:AT5"/>
    <mergeCell ref="AU5:BG5"/>
  </mergeCells>
  <conditionalFormatting sqref="AU7:BG99">
    <cfRule type="colorScale" priority="2">
      <colorScale>
        <cfvo type="num" val="0"/>
        <cfvo type="num" val="0.3"/>
        <cfvo type="num" val="0.6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10" min="6" style="0" width="12"/>
  </cols>
  <sheetData>
    <row r="1" customFormat="false" ht="17.35" hidden="false" customHeight="false" outlineLevel="0" collapsed="false">
      <c r="A1" s="1" t="s">
        <v>297</v>
      </c>
    </row>
    <row r="3" customFormat="false" ht="15" hidden="false" customHeight="false" outlineLevel="0" collapsed="false">
      <c r="A3" s="2" t="s">
        <v>298</v>
      </c>
    </row>
    <row r="4" customFormat="false" ht="45" hidden="false" customHeight="true" outlineLevel="0" collapsed="false">
      <c r="A4" s="3" t="s">
        <v>299</v>
      </c>
      <c r="B4" s="3" t="s">
        <v>31</v>
      </c>
      <c r="C4" s="3" t="s">
        <v>148</v>
      </c>
      <c r="D4" s="3" t="s">
        <v>149</v>
      </c>
      <c r="E4" s="3" t="s">
        <v>150</v>
      </c>
      <c r="F4" s="3" t="s">
        <v>300</v>
      </c>
      <c r="G4" s="3" t="s">
        <v>301</v>
      </c>
      <c r="H4" s="3" t="s">
        <v>154</v>
      </c>
      <c r="I4" s="3" t="s">
        <v>153</v>
      </c>
      <c r="J4" s="3" t="s">
        <v>302</v>
      </c>
    </row>
    <row r="5" customFormat="false" ht="15" hidden="false" customHeight="false" outlineLevel="0" collapsed="false">
      <c r="A5" s="4" t="s">
        <v>183</v>
      </c>
      <c r="B5" s="10" t="n">
        <f aca="false">COUNTIFS(Pedidos!$AL$2:$AL$2224,"SIM",Pedidos!$H$2:$H$2224,$A5)</f>
        <v>96</v>
      </c>
      <c r="C5" s="12" t="n">
        <f aca="false">IFERROR(AVERAGEIFS(Pedidos!$W$2:$W$2224,Pedidos!$AL$2:$AL$2224,"SIM",Pedidos!$H$2:$H$2224,$A5),"")</f>
        <v>69.1415323153409</v>
      </c>
      <c r="D5" s="12" t="n">
        <f aca="false">IFERROR(AVERAGEIFS(Pedidos!$AF$2:$AF$2224,Pedidos!$AL$2:$AL$2224,"SIM",Pedidos!$H$2:$H$2224,$A5),"")</f>
        <v>76.0752219460227</v>
      </c>
      <c r="E5" s="13" t="n">
        <f aca="false">IFERROR(D5/C5-1,"")</f>
        <v>0.100282556641334</v>
      </c>
      <c r="F5" s="12" t="n">
        <f aca="false">IFERROR(AVERAGEIFS(Pedidos!$M$2:$M$2224,Pedidos!$AL$2:$AL$2224,"SIM",Pedidos!$H$2:$H$2224,$A5),"")</f>
        <v>36.8725</v>
      </c>
      <c r="G5" s="12" t="n">
        <f aca="false">IFERROR(AVERAGEIFS(Pedidos!$X$2:$X$2224,Pedidos!$AL$2:$AL$2224,"SIM",Pedidos!$H$2:$H$2224,$A5),"")</f>
        <v>51.369375</v>
      </c>
      <c r="H5" s="13" t="n">
        <f aca="false">IFERROR(G5/F5-1,"")</f>
        <v>0.39316224828802</v>
      </c>
      <c r="I5" s="14" t="n">
        <f aca="false">IFERROR(COUNTIFS(Pedidos!$AL$2:$AL$2224,"SIM",Pedidos!$H$2:$H$2224,$A5,Pedidos!$AI$2:$AI$2224,"SIM")/B5,"")</f>
        <v>0.145833333333333</v>
      </c>
      <c r="J5" s="14" t="n">
        <f aca="false">IFERROR(MAX(0,1-C5/D5),"")</f>
        <v>0.091142548826232</v>
      </c>
    </row>
    <row r="6" customFormat="false" ht="15" hidden="false" customHeight="false" outlineLevel="0" collapsed="false">
      <c r="A6" s="4" t="s">
        <v>184</v>
      </c>
      <c r="B6" s="10" t="n">
        <f aca="false">COUNTIFS(Pedidos!$AL$2:$AL$2224,"SIM",Pedidos!$H$2:$H$2224,$A6)</f>
        <v>431</v>
      </c>
      <c r="C6" s="12" t="n">
        <f aca="false">IFERROR(AVERAGEIFS(Pedidos!$W$2:$W$2224,Pedidos!$AL$2:$AL$2224,"SIM",Pedidos!$H$2:$H$2224,$A6),"")</f>
        <v>90.0414434771145</v>
      </c>
      <c r="D6" s="12" t="n">
        <f aca="false">IFERROR(AVERAGEIFS(Pedidos!$AF$2:$AF$2224,Pedidos!$AL$2:$AL$2224,"SIM",Pedidos!$H$2:$H$2224,$A6),"")</f>
        <v>127.444546588273</v>
      </c>
      <c r="E6" s="13" t="n">
        <f aca="false">IFERROR(D6/C6-1,"")</f>
        <v>0.415398750472771</v>
      </c>
      <c r="F6" s="12" t="n">
        <f aca="false">IFERROR(AVERAGEIFS(Pedidos!$M$2:$M$2224,Pedidos!$AL$2:$AL$2224,"SIM",Pedidos!$H$2:$H$2224,$A6),"")</f>
        <v>49.9467517401392</v>
      </c>
      <c r="G6" s="12" t="n">
        <f aca="false">IFERROR(AVERAGEIFS(Pedidos!$X$2:$X$2224,Pedidos!$AL$2:$AL$2224,"SIM",Pedidos!$H$2:$H$2224,$A6),"")</f>
        <v>90.7630394431554</v>
      </c>
      <c r="H6" s="13" t="n">
        <f aca="false">IFERROR(G6/F6-1,"")</f>
        <v>0.81719603940159</v>
      </c>
      <c r="I6" s="14" t="n">
        <f aca="false">IFERROR(COUNTIFS(Pedidos!$AL$2:$AL$2224,"SIM",Pedidos!$H$2:$H$2224,$A6,Pedidos!$AI$2:$AI$2224,"SIM")/B6,"")</f>
        <v>0</v>
      </c>
      <c r="J6" s="14" t="n">
        <f aca="false">IFERROR(MAX(0,1-C6/D6),"")</f>
        <v>0.293485316653006</v>
      </c>
    </row>
    <row r="7" customFormat="false" ht="15" hidden="false" customHeight="false" outlineLevel="0" collapsed="false">
      <c r="A7" s="4" t="s">
        <v>185</v>
      </c>
      <c r="B7" s="10" t="n">
        <f aca="false">COUNTIFS(Pedidos!$AL$2:$AL$2224,"SIM",Pedidos!$H$2:$H$2224,$A7)</f>
        <v>299</v>
      </c>
      <c r="C7" s="12" t="n">
        <f aca="false">IFERROR(AVERAGEIFS(Pedidos!$W$2:$W$2224,Pedidos!$AL$2:$AL$2224,"SIM",Pedidos!$H$2:$H$2224,$A7),"")</f>
        <v>104.753808338401</v>
      </c>
      <c r="D7" s="12" t="n">
        <f aca="false">IFERROR(AVERAGEIFS(Pedidos!$AF$2:$AF$2224,Pedidos!$AL$2:$AL$2224,"SIM",Pedidos!$H$2:$H$2224,$A7),"")</f>
        <v>146.773661257221</v>
      </c>
      <c r="E7" s="13" t="n">
        <f aca="false">IFERROR(D7/C7-1,"")</f>
        <v>0.401129596960119</v>
      </c>
      <c r="F7" s="12" t="n">
        <f aca="false">IFERROR(AVERAGEIFS(Pedidos!$M$2:$M$2224,Pedidos!$AL$2:$AL$2224,"SIM",Pedidos!$H$2:$H$2224,$A7),"")</f>
        <v>58.4979598662207</v>
      </c>
      <c r="G7" s="12" t="n">
        <f aca="false">IFERROR(AVERAGEIFS(Pedidos!$X$2:$X$2224,Pedidos!$AL$2:$AL$2224,"SIM",Pedidos!$H$2:$H$2224,$A7),"")</f>
        <v>102.850702341137</v>
      </c>
      <c r="H7" s="13" t="n">
        <f aca="false">IFERROR(G7/F7-1,"")</f>
        <v>0.758192979316662</v>
      </c>
      <c r="I7" s="14" t="n">
        <f aca="false">IFERROR(COUNTIFS(Pedidos!$AL$2:$AL$2224,"SIM",Pedidos!$H$2:$H$2224,$A7,Pedidos!$AI$2:$AI$2224,"SIM")/B7,"")</f>
        <v>0</v>
      </c>
      <c r="J7" s="14" t="n">
        <f aca="false">IFERROR(MAX(0,1-C7/D7),"")</f>
        <v>0.286290146058157</v>
      </c>
    </row>
    <row r="8" customFormat="false" ht="15" hidden="false" customHeight="false" outlineLevel="0" collapsed="false">
      <c r="A8" s="4" t="s">
        <v>186</v>
      </c>
      <c r="B8" s="10" t="n">
        <f aca="false">COUNTIFS(Pedidos!$AL$2:$AL$2224,"SIM",Pedidos!$H$2:$H$2224,$A8)</f>
        <v>305</v>
      </c>
      <c r="C8" s="12" t="n">
        <f aca="false">IFERROR(AVERAGEIFS(Pedidos!$W$2:$W$2224,Pedidos!$AL$2:$AL$2224,"SIM",Pedidos!$H$2:$H$2224,$A8),"")</f>
        <v>113.443192965723</v>
      </c>
      <c r="D8" s="12" t="n">
        <f aca="false">IFERROR(AVERAGEIFS(Pedidos!$AF$2:$AF$2224,Pedidos!$AL$2:$AL$2224,"SIM",Pedidos!$H$2:$H$2224,$A8),"")</f>
        <v>153.471457824143</v>
      </c>
      <c r="E8" s="13" t="n">
        <f aca="false">IFERROR(D8/C8-1,"")</f>
        <v>0.35284853865595</v>
      </c>
      <c r="F8" s="12" t="n">
        <f aca="false">IFERROR(AVERAGEIFS(Pedidos!$M$2:$M$2224,Pedidos!$AL$2:$AL$2224,"SIM",Pedidos!$H$2:$H$2224,$A8),"")</f>
        <v>61.9053770491803</v>
      </c>
      <c r="G8" s="12" t="n">
        <f aca="false">IFERROR(AVERAGEIFS(Pedidos!$X$2:$X$2224,Pedidos!$AL$2:$AL$2224,"SIM",Pedidos!$H$2:$H$2224,$A8),"")</f>
        <v>104.183049180328</v>
      </c>
      <c r="H8" s="13" t="n">
        <f aca="false">IFERROR(G8/F8-1,"")</f>
        <v>0.6829402250076</v>
      </c>
      <c r="I8" s="14" t="n">
        <f aca="false">IFERROR(COUNTIFS(Pedidos!$AL$2:$AL$2224,"SIM",Pedidos!$H$2:$H$2224,$A8,Pedidos!$AI$2:$AI$2224,"SIM")/B8,"")</f>
        <v>0</v>
      </c>
      <c r="J8" s="14" t="n">
        <f aca="false">IFERROR(MAX(0,1-C8/D8),"")</f>
        <v>0.260818952435358</v>
      </c>
    </row>
    <row r="9" customFormat="false" ht="15" hidden="false" customHeight="false" outlineLevel="0" collapsed="false">
      <c r="A9" s="4" t="s">
        <v>187</v>
      </c>
      <c r="B9" s="10" t="n">
        <f aca="false">COUNTIFS(Pedidos!$AL$2:$AL$2224,"SIM",Pedidos!$H$2:$H$2224,$A9)</f>
        <v>361</v>
      </c>
      <c r="C9" s="12" t="n">
        <f aca="false">IFERROR(AVERAGEIFS(Pedidos!$W$2:$W$2224,Pedidos!$AL$2:$AL$2224,"SIM",Pedidos!$H$2:$H$2224,$A9),"")</f>
        <v>123.836988630068</v>
      </c>
      <c r="D9" s="12" t="n">
        <f aca="false">IFERROR(AVERAGEIFS(Pedidos!$AF$2:$AF$2224,Pedidos!$AL$2:$AL$2224,"SIM",Pedidos!$H$2:$H$2224,$A9),"")</f>
        <v>176.449797972803</v>
      </c>
      <c r="E9" s="13" t="n">
        <f aca="false">IFERROR(D9/C9-1,"")</f>
        <v>0.424855367727831</v>
      </c>
      <c r="F9" s="12" t="n">
        <f aca="false">IFERROR(AVERAGEIFS(Pedidos!$M$2:$M$2224,Pedidos!$AL$2:$AL$2224,"SIM",Pedidos!$H$2:$H$2224,$A9),"")</f>
        <v>67.006648199446</v>
      </c>
      <c r="G9" s="12" t="n">
        <f aca="false">IFERROR(AVERAGEIFS(Pedidos!$X$2:$X$2224,Pedidos!$AL$2:$AL$2224,"SIM",Pedidos!$H$2:$H$2224,$A9),"")</f>
        <v>119.98296398892</v>
      </c>
      <c r="H9" s="13" t="n">
        <f aca="false">IFERROR(G9/F9-1,"")</f>
        <v>0.790612830413321</v>
      </c>
      <c r="I9" s="14" t="n">
        <f aca="false">IFERROR(COUNTIFS(Pedidos!$AL$2:$AL$2224,"SIM",Pedidos!$H$2:$H$2224,$A9,Pedidos!$AI$2:$AI$2224,"SIM")/B9,"")</f>
        <v>0</v>
      </c>
      <c r="J9" s="14" t="n">
        <f aca="false">IFERROR(MAX(0,1-C9/D9),"")</f>
        <v>0.298174381309546</v>
      </c>
    </row>
    <row r="10" customFormat="false" ht="15" hidden="false" customHeight="false" outlineLevel="0" collapsed="false">
      <c r="A10" s="4" t="s">
        <v>188</v>
      </c>
      <c r="B10" s="10" t="n">
        <f aca="false">COUNTIFS(Pedidos!$AL$2:$AL$2224,"SIM",Pedidos!$H$2:$H$2224,$A10)</f>
        <v>228</v>
      </c>
      <c r="C10" s="12" t="n">
        <f aca="false">IFERROR(AVERAGEIFS(Pedidos!$W$2:$W$2224,Pedidos!$AL$2:$AL$2224,"SIM",Pedidos!$H$2:$H$2224,$A10),"")</f>
        <v>136.885410307018</v>
      </c>
      <c r="D10" s="12" t="n">
        <f aca="false">IFERROR(AVERAGEIFS(Pedidos!$AF$2:$AF$2224,Pedidos!$AL$2:$AL$2224,"SIM",Pedidos!$H$2:$H$2224,$A10),"")</f>
        <v>206.197406598884</v>
      </c>
      <c r="E10" s="13" t="n">
        <f aca="false">IFERROR(D10/C10-1,"")</f>
        <v>0.506350502485309</v>
      </c>
      <c r="F10" s="12" t="n">
        <f aca="false">IFERROR(AVERAGEIFS(Pedidos!$M$2:$M$2224,Pedidos!$AL$2:$AL$2224,"SIM",Pedidos!$H$2:$H$2224,$A10),"")</f>
        <v>72.8108333333333</v>
      </c>
      <c r="G10" s="12" t="n">
        <f aca="false">IFERROR(AVERAGEIFS(Pedidos!$X$2:$X$2224,Pedidos!$AL$2:$AL$2224,"SIM",Pedidos!$H$2:$H$2224,$A10),"")</f>
        <v>139.837543859649</v>
      </c>
      <c r="H10" s="13" t="n">
        <f aca="false">IFERROR(G10/F10-1,"")</f>
        <v>0.920559585130177</v>
      </c>
      <c r="I10" s="14" t="n">
        <f aca="false">IFERROR(COUNTIFS(Pedidos!$AL$2:$AL$2224,"SIM",Pedidos!$H$2:$H$2224,$A10,Pedidos!$AI$2:$AI$2224,"SIM")/B10,"")</f>
        <v>0</v>
      </c>
      <c r="J10" s="14" t="n">
        <f aca="false">IFERROR(MAX(0,1-C10/D10),"")</f>
        <v>0.336143879960134</v>
      </c>
    </row>
    <row r="11" customFormat="false" ht="15" hidden="false" customHeight="false" outlineLevel="0" collapsed="false">
      <c r="A11" s="4" t="s">
        <v>189</v>
      </c>
      <c r="B11" s="10" t="n">
        <f aca="false">COUNTIFS(Pedidos!$AL$2:$AL$2224,"SIM",Pedidos!$H$2:$H$2224,$A11)</f>
        <v>24</v>
      </c>
      <c r="C11" s="12" t="n">
        <f aca="false">IFERROR(AVERAGEIFS(Pedidos!$W$2:$W$2224,Pedidos!$AL$2:$AL$2224,"SIM",Pedidos!$H$2:$H$2224,$A11),"")</f>
        <v>148.670766287879</v>
      </c>
      <c r="D11" s="12" t="n">
        <f aca="false">IFERROR(AVERAGEIFS(Pedidos!$AF$2:$AF$2224,Pedidos!$AL$2:$AL$2224,"SIM",Pedidos!$H$2:$H$2224,$A11),"")</f>
        <v>211.160869318182</v>
      </c>
      <c r="E11" s="13" t="n">
        <f aca="false">IFERROR(D11/C11-1,"")</f>
        <v>0.420325425035479</v>
      </c>
      <c r="F11" s="12" t="n">
        <f aca="false">IFERROR(AVERAGEIFS(Pedidos!$M$2:$M$2224,Pedidos!$AL$2:$AL$2224,"SIM",Pedidos!$H$2:$H$2224,$A11),"")</f>
        <v>78.6283333333333</v>
      </c>
      <c r="G11" s="12" t="n">
        <f aca="false">IFERROR(AVERAGEIFS(Pedidos!$X$2:$X$2224,Pedidos!$AL$2:$AL$2224,"SIM",Pedidos!$H$2:$H$2224,$A11),"")</f>
        <v>139.39875</v>
      </c>
      <c r="H11" s="13" t="n">
        <f aca="false">IFERROR(G11/F11-1,"")</f>
        <v>0.77288191279649</v>
      </c>
      <c r="I11" s="14" t="n">
        <f aca="false">IFERROR(COUNTIFS(Pedidos!$AL$2:$AL$2224,"SIM",Pedidos!$H$2:$H$2224,$A11,Pedidos!$AI$2:$AI$2224,"SIM")/B11,"")</f>
        <v>0</v>
      </c>
      <c r="J11" s="14" t="n">
        <f aca="false">IFERROR(MAX(0,1-C11/D11),"")</f>
        <v>0.295936000036738</v>
      </c>
    </row>
    <row r="12" customFormat="false" ht="15" hidden="false" customHeight="false" outlineLevel="0" collapsed="false">
      <c r="A12" s="4" t="s">
        <v>190</v>
      </c>
      <c r="B12" s="10" t="n">
        <f aca="false">COUNTIFS(Pedidos!$AL$2:$AL$2224,"SIM",Pedidos!$H$2:$H$2224,$A12)</f>
        <v>43</v>
      </c>
      <c r="C12" s="12" t="n">
        <f aca="false">IFERROR(AVERAGEIFS(Pedidos!$W$2:$W$2224,Pedidos!$AL$2:$AL$2224,"SIM",Pedidos!$H$2:$H$2224,$A12),"")</f>
        <v>172.649376109937</v>
      </c>
      <c r="D12" s="12" t="n">
        <f aca="false">IFERROR(AVERAGEIFS(Pedidos!$AF$2:$AF$2224,Pedidos!$AL$2:$AL$2224,"SIM",Pedidos!$H$2:$H$2224,$A12),"")</f>
        <v>262.075588794926</v>
      </c>
      <c r="E12" s="13" t="n">
        <f aca="false">IFERROR(D12/C12-1,"")</f>
        <v>0.517964296772473</v>
      </c>
      <c r="F12" s="12" t="n">
        <f aca="false">IFERROR(AVERAGEIFS(Pedidos!$M$2:$M$2224,Pedidos!$AL$2:$AL$2224,"SIM",Pedidos!$H$2:$H$2224,$A12),"")</f>
        <v>93.7841860465116</v>
      </c>
      <c r="G12" s="12" t="n">
        <f aca="false">IFERROR(AVERAGEIFS(Pedidos!$X$2:$X$2224,Pedidos!$AL$2:$AL$2224,"SIM",Pedidos!$H$2:$H$2224,$A12),"")</f>
        <v>177.466511627907</v>
      </c>
      <c r="H12" s="13" t="n">
        <f aca="false">IFERROR(G12/F12-1,"")</f>
        <v>0.892286099704418</v>
      </c>
      <c r="I12" s="14" t="n">
        <f aca="false">IFERROR(COUNTIFS(Pedidos!$AL$2:$AL$2224,"SIM",Pedidos!$H$2:$H$2224,$A12,Pedidos!$AI$2:$AI$2224,"SIM")/B12,"")</f>
        <v>0</v>
      </c>
      <c r="J12" s="14" t="n">
        <f aca="false">IFERROR(MAX(0,1-C12/D12),"")</f>
        <v>0.34122297729517</v>
      </c>
    </row>
    <row r="13" customFormat="false" ht="15" hidden="false" customHeight="false" outlineLevel="0" collapsed="false">
      <c r="A13" s="4" t="s">
        <v>191</v>
      </c>
      <c r="B13" s="10" t="n">
        <f aca="false">COUNTIFS(Pedidos!$AL$2:$AL$2224,"SIM",Pedidos!$H$2:$H$2224,$A13)</f>
        <v>47</v>
      </c>
      <c r="C13" s="12" t="n">
        <f aca="false">IFERROR(AVERAGEIFS(Pedidos!$W$2:$W$2224,Pedidos!$AL$2:$AL$2224,"SIM",Pedidos!$H$2:$H$2224,$A13),"")</f>
        <v>194.292983413927</v>
      </c>
      <c r="D13" s="12" t="n">
        <f aca="false">IFERROR(AVERAGEIFS(Pedidos!$AF$2:$AF$2224,Pedidos!$AL$2:$AL$2224,"SIM",Pedidos!$H$2:$H$2224,$A13),"")</f>
        <v>316.242328578337</v>
      </c>
      <c r="E13" s="13" t="n">
        <f aca="false">IFERROR(D13/C13-1,"")</f>
        <v>0.627656969498514</v>
      </c>
      <c r="F13" s="12" t="n">
        <f aca="false">IFERROR(AVERAGEIFS(Pedidos!$M$2:$M$2224,Pedidos!$AL$2:$AL$2224,"SIM",Pedidos!$H$2:$H$2224,$A13),"")</f>
        <v>100.37914893617</v>
      </c>
      <c r="G13" s="12" t="n">
        <f aca="false">IFERROR(AVERAGEIFS(Pedidos!$X$2:$X$2224,Pedidos!$AL$2:$AL$2224,"SIM",Pedidos!$H$2:$H$2224,$A13),"")</f>
        <v>208.168936170213</v>
      </c>
      <c r="H13" s="13" t="n">
        <f aca="false">IFERROR(G13/F13-1,"")</f>
        <v>1.07382647070045</v>
      </c>
      <c r="I13" s="14" t="n">
        <f aca="false">IFERROR(COUNTIFS(Pedidos!$AL$2:$AL$2224,"SIM",Pedidos!$H$2:$H$2224,$A13,Pedidos!$AI$2:$AI$2224,"SIM")/B13,"")</f>
        <v>0</v>
      </c>
      <c r="J13" s="14" t="n">
        <f aca="false">IFERROR(MAX(0,1-C13/D13),"")</f>
        <v>0.385619931754967</v>
      </c>
    </row>
    <row r="14" customFormat="false" ht="15" hidden="false" customHeight="false" outlineLevel="0" collapsed="false">
      <c r="A14" s="4" t="s">
        <v>192</v>
      </c>
      <c r="B14" s="10" t="n">
        <f aca="false">COUNTIFS(Pedidos!$AL$2:$AL$2224,"SIM",Pedidos!$H$2:$H$2224,$A14)</f>
        <v>73</v>
      </c>
      <c r="C14" s="12" t="n">
        <f aca="false">IFERROR(AVERAGEIFS(Pedidos!$W$2:$W$2224,Pedidos!$AL$2:$AL$2224,"SIM",Pedidos!$H$2:$H$2224,$A14),"")</f>
        <v>237.12482749066</v>
      </c>
      <c r="D14" s="12" t="n">
        <f aca="false">IFERROR(AVERAGEIFS(Pedidos!$AF$2:$AF$2224,Pedidos!$AL$2:$AL$2224,"SIM",Pedidos!$H$2:$H$2224,$A14),"")</f>
        <v>369.59085258406</v>
      </c>
      <c r="E14" s="13" t="n">
        <f aca="false">IFERROR(D14/C14-1,"")</f>
        <v>0.558634144282582</v>
      </c>
      <c r="F14" s="12" t="n">
        <f aca="false">IFERROR(AVERAGEIFS(Pedidos!$M$2:$M$2224,Pedidos!$AL$2:$AL$2224,"SIM",Pedidos!$H$2:$H$2224,$A14),"")</f>
        <v>128.000136986301</v>
      </c>
      <c r="G14" s="12" t="n">
        <f aca="false">IFERROR(AVERAGEIFS(Pedidos!$X$2:$X$2224,Pedidos!$AL$2:$AL$2224,"SIM",Pedidos!$H$2:$H$2224,$A14),"")</f>
        <v>244.445753424658</v>
      </c>
      <c r="H14" s="13" t="n">
        <f aca="false">IFERROR(G14/F14-1,"")</f>
        <v>0.909730404826193</v>
      </c>
      <c r="I14" s="14" t="n">
        <f aca="false">IFERROR(COUNTIFS(Pedidos!$AL$2:$AL$2224,"SIM",Pedidos!$H$2:$H$2224,$A14,Pedidos!$AI$2:$AI$2224,"SIM")/B14,"")</f>
        <v>0</v>
      </c>
      <c r="J14" s="14" t="n">
        <f aca="false">IFERROR(MAX(0,1-C14/D14),"")</f>
        <v>0.358412618080886</v>
      </c>
    </row>
    <row r="15" customFormat="false" ht="15" hidden="false" customHeight="false" outlineLevel="0" collapsed="false">
      <c r="A15" s="4" t="s">
        <v>193</v>
      </c>
      <c r="B15" s="10" t="n">
        <f aca="false">COUNTIFS(Pedidos!$AL$2:$AL$2224,"SIM",Pedidos!$H$2:$H$2224,$A15)</f>
        <v>3</v>
      </c>
      <c r="C15" s="12" t="n">
        <f aca="false">IFERROR(AVERAGEIFS(Pedidos!$W$2:$W$2224,Pedidos!$AL$2:$AL$2224,"SIM",Pedidos!$H$2:$H$2224,$A15),"")</f>
        <v>260.90363030303</v>
      </c>
      <c r="D15" s="12" t="n">
        <f aca="false">IFERROR(AVERAGEIFS(Pedidos!$AF$2:$AF$2224,Pedidos!$AL$2:$AL$2224,"SIM",Pedidos!$H$2:$H$2224,$A15),"")</f>
        <v>423.50096969697</v>
      </c>
      <c r="E15" s="13" t="n">
        <f aca="false">IFERROR(D15/C15-1,"")</f>
        <v>0.623208420691917</v>
      </c>
      <c r="F15" s="12" t="n">
        <f aca="false">IFERROR(AVERAGEIFS(Pedidos!$M$2:$M$2224,Pedidos!$AL$2:$AL$2224,"SIM",Pedidos!$H$2:$H$2224,$A15),"")</f>
        <v>133.476666666667</v>
      </c>
      <c r="G15" s="12" t="n">
        <f aca="false">IFERROR(AVERAGEIFS(Pedidos!$X$2:$X$2224,Pedidos!$AL$2:$AL$2224,"SIM",Pedidos!$H$2:$H$2224,$A15),"")</f>
        <v>274.843333333333</v>
      </c>
      <c r="H15" s="13" t="n">
        <f aca="false">IFERROR(G15/F15-1,"")</f>
        <v>1.05911145518568</v>
      </c>
      <c r="I15" s="14" t="n">
        <f aca="false">IFERROR(COUNTIFS(Pedidos!$AL$2:$AL$2224,"SIM",Pedidos!$H$2:$H$2224,$A15,Pedidos!$AI$2:$AI$2224,"SIM")/B15,"")</f>
        <v>0</v>
      </c>
      <c r="J15" s="14" t="n">
        <f aca="false">IFERROR(MAX(0,1-C15/D15),"")</f>
        <v>0.383936167868243</v>
      </c>
    </row>
    <row r="16" customFormat="false" ht="15" hidden="false" customHeight="false" outlineLevel="0" collapsed="false">
      <c r="A16" s="4" t="s">
        <v>194</v>
      </c>
      <c r="B16" s="10" t="n">
        <f aca="false">COUNTIFS(Pedidos!$AL$2:$AL$2224,"SIM",Pedidos!$H$2:$H$2224,$A16)</f>
        <v>1</v>
      </c>
      <c r="C16" s="12" t="n">
        <f aca="false">IFERROR(AVERAGEIFS(Pedidos!$W$2:$W$2224,Pedidos!$AL$2:$AL$2224,"SIM",Pedidos!$H$2:$H$2224,$A16),"")</f>
        <v>199.732727272727</v>
      </c>
      <c r="D16" s="12" t="n">
        <f aca="false">IFERROR(AVERAGEIFS(Pedidos!$AF$2:$AF$2224,Pedidos!$AL$2:$AL$2224,"SIM",Pedidos!$H$2:$H$2224,$A16),"")</f>
        <v>529.025</v>
      </c>
      <c r="E16" s="13" t="n">
        <f aca="false">IFERROR(D16/C16-1,"")</f>
        <v>1.64866457902834</v>
      </c>
      <c r="F16" s="12" t="n">
        <f aca="false">IFERROR(AVERAGEIFS(Pedidos!$M$2:$M$2224,Pedidos!$AL$2:$AL$2224,"SIM",Pedidos!$H$2:$H$2224,$A16),"")</f>
        <v>66.69</v>
      </c>
      <c r="G16" s="12" t="n">
        <f aca="false">IFERROR(AVERAGEIFS(Pedidos!$X$2:$X$2224,Pedidos!$AL$2:$AL$2224,"SIM",Pedidos!$H$2:$H$2224,$A16),"")</f>
        <v>353.17</v>
      </c>
      <c r="H16" s="13" t="n">
        <f aca="false">IFERROR(G16/F16-1,"")</f>
        <v>4.29569650622282</v>
      </c>
      <c r="I16" s="14" t="n">
        <f aca="false">IFERROR(COUNTIFS(Pedidos!$AL$2:$AL$2224,"SIM",Pedidos!$H$2:$H$2224,$A16,Pedidos!$AI$2:$AI$2224,"SIM")/B16,"")</f>
        <v>0</v>
      </c>
      <c r="J16" s="14" t="n">
        <f aca="false">IFERROR(MAX(0,1-C16/D16),"")</f>
        <v>0.622451250370536</v>
      </c>
    </row>
    <row r="17" customFormat="false" ht="15" hidden="false" customHeight="false" outlineLevel="0" collapsed="false">
      <c r="A17" s="4" t="s">
        <v>195</v>
      </c>
      <c r="B17" s="10" t="n">
        <f aca="false">COUNTIFS(Pedidos!$AL$2:$AL$2224,"SIM",Pedidos!$H$2:$H$2224,$A17)</f>
        <v>1</v>
      </c>
      <c r="C17" s="12" t="n">
        <f aca="false">IFERROR(AVERAGEIFS(Pedidos!$W$2:$W$2224,Pedidos!$AL$2:$AL$2224,"SIM",Pedidos!$H$2:$H$2224,$A17),"")</f>
        <v>338.214713636364</v>
      </c>
      <c r="D17" s="12" t="n">
        <f aca="false">IFERROR(AVERAGEIFS(Pedidos!$AF$2:$AF$2224,Pedidos!$AL$2:$AL$2224,"SIM",Pedidos!$H$2:$H$2224,$A17),"")</f>
        <v>593.327068181818</v>
      </c>
      <c r="E17" s="13" t="n">
        <f aca="false">IFERROR(D17/C17-1,"")</f>
        <v>0.754291118214751</v>
      </c>
      <c r="F17" s="12" t="n">
        <f aca="false">IFERROR(AVERAGEIFS(Pedidos!$M$2:$M$2224,Pedidos!$AL$2:$AL$2224,"SIM",Pedidos!$H$2:$H$2224,$A17),"")</f>
        <v>181.55</v>
      </c>
      <c r="G17" s="12" t="n">
        <f aca="false">IFERROR(AVERAGEIFS(Pedidos!$X$2:$X$2224,Pedidos!$AL$2:$AL$2224,"SIM",Pedidos!$H$2:$H$2224,$A17),"")</f>
        <v>398.74</v>
      </c>
      <c r="H17" s="13" t="n">
        <f aca="false">IFERROR(G17/F17-1,"")</f>
        <v>1.19630955659598</v>
      </c>
      <c r="I17" s="14" t="n">
        <f aca="false">IFERROR(COUNTIFS(Pedidos!$AL$2:$AL$2224,"SIM",Pedidos!$H$2:$H$2224,$A17,Pedidos!$AI$2:$AI$2224,"SIM")/B17,"")</f>
        <v>0</v>
      </c>
      <c r="J17" s="14" t="n">
        <f aca="false">IFERROR(MAX(0,1-C17/D17),"")</f>
        <v>0.429969182641906</v>
      </c>
    </row>
    <row r="18" customFormat="false" ht="15" hidden="false" customHeight="false" outlineLevel="0" collapsed="false">
      <c r="A18" s="21" t="s">
        <v>54</v>
      </c>
      <c r="B18" s="28" t="n">
        <f aca="false">COUNTIFS(Pedidos!$AL$2:$AL$2224,"SIM")</f>
        <v>1912</v>
      </c>
      <c r="C18" s="22" t="n">
        <f aca="false">IFERROR(AVERAGEIFS(Pedidos!$W$2:$W$2224,Pedidos!$AL$2:$AL$2224,"SIM"),"")</f>
        <v>118.219979475323</v>
      </c>
      <c r="D18" s="22" t="n">
        <f aca="false">IFERROR(AVERAGEIFS(Pedidos!$AF$2:$AF$2224,Pedidos!$AL$2:$AL$2224,"SIM"),"")</f>
        <v>169.566325236544</v>
      </c>
      <c r="E18" s="23" t="n">
        <f aca="false">IFERROR(D18/C18-1,"")</f>
        <v>0.434328833324986</v>
      </c>
      <c r="F18" s="22" t="n">
        <f aca="false">IFERROR(AVERAGEIFS(Pedidos!$M$2:$M$2224,Pedidos!$AL$2:$AL$2224,"SIM"),"")</f>
        <v>64.2570135983264</v>
      </c>
      <c r="G18" s="22" t="n">
        <f aca="false">IFERROR(AVERAGEIFS(Pedidos!$X$2:$X$2224,Pedidos!$AL$2:$AL$2224,"SIM"),"")</f>
        <v>116.086234309623</v>
      </c>
      <c r="H18" s="23" t="n">
        <f aca="false">IFERROR(G18/F18-1,"")</f>
        <v>0.806592429509469</v>
      </c>
      <c r="I18" s="29" t="n">
        <f aca="false">IFERROR(COUNTIFS(Pedidos!$AL$2:$AL$2224,"SIM",Pedidos!$AI$2:$AI$2224,"SIM")/B18,"")</f>
        <v>0.00732217573221757</v>
      </c>
      <c r="J18" s="29" t="n">
        <f aca="false">IFERROR(MAX(0,1-C18/D18),"")</f>
        <v>0.302809804302789</v>
      </c>
    </row>
    <row r="20" customFormat="false" ht="15" hidden="false" customHeight="false" outlineLevel="0" collapsed="false">
      <c r="A20" s="2" t="s">
        <v>303</v>
      </c>
    </row>
    <row r="21" customFormat="false" ht="45" hidden="false" customHeight="true" outlineLevel="0" collapsed="false">
      <c r="A21" s="3" t="s">
        <v>299</v>
      </c>
      <c r="B21" s="3" t="s">
        <v>31</v>
      </c>
      <c r="C21" s="3" t="s">
        <v>148</v>
      </c>
      <c r="D21" s="3" t="s">
        <v>149</v>
      </c>
      <c r="E21" s="3" t="s">
        <v>150</v>
      </c>
      <c r="F21" s="3" t="s">
        <v>300</v>
      </c>
      <c r="G21" s="3" t="s">
        <v>301</v>
      </c>
      <c r="H21" s="3" t="s">
        <v>154</v>
      </c>
      <c r="I21" s="3" t="s">
        <v>153</v>
      </c>
      <c r="J21" s="3" t="s">
        <v>302</v>
      </c>
    </row>
    <row r="22" customFormat="false" ht="15" hidden="false" customHeight="false" outlineLevel="0" collapsed="false">
      <c r="A22" s="4" t="s">
        <v>183</v>
      </c>
      <c r="B22" s="10" t="n">
        <f aca="false">COUNTIFS(Pedidos!$AL$2:$AL$2224,"SIM",Pedidos!$G$2:$G$2224,"Capital",Pedidos!$H$2:$H$2224,$A22)</f>
        <v>64</v>
      </c>
      <c r="C22" s="12" t="n">
        <f aca="false">IFERROR(AVERAGEIFS(Pedidos!$W$2:$W$2224,Pedidos!$AL$2:$AL$2224,"SIM",Pedidos!$G$2:$G$2224,"Capital",Pedidos!$H$2:$H$2224,$A22),"")</f>
        <v>65.055134375</v>
      </c>
      <c r="D22" s="12" t="n">
        <f aca="false">IFERROR(AVERAGEIFS(Pedidos!$AF$2:$AF$2224,Pedidos!$AL$2:$AL$2224,"SIM",Pedidos!$G$2:$G$2224,"Capital",Pedidos!$H$2:$H$2224,$A22),"")</f>
        <v>70.9239190340909</v>
      </c>
      <c r="E22" s="13" t="n">
        <f aca="false">IFERROR(D22/C22-1,"")</f>
        <v>0.0902124746259259</v>
      </c>
      <c r="F22" s="12" t="n">
        <f aca="false">IFERROR(AVERAGEIFS(Pedidos!$M$2:$M$2224,Pedidos!$AL$2:$AL$2224,"SIM",Pedidos!$G$2:$G$2224,"Capital",Pedidos!$H$2:$H$2224,$A22),"")</f>
        <v>33.42</v>
      </c>
      <c r="G22" s="12" t="n">
        <f aca="false">IFERROR(AVERAGEIFS(Pedidos!$X$2:$X$2224,Pedidos!$AL$2:$AL$2224,"SIM",Pedidos!$G$2:$G$2224,"Capital",Pedidos!$H$2:$H$2224,$A22),"")</f>
        <v>46.98</v>
      </c>
      <c r="H22" s="13" t="n">
        <f aca="false">IFERROR(G22/F22-1,"")</f>
        <v>0.405745062836625</v>
      </c>
      <c r="I22" s="14" t="n">
        <f aca="false">IFERROR(COUNTIFS(Pedidos!$AL$2:$AL$2224,"SIM",Pedidos!$G$2:$G$2224,"Capital",Pedidos!$H$2:$H$2224,$A22,Pedidos!$AI$2:$AI$2224,"SIM")/B22,"")</f>
        <v>0</v>
      </c>
      <c r="J22" s="14" t="n">
        <f aca="false">IFERROR(MAX(0,1-C22/D22),"")</f>
        <v>0.0827476081273787</v>
      </c>
    </row>
    <row r="23" customFormat="false" ht="15" hidden="false" customHeight="false" outlineLevel="0" collapsed="false">
      <c r="A23" s="4" t="s">
        <v>184</v>
      </c>
      <c r="B23" s="10" t="n">
        <f aca="false">COUNTIFS(Pedidos!$AL$2:$AL$2224,"SIM",Pedidos!$G$2:$G$2224,"Capital",Pedidos!$H$2:$H$2224,$A23)</f>
        <v>263</v>
      </c>
      <c r="C23" s="12" t="n">
        <f aca="false">IFERROR(AVERAGEIFS(Pedidos!$W$2:$W$2224,Pedidos!$AL$2:$AL$2224,"SIM",Pedidos!$G$2:$G$2224,"Capital",Pedidos!$H$2:$H$2224,$A23),"")</f>
        <v>80.8465285689596</v>
      </c>
      <c r="D23" s="12" t="n">
        <f aca="false">IFERROR(AVERAGEIFS(Pedidos!$AF$2:$AF$2224,Pedidos!$AL$2:$AL$2224,"SIM",Pedidos!$G$2:$G$2224,"Capital",Pedidos!$H$2:$H$2224,$A23),"")</f>
        <v>117.403426287591</v>
      </c>
      <c r="E23" s="13" t="n">
        <f aca="false">IFERROR(D23/C23-1,"")</f>
        <v>0.452176467755808</v>
      </c>
      <c r="F23" s="12" t="n">
        <f aca="false">IFERROR(AVERAGEIFS(Pedidos!$M$2:$M$2224,Pedidos!$AL$2:$AL$2224,"SIM",Pedidos!$G$2:$G$2224,"Capital",Pedidos!$H$2:$H$2224,$A23),"")</f>
        <v>42.11</v>
      </c>
      <c r="G23" s="12" t="n">
        <f aca="false">IFERROR(AVERAGEIFS(Pedidos!$X$2:$X$2224,Pedidos!$AL$2:$AL$2224,"SIM",Pedidos!$G$2:$G$2224,"Capital",Pedidos!$H$2:$H$2224,$A23),"")</f>
        <v>82.21</v>
      </c>
      <c r="H23" s="13" t="n">
        <f aca="false">IFERROR(G23/F23-1,"")</f>
        <v>0.95226786986464</v>
      </c>
      <c r="I23" s="14" t="n">
        <f aca="false">IFERROR(COUNTIFS(Pedidos!$AL$2:$AL$2224,"SIM",Pedidos!$G$2:$G$2224,"Capital",Pedidos!$H$2:$H$2224,$A23,Pedidos!$AI$2:$AI$2224,"SIM")/B23,"")</f>
        <v>0</v>
      </c>
      <c r="J23" s="14" t="n">
        <f aca="false">IFERROR(MAX(0,1-C23/D23),"")</f>
        <v>0.311378456954754</v>
      </c>
    </row>
    <row r="24" customFormat="false" ht="15" hidden="false" customHeight="false" outlineLevel="0" collapsed="false">
      <c r="A24" s="4" t="s">
        <v>185</v>
      </c>
      <c r="B24" s="10" t="n">
        <f aca="false">COUNTIFS(Pedidos!$AL$2:$AL$2224,"SIM",Pedidos!$G$2:$G$2224,"Capital",Pedidos!$H$2:$H$2224,$A24)</f>
        <v>163</v>
      </c>
      <c r="C24" s="12" t="n">
        <f aca="false">IFERROR(AVERAGEIFS(Pedidos!$W$2:$W$2224,Pedidos!$AL$2:$AL$2224,"SIM",Pedidos!$G$2:$G$2224,"Capital",Pedidos!$H$2:$H$2224,$A24),"")</f>
        <v>93.1497815114334</v>
      </c>
      <c r="D24" s="12" t="n">
        <f aca="false">IFERROR(AVERAGEIFS(Pedidos!$AF$2:$AF$2224,Pedidos!$AL$2:$AL$2224,"SIM",Pedidos!$G$2:$G$2224,"Capital",Pedidos!$H$2:$H$2224,$A24),"")</f>
        <v>136.608839235917</v>
      </c>
      <c r="E24" s="13" t="n">
        <f aca="false">IFERROR(D24/C24-1,"")</f>
        <v>0.466550291576904</v>
      </c>
      <c r="F24" s="12" t="n">
        <f aca="false">IFERROR(AVERAGEIFS(Pedidos!$M$2:$M$2224,Pedidos!$AL$2:$AL$2224,"SIM",Pedidos!$G$2:$G$2224,"Capital",Pedidos!$H$2:$H$2224,$A24),"")</f>
        <v>48.35</v>
      </c>
      <c r="G24" s="12" t="n">
        <f aca="false">IFERROR(AVERAGEIFS(Pedidos!$X$2:$X$2224,Pedidos!$AL$2:$AL$2224,"SIM",Pedidos!$G$2:$G$2224,"Capital",Pedidos!$H$2:$H$2224,$A24),"")</f>
        <v>93.97</v>
      </c>
      <c r="H24" s="13" t="n">
        <f aca="false">IFERROR(G24/F24-1,"")</f>
        <v>0.9435367114788</v>
      </c>
      <c r="I24" s="14" t="n">
        <f aca="false">IFERROR(COUNTIFS(Pedidos!$AL$2:$AL$2224,"SIM",Pedidos!$G$2:$G$2224,"Capital",Pedidos!$H$2:$H$2224,$A24,Pedidos!$AI$2:$AI$2224,"SIM")/B24,"")</f>
        <v>0</v>
      </c>
      <c r="J24" s="14" t="n">
        <f aca="false">IFERROR(MAX(0,1-C24/D24),"")</f>
        <v>0.318127713898749</v>
      </c>
    </row>
    <row r="25" customFormat="false" ht="15" hidden="false" customHeight="false" outlineLevel="0" collapsed="false">
      <c r="A25" s="4" t="s">
        <v>186</v>
      </c>
      <c r="B25" s="10" t="n">
        <f aca="false">COUNTIFS(Pedidos!$AL$2:$AL$2224,"SIM",Pedidos!$G$2:$G$2224,"Capital",Pedidos!$H$2:$H$2224,$A25)</f>
        <v>154</v>
      </c>
      <c r="C25" s="12" t="n">
        <f aca="false">IFERROR(AVERAGEIFS(Pedidos!$W$2:$W$2224,Pedidos!$AL$2:$AL$2224,"SIM",Pedidos!$G$2:$G$2224,"Capital",Pedidos!$H$2:$H$2224,$A25),"")</f>
        <v>103.86877027745</v>
      </c>
      <c r="D25" s="12" t="n">
        <f aca="false">IFERROR(AVERAGEIFS(Pedidos!$AF$2:$AF$2224,Pedidos!$AL$2:$AL$2224,"SIM",Pedidos!$G$2:$G$2224,"Capital",Pedidos!$H$2:$H$2224,$A25),"")</f>
        <v>141.783351682409</v>
      </c>
      <c r="E25" s="13" t="n">
        <f aca="false">IFERROR(D25/C25-1,"")</f>
        <v>0.365023878723921</v>
      </c>
      <c r="F25" s="12" t="n">
        <f aca="false">IFERROR(AVERAGEIFS(Pedidos!$M$2:$M$2224,Pedidos!$AL$2:$AL$2224,"SIM",Pedidos!$G$2:$G$2224,"Capital",Pedidos!$H$2:$H$2224,$A25),"")</f>
        <v>53.55</v>
      </c>
      <c r="G25" s="12" t="n">
        <f aca="false">IFERROR(AVERAGEIFS(Pedidos!$X$2:$X$2224,Pedidos!$AL$2:$AL$2224,"SIM",Pedidos!$G$2:$G$2224,"Capital",Pedidos!$H$2:$H$2224,$A25),"")</f>
        <v>93.97</v>
      </c>
      <c r="H25" s="13" t="n">
        <f aca="false">IFERROR(G25/F25-1,"")</f>
        <v>0.754808590102708</v>
      </c>
      <c r="I25" s="14" t="n">
        <f aca="false">IFERROR(COUNTIFS(Pedidos!$AL$2:$AL$2224,"SIM",Pedidos!$G$2:$G$2224,"Capital",Pedidos!$H$2:$H$2224,$A25,Pedidos!$AI$2:$AI$2224,"SIM")/B25,"")</f>
        <v>0</v>
      </c>
      <c r="J25" s="14" t="n">
        <f aca="false">IFERROR(MAX(0,1-C25/D25),"")</f>
        <v>0.267412082977743</v>
      </c>
    </row>
    <row r="26" customFormat="false" ht="15" hidden="false" customHeight="false" outlineLevel="0" collapsed="false">
      <c r="A26" s="4" t="s">
        <v>187</v>
      </c>
      <c r="B26" s="10" t="n">
        <f aca="false">COUNTIFS(Pedidos!$AL$2:$AL$2224,"SIM",Pedidos!$G$2:$G$2224,"Capital",Pedidos!$H$2:$H$2224,$A26)</f>
        <v>181</v>
      </c>
      <c r="C26" s="12" t="n">
        <f aca="false">IFERROR(AVERAGEIFS(Pedidos!$W$2:$W$2224,Pedidos!$AL$2:$AL$2224,"SIM",Pedidos!$G$2:$G$2224,"Capital",Pedidos!$H$2:$H$2224,$A26),"")</f>
        <v>114.108765218483</v>
      </c>
      <c r="D26" s="12" t="n">
        <f aca="false">IFERROR(AVERAGEIFS(Pedidos!$AF$2:$AF$2224,Pedidos!$AL$2:$AL$2224,"SIM",Pedidos!$G$2:$G$2224,"Capital",Pedidos!$H$2:$H$2224,$A26),"")</f>
        <v>167.535212581617</v>
      </c>
      <c r="E26" s="13" t="n">
        <f aca="false">IFERROR(D26/C26-1,"")</f>
        <v>0.468206340335371</v>
      </c>
      <c r="F26" s="12" t="n">
        <f aca="false">IFERROR(AVERAGEIFS(Pedidos!$M$2:$M$2224,Pedidos!$AL$2:$AL$2224,"SIM",Pedidos!$G$2:$G$2224,"Capital",Pedidos!$H$2:$H$2224,$A26),"")</f>
        <v>58.6</v>
      </c>
      <c r="G26" s="12" t="n">
        <f aca="false">IFERROR(AVERAGEIFS(Pedidos!$X$2:$X$2224,Pedidos!$AL$2:$AL$2224,"SIM",Pedidos!$G$2:$G$2224,"Capital",Pedidos!$H$2:$H$2224,$A26),"")</f>
        <v>112.3</v>
      </c>
      <c r="H26" s="13" t="n">
        <f aca="false">IFERROR(G26/F26-1,"")</f>
        <v>0.916382252559727</v>
      </c>
      <c r="I26" s="14" t="n">
        <f aca="false">IFERROR(COUNTIFS(Pedidos!$AL$2:$AL$2224,"SIM",Pedidos!$G$2:$G$2224,"Capital",Pedidos!$H$2:$H$2224,$A26,Pedidos!$AI$2:$AI$2224,"SIM")/B26,"")</f>
        <v>0</v>
      </c>
      <c r="J26" s="14" t="n">
        <f aca="false">IFERROR(MAX(0,1-C26/D26),"")</f>
        <v>0.318896824971088</v>
      </c>
    </row>
    <row r="27" customFormat="false" ht="15" hidden="false" customHeight="false" outlineLevel="0" collapsed="false">
      <c r="A27" s="4" t="s">
        <v>188</v>
      </c>
      <c r="B27" s="10" t="n">
        <f aca="false">COUNTIFS(Pedidos!$AL$2:$AL$2224,"SIM",Pedidos!$G$2:$G$2224,"Capital",Pedidos!$H$2:$H$2224,$A27)</f>
        <v>112</v>
      </c>
      <c r="C27" s="12" t="n">
        <f aca="false">IFERROR(AVERAGEIFS(Pedidos!$W$2:$W$2224,Pedidos!$AL$2:$AL$2224,"SIM",Pedidos!$G$2:$G$2224,"Capital",Pedidos!$H$2:$H$2224,$A27),"")</f>
        <v>126.057911038961</v>
      </c>
      <c r="D27" s="12" t="n">
        <f aca="false">IFERROR(AVERAGEIFS(Pedidos!$AF$2:$AF$2224,Pedidos!$AL$2:$AL$2224,"SIM",Pedidos!$G$2:$G$2224,"Capital",Pedidos!$H$2:$H$2224,$A27),"")</f>
        <v>196.260694805195</v>
      </c>
      <c r="E27" s="13" t="n">
        <f aca="false">IFERROR(D27/C27-1,"")</f>
        <v>0.556908988794333</v>
      </c>
      <c r="F27" s="12" t="n">
        <f aca="false">IFERROR(AVERAGEIFS(Pedidos!$M$2:$M$2224,Pedidos!$AL$2:$AL$2224,"SIM",Pedidos!$G$2:$G$2224,"Capital",Pedidos!$H$2:$H$2224,$A27),"")</f>
        <v>63.21</v>
      </c>
      <c r="G27" s="12" t="n">
        <f aca="false">IFERROR(AVERAGEIFS(Pedidos!$X$2:$X$2224,Pedidos!$AL$2:$AL$2224,"SIM",Pedidos!$G$2:$G$2224,"Capital",Pedidos!$H$2:$H$2224,$A27),"")</f>
        <v>131.02</v>
      </c>
      <c r="H27" s="13" t="n">
        <f aca="false">IFERROR(G27/F27-1,"")</f>
        <v>1.07277329536466</v>
      </c>
      <c r="I27" s="14" t="n">
        <f aca="false">IFERROR(COUNTIFS(Pedidos!$AL$2:$AL$2224,"SIM",Pedidos!$G$2:$G$2224,"Capital",Pedidos!$H$2:$H$2224,$A27,Pedidos!$AI$2:$AI$2224,"SIM")/B27,"")</f>
        <v>0</v>
      </c>
      <c r="J27" s="14" t="n">
        <f aca="false">IFERROR(MAX(0,1-C27/D27),"")</f>
        <v>0.357701697917232</v>
      </c>
    </row>
    <row r="28" customFormat="false" ht="15" hidden="false" customHeight="false" outlineLevel="0" collapsed="false">
      <c r="A28" s="4" t="s">
        <v>189</v>
      </c>
      <c r="B28" s="10" t="n">
        <f aca="false">COUNTIFS(Pedidos!$AL$2:$AL$2224,"SIM",Pedidos!$G$2:$G$2224,"Capital",Pedidos!$H$2:$H$2224,$A28)</f>
        <v>11</v>
      </c>
      <c r="C28" s="12" t="n">
        <f aca="false">IFERROR(AVERAGEIFS(Pedidos!$W$2:$W$2224,Pedidos!$AL$2:$AL$2224,"SIM",Pedidos!$G$2:$G$2224,"Capital",Pedidos!$H$2:$H$2224,$A28),"")</f>
        <v>139.18836053719</v>
      </c>
      <c r="D28" s="12" t="n">
        <f aca="false">IFERROR(AVERAGEIFS(Pedidos!$AF$2:$AF$2224,Pedidos!$AL$2:$AL$2224,"SIM",Pedidos!$G$2:$G$2224,"Capital",Pedidos!$H$2:$H$2224,$A28),"")</f>
        <v>207.029023760331</v>
      </c>
      <c r="E28" s="13" t="n">
        <f aca="false">IFERROR(D28/C28-1,"")</f>
        <v>0.487401841370306</v>
      </c>
      <c r="F28" s="12" t="n">
        <f aca="false">IFERROR(AVERAGEIFS(Pedidos!$M$2:$M$2224,Pedidos!$AL$2:$AL$2224,"SIM",Pedidos!$G$2:$G$2224,"Capital",Pedidos!$H$2:$H$2224,$A28),"")</f>
        <v>68.88</v>
      </c>
      <c r="G28" s="12" t="n">
        <f aca="false">IFERROR(AVERAGEIFS(Pedidos!$X$2:$X$2224,Pedidos!$AL$2:$AL$2224,"SIM",Pedidos!$G$2:$G$2224,"Capital",Pedidos!$H$2:$H$2224,$A28),"")</f>
        <v>134.39</v>
      </c>
      <c r="H28" s="13" t="n">
        <f aca="false">IFERROR(G28/F28-1,"")</f>
        <v>0.951074332171893</v>
      </c>
      <c r="I28" s="14" t="n">
        <f aca="false">IFERROR(COUNTIFS(Pedidos!$AL$2:$AL$2224,"SIM",Pedidos!$G$2:$G$2224,"Capital",Pedidos!$H$2:$H$2224,$A28,Pedidos!$AI$2:$AI$2224,"SIM")/B28,"")</f>
        <v>0</v>
      </c>
      <c r="J28" s="14" t="n">
        <f aca="false">IFERROR(MAX(0,1-C28/D28),"")</f>
        <v>0.327686727159942</v>
      </c>
    </row>
    <row r="29" customFormat="false" ht="15" hidden="false" customHeight="false" outlineLevel="0" collapsed="false">
      <c r="A29" s="4" t="s">
        <v>190</v>
      </c>
      <c r="B29" s="10" t="n">
        <f aca="false">COUNTIFS(Pedidos!$AL$2:$AL$2224,"SIM",Pedidos!$G$2:$G$2224,"Capital",Pedidos!$H$2:$H$2224,$A29)</f>
        <v>19</v>
      </c>
      <c r="C29" s="12" t="n">
        <f aca="false">IFERROR(AVERAGEIFS(Pedidos!$W$2:$W$2224,Pedidos!$AL$2:$AL$2224,"SIM",Pedidos!$G$2:$G$2224,"Capital",Pedidos!$H$2:$H$2224,$A29),"")</f>
        <v>161.831090789474</v>
      </c>
      <c r="D29" s="12" t="n">
        <f aca="false">IFERROR(AVERAGEIFS(Pedidos!$AF$2:$AF$2224,Pedidos!$AL$2:$AL$2224,"SIM",Pedidos!$G$2:$G$2224,"Capital",Pedidos!$H$2:$H$2224,$A29),"")</f>
        <v>251.894388157895</v>
      </c>
      <c r="E29" s="13" t="n">
        <f aca="false">IFERROR(D29/C29-1,"")</f>
        <v>0.556526542143774</v>
      </c>
      <c r="F29" s="12" t="n">
        <f aca="false">IFERROR(AVERAGEIFS(Pedidos!$M$2:$M$2224,Pedidos!$AL$2:$AL$2224,"SIM",Pedidos!$G$2:$G$2224,"Capital",Pedidos!$H$2:$H$2224,$A29),"")</f>
        <v>83.79</v>
      </c>
      <c r="G29" s="12" t="n">
        <f aca="false">IFERROR(AVERAGEIFS(Pedidos!$X$2:$X$2224,Pedidos!$AL$2:$AL$2224,"SIM",Pedidos!$G$2:$G$2224,"Capital",Pedidos!$H$2:$H$2224,$A29),"")</f>
        <v>167.99</v>
      </c>
      <c r="H29" s="13" t="n">
        <f aca="false">IFERROR(G29/F29-1,"")</f>
        <v>1.00489318534431</v>
      </c>
      <c r="I29" s="14" t="n">
        <f aca="false">IFERROR(COUNTIFS(Pedidos!$AL$2:$AL$2224,"SIM",Pedidos!$G$2:$G$2224,"Capital",Pedidos!$H$2:$H$2224,$A29,Pedidos!$AI$2:$AI$2224,"SIM")/B29,"")</f>
        <v>0</v>
      </c>
      <c r="J29" s="14" t="n">
        <f aca="false">IFERROR(MAX(0,1-C29/D29),"")</f>
        <v>0.357543881890559</v>
      </c>
    </row>
    <row r="30" customFormat="false" ht="15" hidden="false" customHeight="false" outlineLevel="0" collapsed="false">
      <c r="A30" s="4" t="s">
        <v>191</v>
      </c>
      <c r="B30" s="10" t="n">
        <f aca="false">COUNTIFS(Pedidos!$AL$2:$AL$2224,"SIM",Pedidos!$G$2:$G$2224,"Capital",Pedidos!$H$2:$H$2224,$A30)</f>
        <v>21</v>
      </c>
      <c r="C30" s="12" t="n">
        <f aca="false">IFERROR(AVERAGEIFS(Pedidos!$W$2:$W$2224,Pedidos!$AL$2:$AL$2224,"SIM",Pedidos!$G$2:$G$2224,"Capital",Pedidos!$H$2:$H$2224,$A30),"")</f>
        <v>185.508201948052</v>
      </c>
      <c r="D30" s="12" t="n">
        <f aca="false">IFERROR(AVERAGEIFS(Pedidos!$AF$2:$AF$2224,Pedidos!$AL$2:$AL$2224,"SIM",Pedidos!$G$2:$G$2224,"Capital",Pedidos!$H$2:$H$2224,$A30),"")</f>
        <v>309.111146103896</v>
      </c>
      <c r="E30" s="13" t="n">
        <f aca="false">IFERROR(D30/C30-1,"")</f>
        <v>0.666293688677209</v>
      </c>
      <c r="F30" s="12" t="n">
        <f aca="false">IFERROR(AVERAGEIFS(Pedidos!$M$2:$M$2224,Pedidos!$AL$2:$AL$2224,"SIM",Pedidos!$G$2:$G$2224,"Capital",Pedidos!$H$2:$H$2224,$A30),"")</f>
        <v>92.34</v>
      </c>
      <c r="G30" s="12" t="n">
        <f aca="false">IFERROR(AVERAGEIFS(Pedidos!$X$2:$X$2224,Pedidos!$AL$2:$AL$2224,"SIM",Pedidos!$G$2:$G$2224,"Capital",Pedidos!$H$2:$H$2224,$A30),"")</f>
        <v>201.59</v>
      </c>
      <c r="H30" s="13" t="n">
        <f aca="false">IFERROR(G30/F30-1,"")</f>
        <v>1.18312757201646</v>
      </c>
      <c r="I30" s="14" t="n">
        <f aca="false">IFERROR(COUNTIFS(Pedidos!$AL$2:$AL$2224,"SIM",Pedidos!$G$2:$G$2224,"Capital",Pedidos!$H$2:$H$2224,$A30,Pedidos!$AI$2:$AI$2224,"SIM")/B30,"")</f>
        <v>0</v>
      </c>
      <c r="J30" s="14" t="n">
        <f aca="false">IFERROR(MAX(0,1-C30/D30),"")</f>
        <v>0.399865697868752</v>
      </c>
    </row>
    <row r="31" customFormat="false" ht="15" hidden="false" customHeight="false" outlineLevel="0" collapsed="false">
      <c r="A31" s="4" t="s">
        <v>192</v>
      </c>
      <c r="B31" s="10" t="n">
        <f aca="false">COUNTIFS(Pedidos!$AL$2:$AL$2224,"SIM",Pedidos!$G$2:$G$2224,"Capital",Pedidos!$H$2:$H$2224,$A31)</f>
        <v>39</v>
      </c>
      <c r="C31" s="12" t="n">
        <f aca="false">IFERROR(AVERAGEIFS(Pedidos!$W$2:$W$2224,Pedidos!$AL$2:$AL$2224,"SIM",Pedidos!$G$2:$G$2224,"Capital",Pedidos!$H$2:$H$2224,$A31),"")</f>
        <v>228.484038986014</v>
      </c>
      <c r="D31" s="12" t="n">
        <f aca="false">IFERROR(AVERAGEIFS(Pedidos!$AF$2:$AF$2224,Pedidos!$AL$2:$AL$2224,"SIM",Pedidos!$G$2:$G$2224,"Capital",Pedidos!$H$2:$H$2224,$A31),"")</f>
        <v>363.472490384615</v>
      </c>
      <c r="E31" s="13" t="n">
        <f aca="false">IFERROR(D31/C31-1,"")</f>
        <v>0.590800355235599</v>
      </c>
      <c r="F31" s="12" t="n">
        <f aca="false">IFERROR(AVERAGEIFS(Pedidos!$M$2:$M$2224,Pedidos!$AL$2:$AL$2224,"SIM",Pedidos!$G$2:$G$2224,"Capital",Pedidos!$H$2:$H$2224,$A31),"")</f>
        <v>120.59</v>
      </c>
      <c r="G31" s="12" t="n">
        <f aca="false">IFERROR(AVERAGEIFS(Pedidos!$X$2:$X$2224,Pedidos!$AL$2:$AL$2224,"SIM",Pedidos!$G$2:$G$2224,"Capital",Pedidos!$H$2:$H$2224,$A31),"")</f>
        <v>239.25</v>
      </c>
      <c r="H31" s="13" t="n">
        <f aca="false">IFERROR(G31/F31-1,"")</f>
        <v>0.98399535616552</v>
      </c>
      <c r="I31" s="14" t="n">
        <f aca="false">IFERROR(COUNTIFS(Pedidos!$AL$2:$AL$2224,"SIM",Pedidos!$G$2:$G$2224,"Capital",Pedidos!$H$2:$H$2224,$A31,Pedidos!$AI$2:$AI$2224,"SIM")/B31,"")</f>
        <v>0</v>
      </c>
      <c r="J31" s="14" t="n">
        <f aca="false">IFERROR(MAX(0,1-C31/D31),"")</f>
        <v>0.371385606805513</v>
      </c>
    </row>
    <row r="32" customFormat="false" ht="15" hidden="false" customHeight="false" outlineLevel="0" collapsed="false">
      <c r="A32" s="4" t="s">
        <v>193</v>
      </c>
      <c r="B32" s="10" t="n">
        <f aca="false">COUNTIFS(Pedidos!$AL$2:$AL$2224,"SIM",Pedidos!$G$2:$G$2224,"Capital",Pedidos!$H$2:$H$2224,$A32)</f>
        <v>2</v>
      </c>
      <c r="C32" s="12" t="n">
        <f aca="false">IFERROR(AVERAGEIFS(Pedidos!$W$2:$W$2224,Pedidos!$AL$2:$AL$2224,"SIM",Pedidos!$G$2:$G$2224,"Capital",Pedidos!$H$2:$H$2224,$A32),"")</f>
        <v>255.666832954545</v>
      </c>
      <c r="D32" s="12" t="n">
        <f aca="false">IFERROR(AVERAGEIFS(Pedidos!$AF$2:$AF$2224,Pedidos!$AL$2:$AL$2224,"SIM",Pedidos!$G$2:$G$2224,"Capital",Pedidos!$H$2:$H$2224,$A32),"")</f>
        <v>417.5980625</v>
      </c>
      <c r="E32" s="13" t="n">
        <f aca="false">IFERROR(D32/C32-1,"")</f>
        <v>0.633368152114764</v>
      </c>
      <c r="F32" s="12" t="n">
        <f aca="false">IFERROR(AVERAGEIFS(Pedidos!$M$2:$M$2224,Pedidos!$AL$2:$AL$2224,"SIM",Pedidos!$G$2:$G$2224,"Capital",Pedidos!$H$2:$H$2224,$A32),"")</f>
        <v>130.31</v>
      </c>
      <c r="G32" s="12" t="n">
        <f aca="false">IFERROR(AVERAGEIFS(Pedidos!$X$2:$X$2224,Pedidos!$AL$2:$AL$2224,"SIM",Pedidos!$G$2:$G$2224,"Capital",Pedidos!$H$2:$H$2224,$A32),"")</f>
        <v>271.15</v>
      </c>
      <c r="H32" s="13" t="n">
        <f aca="false">IFERROR(G32/F32-1,"")</f>
        <v>1.08080730565574</v>
      </c>
      <c r="I32" s="14" t="n">
        <f aca="false">IFERROR(COUNTIFS(Pedidos!$AL$2:$AL$2224,"SIM",Pedidos!$G$2:$G$2224,"Capital",Pedidos!$H$2:$H$2224,$A32,Pedidos!$AI$2:$AI$2224,"SIM")/B32,"")</f>
        <v>0</v>
      </c>
      <c r="J32" s="14" t="n">
        <f aca="false">IFERROR(MAX(0,1-C32/D32),"")</f>
        <v>0.387768153367461</v>
      </c>
    </row>
    <row r="33" customFormat="false" ht="15" hidden="false" customHeight="false" outlineLevel="0" collapsed="false">
      <c r="A33" s="4" t="s">
        <v>194</v>
      </c>
      <c r="B33" s="10" t="n">
        <f aca="false">COUNTIFS(Pedidos!$AL$2:$AL$2224,"SIM",Pedidos!$G$2:$G$2224,"Capital",Pedidos!$H$2:$H$2224,$A33)</f>
        <v>0</v>
      </c>
      <c r="C33" s="12" t="str">
        <f aca="false">IFERROR(AVERAGEIFS(Pedidos!$W$2:$W$2224,Pedidos!$AL$2:$AL$2224,"SIM",Pedidos!$G$2:$G$2224,"Capital",Pedidos!$H$2:$H$2224,$A33),"")</f>
        <v/>
      </c>
      <c r="D33" s="12" t="str">
        <f aca="false">IFERROR(AVERAGEIFS(Pedidos!$AF$2:$AF$2224,Pedidos!$AL$2:$AL$2224,"SIM",Pedidos!$G$2:$G$2224,"Capital",Pedidos!$H$2:$H$2224,$A33),"")</f>
        <v/>
      </c>
      <c r="E33" s="13" t="str">
        <f aca="false">IFERROR(D33/C33-1,"")</f>
        <v/>
      </c>
      <c r="F33" s="12" t="str">
        <f aca="false">IFERROR(AVERAGEIFS(Pedidos!$M$2:$M$2224,Pedidos!$AL$2:$AL$2224,"SIM",Pedidos!$G$2:$G$2224,"Capital",Pedidos!$H$2:$H$2224,$A33),"")</f>
        <v/>
      </c>
      <c r="G33" s="12" t="str">
        <f aca="false">IFERROR(AVERAGEIFS(Pedidos!$X$2:$X$2224,Pedidos!$AL$2:$AL$2224,"SIM",Pedidos!$G$2:$G$2224,"Capital",Pedidos!$H$2:$H$2224,$A33),"")</f>
        <v/>
      </c>
      <c r="H33" s="13" t="str">
        <f aca="false">IFERROR(G33/F33-1,"")</f>
        <v/>
      </c>
      <c r="I33" s="14" t="str">
        <f aca="false">IFERROR(COUNTIFS(Pedidos!$AL$2:$AL$2224,"SIM",Pedidos!$G$2:$G$2224,"Capital",Pedidos!$H$2:$H$2224,$A33,Pedidos!$AI$2:$AI$2224,"SIM")/B33,"")</f>
        <v/>
      </c>
      <c r="J33" s="14" t="str">
        <f aca="false">IFERROR(MAX(0,1-C33/D33),"")</f>
        <v/>
      </c>
    </row>
    <row r="34" customFormat="false" ht="15" hidden="false" customHeight="false" outlineLevel="0" collapsed="false">
      <c r="A34" s="4" t="s">
        <v>195</v>
      </c>
      <c r="B34" s="10" t="n">
        <f aca="false">COUNTIFS(Pedidos!$AL$2:$AL$2224,"SIM",Pedidos!$G$2:$G$2224,"Capital",Pedidos!$H$2:$H$2224,$A34)</f>
        <v>1</v>
      </c>
      <c r="C34" s="12" t="n">
        <f aca="false">IFERROR(AVERAGEIFS(Pedidos!$W$2:$W$2224,Pedidos!$AL$2:$AL$2224,"SIM",Pedidos!$G$2:$G$2224,"Capital",Pedidos!$H$2:$H$2224,$A34),"")</f>
        <v>338.214713636364</v>
      </c>
      <c r="D34" s="12" t="n">
        <f aca="false">IFERROR(AVERAGEIFS(Pedidos!$AF$2:$AF$2224,Pedidos!$AL$2:$AL$2224,"SIM",Pedidos!$G$2:$G$2224,"Capital",Pedidos!$H$2:$H$2224,$A34),"")</f>
        <v>593.327068181818</v>
      </c>
      <c r="E34" s="13" t="n">
        <f aca="false">IFERROR(D34/C34-1,"")</f>
        <v>0.754291118214751</v>
      </c>
      <c r="F34" s="12" t="n">
        <f aca="false">IFERROR(AVERAGEIFS(Pedidos!$M$2:$M$2224,Pedidos!$AL$2:$AL$2224,"SIM",Pedidos!$G$2:$G$2224,"Capital",Pedidos!$H$2:$H$2224,$A34),"")</f>
        <v>181.55</v>
      </c>
      <c r="G34" s="12" t="n">
        <f aca="false">IFERROR(AVERAGEIFS(Pedidos!$X$2:$X$2224,Pedidos!$AL$2:$AL$2224,"SIM",Pedidos!$G$2:$G$2224,"Capital",Pedidos!$H$2:$H$2224,$A34),"")</f>
        <v>398.74</v>
      </c>
      <c r="H34" s="13" t="n">
        <f aca="false">IFERROR(G34/F34-1,"")</f>
        <v>1.19630955659598</v>
      </c>
      <c r="I34" s="14" t="n">
        <f aca="false">IFERROR(COUNTIFS(Pedidos!$AL$2:$AL$2224,"SIM",Pedidos!$G$2:$G$2224,"Capital",Pedidos!$H$2:$H$2224,$A34,Pedidos!$AI$2:$AI$2224,"SIM")/B34,"")</f>
        <v>0</v>
      </c>
      <c r="J34" s="14" t="n">
        <f aca="false">IFERROR(MAX(0,1-C34/D34),"")</f>
        <v>0.429969182641906</v>
      </c>
    </row>
    <row r="35" customFormat="false" ht="15" hidden="false" customHeight="false" outlineLevel="0" collapsed="false">
      <c r="A35" s="21" t="s">
        <v>54</v>
      </c>
      <c r="B35" s="28" t="n">
        <f aca="false">COUNTIFS(Pedidos!$AL$2:$AL$2224,"SIM",Pedidos!$G$2:$G$2224,"Capital")</f>
        <v>1030</v>
      </c>
      <c r="C35" s="22" t="n">
        <f aca="false">IFERROR(AVERAGEIFS(Pedidos!$W$2:$W$2224,Pedidos!$AL$2:$AL$2224,"SIM",Pedidos!$G$2:$G$2224,"Capital"),"")</f>
        <v>106.446120383936</v>
      </c>
      <c r="D35" s="22" t="n">
        <f aca="false">IFERROR(AVERAGEIFS(Pedidos!$AF$2:$AF$2224,Pedidos!$AL$2:$AL$2224,"SIM",Pedidos!$G$2:$G$2224,"Capital"),"")</f>
        <v>156.292987577229</v>
      </c>
      <c r="E35" s="23" t="n">
        <f aca="false">IFERROR(D35/C35-1,"")</f>
        <v>0.46828261108532</v>
      </c>
      <c r="F35" s="22" t="n">
        <f aca="false">IFERROR(AVERAGEIFS(Pedidos!$M$2:$M$2224,Pedidos!$AL$2:$AL$2224,"SIM",Pedidos!$G$2:$G$2224,"Capital"),"")</f>
        <v>54.8171747572816</v>
      </c>
      <c r="G35" s="22" t="n">
        <f aca="false">IFERROR(AVERAGEIFS(Pedidos!$X$2:$X$2224,Pedidos!$AL$2:$AL$2224,"SIM",Pedidos!$G$2:$G$2224,"Capital"),"")</f>
        <v>105.429378640777</v>
      </c>
      <c r="H35" s="23" t="n">
        <f aca="false">IFERROR(G35/F35-1,"")</f>
        <v>0.92329099607185</v>
      </c>
      <c r="I35" s="29" t="n">
        <f aca="false">IFERROR(COUNTIFS(Pedidos!$AL$2:$AL$2224,"SIM",Pedidos!$G$2:$G$2224,"Capital",Pedidos!$AI$2:$AI$2224,"SIM")/B35,"")</f>
        <v>0</v>
      </c>
      <c r="J35" s="29" t="n">
        <f aca="false">IFERROR(MAX(0,1-C35/D35),"")</f>
        <v>0.318932205251125</v>
      </c>
    </row>
    <row r="37" customFormat="false" ht="15" hidden="false" customHeight="false" outlineLevel="0" collapsed="false">
      <c r="A37" s="2" t="s">
        <v>304</v>
      </c>
    </row>
    <row r="38" customFormat="false" ht="45" hidden="false" customHeight="true" outlineLevel="0" collapsed="false">
      <c r="A38" s="3" t="s">
        <v>299</v>
      </c>
      <c r="B38" s="3" t="s">
        <v>31</v>
      </c>
      <c r="C38" s="3" t="s">
        <v>148</v>
      </c>
      <c r="D38" s="3" t="s">
        <v>149</v>
      </c>
      <c r="E38" s="3" t="s">
        <v>150</v>
      </c>
      <c r="F38" s="3" t="s">
        <v>300</v>
      </c>
      <c r="G38" s="3" t="s">
        <v>301</v>
      </c>
      <c r="H38" s="3" t="s">
        <v>154</v>
      </c>
      <c r="I38" s="3" t="s">
        <v>153</v>
      </c>
      <c r="J38" s="3" t="s">
        <v>302</v>
      </c>
    </row>
    <row r="39" customFormat="false" ht="15" hidden="false" customHeight="false" outlineLevel="0" collapsed="false">
      <c r="A39" s="4" t="s">
        <v>183</v>
      </c>
      <c r="B39" s="10" t="n">
        <f aca="false">COUNTIFS(Pedidos!$AL$2:$AL$2224,"SIM",Pedidos!$G$2:$G$2224,"Metropolitana",Pedidos!$H$2:$H$2224,$A39)</f>
        <v>24</v>
      </c>
      <c r="C39" s="12" t="n">
        <f aca="false">IFERROR(AVERAGEIFS(Pedidos!$W$2:$W$2224,Pedidos!$AL$2:$AL$2224,"SIM",Pedidos!$G$2:$G$2224,"Metropolitana",Pedidos!$H$2:$H$2224,$A39),"")</f>
        <v>76.3756528409091</v>
      </c>
      <c r="D39" s="12" t="n">
        <f aca="false">IFERROR(AVERAGEIFS(Pedidos!$AF$2:$AF$2224,Pedidos!$AL$2:$AL$2224,"SIM",Pedidos!$G$2:$G$2224,"Metropolitana",Pedidos!$H$2:$H$2224,$A39),"")</f>
        <v>76.6580691287879</v>
      </c>
      <c r="E39" s="13" t="n">
        <f aca="false">IFERROR(D39/C39-1,"")</f>
        <v>0.00369772666254087</v>
      </c>
      <c r="F39" s="12" t="n">
        <f aca="false">IFERROR(AVERAGEIFS(Pedidos!$M$2:$M$2224,Pedidos!$AL$2:$AL$2224,"SIM",Pedidos!$G$2:$G$2224,"Metropolitana",Pedidos!$H$2:$H$2224,$A39),"")</f>
        <v>42.72</v>
      </c>
      <c r="G39" s="12" t="n">
        <f aca="false">IFERROR(AVERAGEIFS(Pedidos!$X$2:$X$2224,Pedidos!$AL$2:$AL$2224,"SIM",Pedidos!$G$2:$G$2224,"Metropolitana",Pedidos!$H$2:$H$2224,$A39),"")</f>
        <v>51.3508333333333</v>
      </c>
      <c r="H39" s="13" t="n">
        <f aca="false">IFERROR(G39/F39-1,"")</f>
        <v>0.202032615480649</v>
      </c>
      <c r="I39" s="14" t="n">
        <f aca="false">IFERROR(COUNTIFS(Pedidos!$AL$2:$AL$2224,"SIM",Pedidos!$G$2:$G$2224,"Metropolitana",Pedidos!$H$2:$H$2224,$A39,Pedidos!$AI$2:$AI$2224,"SIM")/B39,"")</f>
        <v>0.583333333333333</v>
      </c>
      <c r="J39" s="14" t="n">
        <f aca="false">IFERROR(MAX(0,1-C39/D39),"")</f>
        <v>0.00368410385349416</v>
      </c>
    </row>
    <row r="40" customFormat="false" ht="15" hidden="false" customHeight="false" outlineLevel="0" collapsed="false">
      <c r="A40" s="4" t="s">
        <v>184</v>
      </c>
      <c r="B40" s="10" t="n">
        <f aca="false">COUNTIFS(Pedidos!$AL$2:$AL$2224,"SIM",Pedidos!$G$2:$G$2224,"Metropolitana",Pedidos!$H$2:$H$2224,$A40)</f>
        <v>84</v>
      </c>
      <c r="C40" s="12" t="n">
        <f aca="false">IFERROR(AVERAGEIFS(Pedidos!$W$2:$W$2224,Pedidos!$AL$2:$AL$2224,"SIM",Pedidos!$G$2:$G$2224,"Metropolitana",Pedidos!$H$2:$H$2224,$A40),"")</f>
        <v>100.408458116883</v>
      </c>
      <c r="D40" s="12" t="n">
        <f aca="false">IFERROR(AVERAGEIFS(Pedidos!$AF$2:$AF$2224,Pedidos!$AL$2:$AL$2224,"SIM",Pedidos!$G$2:$G$2224,"Metropolitana",Pedidos!$H$2:$H$2224,$A40),"")</f>
        <v>128.005886904762</v>
      </c>
      <c r="E40" s="13" t="n">
        <f aca="false">IFERROR(D40/C40-1,"")</f>
        <v>0.274851634070043</v>
      </c>
      <c r="F40" s="12" t="n">
        <f aca="false">IFERROR(AVERAGEIFS(Pedidos!$M$2:$M$2224,Pedidos!$AL$2:$AL$2224,"SIM",Pedidos!$G$2:$G$2224,"Metropolitana",Pedidos!$H$2:$H$2224,$A40),"")</f>
        <v>58.8</v>
      </c>
      <c r="G40" s="12" t="n">
        <f aca="false">IFERROR(AVERAGEIFS(Pedidos!$X$2:$X$2224,Pedidos!$AL$2:$AL$2224,"SIM",Pedidos!$G$2:$G$2224,"Metropolitana",Pedidos!$H$2:$H$2224,$A40),"")</f>
        <v>90.9576190476191</v>
      </c>
      <c r="H40" s="13" t="n">
        <f aca="false">IFERROR(G40/F40-1,"")</f>
        <v>0.546898283122773</v>
      </c>
      <c r="I40" s="14" t="n">
        <f aca="false">IFERROR(COUNTIFS(Pedidos!$AL$2:$AL$2224,"SIM",Pedidos!$G$2:$G$2224,"Metropolitana",Pedidos!$H$2:$H$2224,$A40,Pedidos!$AI$2:$AI$2224,"SIM")/B40,"")</f>
        <v>0</v>
      </c>
      <c r="J40" s="14" t="n">
        <f aca="false">IFERROR(MAX(0,1-C40/D40),"")</f>
        <v>0.215594996880195</v>
      </c>
    </row>
    <row r="41" customFormat="false" ht="15" hidden="false" customHeight="false" outlineLevel="0" collapsed="false">
      <c r="A41" s="4" t="s">
        <v>185</v>
      </c>
      <c r="B41" s="10" t="n">
        <f aca="false">COUNTIFS(Pedidos!$AL$2:$AL$2224,"SIM",Pedidos!$G$2:$G$2224,"Metropolitana",Pedidos!$H$2:$H$2224,$A41)</f>
        <v>72</v>
      </c>
      <c r="C41" s="12" t="n">
        <f aca="false">IFERROR(AVERAGEIFS(Pedidos!$W$2:$W$2224,Pedidos!$AL$2:$AL$2224,"SIM",Pedidos!$G$2:$G$2224,"Metropolitana",Pedidos!$H$2:$H$2224,$A41),"")</f>
        <v>114.347380397727</v>
      </c>
      <c r="D41" s="12" t="n">
        <f aca="false">IFERROR(AVERAGEIFS(Pedidos!$AF$2:$AF$2224,Pedidos!$AL$2:$AL$2224,"SIM",Pedidos!$G$2:$G$2224,"Metropolitana",Pedidos!$H$2:$H$2224,$A41),"")</f>
        <v>146.408076546717</v>
      </c>
      <c r="E41" s="13" t="n">
        <f aca="false">IFERROR(D41/C41-1,"")</f>
        <v>0.280379804394951</v>
      </c>
      <c r="F41" s="12" t="n">
        <f aca="false">IFERROR(AVERAGEIFS(Pedidos!$M$2:$M$2224,Pedidos!$AL$2:$AL$2224,"SIM",Pedidos!$G$2:$G$2224,"Metropolitana",Pedidos!$H$2:$H$2224,$A41),"")</f>
        <v>66.83</v>
      </c>
      <c r="G41" s="12" t="n">
        <f aca="false">IFERROR(AVERAGEIFS(Pedidos!$X$2:$X$2224,Pedidos!$AL$2:$AL$2224,"SIM",Pedidos!$G$2:$G$2224,"Metropolitana",Pedidos!$H$2:$H$2224,$A41),"")</f>
        <v>102.420277777778</v>
      </c>
      <c r="H41" s="13" t="n">
        <f aca="false">IFERROR(G41/F41-1,"")</f>
        <v>0.53254942058623</v>
      </c>
      <c r="I41" s="14" t="n">
        <f aca="false">IFERROR(COUNTIFS(Pedidos!$AL$2:$AL$2224,"SIM",Pedidos!$G$2:$G$2224,"Metropolitana",Pedidos!$H$2:$H$2224,$A41,Pedidos!$AI$2:$AI$2224,"SIM")/B41,"")</f>
        <v>0</v>
      </c>
      <c r="J41" s="14" t="n">
        <f aca="false">IFERROR(MAX(0,1-C41/D41),"")</f>
        <v>0.21898174544189</v>
      </c>
    </row>
    <row r="42" customFormat="false" ht="15" hidden="false" customHeight="false" outlineLevel="0" collapsed="false">
      <c r="A42" s="4" t="s">
        <v>186</v>
      </c>
      <c r="B42" s="10" t="n">
        <f aca="false">COUNTIFS(Pedidos!$AL$2:$AL$2224,"SIM",Pedidos!$G$2:$G$2224,"Metropolitana",Pedidos!$H$2:$H$2224,$A42)</f>
        <v>89</v>
      </c>
      <c r="C42" s="12" t="n">
        <f aca="false">IFERROR(AVERAGEIFS(Pedidos!$W$2:$W$2224,Pedidos!$AL$2:$AL$2224,"SIM",Pedidos!$G$2:$G$2224,"Metropolitana",Pedidos!$H$2:$H$2224,$A42),"")</f>
        <v>117.696555822268</v>
      </c>
      <c r="D42" s="12" t="n">
        <f aca="false">IFERROR(AVERAGEIFS(Pedidos!$AF$2:$AF$2224,Pedidos!$AL$2:$AL$2224,"SIM",Pedidos!$G$2:$G$2224,"Metropolitana",Pedidos!$H$2:$H$2224,$A42),"")</f>
        <v>152.123087078652</v>
      </c>
      <c r="E42" s="13" t="n">
        <f aca="false">IFERROR(D42/C42-1,"")</f>
        <v>0.292502452734227</v>
      </c>
      <c r="F42" s="12" t="n">
        <f aca="false">IFERROR(AVERAGEIFS(Pedidos!$M$2:$M$2224,Pedidos!$AL$2:$AL$2224,"SIM",Pedidos!$G$2:$G$2224,"Metropolitana",Pedidos!$H$2:$H$2224,$A42),"")</f>
        <v>65.36</v>
      </c>
      <c r="G42" s="12" t="n">
        <f aca="false">IFERROR(AVERAGEIFS(Pedidos!$X$2:$X$2224,Pedidos!$AL$2:$AL$2224,"SIM",Pedidos!$G$2:$G$2224,"Metropolitana",Pedidos!$H$2:$H$2224,$A42),"")</f>
        <v>102.69202247191</v>
      </c>
      <c r="H42" s="13" t="n">
        <f aca="false">IFERROR(G42/F42-1,"")</f>
        <v>0.571175374417229</v>
      </c>
      <c r="I42" s="14" t="n">
        <f aca="false">IFERROR(COUNTIFS(Pedidos!$AL$2:$AL$2224,"SIM",Pedidos!$G$2:$G$2224,"Metropolitana",Pedidos!$H$2:$H$2224,$A42,Pedidos!$AI$2:$AI$2224,"SIM")/B42,"")</f>
        <v>0</v>
      </c>
      <c r="J42" s="14" t="n">
        <f aca="false">IFERROR(MAX(0,1-C42/D42),"")</f>
        <v>0.226307077495638</v>
      </c>
    </row>
    <row r="43" customFormat="false" ht="15" hidden="false" customHeight="false" outlineLevel="0" collapsed="false">
      <c r="A43" s="4" t="s">
        <v>187</v>
      </c>
      <c r="B43" s="10" t="n">
        <f aca="false">COUNTIFS(Pedidos!$AL$2:$AL$2224,"SIM",Pedidos!$G$2:$G$2224,"Metropolitana",Pedidos!$H$2:$H$2224,$A43)</f>
        <v>116</v>
      </c>
      <c r="C43" s="12" t="n">
        <f aca="false">IFERROR(AVERAGEIFS(Pedidos!$W$2:$W$2224,Pedidos!$AL$2:$AL$2224,"SIM",Pedidos!$G$2:$G$2224,"Metropolitana",Pedidos!$H$2:$H$2224,$A43),"")</f>
        <v>128.35567104232</v>
      </c>
      <c r="D43" s="12" t="n">
        <f aca="false">IFERROR(AVERAGEIFS(Pedidos!$AF$2:$AF$2224,Pedidos!$AL$2:$AL$2224,"SIM",Pedidos!$G$2:$G$2224,"Metropolitana",Pedidos!$H$2:$H$2224,$A43),"")</f>
        <v>174.565962970219</v>
      </c>
      <c r="E43" s="13" t="n">
        <f aca="false">IFERROR(D43/C43-1,"")</f>
        <v>0.360017532163918</v>
      </c>
      <c r="F43" s="12" t="n">
        <f aca="false">IFERROR(AVERAGEIFS(Pedidos!$M$2:$M$2224,Pedidos!$AL$2:$AL$2224,"SIM",Pedidos!$G$2:$G$2224,"Metropolitana",Pedidos!$H$2:$H$2224,$A43),"")</f>
        <v>70.98</v>
      </c>
      <c r="G43" s="12" t="n">
        <f aca="false">IFERROR(AVERAGEIFS(Pedidos!$X$2:$X$2224,Pedidos!$AL$2:$AL$2224,"SIM",Pedidos!$G$2:$G$2224,"Metropolitana",Pedidos!$H$2:$H$2224,$A43),"")</f>
        <v>118.308275862069</v>
      </c>
      <c r="H43" s="13" t="n">
        <f aca="false">IFERROR(G43/F43-1,"")</f>
        <v>0.666783260947717</v>
      </c>
      <c r="I43" s="14" t="n">
        <f aca="false">IFERROR(COUNTIFS(Pedidos!$AL$2:$AL$2224,"SIM",Pedidos!$G$2:$G$2224,"Metropolitana",Pedidos!$H$2:$H$2224,$A43,Pedidos!$AI$2:$AI$2224,"SIM")/B43,"")</f>
        <v>0</v>
      </c>
      <c r="J43" s="14" t="n">
        <f aca="false">IFERROR(MAX(0,1-C43/D43),"")</f>
        <v>0.2647153611256</v>
      </c>
    </row>
    <row r="44" customFormat="false" ht="15" hidden="false" customHeight="false" outlineLevel="0" collapsed="false">
      <c r="A44" s="4" t="s">
        <v>188</v>
      </c>
      <c r="B44" s="10" t="n">
        <f aca="false">COUNTIFS(Pedidos!$AL$2:$AL$2224,"SIM",Pedidos!$G$2:$G$2224,"Metropolitana",Pedidos!$H$2:$H$2224,$A44)</f>
        <v>69</v>
      </c>
      <c r="C44" s="12" t="n">
        <f aca="false">IFERROR(AVERAGEIFS(Pedidos!$W$2:$W$2224,Pedidos!$AL$2:$AL$2224,"SIM",Pedidos!$G$2:$G$2224,"Metropolitana",Pedidos!$H$2:$H$2224,$A44),"")</f>
        <v>141.076741304348</v>
      </c>
      <c r="D44" s="12" t="n">
        <f aca="false">IFERROR(AVERAGEIFS(Pedidos!$AF$2:$AF$2224,Pedidos!$AL$2:$AL$2224,"SIM",Pedidos!$G$2:$G$2224,"Metropolitana",Pedidos!$H$2:$H$2224,$A44),"")</f>
        <v>204.090882411067</v>
      </c>
      <c r="E44" s="13" t="n">
        <f aca="false">IFERROR(D44/C44-1,"")</f>
        <v>0.446665697861405</v>
      </c>
      <c r="F44" s="12" t="n">
        <f aca="false">IFERROR(AVERAGEIFS(Pedidos!$M$2:$M$2224,Pedidos!$AL$2:$AL$2224,"SIM",Pedidos!$G$2:$G$2224,"Metropolitana",Pedidos!$H$2:$H$2224,$A44),"")</f>
        <v>76.55</v>
      </c>
      <c r="G44" s="12" t="n">
        <f aca="false">IFERROR(AVERAGEIFS(Pedidos!$X$2:$X$2224,Pedidos!$AL$2:$AL$2224,"SIM",Pedidos!$G$2:$G$2224,"Metropolitana",Pedidos!$H$2:$H$2224,$A44),"")</f>
        <v>137.98347826087</v>
      </c>
      <c r="H44" s="13" t="n">
        <f aca="false">IFERROR(G44/F44-1,"")</f>
        <v>0.802527475648198</v>
      </c>
      <c r="I44" s="14" t="n">
        <f aca="false">IFERROR(COUNTIFS(Pedidos!$AL$2:$AL$2224,"SIM",Pedidos!$G$2:$G$2224,"Metropolitana",Pedidos!$H$2:$H$2224,$A44,Pedidos!$AI$2:$AI$2224,"SIM")/B44,"")</f>
        <v>0</v>
      </c>
      <c r="J44" s="14" t="n">
        <f aca="false">IFERROR(MAX(0,1-C44/D44),"")</f>
        <v>0.308755297455181</v>
      </c>
    </row>
    <row r="45" customFormat="false" ht="15" hidden="false" customHeight="false" outlineLevel="0" collapsed="false">
      <c r="A45" s="4" t="s">
        <v>189</v>
      </c>
      <c r="B45" s="10" t="n">
        <f aca="false">COUNTIFS(Pedidos!$AL$2:$AL$2224,"SIM",Pedidos!$G$2:$G$2224,"Metropolitana",Pedidos!$H$2:$H$2224,$A45)</f>
        <v>9</v>
      </c>
      <c r="C45" s="12" t="n">
        <f aca="false">IFERROR(AVERAGEIFS(Pedidos!$W$2:$W$2224,Pedidos!$AL$2:$AL$2224,"SIM",Pedidos!$G$2:$G$2224,"Metropolitana",Pedidos!$H$2:$H$2224,$A45),"")</f>
        <v>151.893861363636</v>
      </c>
      <c r="D45" s="12" t="n">
        <f aca="false">IFERROR(AVERAGEIFS(Pedidos!$AF$2:$AF$2224,Pedidos!$AL$2:$AL$2224,"SIM",Pedidos!$G$2:$G$2224,"Metropolitana",Pedidos!$H$2:$H$2224,$A45),"")</f>
        <v>207.516178030303</v>
      </c>
      <c r="E45" s="13" t="n">
        <f aca="false">IFERROR(D45/C45-1,"")</f>
        <v>0.366191998592399</v>
      </c>
      <c r="F45" s="12" t="n">
        <f aca="false">IFERROR(AVERAGEIFS(Pedidos!$M$2:$M$2224,Pedidos!$AL$2:$AL$2224,"SIM",Pedidos!$G$2:$G$2224,"Metropolitana",Pedidos!$H$2:$H$2224,$A45),"")</f>
        <v>82.48</v>
      </c>
      <c r="G45" s="12" t="n">
        <f aca="false">IFERROR(AVERAGEIFS(Pedidos!$X$2:$X$2224,Pedidos!$AL$2:$AL$2224,"SIM",Pedidos!$G$2:$G$2224,"Metropolitana",Pedidos!$H$2:$H$2224,$A45),"")</f>
        <v>137.173333333333</v>
      </c>
      <c r="H45" s="13" t="n">
        <f aca="false">IFERROR(G45/F45-1,"")</f>
        <v>0.66311024894924</v>
      </c>
      <c r="I45" s="14" t="n">
        <f aca="false">IFERROR(COUNTIFS(Pedidos!$AL$2:$AL$2224,"SIM",Pedidos!$G$2:$G$2224,"Metropolitana",Pedidos!$H$2:$H$2224,$A45,Pedidos!$AI$2:$AI$2224,"SIM")/B45,"")</f>
        <v>0</v>
      </c>
      <c r="J45" s="14" t="n">
        <f aca="false">IFERROR(MAX(0,1-C45/D45),"")</f>
        <v>0.268038459433</v>
      </c>
    </row>
    <row r="46" customFormat="false" ht="15" hidden="false" customHeight="false" outlineLevel="0" collapsed="false">
      <c r="A46" s="4" t="s">
        <v>190</v>
      </c>
      <c r="B46" s="10" t="n">
        <f aca="false">COUNTIFS(Pedidos!$AL$2:$AL$2224,"SIM",Pedidos!$G$2:$G$2224,"Metropolitana",Pedidos!$H$2:$H$2224,$A46)</f>
        <v>11</v>
      </c>
      <c r="C46" s="12" t="n">
        <f aca="false">IFERROR(AVERAGEIFS(Pedidos!$W$2:$W$2224,Pedidos!$AL$2:$AL$2224,"SIM",Pedidos!$G$2:$G$2224,"Metropolitana",Pedidos!$H$2:$H$2224,$A46),"")</f>
        <v>170.551505578512</v>
      </c>
      <c r="D46" s="12" t="n">
        <f aca="false">IFERROR(AVERAGEIFS(Pedidos!$AF$2:$AF$2224,Pedidos!$AL$2:$AL$2224,"SIM",Pedidos!$G$2:$G$2224,"Metropolitana",Pedidos!$H$2:$H$2224,$A46),"")</f>
        <v>255.117810950413</v>
      </c>
      <c r="E46" s="13" t="n">
        <f aca="false">IFERROR(D46/C46-1,"")</f>
        <v>0.495840274672751</v>
      </c>
      <c r="F46" s="12" t="n">
        <f aca="false">IFERROR(AVERAGEIFS(Pedidos!$M$2:$M$2224,Pedidos!$AL$2:$AL$2224,"SIM",Pedidos!$G$2:$G$2224,"Metropolitana",Pedidos!$H$2:$H$2224,$A46),"")</f>
        <v>92.32</v>
      </c>
      <c r="G46" s="12" t="n">
        <f aca="false">IFERROR(AVERAGEIFS(Pedidos!$X$2:$X$2224,Pedidos!$AL$2:$AL$2224,"SIM",Pedidos!$G$2:$G$2224,"Metropolitana",Pedidos!$H$2:$H$2224,$A46),"")</f>
        <v>171.782727272727</v>
      </c>
      <c r="H46" s="13" t="n">
        <f aca="false">IFERROR(G46/F46-1,"")</f>
        <v>0.860731447928155</v>
      </c>
      <c r="I46" s="14" t="n">
        <f aca="false">IFERROR(COUNTIFS(Pedidos!$AL$2:$AL$2224,"SIM",Pedidos!$G$2:$G$2224,"Metropolitana",Pedidos!$H$2:$H$2224,$A46,Pedidos!$AI$2:$AI$2224,"SIM")/B46,"")</f>
        <v>0</v>
      </c>
      <c r="J46" s="14" t="n">
        <f aca="false">IFERROR(MAX(0,1-C46/D46),"")</f>
        <v>0.331479425355911</v>
      </c>
    </row>
    <row r="47" customFormat="false" ht="15" hidden="false" customHeight="false" outlineLevel="0" collapsed="false">
      <c r="A47" s="4" t="s">
        <v>191</v>
      </c>
      <c r="B47" s="10" t="n">
        <f aca="false">COUNTIFS(Pedidos!$AL$2:$AL$2224,"SIM",Pedidos!$G$2:$G$2224,"Metropolitana",Pedidos!$H$2:$H$2224,$A47)</f>
        <v>18</v>
      </c>
      <c r="C47" s="12" t="n">
        <f aca="false">IFERROR(AVERAGEIFS(Pedidos!$W$2:$W$2224,Pedidos!$AL$2:$AL$2224,"SIM",Pedidos!$G$2:$G$2224,"Metropolitana",Pedidos!$H$2:$H$2224,$A47),"")</f>
        <v>195.087438636364</v>
      </c>
      <c r="D47" s="12" t="n">
        <f aca="false">IFERROR(AVERAGEIFS(Pedidos!$AF$2:$AF$2224,Pedidos!$AL$2:$AL$2224,"SIM",Pedidos!$G$2:$G$2224,"Metropolitana",Pedidos!$H$2:$H$2224,$A47),"")</f>
        <v>311.737059343434</v>
      </c>
      <c r="E47" s="13" t="n">
        <f aca="false">IFERROR(D47/C47-1,"")</f>
        <v>0.597935067077802</v>
      </c>
      <c r="F47" s="12" t="n">
        <f aca="false">IFERROR(AVERAGEIFS(Pedidos!$M$2:$M$2224,Pedidos!$AL$2:$AL$2224,"SIM",Pedidos!$G$2:$G$2224,"Metropolitana",Pedidos!$H$2:$H$2224,$A47),"")</f>
        <v>101.26</v>
      </c>
      <c r="G47" s="12" t="n">
        <f aca="false">IFERROR(AVERAGEIFS(Pedidos!$X$2:$X$2224,Pedidos!$AL$2:$AL$2224,"SIM",Pedidos!$G$2:$G$2224,"Metropolitana",Pedidos!$H$2:$H$2224,$A47),"")</f>
        <v>204.372222222222</v>
      </c>
      <c r="H47" s="13" t="n">
        <f aca="false">IFERROR(G47/F47-1,"")</f>
        <v>1.01829174621985</v>
      </c>
      <c r="I47" s="14" t="n">
        <f aca="false">IFERROR(COUNTIFS(Pedidos!$AL$2:$AL$2224,"SIM",Pedidos!$G$2:$G$2224,"Metropolitana",Pedidos!$H$2:$H$2224,$A47,Pedidos!$AI$2:$AI$2224,"SIM")/B47,"")</f>
        <v>0</v>
      </c>
      <c r="J47" s="14" t="n">
        <f aca="false">IFERROR(MAX(0,1-C47/D47),"")</f>
        <v>0.374192343229106</v>
      </c>
    </row>
    <row r="48" customFormat="false" ht="15" hidden="false" customHeight="false" outlineLevel="0" collapsed="false">
      <c r="A48" s="4" t="s">
        <v>192</v>
      </c>
      <c r="B48" s="10" t="n">
        <f aca="false">COUNTIFS(Pedidos!$AL$2:$AL$2224,"SIM",Pedidos!$G$2:$G$2224,"Metropolitana",Pedidos!$H$2:$H$2224,$A48)</f>
        <v>18</v>
      </c>
      <c r="C48" s="12" t="n">
        <f aca="false">IFERROR(AVERAGEIFS(Pedidos!$W$2:$W$2224,Pedidos!$AL$2:$AL$2224,"SIM",Pedidos!$G$2:$G$2224,"Metropolitana",Pedidos!$H$2:$H$2224,$A48),"")</f>
        <v>239.503561742424</v>
      </c>
      <c r="D48" s="12" t="n">
        <f aca="false">IFERROR(AVERAGEIFS(Pedidos!$AF$2:$AF$2224,Pedidos!$AL$2:$AL$2224,"SIM",Pedidos!$G$2:$G$2224,"Metropolitana",Pedidos!$H$2:$H$2224,$A48),"")</f>
        <v>367.450054924242</v>
      </c>
      <c r="E48" s="13" t="n">
        <f aca="false">IFERROR(D48/C48-1,"")</f>
        <v>0.534215408952536</v>
      </c>
      <c r="F48" s="12" t="n">
        <f aca="false">IFERROR(AVERAGEIFS(Pedidos!$M$2:$M$2224,Pedidos!$AL$2:$AL$2224,"SIM",Pedidos!$G$2:$G$2224,"Metropolitana",Pedidos!$H$2:$H$2224,$A48),"")</f>
        <v>129.62</v>
      </c>
      <c r="G48" s="12" t="n">
        <f aca="false">IFERROR(AVERAGEIFS(Pedidos!$X$2:$X$2224,Pedidos!$AL$2:$AL$2224,"SIM",Pedidos!$G$2:$G$2224,"Metropolitana",Pedidos!$H$2:$H$2224,$A48),"")</f>
        <v>241.966666666667</v>
      </c>
      <c r="H48" s="13" t="n">
        <f aca="false">IFERROR(G48/F48-1,"")</f>
        <v>0.866738672015635</v>
      </c>
      <c r="I48" s="14" t="n">
        <f aca="false">IFERROR(COUNTIFS(Pedidos!$AL$2:$AL$2224,"SIM",Pedidos!$G$2:$G$2224,"Metropolitana",Pedidos!$H$2:$H$2224,$A48,Pedidos!$AI$2:$AI$2224,"SIM")/B48,"")</f>
        <v>0</v>
      </c>
      <c r="J48" s="14" t="n">
        <f aca="false">IFERROR(MAX(0,1-C48/D48),"")</f>
        <v>0.348201045195644</v>
      </c>
    </row>
    <row r="49" customFormat="false" ht="15" hidden="false" customHeight="false" outlineLevel="0" collapsed="false">
      <c r="A49" s="4" t="s">
        <v>193</v>
      </c>
      <c r="B49" s="10" t="n">
        <f aca="false">COUNTIFS(Pedidos!$AL$2:$AL$2224,"SIM",Pedidos!$G$2:$G$2224,"Metropolitana",Pedidos!$H$2:$H$2224,$A49)</f>
        <v>1</v>
      </c>
      <c r="C49" s="12" t="n">
        <f aca="false">IFERROR(AVERAGEIFS(Pedidos!$W$2:$W$2224,Pedidos!$AL$2:$AL$2224,"SIM",Pedidos!$G$2:$G$2224,"Metropolitana",Pedidos!$H$2:$H$2224,$A49),"")</f>
        <v>271.377225</v>
      </c>
      <c r="D49" s="12" t="n">
        <f aca="false">IFERROR(AVERAGEIFS(Pedidos!$AF$2:$AF$2224,Pedidos!$AL$2:$AL$2224,"SIM",Pedidos!$G$2:$G$2224,"Metropolitana",Pedidos!$H$2:$H$2224,$A49),"")</f>
        <v>435.306784090909</v>
      </c>
      <c r="E49" s="13" t="n">
        <f aca="false">IFERROR(D49/C49-1,"")</f>
        <v>0.60406527884169</v>
      </c>
      <c r="F49" s="12" t="n">
        <f aca="false">IFERROR(AVERAGEIFS(Pedidos!$M$2:$M$2224,Pedidos!$AL$2:$AL$2224,"SIM",Pedidos!$G$2:$G$2224,"Metropolitana",Pedidos!$H$2:$H$2224,$A49),"")</f>
        <v>139.81</v>
      </c>
      <c r="G49" s="12" t="n">
        <f aca="false">IFERROR(AVERAGEIFS(Pedidos!$X$2:$X$2224,Pedidos!$AL$2:$AL$2224,"SIM",Pedidos!$G$2:$G$2224,"Metropolitana",Pedidos!$H$2:$H$2224,$A49),"")</f>
        <v>282.23</v>
      </c>
      <c r="H49" s="13" t="n">
        <f aca="false">IFERROR(G49/F49-1,"")</f>
        <v>1.01866819254703</v>
      </c>
      <c r="I49" s="14" t="n">
        <f aca="false">IFERROR(COUNTIFS(Pedidos!$AL$2:$AL$2224,"SIM",Pedidos!$G$2:$G$2224,"Metropolitana",Pedidos!$H$2:$H$2224,$A49,Pedidos!$AI$2:$AI$2224,"SIM")/B49,"")</f>
        <v>0</v>
      </c>
      <c r="J49" s="14" t="n">
        <f aca="false">IFERROR(MAX(0,1-C49/D49),"")</f>
        <v>0.37658397498504</v>
      </c>
    </row>
    <row r="50" customFormat="false" ht="15" hidden="false" customHeight="false" outlineLevel="0" collapsed="false">
      <c r="A50" s="4" t="s">
        <v>194</v>
      </c>
      <c r="B50" s="10" t="n">
        <f aca="false">COUNTIFS(Pedidos!$AL$2:$AL$2224,"SIM",Pedidos!$G$2:$G$2224,"Metropolitana",Pedidos!$H$2:$H$2224,$A50)</f>
        <v>0</v>
      </c>
      <c r="C50" s="12" t="str">
        <f aca="false">IFERROR(AVERAGEIFS(Pedidos!$W$2:$W$2224,Pedidos!$AL$2:$AL$2224,"SIM",Pedidos!$G$2:$G$2224,"Metropolitana",Pedidos!$H$2:$H$2224,$A50),"")</f>
        <v/>
      </c>
      <c r="D50" s="12" t="str">
        <f aca="false">IFERROR(AVERAGEIFS(Pedidos!$AF$2:$AF$2224,Pedidos!$AL$2:$AL$2224,"SIM",Pedidos!$G$2:$G$2224,"Metropolitana",Pedidos!$H$2:$H$2224,$A50),"")</f>
        <v/>
      </c>
      <c r="E50" s="13" t="str">
        <f aca="false">IFERROR(D50/C50-1,"")</f>
        <v/>
      </c>
      <c r="F50" s="12" t="str">
        <f aca="false">IFERROR(AVERAGEIFS(Pedidos!$M$2:$M$2224,Pedidos!$AL$2:$AL$2224,"SIM",Pedidos!$G$2:$G$2224,"Metropolitana",Pedidos!$H$2:$H$2224,$A50),"")</f>
        <v/>
      </c>
      <c r="G50" s="12" t="str">
        <f aca="false">IFERROR(AVERAGEIFS(Pedidos!$X$2:$X$2224,Pedidos!$AL$2:$AL$2224,"SIM",Pedidos!$G$2:$G$2224,"Metropolitana",Pedidos!$H$2:$H$2224,$A50),"")</f>
        <v/>
      </c>
      <c r="H50" s="13" t="str">
        <f aca="false">IFERROR(G50/F50-1,"")</f>
        <v/>
      </c>
      <c r="I50" s="14" t="str">
        <f aca="false">IFERROR(COUNTIFS(Pedidos!$AL$2:$AL$2224,"SIM",Pedidos!$G$2:$G$2224,"Metropolitana",Pedidos!$H$2:$H$2224,$A50,Pedidos!$AI$2:$AI$2224,"SIM")/B50,"")</f>
        <v/>
      </c>
      <c r="J50" s="14" t="str">
        <f aca="false">IFERROR(MAX(0,1-C50/D50),"")</f>
        <v/>
      </c>
    </row>
    <row r="51" customFormat="false" ht="15" hidden="false" customHeight="false" outlineLevel="0" collapsed="false">
      <c r="A51" s="4" t="s">
        <v>195</v>
      </c>
      <c r="B51" s="10" t="n">
        <f aca="false">COUNTIFS(Pedidos!$AL$2:$AL$2224,"SIM",Pedidos!$G$2:$G$2224,"Metropolitana",Pedidos!$H$2:$H$2224,$A51)</f>
        <v>0</v>
      </c>
      <c r="C51" s="12" t="str">
        <f aca="false">IFERROR(AVERAGEIFS(Pedidos!$W$2:$W$2224,Pedidos!$AL$2:$AL$2224,"SIM",Pedidos!$G$2:$G$2224,"Metropolitana",Pedidos!$H$2:$H$2224,$A51),"")</f>
        <v/>
      </c>
      <c r="D51" s="12" t="str">
        <f aca="false">IFERROR(AVERAGEIFS(Pedidos!$AF$2:$AF$2224,Pedidos!$AL$2:$AL$2224,"SIM",Pedidos!$G$2:$G$2224,"Metropolitana",Pedidos!$H$2:$H$2224,$A51),"")</f>
        <v/>
      </c>
      <c r="E51" s="13" t="str">
        <f aca="false">IFERROR(D51/C51-1,"")</f>
        <v/>
      </c>
      <c r="F51" s="12" t="str">
        <f aca="false">IFERROR(AVERAGEIFS(Pedidos!$M$2:$M$2224,Pedidos!$AL$2:$AL$2224,"SIM",Pedidos!$G$2:$G$2224,"Metropolitana",Pedidos!$H$2:$H$2224,$A51),"")</f>
        <v/>
      </c>
      <c r="G51" s="12" t="str">
        <f aca="false">IFERROR(AVERAGEIFS(Pedidos!$X$2:$X$2224,Pedidos!$AL$2:$AL$2224,"SIM",Pedidos!$G$2:$G$2224,"Metropolitana",Pedidos!$H$2:$H$2224,$A51),"")</f>
        <v/>
      </c>
      <c r="H51" s="13" t="str">
        <f aca="false">IFERROR(G51/F51-1,"")</f>
        <v/>
      </c>
      <c r="I51" s="14" t="str">
        <f aca="false">IFERROR(COUNTIFS(Pedidos!$AL$2:$AL$2224,"SIM",Pedidos!$G$2:$G$2224,"Metropolitana",Pedidos!$H$2:$H$2224,$A51,Pedidos!$AI$2:$AI$2224,"SIM")/B51,"")</f>
        <v/>
      </c>
      <c r="J51" s="14" t="str">
        <f aca="false">IFERROR(MAX(0,1-C51/D51),"")</f>
        <v/>
      </c>
    </row>
    <row r="52" customFormat="false" ht="15" hidden="false" customHeight="false" outlineLevel="0" collapsed="false">
      <c r="A52" s="21" t="s">
        <v>54</v>
      </c>
      <c r="B52" s="28" t="n">
        <f aca="false">COUNTIFS(Pedidos!$AL$2:$AL$2224,"SIM",Pedidos!$G$2:$G$2224,"Metropolitana")</f>
        <v>511</v>
      </c>
      <c r="C52" s="22" t="n">
        <f aca="false">IFERROR(AVERAGEIFS(Pedidos!$W$2:$W$2224,Pedidos!$AL$2:$AL$2224,"SIM",Pedidos!$G$2:$G$2224,"Metropolitana"),"")</f>
        <v>127.076341571784</v>
      </c>
      <c r="D52" s="22" t="n">
        <f aca="false">IFERROR(AVERAGEIFS(Pedidos!$AF$2:$AF$2224,Pedidos!$AL$2:$AL$2224,"SIM",Pedidos!$G$2:$G$2224,"Metropolitana"),"")</f>
        <v>172.875075097847</v>
      </c>
      <c r="E52" s="23" t="n">
        <f aca="false">IFERROR(D52/C52-1,"")</f>
        <v>0.360403305285522</v>
      </c>
      <c r="F52" s="22" t="n">
        <f aca="false">IFERROR(AVERAGEIFS(Pedidos!$M$2:$M$2224,Pedidos!$AL$2:$AL$2224,"SIM",Pedidos!$G$2:$G$2224,"Metropolitana"),"")</f>
        <v>70.7679060665362</v>
      </c>
      <c r="G52" s="22" t="n">
        <f aca="false">IFERROR(AVERAGEIFS(Pedidos!$X$2:$X$2224,Pedidos!$AL$2:$AL$2224,"SIM",Pedidos!$G$2:$G$2224,"Metropolitana"),"")</f>
        <v>117.557397260274</v>
      </c>
      <c r="H52" s="23" t="n">
        <f aca="false">IFERROR(G52/F52-1,"")</f>
        <v>0.661168229984735</v>
      </c>
      <c r="I52" s="29" t="n">
        <f aca="false">IFERROR(COUNTIFS(Pedidos!$AL$2:$AL$2224,"SIM",Pedidos!$G$2:$G$2224,"Metropolitana",Pedidos!$AI$2:$AI$2224,"SIM")/B52,"")</f>
        <v>0.0273972602739726</v>
      </c>
      <c r="J52" s="29" t="n">
        <f aca="false">IFERROR(MAX(0,1-C52/D52),"")</f>
        <v>0.264923867712803</v>
      </c>
    </row>
    <row r="54" customFormat="false" ht="15" hidden="false" customHeight="false" outlineLevel="0" collapsed="false">
      <c r="A54" s="2" t="s">
        <v>305</v>
      </c>
    </row>
    <row r="55" customFormat="false" ht="45" hidden="false" customHeight="true" outlineLevel="0" collapsed="false">
      <c r="A55" s="3" t="s">
        <v>299</v>
      </c>
      <c r="B55" s="3" t="s">
        <v>31</v>
      </c>
      <c r="C55" s="3" t="s">
        <v>148</v>
      </c>
      <c r="D55" s="3" t="s">
        <v>149</v>
      </c>
      <c r="E55" s="3" t="s">
        <v>150</v>
      </c>
      <c r="F55" s="3" t="s">
        <v>300</v>
      </c>
      <c r="G55" s="3" t="s">
        <v>301</v>
      </c>
      <c r="H55" s="3" t="s">
        <v>154</v>
      </c>
      <c r="I55" s="3" t="s">
        <v>153</v>
      </c>
      <c r="J55" s="3" t="s">
        <v>302</v>
      </c>
    </row>
    <row r="56" customFormat="false" ht="15" hidden="false" customHeight="false" outlineLevel="0" collapsed="false">
      <c r="A56" s="4" t="s">
        <v>183</v>
      </c>
      <c r="B56" s="10" t="n">
        <f aca="false">COUNTIFS(Pedidos!$AL$2:$AL$2224,"SIM",Pedidos!$G$2:$G$2224,"Interior",Pedidos!$H$2:$H$2224,$A56)</f>
        <v>8</v>
      </c>
      <c r="C56" s="12" t="n">
        <f aca="false">IFERROR(AVERAGEIFS(Pedidos!$W$2:$W$2224,Pedidos!$AL$2:$AL$2224,"SIM",Pedidos!$G$2:$G$2224,"Interior",Pedidos!$H$2:$H$2224,$A56),"")</f>
        <v>80.1303542613636</v>
      </c>
      <c r="D56" s="12" t="n">
        <f aca="false">IFERROR(AVERAGEIFS(Pedidos!$AF$2:$AF$2224,Pedidos!$AL$2:$AL$2224,"SIM",Pedidos!$G$2:$G$2224,"Interior",Pedidos!$H$2:$H$2224,$A56),"")</f>
        <v>115.537103693182</v>
      </c>
      <c r="E56" s="13" t="n">
        <f aca="false">IFERROR(D56/C56-1,"")</f>
        <v>0.441864381584173</v>
      </c>
      <c r="F56" s="12" t="n">
        <f aca="false">IFERROR(AVERAGEIFS(Pedidos!$M$2:$M$2224,Pedidos!$AL$2:$AL$2224,"SIM",Pedidos!$G$2:$G$2224,"Interior",Pedidos!$H$2:$H$2224,$A56),"")</f>
        <v>46.95</v>
      </c>
      <c r="G56" s="12" t="n">
        <f aca="false">IFERROR(AVERAGEIFS(Pedidos!$X$2:$X$2224,Pedidos!$AL$2:$AL$2224,"SIM",Pedidos!$G$2:$G$2224,"Interior",Pedidos!$H$2:$H$2224,$A56),"")</f>
        <v>86.54</v>
      </c>
      <c r="H56" s="13" t="n">
        <f aca="false">IFERROR(G56/F56-1,"")</f>
        <v>0.843237486687966</v>
      </c>
      <c r="I56" s="14" t="n">
        <f aca="false">IFERROR(COUNTIFS(Pedidos!$AL$2:$AL$2224,"SIM",Pedidos!$G$2:$G$2224,"Interior",Pedidos!$H$2:$H$2224,$A56,Pedidos!$AI$2:$AI$2224,"SIM")/B56,"")</f>
        <v>0</v>
      </c>
      <c r="J56" s="14" t="n">
        <f aca="false">IFERROR(MAX(0,1-C56/D56),"")</f>
        <v>0.306453496755845</v>
      </c>
    </row>
    <row r="57" customFormat="false" ht="15" hidden="false" customHeight="false" outlineLevel="0" collapsed="false">
      <c r="A57" s="4" t="s">
        <v>184</v>
      </c>
      <c r="B57" s="10" t="n">
        <f aca="false">COUNTIFS(Pedidos!$AL$2:$AL$2224,"SIM",Pedidos!$G$2:$G$2224,"Interior",Pedidos!$H$2:$H$2224,$A57)</f>
        <v>84</v>
      </c>
      <c r="C57" s="12" t="n">
        <f aca="false">IFERROR(AVERAGEIFS(Pedidos!$W$2:$W$2224,Pedidos!$AL$2:$AL$2224,"SIM",Pedidos!$G$2:$G$2224,"Interior",Pedidos!$H$2:$H$2224,$A57),"")</f>
        <v>108.463269561688</v>
      </c>
      <c r="D57" s="12" t="n">
        <f aca="false">IFERROR(AVERAGEIFS(Pedidos!$AF$2:$AF$2224,Pedidos!$AL$2:$AL$2224,"SIM",Pedidos!$G$2:$G$2224,"Interior",Pedidos!$H$2:$H$2224,$A57),"")</f>
        <v>158.321475784632</v>
      </c>
      <c r="E57" s="13" t="n">
        <f aca="false">IFERROR(D57/C57-1,"")</f>
        <v>0.459678252595797</v>
      </c>
      <c r="F57" s="12" t="n">
        <f aca="false">IFERROR(AVERAGEIFS(Pedidos!$M$2:$M$2224,Pedidos!$AL$2:$AL$2224,"SIM",Pedidos!$G$2:$G$2224,"Interior",Pedidos!$H$2:$H$2224,$A57),"")</f>
        <v>65.63</v>
      </c>
      <c r="G57" s="12" t="n">
        <f aca="false">IFERROR(AVERAGEIFS(Pedidos!$X$2:$X$2224,Pedidos!$AL$2:$AL$2224,"SIM",Pedidos!$G$2:$G$2224,"Interior",Pedidos!$H$2:$H$2224,$A57),"")</f>
        <v>117.347619047619</v>
      </c>
      <c r="H57" s="13" t="n">
        <f aca="false">IFERROR(G57/F57-1,"")</f>
        <v>0.788017965071142</v>
      </c>
      <c r="I57" s="14" t="n">
        <f aca="false">IFERROR(COUNTIFS(Pedidos!$AL$2:$AL$2224,"SIM",Pedidos!$G$2:$G$2224,"Interior",Pedidos!$H$2:$H$2224,$A57,Pedidos!$AI$2:$AI$2224,"SIM")/B57,"")</f>
        <v>0</v>
      </c>
      <c r="J57" s="14" t="n">
        <f aca="false">IFERROR(MAX(0,1-C57/D57),"")</f>
        <v>0.314917518143697</v>
      </c>
    </row>
    <row r="58" customFormat="false" ht="15" hidden="false" customHeight="false" outlineLevel="0" collapsed="false">
      <c r="A58" s="4" t="s">
        <v>185</v>
      </c>
      <c r="B58" s="10" t="n">
        <f aca="false">COUNTIFS(Pedidos!$AL$2:$AL$2224,"SIM",Pedidos!$G$2:$G$2224,"Interior",Pedidos!$H$2:$H$2224,$A58)</f>
        <v>64</v>
      </c>
      <c r="C58" s="12" t="n">
        <f aca="false">IFERROR(AVERAGEIFS(Pedidos!$W$2:$W$2224,Pedidos!$AL$2:$AL$2224,"SIM",Pedidos!$G$2:$G$2224,"Interior",Pedidos!$H$2:$H$2224,$A58),"")</f>
        <v>123.515045596591</v>
      </c>
      <c r="D58" s="12" t="n">
        <f aca="false">IFERROR(AVERAGEIFS(Pedidos!$AF$2:$AF$2224,Pedidos!$AL$2:$AL$2224,"SIM",Pedidos!$G$2:$G$2224,"Interior",Pedidos!$H$2:$H$2224,$A58),"")</f>
        <v>173.073475142045</v>
      </c>
      <c r="E58" s="13" t="n">
        <f aca="false">IFERROR(D58/C58-1,"")</f>
        <v>0.401233949322384</v>
      </c>
      <c r="F58" s="12" t="n">
        <f aca="false">IFERROR(AVERAGEIFS(Pedidos!$M$2:$M$2224,Pedidos!$AL$2:$AL$2224,"SIM",Pedidos!$G$2:$G$2224,"Interior",Pedidos!$H$2:$H$2224,$A58),"")</f>
        <v>74.97</v>
      </c>
      <c r="G58" s="12" t="n">
        <f aca="false">IFERROR(AVERAGEIFS(Pedidos!$X$2:$X$2224,Pedidos!$AL$2:$AL$2224,"SIM",Pedidos!$G$2:$G$2224,"Interior",Pedidos!$H$2:$H$2224,$A58),"")</f>
        <v>125.95296875</v>
      </c>
      <c r="H58" s="13" t="n">
        <f aca="false">IFERROR(G58/F58-1,"")</f>
        <v>0.680044934640523</v>
      </c>
      <c r="I58" s="14" t="n">
        <f aca="false">IFERROR(COUNTIFS(Pedidos!$AL$2:$AL$2224,"SIM",Pedidos!$G$2:$G$2224,"Interior",Pedidos!$H$2:$H$2224,$A58,Pedidos!$AI$2:$AI$2224,"SIM")/B58,"")</f>
        <v>0</v>
      </c>
      <c r="J58" s="14" t="n">
        <f aca="false">IFERROR(MAX(0,1-C58/D58),"")</f>
        <v>0.286343297289089</v>
      </c>
    </row>
    <row r="59" customFormat="false" ht="15" hidden="false" customHeight="false" outlineLevel="0" collapsed="false">
      <c r="A59" s="4" t="s">
        <v>186</v>
      </c>
      <c r="B59" s="10" t="n">
        <f aca="false">COUNTIFS(Pedidos!$AL$2:$AL$2224,"SIM",Pedidos!$G$2:$G$2224,"Interior",Pedidos!$H$2:$H$2224,$A59)</f>
        <v>62</v>
      </c>
      <c r="C59" s="12" t="n">
        <f aca="false">IFERROR(AVERAGEIFS(Pedidos!$W$2:$W$2224,Pedidos!$AL$2:$AL$2224,"SIM",Pedidos!$G$2:$G$2224,"Interior",Pedidos!$H$2:$H$2224,$A59),"")</f>
        <v>131.11918973607</v>
      </c>
      <c r="D59" s="12" t="n">
        <f aca="false">IFERROR(AVERAGEIFS(Pedidos!$AF$2:$AF$2224,Pedidos!$AL$2:$AL$2224,"SIM",Pedidos!$G$2:$G$2224,"Interior",Pedidos!$H$2:$H$2224,$A59),"")</f>
        <v>184.438769794721</v>
      </c>
      <c r="E59" s="13" t="n">
        <f aca="false">IFERROR(D59/C59-1,"")</f>
        <v>0.406649706774256</v>
      </c>
      <c r="F59" s="12" t="n">
        <f aca="false">IFERROR(AVERAGEIFS(Pedidos!$M$2:$M$2224,Pedidos!$AL$2:$AL$2224,"SIM",Pedidos!$G$2:$G$2224,"Interior",Pedidos!$H$2:$H$2224,$A59),"")</f>
        <v>77.7</v>
      </c>
      <c r="G59" s="12" t="n">
        <f aca="false">IFERROR(AVERAGEIFS(Pedidos!$X$2:$X$2224,Pedidos!$AL$2:$AL$2224,"SIM",Pedidos!$G$2:$G$2224,"Interior",Pedidos!$H$2:$H$2224,$A59),"")</f>
        <v>131.691290322581</v>
      </c>
      <c r="H59" s="13" t="n">
        <f aca="false">IFERROR(G59/F59-1,"")</f>
        <v>0.694868601320214</v>
      </c>
      <c r="I59" s="14" t="n">
        <f aca="false">IFERROR(COUNTIFS(Pedidos!$AL$2:$AL$2224,"SIM",Pedidos!$G$2:$G$2224,"Interior",Pedidos!$H$2:$H$2224,$A59,Pedidos!$AI$2:$AI$2224,"SIM")/B59,"")</f>
        <v>0</v>
      </c>
      <c r="J59" s="14" t="n">
        <f aca="false">IFERROR(MAX(0,1-C59/D59),"")</f>
        <v>0.289090954781336</v>
      </c>
    </row>
    <row r="60" customFormat="false" ht="15" hidden="false" customHeight="false" outlineLevel="0" collapsed="false">
      <c r="A60" s="4" t="s">
        <v>187</v>
      </c>
      <c r="B60" s="10" t="n">
        <f aca="false">COUNTIFS(Pedidos!$AL$2:$AL$2224,"SIM",Pedidos!$G$2:$G$2224,"Interior",Pedidos!$H$2:$H$2224,$A60)</f>
        <v>64</v>
      </c>
      <c r="C60" s="12" t="n">
        <f aca="false">IFERROR(AVERAGEIFS(Pedidos!$W$2:$W$2224,Pedidos!$AL$2:$AL$2224,"SIM",Pedidos!$G$2:$G$2224,"Interior",Pedidos!$H$2:$H$2224,$A60),"")</f>
        <v>143.15950859375</v>
      </c>
      <c r="D60" s="12" t="n">
        <f aca="false">IFERROR(AVERAGEIFS(Pedidos!$AF$2:$AF$2224,Pedidos!$AL$2:$AL$2224,"SIM",Pedidos!$G$2:$G$2224,"Interior",Pedidos!$H$2:$H$2224,$A60),"")</f>
        <v>205.075810724432</v>
      </c>
      <c r="E60" s="13" t="n">
        <f aca="false">IFERROR(D60/C60-1,"")</f>
        <v>0.43249870538732</v>
      </c>
      <c r="F60" s="12" t="n">
        <f aca="false">IFERROR(AVERAGEIFS(Pedidos!$M$2:$M$2224,Pedidos!$AL$2:$AL$2224,"SIM",Pedidos!$G$2:$G$2224,"Interior",Pedidos!$H$2:$H$2224,$A60),"")</f>
        <v>83.58</v>
      </c>
      <c r="G60" s="12" t="n">
        <f aca="false">IFERROR(AVERAGEIFS(Pedidos!$X$2:$X$2224,Pedidos!$AL$2:$AL$2224,"SIM",Pedidos!$G$2:$G$2224,"Interior",Pedidos!$H$2:$H$2224,$A60),"")</f>
        <v>144.74671875</v>
      </c>
      <c r="H60" s="13" t="n">
        <f aca="false">IFERROR(G60/F60-1,"")</f>
        <v>0.731834395190237</v>
      </c>
      <c r="I60" s="14" t="n">
        <f aca="false">IFERROR(COUNTIFS(Pedidos!$AL$2:$AL$2224,"SIM",Pedidos!$G$2:$G$2224,"Interior",Pedidos!$H$2:$H$2224,$A60,Pedidos!$AI$2:$AI$2224,"SIM")/B60,"")</f>
        <v>0</v>
      </c>
      <c r="J60" s="14" t="n">
        <f aca="false">IFERROR(MAX(0,1-C60/D60),"")</f>
        <v>0.301919089881747</v>
      </c>
    </row>
    <row r="61" customFormat="false" ht="15" hidden="false" customHeight="false" outlineLevel="0" collapsed="false">
      <c r="A61" s="4" t="s">
        <v>188</v>
      </c>
      <c r="B61" s="10" t="n">
        <f aca="false">COUNTIFS(Pedidos!$AL$2:$AL$2224,"SIM",Pedidos!$G$2:$G$2224,"Interior",Pedidos!$H$2:$H$2224,$A61)</f>
        <v>47</v>
      </c>
      <c r="C61" s="12" t="n">
        <f aca="false">IFERROR(AVERAGEIFS(Pedidos!$W$2:$W$2224,Pedidos!$AL$2:$AL$2224,"SIM",Pedidos!$G$2:$G$2224,"Interior",Pedidos!$H$2:$H$2224,$A61),"")</f>
        <v>156.533880077369</v>
      </c>
      <c r="D61" s="12" t="n">
        <f aca="false">IFERROR(AVERAGEIFS(Pedidos!$AF$2:$AF$2224,Pedidos!$AL$2:$AL$2224,"SIM",Pedidos!$G$2:$G$2224,"Interior",Pedidos!$H$2:$H$2224,$A61),"")</f>
        <v>232.968936170213</v>
      </c>
      <c r="E61" s="13" t="n">
        <f aca="false">IFERROR(D61/C61-1,"")</f>
        <v>0.488297204765282</v>
      </c>
      <c r="F61" s="12" t="n">
        <f aca="false">IFERROR(AVERAGEIFS(Pedidos!$M$2:$M$2224,Pedidos!$AL$2:$AL$2224,"SIM",Pedidos!$G$2:$G$2224,"Interior",Pedidos!$H$2:$H$2224,$A61),"")</f>
        <v>90.2</v>
      </c>
      <c r="G61" s="12" t="n">
        <f aca="false">IFERROR(AVERAGEIFS(Pedidos!$X$2:$X$2224,Pedidos!$AL$2:$AL$2224,"SIM",Pedidos!$G$2:$G$2224,"Interior",Pedidos!$H$2:$H$2224,$A61),"")</f>
        <v>163.571489361702</v>
      </c>
      <c r="H61" s="13" t="n">
        <f aca="false">IFERROR(G61/F61-1,"")</f>
        <v>0.813431145916875</v>
      </c>
      <c r="I61" s="14" t="n">
        <f aca="false">IFERROR(COUNTIFS(Pedidos!$AL$2:$AL$2224,"SIM",Pedidos!$G$2:$G$2224,"Interior",Pedidos!$H$2:$H$2224,$A61,Pedidos!$AI$2:$AI$2224,"SIM")/B61,"")</f>
        <v>0</v>
      </c>
      <c r="J61" s="14" t="n">
        <f aca="false">IFERROR(MAX(0,1-C61/D61),"")</f>
        <v>0.328091192539927</v>
      </c>
    </row>
    <row r="62" customFormat="false" ht="15" hidden="false" customHeight="false" outlineLevel="0" collapsed="false">
      <c r="A62" s="4" t="s">
        <v>189</v>
      </c>
      <c r="B62" s="10" t="n">
        <f aca="false">COUNTIFS(Pedidos!$AL$2:$AL$2224,"SIM",Pedidos!$G$2:$G$2224,"Interior",Pedidos!$H$2:$H$2224,$A62)</f>
        <v>4</v>
      </c>
      <c r="C62" s="12" t="n">
        <f aca="false">IFERROR(AVERAGEIFS(Pedidos!$W$2:$W$2224,Pedidos!$AL$2:$AL$2224,"SIM",Pedidos!$G$2:$G$2224,"Interior",Pedidos!$H$2:$H$2224,$A62),"")</f>
        <v>167.495418181818</v>
      </c>
      <c r="D62" s="12" t="n">
        <f aca="false">IFERROR(AVERAGEIFS(Pedidos!$AF$2:$AF$2224,Pedidos!$AL$2:$AL$2224,"SIM",Pedidos!$G$2:$G$2224,"Interior",Pedidos!$H$2:$H$2224,$A62),"")</f>
        <v>230.724</v>
      </c>
      <c r="E62" s="13" t="n">
        <f aca="false">IFERROR(D62/C62-1,"")</f>
        <v>0.377494396590279</v>
      </c>
      <c r="F62" s="12" t="n">
        <f aca="false">IFERROR(AVERAGEIFS(Pedidos!$M$2:$M$2224,Pedidos!$AL$2:$AL$2224,"SIM",Pedidos!$G$2:$G$2224,"Interior",Pedidos!$H$2:$H$2224,$A62),"")</f>
        <v>96.77</v>
      </c>
      <c r="G62" s="12" t="n">
        <f aca="false">IFERROR(AVERAGEIFS(Pedidos!$X$2:$X$2224,Pedidos!$AL$2:$AL$2224,"SIM",Pedidos!$G$2:$G$2224,"Interior",Pedidos!$H$2:$H$2224,$A62),"")</f>
        <v>158.18</v>
      </c>
      <c r="H62" s="13" t="n">
        <f aca="false">IFERROR(G62/F62-1,"")</f>
        <v>0.634597499224967</v>
      </c>
      <c r="I62" s="14" t="n">
        <f aca="false">IFERROR(COUNTIFS(Pedidos!$AL$2:$AL$2224,"SIM",Pedidos!$G$2:$G$2224,"Interior",Pedidos!$H$2:$H$2224,$A62,Pedidos!$AI$2:$AI$2224,"SIM")/B62,"")</f>
        <v>0</v>
      </c>
      <c r="J62" s="14" t="n">
        <f aca="false">IFERROR(MAX(0,1-C62/D62),"")</f>
        <v>0.274044233881962</v>
      </c>
    </row>
    <row r="63" customFormat="false" ht="15" hidden="false" customHeight="false" outlineLevel="0" collapsed="false">
      <c r="A63" s="4" t="s">
        <v>190</v>
      </c>
      <c r="B63" s="10" t="n">
        <f aca="false">COUNTIFS(Pedidos!$AL$2:$AL$2224,"SIM",Pedidos!$G$2:$G$2224,"Interior",Pedidos!$H$2:$H$2224,$A63)</f>
        <v>13</v>
      </c>
      <c r="C63" s="12" t="n">
        <f aca="false">IFERROR(AVERAGEIFS(Pedidos!$W$2:$W$2224,Pedidos!$AL$2:$AL$2224,"SIM",Pedidos!$G$2:$G$2224,"Interior",Pedidos!$H$2:$H$2224,$A63),"")</f>
        <v>190.235837412587</v>
      </c>
      <c r="D63" s="12" t="n">
        <f aca="false">IFERROR(AVERAGEIFS(Pedidos!$AF$2:$AF$2224,Pedidos!$AL$2:$AL$2224,"SIM",Pedidos!$G$2:$G$2224,"Interior",Pedidos!$H$2:$H$2224,$A63),"")</f>
        <v>282.843155594406</v>
      </c>
      <c r="E63" s="13" t="n">
        <f aca="false">IFERROR(D63/C63-1,"")</f>
        <v>0.486802694178855</v>
      </c>
      <c r="F63" s="12" t="n">
        <f aca="false">IFERROR(AVERAGEIFS(Pedidos!$M$2:$M$2224,Pedidos!$AL$2:$AL$2224,"SIM",Pedidos!$G$2:$G$2224,"Interior",Pedidos!$H$2:$H$2224,$A63),"")</f>
        <v>109.63</v>
      </c>
      <c r="G63" s="12" t="n">
        <f aca="false">IFERROR(AVERAGEIFS(Pedidos!$X$2:$X$2224,Pedidos!$AL$2:$AL$2224,"SIM",Pedidos!$G$2:$G$2224,"Interior",Pedidos!$H$2:$H$2224,$A63),"")</f>
        <v>196.126153846154</v>
      </c>
      <c r="H63" s="13" t="n">
        <f aca="false">IFERROR(G63/F63-1,"")</f>
        <v>0.788982521628695</v>
      </c>
      <c r="I63" s="14" t="n">
        <f aca="false">IFERROR(COUNTIFS(Pedidos!$AL$2:$AL$2224,"SIM",Pedidos!$G$2:$G$2224,"Interior",Pedidos!$H$2:$H$2224,$A63,Pedidos!$AI$2:$AI$2224,"SIM")/B63,"")</f>
        <v>0</v>
      </c>
      <c r="J63" s="14" t="n">
        <f aca="false">IFERROR(MAX(0,1-C63/D63),"")</f>
        <v>0.327415800418435</v>
      </c>
    </row>
    <row r="64" customFormat="false" ht="15" hidden="false" customHeight="false" outlineLevel="0" collapsed="false">
      <c r="A64" s="4" t="s">
        <v>191</v>
      </c>
      <c r="B64" s="10" t="n">
        <f aca="false">COUNTIFS(Pedidos!$AL$2:$AL$2224,"SIM",Pedidos!$G$2:$G$2224,"Interior",Pedidos!$H$2:$H$2224,$A64)</f>
        <v>8</v>
      </c>
      <c r="C64" s="12" t="n">
        <f aca="false">IFERROR(AVERAGEIFS(Pedidos!$W$2:$W$2224,Pedidos!$AL$2:$AL$2224,"SIM",Pedidos!$G$2:$G$2224,"Interior",Pedidos!$H$2:$H$2224,$A64),"")</f>
        <v>215.565510511364</v>
      </c>
      <c r="D64" s="12" t="n">
        <f aca="false">IFERROR(AVERAGEIFS(Pedidos!$AF$2:$AF$2224,Pedidos!$AL$2:$AL$2224,"SIM",Pedidos!$G$2:$G$2224,"Interior",Pedidos!$H$2:$H$2224,$A64),"")</f>
        <v>345.098538352273</v>
      </c>
      <c r="E64" s="13" t="n">
        <f aca="false">IFERROR(D64/C64-1,"")</f>
        <v>0.600898666644916</v>
      </c>
      <c r="F64" s="12" t="n">
        <f aca="false">IFERROR(AVERAGEIFS(Pedidos!$M$2:$M$2224,Pedidos!$AL$2:$AL$2224,"SIM",Pedidos!$G$2:$G$2224,"Interior",Pedidos!$H$2:$H$2224,$A64),"")</f>
        <v>119.5</v>
      </c>
      <c r="G64" s="12" t="n">
        <f aca="false">IFERROR(AVERAGEIFS(Pedidos!$X$2:$X$2224,Pedidos!$AL$2:$AL$2224,"SIM",Pedidos!$G$2:$G$2224,"Interior",Pedidos!$H$2:$H$2224,$A64),"")</f>
        <v>233.98125</v>
      </c>
      <c r="H64" s="13" t="n">
        <f aca="false">IFERROR(G64/F64-1,"")</f>
        <v>0.958002092050209</v>
      </c>
      <c r="I64" s="14" t="n">
        <f aca="false">IFERROR(COUNTIFS(Pedidos!$AL$2:$AL$2224,"SIM",Pedidos!$G$2:$G$2224,"Interior",Pedidos!$H$2:$H$2224,$A64,Pedidos!$AI$2:$AI$2224,"SIM")/B64,"")</f>
        <v>0</v>
      </c>
      <c r="J64" s="14" t="n">
        <f aca="false">IFERROR(MAX(0,1-C64/D64),"")</f>
        <v>0.375350844600458</v>
      </c>
    </row>
    <row r="65" customFormat="false" ht="15" hidden="false" customHeight="false" outlineLevel="0" collapsed="false">
      <c r="A65" s="4" t="s">
        <v>192</v>
      </c>
      <c r="B65" s="10" t="n">
        <f aca="false">COUNTIFS(Pedidos!$AL$2:$AL$2224,"SIM",Pedidos!$G$2:$G$2224,"Interior",Pedidos!$H$2:$H$2224,$A65)</f>
        <v>16</v>
      </c>
      <c r="C65" s="12" t="n">
        <f aca="false">IFERROR(AVERAGEIFS(Pedidos!$W$2:$W$2224,Pedidos!$AL$2:$AL$2224,"SIM",Pedidos!$G$2:$G$2224,"Interior",Pedidos!$H$2:$H$2224,$A65),"")</f>
        <v>255.5106734375</v>
      </c>
      <c r="D65" s="12" t="n">
        <f aca="false">IFERROR(AVERAGEIFS(Pedidos!$AF$2:$AF$2224,Pedidos!$AL$2:$AL$2224,"SIM",Pedidos!$G$2:$G$2224,"Interior",Pedidos!$H$2:$H$2224,$A65),"")</f>
        <v>386.9127578125</v>
      </c>
      <c r="E65" s="13" t="n">
        <f aca="false">IFERROR(D65/C65-1,"")</f>
        <v>0.514272388731119</v>
      </c>
      <c r="F65" s="12" t="n">
        <f aca="false">IFERROR(AVERAGEIFS(Pedidos!$M$2:$M$2224,Pedidos!$AL$2:$AL$2224,"SIM",Pedidos!$G$2:$G$2224,"Interior",Pedidos!$H$2:$H$2224,$A65),"")</f>
        <v>144.24</v>
      </c>
      <c r="G65" s="12" t="n">
        <f aca="false">IFERROR(AVERAGEIFS(Pedidos!$X$2:$X$2224,Pedidos!$AL$2:$AL$2224,"SIM",Pedidos!$G$2:$G$2224,"Interior",Pedidos!$H$2:$H$2224,$A65),"")</f>
        <v>259.899375</v>
      </c>
      <c r="H65" s="13" t="n">
        <f aca="false">IFERROR(G65/F65-1,"")</f>
        <v>0.801853681364392</v>
      </c>
      <c r="I65" s="14" t="n">
        <f aca="false">IFERROR(COUNTIFS(Pedidos!$AL$2:$AL$2224,"SIM",Pedidos!$G$2:$G$2224,"Interior",Pedidos!$H$2:$H$2224,$A65,Pedidos!$AI$2:$AI$2224,"SIM")/B65,"")</f>
        <v>0</v>
      </c>
      <c r="J65" s="14" t="n">
        <f aca="false">IFERROR(MAX(0,1-C65/D65),"")</f>
        <v>0.339616830207181</v>
      </c>
    </row>
    <row r="66" customFormat="false" ht="15" hidden="false" customHeight="false" outlineLevel="0" collapsed="false">
      <c r="A66" s="4" t="s">
        <v>193</v>
      </c>
      <c r="B66" s="10" t="n">
        <f aca="false">COUNTIFS(Pedidos!$AL$2:$AL$2224,"SIM",Pedidos!$G$2:$G$2224,"Interior",Pedidos!$H$2:$H$2224,$A66)</f>
        <v>0</v>
      </c>
      <c r="C66" s="12" t="str">
        <f aca="false">IFERROR(AVERAGEIFS(Pedidos!$W$2:$W$2224,Pedidos!$AL$2:$AL$2224,"SIM",Pedidos!$G$2:$G$2224,"Interior",Pedidos!$H$2:$H$2224,$A66),"")</f>
        <v/>
      </c>
      <c r="D66" s="12" t="str">
        <f aca="false">IFERROR(AVERAGEIFS(Pedidos!$AF$2:$AF$2224,Pedidos!$AL$2:$AL$2224,"SIM",Pedidos!$G$2:$G$2224,"Interior",Pedidos!$H$2:$H$2224,$A66),"")</f>
        <v/>
      </c>
      <c r="E66" s="13" t="str">
        <f aca="false">IFERROR(D66/C66-1,"")</f>
        <v/>
      </c>
      <c r="F66" s="12" t="str">
        <f aca="false">IFERROR(AVERAGEIFS(Pedidos!$M$2:$M$2224,Pedidos!$AL$2:$AL$2224,"SIM",Pedidos!$G$2:$G$2224,"Interior",Pedidos!$H$2:$H$2224,$A66),"")</f>
        <v/>
      </c>
      <c r="G66" s="12" t="str">
        <f aca="false">IFERROR(AVERAGEIFS(Pedidos!$X$2:$X$2224,Pedidos!$AL$2:$AL$2224,"SIM",Pedidos!$G$2:$G$2224,"Interior",Pedidos!$H$2:$H$2224,$A66),"")</f>
        <v/>
      </c>
      <c r="H66" s="13" t="str">
        <f aca="false">IFERROR(G66/F66-1,"")</f>
        <v/>
      </c>
      <c r="I66" s="14" t="str">
        <f aca="false">IFERROR(COUNTIFS(Pedidos!$AL$2:$AL$2224,"SIM",Pedidos!$G$2:$G$2224,"Interior",Pedidos!$H$2:$H$2224,$A66,Pedidos!$AI$2:$AI$2224,"SIM")/B66,"")</f>
        <v/>
      </c>
      <c r="J66" s="14" t="str">
        <f aca="false">IFERROR(MAX(0,1-C66/D66),"")</f>
        <v/>
      </c>
    </row>
    <row r="67" customFormat="false" ht="15" hidden="false" customHeight="false" outlineLevel="0" collapsed="false">
      <c r="A67" s="4" t="s">
        <v>194</v>
      </c>
      <c r="B67" s="10" t="n">
        <f aca="false">COUNTIFS(Pedidos!$AL$2:$AL$2224,"SIM",Pedidos!$G$2:$G$2224,"Interior",Pedidos!$H$2:$H$2224,$A67)</f>
        <v>1</v>
      </c>
      <c r="C67" s="12" t="n">
        <f aca="false">IFERROR(AVERAGEIFS(Pedidos!$W$2:$W$2224,Pedidos!$AL$2:$AL$2224,"SIM",Pedidos!$G$2:$G$2224,"Interior",Pedidos!$H$2:$H$2224,$A67),"")</f>
        <v>199.732727272727</v>
      </c>
      <c r="D67" s="12" t="n">
        <f aca="false">IFERROR(AVERAGEIFS(Pedidos!$AF$2:$AF$2224,Pedidos!$AL$2:$AL$2224,"SIM",Pedidos!$G$2:$G$2224,"Interior",Pedidos!$H$2:$H$2224,$A67),"")</f>
        <v>529.025</v>
      </c>
      <c r="E67" s="13" t="n">
        <f aca="false">IFERROR(D67/C67-1,"")</f>
        <v>1.64866457902834</v>
      </c>
      <c r="F67" s="12" t="n">
        <f aca="false">IFERROR(AVERAGEIFS(Pedidos!$M$2:$M$2224,Pedidos!$AL$2:$AL$2224,"SIM",Pedidos!$G$2:$G$2224,"Interior",Pedidos!$H$2:$H$2224,$A67),"")</f>
        <v>66.69</v>
      </c>
      <c r="G67" s="12" t="n">
        <f aca="false">IFERROR(AVERAGEIFS(Pedidos!$X$2:$X$2224,Pedidos!$AL$2:$AL$2224,"SIM",Pedidos!$G$2:$G$2224,"Interior",Pedidos!$H$2:$H$2224,$A67),"")</f>
        <v>353.17</v>
      </c>
      <c r="H67" s="13" t="n">
        <f aca="false">IFERROR(G67/F67-1,"")</f>
        <v>4.29569650622282</v>
      </c>
      <c r="I67" s="14" t="n">
        <f aca="false">IFERROR(COUNTIFS(Pedidos!$AL$2:$AL$2224,"SIM",Pedidos!$G$2:$G$2224,"Interior",Pedidos!$H$2:$H$2224,$A67,Pedidos!$AI$2:$AI$2224,"SIM")/B67,"")</f>
        <v>0</v>
      </c>
      <c r="J67" s="14" t="n">
        <f aca="false">IFERROR(MAX(0,1-C67/D67),"")</f>
        <v>0.622451250370536</v>
      </c>
    </row>
    <row r="68" customFormat="false" ht="15" hidden="false" customHeight="false" outlineLevel="0" collapsed="false">
      <c r="A68" s="4" t="s">
        <v>195</v>
      </c>
      <c r="B68" s="10" t="n">
        <f aca="false">COUNTIFS(Pedidos!$AL$2:$AL$2224,"SIM",Pedidos!$G$2:$G$2224,"Interior",Pedidos!$H$2:$H$2224,$A68)</f>
        <v>0</v>
      </c>
      <c r="C68" s="12" t="str">
        <f aca="false">IFERROR(AVERAGEIFS(Pedidos!$W$2:$W$2224,Pedidos!$AL$2:$AL$2224,"SIM",Pedidos!$G$2:$G$2224,"Interior",Pedidos!$H$2:$H$2224,$A68),"")</f>
        <v/>
      </c>
      <c r="D68" s="12" t="str">
        <f aca="false">IFERROR(AVERAGEIFS(Pedidos!$AF$2:$AF$2224,Pedidos!$AL$2:$AL$2224,"SIM",Pedidos!$G$2:$G$2224,"Interior",Pedidos!$H$2:$H$2224,$A68),"")</f>
        <v/>
      </c>
      <c r="E68" s="13" t="str">
        <f aca="false">IFERROR(D68/C68-1,"")</f>
        <v/>
      </c>
      <c r="F68" s="12" t="str">
        <f aca="false">IFERROR(AVERAGEIFS(Pedidos!$M$2:$M$2224,Pedidos!$AL$2:$AL$2224,"SIM",Pedidos!$G$2:$G$2224,"Interior",Pedidos!$H$2:$H$2224,$A68),"")</f>
        <v/>
      </c>
      <c r="G68" s="12" t="str">
        <f aca="false">IFERROR(AVERAGEIFS(Pedidos!$X$2:$X$2224,Pedidos!$AL$2:$AL$2224,"SIM",Pedidos!$G$2:$G$2224,"Interior",Pedidos!$H$2:$H$2224,$A68),"")</f>
        <v/>
      </c>
      <c r="H68" s="13" t="str">
        <f aca="false">IFERROR(G68/F68-1,"")</f>
        <v/>
      </c>
      <c r="I68" s="14" t="str">
        <f aca="false">IFERROR(COUNTIFS(Pedidos!$AL$2:$AL$2224,"SIM",Pedidos!$G$2:$G$2224,"Interior",Pedidos!$H$2:$H$2224,$A68,Pedidos!$AI$2:$AI$2224,"SIM")/B68,"")</f>
        <v/>
      </c>
      <c r="J68" s="14" t="str">
        <f aca="false">IFERROR(MAX(0,1-C68/D68),"")</f>
        <v/>
      </c>
    </row>
    <row r="69" customFormat="false" ht="15" hidden="false" customHeight="false" outlineLevel="0" collapsed="false">
      <c r="A69" s="21" t="s">
        <v>54</v>
      </c>
      <c r="B69" s="28" t="n">
        <f aca="false">COUNTIFS(Pedidos!$AL$2:$AL$2224,"SIM",Pedidos!$G$2:$G$2224,"Interior")</f>
        <v>371</v>
      </c>
      <c r="C69" s="22" t="n">
        <f aca="false">IFERROR(AVERAGEIFS(Pedidos!$W$2:$W$2224,Pedidos!$AL$2:$AL$2224,"SIM",Pedidos!$G$2:$G$2224,"Interior"),"")</f>
        <v>138.709127272727</v>
      </c>
      <c r="D69" s="22" t="n">
        <f aca="false">IFERROR(AVERAGEIFS(Pedidos!$AF$2:$AF$2224,Pedidos!$AL$2:$AL$2224,"SIM",Pedidos!$G$2:$G$2224,"Interior"),"")</f>
        <v>201.859496691987</v>
      </c>
      <c r="E69" s="23" t="n">
        <f aca="false">IFERROR(D69/C69-1,"")</f>
        <v>0.45527191080292</v>
      </c>
      <c r="F69" s="22" t="n">
        <f aca="false">IFERROR(AVERAGEIFS(Pedidos!$M$2:$M$2224,Pedidos!$AL$2:$AL$2224,"SIM",Pedidos!$G$2:$G$2224,"Interior"),"")</f>
        <v>81.4968194070081</v>
      </c>
      <c r="G69" s="22" t="n">
        <f aca="false">IFERROR(AVERAGEIFS(Pedidos!$X$2:$X$2224,Pedidos!$AL$2:$AL$2224,"SIM",Pedidos!$G$2:$G$2224,"Interior"),"")</f>
        <v>143.646334231806</v>
      </c>
      <c r="H69" s="23" t="n">
        <f aca="false">IFERROR(G69/F69-1,"")</f>
        <v>0.76260049505016</v>
      </c>
      <c r="I69" s="29" t="n">
        <f aca="false">IFERROR(COUNTIFS(Pedidos!$AL$2:$AL$2224,"SIM",Pedidos!$G$2:$G$2224,"Interior",Pedidos!$AI$2:$AI$2224,"SIM")/B69,"")</f>
        <v>0</v>
      </c>
      <c r="J69" s="29" t="n">
        <f aca="false">IFERROR(MAX(0,1-C69/D69),"")</f>
        <v>0.312843192686741</v>
      </c>
    </row>
  </sheetData>
  <conditionalFormatting sqref="E5:E17">
    <cfRule type="colorScale" priority="2">
      <colorScale>
        <cfvo type="num" val="-0.3"/>
        <cfvo type="num" val="0"/>
        <cfvo type="num" val="0.8"/>
        <color rgb="FF63BE7B"/>
        <color rgb="FFFFFFFF"/>
        <color rgb="FFF8696B"/>
      </colorScale>
    </cfRule>
  </conditionalFormatting>
  <conditionalFormatting sqref="H5:H17">
    <cfRule type="colorScale" priority="3">
      <colorScale>
        <cfvo type="num" val="-0.3"/>
        <cfvo type="num" val="0"/>
        <cfvo type="num" val="1.2"/>
        <color rgb="FF63BE7B"/>
        <color rgb="FFFFFFFF"/>
        <color rgb="FFF8696B"/>
      </colorScale>
    </cfRule>
  </conditionalFormatting>
  <conditionalFormatting sqref="E22:E34">
    <cfRule type="colorScale" priority="4">
      <colorScale>
        <cfvo type="num" val="-0.3"/>
        <cfvo type="num" val="0"/>
        <cfvo type="num" val="0.8"/>
        <color rgb="FF63BE7B"/>
        <color rgb="FFFFFFFF"/>
        <color rgb="FFF8696B"/>
      </colorScale>
    </cfRule>
  </conditionalFormatting>
  <conditionalFormatting sqref="H22:H34">
    <cfRule type="colorScale" priority="5">
      <colorScale>
        <cfvo type="num" val="-0.3"/>
        <cfvo type="num" val="0"/>
        <cfvo type="num" val="1.2"/>
        <color rgb="FF63BE7B"/>
        <color rgb="FFFFFFFF"/>
        <color rgb="FFF8696B"/>
      </colorScale>
    </cfRule>
  </conditionalFormatting>
  <conditionalFormatting sqref="E39:E51">
    <cfRule type="colorScale" priority="6">
      <colorScale>
        <cfvo type="num" val="-0.3"/>
        <cfvo type="num" val="0"/>
        <cfvo type="num" val="0.8"/>
        <color rgb="FF63BE7B"/>
        <color rgb="FFFFFFFF"/>
        <color rgb="FFF8696B"/>
      </colorScale>
    </cfRule>
  </conditionalFormatting>
  <conditionalFormatting sqref="H39:H51">
    <cfRule type="colorScale" priority="7">
      <colorScale>
        <cfvo type="num" val="-0.3"/>
        <cfvo type="num" val="0"/>
        <cfvo type="num" val="1.2"/>
        <color rgb="FF63BE7B"/>
        <color rgb="FFFFFFFF"/>
        <color rgb="FFF8696B"/>
      </colorScale>
    </cfRule>
  </conditionalFormatting>
  <conditionalFormatting sqref="E56:E68">
    <cfRule type="colorScale" priority="8">
      <colorScale>
        <cfvo type="num" val="-0.3"/>
        <cfvo type="num" val="0"/>
        <cfvo type="num" val="0.8"/>
        <color rgb="FF63BE7B"/>
        <color rgb="FFFFFFFF"/>
        <color rgb="FFF8696B"/>
      </colorScale>
    </cfRule>
  </conditionalFormatting>
  <conditionalFormatting sqref="H56:H68">
    <cfRule type="colorScale" priority="9">
      <colorScale>
        <cfvo type="num" val="-0.3"/>
        <cfvo type="num" val="0"/>
        <cfvo type="num" val="1.2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2"/>
    <col collapsed="false" customWidth="true" hidden="true" outlineLevel="0" max="5" min="5" style="0" width="12"/>
    <col collapsed="false" customWidth="true" hidden="false" outlineLevel="0" max="6" min="6" style="0" width="22"/>
    <col collapsed="false" customWidth="true" hidden="false" outlineLevel="0" max="10" min="7" style="0" width="12"/>
    <col collapsed="false" customWidth="true" hidden="false" outlineLevel="0" max="11" min="11" style="0" width="20"/>
    <col collapsed="false" customWidth="true" hidden="false" outlineLevel="0" max="39" min="12" style="0" width="12"/>
  </cols>
  <sheetData>
    <row r="1" customFormat="false" ht="48" hidden="false" customHeight="true" outlineLevel="0" collapsed="false">
      <c r="A1" s="3" t="s">
        <v>306</v>
      </c>
      <c r="B1" s="3" t="s">
        <v>307</v>
      </c>
      <c r="C1" s="3" t="s">
        <v>308</v>
      </c>
      <c r="D1" s="3" t="s">
        <v>309</v>
      </c>
      <c r="E1" s="3" t="s">
        <v>310</v>
      </c>
      <c r="F1" s="3" t="s">
        <v>143</v>
      </c>
      <c r="G1" s="3" t="s">
        <v>144</v>
      </c>
      <c r="H1" s="3" t="s">
        <v>299</v>
      </c>
      <c r="I1" s="3" t="s">
        <v>311</v>
      </c>
      <c r="J1" s="3" t="s">
        <v>312</v>
      </c>
      <c r="K1" s="3" t="s">
        <v>313</v>
      </c>
      <c r="L1" s="3" t="s">
        <v>314</v>
      </c>
      <c r="M1" s="32" t="s">
        <v>300</v>
      </c>
      <c r="N1" s="32" t="s">
        <v>315</v>
      </c>
      <c r="O1" s="32" t="s">
        <v>316</v>
      </c>
      <c r="P1" s="32" t="s">
        <v>317</v>
      </c>
      <c r="Q1" s="32" t="s">
        <v>318</v>
      </c>
      <c r="R1" s="32" t="s">
        <v>319</v>
      </c>
      <c r="S1" s="32" t="s">
        <v>320</v>
      </c>
      <c r="T1" s="32" t="s">
        <v>321</v>
      </c>
      <c r="U1" s="32" t="s">
        <v>322</v>
      </c>
      <c r="V1" s="32" t="s">
        <v>323</v>
      </c>
      <c r="W1" s="32" t="s">
        <v>324</v>
      </c>
      <c r="X1" s="31" t="s">
        <v>301</v>
      </c>
      <c r="Y1" s="31" t="s">
        <v>325</v>
      </c>
      <c r="Z1" s="31" t="s">
        <v>326</v>
      </c>
      <c r="AA1" s="31" t="s">
        <v>327</v>
      </c>
      <c r="AB1" s="31" t="s">
        <v>328</v>
      </c>
      <c r="AC1" s="31" t="s">
        <v>329</v>
      </c>
      <c r="AD1" s="31" t="s">
        <v>330</v>
      </c>
      <c r="AE1" s="31" t="s">
        <v>331</v>
      </c>
      <c r="AF1" s="31" t="s">
        <v>332</v>
      </c>
      <c r="AG1" s="3" t="s">
        <v>333</v>
      </c>
      <c r="AH1" s="3" t="s">
        <v>334</v>
      </c>
      <c r="AI1" s="3" t="s">
        <v>335</v>
      </c>
      <c r="AJ1" s="3" t="s">
        <v>336</v>
      </c>
      <c r="AK1" s="3" t="s">
        <v>337</v>
      </c>
      <c r="AL1" s="3" t="s">
        <v>338</v>
      </c>
      <c r="AM1" s="3" t="s">
        <v>339</v>
      </c>
    </row>
    <row r="2" customFormat="false" ht="15" hidden="false" customHeight="false" outlineLevel="0" collapsed="false">
      <c r="A2" s="37" t="n">
        <v>352923342</v>
      </c>
      <c r="B2" s="38" t="n">
        <v>46204.4207638889</v>
      </c>
      <c r="C2" s="37" t="s">
        <v>340</v>
      </c>
      <c r="D2" s="37" t="s">
        <v>341</v>
      </c>
      <c r="E2" s="37" t="n">
        <v>28913240</v>
      </c>
      <c r="F2" s="37" t="s">
        <v>172</v>
      </c>
      <c r="G2" s="37" t="s">
        <v>198</v>
      </c>
      <c r="H2" s="37" t="s">
        <v>184</v>
      </c>
      <c r="I2" s="37" t="n">
        <v>33</v>
      </c>
      <c r="J2" s="39" t="n">
        <v>389.99</v>
      </c>
      <c r="K2" s="37" t="s">
        <v>342</v>
      </c>
      <c r="L2" s="39" t="n">
        <v>109.05</v>
      </c>
      <c r="M2" s="39" t="n">
        <v>65.63</v>
      </c>
      <c r="N2" s="39" t="n">
        <f aca="false">J2*Resumo!$C$6</f>
        <v>0</v>
      </c>
      <c r="O2" s="39" t="n">
        <f aca="false">J2*Resumo!$C$7</f>
        <v>0.818979</v>
      </c>
      <c r="P2" s="39" t="n">
        <f aca="false">J2*Resumo!$C$8</f>
        <v>0.818979</v>
      </c>
      <c r="Q2" s="39" t="n">
        <f aca="false">Resumo!$C$10*CEILING(I2/100,1)</f>
        <v>1.05</v>
      </c>
      <c r="R2" s="39" t="n">
        <f aca="false">Resumo!$C$9</f>
        <v>0</v>
      </c>
      <c r="S2" s="39" t="n">
        <f aca="false">Resumo!$C$13</f>
        <v>13.55</v>
      </c>
      <c r="T2" s="39" t="n">
        <f aca="false">Resumo!$C$14*CEILING(I2,1)</f>
        <v>14.85</v>
      </c>
      <c r="U2" s="39" t="n">
        <f aca="false">SUM(M2:T2)*Resumo!$C$11</f>
        <v>0</v>
      </c>
      <c r="V2" s="39" t="n">
        <f aca="false">SUM(M2:U2)</f>
        <v>96.717958</v>
      </c>
      <c r="W2" s="39" t="n">
        <f aca="false">V2/(1-Resumo!$C$5)</f>
        <v>109.906770454545</v>
      </c>
      <c r="X2" s="39" t="n">
        <v>114.95</v>
      </c>
      <c r="Y2" s="39" t="n">
        <f aca="false">J2*Resumo!$B$6</f>
        <v>0.38999</v>
      </c>
      <c r="Z2" s="39" t="n">
        <f aca="false">J2*Resumo!$B$7</f>
        <v>0.77998</v>
      </c>
      <c r="AA2" s="39" t="n">
        <f aca="false">Resumo!$B$9</f>
        <v>1</v>
      </c>
      <c r="AB2" s="39" t="n">
        <f aca="false">Resumo!$B$10*CEILING(I2/100,1)</f>
        <v>4.5</v>
      </c>
      <c r="AC2" s="39" t="n">
        <f aca="false">Resumo!$B$12*CEILING(I2,1)</f>
        <v>1.98</v>
      </c>
      <c r="AD2" s="39" t="n">
        <f aca="false">Resumo!$B$14*CEILING(I2,1)</f>
        <v>14.85</v>
      </c>
      <c r="AE2" s="39" t="n">
        <f aca="false">SUM(X2:AD2)</f>
        <v>138.44997</v>
      </c>
      <c r="AF2" s="39" t="n">
        <f aca="false">AE2/(1-Resumo!$B$5)</f>
        <v>157.329511363636</v>
      </c>
      <c r="AG2" s="39" t="n">
        <f aca="false">AF2-W2</f>
        <v>47.4227409090909</v>
      </c>
      <c r="AH2" s="40" t="n">
        <f aca="false">AF2/W2-1</f>
        <v>0.431481524868422</v>
      </c>
      <c r="AI2" s="37" t="str">
        <f aca="false">IF(AF2&lt;W2,"SIM","NÃO")</f>
        <v>NÃO</v>
      </c>
      <c r="AJ2" s="37" t="n">
        <v>13</v>
      </c>
      <c r="AK2" s="37" t="n">
        <v>10</v>
      </c>
      <c r="AL2" s="37" t="s">
        <v>343</v>
      </c>
      <c r="AM2" s="39" t="n">
        <v>109.05</v>
      </c>
    </row>
    <row r="3" customFormat="false" ht="15" hidden="false" customHeight="false" outlineLevel="0" collapsed="false">
      <c r="A3" s="37" t="n">
        <v>352954180</v>
      </c>
      <c r="B3" s="38" t="n">
        <v>46204.4749768519</v>
      </c>
      <c r="C3" s="37" t="s">
        <v>340</v>
      </c>
      <c r="D3" s="37" t="s">
        <v>344</v>
      </c>
      <c r="E3" s="37" t="n">
        <v>21032000</v>
      </c>
      <c r="F3" s="37" t="s">
        <v>159</v>
      </c>
      <c r="G3" s="37" t="s">
        <v>196</v>
      </c>
      <c r="H3" s="37" t="s">
        <v>186</v>
      </c>
      <c r="I3" s="37" t="n">
        <v>49.6</v>
      </c>
      <c r="J3" s="39" t="n">
        <v>799.99</v>
      </c>
      <c r="K3" s="37" t="s">
        <v>342</v>
      </c>
      <c r="L3" s="39" t="n">
        <v>104.42</v>
      </c>
      <c r="M3" s="39" t="n">
        <v>53.55</v>
      </c>
      <c r="N3" s="39" t="n">
        <f aca="false">J3*Resumo!$C$6</f>
        <v>0</v>
      </c>
      <c r="O3" s="39" t="n">
        <f aca="false">J3*Resumo!$C$7</f>
        <v>1.679979</v>
      </c>
      <c r="P3" s="39" t="n">
        <f aca="false">J3*Resumo!$C$8</f>
        <v>1.679979</v>
      </c>
      <c r="Q3" s="39" t="n">
        <f aca="false">Resumo!$C$10*CEILING(I3/100,1)</f>
        <v>1.05</v>
      </c>
      <c r="R3" s="39" t="n">
        <f aca="false">Resumo!$C$9</f>
        <v>0</v>
      </c>
      <c r="S3" s="39" t="n">
        <f aca="false">Resumo!$C$13</f>
        <v>13.55</v>
      </c>
      <c r="T3" s="39" t="n">
        <f aca="false">Resumo!$C$14*CEILING(I3,1)</f>
        <v>22.5</v>
      </c>
      <c r="U3" s="39" t="n">
        <f aca="false">SUM(M3:T3)*Resumo!$C$11</f>
        <v>0</v>
      </c>
      <c r="V3" s="39" t="n">
        <f aca="false">SUM(M3:U3)</f>
        <v>94.009958</v>
      </c>
      <c r="W3" s="39" t="n">
        <f aca="false">V3/(1-Resumo!$C$5)</f>
        <v>106.829497727273</v>
      </c>
      <c r="X3" s="39" t="n">
        <v>93.97</v>
      </c>
      <c r="Y3" s="39" t="n">
        <f aca="false">J3*Resumo!$B$6</f>
        <v>0.79999</v>
      </c>
      <c r="Z3" s="39" t="n">
        <f aca="false">J3*Resumo!$B$7</f>
        <v>1.59998</v>
      </c>
      <c r="AA3" s="39" t="n">
        <f aca="false">Resumo!$B$9</f>
        <v>1</v>
      </c>
      <c r="AB3" s="39" t="n">
        <f aca="false">Resumo!$B$10*CEILING(I3/100,1)</f>
        <v>4.5</v>
      </c>
      <c r="AC3" s="39" t="n">
        <f aca="false">Resumo!$B$12*CEILING(I3,1)</f>
        <v>3</v>
      </c>
      <c r="AD3" s="39" t="n">
        <f aca="false">Resumo!$B$14*CEILING(I3,1)</f>
        <v>22.5</v>
      </c>
      <c r="AE3" s="39" t="n">
        <f aca="false">SUM(X3:AD3)</f>
        <v>127.36997</v>
      </c>
      <c r="AF3" s="39" t="n">
        <f aca="false">AE3/(1-Resumo!$B$5)</f>
        <v>144.738602272727</v>
      </c>
      <c r="AG3" s="39" t="n">
        <f aca="false">AF3-W3</f>
        <v>37.9091045454545</v>
      </c>
      <c r="AH3" s="40" t="n">
        <f aca="false">AF3/W3-1</f>
        <v>0.35485615257907</v>
      </c>
      <c r="AI3" s="37" t="str">
        <f aca="false">IF(AF3&lt;W3,"SIM","NÃO")</f>
        <v>NÃO</v>
      </c>
      <c r="AJ3" s="37" t="n">
        <v>2</v>
      </c>
      <c r="AK3" s="37" t="n">
        <v>5</v>
      </c>
      <c r="AL3" s="37" t="s">
        <v>343</v>
      </c>
      <c r="AM3" s="39" t="n">
        <v>104.42</v>
      </c>
    </row>
    <row r="4" customFormat="false" ht="15" hidden="false" customHeight="false" outlineLevel="0" collapsed="false">
      <c r="A4" s="37" t="n">
        <v>353020070</v>
      </c>
      <c r="B4" s="38" t="n">
        <v>46204.5868055556</v>
      </c>
      <c r="C4" s="37" t="s">
        <v>345</v>
      </c>
      <c r="D4" s="37" t="s">
        <v>346</v>
      </c>
      <c r="E4" s="37" t="n">
        <v>26545580</v>
      </c>
      <c r="F4" s="37" t="s">
        <v>238</v>
      </c>
      <c r="G4" s="37" t="s">
        <v>197</v>
      </c>
      <c r="H4" s="37" t="s">
        <v>187</v>
      </c>
      <c r="I4" s="37" t="n">
        <v>58.5</v>
      </c>
      <c r="J4" s="39" t="n">
        <v>843.2</v>
      </c>
      <c r="K4" s="37" t="s">
        <v>342</v>
      </c>
      <c r="L4" s="39" t="n">
        <v>129.33</v>
      </c>
      <c r="M4" s="39" t="n">
        <v>70.98</v>
      </c>
      <c r="N4" s="39" t="n">
        <f aca="false">J4*Resumo!$C$6</f>
        <v>0</v>
      </c>
      <c r="O4" s="39" t="n">
        <f aca="false">J4*Resumo!$C$7</f>
        <v>1.77072</v>
      </c>
      <c r="P4" s="39" t="n">
        <f aca="false">J4*Resumo!$C$8</f>
        <v>1.77072</v>
      </c>
      <c r="Q4" s="39" t="n">
        <f aca="false">Resumo!$C$10*CEILING(I4/100,1)</f>
        <v>1.05</v>
      </c>
      <c r="R4" s="39" t="n">
        <f aca="false">Resumo!$C$9</f>
        <v>0</v>
      </c>
      <c r="S4" s="39" t="n">
        <f aca="false">Resumo!$C$13</f>
        <v>13.55</v>
      </c>
      <c r="T4" s="39" t="n">
        <f aca="false">Resumo!$C$14*CEILING(I4,1)</f>
        <v>26.55</v>
      </c>
      <c r="U4" s="39" t="n">
        <f aca="false">SUM(M4:T4)*Resumo!$C$11</f>
        <v>0</v>
      </c>
      <c r="V4" s="39" t="n">
        <f aca="false">SUM(M4:U4)</f>
        <v>115.67144</v>
      </c>
      <c r="W4" s="39" t="n">
        <f aca="false">V4/(1-Resumo!$C$5)</f>
        <v>131.444818181818</v>
      </c>
      <c r="X4" s="39" t="n">
        <v>112.3</v>
      </c>
      <c r="Y4" s="39" t="n">
        <f aca="false">J4*Resumo!$B$6</f>
        <v>0.8432</v>
      </c>
      <c r="Z4" s="39" t="n">
        <f aca="false">J4*Resumo!$B$7</f>
        <v>1.6864</v>
      </c>
      <c r="AA4" s="39" t="n">
        <f aca="false">Resumo!$B$9</f>
        <v>1</v>
      </c>
      <c r="AB4" s="39" t="n">
        <f aca="false">Resumo!$B$10*CEILING(I4/100,1)</f>
        <v>4.5</v>
      </c>
      <c r="AC4" s="39" t="n">
        <f aca="false">Resumo!$B$12*CEILING(I4,1)</f>
        <v>3.54</v>
      </c>
      <c r="AD4" s="39" t="n">
        <f aca="false">Resumo!$B$14*CEILING(I4,1)</f>
        <v>26.55</v>
      </c>
      <c r="AE4" s="39" t="n">
        <f aca="false">SUM(X4:AD4)</f>
        <v>150.4196</v>
      </c>
      <c r="AF4" s="39" t="n">
        <f aca="false">AE4/(1-Resumo!$B$5)</f>
        <v>170.931363636364</v>
      </c>
      <c r="AG4" s="39" t="n">
        <f aca="false">AF4-W4</f>
        <v>39.4865454545455</v>
      </c>
      <c r="AH4" s="40" t="n">
        <f aca="false">AF4/W4-1</f>
        <v>0.300403971801509</v>
      </c>
      <c r="AI4" s="37" t="str">
        <f aca="false">IF(AF4&lt;W4,"SIM","NÃO")</f>
        <v>NÃO</v>
      </c>
      <c r="AJ4" s="37" t="n">
        <v>2</v>
      </c>
      <c r="AK4" s="37" t="n">
        <v>5</v>
      </c>
      <c r="AL4" s="37" t="s">
        <v>347</v>
      </c>
      <c r="AM4" s="39" t="n">
        <v>129.32</v>
      </c>
    </row>
    <row r="5" customFormat="false" ht="15" hidden="false" customHeight="false" outlineLevel="0" collapsed="false">
      <c r="A5" s="37" t="n">
        <v>353076911</v>
      </c>
      <c r="B5" s="38" t="n">
        <v>46204.690162037</v>
      </c>
      <c r="C5" s="37" t="s">
        <v>345</v>
      </c>
      <c r="D5" s="37" t="s">
        <v>348</v>
      </c>
      <c r="E5" s="37" t="n">
        <v>22471150</v>
      </c>
      <c r="F5" s="37" t="s">
        <v>159</v>
      </c>
      <c r="G5" s="37" t="s">
        <v>196</v>
      </c>
      <c r="H5" s="37" t="s">
        <v>185</v>
      </c>
      <c r="I5" s="37" t="n">
        <v>35.4</v>
      </c>
      <c r="J5" s="39" t="n">
        <v>543.69</v>
      </c>
      <c r="K5" s="37" t="s">
        <v>342</v>
      </c>
      <c r="L5" s="39" t="n">
        <v>92.47</v>
      </c>
      <c r="M5" s="39" t="n">
        <v>48.35</v>
      </c>
      <c r="N5" s="39" t="n">
        <f aca="false">J5*Resumo!$C$6</f>
        <v>0</v>
      </c>
      <c r="O5" s="39" t="n">
        <f aca="false">J5*Resumo!$C$7</f>
        <v>1.141749</v>
      </c>
      <c r="P5" s="39" t="n">
        <f aca="false">J5*Resumo!$C$8</f>
        <v>1.141749</v>
      </c>
      <c r="Q5" s="39" t="n">
        <f aca="false">Resumo!$C$10*CEILING(I5/100,1)</f>
        <v>1.05</v>
      </c>
      <c r="R5" s="39" t="n">
        <f aca="false">Resumo!$C$9</f>
        <v>0</v>
      </c>
      <c r="S5" s="39" t="n">
        <f aca="false">Resumo!$C$13</f>
        <v>13.55</v>
      </c>
      <c r="T5" s="39" t="n">
        <f aca="false">Resumo!$C$14*CEILING(I5,1)</f>
        <v>16.2</v>
      </c>
      <c r="U5" s="39" t="n">
        <f aca="false">SUM(M5:T5)*Resumo!$C$11</f>
        <v>0</v>
      </c>
      <c r="V5" s="39" t="n">
        <f aca="false">SUM(M5:U5)</f>
        <v>81.433498</v>
      </c>
      <c r="W5" s="39" t="n">
        <f aca="false">V5/(1-Resumo!$C$5)</f>
        <v>92.5380659090909</v>
      </c>
      <c r="X5" s="39" t="n">
        <v>93.97</v>
      </c>
      <c r="Y5" s="39" t="n">
        <f aca="false">J5*Resumo!$B$6</f>
        <v>0.54369</v>
      </c>
      <c r="Z5" s="39" t="n">
        <f aca="false">J5*Resumo!$B$7</f>
        <v>1.08738</v>
      </c>
      <c r="AA5" s="39" t="n">
        <f aca="false">Resumo!$B$9</f>
        <v>1</v>
      </c>
      <c r="AB5" s="39" t="n">
        <f aca="false">Resumo!$B$10*CEILING(I5/100,1)</f>
        <v>4.5</v>
      </c>
      <c r="AC5" s="39" t="n">
        <f aca="false">Resumo!$B$12*CEILING(I5,1)</f>
        <v>2.16</v>
      </c>
      <c r="AD5" s="39" t="n">
        <f aca="false">Resumo!$B$14*CEILING(I5,1)</f>
        <v>16.2</v>
      </c>
      <c r="AE5" s="39" t="n">
        <f aca="false">SUM(X5:AD5)</f>
        <v>119.46107</v>
      </c>
      <c r="AF5" s="39" t="n">
        <f aca="false">AE5/(1-Resumo!$B$5)</f>
        <v>135.751215909091</v>
      </c>
      <c r="AG5" s="39" t="n">
        <f aca="false">AF5-W5</f>
        <v>43.21315</v>
      </c>
      <c r="AH5" s="40" t="n">
        <f aca="false">AF5/W5-1</f>
        <v>0.466977017246637</v>
      </c>
      <c r="AI5" s="37" t="str">
        <f aca="false">IF(AF5&lt;W5,"SIM","NÃO")</f>
        <v>NÃO</v>
      </c>
      <c r="AJ5" s="37" t="n">
        <v>2</v>
      </c>
      <c r="AK5" s="37" t="n">
        <v>5</v>
      </c>
      <c r="AL5" s="37" t="s">
        <v>343</v>
      </c>
      <c r="AM5" s="39" t="n">
        <v>92.46</v>
      </c>
    </row>
    <row r="6" customFormat="false" ht="15" hidden="false" customHeight="false" outlineLevel="0" collapsed="false">
      <c r="A6" s="37" t="n">
        <v>353103464</v>
      </c>
      <c r="B6" s="38" t="n">
        <v>46204.7498032407</v>
      </c>
      <c r="C6" s="37" t="s">
        <v>340</v>
      </c>
      <c r="D6" s="37" t="s">
        <v>349</v>
      </c>
      <c r="E6" s="37" t="n">
        <v>26325100</v>
      </c>
      <c r="F6" s="37" t="s">
        <v>236</v>
      </c>
      <c r="G6" s="37" t="s">
        <v>197</v>
      </c>
      <c r="H6" s="37" t="s">
        <v>184</v>
      </c>
      <c r="I6" s="37" t="n">
        <v>27</v>
      </c>
      <c r="J6" s="39" t="n">
        <v>329.99</v>
      </c>
      <c r="K6" s="37" t="s">
        <v>342</v>
      </c>
      <c r="L6" s="39" t="n">
        <v>100.97</v>
      </c>
      <c r="M6" s="39" t="n">
        <v>58.8</v>
      </c>
      <c r="N6" s="39" t="n">
        <f aca="false">J6*Resumo!$C$6</f>
        <v>0</v>
      </c>
      <c r="O6" s="39" t="n">
        <f aca="false">J6*Resumo!$C$7</f>
        <v>0.692979</v>
      </c>
      <c r="P6" s="39" t="n">
        <f aca="false">J6*Resumo!$C$8</f>
        <v>0.692979</v>
      </c>
      <c r="Q6" s="39" t="n">
        <f aca="false">Resumo!$C$10*CEILING(I6/100,1)</f>
        <v>1.05</v>
      </c>
      <c r="R6" s="39" t="n">
        <f aca="false">Resumo!$C$9</f>
        <v>0</v>
      </c>
      <c r="S6" s="39" t="n">
        <f aca="false">Resumo!$C$13</f>
        <v>13.55</v>
      </c>
      <c r="T6" s="39" t="n">
        <f aca="false">Resumo!$C$14*CEILING(I6,1)</f>
        <v>12.15</v>
      </c>
      <c r="U6" s="39" t="n">
        <f aca="false">SUM(M6:T6)*Resumo!$C$11</f>
        <v>0</v>
      </c>
      <c r="V6" s="39" t="n">
        <f aca="false">SUM(M6:U6)</f>
        <v>86.935958</v>
      </c>
      <c r="W6" s="39" t="n">
        <f aca="false">V6/(1-Resumo!$C$5)</f>
        <v>98.7908613636364</v>
      </c>
      <c r="X6" s="39" t="n">
        <v>82.21</v>
      </c>
      <c r="Y6" s="39" t="n">
        <f aca="false">J6*Resumo!$B$6</f>
        <v>0.32999</v>
      </c>
      <c r="Z6" s="39" t="n">
        <f aca="false">J6*Resumo!$B$7</f>
        <v>0.65998</v>
      </c>
      <c r="AA6" s="39" t="n">
        <f aca="false">Resumo!$B$9</f>
        <v>1</v>
      </c>
      <c r="AB6" s="39" t="n">
        <f aca="false">Resumo!$B$10*CEILING(I6/100,1)</f>
        <v>4.5</v>
      </c>
      <c r="AC6" s="39" t="n">
        <f aca="false">Resumo!$B$12*CEILING(I6,1)</f>
        <v>1.62</v>
      </c>
      <c r="AD6" s="39" t="n">
        <f aca="false">Resumo!$B$14*CEILING(I6,1)</f>
        <v>12.15</v>
      </c>
      <c r="AE6" s="39" t="n">
        <f aca="false">SUM(X6:AD6)</f>
        <v>102.46997</v>
      </c>
      <c r="AF6" s="39" t="n">
        <f aca="false">AE6/(1-Resumo!$B$5)</f>
        <v>116.443147727273</v>
      </c>
      <c r="AG6" s="39" t="n">
        <f aca="false">AF6-W6</f>
        <v>17.6522863636364</v>
      </c>
      <c r="AH6" s="40" t="n">
        <f aca="false">AF6/W6-1</f>
        <v>0.178683393584965</v>
      </c>
      <c r="AI6" s="37" t="str">
        <f aca="false">IF(AF6&lt;W6,"SIM","NÃO")</f>
        <v>NÃO</v>
      </c>
      <c r="AJ6" s="37" t="n">
        <v>2</v>
      </c>
      <c r="AK6" s="37" t="n">
        <v>5</v>
      </c>
      <c r="AL6" s="37" t="s">
        <v>347</v>
      </c>
      <c r="AM6" s="39" t="n">
        <v>100.97</v>
      </c>
    </row>
    <row r="7" customFormat="false" ht="15" hidden="false" customHeight="false" outlineLevel="0" collapsed="false">
      <c r="A7" s="37" t="n">
        <v>353135681</v>
      </c>
      <c r="B7" s="38" t="n">
        <v>46204.8063773148</v>
      </c>
      <c r="C7" s="37" t="s">
        <v>340</v>
      </c>
      <c r="D7" s="37" t="s">
        <v>350</v>
      </c>
      <c r="E7" s="37" t="n">
        <v>21044020</v>
      </c>
      <c r="F7" s="37" t="s">
        <v>159</v>
      </c>
      <c r="G7" s="37" t="s">
        <v>196</v>
      </c>
      <c r="H7" s="37" t="s">
        <v>187</v>
      </c>
      <c r="I7" s="37" t="n">
        <v>55</v>
      </c>
      <c r="J7" s="39" t="n">
        <v>739.98</v>
      </c>
      <c r="K7" s="37" t="s">
        <v>342</v>
      </c>
      <c r="L7" s="39" t="n">
        <v>114.69</v>
      </c>
      <c r="M7" s="39" t="n">
        <v>58.6</v>
      </c>
      <c r="N7" s="39" t="n">
        <f aca="false">J7*Resumo!$C$6</f>
        <v>0</v>
      </c>
      <c r="O7" s="39" t="n">
        <f aca="false">J7*Resumo!$C$7</f>
        <v>1.553958</v>
      </c>
      <c r="P7" s="39" t="n">
        <f aca="false">J7*Resumo!$C$8</f>
        <v>1.553958</v>
      </c>
      <c r="Q7" s="39" t="n">
        <f aca="false">Resumo!$C$10*CEILING(I7/100,1)</f>
        <v>1.05</v>
      </c>
      <c r="R7" s="39" t="n">
        <f aca="false">Resumo!$C$9</f>
        <v>0</v>
      </c>
      <c r="S7" s="39" t="n">
        <f aca="false">Resumo!$C$13</f>
        <v>13.55</v>
      </c>
      <c r="T7" s="39" t="n">
        <f aca="false">Resumo!$C$14*CEILING(I7,1)</f>
        <v>24.75</v>
      </c>
      <c r="U7" s="39" t="n">
        <f aca="false">SUM(M7:T7)*Resumo!$C$11</f>
        <v>0</v>
      </c>
      <c r="V7" s="39" t="n">
        <f aca="false">SUM(M7:U7)</f>
        <v>101.057916</v>
      </c>
      <c r="W7" s="39" t="n">
        <f aca="false">V7/(1-Resumo!$C$5)</f>
        <v>114.838540909091</v>
      </c>
      <c r="X7" s="39" t="n">
        <v>112.3</v>
      </c>
      <c r="Y7" s="39" t="n">
        <f aca="false">J7*Resumo!$B$6</f>
        <v>0.73998</v>
      </c>
      <c r="Z7" s="39" t="n">
        <f aca="false">J7*Resumo!$B$7</f>
        <v>1.47996</v>
      </c>
      <c r="AA7" s="39" t="n">
        <f aca="false">Resumo!$B$9</f>
        <v>1</v>
      </c>
      <c r="AB7" s="39" t="n">
        <f aca="false">Resumo!$B$10*CEILING(I7/100,1)</f>
        <v>4.5</v>
      </c>
      <c r="AC7" s="39" t="n">
        <f aca="false">Resumo!$B$12*CEILING(I7,1)</f>
        <v>3.3</v>
      </c>
      <c r="AD7" s="39" t="n">
        <f aca="false">Resumo!$B$14*CEILING(I7,1)</f>
        <v>24.75</v>
      </c>
      <c r="AE7" s="39" t="n">
        <f aca="false">SUM(X7:AD7)</f>
        <v>148.06994</v>
      </c>
      <c r="AF7" s="39" t="n">
        <f aca="false">AE7/(1-Resumo!$B$5)</f>
        <v>168.261295454545</v>
      </c>
      <c r="AG7" s="39" t="n">
        <f aca="false">AF7-W7</f>
        <v>53.4227545454546</v>
      </c>
      <c r="AH7" s="40" t="n">
        <f aca="false">AF7/W7-1</f>
        <v>0.465198827175498</v>
      </c>
      <c r="AI7" s="37" t="str">
        <f aca="false">IF(AF7&lt;W7,"SIM","NÃO")</f>
        <v>NÃO</v>
      </c>
      <c r="AJ7" s="37" t="n">
        <v>2</v>
      </c>
      <c r="AK7" s="37" t="n">
        <v>5</v>
      </c>
      <c r="AL7" s="37" t="s">
        <v>343</v>
      </c>
      <c r="AM7" s="39" t="n">
        <v>114.7</v>
      </c>
    </row>
    <row r="8" customFormat="false" ht="15" hidden="false" customHeight="false" outlineLevel="0" collapsed="false">
      <c r="A8" s="37" t="n">
        <v>353198915</v>
      </c>
      <c r="B8" s="38" t="n">
        <v>46204.9109722222</v>
      </c>
      <c r="C8" s="37" t="s">
        <v>340</v>
      </c>
      <c r="D8" s="37" t="s">
        <v>351</v>
      </c>
      <c r="E8" s="37" t="n">
        <v>28025537</v>
      </c>
      <c r="F8" s="37" t="s">
        <v>164</v>
      </c>
      <c r="G8" s="37" t="s">
        <v>198</v>
      </c>
      <c r="H8" s="37" t="s">
        <v>184</v>
      </c>
      <c r="I8" s="37" t="n">
        <v>35</v>
      </c>
      <c r="J8" s="39" t="n">
        <v>459.99</v>
      </c>
      <c r="K8" s="37" t="s">
        <v>342</v>
      </c>
      <c r="L8" s="39" t="n">
        <v>109.39</v>
      </c>
      <c r="M8" s="39" t="n">
        <v>65.63</v>
      </c>
      <c r="N8" s="39" t="n">
        <f aca="false">J8*Resumo!$C$6</f>
        <v>0</v>
      </c>
      <c r="O8" s="39" t="n">
        <f aca="false">J8*Resumo!$C$7</f>
        <v>0.965979</v>
      </c>
      <c r="P8" s="39" t="n">
        <f aca="false">J8*Resumo!$C$8</f>
        <v>0.965979</v>
      </c>
      <c r="Q8" s="39" t="n">
        <f aca="false">Resumo!$C$10*CEILING(I8/100,1)</f>
        <v>1.05</v>
      </c>
      <c r="R8" s="39" t="n">
        <f aca="false">Resumo!$C$9</f>
        <v>0</v>
      </c>
      <c r="S8" s="39" t="n">
        <f aca="false">Resumo!$C$13</f>
        <v>13.55</v>
      </c>
      <c r="T8" s="39" t="n">
        <f aca="false">Resumo!$C$14*CEILING(I8,1)</f>
        <v>15.75</v>
      </c>
      <c r="U8" s="39" t="n">
        <f aca="false">SUM(M8:T8)*Resumo!$C$11</f>
        <v>0</v>
      </c>
      <c r="V8" s="39" t="n">
        <f aca="false">SUM(M8:U8)</f>
        <v>97.911958</v>
      </c>
      <c r="W8" s="39" t="n">
        <f aca="false">V8/(1-Resumo!$C$5)</f>
        <v>111.263588636364</v>
      </c>
      <c r="X8" s="39" t="n">
        <v>138.29</v>
      </c>
      <c r="Y8" s="39" t="n">
        <f aca="false">J8*Resumo!$B$6</f>
        <v>0.45999</v>
      </c>
      <c r="Z8" s="39" t="n">
        <f aca="false">J8*Resumo!$B$7</f>
        <v>0.91998</v>
      </c>
      <c r="AA8" s="39" t="n">
        <f aca="false">Resumo!$B$9</f>
        <v>1</v>
      </c>
      <c r="AB8" s="39" t="n">
        <f aca="false">Resumo!$B$10*CEILING(I8/100,1)</f>
        <v>4.5</v>
      </c>
      <c r="AC8" s="39" t="n">
        <f aca="false">Resumo!$B$12*CEILING(I8,1)</f>
        <v>2.1</v>
      </c>
      <c r="AD8" s="39" t="n">
        <f aca="false">Resumo!$B$14*CEILING(I8,1)</f>
        <v>15.75</v>
      </c>
      <c r="AE8" s="39" t="n">
        <f aca="false">SUM(X8:AD8)</f>
        <v>163.01997</v>
      </c>
      <c r="AF8" s="39" t="n">
        <f aca="false">AE8/(1-Resumo!$B$5)</f>
        <v>185.249965909091</v>
      </c>
      <c r="AG8" s="39" t="n">
        <f aca="false">AF8-W8</f>
        <v>73.9863772727273</v>
      </c>
      <c r="AH8" s="40" t="n">
        <f aca="false">AF8/W8-1</f>
        <v>0.664964865680656</v>
      </c>
      <c r="AI8" s="37" t="str">
        <f aca="false">IF(AF8&lt;W8,"SIM","NÃO")</f>
        <v>NÃO</v>
      </c>
      <c r="AJ8" s="37" t="n">
        <v>13</v>
      </c>
      <c r="AK8" s="37" t="n">
        <v>11</v>
      </c>
      <c r="AL8" s="37" t="s">
        <v>343</v>
      </c>
      <c r="AM8" s="39" t="n">
        <v>109.38</v>
      </c>
    </row>
    <row r="9" customFormat="false" ht="15" hidden="false" customHeight="false" outlineLevel="0" collapsed="false">
      <c r="A9" s="37" t="n">
        <v>353403729</v>
      </c>
      <c r="B9" s="38" t="n">
        <v>46205.4576736111</v>
      </c>
      <c r="C9" s="37" t="s">
        <v>340</v>
      </c>
      <c r="D9" s="37" t="s">
        <v>352</v>
      </c>
      <c r="E9" s="37" t="n">
        <v>25555570</v>
      </c>
      <c r="F9" s="37" t="s">
        <v>167</v>
      </c>
      <c r="G9" s="37" t="s">
        <v>197</v>
      </c>
      <c r="H9" s="37" t="s">
        <v>186</v>
      </c>
      <c r="I9" s="37" t="n">
        <v>46.8</v>
      </c>
      <c r="J9" s="39" t="n">
        <v>556.99</v>
      </c>
      <c r="K9" s="37" t="s">
        <v>342</v>
      </c>
      <c r="L9" s="39" t="n">
        <v>116.74</v>
      </c>
      <c r="M9" s="39" t="n">
        <v>65.36</v>
      </c>
      <c r="N9" s="39" t="n">
        <f aca="false">J9*Resumo!$C$6</f>
        <v>0</v>
      </c>
      <c r="O9" s="39" t="n">
        <f aca="false">J9*Resumo!$C$7</f>
        <v>1.169679</v>
      </c>
      <c r="P9" s="39" t="n">
        <f aca="false">J9*Resumo!$C$8</f>
        <v>1.169679</v>
      </c>
      <c r="Q9" s="39" t="n">
        <f aca="false">Resumo!$C$10*CEILING(I9/100,1)</f>
        <v>1.05</v>
      </c>
      <c r="R9" s="39" t="n">
        <f aca="false">Resumo!$C$9</f>
        <v>0</v>
      </c>
      <c r="S9" s="39" t="n">
        <f aca="false">Resumo!$C$13</f>
        <v>13.55</v>
      </c>
      <c r="T9" s="39" t="n">
        <f aca="false">Resumo!$C$14*CEILING(I9,1)</f>
        <v>21.15</v>
      </c>
      <c r="U9" s="39" t="n">
        <f aca="false">SUM(M9:T9)*Resumo!$C$11</f>
        <v>0</v>
      </c>
      <c r="V9" s="39" t="n">
        <f aca="false">SUM(M9:U9)</f>
        <v>103.449358</v>
      </c>
      <c r="W9" s="39" t="n">
        <f aca="false">V9/(1-Resumo!$C$5)</f>
        <v>117.556088636364</v>
      </c>
      <c r="X9" s="39" t="n">
        <v>93.97</v>
      </c>
      <c r="Y9" s="39" t="n">
        <f aca="false">J9*Resumo!$B$6</f>
        <v>0.55699</v>
      </c>
      <c r="Z9" s="39" t="n">
        <f aca="false">J9*Resumo!$B$7</f>
        <v>1.11398</v>
      </c>
      <c r="AA9" s="39" t="n">
        <f aca="false">Resumo!$B$9</f>
        <v>1</v>
      </c>
      <c r="AB9" s="39" t="n">
        <f aca="false">Resumo!$B$10*CEILING(I9/100,1)</f>
        <v>4.5</v>
      </c>
      <c r="AC9" s="39" t="n">
        <f aca="false">Resumo!$B$12*CEILING(I9,1)</f>
        <v>2.82</v>
      </c>
      <c r="AD9" s="39" t="n">
        <f aca="false">Resumo!$B$14*CEILING(I9,1)</f>
        <v>21.15</v>
      </c>
      <c r="AE9" s="39" t="n">
        <f aca="false">SUM(X9:AD9)</f>
        <v>125.11097</v>
      </c>
      <c r="AF9" s="39" t="n">
        <f aca="false">AE9/(1-Resumo!$B$5)</f>
        <v>142.171556818182</v>
      </c>
      <c r="AG9" s="39" t="n">
        <f aca="false">AF9-W9</f>
        <v>24.6154681818182</v>
      </c>
      <c r="AH9" s="40" t="n">
        <f aca="false">AF9/W9-1</f>
        <v>0.209393392272188</v>
      </c>
      <c r="AI9" s="37" t="str">
        <f aca="false">IF(AF9&lt;W9,"SIM","NÃO")</f>
        <v>NÃO</v>
      </c>
      <c r="AJ9" s="37" t="n">
        <v>2</v>
      </c>
      <c r="AK9" s="37" t="n">
        <v>5</v>
      </c>
      <c r="AL9" s="37" t="s">
        <v>343</v>
      </c>
      <c r="AM9" s="39" t="n">
        <v>116.74</v>
      </c>
    </row>
    <row r="10" customFormat="false" ht="15" hidden="false" customHeight="false" outlineLevel="0" collapsed="false">
      <c r="A10" s="37" t="n">
        <v>353405224</v>
      </c>
      <c r="B10" s="38" t="n">
        <v>46205.4605902778</v>
      </c>
      <c r="C10" s="37" t="s">
        <v>340</v>
      </c>
      <c r="D10" s="37" t="s">
        <v>353</v>
      </c>
      <c r="E10" s="37" t="n">
        <v>25947790</v>
      </c>
      <c r="F10" s="37" t="s">
        <v>234</v>
      </c>
      <c r="G10" s="37" t="s">
        <v>198</v>
      </c>
      <c r="H10" s="37" t="s">
        <v>186</v>
      </c>
      <c r="I10" s="37" t="n">
        <v>44.5</v>
      </c>
      <c r="J10" s="39" t="n">
        <v>735.99</v>
      </c>
      <c r="K10" s="37" t="s">
        <v>342</v>
      </c>
      <c r="L10" s="39" t="n">
        <v>131.68</v>
      </c>
      <c r="M10" s="39" t="n">
        <v>77.7</v>
      </c>
      <c r="N10" s="39" t="n">
        <f aca="false">J10*Resumo!$C$6</f>
        <v>0</v>
      </c>
      <c r="O10" s="39" t="n">
        <f aca="false">J10*Resumo!$C$7</f>
        <v>1.545579</v>
      </c>
      <c r="P10" s="39" t="n">
        <f aca="false">J10*Resumo!$C$8</f>
        <v>1.545579</v>
      </c>
      <c r="Q10" s="39" t="n">
        <f aca="false">Resumo!$C$10*CEILING(I10/100,1)</f>
        <v>1.05</v>
      </c>
      <c r="R10" s="39" t="n">
        <f aca="false">Resumo!$C$9</f>
        <v>0</v>
      </c>
      <c r="S10" s="39" t="n">
        <f aca="false">Resumo!$C$13</f>
        <v>13.55</v>
      </c>
      <c r="T10" s="39" t="n">
        <f aca="false">Resumo!$C$14*CEILING(I10,1)</f>
        <v>20.25</v>
      </c>
      <c r="U10" s="39" t="n">
        <f aca="false">SUM(M10:T10)*Resumo!$C$11</f>
        <v>0</v>
      </c>
      <c r="V10" s="39" t="n">
        <f aca="false">SUM(M10:U10)</f>
        <v>115.641158</v>
      </c>
      <c r="W10" s="39" t="n">
        <f aca="false">V10/(1-Resumo!$C$5)</f>
        <v>131.410406818182</v>
      </c>
      <c r="X10" s="39" t="n">
        <v>117.23</v>
      </c>
      <c r="Y10" s="39" t="n">
        <f aca="false">J10*Resumo!$B$6</f>
        <v>0.73599</v>
      </c>
      <c r="Z10" s="39" t="n">
        <f aca="false">J10*Resumo!$B$7</f>
        <v>1.47198</v>
      </c>
      <c r="AA10" s="39" t="n">
        <f aca="false">Resumo!$B$9</f>
        <v>1</v>
      </c>
      <c r="AB10" s="39" t="n">
        <f aca="false">Resumo!$B$10*CEILING(I10/100,1)</f>
        <v>4.5</v>
      </c>
      <c r="AC10" s="39" t="n">
        <f aca="false">Resumo!$B$12*CEILING(I10,1)</f>
        <v>2.7</v>
      </c>
      <c r="AD10" s="39" t="n">
        <f aca="false">Resumo!$B$14*CEILING(I10,1)</f>
        <v>20.25</v>
      </c>
      <c r="AE10" s="39" t="n">
        <f aca="false">SUM(X10:AD10)</f>
        <v>147.88797</v>
      </c>
      <c r="AF10" s="39" t="n">
        <f aca="false">AE10/(1-Resumo!$B$5)</f>
        <v>168.054511363636</v>
      </c>
      <c r="AG10" s="39" t="n">
        <f aca="false">AF10-W10</f>
        <v>36.6441045454545</v>
      </c>
      <c r="AH10" s="40" t="n">
        <f aca="false">AF10/W10-1</f>
        <v>0.278852378839029</v>
      </c>
      <c r="AI10" s="37" t="str">
        <f aca="false">IF(AF10&lt;W10,"SIM","NÃO")</f>
        <v>NÃO</v>
      </c>
      <c r="AJ10" s="37" t="n">
        <v>13</v>
      </c>
      <c r="AK10" s="37" t="n">
        <v>6</v>
      </c>
      <c r="AL10" s="37" t="s">
        <v>347</v>
      </c>
      <c r="AM10" s="39" t="n">
        <v>131.69</v>
      </c>
    </row>
    <row r="11" customFormat="false" ht="15" hidden="false" customHeight="false" outlineLevel="0" collapsed="false">
      <c r="A11" s="37" t="n">
        <v>353490842</v>
      </c>
      <c r="B11" s="38" t="n">
        <v>46205.6204976852</v>
      </c>
      <c r="C11" s="37" t="s">
        <v>340</v>
      </c>
      <c r="D11" s="37" t="s">
        <v>354</v>
      </c>
      <c r="E11" s="37" t="n">
        <v>22790725</v>
      </c>
      <c r="F11" s="37" t="s">
        <v>159</v>
      </c>
      <c r="G11" s="37" t="s">
        <v>196</v>
      </c>
      <c r="H11" s="37" t="s">
        <v>184</v>
      </c>
      <c r="I11" s="37" t="n">
        <v>29</v>
      </c>
      <c r="J11" s="39" t="n">
        <v>339.99</v>
      </c>
      <c r="K11" s="37" t="s">
        <v>342</v>
      </c>
      <c r="L11" s="39" t="n">
        <v>81.95</v>
      </c>
      <c r="M11" s="39" t="n">
        <v>42.11</v>
      </c>
      <c r="N11" s="39" t="n">
        <f aca="false">J11*Resumo!$C$6</f>
        <v>0</v>
      </c>
      <c r="O11" s="39" t="n">
        <f aca="false">J11*Resumo!$C$7</f>
        <v>0.713979</v>
      </c>
      <c r="P11" s="39" t="n">
        <f aca="false">J11*Resumo!$C$8</f>
        <v>0.713979</v>
      </c>
      <c r="Q11" s="39" t="n">
        <f aca="false">Resumo!$C$10*CEILING(I11/100,1)</f>
        <v>1.05</v>
      </c>
      <c r="R11" s="39" t="n">
        <f aca="false">Resumo!$C$9</f>
        <v>0</v>
      </c>
      <c r="S11" s="39" t="n">
        <f aca="false">Resumo!$C$13</f>
        <v>13.55</v>
      </c>
      <c r="T11" s="39" t="n">
        <f aca="false">Resumo!$C$14*CEILING(I11,1)</f>
        <v>13.05</v>
      </c>
      <c r="U11" s="39" t="n">
        <f aca="false">SUM(M11:T11)*Resumo!$C$11</f>
        <v>0</v>
      </c>
      <c r="V11" s="39" t="n">
        <f aca="false">SUM(M11:U11)</f>
        <v>71.187958</v>
      </c>
      <c r="W11" s="39" t="n">
        <f aca="false">V11/(1-Resumo!$C$5)</f>
        <v>80.8954068181818</v>
      </c>
      <c r="X11" s="39" t="n">
        <v>82.21</v>
      </c>
      <c r="Y11" s="39" t="n">
        <f aca="false">J11*Resumo!$B$6</f>
        <v>0.33999</v>
      </c>
      <c r="Z11" s="39" t="n">
        <f aca="false">J11*Resumo!$B$7</f>
        <v>0.67998</v>
      </c>
      <c r="AA11" s="39" t="n">
        <f aca="false">Resumo!$B$9</f>
        <v>1</v>
      </c>
      <c r="AB11" s="39" t="n">
        <f aca="false">Resumo!$B$10*CEILING(I11/100,1)</f>
        <v>4.5</v>
      </c>
      <c r="AC11" s="39" t="n">
        <f aca="false">Resumo!$B$12*CEILING(I11,1)</f>
        <v>1.74</v>
      </c>
      <c r="AD11" s="39" t="n">
        <f aca="false">Resumo!$B$14*CEILING(I11,1)</f>
        <v>13.05</v>
      </c>
      <c r="AE11" s="39" t="n">
        <f aca="false">SUM(X11:AD11)</f>
        <v>103.51997</v>
      </c>
      <c r="AF11" s="39" t="n">
        <f aca="false">AE11/(1-Resumo!$B$5)</f>
        <v>117.636329545455</v>
      </c>
      <c r="AG11" s="39" t="n">
        <f aca="false">AF11-W11</f>
        <v>36.7409227272727</v>
      </c>
      <c r="AH11" s="40" t="n">
        <f aca="false">AF11/W11-1</f>
        <v>0.454178106920836</v>
      </c>
      <c r="AI11" s="37" t="str">
        <f aca="false">IF(AF11&lt;W11,"SIM","NÃO")</f>
        <v>NÃO</v>
      </c>
      <c r="AJ11" s="37" t="n">
        <v>2</v>
      </c>
      <c r="AK11" s="37" t="n">
        <v>5</v>
      </c>
      <c r="AL11" s="37" t="s">
        <v>343</v>
      </c>
      <c r="AM11" s="39" t="n">
        <v>81.95</v>
      </c>
    </row>
    <row r="12" customFormat="false" ht="15" hidden="false" customHeight="false" outlineLevel="0" collapsed="false">
      <c r="A12" s="37" t="n">
        <v>353510997</v>
      </c>
      <c r="B12" s="38" t="n">
        <v>46205.661087963</v>
      </c>
      <c r="C12" s="37" t="s">
        <v>340</v>
      </c>
      <c r="D12" s="37" t="s">
        <v>355</v>
      </c>
      <c r="E12" s="37" t="n">
        <v>25811005</v>
      </c>
      <c r="F12" s="37" t="s">
        <v>228</v>
      </c>
      <c r="G12" s="37" t="s">
        <v>198</v>
      </c>
      <c r="H12" s="37" t="s">
        <v>186</v>
      </c>
      <c r="I12" s="37" t="n">
        <v>48.3</v>
      </c>
      <c r="J12" s="39" t="n">
        <v>459.99</v>
      </c>
      <c r="K12" s="37" t="s">
        <v>342</v>
      </c>
      <c r="L12" s="39" t="n">
        <v>130.36</v>
      </c>
      <c r="M12" s="39" t="n">
        <v>77.7</v>
      </c>
      <c r="N12" s="39" t="n">
        <f aca="false">J12*Resumo!$C$6</f>
        <v>0</v>
      </c>
      <c r="O12" s="39" t="n">
        <f aca="false">J12*Resumo!$C$7</f>
        <v>0.965979</v>
      </c>
      <c r="P12" s="39" t="n">
        <f aca="false">J12*Resumo!$C$8</f>
        <v>0.965979</v>
      </c>
      <c r="Q12" s="39" t="n">
        <f aca="false">Resumo!$C$10*CEILING(I12/100,1)</f>
        <v>1.05</v>
      </c>
      <c r="R12" s="39" t="n">
        <f aca="false">Resumo!$C$9</f>
        <v>0</v>
      </c>
      <c r="S12" s="39" t="n">
        <f aca="false">Resumo!$C$13</f>
        <v>13.55</v>
      </c>
      <c r="T12" s="39" t="n">
        <f aca="false">Resumo!$C$14*CEILING(I12,1)</f>
        <v>22.05</v>
      </c>
      <c r="U12" s="39" t="n">
        <f aca="false">SUM(M12:T12)*Resumo!$C$11</f>
        <v>0</v>
      </c>
      <c r="V12" s="39" t="n">
        <f aca="false">SUM(M12:U12)</f>
        <v>116.281958</v>
      </c>
      <c r="W12" s="39" t="n">
        <f aca="false">V12/(1-Resumo!$C$5)</f>
        <v>132.138588636364</v>
      </c>
      <c r="X12" s="39" t="n">
        <v>124.38</v>
      </c>
      <c r="Y12" s="39" t="n">
        <f aca="false">J12*Resumo!$B$6</f>
        <v>0.45999</v>
      </c>
      <c r="Z12" s="39" t="n">
        <f aca="false">J12*Resumo!$B$7</f>
        <v>0.91998</v>
      </c>
      <c r="AA12" s="39" t="n">
        <f aca="false">Resumo!$B$9</f>
        <v>1</v>
      </c>
      <c r="AB12" s="39" t="n">
        <f aca="false">Resumo!$B$10*CEILING(I12/100,1)</f>
        <v>4.5</v>
      </c>
      <c r="AC12" s="39" t="n">
        <f aca="false">Resumo!$B$12*CEILING(I12,1)</f>
        <v>2.94</v>
      </c>
      <c r="AD12" s="39" t="n">
        <f aca="false">Resumo!$B$14*CEILING(I12,1)</f>
        <v>22.05</v>
      </c>
      <c r="AE12" s="39" t="n">
        <f aca="false">SUM(X12:AD12)</f>
        <v>156.24997</v>
      </c>
      <c r="AF12" s="39" t="n">
        <f aca="false">AE12/(1-Resumo!$B$5)</f>
        <v>177.556784090909</v>
      </c>
      <c r="AG12" s="39" t="n">
        <f aca="false">AF12-W12</f>
        <v>45.4181954545455</v>
      </c>
      <c r="AH12" s="40" t="n">
        <f aca="false">AF12/W12-1</f>
        <v>0.343716365697936</v>
      </c>
      <c r="AI12" s="37" t="str">
        <f aca="false">IF(AF12&lt;W12,"SIM","NÃO")</f>
        <v>NÃO</v>
      </c>
      <c r="AJ12" s="37" t="n">
        <v>13</v>
      </c>
      <c r="AK12" s="37" t="n">
        <v>8</v>
      </c>
      <c r="AL12" s="37" t="s">
        <v>347</v>
      </c>
      <c r="AM12" s="39" t="n">
        <v>130.36</v>
      </c>
    </row>
    <row r="13" customFormat="false" ht="15" hidden="false" customHeight="false" outlineLevel="0" collapsed="false">
      <c r="A13" s="37" t="n">
        <v>353586941</v>
      </c>
      <c r="B13" s="38" t="n">
        <v>46205.8112847222</v>
      </c>
      <c r="C13" s="37" t="s">
        <v>340</v>
      </c>
      <c r="D13" s="37" t="s">
        <v>356</v>
      </c>
      <c r="E13" s="37" t="n">
        <v>24467575</v>
      </c>
      <c r="F13" s="37" t="s">
        <v>160</v>
      </c>
      <c r="G13" s="37" t="s">
        <v>197</v>
      </c>
      <c r="H13" s="37" t="s">
        <v>185</v>
      </c>
      <c r="I13" s="37" t="n">
        <v>40</v>
      </c>
      <c r="J13" s="39" t="n">
        <v>599.99</v>
      </c>
      <c r="K13" s="37" t="s">
        <v>342</v>
      </c>
      <c r="L13" s="39" t="n">
        <v>113.83</v>
      </c>
      <c r="M13" s="39" t="n">
        <v>66.83</v>
      </c>
      <c r="N13" s="39" t="n">
        <f aca="false">J13*Resumo!$C$6</f>
        <v>0</v>
      </c>
      <c r="O13" s="39" t="n">
        <f aca="false">J13*Resumo!$C$7</f>
        <v>1.259979</v>
      </c>
      <c r="P13" s="39" t="n">
        <f aca="false">J13*Resumo!$C$8</f>
        <v>1.259979</v>
      </c>
      <c r="Q13" s="39" t="n">
        <f aca="false">Resumo!$C$10*CEILING(I13/100,1)</f>
        <v>1.05</v>
      </c>
      <c r="R13" s="39" t="n">
        <f aca="false">Resumo!$C$9</f>
        <v>0</v>
      </c>
      <c r="S13" s="39" t="n">
        <f aca="false">Resumo!$C$13</f>
        <v>13.55</v>
      </c>
      <c r="T13" s="39" t="n">
        <f aca="false">Resumo!$C$14*CEILING(I13,1)</f>
        <v>18</v>
      </c>
      <c r="U13" s="39" t="n">
        <f aca="false">SUM(M13:T13)*Resumo!$C$11</f>
        <v>0</v>
      </c>
      <c r="V13" s="39" t="n">
        <f aca="false">SUM(M13:U13)</f>
        <v>101.949958</v>
      </c>
      <c r="W13" s="39" t="n">
        <f aca="false">V13/(1-Resumo!$C$5)</f>
        <v>115.852225</v>
      </c>
      <c r="X13" s="39" t="n">
        <v>114.95</v>
      </c>
      <c r="Y13" s="39" t="n">
        <f aca="false">J13*Resumo!$B$6</f>
        <v>0.59999</v>
      </c>
      <c r="Z13" s="39" t="n">
        <f aca="false">J13*Resumo!$B$7</f>
        <v>1.19998</v>
      </c>
      <c r="AA13" s="39" t="n">
        <f aca="false">Resumo!$B$9</f>
        <v>1</v>
      </c>
      <c r="AB13" s="39" t="n">
        <f aca="false">Resumo!$B$10*CEILING(I13/100,1)</f>
        <v>4.5</v>
      </c>
      <c r="AC13" s="39" t="n">
        <f aca="false">Resumo!$B$12*CEILING(I13,1)</f>
        <v>2.4</v>
      </c>
      <c r="AD13" s="39" t="n">
        <f aca="false">Resumo!$B$14*CEILING(I13,1)</f>
        <v>18</v>
      </c>
      <c r="AE13" s="39" t="n">
        <f aca="false">SUM(X13:AD13)</f>
        <v>142.64997</v>
      </c>
      <c r="AF13" s="39" t="n">
        <f aca="false">AE13/(1-Resumo!$B$5)</f>
        <v>162.102238636364</v>
      </c>
      <c r="AG13" s="39" t="n">
        <f aca="false">AF13-W13</f>
        <v>46.2500136363637</v>
      </c>
      <c r="AH13" s="40" t="n">
        <f aca="false">AF13/W13-1</f>
        <v>0.399215583786705</v>
      </c>
      <c r="AI13" s="37" t="str">
        <f aca="false">IF(AF13&lt;W13,"SIM","NÃO")</f>
        <v>NÃO</v>
      </c>
      <c r="AJ13" s="37" t="n">
        <v>2</v>
      </c>
      <c r="AK13" s="37" t="n">
        <v>7</v>
      </c>
      <c r="AL13" s="37" t="s">
        <v>343</v>
      </c>
      <c r="AM13" s="39" t="n">
        <v>113.83</v>
      </c>
    </row>
    <row r="14" customFormat="false" ht="15" hidden="false" customHeight="false" outlineLevel="0" collapsed="false">
      <c r="A14" s="37" t="n">
        <v>353747011</v>
      </c>
      <c r="B14" s="38" t="n">
        <v>46206.297962963</v>
      </c>
      <c r="C14" s="37" t="s">
        <v>340</v>
      </c>
      <c r="D14" s="37" t="s">
        <v>357</v>
      </c>
      <c r="E14" s="37" t="n">
        <v>26116340</v>
      </c>
      <c r="F14" s="37" t="s">
        <v>165</v>
      </c>
      <c r="G14" s="37" t="s">
        <v>197</v>
      </c>
      <c r="H14" s="37" t="s">
        <v>186</v>
      </c>
      <c r="I14" s="37" t="n">
        <v>45.3</v>
      </c>
      <c r="J14" s="39" t="n">
        <v>699.99</v>
      </c>
      <c r="K14" s="37" t="s">
        <v>342</v>
      </c>
      <c r="L14" s="39" t="n">
        <v>117.43</v>
      </c>
      <c r="M14" s="39" t="n">
        <v>65.36</v>
      </c>
      <c r="N14" s="39" t="n">
        <f aca="false">J14*Resumo!$C$6</f>
        <v>0</v>
      </c>
      <c r="O14" s="39" t="n">
        <f aca="false">J14*Resumo!$C$7</f>
        <v>1.469979</v>
      </c>
      <c r="P14" s="39" t="n">
        <f aca="false">J14*Resumo!$C$8</f>
        <v>1.469979</v>
      </c>
      <c r="Q14" s="39" t="n">
        <f aca="false">Resumo!$C$10*CEILING(I14/100,1)</f>
        <v>1.05</v>
      </c>
      <c r="R14" s="39" t="n">
        <f aca="false">Resumo!$C$9</f>
        <v>0</v>
      </c>
      <c r="S14" s="39" t="n">
        <f aca="false">Resumo!$C$13</f>
        <v>13.55</v>
      </c>
      <c r="T14" s="39" t="n">
        <f aca="false">Resumo!$C$14*CEILING(I14,1)</f>
        <v>20.7</v>
      </c>
      <c r="U14" s="39" t="n">
        <f aca="false">SUM(M14:T14)*Resumo!$C$11</f>
        <v>0</v>
      </c>
      <c r="V14" s="39" t="n">
        <f aca="false">SUM(M14:U14)</f>
        <v>103.599958</v>
      </c>
      <c r="W14" s="39" t="n">
        <f aca="false">V14/(1-Resumo!$C$5)</f>
        <v>117.727225</v>
      </c>
      <c r="X14" s="39" t="n">
        <v>93.97</v>
      </c>
      <c r="Y14" s="39" t="n">
        <f aca="false">J14*Resumo!$B$6</f>
        <v>0.69999</v>
      </c>
      <c r="Z14" s="39" t="n">
        <f aca="false">J14*Resumo!$B$7</f>
        <v>1.39998</v>
      </c>
      <c r="AA14" s="39" t="n">
        <f aca="false">Resumo!$B$9</f>
        <v>1</v>
      </c>
      <c r="AB14" s="39" t="n">
        <f aca="false">Resumo!$B$10*CEILING(I14/100,1)</f>
        <v>4.5</v>
      </c>
      <c r="AC14" s="39" t="n">
        <f aca="false">Resumo!$B$12*CEILING(I14,1)</f>
        <v>2.76</v>
      </c>
      <c r="AD14" s="39" t="n">
        <f aca="false">Resumo!$B$14*CEILING(I14,1)</f>
        <v>20.7</v>
      </c>
      <c r="AE14" s="39" t="n">
        <f aca="false">SUM(X14:AD14)</f>
        <v>125.02997</v>
      </c>
      <c r="AF14" s="39" t="n">
        <f aca="false">AE14/(1-Resumo!$B$5)</f>
        <v>142.079511363636</v>
      </c>
      <c r="AG14" s="39" t="n">
        <f aca="false">AF14-W14</f>
        <v>24.3522863636364</v>
      </c>
      <c r="AH14" s="40" t="n">
        <f aca="false">AF14/W14-1</f>
        <v>0.206853481542917</v>
      </c>
      <c r="AI14" s="37" t="str">
        <f aca="false">IF(AF14&lt;W14,"SIM","NÃO")</f>
        <v>NÃO</v>
      </c>
      <c r="AJ14" s="37" t="n">
        <v>2</v>
      </c>
      <c r="AK14" s="37" t="n">
        <v>5</v>
      </c>
      <c r="AL14" s="37" t="s">
        <v>343</v>
      </c>
      <c r="AM14" s="39" t="n">
        <v>117.43</v>
      </c>
    </row>
    <row r="15" customFormat="false" ht="15" hidden="false" customHeight="false" outlineLevel="0" collapsed="false">
      <c r="A15" s="37" t="n">
        <v>353787271</v>
      </c>
      <c r="B15" s="38" t="n">
        <v>46206.4154398148</v>
      </c>
      <c r="C15" s="37" t="s">
        <v>345</v>
      </c>
      <c r="D15" s="37" t="s">
        <v>358</v>
      </c>
      <c r="E15" s="37" t="n">
        <v>24350042</v>
      </c>
      <c r="F15" s="37" t="s">
        <v>163</v>
      </c>
      <c r="G15" s="37" t="s">
        <v>197</v>
      </c>
      <c r="H15" s="37" t="s">
        <v>188</v>
      </c>
      <c r="I15" s="37" t="n">
        <v>69</v>
      </c>
      <c r="J15" s="39" t="n">
        <v>640.19</v>
      </c>
      <c r="K15" s="37" t="s">
        <v>342</v>
      </c>
      <c r="L15" s="39" t="n">
        <v>139.5</v>
      </c>
      <c r="M15" s="39" t="n">
        <v>76.55</v>
      </c>
      <c r="N15" s="39" t="n">
        <f aca="false">J15*Resumo!$C$6</f>
        <v>0</v>
      </c>
      <c r="O15" s="39" t="n">
        <f aca="false">J15*Resumo!$C$7</f>
        <v>1.344399</v>
      </c>
      <c r="P15" s="39" t="n">
        <f aca="false">J15*Resumo!$C$8</f>
        <v>1.344399</v>
      </c>
      <c r="Q15" s="39" t="n">
        <f aca="false">Resumo!$C$10*CEILING(I15/100,1)</f>
        <v>1.05</v>
      </c>
      <c r="R15" s="39" t="n">
        <f aca="false">Resumo!$C$9</f>
        <v>0</v>
      </c>
      <c r="S15" s="39" t="n">
        <f aca="false">Resumo!$C$13</f>
        <v>13.55</v>
      </c>
      <c r="T15" s="39" t="n">
        <f aca="false">Resumo!$C$14*CEILING(I15,1)</f>
        <v>31.05</v>
      </c>
      <c r="U15" s="39" t="n">
        <f aca="false">SUM(M15:T15)*Resumo!$C$11</f>
        <v>0</v>
      </c>
      <c r="V15" s="39" t="n">
        <f aca="false">SUM(M15:U15)</f>
        <v>124.888798</v>
      </c>
      <c r="W15" s="39" t="n">
        <f aca="false">V15/(1-Resumo!$C$5)</f>
        <v>141.919088636364</v>
      </c>
      <c r="X15" s="39" t="n">
        <v>149.5</v>
      </c>
      <c r="Y15" s="39" t="n">
        <f aca="false">J15*Resumo!$B$6</f>
        <v>0.64019</v>
      </c>
      <c r="Z15" s="39" t="n">
        <f aca="false">J15*Resumo!$B$7</f>
        <v>1.28038</v>
      </c>
      <c r="AA15" s="39" t="n">
        <f aca="false">Resumo!$B$9</f>
        <v>1</v>
      </c>
      <c r="AB15" s="39" t="n">
        <f aca="false">Resumo!$B$10*CEILING(I15/100,1)</f>
        <v>4.5</v>
      </c>
      <c r="AC15" s="39" t="n">
        <f aca="false">Resumo!$B$12*CEILING(I15,1)</f>
        <v>4.14</v>
      </c>
      <c r="AD15" s="39" t="n">
        <f aca="false">Resumo!$B$14*CEILING(I15,1)</f>
        <v>31.05</v>
      </c>
      <c r="AE15" s="39" t="n">
        <f aca="false">SUM(X15:AD15)</f>
        <v>192.11057</v>
      </c>
      <c r="AF15" s="39" t="n">
        <f aca="false">AE15/(1-Resumo!$B$5)</f>
        <v>218.307465909091</v>
      </c>
      <c r="AG15" s="39" t="n">
        <f aca="false">AF15-W15</f>
        <v>76.3883772727273</v>
      </c>
      <c r="AH15" s="40" t="n">
        <f aca="false">AF15/W15-1</f>
        <v>0.538253014493742</v>
      </c>
      <c r="AI15" s="37" t="str">
        <f aca="false">IF(AF15&lt;W15,"SIM","NÃO")</f>
        <v>NÃO</v>
      </c>
      <c r="AJ15" s="37" t="n">
        <v>2</v>
      </c>
      <c r="AK15" s="37" t="n">
        <v>7</v>
      </c>
      <c r="AL15" s="37" t="s">
        <v>343</v>
      </c>
      <c r="AM15" s="39" t="n">
        <v>139.5</v>
      </c>
    </row>
    <row r="16" customFormat="false" ht="15" hidden="false" customHeight="false" outlineLevel="0" collapsed="false">
      <c r="A16" s="37" t="n">
        <v>353842495</v>
      </c>
      <c r="B16" s="38" t="n">
        <v>46206.5290393519</v>
      </c>
      <c r="C16" s="37" t="s">
        <v>340</v>
      </c>
      <c r="D16" s="37" t="s">
        <v>359</v>
      </c>
      <c r="E16" s="37" t="n">
        <v>25945865</v>
      </c>
      <c r="F16" s="37" t="s">
        <v>234</v>
      </c>
      <c r="G16" s="37" t="s">
        <v>198</v>
      </c>
      <c r="H16" s="37" t="s">
        <v>188</v>
      </c>
      <c r="I16" s="37" t="n">
        <v>69.45</v>
      </c>
      <c r="J16" s="39" t="n">
        <v>849.99</v>
      </c>
      <c r="K16" s="37" t="s">
        <v>342</v>
      </c>
      <c r="L16" s="39" t="n">
        <v>156.09</v>
      </c>
      <c r="M16" s="39" t="n">
        <v>90.2</v>
      </c>
      <c r="N16" s="39" t="n">
        <f aca="false">J16*Resumo!$C$6</f>
        <v>0</v>
      </c>
      <c r="O16" s="39" t="n">
        <f aca="false">J16*Resumo!$C$7</f>
        <v>1.784979</v>
      </c>
      <c r="P16" s="39" t="n">
        <f aca="false">J16*Resumo!$C$8</f>
        <v>1.784979</v>
      </c>
      <c r="Q16" s="39" t="n">
        <f aca="false">Resumo!$C$10*CEILING(I16/100,1)</f>
        <v>1.05</v>
      </c>
      <c r="R16" s="39" t="n">
        <f aca="false">Resumo!$C$9</f>
        <v>0</v>
      </c>
      <c r="S16" s="39" t="n">
        <f aca="false">Resumo!$C$13</f>
        <v>13.55</v>
      </c>
      <c r="T16" s="39" t="n">
        <f aca="false">Resumo!$C$14*CEILING(I16,1)</f>
        <v>31.5</v>
      </c>
      <c r="U16" s="39" t="n">
        <f aca="false">SUM(M16:T16)*Resumo!$C$11</f>
        <v>0</v>
      </c>
      <c r="V16" s="39" t="n">
        <f aca="false">SUM(M16:U16)</f>
        <v>139.869958</v>
      </c>
      <c r="W16" s="39" t="n">
        <f aca="false">V16/(1-Resumo!$C$5)</f>
        <v>158.943134090909</v>
      </c>
      <c r="X16" s="39" t="n">
        <v>136.53</v>
      </c>
      <c r="Y16" s="39" t="n">
        <f aca="false">J16*Resumo!$B$6</f>
        <v>0.84999</v>
      </c>
      <c r="Z16" s="39" t="n">
        <f aca="false">J16*Resumo!$B$7</f>
        <v>1.69998</v>
      </c>
      <c r="AA16" s="39" t="n">
        <f aca="false">Resumo!$B$9</f>
        <v>1</v>
      </c>
      <c r="AB16" s="39" t="n">
        <f aca="false">Resumo!$B$10*CEILING(I16/100,1)</f>
        <v>4.5</v>
      </c>
      <c r="AC16" s="39" t="n">
        <f aca="false">Resumo!$B$12*CEILING(I16,1)</f>
        <v>4.2</v>
      </c>
      <c r="AD16" s="39" t="n">
        <f aca="false">Resumo!$B$14*CEILING(I16,1)</f>
        <v>31.5</v>
      </c>
      <c r="AE16" s="39" t="n">
        <f aca="false">SUM(X16:AD16)</f>
        <v>180.27997</v>
      </c>
      <c r="AF16" s="39" t="n">
        <f aca="false">AE16/(1-Resumo!$B$5)</f>
        <v>204.863602272727</v>
      </c>
      <c r="AG16" s="39" t="n">
        <f aca="false">AF16-W16</f>
        <v>45.9204681818182</v>
      </c>
      <c r="AH16" s="40" t="n">
        <f aca="false">AF16/W16-1</f>
        <v>0.28891130431311</v>
      </c>
      <c r="AI16" s="37" t="str">
        <f aca="false">IF(AF16&lt;W16,"SIM","NÃO")</f>
        <v>NÃO</v>
      </c>
      <c r="AJ16" s="37" t="n">
        <v>13</v>
      </c>
      <c r="AK16" s="37" t="n">
        <v>6</v>
      </c>
      <c r="AL16" s="37" t="s">
        <v>347</v>
      </c>
      <c r="AM16" s="39" t="n">
        <v>156.09</v>
      </c>
    </row>
    <row r="17" customFormat="false" ht="15" hidden="false" customHeight="false" outlineLevel="0" collapsed="false">
      <c r="A17" s="37" t="n">
        <v>353850359</v>
      </c>
      <c r="B17" s="38" t="n">
        <v>46206.5460532407</v>
      </c>
      <c r="C17" s="37" t="s">
        <v>345</v>
      </c>
      <c r="D17" s="37" t="s">
        <v>360</v>
      </c>
      <c r="E17" s="37" t="n">
        <v>23078415</v>
      </c>
      <c r="F17" s="37" t="s">
        <v>159</v>
      </c>
      <c r="G17" s="37" t="s">
        <v>196</v>
      </c>
      <c r="H17" s="37" t="s">
        <v>185</v>
      </c>
      <c r="I17" s="37" t="n">
        <v>35.3</v>
      </c>
      <c r="J17" s="39" t="n">
        <v>529.95</v>
      </c>
      <c r="K17" s="37" t="s">
        <v>342</v>
      </c>
      <c r="L17" s="39" t="n">
        <v>92.4</v>
      </c>
      <c r="M17" s="39" t="n">
        <v>48.35</v>
      </c>
      <c r="N17" s="39" t="n">
        <f aca="false">J17*Resumo!$C$6</f>
        <v>0</v>
      </c>
      <c r="O17" s="39" t="n">
        <f aca="false">J17*Resumo!$C$7</f>
        <v>1.112895</v>
      </c>
      <c r="P17" s="39" t="n">
        <f aca="false">J17*Resumo!$C$8</f>
        <v>1.112895</v>
      </c>
      <c r="Q17" s="39" t="n">
        <f aca="false">Resumo!$C$10*CEILING(I17/100,1)</f>
        <v>1.05</v>
      </c>
      <c r="R17" s="39" t="n">
        <f aca="false">Resumo!$C$9</f>
        <v>0</v>
      </c>
      <c r="S17" s="39" t="n">
        <f aca="false">Resumo!$C$13</f>
        <v>13.55</v>
      </c>
      <c r="T17" s="39" t="n">
        <f aca="false">Resumo!$C$14*CEILING(I17,1)</f>
        <v>16.2</v>
      </c>
      <c r="U17" s="39" t="n">
        <f aca="false">SUM(M17:T17)*Resumo!$C$11</f>
        <v>0</v>
      </c>
      <c r="V17" s="39" t="n">
        <f aca="false">SUM(M17:U17)</f>
        <v>81.37579</v>
      </c>
      <c r="W17" s="39" t="n">
        <f aca="false">V17/(1-Resumo!$C$5)</f>
        <v>92.4724886363637</v>
      </c>
      <c r="X17" s="39" t="n">
        <v>93.97</v>
      </c>
      <c r="Y17" s="39" t="n">
        <f aca="false">J17*Resumo!$B$6</f>
        <v>0.52995</v>
      </c>
      <c r="Z17" s="39" t="n">
        <f aca="false">J17*Resumo!$B$7</f>
        <v>1.0599</v>
      </c>
      <c r="AA17" s="39" t="n">
        <f aca="false">Resumo!$B$9</f>
        <v>1</v>
      </c>
      <c r="AB17" s="39" t="n">
        <f aca="false">Resumo!$B$10*CEILING(I17/100,1)</f>
        <v>4.5</v>
      </c>
      <c r="AC17" s="39" t="n">
        <f aca="false">Resumo!$B$12*CEILING(I17,1)</f>
        <v>2.16</v>
      </c>
      <c r="AD17" s="39" t="n">
        <f aca="false">Resumo!$B$14*CEILING(I17,1)</f>
        <v>16.2</v>
      </c>
      <c r="AE17" s="39" t="n">
        <f aca="false">SUM(X17:AD17)</f>
        <v>119.41985</v>
      </c>
      <c r="AF17" s="39" t="n">
        <f aca="false">AE17/(1-Resumo!$B$5)</f>
        <v>135.704375</v>
      </c>
      <c r="AG17" s="39" t="n">
        <f aca="false">AF17-W17</f>
        <v>43.2318863636364</v>
      </c>
      <c r="AH17" s="40" t="n">
        <f aca="false">AF17/W17-1</f>
        <v>0.467510791600303</v>
      </c>
      <c r="AI17" s="37" t="str">
        <f aca="false">IF(AF17&lt;W17,"SIM","NÃO")</f>
        <v>NÃO</v>
      </c>
      <c r="AJ17" s="37" t="n">
        <v>2</v>
      </c>
      <c r="AK17" s="37" t="n">
        <v>5</v>
      </c>
      <c r="AL17" s="37" t="s">
        <v>343</v>
      </c>
      <c r="AM17" s="39" t="n">
        <v>92.4</v>
      </c>
    </row>
    <row r="18" customFormat="false" ht="15" hidden="false" customHeight="false" outlineLevel="0" collapsed="false">
      <c r="A18" s="37" t="n">
        <v>353962486</v>
      </c>
      <c r="B18" s="38" t="n">
        <v>46206.8274884259</v>
      </c>
      <c r="C18" s="37" t="s">
        <v>361</v>
      </c>
      <c r="D18" s="37" t="s">
        <v>362</v>
      </c>
      <c r="E18" s="37" t="n">
        <v>20785224</v>
      </c>
      <c r="F18" s="37" t="s">
        <v>159</v>
      </c>
      <c r="G18" s="37" t="s">
        <v>196</v>
      </c>
      <c r="H18" s="37" t="s">
        <v>184</v>
      </c>
      <c r="I18" s="37" t="n">
        <v>33.3</v>
      </c>
      <c r="J18" s="39" t="n">
        <v>459.99</v>
      </c>
      <c r="K18" s="37" t="s">
        <v>342</v>
      </c>
      <c r="L18" s="39" t="n">
        <v>82.53</v>
      </c>
      <c r="M18" s="39" t="n">
        <v>42.11</v>
      </c>
      <c r="N18" s="39" t="n">
        <f aca="false">J18*Resumo!$C$6</f>
        <v>0</v>
      </c>
      <c r="O18" s="39" t="n">
        <f aca="false">J18*Resumo!$C$7</f>
        <v>0.965979</v>
      </c>
      <c r="P18" s="39" t="n">
        <f aca="false">J18*Resumo!$C$8</f>
        <v>0.965979</v>
      </c>
      <c r="Q18" s="39" t="n">
        <f aca="false">Resumo!$C$10*CEILING(I18/100,1)</f>
        <v>1.05</v>
      </c>
      <c r="R18" s="39" t="n">
        <f aca="false">Resumo!$C$9</f>
        <v>0</v>
      </c>
      <c r="S18" s="39" t="n">
        <f aca="false">Resumo!$C$13</f>
        <v>13.55</v>
      </c>
      <c r="T18" s="39" t="n">
        <f aca="false">Resumo!$C$14*CEILING(I18,1)</f>
        <v>15.3</v>
      </c>
      <c r="U18" s="39" t="n">
        <f aca="false">SUM(M18:T18)*Resumo!$C$11</f>
        <v>0</v>
      </c>
      <c r="V18" s="39" t="n">
        <f aca="false">SUM(M18:U18)</f>
        <v>73.941958</v>
      </c>
      <c r="W18" s="39" t="n">
        <f aca="false">V18/(1-Resumo!$C$5)</f>
        <v>84.0249522727273</v>
      </c>
      <c r="X18" s="39" t="n">
        <v>82.21</v>
      </c>
      <c r="Y18" s="39" t="n">
        <f aca="false">J18*Resumo!$B$6</f>
        <v>0.45999</v>
      </c>
      <c r="Z18" s="39" t="n">
        <f aca="false">J18*Resumo!$B$7</f>
        <v>0.91998</v>
      </c>
      <c r="AA18" s="39" t="n">
        <f aca="false">Resumo!$B$9</f>
        <v>1</v>
      </c>
      <c r="AB18" s="39" t="n">
        <f aca="false">Resumo!$B$10*CEILING(I18/100,1)</f>
        <v>4.5</v>
      </c>
      <c r="AC18" s="39" t="n">
        <f aca="false">Resumo!$B$12*CEILING(I18,1)</f>
        <v>2.04</v>
      </c>
      <c r="AD18" s="39" t="n">
        <f aca="false">Resumo!$B$14*CEILING(I18,1)</f>
        <v>15.3</v>
      </c>
      <c r="AE18" s="39" t="n">
        <f aca="false">SUM(X18:AD18)</f>
        <v>106.42997</v>
      </c>
      <c r="AF18" s="39" t="n">
        <f aca="false">AE18/(1-Resumo!$B$5)</f>
        <v>120.943147727273</v>
      </c>
      <c r="AG18" s="39" t="n">
        <f aca="false">AF18-W18</f>
        <v>36.9181954545455</v>
      </c>
      <c r="AH18" s="40" t="n">
        <f aca="false">AF18/W18-1</f>
        <v>0.439371811062942</v>
      </c>
      <c r="AI18" s="37" t="str">
        <f aca="false">IF(AF18&lt;W18,"SIM","NÃO")</f>
        <v>NÃO</v>
      </c>
      <c r="AJ18" s="37" t="n">
        <v>2</v>
      </c>
      <c r="AK18" s="37" t="n">
        <v>5</v>
      </c>
      <c r="AL18" s="37" t="s">
        <v>343</v>
      </c>
      <c r="AM18" s="39" t="n">
        <v>82.53</v>
      </c>
    </row>
    <row r="19" customFormat="false" ht="15" hidden="false" customHeight="false" outlineLevel="0" collapsed="false">
      <c r="A19" s="37" t="n">
        <v>353996568</v>
      </c>
      <c r="B19" s="38" t="n">
        <v>46206.9037847222</v>
      </c>
      <c r="C19" s="37" t="s">
        <v>340</v>
      </c>
      <c r="D19" s="37" t="s">
        <v>363</v>
      </c>
      <c r="E19" s="37" t="n">
        <v>27948310</v>
      </c>
      <c r="F19" s="37" t="s">
        <v>166</v>
      </c>
      <c r="G19" s="37" t="s">
        <v>198</v>
      </c>
      <c r="H19" s="37" t="s">
        <v>192</v>
      </c>
      <c r="I19" s="37" t="n">
        <v>124.2</v>
      </c>
      <c r="J19" s="39" t="n">
        <v>1699.99</v>
      </c>
      <c r="K19" s="37" t="s">
        <v>342</v>
      </c>
      <c r="L19" s="39" t="n">
        <v>261.43</v>
      </c>
      <c r="M19" s="39" t="n">
        <v>144.24</v>
      </c>
      <c r="N19" s="39" t="n">
        <f aca="false">J19*Resumo!$C$6</f>
        <v>0</v>
      </c>
      <c r="O19" s="39" t="n">
        <f aca="false">J19*Resumo!$C$7</f>
        <v>3.569979</v>
      </c>
      <c r="P19" s="39" t="n">
        <f aca="false">J19*Resumo!$C$8</f>
        <v>3.569979</v>
      </c>
      <c r="Q19" s="39" t="n">
        <f aca="false">Resumo!$C$10*CEILING(I19/100,1)</f>
        <v>2.1</v>
      </c>
      <c r="R19" s="39" t="n">
        <f aca="false">Resumo!$C$9</f>
        <v>0</v>
      </c>
      <c r="S19" s="39" t="n">
        <f aca="false">Resumo!$C$13</f>
        <v>13.55</v>
      </c>
      <c r="T19" s="39" t="n">
        <f aca="false">Resumo!$C$14*CEILING(I19,1)</f>
        <v>56.25</v>
      </c>
      <c r="U19" s="39" t="n">
        <f aca="false">SUM(M19:T19)*Resumo!$C$11</f>
        <v>0</v>
      </c>
      <c r="V19" s="39" t="n">
        <f aca="false">SUM(M19:U19)</f>
        <v>223.279958</v>
      </c>
      <c r="W19" s="39" t="n">
        <f aca="false">V19/(1-Resumo!$C$5)</f>
        <v>253.727225</v>
      </c>
      <c r="X19" s="39" t="n">
        <v>264.84</v>
      </c>
      <c r="Y19" s="39" t="n">
        <f aca="false">J19*Resumo!$B$6</f>
        <v>1.69999</v>
      </c>
      <c r="Z19" s="39" t="n">
        <f aca="false">J19*Resumo!$B$7</f>
        <v>3.39998</v>
      </c>
      <c r="AA19" s="39" t="n">
        <f aca="false">Resumo!$B$9</f>
        <v>1</v>
      </c>
      <c r="AB19" s="39" t="n">
        <f aca="false">Resumo!$B$10*CEILING(I19/100,1)</f>
        <v>9</v>
      </c>
      <c r="AC19" s="39" t="n">
        <f aca="false">Resumo!$B$12*CEILING(I19,1)</f>
        <v>7.5</v>
      </c>
      <c r="AD19" s="39" t="n">
        <f aca="false">Resumo!$B$14*CEILING(I19,1)</f>
        <v>56.25</v>
      </c>
      <c r="AE19" s="39" t="n">
        <f aca="false">SUM(X19:AD19)</f>
        <v>343.68997</v>
      </c>
      <c r="AF19" s="39" t="n">
        <f aca="false">AE19/(1-Resumo!$B$5)</f>
        <v>390.556784090909</v>
      </c>
      <c r="AG19" s="39" t="n">
        <f aca="false">AF19-W19</f>
        <v>136.829559090909</v>
      </c>
      <c r="AH19" s="40" t="n">
        <f aca="false">AF19/W19-1</f>
        <v>0.539278191730939</v>
      </c>
      <c r="AI19" s="37" t="str">
        <f aca="false">IF(AF19&lt;W19,"SIM","NÃO")</f>
        <v>NÃO</v>
      </c>
      <c r="AJ19" s="37" t="n">
        <v>13</v>
      </c>
      <c r="AK19" s="37" t="n">
        <v>11</v>
      </c>
      <c r="AL19" s="37" t="s">
        <v>343</v>
      </c>
      <c r="AM19" s="39" t="n">
        <v>261.44</v>
      </c>
    </row>
    <row r="20" customFormat="false" ht="15" hidden="false" customHeight="false" outlineLevel="0" collapsed="false">
      <c r="A20" s="37" t="n">
        <v>354004078</v>
      </c>
      <c r="B20" s="38" t="n">
        <v>46206.9302893519</v>
      </c>
      <c r="C20" s="37" t="s">
        <v>361</v>
      </c>
      <c r="D20" s="37" t="s">
        <v>364</v>
      </c>
      <c r="E20" s="37" t="n">
        <v>21361190</v>
      </c>
      <c r="F20" s="37" t="s">
        <v>159</v>
      </c>
      <c r="G20" s="37" t="s">
        <v>196</v>
      </c>
      <c r="H20" s="37" t="s">
        <v>186</v>
      </c>
      <c r="I20" s="37" t="n">
        <v>45.3</v>
      </c>
      <c r="J20" s="39" t="n">
        <v>699.99</v>
      </c>
      <c r="K20" s="37" t="s">
        <v>342</v>
      </c>
      <c r="L20" s="39" t="n">
        <v>103.94</v>
      </c>
      <c r="M20" s="39" t="n">
        <v>53.55</v>
      </c>
      <c r="N20" s="39" t="n">
        <f aca="false">J20*Resumo!$C$6</f>
        <v>0</v>
      </c>
      <c r="O20" s="39" t="n">
        <f aca="false">J20*Resumo!$C$7</f>
        <v>1.469979</v>
      </c>
      <c r="P20" s="39" t="n">
        <f aca="false">J20*Resumo!$C$8</f>
        <v>1.469979</v>
      </c>
      <c r="Q20" s="39" t="n">
        <f aca="false">Resumo!$C$10*CEILING(I20/100,1)</f>
        <v>1.05</v>
      </c>
      <c r="R20" s="39" t="n">
        <f aca="false">Resumo!$C$9</f>
        <v>0</v>
      </c>
      <c r="S20" s="39" t="n">
        <f aca="false">Resumo!$C$13</f>
        <v>13.55</v>
      </c>
      <c r="T20" s="39" t="n">
        <f aca="false">Resumo!$C$14*CEILING(I20,1)</f>
        <v>20.7</v>
      </c>
      <c r="U20" s="39" t="n">
        <f aca="false">SUM(M20:T20)*Resumo!$C$11</f>
        <v>0</v>
      </c>
      <c r="V20" s="39" t="n">
        <f aca="false">SUM(M20:U20)</f>
        <v>91.789958</v>
      </c>
      <c r="W20" s="39" t="n">
        <f aca="false">V20/(1-Resumo!$C$5)</f>
        <v>104.306770454545</v>
      </c>
      <c r="X20" s="39" t="n">
        <v>93.97</v>
      </c>
      <c r="Y20" s="39" t="n">
        <f aca="false">J20*Resumo!$B$6</f>
        <v>0.69999</v>
      </c>
      <c r="Z20" s="39" t="n">
        <f aca="false">J20*Resumo!$B$7</f>
        <v>1.39998</v>
      </c>
      <c r="AA20" s="39" t="n">
        <f aca="false">Resumo!$B$9</f>
        <v>1</v>
      </c>
      <c r="AB20" s="39" t="n">
        <f aca="false">Resumo!$B$10*CEILING(I20/100,1)</f>
        <v>4.5</v>
      </c>
      <c r="AC20" s="39" t="n">
        <f aca="false">Resumo!$B$12*CEILING(I20,1)</f>
        <v>2.76</v>
      </c>
      <c r="AD20" s="39" t="n">
        <f aca="false">Resumo!$B$14*CEILING(I20,1)</f>
        <v>20.7</v>
      </c>
      <c r="AE20" s="39" t="n">
        <f aca="false">SUM(X20:AD20)</f>
        <v>125.02997</v>
      </c>
      <c r="AF20" s="39" t="n">
        <f aca="false">AE20/(1-Resumo!$B$5)</f>
        <v>142.079511363636</v>
      </c>
      <c r="AG20" s="39" t="n">
        <f aca="false">AF20-W20</f>
        <v>37.7727409090909</v>
      </c>
      <c r="AH20" s="40" t="n">
        <f aca="false">AF20/W20-1</f>
        <v>0.362131247516204</v>
      </c>
      <c r="AI20" s="37" t="str">
        <f aca="false">IF(AF20&lt;W20,"SIM","NÃO")</f>
        <v>NÃO</v>
      </c>
      <c r="AJ20" s="37" t="n">
        <v>2</v>
      </c>
      <c r="AK20" s="37" t="n">
        <v>5</v>
      </c>
      <c r="AL20" s="37" t="s">
        <v>343</v>
      </c>
      <c r="AM20" s="39" t="n">
        <v>103.94</v>
      </c>
    </row>
    <row r="21" customFormat="false" ht="15" hidden="false" customHeight="false" outlineLevel="0" collapsed="false">
      <c r="A21" s="37" t="n">
        <v>354009973</v>
      </c>
      <c r="B21" s="38" t="n">
        <v>46206.9387152778</v>
      </c>
      <c r="C21" s="37" t="s">
        <v>340</v>
      </c>
      <c r="D21" s="37" t="s">
        <v>365</v>
      </c>
      <c r="E21" s="37" t="n">
        <v>22050002</v>
      </c>
      <c r="F21" s="37" t="s">
        <v>159</v>
      </c>
      <c r="G21" s="37" t="s">
        <v>196</v>
      </c>
      <c r="H21" s="37" t="s">
        <v>184</v>
      </c>
      <c r="I21" s="37" t="n">
        <v>27.5</v>
      </c>
      <c r="J21" s="39" t="n">
        <v>332.99</v>
      </c>
      <c r="K21" s="37" t="s">
        <v>342</v>
      </c>
      <c r="L21" s="39" t="n">
        <v>81.93</v>
      </c>
      <c r="M21" s="39" t="n">
        <v>42.11</v>
      </c>
      <c r="N21" s="39" t="n">
        <f aca="false">J21*Resumo!$C$6</f>
        <v>0</v>
      </c>
      <c r="O21" s="39" t="n">
        <f aca="false">J21*Resumo!$C$7</f>
        <v>0.699279</v>
      </c>
      <c r="P21" s="39" t="n">
        <f aca="false">J21*Resumo!$C$8</f>
        <v>0.699279</v>
      </c>
      <c r="Q21" s="39" t="n">
        <f aca="false">Resumo!$C$10*CEILING(I21/100,1)</f>
        <v>1.05</v>
      </c>
      <c r="R21" s="39" t="n">
        <f aca="false">Resumo!$C$9</f>
        <v>0</v>
      </c>
      <c r="S21" s="39" t="n">
        <f aca="false">Resumo!$C$13</f>
        <v>13.55</v>
      </c>
      <c r="T21" s="39" t="n">
        <f aca="false">Resumo!$C$14*CEILING(I21,1)</f>
        <v>12.6</v>
      </c>
      <c r="U21" s="39" t="n">
        <f aca="false">SUM(M21:T21)*Resumo!$C$11</f>
        <v>0</v>
      </c>
      <c r="V21" s="39" t="n">
        <f aca="false">SUM(M21:U21)</f>
        <v>70.708558</v>
      </c>
      <c r="W21" s="39" t="n">
        <f aca="false">V21/(1-Resumo!$C$5)</f>
        <v>80.3506340909091</v>
      </c>
      <c r="X21" s="39" t="n">
        <v>82.21</v>
      </c>
      <c r="Y21" s="39" t="n">
        <f aca="false">J21*Resumo!$B$6</f>
        <v>0.33299</v>
      </c>
      <c r="Z21" s="39" t="n">
        <f aca="false">J21*Resumo!$B$7</f>
        <v>0.66598</v>
      </c>
      <c r="AA21" s="39" t="n">
        <f aca="false">Resumo!$B$9</f>
        <v>1</v>
      </c>
      <c r="AB21" s="39" t="n">
        <f aca="false">Resumo!$B$10*CEILING(I21/100,1)</f>
        <v>4.5</v>
      </c>
      <c r="AC21" s="39" t="n">
        <f aca="false">Resumo!$B$12*CEILING(I21,1)</f>
        <v>1.68</v>
      </c>
      <c r="AD21" s="39" t="n">
        <f aca="false">Resumo!$B$14*CEILING(I21,1)</f>
        <v>12.6</v>
      </c>
      <c r="AE21" s="39" t="n">
        <f aca="false">SUM(X21:AD21)</f>
        <v>102.98897</v>
      </c>
      <c r="AF21" s="39" t="n">
        <f aca="false">AE21/(1-Resumo!$B$5)</f>
        <v>117.032920454545</v>
      </c>
      <c r="AG21" s="39" t="n">
        <f aca="false">AF21-W21</f>
        <v>36.6822863636364</v>
      </c>
      <c r="AH21" s="40" t="n">
        <f aca="false">AF21/W21-1</f>
        <v>0.456527652565055</v>
      </c>
      <c r="AI21" s="37" t="str">
        <f aca="false">IF(AF21&lt;W21,"SIM","NÃO")</f>
        <v>NÃO</v>
      </c>
      <c r="AJ21" s="37" t="n">
        <v>2</v>
      </c>
      <c r="AK21" s="37" t="n">
        <v>5</v>
      </c>
      <c r="AL21" s="37" t="s">
        <v>343</v>
      </c>
      <c r="AM21" s="39" t="n">
        <v>81.92</v>
      </c>
    </row>
    <row r="22" customFormat="false" ht="15" hidden="false" customHeight="false" outlineLevel="0" collapsed="false">
      <c r="A22" s="37" t="n">
        <v>354011389</v>
      </c>
      <c r="B22" s="38" t="n">
        <v>46206.9400694444</v>
      </c>
      <c r="C22" s="37" t="s">
        <v>366</v>
      </c>
      <c r="D22" s="37" t="s">
        <v>367</v>
      </c>
      <c r="E22" s="37" t="n">
        <v>25530460</v>
      </c>
      <c r="F22" s="37" t="s">
        <v>167</v>
      </c>
      <c r="G22" s="37" t="s">
        <v>197</v>
      </c>
      <c r="H22" s="37" t="s">
        <v>190</v>
      </c>
      <c r="I22" s="37" t="n">
        <v>93.8</v>
      </c>
      <c r="J22" s="39" t="n">
        <v>999.99</v>
      </c>
      <c r="K22" s="37" t="s">
        <v>342</v>
      </c>
      <c r="L22" s="39" t="n">
        <v>173.63</v>
      </c>
      <c r="M22" s="39" t="n">
        <v>92.32</v>
      </c>
      <c r="N22" s="39" t="n">
        <f aca="false">J22*Resumo!$C$6</f>
        <v>0</v>
      </c>
      <c r="O22" s="39" t="n">
        <f aca="false">J22*Resumo!$C$7</f>
        <v>2.099979</v>
      </c>
      <c r="P22" s="39" t="n">
        <f aca="false">J22*Resumo!$C$8</f>
        <v>2.099979</v>
      </c>
      <c r="Q22" s="39" t="n">
        <f aca="false">Resumo!$C$10*CEILING(I22/100,1)</f>
        <v>1.05</v>
      </c>
      <c r="R22" s="39" t="n">
        <f aca="false">Resumo!$C$9</f>
        <v>0</v>
      </c>
      <c r="S22" s="39" t="n">
        <f aca="false">Resumo!$C$13</f>
        <v>13.55</v>
      </c>
      <c r="T22" s="39" t="n">
        <f aca="false">Resumo!$C$14*CEILING(I22,1)</f>
        <v>42.3</v>
      </c>
      <c r="U22" s="39" t="n">
        <f aca="false">SUM(M22:T22)*Resumo!$C$11</f>
        <v>0</v>
      </c>
      <c r="V22" s="39" t="n">
        <f aca="false">SUM(M22:U22)</f>
        <v>153.419958</v>
      </c>
      <c r="W22" s="39" t="n">
        <f aca="false">V22/(1-Resumo!$C$5)</f>
        <v>174.340861363636</v>
      </c>
      <c r="X22" s="39" t="n">
        <v>167.99</v>
      </c>
      <c r="Y22" s="39" t="n">
        <f aca="false">J22*Resumo!$B$6</f>
        <v>0.99999</v>
      </c>
      <c r="Z22" s="39" t="n">
        <f aca="false">J22*Resumo!$B$7</f>
        <v>1.99998</v>
      </c>
      <c r="AA22" s="39" t="n">
        <f aca="false">Resumo!$B$9</f>
        <v>1</v>
      </c>
      <c r="AB22" s="39" t="n">
        <f aca="false">Resumo!$B$10*CEILING(I22/100,1)</f>
        <v>4.5</v>
      </c>
      <c r="AC22" s="39" t="n">
        <f aca="false">Resumo!$B$12*CEILING(I22,1)</f>
        <v>5.64</v>
      </c>
      <c r="AD22" s="39" t="n">
        <f aca="false">Resumo!$B$14*CEILING(I22,1)</f>
        <v>42.3</v>
      </c>
      <c r="AE22" s="39" t="n">
        <f aca="false">SUM(X22:AD22)</f>
        <v>224.42997</v>
      </c>
      <c r="AF22" s="39" t="n">
        <f aca="false">AE22/(1-Resumo!$B$5)</f>
        <v>255.034056818182</v>
      </c>
      <c r="AG22" s="39" t="n">
        <f aca="false">AF22-W22</f>
        <v>80.6931954545455</v>
      </c>
      <c r="AH22" s="40" t="n">
        <f aca="false">AF22/W22-1</f>
        <v>0.462847291354362</v>
      </c>
      <c r="AI22" s="37" t="str">
        <f aca="false">IF(AF22&lt;W22,"SIM","NÃO")</f>
        <v>NÃO</v>
      </c>
      <c r="AJ22" s="37" t="n">
        <v>2</v>
      </c>
      <c r="AK22" s="37" t="n">
        <v>5</v>
      </c>
      <c r="AL22" s="37" t="s">
        <v>343</v>
      </c>
      <c r="AM22" s="39" t="n">
        <v>173.62</v>
      </c>
    </row>
    <row r="23" customFormat="false" ht="15" hidden="false" customHeight="false" outlineLevel="0" collapsed="false">
      <c r="A23" s="37" t="n">
        <v>354023158</v>
      </c>
      <c r="B23" s="38" t="n">
        <v>46206.9758333333</v>
      </c>
      <c r="C23" s="37" t="s">
        <v>345</v>
      </c>
      <c r="D23" s="37" t="s">
        <v>368</v>
      </c>
      <c r="E23" s="37" t="n">
        <v>26445140</v>
      </c>
      <c r="F23" s="37" t="s">
        <v>237</v>
      </c>
      <c r="G23" s="37" t="s">
        <v>198</v>
      </c>
      <c r="H23" s="37" t="s">
        <v>190</v>
      </c>
      <c r="I23" s="37" t="n">
        <v>94.8</v>
      </c>
      <c r="J23" s="39" t="n">
        <v>1112.28</v>
      </c>
      <c r="K23" s="37" t="s">
        <v>342</v>
      </c>
      <c r="L23" s="39" t="n">
        <v>193.92</v>
      </c>
      <c r="M23" s="39" t="n">
        <v>109.63</v>
      </c>
      <c r="N23" s="39" t="n">
        <f aca="false">J23*Resumo!$C$6</f>
        <v>0</v>
      </c>
      <c r="O23" s="39" t="n">
        <f aca="false">J23*Resumo!$C$7</f>
        <v>2.335788</v>
      </c>
      <c r="P23" s="39" t="n">
        <f aca="false">J23*Resumo!$C$8</f>
        <v>2.335788</v>
      </c>
      <c r="Q23" s="39" t="n">
        <f aca="false">Resumo!$C$10*CEILING(I23/100,1)</f>
        <v>1.05</v>
      </c>
      <c r="R23" s="39" t="n">
        <f aca="false">Resumo!$C$9</f>
        <v>0</v>
      </c>
      <c r="S23" s="39" t="n">
        <f aca="false">Resumo!$C$13</f>
        <v>13.55</v>
      </c>
      <c r="T23" s="39" t="n">
        <f aca="false">Resumo!$C$14*CEILING(I23,1)</f>
        <v>42.75</v>
      </c>
      <c r="U23" s="39" t="n">
        <f aca="false">SUM(M23:T23)*Resumo!$C$11</f>
        <v>0</v>
      </c>
      <c r="V23" s="39" t="n">
        <f aca="false">SUM(M23:U23)</f>
        <v>171.651576</v>
      </c>
      <c r="W23" s="39" t="n">
        <f aca="false">V23/(1-Resumo!$C$5)</f>
        <v>195.058609090909</v>
      </c>
      <c r="X23" s="39" t="n">
        <v>167.99</v>
      </c>
      <c r="Y23" s="39" t="n">
        <f aca="false">J23*Resumo!$B$6</f>
        <v>1.11228</v>
      </c>
      <c r="Z23" s="39" t="n">
        <f aca="false">J23*Resumo!$B$7</f>
        <v>2.22456</v>
      </c>
      <c r="AA23" s="39" t="n">
        <f aca="false">Resumo!$B$9</f>
        <v>1</v>
      </c>
      <c r="AB23" s="39" t="n">
        <f aca="false">Resumo!$B$10*CEILING(I23/100,1)</f>
        <v>4.5</v>
      </c>
      <c r="AC23" s="39" t="n">
        <f aca="false">Resumo!$B$12*CEILING(I23,1)</f>
        <v>5.7</v>
      </c>
      <c r="AD23" s="39" t="n">
        <f aca="false">Resumo!$B$14*CEILING(I23,1)</f>
        <v>42.75</v>
      </c>
      <c r="AE23" s="39" t="n">
        <f aca="false">SUM(X23:AD23)</f>
        <v>225.27684</v>
      </c>
      <c r="AF23" s="39" t="n">
        <f aca="false">AE23/(1-Resumo!$B$5)</f>
        <v>255.996409090909</v>
      </c>
      <c r="AG23" s="39" t="n">
        <f aca="false">AF23-W23</f>
        <v>60.9378</v>
      </c>
      <c r="AH23" s="40" t="n">
        <f aca="false">AF23/W23-1</f>
        <v>0.312407641395614</v>
      </c>
      <c r="AI23" s="37" t="str">
        <f aca="false">IF(AF23&lt;W23,"SIM","NÃO")</f>
        <v>NÃO</v>
      </c>
      <c r="AJ23" s="37" t="n">
        <v>13</v>
      </c>
      <c r="AK23" s="37" t="n">
        <v>5</v>
      </c>
      <c r="AL23" s="37" t="s">
        <v>347</v>
      </c>
      <c r="AM23" s="39" t="n">
        <v>193.93</v>
      </c>
    </row>
    <row r="24" customFormat="false" ht="15" hidden="false" customHeight="false" outlineLevel="0" collapsed="false">
      <c r="A24" s="37" t="n">
        <v>354081082</v>
      </c>
      <c r="B24" s="38" t="n">
        <v>46207.2326157407</v>
      </c>
      <c r="C24" s="37" t="s">
        <v>345</v>
      </c>
      <c r="D24" s="37" t="s">
        <v>369</v>
      </c>
      <c r="E24" s="37" t="n">
        <v>27120320</v>
      </c>
      <c r="F24" s="37" t="s">
        <v>244</v>
      </c>
      <c r="G24" s="37" t="s">
        <v>198</v>
      </c>
      <c r="H24" s="37" t="s">
        <v>192</v>
      </c>
      <c r="I24" s="37" t="n">
        <v>124.2</v>
      </c>
      <c r="J24" s="39" t="n">
        <v>1716.89</v>
      </c>
      <c r="K24" s="37" t="s">
        <v>342</v>
      </c>
      <c r="L24" s="39" t="n">
        <v>261.51</v>
      </c>
      <c r="M24" s="39" t="n">
        <v>144.24</v>
      </c>
      <c r="N24" s="39" t="n">
        <f aca="false">J24*Resumo!$C$6</f>
        <v>0</v>
      </c>
      <c r="O24" s="39" t="n">
        <f aca="false">J24*Resumo!$C$7</f>
        <v>3.605469</v>
      </c>
      <c r="P24" s="39" t="n">
        <f aca="false">J24*Resumo!$C$8</f>
        <v>3.605469</v>
      </c>
      <c r="Q24" s="39" t="n">
        <f aca="false">Resumo!$C$10*CEILING(I24/100,1)</f>
        <v>2.1</v>
      </c>
      <c r="R24" s="39" t="n">
        <f aca="false">Resumo!$C$9</f>
        <v>0</v>
      </c>
      <c r="S24" s="39" t="n">
        <f aca="false">Resumo!$C$13</f>
        <v>13.55</v>
      </c>
      <c r="T24" s="39" t="n">
        <f aca="false">Resumo!$C$14*CEILING(I24,1)</f>
        <v>56.25</v>
      </c>
      <c r="U24" s="39" t="n">
        <f aca="false">SUM(M24:T24)*Resumo!$C$11</f>
        <v>0</v>
      </c>
      <c r="V24" s="39" t="n">
        <f aca="false">SUM(M24:U24)</f>
        <v>223.350938</v>
      </c>
      <c r="W24" s="39" t="n">
        <f aca="false">V24/(1-Resumo!$C$5)</f>
        <v>253.807884090909</v>
      </c>
      <c r="X24" s="39" t="n">
        <v>264.84</v>
      </c>
      <c r="Y24" s="39" t="n">
        <f aca="false">J24*Resumo!$B$6</f>
        <v>1.71689</v>
      </c>
      <c r="Z24" s="39" t="n">
        <f aca="false">J24*Resumo!$B$7</f>
        <v>3.43378</v>
      </c>
      <c r="AA24" s="39" t="n">
        <f aca="false">Resumo!$B$9</f>
        <v>1</v>
      </c>
      <c r="AB24" s="39" t="n">
        <f aca="false">Resumo!$B$10*CEILING(I24/100,1)</f>
        <v>9</v>
      </c>
      <c r="AC24" s="39" t="n">
        <f aca="false">Resumo!$B$12*CEILING(I24,1)</f>
        <v>7.5</v>
      </c>
      <c r="AD24" s="39" t="n">
        <f aca="false">Resumo!$B$14*CEILING(I24,1)</f>
        <v>56.25</v>
      </c>
      <c r="AE24" s="39" t="n">
        <f aca="false">SUM(X24:AD24)</f>
        <v>343.74067</v>
      </c>
      <c r="AF24" s="39" t="n">
        <f aca="false">AE24/(1-Resumo!$B$5)</f>
        <v>390.614397727273</v>
      </c>
      <c r="AG24" s="39" t="n">
        <f aca="false">AF24-W24</f>
        <v>136.806513636364</v>
      </c>
      <c r="AH24" s="40" t="n">
        <f aca="false">AF24/W24-1</f>
        <v>0.539016012549721</v>
      </c>
      <c r="AI24" s="37" t="str">
        <f aca="false">IF(AF24&lt;W24,"SIM","NÃO")</f>
        <v>NÃO</v>
      </c>
      <c r="AJ24" s="37" t="n">
        <v>13</v>
      </c>
      <c r="AK24" s="37" t="n">
        <v>10</v>
      </c>
      <c r="AL24" s="37" t="s">
        <v>347</v>
      </c>
      <c r="AM24" s="39" t="n">
        <v>261.52</v>
      </c>
    </row>
    <row r="25" customFormat="false" ht="15" hidden="false" customHeight="false" outlineLevel="0" collapsed="false">
      <c r="A25" s="37" t="n">
        <v>354110656</v>
      </c>
      <c r="B25" s="38" t="n">
        <v>46207.3634606482</v>
      </c>
      <c r="C25" s="37" t="s">
        <v>340</v>
      </c>
      <c r="D25" s="37" t="s">
        <v>370</v>
      </c>
      <c r="E25" s="37" t="n">
        <v>21535590</v>
      </c>
      <c r="F25" s="37" t="s">
        <v>159</v>
      </c>
      <c r="G25" s="37" t="s">
        <v>196</v>
      </c>
      <c r="H25" s="37" t="s">
        <v>185</v>
      </c>
      <c r="I25" s="37" t="n">
        <v>38.6</v>
      </c>
      <c r="J25" s="39" t="n">
        <v>599.99</v>
      </c>
      <c r="K25" s="37" t="s">
        <v>342</v>
      </c>
      <c r="L25" s="39" t="n">
        <v>92.73</v>
      </c>
      <c r="M25" s="39" t="n">
        <v>48.35</v>
      </c>
      <c r="N25" s="39" t="n">
        <f aca="false">J25*Resumo!$C$6</f>
        <v>0</v>
      </c>
      <c r="O25" s="39" t="n">
        <f aca="false">J25*Resumo!$C$7</f>
        <v>1.259979</v>
      </c>
      <c r="P25" s="39" t="n">
        <f aca="false">J25*Resumo!$C$8</f>
        <v>1.259979</v>
      </c>
      <c r="Q25" s="39" t="n">
        <f aca="false">Resumo!$C$10*CEILING(I25/100,1)</f>
        <v>1.05</v>
      </c>
      <c r="R25" s="39" t="n">
        <f aca="false">Resumo!$C$9</f>
        <v>0</v>
      </c>
      <c r="S25" s="39" t="n">
        <f aca="false">Resumo!$C$13</f>
        <v>13.55</v>
      </c>
      <c r="T25" s="39" t="n">
        <f aca="false">Resumo!$C$14*CEILING(I25,1)</f>
        <v>17.55</v>
      </c>
      <c r="U25" s="39" t="n">
        <f aca="false">SUM(M25:T25)*Resumo!$C$11</f>
        <v>0</v>
      </c>
      <c r="V25" s="39" t="n">
        <f aca="false">SUM(M25:U25)</f>
        <v>83.019958</v>
      </c>
      <c r="W25" s="39" t="n">
        <f aca="false">V25/(1-Resumo!$C$5)</f>
        <v>94.3408613636364</v>
      </c>
      <c r="X25" s="39" t="n">
        <v>93.97</v>
      </c>
      <c r="Y25" s="39" t="n">
        <f aca="false">J25*Resumo!$B$6</f>
        <v>0.59999</v>
      </c>
      <c r="Z25" s="39" t="n">
        <f aca="false">J25*Resumo!$B$7</f>
        <v>1.19998</v>
      </c>
      <c r="AA25" s="39" t="n">
        <f aca="false">Resumo!$B$9</f>
        <v>1</v>
      </c>
      <c r="AB25" s="39" t="n">
        <f aca="false">Resumo!$B$10*CEILING(I25/100,1)</f>
        <v>4.5</v>
      </c>
      <c r="AC25" s="39" t="n">
        <f aca="false">Resumo!$B$12*CEILING(I25,1)</f>
        <v>2.34</v>
      </c>
      <c r="AD25" s="39" t="n">
        <f aca="false">Resumo!$B$14*CEILING(I25,1)</f>
        <v>17.55</v>
      </c>
      <c r="AE25" s="39" t="n">
        <f aca="false">SUM(X25:AD25)</f>
        <v>121.15997</v>
      </c>
      <c r="AF25" s="39" t="n">
        <f aca="false">AE25/(1-Resumo!$B$5)</f>
        <v>137.681784090909</v>
      </c>
      <c r="AG25" s="39" t="n">
        <f aca="false">AF25-W25</f>
        <v>43.3409227272727</v>
      </c>
      <c r="AH25" s="40" t="n">
        <f aca="false">AF25/W25-1</f>
        <v>0.459407748676529</v>
      </c>
      <c r="AI25" s="37" t="str">
        <f aca="false">IF(AF25&lt;W25,"SIM","NÃO")</f>
        <v>NÃO</v>
      </c>
      <c r="AJ25" s="37" t="n">
        <v>2</v>
      </c>
      <c r="AK25" s="37" t="n">
        <v>5</v>
      </c>
      <c r="AL25" s="37" t="s">
        <v>343</v>
      </c>
      <c r="AM25" s="39" t="n">
        <v>92.73</v>
      </c>
    </row>
    <row r="26" customFormat="false" ht="15" hidden="false" customHeight="false" outlineLevel="0" collapsed="false">
      <c r="A26" s="37" t="n">
        <v>354114485</v>
      </c>
      <c r="B26" s="38" t="n">
        <v>46207.376099537</v>
      </c>
      <c r="C26" s="37" t="s">
        <v>340</v>
      </c>
      <c r="D26" s="37" t="s">
        <v>371</v>
      </c>
      <c r="E26" s="37" t="n">
        <v>21041140</v>
      </c>
      <c r="F26" s="37" t="s">
        <v>159</v>
      </c>
      <c r="G26" s="37" t="s">
        <v>196</v>
      </c>
      <c r="H26" s="37" t="s">
        <v>188</v>
      </c>
      <c r="I26" s="37" t="n">
        <v>63.9</v>
      </c>
      <c r="J26" s="39" t="n">
        <v>799.99</v>
      </c>
      <c r="K26" s="37" t="s">
        <v>342</v>
      </c>
      <c r="L26" s="39" t="n">
        <v>125.05</v>
      </c>
      <c r="M26" s="39" t="n">
        <v>63.21</v>
      </c>
      <c r="N26" s="39" t="n">
        <f aca="false">J26*Resumo!$C$6</f>
        <v>0</v>
      </c>
      <c r="O26" s="39" t="n">
        <f aca="false">J26*Resumo!$C$7</f>
        <v>1.679979</v>
      </c>
      <c r="P26" s="39" t="n">
        <f aca="false">J26*Resumo!$C$8</f>
        <v>1.679979</v>
      </c>
      <c r="Q26" s="39" t="n">
        <f aca="false">Resumo!$C$10*CEILING(I26/100,1)</f>
        <v>1.05</v>
      </c>
      <c r="R26" s="39" t="n">
        <f aca="false">Resumo!$C$9</f>
        <v>0</v>
      </c>
      <c r="S26" s="39" t="n">
        <f aca="false">Resumo!$C$13</f>
        <v>13.55</v>
      </c>
      <c r="T26" s="39" t="n">
        <f aca="false">Resumo!$C$14*CEILING(I26,1)</f>
        <v>28.8</v>
      </c>
      <c r="U26" s="39" t="n">
        <f aca="false">SUM(M26:T26)*Resumo!$C$11</f>
        <v>0</v>
      </c>
      <c r="V26" s="39" t="n">
        <f aca="false">SUM(M26:U26)</f>
        <v>109.969958</v>
      </c>
      <c r="W26" s="39" t="n">
        <f aca="false">V26/(1-Resumo!$C$5)</f>
        <v>124.965861363636</v>
      </c>
      <c r="X26" s="39" t="n">
        <v>131.02</v>
      </c>
      <c r="Y26" s="39" t="n">
        <f aca="false">J26*Resumo!$B$6</f>
        <v>0.79999</v>
      </c>
      <c r="Z26" s="39" t="n">
        <f aca="false">J26*Resumo!$B$7</f>
        <v>1.59998</v>
      </c>
      <c r="AA26" s="39" t="n">
        <f aca="false">Resumo!$B$9</f>
        <v>1</v>
      </c>
      <c r="AB26" s="39" t="n">
        <f aca="false">Resumo!$B$10*CEILING(I26/100,1)</f>
        <v>4.5</v>
      </c>
      <c r="AC26" s="39" t="n">
        <f aca="false">Resumo!$B$12*CEILING(I26,1)</f>
        <v>3.84</v>
      </c>
      <c r="AD26" s="39" t="n">
        <f aca="false">Resumo!$B$14*CEILING(I26,1)</f>
        <v>28.8</v>
      </c>
      <c r="AE26" s="39" t="n">
        <f aca="false">SUM(X26:AD26)</f>
        <v>171.55997</v>
      </c>
      <c r="AF26" s="39" t="n">
        <f aca="false">AE26/(1-Resumo!$B$5)</f>
        <v>194.954511363636</v>
      </c>
      <c r="AG26" s="39" t="n">
        <f aca="false">AF26-W26</f>
        <v>69.98865</v>
      </c>
      <c r="AH26" s="40" t="n">
        <f aca="false">AF26/W26-1</f>
        <v>0.560062158066842</v>
      </c>
      <c r="AI26" s="37" t="str">
        <f aca="false">IF(AF26&lt;W26,"SIM","NÃO")</f>
        <v>NÃO</v>
      </c>
      <c r="AJ26" s="37" t="n">
        <v>2</v>
      </c>
      <c r="AK26" s="37" t="n">
        <v>5</v>
      </c>
      <c r="AL26" s="37" t="s">
        <v>343</v>
      </c>
      <c r="AM26" s="39" t="n">
        <v>125.04</v>
      </c>
    </row>
    <row r="27" customFormat="false" ht="15" hidden="false" customHeight="false" outlineLevel="0" collapsed="false">
      <c r="A27" s="37" t="n">
        <v>354120832</v>
      </c>
      <c r="B27" s="38" t="n">
        <v>46207.3978356482</v>
      </c>
      <c r="C27" s="37" t="s">
        <v>372</v>
      </c>
      <c r="D27" s="37" t="s">
        <v>373</v>
      </c>
      <c r="E27" s="37" t="n">
        <v>26430020</v>
      </c>
      <c r="F27" s="37" t="s">
        <v>237</v>
      </c>
      <c r="G27" s="37" t="s">
        <v>198</v>
      </c>
      <c r="H27" s="37" t="s">
        <v>190</v>
      </c>
      <c r="I27" s="37" t="n">
        <v>87.7</v>
      </c>
      <c r="J27" s="39" t="n">
        <v>1003.18</v>
      </c>
      <c r="K27" s="37" t="s">
        <v>342</v>
      </c>
      <c r="L27" s="39" t="n">
        <v>193.41</v>
      </c>
      <c r="M27" s="39" t="n">
        <v>109.63</v>
      </c>
      <c r="N27" s="39" t="n">
        <f aca="false">J27*Resumo!$C$6</f>
        <v>0</v>
      </c>
      <c r="O27" s="39" t="n">
        <f aca="false">J27*Resumo!$C$7</f>
        <v>2.106678</v>
      </c>
      <c r="P27" s="39" t="n">
        <f aca="false">J27*Resumo!$C$8</f>
        <v>2.106678</v>
      </c>
      <c r="Q27" s="39" t="n">
        <f aca="false">Resumo!$C$10*CEILING(I27/100,1)</f>
        <v>1.05</v>
      </c>
      <c r="R27" s="39" t="n">
        <f aca="false">Resumo!$C$9</f>
        <v>0</v>
      </c>
      <c r="S27" s="39" t="n">
        <f aca="false">Resumo!$C$13</f>
        <v>13.55</v>
      </c>
      <c r="T27" s="39" t="n">
        <f aca="false">Resumo!$C$14*CEILING(I27,1)</f>
        <v>39.6</v>
      </c>
      <c r="U27" s="39" t="n">
        <f aca="false">SUM(M27:T27)*Resumo!$C$11</f>
        <v>0</v>
      </c>
      <c r="V27" s="39" t="n">
        <f aca="false">SUM(M27:U27)</f>
        <v>168.043356</v>
      </c>
      <c r="W27" s="39" t="n">
        <f aca="false">V27/(1-Resumo!$C$5)</f>
        <v>190.958359090909</v>
      </c>
      <c r="X27" s="39" t="n">
        <v>167.99</v>
      </c>
      <c r="Y27" s="39" t="n">
        <f aca="false">J27*Resumo!$B$6</f>
        <v>1.00318</v>
      </c>
      <c r="Z27" s="39" t="n">
        <f aca="false">J27*Resumo!$B$7</f>
        <v>2.00636</v>
      </c>
      <c r="AA27" s="39" t="n">
        <f aca="false">Resumo!$B$9</f>
        <v>1</v>
      </c>
      <c r="AB27" s="39" t="n">
        <f aca="false">Resumo!$B$10*CEILING(I27/100,1)</f>
        <v>4.5</v>
      </c>
      <c r="AC27" s="39" t="n">
        <f aca="false">Resumo!$B$12*CEILING(I27,1)</f>
        <v>5.28</v>
      </c>
      <c r="AD27" s="39" t="n">
        <f aca="false">Resumo!$B$14*CEILING(I27,1)</f>
        <v>39.6</v>
      </c>
      <c r="AE27" s="39" t="n">
        <f aca="false">SUM(X27:AD27)</f>
        <v>221.37954</v>
      </c>
      <c r="AF27" s="39" t="n">
        <f aca="false">AE27/(1-Resumo!$B$5)</f>
        <v>251.567659090909</v>
      </c>
      <c r="AG27" s="39" t="n">
        <f aca="false">AF27-W27</f>
        <v>60.6093</v>
      </c>
      <c r="AH27" s="40" t="n">
        <f aca="false">AF27/W27-1</f>
        <v>0.317395375036428</v>
      </c>
      <c r="AI27" s="37" t="str">
        <f aca="false">IF(AF27&lt;W27,"SIM","NÃO")</f>
        <v>NÃO</v>
      </c>
      <c r="AJ27" s="37" t="n">
        <v>13</v>
      </c>
      <c r="AK27" s="37" t="n">
        <v>5</v>
      </c>
      <c r="AL27" s="37" t="s">
        <v>347</v>
      </c>
      <c r="AM27" s="39" t="n">
        <v>193.4</v>
      </c>
    </row>
    <row r="28" customFormat="false" ht="15" hidden="false" customHeight="false" outlineLevel="0" collapsed="false">
      <c r="A28" s="37" t="n">
        <v>354123089</v>
      </c>
      <c r="B28" s="38" t="n">
        <v>46207.4017824074</v>
      </c>
      <c r="C28" s="37" t="s">
        <v>340</v>
      </c>
      <c r="D28" s="37" t="s">
        <v>374</v>
      </c>
      <c r="E28" s="37" t="n">
        <v>21021380</v>
      </c>
      <c r="F28" s="37" t="s">
        <v>159</v>
      </c>
      <c r="G28" s="37" t="s">
        <v>196</v>
      </c>
      <c r="H28" s="37" t="s">
        <v>188</v>
      </c>
      <c r="I28" s="37" t="n">
        <v>63.9</v>
      </c>
      <c r="J28" s="39" t="n">
        <v>799.99</v>
      </c>
      <c r="K28" s="37" t="s">
        <v>342</v>
      </c>
      <c r="L28" s="39" t="n">
        <v>125.05</v>
      </c>
      <c r="M28" s="39" t="n">
        <v>63.21</v>
      </c>
      <c r="N28" s="39" t="n">
        <f aca="false">J28*Resumo!$C$6</f>
        <v>0</v>
      </c>
      <c r="O28" s="39" t="n">
        <f aca="false">J28*Resumo!$C$7</f>
        <v>1.679979</v>
      </c>
      <c r="P28" s="39" t="n">
        <f aca="false">J28*Resumo!$C$8</f>
        <v>1.679979</v>
      </c>
      <c r="Q28" s="39" t="n">
        <f aca="false">Resumo!$C$10*CEILING(I28/100,1)</f>
        <v>1.05</v>
      </c>
      <c r="R28" s="39" t="n">
        <f aca="false">Resumo!$C$9</f>
        <v>0</v>
      </c>
      <c r="S28" s="39" t="n">
        <f aca="false">Resumo!$C$13</f>
        <v>13.55</v>
      </c>
      <c r="T28" s="39" t="n">
        <f aca="false">Resumo!$C$14*CEILING(I28,1)</f>
        <v>28.8</v>
      </c>
      <c r="U28" s="39" t="n">
        <f aca="false">SUM(M28:T28)*Resumo!$C$11</f>
        <v>0</v>
      </c>
      <c r="V28" s="39" t="n">
        <f aca="false">SUM(M28:U28)</f>
        <v>109.969958</v>
      </c>
      <c r="W28" s="39" t="n">
        <f aca="false">V28/(1-Resumo!$C$5)</f>
        <v>124.965861363636</v>
      </c>
      <c r="X28" s="39" t="n">
        <v>131.02</v>
      </c>
      <c r="Y28" s="39" t="n">
        <f aca="false">J28*Resumo!$B$6</f>
        <v>0.79999</v>
      </c>
      <c r="Z28" s="39" t="n">
        <f aca="false">J28*Resumo!$B$7</f>
        <v>1.59998</v>
      </c>
      <c r="AA28" s="39" t="n">
        <f aca="false">Resumo!$B$9</f>
        <v>1</v>
      </c>
      <c r="AB28" s="39" t="n">
        <f aca="false">Resumo!$B$10*CEILING(I28/100,1)</f>
        <v>4.5</v>
      </c>
      <c r="AC28" s="39" t="n">
        <f aca="false">Resumo!$B$12*CEILING(I28,1)</f>
        <v>3.84</v>
      </c>
      <c r="AD28" s="39" t="n">
        <f aca="false">Resumo!$B$14*CEILING(I28,1)</f>
        <v>28.8</v>
      </c>
      <c r="AE28" s="39" t="n">
        <f aca="false">SUM(X28:AD28)</f>
        <v>171.55997</v>
      </c>
      <c r="AF28" s="39" t="n">
        <f aca="false">AE28/(1-Resumo!$B$5)</f>
        <v>194.954511363636</v>
      </c>
      <c r="AG28" s="39" t="n">
        <f aca="false">AF28-W28</f>
        <v>69.98865</v>
      </c>
      <c r="AH28" s="40" t="n">
        <f aca="false">AF28/W28-1</f>
        <v>0.560062158066842</v>
      </c>
      <c r="AI28" s="37" t="str">
        <f aca="false">IF(AF28&lt;W28,"SIM","NÃO")</f>
        <v>NÃO</v>
      </c>
      <c r="AJ28" s="37" t="n">
        <v>2</v>
      </c>
      <c r="AK28" s="37" t="n">
        <v>5</v>
      </c>
      <c r="AL28" s="37" t="s">
        <v>343</v>
      </c>
      <c r="AM28" s="39" t="n">
        <v>125.04</v>
      </c>
    </row>
    <row r="29" customFormat="false" ht="15" hidden="false" customHeight="false" outlineLevel="0" collapsed="false">
      <c r="A29" s="37" t="n">
        <v>354122836</v>
      </c>
      <c r="B29" s="38" t="n">
        <v>46207.4090856482</v>
      </c>
      <c r="C29" s="37" t="s">
        <v>375</v>
      </c>
      <c r="D29" s="37" t="s">
        <v>344</v>
      </c>
      <c r="E29" s="37" t="n">
        <v>21032000</v>
      </c>
      <c r="F29" s="37" t="s">
        <v>159</v>
      </c>
      <c r="G29" s="37" t="s">
        <v>196</v>
      </c>
      <c r="H29" s="37" t="s">
        <v>188</v>
      </c>
      <c r="I29" s="37" t="n">
        <v>65.1</v>
      </c>
      <c r="J29" s="39" t="n">
        <v>879.99</v>
      </c>
      <c r="K29" s="37" t="s">
        <v>342</v>
      </c>
      <c r="L29" s="39" t="n">
        <v>125.42</v>
      </c>
      <c r="M29" s="39" t="n">
        <v>63.21</v>
      </c>
      <c r="N29" s="39" t="n">
        <f aca="false">J29*Resumo!$C$6</f>
        <v>0</v>
      </c>
      <c r="O29" s="39" t="n">
        <f aca="false">J29*Resumo!$C$7</f>
        <v>1.847979</v>
      </c>
      <c r="P29" s="39" t="n">
        <f aca="false">J29*Resumo!$C$8</f>
        <v>1.847979</v>
      </c>
      <c r="Q29" s="39" t="n">
        <f aca="false">Resumo!$C$10*CEILING(I29/100,1)</f>
        <v>1.05</v>
      </c>
      <c r="R29" s="39" t="n">
        <f aca="false">Resumo!$C$9</f>
        <v>0</v>
      </c>
      <c r="S29" s="39" t="n">
        <f aca="false">Resumo!$C$13</f>
        <v>13.55</v>
      </c>
      <c r="T29" s="39" t="n">
        <f aca="false">Resumo!$C$14*CEILING(I29,1)</f>
        <v>29.7</v>
      </c>
      <c r="U29" s="39" t="n">
        <f aca="false">SUM(M29:T29)*Resumo!$C$11</f>
        <v>0</v>
      </c>
      <c r="V29" s="39" t="n">
        <f aca="false">SUM(M29:U29)</f>
        <v>111.205958</v>
      </c>
      <c r="W29" s="39" t="n">
        <f aca="false">V29/(1-Resumo!$C$5)</f>
        <v>126.370406818182</v>
      </c>
      <c r="X29" s="39" t="n">
        <v>131.02</v>
      </c>
      <c r="Y29" s="39" t="n">
        <f aca="false">J29*Resumo!$B$6</f>
        <v>0.87999</v>
      </c>
      <c r="Z29" s="39" t="n">
        <f aca="false">J29*Resumo!$B$7</f>
        <v>1.75998</v>
      </c>
      <c r="AA29" s="39" t="n">
        <f aca="false">Resumo!$B$9</f>
        <v>1</v>
      </c>
      <c r="AB29" s="39" t="n">
        <f aca="false">Resumo!$B$10*CEILING(I29/100,1)</f>
        <v>4.5</v>
      </c>
      <c r="AC29" s="39" t="n">
        <f aca="false">Resumo!$B$12*CEILING(I29,1)</f>
        <v>3.96</v>
      </c>
      <c r="AD29" s="39" t="n">
        <f aca="false">Resumo!$B$14*CEILING(I29,1)</f>
        <v>29.7</v>
      </c>
      <c r="AE29" s="39" t="n">
        <f aca="false">SUM(X29:AD29)</f>
        <v>172.81997</v>
      </c>
      <c r="AF29" s="39" t="n">
        <f aca="false">AE29/(1-Resumo!$B$5)</f>
        <v>196.386329545455</v>
      </c>
      <c r="AG29" s="39" t="n">
        <f aca="false">AF29-W29</f>
        <v>70.0159227272727</v>
      </c>
      <c r="AH29" s="40" t="n">
        <f aca="false">AF29/W29-1</f>
        <v>0.554053156036838</v>
      </c>
      <c r="AI29" s="37" t="str">
        <f aca="false">IF(AF29&lt;W29,"SIM","NÃO")</f>
        <v>NÃO</v>
      </c>
      <c r="AJ29" s="37" t="n">
        <v>2</v>
      </c>
      <c r="AK29" s="37" t="n">
        <v>5</v>
      </c>
      <c r="AL29" s="37" t="s">
        <v>343</v>
      </c>
      <c r="AM29" s="39" t="n">
        <v>125.43</v>
      </c>
    </row>
    <row r="30" customFormat="false" ht="15" hidden="false" customHeight="false" outlineLevel="0" collapsed="false">
      <c r="A30" s="37" t="n">
        <v>354143988</v>
      </c>
      <c r="B30" s="38" t="n">
        <v>46207.4546064815</v>
      </c>
      <c r="C30" s="37" t="s">
        <v>340</v>
      </c>
      <c r="D30" s="37" t="s">
        <v>376</v>
      </c>
      <c r="E30" s="37" t="n">
        <v>26060015</v>
      </c>
      <c r="F30" s="37" t="s">
        <v>162</v>
      </c>
      <c r="G30" s="37" t="s">
        <v>197</v>
      </c>
      <c r="H30" s="37" t="s">
        <v>185</v>
      </c>
      <c r="I30" s="37" t="n">
        <v>37.6</v>
      </c>
      <c r="J30" s="39" t="n">
        <v>413.99</v>
      </c>
      <c r="K30" s="37" t="s">
        <v>342</v>
      </c>
      <c r="L30" s="39" t="n">
        <v>112.94</v>
      </c>
      <c r="M30" s="39" t="n">
        <v>66.83</v>
      </c>
      <c r="N30" s="39" t="n">
        <f aca="false">J30*Resumo!$C$6</f>
        <v>0</v>
      </c>
      <c r="O30" s="39" t="n">
        <f aca="false">J30*Resumo!$C$7</f>
        <v>0.869379</v>
      </c>
      <c r="P30" s="39" t="n">
        <f aca="false">J30*Resumo!$C$8</f>
        <v>0.869379</v>
      </c>
      <c r="Q30" s="39" t="n">
        <f aca="false">Resumo!$C$10*CEILING(I30/100,1)</f>
        <v>1.05</v>
      </c>
      <c r="R30" s="39" t="n">
        <f aca="false">Resumo!$C$9</f>
        <v>0</v>
      </c>
      <c r="S30" s="39" t="n">
        <f aca="false">Resumo!$C$13</f>
        <v>13.55</v>
      </c>
      <c r="T30" s="39" t="n">
        <f aca="false">Resumo!$C$14*CEILING(I30,1)</f>
        <v>17.1</v>
      </c>
      <c r="U30" s="39" t="n">
        <f aca="false">SUM(M30:T30)*Resumo!$C$11</f>
        <v>0</v>
      </c>
      <c r="V30" s="39" t="n">
        <f aca="false">SUM(M30:U30)</f>
        <v>100.268758</v>
      </c>
      <c r="W30" s="39" t="n">
        <f aca="false">V30/(1-Resumo!$C$5)</f>
        <v>113.941770454545</v>
      </c>
      <c r="X30" s="39" t="n">
        <v>93.97</v>
      </c>
      <c r="Y30" s="39" t="n">
        <f aca="false">J30*Resumo!$B$6</f>
        <v>0.41399</v>
      </c>
      <c r="Z30" s="39" t="n">
        <f aca="false">J30*Resumo!$B$7</f>
        <v>0.82798</v>
      </c>
      <c r="AA30" s="39" t="n">
        <f aca="false">Resumo!$B$9</f>
        <v>1</v>
      </c>
      <c r="AB30" s="39" t="n">
        <f aca="false">Resumo!$B$10*CEILING(I30/100,1)</f>
        <v>4.5</v>
      </c>
      <c r="AC30" s="39" t="n">
        <f aca="false">Resumo!$B$12*CEILING(I30,1)</f>
        <v>2.28</v>
      </c>
      <c r="AD30" s="39" t="n">
        <f aca="false">Resumo!$B$14*CEILING(I30,1)</f>
        <v>17.1</v>
      </c>
      <c r="AE30" s="39" t="n">
        <f aca="false">SUM(X30:AD30)</f>
        <v>120.09197</v>
      </c>
      <c r="AF30" s="39" t="n">
        <f aca="false">AE30/(1-Resumo!$B$5)</f>
        <v>136.468147727273</v>
      </c>
      <c r="AG30" s="39" t="n">
        <f aca="false">AF30-W30</f>
        <v>22.5263772727273</v>
      </c>
      <c r="AH30" s="40" t="n">
        <f aca="false">AF30/W30-1</f>
        <v>0.197700783328741</v>
      </c>
      <c r="AI30" s="37" t="str">
        <f aca="false">IF(AF30&lt;W30,"SIM","NÃO")</f>
        <v>NÃO</v>
      </c>
      <c r="AJ30" s="37" t="n">
        <v>2</v>
      </c>
      <c r="AK30" s="37" t="n">
        <v>5</v>
      </c>
      <c r="AL30" s="37" t="s">
        <v>343</v>
      </c>
      <c r="AM30" s="39" t="n">
        <v>112.94</v>
      </c>
    </row>
    <row r="31" customFormat="false" ht="15" hidden="false" customHeight="false" outlineLevel="0" collapsed="false">
      <c r="A31" s="37" t="n">
        <v>354155653</v>
      </c>
      <c r="B31" s="38" t="n">
        <v>46207.4801851852</v>
      </c>
      <c r="C31" s="37" t="s">
        <v>340</v>
      </c>
      <c r="D31" s="37" t="s">
        <v>377</v>
      </c>
      <c r="E31" s="37" t="n">
        <v>24745630</v>
      </c>
      <c r="F31" s="37" t="s">
        <v>160</v>
      </c>
      <c r="G31" s="37" t="s">
        <v>197</v>
      </c>
      <c r="H31" s="37" t="s">
        <v>192</v>
      </c>
      <c r="I31" s="37" t="n">
        <v>127.8</v>
      </c>
      <c r="J31" s="39" t="n">
        <v>1387.09</v>
      </c>
      <c r="K31" s="37" t="s">
        <v>342</v>
      </c>
      <c r="L31" s="39" t="n">
        <v>243.24</v>
      </c>
      <c r="M31" s="39" t="n">
        <v>129.62</v>
      </c>
      <c r="N31" s="39" t="n">
        <f aca="false">J31*Resumo!$C$6</f>
        <v>0</v>
      </c>
      <c r="O31" s="39" t="n">
        <f aca="false">J31*Resumo!$C$7</f>
        <v>2.912889</v>
      </c>
      <c r="P31" s="39" t="n">
        <f aca="false">J31*Resumo!$C$8</f>
        <v>2.912889</v>
      </c>
      <c r="Q31" s="39" t="n">
        <f aca="false">Resumo!$C$10*CEILING(I31/100,1)</f>
        <v>2.1</v>
      </c>
      <c r="R31" s="39" t="n">
        <f aca="false">Resumo!$C$9</f>
        <v>0</v>
      </c>
      <c r="S31" s="39" t="n">
        <f aca="false">Resumo!$C$13</f>
        <v>13.55</v>
      </c>
      <c r="T31" s="39" t="n">
        <f aca="false">Resumo!$C$14*CEILING(I31,1)</f>
        <v>57.6</v>
      </c>
      <c r="U31" s="39" t="n">
        <f aca="false">SUM(M31:T31)*Resumo!$C$11</f>
        <v>0</v>
      </c>
      <c r="V31" s="39" t="n">
        <f aca="false">SUM(M31:U31)</f>
        <v>208.695778</v>
      </c>
      <c r="W31" s="39" t="n">
        <f aca="false">V31/(1-Resumo!$C$5)</f>
        <v>237.154293181818</v>
      </c>
      <c r="X31" s="39" t="n">
        <v>249.03</v>
      </c>
      <c r="Y31" s="39" t="n">
        <f aca="false">J31*Resumo!$B$6</f>
        <v>1.38709</v>
      </c>
      <c r="Z31" s="39" t="n">
        <f aca="false">J31*Resumo!$B$7</f>
        <v>2.77418</v>
      </c>
      <c r="AA31" s="39" t="n">
        <f aca="false">Resumo!$B$9</f>
        <v>1</v>
      </c>
      <c r="AB31" s="39" t="n">
        <f aca="false">Resumo!$B$10*CEILING(I31/100,1)</f>
        <v>9</v>
      </c>
      <c r="AC31" s="39" t="n">
        <f aca="false">Resumo!$B$12*CEILING(I31,1)</f>
        <v>7.68</v>
      </c>
      <c r="AD31" s="39" t="n">
        <f aca="false">Resumo!$B$14*CEILING(I31,1)</f>
        <v>57.6</v>
      </c>
      <c r="AE31" s="39" t="n">
        <f aca="false">SUM(X31:AD31)</f>
        <v>328.47127</v>
      </c>
      <c r="AF31" s="39" t="n">
        <f aca="false">AE31/(1-Resumo!$B$5)</f>
        <v>373.262806818182</v>
      </c>
      <c r="AG31" s="39" t="n">
        <f aca="false">AF31-W31</f>
        <v>136.108513636364</v>
      </c>
      <c r="AH31" s="40" t="n">
        <f aca="false">AF31/W31-1</f>
        <v>0.573923886471724</v>
      </c>
      <c r="AI31" s="37" t="str">
        <f aca="false">IF(AF31&lt;W31,"SIM","NÃO")</f>
        <v>NÃO</v>
      </c>
      <c r="AJ31" s="37" t="n">
        <v>2</v>
      </c>
      <c r="AK31" s="37" t="n">
        <v>7</v>
      </c>
      <c r="AL31" s="37" t="s">
        <v>343</v>
      </c>
      <c r="AM31" s="39" t="n">
        <v>243.25</v>
      </c>
    </row>
    <row r="32" customFormat="false" ht="15" hidden="false" customHeight="false" outlineLevel="0" collapsed="false">
      <c r="A32" s="37" t="n">
        <v>354173280</v>
      </c>
      <c r="B32" s="38" t="n">
        <v>46207.5155092593</v>
      </c>
      <c r="C32" s="37" t="s">
        <v>345</v>
      </c>
      <c r="D32" s="37" t="s">
        <v>378</v>
      </c>
      <c r="E32" s="37" t="n">
        <v>21770220</v>
      </c>
      <c r="F32" s="37" t="s">
        <v>159</v>
      </c>
      <c r="G32" s="37" t="s">
        <v>196</v>
      </c>
      <c r="H32" s="37" t="s">
        <v>192</v>
      </c>
      <c r="I32" s="37" t="n">
        <v>124.2</v>
      </c>
      <c r="J32" s="39" t="n">
        <v>1520.94</v>
      </c>
      <c r="K32" s="37" t="s">
        <v>342</v>
      </c>
      <c r="L32" s="39" t="n">
        <v>233.58</v>
      </c>
      <c r="M32" s="39" t="n">
        <v>120.59</v>
      </c>
      <c r="N32" s="39" t="n">
        <f aca="false">J32*Resumo!$C$6</f>
        <v>0</v>
      </c>
      <c r="O32" s="39" t="n">
        <f aca="false">J32*Resumo!$C$7</f>
        <v>3.193974</v>
      </c>
      <c r="P32" s="39" t="n">
        <f aca="false">J32*Resumo!$C$8</f>
        <v>3.193974</v>
      </c>
      <c r="Q32" s="39" t="n">
        <f aca="false">Resumo!$C$10*CEILING(I32/100,1)</f>
        <v>2.1</v>
      </c>
      <c r="R32" s="39" t="n">
        <f aca="false">Resumo!$C$9</f>
        <v>0</v>
      </c>
      <c r="S32" s="39" t="n">
        <f aca="false">Resumo!$C$13</f>
        <v>13.55</v>
      </c>
      <c r="T32" s="39" t="n">
        <f aca="false">Resumo!$C$14*CEILING(I32,1)</f>
        <v>56.25</v>
      </c>
      <c r="U32" s="39" t="n">
        <f aca="false">SUM(M32:T32)*Resumo!$C$11</f>
        <v>0</v>
      </c>
      <c r="V32" s="39" t="n">
        <f aca="false">SUM(M32:U32)</f>
        <v>198.877948</v>
      </c>
      <c r="W32" s="39" t="n">
        <f aca="false">V32/(1-Resumo!$C$5)</f>
        <v>225.997668181818</v>
      </c>
      <c r="X32" s="39" t="n">
        <v>239.25</v>
      </c>
      <c r="Y32" s="39" t="n">
        <f aca="false">J32*Resumo!$B$6</f>
        <v>1.52094</v>
      </c>
      <c r="Z32" s="39" t="n">
        <f aca="false">J32*Resumo!$B$7</f>
        <v>3.04188</v>
      </c>
      <c r="AA32" s="39" t="n">
        <f aca="false">Resumo!$B$9</f>
        <v>1</v>
      </c>
      <c r="AB32" s="39" t="n">
        <f aca="false">Resumo!$B$10*CEILING(I32/100,1)</f>
        <v>9</v>
      </c>
      <c r="AC32" s="39" t="n">
        <f aca="false">Resumo!$B$12*CEILING(I32,1)</f>
        <v>7.5</v>
      </c>
      <c r="AD32" s="39" t="n">
        <f aca="false">Resumo!$B$14*CEILING(I32,1)</f>
        <v>56.25</v>
      </c>
      <c r="AE32" s="39" t="n">
        <f aca="false">SUM(X32:AD32)</f>
        <v>317.56282</v>
      </c>
      <c r="AF32" s="39" t="n">
        <f aca="false">AE32/(1-Resumo!$B$5)</f>
        <v>360.866840909091</v>
      </c>
      <c r="AG32" s="39" t="n">
        <f aca="false">AF32-W32</f>
        <v>134.869172727273</v>
      </c>
      <c r="AH32" s="40" t="n">
        <f aca="false">AF32/W32-1</f>
        <v>0.596772408371792</v>
      </c>
      <c r="AI32" s="37" t="str">
        <f aca="false">IF(AF32&lt;W32,"SIM","NÃO")</f>
        <v>NÃO</v>
      </c>
      <c r="AJ32" s="37" t="n">
        <v>2</v>
      </c>
      <c r="AK32" s="37" t="n">
        <v>5</v>
      </c>
      <c r="AL32" s="37" t="s">
        <v>343</v>
      </c>
      <c r="AM32" s="39" t="n">
        <v>233.58</v>
      </c>
    </row>
    <row r="33" customFormat="false" ht="15" hidden="false" customHeight="false" outlineLevel="0" collapsed="false">
      <c r="A33" s="37" t="n">
        <v>354213591</v>
      </c>
      <c r="B33" s="38" t="n">
        <v>46207.5971759259</v>
      </c>
      <c r="C33" s="37" t="s">
        <v>379</v>
      </c>
      <c r="D33" s="37" t="s">
        <v>380</v>
      </c>
      <c r="E33" s="37" t="n">
        <v>21741060</v>
      </c>
      <c r="F33" s="37" t="s">
        <v>159</v>
      </c>
      <c r="G33" s="37" t="s">
        <v>196</v>
      </c>
      <c r="H33" s="37" t="s">
        <v>184</v>
      </c>
      <c r="I33" s="37" t="n">
        <v>21.75</v>
      </c>
      <c r="J33" s="39" t="n">
        <v>341.99</v>
      </c>
      <c r="K33" s="37" t="s">
        <v>342</v>
      </c>
      <c r="L33" s="39" t="n">
        <v>81.95</v>
      </c>
      <c r="M33" s="39" t="n">
        <v>42.11</v>
      </c>
      <c r="N33" s="39" t="n">
        <f aca="false">J33*Resumo!$C$6</f>
        <v>0</v>
      </c>
      <c r="O33" s="39" t="n">
        <f aca="false">J33*Resumo!$C$7</f>
        <v>0.718179</v>
      </c>
      <c r="P33" s="39" t="n">
        <f aca="false">J33*Resumo!$C$8</f>
        <v>0.718179</v>
      </c>
      <c r="Q33" s="39" t="n">
        <f aca="false">Resumo!$C$10*CEILING(I33/100,1)</f>
        <v>1.05</v>
      </c>
      <c r="R33" s="39" t="n">
        <f aca="false">Resumo!$C$9</f>
        <v>0</v>
      </c>
      <c r="S33" s="39" t="n">
        <f aca="false">Resumo!$C$13</f>
        <v>13.55</v>
      </c>
      <c r="T33" s="39" t="n">
        <f aca="false">Resumo!$C$14*CEILING(I33,1)</f>
        <v>9.9</v>
      </c>
      <c r="U33" s="39" t="n">
        <f aca="false">SUM(M33:T33)*Resumo!$C$11</f>
        <v>0</v>
      </c>
      <c r="V33" s="39" t="n">
        <f aca="false">SUM(M33:U33)</f>
        <v>68.046358</v>
      </c>
      <c r="W33" s="39" t="n">
        <f aca="false">V33/(1-Resumo!$C$5)</f>
        <v>77.3254068181818</v>
      </c>
      <c r="X33" s="39" t="n">
        <v>82.21</v>
      </c>
      <c r="Y33" s="39" t="n">
        <f aca="false">J33*Resumo!$B$6</f>
        <v>0.34199</v>
      </c>
      <c r="Z33" s="39" t="n">
        <f aca="false">J33*Resumo!$B$7</f>
        <v>0.68398</v>
      </c>
      <c r="AA33" s="39" t="n">
        <f aca="false">Resumo!$B$9</f>
        <v>1</v>
      </c>
      <c r="AB33" s="39" t="n">
        <f aca="false">Resumo!$B$10*CEILING(I33/100,1)</f>
        <v>4.5</v>
      </c>
      <c r="AC33" s="39" t="n">
        <f aca="false">Resumo!$B$12*CEILING(I33,1)</f>
        <v>1.32</v>
      </c>
      <c r="AD33" s="39" t="n">
        <f aca="false">Resumo!$B$14*CEILING(I33,1)</f>
        <v>9.9</v>
      </c>
      <c r="AE33" s="39" t="n">
        <f aca="false">SUM(X33:AD33)</f>
        <v>99.95597</v>
      </c>
      <c r="AF33" s="39" t="n">
        <f aca="false">AE33/(1-Resumo!$B$5)</f>
        <v>113.586329545455</v>
      </c>
      <c r="AG33" s="39" t="n">
        <f aca="false">AF33-W33</f>
        <v>36.2609227272727</v>
      </c>
      <c r="AH33" s="40" t="n">
        <f aca="false">AF33/W33-1</f>
        <v>0.468939307523262</v>
      </c>
      <c r="AI33" s="37" t="str">
        <f aca="false">IF(AF33&lt;W33,"SIM","NÃO")</f>
        <v>NÃO</v>
      </c>
      <c r="AJ33" s="37" t="n">
        <v>2</v>
      </c>
      <c r="AK33" s="37" t="n">
        <v>5</v>
      </c>
      <c r="AL33" s="37" t="s">
        <v>343</v>
      </c>
      <c r="AM33" s="39" t="n">
        <v>81.96</v>
      </c>
    </row>
    <row r="34" customFormat="false" ht="15" hidden="false" customHeight="false" outlineLevel="0" collapsed="false">
      <c r="A34" s="37" t="n">
        <v>354230865</v>
      </c>
      <c r="B34" s="38" t="n">
        <v>46207.6318865741</v>
      </c>
      <c r="C34" s="37" t="s">
        <v>340</v>
      </c>
      <c r="D34" s="37" t="s">
        <v>381</v>
      </c>
      <c r="E34" s="37" t="n">
        <v>26298608</v>
      </c>
      <c r="F34" s="37" t="s">
        <v>162</v>
      </c>
      <c r="G34" s="37" t="s">
        <v>197</v>
      </c>
      <c r="H34" s="37" t="s">
        <v>184</v>
      </c>
      <c r="I34" s="37" t="n">
        <v>33</v>
      </c>
      <c r="J34" s="39" t="n">
        <v>399.99</v>
      </c>
      <c r="K34" s="37" t="s">
        <v>342</v>
      </c>
      <c r="L34" s="39" t="n">
        <v>101.31</v>
      </c>
      <c r="M34" s="39" t="n">
        <v>58.8</v>
      </c>
      <c r="N34" s="39" t="n">
        <f aca="false">J34*Resumo!$C$6</f>
        <v>0</v>
      </c>
      <c r="O34" s="39" t="n">
        <f aca="false">J34*Resumo!$C$7</f>
        <v>0.839979</v>
      </c>
      <c r="P34" s="39" t="n">
        <f aca="false">J34*Resumo!$C$8</f>
        <v>0.839979</v>
      </c>
      <c r="Q34" s="39" t="n">
        <f aca="false">Resumo!$C$10*CEILING(I34/100,1)</f>
        <v>1.05</v>
      </c>
      <c r="R34" s="39" t="n">
        <f aca="false">Resumo!$C$9</f>
        <v>0</v>
      </c>
      <c r="S34" s="39" t="n">
        <f aca="false">Resumo!$C$13</f>
        <v>13.55</v>
      </c>
      <c r="T34" s="39" t="n">
        <f aca="false">Resumo!$C$14*CEILING(I34,1)</f>
        <v>14.85</v>
      </c>
      <c r="U34" s="39" t="n">
        <f aca="false">SUM(M34:T34)*Resumo!$C$11</f>
        <v>0</v>
      </c>
      <c r="V34" s="39" t="n">
        <f aca="false">SUM(M34:U34)</f>
        <v>89.929958</v>
      </c>
      <c r="W34" s="39" t="n">
        <f aca="false">V34/(1-Resumo!$C$5)</f>
        <v>102.193134090909</v>
      </c>
      <c r="X34" s="39" t="n">
        <v>82.21</v>
      </c>
      <c r="Y34" s="39" t="n">
        <f aca="false">J34*Resumo!$B$6</f>
        <v>0.39999</v>
      </c>
      <c r="Z34" s="39" t="n">
        <f aca="false">J34*Resumo!$B$7</f>
        <v>0.79998</v>
      </c>
      <c r="AA34" s="39" t="n">
        <f aca="false">Resumo!$B$9</f>
        <v>1</v>
      </c>
      <c r="AB34" s="39" t="n">
        <f aca="false">Resumo!$B$10*CEILING(I34/100,1)</f>
        <v>4.5</v>
      </c>
      <c r="AC34" s="39" t="n">
        <f aca="false">Resumo!$B$12*CEILING(I34,1)</f>
        <v>1.98</v>
      </c>
      <c r="AD34" s="39" t="n">
        <f aca="false">Resumo!$B$14*CEILING(I34,1)</f>
        <v>14.85</v>
      </c>
      <c r="AE34" s="39" t="n">
        <f aca="false">SUM(X34:AD34)</f>
        <v>105.73997</v>
      </c>
      <c r="AF34" s="39" t="n">
        <f aca="false">AE34/(1-Resumo!$B$5)</f>
        <v>120.159056818182</v>
      </c>
      <c r="AG34" s="39" t="n">
        <f aca="false">AF34-W34</f>
        <v>17.9659227272727</v>
      </c>
      <c r="AH34" s="40" t="n">
        <f aca="false">AF34/W34-1</f>
        <v>0.175803618189169</v>
      </c>
      <c r="AI34" s="37" t="str">
        <f aca="false">IF(AF34&lt;W34,"SIM","NÃO")</f>
        <v>NÃO</v>
      </c>
      <c r="AJ34" s="37" t="n">
        <v>2</v>
      </c>
      <c r="AK34" s="37" t="n">
        <v>5</v>
      </c>
      <c r="AL34" s="37" t="s">
        <v>343</v>
      </c>
      <c r="AM34" s="39" t="n">
        <v>101.3</v>
      </c>
    </row>
    <row r="35" customFormat="false" ht="15" hidden="false" customHeight="false" outlineLevel="0" collapsed="false">
      <c r="A35" s="37" t="n">
        <v>354280350</v>
      </c>
      <c r="B35" s="38" t="n">
        <v>46207.7331597222</v>
      </c>
      <c r="C35" s="37" t="s">
        <v>340</v>
      </c>
      <c r="D35" s="37" t="s">
        <v>382</v>
      </c>
      <c r="E35" s="37" t="n">
        <v>26143290</v>
      </c>
      <c r="F35" s="37" t="s">
        <v>165</v>
      </c>
      <c r="G35" s="37" t="s">
        <v>197</v>
      </c>
      <c r="H35" s="37" t="s">
        <v>184</v>
      </c>
      <c r="I35" s="37" t="n">
        <v>33</v>
      </c>
      <c r="J35" s="39" t="n">
        <v>419.99</v>
      </c>
      <c r="K35" s="37" t="s">
        <v>342</v>
      </c>
      <c r="L35" s="39" t="n">
        <v>101.4</v>
      </c>
      <c r="M35" s="39" t="n">
        <v>58.8</v>
      </c>
      <c r="N35" s="39" t="n">
        <f aca="false">J35*Resumo!$C$6</f>
        <v>0</v>
      </c>
      <c r="O35" s="39" t="n">
        <f aca="false">J35*Resumo!$C$7</f>
        <v>0.881979</v>
      </c>
      <c r="P35" s="39" t="n">
        <f aca="false">J35*Resumo!$C$8</f>
        <v>0.881979</v>
      </c>
      <c r="Q35" s="39" t="n">
        <f aca="false">Resumo!$C$10*CEILING(I35/100,1)</f>
        <v>1.05</v>
      </c>
      <c r="R35" s="39" t="n">
        <f aca="false">Resumo!$C$9</f>
        <v>0</v>
      </c>
      <c r="S35" s="39" t="n">
        <f aca="false">Resumo!$C$13</f>
        <v>13.55</v>
      </c>
      <c r="T35" s="39" t="n">
        <f aca="false">Resumo!$C$14*CEILING(I35,1)</f>
        <v>14.85</v>
      </c>
      <c r="U35" s="39" t="n">
        <f aca="false">SUM(M35:T35)*Resumo!$C$11</f>
        <v>0</v>
      </c>
      <c r="V35" s="39" t="n">
        <f aca="false">SUM(M35:U35)</f>
        <v>90.013958</v>
      </c>
      <c r="W35" s="39" t="n">
        <f aca="false">V35/(1-Resumo!$C$5)</f>
        <v>102.288588636364</v>
      </c>
      <c r="X35" s="39" t="n">
        <v>82.21</v>
      </c>
      <c r="Y35" s="39" t="n">
        <f aca="false">J35*Resumo!$B$6</f>
        <v>0.41999</v>
      </c>
      <c r="Z35" s="39" t="n">
        <f aca="false">J35*Resumo!$B$7</f>
        <v>0.83998</v>
      </c>
      <c r="AA35" s="39" t="n">
        <f aca="false">Resumo!$B$9</f>
        <v>1</v>
      </c>
      <c r="AB35" s="39" t="n">
        <f aca="false">Resumo!$B$10*CEILING(I35/100,1)</f>
        <v>4.5</v>
      </c>
      <c r="AC35" s="39" t="n">
        <f aca="false">Resumo!$B$12*CEILING(I35,1)</f>
        <v>1.98</v>
      </c>
      <c r="AD35" s="39" t="n">
        <f aca="false">Resumo!$B$14*CEILING(I35,1)</f>
        <v>14.85</v>
      </c>
      <c r="AE35" s="39" t="n">
        <f aca="false">SUM(X35:AD35)</f>
        <v>105.79997</v>
      </c>
      <c r="AF35" s="39" t="n">
        <f aca="false">AE35/(1-Resumo!$B$5)</f>
        <v>120.227238636364</v>
      </c>
      <c r="AG35" s="39" t="n">
        <f aca="false">AF35-W35</f>
        <v>17.93865</v>
      </c>
      <c r="AH35" s="40" t="n">
        <f aca="false">AF35/W35-1</f>
        <v>0.175372934939712</v>
      </c>
      <c r="AI35" s="37" t="str">
        <f aca="false">IF(AF35&lt;W35,"SIM","NÃO")</f>
        <v>NÃO</v>
      </c>
      <c r="AJ35" s="37" t="n">
        <v>2</v>
      </c>
      <c r="AK35" s="37" t="n">
        <v>5</v>
      </c>
      <c r="AL35" s="37" t="s">
        <v>343</v>
      </c>
      <c r="AM35" s="39" t="n">
        <v>101.4</v>
      </c>
    </row>
    <row r="36" customFormat="false" ht="15" hidden="false" customHeight="false" outlineLevel="0" collapsed="false">
      <c r="A36" s="37" t="n">
        <v>354337425</v>
      </c>
      <c r="B36" s="38" t="n">
        <v>46207.8455439815</v>
      </c>
      <c r="C36" s="37" t="s">
        <v>340</v>
      </c>
      <c r="D36" s="37" t="s">
        <v>383</v>
      </c>
      <c r="E36" s="37" t="n">
        <v>23893770</v>
      </c>
      <c r="F36" s="37" t="s">
        <v>221</v>
      </c>
      <c r="G36" s="37" t="s">
        <v>198</v>
      </c>
      <c r="H36" s="37" t="s">
        <v>184</v>
      </c>
      <c r="I36" s="37" t="n">
        <v>27</v>
      </c>
      <c r="J36" s="39" t="n">
        <v>314.99</v>
      </c>
      <c r="K36" s="37" t="s">
        <v>342</v>
      </c>
      <c r="L36" s="39" t="n">
        <v>108.69</v>
      </c>
      <c r="M36" s="39" t="n">
        <v>65.63</v>
      </c>
      <c r="N36" s="39" t="n">
        <f aca="false">J36*Resumo!$C$6</f>
        <v>0</v>
      </c>
      <c r="O36" s="39" t="n">
        <f aca="false">J36*Resumo!$C$7</f>
        <v>0.661479</v>
      </c>
      <c r="P36" s="39" t="n">
        <f aca="false">J36*Resumo!$C$8</f>
        <v>0.661479</v>
      </c>
      <c r="Q36" s="39" t="n">
        <f aca="false">Resumo!$C$10*CEILING(I36/100,1)</f>
        <v>1.05</v>
      </c>
      <c r="R36" s="39" t="n">
        <f aca="false">Resumo!$C$9</f>
        <v>0</v>
      </c>
      <c r="S36" s="39" t="n">
        <f aca="false">Resumo!$C$13</f>
        <v>13.55</v>
      </c>
      <c r="T36" s="39" t="n">
        <f aca="false">Resumo!$C$14*CEILING(I36,1)</f>
        <v>12.15</v>
      </c>
      <c r="U36" s="39" t="n">
        <f aca="false">SUM(M36:T36)*Resumo!$C$11</f>
        <v>0</v>
      </c>
      <c r="V36" s="39" t="n">
        <f aca="false">SUM(M36:U36)</f>
        <v>93.702958</v>
      </c>
      <c r="W36" s="39" t="n">
        <f aca="false">V36/(1-Resumo!$C$5)</f>
        <v>106.480634090909</v>
      </c>
      <c r="X36" s="39" t="n">
        <v>92.21</v>
      </c>
      <c r="Y36" s="39" t="n">
        <f aca="false">J36*Resumo!$B$6</f>
        <v>0.31499</v>
      </c>
      <c r="Z36" s="39" t="n">
        <f aca="false">J36*Resumo!$B$7</f>
        <v>0.62998</v>
      </c>
      <c r="AA36" s="39" t="n">
        <f aca="false">Resumo!$B$9</f>
        <v>1</v>
      </c>
      <c r="AB36" s="39" t="n">
        <f aca="false">Resumo!$B$10*CEILING(I36/100,1)</f>
        <v>4.5</v>
      </c>
      <c r="AC36" s="39" t="n">
        <f aca="false">Resumo!$B$12*CEILING(I36,1)</f>
        <v>1.62</v>
      </c>
      <c r="AD36" s="39" t="n">
        <f aca="false">Resumo!$B$14*CEILING(I36,1)</f>
        <v>12.15</v>
      </c>
      <c r="AE36" s="39" t="n">
        <f aca="false">SUM(X36:AD36)</f>
        <v>112.42497</v>
      </c>
      <c r="AF36" s="39" t="n">
        <f aca="false">AE36/(1-Resumo!$B$5)</f>
        <v>127.755647727273</v>
      </c>
      <c r="AG36" s="39" t="n">
        <f aca="false">AF36-W36</f>
        <v>21.2750136363636</v>
      </c>
      <c r="AH36" s="40" t="n">
        <f aca="false">AF36/W36-1</f>
        <v>0.199801718105847</v>
      </c>
      <c r="AI36" s="37" t="str">
        <f aca="false">IF(AF36&lt;W36,"SIM","NÃO")</f>
        <v>NÃO</v>
      </c>
      <c r="AJ36" s="37" t="n">
        <v>13</v>
      </c>
      <c r="AK36" s="37" t="n">
        <v>5</v>
      </c>
      <c r="AL36" s="37" t="s">
        <v>347</v>
      </c>
      <c r="AM36" s="39" t="n">
        <v>108.69</v>
      </c>
    </row>
    <row r="37" customFormat="false" ht="15" hidden="false" customHeight="false" outlineLevel="0" collapsed="false">
      <c r="A37" s="37" t="n">
        <v>354354780</v>
      </c>
      <c r="B37" s="38" t="n">
        <v>46207.8796064815</v>
      </c>
      <c r="C37" s="37" t="s">
        <v>340</v>
      </c>
      <c r="D37" s="37" t="s">
        <v>384</v>
      </c>
      <c r="E37" s="37" t="n">
        <v>23036076</v>
      </c>
      <c r="F37" s="37" t="s">
        <v>159</v>
      </c>
      <c r="G37" s="37" t="s">
        <v>196</v>
      </c>
      <c r="H37" s="37" t="s">
        <v>183</v>
      </c>
      <c r="I37" s="37" t="n">
        <v>19.9</v>
      </c>
      <c r="J37" s="39" t="n">
        <v>260.99</v>
      </c>
      <c r="K37" s="37" t="s">
        <v>385</v>
      </c>
      <c r="L37" s="39" t="n">
        <v>68.68</v>
      </c>
      <c r="M37" s="39" t="n">
        <v>33.42</v>
      </c>
      <c r="N37" s="39" t="n">
        <f aca="false">J37*Resumo!$C$6</f>
        <v>0</v>
      </c>
      <c r="O37" s="39" t="n">
        <f aca="false">J37*Resumo!$C$7</f>
        <v>0.548079</v>
      </c>
      <c r="P37" s="39" t="n">
        <f aca="false">J37*Resumo!$C$8</f>
        <v>0.548079</v>
      </c>
      <c r="Q37" s="39" t="n">
        <f aca="false">Resumo!$C$10*CEILING(I37/100,1)</f>
        <v>1.05</v>
      </c>
      <c r="R37" s="39" t="n">
        <f aca="false">Resumo!$C$9</f>
        <v>0</v>
      </c>
      <c r="S37" s="39" t="n">
        <f aca="false">Resumo!$C$13</f>
        <v>13.55</v>
      </c>
      <c r="T37" s="39" t="n">
        <f aca="false">Resumo!$C$14*CEILING(I37,1)</f>
        <v>9</v>
      </c>
      <c r="U37" s="39" t="n">
        <f aca="false">SUM(M37:T37)*Resumo!$C$11</f>
        <v>0</v>
      </c>
      <c r="V37" s="39" t="n">
        <f aca="false">SUM(M37:U37)</f>
        <v>58.116158</v>
      </c>
      <c r="W37" s="39" t="n">
        <f aca="false">V37/(1-Resumo!$C$5)</f>
        <v>66.0410886363636</v>
      </c>
      <c r="X37" s="39" t="n">
        <v>46.98</v>
      </c>
      <c r="Y37" s="39" t="n">
        <f aca="false">J37*Resumo!$B$6</f>
        <v>0.26099</v>
      </c>
      <c r="Z37" s="39" t="n">
        <f aca="false">J37*Resumo!$B$7</f>
        <v>0.52198</v>
      </c>
      <c r="AA37" s="39" t="n">
        <f aca="false">Resumo!$B$9</f>
        <v>1</v>
      </c>
      <c r="AB37" s="39" t="n">
        <f aca="false">Resumo!$B$10*CEILING(I37/100,1)</f>
        <v>4.5</v>
      </c>
      <c r="AC37" s="39" t="n">
        <f aca="false">Resumo!$B$12*CEILING(I37,1)</f>
        <v>1.2</v>
      </c>
      <c r="AD37" s="39" t="n">
        <f aca="false">Resumo!$B$14*CEILING(I37,1)</f>
        <v>9</v>
      </c>
      <c r="AE37" s="39" t="n">
        <f aca="false">SUM(X37:AD37)</f>
        <v>63.46297</v>
      </c>
      <c r="AF37" s="39" t="n">
        <f aca="false">AE37/(1-Resumo!$B$5)</f>
        <v>72.1170113636364</v>
      </c>
      <c r="AG37" s="39" t="n">
        <f aca="false">AF37-W37</f>
        <v>6.07592272727273</v>
      </c>
      <c r="AH37" s="40" t="n">
        <f aca="false">AF37/W37-1</f>
        <v>0.0920021588488351</v>
      </c>
      <c r="AI37" s="37" t="str">
        <f aca="false">IF(AF37&lt;W37,"SIM","NÃO")</f>
        <v>NÃO</v>
      </c>
      <c r="AJ37" s="37" t="n">
        <v>2</v>
      </c>
      <c r="AK37" s="37" t="n">
        <v>5</v>
      </c>
      <c r="AL37" s="37" t="s">
        <v>343</v>
      </c>
      <c r="AM37" s="39" t="n">
        <v>64.47</v>
      </c>
    </row>
    <row r="38" customFormat="false" ht="15" hidden="false" customHeight="false" outlineLevel="0" collapsed="false">
      <c r="A38" s="37" t="n">
        <v>354382002</v>
      </c>
      <c r="B38" s="38" t="n">
        <v>46207.9394560185</v>
      </c>
      <c r="C38" s="37" t="s">
        <v>340</v>
      </c>
      <c r="D38" s="37" t="s">
        <v>386</v>
      </c>
      <c r="E38" s="37" t="n">
        <v>21381009</v>
      </c>
      <c r="F38" s="37" t="s">
        <v>159</v>
      </c>
      <c r="G38" s="37" t="s">
        <v>196</v>
      </c>
      <c r="H38" s="37" t="s">
        <v>186</v>
      </c>
      <c r="I38" s="37" t="n">
        <v>49.6</v>
      </c>
      <c r="J38" s="39" t="n">
        <v>799.99</v>
      </c>
      <c r="K38" s="37" t="s">
        <v>342</v>
      </c>
      <c r="L38" s="39" t="n">
        <v>104.42</v>
      </c>
      <c r="M38" s="39" t="n">
        <v>53.55</v>
      </c>
      <c r="N38" s="39" t="n">
        <f aca="false">J38*Resumo!$C$6</f>
        <v>0</v>
      </c>
      <c r="O38" s="39" t="n">
        <f aca="false">J38*Resumo!$C$7</f>
        <v>1.679979</v>
      </c>
      <c r="P38" s="39" t="n">
        <f aca="false">J38*Resumo!$C$8</f>
        <v>1.679979</v>
      </c>
      <c r="Q38" s="39" t="n">
        <f aca="false">Resumo!$C$10*CEILING(I38/100,1)</f>
        <v>1.05</v>
      </c>
      <c r="R38" s="39" t="n">
        <f aca="false">Resumo!$C$9</f>
        <v>0</v>
      </c>
      <c r="S38" s="39" t="n">
        <f aca="false">Resumo!$C$13</f>
        <v>13.55</v>
      </c>
      <c r="T38" s="39" t="n">
        <f aca="false">Resumo!$C$14*CEILING(I38,1)</f>
        <v>22.5</v>
      </c>
      <c r="U38" s="39" t="n">
        <f aca="false">SUM(M38:T38)*Resumo!$C$11</f>
        <v>0</v>
      </c>
      <c r="V38" s="39" t="n">
        <f aca="false">SUM(M38:U38)</f>
        <v>94.009958</v>
      </c>
      <c r="W38" s="39" t="n">
        <f aca="false">V38/(1-Resumo!$C$5)</f>
        <v>106.829497727273</v>
      </c>
      <c r="X38" s="39" t="n">
        <v>93.97</v>
      </c>
      <c r="Y38" s="39" t="n">
        <f aca="false">J38*Resumo!$B$6</f>
        <v>0.79999</v>
      </c>
      <c r="Z38" s="39" t="n">
        <f aca="false">J38*Resumo!$B$7</f>
        <v>1.59998</v>
      </c>
      <c r="AA38" s="39" t="n">
        <f aca="false">Resumo!$B$9</f>
        <v>1</v>
      </c>
      <c r="AB38" s="39" t="n">
        <f aca="false">Resumo!$B$10*CEILING(I38/100,1)</f>
        <v>4.5</v>
      </c>
      <c r="AC38" s="39" t="n">
        <f aca="false">Resumo!$B$12*CEILING(I38,1)</f>
        <v>3</v>
      </c>
      <c r="AD38" s="39" t="n">
        <f aca="false">Resumo!$B$14*CEILING(I38,1)</f>
        <v>22.5</v>
      </c>
      <c r="AE38" s="39" t="n">
        <f aca="false">SUM(X38:AD38)</f>
        <v>127.36997</v>
      </c>
      <c r="AF38" s="39" t="n">
        <f aca="false">AE38/(1-Resumo!$B$5)</f>
        <v>144.738602272727</v>
      </c>
      <c r="AG38" s="39" t="n">
        <f aca="false">AF38-W38</f>
        <v>37.9091045454545</v>
      </c>
      <c r="AH38" s="40" t="n">
        <f aca="false">AF38/W38-1</f>
        <v>0.35485615257907</v>
      </c>
      <c r="AI38" s="37" t="str">
        <f aca="false">IF(AF38&lt;W38,"SIM","NÃO")</f>
        <v>NÃO</v>
      </c>
      <c r="AJ38" s="37" t="n">
        <v>2</v>
      </c>
      <c r="AK38" s="37" t="n">
        <v>5</v>
      </c>
      <c r="AL38" s="37" t="s">
        <v>343</v>
      </c>
      <c r="AM38" s="39" t="n">
        <v>104.42</v>
      </c>
    </row>
    <row r="39" customFormat="false" ht="15" hidden="false" customHeight="false" outlineLevel="0" collapsed="false">
      <c r="A39" s="37" t="n">
        <v>354392222</v>
      </c>
      <c r="B39" s="38" t="n">
        <v>46207.9641435185</v>
      </c>
      <c r="C39" s="37" t="s">
        <v>340</v>
      </c>
      <c r="D39" s="37" t="s">
        <v>387</v>
      </c>
      <c r="E39" s="37" t="n">
        <v>20541170</v>
      </c>
      <c r="F39" s="37" t="s">
        <v>159</v>
      </c>
      <c r="G39" s="37" t="s">
        <v>196</v>
      </c>
      <c r="H39" s="37" t="s">
        <v>189</v>
      </c>
      <c r="I39" s="37" t="n">
        <v>71.9</v>
      </c>
      <c r="J39" s="39" t="n">
        <v>735.99</v>
      </c>
      <c r="K39" s="37" t="s">
        <v>342</v>
      </c>
      <c r="L39" s="39" t="n">
        <v>136</v>
      </c>
      <c r="M39" s="39" t="n">
        <v>68.88</v>
      </c>
      <c r="N39" s="39" t="n">
        <f aca="false">J39*Resumo!$C$6</f>
        <v>0</v>
      </c>
      <c r="O39" s="39" t="n">
        <f aca="false">J39*Resumo!$C$7</f>
        <v>1.545579</v>
      </c>
      <c r="P39" s="39" t="n">
        <f aca="false">J39*Resumo!$C$8</f>
        <v>1.545579</v>
      </c>
      <c r="Q39" s="39" t="n">
        <f aca="false">Resumo!$C$10*CEILING(I39/100,1)</f>
        <v>1.05</v>
      </c>
      <c r="R39" s="39" t="n">
        <f aca="false">Resumo!$C$9</f>
        <v>0</v>
      </c>
      <c r="S39" s="39" t="n">
        <f aca="false">Resumo!$C$13</f>
        <v>13.55</v>
      </c>
      <c r="T39" s="39" t="n">
        <f aca="false">Resumo!$C$14*CEILING(I39,1)</f>
        <v>32.4</v>
      </c>
      <c r="U39" s="39" t="n">
        <f aca="false">SUM(M39:T39)*Resumo!$C$11</f>
        <v>0</v>
      </c>
      <c r="V39" s="39" t="n">
        <f aca="false">SUM(M39:U39)</f>
        <v>118.971158</v>
      </c>
      <c r="W39" s="39" t="n">
        <f aca="false">V39/(1-Resumo!$C$5)</f>
        <v>135.194497727273</v>
      </c>
      <c r="X39" s="39" t="n">
        <v>134.39</v>
      </c>
      <c r="Y39" s="39" t="n">
        <f aca="false">J39*Resumo!$B$6</f>
        <v>0.73599</v>
      </c>
      <c r="Z39" s="39" t="n">
        <f aca="false">J39*Resumo!$B$7</f>
        <v>1.47198</v>
      </c>
      <c r="AA39" s="39" t="n">
        <f aca="false">Resumo!$B$9</f>
        <v>1</v>
      </c>
      <c r="AB39" s="39" t="n">
        <f aca="false">Resumo!$B$10*CEILING(I39/100,1)</f>
        <v>4.5</v>
      </c>
      <c r="AC39" s="39" t="n">
        <f aca="false">Resumo!$B$12*CEILING(I39,1)</f>
        <v>4.32</v>
      </c>
      <c r="AD39" s="39" t="n">
        <f aca="false">Resumo!$B$14*CEILING(I39,1)</f>
        <v>32.4</v>
      </c>
      <c r="AE39" s="39" t="n">
        <f aca="false">SUM(X39:AD39)</f>
        <v>178.81797</v>
      </c>
      <c r="AF39" s="39" t="n">
        <f aca="false">AE39/(1-Resumo!$B$5)</f>
        <v>203.202238636364</v>
      </c>
      <c r="AG39" s="39" t="n">
        <f aca="false">AF39-W39</f>
        <v>68.0077409090909</v>
      </c>
      <c r="AH39" s="40" t="n">
        <f aca="false">AF39/W39-1</f>
        <v>0.503036307337615</v>
      </c>
      <c r="AI39" s="37" t="str">
        <f aca="false">IF(AF39&lt;W39,"SIM","NÃO")</f>
        <v>NÃO</v>
      </c>
      <c r="AJ39" s="37" t="n">
        <v>2</v>
      </c>
      <c r="AK39" s="37" t="n">
        <v>5</v>
      </c>
      <c r="AL39" s="37" t="s">
        <v>343</v>
      </c>
      <c r="AM39" s="39" t="n">
        <v>136</v>
      </c>
    </row>
    <row r="40" customFormat="false" ht="15" hidden="false" customHeight="false" outlineLevel="0" collapsed="false">
      <c r="A40" s="37" t="n">
        <v>354599020</v>
      </c>
      <c r="B40" s="38" t="n">
        <v>46208.5555092593</v>
      </c>
      <c r="C40" s="37" t="s">
        <v>372</v>
      </c>
      <c r="D40" s="37" t="s">
        <v>388</v>
      </c>
      <c r="E40" s="37" t="n">
        <v>21380090</v>
      </c>
      <c r="F40" s="37" t="s">
        <v>159</v>
      </c>
      <c r="G40" s="37" t="s">
        <v>196</v>
      </c>
      <c r="H40" s="37" t="s">
        <v>184</v>
      </c>
      <c r="I40" s="37" t="n">
        <v>27.5</v>
      </c>
      <c r="J40" s="39" t="n">
        <v>377.99</v>
      </c>
      <c r="K40" s="37" t="s">
        <v>342</v>
      </c>
      <c r="L40" s="39" t="n">
        <v>82.15</v>
      </c>
      <c r="M40" s="39" t="n">
        <v>42.11</v>
      </c>
      <c r="N40" s="39" t="n">
        <f aca="false">J40*Resumo!$C$6</f>
        <v>0</v>
      </c>
      <c r="O40" s="39" t="n">
        <f aca="false">J40*Resumo!$C$7</f>
        <v>0.793779</v>
      </c>
      <c r="P40" s="39" t="n">
        <f aca="false">J40*Resumo!$C$8</f>
        <v>0.793779</v>
      </c>
      <c r="Q40" s="39" t="n">
        <f aca="false">Resumo!$C$10*CEILING(I40/100,1)</f>
        <v>1.05</v>
      </c>
      <c r="R40" s="39" t="n">
        <f aca="false">Resumo!$C$9</f>
        <v>0</v>
      </c>
      <c r="S40" s="39" t="n">
        <f aca="false">Resumo!$C$13</f>
        <v>13.55</v>
      </c>
      <c r="T40" s="39" t="n">
        <f aca="false">Resumo!$C$14*CEILING(I40,1)</f>
        <v>12.6</v>
      </c>
      <c r="U40" s="39" t="n">
        <f aca="false">SUM(M40:T40)*Resumo!$C$11</f>
        <v>0</v>
      </c>
      <c r="V40" s="39" t="n">
        <f aca="false">SUM(M40:U40)</f>
        <v>70.897558</v>
      </c>
      <c r="W40" s="39" t="n">
        <f aca="false">V40/(1-Resumo!$C$5)</f>
        <v>80.5654068181818</v>
      </c>
      <c r="X40" s="39" t="n">
        <v>82.21</v>
      </c>
      <c r="Y40" s="39" t="n">
        <f aca="false">J40*Resumo!$B$6</f>
        <v>0.37799</v>
      </c>
      <c r="Z40" s="39" t="n">
        <f aca="false">J40*Resumo!$B$7</f>
        <v>0.75598</v>
      </c>
      <c r="AA40" s="39" t="n">
        <f aca="false">Resumo!$B$9</f>
        <v>1</v>
      </c>
      <c r="AB40" s="39" t="n">
        <f aca="false">Resumo!$B$10*CEILING(I40/100,1)</f>
        <v>4.5</v>
      </c>
      <c r="AC40" s="39" t="n">
        <f aca="false">Resumo!$B$12*CEILING(I40,1)</f>
        <v>1.68</v>
      </c>
      <c r="AD40" s="39" t="n">
        <f aca="false">Resumo!$B$14*CEILING(I40,1)</f>
        <v>12.6</v>
      </c>
      <c r="AE40" s="39" t="n">
        <f aca="false">SUM(X40:AD40)</f>
        <v>103.12397</v>
      </c>
      <c r="AF40" s="39" t="n">
        <f aca="false">AE40/(1-Resumo!$B$5)</f>
        <v>117.186329545455</v>
      </c>
      <c r="AG40" s="39" t="n">
        <f aca="false">AF40-W40</f>
        <v>36.6209227272727</v>
      </c>
      <c r="AH40" s="40" t="n">
        <f aca="false">AF40/W40-1</f>
        <v>0.454548970501917</v>
      </c>
      <c r="AI40" s="37" t="str">
        <f aca="false">IF(AF40&lt;W40,"SIM","NÃO")</f>
        <v>NÃO</v>
      </c>
      <c r="AJ40" s="37" t="n">
        <v>2</v>
      </c>
      <c r="AK40" s="37" t="n">
        <v>5</v>
      </c>
      <c r="AL40" s="37" t="s">
        <v>343</v>
      </c>
      <c r="AM40" s="39" t="n">
        <v>82.14</v>
      </c>
    </row>
    <row r="41" customFormat="false" ht="15" hidden="false" customHeight="false" outlineLevel="0" collapsed="false">
      <c r="A41" s="37" t="n">
        <v>354635098</v>
      </c>
      <c r="B41" s="38" t="n">
        <v>46208.6180324074</v>
      </c>
      <c r="C41" s="37" t="s">
        <v>340</v>
      </c>
      <c r="D41" s="37" t="s">
        <v>389</v>
      </c>
      <c r="E41" s="37" t="n">
        <v>23056630</v>
      </c>
      <c r="F41" s="37" t="s">
        <v>159</v>
      </c>
      <c r="G41" s="37" t="s">
        <v>196</v>
      </c>
      <c r="H41" s="37" t="s">
        <v>186</v>
      </c>
      <c r="I41" s="37" t="n">
        <v>46.8</v>
      </c>
      <c r="J41" s="39" t="n">
        <v>556.99</v>
      </c>
      <c r="K41" s="37" t="s">
        <v>342</v>
      </c>
      <c r="L41" s="39" t="n">
        <v>103.25</v>
      </c>
      <c r="M41" s="39" t="n">
        <v>53.55</v>
      </c>
      <c r="N41" s="39" t="n">
        <f aca="false">J41*Resumo!$C$6</f>
        <v>0</v>
      </c>
      <c r="O41" s="39" t="n">
        <f aca="false">J41*Resumo!$C$7</f>
        <v>1.169679</v>
      </c>
      <c r="P41" s="39" t="n">
        <f aca="false">J41*Resumo!$C$8</f>
        <v>1.169679</v>
      </c>
      <c r="Q41" s="39" t="n">
        <f aca="false">Resumo!$C$10*CEILING(I41/100,1)</f>
        <v>1.05</v>
      </c>
      <c r="R41" s="39" t="n">
        <f aca="false">Resumo!$C$9</f>
        <v>0</v>
      </c>
      <c r="S41" s="39" t="n">
        <f aca="false">Resumo!$C$13</f>
        <v>13.55</v>
      </c>
      <c r="T41" s="39" t="n">
        <f aca="false">Resumo!$C$14*CEILING(I41,1)</f>
        <v>21.15</v>
      </c>
      <c r="U41" s="39" t="n">
        <f aca="false">SUM(M41:T41)*Resumo!$C$11</f>
        <v>0</v>
      </c>
      <c r="V41" s="39" t="n">
        <f aca="false">SUM(M41:U41)</f>
        <v>91.639358</v>
      </c>
      <c r="W41" s="39" t="n">
        <f aca="false">V41/(1-Resumo!$C$5)</f>
        <v>104.135634090909</v>
      </c>
      <c r="X41" s="39" t="n">
        <v>93.97</v>
      </c>
      <c r="Y41" s="39" t="n">
        <f aca="false">J41*Resumo!$B$6</f>
        <v>0.55699</v>
      </c>
      <c r="Z41" s="39" t="n">
        <f aca="false">J41*Resumo!$B$7</f>
        <v>1.11398</v>
      </c>
      <c r="AA41" s="39" t="n">
        <f aca="false">Resumo!$B$9</f>
        <v>1</v>
      </c>
      <c r="AB41" s="39" t="n">
        <f aca="false">Resumo!$B$10*CEILING(I41/100,1)</f>
        <v>4.5</v>
      </c>
      <c r="AC41" s="39" t="n">
        <f aca="false">Resumo!$B$12*CEILING(I41,1)</f>
        <v>2.82</v>
      </c>
      <c r="AD41" s="39" t="n">
        <f aca="false">Resumo!$B$14*CEILING(I41,1)</f>
        <v>21.15</v>
      </c>
      <c r="AE41" s="39" t="n">
        <f aca="false">SUM(X41:AD41)</f>
        <v>125.11097</v>
      </c>
      <c r="AF41" s="39" t="n">
        <f aca="false">AE41/(1-Resumo!$B$5)</f>
        <v>142.171556818182</v>
      </c>
      <c r="AG41" s="39" t="n">
        <f aca="false">AF41-W41</f>
        <v>38.0359227272728</v>
      </c>
      <c r="AH41" s="40" t="n">
        <f aca="false">AF41/W41-1</f>
        <v>0.36525367189936</v>
      </c>
      <c r="AI41" s="37" t="str">
        <f aca="false">IF(AF41&lt;W41,"SIM","NÃO")</f>
        <v>NÃO</v>
      </c>
      <c r="AJ41" s="37" t="n">
        <v>2</v>
      </c>
      <c r="AK41" s="37" t="n">
        <v>5</v>
      </c>
      <c r="AL41" s="37" t="s">
        <v>343</v>
      </c>
      <c r="AM41" s="39" t="n">
        <v>103.26</v>
      </c>
    </row>
    <row r="42" customFormat="false" ht="15" hidden="false" customHeight="false" outlineLevel="0" collapsed="false">
      <c r="A42" s="37" t="n">
        <v>354655135</v>
      </c>
      <c r="B42" s="38" t="n">
        <v>46208.6562384259</v>
      </c>
      <c r="C42" s="37" t="s">
        <v>340</v>
      </c>
      <c r="D42" s="37" t="s">
        <v>390</v>
      </c>
      <c r="E42" s="37" t="n">
        <v>24310005</v>
      </c>
      <c r="F42" s="37" t="s">
        <v>163</v>
      </c>
      <c r="G42" s="37" t="s">
        <v>197</v>
      </c>
      <c r="H42" s="37" t="s">
        <v>184</v>
      </c>
      <c r="I42" s="37" t="n">
        <v>27.5</v>
      </c>
      <c r="J42" s="39" t="n">
        <v>332.99</v>
      </c>
      <c r="K42" s="37" t="s">
        <v>342</v>
      </c>
      <c r="L42" s="39" t="n">
        <v>100.99</v>
      </c>
      <c r="M42" s="39" t="n">
        <v>58.8</v>
      </c>
      <c r="N42" s="39" t="n">
        <f aca="false">J42*Resumo!$C$6</f>
        <v>0</v>
      </c>
      <c r="O42" s="39" t="n">
        <f aca="false">J42*Resumo!$C$7</f>
        <v>0.699279</v>
      </c>
      <c r="P42" s="39" t="n">
        <f aca="false">J42*Resumo!$C$8</f>
        <v>0.699279</v>
      </c>
      <c r="Q42" s="39" t="n">
        <f aca="false">Resumo!$C$10*CEILING(I42/100,1)</f>
        <v>1.05</v>
      </c>
      <c r="R42" s="39" t="n">
        <f aca="false">Resumo!$C$9</f>
        <v>0</v>
      </c>
      <c r="S42" s="39" t="n">
        <f aca="false">Resumo!$C$13</f>
        <v>13.55</v>
      </c>
      <c r="T42" s="39" t="n">
        <f aca="false">Resumo!$C$14*CEILING(I42,1)</f>
        <v>12.6</v>
      </c>
      <c r="U42" s="39" t="n">
        <f aca="false">SUM(M42:T42)*Resumo!$C$11</f>
        <v>0</v>
      </c>
      <c r="V42" s="39" t="n">
        <f aca="false">SUM(M42:U42)</f>
        <v>87.398558</v>
      </c>
      <c r="W42" s="39" t="n">
        <f aca="false">V42/(1-Resumo!$C$5)</f>
        <v>99.3165431818182</v>
      </c>
      <c r="X42" s="39" t="n">
        <v>100.58</v>
      </c>
      <c r="Y42" s="39" t="n">
        <f aca="false">J42*Resumo!$B$6</f>
        <v>0.33299</v>
      </c>
      <c r="Z42" s="39" t="n">
        <f aca="false">J42*Resumo!$B$7</f>
        <v>0.66598</v>
      </c>
      <c r="AA42" s="39" t="n">
        <f aca="false">Resumo!$B$9</f>
        <v>1</v>
      </c>
      <c r="AB42" s="39" t="n">
        <f aca="false">Resumo!$B$10*CEILING(I42/100,1)</f>
        <v>4.5</v>
      </c>
      <c r="AC42" s="39" t="n">
        <f aca="false">Resumo!$B$12*CEILING(I42,1)</f>
        <v>1.68</v>
      </c>
      <c r="AD42" s="39" t="n">
        <f aca="false">Resumo!$B$14*CEILING(I42,1)</f>
        <v>12.6</v>
      </c>
      <c r="AE42" s="39" t="n">
        <f aca="false">SUM(X42:AD42)</f>
        <v>121.35897</v>
      </c>
      <c r="AF42" s="39" t="n">
        <f aca="false">AE42/(1-Resumo!$B$5)</f>
        <v>137.907920454545</v>
      </c>
      <c r="AG42" s="39" t="n">
        <f aca="false">AF42-W42</f>
        <v>38.5913772727273</v>
      </c>
      <c r="AH42" s="40" t="n">
        <f aca="false">AF42/W42-1</f>
        <v>0.388569477313344</v>
      </c>
      <c r="AI42" s="37" t="str">
        <f aca="false">IF(AF42&lt;W42,"SIM","NÃO")</f>
        <v>NÃO</v>
      </c>
      <c r="AJ42" s="37" t="n">
        <v>2</v>
      </c>
      <c r="AK42" s="37" t="n">
        <v>7</v>
      </c>
      <c r="AL42" s="37" t="s">
        <v>343</v>
      </c>
      <c r="AM42" s="39" t="n">
        <v>100.98</v>
      </c>
    </row>
    <row r="43" customFormat="false" ht="15" hidden="false" customHeight="false" outlineLevel="0" collapsed="false">
      <c r="A43" s="37" t="n">
        <v>354689680</v>
      </c>
      <c r="B43" s="38" t="n">
        <v>46208.7254050926</v>
      </c>
      <c r="C43" s="37" t="s">
        <v>340</v>
      </c>
      <c r="D43" s="37" t="s">
        <v>391</v>
      </c>
      <c r="E43" s="37" t="n">
        <v>23820810</v>
      </c>
      <c r="F43" s="37" t="s">
        <v>217</v>
      </c>
      <c r="G43" s="37" t="s">
        <v>198</v>
      </c>
      <c r="H43" s="37" t="s">
        <v>188</v>
      </c>
      <c r="I43" s="37" t="n">
        <v>63.9</v>
      </c>
      <c r="J43" s="39" t="n">
        <v>799.99</v>
      </c>
      <c r="K43" s="37" t="s">
        <v>342</v>
      </c>
      <c r="L43" s="39" t="n">
        <v>155.85</v>
      </c>
      <c r="M43" s="39" t="n">
        <v>90.2</v>
      </c>
      <c r="N43" s="39" t="n">
        <f aca="false">J43*Resumo!$C$6</f>
        <v>0</v>
      </c>
      <c r="O43" s="39" t="n">
        <f aca="false">J43*Resumo!$C$7</f>
        <v>1.679979</v>
      </c>
      <c r="P43" s="39" t="n">
        <f aca="false">J43*Resumo!$C$8</f>
        <v>1.679979</v>
      </c>
      <c r="Q43" s="39" t="n">
        <f aca="false">Resumo!$C$10*CEILING(I43/100,1)</f>
        <v>1.05</v>
      </c>
      <c r="R43" s="39" t="n">
        <f aca="false">Resumo!$C$9</f>
        <v>0</v>
      </c>
      <c r="S43" s="39" t="n">
        <f aca="false">Resumo!$C$13</f>
        <v>13.55</v>
      </c>
      <c r="T43" s="39" t="n">
        <f aca="false">Resumo!$C$14*CEILING(I43,1)</f>
        <v>28.8</v>
      </c>
      <c r="U43" s="39" t="n">
        <f aca="false">SUM(M43:T43)*Resumo!$C$11</f>
        <v>0</v>
      </c>
      <c r="V43" s="39" t="n">
        <f aca="false">SUM(M43:U43)</f>
        <v>136.959958</v>
      </c>
      <c r="W43" s="39" t="n">
        <f aca="false">V43/(1-Resumo!$C$5)</f>
        <v>155.636315909091</v>
      </c>
      <c r="X43" s="39" t="n">
        <v>141.02</v>
      </c>
      <c r="Y43" s="39" t="n">
        <f aca="false">J43*Resumo!$B$6</f>
        <v>0.79999</v>
      </c>
      <c r="Z43" s="39" t="n">
        <f aca="false">J43*Resumo!$B$7</f>
        <v>1.59998</v>
      </c>
      <c r="AA43" s="39" t="n">
        <f aca="false">Resumo!$B$9</f>
        <v>1</v>
      </c>
      <c r="AB43" s="39" t="n">
        <f aca="false">Resumo!$B$10*CEILING(I43/100,1)</f>
        <v>4.5</v>
      </c>
      <c r="AC43" s="39" t="n">
        <f aca="false">Resumo!$B$12*CEILING(I43,1)</f>
        <v>3.84</v>
      </c>
      <c r="AD43" s="39" t="n">
        <f aca="false">Resumo!$B$14*CEILING(I43,1)</f>
        <v>28.8</v>
      </c>
      <c r="AE43" s="39" t="n">
        <f aca="false">SUM(X43:AD43)</f>
        <v>181.55997</v>
      </c>
      <c r="AF43" s="39" t="n">
        <f aca="false">AE43/(1-Resumo!$B$5)</f>
        <v>206.318147727273</v>
      </c>
      <c r="AG43" s="39" t="n">
        <f aca="false">AF43-W43</f>
        <v>50.6818318181819</v>
      </c>
      <c r="AH43" s="40" t="n">
        <f aca="false">AF43/W43-1</f>
        <v>0.325642710842537</v>
      </c>
      <c r="AI43" s="37" t="str">
        <f aca="false">IF(AF43&lt;W43,"SIM","NÃO")</f>
        <v>NÃO</v>
      </c>
      <c r="AJ43" s="37" t="n">
        <v>13</v>
      </c>
      <c r="AK43" s="37" t="n">
        <v>5</v>
      </c>
      <c r="AL43" s="37" t="s">
        <v>347</v>
      </c>
      <c r="AM43" s="39" t="n">
        <v>155.85</v>
      </c>
    </row>
    <row r="44" customFormat="false" ht="15" hidden="false" customHeight="false" outlineLevel="0" collapsed="false">
      <c r="A44" s="37" t="n">
        <v>354727575</v>
      </c>
      <c r="B44" s="38" t="n">
        <v>46208.7990509259</v>
      </c>
      <c r="C44" s="37" t="s">
        <v>345</v>
      </c>
      <c r="D44" s="37" t="s">
        <v>392</v>
      </c>
      <c r="E44" s="37" t="n">
        <v>22753031</v>
      </c>
      <c r="F44" s="37" t="s">
        <v>159</v>
      </c>
      <c r="G44" s="37" t="s">
        <v>196</v>
      </c>
      <c r="H44" s="37" t="s">
        <v>186</v>
      </c>
      <c r="I44" s="37" t="n">
        <v>44.6</v>
      </c>
      <c r="J44" s="39" t="n">
        <v>484.68</v>
      </c>
      <c r="K44" s="37" t="s">
        <v>342</v>
      </c>
      <c r="L44" s="39" t="n">
        <v>102.91</v>
      </c>
      <c r="M44" s="39" t="n">
        <v>53.55</v>
      </c>
      <c r="N44" s="39" t="n">
        <f aca="false">J44*Resumo!$C$6</f>
        <v>0</v>
      </c>
      <c r="O44" s="39" t="n">
        <f aca="false">J44*Resumo!$C$7</f>
        <v>1.017828</v>
      </c>
      <c r="P44" s="39" t="n">
        <f aca="false">J44*Resumo!$C$8</f>
        <v>1.017828</v>
      </c>
      <c r="Q44" s="39" t="n">
        <f aca="false">Resumo!$C$10*CEILING(I44/100,1)</f>
        <v>1.05</v>
      </c>
      <c r="R44" s="39" t="n">
        <f aca="false">Resumo!$C$9</f>
        <v>0</v>
      </c>
      <c r="S44" s="39" t="n">
        <f aca="false">Resumo!$C$13</f>
        <v>13.55</v>
      </c>
      <c r="T44" s="39" t="n">
        <f aca="false">Resumo!$C$14*CEILING(I44,1)</f>
        <v>20.25</v>
      </c>
      <c r="U44" s="39" t="n">
        <f aca="false">SUM(M44:T44)*Resumo!$C$11</f>
        <v>0</v>
      </c>
      <c r="V44" s="39" t="n">
        <f aca="false">SUM(M44:U44)</f>
        <v>90.435656</v>
      </c>
      <c r="W44" s="39" t="n">
        <f aca="false">V44/(1-Resumo!$C$5)</f>
        <v>102.767790909091</v>
      </c>
      <c r="X44" s="39" t="n">
        <v>93.97</v>
      </c>
      <c r="Y44" s="39" t="n">
        <f aca="false">J44*Resumo!$B$6</f>
        <v>0.48468</v>
      </c>
      <c r="Z44" s="39" t="n">
        <f aca="false">J44*Resumo!$B$7</f>
        <v>0.96936</v>
      </c>
      <c r="AA44" s="39" t="n">
        <f aca="false">Resumo!$B$9</f>
        <v>1</v>
      </c>
      <c r="AB44" s="39" t="n">
        <f aca="false">Resumo!$B$10*CEILING(I44/100,1)</f>
        <v>4.5</v>
      </c>
      <c r="AC44" s="39" t="n">
        <f aca="false">Resumo!$B$12*CEILING(I44,1)</f>
        <v>2.7</v>
      </c>
      <c r="AD44" s="39" t="n">
        <f aca="false">Resumo!$B$14*CEILING(I44,1)</f>
        <v>20.25</v>
      </c>
      <c r="AE44" s="39" t="n">
        <f aca="false">SUM(X44:AD44)</f>
        <v>123.87404</v>
      </c>
      <c r="AF44" s="39" t="n">
        <f aca="false">AE44/(1-Resumo!$B$5)</f>
        <v>140.765954545455</v>
      </c>
      <c r="AG44" s="39" t="n">
        <f aca="false">AF44-W44</f>
        <v>37.9981636363636</v>
      </c>
      <c r="AH44" s="40" t="n">
        <f aca="false">AF44/W44-1</f>
        <v>0.369747790628068</v>
      </c>
      <c r="AI44" s="37" t="str">
        <f aca="false">IF(AF44&lt;W44,"SIM","NÃO")</f>
        <v>NÃO</v>
      </c>
      <c r="AJ44" s="37" t="n">
        <v>2</v>
      </c>
      <c r="AK44" s="37" t="n">
        <v>5</v>
      </c>
      <c r="AL44" s="37" t="s">
        <v>343</v>
      </c>
      <c r="AM44" s="39" t="n">
        <v>102.91</v>
      </c>
    </row>
    <row r="45" customFormat="false" ht="15" hidden="false" customHeight="false" outlineLevel="0" collapsed="false">
      <c r="A45" s="37" t="n">
        <v>354814832</v>
      </c>
      <c r="B45" s="38" t="n">
        <v>46208.9671875</v>
      </c>
      <c r="C45" s="37" t="s">
        <v>340</v>
      </c>
      <c r="D45" s="37" t="s">
        <v>393</v>
      </c>
      <c r="E45" s="37" t="n">
        <v>28735560</v>
      </c>
      <c r="F45" s="37" t="s">
        <v>284</v>
      </c>
      <c r="G45" s="37" t="s">
        <v>198</v>
      </c>
      <c r="H45" s="37" t="s">
        <v>187</v>
      </c>
      <c r="I45" s="37" t="n">
        <v>58.6</v>
      </c>
      <c r="J45" s="39" t="n">
        <v>644.99</v>
      </c>
      <c r="K45" s="37" t="s">
        <v>342</v>
      </c>
      <c r="L45" s="39" t="n">
        <v>142.76</v>
      </c>
      <c r="M45" s="39" t="n">
        <v>83.58</v>
      </c>
      <c r="N45" s="39" t="n">
        <f aca="false">J45*Resumo!$C$6</f>
        <v>0</v>
      </c>
      <c r="O45" s="39" t="n">
        <f aca="false">J45*Resumo!$C$7</f>
        <v>1.354479</v>
      </c>
      <c r="P45" s="39" t="n">
        <f aca="false">J45*Resumo!$C$8</f>
        <v>1.354479</v>
      </c>
      <c r="Q45" s="39" t="n">
        <f aca="false">Resumo!$C$10*CEILING(I45/100,1)</f>
        <v>1.05</v>
      </c>
      <c r="R45" s="39" t="n">
        <f aca="false">Resumo!$C$9</f>
        <v>0</v>
      </c>
      <c r="S45" s="39" t="n">
        <f aca="false">Resumo!$C$13</f>
        <v>13.55</v>
      </c>
      <c r="T45" s="39" t="n">
        <f aca="false">Resumo!$C$14*CEILING(I45,1)</f>
        <v>26.55</v>
      </c>
      <c r="U45" s="39" t="n">
        <f aca="false">SUM(M45:T45)*Resumo!$C$11</f>
        <v>0</v>
      </c>
      <c r="V45" s="39" t="n">
        <f aca="false">SUM(M45:U45)</f>
        <v>127.438958</v>
      </c>
      <c r="W45" s="39" t="n">
        <f aca="false">V45/(1-Resumo!$C$5)</f>
        <v>144.816997727273</v>
      </c>
      <c r="X45" s="39" t="n">
        <v>162.04</v>
      </c>
      <c r="Y45" s="39" t="n">
        <f aca="false">J45*Resumo!$B$6</f>
        <v>0.64499</v>
      </c>
      <c r="Z45" s="39" t="n">
        <f aca="false">J45*Resumo!$B$7</f>
        <v>1.28998</v>
      </c>
      <c r="AA45" s="39" t="n">
        <f aca="false">Resumo!$B$9</f>
        <v>1</v>
      </c>
      <c r="AB45" s="39" t="n">
        <f aca="false">Resumo!$B$10*CEILING(I45/100,1)</f>
        <v>4.5</v>
      </c>
      <c r="AC45" s="39" t="n">
        <f aca="false">Resumo!$B$12*CEILING(I45,1)</f>
        <v>3.54</v>
      </c>
      <c r="AD45" s="39" t="n">
        <f aca="false">Resumo!$B$14*CEILING(I45,1)</f>
        <v>26.55</v>
      </c>
      <c r="AE45" s="39" t="n">
        <f aca="false">SUM(X45:AD45)</f>
        <v>199.56497</v>
      </c>
      <c r="AF45" s="39" t="n">
        <f aca="false">AE45/(1-Resumo!$B$5)</f>
        <v>226.778375</v>
      </c>
      <c r="AG45" s="39" t="n">
        <f aca="false">AF45-W45</f>
        <v>81.9613772727273</v>
      </c>
      <c r="AH45" s="40" t="n">
        <f aca="false">AF45/W45-1</f>
        <v>0.565965173695159</v>
      </c>
      <c r="AI45" s="37" t="str">
        <f aca="false">IF(AF45&lt;W45,"SIM","NÃO")</f>
        <v>NÃO</v>
      </c>
      <c r="AJ45" s="37" t="n">
        <v>13</v>
      </c>
      <c r="AK45" s="37" t="n">
        <v>11</v>
      </c>
      <c r="AL45" s="37" t="s">
        <v>347</v>
      </c>
      <c r="AM45" s="39" t="n">
        <v>142.76</v>
      </c>
    </row>
    <row r="46" customFormat="false" ht="15" hidden="false" customHeight="false" outlineLevel="0" collapsed="false">
      <c r="A46" s="37" t="n">
        <v>355044341</v>
      </c>
      <c r="B46" s="38" t="n">
        <v>46209.5015162037</v>
      </c>
      <c r="C46" s="37" t="s">
        <v>372</v>
      </c>
      <c r="D46" s="37" t="s">
        <v>394</v>
      </c>
      <c r="E46" s="37" t="n">
        <v>20950072</v>
      </c>
      <c r="F46" s="37" t="s">
        <v>159</v>
      </c>
      <c r="G46" s="37" t="s">
        <v>196</v>
      </c>
      <c r="H46" s="37" t="s">
        <v>186</v>
      </c>
      <c r="I46" s="37" t="n">
        <v>49.6</v>
      </c>
      <c r="J46" s="39" t="n">
        <v>775.39</v>
      </c>
      <c r="K46" s="37" t="s">
        <v>342</v>
      </c>
      <c r="L46" s="39" t="n">
        <v>104.31</v>
      </c>
      <c r="M46" s="39" t="n">
        <v>53.55</v>
      </c>
      <c r="N46" s="39" t="n">
        <f aca="false">J46*Resumo!$C$6</f>
        <v>0</v>
      </c>
      <c r="O46" s="39" t="n">
        <f aca="false">J46*Resumo!$C$7</f>
        <v>1.628319</v>
      </c>
      <c r="P46" s="39" t="n">
        <f aca="false">J46*Resumo!$C$8</f>
        <v>1.628319</v>
      </c>
      <c r="Q46" s="39" t="n">
        <f aca="false">Resumo!$C$10*CEILING(I46/100,1)</f>
        <v>1.05</v>
      </c>
      <c r="R46" s="39" t="n">
        <f aca="false">Resumo!$C$9</f>
        <v>0</v>
      </c>
      <c r="S46" s="39" t="n">
        <f aca="false">Resumo!$C$13</f>
        <v>13.55</v>
      </c>
      <c r="T46" s="39" t="n">
        <f aca="false">Resumo!$C$14*CEILING(I46,1)</f>
        <v>22.5</v>
      </c>
      <c r="U46" s="39" t="n">
        <f aca="false">SUM(M46:T46)*Resumo!$C$11</f>
        <v>0</v>
      </c>
      <c r="V46" s="39" t="n">
        <f aca="false">SUM(M46:U46)</f>
        <v>93.906638</v>
      </c>
      <c r="W46" s="39" t="n">
        <f aca="false">V46/(1-Resumo!$C$5)</f>
        <v>106.712088636364</v>
      </c>
      <c r="X46" s="39" t="n">
        <v>93.97</v>
      </c>
      <c r="Y46" s="39" t="n">
        <f aca="false">J46*Resumo!$B$6</f>
        <v>0.77539</v>
      </c>
      <c r="Z46" s="39" t="n">
        <f aca="false">J46*Resumo!$B$7</f>
        <v>1.55078</v>
      </c>
      <c r="AA46" s="39" t="n">
        <f aca="false">Resumo!$B$9</f>
        <v>1</v>
      </c>
      <c r="AB46" s="39" t="n">
        <f aca="false">Resumo!$B$10*CEILING(I46/100,1)</f>
        <v>4.5</v>
      </c>
      <c r="AC46" s="39" t="n">
        <f aca="false">Resumo!$B$12*CEILING(I46,1)</f>
        <v>3</v>
      </c>
      <c r="AD46" s="39" t="n">
        <f aca="false">Resumo!$B$14*CEILING(I46,1)</f>
        <v>22.5</v>
      </c>
      <c r="AE46" s="39" t="n">
        <f aca="false">SUM(X46:AD46)</f>
        <v>127.29617</v>
      </c>
      <c r="AF46" s="39" t="n">
        <f aca="false">AE46/(1-Resumo!$B$5)</f>
        <v>144.654738636364</v>
      </c>
      <c r="AG46" s="39" t="n">
        <f aca="false">AF46-W46</f>
        <v>37.94265</v>
      </c>
      <c r="AH46" s="40" t="n">
        <f aca="false">AF46/W46-1</f>
        <v>0.355560934893655</v>
      </c>
      <c r="AI46" s="37" t="str">
        <f aca="false">IF(AF46&lt;W46,"SIM","NÃO")</f>
        <v>NÃO</v>
      </c>
      <c r="AJ46" s="37" t="n">
        <v>2</v>
      </c>
      <c r="AK46" s="37" t="n">
        <v>5</v>
      </c>
      <c r="AL46" s="37" t="s">
        <v>343</v>
      </c>
      <c r="AM46" s="39" t="n">
        <v>104.3</v>
      </c>
    </row>
    <row r="47" customFormat="false" ht="15" hidden="false" customHeight="false" outlineLevel="0" collapsed="false">
      <c r="A47" s="37" t="n">
        <v>355079304</v>
      </c>
      <c r="B47" s="38" t="n">
        <v>46209.5547222222</v>
      </c>
      <c r="C47" s="37" t="s">
        <v>372</v>
      </c>
      <c r="D47" s="37" t="s">
        <v>395</v>
      </c>
      <c r="E47" s="37" t="n">
        <v>26140110</v>
      </c>
      <c r="F47" s="37" t="s">
        <v>165</v>
      </c>
      <c r="G47" s="37" t="s">
        <v>197</v>
      </c>
      <c r="H47" s="37" t="s">
        <v>186</v>
      </c>
      <c r="I47" s="37" t="n">
        <v>49.6</v>
      </c>
      <c r="J47" s="39" t="n">
        <v>819.99</v>
      </c>
      <c r="K47" s="37" t="s">
        <v>342</v>
      </c>
      <c r="L47" s="39" t="n">
        <v>118</v>
      </c>
      <c r="M47" s="39" t="n">
        <v>65.36</v>
      </c>
      <c r="N47" s="39" t="n">
        <f aca="false">J47*Resumo!$C$6</f>
        <v>0</v>
      </c>
      <c r="O47" s="39" t="n">
        <f aca="false">J47*Resumo!$C$7</f>
        <v>1.721979</v>
      </c>
      <c r="P47" s="39" t="n">
        <f aca="false">J47*Resumo!$C$8</f>
        <v>1.721979</v>
      </c>
      <c r="Q47" s="39" t="n">
        <f aca="false">Resumo!$C$10*CEILING(I47/100,1)</f>
        <v>1.05</v>
      </c>
      <c r="R47" s="39" t="n">
        <f aca="false">Resumo!$C$9</f>
        <v>0</v>
      </c>
      <c r="S47" s="39" t="n">
        <f aca="false">Resumo!$C$13</f>
        <v>13.55</v>
      </c>
      <c r="T47" s="39" t="n">
        <f aca="false">Resumo!$C$14*CEILING(I47,1)</f>
        <v>22.5</v>
      </c>
      <c r="U47" s="39" t="n">
        <f aca="false">SUM(M47:T47)*Resumo!$C$11</f>
        <v>0</v>
      </c>
      <c r="V47" s="39" t="n">
        <f aca="false">SUM(M47:U47)</f>
        <v>105.903958</v>
      </c>
      <c r="W47" s="39" t="n">
        <f aca="false">V47/(1-Resumo!$C$5)</f>
        <v>120.345406818182</v>
      </c>
      <c r="X47" s="39" t="n">
        <v>93.97</v>
      </c>
      <c r="Y47" s="39" t="n">
        <f aca="false">J47*Resumo!$B$6</f>
        <v>0.81999</v>
      </c>
      <c r="Z47" s="39" t="n">
        <f aca="false">J47*Resumo!$B$7</f>
        <v>1.63998</v>
      </c>
      <c r="AA47" s="39" t="n">
        <f aca="false">Resumo!$B$9</f>
        <v>1</v>
      </c>
      <c r="AB47" s="39" t="n">
        <f aca="false">Resumo!$B$10*CEILING(I47/100,1)</f>
        <v>4.5</v>
      </c>
      <c r="AC47" s="39" t="n">
        <f aca="false">Resumo!$B$12*CEILING(I47,1)</f>
        <v>3</v>
      </c>
      <c r="AD47" s="39" t="n">
        <f aca="false">Resumo!$B$14*CEILING(I47,1)</f>
        <v>22.5</v>
      </c>
      <c r="AE47" s="39" t="n">
        <f aca="false">SUM(X47:AD47)</f>
        <v>127.42997</v>
      </c>
      <c r="AF47" s="39" t="n">
        <f aca="false">AE47/(1-Resumo!$B$5)</f>
        <v>144.806784090909</v>
      </c>
      <c r="AG47" s="39" t="n">
        <f aca="false">AF47-W47</f>
        <v>24.4613772727273</v>
      </c>
      <c r="AH47" s="40" t="n">
        <f aca="false">AF47/W47-1</f>
        <v>0.203259749744197</v>
      </c>
      <c r="AI47" s="37" t="str">
        <f aca="false">IF(AF47&lt;W47,"SIM","NÃO")</f>
        <v>NÃO</v>
      </c>
      <c r="AJ47" s="37" t="n">
        <v>2</v>
      </c>
      <c r="AK47" s="37" t="n">
        <v>5</v>
      </c>
      <c r="AL47" s="37" t="s">
        <v>343</v>
      </c>
      <c r="AM47" s="39" t="n">
        <v>118</v>
      </c>
    </row>
    <row r="48" customFormat="false" ht="15" hidden="false" customHeight="false" outlineLevel="0" collapsed="false">
      <c r="A48" s="37" t="n">
        <v>355104596</v>
      </c>
      <c r="B48" s="38" t="n">
        <v>46209.5906712963</v>
      </c>
      <c r="C48" s="37" t="s">
        <v>340</v>
      </c>
      <c r="D48" s="37" t="s">
        <v>396</v>
      </c>
      <c r="E48" s="37" t="n">
        <v>27525524</v>
      </c>
      <c r="F48" s="37" t="s">
        <v>250</v>
      </c>
      <c r="G48" s="37" t="s">
        <v>198</v>
      </c>
      <c r="H48" s="37" t="s">
        <v>186</v>
      </c>
      <c r="I48" s="37" t="n">
        <v>49.6</v>
      </c>
      <c r="J48" s="39" t="n">
        <v>799.99</v>
      </c>
      <c r="K48" s="37" t="s">
        <v>342</v>
      </c>
      <c r="L48" s="39" t="n">
        <v>132</v>
      </c>
      <c r="M48" s="39" t="n">
        <v>77.7</v>
      </c>
      <c r="N48" s="39" t="n">
        <f aca="false">J48*Resumo!$C$6</f>
        <v>0</v>
      </c>
      <c r="O48" s="39" t="n">
        <f aca="false">J48*Resumo!$C$7</f>
        <v>1.679979</v>
      </c>
      <c r="P48" s="39" t="n">
        <f aca="false">J48*Resumo!$C$8</f>
        <v>1.679979</v>
      </c>
      <c r="Q48" s="39" t="n">
        <f aca="false">Resumo!$C$10*CEILING(I48/100,1)</f>
        <v>1.05</v>
      </c>
      <c r="R48" s="39" t="n">
        <f aca="false">Resumo!$C$9</f>
        <v>0</v>
      </c>
      <c r="S48" s="39" t="n">
        <f aca="false">Resumo!$C$13</f>
        <v>13.55</v>
      </c>
      <c r="T48" s="39" t="n">
        <f aca="false">Resumo!$C$14*CEILING(I48,1)</f>
        <v>22.5</v>
      </c>
      <c r="U48" s="39" t="n">
        <f aca="false">SUM(M48:T48)*Resumo!$C$11</f>
        <v>0</v>
      </c>
      <c r="V48" s="39" t="n">
        <f aca="false">SUM(M48:U48)</f>
        <v>118.159958</v>
      </c>
      <c r="W48" s="39" t="n">
        <f aca="false">V48/(1-Resumo!$C$5)</f>
        <v>134.272679545455</v>
      </c>
      <c r="X48" s="39" t="n">
        <v>124.38</v>
      </c>
      <c r="Y48" s="39" t="n">
        <f aca="false">J48*Resumo!$B$6</f>
        <v>0.79999</v>
      </c>
      <c r="Z48" s="39" t="n">
        <f aca="false">J48*Resumo!$B$7</f>
        <v>1.59998</v>
      </c>
      <c r="AA48" s="39" t="n">
        <f aca="false">Resumo!$B$9</f>
        <v>1</v>
      </c>
      <c r="AB48" s="39" t="n">
        <f aca="false">Resumo!$B$10*CEILING(I48/100,1)</f>
        <v>4.5</v>
      </c>
      <c r="AC48" s="39" t="n">
        <f aca="false">Resumo!$B$12*CEILING(I48,1)</f>
        <v>3</v>
      </c>
      <c r="AD48" s="39" t="n">
        <f aca="false">Resumo!$B$14*CEILING(I48,1)</f>
        <v>22.5</v>
      </c>
      <c r="AE48" s="39" t="n">
        <f aca="false">SUM(X48:AD48)</f>
        <v>157.77997</v>
      </c>
      <c r="AF48" s="39" t="n">
        <f aca="false">AE48/(1-Resumo!$B$5)</f>
        <v>179.295420454545</v>
      </c>
      <c r="AG48" s="39" t="n">
        <f aca="false">AF48-W48</f>
        <v>45.0227409090909</v>
      </c>
      <c r="AH48" s="40" t="n">
        <f aca="false">AF48/W48-1</f>
        <v>0.335308277614655</v>
      </c>
      <c r="AI48" s="37" t="str">
        <f aca="false">IF(AF48&lt;W48,"SIM","NÃO")</f>
        <v>NÃO</v>
      </c>
      <c r="AJ48" s="37" t="n">
        <v>13</v>
      </c>
      <c r="AK48" s="37" t="n">
        <v>10</v>
      </c>
      <c r="AL48" s="37" t="s">
        <v>347</v>
      </c>
      <c r="AM48" s="39" t="n">
        <v>131.99</v>
      </c>
    </row>
    <row r="49" customFormat="false" ht="15" hidden="false" customHeight="false" outlineLevel="0" collapsed="false">
      <c r="A49" s="37" t="n">
        <v>355229082</v>
      </c>
      <c r="B49" s="38" t="n">
        <v>46209.7972106482</v>
      </c>
      <c r="C49" s="37" t="s">
        <v>340</v>
      </c>
      <c r="D49" s="37" t="s">
        <v>397</v>
      </c>
      <c r="E49" s="37" t="n">
        <v>21730290</v>
      </c>
      <c r="F49" s="37" t="s">
        <v>159</v>
      </c>
      <c r="G49" s="37" t="s">
        <v>196</v>
      </c>
      <c r="H49" s="37" t="s">
        <v>183</v>
      </c>
      <c r="I49" s="37" t="n">
        <v>10.2</v>
      </c>
      <c r="J49" s="39" t="n">
        <v>219.99</v>
      </c>
      <c r="K49" s="37" t="s">
        <v>342</v>
      </c>
      <c r="L49" s="39" t="n">
        <v>64.27</v>
      </c>
      <c r="M49" s="39" t="n">
        <v>33.42</v>
      </c>
      <c r="N49" s="39" t="n">
        <f aca="false">J49*Resumo!$C$6</f>
        <v>0</v>
      </c>
      <c r="O49" s="39" t="n">
        <f aca="false">J49*Resumo!$C$7</f>
        <v>0.461979</v>
      </c>
      <c r="P49" s="39" t="n">
        <f aca="false">J49*Resumo!$C$8</f>
        <v>0.461979</v>
      </c>
      <c r="Q49" s="39" t="n">
        <f aca="false">Resumo!$C$10*CEILING(I49/100,1)</f>
        <v>1.05</v>
      </c>
      <c r="R49" s="39" t="n">
        <f aca="false">Resumo!$C$9</f>
        <v>0</v>
      </c>
      <c r="S49" s="39" t="n">
        <f aca="false">Resumo!$C$13</f>
        <v>13.55</v>
      </c>
      <c r="T49" s="39" t="n">
        <f aca="false">Resumo!$C$14*CEILING(I49,1)</f>
        <v>4.95</v>
      </c>
      <c r="U49" s="39" t="n">
        <f aca="false">SUM(M49:T49)*Resumo!$C$11</f>
        <v>0</v>
      </c>
      <c r="V49" s="39" t="n">
        <f aca="false">SUM(M49:U49)</f>
        <v>53.893958</v>
      </c>
      <c r="W49" s="39" t="n">
        <f aca="false">V49/(1-Resumo!$C$5)</f>
        <v>61.2431340909091</v>
      </c>
      <c r="X49" s="39" t="n">
        <v>46.98</v>
      </c>
      <c r="Y49" s="39" t="n">
        <f aca="false">J49*Resumo!$B$6</f>
        <v>0.21999</v>
      </c>
      <c r="Z49" s="39" t="n">
        <f aca="false">J49*Resumo!$B$7</f>
        <v>0.43998</v>
      </c>
      <c r="AA49" s="39" t="n">
        <f aca="false">Resumo!$B$9</f>
        <v>1</v>
      </c>
      <c r="AB49" s="39" t="n">
        <f aca="false">Resumo!$B$10*CEILING(I49/100,1)</f>
        <v>4.5</v>
      </c>
      <c r="AC49" s="39" t="n">
        <f aca="false">Resumo!$B$12*CEILING(I49,1)</f>
        <v>0.66</v>
      </c>
      <c r="AD49" s="39" t="n">
        <f aca="false">Resumo!$B$14*CEILING(I49,1)</f>
        <v>4.95</v>
      </c>
      <c r="AE49" s="39" t="n">
        <f aca="false">SUM(X49:AD49)</f>
        <v>58.74997</v>
      </c>
      <c r="AF49" s="39" t="n">
        <f aca="false">AE49/(1-Resumo!$B$5)</f>
        <v>66.7613295454545</v>
      </c>
      <c r="AG49" s="39" t="n">
        <f aca="false">AF49-W49</f>
        <v>5.51819545454545</v>
      </c>
      <c r="AH49" s="40" t="n">
        <f aca="false">AF49/W49-1</f>
        <v>0.0901030872514503</v>
      </c>
      <c r="AI49" s="37" t="str">
        <f aca="false">IF(AF49&lt;W49,"SIM","NÃO")</f>
        <v>NÃO</v>
      </c>
      <c r="AJ49" s="37" t="n">
        <v>2</v>
      </c>
      <c r="AK49" s="37" t="n">
        <v>5</v>
      </c>
      <c r="AL49" s="37" t="s">
        <v>343</v>
      </c>
      <c r="AM49" s="39" t="n">
        <v>64.27</v>
      </c>
    </row>
    <row r="50" customFormat="false" ht="15" hidden="false" customHeight="false" outlineLevel="0" collapsed="false">
      <c r="A50" s="37" t="n">
        <v>355230866</v>
      </c>
      <c r="B50" s="38" t="n">
        <v>46209.802974537</v>
      </c>
      <c r="C50" s="37" t="s">
        <v>372</v>
      </c>
      <c r="D50" s="37" t="s">
        <v>398</v>
      </c>
      <c r="E50" s="37" t="n">
        <v>23520400</v>
      </c>
      <c r="F50" s="37" t="s">
        <v>159</v>
      </c>
      <c r="G50" s="37" t="s">
        <v>196</v>
      </c>
      <c r="H50" s="37" t="s">
        <v>192</v>
      </c>
      <c r="I50" s="37" t="n">
        <v>124.2</v>
      </c>
      <c r="J50" s="39" t="n">
        <v>1687.99</v>
      </c>
      <c r="K50" s="37" t="s">
        <v>342</v>
      </c>
      <c r="L50" s="39" t="n">
        <v>234.39</v>
      </c>
      <c r="M50" s="39" t="n">
        <v>120.59</v>
      </c>
      <c r="N50" s="39" t="n">
        <f aca="false">J50*Resumo!$C$6</f>
        <v>0</v>
      </c>
      <c r="O50" s="39" t="n">
        <f aca="false">J50*Resumo!$C$7</f>
        <v>3.544779</v>
      </c>
      <c r="P50" s="39" t="n">
        <f aca="false">J50*Resumo!$C$8</f>
        <v>3.544779</v>
      </c>
      <c r="Q50" s="39" t="n">
        <f aca="false">Resumo!$C$10*CEILING(I50/100,1)</f>
        <v>2.1</v>
      </c>
      <c r="R50" s="39" t="n">
        <f aca="false">Resumo!$C$9</f>
        <v>0</v>
      </c>
      <c r="S50" s="39" t="n">
        <f aca="false">Resumo!$C$13</f>
        <v>13.55</v>
      </c>
      <c r="T50" s="39" t="n">
        <f aca="false">Resumo!$C$14*CEILING(I50,1)</f>
        <v>56.25</v>
      </c>
      <c r="U50" s="39" t="n">
        <f aca="false">SUM(M50:T50)*Resumo!$C$11</f>
        <v>0</v>
      </c>
      <c r="V50" s="39" t="n">
        <f aca="false">SUM(M50:U50)</f>
        <v>199.579558</v>
      </c>
      <c r="W50" s="39" t="n">
        <f aca="false">V50/(1-Resumo!$C$5)</f>
        <v>226.794952272727</v>
      </c>
      <c r="X50" s="39" t="n">
        <v>239.25</v>
      </c>
      <c r="Y50" s="39" t="n">
        <f aca="false">J50*Resumo!$B$6</f>
        <v>1.68799</v>
      </c>
      <c r="Z50" s="39" t="n">
        <f aca="false">J50*Resumo!$B$7</f>
        <v>3.37598</v>
      </c>
      <c r="AA50" s="39" t="n">
        <f aca="false">Resumo!$B$9</f>
        <v>1</v>
      </c>
      <c r="AB50" s="39" t="n">
        <f aca="false">Resumo!$B$10*CEILING(I50/100,1)</f>
        <v>9</v>
      </c>
      <c r="AC50" s="39" t="n">
        <f aca="false">Resumo!$B$12*CEILING(I50,1)</f>
        <v>7.5</v>
      </c>
      <c r="AD50" s="39" t="n">
        <f aca="false">Resumo!$B$14*CEILING(I50,1)</f>
        <v>56.25</v>
      </c>
      <c r="AE50" s="39" t="n">
        <f aca="false">SUM(X50:AD50)</f>
        <v>318.06397</v>
      </c>
      <c r="AF50" s="39" t="n">
        <f aca="false">AE50/(1-Resumo!$B$5)</f>
        <v>361.436329545455</v>
      </c>
      <c r="AG50" s="39" t="n">
        <f aca="false">AF50-W50</f>
        <v>134.641377272727</v>
      </c>
      <c r="AH50" s="40" t="n">
        <f aca="false">AF50/W50-1</f>
        <v>0.593670079177147</v>
      </c>
      <c r="AI50" s="37" t="str">
        <f aca="false">IF(AF50&lt;W50,"SIM","NÃO")</f>
        <v>NÃO</v>
      </c>
      <c r="AJ50" s="37" t="n">
        <v>2</v>
      </c>
      <c r="AK50" s="37" t="n">
        <v>5</v>
      </c>
      <c r="AL50" s="37" t="s">
        <v>343</v>
      </c>
      <c r="AM50" s="39" t="n">
        <v>234.38</v>
      </c>
    </row>
    <row r="51" customFormat="false" ht="15" hidden="false" customHeight="false" outlineLevel="0" collapsed="false">
      <c r="A51" s="37" t="n">
        <v>355276780</v>
      </c>
      <c r="B51" s="38" t="n">
        <v>46209.8668518519</v>
      </c>
      <c r="C51" s="37" t="s">
        <v>340</v>
      </c>
      <c r="D51" s="37" t="s">
        <v>399</v>
      </c>
      <c r="E51" s="37" t="n">
        <v>25085135</v>
      </c>
      <c r="F51" s="37" t="s">
        <v>161</v>
      </c>
      <c r="G51" s="37" t="s">
        <v>197</v>
      </c>
      <c r="H51" s="37" t="s">
        <v>185</v>
      </c>
      <c r="I51" s="37" t="n">
        <v>39.8</v>
      </c>
      <c r="J51" s="39" t="n">
        <v>449.99</v>
      </c>
      <c r="K51" s="37" t="s">
        <v>342</v>
      </c>
      <c r="L51" s="39" t="n">
        <v>113.11</v>
      </c>
      <c r="M51" s="39" t="n">
        <v>66.83</v>
      </c>
      <c r="N51" s="39" t="n">
        <f aca="false">J51*Resumo!$C$6</f>
        <v>0</v>
      </c>
      <c r="O51" s="39" t="n">
        <f aca="false">J51*Resumo!$C$7</f>
        <v>0.944979</v>
      </c>
      <c r="P51" s="39" t="n">
        <f aca="false">J51*Resumo!$C$8</f>
        <v>0.944979</v>
      </c>
      <c r="Q51" s="39" t="n">
        <f aca="false">Resumo!$C$10*CEILING(I51/100,1)</f>
        <v>1.05</v>
      </c>
      <c r="R51" s="39" t="n">
        <f aca="false">Resumo!$C$9</f>
        <v>0</v>
      </c>
      <c r="S51" s="39" t="n">
        <f aca="false">Resumo!$C$13</f>
        <v>13.55</v>
      </c>
      <c r="T51" s="39" t="n">
        <f aca="false">Resumo!$C$14*CEILING(I51,1)</f>
        <v>18</v>
      </c>
      <c r="U51" s="39" t="n">
        <f aca="false">SUM(M51:T51)*Resumo!$C$11</f>
        <v>0</v>
      </c>
      <c r="V51" s="39" t="n">
        <f aca="false">SUM(M51:U51)</f>
        <v>101.319958</v>
      </c>
      <c r="W51" s="39" t="n">
        <f aca="false">V51/(1-Resumo!$C$5)</f>
        <v>115.136315909091</v>
      </c>
      <c r="X51" s="39" t="n">
        <v>93.97</v>
      </c>
      <c r="Y51" s="39" t="n">
        <f aca="false">J51*Resumo!$B$6</f>
        <v>0.44999</v>
      </c>
      <c r="Z51" s="39" t="n">
        <f aca="false">J51*Resumo!$B$7</f>
        <v>0.89998</v>
      </c>
      <c r="AA51" s="39" t="n">
        <f aca="false">Resumo!$B$9</f>
        <v>1</v>
      </c>
      <c r="AB51" s="39" t="n">
        <f aca="false">Resumo!$B$10*CEILING(I51/100,1)</f>
        <v>4.5</v>
      </c>
      <c r="AC51" s="39" t="n">
        <f aca="false">Resumo!$B$12*CEILING(I51,1)</f>
        <v>2.4</v>
      </c>
      <c r="AD51" s="39" t="n">
        <f aca="false">Resumo!$B$14*CEILING(I51,1)</f>
        <v>18</v>
      </c>
      <c r="AE51" s="39" t="n">
        <f aca="false">SUM(X51:AD51)</f>
        <v>121.21997</v>
      </c>
      <c r="AF51" s="39" t="n">
        <f aca="false">AE51/(1-Resumo!$B$5)</f>
        <v>137.749965909091</v>
      </c>
      <c r="AG51" s="39" t="n">
        <f aca="false">AF51-W51</f>
        <v>22.61365</v>
      </c>
      <c r="AH51" s="40" t="n">
        <f aca="false">AF51/W51-1</f>
        <v>0.196407621882354</v>
      </c>
      <c r="AI51" s="37" t="str">
        <f aca="false">IF(AF51&lt;W51,"SIM","NÃO")</f>
        <v>NÃO</v>
      </c>
      <c r="AJ51" s="37" t="n">
        <v>2</v>
      </c>
      <c r="AK51" s="37" t="n">
        <v>5</v>
      </c>
      <c r="AL51" s="37" t="s">
        <v>343</v>
      </c>
      <c r="AM51" s="39" t="n">
        <v>113.11</v>
      </c>
    </row>
    <row r="52" customFormat="false" ht="15" hidden="false" customHeight="false" outlineLevel="0" collapsed="false">
      <c r="A52" s="37" t="n">
        <v>355304878</v>
      </c>
      <c r="B52" s="38" t="n">
        <v>46209.9061805556</v>
      </c>
      <c r="C52" s="37" t="s">
        <v>340</v>
      </c>
      <c r="D52" s="37" t="s">
        <v>400</v>
      </c>
      <c r="E52" s="37" t="n">
        <v>28920015</v>
      </c>
      <c r="F52" s="37" t="s">
        <v>172</v>
      </c>
      <c r="G52" s="37" t="s">
        <v>198</v>
      </c>
      <c r="H52" s="37" t="s">
        <v>184</v>
      </c>
      <c r="I52" s="37" t="n">
        <v>27.4</v>
      </c>
      <c r="J52" s="39" t="n">
        <v>359.99</v>
      </c>
      <c r="K52" s="37" t="s">
        <v>342</v>
      </c>
      <c r="L52" s="39" t="n">
        <v>108.91</v>
      </c>
      <c r="M52" s="39" t="n">
        <v>65.63</v>
      </c>
      <c r="N52" s="39" t="n">
        <f aca="false">J52*Resumo!$C$6</f>
        <v>0</v>
      </c>
      <c r="O52" s="39" t="n">
        <f aca="false">J52*Resumo!$C$7</f>
        <v>0.755979</v>
      </c>
      <c r="P52" s="39" t="n">
        <f aca="false">J52*Resumo!$C$8</f>
        <v>0.755979</v>
      </c>
      <c r="Q52" s="39" t="n">
        <f aca="false">Resumo!$C$10*CEILING(I52/100,1)</f>
        <v>1.05</v>
      </c>
      <c r="R52" s="39" t="n">
        <f aca="false">Resumo!$C$9</f>
        <v>0</v>
      </c>
      <c r="S52" s="39" t="n">
        <f aca="false">Resumo!$C$13</f>
        <v>13.55</v>
      </c>
      <c r="T52" s="39" t="n">
        <f aca="false">Resumo!$C$14*CEILING(I52,1)</f>
        <v>12.6</v>
      </c>
      <c r="U52" s="39" t="n">
        <f aca="false">SUM(M52:T52)*Resumo!$C$11</f>
        <v>0</v>
      </c>
      <c r="V52" s="39" t="n">
        <f aca="false">SUM(M52:U52)</f>
        <v>94.341958</v>
      </c>
      <c r="W52" s="39" t="n">
        <f aca="false">V52/(1-Resumo!$C$5)</f>
        <v>107.206770454545</v>
      </c>
      <c r="X52" s="39" t="n">
        <v>114.95</v>
      </c>
      <c r="Y52" s="39" t="n">
        <f aca="false">J52*Resumo!$B$6</f>
        <v>0.35999</v>
      </c>
      <c r="Z52" s="39" t="n">
        <f aca="false">J52*Resumo!$B$7</f>
        <v>0.71998</v>
      </c>
      <c r="AA52" s="39" t="n">
        <f aca="false">Resumo!$B$9</f>
        <v>1</v>
      </c>
      <c r="AB52" s="39" t="n">
        <f aca="false">Resumo!$B$10*CEILING(I52/100,1)</f>
        <v>4.5</v>
      </c>
      <c r="AC52" s="39" t="n">
        <f aca="false">Resumo!$B$12*CEILING(I52,1)</f>
        <v>1.68</v>
      </c>
      <c r="AD52" s="39" t="n">
        <f aca="false">Resumo!$B$14*CEILING(I52,1)</f>
        <v>12.6</v>
      </c>
      <c r="AE52" s="39" t="n">
        <f aca="false">SUM(X52:AD52)</f>
        <v>135.80997</v>
      </c>
      <c r="AF52" s="39" t="n">
        <f aca="false">AE52/(1-Resumo!$B$5)</f>
        <v>154.329511363636</v>
      </c>
      <c r="AG52" s="39" t="n">
        <f aca="false">AF52-W52</f>
        <v>47.1227409090909</v>
      </c>
      <c r="AH52" s="40" t="n">
        <f aca="false">AF52/W52-1</f>
        <v>0.439550046226516</v>
      </c>
      <c r="AI52" s="37" t="str">
        <f aca="false">IF(AF52&lt;W52,"SIM","NÃO")</f>
        <v>NÃO</v>
      </c>
      <c r="AJ52" s="37" t="n">
        <v>13</v>
      </c>
      <c r="AK52" s="37" t="n">
        <v>10</v>
      </c>
      <c r="AL52" s="37" t="s">
        <v>343</v>
      </c>
      <c r="AM52" s="39" t="n">
        <v>108.9</v>
      </c>
    </row>
    <row r="53" customFormat="false" ht="15" hidden="false" customHeight="false" outlineLevel="0" collapsed="false">
      <c r="A53" s="37" t="n">
        <v>355337966</v>
      </c>
      <c r="B53" s="38" t="n">
        <v>46209.9533333333</v>
      </c>
      <c r="C53" s="37" t="s">
        <v>340</v>
      </c>
      <c r="D53" s="37" t="s">
        <v>401</v>
      </c>
      <c r="E53" s="37" t="n">
        <v>28976666</v>
      </c>
      <c r="F53" s="37" t="s">
        <v>173</v>
      </c>
      <c r="G53" s="37" t="s">
        <v>198</v>
      </c>
      <c r="H53" s="37" t="s">
        <v>186</v>
      </c>
      <c r="I53" s="37" t="n">
        <v>44.5</v>
      </c>
      <c r="J53" s="39" t="n">
        <v>735.99</v>
      </c>
      <c r="K53" s="37" t="s">
        <v>342</v>
      </c>
      <c r="L53" s="39" t="n">
        <v>131.68</v>
      </c>
      <c r="M53" s="39" t="n">
        <v>77.7</v>
      </c>
      <c r="N53" s="39" t="n">
        <f aca="false">J53*Resumo!$C$6</f>
        <v>0</v>
      </c>
      <c r="O53" s="39" t="n">
        <f aca="false">J53*Resumo!$C$7</f>
        <v>1.545579</v>
      </c>
      <c r="P53" s="39" t="n">
        <f aca="false">J53*Resumo!$C$8</f>
        <v>1.545579</v>
      </c>
      <c r="Q53" s="39" t="n">
        <f aca="false">Resumo!$C$10*CEILING(I53/100,1)</f>
        <v>1.05</v>
      </c>
      <c r="R53" s="39" t="n">
        <f aca="false">Resumo!$C$9</f>
        <v>0</v>
      </c>
      <c r="S53" s="39" t="n">
        <f aca="false">Resumo!$C$13</f>
        <v>13.55</v>
      </c>
      <c r="T53" s="39" t="n">
        <f aca="false">Resumo!$C$14*CEILING(I53,1)</f>
        <v>20.25</v>
      </c>
      <c r="U53" s="39" t="n">
        <f aca="false">SUM(M53:T53)*Resumo!$C$11</f>
        <v>0</v>
      </c>
      <c r="V53" s="39" t="n">
        <f aca="false">SUM(M53:U53)</f>
        <v>115.641158</v>
      </c>
      <c r="W53" s="39" t="n">
        <f aca="false">V53/(1-Resumo!$C$5)</f>
        <v>131.410406818182</v>
      </c>
      <c r="X53" s="39" t="n">
        <v>129.29</v>
      </c>
      <c r="Y53" s="39" t="n">
        <f aca="false">J53*Resumo!$B$6</f>
        <v>0.73599</v>
      </c>
      <c r="Z53" s="39" t="n">
        <f aca="false">J53*Resumo!$B$7</f>
        <v>1.47198</v>
      </c>
      <c r="AA53" s="39" t="n">
        <f aca="false">Resumo!$B$9</f>
        <v>1</v>
      </c>
      <c r="AB53" s="39" t="n">
        <f aca="false">Resumo!$B$10*CEILING(I53/100,1)</f>
        <v>4.5</v>
      </c>
      <c r="AC53" s="39" t="n">
        <f aca="false">Resumo!$B$12*CEILING(I53,1)</f>
        <v>2.7</v>
      </c>
      <c r="AD53" s="39" t="n">
        <f aca="false">Resumo!$B$14*CEILING(I53,1)</f>
        <v>20.25</v>
      </c>
      <c r="AE53" s="39" t="n">
        <f aca="false">SUM(X53:AD53)</f>
        <v>159.94797</v>
      </c>
      <c r="AF53" s="39" t="n">
        <f aca="false">AE53/(1-Resumo!$B$5)</f>
        <v>181.759056818182</v>
      </c>
      <c r="AG53" s="39" t="n">
        <f aca="false">AF53-W53</f>
        <v>50.34865</v>
      </c>
      <c r="AH53" s="40" t="n">
        <f aca="false">AF53/W53-1</f>
        <v>0.383140507811241</v>
      </c>
      <c r="AI53" s="37" t="str">
        <f aca="false">IF(AF53&lt;W53,"SIM","NÃO")</f>
        <v>NÃO</v>
      </c>
      <c r="AJ53" s="37" t="n">
        <v>13</v>
      </c>
      <c r="AK53" s="37" t="n">
        <v>10</v>
      </c>
      <c r="AL53" s="37" t="s">
        <v>343</v>
      </c>
      <c r="AM53" s="39" t="n">
        <v>131.69</v>
      </c>
    </row>
    <row r="54" customFormat="false" ht="15" hidden="false" customHeight="false" outlineLevel="0" collapsed="false">
      <c r="A54" s="37" t="n">
        <v>355352625</v>
      </c>
      <c r="B54" s="38" t="n">
        <v>46209.999212963</v>
      </c>
      <c r="C54" s="37" t="s">
        <v>340</v>
      </c>
      <c r="D54" s="37" t="s">
        <v>402</v>
      </c>
      <c r="E54" s="37" t="n">
        <v>21842553</v>
      </c>
      <c r="F54" s="37" t="s">
        <v>159</v>
      </c>
      <c r="G54" s="37" t="s">
        <v>196</v>
      </c>
      <c r="H54" s="37" t="s">
        <v>185</v>
      </c>
      <c r="I54" s="37" t="n">
        <v>39.9</v>
      </c>
      <c r="J54" s="39" t="n">
        <v>599.99</v>
      </c>
      <c r="K54" s="37" t="s">
        <v>342</v>
      </c>
      <c r="L54" s="39" t="n">
        <v>92.73</v>
      </c>
      <c r="M54" s="39" t="n">
        <v>48.35</v>
      </c>
      <c r="N54" s="39" t="n">
        <f aca="false">J54*Resumo!$C$6</f>
        <v>0</v>
      </c>
      <c r="O54" s="39" t="n">
        <f aca="false">J54*Resumo!$C$7</f>
        <v>1.259979</v>
      </c>
      <c r="P54" s="39" t="n">
        <f aca="false">J54*Resumo!$C$8</f>
        <v>1.259979</v>
      </c>
      <c r="Q54" s="39" t="n">
        <f aca="false">Resumo!$C$10*CEILING(I54/100,1)</f>
        <v>1.05</v>
      </c>
      <c r="R54" s="39" t="n">
        <f aca="false">Resumo!$C$9</f>
        <v>0</v>
      </c>
      <c r="S54" s="39" t="n">
        <f aca="false">Resumo!$C$13</f>
        <v>13.55</v>
      </c>
      <c r="T54" s="39" t="n">
        <f aca="false">Resumo!$C$14*CEILING(I54,1)</f>
        <v>18</v>
      </c>
      <c r="U54" s="39" t="n">
        <f aca="false">SUM(M54:T54)*Resumo!$C$11</f>
        <v>0</v>
      </c>
      <c r="V54" s="39" t="n">
        <f aca="false">SUM(M54:U54)</f>
        <v>83.469958</v>
      </c>
      <c r="W54" s="39" t="n">
        <f aca="false">V54/(1-Resumo!$C$5)</f>
        <v>94.852225</v>
      </c>
      <c r="X54" s="39" t="n">
        <v>93.97</v>
      </c>
      <c r="Y54" s="39" t="n">
        <f aca="false">J54*Resumo!$B$6</f>
        <v>0.59999</v>
      </c>
      <c r="Z54" s="39" t="n">
        <f aca="false">J54*Resumo!$B$7</f>
        <v>1.19998</v>
      </c>
      <c r="AA54" s="39" t="n">
        <f aca="false">Resumo!$B$9</f>
        <v>1</v>
      </c>
      <c r="AB54" s="39" t="n">
        <f aca="false">Resumo!$B$10*CEILING(I54/100,1)</f>
        <v>4.5</v>
      </c>
      <c r="AC54" s="39" t="n">
        <f aca="false">Resumo!$B$12*CEILING(I54,1)</f>
        <v>2.4</v>
      </c>
      <c r="AD54" s="39" t="n">
        <f aca="false">Resumo!$B$14*CEILING(I54,1)</f>
        <v>18</v>
      </c>
      <c r="AE54" s="39" t="n">
        <f aca="false">SUM(X54:AD54)</f>
        <v>121.66997</v>
      </c>
      <c r="AF54" s="39" t="n">
        <f aca="false">AE54/(1-Resumo!$B$5)</f>
        <v>138.261329545455</v>
      </c>
      <c r="AG54" s="39" t="n">
        <f aca="false">AF54-W54</f>
        <v>43.4091045454545</v>
      </c>
      <c r="AH54" s="40" t="n">
        <f aca="false">AF54/W54-1</f>
        <v>0.457649828936059</v>
      </c>
      <c r="AI54" s="37" t="str">
        <f aca="false">IF(AF54&lt;W54,"SIM","NÃO")</f>
        <v>NÃO</v>
      </c>
      <c r="AJ54" s="37" t="n">
        <v>2</v>
      </c>
      <c r="AK54" s="37" t="n">
        <v>5</v>
      </c>
      <c r="AL54" s="37" t="s">
        <v>343</v>
      </c>
      <c r="AM54" s="39" t="n">
        <v>92.73</v>
      </c>
    </row>
    <row r="55" customFormat="false" ht="15" hidden="false" customHeight="false" outlineLevel="0" collapsed="false">
      <c r="A55" s="37" t="n">
        <v>355365552</v>
      </c>
      <c r="B55" s="38" t="n">
        <v>46210.0137731481</v>
      </c>
      <c r="C55" s="37" t="s">
        <v>340</v>
      </c>
      <c r="D55" s="37" t="s">
        <v>403</v>
      </c>
      <c r="E55" s="37" t="n">
        <v>22735000</v>
      </c>
      <c r="F55" s="37" t="s">
        <v>159</v>
      </c>
      <c r="G55" s="37" t="s">
        <v>196</v>
      </c>
      <c r="H55" s="37" t="s">
        <v>185</v>
      </c>
      <c r="I55" s="37" t="n">
        <v>37.2</v>
      </c>
      <c r="J55" s="39" t="n">
        <v>360.99</v>
      </c>
      <c r="K55" s="37" t="s">
        <v>342</v>
      </c>
      <c r="L55" s="39" t="n">
        <v>91.58</v>
      </c>
      <c r="M55" s="39" t="n">
        <v>48.35</v>
      </c>
      <c r="N55" s="39" t="n">
        <f aca="false">J55*Resumo!$C$6</f>
        <v>0</v>
      </c>
      <c r="O55" s="39" t="n">
        <f aca="false">J55*Resumo!$C$7</f>
        <v>0.758079</v>
      </c>
      <c r="P55" s="39" t="n">
        <f aca="false">J55*Resumo!$C$8</f>
        <v>0.758079</v>
      </c>
      <c r="Q55" s="39" t="n">
        <f aca="false">Resumo!$C$10*CEILING(I55/100,1)</f>
        <v>1.05</v>
      </c>
      <c r="R55" s="39" t="n">
        <f aca="false">Resumo!$C$9</f>
        <v>0</v>
      </c>
      <c r="S55" s="39" t="n">
        <f aca="false">Resumo!$C$13</f>
        <v>13.55</v>
      </c>
      <c r="T55" s="39" t="n">
        <f aca="false">Resumo!$C$14*CEILING(I55,1)</f>
        <v>17.1</v>
      </c>
      <c r="U55" s="39" t="n">
        <f aca="false">SUM(M55:T55)*Resumo!$C$11</f>
        <v>0</v>
      </c>
      <c r="V55" s="39" t="n">
        <f aca="false">SUM(M55:U55)</f>
        <v>81.566158</v>
      </c>
      <c r="W55" s="39" t="n">
        <f aca="false">V55/(1-Resumo!$C$5)</f>
        <v>92.6888159090909</v>
      </c>
      <c r="X55" s="39" t="n">
        <v>93.97</v>
      </c>
      <c r="Y55" s="39" t="n">
        <f aca="false">J55*Resumo!$B$6</f>
        <v>0.36099</v>
      </c>
      <c r="Z55" s="39" t="n">
        <f aca="false">J55*Resumo!$B$7</f>
        <v>0.72198</v>
      </c>
      <c r="AA55" s="39" t="n">
        <f aca="false">Resumo!$B$9</f>
        <v>1</v>
      </c>
      <c r="AB55" s="39" t="n">
        <f aca="false">Resumo!$B$10*CEILING(I55/100,1)</f>
        <v>4.5</v>
      </c>
      <c r="AC55" s="39" t="n">
        <f aca="false">Resumo!$B$12*CEILING(I55,1)</f>
        <v>2.28</v>
      </c>
      <c r="AD55" s="39" t="n">
        <f aca="false">Resumo!$B$14*CEILING(I55,1)</f>
        <v>17.1</v>
      </c>
      <c r="AE55" s="39" t="n">
        <f aca="false">SUM(X55:AD55)</f>
        <v>119.93297</v>
      </c>
      <c r="AF55" s="39" t="n">
        <f aca="false">AE55/(1-Resumo!$B$5)</f>
        <v>136.287465909091</v>
      </c>
      <c r="AG55" s="39" t="n">
        <f aca="false">AF55-W55</f>
        <v>43.59865</v>
      </c>
      <c r="AH55" s="40" t="n">
        <f aca="false">AF55/W55-1</f>
        <v>0.470376599079241</v>
      </c>
      <c r="AI55" s="37" t="str">
        <f aca="false">IF(AF55&lt;W55,"SIM","NÃO")</f>
        <v>NÃO</v>
      </c>
      <c r="AJ55" s="37" t="n">
        <v>2</v>
      </c>
      <c r="AK55" s="37" t="n">
        <v>5</v>
      </c>
      <c r="AL55" s="37" t="s">
        <v>343</v>
      </c>
      <c r="AM55" s="39" t="n">
        <v>91.59</v>
      </c>
    </row>
    <row r="56" customFormat="false" ht="15" hidden="false" customHeight="false" outlineLevel="0" collapsed="false">
      <c r="A56" s="37" t="n">
        <v>355372214</v>
      </c>
      <c r="B56" s="38" t="n">
        <v>46210.022025463</v>
      </c>
      <c r="C56" s="37" t="s">
        <v>340</v>
      </c>
      <c r="D56" s="37" t="s">
        <v>404</v>
      </c>
      <c r="E56" s="37" t="n">
        <v>21241300</v>
      </c>
      <c r="F56" s="37" t="s">
        <v>159</v>
      </c>
      <c r="G56" s="37" t="s">
        <v>196</v>
      </c>
      <c r="H56" s="37" t="s">
        <v>185</v>
      </c>
      <c r="I56" s="37" t="n">
        <v>37.2</v>
      </c>
      <c r="J56" s="39" t="n">
        <v>360.99</v>
      </c>
      <c r="K56" s="37" t="s">
        <v>342</v>
      </c>
      <c r="L56" s="39" t="n">
        <v>91.58</v>
      </c>
      <c r="M56" s="39" t="n">
        <v>48.35</v>
      </c>
      <c r="N56" s="39" t="n">
        <f aca="false">J56*Resumo!$C$6</f>
        <v>0</v>
      </c>
      <c r="O56" s="39" t="n">
        <f aca="false">J56*Resumo!$C$7</f>
        <v>0.758079</v>
      </c>
      <c r="P56" s="39" t="n">
        <f aca="false">J56*Resumo!$C$8</f>
        <v>0.758079</v>
      </c>
      <c r="Q56" s="39" t="n">
        <f aca="false">Resumo!$C$10*CEILING(I56/100,1)</f>
        <v>1.05</v>
      </c>
      <c r="R56" s="39" t="n">
        <f aca="false">Resumo!$C$9</f>
        <v>0</v>
      </c>
      <c r="S56" s="39" t="n">
        <f aca="false">Resumo!$C$13</f>
        <v>13.55</v>
      </c>
      <c r="T56" s="39" t="n">
        <f aca="false">Resumo!$C$14*CEILING(I56,1)</f>
        <v>17.1</v>
      </c>
      <c r="U56" s="39" t="n">
        <f aca="false">SUM(M56:T56)*Resumo!$C$11</f>
        <v>0</v>
      </c>
      <c r="V56" s="39" t="n">
        <f aca="false">SUM(M56:U56)</f>
        <v>81.566158</v>
      </c>
      <c r="W56" s="39" t="n">
        <f aca="false">V56/(1-Resumo!$C$5)</f>
        <v>92.6888159090909</v>
      </c>
      <c r="X56" s="39" t="n">
        <v>93.97</v>
      </c>
      <c r="Y56" s="39" t="n">
        <f aca="false">J56*Resumo!$B$6</f>
        <v>0.36099</v>
      </c>
      <c r="Z56" s="39" t="n">
        <f aca="false">J56*Resumo!$B$7</f>
        <v>0.72198</v>
      </c>
      <c r="AA56" s="39" t="n">
        <f aca="false">Resumo!$B$9</f>
        <v>1</v>
      </c>
      <c r="AB56" s="39" t="n">
        <f aca="false">Resumo!$B$10*CEILING(I56/100,1)</f>
        <v>4.5</v>
      </c>
      <c r="AC56" s="39" t="n">
        <f aca="false">Resumo!$B$12*CEILING(I56,1)</f>
        <v>2.28</v>
      </c>
      <c r="AD56" s="39" t="n">
        <f aca="false">Resumo!$B$14*CEILING(I56,1)</f>
        <v>17.1</v>
      </c>
      <c r="AE56" s="39" t="n">
        <f aca="false">SUM(X56:AD56)</f>
        <v>119.93297</v>
      </c>
      <c r="AF56" s="39" t="n">
        <f aca="false">AE56/(1-Resumo!$B$5)</f>
        <v>136.287465909091</v>
      </c>
      <c r="AG56" s="39" t="n">
        <f aca="false">AF56-W56</f>
        <v>43.59865</v>
      </c>
      <c r="AH56" s="40" t="n">
        <f aca="false">AF56/W56-1</f>
        <v>0.470376599079241</v>
      </c>
      <c r="AI56" s="37" t="str">
        <f aca="false">IF(AF56&lt;W56,"SIM","NÃO")</f>
        <v>NÃO</v>
      </c>
      <c r="AJ56" s="37" t="n">
        <v>2</v>
      </c>
      <c r="AK56" s="37" t="n">
        <v>5</v>
      </c>
      <c r="AL56" s="37" t="s">
        <v>343</v>
      </c>
      <c r="AM56" s="39" t="n">
        <v>91.59</v>
      </c>
    </row>
    <row r="57" customFormat="false" ht="15" hidden="false" customHeight="false" outlineLevel="0" collapsed="false">
      <c r="A57" s="37" t="n">
        <v>355403193</v>
      </c>
      <c r="B57" s="38" t="n">
        <v>46210.0742592593</v>
      </c>
      <c r="C57" s="37" t="s">
        <v>340</v>
      </c>
      <c r="D57" s="37" t="s">
        <v>405</v>
      </c>
      <c r="E57" s="37" t="n">
        <v>20251440</v>
      </c>
      <c r="F57" s="37" t="s">
        <v>159</v>
      </c>
      <c r="G57" s="37" t="s">
        <v>196</v>
      </c>
      <c r="H57" s="37" t="s">
        <v>184</v>
      </c>
      <c r="I57" s="37" t="n">
        <v>27.4</v>
      </c>
      <c r="J57" s="39" t="n">
        <v>324.99</v>
      </c>
      <c r="K57" s="37" t="s">
        <v>342</v>
      </c>
      <c r="L57" s="39" t="n">
        <v>81.89</v>
      </c>
      <c r="M57" s="39" t="n">
        <v>42.11</v>
      </c>
      <c r="N57" s="39" t="n">
        <f aca="false">J57*Resumo!$C$6</f>
        <v>0</v>
      </c>
      <c r="O57" s="39" t="n">
        <f aca="false">J57*Resumo!$C$7</f>
        <v>0.682479</v>
      </c>
      <c r="P57" s="39" t="n">
        <f aca="false">J57*Resumo!$C$8</f>
        <v>0.682479</v>
      </c>
      <c r="Q57" s="39" t="n">
        <f aca="false">Resumo!$C$10*CEILING(I57/100,1)</f>
        <v>1.05</v>
      </c>
      <c r="R57" s="39" t="n">
        <f aca="false">Resumo!$C$9</f>
        <v>0</v>
      </c>
      <c r="S57" s="39" t="n">
        <f aca="false">Resumo!$C$13</f>
        <v>13.55</v>
      </c>
      <c r="T57" s="39" t="n">
        <f aca="false">Resumo!$C$14*CEILING(I57,1)</f>
        <v>12.6</v>
      </c>
      <c r="U57" s="39" t="n">
        <f aca="false">SUM(M57:T57)*Resumo!$C$11</f>
        <v>0</v>
      </c>
      <c r="V57" s="39" t="n">
        <f aca="false">SUM(M57:U57)</f>
        <v>70.674958</v>
      </c>
      <c r="W57" s="39" t="n">
        <f aca="false">V57/(1-Resumo!$C$5)</f>
        <v>80.3124522727273</v>
      </c>
      <c r="X57" s="39" t="n">
        <v>82.21</v>
      </c>
      <c r="Y57" s="39" t="n">
        <f aca="false">J57*Resumo!$B$6</f>
        <v>0.32499</v>
      </c>
      <c r="Z57" s="39" t="n">
        <f aca="false">J57*Resumo!$B$7</f>
        <v>0.64998</v>
      </c>
      <c r="AA57" s="39" t="n">
        <f aca="false">Resumo!$B$9</f>
        <v>1</v>
      </c>
      <c r="AB57" s="39" t="n">
        <f aca="false">Resumo!$B$10*CEILING(I57/100,1)</f>
        <v>4.5</v>
      </c>
      <c r="AC57" s="39" t="n">
        <f aca="false">Resumo!$B$12*CEILING(I57,1)</f>
        <v>1.68</v>
      </c>
      <c r="AD57" s="39" t="n">
        <f aca="false">Resumo!$B$14*CEILING(I57,1)</f>
        <v>12.6</v>
      </c>
      <c r="AE57" s="39" t="n">
        <f aca="false">SUM(X57:AD57)</f>
        <v>102.96497</v>
      </c>
      <c r="AF57" s="39" t="n">
        <f aca="false">AE57/(1-Resumo!$B$5)</f>
        <v>117.005647727273</v>
      </c>
      <c r="AG57" s="39" t="n">
        <f aca="false">AF57-W57</f>
        <v>36.6931954545454</v>
      </c>
      <c r="AH57" s="40" t="n">
        <f aca="false">AF57/W57-1</f>
        <v>0.456880526197129</v>
      </c>
      <c r="AI57" s="37" t="str">
        <f aca="false">IF(AF57&lt;W57,"SIM","NÃO")</f>
        <v>NÃO</v>
      </c>
      <c r="AJ57" s="37" t="n">
        <v>2</v>
      </c>
      <c r="AK57" s="37" t="n">
        <v>5</v>
      </c>
      <c r="AL57" s="37" t="s">
        <v>343</v>
      </c>
      <c r="AM57" s="39" t="n">
        <v>81.88</v>
      </c>
    </row>
    <row r="58" customFormat="false" ht="15" hidden="false" customHeight="false" outlineLevel="0" collapsed="false">
      <c r="A58" s="37" t="n">
        <v>355422105</v>
      </c>
      <c r="B58" s="38" t="n">
        <v>46210.1184375</v>
      </c>
      <c r="C58" s="37" t="s">
        <v>340</v>
      </c>
      <c r="D58" s="37" t="s">
        <v>406</v>
      </c>
      <c r="E58" s="37" t="n">
        <v>26087230</v>
      </c>
      <c r="F58" s="37" t="s">
        <v>162</v>
      </c>
      <c r="G58" s="37" t="s">
        <v>197</v>
      </c>
      <c r="H58" s="37" t="s">
        <v>184</v>
      </c>
      <c r="I58" s="37" t="n">
        <v>27.4</v>
      </c>
      <c r="J58" s="39" t="n">
        <v>324.99</v>
      </c>
      <c r="K58" s="37" t="s">
        <v>342</v>
      </c>
      <c r="L58" s="39" t="n">
        <v>100.94</v>
      </c>
      <c r="M58" s="39" t="n">
        <v>58.8</v>
      </c>
      <c r="N58" s="39" t="n">
        <f aca="false">J58*Resumo!$C$6</f>
        <v>0</v>
      </c>
      <c r="O58" s="39" t="n">
        <f aca="false">J58*Resumo!$C$7</f>
        <v>0.682479</v>
      </c>
      <c r="P58" s="39" t="n">
        <f aca="false">J58*Resumo!$C$8</f>
        <v>0.682479</v>
      </c>
      <c r="Q58" s="39" t="n">
        <f aca="false">Resumo!$C$10*CEILING(I58/100,1)</f>
        <v>1.05</v>
      </c>
      <c r="R58" s="39" t="n">
        <f aca="false">Resumo!$C$9</f>
        <v>0</v>
      </c>
      <c r="S58" s="39" t="n">
        <f aca="false">Resumo!$C$13</f>
        <v>13.55</v>
      </c>
      <c r="T58" s="39" t="n">
        <f aca="false">Resumo!$C$14*CEILING(I58,1)</f>
        <v>12.6</v>
      </c>
      <c r="U58" s="39" t="n">
        <f aca="false">SUM(M58:T58)*Resumo!$C$11</f>
        <v>0</v>
      </c>
      <c r="V58" s="39" t="n">
        <f aca="false">SUM(M58:U58)</f>
        <v>87.364958</v>
      </c>
      <c r="W58" s="39" t="n">
        <f aca="false">V58/(1-Resumo!$C$5)</f>
        <v>99.2783613636364</v>
      </c>
      <c r="X58" s="39" t="n">
        <v>82.21</v>
      </c>
      <c r="Y58" s="39" t="n">
        <f aca="false">J58*Resumo!$B$6</f>
        <v>0.32499</v>
      </c>
      <c r="Z58" s="39" t="n">
        <f aca="false">J58*Resumo!$B$7</f>
        <v>0.64998</v>
      </c>
      <c r="AA58" s="39" t="n">
        <f aca="false">Resumo!$B$9</f>
        <v>1</v>
      </c>
      <c r="AB58" s="39" t="n">
        <f aca="false">Resumo!$B$10*CEILING(I58/100,1)</f>
        <v>4.5</v>
      </c>
      <c r="AC58" s="39" t="n">
        <f aca="false">Resumo!$B$12*CEILING(I58,1)</f>
        <v>1.68</v>
      </c>
      <c r="AD58" s="39" t="n">
        <f aca="false">Resumo!$B$14*CEILING(I58,1)</f>
        <v>12.6</v>
      </c>
      <c r="AE58" s="39" t="n">
        <f aca="false">SUM(X58:AD58)</f>
        <v>102.96497</v>
      </c>
      <c r="AF58" s="39" t="n">
        <f aca="false">AE58/(1-Resumo!$B$5)</f>
        <v>117.005647727273</v>
      </c>
      <c r="AG58" s="39" t="n">
        <f aca="false">AF58-W58</f>
        <v>17.7272863636364</v>
      </c>
      <c r="AH58" s="40" t="n">
        <f aca="false">AF58/W58-1</f>
        <v>0.178561431918733</v>
      </c>
      <c r="AI58" s="37" t="str">
        <f aca="false">IF(AF58&lt;W58,"SIM","NÃO")</f>
        <v>NÃO</v>
      </c>
      <c r="AJ58" s="37" t="n">
        <v>2</v>
      </c>
      <c r="AK58" s="37" t="n">
        <v>5</v>
      </c>
      <c r="AL58" s="37" t="s">
        <v>343</v>
      </c>
      <c r="AM58" s="39" t="n">
        <v>100.94</v>
      </c>
    </row>
    <row r="59" customFormat="false" ht="15" hidden="false" customHeight="false" outlineLevel="0" collapsed="false">
      <c r="A59" s="37" t="n">
        <v>355528816</v>
      </c>
      <c r="B59" s="38" t="n">
        <v>46210.3415972222</v>
      </c>
      <c r="C59" s="37" t="s">
        <v>340</v>
      </c>
      <c r="D59" s="37" t="s">
        <v>407</v>
      </c>
      <c r="E59" s="37" t="n">
        <v>25710093</v>
      </c>
      <c r="F59" s="37" t="s">
        <v>170</v>
      </c>
      <c r="G59" s="37" t="s">
        <v>198</v>
      </c>
      <c r="H59" s="37" t="s">
        <v>185</v>
      </c>
      <c r="I59" s="37" t="n">
        <v>37.2</v>
      </c>
      <c r="J59" s="39" t="n">
        <v>360.99</v>
      </c>
      <c r="K59" s="37" t="s">
        <v>342</v>
      </c>
      <c r="L59" s="39" t="n">
        <v>121.98</v>
      </c>
      <c r="M59" s="39" t="n">
        <v>74.97</v>
      </c>
      <c r="N59" s="39" t="n">
        <f aca="false">J59*Resumo!$C$6</f>
        <v>0</v>
      </c>
      <c r="O59" s="39" t="n">
        <f aca="false">J59*Resumo!$C$7</f>
        <v>0.758079</v>
      </c>
      <c r="P59" s="39" t="n">
        <f aca="false">J59*Resumo!$C$8</f>
        <v>0.758079</v>
      </c>
      <c r="Q59" s="39" t="n">
        <f aca="false">Resumo!$C$10*CEILING(I59/100,1)</f>
        <v>1.05</v>
      </c>
      <c r="R59" s="39" t="n">
        <f aca="false">Resumo!$C$9</f>
        <v>0</v>
      </c>
      <c r="S59" s="39" t="n">
        <f aca="false">Resumo!$C$13</f>
        <v>13.55</v>
      </c>
      <c r="T59" s="39" t="n">
        <f aca="false">Resumo!$C$14*CEILING(I59,1)</f>
        <v>17.1</v>
      </c>
      <c r="U59" s="39" t="n">
        <f aca="false">SUM(M59:T59)*Resumo!$C$11</f>
        <v>0</v>
      </c>
      <c r="V59" s="39" t="n">
        <f aca="false">SUM(M59:U59)</f>
        <v>108.186158</v>
      </c>
      <c r="W59" s="39" t="n">
        <f aca="false">V59/(1-Resumo!$C$5)</f>
        <v>122.938815909091</v>
      </c>
      <c r="X59" s="39" t="n">
        <v>124.38</v>
      </c>
      <c r="Y59" s="39" t="n">
        <f aca="false">J59*Resumo!$B$6</f>
        <v>0.36099</v>
      </c>
      <c r="Z59" s="39" t="n">
        <f aca="false">J59*Resumo!$B$7</f>
        <v>0.72198</v>
      </c>
      <c r="AA59" s="39" t="n">
        <f aca="false">Resumo!$B$9</f>
        <v>1</v>
      </c>
      <c r="AB59" s="39" t="n">
        <f aca="false">Resumo!$B$10*CEILING(I59/100,1)</f>
        <v>4.5</v>
      </c>
      <c r="AC59" s="39" t="n">
        <f aca="false">Resumo!$B$12*CEILING(I59,1)</f>
        <v>2.28</v>
      </c>
      <c r="AD59" s="39" t="n">
        <f aca="false">Resumo!$B$14*CEILING(I59,1)</f>
        <v>17.1</v>
      </c>
      <c r="AE59" s="39" t="n">
        <f aca="false">SUM(X59:AD59)</f>
        <v>150.34297</v>
      </c>
      <c r="AF59" s="39" t="n">
        <f aca="false">AE59/(1-Resumo!$B$5)</f>
        <v>170.844284090909</v>
      </c>
      <c r="AG59" s="39" t="n">
        <f aca="false">AF59-W59</f>
        <v>47.9054681818182</v>
      </c>
      <c r="AH59" s="40" t="n">
        <f aca="false">AF59/W59-1</f>
        <v>0.389669184850801</v>
      </c>
      <c r="AI59" s="37" t="str">
        <f aca="false">IF(AF59&lt;W59,"SIM","NÃO")</f>
        <v>NÃO</v>
      </c>
      <c r="AJ59" s="37" t="n">
        <v>13</v>
      </c>
      <c r="AK59" s="37" t="n">
        <v>8</v>
      </c>
      <c r="AL59" s="37" t="s">
        <v>343</v>
      </c>
      <c r="AM59" s="39" t="n">
        <v>121.98</v>
      </c>
    </row>
    <row r="60" customFormat="false" ht="15" hidden="false" customHeight="false" outlineLevel="0" collapsed="false">
      <c r="A60" s="37" t="n">
        <v>355545763</v>
      </c>
      <c r="B60" s="38" t="n">
        <v>46210.3669907407</v>
      </c>
      <c r="C60" s="37" t="s">
        <v>345</v>
      </c>
      <c r="D60" s="37" t="s">
        <v>408</v>
      </c>
      <c r="E60" s="37" t="n">
        <v>21032060</v>
      </c>
      <c r="F60" s="37" t="s">
        <v>159</v>
      </c>
      <c r="G60" s="37" t="s">
        <v>196</v>
      </c>
      <c r="H60" s="37" t="s">
        <v>186</v>
      </c>
      <c r="I60" s="37" t="n">
        <v>43.5</v>
      </c>
      <c r="J60" s="39" t="n">
        <v>719.98</v>
      </c>
      <c r="K60" s="37" t="s">
        <v>342</v>
      </c>
      <c r="L60" s="39" t="n">
        <v>104.03</v>
      </c>
      <c r="M60" s="39" t="n">
        <v>53.55</v>
      </c>
      <c r="N60" s="39" t="n">
        <f aca="false">J60*Resumo!$C$6</f>
        <v>0</v>
      </c>
      <c r="O60" s="39" t="n">
        <f aca="false">J60*Resumo!$C$7</f>
        <v>1.511958</v>
      </c>
      <c r="P60" s="39" t="n">
        <f aca="false">J60*Resumo!$C$8</f>
        <v>1.511958</v>
      </c>
      <c r="Q60" s="39" t="n">
        <f aca="false">Resumo!$C$10*CEILING(I60/100,1)</f>
        <v>1.05</v>
      </c>
      <c r="R60" s="39" t="n">
        <f aca="false">Resumo!$C$9</f>
        <v>0</v>
      </c>
      <c r="S60" s="39" t="n">
        <f aca="false">Resumo!$C$13</f>
        <v>13.55</v>
      </c>
      <c r="T60" s="39" t="n">
        <f aca="false">Resumo!$C$14*CEILING(I60,1)</f>
        <v>19.8</v>
      </c>
      <c r="U60" s="39" t="n">
        <f aca="false">SUM(M60:T60)*Resumo!$C$11</f>
        <v>0</v>
      </c>
      <c r="V60" s="39" t="n">
        <f aca="false">SUM(M60:U60)</f>
        <v>90.973916</v>
      </c>
      <c r="W60" s="39" t="n">
        <f aca="false">V60/(1-Resumo!$C$5)</f>
        <v>103.37945</v>
      </c>
      <c r="X60" s="39" t="n">
        <v>93.97</v>
      </c>
      <c r="Y60" s="39" t="n">
        <f aca="false">J60*Resumo!$B$6</f>
        <v>0.71998</v>
      </c>
      <c r="Z60" s="39" t="n">
        <f aca="false">J60*Resumo!$B$7</f>
        <v>1.43996</v>
      </c>
      <c r="AA60" s="39" t="n">
        <f aca="false">Resumo!$B$9</f>
        <v>1</v>
      </c>
      <c r="AB60" s="39" t="n">
        <f aca="false">Resumo!$B$10*CEILING(I60/100,1)</f>
        <v>4.5</v>
      </c>
      <c r="AC60" s="39" t="n">
        <f aca="false">Resumo!$B$12*CEILING(I60,1)</f>
        <v>2.64</v>
      </c>
      <c r="AD60" s="39" t="n">
        <f aca="false">Resumo!$B$14*CEILING(I60,1)</f>
        <v>19.8</v>
      </c>
      <c r="AE60" s="39" t="n">
        <f aca="false">SUM(X60:AD60)</f>
        <v>124.06994</v>
      </c>
      <c r="AF60" s="39" t="n">
        <f aca="false">AE60/(1-Resumo!$B$5)</f>
        <v>140.988568181818</v>
      </c>
      <c r="AG60" s="39" t="n">
        <f aca="false">AF60-W60</f>
        <v>37.6091181818182</v>
      </c>
      <c r="AH60" s="40" t="n">
        <f aca="false">AF60/W60-1</f>
        <v>0.363796849197962</v>
      </c>
      <c r="AI60" s="37" t="str">
        <f aca="false">IF(AF60&lt;W60,"SIM","NÃO")</f>
        <v>NÃO</v>
      </c>
      <c r="AJ60" s="37" t="n">
        <v>2</v>
      </c>
      <c r="AK60" s="37" t="n">
        <v>5</v>
      </c>
      <c r="AL60" s="37" t="s">
        <v>343</v>
      </c>
      <c r="AM60" s="39" t="n">
        <v>104.04</v>
      </c>
    </row>
    <row r="61" customFormat="false" ht="15" hidden="false" customHeight="false" outlineLevel="0" collapsed="false">
      <c r="A61" s="37" t="n">
        <v>355590261</v>
      </c>
      <c r="B61" s="38" t="n">
        <v>46210.4490740741</v>
      </c>
      <c r="C61" s="37" t="s">
        <v>361</v>
      </c>
      <c r="D61" s="37" t="s">
        <v>409</v>
      </c>
      <c r="E61" s="37" t="n">
        <v>22733010</v>
      </c>
      <c r="F61" s="37" t="s">
        <v>159</v>
      </c>
      <c r="G61" s="37" t="s">
        <v>196</v>
      </c>
      <c r="H61" s="37" t="s">
        <v>186</v>
      </c>
      <c r="I61" s="37" t="n">
        <v>49.6</v>
      </c>
      <c r="J61" s="39" t="n">
        <v>799.99</v>
      </c>
      <c r="K61" s="37" t="s">
        <v>342</v>
      </c>
      <c r="L61" s="39" t="n">
        <v>104.42</v>
      </c>
      <c r="M61" s="39" t="n">
        <v>53.55</v>
      </c>
      <c r="N61" s="39" t="n">
        <f aca="false">J61*Resumo!$C$6</f>
        <v>0</v>
      </c>
      <c r="O61" s="39" t="n">
        <f aca="false">J61*Resumo!$C$7</f>
        <v>1.679979</v>
      </c>
      <c r="P61" s="39" t="n">
        <f aca="false">J61*Resumo!$C$8</f>
        <v>1.679979</v>
      </c>
      <c r="Q61" s="39" t="n">
        <f aca="false">Resumo!$C$10*CEILING(I61/100,1)</f>
        <v>1.05</v>
      </c>
      <c r="R61" s="39" t="n">
        <f aca="false">Resumo!$C$9</f>
        <v>0</v>
      </c>
      <c r="S61" s="39" t="n">
        <f aca="false">Resumo!$C$13</f>
        <v>13.55</v>
      </c>
      <c r="T61" s="39" t="n">
        <f aca="false">Resumo!$C$14*CEILING(I61,1)</f>
        <v>22.5</v>
      </c>
      <c r="U61" s="39" t="n">
        <f aca="false">SUM(M61:T61)*Resumo!$C$11</f>
        <v>0</v>
      </c>
      <c r="V61" s="39" t="n">
        <f aca="false">SUM(M61:U61)</f>
        <v>94.009958</v>
      </c>
      <c r="W61" s="39" t="n">
        <f aca="false">V61/(1-Resumo!$C$5)</f>
        <v>106.829497727273</v>
      </c>
      <c r="X61" s="39" t="n">
        <v>93.97</v>
      </c>
      <c r="Y61" s="39" t="n">
        <f aca="false">J61*Resumo!$B$6</f>
        <v>0.79999</v>
      </c>
      <c r="Z61" s="39" t="n">
        <f aca="false">J61*Resumo!$B$7</f>
        <v>1.59998</v>
      </c>
      <c r="AA61" s="39" t="n">
        <f aca="false">Resumo!$B$9</f>
        <v>1</v>
      </c>
      <c r="AB61" s="39" t="n">
        <f aca="false">Resumo!$B$10*CEILING(I61/100,1)</f>
        <v>4.5</v>
      </c>
      <c r="AC61" s="39" t="n">
        <f aca="false">Resumo!$B$12*CEILING(I61,1)</f>
        <v>3</v>
      </c>
      <c r="AD61" s="39" t="n">
        <f aca="false">Resumo!$B$14*CEILING(I61,1)</f>
        <v>22.5</v>
      </c>
      <c r="AE61" s="39" t="n">
        <f aca="false">SUM(X61:AD61)</f>
        <v>127.36997</v>
      </c>
      <c r="AF61" s="39" t="n">
        <f aca="false">AE61/(1-Resumo!$B$5)</f>
        <v>144.738602272727</v>
      </c>
      <c r="AG61" s="39" t="n">
        <f aca="false">AF61-W61</f>
        <v>37.9091045454545</v>
      </c>
      <c r="AH61" s="40" t="n">
        <f aca="false">AF61/W61-1</f>
        <v>0.35485615257907</v>
      </c>
      <c r="AI61" s="37" t="str">
        <f aca="false">IF(AF61&lt;W61,"SIM","NÃO")</f>
        <v>NÃO</v>
      </c>
      <c r="AJ61" s="37" t="n">
        <v>2</v>
      </c>
      <c r="AK61" s="37" t="n">
        <v>5</v>
      </c>
      <c r="AL61" s="37" t="s">
        <v>343</v>
      </c>
      <c r="AM61" s="39" t="n">
        <v>104.42</v>
      </c>
    </row>
    <row r="62" customFormat="false" ht="15" hidden="false" customHeight="false" outlineLevel="0" collapsed="false">
      <c r="A62" s="37" t="n">
        <v>355619727</v>
      </c>
      <c r="B62" s="38" t="n">
        <v>46210.4503472222</v>
      </c>
      <c r="C62" s="37" t="s">
        <v>340</v>
      </c>
      <c r="D62" s="37" t="s">
        <v>410</v>
      </c>
      <c r="E62" s="37" t="n">
        <v>20760020</v>
      </c>
      <c r="F62" s="37" t="s">
        <v>159</v>
      </c>
      <c r="G62" s="37" t="s">
        <v>196</v>
      </c>
      <c r="H62" s="37" t="s">
        <v>192</v>
      </c>
      <c r="I62" s="37" t="n">
        <v>124.2</v>
      </c>
      <c r="J62" s="39" t="n">
        <v>1599.99</v>
      </c>
      <c r="K62" s="37" t="s">
        <v>342</v>
      </c>
      <c r="L62" s="39" t="n">
        <v>233.95</v>
      </c>
      <c r="M62" s="39" t="n">
        <v>120.59</v>
      </c>
      <c r="N62" s="39" t="n">
        <f aca="false">J62*Resumo!$C$6</f>
        <v>0</v>
      </c>
      <c r="O62" s="39" t="n">
        <f aca="false">J62*Resumo!$C$7</f>
        <v>3.359979</v>
      </c>
      <c r="P62" s="39" t="n">
        <f aca="false">J62*Resumo!$C$8</f>
        <v>3.359979</v>
      </c>
      <c r="Q62" s="39" t="n">
        <f aca="false">Resumo!$C$10*CEILING(I62/100,1)</f>
        <v>2.1</v>
      </c>
      <c r="R62" s="39" t="n">
        <f aca="false">Resumo!$C$9</f>
        <v>0</v>
      </c>
      <c r="S62" s="39" t="n">
        <f aca="false">Resumo!$C$13</f>
        <v>13.55</v>
      </c>
      <c r="T62" s="39" t="n">
        <f aca="false">Resumo!$C$14*CEILING(I62,1)</f>
        <v>56.25</v>
      </c>
      <c r="U62" s="39" t="n">
        <f aca="false">SUM(M62:T62)*Resumo!$C$11</f>
        <v>0</v>
      </c>
      <c r="V62" s="39" t="n">
        <f aca="false">SUM(M62:U62)</f>
        <v>199.209958</v>
      </c>
      <c r="W62" s="39" t="n">
        <f aca="false">V62/(1-Resumo!$C$5)</f>
        <v>226.374952272727</v>
      </c>
      <c r="X62" s="39" t="n">
        <v>239.25</v>
      </c>
      <c r="Y62" s="39" t="n">
        <f aca="false">J62*Resumo!$B$6</f>
        <v>1.59999</v>
      </c>
      <c r="Z62" s="39" t="n">
        <f aca="false">J62*Resumo!$B$7</f>
        <v>3.19998</v>
      </c>
      <c r="AA62" s="39" t="n">
        <f aca="false">Resumo!$B$9</f>
        <v>1</v>
      </c>
      <c r="AB62" s="39" t="n">
        <f aca="false">Resumo!$B$10*CEILING(I62/100,1)</f>
        <v>9</v>
      </c>
      <c r="AC62" s="39" t="n">
        <f aca="false">Resumo!$B$12*CEILING(I62,1)</f>
        <v>7.5</v>
      </c>
      <c r="AD62" s="39" t="n">
        <f aca="false">Resumo!$B$14*CEILING(I62,1)</f>
        <v>56.25</v>
      </c>
      <c r="AE62" s="39" t="n">
        <f aca="false">SUM(X62:AD62)</f>
        <v>317.79997</v>
      </c>
      <c r="AF62" s="39" t="n">
        <f aca="false">AE62/(1-Resumo!$B$5)</f>
        <v>361.136329545455</v>
      </c>
      <c r="AG62" s="39" t="n">
        <f aca="false">AF62-W62</f>
        <v>134.761377272727</v>
      </c>
      <c r="AH62" s="40" t="n">
        <f aca="false">AF62/W62-1</f>
        <v>0.59530162643777</v>
      </c>
      <c r="AI62" s="37" t="str">
        <f aca="false">IF(AF62&lt;W62,"SIM","NÃO")</f>
        <v>NÃO</v>
      </c>
      <c r="AJ62" s="37" t="n">
        <v>2</v>
      </c>
      <c r="AK62" s="37" t="n">
        <v>5</v>
      </c>
      <c r="AL62" s="37" t="s">
        <v>343</v>
      </c>
      <c r="AM62" s="39" t="n">
        <v>233.96</v>
      </c>
    </row>
    <row r="63" customFormat="false" ht="15" hidden="false" customHeight="false" outlineLevel="0" collapsed="false">
      <c r="A63" s="37" t="n">
        <v>355638083</v>
      </c>
      <c r="B63" s="38" t="n">
        <v>46210.4725231482</v>
      </c>
      <c r="C63" s="37" t="s">
        <v>340</v>
      </c>
      <c r="D63" s="37" t="s">
        <v>411</v>
      </c>
      <c r="E63" s="37" t="n">
        <v>22795135</v>
      </c>
      <c r="F63" s="37" t="s">
        <v>159</v>
      </c>
      <c r="G63" s="37" t="s">
        <v>196</v>
      </c>
      <c r="H63" s="37" t="s">
        <v>188</v>
      </c>
      <c r="I63" s="37" t="n">
        <v>62.8</v>
      </c>
      <c r="J63" s="39" t="n">
        <v>754.99</v>
      </c>
      <c r="K63" s="37" t="s">
        <v>342</v>
      </c>
      <c r="L63" s="39" t="n">
        <v>124.83</v>
      </c>
      <c r="M63" s="39" t="n">
        <v>63.21</v>
      </c>
      <c r="N63" s="39" t="n">
        <f aca="false">J63*Resumo!$C$6</f>
        <v>0</v>
      </c>
      <c r="O63" s="39" t="n">
        <f aca="false">J63*Resumo!$C$7</f>
        <v>1.585479</v>
      </c>
      <c r="P63" s="39" t="n">
        <f aca="false">J63*Resumo!$C$8</f>
        <v>1.585479</v>
      </c>
      <c r="Q63" s="39" t="n">
        <f aca="false">Resumo!$C$10*CEILING(I63/100,1)</f>
        <v>1.05</v>
      </c>
      <c r="R63" s="39" t="n">
        <f aca="false">Resumo!$C$9</f>
        <v>0</v>
      </c>
      <c r="S63" s="39" t="n">
        <f aca="false">Resumo!$C$13</f>
        <v>13.55</v>
      </c>
      <c r="T63" s="39" t="n">
        <f aca="false">Resumo!$C$14*CEILING(I63,1)</f>
        <v>28.35</v>
      </c>
      <c r="U63" s="39" t="n">
        <f aca="false">SUM(M63:T63)*Resumo!$C$11</f>
        <v>0</v>
      </c>
      <c r="V63" s="39" t="n">
        <f aca="false">SUM(M63:U63)</f>
        <v>109.330958</v>
      </c>
      <c r="W63" s="39" t="n">
        <f aca="false">V63/(1-Resumo!$C$5)</f>
        <v>124.239725</v>
      </c>
      <c r="X63" s="39" t="n">
        <v>131.02</v>
      </c>
      <c r="Y63" s="39" t="n">
        <f aca="false">J63*Resumo!$B$6</f>
        <v>0.75499</v>
      </c>
      <c r="Z63" s="39" t="n">
        <f aca="false">J63*Resumo!$B$7</f>
        <v>1.50998</v>
      </c>
      <c r="AA63" s="39" t="n">
        <f aca="false">Resumo!$B$9</f>
        <v>1</v>
      </c>
      <c r="AB63" s="39" t="n">
        <f aca="false">Resumo!$B$10*CEILING(I63/100,1)</f>
        <v>4.5</v>
      </c>
      <c r="AC63" s="39" t="n">
        <f aca="false">Resumo!$B$12*CEILING(I63,1)</f>
        <v>3.78</v>
      </c>
      <c r="AD63" s="39" t="n">
        <f aca="false">Resumo!$B$14*CEILING(I63,1)</f>
        <v>28.35</v>
      </c>
      <c r="AE63" s="39" t="n">
        <f aca="false">SUM(X63:AD63)</f>
        <v>170.91497</v>
      </c>
      <c r="AF63" s="39" t="n">
        <f aca="false">AE63/(1-Resumo!$B$5)</f>
        <v>194.221556818182</v>
      </c>
      <c r="AG63" s="39" t="n">
        <f aca="false">AF63-W63</f>
        <v>69.9818318181818</v>
      </c>
      <c r="AH63" s="40" t="n">
        <f aca="false">AF63/W63-1</f>
        <v>0.563280640054393</v>
      </c>
      <c r="AI63" s="37" t="str">
        <f aca="false">IF(AF63&lt;W63,"SIM","NÃO")</f>
        <v>NÃO</v>
      </c>
      <c r="AJ63" s="37" t="n">
        <v>2</v>
      </c>
      <c r="AK63" s="37" t="n">
        <v>5</v>
      </c>
      <c r="AL63" s="37" t="s">
        <v>343</v>
      </c>
      <c r="AM63" s="39" t="n">
        <v>124.83</v>
      </c>
    </row>
    <row r="64" customFormat="false" ht="15" hidden="false" customHeight="false" outlineLevel="0" collapsed="false">
      <c r="A64" s="37" t="n">
        <v>355650394</v>
      </c>
      <c r="B64" s="38" t="n">
        <v>46210.4872569444</v>
      </c>
      <c r="C64" s="37" t="s">
        <v>340</v>
      </c>
      <c r="D64" s="37" t="s">
        <v>344</v>
      </c>
      <c r="E64" s="37" t="n">
        <v>21032000</v>
      </c>
      <c r="F64" s="37" t="s">
        <v>159</v>
      </c>
      <c r="G64" s="37" t="s">
        <v>196</v>
      </c>
      <c r="H64" s="37" t="s">
        <v>184</v>
      </c>
      <c r="I64" s="37" t="n">
        <v>27.4</v>
      </c>
      <c r="J64" s="39" t="n">
        <v>324.99</v>
      </c>
      <c r="K64" s="37" t="s">
        <v>342</v>
      </c>
      <c r="L64" s="39" t="n">
        <v>81.89</v>
      </c>
      <c r="M64" s="39" t="n">
        <v>42.11</v>
      </c>
      <c r="N64" s="39" t="n">
        <f aca="false">J64*Resumo!$C$6</f>
        <v>0</v>
      </c>
      <c r="O64" s="39" t="n">
        <f aca="false">J64*Resumo!$C$7</f>
        <v>0.682479</v>
      </c>
      <c r="P64" s="39" t="n">
        <f aca="false">J64*Resumo!$C$8</f>
        <v>0.682479</v>
      </c>
      <c r="Q64" s="39" t="n">
        <f aca="false">Resumo!$C$10*CEILING(I64/100,1)</f>
        <v>1.05</v>
      </c>
      <c r="R64" s="39" t="n">
        <f aca="false">Resumo!$C$9</f>
        <v>0</v>
      </c>
      <c r="S64" s="39" t="n">
        <f aca="false">Resumo!$C$13</f>
        <v>13.55</v>
      </c>
      <c r="T64" s="39" t="n">
        <f aca="false">Resumo!$C$14*CEILING(I64,1)</f>
        <v>12.6</v>
      </c>
      <c r="U64" s="39" t="n">
        <f aca="false">SUM(M64:T64)*Resumo!$C$11</f>
        <v>0</v>
      </c>
      <c r="V64" s="39" t="n">
        <f aca="false">SUM(M64:U64)</f>
        <v>70.674958</v>
      </c>
      <c r="W64" s="39" t="n">
        <f aca="false">V64/(1-Resumo!$C$5)</f>
        <v>80.3124522727273</v>
      </c>
      <c r="X64" s="39" t="n">
        <v>82.21</v>
      </c>
      <c r="Y64" s="39" t="n">
        <f aca="false">J64*Resumo!$B$6</f>
        <v>0.32499</v>
      </c>
      <c r="Z64" s="39" t="n">
        <f aca="false">J64*Resumo!$B$7</f>
        <v>0.64998</v>
      </c>
      <c r="AA64" s="39" t="n">
        <f aca="false">Resumo!$B$9</f>
        <v>1</v>
      </c>
      <c r="AB64" s="39" t="n">
        <f aca="false">Resumo!$B$10*CEILING(I64/100,1)</f>
        <v>4.5</v>
      </c>
      <c r="AC64" s="39" t="n">
        <f aca="false">Resumo!$B$12*CEILING(I64,1)</f>
        <v>1.68</v>
      </c>
      <c r="AD64" s="39" t="n">
        <f aca="false">Resumo!$B$14*CEILING(I64,1)</f>
        <v>12.6</v>
      </c>
      <c r="AE64" s="39" t="n">
        <f aca="false">SUM(X64:AD64)</f>
        <v>102.96497</v>
      </c>
      <c r="AF64" s="39" t="n">
        <f aca="false">AE64/(1-Resumo!$B$5)</f>
        <v>117.005647727273</v>
      </c>
      <c r="AG64" s="39" t="n">
        <f aca="false">AF64-W64</f>
        <v>36.6931954545454</v>
      </c>
      <c r="AH64" s="40" t="n">
        <f aca="false">AF64/W64-1</f>
        <v>0.456880526197129</v>
      </c>
      <c r="AI64" s="37" t="str">
        <f aca="false">IF(AF64&lt;W64,"SIM","NÃO")</f>
        <v>NÃO</v>
      </c>
      <c r="AJ64" s="37" t="n">
        <v>2</v>
      </c>
      <c r="AK64" s="37" t="n">
        <v>5</v>
      </c>
      <c r="AL64" s="37" t="s">
        <v>343</v>
      </c>
      <c r="AM64" s="39" t="n">
        <v>81.88</v>
      </c>
    </row>
    <row r="65" customFormat="false" ht="15" hidden="false" customHeight="false" outlineLevel="0" collapsed="false">
      <c r="A65" s="37" t="n">
        <v>355698364</v>
      </c>
      <c r="B65" s="38" t="n">
        <v>46210.5409259259</v>
      </c>
      <c r="C65" s="37" t="s">
        <v>340</v>
      </c>
      <c r="D65" s="37" t="s">
        <v>412</v>
      </c>
      <c r="E65" s="37" t="n">
        <v>21715195</v>
      </c>
      <c r="F65" s="37" t="s">
        <v>159</v>
      </c>
      <c r="G65" s="37" t="s">
        <v>196</v>
      </c>
      <c r="H65" s="37" t="s">
        <v>185</v>
      </c>
      <c r="I65" s="37" t="n">
        <v>38.6</v>
      </c>
      <c r="J65" s="39" t="n">
        <v>533.99</v>
      </c>
      <c r="K65" s="37" t="s">
        <v>342</v>
      </c>
      <c r="L65" s="39" t="n">
        <v>92.42</v>
      </c>
      <c r="M65" s="39" t="n">
        <v>48.35</v>
      </c>
      <c r="N65" s="39" t="n">
        <f aca="false">J65*Resumo!$C$6</f>
        <v>0</v>
      </c>
      <c r="O65" s="39" t="n">
        <f aca="false">J65*Resumo!$C$7</f>
        <v>1.121379</v>
      </c>
      <c r="P65" s="39" t="n">
        <f aca="false">J65*Resumo!$C$8</f>
        <v>1.121379</v>
      </c>
      <c r="Q65" s="39" t="n">
        <f aca="false">Resumo!$C$10*CEILING(I65/100,1)</f>
        <v>1.05</v>
      </c>
      <c r="R65" s="39" t="n">
        <f aca="false">Resumo!$C$9</f>
        <v>0</v>
      </c>
      <c r="S65" s="39" t="n">
        <f aca="false">Resumo!$C$13</f>
        <v>13.55</v>
      </c>
      <c r="T65" s="39" t="n">
        <f aca="false">Resumo!$C$14*CEILING(I65,1)</f>
        <v>17.55</v>
      </c>
      <c r="U65" s="39" t="n">
        <f aca="false">SUM(M65:T65)*Resumo!$C$11</f>
        <v>0</v>
      </c>
      <c r="V65" s="39" t="n">
        <f aca="false">SUM(M65:U65)</f>
        <v>82.742758</v>
      </c>
      <c r="W65" s="39" t="n">
        <f aca="false">V65/(1-Resumo!$C$5)</f>
        <v>94.0258613636364</v>
      </c>
      <c r="X65" s="39" t="n">
        <v>93.97</v>
      </c>
      <c r="Y65" s="39" t="n">
        <f aca="false">J65*Resumo!$B$6</f>
        <v>0.53399</v>
      </c>
      <c r="Z65" s="39" t="n">
        <f aca="false">J65*Resumo!$B$7</f>
        <v>1.06798</v>
      </c>
      <c r="AA65" s="39" t="n">
        <f aca="false">Resumo!$B$9</f>
        <v>1</v>
      </c>
      <c r="AB65" s="39" t="n">
        <f aca="false">Resumo!$B$10*CEILING(I65/100,1)</f>
        <v>4.5</v>
      </c>
      <c r="AC65" s="39" t="n">
        <f aca="false">Resumo!$B$12*CEILING(I65,1)</f>
        <v>2.34</v>
      </c>
      <c r="AD65" s="39" t="n">
        <f aca="false">Resumo!$B$14*CEILING(I65,1)</f>
        <v>17.55</v>
      </c>
      <c r="AE65" s="39" t="n">
        <f aca="false">SUM(X65:AD65)</f>
        <v>120.96197</v>
      </c>
      <c r="AF65" s="39" t="n">
        <f aca="false">AE65/(1-Resumo!$B$5)</f>
        <v>137.456784090909</v>
      </c>
      <c r="AG65" s="39" t="n">
        <f aca="false">AF65-W65</f>
        <v>43.4309227272727</v>
      </c>
      <c r="AH65" s="40" t="n">
        <f aca="false">AF65/W65-1</f>
        <v>0.461904013400182</v>
      </c>
      <c r="AI65" s="37" t="str">
        <f aca="false">IF(AF65&lt;W65,"SIM","NÃO")</f>
        <v>NÃO</v>
      </c>
      <c r="AJ65" s="37" t="n">
        <v>2</v>
      </c>
      <c r="AK65" s="37" t="n">
        <v>5</v>
      </c>
      <c r="AL65" s="37" t="s">
        <v>343</v>
      </c>
      <c r="AM65" s="39" t="n">
        <v>92.42</v>
      </c>
    </row>
    <row r="66" customFormat="false" ht="15" hidden="false" customHeight="false" outlineLevel="0" collapsed="false">
      <c r="A66" s="37" t="n">
        <v>355720491</v>
      </c>
      <c r="B66" s="38" t="n">
        <v>46210.5655439815</v>
      </c>
      <c r="C66" s="37" t="s">
        <v>345</v>
      </c>
      <c r="D66" s="37" t="s">
        <v>413</v>
      </c>
      <c r="E66" s="37" t="n">
        <v>20211220</v>
      </c>
      <c r="F66" s="37" t="s">
        <v>159</v>
      </c>
      <c r="G66" s="37" t="s">
        <v>196</v>
      </c>
      <c r="H66" s="37" t="s">
        <v>192</v>
      </c>
      <c r="I66" s="37" t="n">
        <v>124.2</v>
      </c>
      <c r="J66" s="39" t="n">
        <v>1589.99</v>
      </c>
      <c r="K66" s="37" t="s">
        <v>342</v>
      </c>
      <c r="L66" s="39" t="n">
        <v>233.91</v>
      </c>
      <c r="M66" s="39" t="n">
        <v>120.59</v>
      </c>
      <c r="N66" s="39" t="n">
        <f aca="false">J66*Resumo!$C$6</f>
        <v>0</v>
      </c>
      <c r="O66" s="39" t="n">
        <f aca="false">J66*Resumo!$C$7</f>
        <v>3.338979</v>
      </c>
      <c r="P66" s="39" t="n">
        <f aca="false">J66*Resumo!$C$8</f>
        <v>3.338979</v>
      </c>
      <c r="Q66" s="39" t="n">
        <f aca="false">Resumo!$C$10*CEILING(I66/100,1)</f>
        <v>2.1</v>
      </c>
      <c r="R66" s="39" t="n">
        <f aca="false">Resumo!$C$9</f>
        <v>0</v>
      </c>
      <c r="S66" s="39" t="n">
        <f aca="false">Resumo!$C$13</f>
        <v>13.55</v>
      </c>
      <c r="T66" s="39" t="n">
        <f aca="false">Resumo!$C$14*CEILING(I66,1)</f>
        <v>56.25</v>
      </c>
      <c r="U66" s="39" t="n">
        <f aca="false">SUM(M66:T66)*Resumo!$C$11</f>
        <v>0</v>
      </c>
      <c r="V66" s="39" t="n">
        <f aca="false">SUM(M66:U66)</f>
        <v>199.167958</v>
      </c>
      <c r="W66" s="39" t="n">
        <f aca="false">V66/(1-Resumo!$C$5)</f>
        <v>226.327225</v>
      </c>
      <c r="X66" s="39" t="n">
        <v>239.25</v>
      </c>
      <c r="Y66" s="39" t="n">
        <f aca="false">J66*Resumo!$B$6</f>
        <v>1.58999</v>
      </c>
      <c r="Z66" s="39" t="n">
        <f aca="false">J66*Resumo!$B$7</f>
        <v>3.17998</v>
      </c>
      <c r="AA66" s="39" t="n">
        <f aca="false">Resumo!$B$9</f>
        <v>1</v>
      </c>
      <c r="AB66" s="39" t="n">
        <f aca="false">Resumo!$B$10*CEILING(I66/100,1)</f>
        <v>9</v>
      </c>
      <c r="AC66" s="39" t="n">
        <f aca="false">Resumo!$B$12*CEILING(I66,1)</f>
        <v>7.5</v>
      </c>
      <c r="AD66" s="39" t="n">
        <f aca="false">Resumo!$B$14*CEILING(I66,1)</f>
        <v>56.25</v>
      </c>
      <c r="AE66" s="39" t="n">
        <f aca="false">SUM(X66:AD66)</f>
        <v>317.76997</v>
      </c>
      <c r="AF66" s="39" t="n">
        <f aca="false">AE66/(1-Resumo!$B$5)</f>
        <v>361.102238636364</v>
      </c>
      <c r="AG66" s="39" t="n">
        <f aca="false">AF66-W66</f>
        <v>134.775013636364</v>
      </c>
      <c r="AH66" s="40" t="n">
        <f aca="false">AF66/W66-1</f>
        <v>0.595487412689143</v>
      </c>
      <c r="AI66" s="37" t="str">
        <f aca="false">IF(AF66&lt;W66,"SIM","NÃO")</f>
        <v>NÃO</v>
      </c>
      <c r="AJ66" s="37" t="n">
        <v>2</v>
      </c>
      <c r="AK66" s="37" t="n">
        <v>5</v>
      </c>
      <c r="AL66" s="37" t="s">
        <v>343</v>
      </c>
      <c r="AM66" s="39" t="n">
        <v>233.91</v>
      </c>
    </row>
    <row r="67" customFormat="false" ht="15" hidden="false" customHeight="false" outlineLevel="0" collapsed="false">
      <c r="A67" s="37" t="n">
        <v>355770761</v>
      </c>
      <c r="B67" s="38" t="n">
        <v>46210.6278819444</v>
      </c>
      <c r="C67" s="37" t="s">
        <v>340</v>
      </c>
      <c r="D67" s="37" t="s">
        <v>414</v>
      </c>
      <c r="E67" s="37" t="n">
        <v>24110310</v>
      </c>
      <c r="F67" s="37" t="s">
        <v>163</v>
      </c>
      <c r="G67" s="37" t="s">
        <v>197</v>
      </c>
      <c r="H67" s="37" t="s">
        <v>186</v>
      </c>
      <c r="I67" s="37" t="n">
        <v>46.8</v>
      </c>
      <c r="J67" s="39" t="n">
        <v>506.99</v>
      </c>
      <c r="K67" s="37" t="s">
        <v>342</v>
      </c>
      <c r="L67" s="39" t="n">
        <v>116.49</v>
      </c>
      <c r="M67" s="39" t="n">
        <v>65.36</v>
      </c>
      <c r="N67" s="39" t="n">
        <f aca="false">J67*Resumo!$C$6</f>
        <v>0</v>
      </c>
      <c r="O67" s="39" t="n">
        <f aca="false">J67*Resumo!$C$7</f>
        <v>1.064679</v>
      </c>
      <c r="P67" s="39" t="n">
        <f aca="false">J67*Resumo!$C$8</f>
        <v>1.064679</v>
      </c>
      <c r="Q67" s="39" t="n">
        <f aca="false">Resumo!$C$10*CEILING(I67/100,1)</f>
        <v>1.05</v>
      </c>
      <c r="R67" s="39" t="n">
        <f aca="false">Resumo!$C$9</f>
        <v>0</v>
      </c>
      <c r="S67" s="39" t="n">
        <f aca="false">Resumo!$C$13</f>
        <v>13.55</v>
      </c>
      <c r="T67" s="39" t="n">
        <f aca="false">Resumo!$C$14*CEILING(I67,1)</f>
        <v>21.15</v>
      </c>
      <c r="U67" s="39" t="n">
        <f aca="false">SUM(M67:T67)*Resumo!$C$11</f>
        <v>0</v>
      </c>
      <c r="V67" s="39" t="n">
        <f aca="false">SUM(M67:U67)</f>
        <v>103.239358</v>
      </c>
      <c r="W67" s="39" t="n">
        <f aca="false">V67/(1-Resumo!$C$5)</f>
        <v>117.317452272727</v>
      </c>
      <c r="X67" s="39" t="n">
        <v>114.95</v>
      </c>
      <c r="Y67" s="39" t="n">
        <f aca="false">J67*Resumo!$B$6</f>
        <v>0.50699</v>
      </c>
      <c r="Z67" s="39" t="n">
        <f aca="false">J67*Resumo!$B$7</f>
        <v>1.01398</v>
      </c>
      <c r="AA67" s="39" t="n">
        <f aca="false">Resumo!$B$9</f>
        <v>1</v>
      </c>
      <c r="AB67" s="39" t="n">
        <f aca="false">Resumo!$B$10*CEILING(I67/100,1)</f>
        <v>4.5</v>
      </c>
      <c r="AC67" s="39" t="n">
        <f aca="false">Resumo!$B$12*CEILING(I67,1)</f>
        <v>2.82</v>
      </c>
      <c r="AD67" s="39" t="n">
        <f aca="false">Resumo!$B$14*CEILING(I67,1)</f>
        <v>21.15</v>
      </c>
      <c r="AE67" s="39" t="n">
        <f aca="false">SUM(X67:AD67)</f>
        <v>145.94097</v>
      </c>
      <c r="AF67" s="39" t="n">
        <f aca="false">AE67/(1-Resumo!$B$5)</f>
        <v>165.842011363636</v>
      </c>
      <c r="AG67" s="39" t="n">
        <f aca="false">AF67-W67</f>
        <v>48.5245590909091</v>
      </c>
      <c r="AH67" s="40" t="n">
        <f aca="false">AF67/W67-1</f>
        <v>0.413617566277388</v>
      </c>
      <c r="AI67" s="37" t="str">
        <f aca="false">IF(AF67&lt;W67,"SIM","NÃO")</f>
        <v>NÃO</v>
      </c>
      <c r="AJ67" s="37" t="n">
        <v>2</v>
      </c>
      <c r="AK67" s="37" t="n">
        <v>7</v>
      </c>
      <c r="AL67" s="37" t="s">
        <v>343</v>
      </c>
      <c r="AM67" s="39" t="n">
        <v>116.5</v>
      </c>
    </row>
    <row r="68" customFormat="false" ht="15" hidden="false" customHeight="false" outlineLevel="0" collapsed="false">
      <c r="A68" s="37" t="n">
        <v>355853086</v>
      </c>
      <c r="B68" s="38" t="n">
        <v>46210.7418981482</v>
      </c>
      <c r="C68" s="37" t="s">
        <v>345</v>
      </c>
      <c r="D68" s="37" t="s">
        <v>415</v>
      </c>
      <c r="E68" s="37" t="n">
        <v>28680040</v>
      </c>
      <c r="F68" s="37" t="s">
        <v>283</v>
      </c>
      <c r="G68" s="37" t="s">
        <v>198</v>
      </c>
      <c r="H68" s="37" t="s">
        <v>190</v>
      </c>
      <c r="I68" s="37" t="n">
        <v>97.5</v>
      </c>
      <c r="J68" s="39" t="n">
        <v>1259.98</v>
      </c>
      <c r="K68" s="37" t="s">
        <v>342</v>
      </c>
      <c r="L68" s="39" t="n">
        <v>194.64</v>
      </c>
      <c r="M68" s="39" t="n">
        <v>109.63</v>
      </c>
      <c r="N68" s="39" t="n">
        <f aca="false">J68*Resumo!$C$6</f>
        <v>0</v>
      </c>
      <c r="O68" s="39" t="n">
        <f aca="false">J68*Resumo!$C$7</f>
        <v>2.645958</v>
      </c>
      <c r="P68" s="39" t="n">
        <f aca="false">J68*Resumo!$C$8</f>
        <v>2.645958</v>
      </c>
      <c r="Q68" s="39" t="n">
        <f aca="false">Resumo!$C$10*CEILING(I68/100,1)</f>
        <v>1.05</v>
      </c>
      <c r="R68" s="39" t="n">
        <f aca="false">Resumo!$C$9</f>
        <v>0</v>
      </c>
      <c r="S68" s="39" t="n">
        <f aca="false">Resumo!$C$13</f>
        <v>13.55</v>
      </c>
      <c r="T68" s="39" t="n">
        <f aca="false">Resumo!$C$14*CEILING(I68,1)</f>
        <v>44.1</v>
      </c>
      <c r="U68" s="39" t="n">
        <f aca="false">SUM(M68:T68)*Resumo!$C$11</f>
        <v>0</v>
      </c>
      <c r="V68" s="39" t="n">
        <f aca="false">SUM(M68:U68)</f>
        <v>173.621916</v>
      </c>
      <c r="W68" s="39" t="n">
        <f aca="false">V68/(1-Resumo!$C$5)</f>
        <v>197.297631818182</v>
      </c>
      <c r="X68" s="39" t="n">
        <v>197.35</v>
      </c>
      <c r="Y68" s="39" t="n">
        <f aca="false">J68*Resumo!$B$6</f>
        <v>1.25998</v>
      </c>
      <c r="Z68" s="39" t="n">
        <f aca="false">J68*Resumo!$B$7</f>
        <v>2.51996</v>
      </c>
      <c r="AA68" s="39" t="n">
        <f aca="false">Resumo!$B$9</f>
        <v>1</v>
      </c>
      <c r="AB68" s="39" t="n">
        <f aca="false">Resumo!$B$10*CEILING(I68/100,1)</f>
        <v>4.5</v>
      </c>
      <c r="AC68" s="39" t="n">
        <f aca="false">Resumo!$B$12*CEILING(I68,1)</f>
        <v>5.88</v>
      </c>
      <c r="AD68" s="39" t="n">
        <f aca="false">Resumo!$B$14*CEILING(I68,1)</f>
        <v>44.1</v>
      </c>
      <c r="AE68" s="39" t="n">
        <f aca="false">SUM(X68:AD68)</f>
        <v>256.60994</v>
      </c>
      <c r="AF68" s="39" t="n">
        <f aca="false">AE68/(1-Resumo!$B$5)</f>
        <v>291.602204545455</v>
      </c>
      <c r="AG68" s="39" t="n">
        <f aca="false">AF68-W68</f>
        <v>94.3045727272727</v>
      </c>
      <c r="AH68" s="40" t="n">
        <f aca="false">AF68/W68-1</f>
        <v>0.477981270521171</v>
      </c>
      <c r="AI68" s="37" t="str">
        <f aca="false">IF(AF68&lt;W68,"SIM","NÃO")</f>
        <v>NÃO</v>
      </c>
      <c r="AJ68" s="37" t="n">
        <v>13</v>
      </c>
      <c r="AK68" s="37" t="n">
        <v>10</v>
      </c>
      <c r="AL68" s="37" t="s">
        <v>347</v>
      </c>
      <c r="AM68" s="39" t="n">
        <v>194.64</v>
      </c>
    </row>
    <row r="69" customFormat="false" ht="15" hidden="false" customHeight="false" outlineLevel="0" collapsed="false">
      <c r="A69" s="37" t="n">
        <v>355868804</v>
      </c>
      <c r="B69" s="38" t="n">
        <v>46210.7628472222</v>
      </c>
      <c r="C69" s="37" t="s">
        <v>340</v>
      </c>
      <c r="D69" s="37" t="s">
        <v>416</v>
      </c>
      <c r="E69" s="37" t="n">
        <v>25561211</v>
      </c>
      <c r="F69" s="37" t="s">
        <v>167</v>
      </c>
      <c r="G69" s="37" t="s">
        <v>197</v>
      </c>
      <c r="H69" s="37" t="s">
        <v>186</v>
      </c>
      <c r="I69" s="37" t="n">
        <v>48.53</v>
      </c>
      <c r="J69" s="39" t="n">
        <v>529.99</v>
      </c>
      <c r="K69" s="37" t="s">
        <v>342</v>
      </c>
      <c r="L69" s="39" t="n">
        <v>116.61</v>
      </c>
      <c r="M69" s="39" t="n">
        <v>65.36</v>
      </c>
      <c r="N69" s="39" t="n">
        <f aca="false">J69*Resumo!$C$6</f>
        <v>0</v>
      </c>
      <c r="O69" s="39" t="n">
        <f aca="false">J69*Resumo!$C$7</f>
        <v>1.112979</v>
      </c>
      <c r="P69" s="39" t="n">
        <f aca="false">J69*Resumo!$C$8</f>
        <v>1.112979</v>
      </c>
      <c r="Q69" s="39" t="n">
        <f aca="false">Resumo!$C$10*CEILING(I69/100,1)</f>
        <v>1.05</v>
      </c>
      <c r="R69" s="39" t="n">
        <f aca="false">Resumo!$C$9</f>
        <v>0</v>
      </c>
      <c r="S69" s="39" t="n">
        <f aca="false">Resumo!$C$13</f>
        <v>13.55</v>
      </c>
      <c r="T69" s="39" t="n">
        <f aca="false">Resumo!$C$14*CEILING(I69,1)</f>
        <v>22.05</v>
      </c>
      <c r="U69" s="39" t="n">
        <f aca="false">SUM(M69:T69)*Resumo!$C$11</f>
        <v>0</v>
      </c>
      <c r="V69" s="39" t="n">
        <f aca="false">SUM(M69:U69)</f>
        <v>104.235958</v>
      </c>
      <c r="W69" s="39" t="n">
        <f aca="false">V69/(1-Resumo!$C$5)</f>
        <v>118.449952272727</v>
      </c>
      <c r="X69" s="39" t="n">
        <v>93.97</v>
      </c>
      <c r="Y69" s="39" t="n">
        <f aca="false">J69*Resumo!$B$6</f>
        <v>0.52999</v>
      </c>
      <c r="Z69" s="39" t="n">
        <f aca="false">J69*Resumo!$B$7</f>
        <v>1.05998</v>
      </c>
      <c r="AA69" s="39" t="n">
        <f aca="false">Resumo!$B$9</f>
        <v>1</v>
      </c>
      <c r="AB69" s="39" t="n">
        <f aca="false">Resumo!$B$10*CEILING(I69/100,1)</f>
        <v>4.5</v>
      </c>
      <c r="AC69" s="39" t="n">
        <f aca="false">Resumo!$B$12*CEILING(I69,1)</f>
        <v>2.94</v>
      </c>
      <c r="AD69" s="39" t="n">
        <f aca="false">Resumo!$B$14*CEILING(I69,1)</f>
        <v>22.05</v>
      </c>
      <c r="AE69" s="39" t="n">
        <f aca="false">SUM(X69:AD69)</f>
        <v>126.04997</v>
      </c>
      <c r="AF69" s="39" t="n">
        <f aca="false">AE69/(1-Resumo!$B$5)</f>
        <v>143.238602272727</v>
      </c>
      <c r="AG69" s="39" t="n">
        <f aca="false">AF69-W69</f>
        <v>24.78865</v>
      </c>
      <c r="AH69" s="40" t="n">
        <f aca="false">AF69/W69-1</f>
        <v>0.209275305936172</v>
      </c>
      <c r="AI69" s="37" t="str">
        <f aca="false">IF(AF69&lt;W69,"SIM","NÃO")</f>
        <v>NÃO</v>
      </c>
      <c r="AJ69" s="37" t="n">
        <v>2</v>
      </c>
      <c r="AK69" s="37" t="n">
        <v>5</v>
      </c>
      <c r="AL69" s="37" t="s">
        <v>343</v>
      </c>
      <c r="AM69" s="39" t="n">
        <v>116.61</v>
      </c>
    </row>
    <row r="70" customFormat="false" ht="15" hidden="false" customHeight="false" outlineLevel="0" collapsed="false">
      <c r="A70" s="37" t="n">
        <v>355908969</v>
      </c>
      <c r="B70" s="38" t="n">
        <v>46210.815462963</v>
      </c>
      <c r="C70" s="37" t="s">
        <v>340</v>
      </c>
      <c r="D70" s="37" t="s">
        <v>417</v>
      </c>
      <c r="E70" s="37" t="n">
        <v>25846220</v>
      </c>
      <c r="F70" s="37" t="s">
        <v>229</v>
      </c>
      <c r="G70" s="37" t="s">
        <v>198</v>
      </c>
      <c r="H70" s="37" t="s">
        <v>188</v>
      </c>
      <c r="I70" s="37" t="n">
        <v>63.9</v>
      </c>
      <c r="J70" s="39" t="n">
        <v>735.99</v>
      </c>
      <c r="K70" s="37" t="s">
        <v>342</v>
      </c>
      <c r="L70" s="39" t="n">
        <v>155.55</v>
      </c>
      <c r="M70" s="39" t="n">
        <v>90.2</v>
      </c>
      <c r="N70" s="39" t="n">
        <f aca="false">J70*Resumo!$C$6</f>
        <v>0</v>
      </c>
      <c r="O70" s="39" t="n">
        <f aca="false">J70*Resumo!$C$7</f>
        <v>1.545579</v>
      </c>
      <c r="P70" s="39" t="n">
        <f aca="false">J70*Resumo!$C$8</f>
        <v>1.545579</v>
      </c>
      <c r="Q70" s="39" t="n">
        <f aca="false">Resumo!$C$10*CEILING(I70/100,1)</f>
        <v>1.05</v>
      </c>
      <c r="R70" s="39" t="n">
        <f aca="false">Resumo!$C$9</f>
        <v>0</v>
      </c>
      <c r="S70" s="39" t="n">
        <f aca="false">Resumo!$C$13</f>
        <v>13.55</v>
      </c>
      <c r="T70" s="39" t="n">
        <f aca="false">Resumo!$C$14*CEILING(I70,1)</f>
        <v>28.8</v>
      </c>
      <c r="U70" s="39" t="n">
        <f aca="false">SUM(M70:T70)*Resumo!$C$11</f>
        <v>0</v>
      </c>
      <c r="V70" s="39" t="n">
        <f aca="false">SUM(M70:U70)</f>
        <v>136.691158</v>
      </c>
      <c r="W70" s="39" t="n">
        <f aca="false">V70/(1-Resumo!$C$5)</f>
        <v>155.330861363636</v>
      </c>
      <c r="X70" s="39" t="n">
        <v>166.05</v>
      </c>
      <c r="Y70" s="39" t="n">
        <f aca="false">J70*Resumo!$B$6</f>
        <v>0.73599</v>
      </c>
      <c r="Z70" s="39" t="n">
        <f aca="false">J70*Resumo!$B$7</f>
        <v>1.47198</v>
      </c>
      <c r="AA70" s="39" t="n">
        <f aca="false">Resumo!$B$9</f>
        <v>1</v>
      </c>
      <c r="AB70" s="39" t="n">
        <f aca="false">Resumo!$B$10*CEILING(I70/100,1)</f>
        <v>4.5</v>
      </c>
      <c r="AC70" s="39" t="n">
        <f aca="false">Resumo!$B$12*CEILING(I70,1)</f>
        <v>3.84</v>
      </c>
      <c r="AD70" s="39" t="n">
        <f aca="false">Resumo!$B$14*CEILING(I70,1)</f>
        <v>28.8</v>
      </c>
      <c r="AE70" s="39" t="n">
        <f aca="false">SUM(X70:AD70)</f>
        <v>206.39797</v>
      </c>
      <c r="AF70" s="39" t="n">
        <f aca="false">AE70/(1-Resumo!$B$5)</f>
        <v>234.543147727273</v>
      </c>
      <c r="AG70" s="39" t="n">
        <f aca="false">AF70-W70</f>
        <v>79.2122863636364</v>
      </c>
      <c r="AH70" s="40" t="n">
        <f aca="false">AF70/W70-1</f>
        <v>0.509958456859368</v>
      </c>
      <c r="AI70" s="37" t="str">
        <f aca="false">IF(AF70&lt;W70,"SIM","NÃO")</f>
        <v>NÃO</v>
      </c>
      <c r="AJ70" s="37" t="n">
        <v>13</v>
      </c>
      <c r="AK70" s="37" t="n">
        <v>8</v>
      </c>
      <c r="AL70" s="37" t="s">
        <v>347</v>
      </c>
      <c r="AM70" s="39" t="n">
        <v>155.55</v>
      </c>
    </row>
    <row r="71" customFormat="false" ht="15" hidden="false" customHeight="false" outlineLevel="0" collapsed="false">
      <c r="A71" s="37" t="n">
        <v>355920640</v>
      </c>
      <c r="B71" s="38" t="n">
        <v>46210.8305439815</v>
      </c>
      <c r="C71" s="37" t="s">
        <v>340</v>
      </c>
      <c r="D71" s="37" t="s">
        <v>418</v>
      </c>
      <c r="E71" s="37" t="n">
        <v>21060090</v>
      </c>
      <c r="F71" s="37" t="s">
        <v>159</v>
      </c>
      <c r="G71" s="37" t="s">
        <v>196</v>
      </c>
      <c r="H71" s="37" t="s">
        <v>191</v>
      </c>
      <c r="I71" s="37" t="n">
        <v>117.5</v>
      </c>
      <c r="J71" s="39" t="n">
        <v>1349.99</v>
      </c>
      <c r="K71" s="37" t="s">
        <v>342</v>
      </c>
      <c r="L71" s="39" t="n">
        <v>186.11</v>
      </c>
      <c r="M71" s="39" t="n">
        <v>92.34</v>
      </c>
      <c r="N71" s="39" t="n">
        <f aca="false">J71*Resumo!$C$6</f>
        <v>0</v>
      </c>
      <c r="O71" s="39" t="n">
        <f aca="false">J71*Resumo!$C$7</f>
        <v>2.834979</v>
      </c>
      <c r="P71" s="39" t="n">
        <f aca="false">J71*Resumo!$C$8</f>
        <v>2.834979</v>
      </c>
      <c r="Q71" s="39" t="n">
        <f aca="false">Resumo!$C$10*CEILING(I71/100,1)</f>
        <v>2.1</v>
      </c>
      <c r="R71" s="39" t="n">
        <f aca="false">Resumo!$C$9</f>
        <v>0</v>
      </c>
      <c r="S71" s="39" t="n">
        <f aca="false">Resumo!$C$13</f>
        <v>13.55</v>
      </c>
      <c r="T71" s="39" t="n">
        <f aca="false">Resumo!$C$14*CEILING(I71,1)</f>
        <v>53.1</v>
      </c>
      <c r="U71" s="39" t="n">
        <f aca="false">SUM(M71:T71)*Resumo!$C$11</f>
        <v>0</v>
      </c>
      <c r="V71" s="39" t="n">
        <f aca="false">SUM(M71:U71)</f>
        <v>166.759958</v>
      </c>
      <c r="W71" s="39" t="n">
        <f aca="false">V71/(1-Resumo!$C$5)</f>
        <v>189.499952272727</v>
      </c>
      <c r="X71" s="39" t="n">
        <v>201.59</v>
      </c>
      <c r="Y71" s="39" t="n">
        <f aca="false">J71*Resumo!$B$6</f>
        <v>1.34999</v>
      </c>
      <c r="Z71" s="39" t="n">
        <f aca="false">J71*Resumo!$B$7</f>
        <v>2.69998</v>
      </c>
      <c r="AA71" s="39" t="n">
        <f aca="false">Resumo!$B$9</f>
        <v>1</v>
      </c>
      <c r="AB71" s="39" t="n">
        <f aca="false">Resumo!$B$10*CEILING(I71/100,1)</f>
        <v>9</v>
      </c>
      <c r="AC71" s="39" t="n">
        <f aca="false">Resumo!$B$12*CEILING(I71,1)</f>
        <v>7.08</v>
      </c>
      <c r="AD71" s="39" t="n">
        <f aca="false">Resumo!$B$14*CEILING(I71,1)</f>
        <v>53.1</v>
      </c>
      <c r="AE71" s="39" t="n">
        <f aca="false">SUM(X71:AD71)</f>
        <v>275.81997</v>
      </c>
      <c r="AF71" s="39" t="n">
        <f aca="false">AE71/(1-Resumo!$B$5)</f>
        <v>313.431784090909</v>
      </c>
      <c r="AG71" s="39" t="n">
        <f aca="false">AF71-W71</f>
        <v>123.931831818182</v>
      </c>
      <c r="AH71" s="40" t="n">
        <f aca="false">AF71/W71-1</f>
        <v>0.653994000166395</v>
      </c>
      <c r="AI71" s="37" t="str">
        <f aca="false">IF(AF71&lt;W71,"SIM","NÃO")</f>
        <v>NÃO</v>
      </c>
      <c r="AJ71" s="37" t="n">
        <v>2</v>
      </c>
      <c r="AK71" s="37" t="n">
        <v>5</v>
      </c>
      <c r="AL71" s="37" t="s">
        <v>343</v>
      </c>
      <c r="AM71" s="39" t="n">
        <v>186.11</v>
      </c>
    </row>
    <row r="72" customFormat="false" ht="15" hidden="false" customHeight="false" outlineLevel="0" collapsed="false">
      <c r="A72" s="37" t="n">
        <v>355945705</v>
      </c>
      <c r="B72" s="38" t="n">
        <v>46210.8583796296</v>
      </c>
      <c r="C72" s="37" t="s">
        <v>340</v>
      </c>
      <c r="D72" s="37" t="s">
        <v>419</v>
      </c>
      <c r="E72" s="37" t="n">
        <v>23570084</v>
      </c>
      <c r="F72" s="37" t="s">
        <v>159</v>
      </c>
      <c r="G72" s="37" t="s">
        <v>196</v>
      </c>
      <c r="H72" s="37" t="s">
        <v>187</v>
      </c>
      <c r="I72" s="37" t="n">
        <v>51.3</v>
      </c>
      <c r="J72" s="39" t="n">
        <v>588.99</v>
      </c>
      <c r="K72" s="37" t="s">
        <v>342</v>
      </c>
      <c r="L72" s="39" t="n">
        <v>113.98</v>
      </c>
      <c r="M72" s="39" t="n">
        <v>58.6</v>
      </c>
      <c r="N72" s="39" t="n">
        <f aca="false">J72*Resumo!$C$6</f>
        <v>0</v>
      </c>
      <c r="O72" s="39" t="n">
        <f aca="false">J72*Resumo!$C$7</f>
        <v>1.236879</v>
      </c>
      <c r="P72" s="39" t="n">
        <f aca="false">J72*Resumo!$C$8</f>
        <v>1.236879</v>
      </c>
      <c r="Q72" s="39" t="n">
        <f aca="false">Resumo!$C$10*CEILING(I72/100,1)</f>
        <v>1.05</v>
      </c>
      <c r="R72" s="39" t="n">
        <f aca="false">Resumo!$C$9</f>
        <v>0</v>
      </c>
      <c r="S72" s="39" t="n">
        <f aca="false">Resumo!$C$13</f>
        <v>13.55</v>
      </c>
      <c r="T72" s="39" t="n">
        <f aca="false">Resumo!$C$14*CEILING(I72,1)</f>
        <v>23.4</v>
      </c>
      <c r="U72" s="39" t="n">
        <f aca="false">SUM(M72:T72)*Resumo!$C$11</f>
        <v>0</v>
      </c>
      <c r="V72" s="39" t="n">
        <f aca="false">SUM(M72:U72)</f>
        <v>99.073758</v>
      </c>
      <c r="W72" s="39" t="n">
        <f aca="false">V72/(1-Resumo!$C$5)</f>
        <v>112.583815909091</v>
      </c>
      <c r="X72" s="39" t="n">
        <v>112.3</v>
      </c>
      <c r="Y72" s="39" t="n">
        <f aca="false">J72*Resumo!$B$6</f>
        <v>0.58899</v>
      </c>
      <c r="Z72" s="39" t="n">
        <f aca="false">J72*Resumo!$B$7</f>
        <v>1.17798</v>
      </c>
      <c r="AA72" s="39" t="n">
        <f aca="false">Resumo!$B$9</f>
        <v>1</v>
      </c>
      <c r="AB72" s="39" t="n">
        <f aca="false">Resumo!$B$10*CEILING(I72/100,1)</f>
        <v>4.5</v>
      </c>
      <c r="AC72" s="39" t="n">
        <f aca="false">Resumo!$B$12*CEILING(I72,1)</f>
        <v>3.12</v>
      </c>
      <c r="AD72" s="39" t="n">
        <f aca="false">Resumo!$B$14*CEILING(I72,1)</f>
        <v>23.4</v>
      </c>
      <c r="AE72" s="39" t="n">
        <f aca="false">SUM(X72:AD72)</f>
        <v>146.08697</v>
      </c>
      <c r="AF72" s="39" t="n">
        <f aca="false">AE72/(1-Resumo!$B$5)</f>
        <v>166.007920454545</v>
      </c>
      <c r="AG72" s="39" t="n">
        <f aca="false">AF72-W72</f>
        <v>53.4241045454545</v>
      </c>
      <c r="AH72" s="40" t="n">
        <f aca="false">AF72/W72-1</f>
        <v>0.474527392006267</v>
      </c>
      <c r="AI72" s="37" t="str">
        <f aca="false">IF(AF72&lt;W72,"SIM","NÃO")</f>
        <v>NÃO</v>
      </c>
      <c r="AJ72" s="37" t="n">
        <v>2</v>
      </c>
      <c r="AK72" s="37" t="n">
        <v>5</v>
      </c>
      <c r="AL72" s="37" t="s">
        <v>343</v>
      </c>
      <c r="AM72" s="39" t="n">
        <v>113.97</v>
      </c>
    </row>
    <row r="73" customFormat="false" ht="15" hidden="false" customHeight="false" outlineLevel="0" collapsed="false">
      <c r="A73" s="37" t="n">
        <v>355975114</v>
      </c>
      <c r="B73" s="38" t="n">
        <v>46210.8920486111</v>
      </c>
      <c r="C73" s="37" t="s">
        <v>340</v>
      </c>
      <c r="D73" s="37" t="s">
        <v>420</v>
      </c>
      <c r="E73" s="37" t="n">
        <v>21852001</v>
      </c>
      <c r="F73" s="37" t="s">
        <v>159</v>
      </c>
      <c r="G73" s="37" t="s">
        <v>196</v>
      </c>
      <c r="H73" s="37" t="s">
        <v>189</v>
      </c>
      <c r="I73" s="37" t="n">
        <v>71.9</v>
      </c>
      <c r="J73" s="39" t="n">
        <v>736.99</v>
      </c>
      <c r="K73" s="37" t="s">
        <v>342</v>
      </c>
      <c r="L73" s="39" t="n">
        <v>136</v>
      </c>
      <c r="M73" s="39" t="n">
        <v>68.88</v>
      </c>
      <c r="N73" s="39" t="n">
        <f aca="false">J73*Resumo!$C$6</f>
        <v>0</v>
      </c>
      <c r="O73" s="39" t="n">
        <f aca="false">J73*Resumo!$C$7</f>
        <v>1.547679</v>
      </c>
      <c r="P73" s="39" t="n">
        <f aca="false">J73*Resumo!$C$8</f>
        <v>1.547679</v>
      </c>
      <c r="Q73" s="39" t="n">
        <f aca="false">Resumo!$C$10*CEILING(I73/100,1)</f>
        <v>1.05</v>
      </c>
      <c r="R73" s="39" t="n">
        <f aca="false">Resumo!$C$9</f>
        <v>0</v>
      </c>
      <c r="S73" s="39" t="n">
        <f aca="false">Resumo!$C$13</f>
        <v>13.55</v>
      </c>
      <c r="T73" s="39" t="n">
        <f aca="false">Resumo!$C$14*CEILING(I73,1)</f>
        <v>32.4</v>
      </c>
      <c r="U73" s="39" t="n">
        <f aca="false">SUM(M73:T73)*Resumo!$C$11</f>
        <v>0</v>
      </c>
      <c r="V73" s="39" t="n">
        <f aca="false">SUM(M73:U73)</f>
        <v>118.975358</v>
      </c>
      <c r="W73" s="39" t="n">
        <f aca="false">V73/(1-Resumo!$C$5)</f>
        <v>135.199270454545</v>
      </c>
      <c r="X73" s="39" t="n">
        <v>134.39</v>
      </c>
      <c r="Y73" s="39" t="n">
        <f aca="false">J73*Resumo!$B$6</f>
        <v>0.73699</v>
      </c>
      <c r="Z73" s="39" t="n">
        <f aca="false">J73*Resumo!$B$7</f>
        <v>1.47398</v>
      </c>
      <c r="AA73" s="39" t="n">
        <f aca="false">Resumo!$B$9</f>
        <v>1</v>
      </c>
      <c r="AB73" s="39" t="n">
        <f aca="false">Resumo!$B$10*CEILING(I73/100,1)</f>
        <v>4.5</v>
      </c>
      <c r="AC73" s="39" t="n">
        <f aca="false">Resumo!$B$12*CEILING(I73,1)</f>
        <v>4.32</v>
      </c>
      <c r="AD73" s="39" t="n">
        <f aca="false">Resumo!$B$14*CEILING(I73,1)</f>
        <v>32.4</v>
      </c>
      <c r="AE73" s="39" t="n">
        <f aca="false">SUM(X73:AD73)</f>
        <v>178.82097</v>
      </c>
      <c r="AF73" s="39" t="n">
        <f aca="false">AE73/(1-Resumo!$B$5)</f>
        <v>203.205647727273</v>
      </c>
      <c r="AG73" s="39" t="n">
        <f aca="false">AF73-W73</f>
        <v>68.0063772727273</v>
      </c>
      <c r="AH73" s="40" t="n">
        <f aca="false">AF73/W73-1</f>
        <v>0.503008463315572</v>
      </c>
      <c r="AI73" s="37" t="str">
        <f aca="false">IF(AF73&lt;W73,"SIM","NÃO")</f>
        <v>NÃO</v>
      </c>
      <c r="AJ73" s="37" t="n">
        <v>2</v>
      </c>
      <c r="AK73" s="37" t="n">
        <v>5</v>
      </c>
      <c r="AL73" s="37" t="s">
        <v>343</v>
      </c>
      <c r="AM73" s="39" t="n">
        <v>136.01</v>
      </c>
    </row>
    <row r="74" customFormat="false" ht="15" hidden="false" customHeight="false" outlineLevel="0" collapsed="false">
      <c r="A74" s="37" t="n">
        <v>355992436</v>
      </c>
      <c r="B74" s="38" t="n">
        <v>46210.9125231481</v>
      </c>
      <c r="C74" s="37" t="s">
        <v>340</v>
      </c>
      <c r="D74" s="37" t="s">
        <v>421</v>
      </c>
      <c r="E74" s="37" t="n">
        <v>26298373</v>
      </c>
      <c r="F74" s="37" t="s">
        <v>162</v>
      </c>
      <c r="G74" s="37" t="s">
        <v>197</v>
      </c>
      <c r="H74" s="37" t="s">
        <v>189</v>
      </c>
      <c r="I74" s="37" t="n">
        <v>71.9</v>
      </c>
      <c r="J74" s="39" t="n">
        <v>736.99</v>
      </c>
      <c r="K74" s="37" t="s">
        <v>342</v>
      </c>
      <c r="L74" s="39" t="n">
        <v>151.52</v>
      </c>
      <c r="M74" s="39" t="n">
        <v>82.48</v>
      </c>
      <c r="N74" s="39" t="n">
        <f aca="false">J74*Resumo!$C$6</f>
        <v>0</v>
      </c>
      <c r="O74" s="39" t="n">
        <f aca="false">J74*Resumo!$C$7</f>
        <v>1.547679</v>
      </c>
      <c r="P74" s="39" t="n">
        <f aca="false">J74*Resumo!$C$8</f>
        <v>1.547679</v>
      </c>
      <c r="Q74" s="39" t="n">
        <f aca="false">Resumo!$C$10*CEILING(I74/100,1)</f>
        <v>1.05</v>
      </c>
      <c r="R74" s="39" t="n">
        <f aca="false">Resumo!$C$9</f>
        <v>0</v>
      </c>
      <c r="S74" s="39" t="n">
        <f aca="false">Resumo!$C$13</f>
        <v>13.55</v>
      </c>
      <c r="T74" s="39" t="n">
        <f aca="false">Resumo!$C$14*CEILING(I74,1)</f>
        <v>32.4</v>
      </c>
      <c r="U74" s="39" t="n">
        <f aca="false">SUM(M74:T74)*Resumo!$C$11</f>
        <v>0</v>
      </c>
      <c r="V74" s="39" t="n">
        <f aca="false">SUM(M74:U74)</f>
        <v>132.575358</v>
      </c>
      <c r="W74" s="39" t="n">
        <f aca="false">V74/(1-Resumo!$C$5)</f>
        <v>150.653815909091</v>
      </c>
      <c r="X74" s="39" t="n">
        <v>134.39</v>
      </c>
      <c r="Y74" s="39" t="n">
        <f aca="false">J74*Resumo!$B$6</f>
        <v>0.73699</v>
      </c>
      <c r="Z74" s="39" t="n">
        <f aca="false">J74*Resumo!$B$7</f>
        <v>1.47398</v>
      </c>
      <c r="AA74" s="39" t="n">
        <f aca="false">Resumo!$B$9</f>
        <v>1</v>
      </c>
      <c r="AB74" s="39" t="n">
        <f aca="false">Resumo!$B$10*CEILING(I74/100,1)</f>
        <v>4.5</v>
      </c>
      <c r="AC74" s="39" t="n">
        <f aca="false">Resumo!$B$12*CEILING(I74,1)</f>
        <v>4.32</v>
      </c>
      <c r="AD74" s="39" t="n">
        <f aca="false">Resumo!$B$14*CEILING(I74,1)</f>
        <v>32.4</v>
      </c>
      <c r="AE74" s="39" t="n">
        <f aca="false">SUM(X74:AD74)</f>
        <v>178.82097</v>
      </c>
      <c r="AF74" s="39" t="n">
        <f aca="false">AE74/(1-Resumo!$B$5)</f>
        <v>203.205647727273</v>
      </c>
      <c r="AG74" s="39" t="n">
        <f aca="false">AF74-W74</f>
        <v>52.5518318181818</v>
      </c>
      <c r="AH74" s="40" t="n">
        <f aca="false">AF74/W74-1</f>
        <v>0.348825096138907</v>
      </c>
      <c r="AI74" s="37" t="str">
        <f aca="false">IF(AF74&lt;W74,"SIM","NÃO")</f>
        <v>NÃO</v>
      </c>
      <c r="AJ74" s="37" t="n">
        <v>2</v>
      </c>
      <c r="AK74" s="37" t="n">
        <v>5</v>
      </c>
      <c r="AL74" s="37" t="s">
        <v>343</v>
      </c>
      <c r="AM74" s="39" t="n">
        <v>151.53</v>
      </c>
    </row>
    <row r="75" customFormat="false" ht="15" hidden="false" customHeight="false" outlineLevel="0" collapsed="false">
      <c r="A75" s="37" t="n">
        <v>356008930</v>
      </c>
      <c r="B75" s="38" t="n">
        <v>46210.9358912037</v>
      </c>
      <c r="C75" s="37" t="s">
        <v>372</v>
      </c>
      <c r="D75" s="37" t="s">
        <v>422</v>
      </c>
      <c r="E75" s="37" t="n">
        <v>22230000</v>
      </c>
      <c r="F75" s="37" t="s">
        <v>159</v>
      </c>
      <c r="G75" s="37" t="s">
        <v>196</v>
      </c>
      <c r="H75" s="37" t="s">
        <v>185</v>
      </c>
      <c r="I75" s="37" t="n">
        <v>40</v>
      </c>
      <c r="J75" s="39" t="n">
        <v>479.99</v>
      </c>
      <c r="K75" s="37" t="s">
        <v>342</v>
      </c>
      <c r="L75" s="39" t="n">
        <v>92.16</v>
      </c>
      <c r="M75" s="39" t="n">
        <v>48.35</v>
      </c>
      <c r="N75" s="39" t="n">
        <f aca="false">J75*Resumo!$C$6</f>
        <v>0</v>
      </c>
      <c r="O75" s="39" t="n">
        <f aca="false">J75*Resumo!$C$7</f>
        <v>1.007979</v>
      </c>
      <c r="P75" s="39" t="n">
        <f aca="false">J75*Resumo!$C$8</f>
        <v>1.007979</v>
      </c>
      <c r="Q75" s="39" t="n">
        <f aca="false">Resumo!$C$10*CEILING(I75/100,1)</f>
        <v>1.05</v>
      </c>
      <c r="R75" s="39" t="n">
        <f aca="false">Resumo!$C$9</f>
        <v>0</v>
      </c>
      <c r="S75" s="39" t="n">
        <f aca="false">Resumo!$C$13</f>
        <v>13.55</v>
      </c>
      <c r="T75" s="39" t="n">
        <f aca="false">Resumo!$C$14*CEILING(I75,1)</f>
        <v>18</v>
      </c>
      <c r="U75" s="39" t="n">
        <f aca="false">SUM(M75:T75)*Resumo!$C$11</f>
        <v>0</v>
      </c>
      <c r="V75" s="39" t="n">
        <f aca="false">SUM(M75:U75)</f>
        <v>82.965958</v>
      </c>
      <c r="W75" s="39" t="n">
        <f aca="false">V75/(1-Resumo!$C$5)</f>
        <v>94.2794977272727</v>
      </c>
      <c r="X75" s="39" t="n">
        <v>93.97</v>
      </c>
      <c r="Y75" s="39" t="n">
        <f aca="false">J75*Resumo!$B$6</f>
        <v>0.47999</v>
      </c>
      <c r="Z75" s="39" t="n">
        <f aca="false">J75*Resumo!$B$7</f>
        <v>0.95998</v>
      </c>
      <c r="AA75" s="39" t="n">
        <f aca="false">Resumo!$B$9</f>
        <v>1</v>
      </c>
      <c r="AB75" s="39" t="n">
        <f aca="false">Resumo!$B$10*CEILING(I75/100,1)</f>
        <v>4.5</v>
      </c>
      <c r="AC75" s="39" t="n">
        <f aca="false">Resumo!$B$12*CEILING(I75,1)</f>
        <v>2.4</v>
      </c>
      <c r="AD75" s="39" t="n">
        <f aca="false">Resumo!$B$14*CEILING(I75,1)</f>
        <v>18</v>
      </c>
      <c r="AE75" s="39" t="n">
        <f aca="false">SUM(X75:AD75)</f>
        <v>121.30997</v>
      </c>
      <c r="AF75" s="39" t="n">
        <f aca="false">AE75/(1-Resumo!$B$5)</f>
        <v>137.852238636364</v>
      </c>
      <c r="AG75" s="39" t="n">
        <f aca="false">AF75-W75</f>
        <v>43.5727409090909</v>
      </c>
      <c r="AH75" s="40" t="n">
        <f aca="false">AF75/W75-1</f>
        <v>0.462165602909087</v>
      </c>
      <c r="AI75" s="37" t="str">
        <f aca="false">IF(AF75&lt;W75,"SIM","NÃO")</f>
        <v>NÃO</v>
      </c>
      <c r="AJ75" s="37" t="n">
        <v>2</v>
      </c>
      <c r="AK75" s="37" t="n">
        <v>5</v>
      </c>
      <c r="AL75" s="37" t="s">
        <v>343</v>
      </c>
      <c r="AM75" s="39" t="n">
        <v>92.16</v>
      </c>
    </row>
    <row r="76" customFormat="false" ht="15" hidden="false" customHeight="false" outlineLevel="0" collapsed="false">
      <c r="A76" s="37" t="n">
        <v>356017356</v>
      </c>
      <c r="B76" s="38" t="n">
        <v>46210.9434259259</v>
      </c>
      <c r="C76" s="37" t="s">
        <v>340</v>
      </c>
      <c r="D76" s="37" t="s">
        <v>423</v>
      </c>
      <c r="E76" s="37" t="n">
        <v>22770330</v>
      </c>
      <c r="F76" s="37" t="s">
        <v>159</v>
      </c>
      <c r="G76" s="37" t="s">
        <v>196</v>
      </c>
      <c r="H76" s="37" t="s">
        <v>185</v>
      </c>
      <c r="I76" s="37" t="n">
        <v>39.8</v>
      </c>
      <c r="J76" s="39" t="n">
        <v>449.99</v>
      </c>
      <c r="K76" s="37" t="s">
        <v>342</v>
      </c>
      <c r="L76" s="39" t="n">
        <v>92.01</v>
      </c>
      <c r="M76" s="39" t="n">
        <v>48.35</v>
      </c>
      <c r="N76" s="39" t="n">
        <f aca="false">J76*Resumo!$C$6</f>
        <v>0</v>
      </c>
      <c r="O76" s="39" t="n">
        <f aca="false">J76*Resumo!$C$7</f>
        <v>0.944979</v>
      </c>
      <c r="P76" s="39" t="n">
        <f aca="false">J76*Resumo!$C$8</f>
        <v>0.944979</v>
      </c>
      <c r="Q76" s="39" t="n">
        <f aca="false">Resumo!$C$10*CEILING(I76/100,1)</f>
        <v>1.05</v>
      </c>
      <c r="R76" s="39" t="n">
        <f aca="false">Resumo!$C$9</f>
        <v>0</v>
      </c>
      <c r="S76" s="39" t="n">
        <f aca="false">Resumo!$C$13</f>
        <v>13.55</v>
      </c>
      <c r="T76" s="39" t="n">
        <f aca="false">Resumo!$C$14*CEILING(I76,1)</f>
        <v>18</v>
      </c>
      <c r="U76" s="39" t="n">
        <f aca="false">SUM(M76:T76)*Resumo!$C$11</f>
        <v>0</v>
      </c>
      <c r="V76" s="39" t="n">
        <f aca="false">SUM(M76:U76)</f>
        <v>82.839958</v>
      </c>
      <c r="W76" s="39" t="n">
        <f aca="false">V76/(1-Resumo!$C$5)</f>
        <v>94.1363159090909</v>
      </c>
      <c r="X76" s="39" t="n">
        <v>93.97</v>
      </c>
      <c r="Y76" s="39" t="n">
        <f aca="false">J76*Resumo!$B$6</f>
        <v>0.44999</v>
      </c>
      <c r="Z76" s="39" t="n">
        <f aca="false">J76*Resumo!$B$7</f>
        <v>0.89998</v>
      </c>
      <c r="AA76" s="39" t="n">
        <f aca="false">Resumo!$B$9</f>
        <v>1</v>
      </c>
      <c r="AB76" s="39" t="n">
        <f aca="false">Resumo!$B$10*CEILING(I76/100,1)</f>
        <v>4.5</v>
      </c>
      <c r="AC76" s="39" t="n">
        <f aca="false">Resumo!$B$12*CEILING(I76,1)</f>
        <v>2.4</v>
      </c>
      <c r="AD76" s="39" t="n">
        <f aca="false">Resumo!$B$14*CEILING(I76,1)</f>
        <v>18</v>
      </c>
      <c r="AE76" s="39" t="n">
        <f aca="false">SUM(X76:AD76)</f>
        <v>121.21997</v>
      </c>
      <c r="AF76" s="39" t="n">
        <f aca="false">AE76/(1-Resumo!$B$5)</f>
        <v>137.749965909091</v>
      </c>
      <c r="AG76" s="39" t="n">
        <f aca="false">AF76-W76</f>
        <v>43.61365</v>
      </c>
      <c r="AH76" s="40" t="n">
        <f aca="false">AF76/W76-1</f>
        <v>0.463303132046494</v>
      </c>
      <c r="AI76" s="37" t="str">
        <f aca="false">IF(AF76&lt;W76,"SIM","NÃO")</f>
        <v>NÃO</v>
      </c>
      <c r="AJ76" s="37" t="n">
        <v>2</v>
      </c>
      <c r="AK76" s="37" t="n">
        <v>5</v>
      </c>
      <c r="AL76" s="37" t="s">
        <v>343</v>
      </c>
      <c r="AM76" s="39" t="n">
        <v>92.01</v>
      </c>
    </row>
    <row r="77" customFormat="false" ht="15" hidden="false" customHeight="false" outlineLevel="0" collapsed="false">
      <c r="A77" s="37" t="n">
        <v>356041263</v>
      </c>
      <c r="B77" s="38" t="n">
        <v>46210.9771527778</v>
      </c>
      <c r="C77" s="37" t="s">
        <v>345</v>
      </c>
      <c r="D77" s="37" t="s">
        <v>424</v>
      </c>
      <c r="E77" s="37" t="n">
        <v>21675350</v>
      </c>
      <c r="F77" s="37" t="s">
        <v>159</v>
      </c>
      <c r="G77" s="37" t="s">
        <v>196</v>
      </c>
      <c r="H77" s="37" t="s">
        <v>192</v>
      </c>
      <c r="I77" s="37" t="n">
        <v>124.2</v>
      </c>
      <c r="J77" s="39" t="n">
        <v>1799.98</v>
      </c>
      <c r="K77" s="37" t="s">
        <v>342</v>
      </c>
      <c r="L77" s="39" t="n">
        <v>234.92</v>
      </c>
      <c r="M77" s="39" t="n">
        <v>120.59</v>
      </c>
      <c r="N77" s="39" t="n">
        <f aca="false">J77*Resumo!$C$6</f>
        <v>0</v>
      </c>
      <c r="O77" s="39" t="n">
        <f aca="false">J77*Resumo!$C$7</f>
        <v>3.779958</v>
      </c>
      <c r="P77" s="39" t="n">
        <f aca="false">J77*Resumo!$C$8</f>
        <v>3.779958</v>
      </c>
      <c r="Q77" s="39" t="n">
        <f aca="false">Resumo!$C$10*CEILING(I77/100,1)</f>
        <v>2.1</v>
      </c>
      <c r="R77" s="39" t="n">
        <f aca="false">Resumo!$C$9</f>
        <v>0</v>
      </c>
      <c r="S77" s="39" t="n">
        <f aca="false">Resumo!$C$13</f>
        <v>13.55</v>
      </c>
      <c r="T77" s="39" t="n">
        <f aca="false">Resumo!$C$14*CEILING(I77,1)</f>
        <v>56.25</v>
      </c>
      <c r="U77" s="39" t="n">
        <f aca="false">SUM(M77:T77)*Resumo!$C$11</f>
        <v>0</v>
      </c>
      <c r="V77" s="39" t="n">
        <f aca="false">SUM(M77:U77)</f>
        <v>200.049916</v>
      </c>
      <c r="W77" s="39" t="n">
        <f aca="false">V77/(1-Resumo!$C$5)</f>
        <v>227.32945</v>
      </c>
      <c r="X77" s="39" t="n">
        <v>239.25</v>
      </c>
      <c r="Y77" s="39" t="n">
        <f aca="false">J77*Resumo!$B$6</f>
        <v>1.79998</v>
      </c>
      <c r="Z77" s="39" t="n">
        <f aca="false">J77*Resumo!$B$7</f>
        <v>3.59996</v>
      </c>
      <c r="AA77" s="39" t="n">
        <f aca="false">Resumo!$B$9</f>
        <v>1</v>
      </c>
      <c r="AB77" s="39" t="n">
        <f aca="false">Resumo!$B$10*CEILING(I77/100,1)</f>
        <v>9</v>
      </c>
      <c r="AC77" s="39" t="n">
        <f aca="false">Resumo!$B$12*CEILING(I77,1)</f>
        <v>7.5</v>
      </c>
      <c r="AD77" s="39" t="n">
        <f aca="false">Resumo!$B$14*CEILING(I77,1)</f>
        <v>56.25</v>
      </c>
      <c r="AE77" s="39" t="n">
        <f aca="false">SUM(X77:AD77)</f>
        <v>318.39994</v>
      </c>
      <c r="AF77" s="39" t="n">
        <f aca="false">AE77/(1-Resumo!$B$5)</f>
        <v>361.818113636364</v>
      </c>
      <c r="AG77" s="39" t="n">
        <f aca="false">AF77-W77</f>
        <v>134.488663636364</v>
      </c>
      <c r="AH77" s="40" t="n">
        <f aca="false">AF77/W77-1</f>
        <v>0.591602467856073</v>
      </c>
      <c r="AI77" s="37" t="str">
        <f aca="false">IF(AF77&lt;W77,"SIM","NÃO")</f>
        <v>NÃO</v>
      </c>
      <c r="AJ77" s="37" t="n">
        <v>2</v>
      </c>
      <c r="AK77" s="37" t="n">
        <v>5</v>
      </c>
      <c r="AL77" s="37" t="s">
        <v>343</v>
      </c>
      <c r="AM77" s="39" t="n">
        <v>234.92</v>
      </c>
    </row>
    <row r="78" customFormat="false" ht="15" hidden="false" customHeight="false" outlineLevel="0" collapsed="false">
      <c r="A78" s="37" t="n">
        <v>356043364</v>
      </c>
      <c r="B78" s="38" t="n">
        <v>46210.9803935185</v>
      </c>
      <c r="C78" s="37" t="s">
        <v>340</v>
      </c>
      <c r="D78" s="37" t="s">
        <v>425</v>
      </c>
      <c r="E78" s="37" t="n">
        <v>24931415</v>
      </c>
      <c r="F78" s="37" t="s">
        <v>171</v>
      </c>
      <c r="G78" s="37" t="s">
        <v>198</v>
      </c>
      <c r="H78" s="37" t="s">
        <v>192</v>
      </c>
      <c r="I78" s="37" t="n">
        <v>146</v>
      </c>
      <c r="J78" s="39" t="n">
        <v>2699.99</v>
      </c>
      <c r="K78" s="37" t="s">
        <v>342</v>
      </c>
      <c r="L78" s="39" t="n">
        <v>266.23</v>
      </c>
      <c r="M78" s="39" t="n">
        <v>144.24</v>
      </c>
      <c r="N78" s="39" t="n">
        <f aca="false">J78*Resumo!$C$6</f>
        <v>0</v>
      </c>
      <c r="O78" s="39" t="n">
        <f aca="false">J78*Resumo!$C$7</f>
        <v>5.669979</v>
      </c>
      <c r="P78" s="39" t="n">
        <f aca="false">J78*Resumo!$C$8</f>
        <v>5.669979</v>
      </c>
      <c r="Q78" s="39" t="n">
        <f aca="false">Resumo!$C$10*CEILING(I78/100,1)</f>
        <v>2.1</v>
      </c>
      <c r="R78" s="39" t="n">
        <f aca="false">Resumo!$C$9</f>
        <v>0</v>
      </c>
      <c r="S78" s="39" t="n">
        <f aca="false">Resumo!$C$13</f>
        <v>13.55</v>
      </c>
      <c r="T78" s="39" t="n">
        <f aca="false">Resumo!$C$14*CEILING(I78,1)</f>
        <v>65.7</v>
      </c>
      <c r="U78" s="39" t="n">
        <f aca="false">SUM(M78:T78)*Resumo!$C$11</f>
        <v>0</v>
      </c>
      <c r="V78" s="39" t="n">
        <f aca="false">SUM(M78:U78)</f>
        <v>236.929958</v>
      </c>
      <c r="W78" s="39" t="n">
        <f aca="false">V78/(1-Resumo!$C$5)</f>
        <v>269.238588636364</v>
      </c>
      <c r="X78" s="39" t="n">
        <v>249.03</v>
      </c>
      <c r="Y78" s="39" t="n">
        <f aca="false">J78*Resumo!$B$6</f>
        <v>2.69999</v>
      </c>
      <c r="Z78" s="39" t="n">
        <f aca="false">J78*Resumo!$B$7</f>
        <v>5.39998</v>
      </c>
      <c r="AA78" s="39" t="n">
        <f aca="false">Resumo!$B$9</f>
        <v>1</v>
      </c>
      <c r="AB78" s="39" t="n">
        <f aca="false">Resumo!$B$10*CEILING(I78/100,1)</f>
        <v>9</v>
      </c>
      <c r="AC78" s="39" t="n">
        <f aca="false">Resumo!$B$12*CEILING(I78,1)</f>
        <v>8.76</v>
      </c>
      <c r="AD78" s="39" t="n">
        <f aca="false">Resumo!$B$14*CEILING(I78,1)</f>
        <v>65.7</v>
      </c>
      <c r="AE78" s="39" t="n">
        <f aca="false">SUM(X78:AD78)</f>
        <v>341.58997</v>
      </c>
      <c r="AF78" s="39" t="n">
        <f aca="false">AE78/(1-Resumo!$B$5)</f>
        <v>388.170420454545</v>
      </c>
      <c r="AG78" s="39" t="n">
        <f aca="false">AF78-W78</f>
        <v>118.931831818182</v>
      </c>
      <c r="AH78" s="40" t="n">
        <f aca="false">AF78/W78-1</f>
        <v>0.44173397439255</v>
      </c>
      <c r="AI78" s="37" t="str">
        <f aca="false">IF(AF78&lt;W78,"SIM","NÃO")</f>
        <v>NÃO</v>
      </c>
      <c r="AJ78" s="37" t="n">
        <v>13</v>
      </c>
      <c r="AK78" s="37" t="n">
        <v>7</v>
      </c>
      <c r="AL78" s="37" t="s">
        <v>343</v>
      </c>
      <c r="AM78" s="39" t="n">
        <v>266.23</v>
      </c>
    </row>
    <row r="79" customFormat="false" ht="15" hidden="false" customHeight="false" outlineLevel="0" collapsed="false">
      <c r="A79" s="37" t="n">
        <v>356051131</v>
      </c>
      <c r="B79" s="38" t="n">
        <v>46210.9932060185</v>
      </c>
      <c r="C79" s="37" t="s">
        <v>340</v>
      </c>
      <c r="D79" s="37" t="s">
        <v>426</v>
      </c>
      <c r="E79" s="37" t="n">
        <v>24451230</v>
      </c>
      <c r="F79" s="37" t="s">
        <v>160</v>
      </c>
      <c r="G79" s="37" t="s">
        <v>197</v>
      </c>
      <c r="H79" s="37" t="s">
        <v>185</v>
      </c>
      <c r="I79" s="37" t="n">
        <v>39.8</v>
      </c>
      <c r="J79" s="39" t="n">
        <v>449.99</v>
      </c>
      <c r="K79" s="37" t="s">
        <v>342</v>
      </c>
      <c r="L79" s="39" t="n">
        <v>113.11</v>
      </c>
      <c r="M79" s="39" t="n">
        <v>66.83</v>
      </c>
      <c r="N79" s="39" t="n">
        <f aca="false">J79*Resumo!$C$6</f>
        <v>0</v>
      </c>
      <c r="O79" s="39" t="n">
        <f aca="false">J79*Resumo!$C$7</f>
        <v>0.944979</v>
      </c>
      <c r="P79" s="39" t="n">
        <f aca="false">J79*Resumo!$C$8</f>
        <v>0.944979</v>
      </c>
      <c r="Q79" s="39" t="n">
        <f aca="false">Resumo!$C$10*CEILING(I79/100,1)</f>
        <v>1.05</v>
      </c>
      <c r="R79" s="39" t="n">
        <f aca="false">Resumo!$C$9</f>
        <v>0</v>
      </c>
      <c r="S79" s="39" t="n">
        <f aca="false">Resumo!$C$13</f>
        <v>13.55</v>
      </c>
      <c r="T79" s="39" t="n">
        <f aca="false">Resumo!$C$14*CEILING(I79,1)</f>
        <v>18</v>
      </c>
      <c r="U79" s="39" t="n">
        <f aca="false">SUM(M79:T79)*Resumo!$C$11</f>
        <v>0</v>
      </c>
      <c r="V79" s="39" t="n">
        <f aca="false">SUM(M79:U79)</f>
        <v>101.319958</v>
      </c>
      <c r="W79" s="39" t="n">
        <f aca="false">V79/(1-Resumo!$C$5)</f>
        <v>115.136315909091</v>
      </c>
      <c r="X79" s="39" t="n">
        <v>114.95</v>
      </c>
      <c r="Y79" s="39" t="n">
        <f aca="false">J79*Resumo!$B$6</f>
        <v>0.44999</v>
      </c>
      <c r="Z79" s="39" t="n">
        <f aca="false">J79*Resumo!$B$7</f>
        <v>0.89998</v>
      </c>
      <c r="AA79" s="39" t="n">
        <f aca="false">Resumo!$B$9</f>
        <v>1</v>
      </c>
      <c r="AB79" s="39" t="n">
        <f aca="false">Resumo!$B$10*CEILING(I79/100,1)</f>
        <v>4.5</v>
      </c>
      <c r="AC79" s="39" t="n">
        <f aca="false">Resumo!$B$12*CEILING(I79,1)</f>
        <v>2.4</v>
      </c>
      <c r="AD79" s="39" t="n">
        <f aca="false">Resumo!$B$14*CEILING(I79,1)</f>
        <v>18</v>
      </c>
      <c r="AE79" s="39" t="n">
        <f aca="false">SUM(X79:AD79)</f>
        <v>142.19997</v>
      </c>
      <c r="AF79" s="39" t="n">
        <f aca="false">AE79/(1-Resumo!$B$5)</f>
        <v>161.590875</v>
      </c>
      <c r="AG79" s="39" t="n">
        <f aca="false">AF79-W79</f>
        <v>46.4545590909091</v>
      </c>
      <c r="AH79" s="40" t="n">
        <f aca="false">AF79/W79-1</f>
        <v>0.403474427022562</v>
      </c>
      <c r="AI79" s="37" t="str">
        <f aca="false">IF(AF79&lt;W79,"SIM","NÃO")</f>
        <v>NÃO</v>
      </c>
      <c r="AJ79" s="37" t="n">
        <v>2</v>
      </c>
      <c r="AK79" s="37" t="n">
        <v>7</v>
      </c>
      <c r="AL79" s="37" t="s">
        <v>343</v>
      </c>
      <c r="AM79" s="39" t="n">
        <v>113.11</v>
      </c>
    </row>
    <row r="80" customFormat="false" ht="15" hidden="false" customHeight="false" outlineLevel="0" collapsed="false">
      <c r="A80" s="37" t="n">
        <v>356097974</v>
      </c>
      <c r="B80" s="38" t="n">
        <v>46211.0871412037</v>
      </c>
      <c r="C80" s="37" t="s">
        <v>340</v>
      </c>
      <c r="D80" s="37" t="s">
        <v>427</v>
      </c>
      <c r="E80" s="37" t="n">
        <v>22755155</v>
      </c>
      <c r="F80" s="37" t="s">
        <v>159</v>
      </c>
      <c r="G80" s="37" t="s">
        <v>196</v>
      </c>
      <c r="H80" s="37" t="s">
        <v>185</v>
      </c>
      <c r="I80" s="37" t="n">
        <v>35.9</v>
      </c>
      <c r="J80" s="39" t="n">
        <v>504.38</v>
      </c>
      <c r="K80" s="37" t="s">
        <v>342</v>
      </c>
      <c r="L80" s="39" t="n">
        <v>92.27</v>
      </c>
      <c r="M80" s="39" t="n">
        <v>48.35</v>
      </c>
      <c r="N80" s="39" t="n">
        <f aca="false">J80*Resumo!$C$6</f>
        <v>0</v>
      </c>
      <c r="O80" s="39" t="n">
        <f aca="false">J80*Resumo!$C$7</f>
        <v>1.059198</v>
      </c>
      <c r="P80" s="39" t="n">
        <f aca="false">J80*Resumo!$C$8</f>
        <v>1.059198</v>
      </c>
      <c r="Q80" s="39" t="n">
        <f aca="false">Resumo!$C$10*CEILING(I80/100,1)</f>
        <v>1.05</v>
      </c>
      <c r="R80" s="39" t="n">
        <f aca="false">Resumo!$C$9</f>
        <v>0</v>
      </c>
      <c r="S80" s="39" t="n">
        <f aca="false">Resumo!$C$13</f>
        <v>13.55</v>
      </c>
      <c r="T80" s="39" t="n">
        <f aca="false">Resumo!$C$14*CEILING(I80,1)</f>
        <v>16.2</v>
      </c>
      <c r="U80" s="39" t="n">
        <f aca="false">SUM(M80:T80)*Resumo!$C$11</f>
        <v>0</v>
      </c>
      <c r="V80" s="39" t="n">
        <f aca="false">SUM(M80:U80)</f>
        <v>81.268396</v>
      </c>
      <c r="W80" s="39" t="n">
        <f aca="false">V80/(1-Resumo!$C$5)</f>
        <v>92.35045</v>
      </c>
      <c r="X80" s="39" t="n">
        <v>93.97</v>
      </c>
      <c r="Y80" s="39" t="n">
        <f aca="false">J80*Resumo!$B$6</f>
        <v>0.50438</v>
      </c>
      <c r="Z80" s="39" t="n">
        <f aca="false">J80*Resumo!$B$7</f>
        <v>1.00876</v>
      </c>
      <c r="AA80" s="39" t="n">
        <f aca="false">Resumo!$B$9</f>
        <v>1</v>
      </c>
      <c r="AB80" s="39" t="n">
        <f aca="false">Resumo!$B$10*CEILING(I80/100,1)</f>
        <v>4.5</v>
      </c>
      <c r="AC80" s="39" t="n">
        <f aca="false">Resumo!$B$12*CEILING(I80,1)</f>
        <v>2.16</v>
      </c>
      <c r="AD80" s="39" t="n">
        <f aca="false">Resumo!$B$14*CEILING(I80,1)</f>
        <v>16.2</v>
      </c>
      <c r="AE80" s="39" t="n">
        <f aca="false">SUM(X80:AD80)</f>
        <v>119.34314</v>
      </c>
      <c r="AF80" s="39" t="n">
        <f aca="false">AE80/(1-Resumo!$B$5)</f>
        <v>135.617204545455</v>
      </c>
      <c r="AG80" s="39" t="n">
        <f aca="false">AF80-W80</f>
        <v>43.2667545454545</v>
      </c>
      <c r="AH80" s="40" t="n">
        <f aca="false">AF80/W80-1</f>
        <v>0.468506158285688</v>
      </c>
      <c r="AI80" s="37" t="str">
        <f aca="false">IF(AF80&lt;W80,"SIM","NÃO")</f>
        <v>NÃO</v>
      </c>
      <c r="AJ80" s="37" t="n">
        <v>2</v>
      </c>
      <c r="AK80" s="37" t="n">
        <v>5</v>
      </c>
      <c r="AL80" s="37" t="s">
        <v>343</v>
      </c>
      <c r="AM80" s="39" t="n">
        <v>92.27</v>
      </c>
    </row>
    <row r="81" customFormat="false" ht="15" hidden="false" customHeight="false" outlineLevel="0" collapsed="false">
      <c r="A81" s="37" t="n">
        <v>356151185</v>
      </c>
      <c r="B81" s="38" t="n">
        <v>46211.261099537</v>
      </c>
      <c r="C81" s="37" t="s">
        <v>340</v>
      </c>
      <c r="D81" s="37" t="s">
        <v>428</v>
      </c>
      <c r="E81" s="37" t="n">
        <v>24878095</v>
      </c>
      <c r="F81" s="37" t="s">
        <v>174</v>
      </c>
      <c r="G81" s="37" t="s">
        <v>198</v>
      </c>
      <c r="H81" s="37" t="s">
        <v>186</v>
      </c>
      <c r="I81" s="37" t="n">
        <v>44.5</v>
      </c>
      <c r="J81" s="39" t="n">
        <v>799.99</v>
      </c>
      <c r="K81" s="37" t="s">
        <v>342</v>
      </c>
      <c r="L81" s="39" t="n">
        <v>132</v>
      </c>
      <c r="M81" s="39" t="n">
        <v>77.7</v>
      </c>
      <c r="N81" s="39" t="n">
        <f aca="false">J81*Resumo!$C$6</f>
        <v>0</v>
      </c>
      <c r="O81" s="39" t="n">
        <f aca="false">J81*Resumo!$C$7</f>
        <v>1.679979</v>
      </c>
      <c r="P81" s="39" t="n">
        <f aca="false">J81*Resumo!$C$8</f>
        <v>1.679979</v>
      </c>
      <c r="Q81" s="39" t="n">
        <f aca="false">Resumo!$C$10*CEILING(I81/100,1)</f>
        <v>1.05</v>
      </c>
      <c r="R81" s="39" t="n">
        <f aca="false">Resumo!$C$9</f>
        <v>0</v>
      </c>
      <c r="S81" s="39" t="n">
        <f aca="false">Resumo!$C$13</f>
        <v>13.55</v>
      </c>
      <c r="T81" s="39" t="n">
        <f aca="false">Resumo!$C$14*CEILING(I81,1)</f>
        <v>20.25</v>
      </c>
      <c r="U81" s="39" t="n">
        <f aca="false">SUM(M81:T81)*Resumo!$C$11</f>
        <v>0</v>
      </c>
      <c r="V81" s="39" t="n">
        <f aca="false">SUM(M81:U81)</f>
        <v>115.909958</v>
      </c>
      <c r="W81" s="39" t="n">
        <f aca="false">V81/(1-Resumo!$C$5)</f>
        <v>131.715861363636</v>
      </c>
      <c r="X81" s="39" t="n">
        <v>114.95</v>
      </c>
      <c r="Y81" s="39" t="n">
        <f aca="false">J81*Resumo!$B$6</f>
        <v>0.79999</v>
      </c>
      <c r="Z81" s="39" t="n">
        <f aca="false">J81*Resumo!$B$7</f>
        <v>1.59998</v>
      </c>
      <c r="AA81" s="39" t="n">
        <f aca="false">Resumo!$B$9</f>
        <v>1</v>
      </c>
      <c r="AB81" s="39" t="n">
        <f aca="false">Resumo!$B$10*CEILING(I81/100,1)</f>
        <v>4.5</v>
      </c>
      <c r="AC81" s="39" t="n">
        <f aca="false">Resumo!$B$12*CEILING(I81,1)</f>
        <v>2.7</v>
      </c>
      <c r="AD81" s="39" t="n">
        <f aca="false">Resumo!$B$14*CEILING(I81,1)</f>
        <v>20.25</v>
      </c>
      <c r="AE81" s="39" t="n">
        <f aca="false">SUM(X81:AD81)</f>
        <v>145.79997</v>
      </c>
      <c r="AF81" s="39" t="n">
        <f aca="false">AE81/(1-Resumo!$B$5)</f>
        <v>165.681784090909</v>
      </c>
      <c r="AG81" s="39" t="n">
        <f aca="false">AF81-W81</f>
        <v>33.9659227272727</v>
      </c>
      <c r="AH81" s="40" t="n">
        <f aca="false">AF81/W81-1</f>
        <v>0.257872684243402</v>
      </c>
      <c r="AI81" s="37" t="str">
        <f aca="false">IF(AF81&lt;W81,"SIM","NÃO")</f>
        <v>NÃO</v>
      </c>
      <c r="AJ81" s="37" t="n">
        <v>13</v>
      </c>
      <c r="AK81" s="37" t="n">
        <v>7</v>
      </c>
      <c r="AL81" s="37" t="s">
        <v>343</v>
      </c>
      <c r="AM81" s="39" t="n">
        <v>131.99</v>
      </c>
    </row>
    <row r="82" customFormat="false" ht="15" hidden="false" customHeight="false" outlineLevel="0" collapsed="false">
      <c r="A82" s="37" t="n">
        <v>356183351</v>
      </c>
      <c r="B82" s="38" t="n">
        <v>46211.3439236111</v>
      </c>
      <c r="C82" s="37" t="s">
        <v>372</v>
      </c>
      <c r="D82" s="37" t="s">
        <v>429</v>
      </c>
      <c r="E82" s="37" t="n">
        <v>28880000</v>
      </c>
      <c r="F82" s="37" t="s">
        <v>290</v>
      </c>
      <c r="G82" s="37" t="s">
        <v>198</v>
      </c>
      <c r="H82" s="37" t="s">
        <v>186</v>
      </c>
      <c r="I82" s="37" t="n">
        <v>48.3</v>
      </c>
      <c r="J82" s="39" t="n">
        <v>391.99</v>
      </c>
      <c r="K82" s="37" t="s">
        <v>342</v>
      </c>
      <c r="L82" s="39" t="n">
        <v>130.03</v>
      </c>
      <c r="M82" s="39" t="n">
        <v>77.7</v>
      </c>
      <c r="N82" s="39" t="n">
        <f aca="false">J82*Resumo!$C$6</f>
        <v>0</v>
      </c>
      <c r="O82" s="39" t="n">
        <f aca="false">J82*Resumo!$C$7</f>
        <v>0.823179</v>
      </c>
      <c r="P82" s="39" t="n">
        <f aca="false">J82*Resumo!$C$8</f>
        <v>0.823179</v>
      </c>
      <c r="Q82" s="39" t="n">
        <f aca="false">Resumo!$C$10*CEILING(I82/100,1)</f>
        <v>1.05</v>
      </c>
      <c r="R82" s="39" t="n">
        <f aca="false">Resumo!$C$9</f>
        <v>0</v>
      </c>
      <c r="S82" s="39" t="n">
        <f aca="false">Resumo!$C$13</f>
        <v>13.55</v>
      </c>
      <c r="T82" s="39" t="n">
        <f aca="false">Resumo!$C$14*CEILING(I82,1)</f>
        <v>22.05</v>
      </c>
      <c r="U82" s="39" t="n">
        <f aca="false">SUM(M82:T82)*Resumo!$C$11</f>
        <v>0</v>
      </c>
      <c r="V82" s="39" t="n">
        <f aca="false">SUM(M82:U82)</f>
        <v>115.996358</v>
      </c>
      <c r="W82" s="39" t="n">
        <f aca="false">V82/(1-Resumo!$C$5)</f>
        <v>131.814043181818</v>
      </c>
      <c r="X82" s="39" t="n">
        <v>129.29</v>
      </c>
      <c r="Y82" s="39" t="n">
        <f aca="false">J82*Resumo!$B$6</f>
        <v>0.39199</v>
      </c>
      <c r="Z82" s="39" t="n">
        <f aca="false">J82*Resumo!$B$7</f>
        <v>0.78398</v>
      </c>
      <c r="AA82" s="39" t="n">
        <f aca="false">Resumo!$B$9</f>
        <v>1</v>
      </c>
      <c r="AB82" s="39" t="n">
        <f aca="false">Resumo!$B$10*CEILING(I82/100,1)</f>
        <v>4.5</v>
      </c>
      <c r="AC82" s="39" t="n">
        <f aca="false">Resumo!$B$12*CEILING(I82,1)</f>
        <v>2.94</v>
      </c>
      <c r="AD82" s="39" t="n">
        <f aca="false">Resumo!$B$14*CEILING(I82,1)</f>
        <v>22.05</v>
      </c>
      <c r="AE82" s="39" t="n">
        <f aca="false">SUM(X82:AD82)</f>
        <v>160.95597</v>
      </c>
      <c r="AF82" s="39" t="n">
        <f aca="false">AE82/(1-Resumo!$B$5)</f>
        <v>182.904511363636</v>
      </c>
      <c r="AG82" s="39" t="n">
        <f aca="false">AF82-W82</f>
        <v>51.0904681818182</v>
      </c>
      <c r="AH82" s="40" t="n">
        <f aca="false">AF82/W82-1</f>
        <v>0.387595031216411</v>
      </c>
      <c r="AI82" s="37" t="str">
        <f aca="false">IF(AF82&lt;W82,"SIM","NÃO")</f>
        <v>NÃO</v>
      </c>
      <c r="AJ82" s="37" t="n">
        <v>13</v>
      </c>
      <c r="AK82" s="37" t="n">
        <v>10</v>
      </c>
      <c r="AL82" s="37" t="s">
        <v>347</v>
      </c>
      <c r="AM82" s="39" t="n">
        <v>130.04</v>
      </c>
    </row>
    <row r="83" customFormat="false" ht="15" hidden="false" customHeight="false" outlineLevel="0" collapsed="false">
      <c r="A83" s="37" t="n">
        <v>356188469</v>
      </c>
      <c r="B83" s="38" t="n">
        <v>46211.3519444445</v>
      </c>
      <c r="C83" s="37" t="s">
        <v>345</v>
      </c>
      <c r="D83" s="37" t="s">
        <v>423</v>
      </c>
      <c r="E83" s="37" t="n">
        <v>22770330</v>
      </c>
      <c r="F83" s="37" t="s">
        <v>159</v>
      </c>
      <c r="G83" s="37" t="s">
        <v>196</v>
      </c>
      <c r="H83" s="37" t="s">
        <v>188</v>
      </c>
      <c r="I83" s="37" t="n">
        <v>67.3</v>
      </c>
      <c r="J83" s="39" t="n">
        <v>899.98</v>
      </c>
      <c r="K83" s="37" t="s">
        <v>342</v>
      </c>
      <c r="L83" s="39" t="n">
        <v>125.52</v>
      </c>
      <c r="M83" s="39" t="n">
        <v>63.21</v>
      </c>
      <c r="N83" s="39" t="n">
        <f aca="false">J83*Resumo!$C$6</f>
        <v>0</v>
      </c>
      <c r="O83" s="39" t="n">
        <f aca="false">J83*Resumo!$C$7</f>
        <v>1.889958</v>
      </c>
      <c r="P83" s="39" t="n">
        <f aca="false">J83*Resumo!$C$8</f>
        <v>1.889958</v>
      </c>
      <c r="Q83" s="39" t="n">
        <f aca="false">Resumo!$C$10*CEILING(I83/100,1)</f>
        <v>1.05</v>
      </c>
      <c r="R83" s="39" t="n">
        <f aca="false">Resumo!$C$9</f>
        <v>0</v>
      </c>
      <c r="S83" s="39" t="n">
        <f aca="false">Resumo!$C$13</f>
        <v>13.55</v>
      </c>
      <c r="T83" s="39" t="n">
        <f aca="false">Resumo!$C$14*CEILING(I83,1)</f>
        <v>30.6</v>
      </c>
      <c r="U83" s="39" t="n">
        <f aca="false">SUM(M83:T83)*Resumo!$C$11</f>
        <v>0</v>
      </c>
      <c r="V83" s="39" t="n">
        <f aca="false">SUM(M83:U83)</f>
        <v>112.189916</v>
      </c>
      <c r="W83" s="39" t="n">
        <f aca="false">V83/(1-Resumo!$C$5)</f>
        <v>127.488540909091</v>
      </c>
      <c r="X83" s="39" t="n">
        <v>131.02</v>
      </c>
      <c r="Y83" s="39" t="n">
        <f aca="false">J83*Resumo!$B$6</f>
        <v>0.89998</v>
      </c>
      <c r="Z83" s="39" t="n">
        <f aca="false">J83*Resumo!$B$7</f>
        <v>1.79996</v>
      </c>
      <c r="AA83" s="39" t="n">
        <f aca="false">Resumo!$B$9</f>
        <v>1</v>
      </c>
      <c r="AB83" s="39" t="n">
        <f aca="false">Resumo!$B$10*CEILING(I83/100,1)</f>
        <v>4.5</v>
      </c>
      <c r="AC83" s="39" t="n">
        <f aca="false">Resumo!$B$12*CEILING(I83,1)</f>
        <v>4.08</v>
      </c>
      <c r="AD83" s="39" t="n">
        <f aca="false">Resumo!$B$14*CEILING(I83,1)</f>
        <v>30.6</v>
      </c>
      <c r="AE83" s="39" t="n">
        <f aca="false">SUM(X83:AD83)</f>
        <v>173.89994</v>
      </c>
      <c r="AF83" s="39" t="n">
        <f aca="false">AE83/(1-Resumo!$B$5)</f>
        <v>197.613568181818</v>
      </c>
      <c r="AG83" s="39" t="n">
        <f aca="false">AF83-W83</f>
        <v>70.1250272727273</v>
      </c>
      <c r="AH83" s="40" t="n">
        <f aca="false">AF83/W83-1</f>
        <v>0.550049649738574</v>
      </c>
      <c r="AI83" s="37" t="str">
        <f aca="false">IF(AF83&lt;W83,"SIM","NÃO")</f>
        <v>NÃO</v>
      </c>
      <c r="AJ83" s="37" t="n">
        <v>2</v>
      </c>
      <c r="AK83" s="37" t="n">
        <v>5</v>
      </c>
      <c r="AL83" s="37" t="s">
        <v>343</v>
      </c>
      <c r="AM83" s="39" t="n">
        <v>125.52</v>
      </c>
    </row>
    <row r="84" customFormat="false" ht="15" hidden="false" customHeight="false" outlineLevel="0" collapsed="false">
      <c r="A84" s="37" t="n">
        <v>356190959</v>
      </c>
      <c r="B84" s="38" t="n">
        <v>46211.3573032407</v>
      </c>
      <c r="C84" s="37" t="s">
        <v>340</v>
      </c>
      <c r="D84" s="37" t="s">
        <v>430</v>
      </c>
      <c r="E84" s="37" t="n">
        <v>23900120</v>
      </c>
      <c r="F84" s="37" t="s">
        <v>169</v>
      </c>
      <c r="G84" s="37" t="s">
        <v>198</v>
      </c>
      <c r="H84" s="37" t="s">
        <v>189</v>
      </c>
      <c r="I84" s="37" t="n">
        <v>71.9</v>
      </c>
      <c r="J84" s="39" t="n">
        <v>769.99</v>
      </c>
      <c r="K84" s="37" t="s">
        <v>342</v>
      </c>
      <c r="L84" s="39" t="n">
        <v>168.01</v>
      </c>
      <c r="M84" s="39" t="n">
        <v>96.77</v>
      </c>
      <c r="N84" s="39" t="n">
        <f aca="false">J84*Resumo!$C$6</f>
        <v>0</v>
      </c>
      <c r="O84" s="39" t="n">
        <f aca="false">J84*Resumo!$C$7</f>
        <v>1.616979</v>
      </c>
      <c r="P84" s="39" t="n">
        <f aca="false">J84*Resumo!$C$8</f>
        <v>1.616979</v>
      </c>
      <c r="Q84" s="39" t="n">
        <f aca="false">Resumo!$C$10*CEILING(I84/100,1)</f>
        <v>1.05</v>
      </c>
      <c r="R84" s="39" t="n">
        <f aca="false">Resumo!$C$9</f>
        <v>0</v>
      </c>
      <c r="S84" s="39" t="n">
        <f aca="false">Resumo!$C$13</f>
        <v>13.55</v>
      </c>
      <c r="T84" s="39" t="n">
        <f aca="false">Resumo!$C$14*CEILING(I84,1)</f>
        <v>32.4</v>
      </c>
      <c r="U84" s="39" t="n">
        <f aca="false">SUM(M84:T84)*Resumo!$C$11</f>
        <v>0</v>
      </c>
      <c r="V84" s="39" t="n">
        <f aca="false">SUM(M84:U84)</f>
        <v>147.003958</v>
      </c>
      <c r="W84" s="39" t="n">
        <f aca="false">V84/(1-Resumo!$C$5)</f>
        <v>167.049952272727</v>
      </c>
      <c r="X84" s="39" t="n">
        <v>157.88</v>
      </c>
      <c r="Y84" s="39" t="n">
        <f aca="false">J84*Resumo!$B$6</f>
        <v>0.76999</v>
      </c>
      <c r="Z84" s="39" t="n">
        <f aca="false">J84*Resumo!$B$7</f>
        <v>1.53998</v>
      </c>
      <c r="AA84" s="39" t="n">
        <f aca="false">Resumo!$B$9</f>
        <v>1</v>
      </c>
      <c r="AB84" s="39" t="n">
        <f aca="false">Resumo!$B$10*CEILING(I84/100,1)</f>
        <v>4.5</v>
      </c>
      <c r="AC84" s="39" t="n">
        <f aca="false">Resumo!$B$12*CEILING(I84,1)</f>
        <v>4.32</v>
      </c>
      <c r="AD84" s="39" t="n">
        <f aca="false">Resumo!$B$14*CEILING(I84,1)</f>
        <v>32.4</v>
      </c>
      <c r="AE84" s="39" t="n">
        <f aca="false">SUM(X84:AD84)</f>
        <v>202.40997</v>
      </c>
      <c r="AF84" s="39" t="n">
        <f aca="false">AE84/(1-Resumo!$B$5)</f>
        <v>230.011329545455</v>
      </c>
      <c r="AG84" s="39" t="n">
        <f aca="false">AF84-W84</f>
        <v>62.9613772727273</v>
      </c>
      <c r="AH84" s="40" t="n">
        <f aca="false">AF84/W84-1</f>
        <v>0.376901498121568</v>
      </c>
      <c r="AI84" s="37" t="str">
        <f aca="false">IF(AF84&lt;W84,"SIM","NÃO")</f>
        <v>NÃO</v>
      </c>
      <c r="AJ84" s="37" t="n">
        <v>13</v>
      </c>
      <c r="AK84" s="37" t="n">
        <v>10</v>
      </c>
      <c r="AL84" s="37" t="s">
        <v>343</v>
      </c>
      <c r="AM84" s="39" t="n">
        <v>168.01</v>
      </c>
    </row>
    <row r="85" customFormat="false" ht="15" hidden="false" customHeight="false" outlineLevel="0" collapsed="false">
      <c r="A85" s="37" t="n">
        <v>356226558</v>
      </c>
      <c r="B85" s="38" t="n">
        <v>46211.4185648148</v>
      </c>
      <c r="C85" s="37" t="s">
        <v>340</v>
      </c>
      <c r="D85" s="37" t="s">
        <v>431</v>
      </c>
      <c r="E85" s="37" t="n">
        <v>23059039</v>
      </c>
      <c r="F85" s="37" t="s">
        <v>159</v>
      </c>
      <c r="G85" s="37" t="s">
        <v>196</v>
      </c>
      <c r="H85" s="37" t="s">
        <v>186</v>
      </c>
      <c r="I85" s="37" t="n">
        <v>48.3</v>
      </c>
      <c r="J85" s="39" t="n">
        <v>459.99</v>
      </c>
      <c r="K85" s="37" t="s">
        <v>342</v>
      </c>
      <c r="L85" s="39" t="n">
        <v>102.8</v>
      </c>
      <c r="M85" s="39" t="n">
        <v>53.55</v>
      </c>
      <c r="N85" s="39" t="n">
        <f aca="false">J85*Resumo!$C$6</f>
        <v>0</v>
      </c>
      <c r="O85" s="39" t="n">
        <f aca="false">J85*Resumo!$C$7</f>
        <v>0.965979</v>
      </c>
      <c r="P85" s="39" t="n">
        <f aca="false">J85*Resumo!$C$8</f>
        <v>0.965979</v>
      </c>
      <c r="Q85" s="39" t="n">
        <f aca="false">Resumo!$C$10*CEILING(I85/100,1)</f>
        <v>1.05</v>
      </c>
      <c r="R85" s="39" t="n">
        <f aca="false">Resumo!$C$9</f>
        <v>0</v>
      </c>
      <c r="S85" s="39" t="n">
        <f aca="false">Resumo!$C$13</f>
        <v>13.55</v>
      </c>
      <c r="T85" s="39" t="n">
        <f aca="false">Resumo!$C$14*CEILING(I85,1)</f>
        <v>22.05</v>
      </c>
      <c r="U85" s="39" t="n">
        <f aca="false">SUM(M85:T85)*Resumo!$C$11</f>
        <v>0</v>
      </c>
      <c r="V85" s="39" t="n">
        <f aca="false">SUM(M85:U85)</f>
        <v>92.131958</v>
      </c>
      <c r="W85" s="39" t="n">
        <f aca="false">V85/(1-Resumo!$C$5)</f>
        <v>104.695406818182</v>
      </c>
      <c r="X85" s="39" t="n">
        <v>93.97</v>
      </c>
      <c r="Y85" s="39" t="n">
        <f aca="false">J85*Resumo!$B$6</f>
        <v>0.45999</v>
      </c>
      <c r="Z85" s="39" t="n">
        <f aca="false">J85*Resumo!$B$7</f>
        <v>0.91998</v>
      </c>
      <c r="AA85" s="39" t="n">
        <f aca="false">Resumo!$B$9</f>
        <v>1</v>
      </c>
      <c r="AB85" s="39" t="n">
        <f aca="false">Resumo!$B$10*CEILING(I85/100,1)</f>
        <v>4.5</v>
      </c>
      <c r="AC85" s="39" t="n">
        <f aca="false">Resumo!$B$12*CEILING(I85,1)</f>
        <v>2.94</v>
      </c>
      <c r="AD85" s="39" t="n">
        <f aca="false">Resumo!$B$14*CEILING(I85,1)</f>
        <v>22.05</v>
      </c>
      <c r="AE85" s="39" t="n">
        <f aca="false">SUM(X85:AD85)</f>
        <v>125.83997</v>
      </c>
      <c r="AF85" s="39" t="n">
        <f aca="false">AE85/(1-Resumo!$B$5)</f>
        <v>142.999965909091</v>
      </c>
      <c r="AG85" s="39" t="n">
        <f aca="false">AF85-W85</f>
        <v>38.3045590909091</v>
      </c>
      <c r="AH85" s="40" t="n">
        <f aca="false">AF85/W85-1</f>
        <v>0.365866662683973</v>
      </c>
      <c r="AI85" s="37" t="str">
        <f aca="false">IF(AF85&lt;W85,"SIM","NÃO")</f>
        <v>NÃO</v>
      </c>
      <c r="AJ85" s="37" t="n">
        <v>2</v>
      </c>
      <c r="AK85" s="37" t="n">
        <v>5</v>
      </c>
      <c r="AL85" s="37" t="s">
        <v>343</v>
      </c>
      <c r="AM85" s="39" t="n">
        <v>102.79</v>
      </c>
    </row>
    <row r="86" customFormat="false" ht="15" hidden="false" customHeight="false" outlineLevel="0" collapsed="false">
      <c r="A86" s="37" t="n">
        <v>356346705</v>
      </c>
      <c r="B86" s="38" t="n">
        <v>46211.6128356482</v>
      </c>
      <c r="C86" s="37" t="s">
        <v>340</v>
      </c>
      <c r="D86" s="37" t="s">
        <v>432</v>
      </c>
      <c r="E86" s="37" t="n">
        <v>24727190</v>
      </c>
      <c r="F86" s="37" t="s">
        <v>160</v>
      </c>
      <c r="G86" s="37" t="s">
        <v>197</v>
      </c>
      <c r="H86" s="37" t="s">
        <v>185</v>
      </c>
      <c r="I86" s="37" t="n">
        <v>37.2</v>
      </c>
      <c r="J86" s="39" t="n">
        <v>399.99</v>
      </c>
      <c r="K86" s="37" t="s">
        <v>342</v>
      </c>
      <c r="L86" s="39" t="n">
        <v>112.88</v>
      </c>
      <c r="M86" s="39" t="n">
        <v>66.83</v>
      </c>
      <c r="N86" s="39" t="n">
        <f aca="false">J86*Resumo!$C$6</f>
        <v>0</v>
      </c>
      <c r="O86" s="39" t="n">
        <f aca="false">J86*Resumo!$C$7</f>
        <v>0.839979</v>
      </c>
      <c r="P86" s="39" t="n">
        <f aca="false">J86*Resumo!$C$8</f>
        <v>0.839979</v>
      </c>
      <c r="Q86" s="39" t="n">
        <f aca="false">Resumo!$C$10*CEILING(I86/100,1)</f>
        <v>1.05</v>
      </c>
      <c r="R86" s="39" t="n">
        <f aca="false">Resumo!$C$9</f>
        <v>0</v>
      </c>
      <c r="S86" s="39" t="n">
        <f aca="false">Resumo!$C$13</f>
        <v>13.55</v>
      </c>
      <c r="T86" s="39" t="n">
        <f aca="false">Resumo!$C$14*CEILING(I86,1)</f>
        <v>17.1</v>
      </c>
      <c r="U86" s="39" t="n">
        <f aca="false">SUM(M86:T86)*Resumo!$C$11</f>
        <v>0</v>
      </c>
      <c r="V86" s="39" t="n">
        <f aca="false">SUM(M86:U86)</f>
        <v>100.209958</v>
      </c>
      <c r="W86" s="39" t="n">
        <f aca="false">V86/(1-Resumo!$C$5)</f>
        <v>113.874952272727</v>
      </c>
      <c r="X86" s="39" t="n">
        <v>114.95</v>
      </c>
      <c r="Y86" s="39" t="n">
        <f aca="false">J86*Resumo!$B$6</f>
        <v>0.39999</v>
      </c>
      <c r="Z86" s="39" t="n">
        <f aca="false">J86*Resumo!$B$7</f>
        <v>0.79998</v>
      </c>
      <c r="AA86" s="39" t="n">
        <f aca="false">Resumo!$B$9</f>
        <v>1</v>
      </c>
      <c r="AB86" s="39" t="n">
        <f aca="false">Resumo!$B$10*CEILING(I86/100,1)</f>
        <v>4.5</v>
      </c>
      <c r="AC86" s="39" t="n">
        <f aca="false">Resumo!$B$12*CEILING(I86,1)</f>
        <v>2.28</v>
      </c>
      <c r="AD86" s="39" t="n">
        <f aca="false">Resumo!$B$14*CEILING(I86,1)</f>
        <v>17.1</v>
      </c>
      <c r="AE86" s="39" t="n">
        <f aca="false">SUM(X86:AD86)</f>
        <v>141.02997</v>
      </c>
      <c r="AF86" s="39" t="n">
        <f aca="false">AE86/(1-Resumo!$B$5)</f>
        <v>160.261329545455</v>
      </c>
      <c r="AG86" s="39" t="n">
        <f aca="false">AF86-W86</f>
        <v>46.3863772727273</v>
      </c>
      <c r="AH86" s="40" t="n">
        <f aca="false">AF86/W86-1</f>
        <v>0.407344866864429</v>
      </c>
      <c r="AI86" s="37" t="str">
        <f aca="false">IF(AF86&lt;W86,"SIM","NÃO")</f>
        <v>NÃO</v>
      </c>
      <c r="AJ86" s="37" t="n">
        <v>2</v>
      </c>
      <c r="AK86" s="37" t="n">
        <v>7</v>
      </c>
      <c r="AL86" s="37" t="s">
        <v>343</v>
      </c>
      <c r="AM86" s="39" t="n">
        <v>112.87</v>
      </c>
    </row>
    <row r="87" customFormat="false" ht="15" hidden="false" customHeight="false" outlineLevel="0" collapsed="false">
      <c r="A87" s="37" t="n">
        <v>356378395</v>
      </c>
      <c r="B87" s="38" t="n">
        <v>46211.6709259259</v>
      </c>
      <c r="C87" s="37" t="s">
        <v>340</v>
      </c>
      <c r="D87" s="37" t="s">
        <v>433</v>
      </c>
      <c r="E87" s="37" t="n">
        <v>25970077</v>
      </c>
      <c r="F87" s="37" t="s">
        <v>235</v>
      </c>
      <c r="G87" s="37" t="s">
        <v>198</v>
      </c>
      <c r="H87" s="37" t="s">
        <v>186</v>
      </c>
      <c r="I87" s="37" t="n">
        <v>48.3</v>
      </c>
      <c r="J87" s="39" t="n">
        <v>459.99</v>
      </c>
      <c r="K87" s="37" t="s">
        <v>342</v>
      </c>
      <c r="L87" s="39" t="n">
        <v>130.36</v>
      </c>
      <c r="M87" s="39" t="n">
        <v>77.7</v>
      </c>
      <c r="N87" s="39" t="n">
        <f aca="false">J87*Resumo!$C$6</f>
        <v>0</v>
      </c>
      <c r="O87" s="39" t="n">
        <f aca="false">J87*Resumo!$C$7</f>
        <v>0.965979</v>
      </c>
      <c r="P87" s="39" t="n">
        <f aca="false">J87*Resumo!$C$8</f>
        <v>0.965979</v>
      </c>
      <c r="Q87" s="39" t="n">
        <f aca="false">Resumo!$C$10*CEILING(I87/100,1)</f>
        <v>1.05</v>
      </c>
      <c r="R87" s="39" t="n">
        <f aca="false">Resumo!$C$9</f>
        <v>0</v>
      </c>
      <c r="S87" s="39" t="n">
        <f aca="false">Resumo!$C$13</f>
        <v>13.55</v>
      </c>
      <c r="T87" s="39" t="n">
        <f aca="false">Resumo!$C$14*CEILING(I87,1)</f>
        <v>22.05</v>
      </c>
      <c r="U87" s="39" t="n">
        <f aca="false">SUM(M87:T87)*Resumo!$C$11</f>
        <v>0</v>
      </c>
      <c r="V87" s="39" t="n">
        <f aca="false">SUM(M87:U87)</f>
        <v>116.281958</v>
      </c>
      <c r="W87" s="39" t="n">
        <f aca="false">V87/(1-Resumo!$C$5)</f>
        <v>132.138588636364</v>
      </c>
      <c r="X87" s="39" t="n">
        <v>135.03</v>
      </c>
      <c r="Y87" s="39" t="n">
        <f aca="false">J87*Resumo!$B$6</f>
        <v>0.45999</v>
      </c>
      <c r="Z87" s="39" t="n">
        <f aca="false">J87*Resumo!$B$7</f>
        <v>0.91998</v>
      </c>
      <c r="AA87" s="39" t="n">
        <f aca="false">Resumo!$B$9</f>
        <v>1</v>
      </c>
      <c r="AB87" s="39" t="n">
        <f aca="false">Resumo!$B$10*CEILING(I87/100,1)</f>
        <v>4.5</v>
      </c>
      <c r="AC87" s="39" t="n">
        <f aca="false">Resumo!$B$12*CEILING(I87,1)</f>
        <v>2.94</v>
      </c>
      <c r="AD87" s="39" t="n">
        <f aca="false">Resumo!$B$14*CEILING(I87,1)</f>
        <v>22.05</v>
      </c>
      <c r="AE87" s="39" t="n">
        <f aca="false">SUM(X87:AD87)</f>
        <v>166.89997</v>
      </c>
      <c r="AF87" s="39" t="n">
        <f aca="false">AE87/(1-Resumo!$B$5)</f>
        <v>189.659056818182</v>
      </c>
      <c r="AG87" s="39" t="n">
        <f aca="false">AF87-W87</f>
        <v>57.5204681818182</v>
      </c>
      <c r="AH87" s="40" t="n">
        <f aca="false">AF87/W87-1</f>
        <v>0.43530409076875</v>
      </c>
      <c r="AI87" s="37" t="str">
        <f aca="false">IF(AF87&lt;W87,"SIM","NÃO")</f>
        <v>NÃO</v>
      </c>
      <c r="AJ87" s="37" t="n">
        <v>13</v>
      </c>
      <c r="AK87" s="37" t="n">
        <v>10</v>
      </c>
      <c r="AL87" s="37" t="s">
        <v>347</v>
      </c>
      <c r="AM87" s="39" t="n">
        <v>130.36</v>
      </c>
    </row>
    <row r="88" customFormat="false" ht="15" hidden="false" customHeight="false" outlineLevel="0" collapsed="false">
      <c r="A88" s="37" t="n">
        <v>356418160</v>
      </c>
      <c r="B88" s="38" t="n">
        <v>46211.744212963</v>
      </c>
      <c r="C88" s="37" t="s">
        <v>345</v>
      </c>
      <c r="D88" s="37" t="s">
        <v>434</v>
      </c>
      <c r="E88" s="37" t="n">
        <v>21750001</v>
      </c>
      <c r="F88" s="37" t="s">
        <v>159</v>
      </c>
      <c r="G88" s="37" t="s">
        <v>196</v>
      </c>
      <c r="H88" s="37" t="s">
        <v>188</v>
      </c>
      <c r="I88" s="37" t="n">
        <v>66.8</v>
      </c>
      <c r="J88" s="39" t="n">
        <v>679.98</v>
      </c>
      <c r="K88" s="37" t="s">
        <v>342</v>
      </c>
      <c r="L88" s="39" t="n">
        <v>124.47</v>
      </c>
      <c r="M88" s="39" t="n">
        <v>63.21</v>
      </c>
      <c r="N88" s="39" t="n">
        <f aca="false">J88*Resumo!$C$6</f>
        <v>0</v>
      </c>
      <c r="O88" s="39" t="n">
        <f aca="false">J88*Resumo!$C$7</f>
        <v>1.427958</v>
      </c>
      <c r="P88" s="39" t="n">
        <f aca="false">J88*Resumo!$C$8</f>
        <v>1.427958</v>
      </c>
      <c r="Q88" s="39" t="n">
        <f aca="false">Resumo!$C$10*CEILING(I88/100,1)</f>
        <v>1.05</v>
      </c>
      <c r="R88" s="39" t="n">
        <f aca="false">Resumo!$C$9</f>
        <v>0</v>
      </c>
      <c r="S88" s="39" t="n">
        <f aca="false">Resumo!$C$13</f>
        <v>13.55</v>
      </c>
      <c r="T88" s="39" t="n">
        <f aca="false">Resumo!$C$14*CEILING(I88,1)</f>
        <v>30.15</v>
      </c>
      <c r="U88" s="39" t="n">
        <f aca="false">SUM(M88:T88)*Resumo!$C$11</f>
        <v>0</v>
      </c>
      <c r="V88" s="39" t="n">
        <f aca="false">SUM(M88:U88)</f>
        <v>110.815916</v>
      </c>
      <c r="W88" s="39" t="n">
        <f aca="false">V88/(1-Resumo!$C$5)</f>
        <v>125.927177272727</v>
      </c>
      <c r="X88" s="39" t="n">
        <v>131.02</v>
      </c>
      <c r="Y88" s="39" t="n">
        <f aca="false">J88*Resumo!$B$6</f>
        <v>0.67998</v>
      </c>
      <c r="Z88" s="39" t="n">
        <f aca="false">J88*Resumo!$B$7</f>
        <v>1.35996</v>
      </c>
      <c r="AA88" s="39" t="n">
        <f aca="false">Resumo!$B$9</f>
        <v>1</v>
      </c>
      <c r="AB88" s="39" t="n">
        <f aca="false">Resumo!$B$10*CEILING(I88/100,1)</f>
        <v>4.5</v>
      </c>
      <c r="AC88" s="39" t="n">
        <f aca="false">Resumo!$B$12*CEILING(I88,1)</f>
        <v>4.02</v>
      </c>
      <c r="AD88" s="39" t="n">
        <f aca="false">Resumo!$B$14*CEILING(I88,1)</f>
        <v>30.15</v>
      </c>
      <c r="AE88" s="39" t="n">
        <f aca="false">SUM(X88:AD88)</f>
        <v>172.72994</v>
      </c>
      <c r="AF88" s="39" t="n">
        <f aca="false">AE88/(1-Resumo!$B$5)</f>
        <v>196.284022727273</v>
      </c>
      <c r="AG88" s="39" t="n">
        <f aca="false">AF88-W88</f>
        <v>70.3568454545455</v>
      </c>
      <c r="AH88" s="40" t="n">
        <f aca="false">AF88/W88-1</f>
        <v>0.558710573668859</v>
      </c>
      <c r="AI88" s="37" t="str">
        <f aca="false">IF(AF88&lt;W88,"SIM","NÃO")</f>
        <v>NÃO</v>
      </c>
      <c r="AJ88" s="37" t="n">
        <v>2</v>
      </c>
      <c r="AK88" s="37" t="n">
        <v>5</v>
      </c>
      <c r="AL88" s="37" t="s">
        <v>343</v>
      </c>
      <c r="AM88" s="39" t="n">
        <v>124.47</v>
      </c>
    </row>
    <row r="89" customFormat="false" ht="15" hidden="false" customHeight="false" outlineLevel="0" collapsed="false">
      <c r="A89" s="37" t="n">
        <v>356454877</v>
      </c>
      <c r="B89" s="38" t="n">
        <v>46211.8102893519</v>
      </c>
      <c r="C89" s="37" t="s">
        <v>345</v>
      </c>
      <c r="D89" s="37" t="s">
        <v>435</v>
      </c>
      <c r="E89" s="37" t="n">
        <v>27281640</v>
      </c>
      <c r="F89" s="37" t="s">
        <v>168</v>
      </c>
      <c r="G89" s="37" t="s">
        <v>198</v>
      </c>
      <c r="H89" s="37" t="s">
        <v>192</v>
      </c>
      <c r="I89" s="37" t="n">
        <v>124.2</v>
      </c>
      <c r="J89" s="39" t="n">
        <v>1611.28</v>
      </c>
      <c r="K89" s="37" t="s">
        <v>342</v>
      </c>
      <c r="L89" s="39" t="n">
        <v>261</v>
      </c>
      <c r="M89" s="39" t="n">
        <v>144.24</v>
      </c>
      <c r="N89" s="39" t="n">
        <f aca="false">J89*Resumo!$C$6</f>
        <v>0</v>
      </c>
      <c r="O89" s="39" t="n">
        <f aca="false">J89*Resumo!$C$7</f>
        <v>3.383688</v>
      </c>
      <c r="P89" s="39" t="n">
        <f aca="false">J89*Resumo!$C$8</f>
        <v>3.383688</v>
      </c>
      <c r="Q89" s="39" t="n">
        <f aca="false">Resumo!$C$10*CEILING(I89/100,1)</f>
        <v>2.1</v>
      </c>
      <c r="R89" s="39" t="n">
        <f aca="false">Resumo!$C$9</f>
        <v>0</v>
      </c>
      <c r="S89" s="39" t="n">
        <f aca="false">Resumo!$C$13</f>
        <v>13.55</v>
      </c>
      <c r="T89" s="39" t="n">
        <f aca="false">Resumo!$C$14*CEILING(I89,1)</f>
        <v>56.25</v>
      </c>
      <c r="U89" s="39" t="n">
        <f aca="false">SUM(M89:T89)*Resumo!$C$11</f>
        <v>0</v>
      </c>
      <c r="V89" s="39" t="n">
        <f aca="false">SUM(M89:U89)</f>
        <v>222.907376</v>
      </c>
      <c r="W89" s="39" t="n">
        <f aca="false">V89/(1-Resumo!$C$5)</f>
        <v>253.303836363636</v>
      </c>
      <c r="X89" s="39" t="n">
        <v>264.84</v>
      </c>
      <c r="Y89" s="39" t="n">
        <f aca="false">J89*Resumo!$B$6</f>
        <v>1.61128</v>
      </c>
      <c r="Z89" s="39" t="n">
        <f aca="false">J89*Resumo!$B$7</f>
        <v>3.22256</v>
      </c>
      <c r="AA89" s="39" t="n">
        <f aca="false">Resumo!$B$9</f>
        <v>1</v>
      </c>
      <c r="AB89" s="39" t="n">
        <f aca="false">Resumo!$B$10*CEILING(I89/100,1)</f>
        <v>9</v>
      </c>
      <c r="AC89" s="39" t="n">
        <f aca="false">Resumo!$B$12*CEILING(I89,1)</f>
        <v>7.5</v>
      </c>
      <c r="AD89" s="39" t="n">
        <f aca="false">Resumo!$B$14*CEILING(I89,1)</f>
        <v>56.25</v>
      </c>
      <c r="AE89" s="39" t="n">
        <f aca="false">SUM(X89:AD89)</f>
        <v>343.42384</v>
      </c>
      <c r="AF89" s="39" t="n">
        <f aca="false">AE89/(1-Resumo!$B$5)</f>
        <v>390.254363636364</v>
      </c>
      <c r="AG89" s="39" t="n">
        <f aca="false">AF89-W89</f>
        <v>136.950527272727</v>
      </c>
      <c r="AH89" s="40" t="n">
        <f aca="false">AF89/W89-1</f>
        <v>0.540657138236646</v>
      </c>
      <c r="AI89" s="37" t="str">
        <f aca="false">IF(AF89&lt;W89,"SIM","NÃO")</f>
        <v>NÃO</v>
      </c>
      <c r="AJ89" s="37" t="n">
        <v>13</v>
      </c>
      <c r="AK89" s="37" t="n">
        <v>10</v>
      </c>
      <c r="AL89" s="37" t="s">
        <v>343</v>
      </c>
      <c r="AM89" s="39" t="n">
        <v>261.01</v>
      </c>
    </row>
    <row r="90" customFormat="false" ht="15" hidden="false" customHeight="false" outlineLevel="0" collapsed="false">
      <c r="A90" s="37" t="n">
        <v>356481638</v>
      </c>
      <c r="B90" s="38" t="n">
        <v>46211.856087963</v>
      </c>
      <c r="C90" s="37" t="s">
        <v>345</v>
      </c>
      <c r="D90" s="37" t="s">
        <v>436</v>
      </c>
      <c r="E90" s="37" t="n">
        <v>26177010</v>
      </c>
      <c r="F90" s="37" t="s">
        <v>165</v>
      </c>
      <c r="G90" s="37" t="s">
        <v>197</v>
      </c>
      <c r="H90" s="37" t="s">
        <v>187</v>
      </c>
      <c r="I90" s="37" t="n">
        <v>51.06</v>
      </c>
      <c r="J90" s="39" t="n">
        <v>679.98</v>
      </c>
      <c r="K90" s="37" t="s">
        <v>342</v>
      </c>
      <c r="L90" s="39" t="n">
        <v>128.55</v>
      </c>
      <c r="M90" s="39" t="n">
        <v>70.98</v>
      </c>
      <c r="N90" s="39" t="n">
        <f aca="false">J90*Resumo!$C$6</f>
        <v>0</v>
      </c>
      <c r="O90" s="39" t="n">
        <f aca="false">J90*Resumo!$C$7</f>
        <v>1.427958</v>
      </c>
      <c r="P90" s="39" t="n">
        <f aca="false">J90*Resumo!$C$8</f>
        <v>1.427958</v>
      </c>
      <c r="Q90" s="39" t="n">
        <f aca="false">Resumo!$C$10*CEILING(I90/100,1)</f>
        <v>1.05</v>
      </c>
      <c r="R90" s="39" t="n">
        <f aca="false">Resumo!$C$9</f>
        <v>0</v>
      </c>
      <c r="S90" s="39" t="n">
        <f aca="false">Resumo!$C$13</f>
        <v>13.55</v>
      </c>
      <c r="T90" s="39" t="n">
        <f aca="false">Resumo!$C$14*CEILING(I90,1)</f>
        <v>23.4</v>
      </c>
      <c r="U90" s="39" t="n">
        <f aca="false">SUM(M90:T90)*Resumo!$C$11</f>
        <v>0</v>
      </c>
      <c r="V90" s="39" t="n">
        <f aca="false">SUM(M90:U90)</f>
        <v>111.835916</v>
      </c>
      <c r="W90" s="39" t="n">
        <f aca="false">V90/(1-Resumo!$C$5)</f>
        <v>127.086268181818</v>
      </c>
      <c r="X90" s="39" t="n">
        <v>112.3</v>
      </c>
      <c r="Y90" s="39" t="n">
        <f aca="false">J90*Resumo!$B$6</f>
        <v>0.67998</v>
      </c>
      <c r="Z90" s="39" t="n">
        <f aca="false">J90*Resumo!$B$7</f>
        <v>1.35996</v>
      </c>
      <c r="AA90" s="39" t="n">
        <f aca="false">Resumo!$B$9</f>
        <v>1</v>
      </c>
      <c r="AB90" s="39" t="n">
        <f aca="false">Resumo!$B$10*CEILING(I90/100,1)</f>
        <v>4.5</v>
      </c>
      <c r="AC90" s="39" t="n">
        <f aca="false">Resumo!$B$12*CEILING(I90,1)</f>
        <v>3.12</v>
      </c>
      <c r="AD90" s="39" t="n">
        <f aca="false">Resumo!$B$14*CEILING(I90,1)</f>
        <v>23.4</v>
      </c>
      <c r="AE90" s="39" t="n">
        <f aca="false">SUM(X90:AD90)</f>
        <v>146.35994</v>
      </c>
      <c r="AF90" s="39" t="n">
        <f aca="false">AE90/(1-Resumo!$B$5)</f>
        <v>166.318113636364</v>
      </c>
      <c r="AG90" s="39" t="n">
        <f aca="false">AF90-W90</f>
        <v>39.2318454545454</v>
      </c>
      <c r="AH90" s="40" t="n">
        <f aca="false">AF90/W90-1</f>
        <v>0.308702474435851</v>
      </c>
      <c r="AI90" s="37" t="str">
        <f aca="false">IF(AF90&lt;W90,"SIM","NÃO")</f>
        <v>NÃO</v>
      </c>
      <c r="AJ90" s="37" t="n">
        <v>2</v>
      </c>
      <c r="AK90" s="37" t="n">
        <v>5</v>
      </c>
      <c r="AL90" s="37" t="s">
        <v>343</v>
      </c>
      <c r="AM90" s="39" t="n">
        <v>128.54</v>
      </c>
    </row>
    <row r="91" customFormat="false" ht="15" hidden="false" customHeight="false" outlineLevel="0" collapsed="false">
      <c r="A91" s="37" t="n">
        <v>356517949</v>
      </c>
      <c r="B91" s="38" t="n">
        <v>46211.9269560185</v>
      </c>
      <c r="C91" s="37" t="s">
        <v>361</v>
      </c>
      <c r="D91" s="37" t="s">
        <v>437</v>
      </c>
      <c r="E91" s="37" t="n">
        <v>21310030</v>
      </c>
      <c r="F91" s="37" t="s">
        <v>159</v>
      </c>
      <c r="G91" s="37" t="s">
        <v>196</v>
      </c>
      <c r="H91" s="37" t="s">
        <v>185</v>
      </c>
      <c r="I91" s="37" t="n">
        <v>37.2</v>
      </c>
      <c r="J91" s="39" t="n">
        <v>459.99</v>
      </c>
      <c r="K91" s="37" t="s">
        <v>342</v>
      </c>
      <c r="L91" s="39" t="n">
        <v>92.06</v>
      </c>
      <c r="M91" s="39" t="n">
        <v>48.35</v>
      </c>
      <c r="N91" s="39" t="n">
        <f aca="false">J91*Resumo!$C$6</f>
        <v>0</v>
      </c>
      <c r="O91" s="39" t="n">
        <f aca="false">J91*Resumo!$C$7</f>
        <v>0.965979</v>
      </c>
      <c r="P91" s="39" t="n">
        <f aca="false">J91*Resumo!$C$8</f>
        <v>0.965979</v>
      </c>
      <c r="Q91" s="39" t="n">
        <f aca="false">Resumo!$C$10*CEILING(I91/100,1)</f>
        <v>1.05</v>
      </c>
      <c r="R91" s="39" t="n">
        <f aca="false">Resumo!$C$9</f>
        <v>0</v>
      </c>
      <c r="S91" s="39" t="n">
        <f aca="false">Resumo!$C$13</f>
        <v>13.55</v>
      </c>
      <c r="T91" s="39" t="n">
        <f aca="false">Resumo!$C$14*CEILING(I91,1)</f>
        <v>17.1</v>
      </c>
      <c r="U91" s="39" t="n">
        <f aca="false">SUM(M91:T91)*Resumo!$C$11</f>
        <v>0</v>
      </c>
      <c r="V91" s="39" t="n">
        <f aca="false">SUM(M91:U91)</f>
        <v>81.981958</v>
      </c>
      <c r="W91" s="39" t="n">
        <f aca="false">V91/(1-Resumo!$C$5)</f>
        <v>93.1613159090909</v>
      </c>
      <c r="X91" s="39" t="n">
        <v>93.97</v>
      </c>
      <c r="Y91" s="39" t="n">
        <f aca="false">J91*Resumo!$B$6</f>
        <v>0.45999</v>
      </c>
      <c r="Z91" s="39" t="n">
        <f aca="false">J91*Resumo!$B$7</f>
        <v>0.91998</v>
      </c>
      <c r="AA91" s="39" t="n">
        <f aca="false">Resumo!$B$9</f>
        <v>1</v>
      </c>
      <c r="AB91" s="39" t="n">
        <f aca="false">Resumo!$B$10*CEILING(I91/100,1)</f>
        <v>4.5</v>
      </c>
      <c r="AC91" s="39" t="n">
        <f aca="false">Resumo!$B$12*CEILING(I91,1)</f>
        <v>2.28</v>
      </c>
      <c r="AD91" s="39" t="n">
        <f aca="false">Resumo!$B$14*CEILING(I91,1)</f>
        <v>17.1</v>
      </c>
      <c r="AE91" s="39" t="n">
        <f aca="false">SUM(X91:AD91)</f>
        <v>120.22997</v>
      </c>
      <c r="AF91" s="39" t="n">
        <f aca="false">AE91/(1-Resumo!$B$5)</f>
        <v>136.624965909091</v>
      </c>
      <c r="AG91" s="39" t="n">
        <f aca="false">AF91-W91</f>
        <v>43.46365</v>
      </c>
      <c r="AH91" s="40" t="n">
        <f aca="false">AF91/W91-1</f>
        <v>0.466541821311465</v>
      </c>
      <c r="AI91" s="37" t="str">
        <f aca="false">IF(AF91&lt;W91,"SIM","NÃO")</f>
        <v>NÃO</v>
      </c>
      <c r="AJ91" s="37" t="n">
        <v>2</v>
      </c>
      <c r="AK91" s="37" t="n">
        <v>5</v>
      </c>
      <c r="AL91" s="37" t="s">
        <v>343</v>
      </c>
      <c r="AM91" s="39" t="n">
        <v>92.06</v>
      </c>
    </row>
    <row r="92" customFormat="false" ht="15" hidden="false" customHeight="false" outlineLevel="0" collapsed="false">
      <c r="A92" s="37" t="n">
        <v>356490484</v>
      </c>
      <c r="B92" s="38" t="n">
        <v>46211.9686689815</v>
      </c>
      <c r="C92" s="37" t="s">
        <v>361</v>
      </c>
      <c r="D92" s="37" t="s">
        <v>438</v>
      </c>
      <c r="E92" s="37" t="n">
        <v>26480320</v>
      </c>
      <c r="F92" s="37" t="s">
        <v>237</v>
      </c>
      <c r="G92" s="37" t="s">
        <v>198</v>
      </c>
      <c r="H92" s="37" t="s">
        <v>186</v>
      </c>
      <c r="I92" s="37" t="n">
        <v>48.3</v>
      </c>
      <c r="J92" s="39" t="n">
        <v>499.99</v>
      </c>
      <c r="K92" s="37" t="s">
        <v>342</v>
      </c>
      <c r="L92" s="39" t="n">
        <v>130.56</v>
      </c>
      <c r="M92" s="39" t="n">
        <v>77.7</v>
      </c>
      <c r="N92" s="39" t="n">
        <f aca="false">J92*Resumo!$C$6</f>
        <v>0</v>
      </c>
      <c r="O92" s="39" t="n">
        <f aca="false">J92*Resumo!$C$7</f>
        <v>1.049979</v>
      </c>
      <c r="P92" s="39" t="n">
        <f aca="false">J92*Resumo!$C$8</f>
        <v>1.049979</v>
      </c>
      <c r="Q92" s="39" t="n">
        <f aca="false">Resumo!$C$10*CEILING(I92/100,1)</f>
        <v>1.05</v>
      </c>
      <c r="R92" s="39" t="n">
        <f aca="false">Resumo!$C$9</f>
        <v>0</v>
      </c>
      <c r="S92" s="39" t="n">
        <f aca="false">Resumo!$C$13</f>
        <v>13.55</v>
      </c>
      <c r="T92" s="39" t="n">
        <f aca="false">Resumo!$C$14*CEILING(I92,1)</f>
        <v>22.05</v>
      </c>
      <c r="U92" s="39" t="n">
        <f aca="false">SUM(M92:T92)*Resumo!$C$11</f>
        <v>0</v>
      </c>
      <c r="V92" s="39" t="n">
        <f aca="false">SUM(M92:U92)</f>
        <v>116.449958</v>
      </c>
      <c r="W92" s="39" t="n">
        <f aca="false">V92/(1-Resumo!$C$5)</f>
        <v>132.329497727273</v>
      </c>
      <c r="X92" s="39" t="n">
        <v>93.97</v>
      </c>
      <c r="Y92" s="39" t="n">
        <f aca="false">J92*Resumo!$B$6</f>
        <v>0.49999</v>
      </c>
      <c r="Z92" s="39" t="n">
        <f aca="false">J92*Resumo!$B$7</f>
        <v>0.99998</v>
      </c>
      <c r="AA92" s="39" t="n">
        <f aca="false">Resumo!$B$9</f>
        <v>1</v>
      </c>
      <c r="AB92" s="39" t="n">
        <f aca="false">Resumo!$B$10*CEILING(I92/100,1)</f>
        <v>4.5</v>
      </c>
      <c r="AC92" s="39" t="n">
        <f aca="false">Resumo!$B$12*CEILING(I92,1)</f>
        <v>2.94</v>
      </c>
      <c r="AD92" s="39" t="n">
        <f aca="false">Resumo!$B$14*CEILING(I92,1)</f>
        <v>22.05</v>
      </c>
      <c r="AE92" s="39" t="n">
        <f aca="false">SUM(X92:AD92)</f>
        <v>125.95997</v>
      </c>
      <c r="AF92" s="39" t="n">
        <f aca="false">AE92/(1-Resumo!$B$5)</f>
        <v>143.136329545455</v>
      </c>
      <c r="AG92" s="39" t="n">
        <f aca="false">AF92-W92</f>
        <v>10.8068318181818</v>
      </c>
      <c r="AH92" s="40" t="n">
        <f aca="false">AF92/W92-1</f>
        <v>0.0816660835549636</v>
      </c>
      <c r="AI92" s="37" t="str">
        <f aca="false">IF(AF92&lt;W92,"SIM","NÃO")</f>
        <v>NÃO</v>
      </c>
      <c r="AJ92" s="37" t="n">
        <v>13</v>
      </c>
      <c r="AK92" s="37" t="n">
        <v>5</v>
      </c>
      <c r="AL92" s="37" t="s">
        <v>347</v>
      </c>
      <c r="AM92" s="39" t="n">
        <v>130.56</v>
      </c>
    </row>
    <row r="93" customFormat="false" ht="15" hidden="false" customHeight="false" outlineLevel="0" collapsed="false">
      <c r="A93" s="37" t="n">
        <v>356556476</v>
      </c>
      <c r="B93" s="38" t="n">
        <v>46212.0133217593</v>
      </c>
      <c r="C93" s="37" t="s">
        <v>340</v>
      </c>
      <c r="D93" s="37" t="s">
        <v>439</v>
      </c>
      <c r="E93" s="37" t="n">
        <v>24805900</v>
      </c>
      <c r="F93" s="37" t="s">
        <v>174</v>
      </c>
      <c r="G93" s="37" t="s">
        <v>198</v>
      </c>
      <c r="H93" s="37" t="s">
        <v>186</v>
      </c>
      <c r="I93" s="37" t="n">
        <v>46.8</v>
      </c>
      <c r="J93" s="39" t="n">
        <v>556.99</v>
      </c>
      <c r="K93" s="37" t="s">
        <v>342</v>
      </c>
      <c r="L93" s="39" t="n">
        <v>130.82</v>
      </c>
      <c r="M93" s="39" t="n">
        <v>77.7</v>
      </c>
      <c r="N93" s="39" t="n">
        <f aca="false">J93*Resumo!$C$6</f>
        <v>0</v>
      </c>
      <c r="O93" s="39" t="n">
        <f aca="false">J93*Resumo!$C$7</f>
        <v>1.169679</v>
      </c>
      <c r="P93" s="39" t="n">
        <f aca="false">J93*Resumo!$C$8</f>
        <v>1.169679</v>
      </c>
      <c r="Q93" s="39" t="n">
        <f aca="false">Resumo!$C$10*CEILING(I93/100,1)</f>
        <v>1.05</v>
      </c>
      <c r="R93" s="39" t="n">
        <f aca="false">Resumo!$C$9</f>
        <v>0</v>
      </c>
      <c r="S93" s="39" t="n">
        <f aca="false">Resumo!$C$13</f>
        <v>13.55</v>
      </c>
      <c r="T93" s="39" t="n">
        <f aca="false">Resumo!$C$14*CEILING(I93,1)</f>
        <v>21.15</v>
      </c>
      <c r="U93" s="39" t="n">
        <f aca="false">SUM(M93:T93)*Resumo!$C$11</f>
        <v>0</v>
      </c>
      <c r="V93" s="39" t="n">
        <f aca="false">SUM(M93:U93)</f>
        <v>115.789358</v>
      </c>
      <c r="W93" s="39" t="n">
        <f aca="false">V93/(1-Resumo!$C$5)</f>
        <v>131.578815909091</v>
      </c>
      <c r="X93" s="39" t="n">
        <v>114.95</v>
      </c>
      <c r="Y93" s="39" t="n">
        <f aca="false">J93*Resumo!$B$6</f>
        <v>0.55699</v>
      </c>
      <c r="Z93" s="39" t="n">
        <f aca="false">J93*Resumo!$B$7</f>
        <v>1.11398</v>
      </c>
      <c r="AA93" s="39" t="n">
        <f aca="false">Resumo!$B$9</f>
        <v>1</v>
      </c>
      <c r="AB93" s="39" t="n">
        <f aca="false">Resumo!$B$10*CEILING(I93/100,1)</f>
        <v>4.5</v>
      </c>
      <c r="AC93" s="39" t="n">
        <f aca="false">Resumo!$B$12*CEILING(I93,1)</f>
        <v>2.82</v>
      </c>
      <c r="AD93" s="39" t="n">
        <f aca="false">Resumo!$B$14*CEILING(I93,1)</f>
        <v>21.15</v>
      </c>
      <c r="AE93" s="39" t="n">
        <f aca="false">SUM(X93:AD93)</f>
        <v>146.09097</v>
      </c>
      <c r="AF93" s="39" t="n">
        <f aca="false">AE93/(1-Resumo!$B$5)</f>
        <v>166.012465909091</v>
      </c>
      <c r="AG93" s="39" t="n">
        <f aca="false">AF93-W93</f>
        <v>34.43365</v>
      </c>
      <c r="AH93" s="40" t="n">
        <f aca="false">AF93/W93-1</f>
        <v>0.261696001458096</v>
      </c>
      <c r="AI93" s="37" t="str">
        <f aca="false">IF(AF93&lt;W93,"SIM","NÃO")</f>
        <v>NÃO</v>
      </c>
      <c r="AJ93" s="37" t="n">
        <v>13</v>
      </c>
      <c r="AK93" s="37" t="n">
        <v>7</v>
      </c>
      <c r="AL93" s="37" t="s">
        <v>343</v>
      </c>
      <c r="AM93" s="39" t="n">
        <v>130.83</v>
      </c>
    </row>
    <row r="94" customFormat="false" ht="15" hidden="false" customHeight="false" outlineLevel="0" collapsed="false">
      <c r="A94" s="37" t="n">
        <v>356708076</v>
      </c>
      <c r="B94" s="38" t="n">
        <v>46212.4535069445</v>
      </c>
      <c r="C94" s="37" t="s">
        <v>340</v>
      </c>
      <c r="D94" s="37" t="s">
        <v>440</v>
      </c>
      <c r="E94" s="37" t="n">
        <v>22641100</v>
      </c>
      <c r="F94" s="37" t="s">
        <v>159</v>
      </c>
      <c r="G94" s="37" t="s">
        <v>196</v>
      </c>
      <c r="H94" s="37" t="s">
        <v>183</v>
      </c>
      <c r="I94" s="37" t="n">
        <v>15.05</v>
      </c>
      <c r="J94" s="39" t="n">
        <v>239.99</v>
      </c>
      <c r="K94" s="37" t="s">
        <v>342</v>
      </c>
      <c r="L94" s="39" t="n">
        <v>64.36</v>
      </c>
      <c r="M94" s="39" t="n">
        <v>33.42</v>
      </c>
      <c r="N94" s="39" t="n">
        <f aca="false">J94*Resumo!$C$6</f>
        <v>0</v>
      </c>
      <c r="O94" s="39" t="n">
        <f aca="false">J94*Resumo!$C$7</f>
        <v>0.503979</v>
      </c>
      <c r="P94" s="39" t="n">
        <f aca="false">J94*Resumo!$C$8</f>
        <v>0.503979</v>
      </c>
      <c r="Q94" s="39" t="n">
        <f aca="false">Resumo!$C$10*CEILING(I94/100,1)</f>
        <v>1.05</v>
      </c>
      <c r="R94" s="39" t="n">
        <f aca="false">Resumo!$C$9</f>
        <v>0</v>
      </c>
      <c r="S94" s="39" t="n">
        <f aca="false">Resumo!$C$13</f>
        <v>13.55</v>
      </c>
      <c r="T94" s="39" t="n">
        <f aca="false">Resumo!$C$14*CEILING(I94,1)</f>
        <v>7.2</v>
      </c>
      <c r="U94" s="39" t="n">
        <f aca="false">SUM(M94:T94)*Resumo!$C$11</f>
        <v>0</v>
      </c>
      <c r="V94" s="39" t="n">
        <f aca="false">SUM(M94:U94)</f>
        <v>56.227958</v>
      </c>
      <c r="W94" s="39" t="n">
        <f aca="false">V94/(1-Resumo!$C$5)</f>
        <v>63.8954068181818</v>
      </c>
      <c r="X94" s="39" t="n">
        <v>46.98</v>
      </c>
      <c r="Y94" s="39" t="n">
        <f aca="false">J94*Resumo!$B$6</f>
        <v>0.23999</v>
      </c>
      <c r="Z94" s="39" t="n">
        <f aca="false">J94*Resumo!$B$7</f>
        <v>0.47998</v>
      </c>
      <c r="AA94" s="39" t="n">
        <f aca="false">Resumo!$B$9</f>
        <v>1</v>
      </c>
      <c r="AB94" s="39" t="n">
        <f aca="false">Resumo!$B$10*CEILING(I94/100,1)</f>
        <v>4.5</v>
      </c>
      <c r="AC94" s="39" t="n">
        <f aca="false">Resumo!$B$12*CEILING(I94,1)</f>
        <v>0.96</v>
      </c>
      <c r="AD94" s="39" t="n">
        <f aca="false">Resumo!$B$14*CEILING(I94,1)</f>
        <v>7.2</v>
      </c>
      <c r="AE94" s="39" t="n">
        <f aca="false">SUM(X94:AD94)</f>
        <v>61.35997</v>
      </c>
      <c r="AF94" s="39" t="n">
        <f aca="false">AE94/(1-Resumo!$B$5)</f>
        <v>69.7272386363636</v>
      </c>
      <c r="AG94" s="39" t="n">
        <f aca="false">AF94-W94</f>
        <v>5.83183181818181</v>
      </c>
      <c r="AH94" s="40" t="n">
        <f aca="false">AF94/W94-1</f>
        <v>0.0912715343495134</v>
      </c>
      <c r="AI94" s="37" t="str">
        <f aca="false">IF(AF94&lt;W94,"SIM","NÃO")</f>
        <v>NÃO</v>
      </c>
      <c r="AJ94" s="37" t="n">
        <v>2</v>
      </c>
      <c r="AK94" s="37" t="n">
        <v>5</v>
      </c>
      <c r="AL94" s="37" t="s">
        <v>343</v>
      </c>
      <c r="AM94" s="39" t="n">
        <v>64.37</v>
      </c>
    </row>
    <row r="95" customFormat="false" ht="15" hidden="false" customHeight="false" outlineLevel="0" collapsed="false">
      <c r="A95" s="37" t="n">
        <v>356734261</v>
      </c>
      <c r="B95" s="38" t="n">
        <v>46212.5090277778</v>
      </c>
      <c r="C95" s="37" t="s">
        <v>345</v>
      </c>
      <c r="D95" s="37" t="s">
        <v>441</v>
      </c>
      <c r="E95" s="37" t="n">
        <v>26279240</v>
      </c>
      <c r="F95" s="37" t="s">
        <v>162</v>
      </c>
      <c r="G95" s="37" t="s">
        <v>197</v>
      </c>
      <c r="H95" s="37" t="s">
        <v>188</v>
      </c>
      <c r="I95" s="37" t="n">
        <v>69.15</v>
      </c>
      <c r="J95" s="39" t="n">
        <v>721.99</v>
      </c>
      <c r="K95" s="37" t="s">
        <v>342</v>
      </c>
      <c r="L95" s="39" t="n">
        <v>139.89</v>
      </c>
      <c r="M95" s="39" t="n">
        <v>76.55</v>
      </c>
      <c r="N95" s="39" t="n">
        <f aca="false">J95*Resumo!$C$6</f>
        <v>0</v>
      </c>
      <c r="O95" s="39" t="n">
        <f aca="false">J95*Resumo!$C$7</f>
        <v>1.516179</v>
      </c>
      <c r="P95" s="39" t="n">
        <f aca="false">J95*Resumo!$C$8</f>
        <v>1.516179</v>
      </c>
      <c r="Q95" s="39" t="n">
        <f aca="false">Resumo!$C$10*CEILING(I95/100,1)</f>
        <v>1.05</v>
      </c>
      <c r="R95" s="39" t="n">
        <f aca="false">Resumo!$C$9</f>
        <v>0</v>
      </c>
      <c r="S95" s="39" t="n">
        <f aca="false">Resumo!$C$13</f>
        <v>13.55</v>
      </c>
      <c r="T95" s="39" t="n">
        <f aca="false">Resumo!$C$14*CEILING(I95,1)</f>
        <v>31.5</v>
      </c>
      <c r="U95" s="39" t="n">
        <f aca="false">SUM(M95:T95)*Resumo!$C$11</f>
        <v>0</v>
      </c>
      <c r="V95" s="39" t="n">
        <f aca="false">SUM(M95:U95)</f>
        <v>125.682358</v>
      </c>
      <c r="W95" s="39" t="n">
        <f aca="false">V95/(1-Resumo!$C$5)</f>
        <v>142.820861363636</v>
      </c>
      <c r="X95" s="39" t="n">
        <v>131.02</v>
      </c>
      <c r="Y95" s="39" t="n">
        <f aca="false">J95*Resumo!$B$6</f>
        <v>0.72199</v>
      </c>
      <c r="Z95" s="39" t="n">
        <f aca="false">J95*Resumo!$B$7</f>
        <v>1.44398</v>
      </c>
      <c r="AA95" s="39" t="n">
        <f aca="false">Resumo!$B$9</f>
        <v>1</v>
      </c>
      <c r="AB95" s="39" t="n">
        <f aca="false">Resumo!$B$10*CEILING(I95/100,1)</f>
        <v>4.5</v>
      </c>
      <c r="AC95" s="39" t="n">
        <f aca="false">Resumo!$B$12*CEILING(I95,1)</f>
        <v>4.2</v>
      </c>
      <c r="AD95" s="39" t="n">
        <f aca="false">Resumo!$B$14*CEILING(I95,1)</f>
        <v>31.5</v>
      </c>
      <c r="AE95" s="39" t="n">
        <f aca="false">SUM(X95:AD95)</f>
        <v>174.38597</v>
      </c>
      <c r="AF95" s="39" t="n">
        <f aca="false">AE95/(1-Resumo!$B$5)</f>
        <v>198.165875</v>
      </c>
      <c r="AG95" s="39" t="n">
        <f aca="false">AF95-W95</f>
        <v>55.3450136363637</v>
      </c>
      <c r="AH95" s="40" t="n">
        <f aca="false">AF95/W95-1</f>
        <v>0.387513512437442</v>
      </c>
      <c r="AI95" s="37" t="str">
        <f aca="false">IF(AF95&lt;W95,"SIM","NÃO")</f>
        <v>NÃO</v>
      </c>
      <c r="AJ95" s="37" t="n">
        <v>2</v>
      </c>
      <c r="AK95" s="37" t="n">
        <v>5</v>
      </c>
      <c r="AL95" s="37" t="s">
        <v>343</v>
      </c>
      <c r="AM95" s="39" t="n">
        <v>139.89</v>
      </c>
    </row>
    <row r="96" customFormat="false" ht="15" hidden="false" customHeight="false" outlineLevel="0" collapsed="false">
      <c r="A96" s="37" t="n">
        <v>356745748</v>
      </c>
      <c r="B96" s="38" t="n">
        <v>46212.5322800926</v>
      </c>
      <c r="C96" s="37" t="s">
        <v>340</v>
      </c>
      <c r="D96" s="37" t="s">
        <v>442</v>
      </c>
      <c r="E96" s="37" t="n">
        <v>25937048</v>
      </c>
      <c r="F96" s="37" t="s">
        <v>176</v>
      </c>
      <c r="G96" s="37" t="s">
        <v>198</v>
      </c>
      <c r="H96" s="37" t="s">
        <v>186</v>
      </c>
      <c r="I96" s="37" t="n">
        <v>46.8</v>
      </c>
      <c r="J96" s="39" t="n">
        <v>556.99</v>
      </c>
      <c r="K96" s="37" t="s">
        <v>342</v>
      </c>
      <c r="L96" s="39" t="n">
        <v>130.82</v>
      </c>
      <c r="M96" s="39" t="n">
        <v>77.7</v>
      </c>
      <c r="N96" s="39" t="n">
        <f aca="false">J96*Resumo!$C$6</f>
        <v>0</v>
      </c>
      <c r="O96" s="39" t="n">
        <f aca="false">J96*Resumo!$C$7</f>
        <v>1.169679</v>
      </c>
      <c r="P96" s="39" t="n">
        <f aca="false">J96*Resumo!$C$8</f>
        <v>1.169679</v>
      </c>
      <c r="Q96" s="39" t="n">
        <f aca="false">Resumo!$C$10*CEILING(I96/100,1)</f>
        <v>1.05</v>
      </c>
      <c r="R96" s="39" t="n">
        <f aca="false">Resumo!$C$9</f>
        <v>0</v>
      </c>
      <c r="S96" s="39" t="n">
        <f aca="false">Resumo!$C$13</f>
        <v>13.55</v>
      </c>
      <c r="T96" s="39" t="n">
        <f aca="false">Resumo!$C$14*CEILING(I96,1)</f>
        <v>21.15</v>
      </c>
      <c r="U96" s="39" t="n">
        <f aca="false">SUM(M96:T96)*Resumo!$C$11</f>
        <v>0</v>
      </c>
      <c r="V96" s="39" t="n">
        <f aca="false">SUM(M96:U96)</f>
        <v>115.789358</v>
      </c>
      <c r="W96" s="39" t="n">
        <f aca="false">V96/(1-Resumo!$C$5)</f>
        <v>131.578815909091</v>
      </c>
      <c r="X96" s="39" t="n">
        <v>117.23</v>
      </c>
      <c r="Y96" s="39" t="n">
        <f aca="false">J96*Resumo!$B$6</f>
        <v>0.55699</v>
      </c>
      <c r="Z96" s="39" t="n">
        <f aca="false">J96*Resumo!$B$7</f>
        <v>1.11398</v>
      </c>
      <c r="AA96" s="39" t="n">
        <f aca="false">Resumo!$B$9</f>
        <v>1</v>
      </c>
      <c r="AB96" s="39" t="n">
        <f aca="false">Resumo!$B$10*CEILING(I96/100,1)</f>
        <v>4.5</v>
      </c>
      <c r="AC96" s="39" t="n">
        <f aca="false">Resumo!$B$12*CEILING(I96,1)</f>
        <v>2.82</v>
      </c>
      <c r="AD96" s="39" t="n">
        <f aca="false">Resumo!$B$14*CEILING(I96,1)</f>
        <v>21.15</v>
      </c>
      <c r="AE96" s="39" t="n">
        <f aca="false">SUM(X96:AD96)</f>
        <v>148.37097</v>
      </c>
      <c r="AF96" s="39" t="n">
        <f aca="false">AE96/(1-Resumo!$B$5)</f>
        <v>168.603375</v>
      </c>
      <c r="AG96" s="39" t="n">
        <f aca="false">AF96-W96</f>
        <v>37.0245590909091</v>
      </c>
      <c r="AH96" s="40" t="n">
        <f aca="false">AF96/W96-1</f>
        <v>0.281386930222033</v>
      </c>
      <c r="AI96" s="37" t="str">
        <f aca="false">IF(AF96&lt;W96,"SIM","NÃO")</f>
        <v>NÃO</v>
      </c>
      <c r="AJ96" s="37" t="n">
        <v>13</v>
      </c>
      <c r="AK96" s="37" t="n">
        <v>6</v>
      </c>
      <c r="AL96" s="37" t="s">
        <v>343</v>
      </c>
      <c r="AM96" s="39" t="n">
        <v>130.83</v>
      </c>
    </row>
    <row r="97" customFormat="false" ht="15" hidden="false" customHeight="false" outlineLevel="0" collapsed="false">
      <c r="A97" s="37" t="n">
        <v>356785525</v>
      </c>
      <c r="B97" s="38" t="n">
        <v>46212.6134837963</v>
      </c>
      <c r="C97" s="37" t="s">
        <v>340</v>
      </c>
      <c r="D97" s="37" t="s">
        <v>443</v>
      </c>
      <c r="E97" s="37" t="n">
        <v>25015045</v>
      </c>
      <c r="F97" s="37" t="s">
        <v>161</v>
      </c>
      <c r="G97" s="37" t="s">
        <v>197</v>
      </c>
      <c r="H97" s="37" t="s">
        <v>187</v>
      </c>
      <c r="I97" s="37" t="n">
        <v>52.3</v>
      </c>
      <c r="J97" s="39" t="n">
        <v>643.99</v>
      </c>
      <c r="K97" s="37" t="s">
        <v>342</v>
      </c>
      <c r="L97" s="39" t="n">
        <v>128.38</v>
      </c>
      <c r="M97" s="39" t="n">
        <v>70.98</v>
      </c>
      <c r="N97" s="39" t="n">
        <f aca="false">J97*Resumo!$C$6</f>
        <v>0</v>
      </c>
      <c r="O97" s="39" t="n">
        <f aca="false">J97*Resumo!$C$7</f>
        <v>1.352379</v>
      </c>
      <c r="P97" s="39" t="n">
        <f aca="false">J97*Resumo!$C$8</f>
        <v>1.352379</v>
      </c>
      <c r="Q97" s="39" t="n">
        <f aca="false">Resumo!$C$10*CEILING(I97/100,1)</f>
        <v>1.05</v>
      </c>
      <c r="R97" s="39" t="n">
        <f aca="false">Resumo!$C$9</f>
        <v>0</v>
      </c>
      <c r="S97" s="39" t="n">
        <f aca="false">Resumo!$C$13</f>
        <v>13.55</v>
      </c>
      <c r="T97" s="39" t="n">
        <f aca="false">Resumo!$C$14*CEILING(I97,1)</f>
        <v>23.85</v>
      </c>
      <c r="U97" s="39" t="n">
        <f aca="false">SUM(M97:T97)*Resumo!$C$11</f>
        <v>0</v>
      </c>
      <c r="V97" s="39" t="n">
        <f aca="false">SUM(M97:U97)</f>
        <v>112.134758</v>
      </c>
      <c r="W97" s="39" t="n">
        <f aca="false">V97/(1-Resumo!$C$5)</f>
        <v>127.425861363636</v>
      </c>
      <c r="X97" s="39" t="n">
        <v>112.3</v>
      </c>
      <c r="Y97" s="39" t="n">
        <f aca="false">J97*Resumo!$B$6</f>
        <v>0.64399</v>
      </c>
      <c r="Z97" s="39" t="n">
        <f aca="false">J97*Resumo!$B$7</f>
        <v>1.28798</v>
      </c>
      <c r="AA97" s="39" t="n">
        <f aca="false">Resumo!$B$9</f>
        <v>1</v>
      </c>
      <c r="AB97" s="39" t="n">
        <f aca="false">Resumo!$B$10*CEILING(I97/100,1)</f>
        <v>4.5</v>
      </c>
      <c r="AC97" s="39" t="n">
        <f aca="false">Resumo!$B$12*CEILING(I97,1)</f>
        <v>3.18</v>
      </c>
      <c r="AD97" s="39" t="n">
        <f aca="false">Resumo!$B$14*CEILING(I97,1)</f>
        <v>23.85</v>
      </c>
      <c r="AE97" s="39" t="n">
        <f aca="false">SUM(X97:AD97)</f>
        <v>146.76197</v>
      </c>
      <c r="AF97" s="39" t="n">
        <f aca="false">AE97/(1-Resumo!$B$5)</f>
        <v>166.774965909091</v>
      </c>
      <c r="AG97" s="39" t="n">
        <f aca="false">AF97-W97</f>
        <v>39.3491045454545</v>
      </c>
      <c r="AH97" s="40" t="n">
        <f aca="false">AF97/W97-1</f>
        <v>0.308799988670774</v>
      </c>
      <c r="AI97" s="37" t="str">
        <f aca="false">IF(AF97&lt;W97,"SIM","NÃO")</f>
        <v>NÃO</v>
      </c>
      <c r="AJ97" s="37" t="n">
        <v>2</v>
      </c>
      <c r="AK97" s="37" t="n">
        <v>5</v>
      </c>
      <c r="AL97" s="37" t="s">
        <v>343</v>
      </c>
      <c r="AM97" s="39" t="n">
        <v>128.37</v>
      </c>
    </row>
    <row r="98" customFormat="false" ht="15" hidden="false" customHeight="false" outlineLevel="0" collapsed="false">
      <c r="A98" s="37" t="n">
        <v>356789417</v>
      </c>
      <c r="B98" s="38" t="n">
        <v>46212.6219097222</v>
      </c>
      <c r="C98" s="37" t="s">
        <v>340</v>
      </c>
      <c r="D98" s="37" t="s">
        <v>444</v>
      </c>
      <c r="E98" s="37" t="n">
        <v>21221280</v>
      </c>
      <c r="F98" s="37" t="s">
        <v>159</v>
      </c>
      <c r="G98" s="37" t="s">
        <v>196</v>
      </c>
      <c r="H98" s="37" t="s">
        <v>186</v>
      </c>
      <c r="I98" s="37" t="n">
        <v>48</v>
      </c>
      <c r="J98" s="39" t="n">
        <v>827.99</v>
      </c>
      <c r="K98" s="37" t="s">
        <v>342</v>
      </c>
      <c r="L98" s="39" t="n">
        <v>104.57</v>
      </c>
      <c r="M98" s="39" t="n">
        <v>53.55</v>
      </c>
      <c r="N98" s="39" t="n">
        <f aca="false">J98*Resumo!$C$6</f>
        <v>0</v>
      </c>
      <c r="O98" s="39" t="n">
        <f aca="false">J98*Resumo!$C$7</f>
        <v>1.738779</v>
      </c>
      <c r="P98" s="39" t="n">
        <f aca="false">J98*Resumo!$C$8</f>
        <v>1.738779</v>
      </c>
      <c r="Q98" s="39" t="n">
        <f aca="false">Resumo!$C$10*CEILING(I98/100,1)</f>
        <v>1.05</v>
      </c>
      <c r="R98" s="39" t="n">
        <f aca="false">Resumo!$C$9</f>
        <v>0</v>
      </c>
      <c r="S98" s="39" t="n">
        <f aca="false">Resumo!$C$13</f>
        <v>13.55</v>
      </c>
      <c r="T98" s="39" t="n">
        <f aca="false">Resumo!$C$14*CEILING(I98,1)</f>
        <v>21.6</v>
      </c>
      <c r="U98" s="39" t="n">
        <f aca="false">SUM(M98:T98)*Resumo!$C$11</f>
        <v>0</v>
      </c>
      <c r="V98" s="39" t="n">
        <f aca="false">SUM(M98:U98)</f>
        <v>93.227558</v>
      </c>
      <c r="W98" s="39" t="n">
        <f aca="false">V98/(1-Resumo!$C$5)</f>
        <v>105.940406818182</v>
      </c>
      <c r="X98" s="39" t="n">
        <v>93.97</v>
      </c>
      <c r="Y98" s="39" t="n">
        <f aca="false">J98*Resumo!$B$6</f>
        <v>0.82799</v>
      </c>
      <c r="Z98" s="39" t="n">
        <f aca="false">J98*Resumo!$B$7</f>
        <v>1.65598</v>
      </c>
      <c r="AA98" s="39" t="n">
        <f aca="false">Resumo!$B$9</f>
        <v>1</v>
      </c>
      <c r="AB98" s="39" t="n">
        <f aca="false">Resumo!$B$10*CEILING(I98/100,1)</f>
        <v>4.5</v>
      </c>
      <c r="AC98" s="39" t="n">
        <f aca="false">Resumo!$B$12*CEILING(I98,1)</f>
        <v>2.88</v>
      </c>
      <c r="AD98" s="39" t="n">
        <f aca="false">Resumo!$B$14*CEILING(I98,1)</f>
        <v>21.6</v>
      </c>
      <c r="AE98" s="39" t="n">
        <f aca="false">SUM(X98:AD98)</f>
        <v>126.43397</v>
      </c>
      <c r="AF98" s="39" t="n">
        <f aca="false">AE98/(1-Resumo!$B$5)</f>
        <v>143.674965909091</v>
      </c>
      <c r="AG98" s="39" t="n">
        <f aca="false">AF98-W98</f>
        <v>37.7345590909091</v>
      </c>
      <c r="AH98" s="40" t="n">
        <f aca="false">AF98/W98-1</f>
        <v>0.356186654594128</v>
      </c>
      <c r="AI98" s="37" t="str">
        <f aca="false">IF(AF98&lt;W98,"SIM","NÃO")</f>
        <v>NÃO</v>
      </c>
      <c r="AJ98" s="37" t="n">
        <v>2</v>
      </c>
      <c r="AK98" s="37" t="n">
        <v>5</v>
      </c>
      <c r="AL98" s="37" t="s">
        <v>343</v>
      </c>
      <c r="AM98" s="39" t="n">
        <v>104.56</v>
      </c>
    </row>
    <row r="99" customFormat="false" ht="15" hidden="false" customHeight="false" outlineLevel="0" collapsed="false">
      <c r="A99" s="37" t="n">
        <v>356792563</v>
      </c>
      <c r="B99" s="38" t="n">
        <v>46212.6292708333</v>
      </c>
      <c r="C99" s="37" t="s">
        <v>340</v>
      </c>
      <c r="D99" s="37" t="s">
        <v>445</v>
      </c>
      <c r="E99" s="37" t="n">
        <v>22790550</v>
      </c>
      <c r="F99" s="37" t="s">
        <v>159</v>
      </c>
      <c r="G99" s="37" t="s">
        <v>196</v>
      </c>
      <c r="H99" s="37" t="s">
        <v>185</v>
      </c>
      <c r="I99" s="37" t="n">
        <v>37.2</v>
      </c>
      <c r="J99" s="39" t="n">
        <v>359.99</v>
      </c>
      <c r="K99" s="37" t="s">
        <v>342</v>
      </c>
      <c r="L99" s="39" t="n">
        <v>91.58</v>
      </c>
      <c r="M99" s="39" t="n">
        <v>48.35</v>
      </c>
      <c r="N99" s="39" t="n">
        <f aca="false">J99*Resumo!$C$6</f>
        <v>0</v>
      </c>
      <c r="O99" s="39" t="n">
        <f aca="false">J99*Resumo!$C$7</f>
        <v>0.755979</v>
      </c>
      <c r="P99" s="39" t="n">
        <f aca="false">J99*Resumo!$C$8</f>
        <v>0.755979</v>
      </c>
      <c r="Q99" s="39" t="n">
        <f aca="false">Resumo!$C$10*CEILING(I99/100,1)</f>
        <v>1.05</v>
      </c>
      <c r="R99" s="39" t="n">
        <f aca="false">Resumo!$C$9</f>
        <v>0</v>
      </c>
      <c r="S99" s="39" t="n">
        <f aca="false">Resumo!$C$13</f>
        <v>13.55</v>
      </c>
      <c r="T99" s="39" t="n">
        <f aca="false">Resumo!$C$14*CEILING(I99,1)</f>
        <v>17.1</v>
      </c>
      <c r="U99" s="39" t="n">
        <f aca="false">SUM(M99:T99)*Resumo!$C$11</f>
        <v>0</v>
      </c>
      <c r="V99" s="39" t="n">
        <f aca="false">SUM(M99:U99)</f>
        <v>81.561958</v>
      </c>
      <c r="W99" s="39" t="n">
        <f aca="false">V99/(1-Resumo!$C$5)</f>
        <v>92.6840431818182</v>
      </c>
      <c r="X99" s="39" t="n">
        <v>93.97</v>
      </c>
      <c r="Y99" s="39" t="n">
        <f aca="false">J99*Resumo!$B$6</f>
        <v>0.35999</v>
      </c>
      <c r="Z99" s="39" t="n">
        <f aca="false">J99*Resumo!$B$7</f>
        <v>0.71998</v>
      </c>
      <c r="AA99" s="39" t="n">
        <f aca="false">Resumo!$B$9</f>
        <v>1</v>
      </c>
      <c r="AB99" s="39" t="n">
        <f aca="false">Resumo!$B$10*CEILING(I99/100,1)</f>
        <v>4.5</v>
      </c>
      <c r="AC99" s="39" t="n">
        <f aca="false">Resumo!$B$12*CEILING(I99,1)</f>
        <v>2.28</v>
      </c>
      <c r="AD99" s="39" t="n">
        <f aca="false">Resumo!$B$14*CEILING(I99,1)</f>
        <v>17.1</v>
      </c>
      <c r="AE99" s="39" t="n">
        <f aca="false">SUM(X99:AD99)</f>
        <v>119.92997</v>
      </c>
      <c r="AF99" s="39" t="n">
        <f aca="false">AE99/(1-Resumo!$B$5)</f>
        <v>136.284056818182</v>
      </c>
      <c r="AG99" s="39" t="n">
        <f aca="false">AF99-W99</f>
        <v>43.6000136363636</v>
      </c>
      <c r="AH99" s="40" t="n">
        <f aca="false">AF99/W99-1</f>
        <v>0.470415533673186</v>
      </c>
      <c r="AI99" s="37" t="str">
        <f aca="false">IF(AF99&lt;W99,"SIM","NÃO")</f>
        <v>NÃO</v>
      </c>
      <c r="AJ99" s="37" t="n">
        <v>2</v>
      </c>
      <c r="AK99" s="37" t="n">
        <v>5</v>
      </c>
      <c r="AL99" s="37" t="s">
        <v>343</v>
      </c>
      <c r="AM99" s="39" t="n">
        <v>91.58</v>
      </c>
    </row>
    <row r="100" customFormat="false" ht="15" hidden="false" customHeight="false" outlineLevel="0" collapsed="false">
      <c r="A100" s="37" t="n">
        <v>356797870</v>
      </c>
      <c r="B100" s="38" t="n">
        <v>46212.6403587963</v>
      </c>
      <c r="C100" s="37" t="s">
        <v>340</v>
      </c>
      <c r="D100" s="37" t="s">
        <v>446</v>
      </c>
      <c r="E100" s="37" t="n">
        <v>22790587</v>
      </c>
      <c r="F100" s="37" t="s">
        <v>159</v>
      </c>
      <c r="G100" s="37" t="s">
        <v>196</v>
      </c>
      <c r="H100" s="37" t="s">
        <v>186</v>
      </c>
      <c r="I100" s="37" t="n">
        <v>41</v>
      </c>
      <c r="J100" s="39" t="n">
        <v>515.19</v>
      </c>
      <c r="K100" s="37" t="s">
        <v>342</v>
      </c>
      <c r="L100" s="39" t="n">
        <v>103.06</v>
      </c>
      <c r="M100" s="39" t="n">
        <v>53.55</v>
      </c>
      <c r="N100" s="39" t="n">
        <f aca="false">J100*Resumo!$C$6</f>
        <v>0</v>
      </c>
      <c r="O100" s="39" t="n">
        <f aca="false">J100*Resumo!$C$7</f>
        <v>1.081899</v>
      </c>
      <c r="P100" s="39" t="n">
        <f aca="false">J100*Resumo!$C$8</f>
        <v>1.081899</v>
      </c>
      <c r="Q100" s="39" t="n">
        <f aca="false">Resumo!$C$10*CEILING(I100/100,1)</f>
        <v>1.05</v>
      </c>
      <c r="R100" s="39" t="n">
        <f aca="false">Resumo!$C$9</f>
        <v>0</v>
      </c>
      <c r="S100" s="39" t="n">
        <f aca="false">Resumo!$C$13</f>
        <v>13.55</v>
      </c>
      <c r="T100" s="39" t="n">
        <f aca="false">Resumo!$C$14*CEILING(I100,1)</f>
        <v>18.45</v>
      </c>
      <c r="U100" s="39" t="n">
        <f aca="false">SUM(M100:T100)*Resumo!$C$11</f>
        <v>0</v>
      </c>
      <c r="V100" s="39" t="n">
        <f aca="false">SUM(M100:U100)</f>
        <v>88.763798</v>
      </c>
      <c r="W100" s="39" t="n">
        <f aca="false">V100/(1-Resumo!$C$5)</f>
        <v>100.867952272727</v>
      </c>
      <c r="X100" s="39" t="n">
        <v>93.97</v>
      </c>
      <c r="Y100" s="39" t="n">
        <f aca="false">J100*Resumo!$B$6</f>
        <v>0.51519</v>
      </c>
      <c r="Z100" s="39" t="n">
        <f aca="false">J100*Resumo!$B$7</f>
        <v>1.03038</v>
      </c>
      <c r="AA100" s="39" t="n">
        <f aca="false">Resumo!$B$9</f>
        <v>1</v>
      </c>
      <c r="AB100" s="39" t="n">
        <f aca="false">Resumo!$B$10*CEILING(I100/100,1)</f>
        <v>4.5</v>
      </c>
      <c r="AC100" s="39" t="n">
        <f aca="false">Resumo!$B$12*CEILING(I100,1)</f>
        <v>2.46</v>
      </c>
      <c r="AD100" s="39" t="n">
        <f aca="false">Resumo!$B$14*CEILING(I100,1)</f>
        <v>18.45</v>
      </c>
      <c r="AE100" s="39" t="n">
        <f aca="false">SUM(X100:AD100)</f>
        <v>121.92557</v>
      </c>
      <c r="AF100" s="39" t="n">
        <f aca="false">AE100/(1-Resumo!$B$5)</f>
        <v>138.551784090909</v>
      </c>
      <c r="AG100" s="39" t="n">
        <f aca="false">AF100-W100</f>
        <v>37.6838318181818</v>
      </c>
      <c r="AH100" s="40" t="n">
        <f aca="false">AF100/W100-1</f>
        <v>0.373595685934935</v>
      </c>
      <c r="AI100" s="37" t="str">
        <f aca="false">IF(AF100&lt;W100,"SIM","NÃO")</f>
        <v>NÃO</v>
      </c>
      <c r="AJ100" s="37" t="n">
        <v>2</v>
      </c>
      <c r="AK100" s="37" t="n">
        <v>5</v>
      </c>
      <c r="AL100" s="37" t="s">
        <v>343</v>
      </c>
      <c r="AM100" s="39" t="n">
        <v>103.06</v>
      </c>
    </row>
    <row r="101" customFormat="false" ht="15" hidden="false" customHeight="false" outlineLevel="0" collapsed="false">
      <c r="A101" s="37" t="n">
        <v>356878458</v>
      </c>
      <c r="B101" s="38" t="n">
        <v>46212.7845023148</v>
      </c>
      <c r="C101" s="37" t="s">
        <v>345</v>
      </c>
      <c r="D101" s="37" t="s">
        <v>447</v>
      </c>
      <c r="E101" s="37" t="n">
        <v>21665001</v>
      </c>
      <c r="F101" s="37" t="s">
        <v>159</v>
      </c>
      <c r="G101" s="37" t="s">
        <v>196</v>
      </c>
      <c r="H101" s="37" t="s">
        <v>188</v>
      </c>
      <c r="I101" s="37" t="n">
        <v>66.8</v>
      </c>
      <c r="J101" s="39" t="n">
        <v>606.87</v>
      </c>
      <c r="K101" s="37" t="s">
        <v>342</v>
      </c>
      <c r="L101" s="39" t="n">
        <v>124.1</v>
      </c>
      <c r="M101" s="39" t="n">
        <v>63.21</v>
      </c>
      <c r="N101" s="39" t="n">
        <f aca="false">J101*Resumo!$C$6</f>
        <v>0</v>
      </c>
      <c r="O101" s="39" t="n">
        <f aca="false">J101*Resumo!$C$7</f>
        <v>1.274427</v>
      </c>
      <c r="P101" s="39" t="n">
        <f aca="false">J101*Resumo!$C$8</f>
        <v>1.274427</v>
      </c>
      <c r="Q101" s="39" t="n">
        <f aca="false">Resumo!$C$10*CEILING(I101/100,1)</f>
        <v>1.05</v>
      </c>
      <c r="R101" s="39" t="n">
        <f aca="false">Resumo!$C$9</f>
        <v>0</v>
      </c>
      <c r="S101" s="39" t="n">
        <f aca="false">Resumo!$C$13</f>
        <v>13.55</v>
      </c>
      <c r="T101" s="39" t="n">
        <f aca="false">Resumo!$C$14*CEILING(I101,1)</f>
        <v>30.15</v>
      </c>
      <c r="U101" s="39" t="n">
        <f aca="false">SUM(M101:T101)*Resumo!$C$11</f>
        <v>0</v>
      </c>
      <c r="V101" s="39" t="n">
        <f aca="false">SUM(M101:U101)</f>
        <v>110.508854</v>
      </c>
      <c r="W101" s="39" t="n">
        <f aca="false">V101/(1-Resumo!$C$5)</f>
        <v>125.578243181818</v>
      </c>
      <c r="X101" s="39" t="n">
        <v>131.02</v>
      </c>
      <c r="Y101" s="39" t="n">
        <f aca="false">J101*Resumo!$B$6</f>
        <v>0.60687</v>
      </c>
      <c r="Z101" s="39" t="n">
        <f aca="false">J101*Resumo!$B$7</f>
        <v>1.21374</v>
      </c>
      <c r="AA101" s="39" t="n">
        <f aca="false">Resumo!$B$9</f>
        <v>1</v>
      </c>
      <c r="AB101" s="39" t="n">
        <f aca="false">Resumo!$B$10*CEILING(I101/100,1)</f>
        <v>4.5</v>
      </c>
      <c r="AC101" s="39" t="n">
        <f aca="false">Resumo!$B$12*CEILING(I101,1)</f>
        <v>4.02</v>
      </c>
      <c r="AD101" s="39" t="n">
        <f aca="false">Resumo!$B$14*CEILING(I101,1)</f>
        <v>30.15</v>
      </c>
      <c r="AE101" s="39" t="n">
        <f aca="false">SUM(X101:AD101)</f>
        <v>172.51061</v>
      </c>
      <c r="AF101" s="39" t="n">
        <f aca="false">AE101/(1-Resumo!$B$5)</f>
        <v>196.034784090909</v>
      </c>
      <c r="AG101" s="39" t="n">
        <f aca="false">AF101-W101</f>
        <v>70.4565409090909</v>
      </c>
      <c r="AH101" s="40" t="n">
        <f aca="false">AF101/W101-1</f>
        <v>0.561056908616571</v>
      </c>
      <c r="AI101" s="37" t="str">
        <f aca="false">IF(AF101&lt;W101,"SIM","NÃO")</f>
        <v>NÃO</v>
      </c>
      <c r="AJ101" s="37" t="n">
        <v>2</v>
      </c>
      <c r="AK101" s="37" t="n">
        <v>5</v>
      </c>
      <c r="AL101" s="37" t="s">
        <v>343</v>
      </c>
      <c r="AM101" s="39" t="n">
        <v>124.12</v>
      </c>
    </row>
    <row r="102" customFormat="false" ht="15" hidden="false" customHeight="false" outlineLevel="0" collapsed="false">
      <c r="A102" s="37" t="n">
        <v>356879520</v>
      </c>
      <c r="B102" s="38" t="n">
        <v>46212.7866782407</v>
      </c>
      <c r="C102" s="37" t="s">
        <v>340</v>
      </c>
      <c r="D102" s="37" t="s">
        <v>448</v>
      </c>
      <c r="E102" s="37" t="n">
        <v>25995290</v>
      </c>
      <c r="F102" s="37" t="s">
        <v>235</v>
      </c>
      <c r="G102" s="37" t="s">
        <v>198</v>
      </c>
      <c r="H102" s="37" t="s">
        <v>184</v>
      </c>
      <c r="I102" s="37" t="n">
        <v>34.4</v>
      </c>
      <c r="J102" s="39" t="n">
        <v>404.99</v>
      </c>
      <c r="K102" s="37" t="s">
        <v>342</v>
      </c>
      <c r="L102" s="39" t="n">
        <v>109.13</v>
      </c>
      <c r="M102" s="39" t="n">
        <v>65.63</v>
      </c>
      <c r="N102" s="39" t="n">
        <f aca="false">J102*Resumo!$C$6</f>
        <v>0</v>
      </c>
      <c r="O102" s="39" t="n">
        <f aca="false">J102*Resumo!$C$7</f>
        <v>0.850479</v>
      </c>
      <c r="P102" s="39" t="n">
        <f aca="false">J102*Resumo!$C$8</f>
        <v>0.850479</v>
      </c>
      <c r="Q102" s="39" t="n">
        <f aca="false">Resumo!$C$10*CEILING(I102/100,1)</f>
        <v>1.05</v>
      </c>
      <c r="R102" s="39" t="n">
        <f aca="false">Resumo!$C$9</f>
        <v>0</v>
      </c>
      <c r="S102" s="39" t="n">
        <f aca="false">Resumo!$C$13</f>
        <v>13.55</v>
      </c>
      <c r="T102" s="39" t="n">
        <f aca="false">Resumo!$C$14*CEILING(I102,1)</f>
        <v>15.75</v>
      </c>
      <c r="U102" s="39" t="n">
        <f aca="false">SUM(M102:T102)*Resumo!$C$11</f>
        <v>0</v>
      </c>
      <c r="V102" s="39" t="n">
        <f aca="false">SUM(M102:U102)</f>
        <v>97.680958</v>
      </c>
      <c r="W102" s="39" t="n">
        <f aca="false">V102/(1-Resumo!$C$5)</f>
        <v>111.001088636364</v>
      </c>
      <c r="X102" s="39" t="n">
        <v>120.78</v>
      </c>
      <c r="Y102" s="39" t="n">
        <f aca="false">J102*Resumo!$B$6</f>
        <v>0.40499</v>
      </c>
      <c r="Z102" s="39" t="n">
        <f aca="false">J102*Resumo!$B$7</f>
        <v>0.80998</v>
      </c>
      <c r="AA102" s="39" t="n">
        <f aca="false">Resumo!$B$9</f>
        <v>1</v>
      </c>
      <c r="AB102" s="39" t="n">
        <f aca="false">Resumo!$B$10*CEILING(I102/100,1)</f>
        <v>4.5</v>
      </c>
      <c r="AC102" s="39" t="n">
        <f aca="false">Resumo!$B$12*CEILING(I102,1)</f>
        <v>2.1</v>
      </c>
      <c r="AD102" s="39" t="n">
        <f aca="false">Resumo!$B$14*CEILING(I102,1)</f>
        <v>15.75</v>
      </c>
      <c r="AE102" s="39" t="n">
        <f aca="false">SUM(X102:AD102)</f>
        <v>145.34497</v>
      </c>
      <c r="AF102" s="39" t="n">
        <f aca="false">AE102/(1-Resumo!$B$5)</f>
        <v>165.164738636364</v>
      </c>
      <c r="AG102" s="39" t="n">
        <f aca="false">AF102-W102</f>
        <v>54.16365</v>
      </c>
      <c r="AH102" s="40" t="n">
        <f aca="false">AF102/W102-1</f>
        <v>0.48795602516511</v>
      </c>
      <c r="AI102" s="37" t="str">
        <f aca="false">IF(AF102&lt;W102,"SIM","NÃO")</f>
        <v>NÃO</v>
      </c>
      <c r="AJ102" s="37" t="n">
        <v>13</v>
      </c>
      <c r="AK102" s="37" t="n">
        <v>10</v>
      </c>
      <c r="AL102" s="37" t="s">
        <v>347</v>
      </c>
      <c r="AM102" s="39" t="n">
        <v>109.12</v>
      </c>
    </row>
    <row r="103" customFormat="false" ht="15" hidden="false" customHeight="false" outlineLevel="0" collapsed="false">
      <c r="A103" s="37" t="n">
        <v>356921852</v>
      </c>
      <c r="B103" s="38" t="n">
        <v>46212.8819907407</v>
      </c>
      <c r="C103" s="37" t="s">
        <v>372</v>
      </c>
      <c r="D103" s="37" t="s">
        <v>449</v>
      </c>
      <c r="E103" s="37" t="n">
        <v>20530003</v>
      </c>
      <c r="F103" s="37" t="s">
        <v>159</v>
      </c>
      <c r="G103" s="37" t="s">
        <v>196</v>
      </c>
      <c r="H103" s="37" t="s">
        <v>186</v>
      </c>
      <c r="I103" s="37" t="n">
        <v>44.5</v>
      </c>
      <c r="J103" s="39" t="n">
        <v>819.99</v>
      </c>
      <c r="K103" s="37" t="s">
        <v>342</v>
      </c>
      <c r="L103" s="39" t="n">
        <v>104.51</v>
      </c>
      <c r="M103" s="39" t="n">
        <v>53.55</v>
      </c>
      <c r="N103" s="39" t="n">
        <f aca="false">J103*Resumo!$C$6</f>
        <v>0</v>
      </c>
      <c r="O103" s="39" t="n">
        <f aca="false">J103*Resumo!$C$7</f>
        <v>1.721979</v>
      </c>
      <c r="P103" s="39" t="n">
        <f aca="false">J103*Resumo!$C$8</f>
        <v>1.721979</v>
      </c>
      <c r="Q103" s="39" t="n">
        <f aca="false">Resumo!$C$10*CEILING(I103/100,1)</f>
        <v>1.05</v>
      </c>
      <c r="R103" s="39" t="n">
        <f aca="false">Resumo!$C$9</f>
        <v>0</v>
      </c>
      <c r="S103" s="39" t="n">
        <f aca="false">Resumo!$C$13</f>
        <v>13.55</v>
      </c>
      <c r="T103" s="39" t="n">
        <f aca="false">Resumo!$C$14*CEILING(I103,1)</f>
        <v>20.25</v>
      </c>
      <c r="U103" s="39" t="n">
        <f aca="false">SUM(M103:T103)*Resumo!$C$11</f>
        <v>0</v>
      </c>
      <c r="V103" s="39" t="n">
        <f aca="false">SUM(M103:U103)</f>
        <v>91.843958</v>
      </c>
      <c r="W103" s="39" t="n">
        <f aca="false">V103/(1-Resumo!$C$5)</f>
        <v>104.368134090909</v>
      </c>
      <c r="X103" s="39" t="n">
        <v>93.97</v>
      </c>
      <c r="Y103" s="39" t="n">
        <f aca="false">J103*Resumo!$B$6</f>
        <v>0.81999</v>
      </c>
      <c r="Z103" s="39" t="n">
        <f aca="false">J103*Resumo!$B$7</f>
        <v>1.63998</v>
      </c>
      <c r="AA103" s="39" t="n">
        <f aca="false">Resumo!$B$9</f>
        <v>1</v>
      </c>
      <c r="AB103" s="39" t="n">
        <f aca="false">Resumo!$B$10*CEILING(I103/100,1)</f>
        <v>4.5</v>
      </c>
      <c r="AC103" s="39" t="n">
        <f aca="false">Resumo!$B$12*CEILING(I103,1)</f>
        <v>2.7</v>
      </c>
      <c r="AD103" s="39" t="n">
        <f aca="false">Resumo!$B$14*CEILING(I103,1)</f>
        <v>20.25</v>
      </c>
      <c r="AE103" s="39" t="n">
        <f aca="false">SUM(X103:AD103)</f>
        <v>124.87997</v>
      </c>
      <c r="AF103" s="39" t="n">
        <f aca="false">AE103/(1-Resumo!$B$5)</f>
        <v>141.909056818182</v>
      </c>
      <c r="AG103" s="39" t="n">
        <f aca="false">AF103-W103</f>
        <v>37.5409227272727</v>
      </c>
      <c r="AH103" s="40" t="n">
        <f aca="false">AF103/W103-1</f>
        <v>0.35969717245853</v>
      </c>
      <c r="AI103" s="37" t="str">
        <f aca="false">IF(AF103&lt;W103,"SIM","NÃO")</f>
        <v>NÃO</v>
      </c>
      <c r="AJ103" s="37" t="n">
        <v>2</v>
      </c>
      <c r="AK103" s="37" t="n">
        <v>5</v>
      </c>
      <c r="AL103" s="37" t="s">
        <v>343</v>
      </c>
      <c r="AM103" s="39" t="n">
        <v>104.52</v>
      </c>
    </row>
    <row r="104" customFormat="false" ht="15" hidden="false" customHeight="false" outlineLevel="0" collapsed="false">
      <c r="A104" s="37" t="n">
        <v>356924121</v>
      </c>
      <c r="B104" s="38" t="n">
        <v>46212.8863194444</v>
      </c>
      <c r="C104" s="37" t="s">
        <v>340</v>
      </c>
      <c r="D104" s="37" t="s">
        <v>450</v>
      </c>
      <c r="E104" s="37" t="n">
        <v>24744010</v>
      </c>
      <c r="F104" s="37" t="s">
        <v>160</v>
      </c>
      <c r="G104" s="37" t="s">
        <v>197</v>
      </c>
      <c r="H104" s="37" t="s">
        <v>188</v>
      </c>
      <c r="I104" s="37" t="n">
        <v>66.8</v>
      </c>
      <c r="J104" s="39" t="n">
        <v>643.99</v>
      </c>
      <c r="K104" s="37" t="s">
        <v>342</v>
      </c>
      <c r="L104" s="39" t="n">
        <v>139.52</v>
      </c>
      <c r="M104" s="39" t="n">
        <v>76.55</v>
      </c>
      <c r="N104" s="39" t="n">
        <f aca="false">J104*Resumo!$C$6</f>
        <v>0</v>
      </c>
      <c r="O104" s="39" t="n">
        <f aca="false">J104*Resumo!$C$7</f>
        <v>1.352379</v>
      </c>
      <c r="P104" s="39" t="n">
        <f aca="false">J104*Resumo!$C$8</f>
        <v>1.352379</v>
      </c>
      <c r="Q104" s="39" t="n">
        <f aca="false">Resumo!$C$10*CEILING(I104/100,1)</f>
        <v>1.05</v>
      </c>
      <c r="R104" s="39" t="n">
        <f aca="false">Resumo!$C$9</f>
        <v>0</v>
      </c>
      <c r="S104" s="39" t="n">
        <f aca="false">Resumo!$C$13</f>
        <v>13.55</v>
      </c>
      <c r="T104" s="39" t="n">
        <f aca="false">Resumo!$C$14*CEILING(I104,1)</f>
        <v>30.15</v>
      </c>
      <c r="U104" s="39" t="n">
        <f aca="false">SUM(M104:T104)*Resumo!$C$11</f>
        <v>0</v>
      </c>
      <c r="V104" s="39" t="n">
        <f aca="false">SUM(M104:U104)</f>
        <v>124.004758</v>
      </c>
      <c r="W104" s="39" t="n">
        <f aca="false">V104/(1-Resumo!$C$5)</f>
        <v>140.914497727273</v>
      </c>
      <c r="X104" s="39" t="n">
        <v>149.5</v>
      </c>
      <c r="Y104" s="39" t="n">
        <f aca="false">J104*Resumo!$B$6</f>
        <v>0.64399</v>
      </c>
      <c r="Z104" s="39" t="n">
        <f aca="false">J104*Resumo!$B$7</f>
        <v>1.28798</v>
      </c>
      <c r="AA104" s="39" t="n">
        <f aca="false">Resumo!$B$9</f>
        <v>1</v>
      </c>
      <c r="AB104" s="39" t="n">
        <f aca="false">Resumo!$B$10*CEILING(I104/100,1)</f>
        <v>4.5</v>
      </c>
      <c r="AC104" s="39" t="n">
        <f aca="false">Resumo!$B$12*CEILING(I104,1)</f>
        <v>4.02</v>
      </c>
      <c r="AD104" s="39" t="n">
        <f aca="false">Resumo!$B$14*CEILING(I104,1)</f>
        <v>30.15</v>
      </c>
      <c r="AE104" s="39" t="n">
        <f aca="false">SUM(X104:AD104)</f>
        <v>191.10197</v>
      </c>
      <c r="AF104" s="39" t="n">
        <f aca="false">AE104/(1-Resumo!$B$5)</f>
        <v>217.161329545455</v>
      </c>
      <c r="AG104" s="39" t="n">
        <f aca="false">AF104-W104</f>
        <v>76.2468318181818</v>
      </c>
      <c r="AH104" s="40" t="n">
        <f aca="false">AF104/W104-1</f>
        <v>0.541085786401841</v>
      </c>
      <c r="AI104" s="37" t="str">
        <f aca="false">IF(AF104&lt;W104,"SIM","NÃO")</f>
        <v>NÃO</v>
      </c>
      <c r="AJ104" s="37" t="n">
        <v>2</v>
      </c>
      <c r="AK104" s="37" t="n">
        <v>7</v>
      </c>
      <c r="AL104" s="37" t="s">
        <v>343</v>
      </c>
      <c r="AM104" s="39" t="n">
        <v>139.52</v>
      </c>
    </row>
    <row r="105" customFormat="false" ht="15" hidden="false" customHeight="false" outlineLevel="0" collapsed="false">
      <c r="A105" s="37" t="n">
        <v>356923422</v>
      </c>
      <c r="B105" s="38" t="n">
        <v>46212.8879513889</v>
      </c>
      <c r="C105" s="37" t="s">
        <v>361</v>
      </c>
      <c r="D105" s="37" t="s">
        <v>451</v>
      </c>
      <c r="E105" s="37" t="n">
        <v>24344487</v>
      </c>
      <c r="F105" s="37" t="s">
        <v>163</v>
      </c>
      <c r="G105" s="37" t="s">
        <v>197</v>
      </c>
      <c r="H105" s="37" t="s">
        <v>188</v>
      </c>
      <c r="I105" s="37" t="n">
        <v>69</v>
      </c>
      <c r="J105" s="39" t="n">
        <v>859.99</v>
      </c>
      <c r="K105" s="37" t="s">
        <v>342</v>
      </c>
      <c r="L105" s="39" t="n">
        <v>140.56</v>
      </c>
      <c r="M105" s="39" t="n">
        <v>76.55</v>
      </c>
      <c r="N105" s="39" t="n">
        <f aca="false">J105*Resumo!$C$6</f>
        <v>0</v>
      </c>
      <c r="O105" s="39" t="n">
        <f aca="false">J105*Resumo!$C$7</f>
        <v>1.805979</v>
      </c>
      <c r="P105" s="39" t="n">
        <f aca="false">J105*Resumo!$C$8</f>
        <v>1.805979</v>
      </c>
      <c r="Q105" s="39" t="n">
        <f aca="false">Resumo!$C$10*CEILING(I105/100,1)</f>
        <v>1.05</v>
      </c>
      <c r="R105" s="39" t="n">
        <f aca="false">Resumo!$C$9</f>
        <v>0</v>
      </c>
      <c r="S105" s="39" t="n">
        <f aca="false">Resumo!$C$13</f>
        <v>13.55</v>
      </c>
      <c r="T105" s="39" t="n">
        <f aca="false">Resumo!$C$14*CEILING(I105,1)</f>
        <v>31.05</v>
      </c>
      <c r="U105" s="39" t="n">
        <f aca="false">SUM(M105:T105)*Resumo!$C$11</f>
        <v>0</v>
      </c>
      <c r="V105" s="39" t="n">
        <f aca="false">SUM(M105:U105)</f>
        <v>125.811958</v>
      </c>
      <c r="W105" s="39" t="n">
        <f aca="false">V105/(1-Resumo!$C$5)</f>
        <v>142.968134090909</v>
      </c>
      <c r="X105" s="39" t="n">
        <v>149.5</v>
      </c>
      <c r="Y105" s="39" t="n">
        <f aca="false">J105*Resumo!$B$6</f>
        <v>0.85999</v>
      </c>
      <c r="Z105" s="39" t="n">
        <f aca="false">J105*Resumo!$B$7</f>
        <v>1.71998</v>
      </c>
      <c r="AA105" s="39" t="n">
        <f aca="false">Resumo!$B$9</f>
        <v>1</v>
      </c>
      <c r="AB105" s="39" t="n">
        <f aca="false">Resumo!$B$10*CEILING(I105/100,1)</f>
        <v>4.5</v>
      </c>
      <c r="AC105" s="39" t="n">
        <f aca="false">Resumo!$B$12*CEILING(I105,1)</f>
        <v>4.14</v>
      </c>
      <c r="AD105" s="39" t="n">
        <f aca="false">Resumo!$B$14*CEILING(I105,1)</f>
        <v>31.05</v>
      </c>
      <c r="AE105" s="39" t="n">
        <f aca="false">SUM(X105:AD105)</f>
        <v>192.76997</v>
      </c>
      <c r="AF105" s="39" t="n">
        <f aca="false">AE105/(1-Resumo!$B$5)</f>
        <v>219.056784090909</v>
      </c>
      <c r="AG105" s="39" t="n">
        <f aca="false">AF105-W105</f>
        <v>76.08865</v>
      </c>
      <c r="AH105" s="40" t="n">
        <f aca="false">AF105/W105-1</f>
        <v>0.53220705777427</v>
      </c>
      <c r="AI105" s="37" t="str">
        <f aca="false">IF(AF105&lt;W105,"SIM","NÃO")</f>
        <v>NÃO</v>
      </c>
      <c r="AJ105" s="37" t="n">
        <v>2</v>
      </c>
      <c r="AK105" s="37" t="n">
        <v>7</v>
      </c>
      <c r="AL105" s="37" t="s">
        <v>343</v>
      </c>
      <c r="AM105" s="39" t="n">
        <v>140.55</v>
      </c>
    </row>
    <row r="106" customFormat="false" ht="15" hidden="false" customHeight="false" outlineLevel="0" collapsed="false">
      <c r="A106" s="37" t="n">
        <v>356938911</v>
      </c>
      <c r="B106" s="38" t="n">
        <v>46212.9213657407</v>
      </c>
      <c r="C106" s="37" t="s">
        <v>340</v>
      </c>
      <c r="D106" s="37" t="s">
        <v>452</v>
      </c>
      <c r="E106" s="37" t="n">
        <v>27602270</v>
      </c>
      <c r="F106" s="37" t="s">
        <v>253</v>
      </c>
      <c r="G106" s="37" t="s">
        <v>198</v>
      </c>
      <c r="H106" s="37" t="s">
        <v>187</v>
      </c>
      <c r="I106" s="37" t="n">
        <v>52.3</v>
      </c>
      <c r="J106" s="39" t="n">
        <v>643.99</v>
      </c>
      <c r="K106" s="37" t="s">
        <v>342</v>
      </c>
      <c r="L106" s="39" t="n">
        <v>142.76</v>
      </c>
      <c r="M106" s="39" t="n">
        <v>83.58</v>
      </c>
      <c r="N106" s="39" t="n">
        <f aca="false">J106*Resumo!$C$6</f>
        <v>0</v>
      </c>
      <c r="O106" s="39" t="n">
        <f aca="false">J106*Resumo!$C$7</f>
        <v>1.352379</v>
      </c>
      <c r="P106" s="39" t="n">
        <f aca="false">J106*Resumo!$C$8</f>
        <v>1.352379</v>
      </c>
      <c r="Q106" s="39" t="n">
        <f aca="false">Resumo!$C$10*CEILING(I106/100,1)</f>
        <v>1.05</v>
      </c>
      <c r="R106" s="39" t="n">
        <f aca="false">Resumo!$C$9</f>
        <v>0</v>
      </c>
      <c r="S106" s="39" t="n">
        <f aca="false">Resumo!$C$13</f>
        <v>13.55</v>
      </c>
      <c r="T106" s="39" t="n">
        <f aca="false">Resumo!$C$14*CEILING(I106,1)</f>
        <v>23.85</v>
      </c>
      <c r="U106" s="39" t="n">
        <f aca="false">SUM(M106:T106)*Resumo!$C$11</f>
        <v>0</v>
      </c>
      <c r="V106" s="39" t="n">
        <f aca="false">SUM(M106:U106)</f>
        <v>124.734758</v>
      </c>
      <c r="W106" s="39" t="n">
        <f aca="false">V106/(1-Resumo!$C$5)</f>
        <v>141.744043181818</v>
      </c>
      <c r="X106" s="39" t="n">
        <v>142.32</v>
      </c>
      <c r="Y106" s="39" t="n">
        <f aca="false">J106*Resumo!$B$6</f>
        <v>0.64399</v>
      </c>
      <c r="Z106" s="39" t="n">
        <f aca="false">J106*Resumo!$B$7</f>
        <v>1.28798</v>
      </c>
      <c r="AA106" s="39" t="n">
        <f aca="false">Resumo!$B$9</f>
        <v>1</v>
      </c>
      <c r="AB106" s="39" t="n">
        <f aca="false">Resumo!$B$10*CEILING(I106/100,1)</f>
        <v>4.5</v>
      </c>
      <c r="AC106" s="39" t="n">
        <f aca="false">Resumo!$B$12*CEILING(I106,1)</f>
        <v>3.18</v>
      </c>
      <c r="AD106" s="39" t="n">
        <f aca="false">Resumo!$B$14*CEILING(I106,1)</f>
        <v>23.85</v>
      </c>
      <c r="AE106" s="39" t="n">
        <f aca="false">SUM(X106:AD106)</f>
        <v>176.78197</v>
      </c>
      <c r="AF106" s="39" t="n">
        <f aca="false">AE106/(1-Resumo!$B$5)</f>
        <v>200.888602272727</v>
      </c>
      <c r="AG106" s="39" t="n">
        <f aca="false">AF106-W106</f>
        <v>59.1445590909091</v>
      </c>
      <c r="AH106" s="40" t="n">
        <f aca="false">AF106/W106-1</f>
        <v>0.41726310159675</v>
      </c>
      <c r="AI106" s="37" t="str">
        <f aca="false">IF(AF106&lt;W106,"SIM","NÃO")</f>
        <v>NÃO</v>
      </c>
      <c r="AJ106" s="37" t="n">
        <v>13</v>
      </c>
      <c r="AK106" s="37" t="n">
        <v>10</v>
      </c>
      <c r="AL106" s="37" t="s">
        <v>347</v>
      </c>
      <c r="AM106" s="39" t="n">
        <v>142.76</v>
      </c>
    </row>
    <row r="107" customFormat="false" ht="15" hidden="false" customHeight="false" outlineLevel="0" collapsed="false">
      <c r="A107" s="37" t="n">
        <v>356958229</v>
      </c>
      <c r="B107" s="38" t="n">
        <v>46212.9667939815</v>
      </c>
      <c r="C107" s="37" t="s">
        <v>340</v>
      </c>
      <c r="D107" s="37" t="s">
        <v>453</v>
      </c>
      <c r="E107" s="37" t="n">
        <v>21381350</v>
      </c>
      <c r="F107" s="37" t="s">
        <v>159</v>
      </c>
      <c r="G107" s="37" t="s">
        <v>196</v>
      </c>
      <c r="H107" s="37" t="s">
        <v>187</v>
      </c>
      <c r="I107" s="37" t="n">
        <v>52.3</v>
      </c>
      <c r="J107" s="39" t="n">
        <v>643.99</v>
      </c>
      <c r="K107" s="37" t="s">
        <v>342</v>
      </c>
      <c r="L107" s="39" t="n">
        <v>114.24</v>
      </c>
      <c r="M107" s="39" t="n">
        <v>58.6</v>
      </c>
      <c r="N107" s="39" t="n">
        <f aca="false">J107*Resumo!$C$6</f>
        <v>0</v>
      </c>
      <c r="O107" s="39" t="n">
        <f aca="false">J107*Resumo!$C$7</f>
        <v>1.352379</v>
      </c>
      <c r="P107" s="39" t="n">
        <f aca="false">J107*Resumo!$C$8</f>
        <v>1.352379</v>
      </c>
      <c r="Q107" s="39" t="n">
        <f aca="false">Resumo!$C$10*CEILING(I107/100,1)</f>
        <v>1.05</v>
      </c>
      <c r="R107" s="39" t="n">
        <f aca="false">Resumo!$C$9</f>
        <v>0</v>
      </c>
      <c r="S107" s="39" t="n">
        <f aca="false">Resumo!$C$13</f>
        <v>13.55</v>
      </c>
      <c r="T107" s="39" t="n">
        <f aca="false">Resumo!$C$14*CEILING(I107,1)</f>
        <v>23.85</v>
      </c>
      <c r="U107" s="39" t="n">
        <f aca="false">SUM(M107:T107)*Resumo!$C$11</f>
        <v>0</v>
      </c>
      <c r="V107" s="39" t="n">
        <f aca="false">SUM(M107:U107)</f>
        <v>99.754758</v>
      </c>
      <c r="W107" s="39" t="n">
        <f aca="false">V107/(1-Resumo!$C$5)</f>
        <v>113.357679545455</v>
      </c>
      <c r="X107" s="39" t="n">
        <v>112.3</v>
      </c>
      <c r="Y107" s="39" t="n">
        <f aca="false">J107*Resumo!$B$6</f>
        <v>0.64399</v>
      </c>
      <c r="Z107" s="39" t="n">
        <f aca="false">J107*Resumo!$B$7</f>
        <v>1.28798</v>
      </c>
      <c r="AA107" s="39" t="n">
        <f aca="false">Resumo!$B$9</f>
        <v>1</v>
      </c>
      <c r="AB107" s="39" t="n">
        <f aca="false">Resumo!$B$10*CEILING(I107/100,1)</f>
        <v>4.5</v>
      </c>
      <c r="AC107" s="39" t="n">
        <f aca="false">Resumo!$B$12*CEILING(I107,1)</f>
        <v>3.18</v>
      </c>
      <c r="AD107" s="39" t="n">
        <f aca="false">Resumo!$B$14*CEILING(I107,1)</f>
        <v>23.85</v>
      </c>
      <c r="AE107" s="39" t="n">
        <f aca="false">SUM(X107:AD107)</f>
        <v>146.76197</v>
      </c>
      <c r="AF107" s="39" t="n">
        <f aca="false">AE107/(1-Resumo!$B$5)</f>
        <v>166.774965909091</v>
      </c>
      <c r="AG107" s="39" t="n">
        <f aca="false">AF107-W107</f>
        <v>53.4172863636363</v>
      </c>
      <c r="AH107" s="40" t="n">
        <f aca="false">AF107/W107-1</f>
        <v>0.471227768403788</v>
      </c>
      <c r="AI107" s="37" t="str">
        <f aca="false">IF(AF107&lt;W107,"SIM","NÃO")</f>
        <v>NÃO</v>
      </c>
      <c r="AJ107" s="37" t="n">
        <v>2</v>
      </c>
      <c r="AK107" s="37" t="n">
        <v>5</v>
      </c>
      <c r="AL107" s="37" t="s">
        <v>343</v>
      </c>
      <c r="AM107" s="39" t="n">
        <v>114.23</v>
      </c>
    </row>
    <row r="108" customFormat="false" ht="15" hidden="false" customHeight="false" outlineLevel="0" collapsed="false">
      <c r="A108" s="37" t="n">
        <v>356962698</v>
      </c>
      <c r="B108" s="38" t="n">
        <v>46212.9798611111</v>
      </c>
      <c r="C108" s="37" t="s">
        <v>340</v>
      </c>
      <c r="D108" s="37" t="s">
        <v>454</v>
      </c>
      <c r="E108" s="37" t="n">
        <v>28200000</v>
      </c>
      <c r="F108" s="37" t="s">
        <v>259</v>
      </c>
      <c r="G108" s="37" t="s">
        <v>198</v>
      </c>
      <c r="H108" s="37" t="s">
        <v>185</v>
      </c>
      <c r="I108" s="37" t="n">
        <v>40</v>
      </c>
      <c r="J108" s="39" t="n">
        <v>599.99</v>
      </c>
      <c r="K108" s="37" t="s">
        <v>342</v>
      </c>
      <c r="L108" s="39" t="n">
        <v>123.13</v>
      </c>
      <c r="M108" s="39" t="n">
        <v>74.97</v>
      </c>
      <c r="N108" s="39" t="n">
        <f aca="false">J108*Resumo!$C$6</f>
        <v>0</v>
      </c>
      <c r="O108" s="39" t="n">
        <f aca="false">J108*Resumo!$C$7</f>
        <v>1.259979</v>
      </c>
      <c r="P108" s="39" t="n">
        <f aca="false">J108*Resumo!$C$8</f>
        <v>1.259979</v>
      </c>
      <c r="Q108" s="39" t="n">
        <f aca="false">Resumo!$C$10*CEILING(I108/100,1)</f>
        <v>1.05</v>
      </c>
      <c r="R108" s="39" t="n">
        <f aca="false">Resumo!$C$9</f>
        <v>0</v>
      </c>
      <c r="S108" s="39" t="n">
        <f aca="false">Resumo!$C$13</f>
        <v>13.55</v>
      </c>
      <c r="T108" s="39" t="n">
        <f aca="false">Resumo!$C$14*CEILING(I108,1)</f>
        <v>18</v>
      </c>
      <c r="U108" s="39" t="n">
        <f aca="false">SUM(M108:T108)*Resumo!$C$11</f>
        <v>0</v>
      </c>
      <c r="V108" s="39" t="n">
        <f aca="false">SUM(M108:U108)</f>
        <v>110.089958</v>
      </c>
      <c r="W108" s="39" t="n">
        <f aca="false">V108/(1-Resumo!$C$5)</f>
        <v>125.102225</v>
      </c>
      <c r="X108" s="39" t="n">
        <v>143.04</v>
      </c>
      <c r="Y108" s="39" t="n">
        <f aca="false">J108*Resumo!$B$6</f>
        <v>0.59999</v>
      </c>
      <c r="Z108" s="39" t="n">
        <f aca="false">J108*Resumo!$B$7</f>
        <v>1.19998</v>
      </c>
      <c r="AA108" s="39" t="n">
        <f aca="false">Resumo!$B$9</f>
        <v>1</v>
      </c>
      <c r="AB108" s="39" t="n">
        <f aca="false">Resumo!$B$10*CEILING(I108/100,1)</f>
        <v>4.5</v>
      </c>
      <c r="AC108" s="39" t="n">
        <f aca="false">Resumo!$B$12*CEILING(I108,1)</f>
        <v>2.4</v>
      </c>
      <c r="AD108" s="39" t="n">
        <f aca="false">Resumo!$B$14*CEILING(I108,1)</f>
        <v>18</v>
      </c>
      <c r="AE108" s="39" t="n">
        <f aca="false">SUM(X108:AD108)</f>
        <v>170.73997</v>
      </c>
      <c r="AF108" s="39" t="n">
        <f aca="false">AE108/(1-Resumo!$B$5)</f>
        <v>194.022693181818</v>
      </c>
      <c r="AG108" s="39" t="n">
        <f aca="false">AF108-W108</f>
        <v>68.9204681818182</v>
      </c>
      <c r="AH108" s="40" t="n">
        <f aca="false">AF108/W108-1</f>
        <v>0.550913208632526</v>
      </c>
      <c r="AI108" s="37" t="str">
        <f aca="false">IF(AF108&lt;W108,"SIM","NÃO")</f>
        <v>NÃO</v>
      </c>
      <c r="AJ108" s="37" t="n">
        <v>13</v>
      </c>
      <c r="AK108" s="37" t="n">
        <v>11</v>
      </c>
      <c r="AL108" s="37" t="s">
        <v>347</v>
      </c>
      <c r="AM108" s="39" t="n">
        <v>123.12</v>
      </c>
    </row>
    <row r="109" customFormat="false" ht="15" hidden="false" customHeight="false" outlineLevel="0" collapsed="false">
      <c r="A109" s="37" t="n">
        <v>356972163</v>
      </c>
      <c r="B109" s="38" t="n">
        <v>46213.0104166667</v>
      </c>
      <c r="C109" s="37" t="s">
        <v>345</v>
      </c>
      <c r="D109" s="37" t="s">
        <v>455</v>
      </c>
      <c r="E109" s="37" t="n">
        <v>25251210</v>
      </c>
      <c r="F109" s="37" t="s">
        <v>161</v>
      </c>
      <c r="G109" s="37" t="s">
        <v>197</v>
      </c>
      <c r="H109" s="37" t="s">
        <v>186</v>
      </c>
      <c r="I109" s="37" t="n">
        <v>48</v>
      </c>
      <c r="J109" s="39" t="n">
        <v>899.98</v>
      </c>
      <c r="K109" s="37" t="s">
        <v>342</v>
      </c>
      <c r="L109" s="39" t="n">
        <v>118.39</v>
      </c>
      <c r="M109" s="39" t="n">
        <v>65.36</v>
      </c>
      <c r="N109" s="39" t="n">
        <f aca="false">J109*Resumo!$C$6</f>
        <v>0</v>
      </c>
      <c r="O109" s="39" t="n">
        <f aca="false">J109*Resumo!$C$7</f>
        <v>1.889958</v>
      </c>
      <c r="P109" s="39" t="n">
        <f aca="false">J109*Resumo!$C$8</f>
        <v>1.889958</v>
      </c>
      <c r="Q109" s="39" t="n">
        <f aca="false">Resumo!$C$10*CEILING(I109/100,1)</f>
        <v>1.05</v>
      </c>
      <c r="R109" s="39" t="n">
        <f aca="false">Resumo!$C$9</f>
        <v>0</v>
      </c>
      <c r="S109" s="39" t="n">
        <f aca="false">Resumo!$C$13</f>
        <v>13.55</v>
      </c>
      <c r="T109" s="39" t="n">
        <f aca="false">Resumo!$C$14*CEILING(I109,1)</f>
        <v>21.6</v>
      </c>
      <c r="U109" s="39" t="n">
        <f aca="false">SUM(M109:T109)*Resumo!$C$11</f>
        <v>0</v>
      </c>
      <c r="V109" s="39" t="n">
        <f aca="false">SUM(M109:U109)</f>
        <v>105.339916</v>
      </c>
      <c r="W109" s="39" t="n">
        <f aca="false">V109/(1-Resumo!$C$5)</f>
        <v>119.70445</v>
      </c>
      <c r="X109" s="39" t="n">
        <v>93.97</v>
      </c>
      <c r="Y109" s="39" t="n">
        <f aca="false">J109*Resumo!$B$6</f>
        <v>0.89998</v>
      </c>
      <c r="Z109" s="39" t="n">
        <f aca="false">J109*Resumo!$B$7</f>
        <v>1.79996</v>
      </c>
      <c r="AA109" s="39" t="n">
        <f aca="false">Resumo!$B$9</f>
        <v>1</v>
      </c>
      <c r="AB109" s="39" t="n">
        <f aca="false">Resumo!$B$10*CEILING(I109/100,1)</f>
        <v>4.5</v>
      </c>
      <c r="AC109" s="39" t="n">
        <f aca="false">Resumo!$B$12*CEILING(I109,1)</f>
        <v>2.88</v>
      </c>
      <c r="AD109" s="39" t="n">
        <f aca="false">Resumo!$B$14*CEILING(I109,1)</f>
        <v>21.6</v>
      </c>
      <c r="AE109" s="39" t="n">
        <f aca="false">SUM(X109:AD109)</f>
        <v>126.64994</v>
      </c>
      <c r="AF109" s="39" t="n">
        <f aca="false">AE109/(1-Resumo!$B$5)</f>
        <v>143.920386363636</v>
      </c>
      <c r="AG109" s="39" t="n">
        <f aca="false">AF109-W109</f>
        <v>24.2159363636364</v>
      </c>
      <c r="AH109" s="40" t="n">
        <f aca="false">AF109/W109-1</f>
        <v>0.202297712103739</v>
      </c>
      <c r="AI109" s="37" t="str">
        <f aca="false">IF(AF109&lt;W109,"SIM","NÃO")</f>
        <v>NÃO</v>
      </c>
      <c r="AJ109" s="37" t="n">
        <v>2</v>
      </c>
      <c r="AK109" s="37" t="n">
        <v>5</v>
      </c>
      <c r="AL109" s="37" t="s">
        <v>343</v>
      </c>
      <c r="AM109" s="39" t="n">
        <v>118.39</v>
      </c>
    </row>
    <row r="110" customFormat="false" ht="15" hidden="false" customHeight="false" outlineLevel="0" collapsed="false">
      <c r="A110" s="37" t="n">
        <v>357062226</v>
      </c>
      <c r="B110" s="38" t="n">
        <v>46213.0746527778</v>
      </c>
      <c r="C110" s="37" t="s">
        <v>372</v>
      </c>
      <c r="D110" s="37" t="s">
        <v>456</v>
      </c>
      <c r="E110" s="37" t="n">
        <v>21531450</v>
      </c>
      <c r="F110" s="37" t="s">
        <v>159</v>
      </c>
      <c r="G110" s="37" t="s">
        <v>196</v>
      </c>
      <c r="H110" s="37" t="s">
        <v>188</v>
      </c>
      <c r="I110" s="37" t="n">
        <v>69</v>
      </c>
      <c r="J110" s="39" t="n">
        <v>695.99</v>
      </c>
      <c r="K110" s="37" t="s">
        <v>342</v>
      </c>
      <c r="L110" s="39" t="n">
        <v>124.53</v>
      </c>
      <c r="M110" s="39" t="n">
        <v>63.21</v>
      </c>
      <c r="N110" s="39" t="n">
        <f aca="false">J110*Resumo!$C$6</f>
        <v>0</v>
      </c>
      <c r="O110" s="39" t="n">
        <f aca="false">J110*Resumo!$C$7</f>
        <v>1.461579</v>
      </c>
      <c r="P110" s="39" t="n">
        <f aca="false">J110*Resumo!$C$8</f>
        <v>1.461579</v>
      </c>
      <c r="Q110" s="39" t="n">
        <f aca="false">Resumo!$C$10*CEILING(I110/100,1)</f>
        <v>1.05</v>
      </c>
      <c r="R110" s="39" t="n">
        <f aca="false">Resumo!$C$9</f>
        <v>0</v>
      </c>
      <c r="S110" s="39" t="n">
        <f aca="false">Resumo!$C$13</f>
        <v>13.55</v>
      </c>
      <c r="T110" s="39" t="n">
        <f aca="false">Resumo!$C$14*CEILING(I110,1)</f>
        <v>31.05</v>
      </c>
      <c r="U110" s="39" t="n">
        <f aca="false">SUM(M110:T110)*Resumo!$C$11</f>
        <v>0</v>
      </c>
      <c r="V110" s="39" t="n">
        <f aca="false">SUM(M110:U110)</f>
        <v>111.783158</v>
      </c>
      <c r="W110" s="39" t="n">
        <f aca="false">V110/(1-Resumo!$C$5)</f>
        <v>127.026315909091</v>
      </c>
      <c r="X110" s="39" t="n">
        <v>131.02</v>
      </c>
      <c r="Y110" s="39" t="n">
        <f aca="false">J110*Resumo!$B$6</f>
        <v>0.69599</v>
      </c>
      <c r="Z110" s="39" t="n">
        <f aca="false">J110*Resumo!$B$7</f>
        <v>1.39198</v>
      </c>
      <c r="AA110" s="39" t="n">
        <f aca="false">Resumo!$B$9</f>
        <v>1</v>
      </c>
      <c r="AB110" s="39" t="n">
        <f aca="false">Resumo!$B$10*CEILING(I110/100,1)</f>
        <v>4.5</v>
      </c>
      <c r="AC110" s="39" t="n">
        <f aca="false">Resumo!$B$12*CEILING(I110,1)</f>
        <v>4.14</v>
      </c>
      <c r="AD110" s="39" t="n">
        <f aca="false">Resumo!$B$14*CEILING(I110,1)</f>
        <v>31.05</v>
      </c>
      <c r="AE110" s="39" t="n">
        <f aca="false">SUM(X110:AD110)</f>
        <v>173.79797</v>
      </c>
      <c r="AF110" s="39" t="n">
        <f aca="false">AE110/(1-Resumo!$B$5)</f>
        <v>197.497693181818</v>
      </c>
      <c r="AG110" s="39" t="n">
        <f aca="false">AF110-W110</f>
        <v>70.4713772727273</v>
      </c>
      <c r="AH110" s="40" t="n">
        <f aca="false">AF110/W110-1</f>
        <v>0.554777777883141</v>
      </c>
      <c r="AI110" s="37" t="str">
        <f aca="false">IF(AF110&lt;W110,"SIM","NÃO")</f>
        <v>NÃO</v>
      </c>
      <c r="AJ110" s="37" t="n">
        <v>2</v>
      </c>
      <c r="AK110" s="37" t="n">
        <v>5</v>
      </c>
      <c r="AL110" s="37" t="s">
        <v>343</v>
      </c>
      <c r="AM110" s="39" t="n">
        <v>124.54</v>
      </c>
    </row>
    <row r="111" customFormat="false" ht="15" hidden="false" customHeight="false" outlineLevel="0" collapsed="false">
      <c r="A111" s="37" t="n">
        <v>357029130</v>
      </c>
      <c r="B111" s="38" t="n">
        <v>46213.2619560185</v>
      </c>
      <c r="C111" s="37" t="s">
        <v>345</v>
      </c>
      <c r="D111" s="37" t="s">
        <v>457</v>
      </c>
      <c r="E111" s="37" t="n">
        <v>23891730</v>
      </c>
      <c r="F111" s="37" t="s">
        <v>221</v>
      </c>
      <c r="G111" s="37" t="s">
        <v>198</v>
      </c>
      <c r="H111" s="37" t="s">
        <v>187</v>
      </c>
      <c r="I111" s="37" t="n">
        <v>52.3</v>
      </c>
      <c r="J111" s="39" t="n">
        <v>644.83</v>
      </c>
      <c r="K111" s="37" t="s">
        <v>342</v>
      </c>
      <c r="L111" s="39" t="n">
        <v>142.76</v>
      </c>
      <c r="M111" s="39" t="n">
        <v>83.58</v>
      </c>
      <c r="N111" s="39" t="n">
        <f aca="false">J111*Resumo!$C$6</f>
        <v>0</v>
      </c>
      <c r="O111" s="39" t="n">
        <f aca="false">J111*Resumo!$C$7</f>
        <v>1.354143</v>
      </c>
      <c r="P111" s="39" t="n">
        <f aca="false">J111*Resumo!$C$8</f>
        <v>1.354143</v>
      </c>
      <c r="Q111" s="39" t="n">
        <f aca="false">Resumo!$C$10*CEILING(I111/100,1)</f>
        <v>1.05</v>
      </c>
      <c r="R111" s="39" t="n">
        <f aca="false">Resumo!$C$9</f>
        <v>0</v>
      </c>
      <c r="S111" s="39" t="n">
        <f aca="false">Resumo!$C$13</f>
        <v>13.55</v>
      </c>
      <c r="T111" s="39" t="n">
        <f aca="false">Resumo!$C$14*CEILING(I111,1)</f>
        <v>23.85</v>
      </c>
      <c r="U111" s="39" t="n">
        <f aca="false">SUM(M111:T111)*Resumo!$C$11</f>
        <v>0</v>
      </c>
      <c r="V111" s="39" t="n">
        <f aca="false">SUM(M111:U111)</f>
        <v>124.738286</v>
      </c>
      <c r="W111" s="39" t="n">
        <f aca="false">V111/(1-Resumo!$C$5)</f>
        <v>141.748052272727</v>
      </c>
      <c r="X111" s="39" t="n">
        <v>122.3</v>
      </c>
      <c r="Y111" s="39" t="n">
        <f aca="false">J111*Resumo!$B$6</f>
        <v>0.64483</v>
      </c>
      <c r="Z111" s="39" t="n">
        <f aca="false">J111*Resumo!$B$7</f>
        <v>1.28966</v>
      </c>
      <c r="AA111" s="39" t="n">
        <f aca="false">Resumo!$B$9</f>
        <v>1</v>
      </c>
      <c r="AB111" s="39" t="n">
        <f aca="false">Resumo!$B$10*CEILING(I111/100,1)</f>
        <v>4.5</v>
      </c>
      <c r="AC111" s="39" t="n">
        <f aca="false">Resumo!$B$12*CEILING(I111,1)</f>
        <v>3.18</v>
      </c>
      <c r="AD111" s="39" t="n">
        <f aca="false">Resumo!$B$14*CEILING(I111,1)</f>
        <v>23.85</v>
      </c>
      <c r="AE111" s="39" t="n">
        <f aca="false">SUM(X111:AD111)</f>
        <v>156.76449</v>
      </c>
      <c r="AF111" s="39" t="n">
        <f aca="false">AE111/(1-Resumo!$B$5)</f>
        <v>178.141465909091</v>
      </c>
      <c r="AG111" s="39" t="n">
        <f aca="false">AF111-W111</f>
        <v>36.3934136363637</v>
      </c>
      <c r="AH111" s="40" t="n">
        <f aca="false">AF111/W111-1</f>
        <v>0.256747186665688</v>
      </c>
      <c r="AI111" s="37" t="str">
        <f aca="false">IF(AF111&lt;W111,"SIM","NÃO")</f>
        <v>NÃO</v>
      </c>
      <c r="AJ111" s="37" t="n">
        <v>13</v>
      </c>
      <c r="AK111" s="37" t="n">
        <v>5</v>
      </c>
      <c r="AL111" s="37" t="s">
        <v>347</v>
      </c>
      <c r="AM111" s="39" t="n">
        <v>142.76</v>
      </c>
    </row>
    <row r="112" customFormat="false" ht="15" hidden="false" customHeight="false" outlineLevel="0" collapsed="false">
      <c r="A112" s="37" t="n">
        <v>357055154</v>
      </c>
      <c r="B112" s="38" t="n">
        <v>46213.3598032407</v>
      </c>
      <c r="C112" s="37" t="s">
        <v>345</v>
      </c>
      <c r="D112" s="37" t="s">
        <v>458</v>
      </c>
      <c r="E112" s="37" t="n">
        <v>28986330</v>
      </c>
      <c r="F112" s="37" t="s">
        <v>173</v>
      </c>
      <c r="G112" s="37" t="s">
        <v>198</v>
      </c>
      <c r="H112" s="37" t="s">
        <v>188</v>
      </c>
      <c r="I112" s="37" t="n">
        <v>66.8</v>
      </c>
      <c r="J112" s="39" t="n">
        <v>888.88</v>
      </c>
      <c r="K112" s="37" t="s">
        <v>342</v>
      </c>
      <c r="L112" s="39" t="n">
        <v>156.28</v>
      </c>
      <c r="M112" s="39" t="n">
        <v>90.2</v>
      </c>
      <c r="N112" s="39" t="n">
        <f aca="false">J112*Resumo!$C$6</f>
        <v>0</v>
      </c>
      <c r="O112" s="39" t="n">
        <f aca="false">J112*Resumo!$C$7</f>
        <v>1.866648</v>
      </c>
      <c r="P112" s="39" t="n">
        <f aca="false">J112*Resumo!$C$8</f>
        <v>1.866648</v>
      </c>
      <c r="Q112" s="39" t="n">
        <f aca="false">Resumo!$C$10*CEILING(I112/100,1)</f>
        <v>1.05</v>
      </c>
      <c r="R112" s="39" t="n">
        <f aca="false">Resumo!$C$9</f>
        <v>0</v>
      </c>
      <c r="S112" s="39" t="n">
        <f aca="false">Resumo!$C$13</f>
        <v>13.55</v>
      </c>
      <c r="T112" s="39" t="n">
        <f aca="false">Resumo!$C$14*CEILING(I112,1)</f>
        <v>30.15</v>
      </c>
      <c r="U112" s="39" t="n">
        <f aca="false">SUM(M112:T112)*Resumo!$C$11</f>
        <v>0</v>
      </c>
      <c r="V112" s="39" t="n">
        <f aca="false">SUM(M112:U112)</f>
        <v>138.683296</v>
      </c>
      <c r="W112" s="39" t="n">
        <f aca="false">V112/(1-Resumo!$C$5)</f>
        <v>157.594654545455</v>
      </c>
      <c r="X112" s="39" t="n">
        <v>166.05</v>
      </c>
      <c r="Y112" s="39" t="n">
        <f aca="false">J112*Resumo!$B$6</f>
        <v>0.88888</v>
      </c>
      <c r="Z112" s="39" t="n">
        <f aca="false">J112*Resumo!$B$7</f>
        <v>1.77776</v>
      </c>
      <c r="AA112" s="39" t="n">
        <f aca="false">Resumo!$B$9</f>
        <v>1</v>
      </c>
      <c r="AB112" s="39" t="n">
        <f aca="false">Resumo!$B$10*CEILING(I112/100,1)</f>
        <v>4.5</v>
      </c>
      <c r="AC112" s="39" t="n">
        <f aca="false">Resumo!$B$12*CEILING(I112,1)</f>
        <v>4.02</v>
      </c>
      <c r="AD112" s="39" t="n">
        <f aca="false">Resumo!$B$14*CEILING(I112,1)</f>
        <v>30.15</v>
      </c>
      <c r="AE112" s="39" t="n">
        <f aca="false">SUM(X112:AD112)</f>
        <v>208.38664</v>
      </c>
      <c r="AF112" s="39" t="n">
        <f aca="false">AE112/(1-Resumo!$B$5)</f>
        <v>236.803</v>
      </c>
      <c r="AG112" s="39" t="n">
        <f aca="false">AF112-W112</f>
        <v>79.2083454545455</v>
      </c>
      <c r="AH112" s="40" t="n">
        <f aca="false">AF112/W112-1</f>
        <v>0.502608071847384</v>
      </c>
      <c r="AI112" s="37" t="str">
        <f aca="false">IF(AF112&lt;W112,"SIM","NÃO")</f>
        <v>NÃO</v>
      </c>
      <c r="AJ112" s="37" t="n">
        <v>13</v>
      </c>
      <c r="AK112" s="37" t="n">
        <v>10</v>
      </c>
      <c r="AL112" s="37" t="s">
        <v>343</v>
      </c>
      <c r="AM112" s="39" t="n">
        <v>156.28</v>
      </c>
    </row>
    <row r="113" customFormat="false" ht="15" hidden="false" customHeight="false" outlineLevel="0" collapsed="false">
      <c r="A113" s="37" t="n">
        <v>357065213</v>
      </c>
      <c r="B113" s="38" t="n">
        <v>46213.3848726852</v>
      </c>
      <c r="C113" s="37" t="s">
        <v>345</v>
      </c>
      <c r="D113" s="37" t="s">
        <v>459</v>
      </c>
      <c r="E113" s="37" t="n">
        <v>24750045</v>
      </c>
      <c r="F113" s="37" t="s">
        <v>160</v>
      </c>
      <c r="G113" s="37" t="s">
        <v>197</v>
      </c>
      <c r="H113" s="37" t="s">
        <v>186</v>
      </c>
      <c r="I113" s="37" t="n">
        <v>48</v>
      </c>
      <c r="J113" s="39" t="n">
        <v>939.98</v>
      </c>
      <c r="K113" s="37" t="s">
        <v>342</v>
      </c>
      <c r="L113" s="39" t="n">
        <v>118.58</v>
      </c>
      <c r="M113" s="39" t="n">
        <v>65.36</v>
      </c>
      <c r="N113" s="39" t="n">
        <f aca="false">J113*Resumo!$C$6</f>
        <v>0</v>
      </c>
      <c r="O113" s="39" t="n">
        <f aca="false">J113*Resumo!$C$7</f>
        <v>1.973958</v>
      </c>
      <c r="P113" s="39" t="n">
        <f aca="false">J113*Resumo!$C$8</f>
        <v>1.973958</v>
      </c>
      <c r="Q113" s="39" t="n">
        <f aca="false">Resumo!$C$10*CEILING(I113/100,1)</f>
        <v>1.05</v>
      </c>
      <c r="R113" s="39" t="n">
        <f aca="false">Resumo!$C$9</f>
        <v>0</v>
      </c>
      <c r="S113" s="39" t="n">
        <f aca="false">Resumo!$C$13</f>
        <v>13.55</v>
      </c>
      <c r="T113" s="39" t="n">
        <f aca="false">Resumo!$C$14*CEILING(I113,1)</f>
        <v>21.6</v>
      </c>
      <c r="U113" s="39" t="n">
        <f aca="false">SUM(M113:T113)*Resumo!$C$11</f>
        <v>0</v>
      </c>
      <c r="V113" s="39" t="n">
        <f aca="false">SUM(M113:U113)</f>
        <v>105.507916</v>
      </c>
      <c r="W113" s="39" t="n">
        <f aca="false">V113/(1-Resumo!$C$5)</f>
        <v>119.895359090909</v>
      </c>
      <c r="X113" s="39" t="n">
        <v>114.95</v>
      </c>
      <c r="Y113" s="39" t="n">
        <f aca="false">J113*Resumo!$B$6</f>
        <v>0.93998</v>
      </c>
      <c r="Z113" s="39" t="n">
        <f aca="false">J113*Resumo!$B$7</f>
        <v>1.87996</v>
      </c>
      <c r="AA113" s="39" t="n">
        <f aca="false">Resumo!$B$9</f>
        <v>1</v>
      </c>
      <c r="AB113" s="39" t="n">
        <f aca="false">Resumo!$B$10*CEILING(I113/100,1)</f>
        <v>4.5</v>
      </c>
      <c r="AC113" s="39" t="n">
        <f aca="false">Resumo!$B$12*CEILING(I113,1)</f>
        <v>2.88</v>
      </c>
      <c r="AD113" s="39" t="n">
        <f aca="false">Resumo!$B$14*CEILING(I113,1)</f>
        <v>21.6</v>
      </c>
      <c r="AE113" s="39" t="n">
        <f aca="false">SUM(X113:AD113)</f>
        <v>147.74994</v>
      </c>
      <c r="AF113" s="39" t="n">
        <f aca="false">AE113/(1-Resumo!$B$5)</f>
        <v>167.897659090909</v>
      </c>
      <c r="AG113" s="39" t="n">
        <f aca="false">AF113-W113</f>
        <v>48.0023</v>
      </c>
      <c r="AH113" s="40" t="n">
        <f aca="false">AF113/W113-1</f>
        <v>0.40036829084938</v>
      </c>
      <c r="AI113" s="37" t="str">
        <f aca="false">IF(AF113&lt;W113,"SIM","NÃO")</f>
        <v>NÃO</v>
      </c>
      <c r="AJ113" s="37" t="n">
        <v>2</v>
      </c>
      <c r="AK113" s="37" t="n">
        <v>7</v>
      </c>
      <c r="AL113" s="37" t="s">
        <v>343</v>
      </c>
      <c r="AM113" s="39" t="n">
        <v>118.58</v>
      </c>
    </row>
    <row r="114" customFormat="false" ht="15" hidden="false" customHeight="false" outlineLevel="0" collapsed="false">
      <c r="A114" s="37" t="n">
        <v>357100369</v>
      </c>
      <c r="B114" s="38" t="n">
        <v>46213.4549305556</v>
      </c>
      <c r="C114" s="37" t="s">
        <v>340</v>
      </c>
      <c r="D114" s="37" t="s">
        <v>460</v>
      </c>
      <c r="E114" s="37" t="n">
        <v>25035770</v>
      </c>
      <c r="F114" s="37" t="s">
        <v>161</v>
      </c>
      <c r="G114" s="37" t="s">
        <v>197</v>
      </c>
      <c r="H114" s="37" t="s">
        <v>187</v>
      </c>
      <c r="I114" s="37" t="n">
        <v>52.3</v>
      </c>
      <c r="J114" s="39" t="n">
        <v>643.99</v>
      </c>
      <c r="K114" s="37" t="s">
        <v>342</v>
      </c>
      <c r="L114" s="39" t="n">
        <v>128.38</v>
      </c>
      <c r="M114" s="39" t="n">
        <v>70.98</v>
      </c>
      <c r="N114" s="39" t="n">
        <f aca="false">J114*Resumo!$C$6</f>
        <v>0</v>
      </c>
      <c r="O114" s="39" t="n">
        <f aca="false">J114*Resumo!$C$7</f>
        <v>1.352379</v>
      </c>
      <c r="P114" s="39" t="n">
        <f aca="false">J114*Resumo!$C$8</f>
        <v>1.352379</v>
      </c>
      <c r="Q114" s="39" t="n">
        <f aca="false">Resumo!$C$10*CEILING(I114/100,1)</f>
        <v>1.05</v>
      </c>
      <c r="R114" s="39" t="n">
        <f aca="false">Resumo!$C$9</f>
        <v>0</v>
      </c>
      <c r="S114" s="39" t="n">
        <f aca="false">Resumo!$C$13</f>
        <v>13.55</v>
      </c>
      <c r="T114" s="39" t="n">
        <f aca="false">Resumo!$C$14*CEILING(I114,1)</f>
        <v>23.85</v>
      </c>
      <c r="U114" s="39" t="n">
        <f aca="false">SUM(M114:T114)*Resumo!$C$11</f>
        <v>0</v>
      </c>
      <c r="V114" s="39" t="n">
        <f aca="false">SUM(M114:U114)</f>
        <v>112.134758</v>
      </c>
      <c r="W114" s="39" t="n">
        <f aca="false">V114/(1-Resumo!$C$5)</f>
        <v>127.425861363636</v>
      </c>
      <c r="X114" s="39" t="n">
        <v>112.3</v>
      </c>
      <c r="Y114" s="39" t="n">
        <f aca="false">J114*Resumo!$B$6</f>
        <v>0.64399</v>
      </c>
      <c r="Z114" s="39" t="n">
        <f aca="false">J114*Resumo!$B$7</f>
        <v>1.28798</v>
      </c>
      <c r="AA114" s="39" t="n">
        <f aca="false">Resumo!$B$9</f>
        <v>1</v>
      </c>
      <c r="AB114" s="39" t="n">
        <f aca="false">Resumo!$B$10*CEILING(I114/100,1)</f>
        <v>4.5</v>
      </c>
      <c r="AC114" s="39" t="n">
        <f aca="false">Resumo!$B$12*CEILING(I114,1)</f>
        <v>3.18</v>
      </c>
      <c r="AD114" s="39" t="n">
        <f aca="false">Resumo!$B$14*CEILING(I114,1)</f>
        <v>23.85</v>
      </c>
      <c r="AE114" s="39" t="n">
        <f aca="false">SUM(X114:AD114)</f>
        <v>146.76197</v>
      </c>
      <c r="AF114" s="39" t="n">
        <f aca="false">AE114/(1-Resumo!$B$5)</f>
        <v>166.774965909091</v>
      </c>
      <c r="AG114" s="39" t="n">
        <f aca="false">AF114-W114</f>
        <v>39.3491045454545</v>
      </c>
      <c r="AH114" s="40" t="n">
        <f aca="false">AF114/W114-1</f>
        <v>0.308799988670774</v>
      </c>
      <c r="AI114" s="37" t="str">
        <f aca="false">IF(AF114&lt;W114,"SIM","NÃO")</f>
        <v>NÃO</v>
      </c>
      <c r="AJ114" s="37" t="n">
        <v>2</v>
      </c>
      <c r="AK114" s="37" t="n">
        <v>5</v>
      </c>
      <c r="AL114" s="37" t="s">
        <v>343</v>
      </c>
      <c r="AM114" s="39" t="n">
        <v>128.37</v>
      </c>
    </row>
    <row r="115" customFormat="false" ht="15" hidden="false" customHeight="false" outlineLevel="0" collapsed="false">
      <c r="A115" s="37" t="n">
        <v>357101191</v>
      </c>
      <c r="B115" s="38" t="n">
        <v>46213.4567939815</v>
      </c>
      <c r="C115" s="37" t="s">
        <v>340</v>
      </c>
      <c r="D115" s="37" t="s">
        <v>461</v>
      </c>
      <c r="E115" s="37" t="n">
        <v>28024417</v>
      </c>
      <c r="F115" s="37" t="s">
        <v>164</v>
      </c>
      <c r="G115" s="37" t="s">
        <v>198</v>
      </c>
      <c r="H115" s="37" t="s">
        <v>187</v>
      </c>
      <c r="I115" s="37" t="n">
        <v>52.3</v>
      </c>
      <c r="J115" s="39" t="n">
        <v>644.99</v>
      </c>
      <c r="K115" s="37" t="s">
        <v>342</v>
      </c>
      <c r="L115" s="39" t="n">
        <v>142.76</v>
      </c>
      <c r="M115" s="39" t="n">
        <v>83.58</v>
      </c>
      <c r="N115" s="39" t="n">
        <f aca="false">J115*Resumo!$C$6</f>
        <v>0</v>
      </c>
      <c r="O115" s="39" t="n">
        <f aca="false">J115*Resumo!$C$7</f>
        <v>1.354479</v>
      </c>
      <c r="P115" s="39" t="n">
        <f aca="false">J115*Resumo!$C$8</f>
        <v>1.354479</v>
      </c>
      <c r="Q115" s="39" t="n">
        <f aca="false">Resumo!$C$10*CEILING(I115/100,1)</f>
        <v>1.05</v>
      </c>
      <c r="R115" s="39" t="n">
        <f aca="false">Resumo!$C$9</f>
        <v>0</v>
      </c>
      <c r="S115" s="39" t="n">
        <f aca="false">Resumo!$C$13</f>
        <v>13.55</v>
      </c>
      <c r="T115" s="39" t="n">
        <f aca="false">Resumo!$C$14*CEILING(I115,1)</f>
        <v>23.85</v>
      </c>
      <c r="U115" s="39" t="n">
        <f aca="false">SUM(M115:T115)*Resumo!$C$11</f>
        <v>0</v>
      </c>
      <c r="V115" s="39" t="n">
        <f aca="false">SUM(M115:U115)</f>
        <v>124.738958</v>
      </c>
      <c r="W115" s="39" t="n">
        <f aca="false">V115/(1-Resumo!$C$5)</f>
        <v>141.748815909091</v>
      </c>
      <c r="X115" s="39" t="n">
        <v>162.04</v>
      </c>
      <c r="Y115" s="39" t="n">
        <f aca="false">J115*Resumo!$B$6</f>
        <v>0.64499</v>
      </c>
      <c r="Z115" s="39" t="n">
        <f aca="false">J115*Resumo!$B$7</f>
        <v>1.28998</v>
      </c>
      <c r="AA115" s="39" t="n">
        <f aca="false">Resumo!$B$9</f>
        <v>1</v>
      </c>
      <c r="AB115" s="39" t="n">
        <f aca="false">Resumo!$B$10*CEILING(I115/100,1)</f>
        <v>4.5</v>
      </c>
      <c r="AC115" s="39" t="n">
        <f aca="false">Resumo!$B$12*CEILING(I115,1)</f>
        <v>3.18</v>
      </c>
      <c r="AD115" s="39" t="n">
        <f aca="false">Resumo!$B$14*CEILING(I115,1)</f>
        <v>23.85</v>
      </c>
      <c r="AE115" s="39" t="n">
        <f aca="false">SUM(X115:AD115)</f>
        <v>196.50497</v>
      </c>
      <c r="AF115" s="39" t="n">
        <f aca="false">AE115/(1-Resumo!$B$5)</f>
        <v>223.301102272727</v>
      </c>
      <c r="AG115" s="39" t="n">
        <f aca="false">AF115-W115</f>
        <v>81.5522863636364</v>
      </c>
      <c r="AH115" s="40" t="n">
        <f aca="false">AF115/W115-1</f>
        <v>0.575329577468492</v>
      </c>
      <c r="AI115" s="37" t="str">
        <f aca="false">IF(AF115&lt;W115,"SIM","NÃO")</f>
        <v>NÃO</v>
      </c>
      <c r="AJ115" s="37" t="n">
        <v>13</v>
      </c>
      <c r="AK115" s="37" t="n">
        <v>11</v>
      </c>
      <c r="AL115" s="37" t="s">
        <v>343</v>
      </c>
      <c r="AM115" s="39" t="n">
        <v>142.76</v>
      </c>
    </row>
    <row r="116" customFormat="false" ht="15" hidden="false" customHeight="false" outlineLevel="0" collapsed="false">
      <c r="A116" s="37" t="n">
        <v>357104488</v>
      </c>
      <c r="B116" s="38" t="n">
        <v>46213.4639814815</v>
      </c>
      <c r="C116" s="37" t="s">
        <v>345</v>
      </c>
      <c r="D116" s="37" t="s">
        <v>462</v>
      </c>
      <c r="E116" s="37" t="n">
        <v>24315000</v>
      </c>
      <c r="F116" s="37" t="s">
        <v>163</v>
      </c>
      <c r="G116" s="37" t="s">
        <v>197</v>
      </c>
      <c r="H116" s="37" t="s">
        <v>188</v>
      </c>
      <c r="I116" s="37" t="n">
        <v>66.8</v>
      </c>
      <c r="J116" s="39" t="n">
        <v>630.3</v>
      </c>
      <c r="K116" s="37" t="s">
        <v>342</v>
      </c>
      <c r="L116" s="39" t="n">
        <v>139.45</v>
      </c>
      <c r="M116" s="39" t="n">
        <v>76.55</v>
      </c>
      <c r="N116" s="39" t="n">
        <f aca="false">J116*Resumo!$C$6</f>
        <v>0</v>
      </c>
      <c r="O116" s="39" t="n">
        <f aca="false">J116*Resumo!$C$7</f>
        <v>1.32363</v>
      </c>
      <c r="P116" s="39" t="n">
        <f aca="false">J116*Resumo!$C$8</f>
        <v>1.32363</v>
      </c>
      <c r="Q116" s="39" t="n">
        <f aca="false">Resumo!$C$10*CEILING(I116/100,1)</f>
        <v>1.05</v>
      </c>
      <c r="R116" s="39" t="n">
        <f aca="false">Resumo!$C$9</f>
        <v>0</v>
      </c>
      <c r="S116" s="39" t="n">
        <f aca="false">Resumo!$C$13</f>
        <v>13.55</v>
      </c>
      <c r="T116" s="39" t="n">
        <f aca="false">Resumo!$C$14*CEILING(I116,1)</f>
        <v>30.15</v>
      </c>
      <c r="U116" s="39" t="n">
        <f aca="false">SUM(M116:T116)*Resumo!$C$11</f>
        <v>0</v>
      </c>
      <c r="V116" s="39" t="n">
        <f aca="false">SUM(M116:U116)</f>
        <v>123.94726</v>
      </c>
      <c r="W116" s="39" t="n">
        <f aca="false">V116/(1-Resumo!$C$5)</f>
        <v>140.849159090909</v>
      </c>
      <c r="X116" s="39" t="n">
        <v>149.5</v>
      </c>
      <c r="Y116" s="39" t="n">
        <f aca="false">J116*Resumo!$B$6</f>
        <v>0.6303</v>
      </c>
      <c r="Z116" s="39" t="n">
        <f aca="false">J116*Resumo!$B$7</f>
        <v>1.2606</v>
      </c>
      <c r="AA116" s="39" t="n">
        <f aca="false">Resumo!$B$9</f>
        <v>1</v>
      </c>
      <c r="AB116" s="39" t="n">
        <f aca="false">Resumo!$B$10*CEILING(I116/100,1)</f>
        <v>4.5</v>
      </c>
      <c r="AC116" s="39" t="n">
        <f aca="false">Resumo!$B$12*CEILING(I116,1)</f>
        <v>4.02</v>
      </c>
      <c r="AD116" s="39" t="n">
        <f aca="false">Resumo!$B$14*CEILING(I116,1)</f>
        <v>30.15</v>
      </c>
      <c r="AE116" s="39" t="n">
        <f aca="false">SUM(X116:AD116)</f>
        <v>191.0609</v>
      </c>
      <c r="AF116" s="39" t="n">
        <f aca="false">AE116/(1-Resumo!$B$5)</f>
        <v>217.114659090909</v>
      </c>
      <c r="AG116" s="39" t="n">
        <f aca="false">AF116-W116</f>
        <v>76.2655</v>
      </c>
      <c r="AH116" s="40" t="n">
        <f aca="false">AF116/W116-1</f>
        <v>0.541469331391432</v>
      </c>
      <c r="AI116" s="37" t="str">
        <f aca="false">IF(AF116&lt;W116,"SIM","NÃO")</f>
        <v>NÃO</v>
      </c>
      <c r="AJ116" s="37" t="n">
        <v>2</v>
      </c>
      <c r="AK116" s="37" t="n">
        <v>7</v>
      </c>
      <c r="AL116" s="37" t="s">
        <v>343</v>
      </c>
      <c r="AM116" s="39" t="n">
        <v>139.45</v>
      </c>
    </row>
    <row r="117" customFormat="false" ht="15" hidden="false" customHeight="false" outlineLevel="0" collapsed="false">
      <c r="A117" s="37" t="n">
        <v>357105227</v>
      </c>
      <c r="B117" s="38" t="n">
        <v>46213.4656712963</v>
      </c>
      <c r="C117" s="37" t="s">
        <v>340</v>
      </c>
      <c r="D117" s="37" t="s">
        <v>463</v>
      </c>
      <c r="E117" s="37" t="n">
        <v>28430014</v>
      </c>
      <c r="F117" s="37" t="s">
        <v>269</v>
      </c>
      <c r="G117" s="37" t="s">
        <v>198</v>
      </c>
      <c r="H117" s="37" t="s">
        <v>186</v>
      </c>
      <c r="I117" s="37" t="n">
        <v>41</v>
      </c>
      <c r="J117" s="39" t="n">
        <v>515.19</v>
      </c>
      <c r="K117" s="37" t="s">
        <v>342</v>
      </c>
      <c r="L117" s="39" t="n">
        <v>130.62</v>
      </c>
      <c r="M117" s="39" t="n">
        <v>77.7</v>
      </c>
      <c r="N117" s="39" t="n">
        <f aca="false">J117*Resumo!$C$6</f>
        <v>0</v>
      </c>
      <c r="O117" s="39" t="n">
        <f aca="false">J117*Resumo!$C$7</f>
        <v>1.081899</v>
      </c>
      <c r="P117" s="39" t="n">
        <f aca="false">J117*Resumo!$C$8</f>
        <v>1.081899</v>
      </c>
      <c r="Q117" s="39" t="n">
        <f aca="false">Resumo!$C$10*CEILING(I117/100,1)</f>
        <v>1.05</v>
      </c>
      <c r="R117" s="39" t="n">
        <f aca="false">Resumo!$C$9</f>
        <v>0</v>
      </c>
      <c r="S117" s="39" t="n">
        <f aca="false">Resumo!$C$13</f>
        <v>13.55</v>
      </c>
      <c r="T117" s="39" t="n">
        <f aca="false">Resumo!$C$14*CEILING(I117,1)</f>
        <v>18.45</v>
      </c>
      <c r="U117" s="39" t="n">
        <f aca="false">SUM(M117:T117)*Resumo!$C$11</f>
        <v>0</v>
      </c>
      <c r="V117" s="39" t="n">
        <f aca="false">SUM(M117:U117)</f>
        <v>112.913798</v>
      </c>
      <c r="W117" s="39" t="n">
        <f aca="false">V117/(1-Resumo!$C$5)</f>
        <v>128.311134090909</v>
      </c>
      <c r="X117" s="39" t="n">
        <v>152.54</v>
      </c>
      <c r="Y117" s="39" t="n">
        <f aca="false">J117*Resumo!$B$6</f>
        <v>0.51519</v>
      </c>
      <c r="Z117" s="39" t="n">
        <f aca="false">J117*Resumo!$B$7</f>
        <v>1.03038</v>
      </c>
      <c r="AA117" s="39" t="n">
        <f aca="false">Resumo!$B$9</f>
        <v>1</v>
      </c>
      <c r="AB117" s="39" t="n">
        <f aca="false">Resumo!$B$10*CEILING(I117/100,1)</f>
        <v>4.5</v>
      </c>
      <c r="AC117" s="39" t="n">
        <f aca="false">Resumo!$B$12*CEILING(I117,1)</f>
        <v>2.46</v>
      </c>
      <c r="AD117" s="39" t="n">
        <f aca="false">Resumo!$B$14*CEILING(I117,1)</f>
        <v>18.45</v>
      </c>
      <c r="AE117" s="39" t="n">
        <f aca="false">SUM(X117:AD117)</f>
        <v>180.49557</v>
      </c>
      <c r="AF117" s="39" t="n">
        <f aca="false">AE117/(1-Resumo!$B$5)</f>
        <v>205.108602272727</v>
      </c>
      <c r="AG117" s="39" t="n">
        <f aca="false">AF117-W117</f>
        <v>76.7974681818182</v>
      </c>
      <c r="AH117" s="40" t="n">
        <f aca="false">AF117/W117-1</f>
        <v>0.598525363569827</v>
      </c>
      <c r="AI117" s="37" t="str">
        <f aca="false">IF(AF117&lt;W117,"SIM","NÃO")</f>
        <v>NÃO</v>
      </c>
      <c r="AJ117" s="37" t="n">
        <v>13</v>
      </c>
      <c r="AK117" s="37" t="n">
        <v>11</v>
      </c>
      <c r="AL117" s="37" t="s">
        <v>347</v>
      </c>
      <c r="AM117" s="39" t="n">
        <v>130.63</v>
      </c>
    </row>
    <row r="118" customFormat="false" ht="15" hidden="false" customHeight="false" outlineLevel="0" collapsed="false">
      <c r="A118" s="37" t="n">
        <v>357142328</v>
      </c>
      <c r="B118" s="38" t="n">
        <v>46213.5474305556</v>
      </c>
      <c r="C118" s="37" t="s">
        <v>340</v>
      </c>
      <c r="D118" s="37" t="s">
        <v>464</v>
      </c>
      <c r="E118" s="37" t="n">
        <v>21041030</v>
      </c>
      <c r="F118" s="37" t="s">
        <v>159</v>
      </c>
      <c r="G118" s="37" t="s">
        <v>196</v>
      </c>
      <c r="H118" s="37" t="s">
        <v>185</v>
      </c>
      <c r="I118" s="37" t="n">
        <v>37.2</v>
      </c>
      <c r="J118" s="39" t="n">
        <v>359.99</v>
      </c>
      <c r="K118" s="37" t="s">
        <v>342</v>
      </c>
      <c r="L118" s="39" t="n">
        <v>91.58</v>
      </c>
      <c r="M118" s="39" t="n">
        <v>48.35</v>
      </c>
      <c r="N118" s="39" t="n">
        <f aca="false">J118*Resumo!$C$6</f>
        <v>0</v>
      </c>
      <c r="O118" s="39" t="n">
        <f aca="false">J118*Resumo!$C$7</f>
        <v>0.755979</v>
      </c>
      <c r="P118" s="39" t="n">
        <f aca="false">J118*Resumo!$C$8</f>
        <v>0.755979</v>
      </c>
      <c r="Q118" s="39" t="n">
        <f aca="false">Resumo!$C$10*CEILING(I118/100,1)</f>
        <v>1.05</v>
      </c>
      <c r="R118" s="39" t="n">
        <f aca="false">Resumo!$C$9</f>
        <v>0</v>
      </c>
      <c r="S118" s="39" t="n">
        <f aca="false">Resumo!$C$13</f>
        <v>13.55</v>
      </c>
      <c r="T118" s="39" t="n">
        <f aca="false">Resumo!$C$14*CEILING(I118,1)</f>
        <v>17.1</v>
      </c>
      <c r="U118" s="39" t="n">
        <f aca="false">SUM(M118:T118)*Resumo!$C$11</f>
        <v>0</v>
      </c>
      <c r="V118" s="39" t="n">
        <f aca="false">SUM(M118:U118)</f>
        <v>81.561958</v>
      </c>
      <c r="W118" s="39" t="n">
        <f aca="false">V118/(1-Resumo!$C$5)</f>
        <v>92.6840431818182</v>
      </c>
      <c r="X118" s="39" t="n">
        <v>93.97</v>
      </c>
      <c r="Y118" s="39" t="n">
        <f aca="false">J118*Resumo!$B$6</f>
        <v>0.35999</v>
      </c>
      <c r="Z118" s="39" t="n">
        <f aca="false">J118*Resumo!$B$7</f>
        <v>0.71998</v>
      </c>
      <c r="AA118" s="39" t="n">
        <f aca="false">Resumo!$B$9</f>
        <v>1</v>
      </c>
      <c r="AB118" s="39" t="n">
        <f aca="false">Resumo!$B$10*CEILING(I118/100,1)</f>
        <v>4.5</v>
      </c>
      <c r="AC118" s="39" t="n">
        <f aca="false">Resumo!$B$12*CEILING(I118,1)</f>
        <v>2.28</v>
      </c>
      <c r="AD118" s="39" t="n">
        <f aca="false">Resumo!$B$14*CEILING(I118,1)</f>
        <v>17.1</v>
      </c>
      <c r="AE118" s="39" t="n">
        <f aca="false">SUM(X118:AD118)</f>
        <v>119.92997</v>
      </c>
      <c r="AF118" s="39" t="n">
        <f aca="false">AE118/(1-Resumo!$B$5)</f>
        <v>136.284056818182</v>
      </c>
      <c r="AG118" s="39" t="n">
        <f aca="false">AF118-W118</f>
        <v>43.6000136363636</v>
      </c>
      <c r="AH118" s="40" t="n">
        <f aca="false">AF118/W118-1</f>
        <v>0.470415533673186</v>
      </c>
      <c r="AI118" s="37" t="str">
        <f aca="false">IF(AF118&lt;W118,"SIM","NÃO")</f>
        <v>NÃO</v>
      </c>
      <c r="AJ118" s="37" t="n">
        <v>2</v>
      </c>
      <c r="AK118" s="37" t="n">
        <v>5</v>
      </c>
      <c r="AL118" s="37" t="s">
        <v>343</v>
      </c>
      <c r="AM118" s="39" t="n">
        <v>91.58</v>
      </c>
    </row>
    <row r="119" customFormat="false" ht="15" hidden="false" customHeight="false" outlineLevel="0" collapsed="false">
      <c r="A119" s="37" t="n">
        <v>357151739</v>
      </c>
      <c r="B119" s="38" t="n">
        <v>46213.5684027778</v>
      </c>
      <c r="C119" s="37" t="s">
        <v>340</v>
      </c>
      <c r="D119" s="37" t="s">
        <v>465</v>
      </c>
      <c r="E119" s="37" t="n">
        <v>21321620</v>
      </c>
      <c r="F119" s="37" t="s">
        <v>159</v>
      </c>
      <c r="G119" s="37" t="s">
        <v>196</v>
      </c>
      <c r="H119" s="37" t="s">
        <v>187</v>
      </c>
      <c r="I119" s="37" t="n">
        <v>52.3</v>
      </c>
      <c r="J119" s="39" t="n">
        <v>643.99</v>
      </c>
      <c r="K119" s="37" t="s">
        <v>342</v>
      </c>
      <c r="L119" s="39" t="n">
        <v>114.24</v>
      </c>
      <c r="M119" s="39" t="n">
        <v>58.6</v>
      </c>
      <c r="N119" s="39" t="n">
        <f aca="false">J119*Resumo!$C$6</f>
        <v>0</v>
      </c>
      <c r="O119" s="39" t="n">
        <f aca="false">J119*Resumo!$C$7</f>
        <v>1.352379</v>
      </c>
      <c r="P119" s="39" t="n">
        <f aca="false">J119*Resumo!$C$8</f>
        <v>1.352379</v>
      </c>
      <c r="Q119" s="39" t="n">
        <f aca="false">Resumo!$C$10*CEILING(I119/100,1)</f>
        <v>1.05</v>
      </c>
      <c r="R119" s="39" t="n">
        <f aca="false">Resumo!$C$9</f>
        <v>0</v>
      </c>
      <c r="S119" s="39" t="n">
        <f aca="false">Resumo!$C$13</f>
        <v>13.55</v>
      </c>
      <c r="T119" s="39" t="n">
        <f aca="false">Resumo!$C$14*CEILING(I119,1)</f>
        <v>23.85</v>
      </c>
      <c r="U119" s="39" t="n">
        <f aca="false">SUM(M119:T119)*Resumo!$C$11</f>
        <v>0</v>
      </c>
      <c r="V119" s="39" t="n">
        <f aca="false">SUM(M119:U119)</f>
        <v>99.754758</v>
      </c>
      <c r="W119" s="39" t="n">
        <f aca="false">V119/(1-Resumo!$C$5)</f>
        <v>113.357679545455</v>
      </c>
      <c r="X119" s="39" t="n">
        <v>112.3</v>
      </c>
      <c r="Y119" s="39" t="n">
        <f aca="false">J119*Resumo!$B$6</f>
        <v>0.64399</v>
      </c>
      <c r="Z119" s="39" t="n">
        <f aca="false">J119*Resumo!$B$7</f>
        <v>1.28798</v>
      </c>
      <c r="AA119" s="39" t="n">
        <f aca="false">Resumo!$B$9</f>
        <v>1</v>
      </c>
      <c r="AB119" s="39" t="n">
        <f aca="false">Resumo!$B$10*CEILING(I119/100,1)</f>
        <v>4.5</v>
      </c>
      <c r="AC119" s="39" t="n">
        <f aca="false">Resumo!$B$12*CEILING(I119,1)</f>
        <v>3.18</v>
      </c>
      <c r="AD119" s="39" t="n">
        <f aca="false">Resumo!$B$14*CEILING(I119,1)</f>
        <v>23.85</v>
      </c>
      <c r="AE119" s="39" t="n">
        <f aca="false">SUM(X119:AD119)</f>
        <v>146.76197</v>
      </c>
      <c r="AF119" s="39" t="n">
        <f aca="false">AE119/(1-Resumo!$B$5)</f>
        <v>166.774965909091</v>
      </c>
      <c r="AG119" s="39" t="n">
        <f aca="false">AF119-W119</f>
        <v>53.4172863636363</v>
      </c>
      <c r="AH119" s="40" t="n">
        <f aca="false">AF119/W119-1</f>
        <v>0.471227768403788</v>
      </c>
      <c r="AI119" s="37" t="str">
        <f aca="false">IF(AF119&lt;W119,"SIM","NÃO")</f>
        <v>NÃO</v>
      </c>
      <c r="AJ119" s="37" t="n">
        <v>2</v>
      </c>
      <c r="AK119" s="37" t="n">
        <v>5</v>
      </c>
      <c r="AL119" s="37" t="s">
        <v>343</v>
      </c>
      <c r="AM119" s="39" t="n">
        <v>114.23</v>
      </c>
    </row>
    <row r="120" customFormat="false" ht="15" hidden="false" customHeight="false" outlineLevel="0" collapsed="false">
      <c r="A120" s="37" t="n">
        <v>357155407</v>
      </c>
      <c r="B120" s="38" t="n">
        <v>46213.5761574074</v>
      </c>
      <c r="C120" s="37" t="s">
        <v>340</v>
      </c>
      <c r="D120" s="37" t="s">
        <v>466</v>
      </c>
      <c r="E120" s="37" t="n">
        <v>25271330</v>
      </c>
      <c r="F120" s="37" t="s">
        <v>161</v>
      </c>
      <c r="G120" s="37" t="s">
        <v>197</v>
      </c>
      <c r="H120" s="37" t="s">
        <v>188</v>
      </c>
      <c r="I120" s="37" t="n">
        <v>63.9</v>
      </c>
      <c r="J120" s="39" t="n">
        <v>799.99</v>
      </c>
      <c r="K120" s="37" t="s">
        <v>342</v>
      </c>
      <c r="L120" s="39" t="n">
        <v>140.27</v>
      </c>
      <c r="M120" s="39" t="n">
        <v>76.55</v>
      </c>
      <c r="N120" s="39" t="n">
        <f aca="false">J120*Resumo!$C$6</f>
        <v>0</v>
      </c>
      <c r="O120" s="39" t="n">
        <f aca="false">J120*Resumo!$C$7</f>
        <v>1.679979</v>
      </c>
      <c r="P120" s="39" t="n">
        <f aca="false">J120*Resumo!$C$8</f>
        <v>1.679979</v>
      </c>
      <c r="Q120" s="39" t="n">
        <f aca="false">Resumo!$C$10*CEILING(I120/100,1)</f>
        <v>1.05</v>
      </c>
      <c r="R120" s="39" t="n">
        <f aca="false">Resumo!$C$9</f>
        <v>0</v>
      </c>
      <c r="S120" s="39" t="n">
        <f aca="false">Resumo!$C$13</f>
        <v>13.55</v>
      </c>
      <c r="T120" s="39" t="n">
        <f aca="false">Resumo!$C$14*CEILING(I120,1)</f>
        <v>28.8</v>
      </c>
      <c r="U120" s="39" t="n">
        <f aca="false">SUM(M120:T120)*Resumo!$C$11</f>
        <v>0</v>
      </c>
      <c r="V120" s="39" t="n">
        <f aca="false">SUM(M120:U120)</f>
        <v>123.309958</v>
      </c>
      <c r="W120" s="39" t="n">
        <f aca="false">V120/(1-Resumo!$C$5)</f>
        <v>140.124952272727</v>
      </c>
      <c r="X120" s="39" t="n">
        <v>131.02</v>
      </c>
      <c r="Y120" s="39" t="n">
        <f aca="false">J120*Resumo!$B$6</f>
        <v>0.79999</v>
      </c>
      <c r="Z120" s="39" t="n">
        <f aca="false">J120*Resumo!$B$7</f>
        <v>1.59998</v>
      </c>
      <c r="AA120" s="39" t="n">
        <f aca="false">Resumo!$B$9</f>
        <v>1</v>
      </c>
      <c r="AB120" s="39" t="n">
        <f aca="false">Resumo!$B$10*CEILING(I120/100,1)</f>
        <v>4.5</v>
      </c>
      <c r="AC120" s="39" t="n">
        <f aca="false">Resumo!$B$12*CEILING(I120,1)</f>
        <v>3.84</v>
      </c>
      <c r="AD120" s="39" t="n">
        <f aca="false">Resumo!$B$14*CEILING(I120,1)</f>
        <v>28.8</v>
      </c>
      <c r="AE120" s="39" t="n">
        <f aca="false">SUM(X120:AD120)</f>
        <v>171.55997</v>
      </c>
      <c r="AF120" s="39" t="n">
        <f aca="false">AE120/(1-Resumo!$B$5)</f>
        <v>194.954511363636</v>
      </c>
      <c r="AG120" s="39" t="n">
        <f aca="false">AF120-W120</f>
        <v>54.8295590909091</v>
      </c>
      <c r="AH120" s="40" t="n">
        <f aca="false">AF120/W120-1</f>
        <v>0.391290474691428</v>
      </c>
      <c r="AI120" s="37" t="str">
        <f aca="false">IF(AF120&lt;W120,"SIM","NÃO")</f>
        <v>NÃO</v>
      </c>
      <c r="AJ120" s="37" t="n">
        <v>2</v>
      </c>
      <c r="AK120" s="37" t="n">
        <v>5</v>
      </c>
      <c r="AL120" s="37" t="s">
        <v>343</v>
      </c>
      <c r="AM120" s="39" t="n">
        <v>140.27</v>
      </c>
    </row>
    <row r="121" customFormat="false" ht="15" hidden="false" customHeight="false" outlineLevel="0" collapsed="false">
      <c r="A121" s="37" t="n">
        <v>357200311</v>
      </c>
      <c r="B121" s="38" t="n">
        <v>46213.687974537</v>
      </c>
      <c r="C121" s="37" t="s">
        <v>340</v>
      </c>
      <c r="D121" s="37" t="s">
        <v>467</v>
      </c>
      <c r="E121" s="37" t="n">
        <v>20760110</v>
      </c>
      <c r="F121" s="37" t="s">
        <v>159</v>
      </c>
      <c r="G121" s="37" t="s">
        <v>196</v>
      </c>
      <c r="H121" s="37" t="s">
        <v>186</v>
      </c>
      <c r="I121" s="37" t="n">
        <v>41</v>
      </c>
      <c r="J121" s="39" t="n">
        <v>515.19</v>
      </c>
      <c r="K121" s="37" t="s">
        <v>342</v>
      </c>
      <c r="L121" s="39" t="n">
        <v>103.06</v>
      </c>
      <c r="M121" s="39" t="n">
        <v>53.55</v>
      </c>
      <c r="N121" s="39" t="n">
        <f aca="false">J121*Resumo!$C$6</f>
        <v>0</v>
      </c>
      <c r="O121" s="39" t="n">
        <f aca="false">J121*Resumo!$C$7</f>
        <v>1.081899</v>
      </c>
      <c r="P121" s="39" t="n">
        <f aca="false">J121*Resumo!$C$8</f>
        <v>1.081899</v>
      </c>
      <c r="Q121" s="39" t="n">
        <f aca="false">Resumo!$C$10*CEILING(I121/100,1)</f>
        <v>1.05</v>
      </c>
      <c r="R121" s="39" t="n">
        <f aca="false">Resumo!$C$9</f>
        <v>0</v>
      </c>
      <c r="S121" s="39" t="n">
        <f aca="false">Resumo!$C$13</f>
        <v>13.55</v>
      </c>
      <c r="T121" s="39" t="n">
        <f aca="false">Resumo!$C$14*CEILING(I121,1)</f>
        <v>18.45</v>
      </c>
      <c r="U121" s="39" t="n">
        <f aca="false">SUM(M121:T121)*Resumo!$C$11</f>
        <v>0</v>
      </c>
      <c r="V121" s="39" t="n">
        <f aca="false">SUM(M121:U121)</f>
        <v>88.763798</v>
      </c>
      <c r="W121" s="39" t="n">
        <f aca="false">V121/(1-Resumo!$C$5)</f>
        <v>100.867952272727</v>
      </c>
      <c r="X121" s="39" t="n">
        <v>93.97</v>
      </c>
      <c r="Y121" s="39" t="n">
        <f aca="false">J121*Resumo!$B$6</f>
        <v>0.51519</v>
      </c>
      <c r="Z121" s="39" t="n">
        <f aca="false">J121*Resumo!$B$7</f>
        <v>1.03038</v>
      </c>
      <c r="AA121" s="39" t="n">
        <f aca="false">Resumo!$B$9</f>
        <v>1</v>
      </c>
      <c r="AB121" s="39" t="n">
        <f aca="false">Resumo!$B$10*CEILING(I121/100,1)</f>
        <v>4.5</v>
      </c>
      <c r="AC121" s="39" t="n">
        <f aca="false">Resumo!$B$12*CEILING(I121,1)</f>
        <v>2.46</v>
      </c>
      <c r="AD121" s="39" t="n">
        <f aca="false">Resumo!$B$14*CEILING(I121,1)</f>
        <v>18.45</v>
      </c>
      <c r="AE121" s="39" t="n">
        <f aca="false">SUM(X121:AD121)</f>
        <v>121.92557</v>
      </c>
      <c r="AF121" s="39" t="n">
        <f aca="false">AE121/(1-Resumo!$B$5)</f>
        <v>138.551784090909</v>
      </c>
      <c r="AG121" s="39" t="n">
        <f aca="false">AF121-W121</f>
        <v>37.6838318181818</v>
      </c>
      <c r="AH121" s="40" t="n">
        <f aca="false">AF121/W121-1</f>
        <v>0.373595685934935</v>
      </c>
      <c r="AI121" s="37" t="str">
        <f aca="false">IF(AF121&lt;W121,"SIM","NÃO")</f>
        <v>NÃO</v>
      </c>
      <c r="AJ121" s="37" t="n">
        <v>2</v>
      </c>
      <c r="AK121" s="37" t="n">
        <v>5</v>
      </c>
      <c r="AL121" s="37" t="s">
        <v>343</v>
      </c>
      <c r="AM121" s="39" t="n">
        <v>103.06</v>
      </c>
    </row>
    <row r="122" customFormat="false" ht="15" hidden="false" customHeight="false" outlineLevel="0" collapsed="false">
      <c r="A122" s="37" t="n">
        <v>357230817</v>
      </c>
      <c r="B122" s="38" t="n">
        <v>46213.7650694445</v>
      </c>
      <c r="C122" s="37" t="s">
        <v>340</v>
      </c>
      <c r="D122" s="37" t="s">
        <v>468</v>
      </c>
      <c r="E122" s="37" t="n">
        <v>21911130</v>
      </c>
      <c r="F122" s="37" t="s">
        <v>159</v>
      </c>
      <c r="G122" s="37" t="s">
        <v>196</v>
      </c>
      <c r="H122" s="37" t="s">
        <v>186</v>
      </c>
      <c r="I122" s="37" t="n">
        <v>46.8</v>
      </c>
      <c r="J122" s="39" t="n">
        <v>556.99</v>
      </c>
      <c r="K122" s="37" t="s">
        <v>342</v>
      </c>
      <c r="L122" s="39" t="n">
        <v>103.25</v>
      </c>
      <c r="M122" s="39" t="n">
        <v>53.55</v>
      </c>
      <c r="N122" s="39" t="n">
        <f aca="false">J122*Resumo!$C$6</f>
        <v>0</v>
      </c>
      <c r="O122" s="39" t="n">
        <f aca="false">J122*Resumo!$C$7</f>
        <v>1.169679</v>
      </c>
      <c r="P122" s="39" t="n">
        <f aca="false">J122*Resumo!$C$8</f>
        <v>1.169679</v>
      </c>
      <c r="Q122" s="39" t="n">
        <f aca="false">Resumo!$C$10*CEILING(I122/100,1)</f>
        <v>1.05</v>
      </c>
      <c r="R122" s="39" t="n">
        <f aca="false">Resumo!$C$9</f>
        <v>0</v>
      </c>
      <c r="S122" s="39" t="n">
        <f aca="false">Resumo!$C$13</f>
        <v>13.55</v>
      </c>
      <c r="T122" s="39" t="n">
        <f aca="false">Resumo!$C$14*CEILING(I122,1)</f>
        <v>21.15</v>
      </c>
      <c r="U122" s="39" t="n">
        <f aca="false">SUM(M122:T122)*Resumo!$C$11</f>
        <v>0</v>
      </c>
      <c r="V122" s="39" t="n">
        <f aca="false">SUM(M122:U122)</f>
        <v>91.639358</v>
      </c>
      <c r="W122" s="39" t="n">
        <f aca="false">V122/(1-Resumo!$C$5)</f>
        <v>104.135634090909</v>
      </c>
      <c r="X122" s="39" t="n">
        <v>93.97</v>
      </c>
      <c r="Y122" s="39" t="n">
        <f aca="false">J122*Resumo!$B$6</f>
        <v>0.55699</v>
      </c>
      <c r="Z122" s="39" t="n">
        <f aca="false">J122*Resumo!$B$7</f>
        <v>1.11398</v>
      </c>
      <c r="AA122" s="39" t="n">
        <f aca="false">Resumo!$B$9</f>
        <v>1</v>
      </c>
      <c r="AB122" s="39" t="n">
        <f aca="false">Resumo!$B$10*CEILING(I122/100,1)</f>
        <v>4.5</v>
      </c>
      <c r="AC122" s="39" t="n">
        <f aca="false">Resumo!$B$12*CEILING(I122,1)</f>
        <v>2.82</v>
      </c>
      <c r="AD122" s="39" t="n">
        <f aca="false">Resumo!$B$14*CEILING(I122,1)</f>
        <v>21.15</v>
      </c>
      <c r="AE122" s="39" t="n">
        <f aca="false">SUM(X122:AD122)</f>
        <v>125.11097</v>
      </c>
      <c r="AF122" s="39" t="n">
        <f aca="false">AE122/(1-Resumo!$B$5)</f>
        <v>142.171556818182</v>
      </c>
      <c r="AG122" s="39" t="n">
        <f aca="false">AF122-W122</f>
        <v>38.0359227272728</v>
      </c>
      <c r="AH122" s="40" t="n">
        <f aca="false">AF122/W122-1</f>
        <v>0.36525367189936</v>
      </c>
      <c r="AI122" s="37" t="str">
        <f aca="false">IF(AF122&lt;W122,"SIM","NÃO")</f>
        <v>NÃO</v>
      </c>
      <c r="AJ122" s="37" t="n">
        <v>2</v>
      </c>
      <c r="AK122" s="37" t="n">
        <v>5</v>
      </c>
      <c r="AL122" s="37" t="s">
        <v>343</v>
      </c>
      <c r="AM122" s="39" t="n">
        <v>103.26</v>
      </c>
    </row>
    <row r="123" customFormat="false" ht="15" hidden="false" customHeight="false" outlineLevel="0" collapsed="false">
      <c r="A123" s="37" t="n">
        <v>357239929</v>
      </c>
      <c r="B123" s="38" t="n">
        <v>46213.7881597222</v>
      </c>
      <c r="C123" s="37" t="s">
        <v>340</v>
      </c>
      <c r="D123" s="37" t="s">
        <v>469</v>
      </c>
      <c r="E123" s="37" t="n">
        <v>24320200</v>
      </c>
      <c r="F123" s="37" t="s">
        <v>163</v>
      </c>
      <c r="G123" s="37" t="s">
        <v>197</v>
      </c>
      <c r="H123" s="37" t="s">
        <v>187</v>
      </c>
      <c r="I123" s="37" t="n">
        <v>52.3</v>
      </c>
      <c r="J123" s="39" t="n">
        <v>644.99</v>
      </c>
      <c r="K123" s="37" t="s">
        <v>342</v>
      </c>
      <c r="L123" s="39" t="n">
        <v>128.38</v>
      </c>
      <c r="M123" s="39" t="n">
        <v>70.98</v>
      </c>
      <c r="N123" s="39" t="n">
        <f aca="false">J123*Resumo!$C$6</f>
        <v>0</v>
      </c>
      <c r="O123" s="39" t="n">
        <f aca="false">J123*Resumo!$C$7</f>
        <v>1.354479</v>
      </c>
      <c r="P123" s="39" t="n">
        <f aca="false">J123*Resumo!$C$8</f>
        <v>1.354479</v>
      </c>
      <c r="Q123" s="39" t="n">
        <f aca="false">Resumo!$C$10*CEILING(I123/100,1)</f>
        <v>1.05</v>
      </c>
      <c r="R123" s="39" t="n">
        <f aca="false">Resumo!$C$9</f>
        <v>0</v>
      </c>
      <c r="S123" s="39" t="n">
        <f aca="false">Resumo!$C$13</f>
        <v>13.55</v>
      </c>
      <c r="T123" s="39" t="n">
        <f aca="false">Resumo!$C$14*CEILING(I123,1)</f>
        <v>23.85</v>
      </c>
      <c r="U123" s="39" t="n">
        <f aca="false">SUM(M123:T123)*Resumo!$C$11</f>
        <v>0</v>
      </c>
      <c r="V123" s="39" t="n">
        <f aca="false">SUM(M123:U123)</f>
        <v>112.138958</v>
      </c>
      <c r="W123" s="39" t="n">
        <f aca="false">V123/(1-Resumo!$C$5)</f>
        <v>127.430634090909</v>
      </c>
      <c r="X123" s="39" t="n">
        <v>128.14</v>
      </c>
      <c r="Y123" s="39" t="n">
        <f aca="false">J123*Resumo!$B$6</f>
        <v>0.64499</v>
      </c>
      <c r="Z123" s="39" t="n">
        <f aca="false">J123*Resumo!$B$7</f>
        <v>1.28998</v>
      </c>
      <c r="AA123" s="39" t="n">
        <f aca="false">Resumo!$B$9</f>
        <v>1</v>
      </c>
      <c r="AB123" s="39" t="n">
        <f aca="false">Resumo!$B$10*CEILING(I123/100,1)</f>
        <v>4.5</v>
      </c>
      <c r="AC123" s="39" t="n">
        <f aca="false">Resumo!$B$12*CEILING(I123,1)</f>
        <v>3.18</v>
      </c>
      <c r="AD123" s="39" t="n">
        <f aca="false">Resumo!$B$14*CEILING(I123,1)</f>
        <v>23.85</v>
      </c>
      <c r="AE123" s="39" t="n">
        <f aca="false">SUM(X123:AD123)</f>
        <v>162.60497</v>
      </c>
      <c r="AF123" s="39" t="n">
        <f aca="false">AE123/(1-Resumo!$B$5)</f>
        <v>184.778375</v>
      </c>
      <c r="AG123" s="39" t="n">
        <f aca="false">AF123-W123</f>
        <v>57.3477409090909</v>
      </c>
      <c r="AH123" s="40" t="n">
        <f aca="false">AF123/W123-1</f>
        <v>0.450031040951887</v>
      </c>
      <c r="AI123" s="37" t="str">
        <f aca="false">IF(AF123&lt;W123,"SIM","NÃO")</f>
        <v>NÃO</v>
      </c>
      <c r="AJ123" s="37" t="n">
        <v>2</v>
      </c>
      <c r="AK123" s="37" t="n">
        <v>7</v>
      </c>
      <c r="AL123" s="37" t="s">
        <v>343</v>
      </c>
      <c r="AM123" s="39" t="n">
        <v>128.37</v>
      </c>
    </row>
    <row r="124" customFormat="false" ht="15" hidden="false" customHeight="false" outlineLevel="0" collapsed="false">
      <c r="A124" s="37" t="n">
        <v>357250472</v>
      </c>
      <c r="B124" s="38" t="n">
        <v>46213.8119444445</v>
      </c>
      <c r="C124" s="37" t="s">
        <v>372</v>
      </c>
      <c r="D124" s="37" t="s">
        <v>470</v>
      </c>
      <c r="E124" s="37" t="n">
        <v>26116670</v>
      </c>
      <c r="F124" s="37" t="s">
        <v>165</v>
      </c>
      <c r="G124" s="37" t="s">
        <v>197</v>
      </c>
      <c r="H124" s="37" t="s">
        <v>187</v>
      </c>
      <c r="I124" s="37" t="n">
        <v>52.3</v>
      </c>
      <c r="J124" s="39" t="n">
        <v>688.24</v>
      </c>
      <c r="K124" s="37" t="s">
        <v>342</v>
      </c>
      <c r="L124" s="39" t="n">
        <v>128.59</v>
      </c>
      <c r="M124" s="39" t="n">
        <v>70.98</v>
      </c>
      <c r="N124" s="39" t="n">
        <f aca="false">J124*Resumo!$C$6</f>
        <v>0</v>
      </c>
      <c r="O124" s="39" t="n">
        <f aca="false">J124*Resumo!$C$7</f>
        <v>1.445304</v>
      </c>
      <c r="P124" s="39" t="n">
        <f aca="false">J124*Resumo!$C$8</f>
        <v>1.445304</v>
      </c>
      <c r="Q124" s="39" t="n">
        <f aca="false">Resumo!$C$10*CEILING(I124/100,1)</f>
        <v>1.05</v>
      </c>
      <c r="R124" s="39" t="n">
        <f aca="false">Resumo!$C$9</f>
        <v>0</v>
      </c>
      <c r="S124" s="39" t="n">
        <f aca="false">Resumo!$C$13</f>
        <v>13.55</v>
      </c>
      <c r="T124" s="39" t="n">
        <f aca="false">Resumo!$C$14*CEILING(I124,1)</f>
        <v>23.85</v>
      </c>
      <c r="U124" s="39" t="n">
        <f aca="false">SUM(M124:T124)*Resumo!$C$11</f>
        <v>0</v>
      </c>
      <c r="V124" s="39" t="n">
        <f aca="false">SUM(M124:U124)</f>
        <v>112.320608</v>
      </c>
      <c r="W124" s="39" t="n">
        <f aca="false">V124/(1-Resumo!$C$5)</f>
        <v>127.637054545455</v>
      </c>
      <c r="X124" s="39" t="n">
        <v>112.3</v>
      </c>
      <c r="Y124" s="39" t="n">
        <f aca="false">J124*Resumo!$B$6</f>
        <v>0.68824</v>
      </c>
      <c r="Z124" s="39" t="n">
        <f aca="false">J124*Resumo!$B$7</f>
        <v>1.37648</v>
      </c>
      <c r="AA124" s="39" t="n">
        <f aca="false">Resumo!$B$9</f>
        <v>1</v>
      </c>
      <c r="AB124" s="39" t="n">
        <f aca="false">Resumo!$B$10*CEILING(I124/100,1)</f>
        <v>4.5</v>
      </c>
      <c r="AC124" s="39" t="n">
        <f aca="false">Resumo!$B$12*CEILING(I124,1)</f>
        <v>3.18</v>
      </c>
      <c r="AD124" s="39" t="n">
        <f aca="false">Resumo!$B$14*CEILING(I124,1)</f>
        <v>23.85</v>
      </c>
      <c r="AE124" s="39" t="n">
        <f aca="false">SUM(X124:AD124)</f>
        <v>146.89472</v>
      </c>
      <c r="AF124" s="39" t="n">
        <f aca="false">AE124/(1-Resumo!$B$5)</f>
        <v>166.925818181818</v>
      </c>
      <c r="AG124" s="39" t="n">
        <f aca="false">AF124-W124</f>
        <v>39.2887636363637</v>
      </c>
      <c r="AH124" s="40" t="n">
        <f aca="false">AF124/W124-1</f>
        <v>0.307816282475964</v>
      </c>
      <c r="AI124" s="37" t="str">
        <f aca="false">IF(AF124&lt;W124,"SIM","NÃO")</f>
        <v>NÃO</v>
      </c>
      <c r="AJ124" s="37" t="n">
        <v>2</v>
      </c>
      <c r="AK124" s="37" t="n">
        <v>5</v>
      </c>
      <c r="AL124" s="37" t="s">
        <v>343</v>
      </c>
      <c r="AM124" s="39" t="n">
        <v>128.58</v>
      </c>
    </row>
    <row r="125" customFormat="false" ht="15" hidden="false" customHeight="false" outlineLevel="0" collapsed="false">
      <c r="A125" s="37" t="n">
        <v>357267368</v>
      </c>
      <c r="B125" s="38" t="n">
        <v>46213.8514814815</v>
      </c>
      <c r="C125" s="37" t="s">
        <v>340</v>
      </c>
      <c r="D125" s="37" t="s">
        <v>471</v>
      </c>
      <c r="E125" s="37" t="n">
        <v>23060612</v>
      </c>
      <c r="F125" s="37" t="s">
        <v>159</v>
      </c>
      <c r="G125" s="37" t="s">
        <v>196</v>
      </c>
      <c r="H125" s="37" t="s">
        <v>183</v>
      </c>
      <c r="I125" s="37" t="n">
        <v>19.5</v>
      </c>
      <c r="J125" s="39" t="n">
        <v>369.99</v>
      </c>
      <c r="K125" s="37" t="s">
        <v>342</v>
      </c>
      <c r="L125" s="39" t="n">
        <v>64.99</v>
      </c>
      <c r="M125" s="39" t="n">
        <v>33.42</v>
      </c>
      <c r="N125" s="39" t="n">
        <f aca="false">J125*Resumo!$C$6</f>
        <v>0</v>
      </c>
      <c r="O125" s="39" t="n">
        <f aca="false">J125*Resumo!$C$7</f>
        <v>0.776979</v>
      </c>
      <c r="P125" s="39" t="n">
        <f aca="false">J125*Resumo!$C$8</f>
        <v>0.776979</v>
      </c>
      <c r="Q125" s="39" t="n">
        <f aca="false">Resumo!$C$10*CEILING(I125/100,1)</f>
        <v>1.05</v>
      </c>
      <c r="R125" s="39" t="n">
        <f aca="false">Resumo!$C$9</f>
        <v>0</v>
      </c>
      <c r="S125" s="39" t="n">
        <f aca="false">Resumo!$C$13</f>
        <v>13.55</v>
      </c>
      <c r="T125" s="39" t="n">
        <f aca="false">Resumo!$C$14*CEILING(I125,1)</f>
        <v>9</v>
      </c>
      <c r="U125" s="39" t="n">
        <f aca="false">SUM(M125:T125)*Resumo!$C$11</f>
        <v>0</v>
      </c>
      <c r="V125" s="39" t="n">
        <f aca="false">SUM(M125:U125)</f>
        <v>58.573958</v>
      </c>
      <c r="W125" s="39" t="n">
        <f aca="false">V125/(1-Resumo!$C$5)</f>
        <v>66.5613159090909</v>
      </c>
      <c r="X125" s="39" t="n">
        <v>46.98</v>
      </c>
      <c r="Y125" s="39" t="n">
        <f aca="false">J125*Resumo!$B$6</f>
        <v>0.36999</v>
      </c>
      <c r="Z125" s="39" t="n">
        <f aca="false">J125*Resumo!$B$7</f>
        <v>0.73998</v>
      </c>
      <c r="AA125" s="39" t="n">
        <f aca="false">Resumo!$B$9</f>
        <v>1</v>
      </c>
      <c r="AB125" s="39" t="n">
        <f aca="false">Resumo!$B$10*CEILING(I125/100,1)</f>
        <v>4.5</v>
      </c>
      <c r="AC125" s="39" t="n">
        <f aca="false">Resumo!$B$12*CEILING(I125,1)</f>
        <v>1.2</v>
      </c>
      <c r="AD125" s="39" t="n">
        <f aca="false">Resumo!$B$14*CEILING(I125,1)</f>
        <v>9</v>
      </c>
      <c r="AE125" s="39" t="n">
        <f aca="false">SUM(X125:AD125)</f>
        <v>63.78997</v>
      </c>
      <c r="AF125" s="39" t="n">
        <f aca="false">AE125/(1-Resumo!$B$5)</f>
        <v>72.4886022727273</v>
      </c>
      <c r="AG125" s="39" t="n">
        <f aca="false">AF125-W125</f>
        <v>5.92728636363636</v>
      </c>
      <c r="AH125" s="40" t="n">
        <f aca="false">AF125/W125-1</f>
        <v>0.0890500177570379</v>
      </c>
      <c r="AI125" s="37" t="str">
        <f aca="false">IF(AF125&lt;W125,"SIM","NÃO")</f>
        <v>NÃO</v>
      </c>
      <c r="AJ125" s="37" t="n">
        <v>2</v>
      </c>
      <c r="AK125" s="37" t="n">
        <v>5</v>
      </c>
      <c r="AL125" s="37" t="s">
        <v>343</v>
      </c>
      <c r="AM125" s="39" t="n">
        <v>64.99</v>
      </c>
    </row>
    <row r="126" customFormat="false" ht="15" hidden="false" customHeight="false" outlineLevel="0" collapsed="false">
      <c r="A126" s="37" t="n">
        <v>357280161</v>
      </c>
      <c r="B126" s="38" t="n">
        <v>46213.8809953704</v>
      </c>
      <c r="C126" s="37" t="s">
        <v>340</v>
      </c>
      <c r="D126" s="37" t="s">
        <v>472</v>
      </c>
      <c r="E126" s="37" t="n">
        <v>21830008</v>
      </c>
      <c r="F126" s="37" t="s">
        <v>159</v>
      </c>
      <c r="G126" s="37" t="s">
        <v>196</v>
      </c>
      <c r="H126" s="37" t="s">
        <v>188</v>
      </c>
      <c r="I126" s="37" t="n">
        <v>69</v>
      </c>
      <c r="J126" s="39" t="n">
        <v>735.99</v>
      </c>
      <c r="K126" s="37" t="s">
        <v>342</v>
      </c>
      <c r="L126" s="39" t="n">
        <v>124.73</v>
      </c>
      <c r="M126" s="39" t="n">
        <v>63.21</v>
      </c>
      <c r="N126" s="39" t="n">
        <f aca="false">J126*Resumo!$C$6</f>
        <v>0</v>
      </c>
      <c r="O126" s="39" t="n">
        <f aca="false">J126*Resumo!$C$7</f>
        <v>1.545579</v>
      </c>
      <c r="P126" s="39" t="n">
        <f aca="false">J126*Resumo!$C$8</f>
        <v>1.545579</v>
      </c>
      <c r="Q126" s="39" t="n">
        <f aca="false">Resumo!$C$10*CEILING(I126/100,1)</f>
        <v>1.05</v>
      </c>
      <c r="R126" s="39" t="n">
        <f aca="false">Resumo!$C$9</f>
        <v>0</v>
      </c>
      <c r="S126" s="39" t="n">
        <f aca="false">Resumo!$C$13</f>
        <v>13.55</v>
      </c>
      <c r="T126" s="39" t="n">
        <f aca="false">Resumo!$C$14*CEILING(I126,1)</f>
        <v>31.05</v>
      </c>
      <c r="U126" s="39" t="n">
        <f aca="false">SUM(M126:T126)*Resumo!$C$11</f>
        <v>0</v>
      </c>
      <c r="V126" s="39" t="n">
        <f aca="false">SUM(M126:U126)</f>
        <v>111.951158</v>
      </c>
      <c r="W126" s="39" t="n">
        <f aca="false">V126/(1-Resumo!$C$5)</f>
        <v>127.217225</v>
      </c>
      <c r="X126" s="39" t="n">
        <v>131.02</v>
      </c>
      <c r="Y126" s="39" t="n">
        <f aca="false">J126*Resumo!$B$6</f>
        <v>0.73599</v>
      </c>
      <c r="Z126" s="39" t="n">
        <f aca="false">J126*Resumo!$B$7</f>
        <v>1.47198</v>
      </c>
      <c r="AA126" s="39" t="n">
        <f aca="false">Resumo!$B$9</f>
        <v>1</v>
      </c>
      <c r="AB126" s="39" t="n">
        <f aca="false">Resumo!$B$10*CEILING(I126/100,1)</f>
        <v>4.5</v>
      </c>
      <c r="AC126" s="39" t="n">
        <f aca="false">Resumo!$B$12*CEILING(I126,1)</f>
        <v>4.14</v>
      </c>
      <c r="AD126" s="39" t="n">
        <f aca="false">Resumo!$B$14*CEILING(I126,1)</f>
        <v>31.05</v>
      </c>
      <c r="AE126" s="39" t="n">
        <f aca="false">SUM(X126:AD126)</f>
        <v>173.91797</v>
      </c>
      <c r="AF126" s="39" t="n">
        <f aca="false">AE126/(1-Resumo!$B$5)</f>
        <v>197.634056818182</v>
      </c>
      <c r="AG126" s="39" t="n">
        <f aca="false">AF126-W126</f>
        <v>70.4168318181819</v>
      </c>
      <c r="AH126" s="40" t="n">
        <f aca="false">AF126/W126-1</f>
        <v>0.553516489753505</v>
      </c>
      <c r="AI126" s="37" t="str">
        <f aca="false">IF(AF126&lt;W126,"SIM","NÃO")</f>
        <v>NÃO</v>
      </c>
      <c r="AJ126" s="37" t="n">
        <v>2</v>
      </c>
      <c r="AK126" s="37" t="n">
        <v>5</v>
      </c>
      <c r="AL126" s="37" t="s">
        <v>343</v>
      </c>
      <c r="AM126" s="39" t="n">
        <v>124.73</v>
      </c>
    </row>
    <row r="127" customFormat="false" ht="15" hidden="false" customHeight="false" outlineLevel="0" collapsed="false">
      <c r="A127" s="37" t="n">
        <v>357283208</v>
      </c>
      <c r="B127" s="38" t="n">
        <v>46213.8882291667</v>
      </c>
      <c r="C127" s="37" t="s">
        <v>345</v>
      </c>
      <c r="D127" s="37" t="s">
        <v>473</v>
      </c>
      <c r="E127" s="37" t="n">
        <v>22451010</v>
      </c>
      <c r="F127" s="37" t="s">
        <v>159</v>
      </c>
      <c r="G127" s="37" t="s">
        <v>196</v>
      </c>
      <c r="H127" s="37" t="s">
        <v>184</v>
      </c>
      <c r="I127" s="37" t="n">
        <v>21.55</v>
      </c>
      <c r="J127" s="39" t="n">
        <v>252.68</v>
      </c>
      <c r="K127" s="37" t="s">
        <v>342</v>
      </c>
      <c r="L127" s="39" t="n">
        <v>81.55</v>
      </c>
      <c r="M127" s="39" t="n">
        <v>42.11</v>
      </c>
      <c r="N127" s="39" t="n">
        <f aca="false">J127*Resumo!$C$6</f>
        <v>0</v>
      </c>
      <c r="O127" s="39" t="n">
        <f aca="false">J127*Resumo!$C$7</f>
        <v>0.530628</v>
      </c>
      <c r="P127" s="39" t="n">
        <f aca="false">J127*Resumo!$C$8</f>
        <v>0.530628</v>
      </c>
      <c r="Q127" s="39" t="n">
        <f aca="false">Resumo!$C$10*CEILING(I127/100,1)</f>
        <v>1.05</v>
      </c>
      <c r="R127" s="39" t="n">
        <f aca="false">Resumo!$C$9</f>
        <v>0</v>
      </c>
      <c r="S127" s="39" t="n">
        <f aca="false">Resumo!$C$13</f>
        <v>13.55</v>
      </c>
      <c r="T127" s="39" t="n">
        <f aca="false">Resumo!$C$14*CEILING(I127,1)</f>
        <v>9.9</v>
      </c>
      <c r="U127" s="39" t="n">
        <f aca="false">SUM(M127:T127)*Resumo!$C$11</f>
        <v>0</v>
      </c>
      <c r="V127" s="39" t="n">
        <f aca="false">SUM(M127:U127)</f>
        <v>67.671256</v>
      </c>
      <c r="W127" s="39" t="n">
        <f aca="false">V127/(1-Resumo!$C$5)</f>
        <v>76.8991545454546</v>
      </c>
      <c r="X127" s="39" t="n">
        <v>82.21</v>
      </c>
      <c r="Y127" s="39" t="n">
        <f aca="false">J127*Resumo!$B$6</f>
        <v>0.25268</v>
      </c>
      <c r="Z127" s="39" t="n">
        <f aca="false">J127*Resumo!$B$7</f>
        <v>0.50536</v>
      </c>
      <c r="AA127" s="39" t="n">
        <f aca="false">Resumo!$B$9</f>
        <v>1</v>
      </c>
      <c r="AB127" s="39" t="n">
        <f aca="false">Resumo!$B$10*CEILING(I127/100,1)</f>
        <v>4.5</v>
      </c>
      <c r="AC127" s="39" t="n">
        <f aca="false">Resumo!$B$12*CEILING(I127,1)</f>
        <v>1.32</v>
      </c>
      <c r="AD127" s="39" t="n">
        <f aca="false">Resumo!$B$14*CEILING(I127,1)</f>
        <v>9.9</v>
      </c>
      <c r="AE127" s="39" t="n">
        <f aca="false">SUM(X127:AD127)</f>
        <v>99.68804</v>
      </c>
      <c r="AF127" s="39" t="n">
        <f aca="false">AE127/(1-Resumo!$B$5)</f>
        <v>113.281863636364</v>
      </c>
      <c r="AG127" s="39" t="n">
        <f aca="false">AF127-W127</f>
        <v>36.3827090909091</v>
      </c>
      <c r="AH127" s="40" t="n">
        <f aca="false">AF127/W127-1</f>
        <v>0.47312235493309</v>
      </c>
      <c r="AI127" s="37" t="str">
        <f aca="false">IF(AF127&lt;W127,"SIM","NÃO")</f>
        <v>NÃO</v>
      </c>
      <c r="AJ127" s="37" t="n">
        <v>2</v>
      </c>
      <c r="AK127" s="37" t="n">
        <v>5</v>
      </c>
      <c r="AL127" s="37" t="s">
        <v>343</v>
      </c>
      <c r="AM127" s="39" t="n">
        <v>81.54</v>
      </c>
    </row>
    <row r="128" customFormat="false" ht="15" hidden="false" customHeight="false" outlineLevel="0" collapsed="false">
      <c r="A128" s="37" t="n">
        <v>357306703</v>
      </c>
      <c r="B128" s="38" t="n">
        <v>46213.9472916667</v>
      </c>
      <c r="C128" s="37" t="s">
        <v>340</v>
      </c>
      <c r="D128" s="37" t="s">
        <v>474</v>
      </c>
      <c r="E128" s="37" t="n">
        <v>23575240</v>
      </c>
      <c r="F128" s="37" t="s">
        <v>159</v>
      </c>
      <c r="G128" s="37" t="s">
        <v>196</v>
      </c>
      <c r="H128" s="37" t="s">
        <v>186</v>
      </c>
      <c r="I128" s="37" t="n">
        <v>48.3</v>
      </c>
      <c r="J128" s="39" t="n">
        <v>413.99</v>
      </c>
      <c r="K128" s="37" t="s">
        <v>342</v>
      </c>
      <c r="L128" s="39" t="n">
        <v>102.58</v>
      </c>
      <c r="M128" s="39" t="n">
        <v>53.55</v>
      </c>
      <c r="N128" s="39" t="n">
        <f aca="false">J128*Resumo!$C$6</f>
        <v>0</v>
      </c>
      <c r="O128" s="39" t="n">
        <f aca="false">J128*Resumo!$C$7</f>
        <v>0.869379</v>
      </c>
      <c r="P128" s="39" t="n">
        <f aca="false">J128*Resumo!$C$8</f>
        <v>0.869379</v>
      </c>
      <c r="Q128" s="39" t="n">
        <f aca="false">Resumo!$C$10*CEILING(I128/100,1)</f>
        <v>1.05</v>
      </c>
      <c r="R128" s="39" t="n">
        <f aca="false">Resumo!$C$9</f>
        <v>0</v>
      </c>
      <c r="S128" s="39" t="n">
        <f aca="false">Resumo!$C$13</f>
        <v>13.55</v>
      </c>
      <c r="T128" s="39" t="n">
        <f aca="false">Resumo!$C$14*CEILING(I128,1)</f>
        <v>22.05</v>
      </c>
      <c r="U128" s="39" t="n">
        <f aca="false">SUM(M128:T128)*Resumo!$C$11</f>
        <v>0</v>
      </c>
      <c r="V128" s="39" t="n">
        <f aca="false">SUM(M128:U128)</f>
        <v>91.938758</v>
      </c>
      <c r="W128" s="39" t="n">
        <f aca="false">V128/(1-Resumo!$C$5)</f>
        <v>104.475861363636</v>
      </c>
      <c r="X128" s="39" t="n">
        <v>93.97</v>
      </c>
      <c r="Y128" s="39" t="n">
        <f aca="false">J128*Resumo!$B$6</f>
        <v>0.41399</v>
      </c>
      <c r="Z128" s="39" t="n">
        <f aca="false">J128*Resumo!$B$7</f>
        <v>0.82798</v>
      </c>
      <c r="AA128" s="39" t="n">
        <f aca="false">Resumo!$B$9</f>
        <v>1</v>
      </c>
      <c r="AB128" s="39" t="n">
        <f aca="false">Resumo!$B$10*CEILING(I128/100,1)</f>
        <v>4.5</v>
      </c>
      <c r="AC128" s="39" t="n">
        <f aca="false">Resumo!$B$12*CEILING(I128,1)</f>
        <v>2.94</v>
      </c>
      <c r="AD128" s="39" t="n">
        <f aca="false">Resumo!$B$14*CEILING(I128,1)</f>
        <v>22.05</v>
      </c>
      <c r="AE128" s="39" t="n">
        <f aca="false">SUM(X128:AD128)</f>
        <v>125.70197</v>
      </c>
      <c r="AF128" s="39" t="n">
        <f aca="false">AE128/(1-Resumo!$B$5)</f>
        <v>142.843147727273</v>
      </c>
      <c r="AG128" s="39" t="n">
        <f aca="false">AF128-W128</f>
        <v>38.3672863636364</v>
      </c>
      <c r="AH128" s="40" t="n">
        <f aca="false">AF128/W128-1</f>
        <v>0.367235894137269</v>
      </c>
      <c r="AI128" s="37" t="str">
        <f aca="false">IF(AF128&lt;W128,"SIM","NÃO")</f>
        <v>NÃO</v>
      </c>
      <c r="AJ128" s="37" t="n">
        <v>2</v>
      </c>
      <c r="AK128" s="37" t="n">
        <v>5</v>
      </c>
      <c r="AL128" s="37" t="s">
        <v>343</v>
      </c>
      <c r="AM128" s="39" t="n">
        <v>102.57</v>
      </c>
    </row>
    <row r="129" customFormat="false" ht="15" hidden="false" customHeight="false" outlineLevel="0" collapsed="false">
      <c r="A129" s="37" t="n">
        <v>357310469</v>
      </c>
      <c r="B129" s="38" t="n">
        <v>46213.9580439815</v>
      </c>
      <c r="C129" s="37" t="s">
        <v>340</v>
      </c>
      <c r="D129" s="37" t="s">
        <v>475</v>
      </c>
      <c r="E129" s="37" t="n">
        <v>23575216</v>
      </c>
      <c r="F129" s="37" t="s">
        <v>159</v>
      </c>
      <c r="G129" s="37" t="s">
        <v>196</v>
      </c>
      <c r="H129" s="37" t="s">
        <v>187</v>
      </c>
      <c r="I129" s="37" t="n">
        <v>57</v>
      </c>
      <c r="J129" s="39" t="n">
        <v>644.99</v>
      </c>
      <c r="K129" s="37" t="s">
        <v>342</v>
      </c>
      <c r="L129" s="39" t="n">
        <v>114.24</v>
      </c>
      <c r="M129" s="39" t="n">
        <v>58.6</v>
      </c>
      <c r="N129" s="39" t="n">
        <f aca="false">J129*Resumo!$C$6</f>
        <v>0</v>
      </c>
      <c r="O129" s="39" t="n">
        <f aca="false">J129*Resumo!$C$7</f>
        <v>1.354479</v>
      </c>
      <c r="P129" s="39" t="n">
        <f aca="false">J129*Resumo!$C$8</f>
        <v>1.354479</v>
      </c>
      <c r="Q129" s="39" t="n">
        <f aca="false">Resumo!$C$10*CEILING(I129/100,1)</f>
        <v>1.05</v>
      </c>
      <c r="R129" s="39" t="n">
        <f aca="false">Resumo!$C$9</f>
        <v>0</v>
      </c>
      <c r="S129" s="39" t="n">
        <f aca="false">Resumo!$C$13</f>
        <v>13.55</v>
      </c>
      <c r="T129" s="39" t="n">
        <f aca="false">Resumo!$C$14*CEILING(I129,1)</f>
        <v>25.65</v>
      </c>
      <c r="U129" s="39" t="n">
        <f aca="false">SUM(M129:T129)*Resumo!$C$11</f>
        <v>0</v>
      </c>
      <c r="V129" s="39" t="n">
        <f aca="false">SUM(M129:U129)</f>
        <v>101.558958</v>
      </c>
      <c r="W129" s="39" t="n">
        <f aca="false">V129/(1-Resumo!$C$5)</f>
        <v>115.407906818182</v>
      </c>
      <c r="X129" s="39" t="n">
        <v>112.3</v>
      </c>
      <c r="Y129" s="39" t="n">
        <f aca="false">J129*Resumo!$B$6</f>
        <v>0.64499</v>
      </c>
      <c r="Z129" s="39" t="n">
        <f aca="false">J129*Resumo!$B$7</f>
        <v>1.28998</v>
      </c>
      <c r="AA129" s="39" t="n">
        <f aca="false">Resumo!$B$9</f>
        <v>1</v>
      </c>
      <c r="AB129" s="39" t="n">
        <f aca="false">Resumo!$B$10*CEILING(I129/100,1)</f>
        <v>4.5</v>
      </c>
      <c r="AC129" s="39" t="n">
        <f aca="false">Resumo!$B$12*CEILING(I129,1)</f>
        <v>3.42</v>
      </c>
      <c r="AD129" s="39" t="n">
        <f aca="false">Resumo!$B$14*CEILING(I129,1)</f>
        <v>25.65</v>
      </c>
      <c r="AE129" s="39" t="n">
        <f aca="false">SUM(X129:AD129)</f>
        <v>148.80497</v>
      </c>
      <c r="AF129" s="39" t="n">
        <f aca="false">AE129/(1-Resumo!$B$5)</f>
        <v>169.096556818182</v>
      </c>
      <c r="AG129" s="39" t="n">
        <f aca="false">AF129-W129</f>
        <v>53.68865</v>
      </c>
      <c r="AH129" s="40" t="n">
        <f aca="false">AF129/W129-1</f>
        <v>0.465207726924492</v>
      </c>
      <c r="AI129" s="37" t="str">
        <f aca="false">IF(AF129&lt;W129,"SIM","NÃO")</f>
        <v>NÃO</v>
      </c>
      <c r="AJ129" s="37" t="n">
        <v>2</v>
      </c>
      <c r="AK129" s="37" t="n">
        <v>5</v>
      </c>
      <c r="AL129" s="37" t="s">
        <v>343</v>
      </c>
      <c r="AM129" s="39" t="n">
        <v>114.24</v>
      </c>
    </row>
    <row r="130" customFormat="false" ht="15" hidden="false" customHeight="false" outlineLevel="0" collapsed="false">
      <c r="A130" s="37" t="n">
        <v>357393773</v>
      </c>
      <c r="B130" s="38" t="n">
        <v>46214.295462963</v>
      </c>
      <c r="C130" s="37" t="s">
        <v>340</v>
      </c>
      <c r="D130" s="37" t="s">
        <v>476</v>
      </c>
      <c r="E130" s="37" t="n">
        <v>26262120</v>
      </c>
      <c r="F130" s="37" t="s">
        <v>162</v>
      </c>
      <c r="G130" s="37" t="s">
        <v>197</v>
      </c>
      <c r="H130" s="37" t="s">
        <v>186</v>
      </c>
      <c r="I130" s="37" t="n">
        <v>48.3</v>
      </c>
      <c r="J130" s="39" t="n">
        <v>413.99</v>
      </c>
      <c r="K130" s="37" t="s">
        <v>342</v>
      </c>
      <c r="L130" s="39" t="n">
        <v>116.06</v>
      </c>
      <c r="M130" s="39" t="n">
        <v>65.36</v>
      </c>
      <c r="N130" s="39" t="n">
        <f aca="false">J130*Resumo!$C$6</f>
        <v>0</v>
      </c>
      <c r="O130" s="39" t="n">
        <f aca="false">J130*Resumo!$C$7</f>
        <v>0.869379</v>
      </c>
      <c r="P130" s="39" t="n">
        <f aca="false">J130*Resumo!$C$8</f>
        <v>0.869379</v>
      </c>
      <c r="Q130" s="39" t="n">
        <f aca="false">Resumo!$C$10*CEILING(I130/100,1)</f>
        <v>1.05</v>
      </c>
      <c r="R130" s="39" t="n">
        <f aca="false">Resumo!$C$9</f>
        <v>0</v>
      </c>
      <c r="S130" s="39" t="n">
        <f aca="false">Resumo!$C$13</f>
        <v>13.55</v>
      </c>
      <c r="T130" s="39" t="n">
        <f aca="false">Resumo!$C$14*CEILING(I130,1)</f>
        <v>22.05</v>
      </c>
      <c r="U130" s="39" t="n">
        <f aca="false">SUM(M130:T130)*Resumo!$C$11</f>
        <v>0</v>
      </c>
      <c r="V130" s="39" t="n">
        <f aca="false">SUM(M130:U130)</f>
        <v>103.748758</v>
      </c>
      <c r="W130" s="39" t="n">
        <f aca="false">V130/(1-Resumo!$C$5)</f>
        <v>117.896315909091</v>
      </c>
      <c r="X130" s="39" t="n">
        <v>93.97</v>
      </c>
      <c r="Y130" s="39" t="n">
        <f aca="false">J130*Resumo!$B$6</f>
        <v>0.41399</v>
      </c>
      <c r="Z130" s="39" t="n">
        <f aca="false">J130*Resumo!$B$7</f>
        <v>0.82798</v>
      </c>
      <c r="AA130" s="39" t="n">
        <f aca="false">Resumo!$B$9</f>
        <v>1</v>
      </c>
      <c r="AB130" s="39" t="n">
        <f aca="false">Resumo!$B$10*CEILING(I130/100,1)</f>
        <v>4.5</v>
      </c>
      <c r="AC130" s="39" t="n">
        <f aca="false">Resumo!$B$12*CEILING(I130,1)</f>
        <v>2.94</v>
      </c>
      <c r="AD130" s="39" t="n">
        <f aca="false">Resumo!$B$14*CEILING(I130,1)</f>
        <v>22.05</v>
      </c>
      <c r="AE130" s="39" t="n">
        <f aca="false">SUM(X130:AD130)</f>
        <v>125.70197</v>
      </c>
      <c r="AF130" s="39" t="n">
        <f aca="false">AE130/(1-Resumo!$B$5)</f>
        <v>142.843147727273</v>
      </c>
      <c r="AG130" s="39" t="n">
        <f aca="false">AF130-W130</f>
        <v>24.9468318181818</v>
      </c>
      <c r="AH130" s="40" t="n">
        <f aca="false">AF130/W130-1</f>
        <v>0.211599757174925</v>
      </c>
      <c r="AI130" s="37" t="str">
        <f aca="false">IF(AF130&lt;W130,"SIM","NÃO")</f>
        <v>NÃO</v>
      </c>
      <c r="AJ130" s="37" t="n">
        <v>2</v>
      </c>
      <c r="AK130" s="37" t="n">
        <v>5</v>
      </c>
      <c r="AL130" s="37" t="s">
        <v>343</v>
      </c>
      <c r="AM130" s="39" t="n">
        <v>116.06</v>
      </c>
    </row>
    <row r="131" customFormat="false" ht="15" hidden="false" customHeight="false" outlineLevel="0" collapsed="false">
      <c r="A131" s="37" t="n">
        <v>357432346</v>
      </c>
      <c r="B131" s="38" t="n">
        <v>46214.4187615741</v>
      </c>
      <c r="C131" s="37" t="s">
        <v>340</v>
      </c>
      <c r="D131" s="37" t="s">
        <v>477</v>
      </c>
      <c r="E131" s="37" t="n">
        <v>20241320</v>
      </c>
      <c r="F131" s="37" t="s">
        <v>159</v>
      </c>
      <c r="G131" s="37" t="s">
        <v>196</v>
      </c>
      <c r="H131" s="37" t="s">
        <v>187</v>
      </c>
      <c r="I131" s="37" t="n">
        <v>52.3</v>
      </c>
      <c r="J131" s="39" t="n">
        <v>644.99</v>
      </c>
      <c r="K131" s="37" t="s">
        <v>342</v>
      </c>
      <c r="L131" s="39" t="n">
        <v>114.24</v>
      </c>
      <c r="M131" s="39" t="n">
        <v>58.6</v>
      </c>
      <c r="N131" s="39" t="n">
        <f aca="false">J131*Resumo!$C$6</f>
        <v>0</v>
      </c>
      <c r="O131" s="39" t="n">
        <f aca="false">J131*Resumo!$C$7</f>
        <v>1.354479</v>
      </c>
      <c r="P131" s="39" t="n">
        <f aca="false">J131*Resumo!$C$8</f>
        <v>1.354479</v>
      </c>
      <c r="Q131" s="39" t="n">
        <f aca="false">Resumo!$C$10*CEILING(I131/100,1)</f>
        <v>1.05</v>
      </c>
      <c r="R131" s="39" t="n">
        <f aca="false">Resumo!$C$9</f>
        <v>0</v>
      </c>
      <c r="S131" s="39" t="n">
        <f aca="false">Resumo!$C$13</f>
        <v>13.55</v>
      </c>
      <c r="T131" s="39" t="n">
        <f aca="false">Resumo!$C$14*CEILING(I131,1)</f>
        <v>23.85</v>
      </c>
      <c r="U131" s="39" t="n">
        <f aca="false">SUM(M131:T131)*Resumo!$C$11</f>
        <v>0</v>
      </c>
      <c r="V131" s="39" t="n">
        <f aca="false">SUM(M131:U131)</f>
        <v>99.758958</v>
      </c>
      <c r="W131" s="39" t="n">
        <f aca="false">V131/(1-Resumo!$C$5)</f>
        <v>113.362452272727</v>
      </c>
      <c r="X131" s="39" t="n">
        <v>112.3</v>
      </c>
      <c r="Y131" s="39" t="n">
        <f aca="false">J131*Resumo!$B$6</f>
        <v>0.64499</v>
      </c>
      <c r="Z131" s="39" t="n">
        <f aca="false">J131*Resumo!$B$7</f>
        <v>1.28998</v>
      </c>
      <c r="AA131" s="39" t="n">
        <f aca="false">Resumo!$B$9</f>
        <v>1</v>
      </c>
      <c r="AB131" s="39" t="n">
        <f aca="false">Resumo!$B$10*CEILING(I131/100,1)</f>
        <v>4.5</v>
      </c>
      <c r="AC131" s="39" t="n">
        <f aca="false">Resumo!$B$12*CEILING(I131,1)</f>
        <v>3.18</v>
      </c>
      <c r="AD131" s="39" t="n">
        <f aca="false">Resumo!$B$14*CEILING(I131,1)</f>
        <v>23.85</v>
      </c>
      <c r="AE131" s="39" t="n">
        <f aca="false">SUM(X131:AD131)</f>
        <v>146.76497</v>
      </c>
      <c r="AF131" s="39" t="n">
        <f aca="false">AE131/(1-Resumo!$B$5)</f>
        <v>166.778375</v>
      </c>
      <c r="AG131" s="39" t="n">
        <f aca="false">AF131-W131</f>
        <v>53.4159227272727</v>
      </c>
      <c r="AH131" s="40" t="n">
        <f aca="false">AF131/W131-1</f>
        <v>0.47119590002133</v>
      </c>
      <c r="AI131" s="37" t="str">
        <f aca="false">IF(AF131&lt;W131,"SIM","NÃO")</f>
        <v>NÃO</v>
      </c>
      <c r="AJ131" s="37" t="n">
        <v>2</v>
      </c>
      <c r="AK131" s="37" t="n">
        <v>5</v>
      </c>
      <c r="AL131" s="37" t="s">
        <v>343</v>
      </c>
      <c r="AM131" s="39" t="n">
        <v>114.24</v>
      </c>
    </row>
    <row r="132" customFormat="false" ht="15" hidden="false" customHeight="false" outlineLevel="0" collapsed="false">
      <c r="A132" s="37" t="n">
        <v>357438567</v>
      </c>
      <c r="B132" s="38" t="n">
        <v>46214.4345949074</v>
      </c>
      <c r="C132" s="37" t="s">
        <v>340</v>
      </c>
      <c r="D132" s="37" t="s">
        <v>478</v>
      </c>
      <c r="E132" s="37" t="n">
        <v>24935160</v>
      </c>
      <c r="F132" s="37" t="s">
        <v>171</v>
      </c>
      <c r="G132" s="37" t="s">
        <v>198</v>
      </c>
      <c r="H132" s="37" t="s">
        <v>187</v>
      </c>
      <c r="I132" s="37" t="n">
        <v>52.3</v>
      </c>
      <c r="J132" s="39" t="n">
        <v>644.99</v>
      </c>
      <c r="K132" s="37" t="s">
        <v>342</v>
      </c>
      <c r="L132" s="39" t="n">
        <v>142.76</v>
      </c>
      <c r="M132" s="39" t="n">
        <v>83.58</v>
      </c>
      <c r="N132" s="39" t="n">
        <f aca="false">J132*Resumo!$C$6</f>
        <v>0</v>
      </c>
      <c r="O132" s="39" t="n">
        <f aca="false">J132*Resumo!$C$7</f>
        <v>1.354479</v>
      </c>
      <c r="P132" s="39" t="n">
        <f aca="false">J132*Resumo!$C$8</f>
        <v>1.354479</v>
      </c>
      <c r="Q132" s="39" t="n">
        <f aca="false">Resumo!$C$10*CEILING(I132/100,1)</f>
        <v>1.05</v>
      </c>
      <c r="R132" s="39" t="n">
        <f aca="false">Resumo!$C$9</f>
        <v>0</v>
      </c>
      <c r="S132" s="39" t="n">
        <f aca="false">Resumo!$C$13</f>
        <v>13.55</v>
      </c>
      <c r="T132" s="39" t="n">
        <f aca="false">Resumo!$C$14*CEILING(I132,1)</f>
        <v>23.85</v>
      </c>
      <c r="U132" s="39" t="n">
        <f aca="false">SUM(M132:T132)*Resumo!$C$11</f>
        <v>0</v>
      </c>
      <c r="V132" s="39" t="n">
        <f aca="false">SUM(M132:U132)</f>
        <v>124.738958</v>
      </c>
      <c r="W132" s="39" t="n">
        <f aca="false">V132/(1-Resumo!$C$5)</f>
        <v>141.748815909091</v>
      </c>
      <c r="X132" s="39" t="n">
        <v>128.14</v>
      </c>
      <c r="Y132" s="39" t="n">
        <f aca="false">J132*Resumo!$B$6</f>
        <v>0.64499</v>
      </c>
      <c r="Z132" s="39" t="n">
        <f aca="false">J132*Resumo!$B$7</f>
        <v>1.28998</v>
      </c>
      <c r="AA132" s="39" t="n">
        <f aca="false">Resumo!$B$9</f>
        <v>1</v>
      </c>
      <c r="AB132" s="39" t="n">
        <f aca="false">Resumo!$B$10*CEILING(I132/100,1)</f>
        <v>4.5</v>
      </c>
      <c r="AC132" s="39" t="n">
        <f aca="false">Resumo!$B$12*CEILING(I132,1)</f>
        <v>3.18</v>
      </c>
      <c r="AD132" s="39" t="n">
        <f aca="false">Resumo!$B$14*CEILING(I132,1)</f>
        <v>23.85</v>
      </c>
      <c r="AE132" s="39" t="n">
        <f aca="false">SUM(X132:AD132)</f>
        <v>162.60497</v>
      </c>
      <c r="AF132" s="39" t="n">
        <f aca="false">AE132/(1-Resumo!$B$5)</f>
        <v>184.778375</v>
      </c>
      <c r="AG132" s="39" t="n">
        <f aca="false">AF132-W132</f>
        <v>43.0295590909091</v>
      </c>
      <c r="AH132" s="40" t="n">
        <f aca="false">AF132/W132-1</f>
        <v>0.303562035527024</v>
      </c>
      <c r="AI132" s="37" t="str">
        <f aca="false">IF(AF132&lt;W132,"SIM","NÃO")</f>
        <v>NÃO</v>
      </c>
      <c r="AJ132" s="37" t="n">
        <v>13</v>
      </c>
      <c r="AK132" s="37" t="n">
        <v>7</v>
      </c>
      <c r="AL132" s="37" t="s">
        <v>343</v>
      </c>
      <c r="AM132" s="39" t="n">
        <v>142.76</v>
      </c>
    </row>
    <row r="133" customFormat="false" ht="15" hidden="false" customHeight="false" outlineLevel="0" collapsed="false">
      <c r="A133" s="37" t="n">
        <v>357439354</v>
      </c>
      <c r="B133" s="38" t="n">
        <v>46214.4365393519</v>
      </c>
      <c r="C133" s="37" t="s">
        <v>340</v>
      </c>
      <c r="D133" s="37" t="s">
        <v>479</v>
      </c>
      <c r="E133" s="37" t="n">
        <v>26298698</v>
      </c>
      <c r="F133" s="37" t="s">
        <v>162</v>
      </c>
      <c r="G133" s="37" t="s">
        <v>197</v>
      </c>
      <c r="H133" s="37" t="s">
        <v>183</v>
      </c>
      <c r="I133" s="37" t="n">
        <v>19.5</v>
      </c>
      <c r="J133" s="39" t="n">
        <v>369.99</v>
      </c>
      <c r="K133" s="37" t="s">
        <v>342</v>
      </c>
      <c r="L133" s="39" t="n">
        <v>75.61</v>
      </c>
      <c r="M133" s="39" t="n">
        <v>42.72</v>
      </c>
      <c r="N133" s="39" t="n">
        <f aca="false">J133*Resumo!$C$6</f>
        <v>0</v>
      </c>
      <c r="O133" s="39" t="n">
        <f aca="false">J133*Resumo!$C$7</f>
        <v>0.776979</v>
      </c>
      <c r="P133" s="39" t="n">
        <f aca="false">J133*Resumo!$C$8</f>
        <v>0.776979</v>
      </c>
      <c r="Q133" s="39" t="n">
        <f aca="false">Resumo!$C$10*CEILING(I133/100,1)</f>
        <v>1.05</v>
      </c>
      <c r="R133" s="39" t="n">
        <f aca="false">Resumo!$C$9</f>
        <v>0</v>
      </c>
      <c r="S133" s="39" t="n">
        <f aca="false">Resumo!$C$13</f>
        <v>13.55</v>
      </c>
      <c r="T133" s="39" t="n">
        <f aca="false">Resumo!$C$14*CEILING(I133,1)</f>
        <v>9</v>
      </c>
      <c r="U133" s="39" t="n">
        <f aca="false">SUM(M133:T133)*Resumo!$C$11</f>
        <v>0</v>
      </c>
      <c r="V133" s="39" t="n">
        <f aca="false">SUM(M133:U133)</f>
        <v>67.873958</v>
      </c>
      <c r="W133" s="39" t="n">
        <f aca="false">V133/(1-Resumo!$C$5)</f>
        <v>77.1294977272727</v>
      </c>
      <c r="X133" s="39" t="n">
        <v>46.98</v>
      </c>
      <c r="Y133" s="39" t="n">
        <f aca="false">J133*Resumo!$B$6</f>
        <v>0.36999</v>
      </c>
      <c r="Z133" s="39" t="n">
        <f aca="false">J133*Resumo!$B$7</f>
        <v>0.73998</v>
      </c>
      <c r="AA133" s="39" t="n">
        <f aca="false">Resumo!$B$9</f>
        <v>1</v>
      </c>
      <c r="AB133" s="39" t="n">
        <f aca="false">Resumo!$B$10*CEILING(I133/100,1)</f>
        <v>4.5</v>
      </c>
      <c r="AC133" s="39" t="n">
        <f aca="false">Resumo!$B$12*CEILING(I133,1)</f>
        <v>1.2</v>
      </c>
      <c r="AD133" s="39" t="n">
        <f aca="false">Resumo!$B$14*CEILING(I133,1)</f>
        <v>9</v>
      </c>
      <c r="AE133" s="39" t="n">
        <f aca="false">SUM(X133:AD133)</f>
        <v>63.78997</v>
      </c>
      <c r="AF133" s="39" t="n">
        <f aca="false">AE133/(1-Resumo!$B$5)</f>
        <v>72.4886022727273</v>
      </c>
      <c r="AG133" s="39" t="n">
        <f aca="false">AF133-W133</f>
        <v>-4.64089545454547</v>
      </c>
      <c r="AH133" s="40" t="n">
        <f aca="false">AF133/W133-1</f>
        <v>-0.060170176019498</v>
      </c>
      <c r="AI133" s="37" t="str">
        <f aca="false">IF(AF133&lt;W133,"SIM","NÃO")</f>
        <v>SIM</v>
      </c>
      <c r="AJ133" s="37" t="n">
        <v>2</v>
      </c>
      <c r="AK133" s="37" t="n">
        <v>5</v>
      </c>
      <c r="AL133" s="37" t="s">
        <v>343</v>
      </c>
      <c r="AM133" s="39" t="n">
        <v>75.61</v>
      </c>
    </row>
    <row r="134" customFormat="false" ht="15" hidden="false" customHeight="false" outlineLevel="0" collapsed="false">
      <c r="A134" s="37" t="n">
        <v>357441927</v>
      </c>
      <c r="B134" s="38" t="n">
        <v>46214.4428240741</v>
      </c>
      <c r="C134" s="37" t="s">
        <v>340</v>
      </c>
      <c r="D134" s="37" t="s">
        <v>448</v>
      </c>
      <c r="E134" s="37" t="n">
        <v>25995290</v>
      </c>
      <c r="F134" s="37" t="s">
        <v>235</v>
      </c>
      <c r="G134" s="37" t="s">
        <v>198</v>
      </c>
      <c r="H134" s="37" t="s">
        <v>183</v>
      </c>
      <c r="I134" s="37" t="n">
        <v>17.2</v>
      </c>
      <c r="J134" s="39" t="n">
        <v>224.99</v>
      </c>
      <c r="K134" s="37" t="s">
        <v>342</v>
      </c>
      <c r="L134" s="39" t="n">
        <v>79.74</v>
      </c>
      <c r="M134" s="39" t="n">
        <v>46.95</v>
      </c>
      <c r="N134" s="39" t="n">
        <f aca="false">J134*Resumo!$C$6</f>
        <v>0</v>
      </c>
      <c r="O134" s="39" t="n">
        <f aca="false">J134*Resumo!$C$7</f>
        <v>0.472479</v>
      </c>
      <c r="P134" s="39" t="n">
        <f aca="false">J134*Resumo!$C$8</f>
        <v>0.472479</v>
      </c>
      <c r="Q134" s="39" t="n">
        <f aca="false">Resumo!$C$10*CEILING(I134/100,1)</f>
        <v>1.05</v>
      </c>
      <c r="R134" s="39" t="n">
        <f aca="false">Resumo!$C$9</f>
        <v>0</v>
      </c>
      <c r="S134" s="39" t="n">
        <f aca="false">Resumo!$C$13</f>
        <v>13.55</v>
      </c>
      <c r="T134" s="39" t="n">
        <f aca="false">Resumo!$C$14*CEILING(I134,1)</f>
        <v>8.1</v>
      </c>
      <c r="U134" s="39" t="n">
        <f aca="false">SUM(M134:T134)*Resumo!$C$11</f>
        <v>0</v>
      </c>
      <c r="V134" s="39" t="n">
        <f aca="false">SUM(M134:U134)</f>
        <v>70.594958</v>
      </c>
      <c r="W134" s="39" t="n">
        <f aca="false">V134/(1-Resumo!$C$5)</f>
        <v>80.2215431818182</v>
      </c>
      <c r="X134" s="39" t="n">
        <v>106.53</v>
      </c>
      <c r="Y134" s="39" t="n">
        <f aca="false">J134*Resumo!$B$6</f>
        <v>0.22499</v>
      </c>
      <c r="Z134" s="39" t="n">
        <f aca="false">J134*Resumo!$B$7</f>
        <v>0.44998</v>
      </c>
      <c r="AA134" s="39" t="n">
        <f aca="false">Resumo!$B$9</f>
        <v>1</v>
      </c>
      <c r="AB134" s="39" t="n">
        <f aca="false">Resumo!$B$10*CEILING(I134/100,1)</f>
        <v>4.5</v>
      </c>
      <c r="AC134" s="39" t="n">
        <f aca="false">Resumo!$B$12*CEILING(I134,1)</f>
        <v>1.08</v>
      </c>
      <c r="AD134" s="39" t="n">
        <f aca="false">Resumo!$B$14*CEILING(I134,1)</f>
        <v>8.1</v>
      </c>
      <c r="AE134" s="39" t="n">
        <f aca="false">SUM(X134:AD134)</f>
        <v>121.88497</v>
      </c>
      <c r="AF134" s="39" t="n">
        <f aca="false">AE134/(1-Resumo!$B$5)</f>
        <v>138.505647727273</v>
      </c>
      <c r="AG134" s="39" t="n">
        <f aca="false">AF134-W134</f>
        <v>58.2841045454545</v>
      </c>
      <c r="AH134" s="40" t="n">
        <f aca="false">AF134/W134-1</f>
        <v>0.726539308940449</v>
      </c>
      <c r="AI134" s="37" t="str">
        <f aca="false">IF(AF134&lt;W134,"SIM","NÃO")</f>
        <v>NÃO</v>
      </c>
      <c r="AJ134" s="37" t="n">
        <v>13</v>
      </c>
      <c r="AK134" s="37" t="n">
        <v>10</v>
      </c>
      <c r="AL134" s="37" t="s">
        <v>347</v>
      </c>
      <c r="AM134" s="39" t="n">
        <v>79.74</v>
      </c>
    </row>
    <row r="135" customFormat="false" ht="15" hidden="false" customHeight="false" outlineLevel="0" collapsed="false">
      <c r="A135" s="37" t="n">
        <v>357459131</v>
      </c>
      <c r="B135" s="38" t="n">
        <v>46214.4823611111</v>
      </c>
      <c r="C135" s="37" t="s">
        <v>340</v>
      </c>
      <c r="D135" s="37" t="s">
        <v>480</v>
      </c>
      <c r="E135" s="37" t="n">
        <v>27276375</v>
      </c>
      <c r="F135" s="37" t="s">
        <v>168</v>
      </c>
      <c r="G135" s="37" t="s">
        <v>198</v>
      </c>
      <c r="H135" s="37" t="s">
        <v>186</v>
      </c>
      <c r="I135" s="37" t="n">
        <v>41</v>
      </c>
      <c r="J135" s="39" t="n">
        <v>515.19</v>
      </c>
      <c r="K135" s="37" t="s">
        <v>342</v>
      </c>
      <c r="L135" s="39" t="n">
        <v>130.62</v>
      </c>
      <c r="M135" s="39" t="n">
        <v>77.7</v>
      </c>
      <c r="N135" s="39" t="n">
        <f aca="false">J135*Resumo!$C$6</f>
        <v>0</v>
      </c>
      <c r="O135" s="39" t="n">
        <f aca="false">J135*Resumo!$C$7</f>
        <v>1.081899</v>
      </c>
      <c r="P135" s="39" t="n">
        <f aca="false">J135*Resumo!$C$8</f>
        <v>1.081899</v>
      </c>
      <c r="Q135" s="39" t="n">
        <f aca="false">Resumo!$C$10*CEILING(I135/100,1)</f>
        <v>1.05</v>
      </c>
      <c r="R135" s="39" t="n">
        <f aca="false">Resumo!$C$9</f>
        <v>0</v>
      </c>
      <c r="S135" s="39" t="n">
        <f aca="false">Resumo!$C$13</f>
        <v>13.55</v>
      </c>
      <c r="T135" s="39" t="n">
        <f aca="false">Resumo!$C$14*CEILING(I135,1)</f>
        <v>18.45</v>
      </c>
      <c r="U135" s="39" t="n">
        <f aca="false">SUM(M135:T135)*Resumo!$C$11</f>
        <v>0</v>
      </c>
      <c r="V135" s="39" t="n">
        <f aca="false">SUM(M135:U135)</f>
        <v>112.913798</v>
      </c>
      <c r="W135" s="39" t="n">
        <f aca="false">V135/(1-Resumo!$C$5)</f>
        <v>128.311134090909</v>
      </c>
      <c r="X135" s="39" t="n">
        <v>124.38</v>
      </c>
      <c r="Y135" s="39" t="n">
        <f aca="false">J135*Resumo!$B$6</f>
        <v>0.51519</v>
      </c>
      <c r="Z135" s="39" t="n">
        <f aca="false">J135*Resumo!$B$7</f>
        <v>1.03038</v>
      </c>
      <c r="AA135" s="39" t="n">
        <f aca="false">Resumo!$B$9</f>
        <v>1</v>
      </c>
      <c r="AB135" s="39" t="n">
        <f aca="false">Resumo!$B$10*CEILING(I135/100,1)</f>
        <v>4.5</v>
      </c>
      <c r="AC135" s="39" t="n">
        <f aca="false">Resumo!$B$12*CEILING(I135,1)</f>
        <v>2.46</v>
      </c>
      <c r="AD135" s="39" t="n">
        <f aca="false">Resumo!$B$14*CEILING(I135,1)</f>
        <v>18.45</v>
      </c>
      <c r="AE135" s="39" t="n">
        <f aca="false">SUM(X135:AD135)</f>
        <v>152.33557</v>
      </c>
      <c r="AF135" s="39" t="n">
        <f aca="false">AE135/(1-Resumo!$B$5)</f>
        <v>173.108602272727</v>
      </c>
      <c r="AG135" s="39" t="n">
        <f aca="false">AF135-W135</f>
        <v>44.7974681818182</v>
      </c>
      <c r="AH135" s="40" t="n">
        <f aca="false">AF135/W135-1</f>
        <v>0.349131573804647</v>
      </c>
      <c r="AI135" s="37" t="str">
        <f aca="false">IF(AF135&lt;W135,"SIM","NÃO")</f>
        <v>NÃO</v>
      </c>
      <c r="AJ135" s="37" t="n">
        <v>13</v>
      </c>
      <c r="AK135" s="37" t="n">
        <v>10</v>
      </c>
      <c r="AL135" s="37" t="s">
        <v>343</v>
      </c>
      <c r="AM135" s="39" t="n">
        <v>130.63</v>
      </c>
    </row>
    <row r="136" customFormat="false" ht="15" hidden="false" customHeight="false" outlineLevel="0" collapsed="false">
      <c r="A136" s="37" t="n">
        <v>357476100</v>
      </c>
      <c r="B136" s="38" t="n">
        <v>46214.517662037</v>
      </c>
      <c r="C136" s="37" t="s">
        <v>340</v>
      </c>
      <c r="D136" s="37" t="s">
        <v>481</v>
      </c>
      <c r="E136" s="37" t="n">
        <v>26310340</v>
      </c>
      <c r="F136" s="37" t="s">
        <v>236</v>
      </c>
      <c r="G136" s="37" t="s">
        <v>197</v>
      </c>
      <c r="H136" s="37" t="s">
        <v>188</v>
      </c>
      <c r="I136" s="37" t="n">
        <v>63.73</v>
      </c>
      <c r="J136" s="39" t="n">
        <v>879.99</v>
      </c>
      <c r="K136" s="37" t="s">
        <v>342</v>
      </c>
      <c r="L136" s="39" t="n">
        <v>140.65</v>
      </c>
      <c r="M136" s="39" t="n">
        <v>76.55</v>
      </c>
      <c r="N136" s="39" t="n">
        <f aca="false">J136*Resumo!$C$6</f>
        <v>0</v>
      </c>
      <c r="O136" s="39" t="n">
        <f aca="false">J136*Resumo!$C$7</f>
        <v>1.847979</v>
      </c>
      <c r="P136" s="39" t="n">
        <f aca="false">J136*Resumo!$C$8</f>
        <v>1.847979</v>
      </c>
      <c r="Q136" s="39" t="n">
        <f aca="false">Resumo!$C$10*CEILING(I136/100,1)</f>
        <v>1.05</v>
      </c>
      <c r="R136" s="39" t="n">
        <f aca="false">Resumo!$C$9</f>
        <v>0</v>
      </c>
      <c r="S136" s="39" t="n">
        <f aca="false">Resumo!$C$13</f>
        <v>13.55</v>
      </c>
      <c r="T136" s="39" t="n">
        <f aca="false">Resumo!$C$14*CEILING(I136,1)</f>
        <v>28.8</v>
      </c>
      <c r="U136" s="39" t="n">
        <f aca="false">SUM(M136:T136)*Resumo!$C$11</f>
        <v>0</v>
      </c>
      <c r="V136" s="39" t="n">
        <f aca="false">SUM(M136:U136)</f>
        <v>123.645958</v>
      </c>
      <c r="W136" s="39" t="n">
        <f aca="false">V136/(1-Resumo!$C$5)</f>
        <v>140.506770454545</v>
      </c>
      <c r="X136" s="39" t="n">
        <v>131.02</v>
      </c>
      <c r="Y136" s="39" t="n">
        <f aca="false">J136*Resumo!$B$6</f>
        <v>0.87999</v>
      </c>
      <c r="Z136" s="39" t="n">
        <f aca="false">J136*Resumo!$B$7</f>
        <v>1.75998</v>
      </c>
      <c r="AA136" s="39" t="n">
        <f aca="false">Resumo!$B$9</f>
        <v>1</v>
      </c>
      <c r="AB136" s="39" t="n">
        <f aca="false">Resumo!$B$10*CEILING(I136/100,1)</f>
        <v>4.5</v>
      </c>
      <c r="AC136" s="39" t="n">
        <f aca="false">Resumo!$B$12*CEILING(I136,1)</f>
        <v>3.84</v>
      </c>
      <c r="AD136" s="39" t="n">
        <f aca="false">Resumo!$B$14*CEILING(I136,1)</f>
        <v>28.8</v>
      </c>
      <c r="AE136" s="39" t="n">
        <f aca="false">SUM(X136:AD136)</f>
        <v>171.79997</v>
      </c>
      <c r="AF136" s="39" t="n">
        <f aca="false">AE136/(1-Resumo!$B$5)</f>
        <v>195.227238636364</v>
      </c>
      <c r="AG136" s="39" t="n">
        <f aca="false">AF136-W136</f>
        <v>54.7204681818182</v>
      </c>
      <c r="AH136" s="40" t="n">
        <f aca="false">AF136/W136-1</f>
        <v>0.389450757460265</v>
      </c>
      <c r="AI136" s="37" t="str">
        <f aca="false">IF(AF136&lt;W136,"SIM","NÃO")</f>
        <v>NÃO</v>
      </c>
      <c r="AJ136" s="37" t="n">
        <v>2</v>
      </c>
      <c r="AK136" s="37" t="n">
        <v>5</v>
      </c>
      <c r="AL136" s="37" t="s">
        <v>347</v>
      </c>
      <c r="AM136" s="39" t="n">
        <v>140.65</v>
      </c>
    </row>
    <row r="137" customFormat="false" ht="15" hidden="false" customHeight="false" outlineLevel="0" collapsed="false">
      <c r="A137" s="37" t="n">
        <v>357485689</v>
      </c>
      <c r="B137" s="38" t="n">
        <v>46214.5383449074</v>
      </c>
      <c r="C137" s="37" t="s">
        <v>340</v>
      </c>
      <c r="D137" s="37" t="s">
        <v>482</v>
      </c>
      <c r="E137" s="37" t="n">
        <v>26445390</v>
      </c>
      <c r="F137" s="37" t="s">
        <v>237</v>
      </c>
      <c r="G137" s="37" t="s">
        <v>198</v>
      </c>
      <c r="H137" s="37" t="s">
        <v>185</v>
      </c>
      <c r="I137" s="37" t="n">
        <v>39.8</v>
      </c>
      <c r="J137" s="39" t="n">
        <v>519.99</v>
      </c>
      <c r="K137" s="37" t="s">
        <v>342</v>
      </c>
      <c r="L137" s="39" t="n">
        <v>122.74</v>
      </c>
      <c r="M137" s="39" t="n">
        <v>74.97</v>
      </c>
      <c r="N137" s="39" t="n">
        <f aca="false">J137*Resumo!$C$6</f>
        <v>0</v>
      </c>
      <c r="O137" s="39" t="n">
        <f aca="false">J137*Resumo!$C$7</f>
        <v>1.091979</v>
      </c>
      <c r="P137" s="39" t="n">
        <f aca="false">J137*Resumo!$C$8</f>
        <v>1.091979</v>
      </c>
      <c r="Q137" s="39" t="n">
        <f aca="false">Resumo!$C$10*CEILING(I137/100,1)</f>
        <v>1.05</v>
      </c>
      <c r="R137" s="39" t="n">
        <f aca="false">Resumo!$C$9</f>
        <v>0</v>
      </c>
      <c r="S137" s="39" t="n">
        <f aca="false">Resumo!$C$13</f>
        <v>13.55</v>
      </c>
      <c r="T137" s="39" t="n">
        <f aca="false">Resumo!$C$14*CEILING(I137,1)</f>
        <v>18</v>
      </c>
      <c r="U137" s="39" t="n">
        <f aca="false">SUM(M137:T137)*Resumo!$C$11</f>
        <v>0</v>
      </c>
      <c r="V137" s="39" t="n">
        <f aca="false">SUM(M137:U137)</f>
        <v>109.753958</v>
      </c>
      <c r="W137" s="39" t="n">
        <f aca="false">V137/(1-Resumo!$C$5)</f>
        <v>124.720406818182</v>
      </c>
      <c r="X137" s="39" t="n">
        <v>93.97</v>
      </c>
      <c r="Y137" s="39" t="n">
        <f aca="false">J137*Resumo!$B$6</f>
        <v>0.51999</v>
      </c>
      <c r="Z137" s="39" t="n">
        <f aca="false">J137*Resumo!$B$7</f>
        <v>1.03998</v>
      </c>
      <c r="AA137" s="39" t="n">
        <f aca="false">Resumo!$B$9</f>
        <v>1</v>
      </c>
      <c r="AB137" s="39" t="n">
        <f aca="false">Resumo!$B$10*CEILING(I137/100,1)</f>
        <v>4.5</v>
      </c>
      <c r="AC137" s="39" t="n">
        <f aca="false">Resumo!$B$12*CEILING(I137,1)</f>
        <v>2.4</v>
      </c>
      <c r="AD137" s="39" t="n">
        <f aca="false">Resumo!$B$14*CEILING(I137,1)</f>
        <v>18</v>
      </c>
      <c r="AE137" s="39" t="n">
        <f aca="false">SUM(X137:AD137)</f>
        <v>121.42997</v>
      </c>
      <c r="AF137" s="39" t="n">
        <f aca="false">AE137/(1-Resumo!$B$5)</f>
        <v>137.988602272727</v>
      </c>
      <c r="AG137" s="39" t="n">
        <f aca="false">AF137-W137</f>
        <v>13.2681954545454</v>
      </c>
      <c r="AH137" s="40" t="n">
        <f aca="false">AF137/W137-1</f>
        <v>0.106383516483296</v>
      </c>
      <c r="AI137" s="37" t="str">
        <f aca="false">IF(AF137&lt;W137,"SIM","NÃO")</f>
        <v>NÃO</v>
      </c>
      <c r="AJ137" s="37" t="n">
        <v>13</v>
      </c>
      <c r="AK137" s="37" t="n">
        <v>5</v>
      </c>
      <c r="AL137" s="37" t="s">
        <v>347</v>
      </c>
      <c r="AM137" s="39" t="n">
        <v>122.74</v>
      </c>
    </row>
    <row r="138" customFormat="false" ht="15" hidden="false" customHeight="false" outlineLevel="0" collapsed="false">
      <c r="A138" s="37" t="n">
        <v>357488369</v>
      </c>
      <c r="B138" s="38" t="n">
        <v>46214.5443055556</v>
      </c>
      <c r="C138" s="37" t="s">
        <v>345</v>
      </c>
      <c r="D138" s="37" t="s">
        <v>483</v>
      </c>
      <c r="E138" s="37" t="n">
        <v>24754190</v>
      </c>
      <c r="F138" s="37" t="s">
        <v>160</v>
      </c>
      <c r="G138" s="37" t="s">
        <v>197</v>
      </c>
      <c r="H138" s="37" t="s">
        <v>191</v>
      </c>
      <c r="I138" s="37" t="n">
        <v>109.7</v>
      </c>
      <c r="J138" s="39" t="n">
        <v>1225.68</v>
      </c>
      <c r="K138" s="37" t="s">
        <v>342</v>
      </c>
      <c r="L138" s="39" t="n">
        <v>195.7</v>
      </c>
      <c r="M138" s="39" t="n">
        <v>101.26</v>
      </c>
      <c r="N138" s="39" t="n">
        <f aca="false">J138*Resumo!$C$6</f>
        <v>0</v>
      </c>
      <c r="O138" s="39" t="n">
        <f aca="false">J138*Resumo!$C$7</f>
        <v>2.573928</v>
      </c>
      <c r="P138" s="39" t="n">
        <f aca="false">J138*Resumo!$C$8</f>
        <v>2.573928</v>
      </c>
      <c r="Q138" s="39" t="n">
        <f aca="false">Resumo!$C$10*CEILING(I138/100,1)</f>
        <v>2.1</v>
      </c>
      <c r="R138" s="39" t="n">
        <f aca="false">Resumo!$C$9</f>
        <v>0</v>
      </c>
      <c r="S138" s="39" t="n">
        <f aca="false">Resumo!$C$13</f>
        <v>13.55</v>
      </c>
      <c r="T138" s="39" t="n">
        <f aca="false">Resumo!$C$14*CEILING(I138,1)</f>
        <v>49.5</v>
      </c>
      <c r="U138" s="39" t="n">
        <f aca="false">SUM(M138:T138)*Resumo!$C$11</f>
        <v>0</v>
      </c>
      <c r="V138" s="39" t="n">
        <f aca="false">SUM(M138:U138)</f>
        <v>171.557856</v>
      </c>
      <c r="W138" s="39" t="n">
        <f aca="false">V138/(1-Resumo!$C$5)</f>
        <v>194.952109090909</v>
      </c>
      <c r="X138" s="39" t="n">
        <v>214.11</v>
      </c>
      <c r="Y138" s="39" t="n">
        <f aca="false">J138*Resumo!$B$6</f>
        <v>1.22568</v>
      </c>
      <c r="Z138" s="39" t="n">
        <f aca="false">J138*Resumo!$B$7</f>
        <v>2.45136</v>
      </c>
      <c r="AA138" s="39" t="n">
        <f aca="false">Resumo!$B$9</f>
        <v>1</v>
      </c>
      <c r="AB138" s="39" t="n">
        <f aca="false">Resumo!$B$10*CEILING(I138/100,1)</f>
        <v>9</v>
      </c>
      <c r="AC138" s="39" t="n">
        <f aca="false">Resumo!$B$12*CEILING(I138,1)</f>
        <v>6.6</v>
      </c>
      <c r="AD138" s="39" t="n">
        <f aca="false">Resumo!$B$14*CEILING(I138,1)</f>
        <v>49.5</v>
      </c>
      <c r="AE138" s="39" t="n">
        <f aca="false">SUM(X138:AD138)</f>
        <v>283.88704</v>
      </c>
      <c r="AF138" s="39" t="n">
        <f aca="false">AE138/(1-Resumo!$B$5)</f>
        <v>322.598909090909</v>
      </c>
      <c r="AG138" s="39" t="n">
        <f aca="false">AF138-W138</f>
        <v>127.6468</v>
      </c>
      <c r="AH138" s="40" t="n">
        <f aca="false">AF138/W138-1</f>
        <v>0.654759779697876</v>
      </c>
      <c r="AI138" s="37" t="str">
        <f aca="false">IF(AF138&lt;W138,"SIM","NÃO")</f>
        <v>NÃO</v>
      </c>
      <c r="AJ138" s="37" t="n">
        <v>2</v>
      </c>
      <c r="AK138" s="37" t="n">
        <v>7</v>
      </c>
      <c r="AL138" s="37" t="s">
        <v>343</v>
      </c>
      <c r="AM138" s="39" t="n">
        <v>195.71</v>
      </c>
    </row>
    <row r="139" customFormat="false" ht="15" hidden="false" customHeight="false" outlineLevel="0" collapsed="false">
      <c r="A139" s="37" t="n">
        <v>357497532</v>
      </c>
      <c r="B139" s="38" t="n">
        <v>46214.5646759259</v>
      </c>
      <c r="C139" s="37" t="s">
        <v>340</v>
      </c>
      <c r="D139" s="37" t="s">
        <v>484</v>
      </c>
      <c r="E139" s="37" t="n">
        <v>27933140</v>
      </c>
      <c r="F139" s="37" t="s">
        <v>166</v>
      </c>
      <c r="G139" s="37" t="s">
        <v>198</v>
      </c>
      <c r="H139" s="37" t="s">
        <v>187</v>
      </c>
      <c r="I139" s="37" t="n">
        <v>52.3</v>
      </c>
      <c r="J139" s="39" t="n">
        <v>644.99</v>
      </c>
      <c r="K139" s="37" t="s">
        <v>342</v>
      </c>
      <c r="L139" s="39" t="n">
        <v>142.76</v>
      </c>
      <c r="M139" s="39" t="n">
        <v>83.58</v>
      </c>
      <c r="N139" s="39" t="n">
        <f aca="false">J139*Resumo!$C$6</f>
        <v>0</v>
      </c>
      <c r="O139" s="39" t="n">
        <f aca="false">J139*Resumo!$C$7</f>
        <v>1.354479</v>
      </c>
      <c r="P139" s="39" t="n">
        <f aca="false">J139*Resumo!$C$8</f>
        <v>1.354479</v>
      </c>
      <c r="Q139" s="39" t="n">
        <f aca="false">Resumo!$C$10*CEILING(I139/100,1)</f>
        <v>1.05</v>
      </c>
      <c r="R139" s="39" t="n">
        <f aca="false">Resumo!$C$9</f>
        <v>0</v>
      </c>
      <c r="S139" s="39" t="n">
        <f aca="false">Resumo!$C$13</f>
        <v>13.55</v>
      </c>
      <c r="T139" s="39" t="n">
        <f aca="false">Resumo!$C$14*CEILING(I139,1)</f>
        <v>23.85</v>
      </c>
      <c r="U139" s="39" t="n">
        <f aca="false">SUM(M139:T139)*Resumo!$C$11</f>
        <v>0</v>
      </c>
      <c r="V139" s="39" t="n">
        <f aca="false">SUM(M139:U139)</f>
        <v>124.738958</v>
      </c>
      <c r="W139" s="39" t="n">
        <f aca="false">V139/(1-Resumo!$C$5)</f>
        <v>141.748815909091</v>
      </c>
      <c r="X139" s="39" t="n">
        <v>162.04</v>
      </c>
      <c r="Y139" s="39" t="n">
        <f aca="false">J139*Resumo!$B$6</f>
        <v>0.64499</v>
      </c>
      <c r="Z139" s="39" t="n">
        <f aca="false">J139*Resumo!$B$7</f>
        <v>1.28998</v>
      </c>
      <c r="AA139" s="39" t="n">
        <f aca="false">Resumo!$B$9</f>
        <v>1</v>
      </c>
      <c r="AB139" s="39" t="n">
        <f aca="false">Resumo!$B$10*CEILING(I139/100,1)</f>
        <v>4.5</v>
      </c>
      <c r="AC139" s="39" t="n">
        <f aca="false">Resumo!$B$12*CEILING(I139,1)</f>
        <v>3.18</v>
      </c>
      <c r="AD139" s="39" t="n">
        <f aca="false">Resumo!$B$14*CEILING(I139,1)</f>
        <v>23.85</v>
      </c>
      <c r="AE139" s="39" t="n">
        <f aca="false">SUM(X139:AD139)</f>
        <v>196.50497</v>
      </c>
      <c r="AF139" s="39" t="n">
        <f aca="false">AE139/(1-Resumo!$B$5)</f>
        <v>223.301102272727</v>
      </c>
      <c r="AG139" s="39" t="n">
        <f aca="false">AF139-W139</f>
        <v>81.5522863636364</v>
      </c>
      <c r="AH139" s="40" t="n">
        <f aca="false">AF139/W139-1</f>
        <v>0.575329577468492</v>
      </c>
      <c r="AI139" s="37" t="str">
        <f aca="false">IF(AF139&lt;W139,"SIM","NÃO")</f>
        <v>NÃO</v>
      </c>
      <c r="AJ139" s="37" t="n">
        <v>13</v>
      </c>
      <c r="AK139" s="37" t="n">
        <v>11</v>
      </c>
      <c r="AL139" s="37" t="s">
        <v>343</v>
      </c>
      <c r="AM139" s="39" t="n">
        <v>142.76</v>
      </c>
    </row>
    <row r="140" customFormat="false" ht="15" hidden="false" customHeight="false" outlineLevel="0" collapsed="false">
      <c r="A140" s="37" t="n">
        <v>357517179</v>
      </c>
      <c r="B140" s="38" t="n">
        <v>46214.6078472222</v>
      </c>
      <c r="C140" s="37" t="s">
        <v>340</v>
      </c>
      <c r="D140" s="37" t="s">
        <v>485</v>
      </c>
      <c r="E140" s="37" t="n">
        <v>28660000</v>
      </c>
      <c r="F140" s="37" t="s">
        <v>282</v>
      </c>
      <c r="G140" s="37" t="s">
        <v>198</v>
      </c>
      <c r="H140" s="37" t="s">
        <v>188</v>
      </c>
      <c r="I140" s="37" t="n">
        <v>68.7</v>
      </c>
      <c r="J140" s="39" t="n">
        <v>839.99</v>
      </c>
      <c r="K140" s="37" t="s">
        <v>342</v>
      </c>
      <c r="L140" s="39" t="n">
        <v>156.05</v>
      </c>
      <c r="M140" s="39" t="n">
        <v>90.2</v>
      </c>
      <c r="N140" s="39" t="n">
        <f aca="false">J140*Resumo!$C$6</f>
        <v>0</v>
      </c>
      <c r="O140" s="39" t="n">
        <f aca="false">J140*Resumo!$C$7</f>
        <v>1.763979</v>
      </c>
      <c r="P140" s="39" t="n">
        <f aca="false">J140*Resumo!$C$8</f>
        <v>1.763979</v>
      </c>
      <c r="Q140" s="39" t="n">
        <f aca="false">Resumo!$C$10*CEILING(I140/100,1)</f>
        <v>1.05</v>
      </c>
      <c r="R140" s="39" t="n">
        <f aca="false">Resumo!$C$9</f>
        <v>0</v>
      </c>
      <c r="S140" s="39" t="n">
        <f aca="false">Resumo!$C$13</f>
        <v>13.55</v>
      </c>
      <c r="T140" s="39" t="n">
        <f aca="false">Resumo!$C$14*CEILING(I140,1)</f>
        <v>31.05</v>
      </c>
      <c r="U140" s="39" t="n">
        <f aca="false">SUM(M140:T140)*Resumo!$C$11</f>
        <v>0</v>
      </c>
      <c r="V140" s="39" t="n">
        <f aca="false">SUM(M140:U140)</f>
        <v>139.377958</v>
      </c>
      <c r="W140" s="39" t="n">
        <f aca="false">V140/(1-Resumo!$C$5)</f>
        <v>158.384043181818</v>
      </c>
      <c r="X140" s="39" t="n">
        <v>166.05</v>
      </c>
      <c r="Y140" s="39" t="n">
        <f aca="false">J140*Resumo!$B$6</f>
        <v>0.83999</v>
      </c>
      <c r="Z140" s="39" t="n">
        <f aca="false">J140*Resumo!$B$7</f>
        <v>1.67998</v>
      </c>
      <c r="AA140" s="39" t="n">
        <f aca="false">Resumo!$B$9</f>
        <v>1</v>
      </c>
      <c r="AB140" s="39" t="n">
        <f aca="false">Resumo!$B$10*CEILING(I140/100,1)</f>
        <v>4.5</v>
      </c>
      <c r="AC140" s="39" t="n">
        <f aca="false">Resumo!$B$12*CEILING(I140,1)</f>
        <v>4.14</v>
      </c>
      <c r="AD140" s="39" t="n">
        <f aca="false">Resumo!$B$14*CEILING(I140,1)</f>
        <v>31.05</v>
      </c>
      <c r="AE140" s="39" t="n">
        <f aca="false">SUM(X140:AD140)</f>
        <v>209.25997</v>
      </c>
      <c r="AF140" s="39" t="n">
        <f aca="false">AE140/(1-Resumo!$B$5)</f>
        <v>237.795420454545</v>
      </c>
      <c r="AG140" s="39" t="n">
        <f aca="false">AF140-W140</f>
        <v>79.4113772727273</v>
      </c>
      <c r="AH140" s="40" t="n">
        <f aca="false">AF140/W140-1</f>
        <v>0.501384960741067</v>
      </c>
      <c r="AI140" s="37" t="str">
        <f aca="false">IF(AF140&lt;W140,"SIM","NÃO")</f>
        <v>NÃO</v>
      </c>
      <c r="AJ140" s="37" t="n">
        <v>13</v>
      </c>
      <c r="AK140" s="37" t="n">
        <v>10</v>
      </c>
      <c r="AL140" s="37" t="s">
        <v>347</v>
      </c>
      <c r="AM140" s="39" t="n">
        <v>156.04</v>
      </c>
    </row>
    <row r="141" customFormat="false" ht="15" hidden="false" customHeight="false" outlineLevel="0" collapsed="false">
      <c r="A141" s="37" t="n">
        <v>357521139</v>
      </c>
      <c r="B141" s="38" t="n">
        <v>46214.6166203704</v>
      </c>
      <c r="C141" s="37" t="s">
        <v>340</v>
      </c>
      <c r="D141" s="37" t="s">
        <v>486</v>
      </c>
      <c r="E141" s="37" t="n">
        <v>22765240</v>
      </c>
      <c r="F141" s="37" t="s">
        <v>159</v>
      </c>
      <c r="G141" s="37" t="s">
        <v>196</v>
      </c>
      <c r="H141" s="37" t="s">
        <v>187</v>
      </c>
      <c r="I141" s="37" t="n">
        <v>52.3</v>
      </c>
      <c r="J141" s="39" t="n">
        <v>643.99</v>
      </c>
      <c r="K141" s="37" t="s">
        <v>342</v>
      </c>
      <c r="L141" s="39" t="n">
        <v>114.24</v>
      </c>
      <c r="M141" s="39" t="n">
        <v>58.6</v>
      </c>
      <c r="N141" s="39" t="n">
        <f aca="false">J141*Resumo!$C$6</f>
        <v>0</v>
      </c>
      <c r="O141" s="39" t="n">
        <f aca="false">J141*Resumo!$C$7</f>
        <v>1.352379</v>
      </c>
      <c r="P141" s="39" t="n">
        <f aca="false">J141*Resumo!$C$8</f>
        <v>1.352379</v>
      </c>
      <c r="Q141" s="39" t="n">
        <f aca="false">Resumo!$C$10*CEILING(I141/100,1)</f>
        <v>1.05</v>
      </c>
      <c r="R141" s="39" t="n">
        <f aca="false">Resumo!$C$9</f>
        <v>0</v>
      </c>
      <c r="S141" s="39" t="n">
        <f aca="false">Resumo!$C$13</f>
        <v>13.55</v>
      </c>
      <c r="T141" s="39" t="n">
        <f aca="false">Resumo!$C$14*CEILING(I141,1)</f>
        <v>23.85</v>
      </c>
      <c r="U141" s="39" t="n">
        <f aca="false">SUM(M141:T141)*Resumo!$C$11</f>
        <v>0</v>
      </c>
      <c r="V141" s="39" t="n">
        <f aca="false">SUM(M141:U141)</f>
        <v>99.754758</v>
      </c>
      <c r="W141" s="39" t="n">
        <f aca="false">V141/(1-Resumo!$C$5)</f>
        <v>113.357679545455</v>
      </c>
      <c r="X141" s="39" t="n">
        <v>112.3</v>
      </c>
      <c r="Y141" s="39" t="n">
        <f aca="false">J141*Resumo!$B$6</f>
        <v>0.64399</v>
      </c>
      <c r="Z141" s="39" t="n">
        <f aca="false">J141*Resumo!$B$7</f>
        <v>1.28798</v>
      </c>
      <c r="AA141" s="39" t="n">
        <f aca="false">Resumo!$B$9</f>
        <v>1</v>
      </c>
      <c r="AB141" s="39" t="n">
        <f aca="false">Resumo!$B$10*CEILING(I141/100,1)</f>
        <v>4.5</v>
      </c>
      <c r="AC141" s="39" t="n">
        <f aca="false">Resumo!$B$12*CEILING(I141,1)</f>
        <v>3.18</v>
      </c>
      <c r="AD141" s="39" t="n">
        <f aca="false">Resumo!$B$14*CEILING(I141,1)</f>
        <v>23.85</v>
      </c>
      <c r="AE141" s="39" t="n">
        <f aca="false">SUM(X141:AD141)</f>
        <v>146.76197</v>
      </c>
      <c r="AF141" s="39" t="n">
        <f aca="false">AE141/(1-Resumo!$B$5)</f>
        <v>166.774965909091</v>
      </c>
      <c r="AG141" s="39" t="n">
        <f aca="false">AF141-W141</f>
        <v>53.4172863636363</v>
      </c>
      <c r="AH141" s="40" t="n">
        <f aca="false">AF141/W141-1</f>
        <v>0.471227768403788</v>
      </c>
      <c r="AI141" s="37" t="str">
        <f aca="false">IF(AF141&lt;W141,"SIM","NÃO")</f>
        <v>NÃO</v>
      </c>
      <c r="AJ141" s="37" t="n">
        <v>2</v>
      </c>
      <c r="AK141" s="37" t="n">
        <v>5</v>
      </c>
      <c r="AL141" s="37" t="s">
        <v>343</v>
      </c>
      <c r="AM141" s="39" t="n">
        <v>114.23</v>
      </c>
    </row>
    <row r="142" customFormat="false" ht="15" hidden="false" customHeight="false" outlineLevel="0" collapsed="false">
      <c r="A142" s="37" t="n">
        <v>357528509</v>
      </c>
      <c r="B142" s="38" t="n">
        <v>46214.6337037037</v>
      </c>
      <c r="C142" s="37" t="s">
        <v>340</v>
      </c>
      <c r="D142" s="37" t="s">
        <v>487</v>
      </c>
      <c r="E142" s="37" t="n">
        <v>22763627</v>
      </c>
      <c r="F142" s="37" t="s">
        <v>159</v>
      </c>
      <c r="G142" s="37" t="s">
        <v>196</v>
      </c>
      <c r="H142" s="37" t="s">
        <v>185</v>
      </c>
      <c r="I142" s="37" t="n">
        <v>37.2</v>
      </c>
      <c r="J142" s="39" t="n">
        <v>359.99</v>
      </c>
      <c r="K142" s="37" t="s">
        <v>342</v>
      </c>
      <c r="L142" s="39" t="n">
        <v>91.58</v>
      </c>
      <c r="M142" s="39" t="n">
        <v>48.35</v>
      </c>
      <c r="N142" s="39" t="n">
        <f aca="false">J142*Resumo!$C$6</f>
        <v>0</v>
      </c>
      <c r="O142" s="39" t="n">
        <f aca="false">J142*Resumo!$C$7</f>
        <v>0.755979</v>
      </c>
      <c r="P142" s="39" t="n">
        <f aca="false">J142*Resumo!$C$8</f>
        <v>0.755979</v>
      </c>
      <c r="Q142" s="39" t="n">
        <f aca="false">Resumo!$C$10*CEILING(I142/100,1)</f>
        <v>1.05</v>
      </c>
      <c r="R142" s="39" t="n">
        <f aca="false">Resumo!$C$9</f>
        <v>0</v>
      </c>
      <c r="S142" s="39" t="n">
        <f aca="false">Resumo!$C$13</f>
        <v>13.55</v>
      </c>
      <c r="T142" s="39" t="n">
        <f aca="false">Resumo!$C$14*CEILING(I142,1)</f>
        <v>17.1</v>
      </c>
      <c r="U142" s="39" t="n">
        <f aca="false">SUM(M142:T142)*Resumo!$C$11</f>
        <v>0</v>
      </c>
      <c r="V142" s="39" t="n">
        <f aca="false">SUM(M142:U142)</f>
        <v>81.561958</v>
      </c>
      <c r="W142" s="39" t="n">
        <f aca="false">V142/(1-Resumo!$C$5)</f>
        <v>92.6840431818182</v>
      </c>
      <c r="X142" s="39" t="n">
        <v>93.97</v>
      </c>
      <c r="Y142" s="39" t="n">
        <f aca="false">J142*Resumo!$B$6</f>
        <v>0.35999</v>
      </c>
      <c r="Z142" s="39" t="n">
        <f aca="false">J142*Resumo!$B$7</f>
        <v>0.71998</v>
      </c>
      <c r="AA142" s="39" t="n">
        <f aca="false">Resumo!$B$9</f>
        <v>1</v>
      </c>
      <c r="AB142" s="39" t="n">
        <f aca="false">Resumo!$B$10*CEILING(I142/100,1)</f>
        <v>4.5</v>
      </c>
      <c r="AC142" s="39" t="n">
        <f aca="false">Resumo!$B$12*CEILING(I142,1)</f>
        <v>2.28</v>
      </c>
      <c r="AD142" s="39" t="n">
        <f aca="false">Resumo!$B$14*CEILING(I142,1)</f>
        <v>17.1</v>
      </c>
      <c r="AE142" s="39" t="n">
        <f aca="false">SUM(X142:AD142)</f>
        <v>119.92997</v>
      </c>
      <c r="AF142" s="39" t="n">
        <f aca="false">AE142/(1-Resumo!$B$5)</f>
        <v>136.284056818182</v>
      </c>
      <c r="AG142" s="39" t="n">
        <f aca="false">AF142-W142</f>
        <v>43.6000136363636</v>
      </c>
      <c r="AH142" s="40" t="n">
        <f aca="false">AF142/W142-1</f>
        <v>0.470415533673186</v>
      </c>
      <c r="AI142" s="37" t="str">
        <f aca="false">IF(AF142&lt;W142,"SIM","NÃO")</f>
        <v>NÃO</v>
      </c>
      <c r="AJ142" s="37" t="n">
        <v>2</v>
      </c>
      <c r="AK142" s="37" t="n">
        <v>5</v>
      </c>
      <c r="AL142" s="37" t="s">
        <v>343</v>
      </c>
      <c r="AM142" s="39" t="n">
        <v>91.58</v>
      </c>
    </row>
    <row r="143" customFormat="false" ht="15" hidden="false" customHeight="false" outlineLevel="0" collapsed="false">
      <c r="A143" s="37" t="n">
        <v>357529698</v>
      </c>
      <c r="B143" s="38" t="n">
        <v>46214.6365277778</v>
      </c>
      <c r="C143" s="37" t="s">
        <v>340</v>
      </c>
      <c r="D143" s="37" t="s">
        <v>488</v>
      </c>
      <c r="E143" s="37" t="n">
        <v>20261040</v>
      </c>
      <c r="F143" s="37" t="s">
        <v>159</v>
      </c>
      <c r="G143" s="37" t="s">
        <v>196</v>
      </c>
      <c r="H143" s="37" t="s">
        <v>186</v>
      </c>
      <c r="I143" s="37" t="n">
        <v>46.8</v>
      </c>
      <c r="J143" s="39" t="n">
        <v>556.99</v>
      </c>
      <c r="K143" s="37" t="s">
        <v>342</v>
      </c>
      <c r="L143" s="39" t="n">
        <v>103.25</v>
      </c>
      <c r="M143" s="39" t="n">
        <v>53.55</v>
      </c>
      <c r="N143" s="39" t="n">
        <f aca="false">J143*Resumo!$C$6</f>
        <v>0</v>
      </c>
      <c r="O143" s="39" t="n">
        <f aca="false">J143*Resumo!$C$7</f>
        <v>1.169679</v>
      </c>
      <c r="P143" s="39" t="n">
        <f aca="false">J143*Resumo!$C$8</f>
        <v>1.169679</v>
      </c>
      <c r="Q143" s="39" t="n">
        <f aca="false">Resumo!$C$10*CEILING(I143/100,1)</f>
        <v>1.05</v>
      </c>
      <c r="R143" s="39" t="n">
        <f aca="false">Resumo!$C$9</f>
        <v>0</v>
      </c>
      <c r="S143" s="39" t="n">
        <f aca="false">Resumo!$C$13</f>
        <v>13.55</v>
      </c>
      <c r="T143" s="39" t="n">
        <f aca="false">Resumo!$C$14*CEILING(I143,1)</f>
        <v>21.15</v>
      </c>
      <c r="U143" s="39" t="n">
        <f aca="false">SUM(M143:T143)*Resumo!$C$11</f>
        <v>0</v>
      </c>
      <c r="V143" s="39" t="n">
        <f aca="false">SUM(M143:U143)</f>
        <v>91.639358</v>
      </c>
      <c r="W143" s="39" t="n">
        <f aca="false">V143/(1-Resumo!$C$5)</f>
        <v>104.135634090909</v>
      </c>
      <c r="X143" s="39" t="n">
        <v>93.97</v>
      </c>
      <c r="Y143" s="39" t="n">
        <f aca="false">J143*Resumo!$B$6</f>
        <v>0.55699</v>
      </c>
      <c r="Z143" s="39" t="n">
        <f aca="false">J143*Resumo!$B$7</f>
        <v>1.11398</v>
      </c>
      <c r="AA143" s="39" t="n">
        <f aca="false">Resumo!$B$9</f>
        <v>1</v>
      </c>
      <c r="AB143" s="39" t="n">
        <f aca="false">Resumo!$B$10*CEILING(I143/100,1)</f>
        <v>4.5</v>
      </c>
      <c r="AC143" s="39" t="n">
        <f aca="false">Resumo!$B$12*CEILING(I143,1)</f>
        <v>2.82</v>
      </c>
      <c r="AD143" s="39" t="n">
        <f aca="false">Resumo!$B$14*CEILING(I143,1)</f>
        <v>21.15</v>
      </c>
      <c r="AE143" s="39" t="n">
        <f aca="false">SUM(X143:AD143)</f>
        <v>125.11097</v>
      </c>
      <c r="AF143" s="39" t="n">
        <f aca="false">AE143/(1-Resumo!$B$5)</f>
        <v>142.171556818182</v>
      </c>
      <c r="AG143" s="39" t="n">
        <f aca="false">AF143-W143</f>
        <v>38.0359227272728</v>
      </c>
      <c r="AH143" s="40" t="n">
        <f aca="false">AF143/W143-1</f>
        <v>0.36525367189936</v>
      </c>
      <c r="AI143" s="37" t="str">
        <f aca="false">IF(AF143&lt;W143,"SIM","NÃO")</f>
        <v>NÃO</v>
      </c>
      <c r="AJ143" s="37" t="n">
        <v>2</v>
      </c>
      <c r="AK143" s="37" t="n">
        <v>5</v>
      </c>
      <c r="AL143" s="37" t="s">
        <v>343</v>
      </c>
      <c r="AM143" s="39" t="n">
        <v>103.26</v>
      </c>
    </row>
    <row r="144" customFormat="false" ht="15" hidden="false" customHeight="false" outlineLevel="0" collapsed="false">
      <c r="A144" s="37" t="n">
        <v>357528110</v>
      </c>
      <c r="B144" s="38" t="n">
        <v>46214.6434722222</v>
      </c>
      <c r="C144" s="37" t="s">
        <v>361</v>
      </c>
      <c r="D144" s="37" t="s">
        <v>489</v>
      </c>
      <c r="E144" s="37" t="n">
        <v>21735150</v>
      </c>
      <c r="F144" s="37" t="s">
        <v>159</v>
      </c>
      <c r="G144" s="37" t="s">
        <v>196</v>
      </c>
      <c r="H144" s="37" t="s">
        <v>184</v>
      </c>
      <c r="I144" s="37" t="n">
        <v>33</v>
      </c>
      <c r="J144" s="39" t="n">
        <v>459.99</v>
      </c>
      <c r="K144" s="37" t="s">
        <v>342</v>
      </c>
      <c r="L144" s="39" t="n">
        <v>82.53</v>
      </c>
      <c r="M144" s="39" t="n">
        <v>42.11</v>
      </c>
      <c r="N144" s="39" t="n">
        <f aca="false">J144*Resumo!$C$6</f>
        <v>0</v>
      </c>
      <c r="O144" s="39" t="n">
        <f aca="false">J144*Resumo!$C$7</f>
        <v>0.965979</v>
      </c>
      <c r="P144" s="39" t="n">
        <f aca="false">J144*Resumo!$C$8</f>
        <v>0.965979</v>
      </c>
      <c r="Q144" s="39" t="n">
        <f aca="false">Resumo!$C$10*CEILING(I144/100,1)</f>
        <v>1.05</v>
      </c>
      <c r="R144" s="39" t="n">
        <f aca="false">Resumo!$C$9</f>
        <v>0</v>
      </c>
      <c r="S144" s="39" t="n">
        <f aca="false">Resumo!$C$13</f>
        <v>13.55</v>
      </c>
      <c r="T144" s="39" t="n">
        <f aca="false">Resumo!$C$14*CEILING(I144,1)</f>
        <v>14.85</v>
      </c>
      <c r="U144" s="39" t="n">
        <f aca="false">SUM(M144:T144)*Resumo!$C$11</f>
        <v>0</v>
      </c>
      <c r="V144" s="39" t="n">
        <f aca="false">SUM(M144:U144)</f>
        <v>73.491958</v>
      </c>
      <c r="W144" s="39" t="n">
        <f aca="false">V144/(1-Resumo!$C$5)</f>
        <v>83.5135886363636</v>
      </c>
      <c r="X144" s="39" t="n">
        <v>82.21</v>
      </c>
      <c r="Y144" s="39" t="n">
        <f aca="false">J144*Resumo!$B$6</f>
        <v>0.45999</v>
      </c>
      <c r="Z144" s="39" t="n">
        <f aca="false">J144*Resumo!$B$7</f>
        <v>0.91998</v>
      </c>
      <c r="AA144" s="39" t="n">
        <f aca="false">Resumo!$B$9</f>
        <v>1</v>
      </c>
      <c r="AB144" s="39" t="n">
        <f aca="false">Resumo!$B$10*CEILING(I144/100,1)</f>
        <v>4.5</v>
      </c>
      <c r="AC144" s="39" t="n">
        <f aca="false">Resumo!$B$12*CEILING(I144,1)</f>
        <v>1.98</v>
      </c>
      <c r="AD144" s="39" t="n">
        <f aca="false">Resumo!$B$14*CEILING(I144,1)</f>
        <v>14.85</v>
      </c>
      <c r="AE144" s="39" t="n">
        <f aca="false">SUM(X144:AD144)</f>
        <v>105.91997</v>
      </c>
      <c r="AF144" s="39" t="n">
        <f aca="false">AE144/(1-Resumo!$B$5)</f>
        <v>120.363602272727</v>
      </c>
      <c r="AG144" s="39" t="n">
        <f aca="false">AF144-W144</f>
        <v>36.8500136363636</v>
      </c>
      <c r="AH144" s="40" t="n">
        <f aca="false">AF144/W144-1</f>
        <v>0.441245721062432</v>
      </c>
      <c r="AI144" s="37" t="str">
        <f aca="false">IF(AF144&lt;W144,"SIM","NÃO")</f>
        <v>NÃO</v>
      </c>
      <c r="AJ144" s="37" t="n">
        <v>2</v>
      </c>
      <c r="AK144" s="37" t="n">
        <v>5</v>
      </c>
      <c r="AL144" s="37" t="s">
        <v>343</v>
      </c>
      <c r="AM144" s="39" t="n">
        <v>82.53</v>
      </c>
    </row>
    <row r="145" customFormat="false" ht="15" hidden="false" customHeight="false" outlineLevel="0" collapsed="false">
      <c r="A145" s="37" t="n">
        <v>357541829</v>
      </c>
      <c r="B145" s="38" t="n">
        <v>46214.6625231481</v>
      </c>
      <c r="C145" s="37" t="s">
        <v>340</v>
      </c>
      <c r="D145" s="37" t="s">
        <v>490</v>
      </c>
      <c r="E145" s="37" t="n">
        <v>26115490</v>
      </c>
      <c r="F145" s="37" t="s">
        <v>165</v>
      </c>
      <c r="G145" s="37" t="s">
        <v>197</v>
      </c>
      <c r="H145" s="37" t="s">
        <v>191</v>
      </c>
      <c r="I145" s="37" t="n">
        <v>117.5</v>
      </c>
      <c r="J145" s="39" t="n">
        <v>1273.97</v>
      </c>
      <c r="K145" s="37" t="s">
        <v>342</v>
      </c>
      <c r="L145" s="39" t="n">
        <v>195.94</v>
      </c>
      <c r="M145" s="39" t="n">
        <v>101.26</v>
      </c>
      <c r="N145" s="39" t="n">
        <f aca="false">J145*Resumo!$C$6</f>
        <v>0</v>
      </c>
      <c r="O145" s="39" t="n">
        <f aca="false">J145*Resumo!$C$7</f>
        <v>2.675337</v>
      </c>
      <c r="P145" s="39" t="n">
        <f aca="false">J145*Resumo!$C$8</f>
        <v>2.675337</v>
      </c>
      <c r="Q145" s="39" t="n">
        <f aca="false">Resumo!$C$10*CEILING(I145/100,1)</f>
        <v>2.1</v>
      </c>
      <c r="R145" s="39" t="n">
        <f aca="false">Resumo!$C$9</f>
        <v>0</v>
      </c>
      <c r="S145" s="39" t="n">
        <f aca="false">Resumo!$C$13</f>
        <v>13.55</v>
      </c>
      <c r="T145" s="39" t="n">
        <f aca="false">Resumo!$C$14*CEILING(I145,1)</f>
        <v>53.1</v>
      </c>
      <c r="U145" s="39" t="n">
        <f aca="false">SUM(M145:T145)*Resumo!$C$11</f>
        <v>0</v>
      </c>
      <c r="V145" s="39" t="n">
        <f aca="false">SUM(M145:U145)</f>
        <v>175.360674</v>
      </c>
      <c r="W145" s="39" t="n">
        <f aca="false">V145/(1-Resumo!$C$5)</f>
        <v>199.273493181818</v>
      </c>
      <c r="X145" s="39" t="n">
        <v>201.59</v>
      </c>
      <c r="Y145" s="39" t="n">
        <f aca="false">J145*Resumo!$B$6</f>
        <v>1.27397</v>
      </c>
      <c r="Z145" s="39" t="n">
        <f aca="false">J145*Resumo!$B$7</f>
        <v>2.54794</v>
      </c>
      <c r="AA145" s="39" t="n">
        <f aca="false">Resumo!$B$9</f>
        <v>1</v>
      </c>
      <c r="AB145" s="39" t="n">
        <f aca="false">Resumo!$B$10*CEILING(I145/100,1)</f>
        <v>9</v>
      </c>
      <c r="AC145" s="39" t="n">
        <f aca="false">Resumo!$B$12*CEILING(I145,1)</f>
        <v>7.08</v>
      </c>
      <c r="AD145" s="39" t="n">
        <f aca="false">Resumo!$B$14*CEILING(I145,1)</f>
        <v>53.1</v>
      </c>
      <c r="AE145" s="39" t="n">
        <f aca="false">SUM(X145:AD145)</f>
        <v>275.59191</v>
      </c>
      <c r="AF145" s="39" t="n">
        <f aca="false">AE145/(1-Resumo!$B$5)</f>
        <v>313.172625</v>
      </c>
      <c r="AG145" s="39" t="n">
        <f aca="false">AF145-W145</f>
        <v>113.899131818182</v>
      </c>
      <c r="AH145" s="40" t="n">
        <f aca="false">AF145/W145-1</f>
        <v>0.571571913552294</v>
      </c>
      <c r="AI145" s="37" t="str">
        <f aca="false">IF(AF145&lt;W145,"SIM","NÃO")</f>
        <v>NÃO</v>
      </c>
      <c r="AJ145" s="37" t="n">
        <v>2</v>
      </c>
      <c r="AK145" s="37" t="n">
        <v>5</v>
      </c>
      <c r="AL145" s="37" t="s">
        <v>343</v>
      </c>
      <c r="AM145" s="39" t="n">
        <v>195.94</v>
      </c>
    </row>
    <row r="146" customFormat="false" ht="15" hidden="false" customHeight="false" outlineLevel="0" collapsed="false">
      <c r="A146" s="37" t="n">
        <v>357657857</v>
      </c>
      <c r="B146" s="38" t="n">
        <v>46214.8718634259</v>
      </c>
      <c r="C146" s="37" t="s">
        <v>345</v>
      </c>
      <c r="D146" s="37" t="s">
        <v>491</v>
      </c>
      <c r="E146" s="37" t="n">
        <v>25011420</v>
      </c>
      <c r="F146" s="37" t="s">
        <v>161</v>
      </c>
      <c r="G146" s="37" t="s">
        <v>197</v>
      </c>
      <c r="H146" s="37" t="s">
        <v>188</v>
      </c>
      <c r="I146" s="37" t="n">
        <v>66.8</v>
      </c>
      <c r="J146" s="39" t="n">
        <v>630.3</v>
      </c>
      <c r="K146" s="37" t="s">
        <v>342</v>
      </c>
      <c r="L146" s="39" t="n">
        <v>139.45</v>
      </c>
      <c r="M146" s="39" t="n">
        <v>76.55</v>
      </c>
      <c r="N146" s="39" t="n">
        <f aca="false">J146*Resumo!$C$6</f>
        <v>0</v>
      </c>
      <c r="O146" s="39" t="n">
        <f aca="false">J146*Resumo!$C$7</f>
        <v>1.32363</v>
      </c>
      <c r="P146" s="39" t="n">
        <f aca="false">J146*Resumo!$C$8</f>
        <v>1.32363</v>
      </c>
      <c r="Q146" s="39" t="n">
        <f aca="false">Resumo!$C$10*CEILING(I146/100,1)</f>
        <v>1.05</v>
      </c>
      <c r="R146" s="39" t="n">
        <f aca="false">Resumo!$C$9</f>
        <v>0</v>
      </c>
      <c r="S146" s="39" t="n">
        <f aca="false">Resumo!$C$13</f>
        <v>13.55</v>
      </c>
      <c r="T146" s="39" t="n">
        <f aca="false">Resumo!$C$14*CEILING(I146,1)</f>
        <v>30.15</v>
      </c>
      <c r="U146" s="39" t="n">
        <f aca="false">SUM(M146:T146)*Resumo!$C$11</f>
        <v>0</v>
      </c>
      <c r="V146" s="39" t="n">
        <f aca="false">SUM(M146:U146)</f>
        <v>123.94726</v>
      </c>
      <c r="W146" s="39" t="n">
        <f aca="false">V146/(1-Resumo!$C$5)</f>
        <v>140.849159090909</v>
      </c>
      <c r="X146" s="39" t="n">
        <v>131.02</v>
      </c>
      <c r="Y146" s="39" t="n">
        <f aca="false">J146*Resumo!$B$6</f>
        <v>0.6303</v>
      </c>
      <c r="Z146" s="39" t="n">
        <f aca="false">J146*Resumo!$B$7</f>
        <v>1.2606</v>
      </c>
      <c r="AA146" s="39" t="n">
        <f aca="false">Resumo!$B$9</f>
        <v>1</v>
      </c>
      <c r="AB146" s="39" t="n">
        <f aca="false">Resumo!$B$10*CEILING(I146/100,1)</f>
        <v>4.5</v>
      </c>
      <c r="AC146" s="39" t="n">
        <f aca="false">Resumo!$B$12*CEILING(I146,1)</f>
        <v>4.02</v>
      </c>
      <c r="AD146" s="39" t="n">
        <f aca="false">Resumo!$B$14*CEILING(I146,1)</f>
        <v>30.15</v>
      </c>
      <c r="AE146" s="39" t="n">
        <f aca="false">SUM(X146:AD146)</f>
        <v>172.5809</v>
      </c>
      <c r="AF146" s="39" t="n">
        <f aca="false">AE146/(1-Resumo!$B$5)</f>
        <v>196.114659090909</v>
      </c>
      <c r="AG146" s="39" t="n">
        <f aca="false">AF146-W146</f>
        <v>55.2655</v>
      </c>
      <c r="AH146" s="40" t="n">
        <f aca="false">AF146/W146-1</f>
        <v>0.392373659571014</v>
      </c>
      <c r="AI146" s="37" t="str">
        <f aca="false">IF(AF146&lt;W146,"SIM","NÃO")</f>
        <v>NÃO</v>
      </c>
      <c r="AJ146" s="37" t="n">
        <v>2</v>
      </c>
      <c r="AK146" s="37" t="n">
        <v>5</v>
      </c>
      <c r="AL146" s="37" t="s">
        <v>343</v>
      </c>
      <c r="AM146" s="39" t="n">
        <v>139.45</v>
      </c>
    </row>
    <row r="147" customFormat="false" ht="15" hidden="false" customHeight="false" outlineLevel="0" collapsed="false">
      <c r="A147" s="37" t="n">
        <v>357704496</v>
      </c>
      <c r="B147" s="38" t="n">
        <v>46214.9575115741</v>
      </c>
      <c r="C147" s="37" t="s">
        <v>340</v>
      </c>
      <c r="D147" s="37" t="s">
        <v>492</v>
      </c>
      <c r="E147" s="37" t="n">
        <v>24320570</v>
      </c>
      <c r="F147" s="37" t="s">
        <v>163</v>
      </c>
      <c r="G147" s="37" t="s">
        <v>197</v>
      </c>
      <c r="H147" s="37" t="s">
        <v>187</v>
      </c>
      <c r="I147" s="37" t="n">
        <v>52.3</v>
      </c>
      <c r="J147" s="39" t="n">
        <v>643.99</v>
      </c>
      <c r="K147" s="37" t="s">
        <v>342</v>
      </c>
      <c r="L147" s="39" t="n">
        <v>128.38</v>
      </c>
      <c r="M147" s="39" t="n">
        <v>70.98</v>
      </c>
      <c r="N147" s="39" t="n">
        <f aca="false">J147*Resumo!$C$6</f>
        <v>0</v>
      </c>
      <c r="O147" s="39" t="n">
        <f aca="false">J147*Resumo!$C$7</f>
        <v>1.352379</v>
      </c>
      <c r="P147" s="39" t="n">
        <f aca="false">J147*Resumo!$C$8</f>
        <v>1.352379</v>
      </c>
      <c r="Q147" s="39" t="n">
        <f aca="false">Resumo!$C$10*CEILING(I147/100,1)</f>
        <v>1.05</v>
      </c>
      <c r="R147" s="39" t="n">
        <f aca="false">Resumo!$C$9</f>
        <v>0</v>
      </c>
      <c r="S147" s="39" t="n">
        <f aca="false">Resumo!$C$13</f>
        <v>13.55</v>
      </c>
      <c r="T147" s="39" t="n">
        <f aca="false">Resumo!$C$14*CEILING(I147,1)</f>
        <v>23.85</v>
      </c>
      <c r="U147" s="39" t="n">
        <f aca="false">SUM(M147:T147)*Resumo!$C$11</f>
        <v>0</v>
      </c>
      <c r="V147" s="39" t="n">
        <f aca="false">SUM(M147:U147)</f>
        <v>112.134758</v>
      </c>
      <c r="W147" s="39" t="n">
        <f aca="false">V147/(1-Resumo!$C$5)</f>
        <v>127.425861363636</v>
      </c>
      <c r="X147" s="39" t="n">
        <v>128.14</v>
      </c>
      <c r="Y147" s="39" t="n">
        <f aca="false">J147*Resumo!$B$6</f>
        <v>0.64399</v>
      </c>
      <c r="Z147" s="39" t="n">
        <f aca="false">J147*Resumo!$B$7</f>
        <v>1.28798</v>
      </c>
      <c r="AA147" s="39" t="n">
        <f aca="false">Resumo!$B$9</f>
        <v>1</v>
      </c>
      <c r="AB147" s="39" t="n">
        <f aca="false">Resumo!$B$10*CEILING(I147/100,1)</f>
        <v>4.5</v>
      </c>
      <c r="AC147" s="39" t="n">
        <f aca="false">Resumo!$B$12*CEILING(I147,1)</f>
        <v>3.18</v>
      </c>
      <c r="AD147" s="39" t="n">
        <f aca="false">Resumo!$B$14*CEILING(I147,1)</f>
        <v>23.85</v>
      </c>
      <c r="AE147" s="39" t="n">
        <f aca="false">SUM(X147:AD147)</f>
        <v>162.60197</v>
      </c>
      <c r="AF147" s="39" t="n">
        <f aca="false">AE147/(1-Resumo!$B$5)</f>
        <v>184.774965909091</v>
      </c>
      <c r="AG147" s="39" t="n">
        <f aca="false">AF147-W147</f>
        <v>57.3491045454545</v>
      </c>
      <c r="AH147" s="40" t="n">
        <f aca="false">AF147/W147-1</f>
        <v>0.450058598244801</v>
      </c>
      <c r="AI147" s="37" t="str">
        <f aca="false">IF(AF147&lt;W147,"SIM","NÃO")</f>
        <v>NÃO</v>
      </c>
      <c r="AJ147" s="37" t="n">
        <v>2</v>
      </c>
      <c r="AK147" s="37" t="n">
        <v>7</v>
      </c>
      <c r="AL147" s="37" t="s">
        <v>343</v>
      </c>
      <c r="AM147" s="39" t="n">
        <v>128.37</v>
      </c>
    </row>
    <row r="148" customFormat="false" ht="15" hidden="false" customHeight="false" outlineLevel="0" collapsed="false">
      <c r="A148" s="37" t="n">
        <v>357713521</v>
      </c>
      <c r="B148" s="38" t="n">
        <v>46214.9767824074</v>
      </c>
      <c r="C148" s="37" t="s">
        <v>340</v>
      </c>
      <c r="D148" s="37" t="s">
        <v>493</v>
      </c>
      <c r="E148" s="37" t="n">
        <v>24110360</v>
      </c>
      <c r="F148" s="37" t="s">
        <v>163</v>
      </c>
      <c r="G148" s="37" t="s">
        <v>197</v>
      </c>
      <c r="H148" s="37" t="s">
        <v>184</v>
      </c>
      <c r="I148" s="37" t="n">
        <v>34.4</v>
      </c>
      <c r="J148" s="39" t="n">
        <v>404.99</v>
      </c>
      <c r="K148" s="37" t="s">
        <v>342</v>
      </c>
      <c r="L148" s="39" t="n">
        <v>101.33</v>
      </c>
      <c r="M148" s="39" t="n">
        <v>58.8</v>
      </c>
      <c r="N148" s="39" t="n">
        <f aca="false">J148*Resumo!$C$6</f>
        <v>0</v>
      </c>
      <c r="O148" s="39" t="n">
        <f aca="false">J148*Resumo!$C$7</f>
        <v>0.850479</v>
      </c>
      <c r="P148" s="39" t="n">
        <f aca="false">J148*Resumo!$C$8</f>
        <v>0.850479</v>
      </c>
      <c r="Q148" s="39" t="n">
        <f aca="false">Resumo!$C$10*CEILING(I148/100,1)</f>
        <v>1.05</v>
      </c>
      <c r="R148" s="39" t="n">
        <f aca="false">Resumo!$C$9</f>
        <v>0</v>
      </c>
      <c r="S148" s="39" t="n">
        <f aca="false">Resumo!$C$13</f>
        <v>13.55</v>
      </c>
      <c r="T148" s="39" t="n">
        <f aca="false">Resumo!$C$14*CEILING(I148,1)</f>
        <v>15.75</v>
      </c>
      <c r="U148" s="39" t="n">
        <f aca="false">SUM(M148:T148)*Resumo!$C$11</f>
        <v>0</v>
      </c>
      <c r="V148" s="39" t="n">
        <f aca="false">SUM(M148:U148)</f>
        <v>90.850958</v>
      </c>
      <c r="W148" s="39" t="n">
        <f aca="false">V148/(1-Resumo!$C$5)</f>
        <v>103.239725</v>
      </c>
      <c r="X148" s="39" t="n">
        <v>100.58</v>
      </c>
      <c r="Y148" s="39" t="n">
        <f aca="false">J148*Resumo!$B$6</f>
        <v>0.40499</v>
      </c>
      <c r="Z148" s="39" t="n">
        <f aca="false">J148*Resumo!$B$7</f>
        <v>0.80998</v>
      </c>
      <c r="AA148" s="39" t="n">
        <f aca="false">Resumo!$B$9</f>
        <v>1</v>
      </c>
      <c r="AB148" s="39" t="n">
        <f aca="false">Resumo!$B$10*CEILING(I148/100,1)</f>
        <v>4.5</v>
      </c>
      <c r="AC148" s="39" t="n">
        <f aca="false">Resumo!$B$12*CEILING(I148,1)</f>
        <v>2.1</v>
      </c>
      <c r="AD148" s="39" t="n">
        <f aca="false">Resumo!$B$14*CEILING(I148,1)</f>
        <v>15.75</v>
      </c>
      <c r="AE148" s="39" t="n">
        <f aca="false">SUM(X148:AD148)</f>
        <v>125.14497</v>
      </c>
      <c r="AF148" s="39" t="n">
        <f aca="false">AE148/(1-Resumo!$B$5)</f>
        <v>142.210193181818</v>
      </c>
      <c r="AG148" s="39" t="n">
        <f aca="false">AF148-W148</f>
        <v>38.9704681818182</v>
      </c>
      <c r="AH148" s="40" t="n">
        <f aca="false">AF148/W148-1</f>
        <v>0.377475513246652</v>
      </c>
      <c r="AI148" s="37" t="str">
        <f aca="false">IF(AF148&lt;W148,"SIM","NÃO")</f>
        <v>NÃO</v>
      </c>
      <c r="AJ148" s="37" t="n">
        <v>2</v>
      </c>
      <c r="AK148" s="37" t="n">
        <v>7</v>
      </c>
      <c r="AL148" s="37" t="s">
        <v>343</v>
      </c>
      <c r="AM148" s="39" t="n">
        <v>101.33</v>
      </c>
    </row>
    <row r="149" customFormat="false" ht="15" hidden="false" customHeight="false" outlineLevel="0" collapsed="false">
      <c r="A149" s="37" t="n">
        <v>357878945</v>
      </c>
      <c r="B149" s="38" t="n">
        <v>46215.4087731482</v>
      </c>
      <c r="C149" s="37" t="s">
        <v>340</v>
      </c>
      <c r="D149" s="37" t="s">
        <v>494</v>
      </c>
      <c r="E149" s="37" t="n">
        <v>23520132</v>
      </c>
      <c r="F149" s="37" t="s">
        <v>159</v>
      </c>
      <c r="G149" s="37" t="s">
        <v>196</v>
      </c>
      <c r="H149" s="37" t="s">
        <v>186</v>
      </c>
      <c r="I149" s="37" t="n">
        <v>41</v>
      </c>
      <c r="J149" s="39" t="n">
        <v>515.19</v>
      </c>
      <c r="K149" s="37" t="s">
        <v>342</v>
      </c>
      <c r="L149" s="39" t="n">
        <v>103.06</v>
      </c>
      <c r="M149" s="39" t="n">
        <v>53.55</v>
      </c>
      <c r="N149" s="39" t="n">
        <f aca="false">J149*Resumo!$C$6</f>
        <v>0</v>
      </c>
      <c r="O149" s="39" t="n">
        <f aca="false">J149*Resumo!$C$7</f>
        <v>1.081899</v>
      </c>
      <c r="P149" s="39" t="n">
        <f aca="false">J149*Resumo!$C$8</f>
        <v>1.081899</v>
      </c>
      <c r="Q149" s="39" t="n">
        <f aca="false">Resumo!$C$10*CEILING(I149/100,1)</f>
        <v>1.05</v>
      </c>
      <c r="R149" s="39" t="n">
        <f aca="false">Resumo!$C$9</f>
        <v>0</v>
      </c>
      <c r="S149" s="39" t="n">
        <f aca="false">Resumo!$C$13</f>
        <v>13.55</v>
      </c>
      <c r="T149" s="39" t="n">
        <f aca="false">Resumo!$C$14*CEILING(I149,1)</f>
        <v>18.45</v>
      </c>
      <c r="U149" s="39" t="n">
        <f aca="false">SUM(M149:T149)*Resumo!$C$11</f>
        <v>0</v>
      </c>
      <c r="V149" s="39" t="n">
        <f aca="false">SUM(M149:U149)</f>
        <v>88.763798</v>
      </c>
      <c r="W149" s="39" t="n">
        <f aca="false">V149/(1-Resumo!$C$5)</f>
        <v>100.867952272727</v>
      </c>
      <c r="X149" s="39" t="n">
        <v>93.97</v>
      </c>
      <c r="Y149" s="39" t="n">
        <f aca="false">J149*Resumo!$B$6</f>
        <v>0.51519</v>
      </c>
      <c r="Z149" s="39" t="n">
        <f aca="false">J149*Resumo!$B$7</f>
        <v>1.03038</v>
      </c>
      <c r="AA149" s="39" t="n">
        <f aca="false">Resumo!$B$9</f>
        <v>1</v>
      </c>
      <c r="AB149" s="39" t="n">
        <f aca="false">Resumo!$B$10*CEILING(I149/100,1)</f>
        <v>4.5</v>
      </c>
      <c r="AC149" s="39" t="n">
        <f aca="false">Resumo!$B$12*CEILING(I149,1)</f>
        <v>2.46</v>
      </c>
      <c r="AD149" s="39" t="n">
        <f aca="false">Resumo!$B$14*CEILING(I149,1)</f>
        <v>18.45</v>
      </c>
      <c r="AE149" s="39" t="n">
        <f aca="false">SUM(X149:AD149)</f>
        <v>121.92557</v>
      </c>
      <c r="AF149" s="39" t="n">
        <f aca="false">AE149/(1-Resumo!$B$5)</f>
        <v>138.551784090909</v>
      </c>
      <c r="AG149" s="39" t="n">
        <f aca="false">AF149-W149</f>
        <v>37.6838318181818</v>
      </c>
      <c r="AH149" s="40" t="n">
        <f aca="false">AF149/W149-1</f>
        <v>0.373595685934935</v>
      </c>
      <c r="AI149" s="37" t="str">
        <f aca="false">IF(AF149&lt;W149,"SIM","NÃO")</f>
        <v>NÃO</v>
      </c>
      <c r="AJ149" s="37" t="n">
        <v>2</v>
      </c>
      <c r="AK149" s="37" t="n">
        <v>5</v>
      </c>
      <c r="AL149" s="37" t="s">
        <v>343</v>
      </c>
      <c r="AM149" s="39" t="n">
        <v>103.06</v>
      </c>
    </row>
    <row r="150" customFormat="false" ht="15" hidden="false" customHeight="false" outlineLevel="0" collapsed="false">
      <c r="A150" s="37" t="n">
        <v>357889796</v>
      </c>
      <c r="B150" s="38" t="n">
        <v>46215.4288657407</v>
      </c>
      <c r="C150" s="37" t="s">
        <v>495</v>
      </c>
      <c r="D150" s="37" t="s">
        <v>496</v>
      </c>
      <c r="E150" s="37" t="n">
        <v>23065006</v>
      </c>
      <c r="F150" s="37" t="s">
        <v>159</v>
      </c>
      <c r="G150" s="37" t="s">
        <v>196</v>
      </c>
      <c r="H150" s="37" t="s">
        <v>192</v>
      </c>
      <c r="I150" s="37" t="n">
        <v>124.64</v>
      </c>
      <c r="J150" s="39" t="n">
        <v>1673.96</v>
      </c>
      <c r="K150" s="37" t="s">
        <v>342</v>
      </c>
      <c r="L150" s="39" t="n">
        <v>234.32</v>
      </c>
      <c r="M150" s="39" t="n">
        <v>120.59</v>
      </c>
      <c r="N150" s="39" t="n">
        <f aca="false">J150*Resumo!$C$6</f>
        <v>0</v>
      </c>
      <c r="O150" s="39" t="n">
        <f aca="false">J150*Resumo!$C$7</f>
        <v>3.515316</v>
      </c>
      <c r="P150" s="39" t="n">
        <f aca="false">J150*Resumo!$C$8</f>
        <v>3.515316</v>
      </c>
      <c r="Q150" s="39" t="n">
        <f aca="false">Resumo!$C$10*CEILING(I150/100,1)</f>
        <v>2.1</v>
      </c>
      <c r="R150" s="39" t="n">
        <f aca="false">Resumo!$C$9</f>
        <v>0</v>
      </c>
      <c r="S150" s="39" t="n">
        <f aca="false">Resumo!$C$13</f>
        <v>13.55</v>
      </c>
      <c r="T150" s="39" t="n">
        <f aca="false">Resumo!$C$14*CEILING(I150,1)</f>
        <v>56.25</v>
      </c>
      <c r="U150" s="39" t="n">
        <f aca="false">SUM(M150:T150)*Resumo!$C$11</f>
        <v>0</v>
      </c>
      <c r="V150" s="39" t="n">
        <f aca="false">SUM(M150:U150)</f>
        <v>199.520632</v>
      </c>
      <c r="W150" s="39" t="n">
        <f aca="false">V150/(1-Resumo!$C$5)</f>
        <v>226.727990909091</v>
      </c>
      <c r="X150" s="39" t="n">
        <v>239.25</v>
      </c>
      <c r="Y150" s="39" t="n">
        <f aca="false">J150*Resumo!$B$6</f>
        <v>1.67396</v>
      </c>
      <c r="Z150" s="39" t="n">
        <f aca="false">J150*Resumo!$B$7</f>
        <v>3.34792</v>
      </c>
      <c r="AA150" s="39" t="n">
        <f aca="false">Resumo!$B$9</f>
        <v>1</v>
      </c>
      <c r="AB150" s="39" t="n">
        <f aca="false">Resumo!$B$10*CEILING(I150/100,1)</f>
        <v>9</v>
      </c>
      <c r="AC150" s="39" t="n">
        <f aca="false">Resumo!$B$12*CEILING(I150,1)</f>
        <v>7.5</v>
      </c>
      <c r="AD150" s="39" t="n">
        <f aca="false">Resumo!$B$14*CEILING(I150,1)</f>
        <v>56.25</v>
      </c>
      <c r="AE150" s="39" t="n">
        <f aca="false">SUM(X150:AD150)</f>
        <v>318.02188</v>
      </c>
      <c r="AF150" s="39" t="n">
        <f aca="false">AE150/(1-Resumo!$B$5)</f>
        <v>361.3885</v>
      </c>
      <c r="AG150" s="39" t="n">
        <f aca="false">AF150-W150</f>
        <v>134.660509090909</v>
      </c>
      <c r="AH150" s="40" t="n">
        <f aca="false">AF150/W150-1</f>
        <v>0.593929794689103</v>
      </c>
      <c r="AI150" s="37" t="str">
        <f aca="false">IF(AF150&lt;W150,"SIM","NÃO")</f>
        <v>NÃO</v>
      </c>
      <c r="AJ150" s="37" t="n">
        <v>2</v>
      </c>
      <c r="AK150" s="37" t="n">
        <v>5</v>
      </c>
      <c r="AL150" s="37" t="s">
        <v>343</v>
      </c>
      <c r="AM150" s="39" t="n">
        <v>234.31</v>
      </c>
    </row>
    <row r="151" customFormat="false" ht="15" hidden="false" customHeight="false" outlineLevel="0" collapsed="false">
      <c r="A151" s="37" t="n">
        <v>357921830</v>
      </c>
      <c r="B151" s="38" t="n">
        <v>46215.4847685185</v>
      </c>
      <c r="C151" s="37" t="s">
        <v>340</v>
      </c>
      <c r="D151" s="37" t="s">
        <v>497</v>
      </c>
      <c r="E151" s="37" t="n">
        <v>24802370</v>
      </c>
      <c r="F151" s="37" t="s">
        <v>174</v>
      </c>
      <c r="G151" s="37" t="s">
        <v>198</v>
      </c>
      <c r="H151" s="37" t="s">
        <v>186</v>
      </c>
      <c r="I151" s="37" t="n">
        <v>48</v>
      </c>
      <c r="J151" s="39" t="n">
        <v>827.99</v>
      </c>
      <c r="K151" s="37" t="s">
        <v>342</v>
      </c>
      <c r="L151" s="39" t="n">
        <v>132.14</v>
      </c>
      <c r="M151" s="39" t="n">
        <v>77.7</v>
      </c>
      <c r="N151" s="39" t="n">
        <f aca="false">J151*Resumo!$C$6</f>
        <v>0</v>
      </c>
      <c r="O151" s="39" t="n">
        <f aca="false">J151*Resumo!$C$7</f>
        <v>1.738779</v>
      </c>
      <c r="P151" s="39" t="n">
        <f aca="false">J151*Resumo!$C$8</f>
        <v>1.738779</v>
      </c>
      <c r="Q151" s="39" t="n">
        <f aca="false">Resumo!$C$10*CEILING(I151/100,1)</f>
        <v>1.05</v>
      </c>
      <c r="R151" s="39" t="n">
        <f aca="false">Resumo!$C$9</f>
        <v>0</v>
      </c>
      <c r="S151" s="39" t="n">
        <f aca="false">Resumo!$C$13</f>
        <v>13.55</v>
      </c>
      <c r="T151" s="39" t="n">
        <f aca="false">Resumo!$C$14*CEILING(I151,1)</f>
        <v>21.6</v>
      </c>
      <c r="U151" s="39" t="n">
        <f aca="false">SUM(M151:T151)*Resumo!$C$11</f>
        <v>0</v>
      </c>
      <c r="V151" s="39" t="n">
        <f aca="false">SUM(M151:U151)</f>
        <v>117.377558</v>
      </c>
      <c r="W151" s="39" t="n">
        <f aca="false">V151/(1-Resumo!$C$5)</f>
        <v>133.383588636364</v>
      </c>
      <c r="X151" s="39" t="n">
        <v>114.95</v>
      </c>
      <c r="Y151" s="39" t="n">
        <f aca="false">J151*Resumo!$B$6</f>
        <v>0.82799</v>
      </c>
      <c r="Z151" s="39" t="n">
        <f aca="false">J151*Resumo!$B$7</f>
        <v>1.65598</v>
      </c>
      <c r="AA151" s="39" t="n">
        <f aca="false">Resumo!$B$9</f>
        <v>1</v>
      </c>
      <c r="AB151" s="39" t="n">
        <f aca="false">Resumo!$B$10*CEILING(I151/100,1)</f>
        <v>4.5</v>
      </c>
      <c r="AC151" s="39" t="n">
        <f aca="false">Resumo!$B$12*CEILING(I151,1)</f>
        <v>2.88</v>
      </c>
      <c r="AD151" s="39" t="n">
        <f aca="false">Resumo!$B$14*CEILING(I151,1)</f>
        <v>21.6</v>
      </c>
      <c r="AE151" s="39" t="n">
        <f aca="false">SUM(X151:AD151)</f>
        <v>147.41397</v>
      </c>
      <c r="AF151" s="39" t="n">
        <f aca="false">AE151/(1-Resumo!$B$5)</f>
        <v>167.515875</v>
      </c>
      <c r="AG151" s="39" t="n">
        <f aca="false">AF151-W151</f>
        <v>34.1322863636364</v>
      </c>
      <c r="AH151" s="40" t="n">
        <f aca="false">AF151/W151-1</f>
        <v>0.255895696858849</v>
      </c>
      <c r="AI151" s="37" t="str">
        <f aca="false">IF(AF151&lt;W151,"SIM","NÃO")</f>
        <v>NÃO</v>
      </c>
      <c r="AJ151" s="37" t="n">
        <v>13</v>
      </c>
      <c r="AK151" s="37" t="n">
        <v>7</v>
      </c>
      <c r="AL151" s="37" t="s">
        <v>343</v>
      </c>
      <c r="AM151" s="39" t="n">
        <v>132.13</v>
      </c>
    </row>
    <row r="152" customFormat="false" ht="15" hidden="false" customHeight="false" outlineLevel="0" collapsed="false">
      <c r="A152" s="37" t="n">
        <v>357940074</v>
      </c>
      <c r="B152" s="38" t="n">
        <v>46215.5159375</v>
      </c>
      <c r="C152" s="37" t="s">
        <v>340</v>
      </c>
      <c r="D152" s="37" t="s">
        <v>498</v>
      </c>
      <c r="E152" s="37" t="n">
        <v>26021061</v>
      </c>
      <c r="F152" s="37" t="s">
        <v>162</v>
      </c>
      <c r="G152" s="37" t="s">
        <v>197</v>
      </c>
      <c r="H152" s="37" t="s">
        <v>187</v>
      </c>
      <c r="I152" s="37" t="n">
        <v>52.3</v>
      </c>
      <c r="J152" s="39" t="n">
        <v>644.99</v>
      </c>
      <c r="K152" s="37" t="s">
        <v>342</v>
      </c>
      <c r="L152" s="39" t="n">
        <v>128.38</v>
      </c>
      <c r="M152" s="39" t="n">
        <v>70.98</v>
      </c>
      <c r="N152" s="39" t="n">
        <f aca="false">J152*Resumo!$C$6</f>
        <v>0</v>
      </c>
      <c r="O152" s="39" t="n">
        <f aca="false">J152*Resumo!$C$7</f>
        <v>1.354479</v>
      </c>
      <c r="P152" s="39" t="n">
        <f aca="false">J152*Resumo!$C$8</f>
        <v>1.354479</v>
      </c>
      <c r="Q152" s="39" t="n">
        <f aca="false">Resumo!$C$10*CEILING(I152/100,1)</f>
        <v>1.05</v>
      </c>
      <c r="R152" s="39" t="n">
        <f aca="false">Resumo!$C$9</f>
        <v>0</v>
      </c>
      <c r="S152" s="39" t="n">
        <f aca="false">Resumo!$C$13</f>
        <v>13.55</v>
      </c>
      <c r="T152" s="39" t="n">
        <f aca="false">Resumo!$C$14*CEILING(I152,1)</f>
        <v>23.85</v>
      </c>
      <c r="U152" s="39" t="n">
        <f aca="false">SUM(M152:T152)*Resumo!$C$11</f>
        <v>0</v>
      </c>
      <c r="V152" s="39" t="n">
        <f aca="false">SUM(M152:U152)</f>
        <v>112.138958</v>
      </c>
      <c r="W152" s="39" t="n">
        <f aca="false">V152/(1-Resumo!$C$5)</f>
        <v>127.430634090909</v>
      </c>
      <c r="X152" s="39" t="n">
        <v>112.3</v>
      </c>
      <c r="Y152" s="39" t="n">
        <f aca="false">J152*Resumo!$B$6</f>
        <v>0.64499</v>
      </c>
      <c r="Z152" s="39" t="n">
        <f aca="false">J152*Resumo!$B$7</f>
        <v>1.28998</v>
      </c>
      <c r="AA152" s="39" t="n">
        <f aca="false">Resumo!$B$9</f>
        <v>1</v>
      </c>
      <c r="AB152" s="39" t="n">
        <f aca="false">Resumo!$B$10*CEILING(I152/100,1)</f>
        <v>4.5</v>
      </c>
      <c r="AC152" s="39" t="n">
        <f aca="false">Resumo!$B$12*CEILING(I152,1)</f>
        <v>3.18</v>
      </c>
      <c r="AD152" s="39" t="n">
        <f aca="false">Resumo!$B$14*CEILING(I152,1)</f>
        <v>23.85</v>
      </c>
      <c r="AE152" s="39" t="n">
        <f aca="false">SUM(X152:AD152)</f>
        <v>146.76497</v>
      </c>
      <c r="AF152" s="39" t="n">
        <f aca="false">AE152/(1-Resumo!$B$5)</f>
        <v>166.778375</v>
      </c>
      <c r="AG152" s="39" t="n">
        <f aca="false">AF152-W152</f>
        <v>39.3477409090909</v>
      </c>
      <c r="AH152" s="40" t="n">
        <f aca="false">AF152/W152-1</f>
        <v>0.308777722011649</v>
      </c>
      <c r="AI152" s="37" t="str">
        <f aca="false">IF(AF152&lt;W152,"SIM","NÃO")</f>
        <v>NÃO</v>
      </c>
      <c r="AJ152" s="37" t="n">
        <v>2</v>
      </c>
      <c r="AK152" s="37" t="n">
        <v>5</v>
      </c>
      <c r="AL152" s="37" t="s">
        <v>343</v>
      </c>
      <c r="AM152" s="39" t="n">
        <v>128.37</v>
      </c>
    </row>
    <row r="153" customFormat="false" ht="15" hidden="false" customHeight="false" outlineLevel="0" collapsed="false">
      <c r="A153" s="37" t="n">
        <v>357944516</v>
      </c>
      <c r="B153" s="38" t="n">
        <v>46215.523599537</v>
      </c>
      <c r="C153" s="37" t="s">
        <v>340</v>
      </c>
      <c r="D153" s="37" t="s">
        <v>499</v>
      </c>
      <c r="E153" s="37" t="n">
        <v>28982360</v>
      </c>
      <c r="F153" s="37" t="s">
        <v>173</v>
      </c>
      <c r="G153" s="37" t="s">
        <v>198</v>
      </c>
      <c r="H153" s="37" t="s">
        <v>187</v>
      </c>
      <c r="I153" s="37" t="n">
        <v>52.3</v>
      </c>
      <c r="J153" s="39" t="n">
        <v>643.99</v>
      </c>
      <c r="K153" s="37" t="s">
        <v>342</v>
      </c>
      <c r="L153" s="39" t="n">
        <v>142.76</v>
      </c>
      <c r="M153" s="39" t="n">
        <v>83.58</v>
      </c>
      <c r="N153" s="39" t="n">
        <f aca="false">J153*Resumo!$C$6</f>
        <v>0</v>
      </c>
      <c r="O153" s="39" t="n">
        <f aca="false">J153*Resumo!$C$7</f>
        <v>1.352379</v>
      </c>
      <c r="P153" s="39" t="n">
        <f aca="false">J153*Resumo!$C$8</f>
        <v>1.352379</v>
      </c>
      <c r="Q153" s="39" t="n">
        <f aca="false">Resumo!$C$10*CEILING(I153/100,1)</f>
        <v>1.05</v>
      </c>
      <c r="R153" s="39" t="n">
        <f aca="false">Resumo!$C$9</f>
        <v>0</v>
      </c>
      <c r="S153" s="39" t="n">
        <f aca="false">Resumo!$C$13</f>
        <v>13.55</v>
      </c>
      <c r="T153" s="39" t="n">
        <f aca="false">Resumo!$C$14*CEILING(I153,1)</f>
        <v>23.85</v>
      </c>
      <c r="U153" s="39" t="n">
        <f aca="false">SUM(M153:T153)*Resumo!$C$11</f>
        <v>0</v>
      </c>
      <c r="V153" s="39" t="n">
        <f aca="false">SUM(M153:U153)</f>
        <v>124.734758</v>
      </c>
      <c r="W153" s="39" t="n">
        <f aca="false">V153/(1-Resumo!$C$5)</f>
        <v>141.744043181818</v>
      </c>
      <c r="X153" s="39" t="n">
        <v>142.32</v>
      </c>
      <c r="Y153" s="39" t="n">
        <f aca="false">J153*Resumo!$B$6</f>
        <v>0.64399</v>
      </c>
      <c r="Z153" s="39" t="n">
        <f aca="false">J153*Resumo!$B$7</f>
        <v>1.28798</v>
      </c>
      <c r="AA153" s="39" t="n">
        <f aca="false">Resumo!$B$9</f>
        <v>1</v>
      </c>
      <c r="AB153" s="39" t="n">
        <f aca="false">Resumo!$B$10*CEILING(I153/100,1)</f>
        <v>4.5</v>
      </c>
      <c r="AC153" s="39" t="n">
        <f aca="false">Resumo!$B$12*CEILING(I153,1)</f>
        <v>3.18</v>
      </c>
      <c r="AD153" s="39" t="n">
        <f aca="false">Resumo!$B$14*CEILING(I153,1)</f>
        <v>23.85</v>
      </c>
      <c r="AE153" s="39" t="n">
        <f aca="false">SUM(X153:AD153)</f>
        <v>176.78197</v>
      </c>
      <c r="AF153" s="39" t="n">
        <f aca="false">AE153/(1-Resumo!$B$5)</f>
        <v>200.888602272727</v>
      </c>
      <c r="AG153" s="39" t="n">
        <f aca="false">AF153-W153</f>
        <v>59.1445590909091</v>
      </c>
      <c r="AH153" s="40" t="n">
        <f aca="false">AF153/W153-1</f>
        <v>0.41726310159675</v>
      </c>
      <c r="AI153" s="37" t="str">
        <f aca="false">IF(AF153&lt;W153,"SIM","NÃO")</f>
        <v>NÃO</v>
      </c>
      <c r="AJ153" s="37" t="n">
        <v>13</v>
      </c>
      <c r="AK153" s="37" t="n">
        <v>10</v>
      </c>
      <c r="AL153" s="37" t="s">
        <v>343</v>
      </c>
      <c r="AM153" s="39" t="n">
        <v>142.76</v>
      </c>
    </row>
    <row r="154" customFormat="false" ht="15" hidden="false" customHeight="false" outlineLevel="0" collapsed="false">
      <c r="A154" s="37" t="n">
        <v>357959750</v>
      </c>
      <c r="B154" s="38" t="n">
        <v>46215.5479513889</v>
      </c>
      <c r="C154" s="37" t="s">
        <v>340</v>
      </c>
      <c r="D154" s="37" t="s">
        <v>500</v>
      </c>
      <c r="E154" s="37" t="n">
        <v>22710568</v>
      </c>
      <c r="F154" s="37" t="s">
        <v>159</v>
      </c>
      <c r="G154" s="37" t="s">
        <v>196</v>
      </c>
      <c r="H154" s="37" t="s">
        <v>186</v>
      </c>
      <c r="I154" s="37" t="n">
        <v>41</v>
      </c>
      <c r="J154" s="39" t="n">
        <v>515.19</v>
      </c>
      <c r="K154" s="37" t="s">
        <v>342</v>
      </c>
      <c r="L154" s="39" t="n">
        <v>103.06</v>
      </c>
      <c r="M154" s="39" t="n">
        <v>53.55</v>
      </c>
      <c r="N154" s="39" t="n">
        <f aca="false">J154*Resumo!$C$6</f>
        <v>0</v>
      </c>
      <c r="O154" s="39" t="n">
        <f aca="false">J154*Resumo!$C$7</f>
        <v>1.081899</v>
      </c>
      <c r="P154" s="39" t="n">
        <f aca="false">J154*Resumo!$C$8</f>
        <v>1.081899</v>
      </c>
      <c r="Q154" s="39" t="n">
        <f aca="false">Resumo!$C$10*CEILING(I154/100,1)</f>
        <v>1.05</v>
      </c>
      <c r="R154" s="39" t="n">
        <f aca="false">Resumo!$C$9</f>
        <v>0</v>
      </c>
      <c r="S154" s="39" t="n">
        <f aca="false">Resumo!$C$13</f>
        <v>13.55</v>
      </c>
      <c r="T154" s="39" t="n">
        <f aca="false">Resumo!$C$14*CEILING(I154,1)</f>
        <v>18.45</v>
      </c>
      <c r="U154" s="39" t="n">
        <f aca="false">SUM(M154:T154)*Resumo!$C$11</f>
        <v>0</v>
      </c>
      <c r="V154" s="39" t="n">
        <f aca="false">SUM(M154:U154)</f>
        <v>88.763798</v>
      </c>
      <c r="W154" s="39" t="n">
        <f aca="false">V154/(1-Resumo!$C$5)</f>
        <v>100.867952272727</v>
      </c>
      <c r="X154" s="39" t="n">
        <v>93.97</v>
      </c>
      <c r="Y154" s="39" t="n">
        <f aca="false">J154*Resumo!$B$6</f>
        <v>0.51519</v>
      </c>
      <c r="Z154" s="39" t="n">
        <f aca="false">J154*Resumo!$B$7</f>
        <v>1.03038</v>
      </c>
      <c r="AA154" s="39" t="n">
        <f aca="false">Resumo!$B$9</f>
        <v>1</v>
      </c>
      <c r="AB154" s="39" t="n">
        <f aca="false">Resumo!$B$10*CEILING(I154/100,1)</f>
        <v>4.5</v>
      </c>
      <c r="AC154" s="39" t="n">
        <f aca="false">Resumo!$B$12*CEILING(I154,1)</f>
        <v>2.46</v>
      </c>
      <c r="AD154" s="39" t="n">
        <f aca="false">Resumo!$B$14*CEILING(I154,1)</f>
        <v>18.45</v>
      </c>
      <c r="AE154" s="39" t="n">
        <f aca="false">SUM(X154:AD154)</f>
        <v>121.92557</v>
      </c>
      <c r="AF154" s="39" t="n">
        <f aca="false">AE154/(1-Resumo!$B$5)</f>
        <v>138.551784090909</v>
      </c>
      <c r="AG154" s="39" t="n">
        <f aca="false">AF154-W154</f>
        <v>37.6838318181818</v>
      </c>
      <c r="AH154" s="40" t="n">
        <f aca="false">AF154/W154-1</f>
        <v>0.373595685934935</v>
      </c>
      <c r="AI154" s="37" t="str">
        <f aca="false">IF(AF154&lt;W154,"SIM","NÃO")</f>
        <v>NÃO</v>
      </c>
      <c r="AJ154" s="37" t="n">
        <v>2</v>
      </c>
      <c r="AK154" s="37" t="n">
        <v>5</v>
      </c>
      <c r="AL154" s="37" t="s">
        <v>343</v>
      </c>
      <c r="AM154" s="39" t="n">
        <v>103.06</v>
      </c>
    </row>
    <row r="155" customFormat="false" ht="15" hidden="false" customHeight="false" outlineLevel="0" collapsed="false">
      <c r="A155" s="37" t="n">
        <v>357973405</v>
      </c>
      <c r="B155" s="38" t="n">
        <v>46215.5688310185</v>
      </c>
      <c r="C155" s="37" t="s">
        <v>345</v>
      </c>
      <c r="D155" s="37" t="s">
        <v>501</v>
      </c>
      <c r="E155" s="37" t="n">
        <v>23017440</v>
      </c>
      <c r="F155" s="37" t="s">
        <v>159</v>
      </c>
      <c r="G155" s="37" t="s">
        <v>196</v>
      </c>
      <c r="H155" s="37" t="s">
        <v>188</v>
      </c>
      <c r="I155" s="37" t="n">
        <v>66.8</v>
      </c>
      <c r="J155" s="39" t="n">
        <v>630.3</v>
      </c>
      <c r="K155" s="37" t="s">
        <v>342</v>
      </c>
      <c r="L155" s="39" t="n">
        <v>124.23</v>
      </c>
      <c r="M155" s="39" t="n">
        <v>63.21</v>
      </c>
      <c r="N155" s="39" t="n">
        <f aca="false">J155*Resumo!$C$6</f>
        <v>0</v>
      </c>
      <c r="O155" s="39" t="n">
        <f aca="false">J155*Resumo!$C$7</f>
        <v>1.32363</v>
      </c>
      <c r="P155" s="39" t="n">
        <f aca="false">J155*Resumo!$C$8</f>
        <v>1.32363</v>
      </c>
      <c r="Q155" s="39" t="n">
        <f aca="false">Resumo!$C$10*CEILING(I155/100,1)</f>
        <v>1.05</v>
      </c>
      <c r="R155" s="39" t="n">
        <f aca="false">Resumo!$C$9</f>
        <v>0</v>
      </c>
      <c r="S155" s="39" t="n">
        <f aca="false">Resumo!$C$13</f>
        <v>13.55</v>
      </c>
      <c r="T155" s="39" t="n">
        <f aca="false">Resumo!$C$14*CEILING(I155,1)</f>
        <v>30.15</v>
      </c>
      <c r="U155" s="39" t="n">
        <f aca="false">SUM(M155:T155)*Resumo!$C$11</f>
        <v>0</v>
      </c>
      <c r="V155" s="39" t="n">
        <f aca="false">SUM(M155:U155)</f>
        <v>110.60726</v>
      </c>
      <c r="W155" s="39" t="n">
        <f aca="false">V155/(1-Resumo!$C$5)</f>
        <v>125.690068181818</v>
      </c>
      <c r="X155" s="39" t="n">
        <v>131.02</v>
      </c>
      <c r="Y155" s="39" t="n">
        <f aca="false">J155*Resumo!$B$6</f>
        <v>0.6303</v>
      </c>
      <c r="Z155" s="39" t="n">
        <f aca="false">J155*Resumo!$B$7</f>
        <v>1.2606</v>
      </c>
      <c r="AA155" s="39" t="n">
        <f aca="false">Resumo!$B$9</f>
        <v>1</v>
      </c>
      <c r="AB155" s="39" t="n">
        <f aca="false">Resumo!$B$10*CEILING(I155/100,1)</f>
        <v>4.5</v>
      </c>
      <c r="AC155" s="39" t="n">
        <f aca="false">Resumo!$B$12*CEILING(I155,1)</f>
        <v>4.02</v>
      </c>
      <c r="AD155" s="39" t="n">
        <f aca="false">Resumo!$B$14*CEILING(I155,1)</f>
        <v>30.15</v>
      </c>
      <c r="AE155" s="39" t="n">
        <f aca="false">SUM(X155:AD155)</f>
        <v>172.5809</v>
      </c>
      <c r="AF155" s="39" t="n">
        <f aca="false">AE155/(1-Resumo!$B$5)</f>
        <v>196.114659090909</v>
      </c>
      <c r="AG155" s="39" t="n">
        <f aca="false">AF155-W155</f>
        <v>70.4245909090909</v>
      </c>
      <c r="AH155" s="40" t="n">
        <f aca="false">AF155/W155-1</f>
        <v>0.560303546078259</v>
      </c>
      <c r="AI155" s="37" t="str">
        <f aca="false">IF(AF155&lt;W155,"SIM","NÃO")</f>
        <v>NÃO</v>
      </c>
      <c r="AJ155" s="37" t="n">
        <v>2</v>
      </c>
      <c r="AK155" s="37" t="n">
        <v>5</v>
      </c>
      <c r="AL155" s="37" t="s">
        <v>343</v>
      </c>
      <c r="AM155" s="39" t="n">
        <v>124.23</v>
      </c>
    </row>
    <row r="156" customFormat="false" ht="15" hidden="false" customHeight="false" outlineLevel="0" collapsed="false">
      <c r="A156" s="37" t="n">
        <v>357991954</v>
      </c>
      <c r="B156" s="38" t="n">
        <v>46215.5972337963</v>
      </c>
      <c r="C156" s="37" t="s">
        <v>340</v>
      </c>
      <c r="D156" s="37" t="s">
        <v>502</v>
      </c>
      <c r="E156" s="37" t="n">
        <v>26065012</v>
      </c>
      <c r="F156" s="37" t="s">
        <v>162</v>
      </c>
      <c r="G156" s="37" t="s">
        <v>197</v>
      </c>
      <c r="H156" s="37" t="s">
        <v>191</v>
      </c>
      <c r="I156" s="37" t="n">
        <v>117.5</v>
      </c>
      <c r="J156" s="39" t="n">
        <v>1273.97</v>
      </c>
      <c r="K156" s="37" t="s">
        <v>342</v>
      </c>
      <c r="L156" s="39" t="n">
        <v>195.94</v>
      </c>
      <c r="M156" s="39" t="n">
        <v>101.26</v>
      </c>
      <c r="N156" s="39" t="n">
        <f aca="false">J156*Resumo!$C$6</f>
        <v>0</v>
      </c>
      <c r="O156" s="39" t="n">
        <f aca="false">J156*Resumo!$C$7</f>
        <v>2.675337</v>
      </c>
      <c r="P156" s="39" t="n">
        <f aca="false">J156*Resumo!$C$8</f>
        <v>2.675337</v>
      </c>
      <c r="Q156" s="39" t="n">
        <f aca="false">Resumo!$C$10*CEILING(I156/100,1)</f>
        <v>2.1</v>
      </c>
      <c r="R156" s="39" t="n">
        <f aca="false">Resumo!$C$9</f>
        <v>0</v>
      </c>
      <c r="S156" s="39" t="n">
        <f aca="false">Resumo!$C$13</f>
        <v>13.55</v>
      </c>
      <c r="T156" s="39" t="n">
        <f aca="false">Resumo!$C$14*CEILING(I156,1)</f>
        <v>53.1</v>
      </c>
      <c r="U156" s="39" t="n">
        <f aca="false">SUM(M156:T156)*Resumo!$C$11</f>
        <v>0</v>
      </c>
      <c r="V156" s="39" t="n">
        <f aca="false">SUM(M156:U156)</f>
        <v>175.360674</v>
      </c>
      <c r="W156" s="39" t="n">
        <f aca="false">V156/(1-Resumo!$C$5)</f>
        <v>199.273493181818</v>
      </c>
      <c r="X156" s="39" t="n">
        <v>201.59</v>
      </c>
      <c r="Y156" s="39" t="n">
        <f aca="false">J156*Resumo!$B$6</f>
        <v>1.27397</v>
      </c>
      <c r="Z156" s="39" t="n">
        <f aca="false">J156*Resumo!$B$7</f>
        <v>2.54794</v>
      </c>
      <c r="AA156" s="39" t="n">
        <f aca="false">Resumo!$B$9</f>
        <v>1</v>
      </c>
      <c r="AB156" s="39" t="n">
        <f aca="false">Resumo!$B$10*CEILING(I156/100,1)</f>
        <v>9</v>
      </c>
      <c r="AC156" s="39" t="n">
        <f aca="false">Resumo!$B$12*CEILING(I156,1)</f>
        <v>7.08</v>
      </c>
      <c r="AD156" s="39" t="n">
        <f aca="false">Resumo!$B$14*CEILING(I156,1)</f>
        <v>53.1</v>
      </c>
      <c r="AE156" s="39" t="n">
        <f aca="false">SUM(X156:AD156)</f>
        <v>275.59191</v>
      </c>
      <c r="AF156" s="39" t="n">
        <f aca="false">AE156/(1-Resumo!$B$5)</f>
        <v>313.172625</v>
      </c>
      <c r="AG156" s="39" t="n">
        <f aca="false">AF156-W156</f>
        <v>113.899131818182</v>
      </c>
      <c r="AH156" s="40" t="n">
        <f aca="false">AF156/W156-1</f>
        <v>0.571571913552294</v>
      </c>
      <c r="AI156" s="37" t="str">
        <f aca="false">IF(AF156&lt;W156,"SIM","NÃO")</f>
        <v>NÃO</v>
      </c>
      <c r="AJ156" s="37" t="n">
        <v>2</v>
      </c>
      <c r="AK156" s="37" t="n">
        <v>5</v>
      </c>
      <c r="AL156" s="37" t="s">
        <v>343</v>
      </c>
      <c r="AM156" s="39" t="n">
        <v>195.94</v>
      </c>
    </row>
    <row r="157" customFormat="false" ht="15" hidden="false" customHeight="false" outlineLevel="0" collapsed="false">
      <c r="A157" s="37" t="n">
        <v>358043310</v>
      </c>
      <c r="B157" s="38" t="n">
        <v>46215.6785648148</v>
      </c>
      <c r="C157" s="37" t="s">
        <v>340</v>
      </c>
      <c r="D157" s="37" t="s">
        <v>503</v>
      </c>
      <c r="E157" s="37" t="n">
        <v>21235112</v>
      </c>
      <c r="F157" s="37" t="s">
        <v>159</v>
      </c>
      <c r="G157" s="37" t="s">
        <v>196</v>
      </c>
      <c r="H157" s="37" t="s">
        <v>185</v>
      </c>
      <c r="I157" s="37" t="n">
        <v>40</v>
      </c>
      <c r="J157" s="39" t="n">
        <v>619.99</v>
      </c>
      <c r="K157" s="37" t="s">
        <v>342</v>
      </c>
      <c r="L157" s="39" t="n">
        <v>92.83</v>
      </c>
      <c r="M157" s="39" t="n">
        <v>48.35</v>
      </c>
      <c r="N157" s="39" t="n">
        <f aca="false">J157*Resumo!$C$6</f>
        <v>0</v>
      </c>
      <c r="O157" s="39" t="n">
        <f aca="false">J157*Resumo!$C$7</f>
        <v>1.301979</v>
      </c>
      <c r="P157" s="39" t="n">
        <f aca="false">J157*Resumo!$C$8</f>
        <v>1.301979</v>
      </c>
      <c r="Q157" s="39" t="n">
        <f aca="false">Resumo!$C$10*CEILING(I157/100,1)</f>
        <v>1.05</v>
      </c>
      <c r="R157" s="39" t="n">
        <f aca="false">Resumo!$C$9</f>
        <v>0</v>
      </c>
      <c r="S157" s="39" t="n">
        <f aca="false">Resumo!$C$13</f>
        <v>13.55</v>
      </c>
      <c r="T157" s="39" t="n">
        <f aca="false">Resumo!$C$14*CEILING(I157,1)</f>
        <v>18</v>
      </c>
      <c r="U157" s="39" t="n">
        <f aca="false">SUM(M157:T157)*Resumo!$C$11</f>
        <v>0</v>
      </c>
      <c r="V157" s="39" t="n">
        <f aca="false">SUM(M157:U157)</f>
        <v>83.553958</v>
      </c>
      <c r="W157" s="39" t="n">
        <f aca="false">V157/(1-Resumo!$C$5)</f>
        <v>94.9476795454546</v>
      </c>
      <c r="X157" s="39" t="n">
        <v>93.97</v>
      </c>
      <c r="Y157" s="39" t="n">
        <f aca="false">J157*Resumo!$B$6</f>
        <v>0.61999</v>
      </c>
      <c r="Z157" s="39" t="n">
        <f aca="false">J157*Resumo!$B$7</f>
        <v>1.23998</v>
      </c>
      <c r="AA157" s="39" t="n">
        <f aca="false">Resumo!$B$9</f>
        <v>1</v>
      </c>
      <c r="AB157" s="39" t="n">
        <f aca="false">Resumo!$B$10*CEILING(I157/100,1)</f>
        <v>4.5</v>
      </c>
      <c r="AC157" s="39" t="n">
        <f aca="false">Resumo!$B$12*CEILING(I157,1)</f>
        <v>2.4</v>
      </c>
      <c r="AD157" s="39" t="n">
        <f aca="false">Resumo!$B$14*CEILING(I157,1)</f>
        <v>18</v>
      </c>
      <c r="AE157" s="39" t="n">
        <f aca="false">SUM(X157:AD157)</f>
        <v>121.72997</v>
      </c>
      <c r="AF157" s="39" t="n">
        <f aca="false">AE157/(1-Resumo!$B$5)</f>
        <v>138.329511363636</v>
      </c>
      <c r="AG157" s="39" t="n">
        <f aca="false">AF157-W157</f>
        <v>43.3818318181818</v>
      </c>
      <c r="AH157" s="40" t="n">
        <f aca="false">AF157/W157-1</f>
        <v>0.45690249646821</v>
      </c>
      <c r="AI157" s="37" t="str">
        <f aca="false">IF(AF157&lt;W157,"SIM","NÃO")</f>
        <v>NÃO</v>
      </c>
      <c r="AJ157" s="37" t="n">
        <v>2</v>
      </c>
      <c r="AK157" s="37" t="n">
        <v>5</v>
      </c>
      <c r="AL157" s="37" t="s">
        <v>343</v>
      </c>
      <c r="AM157" s="39" t="n">
        <v>92.83</v>
      </c>
    </row>
    <row r="158" customFormat="false" ht="15" hidden="false" customHeight="false" outlineLevel="0" collapsed="false">
      <c r="A158" s="37" t="n">
        <v>358056810</v>
      </c>
      <c r="B158" s="38" t="n">
        <v>46215.6987615741</v>
      </c>
      <c r="C158" s="37" t="s">
        <v>340</v>
      </c>
      <c r="D158" s="37" t="s">
        <v>504</v>
      </c>
      <c r="E158" s="37" t="n">
        <v>22611070</v>
      </c>
      <c r="F158" s="37" t="s">
        <v>159</v>
      </c>
      <c r="G158" s="37" t="s">
        <v>196</v>
      </c>
      <c r="H158" s="37" t="s">
        <v>187</v>
      </c>
      <c r="I158" s="37" t="n">
        <v>52.3</v>
      </c>
      <c r="J158" s="39" t="n">
        <v>644.99</v>
      </c>
      <c r="K158" s="37" t="s">
        <v>342</v>
      </c>
      <c r="L158" s="39" t="n">
        <v>114.24</v>
      </c>
      <c r="M158" s="39" t="n">
        <v>58.6</v>
      </c>
      <c r="N158" s="39" t="n">
        <f aca="false">J158*Resumo!$C$6</f>
        <v>0</v>
      </c>
      <c r="O158" s="39" t="n">
        <f aca="false">J158*Resumo!$C$7</f>
        <v>1.354479</v>
      </c>
      <c r="P158" s="39" t="n">
        <f aca="false">J158*Resumo!$C$8</f>
        <v>1.354479</v>
      </c>
      <c r="Q158" s="39" t="n">
        <f aca="false">Resumo!$C$10*CEILING(I158/100,1)</f>
        <v>1.05</v>
      </c>
      <c r="R158" s="39" t="n">
        <f aca="false">Resumo!$C$9</f>
        <v>0</v>
      </c>
      <c r="S158" s="39" t="n">
        <f aca="false">Resumo!$C$13</f>
        <v>13.55</v>
      </c>
      <c r="T158" s="39" t="n">
        <f aca="false">Resumo!$C$14*CEILING(I158,1)</f>
        <v>23.85</v>
      </c>
      <c r="U158" s="39" t="n">
        <f aca="false">SUM(M158:T158)*Resumo!$C$11</f>
        <v>0</v>
      </c>
      <c r="V158" s="39" t="n">
        <f aca="false">SUM(M158:U158)</f>
        <v>99.758958</v>
      </c>
      <c r="W158" s="39" t="n">
        <f aca="false">V158/(1-Resumo!$C$5)</f>
        <v>113.362452272727</v>
      </c>
      <c r="X158" s="39" t="n">
        <v>112.3</v>
      </c>
      <c r="Y158" s="39" t="n">
        <f aca="false">J158*Resumo!$B$6</f>
        <v>0.64499</v>
      </c>
      <c r="Z158" s="39" t="n">
        <f aca="false">J158*Resumo!$B$7</f>
        <v>1.28998</v>
      </c>
      <c r="AA158" s="39" t="n">
        <f aca="false">Resumo!$B$9</f>
        <v>1</v>
      </c>
      <c r="AB158" s="39" t="n">
        <f aca="false">Resumo!$B$10*CEILING(I158/100,1)</f>
        <v>4.5</v>
      </c>
      <c r="AC158" s="39" t="n">
        <f aca="false">Resumo!$B$12*CEILING(I158,1)</f>
        <v>3.18</v>
      </c>
      <c r="AD158" s="39" t="n">
        <f aca="false">Resumo!$B$14*CEILING(I158,1)</f>
        <v>23.85</v>
      </c>
      <c r="AE158" s="39" t="n">
        <f aca="false">SUM(X158:AD158)</f>
        <v>146.76497</v>
      </c>
      <c r="AF158" s="39" t="n">
        <f aca="false">AE158/(1-Resumo!$B$5)</f>
        <v>166.778375</v>
      </c>
      <c r="AG158" s="39" t="n">
        <f aca="false">AF158-W158</f>
        <v>53.4159227272727</v>
      </c>
      <c r="AH158" s="40" t="n">
        <f aca="false">AF158/W158-1</f>
        <v>0.47119590002133</v>
      </c>
      <c r="AI158" s="37" t="str">
        <f aca="false">IF(AF158&lt;W158,"SIM","NÃO")</f>
        <v>NÃO</v>
      </c>
      <c r="AJ158" s="37" t="n">
        <v>2</v>
      </c>
      <c r="AK158" s="37" t="n">
        <v>5</v>
      </c>
      <c r="AL158" s="37" t="s">
        <v>343</v>
      </c>
      <c r="AM158" s="39" t="n">
        <v>114.24</v>
      </c>
    </row>
    <row r="159" customFormat="false" ht="15" hidden="false" customHeight="false" outlineLevel="0" collapsed="false">
      <c r="A159" s="37" t="n">
        <v>358066977</v>
      </c>
      <c r="B159" s="38" t="n">
        <v>46215.7138425926</v>
      </c>
      <c r="C159" s="37" t="s">
        <v>340</v>
      </c>
      <c r="D159" s="37" t="s">
        <v>505</v>
      </c>
      <c r="E159" s="37" t="n">
        <v>23898081</v>
      </c>
      <c r="F159" s="37" t="s">
        <v>221</v>
      </c>
      <c r="G159" s="37" t="s">
        <v>198</v>
      </c>
      <c r="H159" s="37" t="s">
        <v>188</v>
      </c>
      <c r="I159" s="37" t="n">
        <v>66.8</v>
      </c>
      <c r="J159" s="39" t="n">
        <v>643.99</v>
      </c>
      <c r="K159" s="37" t="s">
        <v>342</v>
      </c>
      <c r="L159" s="39" t="n">
        <v>155.11</v>
      </c>
      <c r="M159" s="39" t="n">
        <v>90.2</v>
      </c>
      <c r="N159" s="39" t="n">
        <f aca="false">J159*Resumo!$C$6</f>
        <v>0</v>
      </c>
      <c r="O159" s="39" t="n">
        <f aca="false">J159*Resumo!$C$7</f>
        <v>1.352379</v>
      </c>
      <c r="P159" s="39" t="n">
        <f aca="false">J159*Resumo!$C$8</f>
        <v>1.352379</v>
      </c>
      <c r="Q159" s="39" t="n">
        <f aca="false">Resumo!$C$10*CEILING(I159/100,1)</f>
        <v>1.05</v>
      </c>
      <c r="R159" s="39" t="n">
        <f aca="false">Resumo!$C$9</f>
        <v>0</v>
      </c>
      <c r="S159" s="39" t="n">
        <f aca="false">Resumo!$C$13</f>
        <v>13.55</v>
      </c>
      <c r="T159" s="39" t="n">
        <f aca="false">Resumo!$C$14*CEILING(I159,1)</f>
        <v>30.15</v>
      </c>
      <c r="U159" s="39" t="n">
        <f aca="false">SUM(M159:T159)*Resumo!$C$11</f>
        <v>0</v>
      </c>
      <c r="V159" s="39" t="n">
        <f aca="false">SUM(M159:U159)</f>
        <v>137.654758</v>
      </c>
      <c r="W159" s="39" t="n">
        <f aca="false">V159/(1-Resumo!$C$5)</f>
        <v>156.425861363636</v>
      </c>
      <c r="X159" s="39" t="n">
        <v>141.02</v>
      </c>
      <c r="Y159" s="39" t="n">
        <f aca="false">J159*Resumo!$B$6</f>
        <v>0.64399</v>
      </c>
      <c r="Z159" s="39" t="n">
        <f aca="false">J159*Resumo!$B$7</f>
        <v>1.28798</v>
      </c>
      <c r="AA159" s="39" t="n">
        <f aca="false">Resumo!$B$9</f>
        <v>1</v>
      </c>
      <c r="AB159" s="39" t="n">
        <f aca="false">Resumo!$B$10*CEILING(I159/100,1)</f>
        <v>4.5</v>
      </c>
      <c r="AC159" s="39" t="n">
        <f aca="false">Resumo!$B$12*CEILING(I159,1)</f>
        <v>4.02</v>
      </c>
      <c r="AD159" s="39" t="n">
        <f aca="false">Resumo!$B$14*CEILING(I159,1)</f>
        <v>30.15</v>
      </c>
      <c r="AE159" s="39" t="n">
        <f aca="false">SUM(X159:AD159)</f>
        <v>182.62197</v>
      </c>
      <c r="AF159" s="39" t="n">
        <f aca="false">AE159/(1-Resumo!$B$5)</f>
        <v>207.524965909091</v>
      </c>
      <c r="AG159" s="39" t="n">
        <f aca="false">AF159-W159</f>
        <v>51.0991045454545</v>
      </c>
      <c r="AH159" s="40" t="n">
        <f aca="false">AF159/W159-1</f>
        <v>0.326666601673151</v>
      </c>
      <c r="AI159" s="37" t="str">
        <f aca="false">IF(AF159&lt;W159,"SIM","NÃO")</f>
        <v>NÃO</v>
      </c>
      <c r="AJ159" s="37" t="n">
        <v>13</v>
      </c>
      <c r="AK159" s="37" t="n">
        <v>5</v>
      </c>
      <c r="AL159" s="37" t="s">
        <v>347</v>
      </c>
      <c r="AM159" s="39" t="n">
        <v>155.1</v>
      </c>
    </row>
    <row r="160" customFormat="false" ht="15" hidden="false" customHeight="false" outlineLevel="0" collapsed="false">
      <c r="A160" s="37" t="n">
        <v>358123675</v>
      </c>
      <c r="B160" s="38" t="n">
        <v>46215.7830902778</v>
      </c>
      <c r="C160" s="37" t="s">
        <v>340</v>
      </c>
      <c r="D160" s="37" t="s">
        <v>506</v>
      </c>
      <c r="E160" s="37" t="n">
        <v>26280190</v>
      </c>
      <c r="F160" s="37" t="s">
        <v>162</v>
      </c>
      <c r="G160" s="37" t="s">
        <v>197</v>
      </c>
      <c r="H160" s="37" t="s">
        <v>185</v>
      </c>
      <c r="I160" s="37" t="n">
        <v>37.2</v>
      </c>
      <c r="J160" s="39" t="n">
        <v>359.99</v>
      </c>
      <c r="K160" s="37" t="s">
        <v>342</v>
      </c>
      <c r="L160" s="39" t="n">
        <v>112.68</v>
      </c>
      <c r="M160" s="39" t="n">
        <v>66.83</v>
      </c>
      <c r="N160" s="39" t="n">
        <f aca="false">J160*Resumo!$C$6</f>
        <v>0</v>
      </c>
      <c r="O160" s="39" t="n">
        <f aca="false">J160*Resumo!$C$7</f>
        <v>0.755979</v>
      </c>
      <c r="P160" s="39" t="n">
        <f aca="false">J160*Resumo!$C$8</f>
        <v>0.755979</v>
      </c>
      <c r="Q160" s="39" t="n">
        <f aca="false">Resumo!$C$10*CEILING(I160/100,1)</f>
        <v>1.05</v>
      </c>
      <c r="R160" s="39" t="n">
        <f aca="false">Resumo!$C$9</f>
        <v>0</v>
      </c>
      <c r="S160" s="39" t="n">
        <f aca="false">Resumo!$C$13</f>
        <v>13.55</v>
      </c>
      <c r="T160" s="39" t="n">
        <f aca="false">Resumo!$C$14*CEILING(I160,1)</f>
        <v>17.1</v>
      </c>
      <c r="U160" s="39" t="n">
        <f aca="false">SUM(M160:T160)*Resumo!$C$11</f>
        <v>0</v>
      </c>
      <c r="V160" s="39" t="n">
        <f aca="false">SUM(M160:U160)</f>
        <v>100.041958</v>
      </c>
      <c r="W160" s="39" t="n">
        <f aca="false">V160/(1-Resumo!$C$5)</f>
        <v>113.684043181818</v>
      </c>
      <c r="X160" s="39" t="n">
        <v>93.97</v>
      </c>
      <c r="Y160" s="39" t="n">
        <f aca="false">J160*Resumo!$B$6</f>
        <v>0.35999</v>
      </c>
      <c r="Z160" s="39" t="n">
        <f aca="false">J160*Resumo!$B$7</f>
        <v>0.71998</v>
      </c>
      <c r="AA160" s="39" t="n">
        <f aca="false">Resumo!$B$9</f>
        <v>1</v>
      </c>
      <c r="AB160" s="39" t="n">
        <f aca="false">Resumo!$B$10*CEILING(I160/100,1)</f>
        <v>4.5</v>
      </c>
      <c r="AC160" s="39" t="n">
        <f aca="false">Resumo!$B$12*CEILING(I160,1)</f>
        <v>2.28</v>
      </c>
      <c r="AD160" s="39" t="n">
        <f aca="false">Resumo!$B$14*CEILING(I160,1)</f>
        <v>17.1</v>
      </c>
      <c r="AE160" s="39" t="n">
        <f aca="false">SUM(X160:AD160)</f>
        <v>119.92997</v>
      </c>
      <c r="AF160" s="39" t="n">
        <f aca="false">AE160/(1-Resumo!$B$5)</f>
        <v>136.284056818182</v>
      </c>
      <c r="AG160" s="39" t="n">
        <f aca="false">AF160-W160</f>
        <v>22.6000136363637</v>
      </c>
      <c r="AH160" s="40" t="n">
        <f aca="false">AF160/W160-1</f>
        <v>0.19879670887689</v>
      </c>
      <c r="AI160" s="37" t="str">
        <f aca="false">IF(AF160&lt;W160,"SIM","NÃO")</f>
        <v>NÃO</v>
      </c>
      <c r="AJ160" s="37" t="n">
        <v>2</v>
      </c>
      <c r="AK160" s="37" t="n">
        <v>5</v>
      </c>
      <c r="AL160" s="37" t="s">
        <v>343</v>
      </c>
      <c r="AM160" s="39" t="n">
        <v>112.68</v>
      </c>
    </row>
    <row r="161" customFormat="false" ht="15" hidden="false" customHeight="false" outlineLevel="0" collapsed="false">
      <c r="A161" s="37" t="n">
        <v>358126348</v>
      </c>
      <c r="B161" s="38" t="n">
        <v>46215.7874768519</v>
      </c>
      <c r="C161" s="37" t="s">
        <v>340</v>
      </c>
      <c r="D161" s="37" t="s">
        <v>507</v>
      </c>
      <c r="E161" s="37" t="n">
        <v>24737475</v>
      </c>
      <c r="F161" s="37" t="s">
        <v>160</v>
      </c>
      <c r="G161" s="37" t="s">
        <v>197</v>
      </c>
      <c r="H161" s="37" t="s">
        <v>183</v>
      </c>
      <c r="I161" s="37" t="n">
        <v>19.5</v>
      </c>
      <c r="J161" s="39" t="n">
        <v>369.99</v>
      </c>
      <c r="K161" s="37" t="s">
        <v>342</v>
      </c>
      <c r="L161" s="39" t="n">
        <v>75.61</v>
      </c>
      <c r="M161" s="39" t="n">
        <v>42.72</v>
      </c>
      <c r="N161" s="39" t="n">
        <f aca="false">J161*Resumo!$C$6</f>
        <v>0</v>
      </c>
      <c r="O161" s="39" t="n">
        <f aca="false">J161*Resumo!$C$7</f>
        <v>0.776979</v>
      </c>
      <c r="P161" s="39" t="n">
        <f aca="false">J161*Resumo!$C$8</f>
        <v>0.776979</v>
      </c>
      <c r="Q161" s="39" t="n">
        <f aca="false">Resumo!$C$10*CEILING(I161/100,1)</f>
        <v>1.05</v>
      </c>
      <c r="R161" s="39" t="n">
        <f aca="false">Resumo!$C$9</f>
        <v>0</v>
      </c>
      <c r="S161" s="39" t="n">
        <f aca="false">Resumo!$C$13</f>
        <v>13.55</v>
      </c>
      <c r="T161" s="39" t="n">
        <f aca="false">Resumo!$C$14*CEILING(I161,1)</f>
        <v>9</v>
      </c>
      <c r="U161" s="39" t="n">
        <f aca="false">SUM(M161:T161)*Resumo!$C$11</f>
        <v>0</v>
      </c>
      <c r="V161" s="39" t="n">
        <f aca="false">SUM(M161:U161)</f>
        <v>67.873958</v>
      </c>
      <c r="W161" s="39" t="n">
        <f aca="false">V161/(1-Resumo!$C$5)</f>
        <v>77.1294977272727</v>
      </c>
      <c r="X161" s="39" t="n">
        <v>57.47</v>
      </c>
      <c r="Y161" s="39" t="n">
        <f aca="false">J161*Resumo!$B$6</f>
        <v>0.36999</v>
      </c>
      <c r="Z161" s="39" t="n">
        <f aca="false">J161*Resumo!$B$7</f>
        <v>0.73998</v>
      </c>
      <c r="AA161" s="39" t="n">
        <f aca="false">Resumo!$B$9</f>
        <v>1</v>
      </c>
      <c r="AB161" s="39" t="n">
        <f aca="false">Resumo!$B$10*CEILING(I161/100,1)</f>
        <v>4.5</v>
      </c>
      <c r="AC161" s="39" t="n">
        <f aca="false">Resumo!$B$12*CEILING(I161,1)</f>
        <v>1.2</v>
      </c>
      <c r="AD161" s="39" t="n">
        <f aca="false">Resumo!$B$14*CEILING(I161,1)</f>
        <v>9</v>
      </c>
      <c r="AE161" s="39" t="n">
        <f aca="false">SUM(X161:AD161)</f>
        <v>74.27997</v>
      </c>
      <c r="AF161" s="39" t="n">
        <f aca="false">AE161/(1-Resumo!$B$5)</f>
        <v>84.4090568181818</v>
      </c>
      <c r="AG161" s="39" t="n">
        <f aca="false">AF161-W161</f>
        <v>7.27955909090909</v>
      </c>
      <c r="AH161" s="40" t="n">
        <f aca="false">AF161/W161-1</f>
        <v>0.0943809995580338</v>
      </c>
      <c r="AI161" s="37" t="str">
        <f aca="false">IF(AF161&lt;W161,"SIM","NÃO")</f>
        <v>NÃO</v>
      </c>
      <c r="AJ161" s="37" t="n">
        <v>2</v>
      </c>
      <c r="AK161" s="37" t="n">
        <v>7</v>
      </c>
      <c r="AL161" s="37" t="s">
        <v>343</v>
      </c>
      <c r="AM161" s="39" t="n">
        <v>75.61</v>
      </c>
    </row>
    <row r="162" customFormat="false" ht="15" hidden="false" customHeight="false" outlineLevel="0" collapsed="false">
      <c r="A162" s="37" t="n">
        <v>358129527</v>
      </c>
      <c r="B162" s="38" t="n">
        <v>46215.7925925926</v>
      </c>
      <c r="C162" s="37" t="s">
        <v>345</v>
      </c>
      <c r="D162" s="37" t="s">
        <v>508</v>
      </c>
      <c r="E162" s="37" t="n">
        <v>22795216</v>
      </c>
      <c r="F162" s="37" t="s">
        <v>159</v>
      </c>
      <c r="G162" s="37" t="s">
        <v>196</v>
      </c>
      <c r="H162" s="37" t="s">
        <v>187</v>
      </c>
      <c r="I162" s="37" t="n">
        <v>52.3</v>
      </c>
      <c r="J162" s="39" t="n">
        <v>650.86</v>
      </c>
      <c r="K162" s="37" t="s">
        <v>342</v>
      </c>
      <c r="L162" s="39" t="n">
        <v>114.26</v>
      </c>
      <c r="M162" s="39" t="n">
        <v>58.6</v>
      </c>
      <c r="N162" s="39" t="n">
        <f aca="false">J162*Resumo!$C$6</f>
        <v>0</v>
      </c>
      <c r="O162" s="39" t="n">
        <f aca="false">J162*Resumo!$C$7</f>
        <v>1.366806</v>
      </c>
      <c r="P162" s="39" t="n">
        <f aca="false">J162*Resumo!$C$8</f>
        <v>1.366806</v>
      </c>
      <c r="Q162" s="39" t="n">
        <f aca="false">Resumo!$C$10*CEILING(I162/100,1)</f>
        <v>1.05</v>
      </c>
      <c r="R162" s="39" t="n">
        <f aca="false">Resumo!$C$9</f>
        <v>0</v>
      </c>
      <c r="S162" s="39" t="n">
        <f aca="false">Resumo!$C$13</f>
        <v>13.55</v>
      </c>
      <c r="T162" s="39" t="n">
        <f aca="false">Resumo!$C$14*CEILING(I162,1)</f>
        <v>23.85</v>
      </c>
      <c r="U162" s="39" t="n">
        <f aca="false">SUM(M162:T162)*Resumo!$C$11</f>
        <v>0</v>
      </c>
      <c r="V162" s="39" t="n">
        <f aca="false">SUM(M162:U162)</f>
        <v>99.783612</v>
      </c>
      <c r="W162" s="39" t="n">
        <f aca="false">V162/(1-Resumo!$C$5)</f>
        <v>113.390468181818</v>
      </c>
      <c r="X162" s="39" t="n">
        <v>112.3</v>
      </c>
      <c r="Y162" s="39" t="n">
        <f aca="false">J162*Resumo!$B$6</f>
        <v>0.65086</v>
      </c>
      <c r="Z162" s="39" t="n">
        <f aca="false">J162*Resumo!$B$7</f>
        <v>1.30172</v>
      </c>
      <c r="AA162" s="39" t="n">
        <f aca="false">Resumo!$B$9</f>
        <v>1</v>
      </c>
      <c r="AB162" s="39" t="n">
        <f aca="false">Resumo!$B$10*CEILING(I162/100,1)</f>
        <v>4.5</v>
      </c>
      <c r="AC162" s="39" t="n">
        <f aca="false">Resumo!$B$12*CEILING(I162,1)</f>
        <v>3.18</v>
      </c>
      <c r="AD162" s="39" t="n">
        <f aca="false">Resumo!$B$14*CEILING(I162,1)</f>
        <v>23.85</v>
      </c>
      <c r="AE162" s="39" t="n">
        <f aca="false">SUM(X162:AD162)</f>
        <v>146.78258</v>
      </c>
      <c r="AF162" s="39" t="n">
        <f aca="false">AE162/(1-Resumo!$B$5)</f>
        <v>166.798386363636</v>
      </c>
      <c r="AG162" s="39" t="n">
        <f aca="false">AF162-W162</f>
        <v>53.4079181818182</v>
      </c>
      <c r="AH162" s="40" t="n">
        <f aca="false">AF162/W162-1</f>
        <v>0.471008886709773</v>
      </c>
      <c r="AI162" s="37" t="str">
        <f aca="false">IF(AF162&lt;W162,"SIM","NÃO")</f>
        <v>NÃO</v>
      </c>
      <c r="AJ162" s="37" t="n">
        <v>2</v>
      </c>
      <c r="AK162" s="37" t="n">
        <v>5</v>
      </c>
      <c r="AL162" s="37" t="s">
        <v>343</v>
      </c>
      <c r="AM162" s="39" t="n">
        <v>114.27</v>
      </c>
    </row>
    <row r="163" customFormat="false" ht="15" hidden="false" customHeight="false" outlineLevel="0" collapsed="false">
      <c r="A163" s="37" t="n">
        <v>358136247</v>
      </c>
      <c r="B163" s="38" t="n">
        <v>46215.8080208333</v>
      </c>
      <c r="C163" s="37" t="s">
        <v>361</v>
      </c>
      <c r="D163" s="37" t="s">
        <v>509</v>
      </c>
      <c r="E163" s="37" t="n">
        <v>23898033</v>
      </c>
      <c r="F163" s="37" t="s">
        <v>221</v>
      </c>
      <c r="G163" s="37" t="s">
        <v>198</v>
      </c>
      <c r="H163" s="37" t="s">
        <v>188</v>
      </c>
      <c r="I163" s="37" t="n">
        <v>69</v>
      </c>
      <c r="J163" s="39" t="n">
        <v>859.99</v>
      </c>
      <c r="K163" s="37" t="s">
        <v>342</v>
      </c>
      <c r="L163" s="39" t="n">
        <v>156.14</v>
      </c>
      <c r="M163" s="39" t="n">
        <v>90.2</v>
      </c>
      <c r="N163" s="39" t="n">
        <f aca="false">J163*Resumo!$C$6</f>
        <v>0</v>
      </c>
      <c r="O163" s="39" t="n">
        <f aca="false">J163*Resumo!$C$7</f>
        <v>1.805979</v>
      </c>
      <c r="P163" s="39" t="n">
        <f aca="false">J163*Resumo!$C$8</f>
        <v>1.805979</v>
      </c>
      <c r="Q163" s="39" t="n">
        <f aca="false">Resumo!$C$10*CEILING(I163/100,1)</f>
        <v>1.05</v>
      </c>
      <c r="R163" s="39" t="n">
        <f aca="false">Resumo!$C$9</f>
        <v>0</v>
      </c>
      <c r="S163" s="39" t="n">
        <f aca="false">Resumo!$C$13</f>
        <v>13.55</v>
      </c>
      <c r="T163" s="39" t="n">
        <f aca="false">Resumo!$C$14*CEILING(I163,1)</f>
        <v>31.05</v>
      </c>
      <c r="U163" s="39" t="n">
        <f aca="false">SUM(M163:T163)*Resumo!$C$11</f>
        <v>0</v>
      </c>
      <c r="V163" s="39" t="n">
        <f aca="false">SUM(M163:U163)</f>
        <v>139.461958</v>
      </c>
      <c r="W163" s="39" t="n">
        <f aca="false">V163/(1-Resumo!$C$5)</f>
        <v>158.479497727273</v>
      </c>
      <c r="X163" s="39" t="n">
        <v>141.02</v>
      </c>
      <c r="Y163" s="39" t="n">
        <f aca="false">J163*Resumo!$B$6</f>
        <v>0.85999</v>
      </c>
      <c r="Z163" s="39" t="n">
        <f aca="false">J163*Resumo!$B$7</f>
        <v>1.71998</v>
      </c>
      <c r="AA163" s="39" t="n">
        <f aca="false">Resumo!$B$9</f>
        <v>1</v>
      </c>
      <c r="AB163" s="39" t="n">
        <f aca="false">Resumo!$B$10*CEILING(I163/100,1)</f>
        <v>4.5</v>
      </c>
      <c r="AC163" s="39" t="n">
        <f aca="false">Resumo!$B$12*CEILING(I163,1)</f>
        <v>4.14</v>
      </c>
      <c r="AD163" s="39" t="n">
        <f aca="false">Resumo!$B$14*CEILING(I163,1)</f>
        <v>31.05</v>
      </c>
      <c r="AE163" s="39" t="n">
        <f aca="false">SUM(X163:AD163)</f>
        <v>184.28997</v>
      </c>
      <c r="AF163" s="39" t="n">
        <f aca="false">AE163/(1-Resumo!$B$5)</f>
        <v>209.420420454545</v>
      </c>
      <c r="AG163" s="39" t="n">
        <f aca="false">AF163-W163</f>
        <v>50.9409227272728</v>
      </c>
      <c r="AH163" s="40" t="n">
        <f aca="false">AF163/W163-1</f>
        <v>0.321435412515863</v>
      </c>
      <c r="AI163" s="37" t="str">
        <f aca="false">IF(AF163&lt;W163,"SIM","NÃO")</f>
        <v>NÃO</v>
      </c>
      <c r="AJ163" s="37" t="n">
        <v>13</v>
      </c>
      <c r="AK163" s="37" t="n">
        <v>5</v>
      </c>
      <c r="AL163" s="37" t="s">
        <v>347</v>
      </c>
      <c r="AM163" s="39" t="n">
        <v>156.14</v>
      </c>
    </row>
    <row r="164" customFormat="false" ht="15" hidden="false" customHeight="false" outlineLevel="0" collapsed="false">
      <c r="A164" s="37" t="n">
        <v>358172628</v>
      </c>
      <c r="B164" s="38" t="n">
        <v>46215.8525810185</v>
      </c>
      <c r="C164" s="37" t="s">
        <v>340</v>
      </c>
      <c r="D164" s="37" t="s">
        <v>510</v>
      </c>
      <c r="E164" s="37" t="n">
        <v>28943292</v>
      </c>
      <c r="F164" s="37" t="s">
        <v>292</v>
      </c>
      <c r="G164" s="37" t="s">
        <v>198</v>
      </c>
      <c r="H164" s="37" t="s">
        <v>185</v>
      </c>
      <c r="I164" s="37" t="n">
        <v>37.2</v>
      </c>
      <c r="J164" s="39" t="n">
        <v>359.99</v>
      </c>
      <c r="K164" s="37" t="s">
        <v>342</v>
      </c>
      <c r="L164" s="39" t="n">
        <v>121.98</v>
      </c>
      <c r="M164" s="39" t="n">
        <v>74.97</v>
      </c>
      <c r="N164" s="39" t="n">
        <f aca="false">J164*Resumo!$C$6</f>
        <v>0</v>
      </c>
      <c r="O164" s="39" t="n">
        <f aca="false">J164*Resumo!$C$7</f>
        <v>0.755979</v>
      </c>
      <c r="P164" s="39" t="n">
        <f aca="false">J164*Resumo!$C$8</f>
        <v>0.755979</v>
      </c>
      <c r="Q164" s="39" t="n">
        <f aca="false">Resumo!$C$10*CEILING(I164/100,1)</f>
        <v>1.05</v>
      </c>
      <c r="R164" s="39" t="n">
        <f aca="false">Resumo!$C$9</f>
        <v>0</v>
      </c>
      <c r="S164" s="39" t="n">
        <f aca="false">Resumo!$C$13</f>
        <v>13.55</v>
      </c>
      <c r="T164" s="39" t="n">
        <f aca="false">Resumo!$C$14*CEILING(I164,1)</f>
        <v>17.1</v>
      </c>
      <c r="U164" s="39" t="n">
        <f aca="false">SUM(M164:T164)*Resumo!$C$11</f>
        <v>0</v>
      </c>
      <c r="V164" s="39" t="n">
        <f aca="false">SUM(M164:U164)</f>
        <v>108.181958</v>
      </c>
      <c r="W164" s="39" t="n">
        <f aca="false">V164/(1-Resumo!$C$5)</f>
        <v>122.934043181818</v>
      </c>
      <c r="X164" s="39" t="n">
        <v>124.38</v>
      </c>
      <c r="Y164" s="39" t="n">
        <f aca="false">J164*Resumo!$B$6</f>
        <v>0.35999</v>
      </c>
      <c r="Z164" s="39" t="n">
        <f aca="false">J164*Resumo!$B$7</f>
        <v>0.71998</v>
      </c>
      <c r="AA164" s="39" t="n">
        <f aca="false">Resumo!$B$9</f>
        <v>1</v>
      </c>
      <c r="AB164" s="39" t="n">
        <f aca="false">Resumo!$B$10*CEILING(I164/100,1)</f>
        <v>4.5</v>
      </c>
      <c r="AC164" s="39" t="n">
        <f aca="false">Resumo!$B$12*CEILING(I164,1)</f>
        <v>2.28</v>
      </c>
      <c r="AD164" s="39" t="n">
        <f aca="false">Resumo!$B$14*CEILING(I164,1)</f>
        <v>17.1</v>
      </c>
      <c r="AE164" s="39" t="n">
        <f aca="false">SUM(X164:AD164)</f>
        <v>150.33997</v>
      </c>
      <c r="AF164" s="39" t="n">
        <f aca="false">AE164/(1-Resumo!$B$5)</f>
        <v>170.840875</v>
      </c>
      <c r="AG164" s="39" t="n">
        <f aca="false">AF164-W164</f>
        <v>47.9068318181818</v>
      </c>
      <c r="AH164" s="40" t="n">
        <f aca="false">AF164/W164-1</f>
        <v>0.389695405586946</v>
      </c>
      <c r="AI164" s="37" t="str">
        <f aca="false">IF(AF164&lt;W164,"SIM","NÃO")</f>
        <v>NÃO</v>
      </c>
      <c r="AJ164" s="37" t="n">
        <v>13</v>
      </c>
      <c r="AK164" s="37" t="n">
        <v>10</v>
      </c>
      <c r="AL164" s="37" t="s">
        <v>347</v>
      </c>
      <c r="AM164" s="39" t="n">
        <v>121.97</v>
      </c>
    </row>
    <row r="165" customFormat="false" ht="15" hidden="false" customHeight="false" outlineLevel="0" collapsed="false">
      <c r="A165" s="37" t="n">
        <v>358179362</v>
      </c>
      <c r="B165" s="38" t="n">
        <v>46215.8619097222</v>
      </c>
      <c r="C165" s="37" t="s">
        <v>379</v>
      </c>
      <c r="D165" s="37" t="s">
        <v>511</v>
      </c>
      <c r="E165" s="37" t="n">
        <v>20060070</v>
      </c>
      <c r="F165" s="37" t="s">
        <v>159</v>
      </c>
      <c r="G165" s="37" t="s">
        <v>196</v>
      </c>
      <c r="H165" s="37" t="s">
        <v>186</v>
      </c>
      <c r="I165" s="37" t="n">
        <v>41</v>
      </c>
      <c r="J165" s="39" t="n">
        <v>498.99</v>
      </c>
      <c r="K165" s="37" t="s">
        <v>342</v>
      </c>
      <c r="L165" s="39" t="n">
        <v>102.98</v>
      </c>
      <c r="M165" s="39" t="n">
        <v>53.55</v>
      </c>
      <c r="N165" s="39" t="n">
        <f aca="false">J165*Resumo!$C$6</f>
        <v>0</v>
      </c>
      <c r="O165" s="39" t="n">
        <f aca="false">J165*Resumo!$C$7</f>
        <v>1.047879</v>
      </c>
      <c r="P165" s="39" t="n">
        <f aca="false">J165*Resumo!$C$8</f>
        <v>1.047879</v>
      </c>
      <c r="Q165" s="39" t="n">
        <f aca="false">Resumo!$C$10*CEILING(I165/100,1)</f>
        <v>1.05</v>
      </c>
      <c r="R165" s="39" t="n">
        <f aca="false">Resumo!$C$9</f>
        <v>0</v>
      </c>
      <c r="S165" s="39" t="n">
        <f aca="false">Resumo!$C$13</f>
        <v>13.55</v>
      </c>
      <c r="T165" s="39" t="n">
        <f aca="false">Resumo!$C$14*CEILING(I165,1)</f>
        <v>18.45</v>
      </c>
      <c r="U165" s="39" t="n">
        <f aca="false">SUM(M165:T165)*Resumo!$C$11</f>
        <v>0</v>
      </c>
      <c r="V165" s="39" t="n">
        <f aca="false">SUM(M165:U165)</f>
        <v>88.695758</v>
      </c>
      <c r="W165" s="39" t="n">
        <f aca="false">V165/(1-Resumo!$C$5)</f>
        <v>100.790634090909</v>
      </c>
      <c r="X165" s="39" t="n">
        <v>93.97</v>
      </c>
      <c r="Y165" s="39" t="n">
        <f aca="false">J165*Resumo!$B$6</f>
        <v>0.49899</v>
      </c>
      <c r="Z165" s="39" t="n">
        <f aca="false">J165*Resumo!$B$7</f>
        <v>0.99798</v>
      </c>
      <c r="AA165" s="39" t="n">
        <f aca="false">Resumo!$B$9</f>
        <v>1</v>
      </c>
      <c r="AB165" s="39" t="n">
        <f aca="false">Resumo!$B$10*CEILING(I165/100,1)</f>
        <v>4.5</v>
      </c>
      <c r="AC165" s="39" t="n">
        <f aca="false">Resumo!$B$12*CEILING(I165,1)</f>
        <v>2.46</v>
      </c>
      <c r="AD165" s="39" t="n">
        <f aca="false">Resumo!$B$14*CEILING(I165,1)</f>
        <v>18.45</v>
      </c>
      <c r="AE165" s="39" t="n">
        <f aca="false">SUM(X165:AD165)</f>
        <v>121.87697</v>
      </c>
      <c r="AF165" s="39" t="n">
        <f aca="false">AE165/(1-Resumo!$B$5)</f>
        <v>138.496556818182</v>
      </c>
      <c r="AG165" s="39" t="n">
        <f aca="false">AF165-W165</f>
        <v>37.7059227272727</v>
      </c>
      <c r="AH165" s="40" t="n">
        <f aca="false">AF165/W165-1</f>
        <v>0.374101453645619</v>
      </c>
      <c r="AI165" s="37" t="str">
        <f aca="false">IF(AF165&lt;W165,"SIM","NÃO")</f>
        <v>NÃO</v>
      </c>
      <c r="AJ165" s="37" t="n">
        <v>2</v>
      </c>
      <c r="AK165" s="37" t="n">
        <v>5</v>
      </c>
      <c r="AL165" s="37" t="s">
        <v>343</v>
      </c>
      <c r="AM165" s="39" t="n">
        <v>102.98</v>
      </c>
    </row>
    <row r="166" customFormat="false" ht="15" hidden="false" customHeight="false" outlineLevel="0" collapsed="false">
      <c r="A166" s="37" t="n">
        <v>358197803</v>
      </c>
      <c r="B166" s="38" t="n">
        <v>46215.887037037</v>
      </c>
      <c r="C166" s="37" t="s">
        <v>340</v>
      </c>
      <c r="D166" s="37" t="s">
        <v>512</v>
      </c>
      <c r="E166" s="37" t="n">
        <v>21370290</v>
      </c>
      <c r="F166" s="37" t="s">
        <v>159</v>
      </c>
      <c r="G166" s="37" t="s">
        <v>196</v>
      </c>
      <c r="H166" s="37" t="s">
        <v>187</v>
      </c>
      <c r="I166" s="37" t="n">
        <v>52.3</v>
      </c>
      <c r="J166" s="39" t="n">
        <v>644.99</v>
      </c>
      <c r="K166" s="37" t="s">
        <v>342</v>
      </c>
      <c r="L166" s="39" t="n">
        <v>114.24</v>
      </c>
      <c r="M166" s="39" t="n">
        <v>58.6</v>
      </c>
      <c r="N166" s="39" t="n">
        <f aca="false">J166*Resumo!$C$6</f>
        <v>0</v>
      </c>
      <c r="O166" s="39" t="n">
        <f aca="false">J166*Resumo!$C$7</f>
        <v>1.354479</v>
      </c>
      <c r="P166" s="39" t="n">
        <f aca="false">J166*Resumo!$C$8</f>
        <v>1.354479</v>
      </c>
      <c r="Q166" s="39" t="n">
        <f aca="false">Resumo!$C$10*CEILING(I166/100,1)</f>
        <v>1.05</v>
      </c>
      <c r="R166" s="39" t="n">
        <f aca="false">Resumo!$C$9</f>
        <v>0</v>
      </c>
      <c r="S166" s="39" t="n">
        <f aca="false">Resumo!$C$13</f>
        <v>13.55</v>
      </c>
      <c r="T166" s="39" t="n">
        <f aca="false">Resumo!$C$14*CEILING(I166,1)</f>
        <v>23.85</v>
      </c>
      <c r="U166" s="39" t="n">
        <f aca="false">SUM(M166:T166)*Resumo!$C$11</f>
        <v>0</v>
      </c>
      <c r="V166" s="39" t="n">
        <f aca="false">SUM(M166:U166)</f>
        <v>99.758958</v>
      </c>
      <c r="W166" s="39" t="n">
        <f aca="false">V166/(1-Resumo!$C$5)</f>
        <v>113.362452272727</v>
      </c>
      <c r="X166" s="39" t="n">
        <v>112.3</v>
      </c>
      <c r="Y166" s="39" t="n">
        <f aca="false">J166*Resumo!$B$6</f>
        <v>0.64499</v>
      </c>
      <c r="Z166" s="39" t="n">
        <f aca="false">J166*Resumo!$B$7</f>
        <v>1.28998</v>
      </c>
      <c r="AA166" s="39" t="n">
        <f aca="false">Resumo!$B$9</f>
        <v>1</v>
      </c>
      <c r="AB166" s="39" t="n">
        <f aca="false">Resumo!$B$10*CEILING(I166/100,1)</f>
        <v>4.5</v>
      </c>
      <c r="AC166" s="39" t="n">
        <f aca="false">Resumo!$B$12*CEILING(I166,1)</f>
        <v>3.18</v>
      </c>
      <c r="AD166" s="39" t="n">
        <f aca="false">Resumo!$B$14*CEILING(I166,1)</f>
        <v>23.85</v>
      </c>
      <c r="AE166" s="39" t="n">
        <f aca="false">SUM(X166:AD166)</f>
        <v>146.76497</v>
      </c>
      <c r="AF166" s="39" t="n">
        <f aca="false">AE166/(1-Resumo!$B$5)</f>
        <v>166.778375</v>
      </c>
      <c r="AG166" s="39" t="n">
        <f aca="false">AF166-W166</f>
        <v>53.4159227272727</v>
      </c>
      <c r="AH166" s="40" t="n">
        <f aca="false">AF166/W166-1</f>
        <v>0.47119590002133</v>
      </c>
      <c r="AI166" s="37" t="str">
        <f aca="false">IF(AF166&lt;W166,"SIM","NÃO")</f>
        <v>NÃO</v>
      </c>
      <c r="AJ166" s="37" t="n">
        <v>2</v>
      </c>
      <c r="AK166" s="37" t="n">
        <v>5</v>
      </c>
      <c r="AL166" s="37" t="s">
        <v>343</v>
      </c>
      <c r="AM166" s="39" t="n">
        <v>114.24</v>
      </c>
    </row>
    <row r="167" customFormat="false" ht="15" hidden="false" customHeight="false" outlineLevel="0" collapsed="false">
      <c r="A167" s="37" t="n">
        <v>358222680</v>
      </c>
      <c r="B167" s="38" t="n">
        <v>46215.9210532407</v>
      </c>
      <c r="C167" s="37" t="s">
        <v>340</v>
      </c>
      <c r="D167" s="37" t="s">
        <v>513</v>
      </c>
      <c r="E167" s="37" t="n">
        <v>21310050</v>
      </c>
      <c r="F167" s="37" t="s">
        <v>159</v>
      </c>
      <c r="G167" s="37" t="s">
        <v>196</v>
      </c>
      <c r="H167" s="37" t="s">
        <v>187</v>
      </c>
      <c r="I167" s="37" t="n">
        <v>52.3</v>
      </c>
      <c r="J167" s="39" t="n">
        <v>644.99</v>
      </c>
      <c r="K167" s="37" t="s">
        <v>342</v>
      </c>
      <c r="L167" s="39" t="n">
        <v>114.24</v>
      </c>
      <c r="M167" s="39" t="n">
        <v>58.6</v>
      </c>
      <c r="N167" s="39" t="n">
        <f aca="false">J167*Resumo!$C$6</f>
        <v>0</v>
      </c>
      <c r="O167" s="39" t="n">
        <f aca="false">J167*Resumo!$C$7</f>
        <v>1.354479</v>
      </c>
      <c r="P167" s="39" t="n">
        <f aca="false">J167*Resumo!$C$8</f>
        <v>1.354479</v>
      </c>
      <c r="Q167" s="39" t="n">
        <f aca="false">Resumo!$C$10*CEILING(I167/100,1)</f>
        <v>1.05</v>
      </c>
      <c r="R167" s="39" t="n">
        <f aca="false">Resumo!$C$9</f>
        <v>0</v>
      </c>
      <c r="S167" s="39" t="n">
        <f aca="false">Resumo!$C$13</f>
        <v>13.55</v>
      </c>
      <c r="T167" s="39" t="n">
        <f aca="false">Resumo!$C$14*CEILING(I167,1)</f>
        <v>23.85</v>
      </c>
      <c r="U167" s="39" t="n">
        <f aca="false">SUM(M167:T167)*Resumo!$C$11</f>
        <v>0</v>
      </c>
      <c r="V167" s="39" t="n">
        <f aca="false">SUM(M167:U167)</f>
        <v>99.758958</v>
      </c>
      <c r="W167" s="39" t="n">
        <f aca="false">V167/(1-Resumo!$C$5)</f>
        <v>113.362452272727</v>
      </c>
      <c r="X167" s="39" t="n">
        <v>112.3</v>
      </c>
      <c r="Y167" s="39" t="n">
        <f aca="false">J167*Resumo!$B$6</f>
        <v>0.64499</v>
      </c>
      <c r="Z167" s="39" t="n">
        <f aca="false">J167*Resumo!$B$7</f>
        <v>1.28998</v>
      </c>
      <c r="AA167" s="39" t="n">
        <f aca="false">Resumo!$B$9</f>
        <v>1</v>
      </c>
      <c r="AB167" s="39" t="n">
        <f aca="false">Resumo!$B$10*CEILING(I167/100,1)</f>
        <v>4.5</v>
      </c>
      <c r="AC167" s="39" t="n">
        <f aca="false">Resumo!$B$12*CEILING(I167,1)</f>
        <v>3.18</v>
      </c>
      <c r="AD167" s="39" t="n">
        <f aca="false">Resumo!$B$14*CEILING(I167,1)</f>
        <v>23.85</v>
      </c>
      <c r="AE167" s="39" t="n">
        <f aca="false">SUM(X167:AD167)</f>
        <v>146.76497</v>
      </c>
      <c r="AF167" s="39" t="n">
        <f aca="false">AE167/(1-Resumo!$B$5)</f>
        <v>166.778375</v>
      </c>
      <c r="AG167" s="39" t="n">
        <f aca="false">AF167-W167</f>
        <v>53.4159227272727</v>
      </c>
      <c r="AH167" s="40" t="n">
        <f aca="false">AF167/W167-1</f>
        <v>0.47119590002133</v>
      </c>
      <c r="AI167" s="37" t="str">
        <f aca="false">IF(AF167&lt;W167,"SIM","NÃO")</f>
        <v>NÃO</v>
      </c>
      <c r="AJ167" s="37" t="n">
        <v>2</v>
      </c>
      <c r="AK167" s="37" t="n">
        <v>5</v>
      </c>
      <c r="AL167" s="37" t="s">
        <v>343</v>
      </c>
      <c r="AM167" s="39" t="n">
        <v>114.24</v>
      </c>
    </row>
    <row r="168" customFormat="false" ht="15" hidden="false" customHeight="false" outlineLevel="0" collapsed="false">
      <c r="A168" s="37" t="n">
        <v>358198274</v>
      </c>
      <c r="B168" s="38" t="n">
        <v>46215.9660763889</v>
      </c>
      <c r="C168" s="37" t="s">
        <v>375</v>
      </c>
      <c r="D168" s="37" t="s">
        <v>514</v>
      </c>
      <c r="E168" s="37" t="n">
        <v>27251340</v>
      </c>
      <c r="F168" s="37" t="s">
        <v>168</v>
      </c>
      <c r="G168" s="37" t="s">
        <v>198</v>
      </c>
      <c r="H168" s="37" t="s">
        <v>187</v>
      </c>
      <c r="I168" s="37" t="n">
        <v>52.3</v>
      </c>
      <c r="J168" s="39" t="n">
        <v>677.59</v>
      </c>
      <c r="K168" s="37" t="s">
        <v>342</v>
      </c>
      <c r="L168" s="39" t="n">
        <v>142.93</v>
      </c>
      <c r="M168" s="39" t="n">
        <v>83.58</v>
      </c>
      <c r="N168" s="39" t="n">
        <f aca="false">J168*Resumo!$C$6</f>
        <v>0</v>
      </c>
      <c r="O168" s="39" t="n">
        <f aca="false">J168*Resumo!$C$7</f>
        <v>1.422939</v>
      </c>
      <c r="P168" s="39" t="n">
        <f aca="false">J168*Resumo!$C$8</f>
        <v>1.422939</v>
      </c>
      <c r="Q168" s="39" t="n">
        <f aca="false">Resumo!$C$10*CEILING(I168/100,1)</f>
        <v>1.05</v>
      </c>
      <c r="R168" s="39" t="n">
        <f aca="false">Resumo!$C$9</f>
        <v>0</v>
      </c>
      <c r="S168" s="39" t="n">
        <f aca="false">Resumo!$C$13</f>
        <v>13.55</v>
      </c>
      <c r="T168" s="39" t="n">
        <f aca="false">Resumo!$C$14*CEILING(I168,1)</f>
        <v>23.85</v>
      </c>
      <c r="U168" s="39" t="n">
        <f aca="false">SUM(M168:T168)*Resumo!$C$11</f>
        <v>0</v>
      </c>
      <c r="V168" s="39" t="n">
        <f aca="false">SUM(M168:U168)</f>
        <v>124.875878</v>
      </c>
      <c r="W168" s="39" t="n">
        <f aca="false">V168/(1-Resumo!$C$5)</f>
        <v>141.904406818182</v>
      </c>
      <c r="X168" s="39" t="n">
        <v>142.32</v>
      </c>
      <c r="Y168" s="39" t="n">
        <f aca="false">J168*Resumo!$B$6</f>
        <v>0.67759</v>
      </c>
      <c r="Z168" s="39" t="n">
        <f aca="false">J168*Resumo!$B$7</f>
        <v>1.35518</v>
      </c>
      <c r="AA168" s="39" t="n">
        <f aca="false">Resumo!$B$9</f>
        <v>1</v>
      </c>
      <c r="AB168" s="39" t="n">
        <f aca="false">Resumo!$B$10*CEILING(I168/100,1)</f>
        <v>4.5</v>
      </c>
      <c r="AC168" s="39" t="n">
        <f aca="false">Resumo!$B$12*CEILING(I168,1)</f>
        <v>3.18</v>
      </c>
      <c r="AD168" s="39" t="n">
        <f aca="false">Resumo!$B$14*CEILING(I168,1)</f>
        <v>23.85</v>
      </c>
      <c r="AE168" s="39" t="n">
        <f aca="false">SUM(X168:AD168)</f>
        <v>176.88277</v>
      </c>
      <c r="AF168" s="39" t="n">
        <f aca="false">AE168/(1-Resumo!$B$5)</f>
        <v>201.003147727273</v>
      </c>
      <c r="AG168" s="39" t="n">
        <f aca="false">AF168-W168</f>
        <v>59.0987409090909</v>
      </c>
      <c r="AH168" s="40" t="n">
        <f aca="false">AF168/W168-1</f>
        <v>0.416468679403399</v>
      </c>
      <c r="AI168" s="37" t="str">
        <f aca="false">IF(AF168&lt;W168,"SIM","NÃO")</f>
        <v>NÃO</v>
      </c>
      <c r="AJ168" s="37" t="n">
        <v>13</v>
      </c>
      <c r="AK168" s="37" t="n">
        <v>10</v>
      </c>
      <c r="AL168" s="37" t="s">
        <v>343</v>
      </c>
      <c r="AM168" s="39" t="n">
        <v>142.92</v>
      </c>
    </row>
    <row r="169" customFormat="false" ht="15" hidden="false" customHeight="false" outlineLevel="0" collapsed="false">
      <c r="A169" s="37" t="n">
        <v>358440219</v>
      </c>
      <c r="B169" s="38" t="n">
        <v>46216.32125</v>
      </c>
      <c r="C169" s="37" t="s">
        <v>340</v>
      </c>
      <c r="D169" s="37" t="s">
        <v>515</v>
      </c>
      <c r="E169" s="37" t="n">
        <v>24751140</v>
      </c>
      <c r="F169" s="37" t="s">
        <v>160</v>
      </c>
      <c r="G169" s="37" t="s">
        <v>197</v>
      </c>
      <c r="H169" s="37" t="s">
        <v>187</v>
      </c>
      <c r="I169" s="37" t="n">
        <v>59.9</v>
      </c>
      <c r="J169" s="39" t="n">
        <v>949.99</v>
      </c>
      <c r="K169" s="37" t="s">
        <v>342</v>
      </c>
      <c r="L169" s="39" t="n">
        <v>129.84</v>
      </c>
      <c r="M169" s="39" t="n">
        <v>70.98</v>
      </c>
      <c r="N169" s="39" t="n">
        <f aca="false">J169*Resumo!$C$6</f>
        <v>0</v>
      </c>
      <c r="O169" s="39" t="n">
        <f aca="false">J169*Resumo!$C$7</f>
        <v>1.994979</v>
      </c>
      <c r="P169" s="39" t="n">
        <f aca="false">J169*Resumo!$C$8</f>
        <v>1.994979</v>
      </c>
      <c r="Q169" s="39" t="n">
        <f aca="false">Resumo!$C$10*CEILING(I169/100,1)</f>
        <v>1.05</v>
      </c>
      <c r="R169" s="39" t="n">
        <f aca="false">Resumo!$C$9</f>
        <v>0</v>
      </c>
      <c r="S169" s="39" t="n">
        <f aca="false">Resumo!$C$13</f>
        <v>13.55</v>
      </c>
      <c r="T169" s="39" t="n">
        <f aca="false">Resumo!$C$14*CEILING(I169,1)</f>
        <v>27</v>
      </c>
      <c r="U169" s="39" t="n">
        <f aca="false">SUM(M169:T169)*Resumo!$C$11</f>
        <v>0</v>
      </c>
      <c r="V169" s="39" t="n">
        <f aca="false">SUM(M169:U169)</f>
        <v>116.569958</v>
      </c>
      <c r="W169" s="39" t="n">
        <f aca="false">V169/(1-Resumo!$C$5)</f>
        <v>132.465861363636</v>
      </c>
      <c r="X169" s="39" t="n">
        <v>128.14</v>
      </c>
      <c r="Y169" s="39" t="n">
        <f aca="false">J169*Resumo!$B$6</f>
        <v>0.94999</v>
      </c>
      <c r="Z169" s="39" t="n">
        <f aca="false">J169*Resumo!$B$7</f>
        <v>1.89998</v>
      </c>
      <c r="AA169" s="39" t="n">
        <f aca="false">Resumo!$B$9</f>
        <v>1</v>
      </c>
      <c r="AB169" s="39" t="n">
        <f aca="false">Resumo!$B$10*CEILING(I169/100,1)</f>
        <v>4.5</v>
      </c>
      <c r="AC169" s="39" t="n">
        <f aca="false">Resumo!$B$12*CEILING(I169,1)</f>
        <v>3.6</v>
      </c>
      <c r="AD169" s="39" t="n">
        <f aca="false">Resumo!$B$14*CEILING(I169,1)</f>
        <v>27</v>
      </c>
      <c r="AE169" s="39" t="n">
        <f aca="false">SUM(X169:AD169)</f>
        <v>167.08997</v>
      </c>
      <c r="AF169" s="39" t="n">
        <f aca="false">AE169/(1-Resumo!$B$5)</f>
        <v>189.874965909091</v>
      </c>
      <c r="AG169" s="39" t="n">
        <f aca="false">AF169-W169</f>
        <v>57.4091045454545</v>
      </c>
      <c r="AH169" s="40" t="n">
        <f aca="false">AF169/W169-1</f>
        <v>0.433387923155982</v>
      </c>
      <c r="AI169" s="37" t="str">
        <f aca="false">IF(AF169&lt;W169,"SIM","NÃO")</f>
        <v>NÃO</v>
      </c>
      <c r="AJ169" s="37" t="n">
        <v>2</v>
      </c>
      <c r="AK169" s="37" t="n">
        <v>7</v>
      </c>
      <c r="AL169" s="37" t="s">
        <v>343</v>
      </c>
      <c r="AM169" s="39" t="n">
        <v>129.84</v>
      </c>
    </row>
    <row r="170" customFormat="false" ht="15" hidden="false" customHeight="false" outlineLevel="0" collapsed="false">
      <c r="A170" s="37" t="n">
        <v>358446867</v>
      </c>
      <c r="B170" s="38" t="n">
        <v>46216.332962963</v>
      </c>
      <c r="C170" s="37" t="s">
        <v>340</v>
      </c>
      <c r="D170" s="37" t="s">
        <v>516</v>
      </c>
      <c r="E170" s="37" t="n">
        <v>21011460</v>
      </c>
      <c r="F170" s="37" t="s">
        <v>159</v>
      </c>
      <c r="G170" s="37" t="s">
        <v>196</v>
      </c>
      <c r="H170" s="37" t="s">
        <v>188</v>
      </c>
      <c r="I170" s="37" t="n">
        <v>61.5</v>
      </c>
      <c r="J170" s="39" t="n">
        <v>767.99</v>
      </c>
      <c r="K170" s="37" t="s">
        <v>342</v>
      </c>
      <c r="L170" s="39" t="n">
        <v>124.9</v>
      </c>
      <c r="M170" s="39" t="n">
        <v>63.21</v>
      </c>
      <c r="N170" s="39" t="n">
        <f aca="false">J170*Resumo!$C$6</f>
        <v>0</v>
      </c>
      <c r="O170" s="39" t="n">
        <f aca="false">J170*Resumo!$C$7</f>
        <v>1.612779</v>
      </c>
      <c r="P170" s="39" t="n">
        <f aca="false">J170*Resumo!$C$8</f>
        <v>1.612779</v>
      </c>
      <c r="Q170" s="39" t="n">
        <f aca="false">Resumo!$C$10*CEILING(I170/100,1)</f>
        <v>1.05</v>
      </c>
      <c r="R170" s="39" t="n">
        <f aca="false">Resumo!$C$9</f>
        <v>0</v>
      </c>
      <c r="S170" s="39" t="n">
        <f aca="false">Resumo!$C$13</f>
        <v>13.55</v>
      </c>
      <c r="T170" s="39" t="n">
        <f aca="false">Resumo!$C$14*CEILING(I170,1)</f>
        <v>27.9</v>
      </c>
      <c r="U170" s="39" t="n">
        <f aca="false">SUM(M170:T170)*Resumo!$C$11</f>
        <v>0</v>
      </c>
      <c r="V170" s="39" t="n">
        <f aca="false">SUM(M170:U170)</f>
        <v>108.935558</v>
      </c>
      <c r="W170" s="39" t="n">
        <f aca="false">V170/(1-Resumo!$C$5)</f>
        <v>123.790406818182</v>
      </c>
      <c r="X170" s="39" t="n">
        <v>131.02</v>
      </c>
      <c r="Y170" s="39" t="n">
        <f aca="false">J170*Resumo!$B$6</f>
        <v>0.76799</v>
      </c>
      <c r="Z170" s="39" t="n">
        <f aca="false">J170*Resumo!$B$7</f>
        <v>1.53598</v>
      </c>
      <c r="AA170" s="39" t="n">
        <f aca="false">Resumo!$B$9</f>
        <v>1</v>
      </c>
      <c r="AB170" s="39" t="n">
        <f aca="false">Resumo!$B$10*CEILING(I170/100,1)</f>
        <v>4.5</v>
      </c>
      <c r="AC170" s="39" t="n">
        <f aca="false">Resumo!$B$12*CEILING(I170,1)</f>
        <v>3.72</v>
      </c>
      <c r="AD170" s="39" t="n">
        <f aca="false">Resumo!$B$14*CEILING(I170,1)</f>
        <v>27.9</v>
      </c>
      <c r="AE170" s="39" t="n">
        <f aca="false">SUM(X170:AD170)</f>
        <v>170.44397</v>
      </c>
      <c r="AF170" s="39" t="n">
        <f aca="false">AE170/(1-Resumo!$B$5)</f>
        <v>193.686329545455</v>
      </c>
      <c r="AG170" s="39" t="n">
        <f aca="false">AF170-W170</f>
        <v>69.8959227272727</v>
      </c>
      <c r="AH170" s="40" t="n">
        <f aca="false">AF170/W170-1</f>
        <v>0.564631173964336</v>
      </c>
      <c r="AI170" s="37" t="str">
        <f aca="false">IF(AF170&lt;W170,"SIM","NÃO")</f>
        <v>NÃO</v>
      </c>
      <c r="AJ170" s="37" t="n">
        <v>2</v>
      </c>
      <c r="AK170" s="37" t="n">
        <v>5</v>
      </c>
      <c r="AL170" s="37" t="s">
        <v>343</v>
      </c>
      <c r="AM170" s="39" t="n">
        <v>124.89</v>
      </c>
    </row>
    <row r="171" customFormat="false" ht="15" hidden="false" customHeight="false" outlineLevel="0" collapsed="false">
      <c r="A171" s="37" t="n">
        <v>358490953</v>
      </c>
      <c r="B171" s="38" t="n">
        <v>46216.4030324074</v>
      </c>
      <c r="C171" s="37" t="s">
        <v>340</v>
      </c>
      <c r="D171" s="37" t="s">
        <v>517</v>
      </c>
      <c r="E171" s="37" t="n">
        <v>22770040</v>
      </c>
      <c r="F171" s="37" t="s">
        <v>159</v>
      </c>
      <c r="G171" s="37" t="s">
        <v>196</v>
      </c>
      <c r="H171" s="37" t="s">
        <v>187</v>
      </c>
      <c r="I171" s="37" t="n">
        <v>52.3</v>
      </c>
      <c r="J171" s="39" t="n">
        <v>644.99</v>
      </c>
      <c r="K171" s="37" t="s">
        <v>518</v>
      </c>
      <c r="L171" s="39" t="n">
        <v>146.01</v>
      </c>
      <c r="M171" s="39" t="n">
        <v>58.6</v>
      </c>
      <c r="N171" s="39" t="n">
        <f aca="false">J171*Resumo!$C$6</f>
        <v>0</v>
      </c>
      <c r="O171" s="39" t="n">
        <f aca="false">J171*Resumo!$C$7</f>
        <v>1.354479</v>
      </c>
      <c r="P171" s="39" t="n">
        <f aca="false">J171*Resumo!$C$8</f>
        <v>1.354479</v>
      </c>
      <c r="Q171" s="39" t="n">
        <f aca="false">Resumo!$C$10*CEILING(I171/100,1)</f>
        <v>1.05</v>
      </c>
      <c r="R171" s="39" t="n">
        <f aca="false">Resumo!$C$9</f>
        <v>0</v>
      </c>
      <c r="S171" s="39" t="n">
        <f aca="false">Resumo!$C$13</f>
        <v>13.55</v>
      </c>
      <c r="T171" s="39" t="n">
        <f aca="false">Resumo!$C$14*CEILING(I171,1)</f>
        <v>23.85</v>
      </c>
      <c r="U171" s="39" t="n">
        <f aca="false">SUM(M171:T171)*Resumo!$C$11</f>
        <v>0</v>
      </c>
      <c r="V171" s="39" t="n">
        <f aca="false">SUM(M171:U171)</f>
        <v>99.758958</v>
      </c>
      <c r="W171" s="39" t="n">
        <f aca="false">V171/(1-Resumo!$C$5)</f>
        <v>113.362452272727</v>
      </c>
      <c r="X171" s="39" t="n">
        <v>112.3</v>
      </c>
      <c r="Y171" s="39" t="n">
        <f aca="false">J171*Resumo!$B$6</f>
        <v>0.64499</v>
      </c>
      <c r="Z171" s="39" t="n">
        <f aca="false">J171*Resumo!$B$7</f>
        <v>1.28998</v>
      </c>
      <c r="AA171" s="39" t="n">
        <f aca="false">Resumo!$B$9</f>
        <v>1</v>
      </c>
      <c r="AB171" s="39" t="n">
        <f aca="false">Resumo!$B$10*CEILING(I171/100,1)</f>
        <v>4.5</v>
      </c>
      <c r="AC171" s="39" t="n">
        <f aca="false">Resumo!$B$12*CEILING(I171,1)</f>
        <v>3.18</v>
      </c>
      <c r="AD171" s="39" t="n">
        <f aca="false">Resumo!$B$14*CEILING(I171,1)</f>
        <v>23.85</v>
      </c>
      <c r="AE171" s="39" t="n">
        <f aca="false">SUM(X171:AD171)</f>
        <v>146.76497</v>
      </c>
      <c r="AF171" s="39" t="n">
        <f aca="false">AE171/(1-Resumo!$B$5)</f>
        <v>166.778375</v>
      </c>
      <c r="AG171" s="39" t="n">
        <f aca="false">AF171-W171</f>
        <v>53.4159227272727</v>
      </c>
      <c r="AH171" s="40" t="n">
        <f aca="false">AF171/W171-1</f>
        <v>0.47119590002133</v>
      </c>
      <c r="AI171" s="37" t="str">
        <f aca="false">IF(AF171&lt;W171,"SIM","NÃO")</f>
        <v>NÃO</v>
      </c>
      <c r="AJ171" s="37" t="n">
        <v>2</v>
      </c>
      <c r="AK171" s="37" t="n">
        <v>5</v>
      </c>
      <c r="AL171" s="37" t="s">
        <v>343</v>
      </c>
      <c r="AM171" s="39" t="n">
        <v>114.24</v>
      </c>
    </row>
    <row r="172" customFormat="false" ht="15" hidden="false" customHeight="false" outlineLevel="0" collapsed="false">
      <c r="A172" s="37" t="n">
        <v>358593106</v>
      </c>
      <c r="B172" s="38" t="n">
        <v>46216.532037037</v>
      </c>
      <c r="C172" s="37" t="s">
        <v>340</v>
      </c>
      <c r="D172" s="37" t="s">
        <v>519</v>
      </c>
      <c r="E172" s="37" t="n">
        <v>21825320</v>
      </c>
      <c r="F172" s="37" t="s">
        <v>159</v>
      </c>
      <c r="G172" s="37" t="s">
        <v>196</v>
      </c>
      <c r="H172" s="37" t="s">
        <v>186</v>
      </c>
      <c r="I172" s="37" t="n">
        <v>46.8</v>
      </c>
      <c r="J172" s="39" t="n">
        <v>506.99</v>
      </c>
      <c r="K172" s="37" t="s">
        <v>342</v>
      </c>
      <c r="L172" s="39" t="n">
        <v>103.01</v>
      </c>
      <c r="M172" s="39" t="n">
        <v>53.55</v>
      </c>
      <c r="N172" s="39" t="n">
        <f aca="false">J172*Resumo!$C$6</f>
        <v>0</v>
      </c>
      <c r="O172" s="39" t="n">
        <f aca="false">J172*Resumo!$C$7</f>
        <v>1.064679</v>
      </c>
      <c r="P172" s="39" t="n">
        <f aca="false">J172*Resumo!$C$8</f>
        <v>1.064679</v>
      </c>
      <c r="Q172" s="39" t="n">
        <f aca="false">Resumo!$C$10*CEILING(I172/100,1)</f>
        <v>1.05</v>
      </c>
      <c r="R172" s="39" t="n">
        <f aca="false">Resumo!$C$9</f>
        <v>0</v>
      </c>
      <c r="S172" s="39" t="n">
        <f aca="false">Resumo!$C$13</f>
        <v>13.55</v>
      </c>
      <c r="T172" s="39" t="n">
        <f aca="false">Resumo!$C$14*CEILING(I172,1)</f>
        <v>21.15</v>
      </c>
      <c r="U172" s="39" t="n">
        <f aca="false">SUM(M172:T172)*Resumo!$C$11</f>
        <v>0</v>
      </c>
      <c r="V172" s="39" t="n">
        <f aca="false">SUM(M172:U172)</f>
        <v>91.429358</v>
      </c>
      <c r="W172" s="39" t="n">
        <f aca="false">V172/(1-Resumo!$C$5)</f>
        <v>103.896997727273</v>
      </c>
      <c r="X172" s="39" t="n">
        <v>93.97</v>
      </c>
      <c r="Y172" s="39" t="n">
        <f aca="false">J172*Resumo!$B$6</f>
        <v>0.50699</v>
      </c>
      <c r="Z172" s="39" t="n">
        <f aca="false">J172*Resumo!$B$7</f>
        <v>1.01398</v>
      </c>
      <c r="AA172" s="39" t="n">
        <f aca="false">Resumo!$B$9</f>
        <v>1</v>
      </c>
      <c r="AB172" s="39" t="n">
        <f aca="false">Resumo!$B$10*CEILING(I172/100,1)</f>
        <v>4.5</v>
      </c>
      <c r="AC172" s="39" t="n">
        <f aca="false">Resumo!$B$12*CEILING(I172,1)</f>
        <v>2.82</v>
      </c>
      <c r="AD172" s="39" t="n">
        <f aca="false">Resumo!$B$14*CEILING(I172,1)</f>
        <v>21.15</v>
      </c>
      <c r="AE172" s="39" t="n">
        <f aca="false">SUM(X172:AD172)</f>
        <v>124.96097</v>
      </c>
      <c r="AF172" s="39" t="n">
        <f aca="false">AE172/(1-Resumo!$B$5)</f>
        <v>142.001102272727</v>
      </c>
      <c r="AG172" s="39" t="n">
        <f aca="false">AF172-W172</f>
        <v>38.1041045454546</v>
      </c>
      <c r="AH172" s="40" t="n">
        <f aca="false">AF172/W172-1</f>
        <v>0.366748851063791</v>
      </c>
      <c r="AI172" s="37" t="str">
        <f aca="false">IF(AF172&lt;W172,"SIM","NÃO")</f>
        <v>NÃO</v>
      </c>
      <c r="AJ172" s="37" t="n">
        <v>2</v>
      </c>
      <c r="AK172" s="37" t="n">
        <v>5</v>
      </c>
      <c r="AL172" s="37" t="s">
        <v>343</v>
      </c>
      <c r="AM172" s="39" t="n">
        <v>103.02</v>
      </c>
    </row>
    <row r="173" customFormat="false" ht="15" hidden="false" customHeight="false" outlineLevel="0" collapsed="false">
      <c r="A173" s="37" t="n">
        <v>358615034</v>
      </c>
      <c r="B173" s="38" t="n">
        <v>46216.5525925926</v>
      </c>
      <c r="C173" s="37" t="s">
        <v>340</v>
      </c>
      <c r="D173" s="37" t="s">
        <v>520</v>
      </c>
      <c r="E173" s="37" t="n">
        <v>22780760</v>
      </c>
      <c r="F173" s="37" t="s">
        <v>159</v>
      </c>
      <c r="G173" s="37" t="s">
        <v>196</v>
      </c>
      <c r="H173" s="37" t="s">
        <v>187</v>
      </c>
      <c r="I173" s="37" t="n">
        <v>52.3</v>
      </c>
      <c r="J173" s="39" t="n">
        <v>644.99</v>
      </c>
      <c r="K173" s="37" t="s">
        <v>518</v>
      </c>
      <c r="L173" s="39" t="n">
        <v>146.01</v>
      </c>
      <c r="M173" s="39" t="n">
        <v>58.6</v>
      </c>
      <c r="N173" s="39" t="n">
        <f aca="false">J173*Resumo!$C$6</f>
        <v>0</v>
      </c>
      <c r="O173" s="39" t="n">
        <f aca="false">J173*Resumo!$C$7</f>
        <v>1.354479</v>
      </c>
      <c r="P173" s="39" t="n">
        <f aca="false">J173*Resumo!$C$8</f>
        <v>1.354479</v>
      </c>
      <c r="Q173" s="39" t="n">
        <f aca="false">Resumo!$C$10*CEILING(I173/100,1)</f>
        <v>1.05</v>
      </c>
      <c r="R173" s="39" t="n">
        <f aca="false">Resumo!$C$9</f>
        <v>0</v>
      </c>
      <c r="S173" s="39" t="n">
        <f aca="false">Resumo!$C$13</f>
        <v>13.55</v>
      </c>
      <c r="T173" s="39" t="n">
        <f aca="false">Resumo!$C$14*CEILING(I173,1)</f>
        <v>23.85</v>
      </c>
      <c r="U173" s="39" t="n">
        <f aca="false">SUM(M173:T173)*Resumo!$C$11</f>
        <v>0</v>
      </c>
      <c r="V173" s="39" t="n">
        <f aca="false">SUM(M173:U173)</f>
        <v>99.758958</v>
      </c>
      <c r="W173" s="39" t="n">
        <f aca="false">V173/(1-Resumo!$C$5)</f>
        <v>113.362452272727</v>
      </c>
      <c r="X173" s="39" t="n">
        <v>112.3</v>
      </c>
      <c r="Y173" s="39" t="n">
        <f aca="false">J173*Resumo!$B$6</f>
        <v>0.64499</v>
      </c>
      <c r="Z173" s="39" t="n">
        <f aca="false">J173*Resumo!$B$7</f>
        <v>1.28998</v>
      </c>
      <c r="AA173" s="39" t="n">
        <f aca="false">Resumo!$B$9</f>
        <v>1</v>
      </c>
      <c r="AB173" s="39" t="n">
        <f aca="false">Resumo!$B$10*CEILING(I173/100,1)</f>
        <v>4.5</v>
      </c>
      <c r="AC173" s="39" t="n">
        <f aca="false">Resumo!$B$12*CEILING(I173,1)</f>
        <v>3.18</v>
      </c>
      <c r="AD173" s="39" t="n">
        <f aca="false">Resumo!$B$14*CEILING(I173,1)</f>
        <v>23.85</v>
      </c>
      <c r="AE173" s="39" t="n">
        <f aca="false">SUM(X173:AD173)</f>
        <v>146.76497</v>
      </c>
      <c r="AF173" s="39" t="n">
        <f aca="false">AE173/(1-Resumo!$B$5)</f>
        <v>166.778375</v>
      </c>
      <c r="AG173" s="39" t="n">
        <f aca="false">AF173-W173</f>
        <v>53.4159227272727</v>
      </c>
      <c r="AH173" s="40" t="n">
        <f aca="false">AF173/W173-1</f>
        <v>0.47119590002133</v>
      </c>
      <c r="AI173" s="37" t="str">
        <f aca="false">IF(AF173&lt;W173,"SIM","NÃO")</f>
        <v>NÃO</v>
      </c>
      <c r="AJ173" s="37" t="n">
        <v>2</v>
      </c>
      <c r="AK173" s="37" t="n">
        <v>5</v>
      </c>
      <c r="AL173" s="37" t="s">
        <v>343</v>
      </c>
      <c r="AM173" s="39" t="n">
        <v>114.24</v>
      </c>
    </row>
    <row r="174" customFormat="false" ht="15" hidden="false" customHeight="false" outlineLevel="0" collapsed="false">
      <c r="A174" s="37" t="n">
        <v>358615497</v>
      </c>
      <c r="B174" s="38" t="n">
        <v>46216.5530092593</v>
      </c>
      <c r="C174" s="37" t="s">
        <v>340</v>
      </c>
      <c r="D174" s="37" t="s">
        <v>521</v>
      </c>
      <c r="E174" s="37" t="n">
        <v>25525670</v>
      </c>
      <c r="F174" s="37" t="s">
        <v>167</v>
      </c>
      <c r="G174" s="37" t="s">
        <v>197</v>
      </c>
      <c r="H174" s="37" t="s">
        <v>185</v>
      </c>
      <c r="I174" s="37" t="n">
        <v>40</v>
      </c>
      <c r="J174" s="39" t="n">
        <v>599.99</v>
      </c>
      <c r="K174" s="37" t="s">
        <v>342</v>
      </c>
      <c r="L174" s="39" t="n">
        <v>113.83</v>
      </c>
      <c r="M174" s="39" t="n">
        <v>66.83</v>
      </c>
      <c r="N174" s="39" t="n">
        <f aca="false">J174*Resumo!$C$6</f>
        <v>0</v>
      </c>
      <c r="O174" s="39" t="n">
        <f aca="false">J174*Resumo!$C$7</f>
        <v>1.259979</v>
      </c>
      <c r="P174" s="39" t="n">
        <f aca="false">J174*Resumo!$C$8</f>
        <v>1.259979</v>
      </c>
      <c r="Q174" s="39" t="n">
        <f aca="false">Resumo!$C$10*CEILING(I174/100,1)</f>
        <v>1.05</v>
      </c>
      <c r="R174" s="39" t="n">
        <f aca="false">Resumo!$C$9</f>
        <v>0</v>
      </c>
      <c r="S174" s="39" t="n">
        <f aca="false">Resumo!$C$13</f>
        <v>13.55</v>
      </c>
      <c r="T174" s="39" t="n">
        <f aca="false">Resumo!$C$14*CEILING(I174,1)</f>
        <v>18</v>
      </c>
      <c r="U174" s="39" t="n">
        <f aca="false">SUM(M174:T174)*Resumo!$C$11</f>
        <v>0</v>
      </c>
      <c r="V174" s="39" t="n">
        <f aca="false">SUM(M174:U174)</f>
        <v>101.949958</v>
      </c>
      <c r="W174" s="39" t="n">
        <f aca="false">V174/(1-Resumo!$C$5)</f>
        <v>115.852225</v>
      </c>
      <c r="X174" s="39" t="n">
        <v>93.97</v>
      </c>
      <c r="Y174" s="39" t="n">
        <f aca="false">J174*Resumo!$B$6</f>
        <v>0.59999</v>
      </c>
      <c r="Z174" s="39" t="n">
        <f aca="false">J174*Resumo!$B$7</f>
        <v>1.19998</v>
      </c>
      <c r="AA174" s="39" t="n">
        <f aca="false">Resumo!$B$9</f>
        <v>1</v>
      </c>
      <c r="AB174" s="39" t="n">
        <f aca="false">Resumo!$B$10*CEILING(I174/100,1)</f>
        <v>4.5</v>
      </c>
      <c r="AC174" s="39" t="n">
        <f aca="false">Resumo!$B$12*CEILING(I174,1)</f>
        <v>2.4</v>
      </c>
      <c r="AD174" s="39" t="n">
        <f aca="false">Resumo!$B$14*CEILING(I174,1)</f>
        <v>18</v>
      </c>
      <c r="AE174" s="39" t="n">
        <f aca="false">SUM(X174:AD174)</f>
        <v>121.66997</v>
      </c>
      <c r="AF174" s="39" t="n">
        <f aca="false">AE174/(1-Resumo!$B$5)</f>
        <v>138.261329545455</v>
      </c>
      <c r="AG174" s="39" t="n">
        <f aca="false">AF174-W174</f>
        <v>22.4091045454546</v>
      </c>
      <c r="AH174" s="40" t="n">
        <f aca="false">AF174/W174-1</f>
        <v>0.193428348445225</v>
      </c>
      <c r="AI174" s="37" t="str">
        <f aca="false">IF(AF174&lt;W174,"SIM","NÃO")</f>
        <v>NÃO</v>
      </c>
      <c r="AJ174" s="37" t="n">
        <v>2</v>
      </c>
      <c r="AK174" s="37" t="n">
        <v>5</v>
      </c>
      <c r="AL174" s="37" t="s">
        <v>343</v>
      </c>
      <c r="AM174" s="39" t="n">
        <v>113.83</v>
      </c>
    </row>
    <row r="175" customFormat="false" ht="15" hidden="false" customHeight="false" outlineLevel="0" collapsed="false">
      <c r="A175" s="37" t="n">
        <v>358723031</v>
      </c>
      <c r="B175" s="38" t="n">
        <v>46216.684375</v>
      </c>
      <c r="C175" s="37" t="s">
        <v>340</v>
      </c>
      <c r="D175" s="37" t="s">
        <v>522</v>
      </c>
      <c r="E175" s="37" t="n">
        <v>27940290</v>
      </c>
      <c r="F175" s="37" t="s">
        <v>166</v>
      </c>
      <c r="G175" s="37" t="s">
        <v>198</v>
      </c>
      <c r="H175" s="37" t="s">
        <v>187</v>
      </c>
      <c r="I175" s="37" t="n">
        <v>60</v>
      </c>
      <c r="J175" s="39" t="n">
        <v>859.99</v>
      </c>
      <c r="K175" s="37" t="s">
        <v>342</v>
      </c>
      <c r="L175" s="39" t="n">
        <v>143.8</v>
      </c>
      <c r="M175" s="39" t="n">
        <v>83.58</v>
      </c>
      <c r="N175" s="39" t="n">
        <f aca="false">J175*Resumo!$C$6</f>
        <v>0</v>
      </c>
      <c r="O175" s="39" t="n">
        <f aca="false">J175*Resumo!$C$7</f>
        <v>1.805979</v>
      </c>
      <c r="P175" s="39" t="n">
        <f aca="false">J175*Resumo!$C$8</f>
        <v>1.805979</v>
      </c>
      <c r="Q175" s="39" t="n">
        <f aca="false">Resumo!$C$10*CEILING(I175/100,1)</f>
        <v>1.05</v>
      </c>
      <c r="R175" s="39" t="n">
        <f aca="false">Resumo!$C$9</f>
        <v>0</v>
      </c>
      <c r="S175" s="39" t="n">
        <f aca="false">Resumo!$C$13</f>
        <v>13.55</v>
      </c>
      <c r="T175" s="39" t="n">
        <f aca="false">Resumo!$C$14*CEILING(I175,1)</f>
        <v>27</v>
      </c>
      <c r="U175" s="39" t="n">
        <f aca="false">SUM(M175:T175)*Resumo!$C$11</f>
        <v>0</v>
      </c>
      <c r="V175" s="39" t="n">
        <f aca="false">SUM(M175:U175)</f>
        <v>128.791958</v>
      </c>
      <c r="W175" s="39" t="n">
        <f aca="false">V175/(1-Resumo!$C$5)</f>
        <v>146.354497727273</v>
      </c>
      <c r="X175" s="39" t="n">
        <v>162.04</v>
      </c>
      <c r="Y175" s="39" t="n">
        <f aca="false">J175*Resumo!$B$6</f>
        <v>0.85999</v>
      </c>
      <c r="Z175" s="39" t="n">
        <f aca="false">J175*Resumo!$B$7</f>
        <v>1.71998</v>
      </c>
      <c r="AA175" s="39" t="n">
        <f aca="false">Resumo!$B$9</f>
        <v>1</v>
      </c>
      <c r="AB175" s="39" t="n">
        <f aca="false">Resumo!$B$10*CEILING(I175/100,1)</f>
        <v>4.5</v>
      </c>
      <c r="AC175" s="39" t="n">
        <f aca="false">Resumo!$B$12*CEILING(I175,1)</f>
        <v>3.6</v>
      </c>
      <c r="AD175" s="39" t="n">
        <f aca="false">Resumo!$B$14*CEILING(I175,1)</f>
        <v>27</v>
      </c>
      <c r="AE175" s="39" t="n">
        <f aca="false">SUM(X175:AD175)</f>
        <v>200.71997</v>
      </c>
      <c r="AF175" s="39" t="n">
        <f aca="false">AE175/(1-Resumo!$B$5)</f>
        <v>228.090875</v>
      </c>
      <c r="AG175" s="39" t="n">
        <f aca="false">AF175-W175</f>
        <v>81.7363772727273</v>
      </c>
      <c r="AH175" s="40" t="n">
        <f aca="false">AF175/W175-1</f>
        <v>0.558482168583849</v>
      </c>
      <c r="AI175" s="37" t="str">
        <f aca="false">IF(AF175&lt;W175,"SIM","NÃO")</f>
        <v>NÃO</v>
      </c>
      <c r="AJ175" s="37" t="n">
        <v>13</v>
      </c>
      <c r="AK175" s="37" t="n">
        <v>11</v>
      </c>
      <c r="AL175" s="37" t="s">
        <v>343</v>
      </c>
      <c r="AM175" s="39" t="n">
        <v>143.79</v>
      </c>
    </row>
    <row r="176" customFormat="false" ht="15" hidden="false" customHeight="false" outlineLevel="0" collapsed="false">
      <c r="A176" s="37" t="n">
        <v>358892941</v>
      </c>
      <c r="B176" s="38" t="n">
        <v>46216.9080208333</v>
      </c>
      <c r="C176" s="37" t="s">
        <v>340</v>
      </c>
      <c r="D176" s="37" t="s">
        <v>429</v>
      </c>
      <c r="E176" s="37" t="n">
        <v>28880000</v>
      </c>
      <c r="F176" s="37" t="s">
        <v>290</v>
      </c>
      <c r="G176" s="37" t="s">
        <v>198</v>
      </c>
      <c r="H176" s="37" t="s">
        <v>185</v>
      </c>
      <c r="I176" s="37" t="n">
        <v>40</v>
      </c>
      <c r="J176" s="39" t="n">
        <v>599.99</v>
      </c>
      <c r="K176" s="37" t="s">
        <v>342</v>
      </c>
      <c r="L176" s="39" t="n">
        <v>123.13</v>
      </c>
      <c r="M176" s="39" t="n">
        <v>74.97</v>
      </c>
      <c r="N176" s="39" t="n">
        <f aca="false">J176*Resumo!$C$6</f>
        <v>0</v>
      </c>
      <c r="O176" s="39" t="n">
        <f aca="false">J176*Resumo!$C$7</f>
        <v>1.259979</v>
      </c>
      <c r="P176" s="39" t="n">
        <f aca="false">J176*Resumo!$C$8</f>
        <v>1.259979</v>
      </c>
      <c r="Q176" s="39" t="n">
        <f aca="false">Resumo!$C$10*CEILING(I176/100,1)</f>
        <v>1.05</v>
      </c>
      <c r="R176" s="39" t="n">
        <f aca="false">Resumo!$C$9</f>
        <v>0</v>
      </c>
      <c r="S176" s="39" t="n">
        <f aca="false">Resumo!$C$13</f>
        <v>13.55</v>
      </c>
      <c r="T176" s="39" t="n">
        <f aca="false">Resumo!$C$14*CEILING(I176,1)</f>
        <v>18</v>
      </c>
      <c r="U176" s="39" t="n">
        <f aca="false">SUM(M176:T176)*Resumo!$C$11</f>
        <v>0</v>
      </c>
      <c r="V176" s="39" t="n">
        <f aca="false">SUM(M176:U176)</f>
        <v>110.089958</v>
      </c>
      <c r="W176" s="39" t="n">
        <f aca="false">V176/(1-Resumo!$C$5)</f>
        <v>125.102225</v>
      </c>
      <c r="X176" s="39" t="n">
        <v>124.38</v>
      </c>
      <c r="Y176" s="39" t="n">
        <f aca="false">J176*Resumo!$B$6</f>
        <v>0.59999</v>
      </c>
      <c r="Z176" s="39" t="n">
        <f aca="false">J176*Resumo!$B$7</f>
        <v>1.19998</v>
      </c>
      <c r="AA176" s="39" t="n">
        <f aca="false">Resumo!$B$9</f>
        <v>1</v>
      </c>
      <c r="AB176" s="39" t="n">
        <f aca="false">Resumo!$B$10*CEILING(I176/100,1)</f>
        <v>4.5</v>
      </c>
      <c r="AC176" s="39" t="n">
        <f aca="false">Resumo!$B$12*CEILING(I176,1)</f>
        <v>2.4</v>
      </c>
      <c r="AD176" s="39" t="n">
        <f aca="false">Resumo!$B$14*CEILING(I176,1)</f>
        <v>18</v>
      </c>
      <c r="AE176" s="39" t="n">
        <f aca="false">SUM(X176:AD176)</f>
        <v>152.07997</v>
      </c>
      <c r="AF176" s="39" t="n">
        <f aca="false">AE176/(1-Resumo!$B$5)</f>
        <v>172.818147727273</v>
      </c>
      <c r="AG176" s="39" t="n">
        <f aca="false">AF176-W176</f>
        <v>47.7159227272727</v>
      </c>
      <c r="AH176" s="40" t="n">
        <f aca="false">AF176/W176-1</f>
        <v>0.381415460254786</v>
      </c>
      <c r="AI176" s="37" t="str">
        <f aca="false">IF(AF176&lt;W176,"SIM","NÃO")</f>
        <v>NÃO</v>
      </c>
      <c r="AJ176" s="37" t="n">
        <v>13</v>
      </c>
      <c r="AK176" s="37" t="n">
        <v>10</v>
      </c>
      <c r="AL176" s="37" t="s">
        <v>347</v>
      </c>
      <c r="AM176" s="39" t="n">
        <v>123.12</v>
      </c>
    </row>
    <row r="177" customFormat="false" ht="15" hidden="false" customHeight="false" outlineLevel="0" collapsed="false">
      <c r="A177" s="37" t="n">
        <v>358930749</v>
      </c>
      <c r="B177" s="38" t="n">
        <v>46216.9614351852</v>
      </c>
      <c r="C177" s="37" t="s">
        <v>340</v>
      </c>
      <c r="D177" s="37" t="s">
        <v>523</v>
      </c>
      <c r="E177" s="37" t="n">
        <v>25271550</v>
      </c>
      <c r="F177" s="37" t="s">
        <v>161</v>
      </c>
      <c r="G177" s="37" t="s">
        <v>197</v>
      </c>
      <c r="H177" s="37" t="s">
        <v>187</v>
      </c>
      <c r="I177" s="37" t="n">
        <v>52.3</v>
      </c>
      <c r="J177" s="39" t="n">
        <v>644.99</v>
      </c>
      <c r="K177" s="37" t="s">
        <v>518</v>
      </c>
      <c r="L177" s="39" t="n">
        <v>131.38</v>
      </c>
      <c r="M177" s="39" t="n">
        <v>70.98</v>
      </c>
      <c r="N177" s="39" t="n">
        <f aca="false">J177*Resumo!$C$6</f>
        <v>0</v>
      </c>
      <c r="O177" s="39" t="n">
        <f aca="false">J177*Resumo!$C$7</f>
        <v>1.354479</v>
      </c>
      <c r="P177" s="39" t="n">
        <f aca="false">J177*Resumo!$C$8</f>
        <v>1.354479</v>
      </c>
      <c r="Q177" s="39" t="n">
        <f aca="false">Resumo!$C$10*CEILING(I177/100,1)</f>
        <v>1.05</v>
      </c>
      <c r="R177" s="39" t="n">
        <f aca="false">Resumo!$C$9</f>
        <v>0</v>
      </c>
      <c r="S177" s="39" t="n">
        <f aca="false">Resumo!$C$13</f>
        <v>13.55</v>
      </c>
      <c r="T177" s="39" t="n">
        <f aca="false">Resumo!$C$14*CEILING(I177,1)</f>
        <v>23.85</v>
      </c>
      <c r="U177" s="39" t="n">
        <f aca="false">SUM(M177:T177)*Resumo!$C$11</f>
        <v>0</v>
      </c>
      <c r="V177" s="39" t="n">
        <f aca="false">SUM(M177:U177)</f>
        <v>112.138958</v>
      </c>
      <c r="W177" s="39" t="n">
        <f aca="false">V177/(1-Resumo!$C$5)</f>
        <v>127.430634090909</v>
      </c>
      <c r="X177" s="39" t="n">
        <v>112.3</v>
      </c>
      <c r="Y177" s="39" t="n">
        <f aca="false">J177*Resumo!$B$6</f>
        <v>0.64499</v>
      </c>
      <c r="Z177" s="39" t="n">
        <f aca="false">J177*Resumo!$B$7</f>
        <v>1.28998</v>
      </c>
      <c r="AA177" s="39" t="n">
        <f aca="false">Resumo!$B$9</f>
        <v>1</v>
      </c>
      <c r="AB177" s="39" t="n">
        <f aca="false">Resumo!$B$10*CEILING(I177/100,1)</f>
        <v>4.5</v>
      </c>
      <c r="AC177" s="39" t="n">
        <f aca="false">Resumo!$B$12*CEILING(I177,1)</f>
        <v>3.18</v>
      </c>
      <c r="AD177" s="39" t="n">
        <f aca="false">Resumo!$B$14*CEILING(I177,1)</f>
        <v>23.85</v>
      </c>
      <c r="AE177" s="39" t="n">
        <f aca="false">SUM(X177:AD177)</f>
        <v>146.76497</v>
      </c>
      <c r="AF177" s="39" t="n">
        <f aca="false">AE177/(1-Resumo!$B$5)</f>
        <v>166.778375</v>
      </c>
      <c r="AG177" s="39" t="n">
        <f aca="false">AF177-W177</f>
        <v>39.3477409090909</v>
      </c>
      <c r="AH177" s="40" t="n">
        <f aca="false">AF177/W177-1</f>
        <v>0.308777722011649</v>
      </c>
      <c r="AI177" s="37" t="str">
        <f aca="false">IF(AF177&lt;W177,"SIM","NÃO")</f>
        <v>NÃO</v>
      </c>
      <c r="AJ177" s="37" t="n">
        <v>2</v>
      </c>
      <c r="AK177" s="37" t="n">
        <v>5</v>
      </c>
      <c r="AL177" s="37" t="s">
        <v>343</v>
      </c>
      <c r="AM177" s="39" t="n">
        <v>128.37</v>
      </c>
    </row>
    <row r="178" customFormat="false" ht="15" hidden="false" customHeight="false" outlineLevel="0" collapsed="false">
      <c r="A178" s="37" t="n">
        <v>358942391</v>
      </c>
      <c r="B178" s="38" t="n">
        <v>46216.9768634259</v>
      </c>
      <c r="C178" s="37" t="s">
        <v>340</v>
      </c>
      <c r="D178" s="37" t="s">
        <v>524</v>
      </c>
      <c r="E178" s="37" t="n">
        <v>21330600</v>
      </c>
      <c r="F178" s="37" t="s">
        <v>159</v>
      </c>
      <c r="G178" s="37" t="s">
        <v>196</v>
      </c>
      <c r="H178" s="37" t="s">
        <v>186</v>
      </c>
      <c r="I178" s="37" t="n">
        <v>41</v>
      </c>
      <c r="J178" s="39" t="n">
        <v>515.99</v>
      </c>
      <c r="K178" s="37" t="s">
        <v>518</v>
      </c>
      <c r="L178" s="39" t="n">
        <v>130.03</v>
      </c>
      <c r="M178" s="39" t="n">
        <v>53.55</v>
      </c>
      <c r="N178" s="39" t="n">
        <f aca="false">J178*Resumo!$C$6</f>
        <v>0</v>
      </c>
      <c r="O178" s="39" t="n">
        <f aca="false">J178*Resumo!$C$7</f>
        <v>1.083579</v>
      </c>
      <c r="P178" s="39" t="n">
        <f aca="false">J178*Resumo!$C$8</f>
        <v>1.083579</v>
      </c>
      <c r="Q178" s="39" t="n">
        <f aca="false">Resumo!$C$10*CEILING(I178/100,1)</f>
        <v>1.05</v>
      </c>
      <c r="R178" s="39" t="n">
        <f aca="false">Resumo!$C$9</f>
        <v>0</v>
      </c>
      <c r="S178" s="39" t="n">
        <f aca="false">Resumo!$C$13</f>
        <v>13.55</v>
      </c>
      <c r="T178" s="39" t="n">
        <f aca="false">Resumo!$C$14*CEILING(I178,1)</f>
        <v>18.45</v>
      </c>
      <c r="U178" s="39" t="n">
        <f aca="false">SUM(M178:T178)*Resumo!$C$11</f>
        <v>0</v>
      </c>
      <c r="V178" s="39" t="n">
        <f aca="false">SUM(M178:U178)</f>
        <v>88.767158</v>
      </c>
      <c r="W178" s="39" t="n">
        <f aca="false">V178/(1-Resumo!$C$5)</f>
        <v>100.871770454545</v>
      </c>
      <c r="X178" s="39" t="n">
        <v>93.97</v>
      </c>
      <c r="Y178" s="39" t="n">
        <f aca="false">J178*Resumo!$B$6</f>
        <v>0.51599</v>
      </c>
      <c r="Z178" s="39" t="n">
        <f aca="false">J178*Resumo!$B$7</f>
        <v>1.03198</v>
      </c>
      <c r="AA178" s="39" t="n">
        <f aca="false">Resumo!$B$9</f>
        <v>1</v>
      </c>
      <c r="AB178" s="39" t="n">
        <f aca="false">Resumo!$B$10*CEILING(I178/100,1)</f>
        <v>4.5</v>
      </c>
      <c r="AC178" s="39" t="n">
        <f aca="false">Resumo!$B$12*CEILING(I178,1)</f>
        <v>2.46</v>
      </c>
      <c r="AD178" s="39" t="n">
        <f aca="false">Resumo!$B$14*CEILING(I178,1)</f>
        <v>18.45</v>
      </c>
      <c r="AE178" s="39" t="n">
        <f aca="false">SUM(X178:AD178)</f>
        <v>121.92797</v>
      </c>
      <c r="AF178" s="39" t="n">
        <f aca="false">AE178/(1-Resumo!$B$5)</f>
        <v>138.554511363636</v>
      </c>
      <c r="AG178" s="39" t="n">
        <f aca="false">AF178-W178</f>
        <v>37.6827409090909</v>
      </c>
      <c r="AH178" s="40" t="n">
        <f aca="false">AF178/W178-1</f>
        <v>0.373570729841322</v>
      </c>
      <c r="AI178" s="37" t="str">
        <f aca="false">IF(AF178&lt;W178,"SIM","NÃO")</f>
        <v>NÃO</v>
      </c>
      <c r="AJ178" s="37" t="n">
        <v>2</v>
      </c>
      <c r="AK178" s="37" t="n">
        <v>5</v>
      </c>
      <c r="AL178" s="37" t="s">
        <v>343</v>
      </c>
      <c r="AM178" s="39" t="n">
        <v>103.06</v>
      </c>
    </row>
    <row r="179" customFormat="false" ht="15" hidden="false" customHeight="false" outlineLevel="0" collapsed="false">
      <c r="A179" s="37" t="n">
        <v>359209729</v>
      </c>
      <c r="B179" s="38" t="n">
        <v>46217.3816319444</v>
      </c>
      <c r="C179" s="37" t="s">
        <v>340</v>
      </c>
      <c r="D179" s="37" t="s">
        <v>525</v>
      </c>
      <c r="E179" s="37" t="n">
        <v>23026260</v>
      </c>
      <c r="F179" s="37" t="s">
        <v>159</v>
      </c>
      <c r="G179" s="37" t="s">
        <v>196</v>
      </c>
      <c r="H179" s="37" t="s">
        <v>188</v>
      </c>
      <c r="I179" s="37" t="n">
        <v>61.5</v>
      </c>
      <c r="J179" s="39" t="n">
        <v>767.99</v>
      </c>
      <c r="K179" s="37" t="s">
        <v>342</v>
      </c>
      <c r="L179" s="39" t="n">
        <v>124.9</v>
      </c>
      <c r="M179" s="39" t="n">
        <v>63.21</v>
      </c>
      <c r="N179" s="39" t="n">
        <f aca="false">J179*Resumo!$C$6</f>
        <v>0</v>
      </c>
      <c r="O179" s="39" t="n">
        <f aca="false">J179*Resumo!$C$7</f>
        <v>1.612779</v>
      </c>
      <c r="P179" s="39" t="n">
        <f aca="false">J179*Resumo!$C$8</f>
        <v>1.612779</v>
      </c>
      <c r="Q179" s="39" t="n">
        <f aca="false">Resumo!$C$10*CEILING(I179/100,1)</f>
        <v>1.05</v>
      </c>
      <c r="R179" s="39" t="n">
        <f aca="false">Resumo!$C$9</f>
        <v>0</v>
      </c>
      <c r="S179" s="39" t="n">
        <f aca="false">Resumo!$C$13</f>
        <v>13.55</v>
      </c>
      <c r="T179" s="39" t="n">
        <f aca="false">Resumo!$C$14*CEILING(I179,1)</f>
        <v>27.9</v>
      </c>
      <c r="U179" s="39" t="n">
        <f aca="false">SUM(M179:T179)*Resumo!$C$11</f>
        <v>0</v>
      </c>
      <c r="V179" s="39" t="n">
        <f aca="false">SUM(M179:U179)</f>
        <v>108.935558</v>
      </c>
      <c r="W179" s="39" t="n">
        <f aca="false">V179/(1-Resumo!$C$5)</f>
        <v>123.790406818182</v>
      </c>
      <c r="X179" s="39" t="n">
        <v>131.02</v>
      </c>
      <c r="Y179" s="39" t="n">
        <f aca="false">J179*Resumo!$B$6</f>
        <v>0.76799</v>
      </c>
      <c r="Z179" s="39" t="n">
        <f aca="false">J179*Resumo!$B$7</f>
        <v>1.53598</v>
      </c>
      <c r="AA179" s="39" t="n">
        <f aca="false">Resumo!$B$9</f>
        <v>1</v>
      </c>
      <c r="AB179" s="39" t="n">
        <f aca="false">Resumo!$B$10*CEILING(I179/100,1)</f>
        <v>4.5</v>
      </c>
      <c r="AC179" s="39" t="n">
        <f aca="false">Resumo!$B$12*CEILING(I179,1)</f>
        <v>3.72</v>
      </c>
      <c r="AD179" s="39" t="n">
        <f aca="false">Resumo!$B$14*CEILING(I179,1)</f>
        <v>27.9</v>
      </c>
      <c r="AE179" s="39" t="n">
        <f aca="false">SUM(X179:AD179)</f>
        <v>170.44397</v>
      </c>
      <c r="AF179" s="39" t="n">
        <f aca="false">AE179/(1-Resumo!$B$5)</f>
        <v>193.686329545455</v>
      </c>
      <c r="AG179" s="39" t="n">
        <f aca="false">AF179-W179</f>
        <v>69.8959227272727</v>
      </c>
      <c r="AH179" s="40" t="n">
        <f aca="false">AF179/W179-1</f>
        <v>0.564631173964336</v>
      </c>
      <c r="AI179" s="37" t="str">
        <f aca="false">IF(AF179&lt;W179,"SIM","NÃO")</f>
        <v>NÃO</v>
      </c>
      <c r="AJ179" s="37" t="n">
        <v>2</v>
      </c>
      <c r="AK179" s="37" t="n">
        <v>5</v>
      </c>
      <c r="AL179" s="37" t="s">
        <v>343</v>
      </c>
      <c r="AM179" s="39" t="n">
        <v>124.89</v>
      </c>
    </row>
    <row r="180" customFormat="false" ht="15" hidden="false" customHeight="false" outlineLevel="0" collapsed="false">
      <c r="A180" s="37" t="n">
        <v>359228828</v>
      </c>
      <c r="B180" s="38" t="n">
        <v>46217.4078935185</v>
      </c>
      <c r="C180" s="37" t="s">
        <v>345</v>
      </c>
      <c r="D180" s="37" t="s">
        <v>526</v>
      </c>
      <c r="E180" s="37" t="n">
        <v>22783412</v>
      </c>
      <c r="F180" s="37" t="s">
        <v>159</v>
      </c>
      <c r="G180" s="37" t="s">
        <v>196</v>
      </c>
      <c r="H180" s="37" t="s">
        <v>192</v>
      </c>
      <c r="I180" s="37" t="n">
        <v>145.8</v>
      </c>
      <c r="J180" s="39" t="n">
        <v>1994.99</v>
      </c>
      <c r="K180" s="37" t="s">
        <v>342</v>
      </c>
      <c r="L180" s="39" t="n">
        <v>235.85</v>
      </c>
      <c r="M180" s="39" t="n">
        <v>120.59</v>
      </c>
      <c r="N180" s="39" t="n">
        <f aca="false">J180*Resumo!$C$6</f>
        <v>0</v>
      </c>
      <c r="O180" s="39" t="n">
        <f aca="false">J180*Resumo!$C$7</f>
        <v>4.189479</v>
      </c>
      <c r="P180" s="39" t="n">
        <f aca="false">J180*Resumo!$C$8</f>
        <v>4.189479</v>
      </c>
      <c r="Q180" s="39" t="n">
        <f aca="false">Resumo!$C$10*CEILING(I180/100,1)</f>
        <v>2.1</v>
      </c>
      <c r="R180" s="39" t="n">
        <f aca="false">Resumo!$C$9</f>
        <v>0</v>
      </c>
      <c r="S180" s="39" t="n">
        <f aca="false">Resumo!$C$13</f>
        <v>13.55</v>
      </c>
      <c r="T180" s="39" t="n">
        <f aca="false">Resumo!$C$14*CEILING(I180,1)</f>
        <v>65.7</v>
      </c>
      <c r="U180" s="39" t="n">
        <f aca="false">SUM(M180:T180)*Resumo!$C$11</f>
        <v>0</v>
      </c>
      <c r="V180" s="39" t="n">
        <f aca="false">SUM(M180:U180)</f>
        <v>210.318958</v>
      </c>
      <c r="W180" s="39" t="n">
        <f aca="false">V180/(1-Resumo!$C$5)</f>
        <v>238.998815909091</v>
      </c>
      <c r="X180" s="39" t="n">
        <v>239.25</v>
      </c>
      <c r="Y180" s="39" t="n">
        <f aca="false">J180*Resumo!$B$6</f>
        <v>1.99499</v>
      </c>
      <c r="Z180" s="39" t="n">
        <f aca="false">J180*Resumo!$B$7</f>
        <v>3.98998</v>
      </c>
      <c r="AA180" s="39" t="n">
        <f aca="false">Resumo!$B$9</f>
        <v>1</v>
      </c>
      <c r="AB180" s="39" t="n">
        <f aca="false">Resumo!$B$10*CEILING(I180/100,1)</f>
        <v>9</v>
      </c>
      <c r="AC180" s="39" t="n">
        <f aca="false">Resumo!$B$12*CEILING(I180,1)</f>
        <v>8.76</v>
      </c>
      <c r="AD180" s="39" t="n">
        <f aca="false">Resumo!$B$14*CEILING(I180,1)</f>
        <v>65.7</v>
      </c>
      <c r="AE180" s="39" t="n">
        <f aca="false">SUM(X180:AD180)</f>
        <v>329.69497</v>
      </c>
      <c r="AF180" s="39" t="n">
        <f aca="false">AE180/(1-Resumo!$B$5)</f>
        <v>374.653375</v>
      </c>
      <c r="AG180" s="39" t="n">
        <f aca="false">AF180-W180</f>
        <v>135.654559090909</v>
      </c>
      <c r="AH180" s="40" t="n">
        <f aca="false">AF180/W180-1</f>
        <v>0.567595109519324</v>
      </c>
      <c r="AI180" s="37" t="str">
        <f aca="false">IF(AF180&lt;W180,"SIM","NÃO")</f>
        <v>NÃO</v>
      </c>
      <c r="AJ180" s="37" t="n">
        <v>2</v>
      </c>
      <c r="AK180" s="37" t="n">
        <v>5</v>
      </c>
      <c r="AL180" s="37" t="s">
        <v>343</v>
      </c>
      <c r="AM180" s="39" t="n">
        <v>235.85</v>
      </c>
    </row>
    <row r="181" customFormat="false" ht="15" hidden="false" customHeight="false" outlineLevel="0" collapsed="false">
      <c r="A181" s="37" t="n">
        <v>359229541</v>
      </c>
      <c r="B181" s="38" t="n">
        <v>46217.4091550926</v>
      </c>
      <c r="C181" s="37" t="s">
        <v>379</v>
      </c>
      <c r="D181" s="37" t="s">
        <v>527</v>
      </c>
      <c r="E181" s="37" t="n">
        <v>20560001</v>
      </c>
      <c r="F181" s="37" t="s">
        <v>159</v>
      </c>
      <c r="G181" s="37" t="s">
        <v>196</v>
      </c>
      <c r="H181" s="37" t="s">
        <v>186</v>
      </c>
      <c r="I181" s="37" t="n">
        <v>41</v>
      </c>
      <c r="J181" s="39" t="n">
        <v>509.99</v>
      </c>
      <c r="K181" s="37" t="s">
        <v>518</v>
      </c>
      <c r="L181" s="39" t="n">
        <v>130</v>
      </c>
      <c r="M181" s="39" t="n">
        <v>53.55</v>
      </c>
      <c r="N181" s="39" t="n">
        <f aca="false">J181*Resumo!$C$6</f>
        <v>0</v>
      </c>
      <c r="O181" s="39" t="n">
        <f aca="false">J181*Resumo!$C$7</f>
        <v>1.070979</v>
      </c>
      <c r="P181" s="39" t="n">
        <f aca="false">J181*Resumo!$C$8</f>
        <v>1.070979</v>
      </c>
      <c r="Q181" s="39" t="n">
        <f aca="false">Resumo!$C$10*CEILING(I181/100,1)</f>
        <v>1.05</v>
      </c>
      <c r="R181" s="39" t="n">
        <f aca="false">Resumo!$C$9</f>
        <v>0</v>
      </c>
      <c r="S181" s="39" t="n">
        <f aca="false">Resumo!$C$13</f>
        <v>13.55</v>
      </c>
      <c r="T181" s="39" t="n">
        <f aca="false">Resumo!$C$14*CEILING(I181,1)</f>
        <v>18.45</v>
      </c>
      <c r="U181" s="39" t="n">
        <f aca="false">SUM(M181:T181)*Resumo!$C$11</f>
        <v>0</v>
      </c>
      <c r="V181" s="39" t="n">
        <f aca="false">SUM(M181:U181)</f>
        <v>88.741958</v>
      </c>
      <c r="W181" s="39" t="n">
        <f aca="false">V181/(1-Resumo!$C$5)</f>
        <v>100.843134090909</v>
      </c>
      <c r="X181" s="39" t="n">
        <v>93.97</v>
      </c>
      <c r="Y181" s="39" t="n">
        <f aca="false">J181*Resumo!$B$6</f>
        <v>0.50999</v>
      </c>
      <c r="Z181" s="39" t="n">
        <f aca="false">J181*Resumo!$B$7</f>
        <v>1.01998</v>
      </c>
      <c r="AA181" s="39" t="n">
        <f aca="false">Resumo!$B$9</f>
        <v>1</v>
      </c>
      <c r="AB181" s="39" t="n">
        <f aca="false">Resumo!$B$10*CEILING(I181/100,1)</f>
        <v>4.5</v>
      </c>
      <c r="AC181" s="39" t="n">
        <f aca="false">Resumo!$B$12*CEILING(I181,1)</f>
        <v>2.46</v>
      </c>
      <c r="AD181" s="39" t="n">
        <f aca="false">Resumo!$B$14*CEILING(I181,1)</f>
        <v>18.45</v>
      </c>
      <c r="AE181" s="39" t="n">
        <f aca="false">SUM(X181:AD181)</f>
        <v>121.90997</v>
      </c>
      <c r="AF181" s="39" t="n">
        <f aca="false">AE181/(1-Resumo!$B$5)</f>
        <v>138.534056818182</v>
      </c>
      <c r="AG181" s="39" t="n">
        <f aca="false">AF181-W181</f>
        <v>37.6909227272727</v>
      </c>
      <c r="AH181" s="40" t="n">
        <f aca="false">AF181/W181-1</f>
        <v>0.373757946607399</v>
      </c>
      <c r="AI181" s="37" t="str">
        <f aca="false">IF(AF181&lt;W181,"SIM","NÃO")</f>
        <v>NÃO</v>
      </c>
      <c r="AJ181" s="37" t="n">
        <v>2</v>
      </c>
      <c r="AK181" s="37" t="n">
        <v>5</v>
      </c>
      <c r="AL181" s="37" t="s">
        <v>343</v>
      </c>
      <c r="AM181" s="39" t="n">
        <v>103.03</v>
      </c>
    </row>
    <row r="182" customFormat="false" ht="15" hidden="false" customHeight="false" outlineLevel="0" collapsed="false">
      <c r="A182" s="37" t="n">
        <v>359291966</v>
      </c>
      <c r="B182" s="38" t="n">
        <v>46217.4829166667</v>
      </c>
      <c r="C182" s="37" t="s">
        <v>345</v>
      </c>
      <c r="D182" s="37" t="s">
        <v>528</v>
      </c>
      <c r="E182" s="37" t="n">
        <v>24130775</v>
      </c>
      <c r="F182" s="37" t="s">
        <v>163</v>
      </c>
      <c r="G182" s="37" t="s">
        <v>197</v>
      </c>
      <c r="H182" s="37" t="s">
        <v>187</v>
      </c>
      <c r="I182" s="37" t="n">
        <v>52.3</v>
      </c>
      <c r="J182" s="39" t="n">
        <v>650.86</v>
      </c>
      <c r="K182" s="37" t="s">
        <v>518</v>
      </c>
      <c r="L182" s="39" t="n">
        <v>131.4</v>
      </c>
      <c r="M182" s="39" t="n">
        <v>70.98</v>
      </c>
      <c r="N182" s="39" t="n">
        <f aca="false">J182*Resumo!$C$6</f>
        <v>0</v>
      </c>
      <c r="O182" s="39" t="n">
        <f aca="false">J182*Resumo!$C$7</f>
        <v>1.366806</v>
      </c>
      <c r="P182" s="39" t="n">
        <f aca="false">J182*Resumo!$C$8</f>
        <v>1.366806</v>
      </c>
      <c r="Q182" s="39" t="n">
        <f aca="false">Resumo!$C$10*CEILING(I182/100,1)</f>
        <v>1.05</v>
      </c>
      <c r="R182" s="39" t="n">
        <f aca="false">Resumo!$C$9</f>
        <v>0</v>
      </c>
      <c r="S182" s="39" t="n">
        <f aca="false">Resumo!$C$13</f>
        <v>13.55</v>
      </c>
      <c r="T182" s="39" t="n">
        <f aca="false">Resumo!$C$14*CEILING(I182,1)</f>
        <v>23.85</v>
      </c>
      <c r="U182" s="39" t="n">
        <f aca="false">SUM(M182:T182)*Resumo!$C$11</f>
        <v>0</v>
      </c>
      <c r="V182" s="39" t="n">
        <f aca="false">SUM(M182:U182)</f>
        <v>112.163612</v>
      </c>
      <c r="W182" s="39" t="n">
        <f aca="false">V182/(1-Resumo!$C$5)</f>
        <v>127.45865</v>
      </c>
      <c r="X182" s="39" t="n">
        <v>128.14</v>
      </c>
      <c r="Y182" s="39" t="n">
        <f aca="false">J182*Resumo!$B$6</f>
        <v>0.65086</v>
      </c>
      <c r="Z182" s="39" t="n">
        <f aca="false">J182*Resumo!$B$7</f>
        <v>1.30172</v>
      </c>
      <c r="AA182" s="39" t="n">
        <f aca="false">Resumo!$B$9</f>
        <v>1</v>
      </c>
      <c r="AB182" s="39" t="n">
        <f aca="false">Resumo!$B$10*CEILING(I182/100,1)</f>
        <v>4.5</v>
      </c>
      <c r="AC182" s="39" t="n">
        <f aca="false">Resumo!$B$12*CEILING(I182,1)</f>
        <v>3.18</v>
      </c>
      <c r="AD182" s="39" t="n">
        <f aca="false">Resumo!$B$14*CEILING(I182,1)</f>
        <v>23.85</v>
      </c>
      <c r="AE182" s="39" t="n">
        <f aca="false">SUM(X182:AD182)</f>
        <v>162.62258</v>
      </c>
      <c r="AF182" s="39" t="n">
        <f aca="false">AE182/(1-Resumo!$B$5)</f>
        <v>184.798386363636</v>
      </c>
      <c r="AG182" s="39" t="n">
        <f aca="false">AF182-W182</f>
        <v>57.3397363636363</v>
      </c>
      <c r="AH182" s="40" t="n">
        <f aca="false">AF182/W182-1</f>
        <v>0.449869321255453</v>
      </c>
      <c r="AI182" s="37" t="str">
        <f aca="false">IF(AF182&lt;W182,"SIM","NÃO")</f>
        <v>NÃO</v>
      </c>
      <c r="AJ182" s="37" t="n">
        <v>2</v>
      </c>
      <c r="AK182" s="37" t="n">
        <v>7</v>
      </c>
      <c r="AL182" s="37" t="s">
        <v>343</v>
      </c>
      <c r="AM182" s="39" t="n">
        <v>128.4</v>
      </c>
    </row>
    <row r="183" customFormat="false" ht="15" hidden="false" customHeight="false" outlineLevel="0" collapsed="false">
      <c r="A183" s="37" t="n">
        <v>359331563</v>
      </c>
      <c r="B183" s="38" t="n">
        <v>46217.5426041667</v>
      </c>
      <c r="C183" s="37" t="s">
        <v>340</v>
      </c>
      <c r="D183" s="37" t="s">
        <v>529</v>
      </c>
      <c r="E183" s="37" t="n">
        <v>21031700</v>
      </c>
      <c r="F183" s="37" t="s">
        <v>159</v>
      </c>
      <c r="G183" s="37" t="s">
        <v>196</v>
      </c>
      <c r="H183" s="37" t="s">
        <v>186</v>
      </c>
      <c r="I183" s="37" t="n">
        <v>41</v>
      </c>
      <c r="J183" s="39" t="n">
        <v>559.99</v>
      </c>
      <c r="K183" s="37" t="s">
        <v>518</v>
      </c>
      <c r="L183" s="39" t="n">
        <v>130.25</v>
      </c>
      <c r="M183" s="39" t="n">
        <v>53.55</v>
      </c>
      <c r="N183" s="39" t="n">
        <f aca="false">J183*Resumo!$C$6</f>
        <v>0</v>
      </c>
      <c r="O183" s="39" t="n">
        <f aca="false">J183*Resumo!$C$7</f>
        <v>1.175979</v>
      </c>
      <c r="P183" s="39" t="n">
        <f aca="false">J183*Resumo!$C$8</f>
        <v>1.175979</v>
      </c>
      <c r="Q183" s="39" t="n">
        <f aca="false">Resumo!$C$10*CEILING(I183/100,1)</f>
        <v>1.05</v>
      </c>
      <c r="R183" s="39" t="n">
        <f aca="false">Resumo!$C$9</f>
        <v>0</v>
      </c>
      <c r="S183" s="39" t="n">
        <f aca="false">Resumo!$C$13</f>
        <v>13.55</v>
      </c>
      <c r="T183" s="39" t="n">
        <f aca="false">Resumo!$C$14*CEILING(I183,1)</f>
        <v>18.45</v>
      </c>
      <c r="U183" s="39" t="n">
        <f aca="false">SUM(M183:T183)*Resumo!$C$11</f>
        <v>0</v>
      </c>
      <c r="V183" s="39" t="n">
        <f aca="false">SUM(M183:U183)</f>
        <v>88.951958</v>
      </c>
      <c r="W183" s="39" t="n">
        <f aca="false">V183/(1-Resumo!$C$5)</f>
        <v>101.081770454545</v>
      </c>
      <c r="X183" s="39" t="n">
        <v>93.97</v>
      </c>
      <c r="Y183" s="39" t="n">
        <f aca="false">J183*Resumo!$B$6</f>
        <v>0.55999</v>
      </c>
      <c r="Z183" s="39" t="n">
        <f aca="false">J183*Resumo!$B$7</f>
        <v>1.11998</v>
      </c>
      <c r="AA183" s="39" t="n">
        <f aca="false">Resumo!$B$9</f>
        <v>1</v>
      </c>
      <c r="AB183" s="39" t="n">
        <f aca="false">Resumo!$B$10*CEILING(I183/100,1)</f>
        <v>4.5</v>
      </c>
      <c r="AC183" s="39" t="n">
        <f aca="false">Resumo!$B$12*CEILING(I183,1)</f>
        <v>2.46</v>
      </c>
      <c r="AD183" s="39" t="n">
        <f aca="false">Resumo!$B$14*CEILING(I183,1)</f>
        <v>18.45</v>
      </c>
      <c r="AE183" s="39" t="n">
        <f aca="false">SUM(X183:AD183)</f>
        <v>122.05997</v>
      </c>
      <c r="AF183" s="39" t="n">
        <f aca="false">AE183/(1-Resumo!$B$5)</f>
        <v>138.704511363636</v>
      </c>
      <c r="AG183" s="39" t="n">
        <f aca="false">AF183-W183</f>
        <v>37.6227409090909</v>
      </c>
      <c r="AH183" s="40" t="n">
        <f aca="false">AF183/W183-1</f>
        <v>0.372201048120829</v>
      </c>
      <c r="AI183" s="37" t="str">
        <f aca="false">IF(AF183&lt;W183,"SIM","NÃO")</f>
        <v>NÃO</v>
      </c>
      <c r="AJ183" s="37" t="n">
        <v>2</v>
      </c>
      <c r="AK183" s="37" t="n">
        <v>5</v>
      </c>
      <c r="AL183" s="37" t="s">
        <v>343</v>
      </c>
      <c r="AM183" s="39" t="n">
        <v>103.27</v>
      </c>
    </row>
    <row r="184" customFormat="false" ht="15" hidden="false" customHeight="false" outlineLevel="0" collapsed="false">
      <c r="A184" s="37" t="n">
        <v>359334964</v>
      </c>
      <c r="B184" s="38" t="n">
        <v>46217.5465509259</v>
      </c>
      <c r="C184" s="37" t="s">
        <v>345</v>
      </c>
      <c r="D184" s="37" t="s">
        <v>530</v>
      </c>
      <c r="E184" s="37" t="n">
        <v>20931005</v>
      </c>
      <c r="F184" s="37" t="s">
        <v>159</v>
      </c>
      <c r="G184" s="37" t="s">
        <v>196</v>
      </c>
      <c r="H184" s="37" t="s">
        <v>190</v>
      </c>
      <c r="I184" s="37" t="n">
        <v>81.7</v>
      </c>
      <c r="J184" s="39" t="n">
        <v>622.72</v>
      </c>
      <c r="K184" s="37" t="s">
        <v>342</v>
      </c>
      <c r="L184" s="39" t="n">
        <v>162.09</v>
      </c>
      <c r="M184" s="39" t="n">
        <v>83.79</v>
      </c>
      <c r="N184" s="39" t="n">
        <f aca="false">J184*Resumo!$C$6</f>
        <v>0</v>
      </c>
      <c r="O184" s="39" t="n">
        <f aca="false">J184*Resumo!$C$7</f>
        <v>1.307712</v>
      </c>
      <c r="P184" s="39" t="n">
        <f aca="false">J184*Resumo!$C$8</f>
        <v>1.307712</v>
      </c>
      <c r="Q184" s="39" t="n">
        <f aca="false">Resumo!$C$10*CEILING(I184/100,1)</f>
        <v>1.05</v>
      </c>
      <c r="R184" s="39" t="n">
        <f aca="false">Resumo!$C$9</f>
        <v>0</v>
      </c>
      <c r="S184" s="39" t="n">
        <f aca="false">Resumo!$C$13</f>
        <v>13.55</v>
      </c>
      <c r="T184" s="39" t="n">
        <f aca="false">Resumo!$C$14*CEILING(I184,1)</f>
        <v>36.9</v>
      </c>
      <c r="U184" s="39" t="n">
        <f aca="false">SUM(M184:T184)*Resumo!$C$11</f>
        <v>0</v>
      </c>
      <c r="V184" s="39" t="n">
        <f aca="false">SUM(M184:U184)</f>
        <v>137.905424</v>
      </c>
      <c r="W184" s="39" t="n">
        <f aca="false">V184/(1-Resumo!$C$5)</f>
        <v>156.710709090909</v>
      </c>
      <c r="X184" s="39" t="n">
        <v>167.99</v>
      </c>
      <c r="Y184" s="39" t="n">
        <f aca="false">J184*Resumo!$B$6</f>
        <v>0.62272</v>
      </c>
      <c r="Z184" s="39" t="n">
        <f aca="false">J184*Resumo!$B$7</f>
        <v>1.24544</v>
      </c>
      <c r="AA184" s="39" t="n">
        <f aca="false">Resumo!$B$9</f>
        <v>1</v>
      </c>
      <c r="AB184" s="39" t="n">
        <f aca="false">Resumo!$B$10*CEILING(I184/100,1)</f>
        <v>4.5</v>
      </c>
      <c r="AC184" s="39" t="n">
        <f aca="false">Resumo!$B$12*CEILING(I184,1)</f>
        <v>4.92</v>
      </c>
      <c r="AD184" s="39" t="n">
        <f aca="false">Resumo!$B$14*CEILING(I184,1)</f>
        <v>36.9</v>
      </c>
      <c r="AE184" s="39" t="n">
        <f aca="false">SUM(X184:AD184)</f>
        <v>217.17816</v>
      </c>
      <c r="AF184" s="39" t="n">
        <f aca="false">AE184/(1-Resumo!$B$5)</f>
        <v>246.793363636364</v>
      </c>
      <c r="AG184" s="39" t="n">
        <f aca="false">AF184-W184</f>
        <v>90.0826545454546</v>
      </c>
      <c r="AH184" s="40" t="n">
        <f aca="false">AF184/W184-1</f>
        <v>0.574834068890576</v>
      </c>
      <c r="AI184" s="37" t="str">
        <f aca="false">IF(AF184&lt;W184,"SIM","NÃO")</f>
        <v>NÃO</v>
      </c>
      <c r="AJ184" s="37" t="n">
        <v>2</v>
      </c>
      <c r="AK184" s="37" t="n">
        <v>5</v>
      </c>
      <c r="AL184" s="37" t="s">
        <v>343</v>
      </c>
      <c r="AM184" s="39" t="n">
        <v>162.08</v>
      </c>
    </row>
    <row r="185" customFormat="false" ht="15" hidden="false" customHeight="false" outlineLevel="0" collapsed="false">
      <c r="A185" s="37" t="n">
        <v>359379054</v>
      </c>
      <c r="B185" s="38" t="n">
        <v>46217.6071296296</v>
      </c>
      <c r="C185" s="37" t="s">
        <v>340</v>
      </c>
      <c r="D185" s="37" t="s">
        <v>531</v>
      </c>
      <c r="E185" s="37" t="n">
        <v>21852580</v>
      </c>
      <c r="F185" s="37" t="s">
        <v>159</v>
      </c>
      <c r="G185" s="37" t="s">
        <v>196</v>
      </c>
      <c r="H185" s="37" t="s">
        <v>184</v>
      </c>
      <c r="I185" s="37" t="n">
        <v>33.21</v>
      </c>
      <c r="J185" s="39" t="n">
        <v>439.99</v>
      </c>
      <c r="K185" s="37" t="s">
        <v>342</v>
      </c>
      <c r="L185" s="39" t="n">
        <v>82.43</v>
      </c>
      <c r="M185" s="39" t="n">
        <v>42.11</v>
      </c>
      <c r="N185" s="39" t="n">
        <f aca="false">J185*Resumo!$C$6</f>
        <v>0</v>
      </c>
      <c r="O185" s="39" t="n">
        <f aca="false">J185*Resumo!$C$7</f>
        <v>0.923979</v>
      </c>
      <c r="P185" s="39" t="n">
        <f aca="false">J185*Resumo!$C$8</f>
        <v>0.923979</v>
      </c>
      <c r="Q185" s="39" t="n">
        <f aca="false">Resumo!$C$10*CEILING(I185/100,1)</f>
        <v>1.05</v>
      </c>
      <c r="R185" s="39" t="n">
        <f aca="false">Resumo!$C$9</f>
        <v>0</v>
      </c>
      <c r="S185" s="39" t="n">
        <f aca="false">Resumo!$C$13</f>
        <v>13.55</v>
      </c>
      <c r="T185" s="39" t="n">
        <f aca="false">Resumo!$C$14*CEILING(I185,1)</f>
        <v>15.3</v>
      </c>
      <c r="U185" s="39" t="n">
        <f aca="false">SUM(M185:T185)*Resumo!$C$11</f>
        <v>0</v>
      </c>
      <c r="V185" s="39" t="n">
        <f aca="false">SUM(M185:U185)</f>
        <v>73.857958</v>
      </c>
      <c r="W185" s="39" t="n">
        <f aca="false">V185/(1-Resumo!$C$5)</f>
        <v>83.9294977272727</v>
      </c>
      <c r="X185" s="39" t="n">
        <v>82.21</v>
      </c>
      <c r="Y185" s="39" t="n">
        <f aca="false">J185*Resumo!$B$6</f>
        <v>0.43999</v>
      </c>
      <c r="Z185" s="39" t="n">
        <f aca="false">J185*Resumo!$B$7</f>
        <v>0.87998</v>
      </c>
      <c r="AA185" s="39" t="n">
        <f aca="false">Resumo!$B$9</f>
        <v>1</v>
      </c>
      <c r="AB185" s="39" t="n">
        <f aca="false">Resumo!$B$10*CEILING(I185/100,1)</f>
        <v>4.5</v>
      </c>
      <c r="AC185" s="39" t="n">
        <f aca="false">Resumo!$B$12*CEILING(I185,1)</f>
        <v>2.04</v>
      </c>
      <c r="AD185" s="39" t="n">
        <f aca="false">Resumo!$B$14*CEILING(I185,1)</f>
        <v>15.3</v>
      </c>
      <c r="AE185" s="39" t="n">
        <f aca="false">SUM(X185:AD185)</f>
        <v>106.36997</v>
      </c>
      <c r="AF185" s="39" t="n">
        <f aca="false">AE185/(1-Resumo!$B$5)</f>
        <v>120.874965909091</v>
      </c>
      <c r="AG185" s="39" t="n">
        <f aca="false">AF185-W185</f>
        <v>36.9454681818182</v>
      </c>
      <c r="AH185" s="40" t="n">
        <f aca="false">AF185/W185-1</f>
        <v>0.440196464678864</v>
      </c>
      <c r="AI185" s="37" t="str">
        <f aca="false">IF(AF185&lt;W185,"SIM","NÃO")</f>
        <v>NÃO</v>
      </c>
      <c r="AJ185" s="37" t="n">
        <v>2</v>
      </c>
      <c r="AK185" s="37" t="n">
        <v>5</v>
      </c>
      <c r="AL185" s="37" t="s">
        <v>343</v>
      </c>
      <c r="AM185" s="39" t="n">
        <v>82.43</v>
      </c>
    </row>
    <row r="186" customFormat="false" ht="15" hidden="false" customHeight="false" outlineLevel="0" collapsed="false">
      <c r="A186" s="37" t="n">
        <v>359446325</v>
      </c>
      <c r="B186" s="38" t="n">
        <v>46217.6830671296</v>
      </c>
      <c r="C186" s="37" t="s">
        <v>340</v>
      </c>
      <c r="D186" s="37" t="s">
        <v>532</v>
      </c>
      <c r="E186" s="37" t="n">
        <v>21235480</v>
      </c>
      <c r="F186" s="37" t="s">
        <v>159</v>
      </c>
      <c r="G186" s="37" t="s">
        <v>196</v>
      </c>
      <c r="H186" s="37" t="s">
        <v>184</v>
      </c>
      <c r="I186" s="37" t="n">
        <v>21.8</v>
      </c>
      <c r="J186" s="39" t="n">
        <v>319.99</v>
      </c>
      <c r="K186" s="37" t="s">
        <v>342</v>
      </c>
      <c r="L186" s="39" t="n">
        <v>81.86</v>
      </c>
      <c r="M186" s="39" t="n">
        <v>42.11</v>
      </c>
      <c r="N186" s="39" t="n">
        <f aca="false">J186*Resumo!$C$6</f>
        <v>0</v>
      </c>
      <c r="O186" s="39" t="n">
        <f aca="false">J186*Resumo!$C$7</f>
        <v>0.671979</v>
      </c>
      <c r="P186" s="39" t="n">
        <f aca="false">J186*Resumo!$C$8</f>
        <v>0.671979</v>
      </c>
      <c r="Q186" s="39" t="n">
        <f aca="false">Resumo!$C$10*CEILING(I186/100,1)</f>
        <v>1.05</v>
      </c>
      <c r="R186" s="39" t="n">
        <f aca="false">Resumo!$C$9</f>
        <v>0</v>
      </c>
      <c r="S186" s="39" t="n">
        <f aca="false">Resumo!$C$13</f>
        <v>13.55</v>
      </c>
      <c r="T186" s="39" t="n">
        <f aca="false">Resumo!$C$14*CEILING(I186,1)</f>
        <v>9.9</v>
      </c>
      <c r="U186" s="39" t="n">
        <f aca="false">SUM(M186:T186)*Resumo!$C$11</f>
        <v>0</v>
      </c>
      <c r="V186" s="39" t="n">
        <f aca="false">SUM(M186:U186)</f>
        <v>67.953958</v>
      </c>
      <c r="W186" s="39" t="n">
        <f aca="false">V186/(1-Resumo!$C$5)</f>
        <v>77.2204068181818</v>
      </c>
      <c r="X186" s="39" t="n">
        <v>82.21</v>
      </c>
      <c r="Y186" s="39" t="n">
        <f aca="false">J186*Resumo!$B$6</f>
        <v>0.31999</v>
      </c>
      <c r="Z186" s="39" t="n">
        <f aca="false">J186*Resumo!$B$7</f>
        <v>0.63998</v>
      </c>
      <c r="AA186" s="39" t="n">
        <f aca="false">Resumo!$B$9</f>
        <v>1</v>
      </c>
      <c r="AB186" s="39" t="n">
        <f aca="false">Resumo!$B$10*CEILING(I186/100,1)</f>
        <v>4.5</v>
      </c>
      <c r="AC186" s="39" t="n">
        <f aca="false">Resumo!$B$12*CEILING(I186,1)</f>
        <v>1.32</v>
      </c>
      <c r="AD186" s="39" t="n">
        <f aca="false">Resumo!$B$14*CEILING(I186,1)</f>
        <v>9.9</v>
      </c>
      <c r="AE186" s="39" t="n">
        <f aca="false">SUM(X186:AD186)</f>
        <v>99.88997</v>
      </c>
      <c r="AF186" s="39" t="n">
        <f aca="false">AE186/(1-Resumo!$B$5)</f>
        <v>113.511329545455</v>
      </c>
      <c r="AG186" s="39" t="n">
        <f aca="false">AF186-W186</f>
        <v>36.2909227272727</v>
      </c>
      <c r="AH186" s="40" t="n">
        <f aca="false">AF186/W186-1</f>
        <v>0.469965443366816</v>
      </c>
      <c r="AI186" s="37" t="str">
        <f aca="false">IF(AF186&lt;W186,"SIM","NÃO")</f>
        <v>NÃO</v>
      </c>
      <c r="AJ186" s="37" t="n">
        <v>2</v>
      </c>
      <c r="AK186" s="37" t="n">
        <v>5</v>
      </c>
      <c r="AL186" s="37" t="s">
        <v>343</v>
      </c>
      <c r="AM186" s="39" t="n">
        <v>81.86</v>
      </c>
    </row>
    <row r="187" customFormat="false" ht="15" hidden="false" customHeight="false" outlineLevel="0" collapsed="false">
      <c r="A187" s="37" t="n">
        <v>359525706</v>
      </c>
      <c r="B187" s="38" t="n">
        <v>46217.7896064815</v>
      </c>
      <c r="C187" s="37" t="s">
        <v>345</v>
      </c>
      <c r="D187" s="37" t="s">
        <v>533</v>
      </c>
      <c r="E187" s="37" t="n">
        <v>27211670</v>
      </c>
      <c r="F187" s="37" t="s">
        <v>168</v>
      </c>
      <c r="G187" s="37" t="s">
        <v>198</v>
      </c>
      <c r="H187" s="37" t="s">
        <v>190</v>
      </c>
      <c r="I187" s="37" t="n">
        <v>97.2</v>
      </c>
      <c r="J187" s="39" t="n">
        <v>1399.98</v>
      </c>
      <c r="K187" s="37" t="s">
        <v>342</v>
      </c>
      <c r="L187" s="39" t="n">
        <v>195.31</v>
      </c>
      <c r="M187" s="39" t="n">
        <v>109.63</v>
      </c>
      <c r="N187" s="39" t="n">
        <f aca="false">J187*Resumo!$C$6</f>
        <v>0</v>
      </c>
      <c r="O187" s="39" t="n">
        <f aca="false">J187*Resumo!$C$7</f>
        <v>2.939958</v>
      </c>
      <c r="P187" s="39" t="n">
        <f aca="false">J187*Resumo!$C$8</f>
        <v>2.939958</v>
      </c>
      <c r="Q187" s="39" t="n">
        <f aca="false">Resumo!$C$10*CEILING(I187/100,1)</f>
        <v>1.05</v>
      </c>
      <c r="R187" s="39" t="n">
        <f aca="false">Resumo!$C$9</f>
        <v>0</v>
      </c>
      <c r="S187" s="39" t="n">
        <f aca="false">Resumo!$C$13</f>
        <v>13.55</v>
      </c>
      <c r="T187" s="39" t="n">
        <f aca="false">Resumo!$C$14*CEILING(I187,1)</f>
        <v>44.1</v>
      </c>
      <c r="U187" s="39" t="n">
        <f aca="false">SUM(M187:T187)*Resumo!$C$11</f>
        <v>0</v>
      </c>
      <c r="V187" s="39" t="n">
        <f aca="false">SUM(M187:U187)</f>
        <v>174.209916</v>
      </c>
      <c r="W187" s="39" t="n">
        <f aca="false">V187/(1-Resumo!$C$5)</f>
        <v>197.965813636364</v>
      </c>
      <c r="X187" s="39" t="n">
        <v>197.35</v>
      </c>
      <c r="Y187" s="39" t="n">
        <f aca="false">J187*Resumo!$B$6</f>
        <v>1.39998</v>
      </c>
      <c r="Z187" s="39" t="n">
        <f aca="false">J187*Resumo!$B$7</f>
        <v>2.79996</v>
      </c>
      <c r="AA187" s="39" t="n">
        <f aca="false">Resumo!$B$9</f>
        <v>1</v>
      </c>
      <c r="AB187" s="39" t="n">
        <f aca="false">Resumo!$B$10*CEILING(I187/100,1)</f>
        <v>4.5</v>
      </c>
      <c r="AC187" s="39" t="n">
        <f aca="false">Resumo!$B$12*CEILING(I187,1)</f>
        <v>5.88</v>
      </c>
      <c r="AD187" s="39" t="n">
        <f aca="false">Resumo!$B$14*CEILING(I187,1)</f>
        <v>44.1</v>
      </c>
      <c r="AE187" s="39" t="n">
        <f aca="false">SUM(X187:AD187)</f>
        <v>257.02994</v>
      </c>
      <c r="AF187" s="39" t="n">
        <f aca="false">AE187/(1-Resumo!$B$5)</f>
        <v>292.079477272727</v>
      </c>
      <c r="AG187" s="39" t="n">
        <f aca="false">AF187-W187</f>
        <v>94.1136636363636</v>
      </c>
      <c r="AH187" s="40" t="n">
        <f aca="false">AF187/W187-1</f>
        <v>0.475403615945719</v>
      </c>
      <c r="AI187" s="37" t="str">
        <f aca="false">IF(AF187&lt;W187,"SIM","NÃO")</f>
        <v>NÃO</v>
      </c>
      <c r="AJ187" s="37" t="n">
        <v>13</v>
      </c>
      <c r="AK187" s="37" t="n">
        <v>10</v>
      </c>
      <c r="AL187" s="37" t="s">
        <v>343</v>
      </c>
      <c r="AM187" s="39" t="n">
        <v>195.31</v>
      </c>
    </row>
    <row r="188" customFormat="false" ht="15" hidden="false" customHeight="false" outlineLevel="0" collapsed="false">
      <c r="A188" s="37" t="n">
        <v>359538429</v>
      </c>
      <c r="B188" s="38" t="n">
        <v>46217.8027430556</v>
      </c>
      <c r="C188" s="37" t="s">
        <v>340</v>
      </c>
      <c r="D188" s="37" t="s">
        <v>534</v>
      </c>
      <c r="E188" s="37" t="n">
        <v>26041270</v>
      </c>
      <c r="F188" s="37" t="s">
        <v>162</v>
      </c>
      <c r="G188" s="37" t="s">
        <v>197</v>
      </c>
      <c r="H188" s="37" t="s">
        <v>186</v>
      </c>
      <c r="I188" s="37" t="n">
        <v>46.8</v>
      </c>
      <c r="J188" s="39" t="n">
        <v>599.99</v>
      </c>
      <c r="K188" s="37" t="s">
        <v>342</v>
      </c>
      <c r="L188" s="39" t="n">
        <v>116.95</v>
      </c>
      <c r="M188" s="39" t="n">
        <v>65.36</v>
      </c>
      <c r="N188" s="39" t="n">
        <f aca="false">J188*Resumo!$C$6</f>
        <v>0</v>
      </c>
      <c r="O188" s="39" t="n">
        <f aca="false">J188*Resumo!$C$7</f>
        <v>1.259979</v>
      </c>
      <c r="P188" s="39" t="n">
        <f aca="false">J188*Resumo!$C$8</f>
        <v>1.259979</v>
      </c>
      <c r="Q188" s="39" t="n">
        <f aca="false">Resumo!$C$10*CEILING(I188/100,1)</f>
        <v>1.05</v>
      </c>
      <c r="R188" s="39" t="n">
        <f aca="false">Resumo!$C$9</f>
        <v>0</v>
      </c>
      <c r="S188" s="39" t="n">
        <f aca="false">Resumo!$C$13</f>
        <v>13.55</v>
      </c>
      <c r="T188" s="39" t="n">
        <f aca="false">Resumo!$C$14*CEILING(I188,1)</f>
        <v>21.15</v>
      </c>
      <c r="U188" s="39" t="n">
        <f aca="false">SUM(M188:T188)*Resumo!$C$11</f>
        <v>0</v>
      </c>
      <c r="V188" s="39" t="n">
        <f aca="false">SUM(M188:U188)</f>
        <v>103.629958</v>
      </c>
      <c r="W188" s="39" t="n">
        <f aca="false">V188/(1-Resumo!$C$5)</f>
        <v>117.761315909091</v>
      </c>
      <c r="X188" s="39" t="n">
        <v>93.97</v>
      </c>
      <c r="Y188" s="39" t="n">
        <f aca="false">J188*Resumo!$B$6</f>
        <v>0.59999</v>
      </c>
      <c r="Z188" s="39" t="n">
        <f aca="false">J188*Resumo!$B$7</f>
        <v>1.19998</v>
      </c>
      <c r="AA188" s="39" t="n">
        <f aca="false">Resumo!$B$9</f>
        <v>1</v>
      </c>
      <c r="AB188" s="39" t="n">
        <f aca="false">Resumo!$B$10*CEILING(I188/100,1)</f>
        <v>4.5</v>
      </c>
      <c r="AC188" s="39" t="n">
        <f aca="false">Resumo!$B$12*CEILING(I188,1)</f>
        <v>2.82</v>
      </c>
      <c r="AD188" s="39" t="n">
        <f aca="false">Resumo!$B$14*CEILING(I188,1)</f>
        <v>21.15</v>
      </c>
      <c r="AE188" s="39" t="n">
        <f aca="false">SUM(X188:AD188)</f>
        <v>125.23997</v>
      </c>
      <c r="AF188" s="39" t="n">
        <f aca="false">AE188/(1-Resumo!$B$5)</f>
        <v>142.318147727273</v>
      </c>
      <c r="AG188" s="39" t="n">
        <f aca="false">AF188-W188</f>
        <v>24.5568318181818</v>
      </c>
      <c r="AH188" s="40" t="n">
        <f aca="false">AF188/W188-1</f>
        <v>0.208530548666246</v>
      </c>
      <c r="AI188" s="37" t="str">
        <f aca="false">IF(AF188&lt;W188,"SIM","NÃO")</f>
        <v>NÃO</v>
      </c>
      <c r="AJ188" s="37" t="n">
        <v>2</v>
      </c>
      <c r="AK188" s="37" t="n">
        <v>5</v>
      </c>
      <c r="AL188" s="37" t="s">
        <v>343</v>
      </c>
      <c r="AM188" s="39" t="n">
        <v>116.95</v>
      </c>
    </row>
    <row r="189" customFormat="false" ht="15" hidden="false" customHeight="false" outlineLevel="0" collapsed="false">
      <c r="A189" s="37" t="n">
        <v>359587326</v>
      </c>
      <c r="B189" s="38" t="n">
        <v>46217.8602893519</v>
      </c>
      <c r="C189" s="37" t="s">
        <v>340</v>
      </c>
      <c r="D189" s="37" t="s">
        <v>535</v>
      </c>
      <c r="E189" s="37" t="n">
        <v>20251060</v>
      </c>
      <c r="F189" s="37" t="s">
        <v>159</v>
      </c>
      <c r="G189" s="37" t="s">
        <v>196</v>
      </c>
      <c r="H189" s="37" t="s">
        <v>189</v>
      </c>
      <c r="I189" s="37" t="n">
        <v>78.7</v>
      </c>
      <c r="J189" s="39" t="n">
        <v>1551.99</v>
      </c>
      <c r="K189" s="37" t="s">
        <v>342</v>
      </c>
      <c r="L189" s="39" t="n">
        <v>139.91</v>
      </c>
      <c r="M189" s="39" t="n">
        <v>68.88</v>
      </c>
      <c r="N189" s="39" t="n">
        <f aca="false">J189*Resumo!$C$6</f>
        <v>0</v>
      </c>
      <c r="O189" s="39" t="n">
        <f aca="false">J189*Resumo!$C$7</f>
        <v>3.259179</v>
      </c>
      <c r="P189" s="39" t="n">
        <f aca="false">J189*Resumo!$C$8</f>
        <v>3.259179</v>
      </c>
      <c r="Q189" s="39" t="n">
        <f aca="false">Resumo!$C$10*CEILING(I189/100,1)</f>
        <v>1.05</v>
      </c>
      <c r="R189" s="39" t="n">
        <f aca="false">Resumo!$C$9</f>
        <v>0</v>
      </c>
      <c r="S189" s="39" t="n">
        <f aca="false">Resumo!$C$13</f>
        <v>13.55</v>
      </c>
      <c r="T189" s="39" t="n">
        <f aca="false">Resumo!$C$14*CEILING(I189,1)</f>
        <v>35.55</v>
      </c>
      <c r="U189" s="39" t="n">
        <f aca="false">SUM(M189:T189)*Resumo!$C$11</f>
        <v>0</v>
      </c>
      <c r="V189" s="39" t="n">
        <f aca="false">SUM(M189:U189)</f>
        <v>125.548358</v>
      </c>
      <c r="W189" s="39" t="n">
        <f aca="false">V189/(1-Resumo!$C$5)</f>
        <v>142.668588636364</v>
      </c>
      <c r="X189" s="39" t="n">
        <v>134.39</v>
      </c>
      <c r="Y189" s="39" t="n">
        <f aca="false">J189*Resumo!$B$6</f>
        <v>1.55199</v>
      </c>
      <c r="Z189" s="39" t="n">
        <f aca="false">J189*Resumo!$B$7</f>
        <v>3.10398</v>
      </c>
      <c r="AA189" s="39" t="n">
        <f aca="false">Resumo!$B$9</f>
        <v>1</v>
      </c>
      <c r="AB189" s="39" t="n">
        <f aca="false">Resumo!$B$10*CEILING(I189/100,1)</f>
        <v>4.5</v>
      </c>
      <c r="AC189" s="39" t="n">
        <f aca="false">Resumo!$B$12*CEILING(I189,1)</f>
        <v>4.74</v>
      </c>
      <c r="AD189" s="39" t="n">
        <f aca="false">Resumo!$B$14*CEILING(I189,1)</f>
        <v>35.55</v>
      </c>
      <c r="AE189" s="39" t="n">
        <f aca="false">SUM(X189:AD189)</f>
        <v>184.83597</v>
      </c>
      <c r="AF189" s="39" t="n">
        <f aca="false">AE189/(1-Resumo!$B$5)</f>
        <v>210.040875</v>
      </c>
      <c r="AG189" s="39" t="n">
        <f aca="false">AF189-W189</f>
        <v>67.3722863636364</v>
      </c>
      <c r="AH189" s="40" t="n">
        <f aca="false">AF189/W189-1</f>
        <v>0.472229290326521</v>
      </c>
      <c r="AI189" s="37" t="str">
        <f aca="false">IF(AF189&lt;W189,"SIM","NÃO")</f>
        <v>NÃO</v>
      </c>
      <c r="AJ189" s="37" t="n">
        <v>2</v>
      </c>
      <c r="AK189" s="37" t="n">
        <v>5</v>
      </c>
      <c r="AL189" s="37" t="s">
        <v>343</v>
      </c>
      <c r="AM189" s="39" t="n">
        <v>139.92</v>
      </c>
    </row>
    <row r="190" customFormat="false" ht="15" hidden="false" customHeight="false" outlineLevel="0" collapsed="false">
      <c r="A190" s="37" t="n">
        <v>359645510</v>
      </c>
      <c r="B190" s="38" t="n">
        <v>46217.927650463</v>
      </c>
      <c r="C190" s="37" t="s">
        <v>340</v>
      </c>
      <c r="D190" s="37" t="s">
        <v>536</v>
      </c>
      <c r="E190" s="37" t="n">
        <v>20397135</v>
      </c>
      <c r="F190" s="37" t="s">
        <v>159</v>
      </c>
      <c r="G190" s="37" t="s">
        <v>196</v>
      </c>
      <c r="H190" s="37" t="s">
        <v>186</v>
      </c>
      <c r="I190" s="37" t="n">
        <v>47.1</v>
      </c>
      <c r="J190" s="39" t="n">
        <v>619.99</v>
      </c>
      <c r="K190" s="37" t="s">
        <v>342</v>
      </c>
      <c r="L190" s="39" t="n">
        <v>103.56</v>
      </c>
      <c r="M190" s="39" t="n">
        <v>53.55</v>
      </c>
      <c r="N190" s="39" t="n">
        <f aca="false">J190*Resumo!$C$6</f>
        <v>0</v>
      </c>
      <c r="O190" s="39" t="n">
        <f aca="false">J190*Resumo!$C$7</f>
        <v>1.301979</v>
      </c>
      <c r="P190" s="39" t="n">
        <f aca="false">J190*Resumo!$C$8</f>
        <v>1.301979</v>
      </c>
      <c r="Q190" s="39" t="n">
        <f aca="false">Resumo!$C$10*CEILING(I190/100,1)</f>
        <v>1.05</v>
      </c>
      <c r="R190" s="39" t="n">
        <f aca="false">Resumo!$C$9</f>
        <v>0</v>
      </c>
      <c r="S190" s="39" t="n">
        <f aca="false">Resumo!$C$13</f>
        <v>13.55</v>
      </c>
      <c r="T190" s="39" t="n">
        <f aca="false">Resumo!$C$14*CEILING(I190,1)</f>
        <v>21.6</v>
      </c>
      <c r="U190" s="39" t="n">
        <f aca="false">SUM(M190:T190)*Resumo!$C$11</f>
        <v>0</v>
      </c>
      <c r="V190" s="39" t="n">
        <f aca="false">SUM(M190:U190)</f>
        <v>92.353958</v>
      </c>
      <c r="W190" s="39" t="n">
        <f aca="false">V190/(1-Resumo!$C$5)</f>
        <v>104.947679545455</v>
      </c>
      <c r="X190" s="39" t="n">
        <v>93.97</v>
      </c>
      <c r="Y190" s="39" t="n">
        <f aca="false">J190*Resumo!$B$6</f>
        <v>0.61999</v>
      </c>
      <c r="Z190" s="39" t="n">
        <f aca="false">J190*Resumo!$B$7</f>
        <v>1.23998</v>
      </c>
      <c r="AA190" s="39" t="n">
        <f aca="false">Resumo!$B$9</f>
        <v>1</v>
      </c>
      <c r="AB190" s="39" t="n">
        <f aca="false">Resumo!$B$10*CEILING(I190/100,1)</f>
        <v>4.5</v>
      </c>
      <c r="AC190" s="39" t="n">
        <f aca="false">Resumo!$B$12*CEILING(I190,1)</f>
        <v>2.88</v>
      </c>
      <c r="AD190" s="39" t="n">
        <f aca="false">Resumo!$B$14*CEILING(I190,1)</f>
        <v>21.6</v>
      </c>
      <c r="AE190" s="39" t="n">
        <f aca="false">SUM(X190:AD190)</f>
        <v>125.80997</v>
      </c>
      <c r="AF190" s="39" t="n">
        <f aca="false">AE190/(1-Resumo!$B$5)</f>
        <v>142.965875</v>
      </c>
      <c r="AG190" s="39" t="n">
        <f aca="false">AF190-W190</f>
        <v>38.0181954545454</v>
      </c>
      <c r="AH190" s="40" t="n">
        <f aca="false">AF190/W190-1</f>
        <v>0.362258561782485</v>
      </c>
      <c r="AI190" s="37" t="str">
        <f aca="false">IF(AF190&lt;W190,"SIM","NÃO")</f>
        <v>NÃO</v>
      </c>
      <c r="AJ190" s="37" t="n">
        <v>2</v>
      </c>
      <c r="AK190" s="37" t="n">
        <v>5</v>
      </c>
      <c r="AL190" s="37" t="s">
        <v>343</v>
      </c>
      <c r="AM190" s="39" t="n">
        <v>103.56</v>
      </c>
    </row>
    <row r="191" customFormat="false" ht="15" hidden="false" customHeight="false" outlineLevel="0" collapsed="false">
      <c r="A191" s="37" t="n">
        <v>359682633</v>
      </c>
      <c r="B191" s="38" t="n">
        <v>46217.9842476852</v>
      </c>
      <c r="C191" s="37" t="s">
        <v>537</v>
      </c>
      <c r="D191" s="37" t="s">
        <v>538</v>
      </c>
      <c r="E191" s="37" t="n">
        <v>26022821</v>
      </c>
      <c r="F191" s="37" t="s">
        <v>162</v>
      </c>
      <c r="G191" s="37" t="s">
        <v>197</v>
      </c>
      <c r="H191" s="37" t="s">
        <v>184</v>
      </c>
      <c r="I191" s="37" t="n">
        <v>33</v>
      </c>
      <c r="J191" s="39" t="n">
        <v>399.99</v>
      </c>
      <c r="K191" s="37" t="s">
        <v>342</v>
      </c>
      <c r="L191" s="39" t="n">
        <v>101.31</v>
      </c>
      <c r="M191" s="39" t="n">
        <v>58.8</v>
      </c>
      <c r="N191" s="39" t="n">
        <f aca="false">J191*Resumo!$C$6</f>
        <v>0</v>
      </c>
      <c r="O191" s="39" t="n">
        <f aca="false">J191*Resumo!$C$7</f>
        <v>0.839979</v>
      </c>
      <c r="P191" s="39" t="n">
        <f aca="false">J191*Resumo!$C$8</f>
        <v>0.839979</v>
      </c>
      <c r="Q191" s="39" t="n">
        <f aca="false">Resumo!$C$10*CEILING(I191/100,1)</f>
        <v>1.05</v>
      </c>
      <c r="R191" s="39" t="n">
        <f aca="false">Resumo!$C$9</f>
        <v>0</v>
      </c>
      <c r="S191" s="39" t="n">
        <f aca="false">Resumo!$C$13</f>
        <v>13.55</v>
      </c>
      <c r="T191" s="39" t="n">
        <f aca="false">Resumo!$C$14*CEILING(I191,1)</f>
        <v>14.85</v>
      </c>
      <c r="U191" s="39" t="n">
        <f aca="false">SUM(M191:T191)*Resumo!$C$11</f>
        <v>0</v>
      </c>
      <c r="V191" s="39" t="n">
        <f aca="false">SUM(M191:U191)</f>
        <v>89.929958</v>
      </c>
      <c r="W191" s="39" t="n">
        <f aca="false">V191/(1-Resumo!$C$5)</f>
        <v>102.193134090909</v>
      </c>
      <c r="X191" s="39" t="n">
        <v>82.21</v>
      </c>
      <c r="Y191" s="39" t="n">
        <f aca="false">J191*Resumo!$B$6</f>
        <v>0.39999</v>
      </c>
      <c r="Z191" s="39" t="n">
        <f aca="false">J191*Resumo!$B$7</f>
        <v>0.79998</v>
      </c>
      <c r="AA191" s="39" t="n">
        <f aca="false">Resumo!$B$9</f>
        <v>1</v>
      </c>
      <c r="AB191" s="39" t="n">
        <f aca="false">Resumo!$B$10*CEILING(I191/100,1)</f>
        <v>4.5</v>
      </c>
      <c r="AC191" s="39" t="n">
        <f aca="false">Resumo!$B$12*CEILING(I191,1)</f>
        <v>1.98</v>
      </c>
      <c r="AD191" s="39" t="n">
        <f aca="false">Resumo!$B$14*CEILING(I191,1)</f>
        <v>14.85</v>
      </c>
      <c r="AE191" s="39" t="n">
        <f aca="false">SUM(X191:AD191)</f>
        <v>105.73997</v>
      </c>
      <c r="AF191" s="39" t="n">
        <f aca="false">AE191/(1-Resumo!$B$5)</f>
        <v>120.159056818182</v>
      </c>
      <c r="AG191" s="39" t="n">
        <f aca="false">AF191-W191</f>
        <v>17.9659227272727</v>
      </c>
      <c r="AH191" s="40" t="n">
        <f aca="false">AF191/W191-1</f>
        <v>0.175803618189169</v>
      </c>
      <c r="AI191" s="37" t="str">
        <f aca="false">IF(AF191&lt;W191,"SIM","NÃO")</f>
        <v>NÃO</v>
      </c>
      <c r="AJ191" s="37" t="n">
        <v>2</v>
      </c>
      <c r="AK191" s="37" t="n">
        <v>5</v>
      </c>
      <c r="AL191" s="37" t="s">
        <v>343</v>
      </c>
      <c r="AM191" s="39" t="n">
        <v>101.3</v>
      </c>
    </row>
    <row r="192" customFormat="false" ht="15" hidden="false" customHeight="false" outlineLevel="0" collapsed="false">
      <c r="A192" s="37" t="n">
        <v>359878317</v>
      </c>
      <c r="B192" s="38" t="n">
        <v>46218.3675347222</v>
      </c>
      <c r="C192" s="37" t="s">
        <v>340</v>
      </c>
      <c r="D192" s="37" t="s">
        <v>539</v>
      </c>
      <c r="E192" s="37" t="n">
        <v>25225210</v>
      </c>
      <c r="F192" s="37" t="s">
        <v>161</v>
      </c>
      <c r="G192" s="37" t="s">
        <v>197</v>
      </c>
      <c r="H192" s="37" t="s">
        <v>186</v>
      </c>
      <c r="I192" s="37" t="n">
        <v>40.5</v>
      </c>
      <c r="J192" s="39" t="n">
        <v>799.99</v>
      </c>
      <c r="K192" s="37" t="s">
        <v>342</v>
      </c>
      <c r="L192" s="39" t="n">
        <v>117.91</v>
      </c>
      <c r="M192" s="39" t="n">
        <v>65.36</v>
      </c>
      <c r="N192" s="39" t="n">
        <f aca="false">J192*Resumo!$C$6</f>
        <v>0</v>
      </c>
      <c r="O192" s="39" t="n">
        <f aca="false">J192*Resumo!$C$7</f>
        <v>1.679979</v>
      </c>
      <c r="P192" s="39" t="n">
        <f aca="false">J192*Resumo!$C$8</f>
        <v>1.679979</v>
      </c>
      <c r="Q192" s="39" t="n">
        <f aca="false">Resumo!$C$10*CEILING(I192/100,1)</f>
        <v>1.05</v>
      </c>
      <c r="R192" s="39" t="n">
        <f aca="false">Resumo!$C$9</f>
        <v>0</v>
      </c>
      <c r="S192" s="39" t="n">
        <f aca="false">Resumo!$C$13</f>
        <v>13.55</v>
      </c>
      <c r="T192" s="39" t="n">
        <f aca="false">Resumo!$C$14*CEILING(I192,1)</f>
        <v>18.45</v>
      </c>
      <c r="U192" s="39" t="n">
        <f aca="false">SUM(M192:T192)*Resumo!$C$11</f>
        <v>0</v>
      </c>
      <c r="V192" s="39" t="n">
        <f aca="false">SUM(M192:U192)</f>
        <v>101.769958</v>
      </c>
      <c r="W192" s="39" t="n">
        <f aca="false">V192/(1-Resumo!$C$5)</f>
        <v>115.647679545455</v>
      </c>
      <c r="X192" s="39" t="n">
        <v>93.97</v>
      </c>
      <c r="Y192" s="39" t="n">
        <f aca="false">J192*Resumo!$B$6</f>
        <v>0.79999</v>
      </c>
      <c r="Z192" s="39" t="n">
        <f aca="false">J192*Resumo!$B$7</f>
        <v>1.59998</v>
      </c>
      <c r="AA192" s="39" t="n">
        <f aca="false">Resumo!$B$9</f>
        <v>1</v>
      </c>
      <c r="AB192" s="39" t="n">
        <f aca="false">Resumo!$B$10*CEILING(I192/100,1)</f>
        <v>4.5</v>
      </c>
      <c r="AC192" s="39" t="n">
        <f aca="false">Resumo!$B$12*CEILING(I192,1)</f>
        <v>2.46</v>
      </c>
      <c r="AD192" s="39" t="n">
        <f aca="false">Resumo!$B$14*CEILING(I192,1)</f>
        <v>18.45</v>
      </c>
      <c r="AE192" s="39" t="n">
        <f aca="false">SUM(X192:AD192)</f>
        <v>122.77997</v>
      </c>
      <c r="AF192" s="39" t="n">
        <f aca="false">AE192/(1-Resumo!$B$5)</f>
        <v>139.522693181818</v>
      </c>
      <c r="AG192" s="39" t="n">
        <f aca="false">AF192-W192</f>
        <v>23.8750136363636</v>
      </c>
      <c r="AH192" s="40" t="n">
        <f aca="false">AF192/W192-1</f>
        <v>0.206446110550621</v>
      </c>
      <c r="AI192" s="37" t="str">
        <f aca="false">IF(AF192&lt;W192,"SIM","NÃO")</f>
        <v>NÃO</v>
      </c>
      <c r="AJ192" s="37" t="n">
        <v>2</v>
      </c>
      <c r="AK192" s="37" t="n">
        <v>5</v>
      </c>
      <c r="AL192" s="37" t="s">
        <v>343</v>
      </c>
      <c r="AM192" s="39" t="n">
        <v>117.91</v>
      </c>
    </row>
    <row r="193" customFormat="false" ht="15" hidden="false" customHeight="false" outlineLevel="0" collapsed="false">
      <c r="A193" s="37" t="n">
        <v>360064111</v>
      </c>
      <c r="B193" s="38" t="n">
        <v>46218.6358101852</v>
      </c>
      <c r="C193" s="37" t="s">
        <v>361</v>
      </c>
      <c r="D193" s="37" t="s">
        <v>540</v>
      </c>
      <c r="E193" s="37" t="n">
        <v>21512070</v>
      </c>
      <c r="F193" s="37" t="s">
        <v>159</v>
      </c>
      <c r="G193" s="37" t="s">
        <v>196</v>
      </c>
      <c r="H193" s="37" t="s">
        <v>187</v>
      </c>
      <c r="I193" s="37" t="n">
        <v>56.6</v>
      </c>
      <c r="J193" s="39" t="n">
        <v>1199.99</v>
      </c>
      <c r="K193" s="37" t="s">
        <v>342</v>
      </c>
      <c r="L193" s="39" t="n">
        <v>116.9</v>
      </c>
      <c r="M193" s="39" t="n">
        <v>58.6</v>
      </c>
      <c r="N193" s="39" t="n">
        <f aca="false">J193*Resumo!$C$6</f>
        <v>0</v>
      </c>
      <c r="O193" s="39" t="n">
        <f aca="false">J193*Resumo!$C$7</f>
        <v>2.519979</v>
      </c>
      <c r="P193" s="39" t="n">
        <f aca="false">J193*Resumo!$C$8</f>
        <v>2.519979</v>
      </c>
      <c r="Q193" s="39" t="n">
        <f aca="false">Resumo!$C$10*CEILING(I193/100,1)</f>
        <v>1.05</v>
      </c>
      <c r="R193" s="39" t="n">
        <f aca="false">Resumo!$C$9</f>
        <v>0</v>
      </c>
      <c r="S193" s="39" t="n">
        <f aca="false">Resumo!$C$13</f>
        <v>13.55</v>
      </c>
      <c r="T193" s="39" t="n">
        <f aca="false">Resumo!$C$14*CEILING(I193,1)</f>
        <v>25.65</v>
      </c>
      <c r="U193" s="39" t="n">
        <f aca="false">SUM(M193:T193)*Resumo!$C$11</f>
        <v>0</v>
      </c>
      <c r="V193" s="39" t="n">
        <f aca="false">SUM(M193:U193)</f>
        <v>103.889958</v>
      </c>
      <c r="W193" s="39" t="n">
        <f aca="false">V193/(1-Resumo!$C$5)</f>
        <v>118.056770454545</v>
      </c>
      <c r="X193" s="39" t="n">
        <v>112.3</v>
      </c>
      <c r="Y193" s="39" t="n">
        <f aca="false">J193*Resumo!$B$6</f>
        <v>1.19999</v>
      </c>
      <c r="Z193" s="39" t="n">
        <f aca="false">J193*Resumo!$B$7</f>
        <v>2.39998</v>
      </c>
      <c r="AA193" s="39" t="n">
        <f aca="false">Resumo!$B$9</f>
        <v>1</v>
      </c>
      <c r="AB193" s="39" t="n">
        <f aca="false">Resumo!$B$10*CEILING(I193/100,1)</f>
        <v>4.5</v>
      </c>
      <c r="AC193" s="39" t="n">
        <f aca="false">Resumo!$B$12*CEILING(I193,1)</f>
        <v>3.42</v>
      </c>
      <c r="AD193" s="39" t="n">
        <f aca="false">Resumo!$B$14*CEILING(I193,1)</f>
        <v>25.65</v>
      </c>
      <c r="AE193" s="39" t="n">
        <f aca="false">SUM(X193:AD193)</f>
        <v>150.46997</v>
      </c>
      <c r="AF193" s="39" t="n">
        <f aca="false">AE193/(1-Resumo!$B$5)</f>
        <v>170.988602272727</v>
      </c>
      <c r="AG193" s="39" t="n">
        <f aca="false">AF193-W193</f>
        <v>52.9318318181818</v>
      </c>
      <c r="AH193" s="40" t="n">
        <f aca="false">AF193/W193-1</f>
        <v>0.44835913784853</v>
      </c>
      <c r="AI193" s="37" t="str">
        <f aca="false">IF(AF193&lt;W193,"SIM","NÃO")</f>
        <v>NÃO</v>
      </c>
      <c r="AJ193" s="37" t="n">
        <v>2</v>
      </c>
      <c r="AK193" s="37" t="n">
        <v>5</v>
      </c>
      <c r="AL193" s="37" t="s">
        <v>343</v>
      </c>
      <c r="AM193" s="39" t="n">
        <v>116.9</v>
      </c>
    </row>
    <row r="194" customFormat="false" ht="15" hidden="false" customHeight="false" outlineLevel="0" collapsed="false">
      <c r="A194" s="37" t="n">
        <v>360075063</v>
      </c>
      <c r="B194" s="38" t="n">
        <v>46218.6455324074</v>
      </c>
      <c r="C194" s="37" t="s">
        <v>340</v>
      </c>
      <c r="D194" s="37" t="s">
        <v>541</v>
      </c>
      <c r="E194" s="37" t="n">
        <v>21911310</v>
      </c>
      <c r="F194" s="37" t="s">
        <v>159</v>
      </c>
      <c r="G194" s="37" t="s">
        <v>196</v>
      </c>
      <c r="H194" s="37" t="s">
        <v>184</v>
      </c>
      <c r="I194" s="37" t="n">
        <v>31.9</v>
      </c>
      <c r="J194" s="39" t="n">
        <v>508.42</v>
      </c>
      <c r="K194" s="37" t="s">
        <v>342</v>
      </c>
      <c r="L194" s="39" t="n">
        <v>82.77</v>
      </c>
      <c r="M194" s="39" t="n">
        <v>42.11</v>
      </c>
      <c r="N194" s="39" t="n">
        <f aca="false">J194*Resumo!$C$6</f>
        <v>0</v>
      </c>
      <c r="O194" s="39" t="n">
        <f aca="false">J194*Resumo!$C$7</f>
        <v>1.067682</v>
      </c>
      <c r="P194" s="39" t="n">
        <f aca="false">J194*Resumo!$C$8</f>
        <v>1.067682</v>
      </c>
      <c r="Q194" s="39" t="n">
        <f aca="false">Resumo!$C$10*CEILING(I194/100,1)</f>
        <v>1.05</v>
      </c>
      <c r="R194" s="39" t="n">
        <f aca="false">Resumo!$C$9</f>
        <v>0</v>
      </c>
      <c r="S194" s="39" t="n">
        <f aca="false">Resumo!$C$13</f>
        <v>13.55</v>
      </c>
      <c r="T194" s="39" t="n">
        <f aca="false">Resumo!$C$14*CEILING(I194,1)</f>
        <v>14.4</v>
      </c>
      <c r="U194" s="39" t="n">
        <f aca="false">SUM(M194:T194)*Resumo!$C$11</f>
        <v>0</v>
      </c>
      <c r="V194" s="39" t="n">
        <f aca="false">SUM(M194:U194)</f>
        <v>73.245364</v>
      </c>
      <c r="W194" s="39" t="n">
        <f aca="false">V194/(1-Resumo!$C$5)</f>
        <v>83.2333681818182</v>
      </c>
      <c r="X194" s="39" t="n">
        <v>82.21</v>
      </c>
      <c r="Y194" s="39" t="n">
        <f aca="false">J194*Resumo!$B$6</f>
        <v>0.50842</v>
      </c>
      <c r="Z194" s="39" t="n">
        <f aca="false">J194*Resumo!$B$7</f>
        <v>1.01684</v>
      </c>
      <c r="AA194" s="39" t="n">
        <f aca="false">Resumo!$B$9</f>
        <v>1</v>
      </c>
      <c r="AB194" s="39" t="n">
        <f aca="false">Resumo!$B$10*CEILING(I194/100,1)</f>
        <v>4.5</v>
      </c>
      <c r="AC194" s="39" t="n">
        <f aca="false">Resumo!$B$12*CEILING(I194,1)</f>
        <v>1.92</v>
      </c>
      <c r="AD194" s="39" t="n">
        <f aca="false">Resumo!$B$14*CEILING(I194,1)</f>
        <v>14.4</v>
      </c>
      <c r="AE194" s="39" t="n">
        <f aca="false">SUM(X194:AD194)</f>
        <v>105.55526</v>
      </c>
      <c r="AF194" s="39" t="n">
        <f aca="false">AE194/(1-Resumo!$B$5)</f>
        <v>119.949159090909</v>
      </c>
      <c r="AG194" s="39" t="n">
        <f aca="false">AF194-W194</f>
        <v>36.7157909090909</v>
      </c>
      <c r="AH194" s="40" t="n">
        <f aca="false">AF194/W194-1</f>
        <v>0.441118648819876</v>
      </c>
      <c r="AI194" s="37" t="str">
        <f aca="false">IF(AF194&lt;W194,"SIM","NÃO")</f>
        <v>NÃO</v>
      </c>
      <c r="AJ194" s="37" t="n">
        <v>2</v>
      </c>
      <c r="AK194" s="37" t="n">
        <v>5</v>
      </c>
      <c r="AL194" s="37" t="s">
        <v>343</v>
      </c>
      <c r="AM194" s="39" t="n">
        <v>82.76</v>
      </c>
    </row>
    <row r="195" customFormat="false" ht="15" hidden="false" customHeight="false" outlineLevel="0" collapsed="false">
      <c r="A195" s="37" t="n">
        <v>360075532</v>
      </c>
      <c r="B195" s="38" t="n">
        <v>46218.6463425926</v>
      </c>
      <c r="C195" s="37" t="s">
        <v>345</v>
      </c>
      <c r="D195" s="37" t="s">
        <v>542</v>
      </c>
      <c r="E195" s="37" t="n">
        <v>20940060</v>
      </c>
      <c r="F195" s="37" t="s">
        <v>159</v>
      </c>
      <c r="G195" s="37" t="s">
        <v>196</v>
      </c>
      <c r="H195" s="37" t="s">
        <v>184</v>
      </c>
      <c r="I195" s="37" t="n">
        <v>31.9</v>
      </c>
      <c r="J195" s="39" t="n">
        <v>466.39</v>
      </c>
      <c r="K195" s="37" t="s">
        <v>342</v>
      </c>
      <c r="L195" s="39" t="n">
        <v>82.56</v>
      </c>
      <c r="M195" s="39" t="n">
        <v>42.11</v>
      </c>
      <c r="N195" s="39" t="n">
        <f aca="false">J195*Resumo!$C$6</f>
        <v>0</v>
      </c>
      <c r="O195" s="39" t="n">
        <f aca="false">J195*Resumo!$C$7</f>
        <v>0.979419</v>
      </c>
      <c r="P195" s="39" t="n">
        <f aca="false">J195*Resumo!$C$8</f>
        <v>0.979419</v>
      </c>
      <c r="Q195" s="39" t="n">
        <f aca="false">Resumo!$C$10*CEILING(I195/100,1)</f>
        <v>1.05</v>
      </c>
      <c r="R195" s="39" t="n">
        <f aca="false">Resumo!$C$9</f>
        <v>0</v>
      </c>
      <c r="S195" s="39" t="n">
        <f aca="false">Resumo!$C$13</f>
        <v>13.55</v>
      </c>
      <c r="T195" s="39" t="n">
        <f aca="false">Resumo!$C$14*CEILING(I195,1)</f>
        <v>14.4</v>
      </c>
      <c r="U195" s="39" t="n">
        <f aca="false">SUM(M195:T195)*Resumo!$C$11</f>
        <v>0</v>
      </c>
      <c r="V195" s="39" t="n">
        <f aca="false">SUM(M195:U195)</f>
        <v>73.068838</v>
      </c>
      <c r="W195" s="39" t="n">
        <f aca="false">V195/(1-Resumo!$C$5)</f>
        <v>83.0327704545455</v>
      </c>
      <c r="X195" s="39" t="n">
        <v>82.21</v>
      </c>
      <c r="Y195" s="39" t="n">
        <f aca="false">J195*Resumo!$B$6</f>
        <v>0.46639</v>
      </c>
      <c r="Z195" s="39" t="n">
        <f aca="false">J195*Resumo!$B$7</f>
        <v>0.93278</v>
      </c>
      <c r="AA195" s="39" t="n">
        <f aca="false">Resumo!$B$9</f>
        <v>1</v>
      </c>
      <c r="AB195" s="39" t="n">
        <f aca="false">Resumo!$B$10*CEILING(I195/100,1)</f>
        <v>4.5</v>
      </c>
      <c r="AC195" s="39" t="n">
        <f aca="false">Resumo!$B$12*CEILING(I195,1)</f>
        <v>1.92</v>
      </c>
      <c r="AD195" s="39" t="n">
        <f aca="false">Resumo!$B$14*CEILING(I195,1)</f>
        <v>14.4</v>
      </c>
      <c r="AE195" s="39" t="n">
        <f aca="false">SUM(X195:AD195)</f>
        <v>105.42917</v>
      </c>
      <c r="AF195" s="39" t="n">
        <f aca="false">AE195/(1-Resumo!$B$5)</f>
        <v>119.805875</v>
      </c>
      <c r="AG195" s="39" t="n">
        <f aca="false">AF195-W195</f>
        <v>36.7731045454545</v>
      </c>
      <c r="AH195" s="40" t="n">
        <f aca="false">AF195/W195-1</f>
        <v>0.442874594502242</v>
      </c>
      <c r="AI195" s="37" t="str">
        <f aca="false">IF(AF195&lt;W195,"SIM","NÃO")</f>
        <v>NÃO</v>
      </c>
      <c r="AJ195" s="37" t="n">
        <v>2</v>
      </c>
      <c r="AK195" s="37" t="n">
        <v>5</v>
      </c>
      <c r="AL195" s="37" t="s">
        <v>343</v>
      </c>
      <c r="AM195" s="39" t="n">
        <v>82.56</v>
      </c>
    </row>
    <row r="196" customFormat="false" ht="15" hidden="false" customHeight="false" outlineLevel="0" collapsed="false">
      <c r="A196" s="37" t="n">
        <v>360160392</v>
      </c>
      <c r="B196" s="38" t="n">
        <v>46218.7448263889</v>
      </c>
      <c r="C196" s="37" t="s">
        <v>345</v>
      </c>
      <c r="D196" s="37" t="s">
        <v>543</v>
      </c>
      <c r="E196" s="37" t="n">
        <v>27963770</v>
      </c>
      <c r="F196" s="37" t="s">
        <v>166</v>
      </c>
      <c r="G196" s="37" t="s">
        <v>198</v>
      </c>
      <c r="H196" s="37" t="s">
        <v>185</v>
      </c>
      <c r="I196" s="37" t="n">
        <v>36</v>
      </c>
      <c r="J196" s="39" t="n">
        <v>395.26</v>
      </c>
      <c r="K196" s="37" t="s">
        <v>342</v>
      </c>
      <c r="L196" s="39" t="n">
        <v>122.14</v>
      </c>
      <c r="M196" s="39" t="n">
        <v>74.97</v>
      </c>
      <c r="N196" s="39" t="n">
        <f aca="false">J196*Resumo!$C$6</f>
        <v>0</v>
      </c>
      <c r="O196" s="39" t="n">
        <f aca="false">J196*Resumo!$C$7</f>
        <v>0.830046</v>
      </c>
      <c r="P196" s="39" t="n">
        <f aca="false">J196*Resumo!$C$8</f>
        <v>0.830046</v>
      </c>
      <c r="Q196" s="39" t="n">
        <f aca="false">Resumo!$C$10*CEILING(I196/100,1)</f>
        <v>1.05</v>
      </c>
      <c r="R196" s="39" t="n">
        <f aca="false">Resumo!$C$9</f>
        <v>0</v>
      </c>
      <c r="S196" s="39" t="n">
        <f aca="false">Resumo!$C$13</f>
        <v>13.55</v>
      </c>
      <c r="T196" s="39" t="n">
        <f aca="false">Resumo!$C$14*CEILING(I196,1)</f>
        <v>16.2</v>
      </c>
      <c r="U196" s="39" t="n">
        <f aca="false">SUM(M196:T196)*Resumo!$C$11</f>
        <v>0</v>
      </c>
      <c r="V196" s="39" t="n">
        <f aca="false">SUM(M196:U196)</f>
        <v>107.430092</v>
      </c>
      <c r="W196" s="39" t="n">
        <f aca="false">V196/(1-Resumo!$C$5)</f>
        <v>122.07965</v>
      </c>
      <c r="X196" s="39" t="n">
        <v>143.04</v>
      </c>
      <c r="Y196" s="39" t="n">
        <f aca="false">J196*Resumo!$B$6</f>
        <v>0.39526</v>
      </c>
      <c r="Z196" s="39" t="n">
        <f aca="false">J196*Resumo!$B$7</f>
        <v>0.79052</v>
      </c>
      <c r="AA196" s="39" t="n">
        <f aca="false">Resumo!$B$9</f>
        <v>1</v>
      </c>
      <c r="AB196" s="39" t="n">
        <f aca="false">Resumo!$B$10*CEILING(I196/100,1)</f>
        <v>4.5</v>
      </c>
      <c r="AC196" s="39" t="n">
        <f aca="false">Resumo!$B$12*CEILING(I196,1)</f>
        <v>2.16</v>
      </c>
      <c r="AD196" s="39" t="n">
        <f aca="false">Resumo!$B$14*CEILING(I196,1)</f>
        <v>16.2</v>
      </c>
      <c r="AE196" s="39" t="n">
        <f aca="false">SUM(X196:AD196)</f>
        <v>168.08578</v>
      </c>
      <c r="AF196" s="39" t="n">
        <f aca="false">AE196/(1-Resumo!$B$5)</f>
        <v>191.006568181818</v>
      </c>
      <c r="AG196" s="39" t="n">
        <f aca="false">AF196-W196</f>
        <v>68.9269181818182</v>
      </c>
      <c r="AH196" s="40" t="n">
        <f aca="false">AF196/W196-1</f>
        <v>0.564606125442022</v>
      </c>
      <c r="AI196" s="37" t="str">
        <f aca="false">IF(AF196&lt;W196,"SIM","NÃO")</f>
        <v>NÃO</v>
      </c>
      <c r="AJ196" s="37" t="n">
        <v>13</v>
      </c>
      <c r="AK196" s="37" t="n">
        <v>11</v>
      </c>
      <c r="AL196" s="37" t="s">
        <v>343</v>
      </c>
      <c r="AM196" s="39" t="n">
        <v>122.14</v>
      </c>
    </row>
    <row r="197" customFormat="false" ht="15" hidden="false" customHeight="false" outlineLevel="0" collapsed="false">
      <c r="A197" s="37" t="n">
        <v>360275487</v>
      </c>
      <c r="B197" s="38" t="n">
        <v>46218.8727546296</v>
      </c>
      <c r="C197" s="37" t="s">
        <v>345</v>
      </c>
      <c r="D197" s="37" t="s">
        <v>544</v>
      </c>
      <c r="E197" s="37" t="n">
        <v>25880000</v>
      </c>
      <c r="F197" s="37" t="s">
        <v>232</v>
      </c>
      <c r="G197" s="37" t="s">
        <v>198</v>
      </c>
      <c r="H197" s="37" t="s">
        <v>191</v>
      </c>
      <c r="I197" s="37" t="n">
        <v>109.7</v>
      </c>
      <c r="J197" s="39" t="n">
        <v>1225.68</v>
      </c>
      <c r="K197" s="37" t="s">
        <v>342</v>
      </c>
      <c r="L197" s="39" t="n">
        <v>216.52</v>
      </c>
      <c r="M197" s="39" t="n">
        <v>119.5</v>
      </c>
      <c r="N197" s="39" t="n">
        <f aca="false">J197*Resumo!$C$6</f>
        <v>0</v>
      </c>
      <c r="O197" s="39" t="n">
        <f aca="false">J197*Resumo!$C$7</f>
        <v>2.573928</v>
      </c>
      <c r="P197" s="39" t="n">
        <f aca="false">J197*Resumo!$C$8</f>
        <v>2.573928</v>
      </c>
      <c r="Q197" s="39" t="n">
        <f aca="false">Resumo!$C$10*CEILING(I197/100,1)</f>
        <v>2.1</v>
      </c>
      <c r="R197" s="39" t="n">
        <f aca="false">Resumo!$C$9</f>
        <v>0</v>
      </c>
      <c r="S197" s="39" t="n">
        <f aca="false">Resumo!$C$13</f>
        <v>13.55</v>
      </c>
      <c r="T197" s="39" t="n">
        <f aca="false">Resumo!$C$14*CEILING(I197,1)</f>
        <v>49.5</v>
      </c>
      <c r="U197" s="39" t="n">
        <f aca="false">SUM(M197:T197)*Resumo!$C$11</f>
        <v>0</v>
      </c>
      <c r="V197" s="39" t="n">
        <f aca="false">SUM(M197:U197)</f>
        <v>189.797856</v>
      </c>
      <c r="W197" s="39" t="n">
        <f aca="false">V197/(1-Resumo!$C$5)</f>
        <v>215.679381818182</v>
      </c>
      <c r="X197" s="39" t="n">
        <v>236.82</v>
      </c>
      <c r="Y197" s="39" t="n">
        <f aca="false">J197*Resumo!$B$6</f>
        <v>1.22568</v>
      </c>
      <c r="Z197" s="39" t="n">
        <f aca="false">J197*Resumo!$B$7</f>
        <v>2.45136</v>
      </c>
      <c r="AA197" s="39" t="n">
        <f aca="false">Resumo!$B$9</f>
        <v>1</v>
      </c>
      <c r="AB197" s="39" t="n">
        <f aca="false">Resumo!$B$10*CEILING(I197/100,1)</f>
        <v>9</v>
      </c>
      <c r="AC197" s="39" t="n">
        <f aca="false">Resumo!$B$12*CEILING(I197,1)</f>
        <v>6.6</v>
      </c>
      <c r="AD197" s="39" t="n">
        <f aca="false">Resumo!$B$14*CEILING(I197,1)</f>
        <v>49.5</v>
      </c>
      <c r="AE197" s="39" t="n">
        <f aca="false">SUM(X197:AD197)</f>
        <v>306.59704</v>
      </c>
      <c r="AF197" s="39" t="n">
        <f aca="false">AE197/(1-Resumo!$B$5)</f>
        <v>348.405727272727</v>
      </c>
      <c r="AG197" s="39" t="n">
        <f aca="false">AF197-W197</f>
        <v>132.726345454545</v>
      </c>
      <c r="AH197" s="40" t="n">
        <f aca="false">AF197/W197-1</f>
        <v>0.615387267599061</v>
      </c>
      <c r="AI197" s="37" t="str">
        <f aca="false">IF(AF197&lt;W197,"SIM","NÃO")</f>
        <v>NÃO</v>
      </c>
      <c r="AJ197" s="37" t="n">
        <v>13</v>
      </c>
      <c r="AK197" s="37" t="n">
        <v>10</v>
      </c>
      <c r="AL197" s="37" t="s">
        <v>347</v>
      </c>
      <c r="AM197" s="39" t="n">
        <v>216.53</v>
      </c>
    </row>
    <row r="198" customFormat="false" ht="15" hidden="false" customHeight="false" outlineLevel="0" collapsed="false">
      <c r="A198" s="37" t="n">
        <v>360284458</v>
      </c>
      <c r="B198" s="38" t="n">
        <v>46218.8821296296</v>
      </c>
      <c r="C198" s="37" t="s">
        <v>340</v>
      </c>
      <c r="D198" s="37" t="s">
        <v>545</v>
      </c>
      <c r="E198" s="37" t="n">
        <v>21010260</v>
      </c>
      <c r="F198" s="37" t="s">
        <v>159</v>
      </c>
      <c r="G198" s="37" t="s">
        <v>196</v>
      </c>
      <c r="H198" s="37" t="s">
        <v>184</v>
      </c>
      <c r="I198" s="37" t="n">
        <v>33</v>
      </c>
      <c r="J198" s="39" t="n">
        <v>419.99</v>
      </c>
      <c r="K198" s="37" t="s">
        <v>342</v>
      </c>
      <c r="L198" s="39" t="n">
        <v>82.34</v>
      </c>
      <c r="M198" s="39" t="n">
        <v>42.11</v>
      </c>
      <c r="N198" s="39" t="n">
        <f aca="false">J198*Resumo!$C$6</f>
        <v>0</v>
      </c>
      <c r="O198" s="39" t="n">
        <f aca="false">J198*Resumo!$C$7</f>
        <v>0.881979</v>
      </c>
      <c r="P198" s="39" t="n">
        <f aca="false">J198*Resumo!$C$8</f>
        <v>0.881979</v>
      </c>
      <c r="Q198" s="39" t="n">
        <f aca="false">Resumo!$C$10*CEILING(I198/100,1)</f>
        <v>1.05</v>
      </c>
      <c r="R198" s="39" t="n">
        <f aca="false">Resumo!$C$9</f>
        <v>0</v>
      </c>
      <c r="S198" s="39" t="n">
        <f aca="false">Resumo!$C$13</f>
        <v>13.55</v>
      </c>
      <c r="T198" s="39" t="n">
        <f aca="false">Resumo!$C$14*CEILING(I198,1)</f>
        <v>14.85</v>
      </c>
      <c r="U198" s="39" t="n">
        <f aca="false">SUM(M198:T198)*Resumo!$C$11</f>
        <v>0</v>
      </c>
      <c r="V198" s="39" t="n">
        <f aca="false">SUM(M198:U198)</f>
        <v>73.323958</v>
      </c>
      <c r="W198" s="39" t="n">
        <f aca="false">V198/(1-Resumo!$C$5)</f>
        <v>83.3226795454546</v>
      </c>
      <c r="X198" s="39" t="n">
        <v>82.21</v>
      </c>
      <c r="Y198" s="39" t="n">
        <f aca="false">J198*Resumo!$B$6</f>
        <v>0.41999</v>
      </c>
      <c r="Z198" s="39" t="n">
        <f aca="false">J198*Resumo!$B$7</f>
        <v>0.83998</v>
      </c>
      <c r="AA198" s="39" t="n">
        <f aca="false">Resumo!$B$9</f>
        <v>1</v>
      </c>
      <c r="AB198" s="39" t="n">
        <f aca="false">Resumo!$B$10*CEILING(I198/100,1)</f>
        <v>4.5</v>
      </c>
      <c r="AC198" s="39" t="n">
        <f aca="false">Resumo!$B$12*CEILING(I198,1)</f>
        <v>1.98</v>
      </c>
      <c r="AD198" s="39" t="n">
        <f aca="false">Resumo!$B$14*CEILING(I198,1)</f>
        <v>14.85</v>
      </c>
      <c r="AE198" s="39" t="n">
        <f aca="false">SUM(X198:AD198)</f>
        <v>105.79997</v>
      </c>
      <c r="AF198" s="39" t="n">
        <f aca="false">AE198/(1-Resumo!$B$5)</f>
        <v>120.227238636364</v>
      </c>
      <c r="AG198" s="39" t="n">
        <f aca="false">AF198-W198</f>
        <v>36.9045590909091</v>
      </c>
      <c r="AH198" s="40" t="n">
        <f aca="false">AF198/W198-1</f>
        <v>0.442911333291637</v>
      </c>
      <c r="AI198" s="37" t="str">
        <f aca="false">IF(AF198&lt;W198,"SIM","NÃO")</f>
        <v>NÃO</v>
      </c>
      <c r="AJ198" s="37" t="n">
        <v>2</v>
      </c>
      <c r="AK198" s="37" t="n">
        <v>5</v>
      </c>
      <c r="AL198" s="37" t="s">
        <v>343</v>
      </c>
      <c r="AM198" s="39" t="n">
        <v>82.34</v>
      </c>
    </row>
    <row r="199" customFormat="false" ht="15" hidden="false" customHeight="false" outlineLevel="0" collapsed="false">
      <c r="A199" s="37" t="n">
        <v>360324588</v>
      </c>
      <c r="B199" s="38" t="n">
        <v>46218.9265625</v>
      </c>
      <c r="C199" s="37" t="s">
        <v>340</v>
      </c>
      <c r="D199" s="37" t="s">
        <v>546</v>
      </c>
      <c r="E199" s="37" t="n">
        <v>28987608</v>
      </c>
      <c r="F199" s="37" t="s">
        <v>173</v>
      </c>
      <c r="G199" s="37" t="s">
        <v>198</v>
      </c>
      <c r="H199" s="37" t="s">
        <v>190</v>
      </c>
      <c r="I199" s="37" t="n">
        <v>81.7</v>
      </c>
      <c r="J199" s="39" t="n">
        <v>779.99</v>
      </c>
      <c r="K199" s="37" t="s">
        <v>342</v>
      </c>
      <c r="L199" s="39" t="n">
        <v>192.33</v>
      </c>
      <c r="M199" s="39" t="n">
        <v>109.63</v>
      </c>
      <c r="N199" s="39" t="n">
        <f aca="false">J199*Resumo!$C$6</f>
        <v>0</v>
      </c>
      <c r="O199" s="39" t="n">
        <f aca="false">J199*Resumo!$C$7</f>
        <v>1.637979</v>
      </c>
      <c r="P199" s="39" t="n">
        <f aca="false">J199*Resumo!$C$8</f>
        <v>1.637979</v>
      </c>
      <c r="Q199" s="39" t="n">
        <f aca="false">Resumo!$C$10*CEILING(I199/100,1)</f>
        <v>1.05</v>
      </c>
      <c r="R199" s="39" t="n">
        <f aca="false">Resumo!$C$9</f>
        <v>0</v>
      </c>
      <c r="S199" s="39" t="n">
        <f aca="false">Resumo!$C$13</f>
        <v>13.55</v>
      </c>
      <c r="T199" s="39" t="n">
        <f aca="false">Resumo!$C$14*CEILING(I199,1)</f>
        <v>36.9</v>
      </c>
      <c r="U199" s="39" t="n">
        <f aca="false">SUM(M199:T199)*Resumo!$C$11</f>
        <v>0</v>
      </c>
      <c r="V199" s="39" t="n">
        <f aca="false">SUM(M199:U199)</f>
        <v>164.405958</v>
      </c>
      <c r="W199" s="39" t="n">
        <f aca="false">V199/(1-Resumo!$C$5)</f>
        <v>186.824952272727</v>
      </c>
      <c r="X199" s="39" t="n">
        <v>197.35</v>
      </c>
      <c r="Y199" s="39" t="n">
        <f aca="false">J199*Resumo!$B$6</f>
        <v>0.77999</v>
      </c>
      <c r="Z199" s="39" t="n">
        <f aca="false">J199*Resumo!$B$7</f>
        <v>1.55998</v>
      </c>
      <c r="AA199" s="39" t="n">
        <f aca="false">Resumo!$B$9</f>
        <v>1</v>
      </c>
      <c r="AB199" s="39" t="n">
        <f aca="false">Resumo!$B$10*CEILING(I199/100,1)</f>
        <v>4.5</v>
      </c>
      <c r="AC199" s="39" t="n">
        <f aca="false">Resumo!$B$12*CEILING(I199,1)</f>
        <v>4.92</v>
      </c>
      <c r="AD199" s="39" t="n">
        <f aca="false">Resumo!$B$14*CEILING(I199,1)</f>
        <v>36.9</v>
      </c>
      <c r="AE199" s="39" t="n">
        <f aca="false">SUM(X199:AD199)</f>
        <v>247.00997</v>
      </c>
      <c r="AF199" s="39" t="n">
        <f aca="false">AE199/(1-Resumo!$B$5)</f>
        <v>280.693147727273</v>
      </c>
      <c r="AG199" s="39" t="n">
        <f aca="false">AF199-W199</f>
        <v>93.8681954545455</v>
      </c>
      <c r="AH199" s="40" t="n">
        <f aca="false">AF199/W199-1</f>
        <v>0.502439285077491</v>
      </c>
      <c r="AI199" s="37" t="str">
        <f aca="false">IF(AF199&lt;W199,"SIM","NÃO")</f>
        <v>NÃO</v>
      </c>
      <c r="AJ199" s="37" t="n">
        <v>13</v>
      </c>
      <c r="AK199" s="37" t="n">
        <v>10</v>
      </c>
      <c r="AL199" s="37" t="s">
        <v>343</v>
      </c>
      <c r="AM199" s="39" t="n">
        <v>192.33</v>
      </c>
    </row>
    <row r="200" customFormat="false" ht="15" hidden="false" customHeight="false" outlineLevel="0" collapsed="false">
      <c r="A200" s="37" t="n">
        <v>360361604</v>
      </c>
      <c r="B200" s="38" t="n">
        <v>46218.948125</v>
      </c>
      <c r="C200" s="37" t="s">
        <v>537</v>
      </c>
      <c r="D200" s="37" t="s">
        <v>547</v>
      </c>
      <c r="E200" s="37" t="n">
        <v>28380000</v>
      </c>
      <c r="F200" s="37" t="s">
        <v>266</v>
      </c>
      <c r="G200" s="37" t="s">
        <v>198</v>
      </c>
      <c r="H200" s="37" t="s">
        <v>186</v>
      </c>
      <c r="I200" s="37" t="n">
        <v>49.6</v>
      </c>
      <c r="J200" s="39" t="n">
        <v>683.99</v>
      </c>
      <c r="K200" s="37" t="s">
        <v>342</v>
      </c>
      <c r="L200" s="39" t="n">
        <v>131.44</v>
      </c>
      <c r="M200" s="39" t="n">
        <v>77.7</v>
      </c>
      <c r="N200" s="39" t="n">
        <f aca="false">J200*Resumo!$C$6</f>
        <v>0</v>
      </c>
      <c r="O200" s="39" t="n">
        <f aca="false">J200*Resumo!$C$7</f>
        <v>1.436379</v>
      </c>
      <c r="P200" s="39" t="n">
        <f aca="false">J200*Resumo!$C$8</f>
        <v>1.436379</v>
      </c>
      <c r="Q200" s="39" t="n">
        <f aca="false">Resumo!$C$10*CEILING(I200/100,1)</f>
        <v>1.05</v>
      </c>
      <c r="R200" s="39" t="n">
        <f aca="false">Resumo!$C$9</f>
        <v>0</v>
      </c>
      <c r="S200" s="39" t="n">
        <f aca="false">Resumo!$C$13</f>
        <v>13.55</v>
      </c>
      <c r="T200" s="39" t="n">
        <f aca="false">Resumo!$C$14*CEILING(I200,1)</f>
        <v>22.5</v>
      </c>
      <c r="U200" s="39" t="n">
        <f aca="false">SUM(M200:T200)*Resumo!$C$11</f>
        <v>0</v>
      </c>
      <c r="V200" s="39" t="n">
        <f aca="false">SUM(M200:U200)</f>
        <v>117.672758</v>
      </c>
      <c r="W200" s="39" t="n">
        <f aca="false">V200/(1-Resumo!$C$5)</f>
        <v>133.719043181818</v>
      </c>
      <c r="X200" s="39" t="n">
        <v>152.54</v>
      </c>
      <c r="Y200" s="39" t="n">
        <f aca="false">J200*Resumo!$B$6</f>
        <v>0.68399</v>
      </c>
      <c r="Z200" s="39" t="n">
        <f aca="false">J200*Resumo!$B$7</f>
        <v>1.36798</v>
      </c>
      <c r="AA200" s="39" t="n">
        <f aca="false">Resumo!$B$9</f>
        <v>1</v>
      </c>
      <c r="AB200" s="39" t="n">
        <f aca="false">Resumo!$B$10*CEILING(I200/100,1)</f>
        <v>4.5</v>
      </c>
      <c r="AC200" s="39" t="n">
        <f aca="false">Resumo!$B$12*CEILING(I200,1)</f>
        <v>3</v>
      </c>
      <c r="AD200" s="39" t="n">
        <f aca="false">Resumo!$B$14*CEILING(I200,1)</f>
        <v>22.5</v>
      </c>
      <c r="AE200" s="39" t="n">
        <f aca="false">SUM(X200:AD200)</f>
        <v>185.59197</v>
      </c>
      <c r="AF200" s="39" t="n">
        <f aca="false">AE200/(1-Resumo!$B$5)</f>
        <v>210.899965909091</v>
      </c>
      <c r="AG200" s="39" t="n">
        <f aca="false">AF200-W200</f>
        <v>77.1809227272727</v>
      </c>
      <c r="AH200" s="40" t="n">
        <f aca="false">AF200/W200-1</f>
        <v>0.577187219492213</v>
      </c>
      <c r="AI200" s="37" t="str">
        <f aca="false">IF(AF200&lt;W200,"SIM","NÃO")</f>
        <v>NÃO</v>
      </c>
      <c r="AJ200" s="37" t="n">
        <v>13</v>
      </c>
      <c r="AK200" s="37" t="n">
        <v>11</v>
      </c>
      <c r="AL200" s="37" t="s">
        <v>347</v>
      </c>
      <c r="AM200" s="39" t="n">
        <v>131.44</v>
      </c>
    </row>
    <row r="201" customFormat="false" ht="15" hidden="false" customHeight="false" outlineLevel="0" collapsed="false">
      <c r="A201" s="37" t="n">
        <v>360581305</v>
      </c>
      <c r="B201" s="38" t="n">
        <v>46219.3428472222</v>
      </c>
      <c r="C201" s="37" t="s">
        <v>345</v>
      </c>
      <c r="D201" s="37" t="s">
        <v>548</v>
      </c>
      <c r="E201" s="37" t="n">
        <v>25214410</v>
      </c>
      <c r="F201" s="37" t="s">
        <v>161</v>
      </c>
      <c r="G201" s="37" t="s">
        <v>197</v>
      </c>
      <c r="H201" s="37" t="s">
        <v>187</v>
      </c>
      <c r="I201" s="37" t="n">
        <v>52.3</v>
      </c>
      <c r="J201" s="39" t="n">
        <v>644.83</v>
      </c>
      <c r="K201" s="37" t="s">
        <v>518</v>
      </c>
      <c r="L201" s="39" t="n">
        <v>131.38</v>
      </c>
      <c r="M201" s="39" t="n">
        <v>70.98</v>
      </c>
      <c r="N201" s="39" t="n">
        <f aca="false">J201*Resumo!$C$6</f>
        <v>0</v>
      </c>
      <c r="O201" s="39" t="n">
        <f aca="false">J201*Resumo!$C$7</f>
        <v>1.354143</v>
      </c>
      <c r="P201" s="39" t="n">
        <f aca="false">J201*Resumo!$C$8</f>
        <v>1.354143</v>
      </c>
      <c r="Q201" s="39" t="n">
        <f aca="false">Resumo!$C$10*CEILING(I201/100,1)</f>
        <v>1.05</v>
      </c>
      <c r="R201" s="39" t="n">
        <f aca="false">Resumo!$C$9</f>
        <v>0</v>
      </c>
      <c r="S201" s="39" t="n">
        <f aca="false">Resumo!$C$13</f>
        <v>13.55</v>
      </c>
      <c r="T201" s="39" t="n">
        <f aca="false">Resumo!$C$14*CEILING(I201,1)</f>
        <v>23.85</v>
      </c>
      <c r="U201" s="39" t="n">
        <f aca="false">SUM(M201:T201)*Resumo!$C$11</f>
        <v>0</v>
      </c>
      <c r="V201" s="39" t="n">
        <f aca="false">SUM(M201:U201)</f>
        <v>112.138286</v>
      </c>
      <c r="W201" s="39" t="n">
        <f aca="false">V201/(1-Resumo!$C$5)</f>
        <v>127.429870454545</v>
      </c>
      <c r="X201" s="39" t="n">
        <v>112.3</v>
      </c>
      <c r="Y201" s="39" t="n">
        <f aca="false">J201*Resumo!$B$6</f>
        <v>0.64483</v>
      </c>
      <c r="Z201" s="39" t="n">
        <f aca="false">J201*Resumo!$B$7</f>
        <v>1.28966</v>
      </c>
      <c r="AA201" s="39" t="n">
        <f aca="false">Resumo!$B$9</f>
        <v>1</v>
      </c>
      <c r="AB201" s="39" t="n">
        <f aca="false">Resumo!$B$10*CEILING(I201/100,1)</f>
        <v>4.5</v>
      </c>
      <c r="AC201" s="39" t="n">
        <f aca="false">Resumo!$B$12*CEILING(I201,1)</f>
        <v>3.18</v>
      </c>
      <c r="AD201" s="39" t="n">
        <f aca="false">Resumo!$B$14*CEILING(I201,1)</f>
        <v>23.85</v>
      </c>
      <c r="AE201" s="39" t="n">
        <f aca="false">SUM(X201:AD201)</f>
        <v>146.76449</v>
      </c>
      <c r="AF201" s="39" t="n">
        <f aca="false">AE201/(1-Resumo!$B$5)</f>
        <v>166.777829545455</v>
      </c>
      <c r="AG201" s="39" t="n">
        <f aca="false">AF201-W201</f>
        <v>39.3479590909091</v>
      </c>
      <c r="AH201" s="40" t="n">
        <f aca="false">AF201/W201-1</f>
        <v>0.308781284565024</v>
      </c>
      <c r="AI201" s="37" t="str">
        <f aca="false">IF(AF201&lt;W201,"SIM","NÃO")</f>
        <v>NÃO</v>
      </c>
      <c r="AJ201" s="37" t="n">
        <v>2</v>
      </c>
      <c r="AK201" s="37" t="n">
        <v>5</v>
      </c>
      <c r="AL201" s="37" t="s">
        <v>343</v>
      </c>
      <c r="AM201" s="39" t="n">
        <v>128.37</v>
      </c>
    </row>
    <row r="202" customFormat="false" ht="15" hidden="false" customHeight="false" outlineLevel="0" collapsed="false">
      <c r="A202" s="37" t="n">
        <v>360658459</v>
      </c>
      <c r="B202" s="38" t="n">
        <v>46219.4255092593</v>
      </c>
      <c r="C202" s="37" t="s">
        <v>537</v>
      </c>
      <c r="D202" s="37" t="s">
        <v>549</v>
      </c>
      <c r="E202" s="37" t="n">
        <v>28470000</v>
      </c>
      <c r="F202" s="37" t="s">
        <v>272</v>
      </c>
      <c r="G202" s="37" t="s">
        <v>198</v>
      </c>
      <c r="H202" s="37" t="s">
        <v>184</v>
      </c>
      <c r="I202" s="37" t="n">
        <v>35</v>
      </c>
      <c r="J202" s="39" t="n">
        <v>459.99</v>
      </c>
      <c r="K202" s="37" t="s">
        <v>550</v>
      </c>
      <c r="L202" s="39" t="n">
        <v>121.3</v>
      </c>
      <c r="M202" s="39" t="n">
        <v>65.63</v>
      </c>
      <c r="N202" s="39" t="n">
        <f aca="false">J202*Resumo!$C$6</f>
        <v>0</v>
      </c>
      <c r="O202" s="39" t="n">
        <f aca="false">J202*Resumo!$C$7</f>
        <v>0.965979</v>
      </c>
      <c r="P202" s="39" t="n">
        <f aca="false">J202*Resumo!$C$8</f>
        <v>0.965979</v>
      </c>
      <c r="Q202" s="39" t="n">
        <f aca="false">Resumo!$C$10*CEILING(I202/100,1)</f>
        <v>1.05</v>
      </c>
      <c r="R202" s="39" t="n">
        <f aca="false">Resumo!$C$9</f>
        <v>0</v>
      </c>
      <c r="S202" s="39" t="n">
        <f aca="false">Resumo!$C$13</f>
        <v>13.55</v>
      </c>
      <c r="T202" s="39" t="n">
        <f aca="false">Resumo!$C$14*CEILING(I202,1)</f>
        <v>15.75</v>
      </c>
      <c r="U202" s="39" t="n">
        <f aca="false">SUM(M202:T202)*Resumo!$C$11</f>
        <v>0</v>
      </c>
      <c r="V202" s="39" t="n">
        <f aca="false">SUM(M202:U202)</f>
        <v>97.911958</v>
      </c>
      <c r="W202" s="39" t="n">
        <f aca="false">V202/(1-Resumo!$C$5)</f>
        <v>111.263588636364</v>
      </c>
      <c r="X202" s="39" t="n">
        <v>138.29</v>
      </c>
      <c r="Y202" s="39" t="n">
        <f aca="false">J202*Resumo!$B$6</f>
        <v>0.45999</v>
      </c>
      <c r="Z202" s="39" t="n">
        <f aca="false">J202*Resumo!$B$7</f>
        <v>0.91998</v>
      </c>
      <c r="AA202" s="39" t="n">
        <f aca="false">Resumo!$B$9</f>
        <v>1</v>
      </c>
      <c r="AB202" s="39" t="n">
        <f aca="false">Resumo!$B$10*CEILING(I202/100,1)</f>
        <v>4.5</v>
      </c>
      <c r="AC202" s="39" t="n">
        <f aca="false">Resumo!$B$12*CEILING(I202,1)</f>
        <v>2.1</v>
      </c>
      <c r="AD202" s="39" t="n">
        <f aca="false">Resumo!$B$14*CEILING(I202,1)</f>
        <v>15.75</v>
      </c>
      <c r="AE202" s="39" t="n">
        <f aca="false">SUM(X202:AD202)</f>
        <v>163.01997</v>
      </c>
      <c r="AF202" s="39" t="n">
        <f aca="false">AE202/(1-Resumo!$B$5)</f>
        <v>185.249965909091</v>
      </c>
      <c r="AG202" s="39" t="n">
        <f aca="false">AF202-W202</f>
        <v>73.9863772727273</v>
      </c>
      <c r="AH202" s="40" t="n">
        <f aca="false">AF202/W202-1</f>
        <v>0.664964865680656</v>
      </c>
      <c r="AI202" s="37" t="str">
        <f aca="false">IF(AF202&lt;W202,"SIM","NÃO")</f>
        <v>NÃO</v>
      </c>
      <c r="AJ202" s="37" t="n">
        <v>13</v>
      </c>
      <c r="AK202" s="37" t="n">
        <v>11</v>
      </c>
      <c r="AL202" s="37" t="s">
        <v>347</v>
      </c>
      <c r="AM202" s="39" t="n">
        <v>109.38</v>
      </c>
    </row>
    <row r="203" customFormat="false" ht="15" hidden="false" customHeight="false" outlineLevel="0" collapsed="false">
      <c r="A203" s="37" t="n">
        <v>360697683</v>
      </c>
      <c r="B203" s="38" t="n">
        <v>46219.4931828704</v>
      </c>
      <c r="C203" s="37" t="s">
        <v>340</v>
      </c>
      <c r="D203" s="37" t="s">
        <v>551</v>
      </c>
      <c r="E203" s="37" t="n">
        <v>23020722</v>
      </c>
      <c r="F203" s="37" t="s">
        <v>159</v>
      </c>
      <c r="G203" s="37" t="s">
        <v>196</v>
      </c>
      <c r="H203" s="37" t="s">
        <v>185</v>
      </c>
      <c r="I203" s="37" t="n">
        <v>37.6</v>
      </c>
      <c r="J203" s="39" t="n">
        <v>429.99</v>
      </c>
      <c r="K203" s="37" t="s">
        <v>342</v>
      </c>
      <c r="L203" s="39" t="n">
        <v>91.92</v>
      </c>
      <c r="M203" s="39" t="n">
        <v>48.35</v>
      </c>
      <c r="N203" s="39" t="n">
        <f aca="false">J203*Resumo!$C$6</f>
        <v>0</v>
      </c>
      <c r="O203" s="39" t="n">
        <f aca="false">J203*Resumo!$C$7</f>
        <v>0.902979</v>
      </c>
      <c r="P203" s="39" t="n">
        <f aca="false">J203*Resumo!$C$8</f>
        <v>0.902979</v>
      </c>
      <c r="Q203" s="39" t="n">
        <f aca="false">Resumo!$C$10*CEILING(I203/100,1)</f>
        <v>1.05</v>
      </c>
      <c r="R203" s="39" t="n">
        <f aca="false">Resumo!$C$9</f>
        <v>0</v>
      </c>
      <c r="S203" s="39" t="n">
        <f aca="false">Resumo!$C$13</f>
        <v>13.55</v>
      </c>
      <c r="T203" s="39" t="n">
        <f aca="false">Resumo!$C$14*CEILING(I203,1)</f>
        <v>17.1</v>
      </c>
      <c r="U203" s="39" t="n">
        <f aca="false">SUM(M203:T203)*Resumo!$C$11</f>
        <v>0</v>
      </c>
      <c r="V203" s="39" t="n">
        <f aca="false">SUM(M203:U203)</f>
        <v>81.855958</v>
      </c>
      <c r="W203" s="39" t="n">
        <f aca="false">V203/(1-Resumo!$C$5)</f>
        <v>93.0181340909091</v>
      </c>
      <c r="X203" s="39" t="n">
        <v>93.97</v>
      </c>
      <c r="Y203" s="39" t="n">
        <f aca="false">J203*Resumo!$B$6</f>
        <v>0.42999</v>
      </c>
      <c r="Z203" s="39" t="n">
        <f aca="false">J203*Resumo!$B$7</f>
        <v>0.85998</v>
      </c>
      <c r="AA203" s="39" t="n">
        <f aca="false">Resumo!$B$9</f>
        <v>1</v>
      </c>
      <c r="AB203" s="39" t="n">
        <f aca="false">Resumo!$B$10*CEILING(I203/100,1)</f>
        <v>4.5</v>
      </c>
      <c r="AC203" s="39" t="n">
        <f aca="false">Resumo!$B$12*CEILING(I203,1)</f>
        <v>2.28</v>
      </c>
      <c r="AD203" s="39" t="n">
        <f aca="false">Resumo!$B$14*CEILING(I203,1)</f>
        <v>17.1</v>
      </c>
      <c r="AE203" s="39" t="n">
        <f aca="false">SUM(X203:AD203)</f>
        <v>120.13997</v>
      </c>
      <c r="AF203" s="39" t="n">
        <f aca="false">AE203/(1-Resumo!$B$5)</f>
        <v>136.522693181818</v>
      </c>
      <c r="AG203" s="39" t="n">
        <f aca="false">AF203-W203</f>
        <v>43.5045590909091</v>
      </c>
      <c r="AH203" s="40" t="n">
        <f aca="false">AF203/W203-1</f>
        <v>0.467699761085198</v>
      </c>
      <c r="AI203" s="37" t="str">
        <f aca="false">IF(AF203&lt;W203,"SIM","NÃO")</f>
        <v>NÃO</v>
      </c>
      <c r="AJ203" s="37" t="n">
        <v>2</v>
      </c>
      <c r="AK203" s="37" t="n">
        <v>5</v>
      </c>
      <c r="AL203" s="37" t="s">
        <v>343</v>
      </c>
      <c r="AM203" s="39" t="n">
        <v>91.92</v>
      </c>
    </row>
    <row r="204" customFormat="false" ht="15" hidden="false" customHeight="false" outlineLevel="0" collapsed="false">
      <c r="A204" s="37" t="n">
        <v>360836809</v>
      </c>
      <c r="B204" s="38" t="n">
        <v>46219.6675231482</v>
      </c>
      <c r="C204" s="37" t="s">
        <v>340</v>
      </c>
      <c r="D204" s="37" t="s">
        <v>394</v>
      </c>
      <c r="E204" s="37" t="n">
        <v>20950072</v>
      </c>
      <c r="F204" s="37" t="s">
        <v>159</v>
      </c>
      <c r="G204" s="37" t="s">
        <v>196</v>
      </c>
      <c r="H204" s="37" t="s">
        <v>184</v>
      </c>
      <c r="I204" s="37" t="n">
        <v>31.9</v>
      </c>
      <c r="J204" s="39" t="n">
        <v>508.42</v>
      </c>
      <c r="K204" s="37" t="s">
        <v>342</v>
      </c>
      <c r="L204" s="39" t="n">
        <v>82.77</v>
      </c>
      <c r="M204" s="39" t="n">
        <v>42.11</v>
      </c>
      <c r="N204" s="39" t="n">
        <f aca="false">J204*Resumo!$C$6</f>
        <v>0</v>
      </c>
      <c r="O204" s="39" t="n">
        <f aca="false">J204*Resumo!$C$7</f>
        <v>1.067682</v>
      </c>
      <c r="P204" s="39" t="n">
        <f aca="false">J204*Resumo!$C$8</f>
        <v>1.067682</v>
      </c>
      <c r="Q204" s="39" t="n">
        <f aca="false">Resumo!$C$10*CEILING(I204/100,1)</f>
        <v>1.05</v>
      </c>
      <c r="R204" s="39" t="n">
        <f aca="false">Resumo!$C$9</f>
        <v>0</v>
      </c>
      <c r="S204" s="39" t="n">
        <f aca="false">Resumo!$C$13</f>
        <v>13.55</v>
      </c>
      <c r="T204" s="39" t="n">
        <f aca="false">Resumo!$C$14*CEILING(I204,1)</f>
        <v>14.4</v>
      </c>
      <c r="U204" s="39" t="n">
        <f aca="false">SUM(M204:T204)*Resumo!$C$11</f>
        <v>0</v>
      </c>
      <c r="V204" s="39" t="n">
        <f aca="false">SUM(M204:U204)</f>
        <v>73.245364</v>
      </c>
      <c r="W204" s="39" t="n">
        <f aca="false">V204/(1-Resumo!$C$5)</f>
        <v>83.2333681818182</v>
      </c>
      <c r="X204" s="39" t="n">
        <v>82.21</v>
      </c>
      <c r="Y204" s="39" t="n">
        <f aca="false">J204*Resumo!$B$6</f>
        <v>0.50842</v>
      </c>
      <c r="Z204" s="39" t="n">
        <f aca="false">J204*Resumo!$B$7</f>
        <v>1.01684</v>
      </c>
      <c r="AA204" s="39" t="n">
        <f aca="false">Resumo!$B$9</f>
        <v>1</v>
      </c>
      <c r="AB204" s="39" t="n">
        <f aca="false">Resumo!$B$10*CEILING(I204/100,1)</f>
        <v>4.5</v>
      </c>
      <c r="AC204" s="39" t="n">
        <f aca="false">Resumo!$B$12*CEILING(I204,1)</f>
        <v>1.92</v>
      </c>
      <c r="AD204" s="39" t="n">
        <f aca="false">Resumo!$B$14*CEILING(I204,1)</f>
        <v>14.4</v>
      </c>
      <c r="AE204" s="39" t="n">
        <f aca="false">SUM(X204:AD204)</f>
        <v>105.55526</v>
      </c>
      <c r="AF204" s="39" t="n">
        <f aca="false">AE204/(1-Resumo!$B$5)</f>
        <v>119.949159090909</v>
      </c>
      <c r="AG204" s="39" t="n">
        <f aca="false">AF204-W204</f>
        <v>36.7157909090909</v>
      </c>
      <c r="AH204" s="40" t="n">
        <f aca="false">AF204/W204-1</f>
        <v>0.441118648819876</v>
      </c>
      <c r="AI204" s="37" t="str">
        <f aca="false">IF(AF204&lt;W204,"SIM","NÃO")</f>
        <v>NÃO</v>
      </c>
      <c r="AJ204" s="37" t="n">
        <v>2</v>
      </c>
      <c r="AK204" s="37" t="n">
        <v>5</v>
      </c>
      <c r="AL204" s="37" t="s">
        <v>343</v>
      </c>
      <c r="AM204" s="39" t="n">
        <v>82.76</v>
      </c>
    </row>
    <row r="205" customFormat="false" ht="15" hidden="false" customHeight="false" outlineLevel="0" collapsed="false">
      <c r="A205" s="37" t="n">
        <v>361081134</v>
      </c>
      <c r="B205" s="38" t="n">
        <v>46219.9879976852</v>
      </c>
      <c r="C205" s="37" t="s">
        <v>340</v>
      </c>
      <c r="D205" s="37" t="s">
        <v>552</v>
      </c>
      <c r="E205" s="37" t="n">
        <v>28540000</v>
      </c>
      <c r="F205" s="37" t="s">
        <v>275</v>
      </c>
      <c r="G205" s="37" t="s">
        <v>198</v>
      </c>
      <c r="H205" s="37" t="s">
        <v>184</v>
      </c>
      <c r="I205" s="37" t="n">
        <v>31.9</v>
      </c>
      <c r="J205" s="39" t="n">
        <v>508.42</v>
      </c>
      <c r="K205" s="37" t="s">
        <v>342</v>
      </c>
      <c r="L205" s="39" t="n">
        <v>109.63</v>
      </c>
      <c r="M205" s="39" t="n">
        <v>65.63</v>
      </c>
      <c r="N205" s="39" t="n">
        <f aca="false">J205*Resumo!$C$6</f>
        <v>0</v>
      </c>
      <c r="O205" s="39" t="n">
        <f aca="false">J205*Resumo!$C$7</f>
        <v>1.067682</v>
      </c>
      <c r="P205" s="39" t="n">
        <f aca="false">J205*Resumo!$C$8</f>
        <v>1.067682</v>
      </c>
      <c r="Q205" s="39" t="n">
        <f aca="false">Resumo!$C$10*CEILING(I205/100,1)</f>
        <v>1.05</v>
      </c>
      <c r="R205" s="39" t="n">
        <f aca="false">Resumo!$C$9</f>
        <v>0</v>
      </c>
      <c r="S205" s="39" t="n">
        <f aca="false">Resumo!$C$13</f>
        <v>13.55</v>
      </c>
      <c r="T205" s="39" t="n">
        <f aca="false">Resumo!$C$14*CEILING(I205,1)</f>
        <v>14.4</v>
      </c>
      <c r="U205" s="39" t="n">
        <f aca="false">SUM(M205:T205)*Resumo!$C$11</f>
        <v>0</v>
      </c>
      <c r="V205" s="39" t="n">
        <f aca="false">SUM(M205:U205)</f>
        <v>96.765364</v>
      </c>
      <c r="W205" s="39" t="n">
        <f aca="false">V205/(1-Resumo!$C$5)</f>
        <v>109.960640909091</v>
      </c>
      <c r="X205" s="39" t="n">
        <v>120.78</v>
      </c>
      <c r="Y205" s="39" t="n">
        <f aca="false">J205*Resumo!$B$6</f>
        <v>0.50842</v>
      </c>
      <c r="Z205" s="39" t="n">
        <f aca="false">J205*Resumo!$B$7</f>
        <v>1.01684</v>
      </c>
      <c r="AA205" s="39" t="n">
        <f aca="false">Resumo!$B$9</f>
        <v>1</v>
      </c>
      <c r="AB205" s="39" t="n">
        <f aca="false">Resumo!$B$10*CEILING(I205/100,1)</f>
        <v>4.5</v>
      </c>
      <c r="AC205" s="39" t="n">
        <f aca="false">Resumo!$B$12*CEILING(I205,1)</f>
        <v>1.92</v>
      </c>
      <c r="AD205" s="39" t="n">
        <f aca="false">Resumo!$B$14*CEILING(I205,1)</f>
        <v>14.4</v>
      </c>
      <c r="AE205" s="39" t="n">
        <f aca="false">SUM(X205:AD205)</f>
        <v>144.12526</v>
      </c>
      <c r="AF205" s="39" t="n">
        <f aca="false">AE205/(1-Resumo!$B$5)</f>
        <v>163.778704545455</v>
      </c>
      <c r="AG205" s="39" t="n">
        <f aca="false">AF205-W205</f>
        <v>53.8180636363636</v>
      </c>
      <c r="AH205" s="40" t="n">
        <f aca="false">AF205/W205-1</f>
        <v>0.489430246963159</v>
      </c>
      <c r="AI205" s="37" t="str">
        <f aca="false">IF(AF205&lt;W205,"SIM","NÃO")</f>
        <v>NÃO</v>
      </c>
      <c r="AJ205" s="37" t="n">
        <v>13</v>
      </c>
      <c r="AK205" s="37" t="n">
        <v>10</v>
      </c>
      <c r="AL205" s="37" t="s">
        <v>347</v>
      </c>
      <c r="AM205" s="39" t="n">
        <v>109.62</v>
      </c>
    </row>
    <row r="206" customFormat="false" ht="15" hidden="false" customHeight="false" outlineLevel="0" collapsed="false">
      <c r="A206" s="37" t="n">
        <v>361177240</v>
      </c>
      <c r="B206" s="38" t="n">
        <v>46220.1729861111</v>
      </c>
      <c r="C206" s="37" t="s">
        <v>375</v>
      </c>
      <c r="D206" s="37" t="s">
        <v>553</v>
      </c>
      <c r="E206" s="37" t="n">
        <v>20250500</v>
      </c>
      <c r="F206" s="37" t="s">
        <v>159</v>
      </c>
      <c r="G206" s="37" t="s">
        <v>196</v>
      </c>
      <c r="H206" s="37" t="s">
        <v>188</v>
      </c>
      <c r="I206" s="37" t="n">
        <v>65.1</v>
      </c>
      <c r="J206" s="39" t="n">
        <v>756.79</v>
      </c>
      <c r="K206" s="37" t="s">
        <v>342</v>
      </c>
      <c r="L206" s="39" t="n">
        <v>124.83</v>
      </c>
      <c r="M206" s="39" t="n">
        <v>63.21</v>
      </c>
      <c r="N206" s="39" t="n">
        <f aca="false">J206*Resumo!$C$6</f>
        <v>0</v>
      </c>
      <c r="O206" s="39" t="n">
        <f aca="false">J206*Resumo!$C$7</f>
        <v>1.589259</v>
      </c>
      <c r="P206" s="39" t="n">
        <f aca="false">J206*Resumo!$C$8</f>
        <v>1.589259</v>
      </c>
      <c r="Q206" s="39" t="n">
        <f aca="false">Resumo!$C$10*CEILING(I206/100,1)</f>
        <v>1.05</v>
      </c>
      <c r="R206" s="39" t="n">
        <f aca="false">Resumo!$C$9</f>
        <v>0</v>
      </c>
      <c r="S206" s="39" t="n">
        <f aca="false">Resumo!$C$13</f>
        <v>13.55</v>
      </c>
      <c r="T206" s="39" t="n">
        <f aca="false">Resumo!$C$14*CEILING(I206,1)</f>
        <v>29.7</v>
      </c>
      <c r="U206" s="39" t="n">
        <f aca="false">SUM(M206:T206)*Resumo!$C$11</f>
        <v>0</v>
      </c>
      <c r="V206" s="39" t="n">
        <f aca="false">SUM(M206:U206)</f>
        <v>110.688518</v>
      </c>
      <c r="W206" s="39" t="n">
        <f aca="false">V206/(1-Resumo!$C$5)</f>
        <v>125.782406818182</v>
      </c>
      <c r="X206" s="39" t="n">
        <v>131.02</v>
      </c>
      <c r="Y206" s="39" t="n">
        <f aca="false">J206*Resumo!$B$6</f>
        <v>0.75679</v>
      </c>
      <c r="Z206" s="39" t="n">
        <f aca="false">J206*Resumo!$B$7</f>
        <v>1.51358</v>
      </c>
      <c r="AA206" s="39" t="n">
        <f aca="false">Resumo!$B$9</f>
        <v>1</v>
      </c>
      <c r="AB206" s="39" t="n">
        <f aca="false">Resumo!$B$10*CEILING(I206/100,1)</f>
        <v>4.5</v>
      </c>
      <c r="AC206" s="39" t="n">
        <f aca="false">Resumo!$B$12*CEILING(I206,1)</f>
        <v>3.96</v>
      </c>
      <c r="AD206" s="39" t="n">
        <f aca="false">Resumo!$B$14*CEILING(I206,1)</f>
        <v>29.7</v>
      </c>
      <c r="AE206" s="39" t="n">
        <f aca="false">SUM(X206:AD206)</f>
        <v>172.45037</v>
      </c>
      <c r="AF206" s="39" t="n">
        <f aca="false">AE206/(1-Resumo!$B$5)</f>
        <v>195.966329545455</v>
      </c>
      <c r="AG206" s="39" t="n">
        <f aca="false">AF206-W206</f>
        <v>70.1839227272727</v>
      </c>
      <c r="AH206" s="40" t="n">
        <f aca="false">AF206/W206-1</f>
        <v>0.557978850164025</v>
      </c>
      <c r="AI206" s="37" t="str">
        <f aca="false">IF(AF206&lt;W206,"SIM","NÃO")</f>
        <v>NÃO</v>
      </c>
      <c r="AJ206" s="37" t="n">
        <v>2</v>
      </c>
      <c r="AK206" s="37" t="n">
        <v>5</v>
      </c>
      <c r="AL206" s="37" t="s">
        <v>343</v>
      </c>
      <c r="AM206" s="39" t="n">
        <v>124.83</v>
      </c>
    </row>
    <row r="207" customFormat="false" ht="15" hidden="false" customHeight="false" outlineLevel="0" collapsed="false">
      <c r="A207" s="37" t="n">
        <v>361284788</v>
      </c>
      <c r="B207" s="38" t="n">
        <v>46220.3886689815</v>
      </c>
      <c r="C207" s="37" t="s">
        <v>340</v>
      </c>
      <c r="D207" s="37" t="s">
        <v>554</v>
      </c>
      <c r="E207" s="37" t="n">
        <v>24370297</v>
      </c>
      <c r="F207" s="37" t="s">
        <v>163</v>
      </c>
      <c r="G207" s="37" t="s">
        <v>197</v>
      </c>
      <c r="H207" s="37" t="s">
        <v>187</v>
      </c>
      <c r="I207" s="37" t="n">
        <v>52.3</v>
      </c>
      <c r="J207" s="39" t="n">
        <v>619.99</v>
      </c>
      <c r="K207" s="37" t="s">
        <v>518</v>
      </c>
      <c r="L207" s="39" t="n">
        <v>131.25</v>
      </c>
      <c r="M207" s="39" t="n">
        <v>70.98</v>
      </c>
      <c r="N207" s="39" t="n">
        <f aca="false">J207*Resumo!$C$6</f>
        <v>0</v>
      </c>
      <c r="O207" s="39" t="n">
        <f aca="false">J207*Resumo!$C$7</f>
        <v>1.301979</v>
      </c>
      <c r="P207" s="39" t="n">
        <f aca="false">J207*Resumo!$C$8</f>
        <v>1.301979</v>
      </c>
      <c r="Q207" s="39" t="n">
        <f aca="false">Resumo!$C$10*CEILING(I207/100,1)</f>
        <v>1.05</v>
      </c>
      <c r="R207" s="39" t="n">
        <f aca="false">Resumo!$C$9</f>
        <v>0</v>
      </c>
      <c r="S207" s="39" t="n">
        <f aca="false">Resumo!$C$13</f>
        <v>13.55</v>
      </c>
      <c r="T207" s="39" t="n">
        <f aca="false">Resumo!$C$14*CEILING(I207,1)</f>
        <v>23.85</v>
      </c>
      <c r="U207" s="39" t="n">
        <f aca="false">SUM(M207:T207)*Resumo!$C$11</f>
        <v>0</v>
      </c>
      <c r="V207" s="39" t="n">
        <f aca="false">SUM(M207:U207)</f>
        <v>112.033958</v>
      </c>
      <c r="W207" s="39" t="n">
        <f aca="false">V207/(1-Resumo!$C$5)</f>
        <v>127.311315909091</v>
      </c>
      <c r="X207" s="39" t="n">
        <v>128.14</v>
      </c>
      <c r="Y207" s="39" t="n">
        <f aca="false">J207*Resumo!$B$6</f>
        <v>0.61999</v>
      </c>
      <c r="Z207" s="39" t="n">
        <f aca="false">J207*Resumo!$B$7</f>
        <v>1.23998</v>
      </c>
      <c r="AA207" s="39" t="n">
        <f aca="false">Resumo!$B$9</f>
        <v>1</v>
      </c>
      <c r="AB207" s="39" t="n">
        <f aca="false">Resumo!$B$10*CEILING(I207/100,1)</f>
        <v>4.5</v>
      </c>
      <c r="AC207" s="39" t="n">
        <f aca="false">Resumo!$B$12*CEILING(I207,1)</f>
        <v>3.18</v>
      </c>
      <c r="AD207" s="39" t="n">
        <f aca="false">Resumo!$B$14*CEILING(I207,1)</f>
        <v>23.85</v>
      </c>
      <c r="AE207" s="39" t="n">
        <f aca="false">SUM(X207:AD207)</f>
        <v>162.52997</v>
      </c>
      <c r="AF207" s="39" t="n">
        <f aca="false">AE207/(1-Resumo!$B$5)</f>
        <v>184.693147727273</v>
      </c>
      <c r="AG207" s="39" t="n">
        <f aca="false">AF207-W207</f>
        <v>57.3818318181818</v>
      </c>
      <c r="AH207" s="40" t="n">
        <f aca="false">AF207/W207-1</f>
        <v>0.45072059312588</v>
      </c>
      <c r="AI207" s="37" t="str">
        <f aca="false">IF(AF207&lt;W207,"SIM","NÃO")</f>
        <v>NÃO</v>
      </c>
      <c r="AJ207" s="37" t="n">
        <v>2</v>
      </c>
      <c r="AK207" s="37" t="n">
        <v>7</v>
      </c>
      <c r="AL207" s="37" t="s">
        <v>343</v>
      </c>
      <c r="AM207" s="39" t="n">
        <v>128.25</v>
      </c>
    </row>
    <row r="208" customFormat="false" ht="15" hidden="false" customHeight="false" outlineLevel="0" collapsed="false">
      <c r="A208" s="37" t="n">
        <v>361292221</v>
      </c>
      <c r="B208" s="38" t="n">
        <v>46220.3975231482</v>
      </c>
      <c r="C208" s="37" t="s">
        <v>345</v>
      </c>
      <c r="D208" s="37" t="s">
        <v>555</v>
      </c>
      <c r="E208" s="37" t="n">
        <v>25040240</v>
      </c>
      <c r="F208" s="37" t="s">
        <v>161</v>
      </c>
      <c r="G208" s="37" t="s">
        <v>197</v>
      </c>
      <c r="H208" s="37" t="s">
        <v>187</v>
      </c>
      <c r="I208" s="37" t="n">
        <v>52.3</v>
      </c>
      <c r="J208" s="39" t="n">
        <v>650.86</v>
      </c>
      <c r="K208" s="37" t="s">
        <v>518</v>
      </c>
      <c r="L208" s="39" t="n">
        <v>131.4</v>
      </c>
      <c r="M208" s="39" t="n">
        <v>70.98</v>
      </c>
      <c r="N208" s="39" t="n">
        <f aca="false">J208*Resumo!$C$6</f>
        <v>0</v>
      </c>
      <c r="O208" s="39" t="n">
        <f aca="false">J208*Resumo!$C$7</f>
        <v>1.366806</v>
      </c>
      <c r="P208" s="39" t="n">
        <f aca="false">J208*Resumo!$C$8</f>
        <v>1.366806</v>
      </c>
      <c r="Q208" s="39" t="n">
        <f aca="false">Resumo!$C$10*CEILING(I208/100,1)</f>
        <v>1.05</v>
      </c>
      <c r="R208" s="39" t="n">
        <f aca="false">Resumo!$C$9</f>
        <v>0</v>
      </c>
      <c r="S208" s="39" t="n">
        <f aca="false">Resumo!$C$13</f>
        <v>13.55</v>
      </c>
      <c r="T208" s="39" t="n">
        <f aca="false">Resumo!$C$14*CEILING(I208,1)</f>
        <v>23.85</v>
      </c>
      <c r="U208" s="39" t="n">
        <f aca="false">SUM(M208:T208)*Resumo!$C$11</f>
        <v>0</v>
      </c>
      <c r="V208" s="39" t="n">
        <f aca="false">SUM(M208:U208)</f>
        <v>112.163612</v>
      </c>
      <c r="W208" s="39" t="n">
        <f aca="false">V208/(1-Resumo!$C$5)</f>
        <v>127.45865</v>
      </c>
      <c r="X208" s="39" t="n">
        <v>112.3</v>
      </c>
      <c r="Y208" s="39" t="n">
        <f aca="false">J208*Resumo!$B$6</f>
        <v>0.65086</v>
      </c>
      <c r="Z208" s="39" t="n">
        <f aca="false">J208*Resumo!$B$7</f>
        <v>1.30172</v>
      </c>
      <c r="AA208" s="39" t="n">
        <f aca="false">Resumo!$B$9</f>
        <v>1</v>
      </c>
      <c r="AB208" s="39" t="n">
        <f aca="false">Resumo!$B$10*CEILING(I208/100,1)</f>
        <v>4.5</v>
      </c>
      <c r="AC208" s="39" t="n">
        <f aca="false">Resumo!$B$12*CEILING(I208,1)</f>
        <v>3.18</v>
      </c>
      <c r="AD208" s="39" t="n">
        <f aca="false">Resumo!$B$14*CEILING(I208,1)</f>
        <v>23.85</v>
      </c>
      <c r="AE208" s="39" t="n">
        <f aca="false">SUM(X208:AD208)</f>
        <v>146.78258</v>
      </c>
      <c r="AF208" s="39" t="n">
        <f aca="false">AE208/(1-Resumo!$B$5)</f>
        <v>166.798386363636</v>
      </c>
      <c r="AG208" s="39" t="n">
        <f aca="false">AF208-W208</f>
        <v>39.3397363636364</v>
      </c>
      <c r="AH208" s="40" t="n">
        <f aca="false">AF208/W208-1</f>
        <v>0.308647050346417</v>
      </c>
      <c r="AI208" s="37" t="str">
        <f aca="false">IF(AF208&lt;W208,"SIM","NÃO")</f>
        <v>NÃO</v>
      </c>
      <c r="AJ208" s="37" t="n">
        <v>2</v>
      </c>
      <c r="AK208" s="37" t="n">
        <v>5</v>
      </c>
      <c r="AL208" s="37" t="s">
        <v>343</v>
      </c>
      <c r="AM208" s="39" t="n">
        <v>128.4</v>
      </c>
    </row>
    <row r="209" customFormat="false" ht="15" hidden="false" customHeight="false" outlineLevel="0" collapsed="false">
      <c r="A209" s="37" t="n">
        <v>361378443</v>
      </c>
      <c r="B209" s="38" t="n">
        <v>46220.5039236111</v>
      </c>
      <c r="C209" s="37" t="s">
        <v>375</v>
      </c>
      <c r="D209" s="37" t="s">
        <v>556</v>
      </c>
      <c r="E209" s="37" t="n">
        <v>28623410</v>
      </c>
      <c r="F209" s="37" t="s">
        <v>177</v>
      </c>
      <c r="G209" s="37" t="s">
        <v>198</v>
      </c>
      <c r="H209" s="37" t="s">
        <v>185</v>
      </c>
      <c r="I209" s="37" t="n">
        <v>35.55</v>
      </c>
      <c r="J209" s="39" t="n">
        <v>499.99</v>
      </c>
      <c r="K209" s="37" t="s">
        <v>518</v>
      </c>
      <c r="L209" s="39" t="n">
        <v>122.58</v>
      </c>
      <c r="M209" s="39" t="n">
        <v>74.97</v>
      </c>
      <c r="N209" s="39" t="n">
        <f aca="false">J209*Resumo!$C$6</f>
        <v>0</v>
      </c>
      <c r="O209" s="39" t="n">
        <f aca="false">J209*Resumo!$C$7</f>
        <v>1.049979</v>
      </c>
      <c r="P209" s="39" t="n">
        <f aca="false">J209*Resumo!$C$8</f>
        <v>1.049979</v>
      </c>
      <c r="Q209" s="39" t="n">
        <f aca="false">Resumo!$C$10*CEILING(I209/100,1)</f>
        <v>1.05</v>
      </c>
      <c r="R209" s="39" t="n">
        <f aca="false">Resumo!$C$9</f>
        <v>0</v>
      </c>
      <c r="S209" s="39" t="n">
        <f aca="false">Resumo!$C$13</f>
        <v>13.55</v>
      </c>
      <c r="T209" s="39" t="n">
        <f aca="false">Resumo!$C$14*CEILING(I209,1)</f>
        <v>16.2</v>
      </c>
      <c r="U209" s="39" t="n">
        <f aca="false">SUM(M209:T209)*Resumo!$C$11</f>
        <v>0</v>
      </c>
      <c r="V209" s="39" t="n">
        <f aca="false">SUM(M209:U209)</f>
        <v>107.869958</v>
      </c>
      <c r="W209" s="39" t="n">
        <f aca="false">V209/(1-Resumo!$C$5)</f>
        <v>122.579497727273</v>
      </c>
      <c r="X209" s="39" t="n">
        <v>125.63</v>
      </c>
      <c r="Y209" s="39" t="n">
        <f aca="false">J209*Resumo!$B$6</f>
        <v>0.49999</v>
      </c>
      <c r="Z209" s="39" t="n">
        <f aca="false">J209*Resumo!$B$7</f>
        <v>0.99998</v>
      </c>
      <c r="AA209" s="39" t="n">
        <f aca="false">Resumo!$B$9</f>
        <v>1</v>
      </c>
      <c r="AB209" s="39" t="n">
        <f aca="false">Resumo!$B$10*CEILING(I209/100,1)</f>
        <v>4.5</v>
      </c>
      <c r="AC209" s="39" t="n">
        <f aca="false">Resumo!$B$12*CEILING(I209,1)</f>
        <v>2.16</v>
      </c>
      <c r="AD209" s="39" t="n">
        <f aca="false">Resumo!$B$14*CEILING(I209,1)</f>
        <v>16.2</v>
      </c>
      <c r="AE209" s="39" t="n">
        <f aca="false">SUM(X209:AD209)</f>
        <v>150.98997</v>
      </c>
      <c r="AF209" s="39" t="n">
        <f aca="false">AE209/(1-Resumo!$B$5)</f>
        <v>171.579511363636</v>
      </c>
      <c r="AG209" s="39" t="n">
        <f aca="false">AF209-W209</f>
        <v>49.0000136363636</v>
      </c>
      <c r="AH209" s="40" t="n">
        <f aca="false">AF209/W209-1</f>
        <v>0.399740695180395</v>
      </c>
      <c r="AI209" s="37" t="str">
        <f aca="false">IF(AF209&lt;W209,"SIM","NÃO")</f>
        <v>NÃO</v>
      </c>
      <c r="AJ209" s="37" t="n">
        <v>13</v>
      </c>
      <c r="AK209" s="37" t="n">
        <v>10</v>
      </c>
      <c r="AL209" s="37" t="s">
        <v>343</v>
      </c>
      <c r="AM209" s="39" t="n">
        <v>122.64</v>
      </c>
    </row>
    <row r="210" customFormat="false" ht="15" hidden="false" customHeight="false" outlineLevel="0" collapsed="false">
      <c r="A210" s="37" t="n">
        <v>361388305</v>
      </c>
      <c r="B210" s="38" t="n">
        <v>46220.5094328704</v>
      </c>
      <c r="C210" s="37" t="s">
        <v>340</v>
      </c>
      <c r="D210" s="37" t="s">
        <v>557</v>
      </c>
      <c r="E210" s="37" t="n">
        <v>25560440</v>
      </c>
      <c r="F210" s="37" t="s">
        <v>167</v>
      </c>
      <c r="G210" s="37" t="s">
        <v>197</v>
      </c>
      <c r="H210" s="37" t="s">
        <v>184</v>
      </c>
      <c r="I210" s="37" t="n">
        <v>31.9</v>
      </c>
      <c r="J210" s="39" t="n">
        <v>508.42</v>
      </c>
      <c r="K210" s="37" t="s">
        <v>518</v>
      </c>
      <c r="L210" s="39" t="n">
        <v>102.2</v>
      </c>
      <c r="M210" s="39" t="n">
        <v>58.8</v>
      </c>
      <c r="N210" s="39" t="n">
        <f aca="false">J210*Resumo!$C$6</f>
        <v>0</v>
      </c>
      <c r="O210" s="39" t="n">
        <f aca="false">J210*Resumo!$C$7</f>
        <v>1.067682</v>
      </c>
      <c r="P210" s="39" t="n">
        <f aca="false">J210*Resumo!$C$8</f>
        <v>1.067682</v>
      </c>
      <c r="Q210" s="39" t="n">
        <f aca="false">Resumo!$C$10*CEILING(I210/100,1)</f>
        <v>1.05</v>
      </c>
      <c r="R210" s="39" t="n">
        <f aca="false">Resumo!$C$9</f>
        <v>0</v>
      </c>
      <c r="S210" s="39" t="n">
        <f aca="false">Resumo!$C$13</f>
        <v>13.55</v>
      </c>
      <c r="T210" s="39" t="n">
        <f aca="false">Resumo!$C$14*CEILING(I210,1)</f>
        <v>14.4</v>
      </c>
      <c r="U210" s="39" t="n">
        <f aca="false">SUM(M210:T210)*Resumo!$C$11</f>
        <v>0</v>
      </c>
      <c r="V210" s="39" t="n">
        <f aca="false">SUM(M210:U210)</f>
        <v>89.935364</v>
      </c>
      <c r="W210" s="39" t="n">
        <f aca="false">V210/(1-Resumo!$C$5)</f>
        <v>102.199277272727</v>
      </c>
      <c r="X210" s="39" t="n">
        <v>82.21</v>
      </c>
      <c r="Y210" s="39" t="n">
        <f aca="false">J210*Resumo!$B$6</f>
        <v>0.50842</v>
      </c>
      <c r="Z210" s="39" t="n">
        <f aca="false">J210*Resumo!$B$7</f>
        <v>1.01684</v>
      </c>
      <c r="AA210" s="39" t="n">
        <f aca="false">Resumo!$B$9</f>
        <v>1</v>
      </c>
      <c r="AB210" s="39" t="n">
        <f aca="false">Resumo!$B$10*CEILING(I210/100,1)</f>
        <v>4.5</v>
      </c>
      <c r="AC210" s="39" t="n">
        <f aca="false">Resumo!$B$12*CEILING(I210,1)</f>
        <v>1.92</v>
      </c>
      <c r="AD210" s="39" t="n">
        <f aca="false">Resumo!$B$14*CEILING(I210,1)</f>
        <v>14.4</v>
      </c>
      <c r="AE210" s="39" t="n">
        <f aca="false">SUM(X210:AD210)</f>
        <v>105.55526</v>
      </c>
      <c r="AF210" s="39" t="n">
        <f aca="false">AE210/(1-Resumo!$B$5)</f>
        <v>119.949159090909</v>
      </c>
      <c r="AG210" s="39" t="n">
        <f aca="false">AF210-W210</f>
        <v>17.7498818181818</v>
      </c>
      <c r="AH210" s="40" t="n">
        <f aca="false">AF210/W210-1</f>
        <v>0.17367913249342</v>
      </c>
      <c r="AI210" s="37" t="str">
        <f aca="false">IF(AF210&lt;W210,"SIM","NÃO")</f>
        <v>NÃO</v>
      </c>
      <c r="AJ210" s="37" t="n">
        <v>2</v>
      </c>
      <c r="AK210" s="37" t="n">
        <v>5</v>
      </c>
      <c r="AL210" s="37" t="s">
        <v>343</v>
      </c>
      <c r="AM210" s="39" t="n">
        <v>101.82</v>
      </c>
    </row>
    <row r="211" customFormat="false" ht="15" hidden="false" customHeight="false" outlineLevel="0" collapsed="false">
      <c r="A211" s="37" t="n">
        <v>361396382</v>
      </c>
      <c r="B211" s="38" t="n">
        <v>46220.5182986111</v>
      </c>
      <c r="C211" s="37" t="s">
        <v>340</v>
      </c>
      <c r="D211" s="37" t="s">
        <v>558</v>
      </c>
      <c r="E211" s="37" t="n">
        <v>22725441</v>
      </c>
      <c r="F211" s="37" t="s">
        <v>159</v>
      </c>
      <c r="G211" s="37" t="s">
        <v>196</v>
      </c>
      <c r="H211" s="37" t="s">
        <v>184</v>
      </c>
      <c r="I211" s="37" t="n">
        <v>27.4</v>
      </c>
      <c r="J211" s="39" t="n">
        <v>359.99</v>
      </c>
      <c r="K211" s="37" t="s">
        <v>342</v>
      </c>
      <c r="L211" s="39" t="n">
        <v>82.05</v>
      </c>
      <c r="M211" s="39" t="n">
        <v>42.11</v>
      </c>
      <c r="N211" s="39" t="n">
        <f aca="false">J211*Resumo!$C$6</f>
        <v>0</v>
      </c>
      <c r="O211" s="39" t="n">
        <f aca="false">J211*Resumo!$C$7</f>
        <v>0.755979</v>
      </c>
      <c r="P211" s="39" t="n">
        <f aca="false">J211*Resumo!$C$8</f>
        <v>0.755979</v>
      </c>
      <c r="Q211" s="39" t="n">
        <f aca="false">Resumo!$C$10*CEILING(I211/100,1)</f>
        <v>1.05</v>
      </c>
      <c r="R211" s="39" t="n">
        <f aca="false">Resumo!$C$9</f>
        <v>0</v>
      </c>
      <c r="S211" s="39" t="n">
        <f aca="false">Resumo!$C$13</f>
        <v>13.55</v>
      </c>
      <c r="T211" s="39" t="n">
        <f aca="false">Resumo!$C$14*CEILING(I211,1)</f>
        <v>12.6</v>
      </c>
      <c r="U211" s="39" t="n">
        <f aca="false">SUM(M211:T211)*Resumo!$C$11</f>
        <v>0</v>
      </c>
      <c r="V211" s="39" t="n">
        <f aca="false">SUM(M211:U211)</f>
        <v>70.821958</v>
      </c>
      <c r="W211" s="39" t="n">
        <f aca="false">V211/(1-Resumo!$C$5)</f>
        <v>80.4794977272727</v>
      </c>
      <c r="X211" s="39" t="n">
        <v>82.21</v>
      </c>
      <c r="Y211" s="39" t="n">
        <f aca="false">J211*Resumo!$B$6</f>
        <v>0.35999</v>
      </c>
      <c r="Z211" s="39" t="n">
        <f aca="false">J211*Resumo!$B$7</f>
        <v>0.71998</v>
      </c>
      <c r="AA211" s="39" t="n">
        <f aca="false">Resumo!$B$9</f>
        <v>1</v>
      </c>
      <c r="AB211" s="39" t="n">
        <f aca="false">Resumo!$B$10*CEILING(I211/100,1)</f>
        <v>4.5</v>
      </c>
      <c r="AC211" s="39" t="n">
        <f aca="false">Resumo!$B$12*CEILING(I211,1)</f>
        <v>1.68</v>
      </c>
      <c r="AD211" s="39" t="n">
        <f aca="false">Resumo!$B$14*CEILING(I211,1)</f>
        <v>12.6</v>
      </c>
      <c r="AE211" s="39" t="n">
        <f aca="false">SUM(X211:AD211)</f>
        <v>103.06997</v>
      </c>
      <c r="AF211" s="39" t="n">
        <f aca="false">AE211/(1-Resumo!$B$5)</f>
        <v>117.124965909091</v>
      </c>
      <c r="AG211" s="39" t="n">
        <f aca="false">AF211-W211</f>
        <v>36.6454681818182</v>
      </c>
      <c r="AH211" s="40" t="n">
        <f aca="false">AF211/W211-1</f>
        <v>0.455339176022216</v>
      </c>
      <c r="AI211" s="37" t="str">
        <f aca="false">IF(AF211&lt;W211,"SIM","NÃO")</f>
        <v>NÃO</v>
      </c>
      <c r="AJ211" s="37" t="n">
        <v>2</v>
      </c>
      <c r="AK211" s="37" t="n">
        <v>5</v>
      </c>
      <c r="AL211" s="37" t="s">
        <v>343</v>
      </c>
      <c r="AM211" s="39" t="n">
        <v>82.05</v>
      </c>
    </row>
    <row r="212" customFormat="false" ht="15" hidden="false" customHeight="false" outlineLevel="0" collapsed="false">
      <c r="A212" s="37" t="n">
        <v>361410420</v>
      </c>
      <c r="B212" s="38" t="n">
        <v>46220.5322337963</v>
      </c>
      <c r="C212" s="37" t="s">
        <v>340</v>
      </c>
      <c r="D212" s="37" t="s">
        <v>559</v>
      </c>
      <c r="E212" s="37" t="n">
        <v>23587610</v>
      </c>
      <c r="F212" s="37" t="s">
        <v>159</v>
      </c>
      <c r="G212" s="37" t="s">
        <v>196</v>
      </c>
      <c r="H212" s="37" t="s">
        <v>183</v>
      </c>
      <c r="I212" s="37" t="n">
        <v>19.5</v>
      </c>
      <c r="J212" s="39" t="n">
        <v>389.99</v>
      </c>
      <c r="K212" s="37" t="s">
        <v>518</v>
      </c>
      <c r="L212" s="39" t="n">
        <v>66.66</v>
      </c>
      <c r="M212" s="39" t="n">
        <v>33.42</v>
      </c>
      <c r="N212" s="39" t="n">
        <f aca="false">J212*Resumo!$C$6</f>
        <v>0</v>
      </c>
      <c r="O212" s="39" t="n">
        <f aca="false">J212*Resumo!$C$7</f>
        <v>0.818979</v>
      </c>
      <c r="P212" s="39" t="n">
        <f aca="false">J212*Resumo!$C$8</f>
        <v>0.818979</v>
      </c>
      <c r="Q212" s="39" t="n">
        <f aca="false">Resumo!$C$10*CEILING(I212/100,1)</f>
        <v>1.05</v>
      </c>
      <c r="R212" s="39" t="n">
        <f aca="false">Resumo!$C$9</f>
        <v>0</v>
      </c>
      <c r="S212" s="39" t="n">
        <f aca="false">Resumo!$C$13</f>
        <v>13.55</v>
      </c>
      <c r="T212" s="39" t="n">
        <f aca="false">Resumo!$C$14*CEILING(I212,1)</f>
        <v>9</v>
      </c>
      <c r="U212" s="39" t="n">
        <f aca="false">SUM(M212:T212)*Resumo!$C$11</f>
        <v>0</v>
      </c>
      <c r="V212" s="39" t="n">
        <f aca="false">SUM(M212:U212)</f>
        <v>58.657958</v>
      </c>
      <c r="W212" s="39" t="n">
        <f aca="false">V212/(1-Resumo!$C$5)</f>
        <v>66.6567704545455</v>
      </c>
      <c r="X212" s="39" t="n">
        <v>46.98</v>
      </c>
      <c r="Y212" s="39" t="n">
        <f aca="false">J212*Resumo!$B$6</f>
        <v>0.38999</v>
      </c>
      <c r="Z212" s="39" t="n">
        <f aca="false">J212*Resumo!$B$7</f>
        <v>0.77998</v>
      </c>
      <c r="AA212" s="39" t="n">
        <f aca="false">Resumo!$B$9</f>
        <v>1</v>
      </c>
      <c r="AB212" s="39" t="n">
        <f aca="false">Resumo!$B$10*CEILING(I212/100,1)</f>
        <v>4.5</v>
      </c>
      <c r="AC212" s="39" t="n">
        <f aca="false">Resumo!$B$12*CEILING(I212,1)</f>
        <v>1.2</v>
      </c>
      <c r="AD212" s="39" t="n">
        <f aca="false">Resumo!$B$14*CEILING(I212,1)</f>
        <v>9</v>
      </c>
      <c r="AE212" s="39" t="n">
        <f aca="false">SUM(X212:AD212)</f>
        <v>63.84997</v>
      </c>
      <c r="AF212" s="39" t="n">
        <f aca="false">AE212/(1-Resumo!$B$5)</f>
        <v>72.5567840909091</v>
      </c>
      <c r="AG212" s="39" t="n">
        <f aca="false">AF212-W212</f>
        <v>5.90001363636364</v>
      </c>
      <c r="AH212" s="40" t="n">
        <f aca="false">AF212/W212-1</f>
        <v>0.0885133437478338</v>
      </c>
      <c r="AI212" s="37" t="str">
        <f aca="false">IF(AF212&lt;W212,"SIM","NÃO")</f>
        <v>NÃO</v>
      </c>
      <c r="AJ212" s="37" t="n">
        <v>2</v>
      </c>
      <c r="AK212" s="37" t="n">
        <v>5</v>
      </c>
      <c r="AL212" s="37" t="s">
        <v>343</v>
      </c>
      <c r="AM212" s="39" t="n">
        <v>65.09</v>
      </c>
    </row>
    <row r="213" customFormat="false" ht="15" hidden="false" customHeight="false" outlineLevel="0" collapsed="false">
      <c r="A213" s="37" t="n">
        <v>361437400</v>
      </c>
      <c r="B213" s="38" t="n">
        <v>46220.5672916667</v>
      </c>
      <c r="C213" s="37" t="s">
        <v>340</v>
      </c>
      <c r="D213" s="37" t="s">
        <v>560</v>
      </c>
      <c r="E213" s="37" t="n">
        <v>25985010</v>
      </c>
      <c r="F213" s="37" t="s">
        <v>235</v>
      </c>
      <c r="G213" s="37" t="s">
        <v>198</v>
      </c>
      <c r="H213" s="37" t="s">
        <v>184</v>
      </c>
      <c r="I213" s="37" t="n">
        <v>20.9</v>
      </c>
      <c r="J213" s="39" t="n">
        <v>529.99</v>
      </c>
      <c r="K213" s="37" t="s">
        <v>518</v>
      </c>
      <c r="L213" s="39" t="n">
        <v>104.43</v>
      </c>
      <c r="M213" s="39" t="n">
        <v>65.63</v>
      </c>
      <c r="N213" s="39" t="n">
        <f aca="false">J213*Resumo!$C$6</f>
        <v>0</v>
      </c>
      <c r="O213" s="39" t="n">
        <f aca="false">J213*Resumo!$C$7</f>
        <v>1.112979</v>
      </c>
      <c r="P213" s="39" t="n">
        <f aca="false">J213*Resumo!$C$8</f>
        <v>1.112979</v>
      </c>
      <c r="Q213" s="39" t="n">
        <f aca="false">Resumo!$C$10*CEILING(I213/100,1)</f>
        <v>1.05</v>
      </c>
      <c r="R213" s="39" t="n">
        <f aca="false">Resumo!$C$9</f>
        <v>0</v>
      </c>
      <c r="S213" s="39" t="n">
        <f aca="false">Resumo!$C$13</f>
        <v>13.55</v>
      </c>
      <c r="T213" s="39" t="n">
        <f aca="false">Resumo!$C$14*CEILING(I213,1)</f>
        <v>9.45</v>
      </c>
      <c r="U213" s="39" t="n">
        <f aca="false">SUM(M213:T213)*Resumo!$C$11</f>
        <v>0</v>
      </c>
      <c r="V213" s="39" t="n">
        <f aca="false">SUM(M213:U213)</f>
        <v>91.905958</v>
      </c>
      <c r="W213" s="39" t="n">
        <f aca="false">V213/(1-Resumo!$C$5)</f>
        <v>104.438588636364</v>
      </c>
      <c r="X213" s="39" t="n">
        <v>120.78</v>
      </c>
      <c r="Y213" s="39" t="n">
        <f aca="false">J213*Resumo!$B$6</f>
        <v>0.52999</v>
      </c>
      <c r="Z213" s="39" t="n">
        <f aca="false">J213*Resumo!$B$7</f>
        <v>1.05998</v>
      </c>
      <c r="AA213" s="39" t="n">
        <f aca="false">Resumo!$B$9</f>
        <v>1</v>
      </c>
      <c r="AB213" s="39" t="n">
        <f aca="false">Resumo!$B$10*CEILING(I213/100,1)</f>
        <v>4.5</v>
      </c>
      <c r="AC213" s="39" t="n">
        <f aca="false">Resumo!$B$12*CEILING(I213,1)</f>
        <v>1.26</v>
      </c>
      <c r="AD213" s="39" t="n">
        <f aca="false">Resumo!$B$14*CEILING(I213,1)</f>
        <v>9.45</v>
      </c>
      <c r="AE213" s="39" t="n">
        <f aca="false">SUM(X213:AD213)</f>
        <v>138.57997</v>
      </c>
      <c r="AF213" s="39" t="n">
        <f aca="false">AE213/(1-Resumo!$B$5)</f>
        <v>157.477238636364</v>
      </c>
      <c r="AG213" s="39" t="n">
        <f aca="false">AF213-W213</f>
        <v>53.03865</v>
      </c>
      <c r="AH213" s="40" t="n">
        <f aca="false">AF213/W213-1</f>
        <v>0.507845334684396</v>
      </c>
      <c r="AI213" s="37" t="str">
        <f aca="false">IF(AF213&lt;W213,"SIM","NÃO")</f>
        <v>NÃO</v>
      </c>
      <c r="AJ213" s="37" t="n">
        <v>13</v>
      </c>
      <c r="AK213" s="37" t="n">
        <v>10</v>
      </c>
      <c r="AL213" s="37" t="s">
        <v>347</v>
      </c>
      <c r="AM213" s="39" t="n">
        <v>109.72</v>
      </c>
    </row>
    <row r="214" customFormat="false" ht="15" hidden="false" customHeight="false" outlineLevel="0" collapsed="false">
      <c r="A214" s="37" t="n">
        <v>361447086</v>
      </c>
      <c r="B214" s="38" t="n">
        <v>46220.5869791667</v>
      </c>
      <c r="C214" s="37" t="s">
        <v>340</v>
      </c>
      <c r="D214" s="37" t="s">
        <v>561</v>
      </c>
      <c r="E214" s="37" t="n">
        <v>23028050</v>
      </c>
      <c r="F214" s="37" t="s">
        <v>159</v>
      </c>
      <c r="G214" s="37" t="s">
        <v>196</v>
      </c>
      <c r="H214" s="37" t="s">
        <v>186</v>
      </c>
      <c r="I214" s="37" t="n">
        <v>48.6</v>
      </c>
      <c r="J214" s="39" t="n">
        <v>699.99</v>
      </c>
      <c r="K214" s="37" t="s">
        <v>518</v>
      </c>
      <c r="L214" s="39" t="n">
        <v>105.84</v>
      </c>
      <c r="M214" s="39" t="n">
        <v>53.55</v>
      </c>
      <c r="N214" s="39" t="n">
        <f aca="false">J214*Resumo!$C$6</f>
        <v>0</v>
      </c>
      <c r="O214" s="39" t="n">
        <f aca="false">J214*Resumo!$C$7</f>
        <v>1.469979</v>
      </c>
      <c r="P214" s="39" t="n">
        <f aca="false">J214*Resumo!$C$8</f>
        <v>1.469979</v>
      </c>
      <c r="Q214" s="39" t="n">
        <f aca="false">Resumo!$C$10*CEILING(I214/100,1)</f>
        <v>1.05</v>
      </c>
      <c r="R214" s="39" t="n">
        <f aca="false">Resumo!$C$9</f>
        <v>0</v>
      </c>
      <c r="S214" s="39" t="n">
        <f aca="false">Resumo!$C$13</f>
        <v>13.55</v>
      </c>
      <c r="T214" s="39" t="n">
        <f aca="false">Resumo!$C$14*CEILING(I214,1)</f>
        <v>22.05</v>
      </c>
      <c r="U214" s="39" t="n">
        <f aca="false">SUM(M214:T214)*Resumo!$C$11</f>
        <v>0</v>
      </c>
      <c r="V214" s="39" t="n">
        <f aca="false">SUM(M214:U214)</f>
        <v>93.139958</v>
      </c>
      <c r="W214" s="39" t="n">
        <f aca="false">V214/(1-Resumo!$C$5)</f>
        <v>105.840861363636</v>
      </c>
      <c r="X214" s="39" t="n">
        <v>93.97</v>
      </c>
      <c r="Y214" s="39" t="n">
        <f aca="false">J214*Resumo!$B$6</f>
        <v>0.69999</v>
      </c>
      <c r="Z214" s="39" t="n">
        <f aca="false">J214*Resumo!$B$7</f>
        <v>1.39998</v>
      </c>
      <c r="AA214" s="39" t="n">
        <f aca="false">Resumo!$B$9</f>
        <v>1</v>
      </c>
      <c r="AB214" s="39" t="n">
        <f aca="false">Resumo!$B$10*CEILING(I214/100,1)</f>
        <v>4.5</v>
      </c>
      <c r="AC214" s="39" t="n">
        <f aca="false">Resumo!$B$12*CEILING(I214,1)</f>
        <v>2.94</v>
      </c>
      <c r="AD214" s="39" t="n">
        <f aca="false">Resumo!$B$14*CEILING(I214,1)</f>
        <v>22.05</v>
      </c>
      <c r="AE214" s="39" t="n">
        <f aca="false">SUM(X214:AD214)</f>
        <v>126.55997</v>
      </c>
      <c r="AF214" s="39" t="n">
        <f aca="false">AE214/(1-Resumo!$B$5)</f>
        <v>143.818147727273</v>
      </c>
      <c r="AG214" s="39" t="n">
        <f aca="false">AF214-W214</f>
        <v>37.9772863636364</v>
      </c>
      <c r="AH214" s="40" t="n">
        <f aca="false">AF214/W214-1</f>
        <v>0.358814978207313</v>
      </c>
      <c r="AI214" s="37" t="str">
        <f aca="false">IF(AF214&lt;W214,"SIM","NÃO")</f>
        <v>NÃO</v>
      </c>
      <c r="AJ214" s="37" t="n">
        <v>2</v>
      </c>
      <c r="AK214" s="37" t="n">
        <v>5</v>
      </c>
      <c r="AL214" s="37" t="s">
        <v>343</v>
      </c>
      <c r="AM214" s="39" t="n">
        <v>103.94</v>
      </c>
    </row>
    <row r="215" customFormat="false" ht="15" hidden="false" customHeight="false" outlineLevel="0" collapsed="false">
      <c r="A215" s="37" t="n">
        <v>361453768</v>
      </c>
      <c r="B215" s="38" t="n">
        <v>46220.6055439815</v>
      </c>
      <c r="C215" s="37" t="s">
        <v>345</v>
      </c>
      <c r="D215" s="37" t="s">
        <v>562</v>
      </c>
      <c r="E215" s="37" t="n">
        <v>27113320</v>
      </c>
      <c r="F215" s="37" t="s">
        <v>244</v>
      </c>
      <c r="G215" s="37" t="s">
        <v>198</v>
      </c>
      <c r="H215" s="37" t="s">
        <v>184</v>
      </c>
      <c r="I215" s="37" t="n">
        <v>34.4</v>
      </c>
      <c r="J215" s="39" t="n">
        <v>427.18</v>
      </c>
      <c r="K215" s="37" t="s">
        <v>518</v>
      </c>
      <c r="L215" s="39" t="n">
        <v>111.11</v>
      </c>
      <c r="M215" s="39" t="n">
        <v>65.63</v>
      </c>
      <c r="N215" s="39" t="n">
        <f aca="false">J215*Resumo!$C$6</f>
        <v>0</v>
      </c>
      <c r="O215" s="39" t="n">
        <f aca="false">J215*Resumo!$C$7</f>
        <v>0.897078</v>
      </c>
      <c r="P215" s="39" t="n">
        <f aca="false">J215*Resumo!$C$8</f>
        <v>0.897078</v>
      </c>
      <c r="Q215" s="39" t="n">
        <f aca="false">Resumo!$C$10*CEILING(I215/100,1)</f>
        <v>1.05</v>
      </c>
      <c r="R215" s="39" t="n">
        <f aca="false">Resumo!$C$9</f>
        <v>0</v>
      </c>
      <c r="S215" s="39" t="n">
        <f aca="false">Resumo!$C$13</f>
        <v>13.55</v>
      </c>
      <c r="T215" s="39" t="n">
        <f aca="false">Resumo!$C$14*CEILING(I215,1)</f>
        <v>15.75</v>
      </c>
      <c r="U215" s="39" t="n">
        <f aca="false">SUM(M215:T215)*Resumo!$C$11</f>
        <v>0</v>
      </c>
      <c r="V215" s="39" t="n">
        <f aca="false">SUM(M215:U215)</f>
        <v>97.774156</v>
      </c>
      <c r="W215" s="39" t="n">
        <f aca="false">V215/(1-Resumo!$C$5)</f>
        <v>111.106995454545</v>
      </c>
      <c r="X215" s="39" t="n">
        <v>108.83</v>
      </c>
      <c r="Y215" s="39" t="n">
        <f aca="false">J215*Resumo!$B$6</f>
        <v>0.42718</v>
      </c>
      <c r="Z215" s="39" t="n">
        <f aca="false">J215*Resumo!$B$7</f>
        <v>0.85436</v>
      </c>
      <c r="AA215" s="39" t="n">
        <f aca="false">Resumo!$B$9</f>
        <v>1</v>
      </c>
      <c r="AB215" s="39" t="n">
        <f aca="false">Resumo!$B$10*CEILING(I215/100,1)</f>
        <v>4.5</v>
      </c>
      <c r="AC215" s="39" t="n">
        <f aca="false">Resumo!$B$12*CEILING(I215,1)</f>
        <v>2.1</v>
      </c>
      <c r="AD215" s="39" t="n">
        <f aca="false">Resumo!$B$14*CEILING(I215,1)</f>
        <v>15.75</v>
      </c>
      <c r="AE215" s="39" t="n">
        <f aca="false">SUM(X215:AD215)</f>
        <v>133.46154</v>
      </c>
      <c r="AF215" s="39" t="n">
        <f aca="false">AE215/(1-Resumo!$B$5)</f>
        <v>151.660840909091</v>
      </c>
      <c r="AG215" s="39" t="n">
        <f aca="false">AF215-W215</f>
        <v>40.5538454545455</v>
      </c>
      <c r="AH215" s="40" t="n">
        <f aca="false">AF215/W215-1</f>
        <v>0.364998128953422</v>
      </c>
      <c r="AI215" s="37" t="str">
        <f aca="false">IF(AF215&lt;W215,"SIM","NÃO")</f>
        <v>NÃO</v>
      </c>
      <c r="AJ215" s="37" t="n">
        <v>13</v>
      </c>
      <c r="AK215" s="37" t="n">
        <v>10</v>
      </c>
      <c r="AL215" s="37" t="s">
        <v>347</v>
      </c>
      <c r="AM215" s="39" t="n">
        <v>109.23</v>
      </c>
    </row>
    <row r="216" customFormat="false" ht="15" hidden="false" customHeight="false" outlineLevel="0" collapsed="false">
      <c r="A216" s="37" t="n">
        <v>361465007</v>
      </c>
      <c r="B216" s="38" t="n">
        <v>46220.6375115741</v>
      </c>
      <c r="C216" s="37" t="s">
        <v>340</v>
      </c>
      <c r="D216" s="37" t="s">
        <v>563</v>
      </c>
      <c r="E216" s="37" t="n">
        <v>21630310</v>
      </c>
      <c r="F216" s="37" t="s">
        <v>159</v>
      </c>
      <c r="G216" s="37" t="s">
        <v>196</v>
      </c>
      <c r="H216" s="37" t="s">
        <v>188</v>
      </c>
      <c r="I216" s="37" t="n">
        <v>66.8</v>
      </c>
      <c r="J216" s="39" t="n">
        <v>639.99</v>
      </c>
      <c r="K216" s="37" t="s">
        <v>342</v>
      </c>
      <c r="L216" s="39" t="n">
        <v>124.27</v>
      </c>
      <c r="M216" s="39" t="n">
        <v>63.21</v>
      </c>
      <c r="N216" s="39" t="n">
        <f aca="false">J216*Resumo!$C$6</f>
        <v>0</v>
      </c>
      <c r="O216" s="39" t="n">
        <f aca="false">J216*Resumo!$C$7</f>
        <v>1.343979</v>
      </c>
      <c r="P216" s="39" t="n">
        <f aca="false">J216*Resumo!$C$8</f>
        <v>1.343979</v>
      </c>
      <c r="Q216" s="39" t="n">
        <f aca="false">Resumo!$C$10*CEILING(I216/100,1)</f>
        <v>1.05</v>
      </c>
      <c r="R216" s="39" t="n">
        <f aca="false">Resumo!$C$9</f>
        <v>0</v>
      </c>
      <c r="S216" s="39" t="n">
        <f aca="false">Resumo!$C$13</f>
        <v>13.55</v>
      </c>
      <c r="T216" s="39" t="n">
        <f aca="false">Resumo!$C$14*CEILING(I216,1)</f>
        <v>30.15</v>
      </c>
      <c r="U216" s="39" t="n">
        <f aca="false">SUM(M216:T216)*Resumo!$C$11</f>
        <v>0</v>
      </c>
      <c r="V216" s="39" t="n">
        <f aca="false">SUM(M216:U216)</f>
        <v>110.647958</v>
      </c>
      <c r="W216" s="39" t="n">
        <f aca="false">V216/(1-Resumo!$C$5)</f>
        <v>125.736315909091</v>
      </c>
      <c r="X216" s="39" t="n">
        <v>131.02</v>
      </c>
      <c r="Y216" s="39" t="n">
        <f aca="false">J216*Resumo!$B$6</f>
        <v>0.63999</v>
      </c>
      <c r="Z216" s="39" t="n">
        <f aca="false">J216*Resumo!$B$7</f>
        <v>1.27998</v>
      </c>
      <c r="AA216" s="39" t="n">
        <f aca="false">Resumo!$B$9</f>
        <v>1</v>
      </c>
      <c r="AB216" s="39" t="n">
        <f aca="false">Resumo!$B$10*CEILING(I216/100,1)</f>
        <v>4.5</v>
      </c>
      <c r="AC216" s="39" t="n">
        <f aca="false">Resumo!$B$12*CEILING(I216,1)</f>
        <v>4.02</v>
      </c>
      <c r="AD216" s="39" t="n">
        <f aca="false">Resumo!$B$14*CEILING(I216,1)</f>
        <v>30.15</v>
      </c>
      <c r="AE216" s="39" t="n">
        <f aca="false">SUM(X216:AD216)</f>
        <v>172.60997</v>
      </c>
      <c r="AF216" s="39" t="n">
        <f aca="false">AE216/(1-Resumo!$B$5)</f>
        <v>196.147693181818</v>
      </c>
      <c r="AG216" s="39" t="n">
        <f aca="false">AF216-W216</f>
        <v>70.4113772727273</v>
      </c>
      <c r="AH216" s="40" t="n">
        <f aca="false">AF216/W216-1</f>
        <v>0.559992367866382</v>
      </c>
      <c r="AI216" s="37" t="str">
        <f aca="false">IF(AF216&lt;W216,"SIM","NÃO")</f>
        <v>NÃO</v>
      </c>
      <c r="AJ216" s="37" t="n">
        <v>2</v>
      </c>
      <c r="AK216" s="37" t="n">
        <v>5</v>
      </c>
      <c r="AL216" s="37" t="s">
        <v>343</v>
      </c>
      <c r="AM216" s="39" t="n">
        <v>124.27</v>
      </c>
    </row>
    <row r="217" customFormat="false" ht="15" hidden="false" customHeight="false" outlineLevel="0" collapsed="false">
      <c r="A217" s="37" t="n">
        <v>361470429</v>
      </c>
      <c r="B217" s="38" t="n">
        <v>46220.6539583333</v>
      </c>
      <c r="C217" s="37" t="s">
        <v>345</v>
      </c>
      <c r="D217" s="37" t="s">
        <v>564</v>
      </c>
      <c r="E217" s="37" t="n">
        <v>22451265</v>
      </c>
      <c r="F217" s="37" t="s">
        <v>159</v>
      </c>
      <c r="G217" s="37" t="s">
        <v>196</v>
      </c>
      <c r="H217" s="37" t="s">
        <v>184</v>
      </c>
      <c r="I217" s="37" t="n">
        <v>27.5</v>
      </c>
      <c r="J217" s="39" t="n">
        <v>359.98</v>
      </c>
      <c r="K217" s="37" t="s">
        <v>518</v>
      </c>
      <c r="L217" s="39" t="n">
        <v>80.49</v>
      </c>
      <c r="M217" s="39" t="n">
        <v>42.11</v>
      </c>
      <c r="N217" s="39" t="n">
        <f aca="false">J217*Resumo!$C$6</f>
        <v>0</v>
      </c>
      <c r="O217" s="39" t="n">
        <f aca="false">J217*Resumo!$C$7</f>
        <v>0.755958</v>
      </c>
      <c r="P217" s="39" t="n">
        <f aca="false">J217*Resumo!$C$8</f>
        <v>0.755958</v>
      </c>
      <c r="Q217" s="39" t="n">
        <f aca="false">Resumo!$C$10*CEILING(I217/100,1)</f>
        <v>1.05</v>
      </c>
      <c r="R217" s="39" t="n">
        <f aca="false">Resumo!$C$9</f>
        <v>0</v>
      </c>
      <c r="S217" s="39" t="n">
        <f aca="false">Resumo!$C$13</f>
        <v>13.55</v>
      </c>
      <c r="T217" s="39" t="n">
        <f aca="false">Resumo!$C$14*CEILING(I217,1)</f>
        <v>12.6</v>
      </c>
      <c r="U217" s="39" t="n">
        <f aca="false">SUM(M217:T217)*Resumo!$C$11</f>
        <v>0</v>
      </c>
      <c r="V217" s="39" t="n">
        <f aca="false">SUM(M217:U217)</f>
        <v>70.821916</v>
      </c>
      <c r="W217" s="39" t="n">
        <f aca="false">V217/(1-Resumo!$C$5)</f>
        <v>80.47945</v>
      </c>
      <c r="X217" s="39" t="n">
        <v>82.21</v>
      </c>
      <c r="Y217" s="39" t="n">
        <f aca="false">J217*Resumo!$B$6</f>
        <v>0.35998</v>
      </c>
      <c r="Z217" s="39" t="n">
        <f aca="false">J217*Resumo!$B$7</f>
        <v>0.71996</v>
      </c>
      <c r="AA217" s="39" t="n">
        <f aca="false">Resumo!$B$9</f>
        <v>1</v>
      </c>
      <c r="AB217" s="39" t="n">
        <f aca="false">Resumo!$B$10*CEILING(I217/100,1)</f>
        <v>4.5</v>
      </c>
      <c r="AC217" s="39" t="n">
        <f aca="false">Resumo!$B$12*CEILING(I217,1)</f>
        <v>1.68</v>
      </c>
      <c r="AD217" s="39" t="n">
        <f aca="false">Resumo!$B$14*CEILING(I217,1)</f>
        <v>12.6</v>
      </c>
      <c r="AE217" s="39" t="n">
        <f aca="false">SUM(X217:AD217)</f>
        <v>103.06994</v>
      </c>
      <c r="AF217" s="39" t="n">
        <f aca="false">AE217/(1-Resumo!$B$5)</f>
        <v>117.124931818182</v>
      </c>
      <c r="AG217" s="39" t="n">
        <f aca="false">AF217-W217</f>
        <v>36.6454818181818</v>
      </c>
      <c r="AH217" s="40" t="n">
        <f aca="false">AF217/W217-1</f>
        <v>0.455339615494164</v>
      </c>
      <c r="AI217" s="37" t="str">
        <f aca="false">IF(AF217&lt;W217,"SIM","NÃO")</f>
        <v>NÃO</v>
      </c>
      <c r="AJ217" s="37" t="n">
        <v>2</v>
      </c>
      <c r="AK217" s="37" t="n">
        <v>5</v>
      </c>
      <c r="AL217" s="37" t="s">
        <v>343</v>
      </c>
      <c r="AM217" s="39" t="n">
        <v>82.05</v>
      </c>
    </row>
    <row r="218" customFormat="false" ht="15" hidden="false" customHeight="false" outlineLevel="0" collapsed="false">
      <c r="A218" s="37" t="n">
        <v>361469725</v>
      </c>
      <c r="B218" s="38" t="n">
        <v>46220.6590972222</v>
      </c>
      <c r="C218" s="37" t="s">
        <v>375</v>
      </c>
      <c r="D218" s="37" t="s">
        <v>565</v>
      </c>
      <c r="E218" s="37" t="n">
        <v>21331690</v>
      </c>
      <c r="F218" s="37" t="s">
        <v>159</v>
      </c>
      <c r="G218" s="37" t="s">
        <v>196</v>
      </c>
      <c r="H218" s="37" t="s">
        <v>192</v>
      </c>
      <c r="I218" s="37" t="n">
        <v>127.8</v>
      </c>
      <c r="J218" s="39" t="n">
        <v>1434.39</v>
      </c>
      <c r="K218" s="37" t="s">
        <v>342</v>
      </c>
      <c r="L218" s="39" t="n">
        <v>233.17</v>
      </c>
      <c r="M218" s="39" t="n">
        <v>120.59</v>
      </c>
      <c r="N218" s="39" t="n">
        <f aca="false">J218*Resumo!$C$6</f>
        <v>0</v>
      </c>
      <c r="O218" s="39" t="n">
        <f aca="false">J218*Resumo!$C$7</f>
        <v>3.012219</v>
      </c>
      <c r="P218" s="39" t="n">
        <f aca="false">J218*Resumo!$C$8</f>
        <v>3.012219</v>
      </c>
      <c r="Q218" s="39" t="n">
        <f aca="false">Resumo!$C$10*CEILING(I218/100,1)</f>
        <v>2.1</v>
      </c>
      <c r="R218" s="39" t="n">
        <f aca="false">Resumo!$C$9</f>
        <v>0</v>
      </c>
      <c r="S218" s="39" t="n">
        <f aca="false">Resumo!$C$13</f>
        <v>13.55</v>
      </c>
      <c r="T218" s="39" t="n">
        <f aca="false">Resumo!$C$14*CEILING(I218,1)</f>
        <v>57.6</v>
      </c>
      <c r="U218" s="39" t="n">
        <f aca="false">SUM(M218:T218)*Resumo!$C$11</f>
        <v>0</v>
      </c>
      <c r="V218" s="39" t="n">
        <f aca="false">SUM(M218:U218)</f>
        <v>199.864438</v>
      </c>
      <c r="W218" s="39" t="n">
        <f aca="false">V218/(1-Resumo!$C$5)</f>
        <v>227.118679545455</v>
      </c>
      <c r="X218" s="39" t="n">
        <v>239.25</v>
      </c>
      <c r="Y218" s="39" t="n">
        <f aca="false">J218*Resumo!$B$6</f>
        <v>1.43439</v>
      </c>
      <c r="Z218" s="39" t="n">
        <f aca="false">J218*Resumo!$B$7</f>
        <v>2.86878</v>
      </c>
      <c r="AA218" s="39" t="n">
        <f aca="false">Resumo!$B$9</f>
        <v>1</v>
      </c>
      <c r="AB218" s="39" t="n">
        <f aca="false">Resumo!$B$10*CEILING(I218/100,1)</f>
        <v>9</v>
      </c>
      <c r="AC218" s="39" t="n">
        <f aca="false">Resumo!$B$12*CEILING(I218,1)</f>
        <v>7.68</v>
      </c>
      <c r="AD218" s="39" t="n">
        <f aca="false">Resumo!$B$14*CEILING(I218,1)</f>
        <v>57.6</v>
      </c>
      <c r="AE218" s="39" t="n">
        <f aca="false">SUM(X218:AD218)</f>
        <v>318.83317</v>
      </c>
      <c r="AF218" s="39" t="n">
        <f aca="false">AE218/(1-Resumo!$B$5)</f>
        <v>362.310420454545</v>
      </c>
      <c r="AG218" s="39" t="n">
        <f aca="false">AF218-W218</f>
        <v>135.191740909091</v>
      </c>
      <c r="AH218" s="40" t="n">
        <f aca="false">AF218/W218-1</f>
        <v>0.595247124453426</v>
      </c>
      <c r="AI218" s="37" t="str">
        <f aca="false">IF(AF218&lt;W218,"SIM","NÃO")</f>
        <v>NÃO</v>
      </c>
      <c r="AJ218" s="37" t="n">
        <v>2</v>
      </c>
      <c r="AK218" s="37" t="n">
        <v>5</v>
      </c>
      <c r="AL218" s="37" t="s">
        <v>343</v>
      </c>
      <c r="AM218" s="39" t="n">
        <v>233.16</v>
      </c>
    </row>
    <row r="219" customFormat="false" ht="15" hidden="false" customHeight="false" outlineLevel="0" collapsed="false">
      <c r="A219" s="37" t="n">
        <v>361475504</v>
      </c>
      <c r="B219" s="38" t="n">
        <v>46220.6697569444</v>
      </c>
      <c r="C219" s="37" t="s">
        <v>340</v>
      </c>
      <c r="D219" s="37" t="s">
        <v>566</v>
      </c>
      <c r="E219" s="37" t="n">
        <v>23585330</v>
      </c>
      <c r="F219" s="37" t="s">
        <v>159</v>
      </c>
      <c r="G219" s="37" t="s">
        <v>196</v>
      </c>
      <c r="H219" s="37" t="s">
        <v>188</v>
      </c>
      <c r="I219" s="37" t="n">
        <v>61.5</v>
      </c>
      <c r="J219" s="39" t="n">
        <v>767.99</v>
      </c>
      <c r="K219" s="37" t="s">
        <v>518</v>
      </c>
      <c r="L219" s="39" t="n">
        <v>123.78</v>
      </c>
      <c r="M219" s="39" t="n">
        <v>63.21</v>
      </c>
      <c r="N219" s="39" t="n">
        <f aca="false">J219*Resumo!$C$6</f>
        <v>0</v>
      </c>
      <c r="O219" s="39" t="n">
        <f aca="false">J219*Resumo!$C$7</f>
        <v>1.612779</v>
      </c>
      <c r="P219" s="39" t="n">
        <f aca="false">J219*Resumo!$C$8</f>
        <v>1.612779</v>
      </c>
      <c r="Q219" s="39" t="n">
        <f aca="false">Resumo!$C$10*CEILING(I219/100,1)</f>
        <v>1.05</v>
      </c>
      <c r="R219" s="39" t="n">
        <f aca="false">Resumo!$C$9</f>
        <v>0</v>
      </c>
      <c r="S219" s="39" t="n">
        <f aca="false">Resumo!$C$13</f>
        <v>13.55</v>
      </c>
      <c r="T219" s="39" t="n">
        <f aca="false">Resumo!$C$14*CEILING(I219,1)</f>
        <v>27.9</v>
      </c>
      <c r="U219" s="39" t="n">
        <f aca="false">SUM(M219:T219)*Resumo!$C$11</f>
        <v>0</v>
      </c>
      <c r="V219" s="39" t="n">
        <f aca="false">SUM(M219:U219)</f>
        <v>108.935558</v>
      </c>
      <c r="W219" s="39" t="n">
        <f aca="false">V219/(1-Resumo!$C$5)</f>
        <v>123.790406818182</v>
      </c>
      <c r="X219" s="39" t="n">
        <v>131.02</v>
      </c>
      <c r="Y219" s="39" t="n">
        <f aca="false">J219*Resumo!$B$6</f>
        <v>0.76799</v>
      </c>
      <c r="Z219" s="39" t="n">
        <f aca="false">J219*Resumo!$B$7</f>
        <v>1.53598</v>
      </c>
      <c r="AA219" s="39" t="n">
        <f aca="false">Resumo!$B$9</f>
        <v>1</v>
      </c>
      <c r="AB219" s="39" t="n">
        <f aca="false">Resumo!$B$10*CEILING(I219/100,1)</f>
        <v>4.5</v>
      </c>
      <c r="AC219" s="39" t="n">
        <f aca="false">Resumo!$B$12*CEILING(I219,1)</f>
        <v>3.72</v>
      </c>
      <c r="AD219" s="39" t="n">
        <f aca="false">Resumo!$B$14*CEILING(I219,1)</f>
        <v>27.9</v>
      </c>
      <c r="AE219" s="39" t="n">
        <f aca="false">SUM(X219:AD219)</f>
        <v>170.44397</v>
      </c>
      <c r="AF219" s="39" t="n">
        <f aca="false">AE219/(1-Resumo!$B$5)</f>
        <v>193.686329545455</v>
      </c>
      <c r="AG219" s="39" t="n">
        <f aca="false">AF219-W219</f>
        <v>69.8959227272727</v>
      </c>
      <c r="AH219" s="40" t="n">
        <f aca="false">AF219/W219-1</f>
        <v>0.564631173964336</v>
      </c>
      <c r="AI219" s="37" t="str">
        <f aca="false">IF(AF219&lt;W219,"SIM","NÃO")</f>
        <v>NÃO</v>
      </c>
      <c r="AJ219" s="37" t="n">
        <v>2</v>
      </c>
      <c r="AK219" s="37" t="n">
        <v>5</v>
      </c>
      <c r="AL219" s="37" t="s">
        <v>343</v>
      </c>
      <c r="AM219" s="39" t="n">
        <v>124.89</v>
      </c>
    </row>
    <row r="220" customFormat="false" ht="15" hidden="false" customHeight="false" outlineLevel="0" collapsed="false">
      <c r="A220" s="37" t="n">
        <v>361514421</v>
      </c>
      <c r="B220" s="38" t="n">
        <v>46220.7880324074</v>
      </c>
      <c r="C220" s="37" t="s">
        <v>340</v>
      </c>
      <c r="D220" s="37" t="s">
        <v>567</v>
      </c>
      <c r="E220" s="37" t="n">
        <v>23560660</v>
      </c>
      <c r="F220" s="37" t="s">
        <v>159</v>
      </c>
      <c r="G220" s="37" t="s">
        <v>196</v>
      </c>
      <c r="H220" s="37" t="s">
        <v>188</v>
      </c>
      <c r="I220" s="37" t="n">
        <v>66.8</v>
      </c>
      <c r="J220" s="39" t="n">
        <v>639.99</v>
      </c>
      <c r="K220" s="37" t="s">
        <v>518</v>
      </c>
      <c r="L220" s="39" t="n">
        <v>125.73</v>
      </c>
      <c r="M220" s="39" t="n">
        <v>63.21</v>
      </c>
      <c r="N220" s="39" t="n">
        <f aca="false">J220*Resumo!$C$6</f>
        <v>0</v>
      </c>
      <c r="O220" s="39" t="n">
        <f aca="false">J220*Resumo!$C$7</f>
        <v>1.343979</v>
      </c>
      <c r="P220" s="39" t="n">
        <f aca="false">J220*Resumo!$C$8</f>
        <v>1.343979</v>
      </c>
      <c r="Q220" s="39" t="n">
        <f aca="false">Resumo!$C$10*CEILING(I220/100,1)</f>
        <v>1.05</v>
      </c>
      <c r="R220" s="39" t="n">
        <f aca="false">Resumo!$C$9</f>
        <v>0</v>
      </c>
      <c r="S220" s="39" t="n">
        <f aca="false">Resumo!$C$13</f>
        <v>13.55</v>
      </c>
      <c r="T220" s="39" t="n">
        <f aca="false">Resumo!$C$14*CEILING(I220,1)</f>
        <v>30.15</v>
      </c>
      <c r="U220" s="39" t="n">
        <f aca="false">SUM(M220:T220)*Resumo!$C$11</f>
        <v>0</v>
      </c>
      <c r="V220" s="39" t="n">
        <f aca="false">SUM(M220:U220)</f>
        <v>110.647958</v>
      </c>
      <c r="W220" s="39" t="n">
        <f aca="false">V220/(1-Resumo!$C$5)</f>
        <v>125.736315909091</v>
      </c>
      <c r="X220" s="39" t="n">
        <v>131.02</v>
      </c>
      <c r="Y220" s="39" t="n">
        <f aca="false">J220*Resumo!$B$6</f>
        <v>0.63999</v>
      </c>
      <c r="Z220" s="39" t="n">
        <f aca="false">J220*Resumo!$B$7</f>
        <v>1.27998</v>
      </c>
      <c r="AA220" s="39" t="n">
        <f aca="false">Resumo!$B$9</f>
        <v>1</v>
      </c>
      <c r="AB220" s="39" t="n">
        <f aca="false">Resumo!$B$10*CEILING(I220/100,1)</f>
        <v>4.5</v>
      </c>
      <c r="AC220" s="39" t="n">
        <f aca="false">Resumo!$B$12*CEILING(I220,1)</f>
        <v>4.02</v>
      </c>
      <c r="AD220" s="39" t="n">
        <f aca="false">Resumo!$B$14*CEILING(I220,1)</f>
        <v>30.15</v>
      </c>
      <c r="AE220" s="39" t="n">
        <f aca="false">SUM(X220:AD220)</f>
        <v>172.60997</v>
      </c>
      <c r="AF220" s="39" t="n">
        <f aca="false">AE220/(1-Resumo!$B$5)</f>
        <v>196.147693181818</v>
      </c>
      <c r="AG220" s="39" t="n">
        <f aca="false">AF220-W220</f>
        <v>70.4113772727273</v>
      </c>
      <c r="AH220" s="40" t="n">
        <f aca="false">AF220/W220-1</f>
        <v>0.559992367866382</v>
      </c>
      <c r="AI220" s="37" t="str">
        <f aca="false">IF(AF220&lt;W220,"SIM","NÃO")</f>
        <v>NÃO</v>
      </c>
      <c r="AJ220" s="37" t="n">
        <v>2</v>
      </c>
      <c r="AK220" s="37" t="n">
        <v>5</v>
      </c>
      <c r="AL220" s="37" t="s">
        <v>343</v>
      </c>
      <c r="AM220" s="39" t="n">
        <v>124.27</v>
      </c>
    </row>
    <row r="221" customFormat="false" ht="15" hidden="false" customHeight="false" outlineLevel="0" collapsed="false">
      <c r="A221" s="37" t="n">
        <v>361593897</v>
      </c>
      <c r="B221" s="38" t="n">
        <v>46220.8463194444</v>
      </c>
      <c r="C221" s="37" t="s">
        <v>340</v>
      </c>
      <c r="D221" s="37" t="s">
        <v>568</v>
      </c>
      <c r="E221" s="37" t="n">
        <v>23036060</v>
      </c>
      <c r="F221" s="37" t="s">
        <v>159</v>
      </c>
      <c r="G221" s="37" t="s">
        <v>196</v>
      </c>
      <c r="H221" s="37" t="s">
        <v>185</v>
      </c>
      <c r="I221" s="37" t="n">
        <v>39.8</v>
      </c>
      <c r="J221" s="39" t="n">
        <v>449.99</v>
      </c>
      <c r="K221" s="37" t="s">
        <v>518</v>
      </c>
      <c r="L221" s="39" t="n">
        <v>94.13</v>
      </c>
      <c r="M221" s="39" t="n">
        <v>48.35</v>
      </c>
      <c r="N221" s="39" t="n">
        <f aca="false">J221*Resumo!$C$6</f>
        <v>0</v>
      </c>
      <c r="O221" s="39" t="n">
        <f aca="false">J221*Resumo!$C$7</f>
        <v>0.944979</v>
      </c>
      <c r="P221" s="39" t="n">
        <f aca="false">J221*Resumo!$C$8</f>
        <v>0.944979</v>
      </c>
      <c r="Q221" s="39" t="n">
        <f aca="false">Resumo!$C$10*CEILING(I221/100,1)</f>
        <v>1.05</v>
      </c>
      <c r="R221" s="39" t="n">
        <f aca="false">Resumo!$C$9</f>
        <v>0</v>
      </c>
      <c r="S221" s="39" t="n">
        <f aca="false">Resumo!$C$13</f>
        <v>13.55</v>
      </c>
      <c r="T221" s="39" t="n">
        <f aca="false">Resumo!$C$14*CEILING(I221,1)</f>
        <v>18</v>
      </c>
      <c r="U221" s="39" t="n">
        <f aca="false">SUM(M221:T221)*Resumo!$C$11</f>
        <v>0</v>
      </c>
      <c r="V221" s="39" t="n">
        <f aca="false">SUM(M221:U221)</f>
        <v>82.839958</v>
      </c>
      <c r="W221" s="39" t="n">
        <f aca="false">V221/(1-Resumo!$C$5)</f>
        <v>94.1363159090909</v>
      </c>
      <c r="X221" s="39" t="n">
        <v>93.97</v>
      </c>
      <c r="Y221" s="39" t="n">
        <f aca="false">J221*Resumo!$B$6</f>
        <v>0.44999</v>
      </c>
      <c r="Z221" s="39" t="n">
        <f aca="false">J221*Resumo!$B$7</f>
        <v>0.89998</v>
      </c>
      <c r="AA221" s="39" t="n">
        <f aca="false">Resumo!$B$9</f>
        <v>1</v>
      </c>
      <c r="AB221" s="39" t="n">
        <f aca="false">Resumo!$B$10*CEILING(I221/100,1)</f>
        <v>4.5</v>
      </c>
      <c r="AC221" s="39" t="n">
        <f aca="false">Resumo!$B$12*CEILING(I221,1)</f>
        <v>2.4</v>
      </c>
      <c r="AD221" s="39" t="n">
        <f aca="false">Resumo!$B$14*CEILING(I221,1)</f>
        <v>18</v>
      </c>
      <c r="AE221" s="39" t="n">
        <f aca="false">SUM(X221:AD221)</f>
        <v>121.21997</v>
      </c>
      <c r="AF221" s="39" t="n">
        <f aca="false">AE221/(1-Resumo!$B$5)</f>
        <v>137.749965909091</v>
      </c>
      <c r="AG221" s="39" t="n">
        <f aca="false">AF221-W221</f>
        <v>43.61365</v>
      </c>
      <c r="AH221" s="40" t="n">
        <f aca="false">AF221/W221-1</f>
        <v>0.463303132046494</v>
      </c>
      <c r="AI221" s="37" t="str">
        <f aca="false">IF(AF221&lt;W221,"SIM","NÃO")</f>
        <v>NÃO</v>
      </c>
      <c r="AJ221" s="37" t="n">
        <v>2</v>
      </c>
      <c r="AK221" s="37" t="n">
        <v>5</v>
      </c>
      <c r="AL221" s="37" t="s">
        <v>343</v>
      </c>
      <c r="AM221" s="39" t="n">
        <v>92.01</v>
      </c>
    </row>
    <row r="222" customFormat="false" ht="15" hidden="false" customHeight="false" outlineLevel="0" collapsed="false">
      <c r="A222" s="37" t="n">
        <v>361569008</v>
      </c>
      <c r="B222" s="38" t="n">
        <v>46220.9640972222</v>
      </c>
      <c r="C222" s="37" t="s">
        <v>345</v>
      </c>
      <c r="D222" s="37" t="s">
        <v>569</v>
      </c>
      <c r="E222" s="37" t="n">
        <v>27972109</v>
      </c>
      <c r="F222" s="37" t="s">
        <v>166</v>
      </c>
      <c r="G222" s="37" t="s">
        <v>198</v>
      </c>
      <c r="H222" s="37" t="s">
        <v>192</v>
      </c>
      <c r="I222" s="37" t="n">
        <v>124.2</v>
      </c>
      <c r="J222" s="39" t="n">
        <v>1611.28</v>
      </c>
      <c r="K222" s="37" t="s">
        <v>518</v>
      </c>
      <c r="L222" s="39" t="n">
        <v>253.3</v>
      </c>
      <c r="M222" s="39" t="n">
        <v>144.24</v>
      </c>
      <c r="N222" s="39" t="n">
        <f aca="false">J222*Resumo!$C$6</f>
        <v>0</v>
      </c>
      <c r="O222" s="39" t="n">
        <f aca="false">J222*Resumo!$C$7</f>
        <v>3.383688</v>
      </c>
      <c r="P222" s="39" t="n">
        <f aca="false">J222*Resumo!$C$8</f>
        <v>3.383688</v>
      </c>
      <c r="Q222" s="39" t="n">
        <f aca="false">Resumo!$C$10*CEILING(I222/100,1)</f>
        <v>2.1</v>
      </c>
      <c r="R222" s="39" t="n">
        <f aca="false">Resumo!$C$9</f>
        <v>0</v>
      </c>
      <c r="S222" s="39" t="n">
        <f aca="false">Resumo!$C$13</f>
        <v>13.55</v>
      </c>
      <c r="T222" s="39" t="n">
        <f aca="false">Resumo!$C$14*CEILING(I222,1)</f>
        <v>56.25</v>
      </c>
      <c r="U222" s="39" t="n">
        <f aca="false">SUM(M222:T222)*Resumo!$C$11</f>
        <v>0</v>
      </c>
      <c r="V222" s="39" t="n">
        <f aca="false">SUM(M222:U222)</f>
        <v>222.907376</v>
      </c>
      <c r="W222" s="39" t="n">
        <f aca="false">V222/(1-Resumo!$C$5)</f>
        <v>253.303836363636</v>
      </c>
      <c r="X222" s="39" t="n">
        <v>264.84</v>
      </c>
      <c r="Y222" s="39" t="n">
        <f aca="false">J222*Resumo!$B$6</f>
        <v>1.61128</v>
      </c>
      <c r="Z222" s="39" t="n">
        <f aca="false">J222*Resumo!$B$7</f>
        <v>3.22256</v>
      </c>
      <c r="AA222" s="39" t="n">
        <f aca="false">Resumo!$B$9</f>
        <v>1</v>
      </c>
      <c r="AB222" s="39" t="n">
        <f aca="false">Resumo!$B$10*CEILING(I222/100,1)</f>
        <v>9</v>
      </c>
      <c r="AC222" s="39" t="n">
        <f aca="false">Resumo!$B$12*CEILING(I222,1)</f>
        <v>7.5</v>
      </c>
      <c r="AD222" s="39" t="n">
        <f aca="false">Resumo!$B$14*CEILING(I222,1)</f>
        <v>56.25</v>
      </c>
      <c r="AE222" s="39" t="n">
        <f aca="false">SUM(X222:AD222)</f>
        <v>343.42384</v>
      </c>
      <c r="AF222" s="39" t="n">
        <f aca="false">AE222/(1-Resumo!$B$5)</f>
        <v>390.254363636364</v>
      </c>
      <c r="AG222" s="39" t="n">
        <f aca="false">AF222-W222</f>
        <v>136.950527272727</v>
      </c>
      <c r="AH222" s="40" t="n">
        <f aca="false">AF222/W222-1</f>
        <v>0.540657138236646</v>
      </c>
      <c r="AI222" s="37" t="str">
        <f aca="false">IF(AF222&lt;W222,"SIM","NÃO")</f>
        <v>NÃO</v>
      </c>
      <c r="AJ222" s="37" t="n">
        <v>13</v>
      </c>
      <c r="AK222" s="37" t="n">
        <v>11</v>
      </c>
      <c r="AL222" s="37" t="s">
        <v>343</v>
      </c>
      <c r="AM222" s="39" t="n">
        <v>261.01</v>
      </c>
    </row>
    <row r="223" customFormat="false" ht="15" hidden="false" customHeight="false" outlineLevel="0" collapsed="false">
      <c r="A223" s="37" t="n">
        <v>361570424</v>
      </c>
      <c r="B223" s="38" t="n">
        <v>46220.9698842593</v>
      </c>
      <c r="C223" s="37" t="s">
        <v>340</v>
      </c>
      <c r="D223" s="37" t="s">
        <v>570</v>
      </c>
      <c r="E223" s="37" t="n">
        <v>23010310</v>
      </c>
      <c r="F223" s="37" t="s">
        <v>159</v>
      </c>
      <c r="G223" s="37" t="s">
        <v>196</v>
      </c>
      <c r="H223" s="37" t="s">
        <v>183</v>
      </c>
      <c r="I223" s="37" t="n">
        <v>19.5</v>
      </c>
      <c r="J223" s="39" t="n">
        <v>369.99</v>
      </c>
      <c r="K223" s="37" t="s">
        <v>518</v>
      </c>
      <c r="L223" s="39" t="n">
        <v>66.57</v>
      </c>
      <c r="M223" s="39" t="n">
        <v>33.42</v>
      </c>
      <c r="N223" s="39" t="n">
        <f aca="false">J223*Resumo!$C$6</f>
        <v>0</v>
      </c>
      <c r="O223" s="39" t="n">
        <f aca="false">J223*Resumo!$C$7</f>
        <v>0.776979</v>
      </c>
      <c r="P223" s="39" t="n">
        <f aca="false">J223*Resumo!$C$8</f>
        <v>0.776979</v>
      </c>
      <c r="Q223" s="39" t="n">
        <f aca="false">Resumo!$C$10*CEILING(I223/100,1)</f>
        <v>1.05</v>
      </c>
      <c r="R223" s="39" t="n">
        <f aca="false">Resumo!$C$9</f>
        <v>0</v>
      </c>
      <c r="S223" s="39" t="n">
        <f aca="false">Resumo!$C$13</f>
        <v>13.55</v>
      </c>
      <c r="T223" s="39" t="n">
        <f aca="false">Resumo!$C$14*CEILING(I223,1)</f>
        <v>9</v>
      </c>
      <c r="U223" s="39" t="n">
        <f aca="false">SUM(M223:T223)*Resumo!$C$11</f>
        <v>0</v>
      </c>
      <c r="V223" s="39" t="n">
        <f aca="false">SUM(M223:U223)</f>
        <v>58.573958</v>
      </c>
      <c r="W223" s="39" t="n">
        <f aca="false">V223/(1-Resumo!$C$5)</f>
        <v>66.5613159090909</v>
      </c>
      <c r="X223" s="39" t="n">
        <v>46.98</v>
      </c>
      <c r="Y223" s="39" t="n">
        <f aca="false">J223*Resumo!$B$6</f>
        <v>0.36999</v>
      </c>
      <c r="Z223" s="39" t="n">
        <f aca="false">J223*Resumo!$B$7</f>
        <v>0.73998</v>
      </c>
      <c r="AA223" s="39" t="n">
        <f aca="false">Resumo!$B$9</f>
        <v>1</v>
      </c>
      <c r="AB223" s="39" t="n">
        <f aca="false">Resumo!$B$10*CEILING(I223/100,1)</f>
        <v>4.5</v>
      </c>
      <c r="AC223" s="39" t="n">
        <f aca="false">Resumo!$B$12*CEILING(I223,1)</f>
        <v>1.2</v>
      </c>
      <c r="AD223" s="39" t="n">
        <f aca="false">Resumo!$B$14*CEILING(I223,1)</f>
        <v>9</v>
      </c>
      <c r="AE223" s="39" t="n">
        <f aca="false">SUM(X223:AD223)</f>
        <v>63.78997</v>
      </c>
      <c r="AF223" s="39" t="n">
        <f aca="false">AE223/(1-Resumo!$B$5)</f>
        <v>72.4886022727273</v>
      </c>
      <c r="AG223" s="39" t="n">
        <f aca="false">AF223-W223</f>
        <v>5.92728636363636</v>
      </c>
      <c r="AH223" s="40" t="n">
        <f aca="false">AF223/W223-1</f>
        <v>0.0890500177570379</v>
      </c>
      <c r="AI223" s="37" t="str">
        <f aca="false">IF(AF223&lt;W223,"SIM","NÃO")</f>
        <v>NÃO</v>
      </c>
      <c r="AJ223" s="37" t="n">
        <v>2</v>
      </c>
      <c r="AK223" s="37" t="n">
        <v>5</v>
      </c>
      <c r="AL223" s="37" t="s">
        <v>343</v>
      </c>
      <c r="AM223" s="39" t="n">
        <v>64.99</v>
      </c>
    </row>
    <row r="224" customFormat="false" ht="15" hidden="false" customHeight="false" outlineLevel="0" collapsed="false">
      <c r="A224" s="37" t="n">
        <v>361598030</v>
      </c>
      <c r="B224" s="38" t="n">
        <v>46221.0859027778</v>
      </c>
      <c r="C224" s="37" t="s">
        <v>340</v>
      </c>
      <c r="D224" s="37" t="s">
        <v>571</v>
      </c>
      <c r="E224" s="37" t="n">
        <v>21863430</v>
      </c>
      <c r="F224" s="37" t="s">
        <v>159</v>
      </c>
      <c r="G224" s="37" t="s">
        <v>196</v>
      </c>
      <c r="H224" s="37" t="s">
        <v>187</v>
      </c>
      <c r="I224" s="37" t="n">
        <v>52.3</v>
      </c>
      <c r="J224" s="39" t="n">
        <v>685.84</v>
      </c>
      <c r="K224" s="37" t="s">
        <v>518</v>
      </c>
      <c r="L224" s="39" t="n">
        <v>113.56</v>
      </c>
      <c r="M224" s="39" t="n">
        <v>58.6</v>
      </c>
      <c r="N224" s="39" t="n">
        <f aca="false">J224*Resumo!$C$6</f>
        <v>0</v>
      </c>
      <c r="O224" s="39" t="n">
        <f aca="false">J224*Resumo!$C$7</f>
        <v>1.440264</v>
      </c>
      <c r="P224" s="39" t="n">
        <f aca="false">J224*Resumo!$C$8</f>
        <v>1.440264</v>
      </c>
      <c r="Q224" s="39" t="n">
        <f aca="false">Resumo!$C$10*CEILING(I224/100,1)</f>
        <v>1.05</v>
      </c>
      <c r="R224" s="39" t="n">
        <f aca="false">Resumo!$C$9</f>
        <v>0</v>
      </c>
      <c r="S224" s="39" t="n">
        <f aca="false">Resumo!$C$13</f>
        <v>13.55</v>
      </c>
      <c r="T224" s="39" t="n">
        <f aca="false">Resumo!$C$14*CEILING(I224,1)</f>
        <v>23.85</v>
      </c>
      <c r="U224" s="39" t="n">
        <f aca="false">SUM(M224:T224)*Resumo!$C$11</f>
        <v>0</v>
      </c>
      <c r="V224" s="39" t="n">
        <f aca="false">SUM(M224:U224)</f>
        <v>99.930528</v>
      </c>
      <c r="W224" s="39" t="n">
        <f aca="false">V224/(1-Resumo!$C$5)</f>
        <v>113.557418181818</v>
      </c>
      <c r="X224" s="39" t="n">
        <v>112.3</v>
      </c>
      <c r="Y224" s="39" t="n">
        <f aca="false">J224*Resumo!$B$6</f>
        <v>0.68584</v>
      </c>
      <c r="Z224" s="39" t="n">
        <f aca="false">J224*Resumo!$B$7</f>
        <v>1.37168</v>
      </c>
      <c r="AA224" s="39" t="n">
        <f aca="false">Resumo!$B$9</f>
        <v>1</v>
      </c>
      <c r="AB224" s="39" t="n">
        <f aca="false">Resumo!$B$10*CEILING(I224/100,1)</f>
        <v>4.5</v>
      </c>
      <c r="AC224" s="39" t="n">
        <f aca="false">Resumo!$B$12*CEILING(I224,1)</f>
        <v>3.18</v>
      </c>
      <c r="AD224" s="39" t="n">
        <f aca="false">Resumo!$B$14*CEILING(I224,1)</f>
        <v>23.85</v>
      </c>
      <c r="AE224" s="39" t="n">
        <f aca="false">SUM(X224:AD224)</f>
        <v>146.88752</v>
      </c>
      <c r="AF224" s="39" t="n">
        <f aca="false">AE224/(1-Resumo!$B$5)</f>
        <v>166.917636363636</v>
      </c>
      <c r="AG224" s="39" t="n">
        <f aca="false">AF224-W224</f>
        <v>53.3602181818182</v>
      </c>
      <c r="AH224" s="40" t="n">
        <f aca="false">AF224/W224-1</f>
        <v>0.469896366403668</v>
      </c>
      <c r="AI224" s="37" t="str">
        <f aca="false">IF(AF224&lt;W224,"SIM","NÃO")</f>
        <v>NÃO</v>
      </c>
      <c r="AJ224" s="37" t="n">
        <v>2</v>
      </c>
      <c r="AK224" s="37" t="n">
        <v>5</v>
      </c>
      <c r="AL224" s="37" t="s">
        <v>343</v>
      </c>
      <c r="AM224" s="39" t="n">
        <v>114.44</v>
      </c>
    </row>
    <row r="225" customFormat="false" ht="15" hidden="false" customHeight="false" outlineLevel="0" collapsed="false">
      <c r="A225" s="37" t="n">
        <v>361625018</v>
      </c>
      <c r="B225" s="38" t="n">
        <v>46221.2375694444</v>
      </c>
      <c r="C225" s="37" t="s">
        <v>372</v>
      </c>
      <c r="D225" s="37" t="s">
        <v>572</v>
      </c>
      <c r="E225" s="37" t="n">
        <v>21610290</v>
      </c>
      <c r="F225" s="37" t="s">
        <v>159</v>
      </c>
      <c r="G225" s="37" t="s">
        <v>196</v>
      </c>
      <c r="H225" s="37" t="s">
        <v>190</v>
      </c>
      <c r="I225" s="37" t="n">
        <v>97.2</v>
      </c>
      <c r="J225" s="39" t="n">
        <v>1399.99</v>
      </c>
      <c r="K225" s="37" t="s">
        <v>342</v>
      </c>
      <c r="L225" s="39" t="n">
        <v>165.81</v>
      </c>
      <c r="M225" s="39" t="n">
        <v>83.79</v>
      </c>
      <c r="N225" s="39" t="n">
        <f aca="false">J225*Resumo!$C$6</f>
        <v>0</v>
      </c>
      <c r="O225" s="39" t="n">
        <f aca="false">J225*Resumo!$C$7</f>
        <v>2.939979</v>
      </c>
      <c r="P225" s="39" t="n">
        <f aca="false">J225*Resumo!$C$8</f>
        <v>2.939979</v>
      </c>
      <c r="Q225" s="39" t="n">
        <f aca="false">Resumo!$C$10*CEILING(I225/100,1)</f>
        <v>1.05</v>
      </c>
      <c r="R225" s="39" t="n">
        <f aca="false">Resumo!$C$9</f>
        <v>0</v>
      </c>
      <c r="S225" s="39" t="n">
        <f aca="false">Resumo!$C$13</f>
        <v>13.55</v>
      </c>
      <c r="T225" s="39" t="n">
        <f aca="false">Resumo!$C$14*CEILING(I225,1)</f>
        <v>44.1</v>
      </c>
      <c r="U225" s="39" t="n">
        <f aca="false">SUM(M225:T225)*Resumo!$C$11</f>
        <v>0</v>
      </c>
      <c r="V225" s="39" t="n">
        <f aca="false">SUM(M225:U225)</f>
        <v>148.369958</v>
      </c>
      <c r="W225" s="39" t="n">
        <f aca="false">V225/(1-Resumo!$C$5)</f>
        <v>168.602225</v>
      </c>
      <c r="X225" s="39" t="n">
        <v>167.99</v>
      </c>
      <c r="Y225" s="39" t="n">
        <f aca="false">J225*Resumo!$B$6</f>
        <v>1.39999</v>
      </c>
      <c r="Z225" s="39" t="n">
        <f aca="false">J225*Resumo!$B$7</f>
        <v>2.79998</v>
      </c>
      <c r="AA225" s="39" t="n">
        <f aca="false">Resumo!$B$9</f>
        <v>1</v>
      </c>
      <c r="AB225" s="39" t="n">
        <f aca="false">Resumo!$B$10*CEILING(I225/100,1)</f>
        <v>4.5</v>
      </c>
      <c r="AC225" s="39" t="n">
        <f aca="false">Resumo!$B$12*CEILING(I225,1)</f>
        <v>5.88</v>
      </c>
      <c r="AD225" s="39" t="n">
        <f aca="false">Resumo!$B$14*CEILING(I225,1)</f>
        <v>44.1</v>
      </c>
      <c r="AE225" s="39" t="n">
        <f aca="false">SUM(X225:AD225)</f>
        <v>227.66997</v>
      </c>
      <c r="AF225" s="39" t="n">
        <f aca="false">AE225/(1-Resumo!$B$5)</f>
        <v>258.715875</v>
      </c>
      <c r="AG225" s="39" t="n">
        <f aca="false">AF225-W225</f>
        <v>90.11365</v>
      </c>
      <c r="AH225" s="40" t="n">
        <f aca="false">AF225/W225-1</f>
        <v>0.534474856426124</v>
      </c>
      <c r="AI225" s="37" t="str">
        <f aca="false">IF(AF225&lt;W225,"SIM","NÃO")</f>
        <v>NÃO</v>
      </c>
      <c r="AJ225" s="37" t="n">
        <v>2</v>
      </c>
      <c r="AK225" s="37" t="n">
        <v>5</v>
      </c>
      <c r="AL225" s="37" t="s">
        <v>343</v>
      </c>
      <c r="AM225" s="39" t="n">
        <v>165.8</v>
      </c>
    </row>
    <row r="226" customFormat="false" ht="15" hidden="false" customHeight="false" outlineLevel="0" collapsed="false">
      <c r="A226" s="37" t="n">
        <v>361652006</v>
      </c>
      <c r="B226" s="38" t="n">
        <v>46221.339849537</v>
      </c>
      <c r="C226" s="37" t="s">
        <v>340</v>
      </c>
      <c r="D226" s="37" t="s">
        <v>573</v>
      </c>
      <c r="E226" s="37" t="n">
        <v>27973410</v>
      </c>
      <c r="F226" s="37" t="s">
        <v>166</v>
      </c>
      <c r="G226" s="37" t="s">
        <v>198</v>
      </c>
      <c r="H226" s="37" t="s">
        <v>192</v>
      </c>
      <c r="I226" s="37" t="n">
        <v>127.8</v>
      </c>
      <c r="J226" s="39" t="n">
        <v>1349.99</v>
      </c>
      <c r="K226" s="37" t="s">
        <v>518</v>
      </c>
      <c r="L226" s="39" t="n">
        <v>253.58</v>
      </c>
      <c r="M226" s="39" t="n">
        <v>144.24</v>
      </c>
      <c r="N226" s="39" t="n">
        <f aca="false">J226*Resumo!$C$6</f>
        <v>0</v>
      </c>
      <c r="O226" s="39" t="n">
        <f aca="false">J226*Resumo!$C$7</f>
        <v>2.834979</v>
      </c>
      <c r="P226" s="39" t="n">
        <f aca="false">J226*Resumo!$C$8</f>
        <v>2.834979</v>
      </c>
      <c r="Q226" s="39" t="n">
        <f aca="false">Resumo!$C$10*CEILING(I226/100,1)</f>
        <v>2.1</v>
      </c>
      <c r="R226" s="39" t="n">
        <f aca="false">Resumo!$C$9</f>
        <v>0</v>
      </c>
      <c r="S226" s="39" t="n">
        <f aca="false">Resumo!$C$13</f>
        <v>13.55</v>
      </c>
      <c r="T226" s="39" t="n">
        <f aca="false">Resumo!$C$14*CEILING(I226,1)</f>
        <v>57.6</v>
      </c>
      <c r="U226" s="39" t="n">
        <f aca="false">SUM(M226:T226)*Resumo!$C$11</f>
        <v>0</v>
      </c>
      <c r="V226" s="39" t="n">
        <f aca="false">SUM(M226:U226)</f>
        <v>223.159958</v>
      </c>
      <c r="W226" s="39" t="n">
        <f aca="false">V226/(1-Resumo!$C$5)</f>
        <v>253.590861363636</v>
      </c>
      <c r="X226" s="39" t="n">
        <v>264.84</v>
      </c>
      <c r="Y226" s="39" t="n">
        <f aca="false">J226*Resumo!$B$6</f>
        <v>1.34999</v>
      </c>
      <c r="Z226" s="39" t="n">
        <f aca="false">J226*Resumo!$B$7</f>
        <v>2.69998</v>
      </c>
      <c r="AA226" s="39" t="n">
        <f aca="false">Resumo!$B$9</f>
        <v>1</v>
      </c>
      <c r="AB226" s="39" t="n">
        <f aca="false">Resumo!$B$10*CEILING(I226/100,1)</f>
        <v>9</v>
      </c>
      <c r="AC226" s="39" t="n">
        <f aca="false">Resumo!$B$12*CEILING(I226,1)</f>
        <v>7.68</v>
      </c>
      <c r="AD226" s="39" t="n">
        <f aca="false">Resumo!$B$14*CEILING(I226,1)</f>
        <v>57.6</v>
      </c>
      <c r="AE226" s="39" t="n">
        <f aca="false">SUM(X226:AD226)</f>
        <v>344.16997</v>
      </c>
      <c r="AF226" s="39" t="n">
        <f aca="false">AE226/(1-Resumo!$B$5)</f>
        <v>391.102238636364</v>
      </c>
      <c r="AG226" s="39" t="n">
        <f aca="false">AF226-W226</f>
        <v>137.511377272727</v>
      </c>
      <c r="AH226" s="40" t="n">
        <f aca="false">AF226/W226-1</f>
        <v>0.542256832652747</v>
      </c>
      <c r="AI226" s="37" t="str">
        <f aca="false">IF(AF226&lt;W226,"SIM","NÃO")</f>
        <v>NÃO</v>
      </c>
      <c r="AJ226" s="37" t="n">
        <v>13</v>
      </c>
      <c r="AK226" s="37" t="n">
        <v>11</v>
      </c>
      <c r="AL226" s="37" t="s">
        <v>343</v>
      </c>
      <c r="AM226" s="39" t="n">
        <v>259.76</v>
      </c>
    </row>
    <row r="227" customFormat="false" ht="15" hidden="false" customHeight="false" outlineLevel="0" collapsed="false">
      <c r="A227" s="37" t="n">
        <v>361660810</v>
      </c>
      <c r="B227" s="38" t="n">
        <v>46221.376099537</v>
      </c>
      <c r="C227" s="37" t="s">
        <v>340</v>
      </c>
      <c r="D227" s="37" t="s">
        <v>574</v>
      </c>
      <c r="E227" s="37" t="n">
        <v>21830080</v>
      </c>
      <c r="F227" s="37" t="s">
        <v>159</v>
      </c>
      <c r="G227" s="37" t="s">
        <v>196</v>
      </c>
      <c r="H227" s="37" t="s">
        <v>185</v>
      </c>
      <c r="I227" s="37" t="n">
        <v>37.6</v>
      </c>
      <c r="J227" s="39" t="n">
        <v>379.99</v>
      </c>
      <c r="K227" s="37" t="s">
        <v>342</v>
      </c>
      <c r="L227" s="39" t="n">
        <v>91.68</v>
      </c>
      <c r="M227" s="39" t="n">
        <v>48.35</v>
      </c>
      <c r="N227" s="39" t="n">
        <f aca="false">J227*Resumo!$C$6</f>
        <v>0</v>
      </c>
      <c r="O227" s="39" t="n">
        <f aca="false">J227*Resumo!$C$7</f>
        <v>0.797979</v>
      </c>
      <c r="P227" s="39" t="n">
        <f aca="false">J227*Resumo!$C$8</f>
        <v>0.797979</v>
      </c>
      <c r="Q227" s="39" t="n">
        <f aca="false">Resumo!$C$10*CEILING(I227/100,1)</f>
        <v>1.05</v>
      </c>
      <c r="R227" s="39" t="n">
        <f aca="false">Resumo!$C$9</f>
        <v>0</v>
      </c>
      <c r="S227" s="39" t="n">
        <f aca="false">Resumo!$C$13</f>
        <v>13.55</v>
      </c>
      <c r="T227" s="39" t="n">
        <f aca="false">Resumo!$C$14*CEILING(I227,1)</f>
        <v>17.1</v>
      </c>
      <c r="U227" s="39" t="n">
        <f aca="false">SUM(M227:T227)*Resumo!$C$11</f>
        <v>0</v>
      </c>
      <c r="V227" s="39" t="n">
        <f aca="false">SUM(M227:U227)</f>
        <v>81.645958</v>
      </c>
      <c r="W227" s="39" t="n">
        <f aca="false">V227/(1-Resumo!$C$5)</f>
        <v>92.7794977272727</v>
      </c>
      <c r="X227" s="39" t="n">
        <v>93.97</v>
      </c>
      <c r="Y227" s="39" t="n">
        <f aca="false">J227*Resumo!$B$6</f>
        <v>0.37999</v>
      </c>
      <c r="Z227" s="39" t="n">
        <f aca="false">J227*Resumo!$B$7</f>
        <v>0.75998</v>
      </c>
      <c r="AA227" s="39" t="n">
        <f aca="false">Resumo!$B$9</f>
        <v>1</v>
      </c>
      <c r="AB227" s="39" t="n">
        <f aca="false">Resumo!$B$10*CEILING(I227/100,1)</f>
        <v>4.5</v>
      </c>
      <c r="AC227" s="39" t="n">
        <f aca="false">Resumo!$B$12*CEILING(I227,1)</f>
        <v>2.28</v>
      </c>
      <c r="AD227" s="39" t="n">
        <f aca="false">Resumo!$B$14*CEILING(I227,1)</f>
        <v>17.1</v>
      </c>
      <c r="AE227" s="39" t="n">
        <f aca="false">SUM(X227:AD227)</f>
        <v>119.98997</v>
      </c>
      <c r="AF227" s="39" t="n">
        <f aca="false">AE227/(1-Resumo!$B$5)</f>
        <v>136.352238636364</v>
      </c>
      <c r="AG227" s="39" t="n">
        <f aca="false">AF227-W227</f>
        <v>43.5727409090909</v>
      </c>
      <c r="AH227" s="40" t="n">
        <f aca="false">AF227/W227-1</f>
        <v>0.469637602880476</v>
      </c>
      <c r="AI227" s="37" t="str">
        <f aca="false">IF(AF227&lt;W227,"SIM","NÃO")</f>
        <v>NÃO</v>
      </c>
      <c r="AJ227" s="37" t="n">
        <v>2</v>
      </c>
      <c r="AK227" s="37" t="n">
        <v>5</v>
      </c>
      <c r="AL227" s="37" t="s">
        <v>343</v>
      </c>
      <c r="AM227" s="39" t="n">
        <v>91.68</v>
      </c>
    </row>
    <row r="228" customFormat="false" ht="15" hidden="false" customHeight="false" outlineLevel="0" collapsed="false">
      <c r="A228" s="37" t="n">
        <v>361679008</v>
      </c>
      <c r="B228" s="38" t="n">
        <v>46221.4359722222</v>
      </c>
      <c r="C228" s="37" t="s">
        <v>340</v>
      </c>
      <c r="D228" s="37" t="s">
        <v>575</v>
      </c>
      <c r="E228" s="37" t="n">
        <v>27336410</v>
      </c>
      <c r="F228" s="37" t="s">
        <v>247</v>
      </c>
      <c r="G228" s="37" t="s">
        <v>198</v>
      </c>
      <c r="H228" s="37" t="s">
        <v>188</v>
      </c>
      <c r="I228" s="37" t="n">
        <v>66.8</v>
      </c>
      <c r="J228" s="39" t="n">
        <v>639.99</v>
      </c>
      <c r="K228" s="37" t="s">
        <v>518</v>
      </c>
      <c r="L228" s="39" t="n">
        <v>156.4</v>
      </c>
      <c r="M228" s="39" t="n">
        <v>90.2</v>
      </c>
      <c r="N228" s="39" t="n">
        <f aca="false">J228*Resumo!$C$6</f>
        <v>0</v>
      </c>
      <c r="O228" s="39" t="n">
        <f aca="false">J228*Resumo!$C$7</f>
        <v>1.343979</v>
      </c>
      <c r="P228" s="39" t="n">
        <f aca="false">J228*Resumo!$C$8</f>
        <v>1.343979</v>
      </c>
      <c r="Q228" s="39" t="n">
        <f aca="false">Resumo!$C$10*CEILING(I228/100,1)</f>
        <v>1.05</v>
      </c>
      <c r="R228" s="39" t="n">
        <f aca="false">Resumo!$C$9</f>
        <v>0</v>
      </c>
      <c r="S228" s="39" t="n">
        <f aca="false">Resumo!$C$13</f>
        <v>13.55</v>
      </c>
      <c r="T228" s="39" t="n">
        <f aca="false">Resumo!$C$14*CEILING(I228,1)</f>
        <v>30.15</v>
      </c>
      <c r="U228" s="39" t="n">
        <f aca="false">SUM(M228:T228)*Resumo!$C$11</f>
        <v>0</v>
      </c>
      <c r="V228" s="39" t="n">
        <f aca="false">SUM(M228:U228)</f>
        <v>137.637958</v>
      </c>
      <c r="W228" s="39" t="n">
        <f aca="false">V228/(1-Resumo!$C$5)</f>
        <v>156.406770454545</v>
      </c>
      <c r="X228" s="39" t="n">
        <v>166.05</v>
      </c>
      <c r="Y228" s="39" t="n">
        <f aca="false">J228*Resumo!$B$6</f>
        <v>0.63999</v>
      </c>
      <c r="Z228" s="39" t="n">
        <f aca="false">J228*Resumo!$B$7</f>
        <v>1.27998</v>
      </c>
      <c r="AA228" s="39" t="n">
        <f aca="false">Resumo!$B$9</f>
        <v>1</v>
      </c>
      <c r="AB228" s="39" t="n">
        <f aca="false">Resumo!$B$10*CEILING(I228/100,1)</f>
        <v>4.5</v>
      </c>
      <c r="AC228" s="39" t="n">
        <f aca="false">Resumo!$B$12*CEILING(I228,1)</f>
        <v>4.02</v>
      </c>
      <c r="AD228" s="39" t="n">
        <f aca="false">Resumo!$B$14*CEILING(I228,1)</f>
        <v>30.15</v>
      </c>
      <c r="AE228" s="39" t="n">
        <f aca="false">SUM(X228:AD228)</f>
        <v>207.63997</v>
      </c>
      <c r="AF228" s="39" t="n">
        <f aca="false">AE228/(1-Resumo!$B$5)</f>
        <v>235.954511363636</v>
      </c>
      <c r="AG228" s="39" t="n">
        <f aca="false">AF228-W228</f>
        <v>79.5477409090909</v>
      </c>
      <c r="AH228" s="40" t="n">
        <f aca="false">AF228/W228-1</f>
        <v>0.508595252481151</v>
      </c>
      <c r="AI228" s="37" t="str">
        <f aca="false">IF(AF228&lt;W228,"SIM","NÃO")</f>
        <v>NÃO</v>
      </c>
      <c r="AJ228" s="37" t="n">
        <v>13</v>
      </c>
      <c r="AK228" s="37" t="n">
        <v>10</v>
      </c>
      <c r="AL228" s="37" t="s">
        <v>347</v>
      </c>
      <c r="AM228" s="39" t="n">
        <v>155.08</v>
      </c>
    </row>
    <row r="229" customFormat="false" ht="15" hidden="false" customHeight="false" outlineLevel="0" collapsed="false">
      <c r="A229" s="37" t="n">
        <v>361687594</v>
      </c>
      <c r="B229" s="38" t="n">
        <v>46221.4621412037</v>
      </c>
      <c r="C229" s="37" t="s">
        <v>345</v>
      </c>
      <c r="D229" s="37" t="s">
        <v>576</v>
      </c>
      <c r="E229" s="37" t="n">
        <v>27170650</v>
      </c>
      <c r="F229" s="37" t="s">
        <v>244</v>
      </c>
      <c r="G229" s="37" t="s">
        <v>198</v>
      </c>
      <c r="H229" s="37" t="s">
        <v>190</v>
      </c>
      <c r="I229" s="37" t="n">
        <v>81.7</v>
      </c>
      <c r="J229" s="39" t="n">
        <v>599.99</v>
      </c>
      <c r="K229" s="37" t="s">
        <v>518</v>
      </c>
      <c r="L229" s="39" t="n">
        <v>185.97</v>
      </c>
      <c r="M229" s="39" t="n">
        <v>109.63</v>
      </c>
      <c r="N229" s="39" t="n">
        <f aca="false">J229*Resumo!$C$6</f>
        <v>0</v>
      </c>
      <c r="O229" s="39" t="n">
        <f aca="false">J229*Resumo!$C$7</f>
        <v>1.259979</v>
      </c>
      <c r="P229" s="39" t="n">
        <f aca="false">J229*Resumo!$C$8</f>
        <v>1.259979</v>
      </c>
      <c r="Q229" s="39" t="n">
        <f aca="false">Resumo!$C$10*CEILING(I229/100,1)</f>
        <v>1.05</v>
      </c>
      <c r="R229" s="39" t="n">
        <f aca="false">Resumo!$C$9</f>
        <v>0</v>
      </c>
      <c r="S229" s="39" t="n">
        <f aca="false">Resumo!$C$13</f>
        <v>13.55</v>
      </c>
      <c r="T229" s="39" t="n">
        <f aca="false">Resumo!$C$14*CEILING(I229,1)</f>
        <v>36.9</v>
      </c>
      <c r="U229" s="39" t="n">
        <f aca="false">SUM(M229:T229)*Resumo!$C$11</f>
        <v>0</v>
      </c>
      <c r="V229" s="39" t="n">
        <f aca="false">SUM(M229:U229)</f>
        <v>163.649958</v>
      </c>
      <c r="W229" s="39" t="n">
        <f aca="false">V229/(1-Resumo!$C$5)</f>
        <v>185.965861363636</v>
      </c>
      <c r="X229" s="39" t="n">
        <v>197.35</v>
      </c>
      <c r="Y229" s="39" t="n">
        <f aca="false">J229*Resumo!$B$6</f>
        <v>0.59999</v>
      </c>
      <c r="Z229" s="39" t="n">
        <f aca="false">J229*Resumo!$B$7</f>
        <v>1.19998</v>
      </c>
      <c r="AA229" s="39" t="n">
        <f aca="false">Resumo!$B$9</f>
        <v>1</v>
      </c>
      <c r="AB229" s="39" t="n">
        <f aca="false">Resumo!$B$10*CEILING(I229/100,1)</f>
        <v>4.5</v>
      </c>
      <c r="AC229" s="39" t="n">
        <f aca="false">Resumo!$B$12*CEILING(I229,1)</f>
        <v>4.92</v>
      </c>
      <c r="AD229" s="39" t="n">
        <f aca="false">Resumo!$B$14*CEILING(I229,1)</f>
        <v>36.9</v>
      </c>
      <c r="AE229" s="39" t="n">
        <f aca="false">SUM(X229:AD229)</f>
        <v>246.46997</v>
      </c>
      <c r="AF229" s="39" t="n">
        <f aca="false">AE229/(1-Resumo!$B$5)</f>
        <v>280.079511363636</v>
      </c>
      <c r="AG229" s="39" t="n">
        <f aca="false">AF229-W229</f>
        <v>94.11365</v>
      </c>
      <c r="AH229" s="40" t="n">
        <f aca="false">AF229/W229-1</f>
        <v>0.506080252095146</v>
      </c>
      <c r="AI229" s="37" t="str">
        <f aca="false">IF(AF229&lt;W229,"SIM","NÃO")</f>
        <v>NÃO</v>
      </c>
      <c r="AJ229" s="37" t="n">
        <v>13</v>
      </c>
      <c r="AK229" s="37" t="n">
        <v>10</v>
      </c>
      <c r="AL229" s="37" t="s">
        <v>347</v>
      </c>
      <c r="AM229" s="39" t="n">
        <v>191.47</v>
      </c>
    </row>
    <row r="230" customFormat="false" ht="15" hidden="false" customHeight="false" outlineLevel="0" collapsed="false">
      <c r="A230" s="37" t="n">
        <v>361687976</v>
      </c>
      <c r="B230" s="38" t="n">
        <v>46221.4631134259</v>
      </c>
      <c r="C230" s="37" t="s">
        <v>340</v>
      </c>
      <c r="D230" s="37" t="s">
        <v>577</v>
      </c>
      <c r="E230" s="37" t="n">
        <v>24425640</v>
      </c>
      <c r="F230" s="37" t="s">
        <v>160</v>
      </c>
      <c r="G230" s="37" t="s">
        <v>197</v>
      </c>
      <c r="H230" s="37" t="s">
        <v>184</v>
      </c>
      <c r="I230" s="37" t="n">
        <v>27.4</v>
      </c>
      <c r="J230" s="39" t="n">
        <v>359.99</v>
      </c>
      <c r="K230" s="37" t="s">
        <v>518</v>
      </c>
      <c r="L230" s="39" t="n">
        <v>99.45</v>
      </c>
      <c r="M230" s="39" t="n">
        <v>58.8</v>
      </c>
      <c r="N230" s="39" t="n">
        <f aca="false">J230*Resumo!$C$6</f>
        <v>0</v>
      </c>
      <c r="O230" s="39" t="n">
        <f aca="false">J230*Resumo!$C$7</f>
        <v>0.755979</v>
      </c>
      <c r="P230" s="39" t="n">
        <f aca="false">J230*Resumo!$C$8</f>
        <v>0.755979</v>
      </c>
      <c r="Q230" s="39" t="n">
        <f aca="false">Resumo!$C$10*CEILING(I230/100,1)</f>
        <v>1.05</v>
      </c>
      <c r="R230" s="39" t="n">
        <f aca="false">Resumo!$C$9</f>
        <v>0</v>
      </c>
      <c r="S230" s="39" t="n">
        <f aca="false">Resumo!$C$13</f>
        <v>13.55</v>
      </c>
      <c r="T230" s="39" t="n">
        <f aca="false">Resumo!$C$14*CEILING(I230,1)</f>
        <v>12.6</v>
      </c>
      <c r="U230" s="39" t="n">
        <f aca="false">SUM(M230:T230)*Resumo!$C$11</f>
        <v>0</v>
      </c>
      <c r="V230" s="39" t="n">
        <f aca="false">SUM(M230:U230)</f>
        <v>87.511958</v>
      </c>
      <c r="W230" s="39" t="n">
        <f aca="false">V230/(1-Resumo!$C$5)</f>
        <v>99.4454068181818</v>
      </c>
      <c r="X230" s="39" t="n">
        <v>100.58</v>
      </c>
      <c r="Y230" s="39" t="n">
        <f aca="false">J230*Resumo!$B$6</f>
        <v>0.35999</v>
      </c>
      <c r="Z230" s="39" t="n">
        <f aca="false">J230*Resumo!$B$7</f>
        <v>0.71998</v>
      </c>
      <c r="AA230" s="39" t="n">
        <f aca="false">Resumo!$B$9</f>
        <v>1</v>
      </c>
      <c r="AB230" s="39" t="n">
        <f aca="false">Resumo!$B$10*CEILING(I230/100,1)</f>
        <v>4.5</v>
      </c>
      <c r="AC230" s="39" t="n">
        <f aca="false">Resumo!$B$12*CEILING(I230,1)</f>
        <v>1.68</v>
      </c>
      <c r="AD230" s="39" t="n">
        <f aca="false">Resumo!$B$14*CEILING(I230,1)</f>
        <v>12.6</v>
      </c>
      <c r="AE230" s="39" t="n">
        <f aca="false">SUM(X230:AD230)</f>
        <v>121.43997</v>
      </c>
      <c r="AF230" s="39" t="n">
        <f aca="false">AE230/(1-Resumo!$B$5)</f>
        <v>137.999965909091</v>
      </c>
      <c r="AG230" s="39" t="n">
        <f aca="false">AF230-W230</f>
        <v>38.5545590909091</v>
      </c>
      <c r="AH230" s="40" t="n">
        <f aca="false">AF230/W230-1</f>
        <v>0.387695724965953</v>
      </c>
      <c r="AI230" s="37" t="str">
        <f aca="false">IF(AF230&lt;W230,"SIM","NÃO")</f>
        <v>NÃO</v>
      </c>
      <c r="AJ230" s="37" t="n">
        <v>2</v>
      </c>
      <c r="AK230" s="37" t="n">
        <v>7</v>
      </c>
      <c r="AL230" s="37" t="s">
        <v>343</v>
      </c>
      <c r="AM230" s="39" t="n">
        <v>101.11</v>
      </c>
    </row>
    <row r="231" customFormat="false" ht="15" hidden="false" customHeight="false" outlineLevel="0" collapsed="false">
      <c r="A231" s="37" t="n">
        <v>361726758</v>
      </c>
      <c r="B231" s="38" t="n">
        <v>46221.5580439815</v>
      </c>
      <c r="C231" s="37" t="s">
        <v>340</v>
      </c>
      <c r="D231" s="37" t="s">
        <v>578</v>
      </c>
      <c r="E231" s="37" t="n">
        <v>27966803</v>
      </c>
      <c r="F231" s="37" t="s">
        <v>166</v>
      </c>
      <c r="G231" s="37" t="s">
        <v>198</v>
      </c>
      <c r="H231" s="37" t="s">
        <v>184</v>
      </c>
      <c r="I231" s="37" t="n">
        <v>31</v>
      </c>
      <c r="J231" s="39" t="n">
        <v>299.99</v>
      </c>
      <c r="K231" s="37" t="s">
        <v>518</v>
      </c>
      <c r="L231" s="39" t="n">
        <v>108.45</v>
      </c>
      <c r="M231" s="39" t="n">
        <v>65.63</v>
      </c>
      <c r="N231" s="39" t="n">
        <f aca="false">J231*Resumo!$C$6</f>
        <v>0</v>
      </c>
      <c r="O231" s="39" t="n">
        <f aca="false">J231*Resumo!$C$7</f>
        <v>0.629979</v>
      </c>
      <c r="P231" s="39" t="n">
        <f aca="false">J231*Resumo!$C$8</f>
        <v>0.629979</v>
      </c>
      <c r="Q231" s="39" t="n">
        <f aca="false">Resumo!$C$10*CEILING(I231/100,1)</f>
        <v>1.05</v>
      </c>
      <c r="R231" s="39" t="n">
        <f aca="false">Resumo!$C$9</f>
        <v>0</v>
      </c>
      <c r="S231" s="39" t="n">
        <f aca="false">Resumo!$C$13</f>
        <v>13.55</v>
      </c>
      <c r="T231" s="39" t="n">
        <f aca="false">Resumo!$C$14*CEILING(I231,1)</f>
        <v>13.95</v>
      </c>
      <c r="U231" s="39" t="n">
        <f aca="false">SUM(M231:T231)*Resumo!$C$11</f>
        <v>0</v>
      </c>
      <c r="V231" s="39" t="n">
        <f aca="false">SUM(M231:U231)</f>
        <v>95.439958</v>
      </c>
      <c r="W231" s="39" t="n">
        <f aca="false">V231/(1-Resumo!$C$5)</f>
        <v>108.454497727273</v>
      </c>
      <c r="X231" s="39" t="n">
        <v>138.29</v>
      </c>
      <c r="Y231" s="39" t="n">
        <f aca="false">J231*Resumo!$B$6</f>
        <v>0.29999</v>
      </c>
      <c r="Z231" s="39" t="n">
        <f aca="false">J231*Resumo!$B$7</f>
        <v>0.59998</v>
      </c>
      <c r="AA231" s="39" t="n">
        <f aca="false">Resumo!$B$9</f>
        <v>1</v>
      </c>
      <c r="AB231" s="39" t="n">
        <f aca="false">Resumo!$B$10*CEILING(I231/100,1)</f>
        <v>4.5</v>
      </c>
      <c r="AC231" s="39" t="n">
        <f aca="false">Resumo!$B$12*CEILING(I231,1)</f>
        <v>1.86</v>
      </c>
      <c r="AD231" s="39" t="n">
        <f aca="false">Resumo!$B$14*CEILING(I231,1)</f>
        <v>13.95</v>
      </c>
      <c r="AE231" s="39" t="n">
        <f aca="false">SUM(X231:AD231)</f>
        <v>160.49997</v>
      </c>
      <c r="AF231" s="39" t="n">
        <f aca="false">AE231/(1-Resumo!$B$5)</f>
        <v>182.386329545455</v>
      </c>
      <c r="AG231" s="39" t="n">
        <f aca="false">AF231-W231</f>
        <v>73.9318318181818</v>
      </c>
      <c r="AH231" s="40" t="n">
        <f aca="false">AF231/W231-1</f>
        <v>0.681685253884961</v>
      </c>
      <c r="AI231" s="37" t="str">
        <f aca="false">IF(AF231&lt;W231,"SIM","NÃO")</f>
        <v>NÃO</v>
      </c>
      <c r="AJ231" s="37" t="n">
        <v>13</v>
      </c>
      <c r="AK231" s="37" t="n">
        <v>11</v>
      </c>
      <c r="AL231" s="37" t="s">
        <v>343</v>
      </c>
      <c r="AM231" s="39" t="n">
        <v>108.62</v>
      </c>
    </row>
    <row r="232" customFormat="false" ht="15" hidden="false" customHeight="false" outlineLevel="0" collapsed="false">
      <c r="A232" s="37" t="n">
        <v>361751065</v>
      </c>
      <c r="B232" s="38" t="n">
        <v>46221.6259606482</v>
      </c>
      <c r="C232" s="37" t="s">
        <v>345</v>
      </c>
      <c r="D232" s="37" t="s">
        <v>579</v>
      </c>
      <c r="E232" s="37" t="n">
        <v>26515600</v>
      </c>
      <c r="F232" s="37" t="s">
        <v>238</v>
      </c>
      <c r="G232" s="37" t="s">
        <v>197</v>
      </c>
      <c r="H232" s="37" t="s">
        <v>185</v>
      </c>
      <c r="I232" s="37" t="n">
        <v>37.6</v>
      </c>
      <c r="J232" s="39" t="n">
        <v>404.19</v>
      </c>
      <c r="K232" s="37" t="s">
        <v>518</v>
      </c>
      <c r="L232" s="39" t="n">
        <v>113.9</v>
      </c>
      <c r="M232" s="39" t="n">
        <v>66.83</v>
      </c>
      <c r="N232" s="39" t="n">
        <f aca="false">J232*Resumo!$C$6</f>
        <v>0</v>
      </c>
      <c r="O232" s="39" t="n">
        <f aca="false">J232*Resumo!$C$7</f>
        <v>0.848799</v>
      </c>
      <c r="P232" s="39" t="n">
        <f aca="false">J232*Resumo!$C$8</f>
        <v>0.848799</v>
      </c>
      <c r="Q232" s="39" t="n">
        <f aca="false">Resumo!$C$10*CEILING(I232/100,1)</f>
        <v>1.05</v>
      </c>
      <c r="R232" s="39" t="n">
        <f aca="false">Resumo!$C$9</f>
        <v>0</v>
      </c>
      <c r="S232" s="39" t="n">
        <f aca="false">Resumo!$C$13</f>
        <v>13.55</v>
      </c>
      <c r="T232" s="39" t="n">
        <f aca="false">Resumo!$C$14*CEILING(I232,1)</f>
        <v>17.1</v>
      </c>
      <c r="U232" s="39" t="n">
        <f aca="false">SUM(M232:T232)*Resumo!$C$11</f>
        <v>0</v>
      </c>
      <c r="V232" s="39" t="n">
        <f aca="false">SUM(M232:U232)</f>
        <v>100.227598</v>
      </c>
      <c r="W232" s="39" t="n">
        <f aca="false">V232/(1-Resumo!$C$5)</f>
        <v>113.894997727273</v>
      </c>
      <c r="X232" s="39" t="n">
        <v>93.97</v>
      </c>
      <c r="Y232" s="39" t="n">
        <f aca="false">J232*Resumo!$B$6</f>
        <v>0.40419</v>
      </c>
      <c r="Z232" s="39" t="n">
        <f aca="false">J232*Resumo!$B$7</f>
        <v>0.80838</v>
      </c>
      <c r="AA232" s="39" t="n">
        <f aca="false">Resumo!$B$9</f>
        <v>1</v>
      </c>
      <c r="AB232" s="39" t="n">
        <f aca="false">Resumo!$B$10*CEILING(I232/100,1)</f>
        <v>4.5</v>
      </c>
      <c r="AC232" s="39" t="n">
        <f aca="false">Resumo!$B$12*CEILING(I232,1)</f>
        <v>2.28</v>
      </c>
      <c r="AD232" s="39" t="n">
        <f aca="false">Resumo!$B$14*CEILING(I232,1)</f>
        <v>17.1</v>
      </c>
      <c r="AE232" s="39" t="n">
        <f aca="false">SUM(X232:AD232)</f>
        <v>120.06257</v>
      </c>
      <c r="AF232" s="39" t="n">
        <f aca="false">AE232/(1-Resumo!$B$5)</f>
        <v>136.434738636364</v>
      </c>
      <c r="AG232" s="39" t="n">
        <f aca="false">AF232-W232</f>
        <v>22.5397409090909</v>
      </c>
      <c r="AH232" s="40" t="n">
        <f aca="false">AF232/W232-1</f>
        <v>0.197899305139489</v>
      </c>
      <c r="AI232" s="37" t="str">
        <f aca="false">IF(AF232&lt;W232,"SIM","NÃO")</f>
        <v>NÃO</v>
      </c>
      <c r="AJ232" s="37" t="n">
        <v>2</v>
      </c>
      <c r="AK232" s="37" t="n">
        <v>5</v>
      </c>
      <c r="AL232" s="37" t="s">
        <v>347</v>
      </c>
      <c r="AM232" s="39" t="n">
        <v>112.89</v>
      </c>
    </row>
    <row r="233" customFormat="false" ht="15" hidden="false" customHeight="false" outlineLevel="0" collapsed="false">
      <c r="A233" s="37" t="n">
        <v>361751893</v>
      </c>
      <c r="B233" s="38" t="n">
        <v>46221.6286689815</v>
      </c>
      <c r="C233" s="37" t="s">
        <v>340</v>
      </c>
      <c r="D233" s="37" t="s">
        <v>580</v>
      </c>
      <c r="E233" s="37" t="n">
        <v>23040400</v>
      </c>
      <c r="F233" s="37" t="s">
        <v>159</v>
      </c>
      <c r="G233" s="37" t="s">
        <v>196</v>
      </c>
      <c r="H233" s="37" t="s">
        <v>184</v>
      </c>
      <c r="I233" s="37" t="n">
        <v>31.9</v>
      </c>
      <c r="J233" s="39" t="n">
        <v>568.28</v>
      </c>
      <c r="K233" s="37" t="s">
        <v>518</v>
      </c>
      <c r="L233" s="39" t="n">
        <v>83.51</v>
      </c>
      <c r="M233" s="39" t="n">
        <v>42.11</v>
      </c>
      <c r="N233" s="39" t="n">
        <f aca="false">J233*Resumo!$C$6</f>
        <v>0</v>
      </c>
      <c r="O233" s="39" t="n">
        <f aca="false">J233*Resumo!$C$7</f>
        <v>1.193388</v>
      </c>
      <c r="P233" s="39" t="n">
        <f aca="false">J233*Resumo!$C$8</f>
        <v>1.193388</v>
      </c>
      <c r="Q233" s="39" t="n">
        <f aca="false">Resumo!$C$10*CEILING(I233/100,1)</f>
        <v>1.05</v>
      </c>
      <c r="R233" s="39" t="n">
        <f aca="false">Resumo!$C$9</f>
        <v>0</v>
      </c>
      <c r="S233" s="39" t="n">
        <f aca="false">Resumo!$C$13</f>
        <v>13.55</v>
      </c>
      <c r="T233" s="39" t="n">
        <f aca="false">Resumo!$C$14*CEILING(I233,1)</f>
        <v>14.4</v>
      </c>
      <c r="U233" s="39" t="n">
        <f aca="false">SUM(M233:T233)*Resumo!$C$11</f>
        <v>0</v>
      </c>
      <c r="V233" s="39" t="n">
        <f aca="false">SUM(M233:U233)</f>
        <v>73.496776</v>
      </c>
      <c r="W233" s="39" t="n">
        <f aca="false">V233/(1-Resumo!$C$5)</f>
        <v>83.5190636363636</v>
      </c>
      <c r="X233" s="39" t="n">
        <v>82.21</v>
      </c>
      <c r="Y233" s="39" t="n">
        <f aca="false">J233*Resumo!$B$6</f>
        <v>0.56828</v>
      </c>
      <c r="Z233" s="39" t="n">
        <f aca="false">J233*Resumo!$B$7</f>
        <v>1.13656</v>
      </c>
      <c r="AA233" s="39" t="n">
        <f aca="false">Resumo!$B$9</f>
        <v>1</v>
      </c>
      <c r="AB233" s="39" t="n">
        <f aca="false">Resumo!$B$10*CEILING(I233/100,1)</f>
        <v>4.5</v>
      </c>
      <c r="AC233" s="39" t="n">
        <f aca="false">Resumo!$B$12*CEILING(I233,1)</f>
        <v>1.92</v>
      </c>
      <c r="AD233" s="39" t="n">
        <f aca="false">Resumo!$B$14*CEILING(I233,1)</f>
        <v>14.4</v>
      </c>
      <c r="AE233" s="39" t="n">
        <f aca="false">SUM(X233:AD233)</f>
        <v>105.73484</v>
      </c>
      <c r="AF233" s="39" t="n">
        <f aca="false">AE233/(1-Resumo!$B$5)</f>
        <v>120.153227272727</v>
      </c>
      <c r="AG233" s="39" t="n">
        <f aca="false">AF233-W233</f>
        <v>36.6341636363637</v>
      </c>
      <c r="AH233" s="40" t="n">
        <f aca="false">AF233/W233-1</f>
        <v>0.438632355792042</v>
      </c>
      <c r="AI233" s="37" t="str">
        <f aca="false">IF(AF233&lt;W233,"SIM","NÃO")</f>
        <v>NÃO</v>
      </c>
      <c r="AJ233" s="37" t="n">
        <v>2</v>
      </c>
      <c r="AK233" s="37" t="n">
        <v>5</v>
      </c>
      <c r="AL233" s="37" t="s">
        <v>343</v>
      </c>
      <c r="AM233" s="39" t="n">
        <v>83.05</v>
      </c>
    </row>
    <row r="234" customFormat="false" ht="15" hidden="false" customHeight="false" outlineLevel="0" collapsed="false">
      <c r="A234" s="37" t="n">
        <v>361762525</v>
      </c>
      <c r="B234" s="38" t="n">
        <v>46221.6542592593</v>
      </c>
      <c r="C234" s="37" t="s">
        <v>340</v>
      </c>
      <c r="D234" s="37" t="s">
        <v>581</v>
      </c>
      <c r="E234" s="37" t="n">
        <v>28611320</v>
      </c>
      <c r="F234" s="37" t="s">
        <v>177</v>
      </c>
      <c r="G234" s="37" t="s">
        <v>198</v>
      </c>
      <c r="H234" s="37" t="s">
        <v>185</v>
      </c>
      <c r="I234" s="37" t="n">
        <v>38.15</v>
      </c>
      <c r="J234" s="39" t="n">
        <v>459.99</v>
      </c>
      <c r="K234" s="37" t="s">
        <v>518</v>
      </c>
      <c r="L234" s="39" t="n">
        <v>123.93</v>
      </c>
      <c r="M234" s="39" t="n">
        <v>74.97</v>
      </c>
      <c r="N234" s="39" t="n">
        <f aca="false">J234*Resumo!$C$6</f>
        <v>0</v>
      </c>
      <c r="O234" s="39" t="n">
        <f aca="false">J234*Resumo!$C$7</f>
        <v>0.965979</v>
      </c>
      <c r="P234" s="39" t="n">
        <f aca="false">J234*Resumo!$C$8</f>
        <v>0.965979</v>
      </c>
      <c r="Q234" s="39" t="n">
        <f aca="false">Resumo!$C$10*CEILING(I234/100,1)</f>
        <v>1.05</v>
      </c>
      <c r="R234" s="39" t="n">
        <f aca="false">Resumo!$C$9</f>
        <v>0</v>
      </c>
      <c r="S234" s="39" t="n">
        <f aca="false">Resumo!$C$13</f>
        <v>13.55</v>
      </c>
      <c r="T234" s="39" t="n">
        <f aca="false">Resumo!$C$14*CEILING(I234,1)</f>
        <v>17.55</v>
      </c>
      <c r="U234" s="39" t="n">
        <f aca="false">SUM(M234:T234)*Resumo!$C$11</f>
        <v>0</v>
      </c>
      <c r="V234" s="39" t="n">
        <f aca="false">SUM(M234:U234)</f>
        <v>109.051958</v>
      </c>
      <c r="W234" s="39" t="n">
        <f aca="false">V234/(1-Resumo!$C$5)</f>
        <v>123.922679545455</v>
      </c>
      <c r="X234" s="39" t="n">
        <v>125.63</v>
      </c>
      <c r="Y234" s="39" t="n">
        <f aca="false">J234*Resumo!$B$6</f>
        <v>0.45999</v>
      </c>
      <c r="Z234" s="39" t="n">
        <f aca="false">J234*Resumo!$B$7</f>
        <v>0.91998</v>
      </c>
      <c r="AA234" s="39" t="n">
        <f aca="false">Resumo!$B$9</f>
        <v>1</v>
      </c>
      <c r="AB234" s="39" t="n">
        <f aca="false">Resumo!$B$10*CEILING(I234/100,1)</f>
        <v>4.5</v>
      </c>
      <c r="AC234" s="39" t="n">
        <f aca="false">Resumo!$B$12*CEILING(I234,1)</f>
        <v>2.34</v>
      </c>
      <c r="AD234" s="39" t="n">
        <f aca="false">Resumo!$B$14*CEILING(I234,1)</f>
        <v>17.55</v>
      </c>
      <c r="AE234" s="39" t="n">
        <f aca="false">SUM(X234:AD234)</f>
        <v>152.39997</v>
      </c>
      <c r="AF234" s="39" t="n">
        <f aca="false">AE234/(1-Resumo!$B$5)</f>
        <v>173.181784090909</v>
      </c>
      <c r="AG234" s="39" t="n">
        <f aca="false">AF234-W234</f>
        <v>49.2591045454545</v>
      </c>
      <c r="AH234" s="40" t="n">
        <f aca="false">AF234/W234-1</f>
        <v>0.397498704241514</v>
      </c>
      <c r="AI234" s="37" t="str">
        <f aca="false">IF(AF234&lt;W234,"SIM","NÃO")</f>
        <v>NÃO</v>
      </c>
      <c r="AJ234" s="37" t="n">
        <v>13</v>
      </c>
      <c r="AK234" s="37" t="n">
        <v>10</v>
      </c>
      <c r="AL234" s="37" t="s">
        <v>343</v>
      </c>
      <c r="AM234" s="39" t="n">
        <v>122.45</v>
      </c>
    </row>
    <row r="235" customFormat="false" ht="15" hidden="false" customHeight="false" outlineLevel="0" collapsed="false">
      <c r="A235" s="37" t="n">
        <v>361773470</v>
      </c>
      <c r="B235" s="38" t="n">
        <v>46221.6788657407</v>
      </c>
      <c r="C235" s="37" t="s">
        <v>345</v>
      </c>
      <c r="D235" s="37" t="s">
        <v>582</v>
      </c>
      <c r="E235" s="37" t="n">
        <v>26950000</v>
      </c>
      <c r="F235" s="37" t="s">
        <v>243</v>
      </c>
      <c r="G235" s="37" t="s">
        <v>198</v>
      </c>
      <c r="H235" s="37" t="s">
        <v>188</v>
      </c>
      <c r="I235" s="37" t="n">
        <v>61.4</v>
      </c>
      <c r="J235" s="39" t="n">
        <v>863.2</v>
      </c>
      <c r="K235" s="37" t="s">
        <v>518</v>
      </c>
      <c r="L235" s="39" t="n">
        <v>154.91</v>
      </c>
      <c r="M235" s="39" t="n">
        <v>90.2</v>
      </c>
      <c r="N235" s="39" t="n">
        <f aca="false">J235*Resumo!$C$6</f>
        <v>0</v>
      </c>
      <c r="O235" s="39" t="n">
        <f aca="false">J235*Resumo!$C$7</f>
        <v>1.81272</v>
      </c>
      <c r="P235" s="39" t="n">
        <f aca="false">J235*Resumo!$C$8</f>
        <v>1.81272</v>
      </c>
      <c r="Q235" s="39" t="n">
        <f aca="false">Resumo!$C$10*CEILING(I235/100,1)</f>
        <v>1.05</v>
      </c>
      <c r="R235" s="39" t="n">
        <f aca="false">Resumo!$C$9</f>
        <v>0</v>
      </c>
      <c r="S235" s="39" t="n">
        <f aca="false">Resumo!$C$13</f>
        <v>13.55</v>
      </c>
      <c r="T235" s="39" t="n">
        <f aca="false">Resumo!$C$14*CEILING(I235,1)</f>
        <v>27.9</v>
      </c>
      <c r="U235" s="39" t="n">
        <f aca="false">SUM(M235:T235)*Resumo!$C$11</f>
        <v>0</v>
      </c>
      <c r="V235" s="39" t="n">
        <f aca="false">SUM(M235:U235)</f>
        <v>136.32544</v>
      </c>
      <c r="W235" s="39" t="n">
        <f aca="false">V235/(1-Resumo!$C$5)</f>
        <v>154.915272727273</v>
      </c>
      <c r="X235" s="39" t="n">
        <v>166.05</v>
      </c>
      <c r="Y235" s="39" t="n">
        <f aca="false">J235*Resumo!$B$6</f>
        <v>0.8632</v>
      </c>
      <c r="Z235" s="39" t="n">
        <f aca="false">J235*Resumo!$B$7</f>
        <v>1.7264</v>
      </c>
      <c r="AA235" s="39" t="n">
        <f aca="false">Resumo!$B$9</f>
        <v>1</v>
      </c>
      <c r="AB235" s="39" t="n">
        <f aca="false">Resumo!$B$10*CEILING(I235/100,1)</f>
        <v>4.5</v>
      </c>
      <c r="AC235" s="39" t="n">
        <f aca="false">Resumo!$B$12*CEILING(I235,1)</f>
        <v>3.72</v>
      </c>
      <c r="AD235" s="39" t="n">
        <f aca="false">Resumo!$B$14*CEILING(I235,1)</f>
        <v>27.9</v>
      </c>
      <c r="AE235" s="39" t="n">
        <f aca="false">SUM(X235:AD235)</f>
        <v>205.7596</v>
      </c>
      <c r="AF235" s="39" t="n">
        <f aca="false">AE235/(1-Resumo!$B$5)</f>
        <v>233.817727272727</v>
      </c>
      <c r="AG235" s="39" t="n">
        <f aca="false">AF235-W235</f>
        <v>78.9024545454545</v>
      </c>
      <c r="AH235" s="40" t="n">
        <f aca="false">AF235/W235-1</f>
        <v>0.509326505749771</v>
      </c>
      <c r="AI235" s="37" t="str">
        <f aca="false">IF(AF235&lt;W235,"SIM","NÃO")</f>
        <v>NÃO</v>
      </c>
      <c r="AJ235" s="37" t="n">
        <v>13</v>
      </c>
      <c r="AK235" s="37" t="n">
        <v>10</v>
      </c>
      <c r="AL235" s="37" t="s">
        <v>347</v>
      </c>
      <c r="AM235" s="39" t="n">
        <v>156.16</v>
      </c>
    </row>
    <row r="236" customFormat="false" ht="15" hidden="false" customHeight="false" outlineLevel="0" collapsed="false">
      <c r="A236" s="37" t="n">
        <v>361773277</v>
      </c>
      <c r="B236" s="38" t="n">
        <v>46221.681400463</v>
      </c>
      <c r="C236" s="37" t="s">
        <v>375</v>
      </c>
      <c r="D236" s="37" t="s">
        <v>583</v>
      </c>
      <c r="E236" s="37" t="n">
        <v>25515180</v>
      </c>
      <c r="F236" s="37" t="s">
        <v>167</v>
      </c>
      <c r="G236" s="37" t="s">
        <v>197</v>
      </c>
      <c r="H236" s="37" t="s">
        <v>190</v>
      </c>
      <c r="I236" s="37" t="n">
        <v>83.9</v>
      </c>
      <c r="J236" s="39" t="n">
        <v>1008.59</v>
      </c>
      <c r="K236" s="37" t="s">
        <v>518</v>
      </c>
      <c r="L236" s="39" t="n">
        <v>169.27</v>
      </c>
      <c r="M236" s="39" t="n">
        <v>92.32</v>
      </c>
      <c r="N236" s="39" t="n">
        <f aca="false">J236*Resumo!$C$6</f>
        <v>0</v>
      </c>
      <c r="O236" s="39" t="n">
        <f aca="false">J236*Resumo!$C$7</f>
        <v>2.118039</v>
      </c>
      <c r="P236" s="39" t="n">
        <f aca="false">J236*Resumo!$C$8</f>
        <v>2.118039</v>
      </c>
      <c r="Q236" s="39" t="n">
        <f aca="false">Resumo!$C$10*CEILING(I236/100,1)</f>
        <v>1.05</v>
      </c>
      <c r="R236" s="39" t="n">
        <f aca="false">Resumo!$C$9</f>
        <v>0</v>
      </c>
      <c r="S236" s="39" t="n">
        <f aca="false">Resumo!$C$13</f>
        <v>13.55</v>
      </c>
      <c r="T236" s="39" t="n">
        <f aca="false">Resumo!$C$14*CEILING(I236,1)</f>
        <v>37.8</v>
      </c>
      <c r="U236" s="39" t="n">
        <f aca="false">SUM(M236:T236)*Resumo!$C$11</f>
        <v>0</v>
      </c>
      <c r="V236" s="39" t="n">
        <f aca="false">SUM(M236:U236)</f>
        <v>148.956078</v>
      </c>
      <c r="W236" s="39" t="n">
        <f aca="false">V236/(1-Resumo!$C$5)</f>
        <v>169.268270454545</v>
      </c>
      <c r="X236" s="39" t="n">
        <v>167.99</v>
      </c>
      <c r="Y236" s="39" t="n">
        <f aca="false">J236*Resumo!$B$6</f>
        <v>1.00859</v>
      </c>
      <c r="Z236" s="39" t="n">
        <f aca="false">J236*Resumo!$B$7</f>
        <v>2.01718</v>
      </c>
      <c r="AA236" s="39" t="n">
        <f aca="false">Resumo!$B$9</f>
        <v>1</v>
      </c>
      <c r="AB236" s="39" t="n">
        <f aca="false">Resumo!$B$10*CEILING(I236/100,1)</f>
        <v>4.5</v>
      </c>
      <c r="AC236" s="39" t="n">
        <f aca="false">Resumo!$B$12*CEILING(I236,1)</f>
        <v>5.04</v>
      </c>
      <c r="AD236" s="39" t="n">
        <f aca="false">Resumo!$B$14*CEILING(I236,1)</f>
        <v>37.8</v>
      </c>
      <c r="AE236" s="39" t="n">
        <f aca="false">SUM(X236:AD236)</f>
        <v>219.35577</v>
      </c>
      <c r="AF236" s="39" t="n">
        <f aca="false">AE236/(1-Resumo!$B$5)</f>
        <v>249.267920454545</v>
      </c>
      <c r="AG236" s="39" t="n">
        <f aca="false">AF236-W236</f>
        <v>79.99965</v>
      </c>
      <c r="AH236" s="40" t="n">
        <f aca="false">AF236/W236-1</f>
        <v>0.472620472727538</v>
      </c>
      <c r="AI236" s="37" t="str">
        <f aca="false">IF(AF236&lt;W236,"SIM","NÃO")</f>
        <v>NÃO</v>
      </c>
      <c r="AJ236" s="37" t="n">
        <v>2</v>
      </c>
      <c r="AK236" s="37" t="n">
        <v>5</v>
      </c>
      <c r="AL236" s="37" t="s">
        <v>343</v>
      </c>
      <c r="AM236" s="39" t="n">
        <v>173.66</v>
      </c>
    </row>
    <row r="237" customFormat="false" ht="15" hidden="false" customHeight="false" outlineLevel="0" collapsed="false">
      <c r="A237" s="37" t="n">
        <v>361780299</v>
      </c>
      <c r="B237" s="38" t="n">
        <v>46221.6937731481</v>
      </c>
      <c r="C237" s="37" t="s">
        <v>340</v>
      </c>
      <c r="D237" s="37" t="s">
        <v>584</v>
      </c>
      <c r="E237" s="37" t="n">
        <v>24913350</v>
      </c>
      <c r="F237" s="37" t="s">
        <v>171</v>
      </c>
      <c r="G237" s="37" t="s">
        <v>198</v>
      </c>
      <c r="H237" s="37" t="s">
        <v>187</v>
      </c>
      <c r="I237" s="37" t="n">
        <v>58.6</v>
      </c>
      <c r="J237" s="39" t="n">
        <v>769.99</v>
      </c>
      <c r="K237" s="37" t="s">
        <v>518</v>
      </c>
      <c r="L237" s="39" t="n">
        <v>145.42</v>
      </c>
      <c r="M237" s="39" t="n">
        <v>83.58</v>
      </c>
      <c r="N237" s="39" t="n">
        <f aca="false">J237*Resumo!$C$6</f>
        <v>0</v>
      </c>
      <c r="O237" s="39" t="n">
        <f aca="false">J237*Resumo!$C$7</f>
        <v>1.616979</v>
      </c>
      <c r="P237" s="39" t="n">
        <f aca="false">J237*Resumo!$C$8</f>
        <v>1.616979</v>
      </c>
      <c r="Q237" s="39" t="n">
        <f aca="false">Resumo!$C$10*CEILING(I237/100,1)</f>
        <v>1.05</v>
      </c>
      <c r="R237" s="39" t="n">
        <f aca="false">Resumo!$C$9</f>
        <v>0</v>
      </c>
      <c r="S237" s="39" t="n">
        <f aca="false">Resumo!$C$13</f>
        <v>13.55</v>
      </c>
      <c r="T237" s="39" t="n">
        <f aca="false">Resumo!$C$14*CEILING(I237,1)</f>
        <v>26.55</v>
      </c>
      <c r="U237" s="39" t="n">
        <f aca="false">SUM(M237:T237)*Resumo!$C$11</f>
        <v>0</v>
      </c>
      <c r="V237" s="39" t="n">
        <f aca="false">SUM(M237:U237)</f>
        <v>127.963958</v>
      </c>
      <c r="W237" s="39" t="n">
        <f aca="false">V237/(1-Resumo!$C$5)</f>
        <v>145.413588636364</v>
      </c>
      <c r="X237" s="39" t="n">
        <v>128.14</v>
      </c>
      <c r="Y237" s="39" t="n">
        <f aca="false">J237*Resumo!$B$6</f>
        <v>0.76999</v>
      </c>
      <c r="Z237" s="39" t="n">
        <f aca="false">J237*Resumo!$B$7</f>
        <v>1.53998</v>
      </c>
      <c r="AA237" s="39" t="n">
        <f aca="false">Resumo!$B$9</f>
        <v>1</v>
      </c>
      <c r="AB237" s="39" t="n">
        <f aca="false">Resumo!$B$10*CEILING(I237/100,1)</f>
        <v>4.5</v>
      </c>
      <c r="AC237" s="39" t="n">
        <f aca="false">Resumo!$B$12*CEILING(I237,1)</f>
        <v>3.54</v>
      </c>
      <c r="AD237" s="39" t="n">
        <f aca="false">Resumo!$B$14*CEILING(I237,1)</f>
        <v>26.55</v>
      </c>
      <c r="AE237" s="39" t="n">
        <f aca="false">SUM(X237:AD237)</f>
        <v>166.03997</v>
      </c>
      <c r="AF237" s="39" t="n">
        <f aca="false">AE237/(1-Resumo!$B$5)</f>
        <v>188.681784090909</v>
      </c>
      <c r="AG237" s="39" t="n">
        <f aca="false">AF237-W237</f>
        <v>43.2681954545455</v>
      </c>
      <c r="AH237" s="40" t="n">
        <f aca="false">AF237/W237-1</f>
        <v>0.297552628061099</v>
      </c>
      <c r="AI237" s="37" t="str">
        <f aca="false">IF(AF237&lt;W237,"SIM","NÃO")</f>
        <v>NÃO</v>
      </c>
      <c r="AJ237" s="37" t="n">
        <v>13</v>
      </c>
      <c r="AK237" s="37" t="n">
        <v>7</v>
      </c>
      <c r="AL237" s="37" t="s">
        <v>343</v>
      </c>
      <c r="AM237" s="39" t="n">
        <v>143.36</v>
      </c>
    </row>
    <row r="238" customFormat="false" ht="15" hidden="false" customHeight="false" outlineLevel="0" collapsed="false">
      <c r="A238" s="37" t="n">
        <v>361794393</v>
      </c>
      <c r="B238" s="38" t="n">
        <v>46221.7251273148</v>
      </c>
      <c r="C238" s="37" t="s">
        <v>345</v>
      </c>
      <c r="D238" s="37" t="s">
        <v>585</v>
      </c>
      <c r="E238" s="37" t="n">
        <v>23565005</v>
      </c>
      <c r="F238" s="37" t="s">
        <v>159</v>
      </c>
      <c r="G238" s="37" t="s">
        <v>196</v>
      </c>
      <c r="H238" s="37" t="s">
        <v>184</v>
      </c>
      <c r="I238" s="37" t="n">
        <v>33</v>
      </c>
      <c r="J238" s="39" t="n">
        <v>399.99</v>
      </c>
      <c r="K238" s="37" t="s">
        <v>518</v>
      </c>
      <c r="L238" s="39" t="n">
        <v>83.23</v>
      </c>
      <c r="M238" s="39" t="n">
        <v>42.11</v>
      </c>
      <c r="N238" s="39" t="n">
        <f aca="false">J238*Resumo!$C$6</f>
        <v>0</v>
      </c>
      <c r="O238" s="39" t="n">
        <f aca="false">J238*Resumo!$C$7</f>
        <v>0.839979</v>
      </c>
      <c r="P238" s="39" t="n">
        <f aca="false">J238*Resumo!$C$8</f>
        <v>0.839979</v>
      </c>
      <c r="Q238" s="39" t="n">
        <f aca="false">Resumo!$C$10*CEILING(I238/100,1)</f>
        <v>1.05</v>
      </c>
      <c r="R238" s="39" t="n">
        <f aca="false">Resumo!$C$9</f>
        <v>0</v>
      </c>
      <c r="S238" s="39" t="n">
        <f aca="false">Resumo!$C$13</f>
        <v>13.55</v>
      </c>
      <c r="T238" s="39" t="n">
        <f aca="false">Resumo!$C$14*CEILING(I238,1)</f>
        <v>14.85</v>
      </c>
      <c r="U238" s="39" t="n">
        <f aca="false">SUM(M238:T238)*Resumo!$C$11</f>
        <v>0</v>
      </c>
      <c r="V238" s="39" t="n">
        <f aca="false">SUM(M238:U238)</f>
        <v>73.239958</v>
      </c>
      <c r="W238" s="39" t="n">
        <f aca="false">V238/(1-Resumo!$C$5)</f>
        <v>83.227225</v>
      </c>
      <c r="X238" s="39" t="n">
        <v>82.21</v>
      </c>
      <c r="Y238" s="39" t="n">
        <f aca="false">J238*Resumo!$B$6</f>
        <v>0.39999</v>
      </c>
      <c r="Z238" s="39" t="n">
        <f aca="false">J238*Resumo!$B$7</f>
        <v>0.79998</v>
      </c>
      <c r="AA238" s="39" t="n">
        <f aca="false">Resumo!$B$9</f>
        <v>1</v>
      </c>
      <c r="AB238" s="39" t="n">
        <f aca="false">Resumo!$B$10*CEILING(I238/100,1)</f>
        <v>4.5</v>
      </c>
      <c r="AC238" s="39" t="n">
        <f aca="false">Resumo!$B$12*CEILING(I238,1)</f>
        <v>1.98</v>
      </c>
      <c r="AD238" s="39" t="n">
        <f aca="false">Resumo!$B$14*CEILING(I238,1)</f>
        <v>14.85</v>
      </c>
      <c r="AE238" s="39" t="n">
        <f aca="false">SUM(X238:AD238)</f>
        <v>105.73997</v>
      </c>
      <c r="AF238" s="39" t="n">
        <f aca="false">AE238/(1-Resumo!$B$5)</f>
        <v>120.159056818182</v>
      </c>
      <c r="AG238" s="39" t="n">
        <f aca="false">AF238-W238</f>
        <v>36.9318318181818</v>
      </c>
      <c r="AH238" s="40" t="n">
        <f aca="false">AF238/W238-1</f>
        <v>0.443747004879495</v>
      </c>
      <c r="AI238" s="37" t="str">
        <f aca="false">IF(AF238&lt;W238,"SIM","NÃO")</f>
        <v>NÃO</v>
      </c>
      <c r="AJ238" s="37" t="n">
        <v>2</v>
      </c>
      <c r="AK238" s="37" t="n">
        <v>5</v>
      </c>
      <c r="AL238" s="37" t="s">
        <v>343</v>
      </c>
      <c r="AM238" s="39" t="n">
        <v>82.24</v>
      </c>
    </row>
    <row r="239" customFormat="false" ht="15" hidden="false" customHeight="false" outlineLevel="0" collapsed="false">
      <c r="A239" s="37" t="n">
        <v>361825833</v>
      </c>
      <c r="B239" s="38" t="n">
        <v>46221.794525463</v>
      </c>
      <c r="C239" s="37" t="s">
        <v>379</v>
      </c>
      <c r="D239" s="37" t="s">
        <v>586</v>
      </c>
      <c r="E239" s="37" t="n">
        <v>22790430</v>
      </c>
      <c r="F239" s="37" t="s">
        <v>159</v>
      </c>
      <c r="G239" s="37" t="s">
        <v>196</v>
      </c>
      <c r="H239" s="37" t="s">
        <v>187</v>
      </c>
      <c r="I239" s="37" t="n">
        <v>55</v>
      </c>
      <c r="J239" s="39" t="n">
        <v>719.98</v>
      </c>
      <c r="K239" s="37" t="s">
        <v>342</v>
      </c>
      <c r="L239" s="39" t="n">
        <v>114.6</v>
      </c>
      <c r="M239" s="39" t="n">
        <v>58.6</v>
      </c>
      <c r="N239" s="39" t="n">
        <f aca="false">J239*Resumo!$C$6</f>
        <v>0</v>
      </c>
      <c r="O239" s="39" t="n">
        <f aca="false">J239*Resumo!$C$7</f>
        <v>1.511958</v>
      </c>
      <c r="P239" s="39" t="n">
        <f aca="false">J239*Resumo!$C$8</f>
        <v>1.511958</v>
      </c>
      <c r="Q239" s="39" t="n">
        <f aca="false">Resumo!$C$10*CEILING(I239/100,1)</f>
        <v>1.05</v>
      </c>
      <c r="R239" s="39" t="n">
        <f aca="false">Resumo!$C$9</f>
        <v>0</v>
      </c>
      <c r="S239" s="39" t="n">
        <f aca="false">Resumo!$C$13</f>
        <v>13.55</v>
      </c>
      <c r="T239" s="39" t="n">
        <f aca="false">Resumo!$C$14*CEILING(I239,1)</f>
        <v>24.75</v>
      </c>
      <c r="U239" s="39" t="n">
        <f aca="false">SUM(M239:T239)*Resumo!$C$11</f>
        <v>0</v>
      </c>
      <c r="V239" s="39" t="n">
        <f aca="false">SUM(M239:U239)</f>
        <v>100.973916</v>
      </c>
      <c r="W239" s="39" t="n">
        <f aca="false">V239/(1-Resumo!$C$5)</f>
        <v>114.743086363636</v>
      </c>
      <c r="X239" s="39" t="n">
        <v>112.3</v>
      </c>
      <c r="Y239" s="39" t="n">
        <f aca="false">J239*Resumo!$B$6</f>
        <v>0.71998</v>
      </c>
      <c r="Z239" s="39" t="n">
        <f aca="false">J239*Resumo!$B$7</f>
        <v>1.43996</v>
      </c>
      <c r="AA239" s="39" t="n">
        <f aca="false">Resumo!$B$9</f>
        <v>1</v>
      </c>
      <c r="AB239" s="39" t="n">
        <f aca="false">Resumo!$B$10*CEILING(I239/100,1)</f>
        <v>4.5</v>
      </c>
      <c r="AC239" s="39" t="n">
        <f aca="false">Resumo!$B$12*CEILING(I239,1)</f>
        <v>3.3</v>
      </c>
      <c r="AD239" s="39" t="n">
        <f aca="false">Resumo!$B$14*CEILING(I239,1)</f>
        <v>24.75</v>
      </c>
      <c r="AE239" s="39" t="n">
        <f aca="false">SUM(X239:AD239)</f>
        <v>148.00994</v>
      </c>
      <c r="AF239" s="39" t="n">
        <f aca="false">AE239/(1-Resumo!$B$5)</f>
        <v>168.193113636364</v>
      </c>
      <c r="AG239" s="39" t="n">
        <f aca="false">AF239-W239</f>
        <v>53.4500272727273</v>
      </c>
      <c r="AH239" s="40" t="n">
        <f aca="false">AF239/W239-1</f>
        <v>0.465823510301413</v>
      </c>
      <c r="AI239" s="37" t="str">
        <f aca="false">IF(AF239&lt;W239,"SIM","NÃO")</f>
        <v>NÃO</v>
      </c>
      <c r="AJ239" s="37" t="n">
        <v>2</v>
      </c>
      <c r="AK239" s="37" t="n">
        <v>5</v>
      </c>
      <c r="AL239" s="37" t="s">
        <v>343</v>
      </c>
      <c r="AM239" s="39" t="n">
        <v>114.6</v>
      </c>
    </row>
    <row r="240" customFormat="false" ht="15" hidden="false" customHeight="false" outlineLevel="0" collapsed="false">
      <c r="A240" s="37" t="n">
        <v>361834758</v>
      </c>
      <c r="B240" s="38" t="n">
        <v>46221.8145949074</v>
      </c>
      <c r="C240" s="37" t="s">
        <v>340</v>
      </c>
      <c r="D240" s="37" t="s">
        <v>587</v>
      </c>
      <c r="E240" s="37" t="n">
        <v>26250380</v>
      </c>
      <c r="F240" s="37" t="s">
        <v>162</v>
      </c>
      <c r="G240" s="37" t="s">
        <v>197</v>
      </c>
      <c r="H240" s="37" t="s">
        <v>184</v>
      </c>
      <c r="I240" s="37" t="n">
        <v>31.9</v>
      </c>
      <c r="J240" s="39" t="n">
        <v>568.28</v>
      </c>
      <c r="K240" s="37" t="s">
        <v>342</v>
      </c>
      <c r="L240" s="39" t="n">
        <v>102.11</v>
      </c>
      <c r="M240" s="39" t="n">
        <v>58.8</v>
      </c>
      <c r="N240" s="39" t="n">
        <f aca="false">J240*Resumo!$C$6</f>
        <v>0</v>
      </c>
      <c r="O240" s="39" t="n">
        <f aca="false">J240*Resumo!$C$7</f>
        <v>1.193388</v>
      </c>
      <c r="P240" s="39" t="n">
        <f aca="false">J240*Resumo!$C$8</f>
        <v>1.193388</v>
      </c>
      <c r="Q240" s="39" t="n">
        <f aca="false">Resumo!$C$10*CEILING(I240/100,1)</f>
        <v>1.05</v>
      </c>
      <c r="R240" s="39" t="n">
        <f aca="false">Resumo!$C$9</f>
        <v>0</v>
      </c>
      <c r="S240" s="39" t="n">
        <f aca="false">Resumo!$C$13</f>
        <v>13.55</v>
      </c>
      <c r="T240" s="39" t="n">
        <f aca="false">Resumo!$C$14*CEILING(I240,1)</f>
        <v>14.4</v>
      </c>
      <c r="U240" s="39" t="n">
        <f aca="false">SUM(M240:T240)*Resumo!$C$11</f>
        <v>0</v>
      </c>
      <c r="V240" s="39" t="n">
        <f aca="false">SUM(M240:U240)</f>
        <v>90.186776</v>
      </c>
      <c r="W240" s="39" t="n">
        <f aca="false">V240/(1-Resumo!$C$5)</f>
        <v>102.484972727273</v>
      </c>
      <c r="X240" s="39" t="n">
        <v>82.21</v>
      </c>
      <c r="Y240" s="39" t="n">
        <f aca="false">J240*Resumo!$B$6</f>
        <v>0.56828</v>
      </c>
      <c r="Z240" s="39" t="n">
        <f aca="false">J240*Resumo!$B$7</f>
        <v>1.13656</v>
      </c>
      <c r="AA240" s="39" t="n">
        <f aca="false">Resumo!$B$9</f>
        <v>1</v>
      </c>
      <c r="AB240" s="39" t="n">
        <f aca="false">Resumo!$B$10*CEILING(I240/100,1)</f>
        <v>4.5</v>
      </c>
      <c r="AC240" s="39" t="n">
        <f aca="false">Resumo!$B$12*CEILING(I240,1)</f>
        <v>1.92</v>
      </c>
      <c r="AD240" s="39" t="n">
        <f aca="false">Resumo!$B$14*CEILING(I240,1)</f>
        <v>14.4</v>
      </c>
      <c r="AE240" s="39" t="n">
        <f aca="false">SUM(X240:AD240)</f>
        <v>105.73484</v>
      </c>
      <c r="AF240" s="39" t="n">
        <f aca="false">AE240/(1-Resumo!$B$5)</f>
        <v>120.153227272727</v>
      </c>
      <c r="AG240" s="39" t="n">
        <f aca="false">AF240-W240</f>
        <v>17.6682545454545</v>
      </c>
      <c r="AH240" s="40" t="n">
        <f aca="false">AF240/W240-1</f>
        <v>0.172398489995917</v>
      </c>
      <c r="AI240" s="37" t="str">
        <f aca="false">IF(AF240&lt;W240,"SIM","NÃO")</f>
        <v>NÃO</v>
      </c>
      <c r="AJ240" s="37" t="n">
        <v>2</v>
      </c>
      <c r="AK240" s="37" t="n">
        <v>5</v>
      </c>
      <c r="AL240" s="37" t="s">
        <v>343</v>
      </c>
      <c r="AM240" s="39" t="n">
        <v>102.11</v>
      </c>
    </row>
    <row r="241" customFormat="false" ht="15" hidden="false" customHeight="false" outlineLevel="0" collapsed="false">
      <c r="A241" s="37" t="n">
        <v>361862838</v>
      </c>
      <c r="B241" s="38" t="n">
        <v>46221.8712847222</v>
      </c>
      <c r="C241" s="37" t="s">
        <v>340</v>
      </c>
      <c r="D241" s="37" t="s">
        <v>588</v>
      </c>
      <c r="E241" s="37" t="n">
        <v>27963834</v>
      </c>
      <c r="F241" s="37" t="s">
        <v>166</v>
      </c>
      <c r="G241" s="37" t="s">
        <v>198</v>
      </c>
      <c r="H241" s="37" t="s">
        <v>187</v>
      </c>
      <c r="I241" s="37" t="n">
        <v>58.6</v>
      </c>
      <c r="J241" s="39" t="n">
        <v>769.99</v>
      </c>
      <c r="K241" s="37" t="s">
        <v>518</v>
      </c>
      <c r="L241" s="39" t="n">
        <v>145.42</v>
      </c>
      <c r="M241" s="39" t="n">
        <v>83.58</v>
      </c>
      <c r="N241" s="39" t="n">
        <f aca="false">J241*Resumo!$C$6</f>
        <v>0</v>
      </c>
      <c r="O241" s="39" t="n">
        <f aca="false">J241*Resumo!$C$7</f>
        <v>1.616979</v>
      </c>
      <c r="P241" s="39" t="n">
        <f aca="false">J241*Resumo!$C$8</f>
        <v>1.616979</v>
      </c>
      <c r="Q241" s="39" t="n">
        <f aca="false">Resumo!$C$10*CEILING(I241/100,1)</f>
        <v>1.05</v>
      </c>
      <c r="R241" s="39" t="n">
        <f aca="false">Resumo!$C$9</f>
        <v>0</v>
      </c>
      <c r="S241" s="39" t="n">
        <f aca="false">Resumo!$C$13</f>
        <v>13.55</v>
      </c>
      <c r="T241" s="39" t="n">
        <f aca="false">Resumo!$C$14*CEILING(I241,1)</f>
        <v>26.55</v>
      </c>
      <c r="U241" s="39" t="n">
        <f aca="false">SUM(M241:T241)*Resumo!$C$11</f>
        <v>0</v>
      </c>
      <c r="V241" s="39" t="n">
        <f aca="false">SUM(M241:U241)</f>
        <v>127.963958</v>
      </c>
      <c r="W241" s="39" t="n">
        <f aca="false">V241/(1-Resumo!$C$5)</f>
        <v>145.413588636364</v>
      </c>
      <c r="X241" s="39" t="n">
        <v>162.04</v>
      </c>
      <c r="Y241" s="39" t="n">
        <f aca="false">J241*Resumo!$B$6</f>
        <v>0.76999</v>
      </c>
      <c r="Z241" s="39" t="n">
        <f aca="false">J241*Resumo!$B$7</f>
        <v>1.53998</v>
      </c>
      <c r="AA241" s="39" t="n">
        <f aca="false">Resumo!$B$9</f>
        <v>1</v>
      </c>
      <c r="AB241" s="39" t="n">
        <f aca="false">Resumo!$B$10*CEILING(I241/100,1)</f>
        <v>4.5</v>
      </c>
      <c r="AC241" s="39" t="n">
        <f aca="false">Resumo!$B$12*CEILING(I241,1)</f>
        <v>3.54</v>
      </c>
      <c r="AD241" s="39" t="n">
        <f aca="false">Resumo!$B$14*CEILING(I241,1)</f>
        <v>26.55</v>
      </c>
      <c r="AE241" s="39" t="n">
        <f aca="false">SUM(X241:AD241)</f>
        <v>199.93997</v>
      </c>
      <c r="AF241" s="39" t="n">
        <f aca="false">AE241/(1-Resumo!$B$5)</f>
        <v>227.204511363636</v>
      </c>
      <c r="AG241" s="39" t="n">
        <f aca="false">AF241-W241</f>
        <v>81.7909227272728</v>
      </c>
      <c r="AH241" s="40" t="n">
        <f aca="false">AF241/W241-1</f>
        <v>0.562470973272021</v>
      </c>
      <c r="AI241" s="37" t="str">
        <f aca="false">IF(AF241&lt;W241,"SIM","NÃO")</f>
        <v>NÃO</v>
      </c>
      <c r="AJ241" s="37" t="n">
        <v>13</v>
      </c>
      <c r="AK241" s="37" t="n">
        <v>11</v>
      </c>
      <c r="AL241" s="37" t="s">
        <v>343</v>
      </c>
      <c r="AM241" s="39" t="n">
        <v>143.36</v>
      </c>
    </row>
    <row r="242" customFormat="false" ht="15" hidden="false" customHeight="false" outlineLevel="0" collapsed="false">
      <c r="A242" s="37" t="n">
        <v>361867913</v>
      </c>
      <c r="B242" s="38" t="n">
        <v>46221.8801273148</v>
      </c>
      <c r="C242" s="37" t="s">
        <v>340</v>
      </c>
      <c r="D242" s="37" t="s">
        <v>589</v>
      </c>
      <c r="E242" s="37" t="n">
        <v>23030372</v>
      </c>
      <c r="F242" s="37" t="s">
        <v>159</v>
      </c>
      <c r="G242" s="37" t="s">
        <v>196</v>
      </c>
      <c r="H242" s="37" t="s">
        <v>183</v>
      </c>
      <c r="I242" s="37" t="n">
        <v>19.5</v>
      </c>
      <c r="J242" s="39" t="n">
        <v>389.99</v>
      </c>
      <c r="K242" s="37" t="s">
        <v>518</v>
      </c>
      <c r="L242" s="39" t="n">
        <v>66.66</v>
      </c>
      <c r="M242" s="39" t="n">
        <v>33.42</v>
      </c>
      <c r="N242" s="39" t="n">
        <f aca="false">J242*Resumo!$C$6</f>
        <v>0</v>
      </c>
      <c r="O242" s="39" t="n">
        <f aca="false">J242*Resumo!$C$7</f>
        <v>0.818979</v>
      </c>
      <c r="P242" s="39" t="n">
        <f aca="false">J242*Resumo!$C$8</f>
        <v>0.818979</v>
      </c>
      <c r="Q242" s="39" t="n">
        <f aca="false">Resumo!$C$10*CEILING(I242/100,1)</f>
        <v>1.05</v>
      </c>
      <c r="R242" s="39" t="n">
        <f aca="false">Resumo!$C$9</f>
        <v>0</v>
      </c>
      <c r="S242" s="39" t="n">
        <f aca="false">Resumo!$C$13</f>
        <v>13.55</v>
      </c>
      <c r="T242" s="39" t="n">
        <f aca="false">Resumo!$C$14*CEILING(I242,1)</f>
        <v>9</v>
      </c>
      <c r="U242" s="39" t="n">
        <f aca="false">SUM(M242:T242)*Resumo!$C$11</f>
        <v>0</v>
      </c>
      <c r="V242" s="39" t="n">
        <f aca="false">SUM(M242:U242)</f>
        <v>58.657958</v>
      </c>
      <c r="W242" s="39" t="n">
        <f aca="false">V242/(1-Resumo!$C$5)</f>
        <v>66.6567704545455</v>
      </c>
      <c r="X242" s="39" t="n">
        <v>46.98</v>
      </c>
      <c r="Y242" s="39" t="n">
        <f aca="false">J242*Resumo!$B$6</f>
        <v>0.38999</v>
      </c>
      <c r="Z242" s="39" t="n">
        <f aca="false">J242*Resumo!$B$7</f>
        <v>0.77998</v>
      </c>
      <c r="AA242" s="39" t="n">
        <f aca="false">Resumo!$B$9</f>
        <v>1</v>
      </c>
      <c r="AB242" s="39" t="n">
        <f aca="false">Resumo!$B$10*CEILING(I242/100,1)</f>
        <v>4.5</v>
      </c>
      <c r="AC242" s="39" t="n">
        <f aca="false">Resumo!$B$12*CEILING(I242,1)</f>
        <v>1.2</v>
      </c>
      <c r="AD242" s="39" t="n">
        <f aca="false">Resumo!$B$14*CEILING(I242,1)</f>
        <v>9</v>
      </c>
      <c r="AE242" s="39" t="n">
        <f aca="false">SUM(X242:AD242)</f>
        <v>63.84997</v>
      </c>
      <c r="AF242" s="39" t="n">
        <f aca="false">AE242/(1-Resumo!$B$5)</f>
        <v>72.5567840909091</v>
      </c>
      <c r="AG242" s="39" t="n">
        <f aca="false">AF242-W242</f>
        <v>5.90001363636364</v>
      </c>
      <c r="AH242" s="40" t="n">
        <f aca="false">AF242/W242-1</f>
        <v>0.0885133437478338</v>
      </c>
      <c r="AI242" s="37" t="str">
        <f aca="false">IF(AF242&lt;W242,"SIM","NÃO")</f>
        <v>NÃO</v>
      </c>
      <c r="AJ242" s="37" t="n">
        <v>2</v>
      </c>
      <c r="AK242" s="37" t="n">
        <v>5</v>
      </c>
      <c r="AL242" s="37" t="s">
        <v>343</v>
      </c>
      <c r="AM242" s="39" t="n">
        <v>65.09</v>
      </c>
    </row>
    <row r="243" customFormat="false" ht="15" hidden="false" customHeight="false" outlineLevel="0" collapsed="false">
      <c r="A243" s="37" t="n">
        <v>361890824</v>
      </c>
      <c r="B243" s="38" t="n">
        <v>46221.9493402778</v>
      </c>
      <c r="C243" s="37" t="s">
        <v>372</v>
      </c>
      <c r="D243" s="37" t="s">
        <v>590</v>
      </c>
      <c r="E243" s="37" t="n">
        <v>27963738</v>
      </c>
      <c r="F243" s="37" t="s">
        <v>166</v>
      </c>
      <c r="G243" s="37" t="s">
        <v>198</v>
      </c>
      <c r="H243" s="37" t="s">
        <v>185</v>
      </c>
      <c r="I243" s="37" t="n">
        <v>40</v>
      </c>
      <c r="J243" s="39" t="n">
        <v>495.99</v>
      </c>
      <c r="K243" s="37" t="s">
        <v>518</v>
      </c>
      <c r="L243" s="39" t="n">
        <v>124.6</v>
      </c>
      <c r="M243" s="39" t="n">
        <v>74.97</v>
      </c>
      <c r="N243" s="39" t="n">
        <f aca="false">J243*Resumo!$C$6</f>
        <v>0</v>
      </c>
      <c r="O243" s="39" t="n">
        <f aca="false">J243*Resumo!$C$7</f>
        <v>1.041579</v>
      </c>
      <c r="P243" s="39" t="n">
        <f aca="false">J243*Resumo!$C$8</f>
        <v>1.041579</v>
      </c>
      <c r="Q243" s="39" t="n">
        <f aca="false">Resumo!$C$10*CEILING(I243/100,1)</f>
        <v>1.05</v>
      </c>
      <c r="R243" s="39" t="n">
        <f aca="false">Resumo!$C$9</f>
        <v>0</v>
      </c>
      <c r="S243" s="39" t="n">
        <f aca="false">Resumo!$C$13</f>
        <v>13.55</v>
      </c>
      <c r="T243" s="39" t="n">
        <f aca="false">Resumo!$C$14*CEILING(I243,1)</f>
        <v>18</v>
      </c>
      <c r="U243" s="39" t="n">
        <f aca="false">SUM(M243:T243)*Resumo!$C$11</f>
        <v>0</v>
      </c>
      <c r="V243" s="39" t="n">
        <f aca="false">SUM(M243:U243)</f>
        <v>109.653158</v>
      </c>
      <c r="W243" s="39" t="n">
        <f aca="false">V243/(1-Resumo!$C$5)</f>
        <v>124.605861363636</v>
      </c>
      <c r="X243" s="39" t="n">
        <v>143.04</v>
      </c>
      <c r="Y243" s="39" t="n">
        <f aca="false">J243*Resumo!$B$6</f>
        <v>0.49599</v>
      </c>
      <c r="Z243" s="39" t="n">
        <f aca="false">J243*Resumo!$B$7</f>
        <v>0.99198</v>
      </c>
      <c r="AA243" s="39" t="n">
        <f aca="false">Resumo!$B$9</f>
        <v>1</v>
      </c>
      <c r="AB243" s="39" t="n">
        <f aca="false">Resumo!$B$10*CEILING(I243/100,1)</f>
        <v>4.5</v>
      </c>
      <c r="AC243" s="39" t="n">
        <f aca="false">Resumo!$B$12*CEILING(I243,1)</f>
        <v>2.4</v>
      </c>
      <c r="AD243" s="39" t="n">
        <f aca="false">Resumo!$B$14*CEILING(I243,1)</f>
        <v>18</v>
      </c>
      <c r="AE243" s="39" t="n">
        <f aca="false">SUM(X243:AD243)</f>
        <v>170.42797</v>
      </c>
      <c r="AF243" s="39" t="n">
        <f aca="false">AE243/(1-Resumo!$B$5)</f>
        <v>193.668147727273</v>
      </c>
      <c r="AG243" s="39" t="n">
        <f aca="false">AF243-W243</f>
        <v>69.0622863636364</v>
      </c>
      <c r="AH243" s="40" t="n">
        <f aca="false">AF243/W243-1</f>
        <v>0.554245888659221</v>
      </c>
      <c r="AI243" s="37" t="str">
        <f aca="false">IF(AF243&lt;W243,"SIM","NÃO")</f>
        <v>NÃO</v>
      </c>
      <c r="AJ243" s="37" t="n">
        <v>13</v>
      </c>
      <c r="AK243" s="37" t="n">
        <v>11</v>
      </c>
      <c r="AL243" s="37" t="s">
        <v>343</v>
      </c>
      <c r="AM243" s="39" t="n">
        <v>122.62</v>
      </c>
    </row>
    <row r="244" customFormat="false" ht="15" hidden="false" customHeight="false" outlineLevel="0" collapsed="false">
      <c r="A244" s="37" t="n">
        <v>361905940</v>
      </c>
      <c r="B244" s="38" t="n">
        <v>46221.9774305556</v>
      </c>
      <c r="C244" s="37" t="s">
        <v>361</v>
      </c>
      <c r="D244" s="37" t="s">
        <v>591</v>
      </c>
      <c r="E244" s="37" t="n">
        <v>23894694</v>
      </c>
      <c r="F244" s="37" t="s">
        <v>221</v>
      </c>
      <c r="G244" s="37" t="s">
        <v>198</v>
      </c>
      <c r="H244" s="37" t="s">
        <v>186</v>
      </c>
      <c r="I244" s="37" t="n">
        <v>46.8</v>
      </c>
      <c r="J244" s="39" t="n">
        <v>559.99</v>
      </c>
      <c r="K244" s="37" t="s">
        <v>518</v>
      </c>
      <c r="L244" s="39" t="n">
        <v>131.6</v>
      </c>
      <c r="M244" s="39" t="n">
        <v>77.7</v>
      </c>
      <c r="N244" s="39" t="n">
        <f aca="false">J244*Resumo!$C$6</f>
        <v>0</v>
      </c>
      <c r="O244" s="39" t="n">
        <f aca="false">J244*Resumo!$C$7</f>
        <v>1.175979</v>
      </c>
      <c r="P244" s="39" t="n">
        <f aca="false">J244*Resumo!$C$8</f>
        <v>1.175979</v>
      </c>
      <c r="Q244" s="39" t="n">
        <f aca="false">Resumo!$C$10*CEILING(I244/100,1)</f>
        <v>1.05</v>
      </c>
      <c r="R244" s="39" t="n">
        <f aca="false">Resumo!$C$9</f>
        <v>0</v>
      </c>
      <c r="S244" s="39" t="n">
        <f aca="false">Resumo!$C$13</f>
        <v>13.55</v>
      </c>
      <c r="T244" s="39" t="n">
        <f aca="false">Resumo!$C$14*CEILING(I244,1)</f>
        <v>21.15</v>
      </c>
      <c r="U244" s="39" t="n">
        <f aca="false">SUM(M244:T244)*Resumo!$C$11</f>
        <v>0</v>
      </c>
      <c r="V244" s="39" t="n">
        <f aca="false">SUM(M244:U244)</f>
        <v>115.801958</v>
      </c>
      <c r="W244" s="39" t="n">
        <f aca="false">V244/(1-Resumo!$C$5)</f>
        <v>131.593134090909</v>
      </c>
      <c r="X244" s="39" t="n">
        <v>103.97</v>
      </c>
      <c r="Y244" s="39" t="n">
        <f aca="false">J244*Resumo!$B$6</f>
        <v>0.55999</v>
      </c>
      <c r="Z244" s="39" t="n">
        <f aca="false">J244*Resumo!$B$7</f>
        <v>1.11998</v>
      </c>
      <c r="AA244" s="39" t="n">
        <f aca="false">Resumo!$B$9</f>
        <v>1</v>
      </c>
      <c r="AB244" s="39" t="n">
        <f aca="false">Resumo!$B$10*CEILING(I244/100,1)</f>
        <v>4.5</v>
      </c>
      <c r="AC244" s="39" t="n">
        <f aca="false">Resumo!$B$12*CEILING(I244,1)</f>
        <v>2.82</v>
      </c>
      <c r="AD244" s="39" t="n">
        <f aca="false">Resumo!$B$14*CEILING(I244,1)</f>
        <v>21.15</v>
      </c>
      <c r="AE244" s="39" t="n">
        <f aca="false">SUM(X244:AD244)</f>
        <v>135.11997</v>
      </c>
      <c r="AF244" s="39" t="n">
        <f aca="false">AE244/(1-Resumo!$B$5)</f>
        <v>153.545420454545</v>
      </c>
      <c r="AG244" s="39" t="n">
        <f aca="false">AF244-W244</f>
        <v>21.9522863636363</v>
      </c>
      <c r="AH244" s="40" t="n">
        <f aca="false">AF244/W244-1</f>
        <v>0.166819390048655</v>
      </c>
      <c r="AI244" s="37" t="str">
        <f aca="false">IF(AF244&lt;W244,"SIM","NÃO")</f>
        <v>NÃO</v>
      </c>
      <c r="AJ244" s="37" t="n">
        <v>13</v>
      </c>
      <c r="AK244" s="37" t="n">
        <v>5</v>
      </c>
      <c r="AL244" s="37" t="s">
        <v>347</v>
      </c>
      <c r="AM244" s="39" t="n">
        <v>130.84</v>
      </c>
    </row>
    <row r="245" customFormat="false" ht="15" hidden="false" customHeight="false" outlineLevel="0" collapsed="false">
      <c r="A245" s="37" t="n">
        <v>361953735</v>
      </c>
      <c r="B245" s="38" t="n">
        <v>46222.1045138889</v>
      </c>
      <c r="C245" s="37" t="s">
        <v>345</v>
      </c>
      <c r="D245" s="37" t="s">
        <v>592</v>
      </c>
      <c r="E245" s="37" t="n">
        <v>22780070</v>
      </c>
      <c r="F245" s="37" t="s">
        <v>159</v>
      </c>
      <c r="G245" s="37" t="s">
        <v>196</v>
      </c>
      <c r="H245" s="37" t="s">
        <v>188</v>
      </c>
      <c r="I245" s="37" t="n">
        <v>63.1</v>
      </c>
      <c r="J245" s="39" t="n">
        <v>754.93</v>
      </c>
      <c r="K245" s="37" t="s">
        <v>342</v>
      </c>
      <c r="L245" s="39" t="n">
        <v>124.83</v>
      </c>
      <c r="M245" s="39" t="n">
        <v>63.21</v>
      </c>
      <c r="N245" s="39" t="n">
        <f aca="false">J245*Resumo!$C$6</f>
        <v>0</v>
      </c>
      <c r="O245" s="39" t="n">
        <f aca="false">J245*Resumo!$C$7</f>
        <v>1.585353</v>
      </c>
      <c r="P245" s="39" t="n">
        <f aca="false">J245*Resumo!$C$8</f>
        <v>1.585353</v>
      </c>
      <c r="Q245" s="39" t="n">
        <f aca="false">Resumo!$C$10*CEILING(I245/100,1)</f>
        <v>1.05</v>
      </c>
      <c r="R245" s="39" t="n">
        <f aca="false">Resumo!$C$9</f>
        <v>0</v>
      </c>
      <c r="S245" s="39" t="n">
        <f aca="false">Resumo!$C$13</f>
        <v>13.55</v>
      </c>
      <c r="T245" s="39" t="n">
        <f aca="false">Resumo!$C$14*CEILING(I245,1)</f>
        <v>28.8</v>
      </c>
      <c r="U245" s="39" t="n">
        <f aca="false">SUM(M245:T245)*Resumo!$C$11</f>
        <v>0</v>
      </c>
      <c r="V245" s="39" t="n">
        <f aca="false">SUM(M245:U245)</f>
        <v>109.780706</v>
      </c>
      <c r="W245" s="39" t="n">
        <f aca="false">V245/(1-Resumo!$C$5)</f>
        <v>124.750802272727</v>
      </c>
      <c r="X245" s="39" t="n">
        <v>131.02</v>
      </c>
      <c r="Y245" s="39" t="n">
        <f aca="false">J245*Resumo!$B$6</f>
        <v>0.75493</v>
      </c>
      <c r="Z245" s="39" t="n">
        <f aca="false">J245*Resumo!$B$7</f>
        <v>1.50986</v>
      </c>
      <c r="AA245" s="39" t="n">
        <f aca="false">Resumo!$B$9</f>
        <v>1</v>
      </c>
      <c r="AB245" s="39" t="n">
        <f aca="false">Resumo!$B$10*CEILING(I245/100,1)</f>
        <v>4.5</v>
      </c>
      <c r="AC245" s="39" t="n">
        <f aca="false">Resumo!$B$12*CEILING(I245,1)</f>
        <v>3.84</v>
      </c>
      <c r="AD245" s="39" t="n">
        <f aca="false">Resumo!$B$14*CEILING(I245,1)</f>
        <v>28.8</v>
      </c>
      <c r="AE245" s="39" t="n">
        <f aca="false">SUM(X245:AD245)</f>
        <v>171.42479</v>
      </c>
      <c r="AF245" s="39" t="n">
        <f aca="false">AE245/(1-Resumo!$B$5)</f>
        <v>194.800897727273</v>
      </c>
      <c r="AG245" s="39" t="n">
        <f aca="false">AF245-W245</f>
        <v>70.0500954545455</v>
      </c>
      <c r="AH245" s="40" t="n">
        <f aca="false">AF245/W245-1</f>
        <v>0.561520200097821</v>
      </c>
      <c r="AI245" s="37" t="str">
        <f aca="false">IF(AF245&lt;W245,"SIM","NÃO")</f>
        <v>NÃO</v>
      </c>
      <c r="AJ245" s="37" t="n">
        <v>2</v>
      </c>
      <c r="AK245" s="37" t="n">
        <v>5</v>
      </c>
      <c r="AL245" s="37" t="s">
        <v>343</v>
      </c>
      <c r="AM245" s="39" t="n">
        <v>124.83</v>
      </c>
    </row>
    <row r="246" customFormat="false" ht="15" hidden="false" customHeight="false" outlineLevel="0" collapsed="false">
      <c r="A246" s="37" t="n">
        <v>361979410</v>
      </c>
      <c r="B246" s="38" t="n">
        <v>46222.1972222222</v>
      </c>
      <c r="C246" s="37" t="s">
        <v>340</v>
      </c>
      <c r="D246" s="37" t="s">
        <v>593</v>
      </c>
      <c r="E246" s="37" t="n">
        <v>26298396</v>
      </c>
      <c r="F246" s="37" t="s">
        <v>162</v>
      </c>
      <c r="G246" s="37" t="s">
        <v>197</v>
      </c>
      <c r="H246" s="37" t="s">
        <v>185</v>
      </c>
      <c r="I246" s="37" t="n">
        <v>36.8</v>
      </c>
      <c r="J246" s="39" t="n">
        <v>469.99</v>
      </c>
      <c r="K246" s="37" t="s">
        <v>342</v>
      </c>
      <c r="L246" s="39" t="n">
        <v>113.2</v>
      </c>
      <c r="M246" s="39" t="n">
        <v>66.83</v>
      </c>
      <c r="N246" s="39" t="n">
        <f aca="false">J246*Resumo!$C$6</f>
        <v>0</v>
      </c>
      <c r="O246" s="39" t="n">
        <f aca="false">J246*Resumo!$C$7</f>
        <v>0.986979</v>
      </c>
      <c r="P246" s="39" t="n">
        <f aca="false">J246*Resumo!$C$8</f>
        <v>0.986979</v>
      </c>
      <c r="Q246" s="39" t="n">
        <f aca="false">Resumo!$C$10*CEILING(I246/100,1)</f>
        <v>1.05</v>
      </c>
      <c r="R246" s="39" t="n">
        <f aca="false">Resumo!$C$9</f>
        <v>0</v>
      </c>
      <c r="S246" s="39" t="n">
        <f aca="false">Resumo!$C$13</f>
        <v>13.55</v>
      </c>
      <c r="T246" s="39" t="n">
        <f aca="false">Resumo!$C$14*CEILING(I246,1)</f>
        <v>16.65</v>
      </c>
      <c r="U246" s="39" t="n">
        <f aca="false">SUM(M246:T246)*Resumo!$C$11</f>
        <v>0</v>
      </c>
      <c r="V246" s="39" t="n">
        <f aca="false">SUM(M246:U246)</f>
        <v>100.053958</v>
      </c>
      <c r="W246" s="39" t="n">
        <f aca="false">V246/(1-Resumo!$C$5)</f>
        <v>113.697679545455</v>
      </c>
      <c r="X246" s="39" t="n">
        <v>93.97</v>
      </c>
      <c r="Y246" s="39" t="n">
        <f aca="false">J246*Resumo!$B$6</f>
        <v>0.46999</v>
      </c>
      <c r="Z246" s="39" t="n">
        <f aca="false">J246*Resumo!$B$7</f>
        <v>0.93998</v>
      </c>
      <c r="AA246" s="39" t="n">
        <f aca="false">Resumo!$B$9</f>
        <v>1</v>
      </c>
      <c r="AB246" s="39" t="n">
        <f aca="false">Resumo!$B$10*CEILING(I246/100,1)</f>
        <v>4.5</v>
      </c>
      <c r="AC246" s="39" t="n">
        <f aca="false">Resumo!$B$12*CEILING(I246,1)</f>
        <v>2.22</v>
      </c>
      <c r="AD246" s="39" t="n">
        <f aca="false">Resumo!$B$14*CEILING(I246,1)</f>
        <v>16.65</v>
      </c>
      <c r="AE246" s="39" t="n">
        <f aca="false">SUM(X246:AD246)</f>
        <v>119.74997</v>
      </c>
      <c r="AF246" s="39" t="n">
        <f aca="false">AE246/(1-Resumo!$B$5)</f>
        <v>136.079511363636</v>
      </c>
      <c r="AG246" s="39" t="n">
        <f aca="false">AF246-W246</f>
        <v>22.3818318181818</v>
      </c>
      <c r="AH246" s="40" t="n">
        <f aca="false">AF246/W246-1</f>
        <v>0.19685390157179</v>
      </c>
      <c r="AI246" s="37" t="str">
        <f aca="false">IF(AF246&lt;W246,"SIM","NÃO")</f>
        <v>NÃO</v>
      </c>
      <c r="AJ246" s="37" t="n">
        <v>2</v>
      </c>
      <c r="AK246" s="37" t="n">
        <v>5</v>
      </c>
      <c r="AL246" s="37" t="s">
        <v>343</v>
      </c>
      <c r="AM246" s="39" t="n">
        <v>113.21</v>
      </c>
    </row>
    <row r="247" customFormat="false" ht="15" hidden="false" customHeight="false" outlineLevel="0" collapsed="false">
      <c r="A247" s="37" t="n">
        <v>361977614</v>
      </c>
      <c r="B247" s="38" t="n">
        <v>46222.2396643519</v>
      </c>
      <c r="C247" s="37" t="s">
        <v>375</v>
      </c>
      <c r="D247" s="37" t="s">
        <v>594</v>
      </c>
      <c r="E247" s="37" t="n">
        <v>22795006</v>
      </c>
      <c r="F247" s="37" t="s">
        <v>159</v>
      </c>
      <c r="G247" s="37" t="s">
        <v>196</v>
      </c>
      <c r="H247" s="37" t="s">
        <v>185</v>
      </c>
      <c r="I247" s="37" t="n">
        <v>37.59</v>
      </c>
      <c r="J247" s="39" t="n">
        <v>442.79</v>
      </c>
      <c r="K247" s="37" t="s">
        <v>342</v>
      </c>
      <c r="L247" s="39" t="n">
        <v>91.99</v>
      </c>
      <c r="M247" s="39" t="n">
        <v>48.35</v>
      </c>
      <c r="N247" s="39" t="n">
        <f aca="false">J247*Resumo!$C$6</f>
        <v>0</v>
      </c>
      <c r="O247" s="39" t="n">
        <f aca="false">J247*Resumo!$C$7</f>
        <v>0.929859</v>
      </c>
      <c r="P247" s="39" t="n">
        <f aca="false">J247*Resumo!$C$8</f>
        <v>0.929859</v>
      </c>
      <c r="Q247" s="39" t="n">
        <f aca="false">Resumo!$C$10*CEILING(I247/100,1)</f>
        <v>1.05</v>
      </c>
      <c r="R247" s="39" t="n">
        <f aca="false">Resumo!$C$9</f>
        <v>0</v>
      </c>
      <c r="S247" s="39" t="n">
        <f aca="false">Resumo!$C$13</f>
        <v>13.55</v>
      </c>
      <c r="T247" s="39" t="n">
        <f aca="false">Resumo!$C$14*CEILING(I247,1)</f>
        <v>17.1</v>
      </c>
      <c r="U247" s="39" t="n">
        <f aca="false">SUM(M247:T247)*Resumo!$C$11</f>
        <v>0</v>
      </c>
      <c r="V247" s="39" t="n">
        <f aca="false">SUM(M247:U247)</f>
        <v>81.909718</v>
      </c>
      <c r="W247" s="39" t="n">
        <f aca="false">V247/(1-Resumo!$C$5)</f>
        <v>93.079225</v>
      </c>
      <c r="X247" s="39" t="n">
        <v>93.97</v>
      </c>
      <c r="Y247" s="39" t="n">
        <f aca="false">J247*Resumo!$B$6</f>
        <v>0.44279</v>
      </c>
      <c r="Z247" s="39" t="n">
        <f aca="false">J247*Resumo!$B$7</f>
        <v>0.88558</v>
      </c>
      <c r="AA247" s="39" t="n">
        <f aca="false">Resumo!$B$9</f>
        <v>1</v>
      </c>
      <c r="AB247" s="39" t="n">
        <f aca="false">Resumo!$B$10*CEILING(I247/100,1)</f>
        <v>4.5</v>
      </c>
      <c r="AC247" s="39" t="n">
        <f aca="false">Resumo!$B$12*CEILING(I247,1)</f>
        <v>2.28</v>
      </c>
      <c r="AD247" s="39" t="n">
        <f aca="false">Resumo!$B$14*CEILING(I247,1)</f>
        <v>17.1</v>
      </c>
      <c r="AE247" s="39" t="n">
        <f aca="false">SUM(X247:AD247)</f>
        <v>120.17837</v>
      </c>
      <c r="AF247" s="39" t="n">
        <f aca="false">AE247/(1-Resumo!$B$5)</f>
        <v>136.566329545455</v>
      </c>
      <c r="AG247" s="39" t="n">
        <f aca="false">AF247-W247</f>
        <v>43.4871045454546</v>
      </c>
      <c r="AH247" s="40" t="n">
        <f aca="false">AF247/W247-1</f>
        <v>0.467205271052209</v>
      </c>
      <c r="AI247" s="37" t="str">
        <f aca="false">IF(AF247&lt;W247,"SIM","NÃO")</f>
        <v>NÃO</v>
      </c>
      <c r="AJ247" s="37" t="n">
        <v>2</v>
      </c>
      <c r="AK247" s="37" t="n">
        <v>5</v>
      </c>
      <c r="AL247" s="37" t="s">
        <v>343</v>
      </c>
      <c r="AM247" s="39" t="n">
        <v>91.98</v>
      </c>
    </row>
    <row r="248" customFormat="false" ht="15" hidden="false" customHeight="false" outlineLevel="0" collapsed="false">
      <c r="A248" s="37" t="n">
        <v>362013479</v>
      </c>
      <c r="B248" s="38" t="n">
        <v>46222.3481828704</v>
      </c>
      <c r="C248" s="37" t="s">
        <v>340</v>
      </c>
      <c r="D248" s="37" t="s">
        <v>595</v>
      </c>
      <c r="E248" s="37" t="n">
        <v>23895670</v>
      </c>
      <c r="F248" s="37" t="s">
        <v>221</v>
      </c>
      <c r="G248" s="37" t="s">
        <v>198</v>
      </c>
      <c r="H248" s="37" t="s">
        <v>184</v>
      </c>
      <c r="I248" s="37" t="n">
        <v>31</v>
      </c>
      <c r="J248" s="39" t="n">
        <v>299.99</v>
      </c>
      <c r="K248" s="37" t="s">
        <v>518</v>
      </c>
      <c r="L248" s="39" t="n">
        <v>108.45</v>
      </c>
      <c r="M248" s="39" t="n">
        <v>65.63</v>
      </c>
      <c r="N248" s="39" t="n">
        <f aca="false">J248*Resumo!$C$6</f>
        <v>0</v>
      </c>
      <c r="O248" s="39" t="n">
        <f aca="false">J248*Resumo!$C$7</f>
        <v>0.629979</v>
      </c>
      <c r="P248" s="39" t="n">
        <f aca="false">J248*Resumo!$C$8</f>
        <v>0.629979</v>
      </c>
      <c r="Q248" s="39" t="n">
        <f aca="false">Resumo!$C$10*CEILING(I248/100,1)</f>
        <v>1.05</v>
      </c>
      <c r="R248" s="39" t="n">
        <f aca="false">Resumo!$C$9</f>
        <v>0</v>
      </c>
      <c r="S248" s="39" t="n">
        <f aca="false">Resumo!$C$13</f>
        <v>13.55</v>
      </c>
      <c r="T248" s="39" t="n">
        <f aca="false">Resumo!$C$14*CEILING(I248,1)</f>
        <v>13.95</v>
      </c>
      <c r="U248" s="39" t="n">
        <f aca="false">SUM(M248:T248)*Resumo!$C$11</f>
        <v>0</v>
      </c>
      <c r="V248" s="39" t="n">
        <f aca="false">SUM(M248:U248)</f>
        <v>95.439958</v>
      </c>
      <c r="W248" s="39" t="n">
        <f aca="false">V248/(1-Resumo!$C$5)</f>
        <v>108.454497727273</v>
      </c>
      <c r="X248" s="39" t="n">
        <v>92.21</v>
      </c>
      <c r="Y248" s="39" t="n">
        <f aca="false">J248*Resumo!$B$6</f>
        <v>0.29999</v>
      </c>
      <c r="Z248" s="39" t="n">
        <f aca="false">J248*Resumo!$B$7</f>
        <v>0.59998</v>
      </c>
      <c r="AA248" s="39" t="n">
        <f aca="false">Resumo!$B$9</f>
        <v>1</v>
      </c>
      <c r="AB248" s="39" t="n">
        <f aca="false">Resumo!$B$10*CEILING(I248/100,1)</f>
        <v>4.5</v>
      </c>
      <c r="AC248" s="39" t="n">
        <f aca="false">Resumo!$B$12*CEILING(I248,1)</f>
        <v>1.86</v>
      </c>
      <c r="AD248" s="39" t="n">
        <f aca="false">Resumo!$B$14*CEILING(I248,1)</f>
        <v>13.95</v>
      </c>
      <c r="AE248" s="39" t="n">
        <f aca="false">SUM(X248:AD248)</f>
        <v>114.41997</v>
      </c>
      <c r="AF248" s="39" t="n">
        <f aca="false">AE248/(1-Resumo!$B$5)</f>
        <v>130.022693181818</v>
      </c>
      <c r="AG248" s="39" t="n">
        <f aca="false">AF248-W248</f>
        <v>21.5681954545454</v>
      </c>
      <c r="AH248" s="40" t="n">
        <f aca="false">AF248/W248-1</f>
        <v>0.198868612243102</v>
      </c>
      <c r="AI248" s="37" t="str">
        <f aca="false">IF(AF248&lt;W248,"SIM","NÃO")</f>
        <v>NÃO</v>
      </c>
      <c r="AJ248" s="37" t="n">
        <v>13</v>
      </c>
      <c r="AK248" s="37" t="n">
        <v>5</v>
      </c>
      <c r="AL248" s="37" t="s">
        <v>347</v>
      </c>
      <c r="AM248" s="39" t="n">
        <v>108.62</v>
      </c>
    </row>
    <row r="249" customFormat="false" ht="15" hidden="false" customHeight="false" outlineLevel="0" collapsed="false">
      <c r="A249" s="37" t="n">
        <v>362036575</v>
      </c>
      <c r="B249" s="38" t="n">
        <v>46222.4030092593</v>
      </c>
      <c r="C249" s="37" t="s">
        <v>340</v>
      </c>
      <c r="D249" s="37" t="s">
        <v>596</v>
      </c>
      <c r="E249" s="37" t="n">
        <v>24110556</v>
      </c>
      <c r="F249" s="37" t="s">
        <v>163</v>
      </c>
      <c r="G249" s="37" t="s">
        <v>197</v>
      </c>
      <c r="H249" s="37" t="s">
        <v>187</v>
      </c>
      <c r="I249" s="37" t="n">
        <v>59.9</v>
      </c>
      <c r="J249" s="39" t="n">
        <v>949.99</v>
      </c>
      <c r="K249" s="37" t="s">
        <v>342</v>
      </c>
      <c r="L249" s="39" t="n">
        <v>129.84</v>
      </c>
      <c r="M249" s="39" t="n">
        <v>70.98</v>
      </c>
      <c r="N249" s="39" t="n">
        <f aca="false">J249*Resumo!$C$6</f>
        <v>0</v>
      </c>
      <c r="O249" s="39" t="n">
        <f aca="false">J249*Resumo!$C$7</f>
        <v>1.994979</v>
      </c>
      <c r="P249" s="39" t="n">
        <f aca="false">J249*Resumo!$C$8</f>
        <v>1.994979</v>
      </c>
      <c r="Q249" s="39" t="n">
        <f aca="false">Resumo!$C$10*CEILING(I249/100,1)</f>
        <v>1.05</v>
      </c>
      <c r="R249" s="39" t="n">
        <f aca="false">Resumo!$C$9</f>
        <v>0</v>
      </c>
      <c r="S249" s="39" t="n">
        <f aca="false">Resumo!$C$13</f>
        <v>13.55</v>
      </c>
      <c r="T249" s="39" t="n">
        <f aca="false">Resumo!$C$14*CEILING(I249,1)</f>
        <v>27</v>
      </c>
      <c r="U249" s="39" t="n">
        <f aca="false">SUM(M249:T249)*Resumo!$C$11</f>
        <v>0</v>
      </c>
      <c r="V249" s="39" t="n">
        <f aca="false">SUM(M249:U249)</f>
        <v>116.569958</v>
      </c>
      <c r="W249" s="39" t="n">
        <f aca="false">V249/(1-Resumo!$C$5)</f>
        <v>132.465861363636</v>
      </c>
      <c r="X249" s="39" t="n">
        <v>128.14</v>
      </c>
      <c r="Y249" s="39" t="n">
        <f aca="false">J249*Resumo!$B$6</f>
        <v>0.94999</v>
      </c>
      <c r="Z249" s="39" t="n">
        <f aca="false">J249*Resumo!$B$7</f>
        <v>1.89998</v>
      </c>
      <c r="AA249" s="39" t="n">
        <f aca="false">Resumo!$B$9</f>
        <v>1</v>
      </c>
      <c r="AB249" s="39" t="n">
        <f aca="false">Resumo!$B$10*CEILING(I249/100,1)</f>
        <v>4.5</v>
      </c>
      <c r="AC249" s="39" t="n">
        <f aca="false">Resumo!$B$12*CEILING(I249,1)</f>
        <v>3.6</v>
      </c>
      <c r="AD249" s="39" t="n">
        <f aca="false">Resumo!$B$14*CEILING(I249,1)</f>
        <v>27</v>
      </c>
      <c r="AE249" s="39" t="n">
        <f aca="false">SUM(X249:AD249)</f>
        <v>167.08997</v>
      </c>
      <c r="AF249" s="39" t="n">
        <f aca="false">AE249/(1-Resumo!$B$5)</f>
        <v>189.874965909091</v>
      </c>
      <c r="AG249" s="39" t="n">
        <f aca="false">AF249-W249</f>
        <v>57.4091045454545</v>
      </c>
      <c r="AH249" s="40" t="n">
        <f aca="false">AF249/W249-1</f>
        <v>0.433387923155982</v>
      </c>
      <c r="AI249" s="37" t="str">
        <f aca="false">IF(AF249&lt;W249,"SIM","NÃO")</f>
        <v>NÃO</v>
      </c>
      <c r="AJ249" s="37" t="n">
        <v>2</v>
      </c>
      <c r="AK249" s="37" t="n">
        <v>7</v>
      </c>
      <c r="AL249" s="37" t="s">
        <v>343</v>
      </c>
      <c r="AM249" s="39" t="n">
        <v>129.84</v>
      </c>
    </row>
    <row r="250" customFormat="false" ht="15" hidden="false" customHeight="false" outlineLevel="0" collapsed="false">
      <c r="A250" s="37" t="n">
        <v>362049935</v>
      </c>
      <c r="B250" s="38" t="n">
        <v>46222.4424074074</v>
      </c>
      <c r="C250" s="37" t="s">
        <v>345</v>
      </c>
      <c r="D250" s="37" t="s">
        <v>597</v>
      </c>
      <c r="E250" s="37" t="n">
        <v>23970000</v>
      </c>
      <c r="F250" s="37" t="s">
        <v>222</v>
      </c>
      <c r="G250" s="37" t="s">
        <v>198</v>
      </c>
      <c r="H250" s="37" t="s">
        <v>190</v>
      </c>
      <c r="I250" s="37" t="n">
        <v>97.2</v>
      </c>
      <c r="J250" s="39" t="n">
        <v>1164.49</v>
      </c>
      <c r="K250" s="37" t="s">
        <v>518</v>
      </c>
      <c r="L250" s="39" t="n">
        <v>196.85</v>
      </c>
      <c r="M250" s="39" t="n">
        <v>109.63</v>
      </c>
      <c r="N250" s="39" t="n">
        <f aca="false">J250*Resumo!$C$6</f>
        <v>0</v>
      </c>
      <c r="O250" s="39" t="n">
        <f aca="false">J250*Resumo!$C$7</f>
        <v>2.445429</v>
      </c>
      <c r="P250" s="39" t="n">
        <f aca="false">J250*Resumo!$C$8</f>
        <v>2.445429</v>
      </c>
      <c r="Q250" s="39" t="n">
        <f aca="false">Resumo!$C$10*CEILING(I250/100,1)</f>
        <v>1.05</v>
      </c>
      <c r="R250" s="39" t="n">
        <f aca="false">Resumo!$C$9</f>
        <v>0</v>
      </c>
      <c r="S250" s="39" t="n">
        <f aca="false">Resumo!$C$13</f>
        <v>13.55</v>
      </c>
      <c r="T250" s="39" t="n">
        <f aca="false">Resumo!$C$14*CEILING(I250,1)</f>
        <v>44.1</v>
      </c>
      <c r="U250" s="39" t="n">
        <f aca="false">SUM(M250:T250)*Resumo!$C$11</f>
        <v>0</v>
      </c>
      <c r="V250" s="39" t="n">
        <f aca="false">SUM(M250:U250)</f>
        <v>173.220858</v>
      </c>
      <c r="W250" s="39" t="n">
        <f aca="false">V250/(1-Resumo!$C$5)</f>
        <v>196.841884090909</v>
      </c>
      <c r="X250" s="39" t="n">
        <v>197.35</v>
      </c>
      <c r="Y250" s="39" t="n">
        <f aca="false">J250*Resumo!$B$6</f>
        <v>1.16449</v>
      </c>
      <c r="Z250" s="39" t="n">
        <f aca="false">J250*Resumo!$B$7</f>
        <v>2.32898</v>
      </c>
      <c r="AA250" s="39" t="n">
        <f aca="false">Resumo!$B$9</f>
        <v>1</v>
      </c>
      <c r="AB250" s="39" t="n">
        <f aca="false">Resumo!$B$10*CEILING(I250/100,1)</f>
        <v>4.5</v>
      </c>
      <c r="AC250" s="39" t="n">
        <f aca="false">Resumo!$B$12*CEILING(I250,1)</f>
        <v>5.88</v>
      </c>
      <c r="AD250" s="39" t="n">
        <f aca="false">Resumo!$B$14*CEILING(I250,1)</f>
        <v>44.1</v>
      </c>
      <c r="AE250" s="39" t="n">
        <f aca="false">SUM(X250:AD250)</f>
        <v>256.32347</v>
      </c>
      <c r="AF250" s="39" t="n">
        <f aca="false">AE250/(1-Resumo!$B$5)</f>
        <v>291.276670454545</v>
      </c>
      <c r="AG250" s="39" t="n">
        <f aca="false">AF250-W250</f>
        <v>94.4347863636363</v>
      </c>
      <c r="AH250" s="40" t="n">
        <f aca="false">AF250/W250-1</f>
        <v>0.479749453729181</v>
      </c>
      <c r="AI250" s="37" t="str">
        <f aca="false">IF(AF250&lt;W250,"SIM","NÃO")</f>
        <v>NÃO</v>
      </c>
      <c r="AJ250" s="37" t="n">
        <v>13</v>
      </c>
      <c r="AK250" s="37" t="n">
        <v>10</v>
      </c>
      <c r="AL250" s="37" t="s">
        <v>347</v>
      </c>
      <c r="AM250" s="39" t="n">
        <v>194.18</v>
      </c>
    </row>
    <row r="251" customFormat="false" ht="15" hidden="false" customHeight="false" outlineLevel="0" collapsed="false">
      <c r="A251" s="37" t="n">
        <v>362127089</v>
      </c>
      <c r="B251" s="38" t="n">
        <v>46222.5976967593</v>
      </c>
      <c r="C251" s="37" t="s">
        <v>340</v>
      </c>
      <c r="D251" s="37" t="s">
        <v>598</v>
      </c>
      <c r="E251" s="37" t="n">
        <v>26385030</v>
      </c>
      <c r="F251" s="37" t="s">
        <v>236</v>
      </c>
      <c r="G251" s="37" t="s">
        <v>197</v>
      </c>
      <c r="H251" s="37" t="s">
        <v>188</v>
      </c>
      <c r="I251" s="37" t="n">
        <v>63</v>
      </c>
      <c r="J251" s="39" t="n">
        <v>942.64</v>
      </c>
      <c r="K251" s="37" t="s">
        <v>518</v>
      </c>
      <c r="L251" s="39" t="n">
        <v>140.3</v>
      </c>
      <c r="M251" s="39" t="n">
        <v>76.55</v>
      </c>
      <c r="N251" s="39" t="n">
        <f aca="false">J251*Resumo!$C$6</f>
        <v>0</v>
      </c>
      <c r="O251" s="39" t="n">
        <f aca="false">J251*Resumo!$C$7</f>
        <v>1.979544</v>
      </c>
      <c r="P251" s="39" t="n">
        <f aca="false">J251*Resumo!$C$8</f>
        <v>1.979544</v>
      </c>
      <c r="Q251" s="39" t="n">
        <f aca="false">Resumo!$C$10*CEILING(I251/100,1)</f>
        <v>1.05</v>
      </c>
      <c r="R251" s="39" t="n">
        <f aca="false">Resumo!$C$9</f>
        <v>0</v>
      </c>
      <c r="S251" s="39" t="n">
        <f aca="false">Resumo!$C$13</f>
        <v>13.55</v>
      </c>
      <c r="T251" s="39" t="n">
        <f aca="false">Resumo!$C$14*CEILING(I251,1)</f>
        <v>28.35</v>
      </c>
      <c r="U251" s="39" t="n">
        <f aca="false">SUM(M251:T251)*Resumo!$C$11</f>
        <v>0</v>
      </c>
      <c r="V251" s="39" t="n">
        <f aca="false">SUM(M251:U251)</f>
        <v>123.459088</v>
      </c>
      <c r="W251" s="39" t="n">
        <f aca="false">V251/(1-Resumo!$C$5)</f>
        <v>140.294418181818</v>
      </c>
      <c r="X251" s="39" t="n">
        <v>131.02</v>
      </c>
      <c r="Y251" s="39" t="n">
        <f aca="false">J251*Resumo!$B$6</f>
        <v>0.94264</v>
      </c>
      <c r="Z251" s="39" t="n">
        <f aca="false">J251*Resumo!$B$7</f>
        <v>1.88528</v>
      </c>
      <c r="AA251" s="39" t="n">
        <f aca="false">Resumo!$B$9</f>
        <v>1</v>
      </c>
      <c r="AB251" s="39" t="n">
        <f aca="false">Resumo!$B$10*CEILING(I251/100,1)</f>
        <v>4.5</v>
      </c>
      <c r="AC251" s="39" t="n">
        <f aca="false">Resumo!$B$12*CEILING(I251,1)</f>
        <v>3.78</v>
      </c>
      <c r="AD251" s="39" t="n">
        <f aca="false">Resumo!$B$14*CEILING(I251,1)</f>
        <v>28.35</v>
      </c>
      <c r="AE251" s="39" t="n">
        <f aca="false">SUM(X251:AD251)</f>
        <v>171.47792</v>
      </c>
      <c r="AF251" s="39" t="n">
        <f aca="false">AE251/(1-Resumo!$B$5)</f>
        <v>194.861272727273</v>
      </c>
      <c r="AG251" s="39" t="n">
        <f aca="false">AF251-W251</f>
        <v>54.5668545454545</v>
      </c>
      <c r="AH251" s="40" t="n">
        <f aca="false">AF251/W251-1</f>
        <v>0.388945299838923</v>
      </c>
      <c r="AI251" s="37" t="str">
        <f aca="false">IF(AF251&lt;W251,"SIM","NÃO")</f>
        <v>NÃO</v>
      </c>
      <c r="AJ251" s="37" t="n">
        <v>2</v>
      </c>
      <c r="AK251" s="37" t="n">
        <v>5</v>
      </c>
      <c r="AL251" s="37" t="s">
        <v>347</v>
      </c>
      <c r="AM251" s="39" t="n">
        <v>140.95</v>
      </c>
    </row>
    <row r="252" customFormat="false" ht="15" hidden="false" customHeight="false" outlineLevel="0" collapsed="false">
      <c r="A252" s="37" t="n">
        <v>362163278</v>
      </c>
      <c r="B252" s="38" t="n">
        <v>46222.6770717593</v>
      </c>
      <c r="C252" s="37" t="s">
        <v>361</v>
      </c>
      <c r="D252" s="37" t="s">
        <v>599</v>
      </c>
      <c r="E252" s="37" t="n">
        <v>26160225</v>
      </c>
      <c r="F252" s="37" t="s">
        <v>165</v>
      </c>
      <c r="G252" s="37" t="s">
        <v>197</v>
      </c>
      <c r="H252" s="37" t="s">
        <v>186</v>
      </c>
      <c r="I252" s="37" t="n">
        <v>45.3</v>
      </c>
      <c r="J252" s="39" t="n">
        <v>629.99</v>
      </c>
      <c r="K252" s="37" t="s">
        <v>518</v>
      </c>
      <c r="L252" s="39" t="n">
        <v>117.39</v>
      </c>
      <c r="M252" s="39" t="n">
        <v>65.36</v>
      </c>
      <c r="N252" s="39" t="n">
        <f aca="false">J252*Resumo!$C$6</f>
        <v>0</v>
      </c>
      <c r="O252" s="39" t="n">
        <f aca="false">J252*Resumo!$C$7</f>
        <v>1.322979</v>
      </c>
      <c r="P252" s="39" t="n">
        <f aca="false">J252*Resumo!$C$8</f>
        <v>1.322979</v>
      </c>
      <c r="Q252" s="39" t="n">
        <f aca="false">Resumo!$C$10*CEILING(I252/100,1)</f>
        <v>1.05</v>
      </c>
      <c r="R252" s="39" t="n">
        <f aca="false">Resumo!$C$9</f>
        <v>0</v>
      </c>
      <c r="S252" s="39" t="n">
        <f aca="false">Resumo!$C$13</f>
        <v>13.55</v>
      </c>
      <c r="T252" s="39" t="n">
        <f aca="false">Resumo!$C$14*CEILING(I252,1)</f>
        <v>20.7</v>
      </c>
      <c r="U252" s="39" t="n">
        <f aca="false">SUM(M252:T252)*Resumo!$C$11</f>
        <v>0</v>
      </c>
      <c r="V252" s="39" t="n">
        <f aca="false">SUM(M252:U252)</f>
        <v>103.305958</v>
      </c>
      <c r="W252" s="39" t="n">
        <f aca="false">V252/(1-Resumo!$C$5)</f>
        <v>117.393134090909</v>
      </c>
      <c r="X252" s="39" t="n">
        <v>93.97</v>
      </c>
      <c r="Y252" s="39" t="n">
        <f aca="false">J252*Resumo!$B$6</f>
        <v>0.62999</v>
      </c>
      <c r="Z252" s="39" t="n">
        <f aca="false">J252*Resumo!$B$7</f>
        <v>1.25998</v>
      </c>
      <c r="AA252" s="39" t="n">
        <f aca="false">Resumo!$B$9</f>
        <v>1</v>
      </c>
      <c r="AB252" s="39" t="n">
        <f aca="false">Resumo!$B$10*CEILING(I252/100,1)</f>
        <v>4.5</v>
      </c>
      <c r="AC252" s="39" t="n">
        <f aca="false">Resumo!$B$12*CEILING(I252,1)</f>
        <v>2.76</v>
      </c>
      <c r="AD252" s="39" t="n">
        <f aca="false">Resumo!$B$14*CEILING(I252,1)</f>
        <v>20.7</v>
      </c>
      <c r="AE252" s="39" t="n">
        <f aca="false">SUM(X252:AD252)</f>
        <v>124.81997</v>
      </c>
      <c r="AF252" s="39" t="n">
        <f aca="false">AE252/(1-Resumo!$B$5)</f>
        <v>141.840875</v>
      </c>
      <c r="AG252" s="39" t="n">
        <f aca="false">AF252-W252</f>
        <v>24.4477409090909</v>
      </c>
      <c r="AH252" s="40" t="n">
        <f aca="false">AF252/W252-1</f>
        <v>0.208255287657271</v>
      </c>
      <c r="AI252" s="37" t="str">
        <f aca="false">IF(AF252&lt;W252,"SIM","NÃO")</f>
        <v>NÃO</v>
      </c>
      <c r="AJ252" s="37" t="n">
        <v>2</v>
      </c>
      <c r="AK252" s="37" t="n">
        <v>5</v>
      </c>
      <c r="AL252" s="37" t="s">
        <v>343</v>
      </c>
      <c r="AM252" s="39" t="n">
        <v>117.09</v>
      </c>
    </row>
    <row r="253" customFormat="false" ht="15" hidden="false" customHeight="false" outlineLevel="0" collapsed="false">
      <c r="A253" s="37" t="n">
        <v>362168341</v>
      </c>
      <c r="B253" s="38" t="n">
        <v>46222.6880324074</v>
      </c>
      <c r="C253" s="37" t="s">
        <v>345</v>
      </c>
      <c r="D253" s="37" t="s">
        <v>600</v>
      </c>
      <c r="E253" s="37" t="n">
        <v>22765590</v>
      </c>
      <c r="F253" s="37" t="s">
        <v>159</v>
      </c>
      <c r="G253" s="37" t="s">
        <v>196</v>
      </c>
      <c r="H253" s="37" t="s">
        <v>185</v>
      </c>
      <c r="I253" s="37" t="n">
        <v>36.8</v>
      </c>
      <c r="J253" s="39" t="n">
        <v>449.99</v>
      </c>
      <c r="K253" s="37" t="s">
        <v>342</v>
      </c>
      <c r="L253" s="39" t="n">
        <v>92.01</v>
      </c>
      <c r="M253" s="39" t="n">
        <v>48.35</v>
      </c>
      <c r="N253" s="39" t="n">
        <f aca="false">J253*Resumo!$C$6</f>
        <v>0</v>
      </c>
      <c r="O253" s="39" t="n">
        <f aca="false">J253*Resumo!$C$7</f>
        <v>0.944979</v>
      </c>
      <c r="P253" s="39" t="n">
        <f aca="false">J253*Resumo!$C$8</f>
        <v>0.944979</v>
      </c>
      <c r="Q253" s="39" t="n">
        <f aca="false">Resumo!$C$10*CEILING(I253/100,1)</f>
        <v>1.05</v>
      </c>
      <c r="R253" s="39" t="n">
        <f aca="false">Resumo!$C$9</f>
        <v>0</v>
      </c>
      <c r="S253" s="39" t="n">
        <f aca="false">Resumo!$C$13</f>
        <v>13.55</v>
      </c>
      <c r="T253" s="39" t="n">
        <f aca="false">Resumo!$C$14*CEILING(I253,1)</f>
        <v>16.65</v>
      </c>
      <c r="U253" s="39" t="n">
        <f aca="false">SUM(M253:T253)*Resumo!$C$11</f>
        <v>0</v>
      </c>
      <c r="V253" s="39" t="n">
        <f aca="false">SUM(M253:U253)</f>
        <v>81.489958</v>
      </c>
      <c r="W253" s="39" t="n">
        <f aca="false">V253/(1-Resumo!$C$5)</f>
        <v>92.602225</v>
      </c>
      <c r="X253" s="39" t="n">
        <v>93.97</v>
      </c>
      <c r="Y253" s="39" t="n">
        <f aca="false">J253*Resumo!$B$6</f>
        <v>0.44999</v>
      </c>
      <c r="Z253" s="39" t="n">
        <f aca="false">J253*Resumo!$B$7</f>
        <v>0.89998</v>
      </c>
      <c r="AA253" s="39" t="n">
        <f aca="false">Resumo!$B$9</f>
        <v>1</v>
      </c>
      <c r="AB253" s="39" t="n">
        <f aca="false">Resumo!$B$10*CEILING(I253/100,1)</f>
        <v>4.5</v>
      </c>
      <c r="AC253" s="39" t="n">
        <f aca="false">Resumo!$B$12*CEILING(I253,1)</f>
        <v>2.22</v>
      </c>
      <c r="AD253" s="39" t="n">
        <f aca="false">Resumo!$B$14*CEILING(I253,1)</f>
        <v>16.65</v>
      </c>
      <c r="AE253" s="39" t="n">
        <f aca="false">SUM(X253:AD253)</f>
        <v>119.68997</v>
      </c>
      <c r="AF253" s="39" t="n">
        <f aca="false">AE253/(1-Resumo!$B$5)</f>
        <v>136.011329545455</v>
      </c>
      <c r="AG253" s="39" t="n">
        <f aca="false">AF253-W253</f>
        <v>43.4091045454545</v>
      </c>
      <c r="AH253" s="40" t="n">
        <f aca="false">AF253/W253-1</f>
        <v>0.468769562993271</v>
      </c>
      <c r="AI253" s="37" t="str">
        <f aca="false">IF(AF253&lt;W253,"SIM","NÃO")</f>
        <v>NÃO</v>
      </c>
      <c r="AJ253" s="37" t="n">
        <v>2</v>
      </c>
      <c r="AK253" s="37" t="n">
        <v>5</v>
      </c>
      <c r="AL253" s="37" t="s">
        <v>343</v>
      </c>
      <c r="AM253" s="39" t="n">
        <v>92.01</v>
      </c>
    </row>
    <row r="254" customFormat="false" ht="15" hidden="false" customHeight="false" outlineLevel="0" collapsed="false">
      <c r="A254" s="37" t="n">
        <v>362168495</v>
      </c>
      <c r="B254" s="38" t="n">
        <v>46222.6884606482</v>
      </c>
      <c r="C254" s="37" t="s">
        <v>345</v>
      </c>
      <c r="D254" s="37" t="s">
        <v>601</v>
      </c>
      <c r="E254" s="37" t="n">
        <v>25730070</v>
      </c>
      <c r="F254" s="37" t="s">
        <v>170</v>
      </c>
      <c r="G254" s="37" t="s">
        <v>198</v>
      </c>
      <c r="H254" s="37" t="s">
        <v>192</v>
      </c>
      <c r="I254" s="37" t="n">
        <v>124.2</v>
      </c>
      <c r="J254" s="39" t="n">
        <v>1611.28</v>
      </c>
      <c r="K254" s="37" t="s">
        <v>518</v>
      </c>
      <c r="L254" s="39" t="n">
        <v>253.3</v>
      </c>
      <c r="M254" s="39" t="n">
        <v>144.24</v>
      </c>
      <c r="N254" s="39" t="n">
        <f aca="false">J254*Resumo!$C$6</f>
        <v>0</v>
      </c>
      <c r="O254" s="39" t="n">
        <f aca="false">J254*Resumo!$C$7</f>
        <v>3.383688</v>
      </c>
      <c r="P254" s="39" t="n">
        <f aca="false">J254*Resumo!$C$8</f>
        <v>3.383688</v>
      </c>
      <c r="Q254" s="39" t="n">
        <f aca="false">Resumo!$C$10*CEILING(I254/100,1)</f>
        <v>2.1</v>
      </c>
      <c r="R254" s="39" t="n">
        <f aca="false">Resumo!$C$9</f>
        <v>0</v>
      </c>
      <c r="S254" s="39" t="n">
        <f aca="false">Resumo!$C$13</f>
        <v>13.55</v>
      </c>
      <c r="T254" s="39" t="n">
        <f aca="false">Resumo!$C$14*CEILING(I254,1)</f>
        <v>56.25</v>
      </c>
      <c r="U254" s="39" t="n">
        <f aca="false">SUM(M254:T254)*Resumo!$C$11</f>
        <v>0</v>
      </c>
      <c r="V254" s="39" t="n">
        <f aca="false">SUM(M254:U254)</f>
        <v>222.907376</v>
      </c>
      <c r="W254" s="39" t="n">
        <f aca="false">V254/(1-Resumo!$C$5)</f>
        <v>253.303836363636</v>
      </c>
      <c r="X254" s="39" t="n">
        <v>264.84</v>
      </c>
      <c r="Y254" s="39" t="n">
        <f aca="false">J254*Resumo!$B$6</f>
        <v>1.61128</v>
      </c>
      <c r="Z254" s="39" t="n">
        <f aca="false">J254*Resumo!$B$7</f>
        <v>3.22256</v>
      </c>
      <c r="AA254" s="39" t="n">
        <f aca="false">Resumo!$B$9</f>
        <v>1</v>
      </c>
      <c r="AB254" s="39" t="n">
        <f aca="false">Resumo!$B$10*CEILING(I254/100,1)</f>
        <v>9</v>
      </c>
      <c r="AC254" s="39" t="n">
        <f aca="false">Resumo!$B$12*CEILING(I254,1)</f>
        <v>7.5</v>
      </c>
      <c r="AD254" s="39" t="n">
        <f aca="false">Resumo!$B$14*CEILING(I254,1)</f>
        <v>56.25</v>
      </c>
      <c r="AE254" s="39" t="n">
        <f aca="false">SUM(X254:AD254)</f>
        <v>343.42384</v>
      </c>
      <c r="AF254" s="39" t="n">
        <f aca="false">AE254/(1-Resumo!$B$5)</f>
        <v>390.254363636364</v>
      </c>
      <c r="AG254" s="39" t="n">
        <f aca="false">AF254-W254</f>
        <v>136.950527272727</v>
      </c>
      <c r="AH254" s="40" t="n">
        <f aca="false">AF254/W254-1</f>
        <v>0.540657138236646</v>
      </c>
      <c r="AI254" s="37" t="str">
        <f aca="false">IF(AF254&lt;W254,"SIM","NÃO")</f>
        <v>NÃO</v>
      </c>
      <c r="AJ254" s="37" t="n">
        <v>13</v>
      </c>
      <c r="AK254" s="37" t="n">
        <v>8</v>
      </c>
      <c r="AL254" s="37" t="s">
        <v>343</v>
      </c>
      <c r="AM254" s="39" t="n">
        <v>261.01</v>
      </c>
    </row>
    <row r="255" customFormat="false" ht="15" hidden="false" customHeight="false" outlineLevel="0" collapsed="false">
      <c r="A255" s="37" t="n">
        <v>362185703</v>
      </c>
      <c r="B255" s="38" t="n">
        <v>46222.7369560185</v>
      </c>
      <c r="C255" s="37" t="s">
        <v>340</v>
      </c>
      <c r="D255" s="37" t="s">
        <v>602</v>
      </c>
      <c r="E255" s="37" t="n">
        <v>21011250</v>
      </c>
      <c r="F255" s="37" t="s">
        <v>159</v>
      </c>
      <c r="G255" s="37" t="s">
        <v>196</v>
      </c>
      <c r="H255" s="37" t="s">
        <v>184</v>
      </c>
      <c r="I255" s="37" t="n">
        <v>29.2</v>
      </c>
      <c r="J255" s="39" t="n">
        <v>449.99</v>
      </c>
      <c r="K255" s="37" t="s">
        <v>342</v>
      </c>
      <c r="L255" s="39" t="n">
        <v>82.48</v>
      </c>
      <c r="M255" s="39" t="n">
        <v>42.11</v>
      </c>
      <c r="N255" s="39" t="n">
        <f aca="false">J255*Resumo!$C$6</f>
        <v>0</v>
      </c>
      <c r="O255" s="39" t="n">
        <f aca="false">J255*Resumo!$C$7</f>
        <v>0.944979</v>
      </c>
      <c r="P255" s="39" t="n">
        <f aca="false">J255*Resumo!$C$8</f>
        <v>0.944979</v>
      </c>
      <c r="Q255" s="39" t="n">
        <f aca="false">Resumo!$C$10*CEILING(I255/100,1)</f>
        <v>1.05</v>
      </c>
      <c r="R255" s="39" t="n">
        <f aca="false">Resumo!$C$9</f>
        <v>0</v>
      </c>
      <c r="S255" s="39" t="n">
        <f aca="false">Resumo!$C$13</f>
        <v>13.55</v>
      </c>
      <c r="T255" s="39" t="n">
        <f aca="false">Resumo!$C$14*CEILING(I255,1)</f>
        <v>13.5</v>
      </c>
      <c r="U255" s="39" t="n">
        <f aca="false">SUM(M255:T255)*Resumo!$C$11</f>
        <v>0</v>
      </c>
      <c r="V255" s="39" t="n">
        <f aca="false">SUM(M255:U255)</f>
        <v>72.099958</v>
      </c>
      <c r="W255" s="39" t="n">
        <f aca="false">V255/(1-Resumo!$C$5)</f>
        <v>81.9317704545455</v>
      </c>
      <c r="X255" s="39" t="n">
        <v>82.21</v>
      </c>
      <c r="Y255" s="39" t="n">
        <f aca="false">J255*Resumo!$B$6</f>
        <v>0.44999</v>
      </c>
      <c r="Z255" s="39" t="n">
        <f aca="false">J255*Resumo!$B$7</f>
        <v>0.89998</v>
      </c>
      <c r="AA255" s="39" t="n">
        <f aca="false">Resumo!$B$9</f>
        <v>1</v>
      </c>
      <c r="AB255" s="39" t="n">
        <f aca="false">Resumo!$B$10*CEILING(I255/100,1)</f>
        <v>4.5</v>
      </c>
      <c r="AC255" s="39" t="n">
        <f aca="false">Resumo!$B$12*CEILING(I255,1)</f>
        <v>1.8</v>
      </c>
      <c r="AD255" s="39" t="n">
        <f aca="false">Resumo!$B$14*CEILING(I255,1)</f>
        <v>13.5</v>
      </c>
      <c r="AE255" s="39" t="n">
        <f aca="false">SUM(X255:AD255)</f>
        <v>104.35997</v>
      </c>
      <c r="AF255" s="39" t="n">
        <f aca="false">AE255/(1-Resumo!$B$5)</f>
        <v>118.590875</v>
      </c>
      <c r="AG255" s="39" t="n">
        <f aca="false">AF255-W255</f>
        <v>36.6591045454545</v>
      </c>
      <c r="AH255" s="40" t="n">
        <f aca="false">AF255/W255-1</f>
        <v>0.447434546355769</v>
      </c>
      <c r="AI255" s="37" t="str">
        <f aca="false">IF(AF255&lt;W255,"SIM","NÃO")</f>
        <v>NÃO</v>
      </c>
      <c r="AJ255" s="37" t="n">
        <v>2</v>
      </c>
      <c r="AK255" s="37" t="n">
        <v>5</v>
      </c>
      <c r="AL255" s="37" t="s">
        <v>343</v>
      </c>
      <c r="AM255" s="39" t="n">
        <v>82.48</v>
      </c>
    </row>
    <row r="256" customFormat="false" ht="15" hidden="false" customHeight="false" outlineLevel="0" collapsed="false">
      <c r="A256" s="37" t="n">
        <v>362200434</v>
      </c>
      <c r="B256" s="38" t="n">
        <v>46222.772037037</v>
      </c>
      <c r="C256" s="37" t="s">
        <v>340</v>
      </c>
      <c r="D256" s="37" t="s">
        <v>603</v>
      </c>
      <c r="E256" s="37" t="n">
        <v>25261300</v>
      </c>
      <c r="F256" s="37" t="s">
        <v>161</v>
      </c>
      <c r="G256" s="37" t="s">
        <v>197</v>
      </c>
      <c r="H256" s="37" t="s">
        <v>192</v>
      </c>
      <c r="I256" s="37" t="n">
        <v>124.2</v>
      </c>
      <c r="J256" s="39" t="n">
        <v>1649.99</v>
      </c>
      <c r="K256" s="37" t="s">
        <v>342</v>
      </c>
      <c r="L256" s="39" t="n">
        <v>244.51</v>
      </c>
      <c r="M256" s="39" t="n">
        <v>129.62</v>
      </c>
      <c r="N256" s="39" t="n">
        <f aca="false">J256*Resumo!$C$6</f>
        <v>0</v>
      </c>
      <c r="O256" s="39" t="n">
        <f aca="false">J256*Resumo!$C$7</f>
        <v>3.464979</v>
      </c>
      <c r="P256" s="39" t="n">
        <f aca="false">J256*Resumo!$C$8</f>
        <v>3.464979</v>
      </c>
      <c r="Q256" s="39" t="n">
        <f aca="false">Resumo!$C$10*CEILING(I256/100,1)</f>
        <v>2.1</v>
      </c>
      <c r="R256" s="39" t="n">
        <f aca="false">Resumo!$C$9</f>
        <v>0</v>
      </c>
      <c r="S256" s="39" t="n">
        <f aca="false">Resumo!$C$13</f>
        <v>13.55</v>
      </c>
      <c r="T256" s="39" t="n">
        <f aca="false">Resumo!$C$14*CEILING(I256,1)</f>
        <v>56.25</v>
      </c>
      <c r="U256" s="39" t="n">
        <f aca="false">SUM(M256:T256)*Resumo!$C$11</f>
        <v>0</v>
      </c>
      <c r="V256" s="39" t="n">
        <f aca="false">SUM(M256:U256)</f>
        <v>208.449958</v>
      </c>
      <c r="W256" s="39" t="n">
        <f aca="false">V256/(1-Resumo!$C$5)</f>
        <v>236.874952272727</v>
      </c>
      <c r="X256" s="39" t="n">
        <v>239.25</v>
      </c>
      <c r="Y256" s="39" t="n">
        <f aca="false">J256*Resumo!$B$6</f>
        <v>1.64999</v>
      </c>
      <c r="Z256" s="39" t="n">
        <f aca="false">J256*Resumo!$B$7</f>
        <v>3.29998</v>
      </c>
      <c r="AA256" s="39" t="n">
        <f aca="false">Resumo!$B$9</f>
        <v>1</v>
      </c>
      <c r="AB256" s="39" t="n">
        <f aca="false">Resumo!$B$10*CEILING(I256/100,1)</f>
        <v>9</v>
      </c>
      <c r="AC256" s="39" t="n">
        <f aca="false">Resumo!$B$12*CEILING(I256,1)</f>
        <v>7.5</v>
      </c>
      <c r="AD256" s="39" t="n">
        <f aca="false">Resumo!$B$14*CEILING(I256,1)</f>
        <v>56.25</v>
      </c>
      <c r="AE256" s="39" t="n">
        <f aca="false">SUM(X256:AD256)</f>
        <v>317.94997</v>
      </c>
      <c r="AF256" s="39" t="n">
        <f aca="false">AE256/(1-Resumo!$B$5)</f>
        <v>361.306784090909</v>
      </c>
      <c r="AG256" s="39" t="n">
        <f aca="false">AF256-W256</f>
        <v>124.431831818182</v>
      </c>
      <c r="AH256" s="40" t="n">
        <f aca="false">AF256/W256-1</f>
        <v>0.525305992146086</v>
      </c>
      <c r="AI256" s="37" t="str">
        <f aca="false">IF(AF256&lt;W256,"SIM","NÃO")</f>
        <v>NÃO</v>
      </c>
      <c r="AJ256" s="37" t="n">
        <v>2</v>
      </c>
      <c r="AK256" s="37" t="n">
        <v>5</v>
      </c>
      <c r="AL256" s="37" t="s">
        <v>343</v>
      </c>
      <c r="AM256" s="39" t="n">
        <v>244.51</v>
      </c>
    </row>
    <row r="257" customFormat="false" ht="15" hidden="false" customHeight="false" outlineLevel="0" collapsed="false">
      <c r="A257" s="37" t="n">
        <v>362225398</v>
      </c>
      <c r="B257" s="38" t="n">
        <v>46222.8196527778</v>
      </c>
      <c r="C257" s="37" t="s">
        <v>340</v>
      </c>
      <c r="D257" s="37" t="s">
        <v>604</v>
      </c>
      <c r="E257" s="37" t="n">
        <v>24476720</v>
      </c>
      <c r="F257" s="37" t="s">
        <v>160</v>
      </c>
      <c r="G257" s="37" t="s">
        <v>197</v>
      </c>
      <c r="H257" s="37" t="s">
        <v>184</v>
      </c>
      <c r="I257" s="37" t="n">
        <v>31.9</v>
      </c>
      <c r="J257" s="39" t="n">
        <v>508.42</v>
      </c>
      <c r="K257" s="37" t="s">
        <v>518</v>
      </c>
      <c r="L257" s="39" t="n">
        <v>102.2</v>
      </c>
      <c r="M257" s="39" t="n">
        <v>58.8</v>
      </c>
      <c r="N257" s="39" t="n">
        <f aca="false">J257*Resumo!$C$6</f>
        <v>0</v>
      </c>
      <c r="O257" s="39" t="n">
        <f aca="false">J257*Resumo!$C$7</f>
        <v>1.067682</v>
      </c>
      <c r="P257" s="39" t="n">
        <f aca="false">J257*Resumo!$C$8</f>
        <v>1.067682</v>
      </c>
      <c r="Q257" s="39" t="n">
        <f aca="false">Resumo!$C$10*CEILING(I257/100,1)</f>
        <v>1.05</v>
      </c>
      <c r="R257" s="39" t="n">
        <f aca="false">Resumo!$C$9</f>
        <v>0</v>
      </c>
      <c r="S257" s="39" t="n">
        <f aca="false">Resumo!$C$13</f>
        <v>13.55</v>
      </c>
      <c r="T257" s="39" t="n">
        <f aca="false">Resumo!$C$14*CEILING(I257,1)</f>
        <v>14.4</v>
      </c>
      <c r="U257" s="39" t="n">
        <f aca="false">SUM(M257:T257)*Resumo!$C$11</f>
        <v>0</v>
      </c>
      <c r="V257" s="39" t="n">
        <f aca="false">SUM(M257:U257)</f>
        <v>89.935364</v>
      </c>
      <c r="W257" s="39" t="n">
        <f aca="false">V257/(1-Resumo!$C$5)</f>
        <v>102.199277272727</v>
      </c>
      <c r="X257" s="39" t="n">
        <v>100.58</v>
      </c>
      <c r="Y257" s="39" t="n">
        <f aca="false">J257*Resumo!$B$6</f>
        <v>0.50842</v>
      </c>
      <c r="Z257" s="39" t="n">
        <f aca="false">J257*Resumo!$B$7</f>
        <v>1.01684</v>
      </c>
      <c r="AA257" s="39" t="n">
        <f aca="false">Resumo!$B$9</f>
        <v>1</v>
      </c>
      <c r="AB257" s="39" t="n">
        <f aca="false">Resumo!$B$10*CEILING(I257/100,1)</f>
        <v>4.5</v>
      </c>
      <c r="AC257" s="39" t="n">
        <f aca="false">Resumo!$B$12*CEILING(I257,1)</f>
        <v>1.92</v>
      </c>
      <c r="AD257" s="39" t="n">
        <f aca="false">Resumo!$B$14*CEILING(I257,1)</f>
        <v>14.4</v>
      </c>
      <c r="AE257" s="39" t="n">
        <f aca="false">SUM(X257:AD257)</f>
        <v>123.92526</v>
      </c>
      <c r="AF257" s="39" t="n">
        <f aca="false">AE257/(1-Resumo!$B$5)</f>
        <v>140.824159090909</v>
      </c>
      <c r="AG257" s="39" t="n">
        <f aca="false">AF257-W257</f>
        <v>38.6248818181818</v>
      </c>
      <c r="AH257" s="40" t="n">
        <f aca="false">AF257/W257-1</f>
        <v>0.377936937020681</v>
      </c>
      <c r="AI257" s="37" t="str">
        <f aca="false">IF(AF257&lt;W257,"SIM","NÃO")</f>
        <v>NÃO</v>
      </c>
      <c r="AJ257" s="37" t="n">
        <v>2</v>
      </c>
      <c r="AK257" s="37" t="n">
        <v>7</v>
      </c>
      <c r="AL257" s="37" t="s">
        <v>343</v>
      </c>
      <c r="AM257" s="39" t="n">
        <v>101.82</v>
      </c>
    </row>
    <row r="258" customFormat="false" ht="15" hidden="false" customHeight="false" outlineLevel="0" collapsed="false">
      <c r="A258" s="37" t="n">
        <v>362243131</v>
      </c>
      <c r="B258" s="38" t="n">
        <v>46222.8546180556</v>
      </c>
      <c r="C258" s="37" t="s">
        <v>340</v>
      </c>
      <c r="D258" s="37" t="s">
        <v>605</v>
      </c>
      <c r="E258" s="37" t="n">
        <v>21532197</v>
      </c>
      <c r="F258" s="37" t="s">
        <v>159</v>
      </c>
      <c r="G258" s="37" t="s">
        <v>196</v>
      </c>
      <c r="H258" s="37" t="s">
        <v>184</v>
      </c>
      <c r="I258" s="37" t="n">
        <v>31</v>
      </c>
      <c r="J258" s="39" t="n">
        <v>299.99</v>
      </c>
      <c r="K258" s="37" t="s">
        <v>518</v>
      </c>
      <c r="L258" s="39" t="n">
        <v>81.73</v>
      </c>
      <c r="M258" s="39" t="n">
        <v>42.11</v>
      </c>
      <c r="N258" s="39" t="n">
        <f aca="false">J258*Resumo!$C$6</f>
        <v>0</v>
      </c>
      <c r="O258" s="39" t="n">
        <f aca="false">J258*Resumo!$C$7</f>
        <v>0.629979</v>
      </c>
      <c r="P258" s="39" t="n">
        <f aca="false">J258*Resumo!$C$8</f>
        <v>0.629979</v>
      </c>
      <c r="Q258" s="39" t="n">
        <f aca="false">Resumo!$C$10*CEILING(I258/100,1)</f>
        <v>1.05</v>
      </c>
      <c r="R258" s="39" t="n">
        <f aca="false">Resumo!$C$9</f>
        <v>0</v>
      </c>
      <c r="S258" s="39" t="n">
        <f aca="false">Resumo!$C$13</f>
        <v>13.55</v>
      </c>
      <c r="T258" s="39" t="n">
        <f aca="false">Resumo!$C$14*CEILING(I258,1)</f>
        <v>13.95</v>
      </c>
      <c r="U258" s="39" t="n">
        <f aca="false">SUM(M258:T258)*Resumo!$C$11</f>
        <v>0</v>
      </c>
      <c r="V258" s="39" t="n">
        <f aca="false">SUM(M258:U258)</f>
        <v>71.919958</v>
      </c>
      <c r="W258" s="39" t="n">
        <f aca="false">V258/(1-Resumo!$C$5)</f>
        <v>81.727225</v>
      </c>
      <c r="X258" s="39" t="n">
        <v>82.21</v>
      </c>
      <c r="Y258" s="39" t="n">
        <f aca="false">J258*Resumo!$B$6</f>
        <v>0.29999</v>
      </c>
      <c r="Z258" s="39" t="n">
        <f aca="false">J258*Resumo!$B$7</f>
        <v>0.59998</v>
      </c>
      <c r="AA258" s="39" t="n">
        <f aca="false">Resumo!$B$9</f>
        <v>1</v>
      </c>
      <c r="AB258" s="39" t="n">
        <f aca="false">Resumo!$B$10*CEILING(I258/100,1)</f>
        <v>4.5</v>
      </c>
      <c r="AC258" s="39" t="n">
        <f aca="false">Resumo!$B$12*CEILING(I258,1)</f>
        <v>1.86</v>
      </c>
      <c r="AD258" s="39" t="n">
        <f aca="false">Resumo!$B$14*CEILING(I258,1)</f>
        <v>13.95</v>
      </c>
      <c r="AE258" s="39" t="n">
        <f aca="false">SUM(X258:AD258)</f>
        <v>104.41997</v>
      </c>
      <c r="AF258" s="39" t="n">
        <f aca="false">AE258/(1-Resumo!$B$5)</f>
        <v>118.659056818182</v>
      </c>
      <c r="AG258" s="39" t="n">
        <f aca="false">AF258-W258</f>
        <v>36.9318318181818</v>
      </c>
      <c r="AH258" s="40" t="n">
        <f aca="false">AF258/W258-1</f>
        <v>0.451891420737482</v>
      </c>
      <c r="AI258" s="37" t="str">
        <f aca="false">IF(AF258&lt;W258,"SIM","NÃO")</f>
        <v>NÃO</v>
      </c>
      <c r="AJ258" s="37" t="n">
        <v>2</v>
      </c>
      <c r="AK258" s="37" t="n">
        <v>5</v>
      </c>
      <c r="AL258" s="37" t="s">
        <v>343</v>
      </c>
      <c r="AM258" s="39" t="n">
        <v>81.76</v>
      </c>
    </row>
    <row r="259" customFormat="false" ht="15" hidden="false" customHeight="false" outlineLevel="0" collapsed="false">
      <c r="A259" s="37" t="n">
        <v>362507018</v>
      </c>
      <c r="B259" s="38" t="n">
        <v>46223.4271875</v>
      </c>
      <c r="C259" s="37" t="s">
        <v>340</v>
      </c>
      <c r="D259" s="37" t="s">
        <v>606</v>
      </c>
      <c r="E259" s="37" t="n">
        <v>24913090</v>
      </c>
      <c r="F259" s="37" t="s">
        <v>171</v>
      </c>
      <c r="G259" s="37" t="s">
        <v>198</v>
      </c>
      <c r="H259" s="37" t="s">
        <v>189</v>
      </c>
      <c r="I259" s="37" t="n">
        <v>73</v>
      </c>
      <c r="J259" s="39" t="n">
        <v>999.99</v>
      </c>
      <c r="K259" s="37" t="s">
        <v>518</v>
      </c>
      <c r="L259" s="39" t="n">
        <v>168.66</v>
      </c>
      <c r="M259" s="39" t="n">
        <v>96.77</v>
      </c>
      <c r="N259" s="39" t="n">
        <f aca="false">J259*Resumo!$C$6</f>
        <v>0</v>
      </c>
      <c r="O259" s="39" t="n">
        <f aca="false">J259*Resumo!$C$7</f>
        <v>2.099979</v>
      </c>
      <c r="P259" s="39" t="n">
        <f aca="false">J259*Resumo!$C$8</f>
        <v>2.099979</v>
      </c>
      <c r="Q259" s="39" t="n">
        <f aca="false">Resumo!$C$10*CEILING(I259/100,1)</f>
        <v>1.05</v>
      </c>
      <c r="R259" s="39" t="n">
        <f aca="false">Resumo!$C$9</f>
        <v>0</v>
      </c>
      <c r="S259" s="39" t="n">
        <f aca="false">Resumo!$C$13</f>
        <v>13.55</v>
      </c>
      <c r="T259" s="39" t="n">
        <f aca="false">Resumo!$C$14*CEILING(I259,1)</f>
        <v>32.85</v>
      </c>
      <c r="U259" s="39" t="n">
        <f aca="false">SUM(M259:T259)*Resumo!$C$11</f>
        <v>0</v>
      </c>
      <c r="V259" s="39" t="n">
        <f aca="false">SUM(M259:U259)</f>
        <v>148.419958</v>
      </c>
      <c r="W259" s="39" t="n">
        <f aca="false">V259/(1-Resumo!$C$5)</f>
        <v>168.659043181818</v>
      </c>
      <c r="X259" s="39" t="n">
        <v>142.74</v>
      </c>
      <c r="Y259" s="39" t="n">
        <f aca="false">J259*Resumo!$B$6</f>
        <v>0.99999</v>
      </c>
      <c r="Z259" s="39" t="n">
        <f aca="false">J259*Resumo!$B$7</f>
        <v>1.99998</v>
      </c>
      <c r="AA259" s="39" t="n">
        <f aca="false">Resumo!$B$9</f>
        <v>1</v>
      </c>
      <c r="AB259" s="39" t="n">
        <f aca="false">Resumo!$B$10*CEILING(I259/100,1)</f>
        <v>4.5</v>
      </c>
      <c r="AC259" s="39" t="n">
        <f aca="false">Resumo!$B$12*CEILING(I259,1)</f>
        <v>4.38</v>
      </c>
      <c r="AD259" s="39" t="n">
        <f aca="false">Resumo!$B$14*CEILING(I259,1)</f>
        <v>32.85</v>
      </c>
      <c r="AE259" s="39" t="n">
        <f aca="false">SUM(X259:AD259)</f>
        <v>188.46997</v>
      </c>
      <c r="AF259" s="39" t="n">
        <f aca="false">AE259/(1-Resumo!$B$5)</f>
        <v>214.170420454545</v>
      </c>
      <c r="AG259" s="39" t="n">
        <f aca="false">AF259-W259</f>
        <v>45.5113772727273</v>
      </c>
      <c r="AH259" s="40" t="n">
        <f aca="false">AF259/W259-1</f>
        <v>0.269842496519235</v>
      </c>
      <c r="AI259" s="37" t="str">
        <f aca="false">IF(AF259&lt;W259,"SIM","NÃO")</f>
        <v>NÃO</v>
      </c>
      <c r="AJ259" s="37" t="n">
        <v>13</v>
      </c>
      <c r="AK259" s="37" t="n">
        <v>7</v>
      </c>
      <c r="AL259" s="37" t="s">
        <v>343</v>
      </c>
      <c r="AM259" s="39" t="n">
        <v>169.11</v>
      </c>
    </row>
    <row r="260" customFormat="false" ht="15" hidden="false" customHeight="false" outlineLevel="0" collapsed="false">
      <c r="A260" s="37" t="n">
        <v>362540072</v>
      </c>
      <c r="B260" s="38" t="n">
        <v>46223.4930208333</v>
      </c>
      <c r="C260" s="37" t="s">
        <v>340</v>
      </c>
      <c r="D260" s="37" t="s">
        <v>607</v>
      </c>
      <c r="E260" s="37" t="n">
        <v>23092093</v>
      </c>
      <c r="F260" s="37" t="s">
        <v>159</v>
      </c>
      <c r="G260" s="37" t="s">
        <v>196</v>
      </c>
      <c r="H260" s="37" t="s">
        <v>184</v>
      </c>
      <c r="I260" s="37" t="n">
        <v>31</v>
      </c>
      <c r="J260" s="39" t="n">
        <v>299.99</v>
      </c>
      <c r="K260" s="37" t="s">
        <v>518</v>
      </c>
      <c r="L260" s="39" t="n">
        <v>81.73</v>
      </c>
      <c r="M260" s="39" t="n">
        <v>42.11</v>
      </c>
      <c r="N260" s="39" t="n">
        <f aca="false">J260*Resumo!$C$6</f>
        <v>0</v>
      </c>
      <c r="O260" s="39" t="n">
        <f aca="false">J260*Resumo!$C$7</f>
        <v>0.629979</v>
      </c>
      <c r="P260" s="39" t="n">
        <f aca="false">J260*Resumo!$C$8</f>
        <v>0.629979</v>
      </c>
      <c r="Q260" s="39" t="n">
        <f aca="false">Resumo!$C$10*CEILING(I260/100,1)</f>
        <v>1.05</v>
      </c>
      <c r="R260" s="39" t="n">
        <f aca="false">Resumo!$C$9</f>
        <v>0</v>
      </c>
      <c r="S260" s="39" t="n">
        <f aca="false">Resumo!$C$13</f>
        <v>13.55</v>
      </c>
      <c r="T260" s="39" t="n">
        <f aca="false">Resumo!$C$14*CEILING(I260,1)</f>
        <v>13.95</v>
      </c>
      <c r="U260" s="39" t="n">
        <f aca="false">SUM(M260:T260)*Resumo!$C$11</f>
        <v>0</v>
      </c>
      <c r="V260" s="39" t="n">
        <f aca="false">SUM(M260:U260)</f>
        <v>71.919958</v>
      </c>
      <c r="W260" s="39" t="n">
        <f aca="false">V260/(1-Resumo!$C$5)</f>
        <v>81.727225</v>
      </c>
      <c r="X260" s="39" t="n">
        <v>82.21</v>
      </c>
      <c r="Y260" s="39" t="n">
        <f aca="false">J260*Resumo!$B$6</f>
        <v>0.29999</v>
      </c>
      <c r="Z260" s="39" t="n">
        <f aca="false">J260*Resumo!$B$7</f>
        <v>0.59998</v>
      </c>
      <c r="AA260" s="39" t="n">
        <f aca="false">Resumo!$B$9</f>
        <v>1</v>
      </c>
      <c r="AB260" s="39" t="n">
        <f aca="false">Resumo!$B$10*CEILING(I260/100,1)</f>
        <v>4.5</v>
      </c>
      <c r="AC260" s="39" t="n">
        <f aca="false">Resumo!$B$12*CEILING(I260,1)</f>
        <v>1.86</v>
      </c>
      <c r="AD260" s="39" t="n">
        <f aca="false">Resumo!$B$14*CEILING(I260,1)</f>
        <v>13.95</v>
      </c>
      <c r="AE260" s="39" t="n">
        <f aca="false">SUM(X260:AD260)</f>
        <v>104.41997</v>
      </c>
      <c r="AF260" s="39" t="n">
        <f aca="false">AE260/(1-Resumo!$B$5)</f>
        <v>118.659056818182</v>
      </c>
      <c r="AG260" s="39" t="n">
        <f aca="false">AF260-W260</f>
        <v>36.9318318181818</v>
      </c>
      <c r="AH260" s="40" t="n">
        <f aca="false">AF260/W260-1</f>
        <v>0.451891420737482</v>
      </c>
      <c r="AI260" s="37" t="str">
        <f aca="false">IF(AF260&lt;W260,"SIM","NÃO")</f>
        <v>NÃO</v>
      </c>
      <c r="AJ260" s="37" t="n">
        <v>2</v>
      </c>
      <c r="AK260" s="37" t="n">
        <v>5</v>
      </c>
      <c r="AL260" s="37" t="s">
        <v>343</v>
      </c>
      <c r="AM260" s="39" t="n">
        <v>81.76</v>
      </c>
    </row>
    <row r="261" customFormat="false" ht="15" hidden="false" customHeight="false" outlineLevel="0" collapsed="false">
      <c r="A261" s="37" t="n">
        <v>362579744</v>
      </c>
      <c r="B261" s="38" t="n">
        <v>46223.5623726852</v>
      </c>
      <c r="C261" s="37" t="s">
        <v>340</v>
      </c>
      <c r="D261" s="37" t="s">
        <v>608</v>
      </c>
      <c r="E261" s="37" t="n">
        <v>27583864</v>
      </c>
      <c r="F261" s="37" t="s">
        <v>252</v>
      </c>
      <c r="G261" s="37" t="s">
        <v>198</v>
      </c>
      <c r="H261" s="37" t="s">
        <v>185</v>
      </c>
      <c r="I261" s="37" t="n">
        <v>36.8</v>
      </c>
      <c r="J261" s="39" t="n">
        <v>479.99</v>
      </c>
      <c r="K261" s="37" t="s">
        <v>518</v>
      </c>
      <c r="L261" s="39" t="n">
        <v>123</v>
      </c>
      <c r="M261" s="39" t="n">
        <v>74.97</v>
      </c>
      <c r="N261" s="39" t="n">
        <f aca="false">J261*Resumo!$C$6</f>
        <v>0</v>
      </c>
      <c r="O261" s="39" t="n">
        <f aca="false">J261*Resumo!$C$7</f>
        <v>1.007979</v>
      </c>
      <c r="P261" s="39" t="n">
        <f aca="false">J261*Resumo!$C$8</f>
        <v>1.007979</v>
      </c>
      <c r="Q261" s="39" t="n">
        <f aca="false">Resumo!$C$10*CEILING(I261/100,1)</f>
        <v>1.05</v>
      </c>
      <c r="R261" s="39" t="n">
        <f aca="false">Resumo!$C$9</f>
        <v>0</v>
      </c>
      <c r="S261" s="39" t="n">
        <f aca="false">Resumo!$C$13</f>
        <v>13.55</v>
      </c>
      <c r="T261" s="39" t="n">
        <f aca="false">Resumo!$C$14*CEILING(I261,1)</f>
        <v>16.65</v>
      </c>
      <c r="U261" s="39" t="n">
        <f aca="false">SUM(M261:T261)*Resumo!$C$11</f>
        <v>0</v>
      </c>
      <c r="V261" s="39" t="n">
        <f aca="false">SUM(M261:U261)</f>
        <v>108.235958</v>
      </c>
      <c r="W261" s="39" t="n">
        <f aca="false">V261/(1-Resumo!$C$5)</f>
        <v>122.995406818182</v>
      </c>
      <c r="X261" s="39" t="n">
        <v>124.38</v>
      </c>
      <c r="Y261" s="39" t="n">
        <f aca="false">J261*Resumo!$B$6</f>
        <v>0.47999</v>
      </c>
      <c r="Z261" s="39" t="n">
        <f aca="false">J261*Resumo!$B$7</f>
        <v>0.95998</v>
      </c>
      <c r="AA261" s="39" t="n">
        <f aca="false">Resumo!$B$9</f>
        <v>1</v>
      </c>
      <c r="AB261" s="39" t="n">
        <f aca="false">Resumo!$B$10*CEILING(I261/100,1)</f>
        <v>4.5</v>
      </c>
      <c r="AC261" s="39" t="n">
        <f aca="false">Resumo!$B$12*CEILING(I261,1)</f>
        <v>2.22</v>
      </c>
      <c r="AD261" s="39" t="n">
        <f aca="false">Resumo!$B$14*CEILING(I261,1)</f>
        <v>16.65</v>
      </c>
      <c r="AE261" s="39" t="n">
        <f aca="false">SUM(X261:AD261)</f>
        <v>150.18997</v>
      </c>
      <c r="AF261" s="39" t="n">
        <f aca="false">AE261/(1-Resumo!$B$5)</f>
        <v>170.670420454545</v>
      </c>
      <c r="AG261" s="39" t="n">
        <f aca="false">AF261-W261</f>
        <v>47.6750136363636</v>
      </c>
      <c r="AH261" s="40" t="n">
        <f aca="false">AF261/W261-1</f>
        <v>0.387616211610563</v>
      </c>
      <c r="AI261" s="37" t="str">
        <f aca="false">IF(AF261&lt;W261,"SIM","NÃO")</f>
        <v>NÃO</v>
      </c>
      <c r="AJ261" s="37" t="n">
        <v>13</v>
      </c>
      <c r="AK261" s="37" t="n">
        <v>10</v>
      </c>
      <c r="AL261" s="37" t="s">
        <v>347</v>
      </c>
      <c r="AM261" s="39" t="n">
        <v>122.55</v>
      </c>
    </row>
    <row r="262" customFormat="false" ht="15" hidden="false" customHeight="false" outlineLevel="0" collapsed="false">
      <c r="A262" s="37" t="n">
        <v>362586052</v>
      </c>
      <c r="B262" s="38" t="n">
        <v>46223.5748958333</v>
      </c>
      <c r="C262" s="37" t="s">
        <v>345</v>
      </c>
      <c r="D262" s="37" t="s">
        <v>609</v>
      </c>
      <c r="E262" s="37" t="n">
        <v>28925832</v>
      </c>
      <c r="F262" s="37" t="s">
        <v>172</v>
      </c>
      <c r="G262" s="37" t="s">
        <v>198</v>
      </c>
      <c r="H262" s="37" t="s">
        <v>187</v>
      </c>
      <c r="I262" s="37" t="n">
        <v>56.7</v>
      </c>
      <c r="J262" s="39" t="n">
        <v>630.57</v>
      </c>
      <c r="K262" s="37" t="s">
        <v>518</v>
      </c>
      <c r="L262" s="39" t="n">
        <v>143.72</v>
      </c>
      <c r="M262" s="39" t="n">
        <v>83.58</v>
      </c>
      <c r="N262" s="39" t="n">
        <f aca="false">J262*Resumo!$C$6</f>
        <v>0</v>
      </c>
      <c r="O262" s="39" t="n">
        <f aca="false">J262*Resumo!$C$7</f>
        <v>1.324197</v>
      </c>
      <c r="P262" s="39" t="n">
        <f aca="false">J262*Resumo!$C$8</f>
        <v>1.324197</v>
      </c>
      <c r="Q262" s="39" t="n">
        <f aca="false">Resumo!$C$10*CEILING(I262/100,1)</f>
        <v>1.05</v>
      </c>
      <c r="R262" s="39" t="n">
        <f aca="false">Resumo!$C$9</f>
        <v>0</v>
      </c>
      <c r="S262" s="39" t="n">
        <f aca="false">Resumo!$C$13</f>
        <v>13.55</v>
      </c>
      <c r="T262" s="39" t="n">
        <f aca="false">Resumo!$C$14*CEILING(I262,1)</f>
        <v>25.65</v>
      </c>
      <c r="U262" s="39" t="n">
        <f aca="false">SUM(M262:T262)*Resumo!$C$11</f>
        <v>0</v>
      </c>
      <c r="V262" s="39" t="n">
        <f aca="false">SUM(M262:U262)</f>
        <v>126.478394</v>
      </c>
      <c r="W262" s="39" t="n">
        <f aca="false">V262/(1-Resumo!$C$5)</f>
        <v>143.725447727273</v>
      </c>
      <c r="X262" s="39" t="n">
        <v>142.32</v>
      </c>
      <c r="Y262" s="39" t="n">
        <f aca="false">J262*Resumo!$B$6</f>
        <v>0.63057</v>
      </c>
      <c r="Z262" s="39" t="n">
        <f aca="false">J262*Resumo!$B$7</f>
        <v>1.26114</v>
      </c>
      <c r="AA262" s="39" t="n">
        <f aca="false">Resumo!$B$9</f>
        <v>1</v>
      </c>
      <c r="AB262" s="39" t="n">
        <f aca="false">Resumo!$B$10*CEILING(I262/100,1)</f>
        <v>4.5</v>
      </c>
      <c r="AC262" s="39" t="n">
        <f aca="false">Resumo!$B$12*CEILING(I262,1)</f>
        <v>3.42</v>
      </c>
      <c r="AD262" s="39" t="n">
        <f aca="false">Resumo!$B$14*CEILING(I262,1)</f>
        <v>25.65</v>
      </c>
      <c r="AE262" s="39" t="n">
        <f aca="false">SUM(X262:AD262)</f>
        <v>178.78171</v>
      </c>
      <c r="AF262" s="39" t="n">
        <f aca="false">AE262/(1-Resumo!$B$5)</f>
        <v>203.161034090909</v>
      </c>
      <c r="AG262" s="39" t="n">
        <f aca="false">AF262-W262</f>
        <v>59.4355863636364</v>
      </c>
      <c r="AH262" s="40" t="n">
        <f aca="false">AF262/W262-1</f>
        <v>0.413535579839826</v>
      </c>
      <c r="AI262" s="37" t="str">
        <f aca="false">IF(AF262&lt;W262,"SIM","NÃO")</f>
        <v>NÃO</v>
      </c>
      <c r="AJ262" s="37" t="n">
        <v>13</v>
      </c>
      <c r="AK262" s="37" t="n">
        <v>10</v>
      </c>
      <c r="AL262" s="37" t="s">
        <v>343</v>
      </c>
      <c r="AM262" s="39" t="n">
        <v>142.69</v>
      </c>
    </row>
    <row r="263" customFormat="false" ht="15" hidden="false" customHeight="false" outlineLevel="0" collapsed="false">
      <c r="A263" s="37" t="n">
        <v>362588416</v>
      </c>
      <c r="B263" s="38" t="n">
        <v>46223.5805324074</v>
      </c>
      <c r="C263" s="37" t="s">
        <v>340</v>
      </c>
      <c r="D263" s="37" t="s">
        <v>610</v>
      </c>
      <c r="E263" s="37" t="n">
        <v>21843040</v>
      </c>
      <c r="F263" s="37" t="s">
        <v>159</v>
      </c>
      <c r="G263" s="37" t="s">
        <v>196</v>
      </c>
      <c r="H263" s="37" t="s">
        <v>187</v>
      </c>
      <c r="I263" s="37" t="n">
        <v>56.7</v>
      </c>
      <c r="J263" s="39" t="n">
        <v>705.47</v>
      </c>
      <c r="K263" s="37" t="s">
        <v>342</v>
      </c>
      <c r="L263" s="39" t="n">
        <v>114.52</v>
      </c>
      <c r="M263" s="39" t="n">
        <v>58.6</v>
      </c>
      <c r="N263" s="39" t="n">
        <f aca="false">J263*Resumo!$C$6</f>
        <v>0</v>
      </c>
      <c r="O263" s="39" t="n">
        <f aca="false">J263*Resumo!$C$7</f>
        <v>1.481487</v>
      </c>
      <c r="P263" s="39" t="n">
        <f aca="false">J263*Resumo!$C$8</f>
        <v>1.481487</v>
      </c>
      <c r="Q263" s="39" t="n">
        <f aca="false">Resumo!$C$10*CEILING(I263/100,1)</f>
        <v>1.05</v>
      </c>
      <c r="R263" s="39" t="n">
        <f aca="false">Resumo!$C$9</f>
        <v>0</v>
      </c>
      <c r="S263" s="39" t="n">
        <f aca="false">Resumo!$C$13</f>
        <v>13.55</v>
      </c>
      <c r="T263" s="39" t="n">
        <f aca="false">Resumo!$C$14*CEILING(I263,1)</f>
        <v>25.65</v>
      </c>
      <c r="U263" s="39" t="n">
        <f aca="false">SUM(M263:T263)*Resumo!$C$11</f>
        <v>0</v>
      </c>
      <c r="V263" s="39" t="n">
        <f aca="false">SUM(M263:U263)</f>
        <v>101.812974</v>
      </c>
      <c r="W263" s="39" t="n">
        <f aca="false">V263/(1-Resumo!$C$5)</f>
        <v>115.696561363636</v>
      </c>
      <c r="X263" s="39" t="n">
        <v>112.3</v>
      </c>
      <c r="Y263" s="39" t="n">
        <f aca="false">J263*Resumo!$B$6</f>
        <v>0.70547</v>
      </c>
      <c r="Z263" s="39" t="n">
        <f aca="false">J263*Resumo!$B$7</f>
        <v>1.41094</v>
      </c>
      <c r="AA263" s="39" t="n">
        <f aca="false">Resumo!$B$9</f>
        <v>1</v>
      </c>
      <c r="AB263" s="39" t="n">
        <f aca="false">Resumo!$B$10*CEILING(I263/100,1)</f>
        <v>4.5</v>
      </c>
      <c r="AC263" s="39" t="n">
        <f aca="false">Resumo!$B$12*CEILING(I263,1)</f>
        <v>3.42</v>
      </c>
      <c r="AD263" s="39" t="n">
        <f aca="false">Resumo!$B$14*CEILING(I263,1)</f>
        <v>25.65</v>
      </c>
      <c r="AE263" s="39" t="n">
        <f aca="false">SUM(X263:AD263)</f>
        <v>148.98641</v>
      </c>
      <c r="AF263" s="39" t="n">
        <f aca="false">AE263/(1-Resumo!$B$5)</f>
        <v>169.302738636364</v>
      </c>
      <c r="AG263" s="39" t="n">
        <f aca="false">AF263-W263</f>
        <v>53.6061772727273</v>
      </c>
      <c r="AH263" s="40" t="n">
        <f aca="false">AF263/W263-1</f>
        <v>0.463334230861383</v>
      </c>
      <c r="AI263" s="37" t="str">
        <f aca="false">IF(AF263&lt;W263,"SIM","NÃO")</f>
        <v>NÃO</v>
      </c>
      <c r="AJ263" s="37" t="n">
        <v>2</v>
      </c>
      <c r="AK263" s="37" t="n">
        <v>5</v>
      </c>
      <c r="AL263" s="37" t="s">
        <v>343</v>
      </c>
      <c r="AM263" s="39" t="n">
        <v>114.53</v>
      </c>
    </row>
    <row r="264" customFormat="false" ht="15" hidden="false" customHeight="false" outlineLevel="0" collapsed="false">
      <c r="A264" s="37" t="n">
        <v>362628696</v>
      </c>
      <c r="B264" s="38" t="n">
        <v>46223.6480671296</v>
      </c>
      <c r="C264" s="37" t="s">
        <v>340</v>
      </c>
      <c r="D264" s="37" t="s">
        <v>611</v>
      </c>
      <c r="E264" s="37" t="n">
        <v>24736220</v>
      </c>
      <c r="F264" s="37" t="s">
        <v>160</v>
      </c>
      <c r="G264" s="37" t="s">
        <v>197</v>
      </c>
      <c r="H264" s="37" t="s">
        <v>186</v>
      </c>
      <c r="I264" s="37" t="n">
        <v>45.3</v>
      </c>
      <c r="J264" s="39" t="n">
        <v>699.99</v>
      </c>
      <c r="K264" s="37" t="s">
        <v>518</v>
      </c>
      <c r="L264" s="39" t="n">
        <v>117.73</v>
      </c>
      <c r="M264" s="39" t="n">
        <v>65.36</v>
      </c>
      <c r="N264" s="39" t="n">
        <f aca="false">J264*Resumo!$C$6</f>
        <v>0</v>
      </c>
      <c r="O264" s="39" t="n">
        <f aca="false">J264*Resumo!$C$7</f>
        <v>1.469979</v>
      </c>
      <c r="P264" s="39" t="n">
        <f aca="false">J264*Resumo!$C$8</f>
        <v>1.469979</v>
      </c>
      <c r="Q264" s="39" t="n">
        <f aca="false">Resumo!$C$10*CEILING(I264/100,1)</f>
        <v>1.05</v>
      </c>
      <c r="R264" s="39" t="n">
        <f aca="false">Resumo!$C$9</f>
        <v>0</v>
      </c>
      <c r="S264" s="39" t="n">
        <f aca="false">Resumo!$C$13</f>
        <v>13.55</v>
      </c>
      <c r="T264" s="39" t="n">
        <f aca="false">Resumo!$C$14*CEILING(I264,1)</f>
        <v>20.7</v>
      </c>
      <c r="U264" s="39" t="n">
        <f aca="false">SUM(M264:T264)*Resumo!$C$11</f>
        <v>0</v>
      </c>
      <c r="V264" s="39" t="n">
        <f aca="false">SUM(M264:U264)</f>
        <v>103.599958</v>
      </c>
      <c r="W264" s="39" t="n">
        <f aca="false">V264/(1-Resumo!$C$5)</f>
        <v>117.727225</v>
      </c>
      <c r="X264" s="39" t="n">
        <v>114.95</v>
      </c>
      <c r="Y264" s="39" t="n">
        <f aca="false">J264*Resumo!$B$6</f>
        <v>0.69999</v>
      </c>
      <c r="Z264" s="39" t="n">
        <f aca="false">J264*Resumo!$B$7</f>
        <v>1.39998</v>
      </c>
      <c r="AA264" s="39" t="n">
        <f aca="false">Resumo!$B$9</f>
        <v>1</v>
      </c>
      <c r="AB264" s="39" t="n">
        <f aca="false">Resumo!$B$10*CEILING(I264/100,1)</f>
        <v>4.5</v>
      </c>
      <c r="AC264" s="39" t="n">
        <f aca="false">Resumo!$B$12*CEILING(I264,1)</f>
        <v>2.76</v>
      </c>
      <c r="AD264" s="39" t="n">
        <f aca="false">Resumo!$B$14*CEILING(I264,1)</f>
        <v>20.7</v>
      </c>
      <c r="AE264" s="39" t="n">
        <f aca="false">SUM(X264:AD264)</f>
        <v>146.00997</v>
      </c>
      <c r="AF264" s="39" t="n">
        <f aca="false">AE264/(1-Resumo!$B$5)</f>
        <v>165.920420454545</v>
      </c>
      <c r="AG264" s="39" t="n">
        <f aca="false">AF264-W264</f>
        <v>48.1931954545455</v>
      </c>
      <c r="AH264" s="40" t="n">
        <f aca="false">AF264/W264-1</f>
        <v>0.409363216151111</v>
      </c>
      <c r="AI264" s="37" t="str">
        <f aca="false">IF(AF264&lt;W264,"SIM","NÃO")</f>
        <v>NÃO</v>
      </c>
      <c r="AJ264" s="37" t="n">
        <v>2</v>
      </c>
      <c r="AK264" s="37" t="n">
        <v>7</v>
      </c>
      <c r="AL264" s="37" t="s">
        <v>343</v>
      </c>
      <c r="AM264" s="39" t="n">
        <v>117.43</v>
      </c>
    </row>
    <row r="265" customFormat="false" ht="15" hidden="false" customHeight="false" outlineLevel="0" collapsed="false">
      <c r="A265" s="37" t="n">
        <v>362671141</v>
      </c>
      <c r="B265" s="38" t="n">
        <v>46223.7188310185</v>
      </c>
      <c r="C265" s="37" t="s">
        <v>372</v>
      </c>
      <c r="D265" s="37" t="s">
        <v>612</v>
      </c>
      <c r="E265" s="37" t="n">
        <v>22790661</v>
      </c>
      <c r="F265" s="37" t="s">
        <v>159</v>
      </c>
      <c r="G265" s="37" t="s">
        <v>196</v>
      </c>
      <c r="H265" s="37" t="s">
        <v>187</v>
      </c>
      <c r="I265" s="37" t="n">
        <v>58.5</v>
      </c>
      <c r="J265" s="39" t="n">
        <v>989.99</v>
      </c>
      <c r="K265" s="37" t="s">
        <v>342</v>
      </c>
      <c r="L265" s="39" t="n">
        <v>115.9</v>
      </c>
      <c r="M265" s="39" t="n">
        <v>58.6</v>
      </c>
      <c r="N265" s="39" t="n">
        <f aca="false">J265*Resumo!$C$6</f>
        <v>0</v>
      </c>
      <c r="O265" s="39" t="n">
        <f aca="false">J265*Resumo!$C$7</f>
        <v>2.078979</v>
      </c>
      <c r="P265" s="39" t="n">
        <f aca="false">J265*Resumo!$C$8</f>
        <v>2.078979</v>
      </c>
      <c r="Q265" s="39" t="n">
        <f aca="false">Resumo!$C$10*CEILING(I265/100,1)</f>
        <v>1.05</v>
      </c>
      <c r="R265" s="39" t="n">
        <f aca="false">Resumo!$C$9</f>
        <v>0</v>
      </c>
      <c r="S265" s="39" t="n">
        <f aca="false">Resumo!$C$13</f>
        <v>13.55</v>
      </c>
      <c r="T265" s="39" t="n">
        <f aca="false">Resumo!$C$14*CEILING(I265,1)</f>
        <v>26.55</v>
      </c>
      <c r="U265" s="39" t="n">
        <f aca="false">SUM(M265:T265)*Resumo!$C$11</f>
        <v>0</v>
      </c>
      <c r="V265" s="39" t="n">
        <f aca="false">SUM(M265:U265)</f>
        <v>103.907958</v>
      </c>
      <c r="W265" s="39" t="n">
        <f aca="false">V265/(1-Resumo!$C$5)</f>
        <v>118.077225</v>
      </c>
      <c r="X265" s="39" t="n">
        <v>112.3</v>
      </c>
      <c r="Y265" s="39" t="n">
        <f aca="false">J265*Resumo!$B$6</f>
        <v>0.98999</v>
      </c>
      <c r="Z265" s="39" t="n">
        <f aca="false">J265*Resumo!$B$7</f>
        <v>1.97998</v>
      </c>
      <c r="AA265" s="39" t="n">
        <f aca="false">Resumo!$B$9</f>
        <v>1</v>
      </c>
      <c r="AB265" s="39" t="n">
        <f aca="false">Resumo!$B$10*CEILING(I265/100,1)</f>
        <v>4.5</v>
      </c>
      <c r="AC265" s="39" t="n">
        <f aca="false">Resumo!$B$12*CEILING(I265,1)</f>
        <v>3.54</v>
      </c>
      <c r="AD265" s="39" t="n">
        <f aca="false">Resumo!$B$14*CEILING(I265,1)</f>
        <v>26.55</v>
      </c>
      <c r="AE265" s="39" t="n">
        <f aca="false">SUM(X265:AD265)</f>
        <v>150.85997</v>
      </c>
      <c r="AF265" s="39" t="n">
        <f aca="false">AE265/(1-Resumo!$B$5)</f>
        <v>171.431784090909</v>
      </c>
      <c r="AG265" s="39" t="n">
        <f aca="false">AF265-W265</f>
        <v>53.3545590909091</v>
      </c>
      <c r="AH265" s="40" t="n">
        <f aca="false">AF265/W265-1</f>
        <v>0.451861560016414</v>
      </c>
      <c r="AI265" s="37" t="str">
        <f aca="false">IF(AF265&lt;W265,"SIM","NÃO")</f>
        <v>NÃO</v>
      </c>
      <c r="AJ265" s="37" t="n">
        <v>2</v>
      </c>
      <c r="AK265" s="37" t="n">
        <v>5</v>
      </c>
      <c r="AL265" s="37" t="s">
        <v>343</v>
      </c>
      <c r="AM265" s="39" t="n">
        <v>115.89</v>
      </c>
    </row>
    <row r="266" customFormat="false" ht="15" hidden="false" customHeight="false" outlineLevel="0" collapsed="false">
      <c r="A266" s="37" t="n">
        <v>362696085</v>
      </c>
      <c r="B266" s="38" t="n">
        <v>46223.769537037</v>
      </c>
      <c r="C266" s="37" t="s">
        <v>340</v>
      </c>
      <c r="D266" s="37" t="s">
        <v>613</v>
      </c>
      <c r="E266" s="37" t="n">
        <v>26050470</v>
      </c>
      <c r="F266" s="37" t="s">
        <v>162</v>
      </c>
      <c r="G266" s="37" t="s">
        <v>197</v>
      </c>
      <c r="H266" s="37" t="s">
        <v>184</v>
      </c>
      <c r="I266" s="37" t="n">
        <v>31</v>
      </c>
      <c r="J266" s="39" t="n">
        <v>299.99</v>
      </c>
      <c r="K266" s="37" t="s">
        <v>518</v>
      </c>
      <c r="L266" s="39" t="n">
        <v>100.69</v>
      </c>
      <c r="M266" s="39" t="n">
        <v>58.8</v>
      </c>
      <c r="N266" s="39" t="n">
        <f aca="false">J266*Resumo!$C$6</f>
        <v>0</v>
      </c>
      <c r="O266" s="39" t="n">
        <f aca="false">J266*Resumo!$C$7</f>
        <v>0.629979</v>
      </c>
      <c r="P266" s="39" t="n">
        <f aca="false">J266*Resumo!$C$8</f>
        <v>0.629979</v>
      </c>
      <c r="Q266" s="39" t="n">
        <f aca="false">Resumo!$C$10*CEILING(I266/100,1)</f>
        <v>1.05</v>
      </c>
      <c r="R266" s="39" t="n">
        <f aca="false">Resumo!$C$9</f>
        <v>0</v>
      </c>
      <c r="S266" s="39" t="n">
        <f aca="false">Resumo!$C$13</f>
        <v>13.55</v>
      </c>
      <c r="T266" s="39" t="n">
        <f aca="false">Resumo!$C$14*CEILING(I266,1)</f>
        <v>13.95</v>
      </c>
      <c r="U266" s="39" t="n">
        <f aca="false">SUM(M266:T266)*Resumo!$C$11</f>
        <v>0</v>
      </c>
      <c r="V266" s="39" t="n">
        <f aca="false">SUM(M266:U266)</f>
        <v>88.609958</v>
      </c>
      <c r="W266" s="39" t="n">
        <f aca="false">V266/(1-Resumo!$C$5)</f>
        <v>100.693134090909</v>
      </c>
      <c r="X266" s="39" t="n">
        <v>82.21</v>
      </c>
      <c r="Y266" s="39" t="n">
        <f aca="false">J266*Resumo!$B$6</f>
        <v>0.29999</v>
      </c>
      <c r="Z266" s="39" t="n">
        <f aca="false">J266*Resumo!$B$7</f>
        <v>0.59998</v>
      </c>
      <c r="AA266" s="39" t="n">
        <f aca="false">Resumo!$B$9</f>
        <v>1</v>
      </c>
      <c r="AB266" s="39" t="n">
        <f aca="false">Resumo!$B$10*CEILING(I266/100,1)</f>
        <v>4.5</v>
      </c>
      <c r="AC266" s="39" t="n">
        <f aca="false">Resumo!$B$12*CEILING(I266,1)</f>
        <v>1.86</v>
      </c>
      <c r="AD266" s="39" t="n">
        <f aca="false">Resumo!$B$14*CEILING(I266,1)</f>
        <v>13.95</v>
      </c>
      <c r="AE266" s="39" t="n">
        <f aca="false">SUM(X266:AD266)</f>
        <v>104.41997</v>
      </c>
      <c r="AF266" s="39" t="n">
        <f aca="false">AE266/(1-Resumo!$B$5)</f>
        <v>118.659056818182</v>
      </c>
      <c r="AG266" s="39" t="n">
        <f aca="false">AF266-W266</f>
        <v>17.9659227272727</v>
      </c>
      <c r="AH266" s="40" t="n">
        <f aca="false">AF266/W266-1</f>
        <v>0.178422519961018</v>
      </c>
      <c r="AI266" s="37" t="str">
        <f aca="false">IF(AF266&lt;W266,"SIM","NÃO")</f>
        <v>NÃO</v>
      </c>
      <c r="AJ266" s="37" t="n">
        <v>2</v>
      </c>
      <c r="AK266" s="37" t="n">
        <v>5</v>
      </c>
      <c r="AL266" s="37" t="s">
        <v>343</v>
      </c>
      <c r="AM266" s="39" t="n">
        <v>100.82</v>
      </c>
    </row>
    <row r="267" customFormat="false" ht="15" hidden="false" customHeight="false" outlineLevel="0" collapsed="false">
      <c r="A267" s="37" t="n">
        <v>362702165</v>
      </c>
      <c r="B267" s="38" t="n">
        <v>46223.779224537</v>
      </c>
      <c r="C267" s="37" t="s">
        <v>345</v>
      </c>
      <c r="D267" s="37" t="s">
        <v>614</v>
      </c>
      <c r="E267" s="37" t="n">
        <v>25055625</v>
      </c>
      <c r="F267" s="37" t="s">
        <v>161</v>
      </c>
      <c r="G267" s="37" t="s">
        <v>197</v>
      </c>
      <c r="H267" s="37" t="s">
        <v>187</v>
      </c>
      <c r="I267" s="37" t="n">
        <v>52.3</v>
      </c>
      <c r="J267" s="39" t="n">
        <v>637.43</v>
      </c>
      <c r="K267" s="37" t="s">
        <v>518</v>
      </c>
      <c r="L267" s="39" t="n">
        <v>127.4</v>
      </c>
      <c r="M267" s="39" t="n">
        <v>70.98</v>
      </c>
      <c r="N267" s="39" t="n">
        <f aca="false">J267*Resumo!$C$6</f>
        <v>0</v>
      </c>
      <c r="O267" s="39" t="n">
        <f aca="false">J267*Resumo!$C$7</f>
        <v>1.338603</v>
      </c>
      <c r="P267" s="39" t="n">
        <f aca="false">J267*Resumo!$C$8</f>
        <v>1.338603</v>
      </c>
      <c r="Q267" s="39" t="n">
        <f aca="false">Resumo!$C$10*CEILING(I267/100,1)</f>
        <v>1.05</v>
      </c>
      <c r="R267" s="39" t="n">
        <f aca="false">Resumo!$C$9</f>
        <v>0</v>
      </c>
      <c r="S267" s="39" t="n">
        <f aca="false">Resumo!$C$13</f>
        <v>13.55</v>
      </c>
      <c r="T267" s="39" t="n">
        <f aca="false">Resumo!$C$14*CEILING(I267,1)</f>
        <v>23.85</v>
      </c>
      <c r="U267" s="39" t="n">
        <f aca="false">SUM(M267:T267)*Resumo!$C$11</f>
        <v>0</v>
      </c>
      <c r="V267" s="39" t="n">
        <f aca="false">SUM(M267:U267)</f>
        <v>112.107206</v>
      </c>
      <c r="W267" s="39" t="n">
        <f aca="false">V267/(1-Resumo!$C$5)</f>
        <v>127.394552272727</v>
      </c>
      <c r="X267" s="39" t="n">
        <v>112.3</v>
      </c>
      <c r="Y267" s="39" t="n">
        <f aca="false">J267*Resumo!$B$6</f>
        <v>0.63743</v>
      </c>
      <c r="Z267" s="39" t="n">
        <f aca="false">J267*Resumo!$B$7</f>
        <v>1.27486</v>
      </c>
      <c r="AA267" s="39" t="n">
        <f aca="false">Resumo!$B$9</f>
        <v>1</v>
      </c>
      <c r="AB267" s="39" t="n">
        <f aca="false">Resumo!$B$10*CEILING(I267/100,1)</f>
        <v>4.5</v>
      </c>
      <c r="AC267" s="39" t="n">
        <f aca="false">Resumo!$B$12*CEILING(I267,1)</f>
        <v>3.18</v>
      </c>
      <c r="AD267" s="39" t="n">
        <f aca="false">Resumo!$B$14*CEILING(I267,1)</f>
        <v>23.85</v>
      </c>
      <c r="AE267" s="39" t="n">
        <f aca="false">SUM(X267:AD267)</f>
        <v>146.74229</v>
      </c>
      <c r="AF267" s="39" t="n">
        <f aca="false">AE267/(1-Resumo!$B$5)</f>
        <v>166.752602272727</v>
      </c>
      <c r="AG267" s="39" t="n">
        <f aca="false">AF267-W267</f>
        <v>39.35805</v>
      </c>
      <c r="AH267" s="40" t="n">
        <f aca="false">AF267/W267-1</f>
        <v>0.308946099325676</v>
      </c>
      <c r="AI267" s="37" t="str">
        <f aca="false">IF(AF267&lt;W267,"SIM","NÃO")</f>
        <v>NÃO</v>
      </c>
      <c r="AJ267" s="37" t="n">
        <v>2</v>
      </c>
      <c r="AK267" s="37" t="n">
        <v>5</v>
      </c>
      <c r="AL267" s="37" t="s">
        <v>343</v>
      </c>
      <c r="AM267" s="39" t="n">
        <v>128.34</v>
      </c>
    </row>
    <row r="268" customFormat="false" ht="15" hidden="false" customHeight="false" outlineLevel="0" collapsed="false">
      <c r="A268" s="37" t="n">
        <v>362728848</v>
      </c>
      <c r="B268" s="38" t="n">
        <v>46223.8207638889</v>
      </c>
      <c r="C268" s="37" t="s">
        <v>340</v>
      </c>
      <c r="D268" s="37" t="s">
        <v>615</v>
      </c>
      <c r="E268" s="37" t="n">
        <v>20972290</v>
      </c>
      <c r="F268" s="37" t="s">
        <v>159</v>
      </c>
      <c r="G268" s="37" t="s">
        <v>196</v>
      </c>
      <c r="H268" s="37" t="s">
        <v>183</v>
      </c>
      <c r="I268" s="37" t="n">
        <v>19.5</v>
      </c>
      <c r="J268" s="39" t="n">
        <v>389.99</v>
      </c>
      <c r="K268" s="37" t="s">
        <v>342</v>
      </c>
      <c r="L268" s="39" t="n">
        <v>65.09</v>
      </c>
      <c r="M268" s="39" t="n">
        <v>33.42</v>
      </c>
      <c r="N268" s="39" t="n">
        <f aca="false">J268*Resumo!$C$6</f>
        <v>0</v>
      </c>
      <c r="O268" s="39" t="n">
        <f aca="false">J268*Resumo!$C$7</f>
        <v>0.818979</v>
      </c>
      <c r="P268" s="39" t="n">
        <f aca="false">J268*Resumo!$C$8</f>
        <v>0.818979</v>
      </c>
      <c r="Q268" s="39" t="n">
        <f aca="false">Resumo!$C$10*CEILING(I268/100,1)</f>
        <v>1.05</v>
      </c>
      <c r="R268" s="39" t="n">
        <f aca="false">Resumo!$C$9</f>
        <v>0</v>
      </c>
      <c r="S268" s="39" t="n">
        <f aca="false">Resumo!$C$13</f>
        <v>13.55</v>
      </c>
      <c r="T268" s="39" t="n">
        <f aca="false">Resumo!$C$14*CEILING(I268,1)</f>
        <v>9</v>
      </c>
      <c r="U268" s="39" t="n">
        <f aca="false">SUM(M268:T268)*Resumo!$C$11</f>
        <v>0</v>
      </c>
      <c r="V268" s="39" t="n">
        <f aca="false">SUM(M268:U268)</f>
        <v>58.657958</v>
      </c>
      <c r="W268" s="39" t="n">
        <f aca="false">V268/(1-Resumo!$C$5)</f>
        <v>66.6567704545455</v>
      </c>
      <c r="X268" s="39" t="n">
        <v>46.98</v>
      </c>
      <c r="Y268" s="39" t="n">
        <f aca="false">J268*Resumo!$B$6</f>
        <v>0.38999</v>
      </c>
      <c r="Z268" s="39" t="n">
        <f aca="false">J268*Resumo!$B$7</f>
        <v>0.77998</v>
      </c>
      <c r="AA268" s="39" t="n">
        <f aca="false">Resumo!$B$9</f>
        <v>1</v>
      </c>
      <c r="AB268" s="39" t="n">
        <f aca="false">Resumo!$B$10*CEILING(I268/100,1)</f>
        <v>4.5</v>
      </c>
      <c r="AC268" s="39" t="n">
        <f aca="false">Resumo!$B$12*CEILING(I268,1)</f>
        <v>1.2</v>
      </c>
      <c r="AD268" s="39" t="n">
        <f aca="false">Resumo!$B$14*CEILING(I268,1)</f>
        <v>9</v>
      </c>
      <c r="AE268" s="39" t="n">
        <f aca="false">SUM(X268:AD268)</f>
        <v>63.84997</v>
      </c>
      <c r="AF268" s="39" t="n">
        <f aca="false">AE268/(1-Resumo!$B$5)</f>
        <v>72.5567840909091</v>
      </c>
      <c r="AG268" s="39" t="n">
        <f aca="false">AF268-W268</f>
        <v>5.90001363636364</v>
      </c>
      <c r="AH268" s="40" t="n">
        <f aca="false">AF268/W268-1</f>
        <v>0.0885133437478338</v>
      </c>
      <c r="AI268" s="37" t="str">
        <f aca="false">IF(AF268&lt;W268,"SIM","NÃO")</f>
        <v>NÃO</v>
      </c>
      <c r="AJ268" s="37" t="n">
        <v>2</v>
      </c>
      <c r="AK268" s="37" t="n">
        <v>5</v>
      </c>
      <c r="AL268" s="37" t="s">
        <v>343</v>
      </c>
      <c r="AM268" s="39" t="n">
        <v>65.09</v>
      </c>
    </row>
    <row r="269" customFormat="false" ht="15" hidden="false" customHeight="false" outlineLevel="0" collapsed="false">
      <c r="A269" s="37" t="n">
        <v>362743719</v>
      </c>
      <c r="B269" s="38" t="n">
        <v>46223.8447222222</v>
      </c>
      <c r="C269" s="37" t="s">
        <v>340</v>
      </c>
      <c r="D269" s="37" t="s">
        <v>616</v>
      </c>
      <c r="E269" s="37" t="n">
        <v>23052320</v>
      </c>
      <c r="F269" s="37" t="s">
        <v>159</v>
      </c>
      <c r="G269" s="37" t="s">
        <v>196</v>
      </c>
      <c r="H269" s="37" t="s">
        <v>183</v>
      </c>
      <c r="I269" s="37" t="n">
        <v>19.9</v>
      </c>
      <c r="J269" s="39" t="n">
        <v>259.99</v>
      </c>
      <c r="K269" s="37" t="s">
        <v>518</v>
      </c>
      <c r="L269" s="39" t="n">
        <v>66.05</v>
      </c>
      <c r="M269" s="39" t="n">
        <v>33.42</v>
      </c>
      <c r="N269" s="39" t="n">
        <f aca="false">J269*Resumo!$C$6</f>
        <v>0</v>
      </c>
      <c r="O269" s="39" t="n">
        <f aca="false">J269*Resumo!$C$7</f>
        <v>0.545979</v>
      </c>
      <c r="P269" s="39" t="n">
        <f aca="false">J269*Resumo!$C$8</f>
        <v>0.545979</v>
      </c>
      <c r="Q269" s="39" t="n">
        <f aca="false">Resumo!$C$10*CEILING(I269/100,1)</f>
        <v>1.05</v>
      </c>
      <c r="R269" s="39" t="n">
        <f aca="false">Resumo!$C$9</f>
        <v>0</v>
      </c>
      <c r="S269" s="39" t="n">
        <f aca="false">Resumo!$C$13</f>
        <v>13.55</v>
      </c>
      <c r="T269" s="39" t="n">
        <f aca="false">Resumo!$C$14*CEILING(I269,1)</f>
        <v>9</v>
      </c>
      <c r="U269" s="39" t="n">
        <f aca="false">SUM(M269:T269)*Resumo!$C$11</f>
        <v>0</v>
      </c>
      <c r="V269" s="39" t="n">
        <f aca="false">SUM(M269:U269)</f>
        <v>58.111958</v>
      </c>
      <c r="W269" s="39" t="n">
        <f aca="false">V269/(1-Resumo!$C$5)</f>
        <v>66.0363159090909</v>
      </c>
      <c r="X269" s="39" t="n">
        <v>46.98</v>
      </c>
      <c r="Y269" s="39" t="n">
        <f aca="false">J269*Resumo!$B$6</f>
        <v>0.25999</v>
      </c>
      <c r="Z269" s="39" t="n">
        <f aca="false">J269*Resumo!$B$7</f>
        <v>0.51998</v>
      </c>
      <c r="AA269" s="39" t="n">
        <f aca="false">Resumo!$B$9</f>
        <v>1</v>
      </c>
      <c r="AB269" s="39" t="n">
        <f aca="false">Resumo!$B$10*CEILING(I269/100,1)</f>
        <v>4.5</v>
      </c>
      <c r="AC269" s="39" t="n">
        <f aca="false">Resumo!$B$12*CEILING(I269,1)</f>
        <v>1.2</v>
      </c>
      <c r="AD269" s="39" t="n">
        <f aca="false">Resumo!$B$14*CEILING(I269,1)</f>
        <v>9</v>
      </c>
      <c r="AE269" s="39" t="n">
        <f aca="false">SUM(X269:AD269)</f>
        <v>63.45997</v>
      </c>
      <c r="AF269" s="39" t="n">
        <f aca="false">AE269/(1-Resumo!$B$5)</f>
        <v>72.1136022727273</v>
      </c>
      <c r="AG269" s="39" t="n">
        <f aca="false">AF269-W269</f>
        <v>6.07728636363636</v>
      </c>
      <c r="AH269" s="40" t="n">
        <f aca="false">AF269/W269-1</f>
        <v>0.0920294580334051</v>
      </c>
      <c r="AI269" s="37" t="str">
        <f aca="false">IF(AF269&lt;W269,"SIM","NÃO")</f>
        <v>NÃO</v>
      </c>
      <c r="AJ269" s="37" t="n">
        <v>2</v>
      </c>
      <c r="AK269" s="37" t="n">
        <v>5</v>
      </c>
      <c r="AL269" s="37" t="s">
        <v>343</v>
      </c>
      <c r="AM269" s="39" t="n">
        <v>64.46</v>
      </c>
    </row>
    <row r="270" customFormat="false" ht="15" hidden="false" customHeight="false" outlineLevel="0" collapsed="false">
      <c r="A270" s="37" t="n">
        <v>362335823</v>
      </c>
      <c r="B270" s="38" t="n">
        <v>46223.8718634259</v>
      </c>
      <c r="C270" s="37" t="s">
        <v>361</v>
      </c>
      <c r="D270" s="37" t="s">
        <v>617</v>
      </c>
      <c r="E270" s="37" t="n">
        <v>22783111</v>
      </c>
      <c r="F270" s="37" t="s">
        <v>159</v>
      </c>
      <c r="G270" s="37" t="s">
        <v>196</v>
      </c>
      <c r="H270" s="37" t="s">
        <v>184</v>
      </c>
      <c r="I270" s="37" t="n">
        <v>31</v>
      </c>
      <c r="J270" s="39" t="n">
        <v>339.99</v>
      </c>
      <c r="K270" s="37" t="s">
        <v>518</v>
      </c>
      <c r="L270" s="39" t="n">
        <v>81.91</v>
      </c>
      <c r="M270" s="39" t="n">
        <v>42.11</v>
      </c>
      <c r="N270" s="39" t="n">
        <f aca="false">J270*Resumo!$C$6</f>
        <v>0</v>
      </c>
      <c r="O270" s="39" t="n">
        <f aca="false">J270*Resumo!$C$7</f>
        <v>0.713979</v>
      </c>
      <c r="P270" s="39" t="n">
        <f aca="false">J270*Resumo!$C$8</f>
        <v>0.713979</v>
      </c>
      <c r="Q270" s="39" t="n">
        <f aca="false">Resumo!$C$10*CEILING(I270/100,1)</f>
        <v>1.05</v>
      </c>
      <c r="R270" s="39" t="n">
        <f aca="false">Resumo!$C$9</f>
        <v>0</v>
      </c>
      <c r="S270" s="39" t="n">
        <f aca="false">Resumo!$C$13</f>
        <v>13.55</v>
      </c>
      <c r="T270" s="39" t="n">
        <f aca="false">Resumo!$C$14*CEILING(I270,1)</f>
        <v>13.95</v>
      </c>
      <c r="U270" s="39" t="n">
        <f aca="false">SUM(M270:T270)*Resumo!$C$11</f>
        <v>0</v>
      </c>
      <c r="V270" s="39" t="n">
        <f aca="false">SUM(M270:U270)</f>
        <v>72.087958</v>
      </c>
      <c r="W270" s="39" t="n">
        <f aca="false">V270/(1-Resumo!$C$5)</f>
        <v>81.9181340909091</v>
      </c>
      <c r="X270" s="39" t="n">
        <v>82.21</v>
      </c>
      <c r="Y270" s="39" t="n">
        <f aca="false">J270*Resumo!$B$6</f>
        <v>0.33999</v>
      </c>
      <c r="Z270" s="39" t="n">
        <f aca="false">J270*Resumo!$B$7</f>
        <v>0.67998</v>
      </c>
      <c r="AA270" s="39" t="n">
        <f aca="false">Resumo!$B$9</f>
        <v>1</v>
      </c>
      <c r="AB270" s="39" t="n">
        <f aca="false">Resumo!$B$10*CEILING(I270/100,1)</f>
        <v>4.5</v>
      </c>
      <c r="AC270" s="39" t="n">
        <f aca="false">Resumo!$B$12*CEILING(I270,1)</f>
        <v>1.86</v>
      </c>
      <c r="AD270" s="39" t="n">
        <f aca="false">Resumo!$B$14*CEILING(I270,1)</f>
        <v>13.95</v>
      </c>
      <c r="AE270" s="39" t="n">
        <f aca="false">SUM(X270:AD270)</f>
        <v>104.53997</v>
      </c>
      <c r="AF270" s="39" t="n">
        <f aca="false">AE270/(1-Resumo!$B$5)</f>
        <v>118.795420454545</v>
      </c>
      <c r="AG270" s="39" t="n">
        <f aca="false">AF270-W270</f>
        <v>36.8772863636364</v>
      </c>
      <c r="AH270" s="40" t="n">
        <f aca="false">AF270/W270-1</f>
        <v>0.450172440728589</v>
      </c>
      <c r="AI270" s="37" t="str">
        <f aca="false">IF(AF270&lt;W270,"SIM","NÃO")</f>
        <v>NÃO</v>
      </c>
      <c r="AJ270" s="37" t="n">
        <v>2</v>
      </c>
      <c r="AK270" s="37" t="n">
        <v>5</v>
      </c>
      <c r="AL270" s="37" t="s">
        <v>343</v>
      </c>
      <c r="AM270" s="39" t="n">
        <v>81.95</v>
      </c>
    </row>
    <row r="271" customFormat="false" ht="15" hidden="false" customHeight="false" outlineLevel="0" collapsed="false">
      <c r="A271" s="37" t="n">
        <v>362769025</v>
      </c>
      <c r="B271" s="38" t="n">
        <v>46223.8948726852</v>
      </c>
      <c r="C271" s="37" t="s">
        <v>379</v>
      </c>
      <c r="D271" s="37" t="s">
        <v>618</v>
      </c>
      <c r="E271" s="37" t="n">
        <v>20725050</v>
      </c>
      <c r="F271" s="37" t="s">
        <v>159</v>
      </c>
      <c r="G271" s="37" t="s">
        <v>196</v>
      </c>
      <c r="H271" s="37" t="s">
        <v>187</v>
      </c>
      <c r="I271" s="37" t="n">
        <v>52.3</v>
      </c>
      <c r="J271" s="39" t="n">
        <v>616.99</v>
      </c>
      <c r="K271" s="37" t="s">
        <v>518</v>
      </c>
      <c r="L271" s="39" t="n">
        <v>113.24</v>
      </c>
      <c r="M271" s="39" t="n">
        <v>58.6</v>
      </c>
      <c r="N271" s="39" t="n">
        <f aca="false">J271*Resumo!$C$6</f>
        <v>0</v>
      </c>
      <c r="O271" s="39" t="n">
        <f aca="false">J271*Resumo!$C$7</f>
        <v>1.295679</v>
      </c>
      <c r="P271" s="39" t="n">
        <f aca="false">J271*Resumo!$C$8</f>
        <v>1.295679</v>
      </c>
      <c r="Q271" s="39" t="n">
        <f aca="false">Resumo!$C$10*CEILING(I271/100,1)</f>
        <v>1.05</v>
      </c>
      <c r="R271" s="39" t="n">
        <f aca="false">Resumo!$C$9</f>
        <v>0</v>
      </c>
      <c r="S271" s="39" t="n">
        <f aca="false">Resumo!$C$13</f>
        <v>13.55</v>
      </c>
      <c r="T271" s="39" t="n">
        <f aca="false">Resumo!$C$14*CEILING(I271,1)</f>
        <v>23.85</v>
      </c>
      <c r="U271" s="39" t="n">
        <f aca="false">SUM(M271:T271)*Resumo!$C$11</f>
        <v>0</v>
      </c>
      <c r="V271" s="39" t="n">
        <f aca="false">SUM(M271:U271)</f>
        <v>99.641358</v>
      </c>
      <c r="W271" s="39" t="n">
        <f aca="false">V271/(1-Resumo!$C$5)</f>
        <v>113.228815909091</v>
      </c>
      <c r="X271" s="39" t="n">
        <v>112.3</v>
      </c>
      <c r="Y271" s="39" t="n">
        <f aca="false">J271*Resumo!$B$6</f>
        <v>0.61699</v>
      </c>
      <c r="Z271" s="39" t="n">
        <f aca="false">J271*Resumo!$B$7</f>
        <v>1.23398</v>
      </c>
      <c r="AA271" s="39" t="n">
        <f aca="false">Resumo!$B$9</f>
        <v>1</v>
      </c>
      <c r="AB271" s="39" t="n">
        <f aca="false">Resumo!$B$10*CEILING(I271/100,1)</f>
        <v>4.5</v>
      </c>
      <c r="AC271" s="39" t="n">
        <f aca="false">Resumo!$B$12*CEILING(I271,1)</f>
        <v>3.18</v>
      </c>
      <c r="AD271" s="39" t="n">
        <f aca="false">Resumo!$B$14*CEILING(I271,1)</f>
        <v>23.85</v>
      </c>
      <c r="AE271" s="39" t="n">
        <f aca="false">SUM(X271:AD271)</f>
        <v>146.68097</v>
      </c>
      <c r="AF271" s="39" t="n">
        <f aca="false">AE271/(1-Resumo!$B$5)</f>
        <v>166.682920454545</v>
      </c>
      <c r="AG271" s="39" t="n">
        <f aca="false">AF271-W271</f>
        <v>53.4541045454546</v>
      </c>
      <c r="AH271" s="40" t="n">
        <f aca="false">AF271/W271-1</f>
        <v>0.472089230257179</v>
      </c>
      <c r="AI271" s="37" t="str">
        <f aca="false">IF(AF271&lt;W271,"SIM","NÃO")</f>
        <v>NÃO</v>
      </c>
      <c r="AJ271" s="37" t="n">
        <v>2</v>
      </c>
      <c r="AK271" s="37" t="n">
        <v>5</v>
      </c>
      <c r="AL271" s="37" t="s">
        <v>343</v>
      </c>
      <c r="AM271" s="39" t="n">
        <v>114.11</v>
      </c>
    </row>
    <row r="272" customFormat="false" ht="15" hidden="false" customHeight="false" outlineLevel="0" collapsed="false">
      <c r="A272" s="37" t="n">
        <v>362781581</v>
      </c>
      <c r="B272" s="38" t="n">
        <v>46223.915162037</v>
      </c>
      <c r="C272" s="37" t="s">
        <v>340</v>
      </c>
      <c r="D272" s="37" t="s">
        <v>619</v>
      </c>
      <c r="E272" s="37" t="n">
        <v>23045830</v>
      </c>
      <c r="F272" s="37" t="s">
        <v>159</v>
      </c>
      <c r="G272" s="37" t="s">
        <v>196</v>
      </c>
      <c r="H272" s="37" t="s">
        <v>184</v>
      </c>
      <c r="I272" s="37" t="n">
        <v>31</v>
      </c>
      <c r="J272" s="39" t="n">
        <v>299.99</v>
      </c>
      <c r="K272" s="37" t="s">
        <v>518</v>
      </c>
      <c r="L272" s="39" t="n">
        <v>81.73</v>
      </c>
      <c r="M272" s="39" t="n">
        <v>42.11</v>
      </c>
      <c r="N272" s="39" t="n">
        <f aca="false">J272*Resumo!$C$6</f>
        <v>0</v>
      </c>
      <c r="O272" s="39" t="n">
        <f aca="false">J272*Resumo!$C$7</f>
        <v>0.629979</v>
      </c>
      <c r="P272" s="39" t="n">
        <f aca="false">J272*Resumo!$C$8</f>
        <v>0.629979</v>
      </c>
      <c r="Q272" s="39" t="n">
        <f aca="false">Resumo!$C$10*CEILING(I272/100,1)</f>
        <v>1.05</v>
      </c>
      <c r="R272" s="39" t="n">
        <f aca="false">Resumo!$C$9</f>
        <v>0</v>
      </c>
      <c r="S272" s="39" t="n">
        <f aca="false">Resumo!$C$13</f>
        <v>13.55</v>
      </c>
      <c r="T272" s="39" t="n">
        <f aca="false">Resumo!$C$14*CEILING(I272,1)</f>
        <v>13.95</v>
      </c>
      <c r="U272" s="39" t="n">
        <f aca="false">SUM(M272:T272)*Resumo!$C$11</f>
        <v>0</v>
      </c>
      <c r="V272" s="39" t="n">
        <f aca="false">SUM(M272:U272)</f>
        <v>71.919958</v>
      </c>
      <c r="W272" s="39" t="n">
        <f aca="false">V272/(1-Resumo!$C$5)</f>
        <v>81.727225</v>
      </c>
      <c r="X272" s="39" t="n">
        <v>82.21</v>
      </c>
      <c r="Y272" s="39" t="n">
        <f aca="false">J272*Resumo!$B$6</f>
        <v>0.29999</v>
      </c>
      <c r="Z272" s="39" t="n">
        <f aca="false">J272*Resumo!$B$7</f>
        <v>0.59998</v>
      </c>
      <c r="AA272" s="39" t="n">
        <f aca="false">Resumo!$B$9</f>
        <v>1</v>
      </c>
      <c r="AB272" s="39" t="n">
        <f aca="false">Resumo!$B$10*CEILING(I272/100,1)</f>
        <v>4.5</v>
      </c>
      <c r="AC272" s="39" t="n">
        <f aca="false">Resumo!$B$12*CEILING(I272,1)</f>
        <v>1.86</v>
      </c>
      <c r="AD272" s="39" t="n">
        <f aca="false">Resumo!$B$14*CEILING(I272,1)</f>
        <v>13.95</v>
      </c>
      <c r="AE272" s="39" t="n">
        <f aca="false">SUM(X272:AD272)</f>
        <v>104.41997</v>
      </c>
      <c r="AF272" s="39" t="n">
        <f aca="false">AE272/(1-Resumo!$B$5)</f>
        <v>118.659056818182</v>
      </c>
      <c r="AG272" s="39" t="n">
        <f aca="false">AF272-W272</f>
        <v>36.9318318181818</v>
      </c>
      <c r="AH272" s="40" t="n">
        <f aca="false">AF272/W272-1</f>
        <v>0.451891420737482</v>
      </c>
      <c r="AI272" s="37" t="str">
        <f aca="false">IF(AF272&lt;W272,"SIM","NÃO")</f>
        <v>NÃO</v>
      </c>
      <c r="AJ272" s="37" t="n">
        <v>2</v>
      </c>
      <c r="AK272" s="37" t="n">
        <v>5</v>
      </c>
      <c r="AL272" s="37" t="s">
        <v>343</v>
      </c>
      <c r="AM272" s="39" t="n">
        <v>81.76</v>
      </c>
    </row>
    <row r="273" customFormat="false" ht="15" hidden="false" customHeight="false" outlineLevel="0" collapsed="false">
      <c r="A273" s="37" t="n">
        <v>362786339</v>
      </c>
      <c r="B273" s="38" t="n">
        <v>46223.9234375</v>
      </c>
      <c r="C273" s="37" t="s">
        <v>340</v>
      </c>
      <c r="D273" s="37" t="s">
        <v>620</v>
      </c>
      <c r="E273" s="37" t="n">
        <v>27250800</v>
      </c>
      <c r="F273" s="37" t="s">
        <v>168</v>
      </c>
      <c r="G273" s="37" t="s">
        <v>198</v>
      </c>
      <c r="H273" s="37" t="s">
        <v>187</v>
      </c>
      <c r="I273" s="37" t="n">
        <v>56.7</v>
      </c>
      <c r="J273" s="39" t="n">
        <v>705.47</v>
      </c>
      <c r="K273" s="37" t="s">
        <v>518</v>
      </c>
      <c r="L273" s="39" t="n">
        <v>144.08</v>
      </c>
      <c r="M273" s="39" t="n">
        <v>83.58</v>
      </c>
      <c r="N273" s="39" t="n">
        <f aca="false">J273*Resumo!$C$6</f>
        <v>0</v>
      </c>
      <c r="O273" s="39" t="n">
        <f aca="false">J273*Resumo!$C$7</f>
        <v>1.481487</v>
      </c>
      <c r="P273" s="39" t="n">
        <f aca="false">J273*Resumo!$C$8</f>
        <v>1.481487</v>
      </c>
      <c r="Q273" s="39" t="n">
        <f aca="false">Resumo!$C$10*CEILING(I273/100,1)</f>
        <v>1.05</v>
      </c>
      <c r="R273" s="39" t="n">
        <f aca="false">Resumo!$C$9</f>
        <v>0</v>
      </c>
      <c r="S273" s="39" t="n">
        <f aca="false">Resumo!$C$13</f>
        <v>13.55</v>
      </c>
      <c r="T273" s="39" t="n">
        <f aca="false">Resumo!$C$14*CEILING(I273,1)</f>
        <v>25.65</v>
      </c>
      <c r="U273" s="39" t="n">
        <f aca="false">SUM(M273:T273)*Resumo!$C$11</f>
        <v>0</v>
      </c>
      <c r="V273" s="39" t="n">
        <f aca="false">SUM(M273:U273)</f>
        <v>126.792974</v>
      </c>
      <c r="W273" s="39" t="n">
        <f aca="false">V273/(1-Resumo!$C$5)</f>
        <v>144.082925</v>
      </c>
      <c r="X273" s="39" t="n">
        <v>142.32</v>
      </c>
      <c r="Y273" s="39" t="n">
        <f aca="false">J273*Resumo!$B$6</f>
        <v>0.70547</v>
      </c>
      <c r="Z273" s="39" t="n">
        <f aca="false">J273*Resumo!$B$7</f>
        <v>1.41094</v>
      </c>
      <c r="AA273" s="39" t="n">
        <f aca="false">Resumo!$B$9</f>
        <v>1</v>
      </c>
      <c r="AB273" s="39" t="n">
        <f aca="false">Resumo!$B$10*CEILING(I273/100,1)</f>
        <v>4.5</v>
      </c>
      <c r="AC273" s="39" t="n">
        <f aca="false">Resumo!$B$12*CEILING(I273,1)</f>
        <v>3.42</v>
      </c>
      <c r="AD273" s="39" t="n">
        <f aca="false">Resumo!$B$14*CEILING(I273,1)</f>
        <v>25.65</v>
      </c>
      <c r="AE273" s="39" t="n">
        <f aca="false">SUM(X273:AD273)</f>
        <v>179.00641</v>
      </c>
      <c r="AF273" s="39" t="n">
        <f aca="false">AE273/(1-Resumo!$B$5)</f>
        <v>203.416375</v>
      </c>
      <c r="AG273" s="39" t="n">
        <f aca="false">AF273-W273</f>
        <v>59.33345</v>
      </c>
      <c r="AH273" s="40" t="n">
        <f aca="false">AF273/W273-1</f>
        <v>0.411800704351331</v>
      </c>
      <c r="AI273" s="37" t="str">
        <f aca="false">IF(AF273&lt;W273,"SIM","NÃO")</f>
        <v>NÃO</v>
      </c>
      <c r="AJ273" s="37" t="n">
        <v>13</v>
      </c>
      <c r="AK273" s="37" t="n">
        <v>10</v>
      </c>
      <c r="AL273" s="37" t="s">
        <v>343</v>
      </c>
      <c r="AM273" s="39" t="n">
        <v>143.05</v>
      </c>
    </row>
    <row r="274" customFormat="false" ht="15" hidden="false" customHeight="false" outlineLevel="0" collapsed="false">
      <c r="A274" s="37" t="n">
        <v>362784636</v>
      </c>
      <c r="B274" s="38" t="n">
        <v>46223.9236111111</v>
      </c>
      <c r="C274" s="37" t="s">
        <v>372</v>
      </c>
      <c r="D274" s="37" t="s">
        <v>621</v>
      </c>
      <c r="E274" s="37" t="n">
        <v>21331660</v>
      </c>
      <c r="F274" s="37" t="s">
        <v>159</v>
      </c>
      <c r="G274" s="37" t="s">
        <v>196</v>
      </c>
      <c r="H274" s="37" t="s">
        <v>185</v>
      </c>
      <c r="I274" s="37" t="n">
        <v>37.58</v>
      </c>
      <c r="J274" s="39" t="n">
        <v>499.99</v>
      </c>
      <c r="K274" s="37" t="s">
        <v>342</v>
      </c>
      <c r="L274" s="39" t="n">
        <v>92.25</v>
      </c>
      <c r="M274" s="39" t="n">
        <v>48.35</v>
      </c>
      <c r="N274" s="39" t="n">
        <f aca="false">J274*Resumo!$C$6</f>
        <v>0</v>
      </c>
      <c r="O274" s="39" t="n">
        <f aca="false">J274*Resumo!$C$7</f>
        <v>1.049979</v>
      </c>
      <c r="P274" s="39" t="n">
        <f aca="false">J274*Resumo!$C$8</f>
        <v>1.049979</v>
      </c>
      <c r="Q274" s="39" t="n">
        <f aca="false">Resumo!$C$10*CEILING(I274/100,1)</f>
        <v>1.05</v>
      </c>
      <c r="R274" s="39" t="n">
        <f aca="false">Resumo!$C$9</f>
        <v>0</v>
      </c>
      <c r="S274" s="39" t="n">
        <f aca="false">Resumo!$C$13</f>
        <v>13.55</v>
      </c>
      <c r="T274" s="39" t="n">
        <f aca="false">Resumo!$C$14*CEILING(I274,1)</f>
        <v>17.1</v>
      </c>
      <c r="U274" s="39" t="n">
        <f aca="false">SUM(M274:T274)*Resumo!$C$11</f>
        <v>0</v>
      </c>
      <c r="V274" s="39" t="n">
        <f aca="false">SUM(M274:U274)</f>
        <v>82.149958</v>
      </c>
      <c r="W274" s="39" t="n">
        <f aca="false">V274/(1-Resumo!$C$5)</f>
        <v>93.352225</v>
      </c>
      <c r="X274" s="39" t="n">
        <v>93.97</v>
      </c>
      <c r="Y274" s="39" t="n">
        <f aca="false">J274*Resumo!$B$6</f>
        <v>0.49999</v>
      </c>
      <c r="Z274" s="39" t="n">
        <f aca="false">J274*Resumo!$B$7</f>
        <v>0.99998</v>
      </c>
      <c r="AA274" s="39" t="n">
        <f aca="false">Resumo!$B$9</f>
        <v>1</v>
      </c>
      <c r="AB274" s="39" t="n">
        <f aca="false">Resumo!$B$10*CEILING(I274/100,1)</f>
        <v>4.5</v>
      </c>
      <c r="AC274" s="39" t="n">
        <f aca="false">Resumo!$B$12*CEILING(I274,1)</f>
        <v>2.28</v>
      </c>
      <c r="AD274" s="39" t="n">
        <f aca="false">Resumo!$B$14*CEILING(I274,1)</f>
        <v>17.1</v>
      </c>
      <c r="AE274" s="39" t="n">
        <f aca="false">SUM(X274:AD274)</f>
        <v>120.34997</v>
      </c>
      <c r="AF274" s="39" t="n">
        <f aca="false">AE274/(1-Resumo!$B$5)</f>
        <v>136.761329545455</v>
      </c>
      <c r="AG274" s="39" t="n">
        <f aca="false">AF274-W274</f>
        <v>43.4091045454546</v>
      </c>
      <c r="AH274" s="40" t="n">
        <f aca="false">AF274/W274-1</f>
        <v>0.465003427025489</v>
      </c>
      <c r="AI274" s="37" t="str">
        <f aca="false">IF(AF274&lt;W274,"SIM","NÃO")</f>
        <v>NÃO</v>
      </c>
      <c r="AJ274" s="37" t="n">
        <v>2</v>
      </c>
      <c r="AK274" s="37" t="n">
        <v>5</v>
      </c>
      <c r="AL274" s="37" t="s">
        <v>343</v>
      </c>
      <c r="AM274" s="39" t="n">
        <v>92.25</v>
      </c>
    </row>
    <row r="275" customFormat="false" ht="15" hidden="false" customHeight="false" outlineLevel="0" collapsed="false">
      <c r="A275" s="37" t="n">
        <v>362787381</v>
      </c>
      <c r="B275" s="38" t="n">
        <v>46223.9249421296</v>
      </c>
      <c r="C275" s="37" t="s">
        <v>345</v>
      </c>
      <c r="D275" s="37" t="s">
        <v>622</v>
      </c>
      <c r="E275" s="37" t="n">
        <v>27325310</v>
      </c>
      <c r="F275" s="37" t="s">
        <v>247</v>
      </c>
      <c r="G275" s="37" t="s">
        <v>198</v>
      </c>
      <c r="H275" s="37" t="s">
        <v>184</v>
      </c>
      <c r="I275" s="37" t="n">
        <v>33</v>
      </c>
      <c r="J275" s="39" t="n">
        <v>523.75</v>
      </c>
      <c r="K275" s="37" t="s">
        <v>518</v>
      </c>
      <c r="L275" s="39" t="n">
        <v>110.55</v>
      </c>
      <c r="M275" s="39" t="n">
        <v>65.63</v>
      </c>
      <c r="N275" s="39" t="n">
        <f aca="false">J275*Resumo!$C$6</f>
        <v>0</v>
      </c>
      <c r="O275" s="39" t="n">
        <f aca="false">J275*Resumo!$C$7</f>
        <v>1.099875</v>
      </c>
      <c r="P275" s="39" t="n">
        <f aca="false">J275*Resumo!$C$8</f>
        <v>1.099875</v>
      </c>
      <c r="Q275" s="39" t="n">
        <f aca="false">Resumo!$C$10*CEILING(I275/100,1)</f>
        <v>1.05</v>
      </c>
      <c r="R275" s="39" t="n">
        <f aca="false">Resumo!$C$9</f>
        <v>0</v>
      </c>
      <c r="S275" s="39" t="n">
        <f aca="false">Resumo!$C$13</f>
        <v>13.55</v>
      </c>
      <c r="T275" s="39" t="n">
        <f aca="false">Resumo!$C$14*CEILING(I275,1)</f>
        <v>14.85</v>
      </c>
      <c r="U275" s="39" t="n">
        <f aca="false">SUM(M275:T275)*Resumo!$C$11</f>
        <v>0</v>
      </c>
      <c r="V275" s="39" t="n">
        <f aca="false">SUM(M275:U275)</f>
        <v>97.27975</v>
      </c>
      <c r="W275" s="39" t="n">
        <f aca="false">V275/(1-Resumo!$C$5)</f>
        <v>110.545170454545</v>
      </c>
      <c r="X275" s="39" t="n">
        <v>108.83</v>
      </c>
      <c r="Y275" s="39" t="n">
        <f aca="false">J275*Resumo!$B$6</f>
        <v>0.52375</v>
      </c>
      <c r="Z275" s="39" t="n">
        <f aca="false">J275*Resumo!$B$7</f>
        <v>1.0475</v>
      </c>
      <c r="AA275" s="39" t="n">
        <f aca="false">Resumo!$B$9</f>
        <v>1</v>
      </c>
      <c r="AB275" s="39" t="n">
        <f aca="false">Resumo!$B$10*CEILING(I275/100,1)</f>
        <v>4.5</v>
      </c>
      <c r="AC275" s="39" t="n">
        <f aca="false">Resumo!$B$12*CEILING(I275,1)</f>
        <v>1.98</v>
      </c>
      <c r="AD275" s="39" t="n">
        <f aca="false">Resumo!$B$14*CEILING(I275,1)</f>
        <v>14.85</v>
      </c>
      <c r="AE275" s="39" t="n">
        <f aca="false">SUM(X275:AD275)</f>
        <v>132.73125</v>
      </c>
      <c r="AF275" s="39" t="n">
        <f aca="false">AE275/(1-Resumo!$B$5)</f>
        <v>150.830965909091</v>
      </c>
      <c r="AG275" s="39" t="n">
        <f aca="false">AF275-W275</f>
        <v>40.2857954545455</v>
      </c>
      <c r="AH275" s="40" t="n">
        <f aca="false">AF275/W275-1</f>
        <v>0.364428362531771</v>
      </c>
      <c r="AI275" s="37" t="str">
        <f aca="false">IF(AF275&lt;W275,"SIM","NÃO")</f>
        <v>NÃO</v>
      </c>
      <c r="AJ275" s="37" t="n">
        <v>13</v>
      </c>
      <c r="AK275" s="37" t="n">
        <v>10</v>
      </c>
      <c r="AL275" s="37" t="s">
        <v>347</v>
      </c>
      <c r="AM275" s="39" t="n">
        <v>109.69</v>
      </c>
    </row>
    <row r="276" customFormat="false" ht="15" hidden="false" customHeight="false" outlineLevel="0" collapsed="false">
      <c r="A276" s="37" t="n">
        <v>362787236</v>
      </c>
      <c r="B276" s="38" t="n">
        <v>46223.9250578704</v>
      </c>
      <c r="C276" s="37" t="s">
        <v>340</v>
      </c>
      <c r="D276" s="37" t="s">
        <v>547</v>
      </c>
      <c r="E276" s="37" t="n">
        <v>28380000</v>
      </c>
      <c r="F276" s="37" t="s">
        <v>266</v>
      </c>
      <c r="G276" s="37" t="s">
        <v>198</v>
      </c>
      <c r="H276" s="37" t="s">
        <v>187</v>
      </c>
      <c r="I276" s="37" t="n">
        <v>52.3</v>
      </c>
      <c r="J276" s="39" t="n">
        <v>619.99</v>
      </c>
      <c r="K276" s="37" t="s">
        <v>518</v>
      </c>
      <c r="L276" s="39" t="n">
        <v>141.63</v>
      </c>
      <c r="M276" s="39" t="n">
        <v>83.58</v>
      </c>
      <c r="N276" s="39" t="n">
        <f aca="false">J276*Resumo!$C$6</f>
        <v>0</v>
      </c>
      <c r="O276" s="39" t="n">
        <f aca="false">J276*Resumo!$C$7</f>
        <v>1.301979</v>
      </c>
      <c r="P276" s="39" t="n">
        <f aca="false">J276*Resumo!$C$8</f>
        <v>1.301979</v>
      </c>
      <c r="Q276" s="39" t="n">
        <f aca="false">Resumo!$C$10*CEILING(I276/100,1)</f>
        <v>1.05</v>
      </c>
      <c r="R276" s="39" t="n">
        <f aca="false">Resumo!$C$9</f>
        <v>0</v>
      </c>
      <c r="S276" s="39" t="n">
        <f aca="false">Resumo!$C$13</f>
        <v>13.55</v>
      </c>
      <c r="T276" s="39" t="n">
        <f aca="false">Resumo!$C$14*CEILING(I276,1)</f>
        <v>23.85</v>
      </c>
      <c r="U276" s="39" t="n">
        <f aca="false">SUM(M276:T276)*Resumo!$C$11</f>
        <v>0</v>
      </c>
      <c r="V276" s="39" t="n">
        <f aca="false">SUM(M276:U276)</f>
        <v>124.633958</v>
      </c>
      <c r="W276" s="39" t="n">
        <f aca="false">V276/(1-Resumo!$C$5)</f>
        <v>141.629497727273</v>
      </c>
      <c r="X276" s="39" t="n">
        <v>162.04</v>
      </c>
      <c r="Y276" s="39" t="n">
        <f aca="false">J276*Resumo!$B$6</f>
        <v>0.61999</v>
      </c>
      <c r="Z276" s="39" t="n">
        <f aca="false">J276*Resumo!$B$7</f>
        <v>1.23998</v>
      </c>
      <c r="AA276" s="39" t="n">
        <f aca="false">Resumo!$B$9</f>
        <v>1</v>
      </c>
      <c r="AB276" s="39" t="n">
        <f aca="false">Resumo!$B$10*CEILING(I276/100,1)</f>
        <v>4.5</v>
      </c>
      <c r="AC276" s="39" t="n">
        <f aca="false">Resumo!$B$12*CEILING(I276,1)</f>
        <v>3.18</v>
      </c>
      <c r="AD276" s="39" t="n">
        <f aca="false">Resumo!$B$14*CEILING(I276,1)</f>
        <v>23.85</v>
      </c>
      <c r="AE276" s="39" t="n">
        <f aca="false">SUM(X276:AD276)</f>
        <v>196.42997</v>
      </c>
      <c r="AF276" s="39" t="n">
        <f aca="false">AE276/(1-Resumo!$B$5)</f>
        <v>223.215875</v>
      </c>
      <c r="AG276" s="39" t="n">
        <f aca="false">AF276-W276</f>
        <v>81.5863772727273</v>
      </c>
      <c r="AH276" s="40" t="n">
        <f aca="false">AF276/W276-1</f>
        <v>0.576054978531613</v>
      </c>
      <c r="AI276" s="37" t="str">
        <f aca="false">IF(AF276&lt;W276,"SIM","NÃO")</f>
        <v>NÃO</v>
      </c>
      <c r="AJ276" s="37" t="n">
        <v>13</v>
      </c>
      <c r="AK276" s="37" t="n">
        <v>11</v>
      </c>
      <c r="AL276" s="37" t="s">
        <v>347</v>
      </c>
      <c r="AM276" s="39" t="n">
        <v>142.64</v>
      </c>
    </row>
    <row r="277" customFormat="false" ht="15" hidden="false" customHeight="false" outlineLevel="0" collapsed="false">
      <c r="A277" s="37" t="n">
        <v>362790049</v>
      </c>
      <c r="B277" s="38" t="n">
        <v>46223.9302662037</v>
      </c>
      <c r="C277" s="37" t="s">
        <v>340</v>
      </c>
      <c r="D277" s="37" t="s">
        <v>623</v>
      </c>
      <c r="E277" s="37" t="n">
        <v>26130336</v>
      </c>
      <c r="F277" s="37" t="s">
        <v>165</v>
      </c>
      <c r="G277" s="37" t="s">
        <v>197</v>
      </c>
      <c r="H277" s="37" t="s">
        <v>190</v>
      </c>
      <c r="I277" s="37" t="n">
        <v>82.4</v>
      </c>
      <c r="J277" s="39" t="n">
        <v>1210.05</v>
      </c>
      <c r="K277" s="37" t="s">
        <v>518</v>
      </c>
      <c r="L277" s="39" t="n">
        <v>169.72</v>
      </c>
      <c r="M277" s="39" t="n">
        <v>92.32</v>
      </c>
      <c r="N277" s="39" t="n">
        <f aca="false">J277*Resumo!$C$6</f>
        <v>0</v>
      </c>
      <c r="O277" s="39" t="n">
        <f aca="false">J277*Resumo!$C$7</f>
        <v>2.541105</v>
      </c>
      <c r="P277" s="39" t="n">
        <f aca="false">J277*Resumo!$C$8</f>
        <v>2.541105</v>
      </c>
      <c r="Q277" s="39" t="n">
        <f aca="false">Resumo!$C$10*CEILING(I277/100,1)</f>
        <v>1.05</v>
      </c>
      <c r="R277" s="39" t="n">
        <f aca="false">Resumo!$C$9</f>
        <v>0</v>
      </c>
      <c r="S277" s="39" t="n">
        <f aca="false">Resumo!$C$13</f>
        <v>13.55</v>
      </c>
      <c r="T277" s="39" t="n">
        <f aca="false">Resumo!$C$14*CEILING(I277,1)</f>
        <v>37.35</v>
      </c>
      <c r="U277" s="39" t="n">
        <f aca="false">SUM(M277:T277)*Resumo!$C$11</f>
        <v>0</v>
      </c>
      <c r="V277" s="39" t="n">
        <f aca="false">SUM(M277:U277)</f>
        <v>149.35221</v>
      </c>
      <c r="W277" s="39" t="n">
        <f aca="false">V277/(1-Resumo!$C$5)</f>
        <v>169.718420454545</v>
      </c>
      <c r="X277" s="39" t="n">
        <v>167.99</v>
      </c>
      <c r="Y277" s="39" t="n">
        <f aca="false">J277*Resumo!$B$6</f>
        <v>1.21005</v>
      </c>
      <c r="Z277" s="39" t="n">
        <f aca="false">J277*Resumo!$B$7</f>
        <v>2.4201</v>
      </c>
      <c r="AA277" s="39" t="n">
        <f aca="false">Resumo!$B$9</f>
        <v>1</v>
      </c>
      <c r="AB277" s="39" t="n">
        <f aca="false">Resumo!$B$10*CEILING(I277/100,1)</f>
        <v>4.5</v>
      </c>
      <c r="AC277" s="39" t="n">
        <f aca="false">Resumo!$B$12*CEILING(I277,1)</f>
        <v>4.98</v>
      </c>
      <c r="AD277" s="39" t="n">
        <f aca="false">Resumo!$B$14*CEILING(I277,1)</f>
        <v>37.35</v>
      </c>
      <c r="AE277" s="39" t="n">
        <f aca="false">SUM(X277:AD277)</f>
        <v>219.45015</v>
      </c>
      <c r="AF277" s="39" t="n">
        <f aca="false">AE277/(1-Resumo!$B$5)</f>
        <v>249.375170454545</v>
      </c>
      <c r="AG277" s="39" t="n">
        <f aca="false">AF277-W277</f>
        <v>79.6567500000001</v>
      </c>
      <c r="AH277" s="40" t="n">
        <f aca="false">AF277/W277-1</f>
        <v>0.469346519880757</v>
      </c>
      <c r="AI277" s="37" t="str">
        <f aca="false">IF(AF277&lt;W277,"SIM","NÃO")</f>
        <v>NÃO</v>
      </c>
      <c r="AJ277" s="37" t="n">
        <v>2</v>
      </c>
      <c r="AK277" s="37" t="n">
        <v>5</v>
      </c>
      <c r="AL277" s="37" t="s">
        <v>343</v>
      </c>
      <c r="AM277" s="39" t="n">
        <v>174.63</v>
      </c>
    </row>
    <row r="278" customFormat="false" ht="15" hidden="false" customHeight="false" outlineLevel="0" collapsed="false">
      <c r="A278" s="37" t="n">
        <v>362819660</v>
      </c>
      <c r="B278" s="38" t="n">
        <v>46223.9947800926</v>
      </c>
      <c r="C278" s="37" t="s">
        <v>345</v>
      </c>
      <c r="D278" s="37" t="s">
        <v>624</v>
      </c>
      <c r="E278" s="37" t="n">
        <v>21250620</v>
      </c>
      <c r="F278" s="37" t="s">
        <v>159</v>
      </c>
      <c r="G278" s="37" t="s">
        <v>196</v>
      </c>
      <c r="H278" s="37" t="s">
        <v>188</v>
      </c>
      <c r="I278" s="37" t="n">
        <v>69.15</v>
      </c>
      <c r="J278" s="39" t="n">
        <v>715.06</v>
      </c>
      <c r="K278" s="37" t="s">
        <v>342</v>
      </c>
      <c r="L278" s="39" t="n">
        <v>124.64</v>
      </c>
      <c r="M278" s="39" t="n">
        <v>63.21</v>
      </c>
      <c r="N278" s="39" t="n">
        <f aca="false">J278*Resumo!$C$6</f>
        <v>0</v>
      </c>
      <c r="O278" s="39" t="n">
        <f aca="false">J278*Resumo!$C$7</f>
        <v>1.501626</v>
      </c>
      <c r="P278" s="39" t="n">
        <f aca="false">J278*Resumo!$C$8</f>
        <v>1.501626</v>
      </c>
      <c r="Q278" s="39" t="n">
        <f aca="false">Resumo!$C$10*CEILING(I278/100,1)</f>
        <v>1.05</v>
      </c>
      <c r="R278" s="39" t="n">
        <f aca="false">Resumo!$C$9</f>
        <v>0</v>
      </c>
      <c r="S278" s="39" t="n">
        <f aca="false">Resumo!$C$13</f>
        <v>13.55</v>
      </c>
      <c r="T278" s="39" t="n">
        <f aca="false">Resumo!$C$14*CEILING(I278,1)</f>
        <v>31.5</v>
      </c>
      <c r="U278" s="39" t="n">
        <f aca="false">SUM(M278:T278)*Resumo!$C$11</f>
        <v>0</v>
      </c>
      <c r="V278" s="39" t="n">
        <f aca="false">SUM(M278:U278)</f>
        <v>112.313252</v>
      </c>
      <c r="W278" s="39" t="n">
        <f aca="false">V278/(1-Resumo!$C$5)</f>
        <v>127.628695454545</v>
      </c>
      <c r="X278" s="39" t="n">
        <v>131.02</v>
      </c>
      <c r="Y278" s="39" t="n">
        <f aca="false">J278*Resumo!$B$6</f>
        <v>0.71506</v>
      </c>
      <c r="Z278" s="39" t="n">
        <f aca="false">J278*Resumo!$B$7</f>
        <v>1.43012</v>
      </c>
      <c r="AA278" s="39" t="n">
        <f aca="false">Resumo!$B$9</f>
        <v>1</v>
      </c>
      <c r="AB278" s="39" t="n">
        <f aca="false">Resumo!$B$10*CEILING(I278/100,1)</f>
        <v>4.5</v>
      </c>
      <c r="AC278" s="39" t="n">
        <f aca="false">Resumo!$B$12*CEILING(I278,1)</f>
        <v>4.2</v>
      </c>
      <c r="AD278" s="39" t="n">
        <f aca="false">Resumo!$B$14*CEILING(I278,1)</f>
        <v>31.5</v>
      </c>
      <c r="AE278" s="39" t="n">
        <f aca="false">SUM(X278:AD278)</f>
        <v>174.36518</v>
      </c>
      <c r="AF278" s="39" t="n">
        <f aca="false">AE278/(1-Resumo!$B$5)</f>
        <v>198.14225</v>
      </c>
      <c r="AG278" s="39" t="n">
        <f aca="false">AF278-W278</f>
        <v>70.5135545454546</v>
      </c>
      <c r="AH278" s="40" t="n">
        <f aca="false">AF278/W278-1</f>
        <v>0.55248981660686</v>
      </c>
      <c r="AI278" s="37" t="str">
        <f aca="false">IF(AF278&lt;W278,"SIM","NÃO")</f>
        <v>NÃO</v>
      </c>
      <c r="AJ278" s="37" t="n">
        <v>2</v>
      </c>
      <c r="AK278" s="37" t="n">
        <v>5</v>
      </c>
      <c r="AL278" s="37" t="s">
        <v>343</v>
      </c>
      <c r="AM278" s="39" t="n">
        <v>124.63</v>
      </c>
    </row>
    <row r="279" customFormat="false" ht="15" hidden="false" customHeight="false" outlineLevel="0" collapsed="false">
      <c r="A279" s="37" t="n">
        <v>362875558</v>
      </c>
      <c r="B279" s="38" t="n">
        <v>46224.1478703704</v>
      </c>
      <c r="C279" s="37" t="s">
        <v>340</v>
      </c>
      <c r="D279" s="37" t="s">
        <v>625</v>
      </c>
      <c r="E279" s="37" t="n">
        <v>21675340</v>
      </c>
      <c r="F279" s="37" t="s">
        <v>159</v>
      </c>
      <c r="G279" s="37" t="s">
        <v>196</v>
      </c>
      <c r="H279" s="37" t="s">
        <v>184</v>
      </c>
      <c r="I279" s="37" t="n">
        <v>34.4</v>
      </c>
      <c r="J279" s="39" t="n">
        <v>399.99</v>
      </c>
      <c r="K279" s="37" t="s">
        <v>342</v>
      </c>
      <c r="L279" s="39" t="n">
        <v>82.24</v>
      </c>
      <c r="M279" s="39" t="n">
        <v>42.11</v>
      </c>
      <c r="N279" s="39" t="n">
        <f aca="false">J279*Resumo!$C$6</f>
        <v>0</v>
      </c>
      <c r="O279" s="39" t="n">
        <f aca="false">J279*Resumo!$C$7</f>
        <v>0.839979</v>
      </c>
      <c r="P279" s="39" t="n">
        <f aca="false">J279*Resumo!$C$8</f>
        <v>0.839979</v>
      </c>
      <c r="Q279" s="39" t="n">
        <f aca="false">Resumo!$C$10*CEILING(I279/100,1)</f>
        <v>1.05</v>
      </c>
      <c r="R279" s="39" t="n">
        <f aca="false">Resumo!$C$9</f>
        <v>0</v>
      </c>
      <c r="S279" s="39" t="n">
        <f aca="false">Resumo!$C$13</f>
        <v>13.55</v>
      </c>
      <c r="T279" s="39" t="n">
        <f aca="false">Resumo!$C$14*CEILING(I279,1)</f>
        <v>15.75</v>
      </c>
      <c r="U279" s="39" t="n">
        <f aca="false">SUM(M279:T279)*Resumo!$C$11</f>
        <v>0</v>
      </c>
      <c r="V279" s="39" t="n">
        <f aca="false">SUM(M279:U279)</f>
        <v>74.139958</v>
      </c>
      <c r="W279" s="39" t="n">
        <f aca="false">V279/(1-Resumo!$C$5)</f>
        <v>84.2499522727273</v>
      </c>
      <c r="X279" s="39" t="n">
        <v>82.21</v>
      </c>
      <c r="Y279" s="39" t="n">
        <f aca="false">J279*Resumo!$B$6</f>
        <v>0.39999</v>
      </c>
      <c r="Z279" s="39" t="n">
        <f aca="false">J279*Resumo!$B$7</f>
        <v>0.79998</v>
      </c>
      <c r="AA279" s="39" t="n">
        <f aca="false">Resumo!$B$9</f>
        <v>1</v>
      </c>
      <c r="AB279" s="39" t="n">
        <f aca="false">Resumo!$B$10*CEILING(I279/100,1)</f>
        <v>4.5</v>
      </c>
      <c r="AC279" s="39" t="n">
        <f aca="false">Resumo!$B$12*CEILING(I279,1)</f>
        <v>2.1</v>
      </c>
      <c r="AD279" s="39" t="n">
        <f aca="false">Resumo!$B$14*CEILING(I279,1)</f>
        <v>15.75</v>
      </c>
      <c r="AE279" s="39" t="n">
        <f aca="false">SUM(X279:AD279)</f>
        <v>106.75997</v>
      </c>
      <c r="AF279" s="39" t="n">
        <f aca="false">AE279/(1-Resumo!$B$5)</f>
        <v>121.318147727273</v>
      </c>
      <c r="AG279" s="39" t="n">
        <f aca="false">AF279-W279</f>
        <v>37.0681954545454</v>
      </c>
      <c r="AH279" s="40" t="n">
        <f aca="false">AF279/W279-1</f>
        <v>0.439978830309022</v>
      </c>
      <c r="AI279" s="37" t="str">
        <f aca="false">IF(AF279&lt;W279,"SIM","NÃO")</f>
        <v>NÃO</v>
      </c>
      <c r="AJ279" s="37" t="n">
        <v>2</v>
      </c>
      <c r="AK279" s="37" t="n">
        <v>5</v>
      </c>
      <c r="AL279" s="37" t="s">
        <v>343</v>
      </c>
      <c r="AM279" s="39" t="n">
        <v>82.24</v>
      </c>
    </row>
    <row r="280" customFormat="false" ht="15" hidden="false" customHeight="false" outlineLevel="0" collapsed="false">
      <c r="A280" s="37" t="n">
        <v>363100760</v>
      </c>
      <c r="B280" s="38" t="n">
        <v>46224.6301157407</v>
      </c>
      <c r="C280" s="37" t="s">
        <v>345</v>
      </c>
      <c r="D280" s="37" t="s">
        <v>626</v>
      </c>
      <c r="E280" s="37" t="n">
        <v>22775033</v>
      </c>
      <c r="F280" s="37" t="s">
        <v>159</v>
      </c>
      <c r="G280" s="37" t="s">
        <v>196</v>
      </c>
      <c r="H280" s="37" t="s">
        <v>184</v>
      </c>
      <c r="I280" s="37" t="n">
        <v>33.21</v>
      </c>
      <c r="J280" s="39" t="n">
        <v>378.56</v>
      </c>
      <c r="K280" s="37" t="s">
        <v>342</v>
      </c>
      <c r="L280" s="39" t="n">
        <v>82.15</v>
      </c>
      <c r="M280" s="39" t="n">
        <v>42.11</v>
      </c>
      <c r="N280" s="39" t="n">
        <f aca="false">J280*Resumo!$C$6</f>
        <v>0</v>
      </c>
      <c r="O280" s="39" t="n">
        <f aca="false">J280*Resumo!$C$7</f>
        <v>0.794976</v>
      </c>
      <c r="P280" s="39" t="n">
        <f aca="false">J280*Resumo!$C$8</f>
        <v>0.794976</v>
      </c>
      <c r="Q280" s="39" t="n">
        <f aca="false">Resumo!$C$10*CEILING(I280/100,1)</f>
        <v>1.05</v>
      </c>
      <c r="R280" s="39" t="n">
        <f aca="false">Resumo!$C$9</f>
        <v>0</v>
      </c>
      <c r="S280" s="39" t="n">
        <f aca="false">Resumo!$C$13</f>
        <v>13.55</v>
      </c>
      <c r="T280" s="39" t="n">
        <f aca="false">Resumo!$C$14*CEILING(I280,1)</f>
        <v>15.3</v>
      </c>
      <c r="U280" s="39" t="n">
        <f aca="false">SUM(M280:T280)*Resumo!$C$11</f>
        <v>0</v>
      </c>
      <c r="V280" s="39" t="n">
        <f aca="false">SUM(M280:U280)</f>
        <v>73.599952</v>
      </c>
      <c r="W280" s="39" t="n">
        <f aca="false">V280/(1-Resumo!$C$5)</f>
        <v>83.6363090909091</v>
      </c>
      <c r="X280" s="39" t="n">
        <v>82.21</v>
      </c>
      <c r="Y280" s="39" t="n">
        <f aca="false">J280*Resumo!$B$6</f>
        <v>0.37856</v>
      </c>
      <c r="Z280" s="39" t="n">
        <f aca="false">J280*Resumo!$B$7</f>
        <v>0.75712</v>
      </c>
      <c r="AA280" s="39" t="n">
        <f aca="false">Resumo!$B$9</f>
        <v>1</v>
      </c>
      <c r="AB280" s="39" t="n">
        <f aca="false">Resumo!$B$10*CEILING(I280/100,1)</f>
        <v>4.5</v>
      </c>
      <c r="AC280" s="39" t="n">
        <f aca="false">Resumo!$B$12*CEILING(I280,1)</f>
        <v>2.04</v>
      </c>
      <c r="AD280" s="39" t="n">
        <f aca="false">Resumo!$B$14*CEILING(I280,1)</f>
        <v>15.3</v>
      </c>
      <c r="AE280" s="39" t="n">
        <f aca="false">SUM(X280:AD280)</f>
        <v>106.18568</v>
      </c>
      <c r="AF280" s="39" t="n">
        <f aca="false">AE280/(1-Resumo!$B$5)</f>
        <v>120.665545454545</v>
      </c>
      <c r="AG280" s="39" t="n">
        <f aca="false">AF280-W280</f>
        <v>37.0292363636363</v>
      </c>
      <c r="AH280" s="40" t="n">
        <f aca="false">AF280/W280-1</f>
        <v>0.442741158309451</v>
      </c>
      <c r="AI280" s="37" t="str">
        <f aca="false">IF(AF280&lt;W280,"SIM","NÃO")</f>
        <v>NÃO</v>
      </c>
      <c r="AJ280" s="37" t="n">
        <v>2</v>
      </c>
      <c r="AK280" s="37" t="n">
        <v>5</v>
      </c>
      <c r="AL280" s="37" t="s">
        <v>343</v>
      </c>
      <c r="AM280" s="39" t="n">
        <v>82.14</v>
      </c>
    </row>
    <row r="281" customFormat="false" ht="15" hidden="false" customHeight="false" outlineLevel="0" collapsed="false">
      <c r="A281" s="37" t="n">
        <v>363176335</v>
      </c>
      <c r="B281" s="38" t="n">
        <v>46224.7577314815</v>
      </c>
      <c r="C281" s="37" t="s">
        <v>340</v>
      </c>
      <c r="D281" s="37" t="s">
        <v>627</v>
      </c>
      <c r="E281" s="37" t="n">
        <v>22780085</v>
      </c>
      <c r="F281" s="37" t="s">
        <v>159</v>
      </c>
      <c r="G281" s="37" t="s">
        <v>196</v>
      </c>
      <c r="H281" s="37" t="s">
        <v>186</v>
      </c>
      <c r="I281" s="37" t="n">
        <v>49.6</v>
      </c>
      <c r="J281" s="39" t="n">
        <v>799.99</v>
      </c>
      <c r="K281" s="37" t="s">
        <v>342</v>
      </c>
      <c r="L281" s="39" t="n">
        <v>104.42</v>
      </c>
      <c r="M281" s="39" t="n">
        <v>53.55</v>
      </c>
      <c r="N281" s="39" t="n">
        <f aca="false">J281*Resumo!$C$6</f>
        <v>0</v>
      </c>
      <c r="O281" s="39" t="n">
        <f aca="false">J281*Resumo!$C$7</f>
        <v>1.679979</v>
      </c>
      <c r="P281" s="39" t="n">
        <f aca="false">J281*Resumo!$C$8</f>
        <v>1.679979</v>
      </c>
      <c r="Q281" s="39" t="n">
        <f aca="false">Resumo!$C$10*CEILING(I281/100,1)</f>
        <v>1.05</v>
      </c>
      <c r="R281" s="39" t="n">
        <f aca="false">Resumo!$C$9</f>
        <v>0</v>
      </c>
      <c r="S281" s="39" t="n">
        <f aca="false">Resumo!$C$13</f>
        <v>13.55</v>
      </c>
      <c r="T281" s="39" t="n">
        <f aca="false">Resumo!$C$14*CEILING(I281,1)</f>
        <v>22.5</v>
      </c>
      <c r="U281" s="39" t="n">
        <f aca="false">SUM(M281:T281)*Resumo!$C$11</f>
        <v>0</v>
      </c>
      <c r="V281" s="39" t="n">
        <f aca="false">SUM(M281:U281)</f>
        <v>94.009958</v>
      </c>
      <c r="W281" s="39" t="n">
        <f aca="false">V281/(1-Resumo!$C$5)</f>
        <v>106.829497727273</v>
      </c>
      <c r="X281" s="39" t="n">
        <v>93.97</v>
      </c>
      <c r="Y281" s="39" t="n">
        <f aca="false">J281*Resumo!$B$6</f>
        <v>0.79999</v>
      </c>
      <c r="Z281" s="39" t="n">
        <f aca="false">J281*Resumo!$B$7</f>
        <v>1.59998</v>
      </c>
      <c r="AA281" s="39" t="n">
        <f aca="false">Resumo!$B$9</f>
        <v>1</v>
      </c>
      <c r="AB281" s="39" t="n">
        <f aca="false">Resumo!$B$10*CEILING(I281/100,1)</f>
        <v>4.5</v>
      </c>
      <c r="AC281" s="39" t="n">
        <f aca="false">Resumo!$B$12*CEILING(I281,1)</f>
        <v>3</v>
      </c>
      <c r="AD281" s="39" t="n">
        <f aca="false">Resumo!$B$14*CEILING(I281,1)</f>
        <v>22.5</v>
      </c>
      <c r="AE281" s="39" t="n">
        <f aca="false">SUM(X281:AD281)</f>
        <v>127.36997</v>
      </c>
      <c r="AF281" s="39" t="n">
        <f aca="false">AE281/(1-Resumo!$B$5)</f>
        <v>144.738602272727</v>
      </c>
      <c r="AG281" s="39" t="n">
        <f aca="false">AF281-W281</f>
        <v>37.9091045454545</v>
      </c>
      <c r="AH281" s="40" t="n">
        <f aca="false">AF281/W281-1</f>
        <v>0.35485615257907</v>
      </c>
      <c r="AI281" s="37" t="str">
        <f aca="false">IF(AF281&lt;W281,"SIM","NÃO")</f>
        <v>NÃO</v>
      </c>
      <c r="AJ281" s="37" t="n">
        <v>2</v>
      </c>
      <c r="AK281" s="37" t="n">
        <v>5</v>
      </c>
      <c r="AL281" s="37" t="s">
        <v>343</v>
      </c>
      <c r="AM281" s="39" t="n">
        <v>104.42</v>
      </c>
    </row>
    <row r="282" customFormat="false" ht="15" hidden="false" customHeight="false" outlineLevel="0" collapsed="false">
      <c r="A282" s="37" t="n">
        <v>363206605</v>
      </c>
      <c r="B282" s="38" t="n">
        <v>46224.8074768519</v>
      </c>
      <c r="C282" s="37" t="s">
        <v>340</v>
      </c>
      <c r="D282" s="37" t="s">
        <v>628</v>
      </c>
      <c r="E282" s="37" t="n">
        <v>24725060</v>
      </c>
      <c r="F282" s="37" t="s">
        <v>160</v>
      </c>
      <c r="G282" s="37" t="s">
        <v>197</v>
      </c>
      <c r="H282" s="37" t="s">
        <v>186</v>
      </c>
      <c r="I282" s="37" t="n">
        <v>46.8</v>
      </c>
      <c r="J282" s="39" t="n">
        <v>509.99</v>
      </c>
      <c r="K282" s="37" t="s">
        <v>518</v>
      </c>
      <c r="L282" s="39" t="n">
        <v>117.33</v>
      </c>
      <c r="M282" s="39" t="n">
        <v>65.36</v>
      </c>
      <c r="N282" s="39" t="n">
        <f aca="false">J282*Resumo!$C$6</f>
        <v>0</v>
      </c>
      <c r="O282" s="39" t="n">
        <f aca="false">J282*Resumo!$C$7</f>
        <v>1.070979</v>
      </c>
      <c r="P282" s="39" t="n">
        <f aca="false">J282*Resumo!$C$8</f>
        <v>1.070979</v>
      </c>
      <c r="Q282" s="39" t="n">
        <f aca="false">Resumo!$C$10*CEILING(I282/100,1)</f>
        <v>1.05</v>
      </c>
      <c r="R282" s="39" t="n">
        <f aca="false">Resumo!$C$9</f>
        <v>0</v>
      </c>
      <c r="S282" s="39" t="n">
        <f aca="false">Resumo!$C$13</f>
        <v>13.55</v>
      </c>
      <c r="T282" s="39" t="n">
        <f aca="false">Resumo!$C$14*CEILING(I282,1)</f>
        <v>21.15</v>
      </c>
      <c r="U282" s="39" t="n">
        <f aca="false">SUM(M282:T282)*Resumo!$C$11</f>
        <v>0</v>
      </c>
      <c r="V282" s="39" t="n">
        <f aca="false">SUM(M282:U282)</f>
        <v>103.251958</v>
      </c>
      <c r="W282" s="39" t="n">
        <f aca="false">V282/(1-Resumo!$C$5)</f>
        <v>117.331770454545</v>
      </c>
      <c r="X282" s="39" t="n">
        <v>114.95</v>
      </c>
      <c r="Y282" s="39" t="n">
        <f aca="false">J282*Resumo!$B$6</f>
        <v>0.50999</v>
      </c>
      <c r="Z282" s="39" t="n">
        <f aca="false">J282*Resumo!$B$7</f>
        <v>1.01998</v>
      </c>
      <c r="AA282" s="39" t="n">
        <f aca="false">Resumo!$B$9</f>
        <v>1</v>
      </c>
      <c r="AB282" s="39" t="n">
        <f aca="false">Resumo!$B$10*CEILING(I282/100,1)</f>
        <v>4.5</v>
      </c>
      <c r="AC282" s="39" t="n">
        <f aca="false">Resumo!$B$12*CEILING(I282,1)</f>
        <v>2.82</v>
      </c>
      <c r="AD282" s="39" t="n">
        <f aca="false">Resumo!$B$14*CEILING(I282,1)</f>
        <v>21.15</v>
      </c>
      <c r="AE282" s="39" t="n">
        <f aca="false">SUM(X282:AD282)</f>
        <v>145.94997</v>
      </c>
      <c r="AF282" s="39" t="n">
        <f aca="false">AE282/(1-Resumo!$B$5)</f>
        <v>165.852238636364</v>
      </c>
      <c r="AG282" s="39" t="n">
        <f aca="false">AF282-W282</f>
        <v>48.5204681818182</v>
      </c>
      <c r="AH282" s="40" t="n">
        <f aca="false">AF282/W282-1</f>
        <v>0.413532225703652</v>
      </c>
      <c r="AI282" s="37" t="str">
        <f aca="false">IF(AF282&lt;W282,"SIM","NÃO")</f>
        <v>NÃO</v>
      </c>
      <c r="AJ282" s="37" t="n">
        <v>2</v>
      </c>
      <c r="AK282" s="37" t="n">
        <v>7</v>
      </c>
      <c r="AL282" s="37" t="s">
        <v>343</v>
      </c>
      <c r="AM282" s="39" t="n">
        <v>116.52</v>
      </c>
    </row>
    <row r="283" customFormat="false" ht="15" hidden="false" customHeight="false" outlineLevel="0" collapsed="false">
      <c r="A283" s="37" t="n">
        <v>363210624</v>
      </c>
      <c r="B283" s="38" t="n">
        <v>46224.8176736111</v>
      </c>
      <c r="C283" s="37" t="s">
        <v>340</v>
      </c>
      <c r="D283" s="37" t="s">
        <v>629</v>
      </c>
      <c r="E283" s="37" t="n">
        <v>21770000</v>
      </c>
      <c r="F283" s="37" t="s">
        <v>159</v>
      </c>
      <c r="G283" s="37" t="s">
        <v>196</v>
      </c>
      <c r="H283" s="37" t="s">
        <v>187</v>
      </c>
      <c r="I283" s="37" t="n">
        <v>52.3</v>
      </c>
      <c r="J283" s="39" t="n">
        <v>699.99</v>
      </c>
      <c r="K283" s="37" t="s">
        <v>518</v>
      </c>
      <c r="L283" s="39" t="n">
        <v>113.63</v>
      </c>
      <c r="M283" s="39" t="n">
        <v>58.6</v>
      </c>
      <c r="N283" s="39" t="n">
        <f aca="false">J283*Resumo!$C$6</f>
        <v>0</v>
      </c>
      <c r="O283" s="39" t="n">
        <f aca="false">J283*Resumo!$C$7</f>
        <v>1.469979</v>
      </c>
      <c r="P283" s="39" t="n">
        <f aca="false">J283*Resumo!$C$8</f>
        <v>1.469979</v>
      </c>
      <c r="Q283" s="39" t="n">
        <f aca="false">Resumo!$C$10*CEILING(I283/100,1)</f>
        <v>1.05</v>
      </c>
      <c r="R283" s="39" t="n">
        <f aca="false">Resumo!$C$9</f>
        <v>0</v>
      </c>
      <c r="S283" s="39" t="n">
        <f aca="false">Resumo!$C$13</f>
        <v>13.55</v>
      </c>
      <c r="T283" s="39" t="n">
        <f aca="false">Resumo!$C$14*CEILING(I283,1)</f>
        <v>23.85</v>
      </c>
      <c r="U283" s="39" t="n">
        <f aca="false">SUM(M283:T283)*Resumo!$C$11</f>
        <v>0</v>
      </c>
      <c r="V283" s="39" t="n">
        <f aca="false">SUM(M283:U283)</f>
        <v>99.989958</v>
      </c>
      <c r="W283" s="39" t="n">
        <f aca="false">V283/(1-Resumo!$C$5)</f>
        <v>113.624952272727</v>
      </c>
      <c r="X283" s="39" t="n">
        <v>112.3</v>
      </c>
      <c r="Y283" s="39" t="n">
        <f aca="false">J283*Resumo!$B$6</f>
        <v>0.69999</v>
      </c>
      <c r="Z283" s="39" t="n">
        <f aca="false">J283*Resumo!$B$7</f>
        <v>1.39998</v>
      </c>
      <c r="AA283" s="39" t="n">
        <f aca="false">Resumo!$B$9</f>
        <v>1</v>
      </c>
      <c r="AB283" s="39" t="n">
        <f aca="false">Resumo!$B$10*CEILING(I283/100,1)</f>
        <v>4.5</v>
      </c>
      <c r="AC283" s="39" t="n">
        <f aca="false">Resumo!$B$12*CEILING(I283,1)</f>
        <v>3.18</v>
      </c>
      <c r="AD283" s="39" t="n">
        <f aca="false">Resumo!$B$14*CEILING(I283,1)</f>
        <v>23.85</v>
      </c>
      <c r="AE283" s="39" t="n">
        <f aca="false">SUM(X283:AD283)</f>
        <v>146.92997</v>
      </c>
      <c r="AF283" s="39" t="n">
        <f aca="false">AE283/(1-Resumo!$B$5)</f>
        <v>166.965875</v>
      </c>
      <c r="AG283" s="39" t="n">
        <f aca="false">AF283-W283</f>
        <v>53.3409227272727</v>
      </c>
      <c r="AH283" s="40" t="n">
        <f aca="false">AF283/W283-1</f>
        <v>0.469447261894039</v>
      </c>
      <c r="AI283" s="37" t="str">
        <f aca="false">IF(AF283&lt;W283,"SIM","NÃO")</f>
        <v>NÃO</v>
      </c>
      <c r="AJ283" s="37" t="n">
        <v>2</v>
      </c>
      <c r="AK283" s="37" t="n">
        <v>5</v>
      </c>
      <c r="AL283" s="37" t="s">
        <v>343</v>
      </c>
      <c r="AM283" s="39" t="n">
        <v>114.5</v>
      </c>
    </row>
    <row r="284" customFormat="false" ht="15" hidden="false" customHeight="false" outlineLevel="0" collapsed="false">
      <c r="A284" s="37" t="n">
        <v>363265593</v>
      </c>
      <c r="B284" s="38" t="n">
        <v>46224.8861458333</v>
      </c>
      <c r="C284" s="37" t="s">
        <v>340</v>
      </c>
      <c r="D284" s="37" t="s">
        <v>630</v>
      </c>
      <c r="E284" s="37" t="n">
        <v>23520560</v>
      </c>
      <c r="F284" s="37" t="s">
        <v>159</v>
      </c>
      <c r="G284" s="37" t="s">
        <v>196</v>
      </c>
      <c r="H284" s="37" t="s">
        <v>185</v>
      </c>
      <c r="I284" s="37" t="n">
        <v>39.8</v>
      </c>
      <c r="J284" s="39" t="n">
        <v>449.99</v>
      </c>
      <c r="K284" s="37" t="s">
        <v>518</v>
      </c>
      <c r="L284" s="39" t="n">
        <v>94.13</v>
      </c>
      <c r="M284" s="39" t="n">
        <v>48.35</v>
      </c>
      <c r="N284" s="39" t="n">
        <f aca="false">J284*Resumo!$C$6</f>
        <v>0</v>
      </c>
      <c r="O284" s="39" t="n">
        <f aca="false">J284*Resumo!$C$7</f>
        <v>0.944979</v>
      </c>
      <c r="P284" s="39" t="n">
        <f aca="false">J284*Resumo!$C$8</f>
        <v>0.944979</v>
      </c>
      <c r="Q284" s="39" t="n">
        <f aca="false">Resumo!$C$10*CEILING(I284/100,1)</f>
        <v>1.05</v>
      </c>
      <c r="R284" s="39" t="n">
        <f aca="false">Resumo!$C$9</f>
        <v>0</v>
      </c>
      <c r="S284" s="39" t="n">
        <f aca="false">Resumo!$C$13</f>
        <v>13.55</v>
      </c>
      <c r="T284" s="39" t="n">
        <f aca="false">Resumo!$C$14*CEILING(I284,1)</f>
        <v>18</v>
      </c>
      <c r="U284" s="39" t="n">
        <f aca="false">SUM(M284:T284)*Resumo!$C$11</f>
        <v>0</v>
      </c>
      <c r="V284" s="39" t="n">
        <f aca="false">SUM(M284:U284)</f>
        <v>82.839958</v>
      </c>
      <c r="W284" s="39" t="n">
        <f aca="false">V284/(1-Resumo!$C$5)</f>
        <v>94.1363159090909</v>
      </c>
      <c r="X284" s="39" t="n">
        <v>93.97</v>
      </c>
      <c r="Y284" s="39" t="n">
        <f aca="false">J284*Resumo!$B$6</f>
        <v>0.44999</v>
      </c>
      <c r="Z284" s="39" t="n">
        <f aca="false">J284*Resumo!$B$7</f>
        <v>0.89998</v>
      </c>
      <c r="AA284" s="39" t="n">
        <f aca="false">Resumo!$B$9</f>
        <v>1</v>
      </c>
      <c r="AB284" s="39" t="n">
        <f aca="false">Resumo!$B$10*CEILING(I284/100,1)</f>
        <v>4.5</v>
      </c>
      <c r="AC284" s="39" t="n">
        <f aca="false">Resumo!$B$12*CEILING(I284,1)</f>
        <v>2.4</v>
      </c>
      <c r="AD284" s="39" t="n">
        <f aca="false">Resumo!$B$14*CEILING(I284,1)</f>
        <v>18</v>
      </c>
      <c r="AE284" s="39" t="n">
        <f aca="false">SUM(X284:AD284)</f>
        <v>121.21997</v>
      </c>
      <c r="AF284" s="39" t="n">
        <f aca="false">AE284/(1-Resumo!$B$5)</f>
        <v>137.749965909091</v>
      </c>
      <c r="AG284" s="39" t="n">
        <f aca="false">AF284-W284</f>
        <v>43.61365</v>
      </c>
      <c r="AH284" s="40" t="n">
        <f aca="false">AF284/W284-1</f>
        <v>0.463303132046494</v>
      </c>
      <c r="AI284" s="37" t="str">
        <f aca="false">IF(AF284&lt;W284,"SIM","NÃO")</f>
        <v>NÃO</v>
      </c>
      <c r="AJ284" s="37" t="n">
        <v>2</v>
      </c>
      <c r="AK284" s="37" t="n">
        <v>5</v>
      </c>
      <c r="AL284" s="37" t="s">
        <v>343</v>
      </c>
      <c r="AM284" s="39" t="n">
        <v>92.01</v>
      </c>
    </row>
    <row r="285" customFormat="false" ht="15" hidden="false" customHeight="false" outlineLevel="0" collapsed="false">
      <c r="A285" s="37" t="n">
        <v>363292006</v>
      </c>
      <c r="B285" s="38" t="n">
        <v>46224.9212152778</v>
      </c>
      <c r="C285" s="37" t="s">
        <v>340</v>
      </c>
      <c r="D285" s="37" t="s">
        <v>631</v>
      </c>
      <c r="E285" s="37" t="n">
        <v>23016010</v>
      </c>
      <c r="F285" s="37" t="s">
        <v>159</v>
      </c>
      <c r="G285" s="37" t="s">
        <v>196</v>
      </c>
      <c r="H285" s="37" t="s">
        <v>186</v>
      </c>
      <c r="I285" s="37" t="n">
        <v>46.8</v>
      </c>
      <c r="J285" s="39" t="n">
        <v>599.99</v>
      </c>
      <c r="K285" s="37" t="s">
        <v>518</v>
      </c>
      <c r="L285" s="39" t="n">
        <v>104.34</v>
      </c>
      <c r="M285" s="39" t="n">
        <v>53.55</v>
      </c>
      <c r="N285" s="39" t="n">
        <f aca="false">J285*Resumo!$C$6</f>
        <v>0</v>
      </c>
      <c r="O285" s="39" t="n">
        <f aca="false">J285*Resumo!$C$7</f>
        <v>1.259979</v>
      </c>
      <c r="P285" s="39" t="n">
        <f aca="false">J285*Resumo!$C$8</f>
        <v>1.259979</v>
      </c>
      <c r="Q285" s="39" t="n">
        <f aca="false">Resumo!$C$10*CEILING(I285/100,1)</f>
        <v>1.05</v>
      </c>
      <c r="R285" s="39" t="n">
        <f aca="false">Resumo!$C$9</f>
        <v>0</v>
      </c>
      <c r="S285" s="39" t="n">
        <f aca="false">Resumo!$C$13</f>
        <v>13.55</v>
      </c>
      <c r="T285" s="39" t="n">
        <f aca="false">Resumo!$C$14*CEILING(I285,1)</f>
        <v>21.15</v>
      </c>
      <c r="U285" s="39" t="n">
        <f aca="false">SUM(M285:T285)*Resumo!$C$11</f>
        <v>0</v>
      </c>
      <c r="V285" s="39" t="n">
        <f aca="false">SUM(M285:U285)</f>
        <v>91.819958</v>
      </c>
      <c r="W285" s="39" t="n">
        <f aca="false">V285/(1-Resumo!$C$5)</f>
        <v>104.340861363636</v>
      </c>
      <c r="X285" s="39" t="n">
        <v>93.97</v>
      </c>
      <c r="Y285" s="39" t="n">
        <f aca="false">J285*Resumo!$B$6</f>
        <v>0.59999</v>
      </c>
      <c r="Z285" s="39" t="n">
        <f aca="false">J285*Resumo!$B$7</f>
        <v>1.19998</v>
      </c>
      <c r="AA285" s="39" t="n">
        <f aca="false">Resumo!$B$9</f>
        <v>1</v>
      </c>
      <c r="AB285" s="39" t="n">
        <f aca="false">Resumo!$B$10*CEILING(I285/100,1)</f>
        <v>4.5</v>
      </c>
      <c r="AC285" s="39" t="n">
        <f aca="false">Resumo!$B$12*CEILING(I285,1)</f>
        <v>2.82</v>
      </c>
      <c r="AD285" s="39" t="n">
        <f aca="false">Resumo!$B$14*CEILING(I285,1)</f>
        <v>21.15</v>
      </c>
      <c r="AE285" s="39" t="n">
        <f aca="false">SUM(X285:AD285)</f>
        <v>125.23997</v>
      </c>
      <c r="AF285" s="39" t="n">
        <f aca="false">AE285/(1-Resumo!$B$5)</f>
        <v>142.318147727273</v>
      </c>
      <c r="AG285" s="39" t="n">
        <f aca="false">AF285-W285</f>
        <v>37.9772863636364</v>
      </c>
      <c r="AH285" s="40" t="n">
        <f aca="false">AF285/W285-1</f>
        <v>0.363973287811785</v>
      </c>
      <c r="AI285" s="37" t="str">
        <f aca="false">IF(AF285&lt;W285,"SIM","NÃO")</f>
        <v>NÃO</v>
      </c>
      <c r="AJ285" s="37" t="n">
        <v>2</v>
      </c>
      <c r="AK285" s="37" t="n">
        <v>5</v>
      </c>
      <c r="AL285" s="37" t="s">
        <v>343</v>
      </c>
      <c r="AM285" s="39" t="n">
        <v>103.46</v>
      </c>
    </row>
    <row r="286" customFormat="false" ht="15" hidden="false" customHeight="false" outlineLevel="0" collapsed="false">
      <c r="A286" s="37" t="n">
        <v>363532299</v>
      </c>
      <c r="B286" s="38" t="n">
        <v>46225.3809606481</v>
      </c>
      <c r="C286" s="37" t="s">
        <v>345</v>
      </c>
      <c r="D286" s="37" t="s">
        <v>632</v>
      </c>
      <c r="E286" s="37" t="n">
        <v>22790735</v>
      </c>
      <c r="F286" s="37" t="s">
        <v>159</v>
      </c>
      <c r="G286" s="37" t="s">
        <v>196</v>
      </c>
      <c r="H286" s="37" t="s">
        <v>187</v>
      </c>
      <c r="I286" s="37" t="n">
        <v>52.3</v>
      </c>
      <c r="J286" s="39" t="n">
        <v>637.57</v>
      </c>
      <c r="K286" s="37" t="s">
        <v>518</v>
      </c>
      <c r="L286" s="39" t="n">
        <v>113.33</v>
      </c>
      <c r="M286" s="39" t="n">
        <v>58.6</v>
      </c>
      <c r="N286" s="39" t="n">
        <f aca="false">J286*Resumo!$C$6</f>
        <v>0</v>
      </c>
      <c r="O286" s="39" t="n">
        <f aca="false">J286*Resumo!$C$7</f>
        <v>1.338897</v>
      </c>
      <c r="P286" s="39" t="n">
        <f aca="false">J286*Resumo!$C$8</f>
        <v>1.338897</v>
      </c>
      <c r="Q286" s="39" t="n">
        <f aca="false">Resumo!$C$10*CEILING(I286/100,1)</f>
        <v>1.05</v>
      </c>
      <c r="R286" s="39" t="n">
        <f aca="false">Resumo!$C$9</f>
        <v>0</v>
      </c>
      <c r="S286" s="39" t="n">
        <f aca="false">Resumo!$C$13</f>
        <v>13.55</v>
      </c>
      <c r="T286" s="39" t="n">
        <f aca="false">Resumo!$C$14*CEILING(I286,1)</f>
        <v>23.85</v>
      </c>
      <c r="U286" s="39" t="n">
        <f aca="false">SUM(M286:T286)*Resumo!$C$11</f>
        <v>0</v>
      </c>
      <c r="V286" s="39" t="n">
        <f aca="false">SUM(M286:U286)</f>
        <v>99.727794</v>
      </c>
      <c r="W286" s="39" t="n">
        <f aca="false">V286/(1-Resumo!$C$5)</f>
        <v>113.327038636364</v>
      </c>
      <c r="X286" s="39" t="n">
        <v>112.3</v>
      </c>
      <c r="Y286" s="39" t="n">
        <f aca="false">J286*Resumo!$B$6</f>
        <v>0.63757</v>
      </c>
      <c r="Z286" s="39" t="n">
        <f aca="false">J286*Resumo!$B$7</f>
        <v>1.27514</v>
      </c>
      <c r="AA286" s="39" t="n">
        <f aca="false">Resumo!$B$9</f>
        <v>1</v>
      </c>
      <c r="AB286" s="39" t="n">
        <f aca="false">Resumo!$B$10*CEILING(I286/100,1)</f>
        <v>4.5</v>
      </c>
      <c r="AC286" s="39" t="n">
        <f aca="false">Resumo!$B$12*CEILING(I286,1)</f>
        <v>3.18</v>
      </c>
      <c r="AD286" s="39" t="n">
        <f aca="false">Resumo!$B$14*CEILING(I286,1)</f>
        <v>23.85</v>
      </c>
      <c r="AE286" s="39" t="n">
        <f aca="false">SUM(X286:AD286)</f>
        <v>146.74271</v>
      </c>
      <c r="AF286" s="39" t="n">
        <f aca="false">AE286/(1-Resumo!$B$5)</f>
        <v>166.753079545455</v>
      </c>
      <c r="AG286" s="39" t="n">
        <f aca="false">AF286-W286</f>
        <v>53.4260409090909</v>
      </c>
      <c r="AH286" s="40" t="n">
        <f aca="false">AF286/W286-1</f>
        <v>0.471432427353201</v>
      </c>
      <c r="AI286" s="37" t="str">
        <f aca="false">IF(AF286&lt;W286,"SIM","NÃO")</f>
        <v>NÃO</v>
      </c>
      <c r="AJ286" s="37" t="n">
        <v>2</v>
      </c>
      <c r="AK286" s="37" t="n">
        <v>5</v>
      </c>
      <c r="AL286" s="37" t="s">
        <v>343</v>
      </c>
      <c r="AM286" s="39" t="n">
        <v>114.2</v>
      </c>
    </row>
    <row r="287" customFormat="false" ht="15" hidden="false" customHeight="false" outlineLevel="0" collapsed="false">
      <c r="A287" s="37" t="n">
        <v>363533063</v>
      </c>
      <c r="B287" s="38" t="n">
        <v>46225.3823726852</v>
      </c>
      <c r="C287" s="37" t="s">
        <v>340</v>
      </c>
      <c r="D287" s="37" t="s">
        <v>633</v>
      </c>
      <c r="E287" s="37" t="n">
        <v>24230000</v>
      </c>
      <c r="F287" s="37" t="s">
        <v>163</v>
      </c>
      <c r="G287" s="37" t="s">
        <v>197</v>
      </c>
      <c r="H287" s="37" t="s">
        <v>187</v>
      </c>
      <c r="I287" s="37" t="n">
        <v>52.3</v>
      </c>
      <c r="J287" s="39" t="n">
        <v>685.84</v>
      </c>
      <c r="K287" s="37" t="s">
        <v>518</v>
      </c>
      <c r="L287" s="39" t="n">
        <v>127.62</v>
      </c>
      <c r="M287" s="39" t="n">
        <v>70.98</v>
      </c>
      <c r="N287" s="39" t="n">
        <f aca="false">J287*Resumo!$C$6</f>
        <v>0</v>
      </c>
      <c r="O287" s="39" t="n">
        <f aca="false">J287*Resumo!$C$7</f>
        <v>1.440264</v>
      </c>
      <c r="P287" s="39" t="n">
        <f aca="false">J287*Resumo!$C$8</f>
        <v>1.440264</v>
      </c>
      <c r="Q287" s="39" t="n">
        <f aca="false">Resumo!$C$10*CEILING(I287/100,1)</f>
        <v>1.05</v>
      </c>
      <c r="R287" s="39" t="n">
        <f aca="false">Resumo!$C$9</f>
        <v>0</v>
      </c>
      <c r="S287" s="39" t="n">
        <f aca="false">Resumo!$C$13</f>
        <v>13.55</v>
      </c>
      <c r="T287" s="39" t="n">
        <f aca="false">Resumo!$C$14*CEILING(I287,1)</f>
        <v>23.85</v>
      </c>
      <c r="U287" s="39" t="n">
        <f aca="false">SUM(M287:T287)*Resumo!$C$11</f>
        <v>0</v>
      </c>
      <c r="V287" s="39" t="n">
        <f aca="false">SUM(M287:U287)</f>
        <v>112.310528</v>
      </c>
      <c r="W287" s="39" t="n">
        <f aca="false">V287/(1-Resumo!$C$5)</f>
        <v>127.6256</v>
      </c>
      <c r="X287" s="39" t="n">
        <v>128.14</v>
      </c>
      <c r="Y287" s="39" t="n">
        <f aca="false">J287*Resumo!$B$6</f>
        <v>0.68584</v>
      </c>
      <c r="Z287" s="39" t="n">
        <f aca="false">J287*Resumo!$B$7</f>
        <v>1.37168</v>
      </c>
      <c r="AA287" s="39" t="n">
        <f aca="false">Resumo!$B$9</f>
        <v>1</v>
      </c>
      <c r="AB287" s="39" t="n">
        <f aca="false">Resumo!$B$10*CEILING(I287/100,1)</f>
        <v>4.5</v>
      </c>
      <c r="AC287" s="39" t="n">
        <f aca="false">Resumo!$B$12*CEILING(I287,1)</f>
        <v>3.18</v>
      </c>
      <c r="AD287" s="39" t="n">
        <f aca="false">Resumo!$B$14*CEILING(I287,1)</f>
        <v>23.85</v>
      </c>
      <c r="AE287" s="39" t="n">
        <f aca="false">SUM(X287:AD287)</f>
        <v>162.72752</v>
      </c>
      <c r="AF287" s="39" t="n">
        <f aca="false">AE287/(1-Resumo!$B$5)</f>
        <v>184.917636363636</v>
      </c>
      <c r="AG287" s="39" t="n">
        <f aca="false">AF287-W287</f>
        <v>57.2920363636363</v>
      </c>
      <c r="AH287" s="40" t="n">
        <f aca="false">AF287/W287-1</f>
        <v>0.448907087321323</v>
      </c>
      <c r="AI287" s="37" t="str">
        <f aca="false">IF(AF287&lt;W287,"SIM","NÃO")</f>
        <v>NÃO</v>
      </c>
      <c r="AJ287" s="37" t="n">
        <v>2</v>
      </c>
      <c r="AK287" s="37" t="n">
        <v>7</v>
      </c>
      <c r="AL287" s="37" t="s">
        <v>343</v>
      </c>
      <c r="AM287" s="39" t="n">
        <v>128.57</v>
      </c>
    </row>
    <row r="288" customFormat="false" ht="15" hidden="false" customHeight="false" outlineLevel="0" collapsed="false">
      <c r="A288" s="37" t="n">
        <v>363572779</v>
      </c>
      <c r="B288" s="38" t="n">
        <v>46225.4376388889</v>
      </c>
      <c r="C288" s="37" t="s">
        <v>345</v>
      </c>
      <c r="D288" s="37" t="s">
        <v>634</v>
      </c>
      <c r="E288" s="37" t="n">
        <v>23520660</v>
      </c>
      <c r="F288" s="37" t="s">
        <v>159</v>
      </c>
      <c r="G288" s="37" t="s">
        <v>196</v>
      </c>
      <c r="H288" s="37" t="s">
        <v>184</v>
      </c>
      <c r="I288" s="37" t="n">
        <v>33.21</v>
      </c>
      <c r="J288" s="39" t="n">
        <v>377.9</v>
      </c>
      <c r="K288" s="37" t="s">
        <v>518</v>
      </c>
      <c r="L288" s="39" t="n">
        <v>83.62</v>
      </c>
      <c r="M288" s="39" t="n">
        <v>42.11</v>
      </c>
      <c r="N288" s="39" t="n">
        <f aca="false">J288*Resumo!$C$6</f>
        <v>0</v>
      </c>
      <c r="O288" s="39" t="n">
        <f aca="false">J288*Resumo!$C$7</f>
        <v>0.79359</v>
      </c>
      <c r="P288" s="39" t="n">
        <f aca="false">J288*Resumo!$C$8</f>
        <v>0.79359</v>
      </c>
      <c r="Q288" s="39" t="n">
        <f aca="false">Resumo!$C$10*CEILING(I288/100,1)</f>
        <v>1.05</v>
      </c>
      <c r="R288" s="39" t="n">
        <f aca="false">Resumo!$C$9</f>
        <v>0</v>
      </c>
      <c r="S288" s="39" t="n">
        <f aca="false">Resumo!$C$13</f>
        <v>13.55</v>
      </c>
      <c r="T288" s="39" t="n">
        <f aca="false">Resumo!$C$14*CEILING(I288,1)</f>
        <v>15.3</v>
      </c>
      <c r="U288" s="39" t="n">
        <f aca="false">SUM(M288:T288)*Resumo!$C$11</f>
        <v>0</v>
      </c>
      <c r="V288" s="39" t="n">
        <f aca="false">SUM(M288:U288)</f>
        <v>73.59718</v>
      </c>
      <c r="W288" s="39" t="n">
        <f aca="false">V288/(1-Resumo!$C$5)</f>
        <v>83.6331590909091</v>
      </c>
      <c r="X288" s="39" t="n">
        <v>82.21</v>
      </c>
      <c r="Y288" s="39" t="n">
        <f aca="false">J288*Resumo!$B$6</f>
        <v>0.3779</v>
      </c>
      <c r="Z288" s="39" t="n">
        <f aca="false">J288*Resumo!$B$7</f>
        <v>0.7558</v>
      </c>
      <c r="AA288" s="39" t="n">
        <f aca="false">Resumo!$B$9</f>
        <v>1</v>
      </c>
      <c r="AB288" s="39" t="n">
        <f aca="false">Resumo!$B$10*CEILING(I288/100,1)</f>
        <v>4.5</v>
      </c>
      <c r="AC288" s="39" t="n">
        <f aca="false">Resumo!$B$12*CEILING(I288,1)</f>
        <v>2.04</v>
      </c>
      <c r="AD288" s="39" t="n">
        <f aca="false">Resumo!$B$14*CEILING(I288,1)</f>
        <v>15.3</v>
      </c>
      <c r="AE288" s="39" t="n">
        <f aca="false">SUM(X288:AD288)</f>
        <v>106.1837</v>
      </c>
      <c r="AF288" s="39" t="n">
        <f aca="false">AE288/(1-Resumo!$B$5)</f>
        <v>120.663295454545</v>
      </c>
      <c r="AG288" s="39" t="n">
        <f aca="false">AF288-W288</f>
        <v>37.0301363636363</v>
      </c>
      <c r="AH288" s="40" t="n">
        <f aca="false">AF288/W288-1</f>
        <v>0.442768595209762</v>
      </c>
      <c r="AI288" s="37" t="str">
        <f aca="false">IF(AF288&lt;W288,"SIM","NÃO")</f>
        <v>NÃO</v>
      </c>
      <c r="AJ288" s="37" t="n">
        <v>2</v>
      </c>
      <c r="AK288" s="37" t="n">
        <v>5</v>
      </c>
      <c r="AL288" s="37" t="s">
        <v>343</v>
      </c>
      <c r="AM288" s="39" t="n">
        <v>82.14</v>
      </c>
    </row>
    <row r="289" customFormat="false" ht="15" hidden="false" customHeight="false" outlineLevel="0" collapsed="false">
      <c r="A289" s="37" t="n">
        <v>363602741</v>
      </c>
      <c r="B289" s="38" t="n">
        <v>46225.4850578704</v>
      </c>
      <c r="C289" s="37" t="s">
        <v>340</v>
      </c>
      <c r="D289" s="37" t="s">
        <v>635</v>
      </c>
      <c r="E289" s="37" t="n">
        <v>20755300</v>
      </c>
      <c r="F289" s="37" t="s">
        <v>159</v>
      </c>
      <c r="G289" s="37" t="s">
        <v>196</v>
      </c>
      <c r="H289" s="37" t="s">
        <v>187</v>
      </c>
      <c r="I289" s="37" t="n">
        <v>52.3</v>
      </c>
      <c r="J289" s="39" t="n">
        <v>685.84</v>
      </c>
      <c r="K289" s="37" t="s">
        <v>518</v>
      </c>
      <c r="L289" s="39" t="n">
        <v>113.56</v>
      </c>
      <c r="M289" s="39" t="n">
        <v>58.6</v>
      </c>
      <c r="N289" s="39" t="n">
        <f aca="false">J289*Resumo!$C$6</f>
        <v>0</v>
      </c>
      <c r="O289" s="39" t="n">
        <f aca="false">J289*Resumo!$C$7</f>
        <v>1.440264</v>
      </c>
      <c r="P289" s="39" t="n">
        <f aca="false">J289*Resumo!$C$8</f>
        <v>1.440264</v>
      </c>
      <c r="Q289" s="39" t="n">
        <f aca="false">Resumo!$C$10*CEILING(I289/100,1)</f>
        <v>1.05</v>
      </c>
      <c r="R289" s="39" t="n">
        <f aca="false">Resumo!$C$9</f>
        <v>0</v>
      </c>
      <c r="S289" s="39" t="n">
        <f aca="false">Resumo!$C$13</f>
        <v>13.55</v>
      </c>
      <c r="T289" s="39" t="n">
        <f aca="false">Resumo!$C$14*CEILING(I289,1)</f>
        <v>23.85</v>
      </c>
      <c r="U289" s="39" t="n">
        <f aca="false">SUM(M289:T289)*Resumo!$C$11</f>
        <v>0</v>
      </c>
      <c r="V289" s="39" t="n">
        <f aca="false">SUM(M289:U289)</f>
        <v>99.930528</v>
      </c>
      <c r="W289" s="39" t="n">
        <f aca="false">V289/(1-Resumo!$C$5)</f>
        <v>113.557418181818</v>
      </c>
      <c r="X289" s="39" t="n">
        <v>112.3</v>
      </c>
      <c r="Y289" s="39" t="n">
        <f aca="false">J289*Resumo!$B$6</f>
        <v>0.68584</v>
      </c>
      <c r="Z289" s="39" t="n">
        <f aca="false">J289*Resumo!$B$7</f>
        <v>1.37168</v>
      </c>
      <c r="AA289" s="39" t="n">
        <f aca="false">Resumo!$B$9</f>
        <v>1</v>
      </c>
      <c r="AB289" s="39" t="n">
        <f aca="false">Resumo!$B$10*CEILING(I289/100,1)</f>
        <v>4.5</v>
      </c>
      <c r="AC289" s="39" t="n">
        <f aca="false">Resumo!$B$12*CEILING(I289,1)</f>
        <v>3.18</v>
      </c>
      <c r="AD289" s="39" t="n">
        <f aca="false">Resumo!$B$14*CEILING(I289,1)</f>
        <v>23.85</v>
      </c>
      <c r="AE289" s="39" t="n">
        <f aca="false">SUM(X289:AD289)</f>
        <v>146.88752</v>
      </c>
      <c r="AF289" s="39" t="n">
        <f aca="false">AE289/(1-Resumo!$B$5)</f>
        <v>166.917636363636</v>
      </c>
      <c r="AG289" s="39" t="n">
        <f aca="false">AF289-W289</f>
        <v>53.3602181818182</v>
      </c>
      <c r="AH289" s="40" t="n">
        <f aca="false">AF289/W289-1</f>
        <v>0.469896366403668</v>
      </c>
      <c r="AI289" s="37" t="str">
        <f aca="false">IF(AF289&lt;W289,"SIM","NÃO")</f>
        <v>NÃO</v>
      </c>
      <c r="AJ289" s="37" t="n">
        <v>2</v>
      </c>
      <c r="AK289" s="37" t="n">
        <v>5</v>
      </c>
      <c r="AL289" s="37" t="s">
        <v>343</v>
      </c>
      <c r="AM289" s="39" t="n">
        <v>114.44</v>
      </c>
    </row>
    <row r="290" customFormat="false" ht="15" hidden="false" customHeight="false" outlineLevel="0" collapsed="false">
      <c r="A290" s="37" t="n">
        <v>363655738</v>
      </c>
      <c r="B290" s="38" t="n">
        <v>46225.5594097222</v>
      </c>
      <c r="C290" s="37" t="s">
        <v>340</v>
      </c>
      <c r="D290" s="37" t="s">
        <v>636</v>
      </c>
      <c r="E290" s="37" t="n">
        <v>26560540</v>
      </c>
      <c r="F290" s="37" t="s">
        <v>175</v>
      </c>
      <c r="G290" s="37" t="s">
        <v>197</v>
      </c>
      <c r="H290" s="37" t="s">
        <v>184</v>
      </c>
      <c r="I290" s="37" t="n">
        <v>27.4</v>
      </c>
      <c r="J290" s="39" t="n">
        <v>359.99</v>
      </c>
      <c r="K290" s="37" t="s">
        <v>518</v>
      </c>
      <c r="L290" s="39" t="n">
        <v>99.45</v>
      </c>
      <c r="M290" s="39" t="n">
        <v>58.8</v>
      </c>
      <c r="N290" s="39" t="n">
        <f aca="false">J290*Resumo!$C$6</f>
        <v>0</v>
      </c>
      <c r="O290" s="39" t="n">
        <f aca="false">J290*Resumo!$C$7</f>
        <v>0.755979</v>
      </c>
      <c r="P290" s="39" t="n">
        <f aca="false">J290*Resumo!$C$8</f>
        <v>0.755979</v>
      </c>
      <c r="Q290" s="39" t="n">
        <f aca="false">Resumo!$C$10*CEILING(I290/100,1)</f>
        <v>1.05</v>
      </c>
      <c r="R290" s="39" t="n">
        <f aca="false">Resumo!$C$9</f>
        <v>0</v>
      </c>
      <c r="S290" s="39" t="n">
        <f aca="false">Resumo!$C$13</f>
        <v>13.55</v>
      </c>
      <c r="T290" s="39" t="n">
        <f aca="false">Resumo!$C$14*CEILING(I290,1)</f>
        <v>12.6</v>
      </c>
      <c r="U290" s="39" t="n">
        <f aca="false">SUM(M290:T290)*Resumo!$C$11</f>
        <v>0</v>
      </c>
      <c r="V290" s="39" t="n">
        <f aca="false">SUM(M290:U290)</f>
        <v>87.511958</v>
      </c>
      <c r="W290" s="39" t="n">
        <f aca="false">V290/(1-Resumo!$C$5)</f>
        <v>99.4454068181818</v>
      </c>
      <c r="X290" s="39" t="n">
        <v>82.21</v>
      </c>
      <c r="Y290" s="39" t="n">
        <f aca="false">J290*Resumo!$B$6</f>
        <v>0.35999</v>
      </c>
      <c r="Z290" s="39" t="n">
        <f aca="false">J290*Resumo!$B$7</f>
        <v>0.71998</v>
      </c>
      <c r="AA290" s="39" t="n">
        <f aca="false">Resumo!$B$9</f>
        <v>1</v>
      </c>
      <c r="AB290" s="39" t="n">
        <f aca="false">Resumo!$B$10*CEILING(I290/100,1)</f>
        <v>4.5</v>
      </c>
      <c r="AC290" s="39" t="n">
        <f aca="false">Resumo!$B$12*CEILING(I290,1)</f>
        <v>1.68</v>
      </c>
      <c r="AD290" s="39" t="n">
        <f aca="false">Resumo!$B$14*CEILING(I290,1)</f>
        <v>12.6</v>
      </c>
      <c r="AE290" s="39" t="n">
        <f aca="false">SUM(X290:AD290)</f>
        <v>103.06997</v>
      </c>
      <c r="AF290" s="39" t="n">
        <f aca="false">AE290/(1-Resumo!$B$5)</f>
        <v>117.124965909091</v>
      </c>
      <c r="AG290" s="39" t="n">
        <f aca="false">AF290-W290</f>
        <v>17.6795590909091</v>
      </c>
      <c r="AH290" s="40" t="n">
        <f aca="false">AF290/W290-1</f>
        <v>0.177781555293278</v>
      </c>
      <c r="AI290" s="37" t="str">
        <f aca="false">IF(AF290&lt;W290,"SIM","NÃO")</f>
        <v>NÃO</v>
      </c>
      <c r="AJ290" s="37" t="n">
        <v>2</v>
      </c>
      <c r="AK290" s="37" t="n">
        <v>5</v>
      </c>
      <c r="AL290" s="37" t="s">
        <v>343</v>
      </c>
      <c r="AM290" s="39" t="n">
        <v>101.11</v>
      </c>
    </row>
    <row r="291" customFormat="false" ht="15" hidden="false" customHeight="false" outlineLevel="0" collapsed="false">
      <c r="A291" s="37" t="n">
        <v>363763804</v>
      </c>
      <c r="B291" s="38" t="n">
        <v>46225.7134259259</v>
      </c>
      <c r="C291" s="37" t="s">
        <v>375</v>
      </c>
      <c r="D291" s="37" t="s">
        <v>637</v>
      </c>
      <c r="E291" s="37" t="n">
        <v>21655340</v>
      </c>
      <c r="F291" s="37" t="s">
        <v>159</v>
      </c>
      <c r="G291" s="37" t="s">
        <v>196</v>
      </c>
      <c r="H291" s="37" t="s">
        <v>186</v>
      </c>
      <c r="I291" s="37" t="n">
        <v>48</v>
      </c>
      <c r="J291" s="39" t="n">
        <v>737.99</v>
      </c>
      <c r="K291" s="37" t="s">
        <v>342</v>
      </c>
      <c r="L291" s="39" t="n">
        <v>104.14</v>
      </c>
      <c r="M291" s="39" t="n">
        <v>53.55</v>
      </c>
      <c r="N291" s="39" t="n">
        <f aca="false">J291*Resumo!$C$6</f>
        <v>0</v>
      </c>
      <c r="O291" s="39" t="n">
        <f aca="false">J291*Resumo!$C$7</f>
        <v>1.549779</v>
      </c>
      <c r="P291" s="39" t="n">
        <f aca="false">J291*Resumo!$C$8</f>
        <v>1.549779</v>
      </c>
      <c r="Q291" s="39" t="n">
        <f aca="false">Resumo!$C$10*CEILING(I291/100,1)</f>
        <v>1.05</v>
      </c>
      <c r="R291" s="39" t="n">
        <f aca="false">Resumo!$C$9</f>
        <v>0</v>
      </c>
      <c r="S291" s="39" t="n">
        <f aca="false">Resumo!$C$13</f>
        <v>13.55</v>
      </c>
      <c r="T291" s="39" t="n">
        <f aca="false">Resumo!$C$14*CEILING(I291,1)</f>
        <v>21.6</v>
      </c>
      <c r="U291" s="39" t="n">
        <f aca="false">SUM(M291:T291)*Resumo!$C$11</f>
        <v>0</v>
      </c>
      <c r="V291" s="39" t="n">
        <f aca="false">SUM(M291:U291)</f>
        <v>92.849558</v>
      </c>
      <c r="W291" s="39" t="n">
        <f aca="false">V291/(1-Resumo!$C$5)</f>
        <v>105.510861363636</v>
      </c>
      <c r="X291" s="39" t="n">
        <v>93.97</v>
      </c>
      <c r="Y291" s="39" t="n">
        <f aca="false">J291*Resumo!$B$6</f>
        <v>0.73799</v>
      </c>
      <c r="Z291" s="39" t="n">
        <f aca="false">J291*Resumo!$B$7</f>
        <v>1.47598</v>
      </c>
      <c r="AA291" s="39" t="n">
        <f aca="false">Resumo!$B$9</f>
        <v>1</v>
      </c>
      <c r="AB291" s="39" t="n">
        <f aca="false">Resumo!$B$10*CEILING(I291/100,1)</f>
        <v>4.5</v>
      </c>
      <c r="AC291" s="39" t="n">
        <f aca="false">Resumo!$B$12*CEILING(I291,1)</f>
        <v>2.88</v>
      </c>
      <c r="AD291" s="39" t="n">
        <f aca="false">Resumo!$B$14*CEILING(I291,1)</f>
        <v>21.6</v>
      </c>
      <c r="AE291" s="39" t="n">
        <f aca="false">SUM(X291:AD291)</f>
        <v>126.16397</v>
      </c>
      <c r="AF291" s="39" t="n">
        <f aca="false">AE291/(1-Resumo!$B$5)</f>
        <v>143.368147727273</v>
      </c>
      <c r="AG291" s="39" t="n">
        <f aca="false">AF291-W291</f>
        <v>37.8572863636364</v>
      </c>
      <c r="AH291" s="40" t="n">
        <f aca="false">AF291/W291-1</f>
        <v>0.358799898648952</v>
      </c>
      <c r="AI291" s="37" t="str">
        <f aca="false">IF(AF291&lt;W291,"SIM","NÃO")</f>
        <v>NÃO</v>
      </c>
      <c r="AJ291" s="37" t="n">
        <v>2</v>
      </c>
      <c r="AK291" s="37" t="n">
        <v>5</v>
      </c>
      <c r="AL291" s="37" t="s">
        <v>343</v>
      </c>
      <c r="AM291" s="39" t="n">
        <v>104.12</v>
      </c>
    </row>
    <row r="292" customFormat="false" ht="15" hidden="false" customHeight="false" outlineLevel="0" collapsed="false">
      <c r="A292" s="37" t="n">
        <v>363787812</v>
      </c>
      <c r="B292" s="38" t="n">
        <v>46225.7394791667</v>
      </c>
      <c r="C292" s="37" t="s">
        <v>340</v>
      </c>
      <c r="D292" s="37" t="s">
        <v>638</v>
      </c>
      <c r="E292" s="37" t="n">
        <v>21635100</v>
      </c>
      <c r="F292" s="37" t="s">
        <v>159</v>
      </c>
      <c r="G292" s="37" t="s">
        <v>196</v>
      </c>
      <c r="H292" s="37" t="s">
        <v>184</v>
      </c>
      <c r="I292" s="37" t="n">
        <v>27.4</v>
      </c>
      <c r="J292" s="39" t="n">
        <v>359.99</v>
      </c>
      <c r="K292" s="37" t="s">
        <v>342</v>
      </c>
      <c r="L292" s="39" t="n">
        <v>82.05</v>
      </c>
      <c r="M292" s="39" t="n">
        <v>42.11</v>
      </c>
      <c r="N292" s="39" t="n">
        <f aca="false">J292*Resumo!$C$6</f>
        <v>0</v>
      </c>
      <c r="O292" s="39" t="n">
        <f aca="false">J292*Resumo!$C$7</f>
        <v>0.755979</v>
      </c>
      <c r="P292" s="39" t="n">
        <f aca="false">J292*Resumo!$C$8</f>
        <v>0.755979</v>
      </c>
      <c r="Q292" s="39" t="n">
        <f aca="false">Resumo!$C$10*CEILING(I292/100,1)</f>
        <v>1.05</v>
      </c>
      <c r="R292" s="39" t="n">
        <f aca="false">Resumo!$C$9</f>
        <v>0</v>
      </c>
      <c r="S292" s="39" t="n">
        <f aca="false">Resumo!$C$13</f>
        <v>13.55</v>
      </c>
      <c r="T292" s="39" t="n">
        <f aca="false">Resumo!$C$14*CEILING(I292,1)</f>
        <v>12.6</v>
      </c>
      <c r="U292" s="39" t="n">
        <f aca="false">SUM(M292:T292)*Resumo!$C$11</f>
        <v>0</v>
      </c>
      <c r="V292" s="39" t="n">
        <f aca="false">SUM(M292:U292)</f>
        <v>70.821958</v>
      </c>
      <c r="W292" s="39" t="n">
        <f aca="false">V292/(1-Resumo!$C$5)</f>
        <v>80.4794977272727</v>
      </c>
      <c r="X292" s="39" t="n">
        <v>82.21</v>
      </c>
      <c r="Y292" s="39" t="n">
        <f aca="false">J292*Resumo!$B$6</f>
        <v>0.35999</v>
      </c>
      <c r="Z292" s="39" t="n">
        <f aca="false">J292*Resumo!$B$7</f>
        <v>0.71998</v>
      </c>
      <c r="AA292" s="39" t="n">
        <f aca="false">Resumo!$B$9</f>
        <v>1</v>
      </c>
      <c r="AB292" s="39" t="n">
        <f aca="false">Resumo!$B$10*CEILING(I292/100,1)</f>
        <v>4.5</v>
      </c>
      <c r="AC292" s="39" t="n">
        <f aca="false">Resumo!$B$12*CEILING(I292,1)</f>
        <v>1.68</v>
      </c>
      <c r="AD292" s="39" t="n">
        <f aca="false">Resumo!$B$14*CEILING(I292,1)</f>
        <v>12.6</v>
      </c>
      <c r="AE292" s="39" t="n">
        <f aca="false">SUM(X292:AD292)</f>
        <v>103.06997</v>
      </c>
      <c r="AF292" s="39" t="n">
        <f aca="false">AE292/(1-Resumo!$B$5)</f>
        <v>117.124965909091</v>
      </c>
      <c r="AG292" s="39" t="n">
        <f aca="false">AF292-W292</f>
        <v>36.6454681818182</v>
      </c>
      <c r="AH292" s="40" t="n">
        <f aca="false">AF292/W292-1</f>
        <v>0.455339176022216</v>
      </c>
      <c r="AI292" s="37" t="str">
        <f aca="false">IF(AF292&lt;W292,"SIM","NÃO")</f>
        <v>NÃO</v>
      </c>
      <c r="AJ292" s="37" t="n">
        <v>2</v>
      </c>
      <c r="AK292" s="37" t="n">
        <v>5</v>
      </c>
      <c r="AL292" s="37" t="s">
        <v>343</v>
      </c>
      <c r="AM292" s="39" t="n">
        <v>82.05</v>
      </c>
    </row>
    <row r="293" customFormat="false" ht="15" hidden="false" customHeight="false" outlineLevel="0" collapsed="false">
      <c r="A293" s="37" t="n">
        <v>363848931</v>
      </c>
      <c r="B293" s="38" t="n">
        <v>46225.8247800926</v>
      </c>
      <c r="C293" s="37" t="s">
        <v>340</v>
      </c>
      <c r="D293" s="37" t="s">
        <v>639</v>
      </c>
      <c r="E293" s="37" t="n">
        <v>24910750</v>
      </c>
      <c r="F293" s="37" t="s">
        <v>171</v>
      </c>
      <c r="G293" s="37" t="s">
        <v>198</v>
      </c>
      <c r="H293" s="37" t="s">
        <v>185</v>
      </c>
      <c r="I293" s="37" t="n">
        <v>40</v>
      </c>
      <c r="J293" s="39" t="n">
        <v>599.99</v>
      </c>
      <c r="K293" s="37" t="s">
        <v>518</v>
      </c>
      <c r="L293" s="39" t="n">
        <v>125.1</v>
      </c>
      <c r="M293" s="39" t="n">
        <v>74.97</v>
      </c>
      <c r="N293" s="39" t="n">
        <f aca="false">J293*Resumo!$C$6</f>
        <v>0</v>
      </c>
      <c r="O293" s="39" t="n">
        <f aca="false">J293*Resumo!$C$7</f>
        <v>1.259979</v>
      </c>
      <c r="P293" s="39" t="n">
        <f aca="false">J293*Resumo!$C$8</f>
        <v>1.259979</v>
      </c>
      <c r="Q293" s="39" t="n">
        <f aca="false">Resumo!$C$10*CEILING(I293/100,1)</f>
        <v>1.05</v>
      </c>
      <c r="R293" s="39" t="n">
        <f aca="false">Resumo!$C$9</f>
        <v>0</v>
      </c>
      <c r="S293" s="39" t="n">
        <f aca="false">Resumo!$C$13</f>
        <v>13.55</v>
      </c>
      <c r="T293" s="39" t="n">
        <f aca="false">Resumo!$C$14*CEILING(I293,1)</f>
        <v>18</v>
      </c>
      <c r="U293" s="39" t="n">
        <f aca="false">SUM(M293:T293)*Resumo!$C$11</f>
        <v>0</v>
      </c>
      <c r="V293" s="39" t="n">
        <f aca="false">SUM(M293:U293)</f>
        <v>110.089958</v>
      </c>
      <c r="W293" s="39" t="n">
        <f aca="false">V293/(1-Resumo!$C$5)</f>
        <v>125.102225</v>
      </c>
      <c r="X293" s="39" t="n">
        <v>114.95</v>
      </c>
      <c r="Y293" s="39" t="n">
        <f aca="false">J293*Resumo!$B$6</f>
        <v>0.59999</v>
      </c>
      <c r="Z293" s="39" t="n">
        <f aca="false">J293*Resumo!$B$7</f>
        <v>1.19998</v>
      </c>
      <c r="AA293" s="39" t="n">
        <f aca="false">Resumo!$B$9</f>
        <v>1</v>
      </c>
      <c r="AB293" s="39" t="n">
        <f aca="false">Resumo!$B$10*CEILING(I293/100,1)</f>
        <v>4.5</v>
      </c>
      <c r="AC293" s="39" t="n">
        <f aca="false">Resumo!$B$12*CEILING(I293,1)</f>
        <v>2.4</v>
      </c>
      <c r="AD293" s="39" t="n">
        <f aca="false">Resumo!$B$14*CEILING(I293,1)</f>
        <v>18</v>
      </c>
      <c r="AE293" s="39" t="n">
        <f aca="false">SUM(X293:AD293)</f>
        <v>142.64997</v>
      </c>
      <c r="AF293" s="39" t="n">
        <f aca="false">AE293/(1-Resumo!$B$5)</f>
        <v>162.102238636364</v>
      </c>
      <c r="AG293" s="39" t="n">
        <f aca="false">AF293-W293</f>
        <v>37.0000136363637</v>
      </c>
      <c r="AH293" s="40" t="n">
        <f aca="false">AF293/W293-1</f>
        <v>0.29575823800387</v>
      </c>
      <c r="AI293" s="37" t="str">
        <f aca="false">IF(AF293&lt;W293,"SIM","NÃO")</f>
        <v>NÃO</v>
      </c>
      <c r="AJ293" s="37" t="n">
        <v>13</v>
      </c>
      <c r="AK293" s="37" t="n">
        <v>7</v>
      </c>
      <c r="AL293" s="37" t="s">
        <v>343</v>
      </c>
      <c r="AM293" s="39" t="n">
        <v>123.12</v>
      </c>
    </row>
    <row r="294" customFormat="false" ht="15" hidden="false" customHeight="false" outlineLevel="0" collapsed="false">
      <c r="A294" s="37" t="n">
        <v>363872952</v>
      </c>
      <c r="B294" s="38" t="n">
        <v>46225.8529166667</v>
      </c>
      <c r="C294" s="37" t="s">
        <v>340</v>
      </c>
      <c r="D294" s="37" t="s">
        <v>640</v>
      </c>
      <c r="E294" s="37" t="n">
        <v>20211350</v>
      </c>
      <c r="F294" s="37" t="s">
        <v>159</v>
      </c>
      <c r="G294" s="37" t="s">
        <v>196</v>
      </c>
      <c r="H294" s="37" t="s">
        <v>187</v>
      </c>
      <c r="I294" s="37" t="n">
        <v>52.3</v>
      </c>
      <c r="J294" s="39" t="n">
        <v>699.99</v>
      </c>
      <c r="K294" s="37" t="s">
        <v>518</v>
      </c>
      <c r="L294" s="39" t="n">
        <v>113.63</v>
      </c>
      <c r="M294" s="39" t="n">
        <v>58.6</v>
      </c>
      <c r="N294" s="39" t="n">
        <f aca="false">J294*Resumo!$C$6</f>
        <v>0</v>
      </c>
      <c r="O294" s="39" t="n">
        <f aca="false">J294*Resumo!$C$7</f>
        <v>1.469979</v>
      </c>
      <c r="P294" s="39" t="n">
        <f aca="false">J294*Resumo!$C$8</f>
        <v>1.469979</v>
      </c>
      <c r="Q294" s="39" t="n">
        <f aca="false">Resumo!$C$10*CEILING(I294/100,1)</f>
        <v>1.05</v>
      </c>
      <c r="R294" s="39" t="n">
        <f aca="false">Resumo!$C$9</f>
        <v>0</v>
      </c>
      <c r="S294" s="39" t="n">
        <f aca="false">Resumo!$C$13</f>
        <v>13.55</v>
      </c>
      <c r="T294" s="39" t="n">
        <f aca="false">Resumo!$C$14*CEILING(I294,1)</f>
        <v>23.85</v>
      </c>
      <c r="U294" s="39" t="n">
        <f aca="false">SUM(M294:T294)*Resumo!$C$11</f>
        <v>0</v>
      </c>
      <c r="V294" s="39" t="n">
        <f aca="false">SUM(M294:U294)</f>
        <v>99.989958</v>
      </c>
      <c r="W294" s="39" t="n">
        <f aca="false">V294/(1-Resumo!$C$5)</f>
        <v>113.624952272727</v>
      </c>
      <c r="X294" s="39" t="n">
        <v>112.3</v>
      </c>
      <c r="Y294" s="39" t="n">
        <f aca="false">J294*Resumo!$B$6</f>
        <v>0.69999</v>
      </c>
      <c r="Z294" s="39" t="n">
        <f aca="false">J294*Resumo!$B$7</f>
        <v>1.39998</v>
      </c>
      <c r="AA294" s="39" t="n">
        <f aca="false">Resumo!$B$9</f>
        <v>1</v>
      </c>
      <c r="AB294" s="39" t="n">
        <f aca="false">Resumo!$B$10*CEILING(I294/100,1)</f>
        <v>4.5</v>
      </c>
      <c r="AC294" s="39" t="n">
        <f aca="false">Resumo!$B$12*CEILING(I294,1)</f>
        <v>3.18</v>
      </c>
      <c r="AD294" s="39" t="n">
        <f aca="false">Resumo!$B$14*CEILING(I294,1)</f>
        <v>23.85</v>
      </c>
      <c r="AE294" s="39" t="n">
        <f aca="false">SUM(X294:AD294)</f>
        <v>146.92997</v>
      </c>
      <c r="AF294" s="39" t="n">
        <f aca="false">AE294/(1-Resumo!$B$5)</f>
        <v>166.965875</v>
      </c>
      <c r="AG294" s="39" t="n">
        <f aca="false">AF294-W294</f>
        <v>53.3409227272727</v>
      </c>
      <c r="AH294" s="40" t="n">
        <f aca="false">AF294/W294-1</f>
        <v>0.469447261894039</v>
      </c>
      <c r="AI294" s="37" t="str">
        <f aca="false">IF(AF294&lt;W294,"SIM","NÃO")</f>
        <v>NÃO</v>
      </c>
      <c r="AJ294" s="37" t="n">
        <v>2</v>
      </c>
      <c r="AK294" s="37" t="n">
        <v>5</v>
      </c>
      <c r="AL294" s="37" t="s">
        <v>343</v>
      </c>
      <c r="AM294" s="39" t="n">
        <v>114.5</v>
      </c>
    </row>
    <row r="295" customFormat="false" ht="15" hidden="false" customHeight="false" outlineLevel="0" collapsed="false">
      <c r="A295" s="37" t="n">
        <v>363897578</v>
      </c>
      <c r="B295" s="38" t="n">
        <v>46225.8781481482</v>
      </c>
      <c r="C295" s="37" t="s">
        <v>340</v>
      </c>
      <c r="D295" s="37" t="s">
        <v>641</v>
      </c>
      <c r="E295" s="37" t="n">
        <v>23510242</v>
      </c>
      <c r="F295" s="37" t="s">
        <v>159</v>
      </c>
      <c r="G295" s="37" t="s">
        <v>196</v>
      </c>
      <c r="H295" s="37" t="s">
        <v>186</v>
      </c>
      <c r="I295" s="37" t="n">
        <v>43.5</v>
      </c>
      <c r="J295" s="39" t="n">
        <v>769.99</v>
      </c>
      <c r="K295" s="37" t="s">
        <v>518</v>
      </c>
      <c r="L295" s="39" t="n">
        <v>103.63</v>
      </c>
      <c r="M295" s="39" t="n">
        <v>53.55</v>
      </c>
      <c r="N295" s="39" t="n">
        <f aca="false">J295*Resumo!$C$6</f>
        <v>0</v>
      </c>
      <c r="O295" s="39" t="n">
        <f aca="false">J295*Resumo!$C$7</f>
        <v>1.616979</v>
      </c>
      <c r="P295" s="39" t="n">
        <f aca="false">J295*Resumo!$C$8</f>
        <v>1.616979</v>
      </c>
      <c r="Q295" s="39" t="n">
        <f aca="false">Resumo!$C$10*CEILING(I295/100,1)</f>
        <v>1.05</v>
      </c>
      <c r="R295" s="39" t="n">
        <f aca="false">Resumo!$C$9</f>
        <v>0</v>
      </c>
      <c r="S295" s="39" t="n">
        <f aca="false">Resumo!$C$13</f>
        <v>13.55</v>
      </c>
      <c r="T295" s="39" t="n">
        <f aca="false">Resumo!$C$14*CEILING(I295,1)</f>
        <v>19.8</v>
      </c>
      <c r="U295" s="39" t="n">
        <f aca="false">SUM(M295:T295)*Resumo!$C$11</f>
        <v>0</v>
      </c>
      <c r="V295" s="39" t="n">
        <f aca="false">SUM(M295:U295)</f>
        <v>91.183958</v>
      </c>
      <c r="W295" s="39" t="n">
        <f aca="false">V295/(1-Resumo!$C$5)</f>
        <v>103.618134090909</v>
      </c>
      <c r="X295" s="39" t="n">
        <v>93.97</v>
      </c>
      <c r="Y295" s="39" t="n">
        <f aca="false">J295*Resumo!$B$6</f>
        <v>0.76999</v>
      </c>
      <c r="Z295" s="39" t="n">
        <f aca="false">J295*Resumo!$B$7</f>
        <v>1.53998</v>
      </c>
      <c r="AA295" s="39" t="n">
        <f aca="false">Resumo!$B$9</f>
        <v>1</v>
      </c>
      <c r="AB295" s="39" t="n">
        <f aca="false">Resumo!$B$10*CEILING(I295/100,1)</f>
        <v>4.5</v>
      </c>
      <c r="AC295" s="39" t="n">
        <f aca="false">Resumo!$B$12*CEILING(I295,1)</f>
        <v>2.64</v>
      </c>
      <c r="AD295" s="39" t="n">
        <f aca="false">Resumo!$B$14*CEILING(I295,1)</f>
        <v>19.8</v>
      </c>
      <c r="AE295" s="39" t="n">
        <f aca="false">SUM(X295:AD295)</f>
        <v>124.21997</v>
      </c>
      <c r="AF295" s="39" t="n">
        <f aca="false">AE295/(1-Resumo!$B$5)</f>
        <v>141.159056818182</v>
      </c>
      <c r="AG295" s="39" t="n">
        <f aca="false">AF295-W295</f>
        <v>37.5409227272727</v>
      </c>
      <c r="AH295" s="40" t="n">
        <f aca="false">AF295/W295-1</f>
        <v>0.362300702059895</v>
      </c>
      <c r="AI295" s="37" t="str">
        <f aca="false">IF(AF295&lt;W295,"SIM","NÃO")</f>
        <v>NÃO</v>
      </c>
      <c r="AJ295" s="37" t="n">
        <v>2</v>
      </c>
      <c r="AK295" s="37" t="n">
        <v>5</v>
      </c>
      <c r="AL295" s="37" t="s">
        <v>343</v>
      </c>
      <c r="AM295" s="39" t="n">
        <v>104.28</v>
      </c>
    </row>
    <row r="296" customFormat="false" ht="15" hidden="false" customHeight="false" outlineLevel="0" collapsed="false">
      <c r="A296" s="37" t="n">
        <v>363921126</v>
      </c>
      <c r="B296" s="38" t="n">
        <v>46225.8906365741</v>
      </c>
      <c r="C296" s="37" t="s">
        <v>537</v>
      </c>
      <c r="D296" s="37" t="s">
        <v>642</v>
      </c>
      <c r="E296" s="37" t="n">
        <v>22730305</v>
      </c>
      <c r="F296" s="37" t="s">
        <v>159</v>
      </c>
      <c r="G296" s="37" t="s">
        <v>196</v>
      </c>
      <c r="H296" s="37" t="s">
        <v>186</v>
      </c>
      <c r="I296" s="37" t="n">
        <v>49.6</v>
      </c>
      <c r="J296" s="39" t="n">
        <v>649.79</v>
      </c>
      <c r="K296" s="37" t="s">
        <v>342</v>
      </c>
      <c r="L296" s="39" t="n">
        <v>103.7</v>
      </c>
      <c r="M296" s="39" t="n">
        <v>53.55</v>
      </c>
      <c r="N296" s="39" t="n">
        <f aca="false">J296*Resumo!$C$6</f>
        <v>0</v>
      </c>
      <c r="O296" s="39" t="n">
        <f aca="false">J296*Resumo!$C$7</f>
        <v>1.364559</v>
      </c>
      <c r="P296" s="39" t="n">
        <f aca="false">J296*Resumo!$C$8</f>
        <v>1.364559</v>
      </c>
      <c r="Q296" s="39" t="n">
        <f aca="false">Resumo!$C$10*CEILING(I296/100,1)</f>
        <v>1.05</v>
      </c>
      <c r="R296" s="39" t="n">
        <f aca="false">Resumo!$C$9</f>
        <v>0</v>
      </c>
      <c r="S296" s="39" t="n">
        <f aca="false">Resumo!$C$13</f>
        <v>13.55</v>
      </c>
      <c r="T296" s="39" t="n">
        <f aca="false">Resumo!$C$14*CEILING(I296,1)</f>
        <v>22.5</v>
      </c>
      <c r="U296" s="39" t="n">
        <f aca="false">SUM(M296:T296)*Resumo!$C$11</f>
        <v>0</v>
      </c>
      <c r="V296" s="39" t="n">
        <f aca="false">SUM(M296:U296)</f>
        <v>93.379118</v>
      </c>
      <c r="W296" s="39" t="n">
        <f aca="false">V296/(1-Resumo!$C$5)</f>
        <v>106.112634090909</v>
      </c>
      <c r="X296" s="39" t="n">
        <v>93.97</v>
      </c>
      <c r="Y296" s="39" t="n">
        <f aca="false">J296*Resumo!$B$6</f>
        <v>0.64979</v>
      </c>
      <c r="Z296" s="39" t="n">
        <f aca="false">J296*Resumo!$B$7</f>
        <v>1.29958</v>
      </c>
      <c r="AA296" s="39" t="n">
        <f aca="false">Resumo!$B$9</f>
        <v>1</v>
      </c>
      <c r="AB296" s="39" t="n">
        <f aca="false">Resumo!$B$10*CEILING(I296/100,1)</f>
        <v>4.5</v>
      </c>
      <c r="AC296" s="39" t="n">
        <f aca="false">Resumo!$B$12*CEILING(I296,1)</f>
        <v>3</v>
      </c>
      <c r="AD296" s="39" t="n">
        <f aca="false">Resumo!$B$14*CEILING(I296,1)</f>
        <v>22.5</v>
      </c>
      <c r="AE296" s="39" t="n">
        <f aca="false">SUM(X296:AD296)</f>
        <v>126.91937</v>
      </c>
      <c r="AF296" s="39" t="n">
        <f aca="false">AE296/(1-Resumo!$B$5)</f>
        <v>144.226556818182</v>
      </c>
      <c r="AG296" s="39" t="n">
        <f aca="false">AF296-W296</f>
        <v>38.1139227272727</v>
      </c>
      <c r="AH296" s="40" t="n">
        <f aca="false">AF296/W296-1</f>
        <v>0.359183645319931</v>
      </c>
      <c r="AI296" s="37" t="str">
        <f aca="false">IF(AF296&lt;W296,"SIM","NÃO")</f>
        <v>NÃO</v>
      </c>
      <c r="AJ296" s="37" t="n">
        <v>2</v>
      </c>
      <c r="AK296" s="37" t="n">
        <v>5</v>
      </c>
      <c r="AL296" s="37" t="s">
        <v>343</v>
      </c>
      <c r="AM296" s="39" t="n">
        <v>103.7</v>
      </c>
    </row>
    <row r="297" customFormat="false" ht="15" hidden="false" customHeight="false" outlineLevel="0" collapsed="false">
      <c r="A297" s="37" t="n">
        <v>363993202</v>
      </c>
      <c r="B297" s="38" t="n">
        <v>46226.0095486111</v>
      </c>
      <c r="C297" s="37" t="s">
        <v>340</v>
      </c>
      <c r="D297" s="37" t="s">
        <v>643</v>
      </c>
      <c r="E297" s="37" t="n">
        <v>21670380</v>
      </c>
      <c r="F297" s="37" t="s">
        <v>159</v>
      </c>
      <c r="G297" s="37" t="s">
        <v>196</v>
      </c>
      <c r="H297" s="37" t="s">
        <v>187</v>
      </c>
      <c r="I297" s="37" t="n">
        <v>52.3</v>
      </c>
      <c r="J297" s="39" t="n">
        <v>619.99</v>
      </c>
      <c r="K297" s="37" t="s">
        <v>518</v>
      </c>
      <c r="L297" s="39" t="n">
        <v>113.24</v>
      </c>
      <c r="M297" s="39" t="n">
        <v>58.6</v>
      </c>
      <c r="N297" s="39" t="n">
        <f aca="false">J297*Resumo!$C$6</f>
        <v>0</v>
      </c>
      <c r="O297" s="39" t="n">
        <f aca="false">J297*Resumo!$C$7</f>
        <v>1.301979</v>
      </c>
      <c r="P297" s="39" t="n">
        <f aca="false">J297*Resumo!$C$8</f>
        <v>1.301979</v>
      </c>
      <c r="Q297" s="39" t="n">
        <f aca="false">Resumo!$C$10*CEILING(I297/100,1)</f>
        <v>1.05</v>
      </c>
      <c r="R297" s="39" t="n">
        <f aca="false">Resumo!$C$9</f>
        <v>0</v>
      </c>
      <c r="S297" s="39" t="n">
        <f aca="false">Resumo!$C$13</f>
        <v>13.55</v>
      </c>
      <c r="T297" s="39" t="n">
        <f aca="false">Resumo!$C$14*CEILING(I297,1)</f>
        <v>23.85</v>
      </c>
      <c r="U297" s="39" t="n">
        <f aca="false">SUM(M297:T297)*Resumo!$C$11</f>
        <v>0</v>
      </c>
      <c r="V297" s="39" t="n">
        <f aca="false">SUM(M297:U297)</f>
        <v>99.653958</v>
      </c>
      <c r="W297" s="39" t="n">
        <f aca="false">V297/(1-Resumo!$C$5)</f>
        <v>113.243134090909</v>
      </c>
      <c r="X297" s="39" t="n">
        <v>112.3</v>
      </c>
      <c r="Y297" s="39" t="n">
        <f aca="false">J297*Resumo!$B$6</f>
        <v>0.61999</v>
      </c>
      <c r="Z297" s="39" t="n">
        <f aca="false">J297*Resumo!$B$7</f>
        <v>1.23998</v>
      </c>
      <c r="AA297" s="39" t="n">
        <f aca="false">Resumo!$B$9</f>
        <v>1</v>
      </c>
      <c r="AB297" s="39" t="n">
        <f aca="false">Resumo!$B$10*CEILING(I297/100,1)</f>
        <v>4.5</v>
      </c>
      <c r="AC297" s="39" t="n">
        <f aca="false">Resumo!$B$12*CEILING(I297,1)</f>
        <v>3.18</v>
      </c>
      <c r="AD297" s="39" t="n">
        <f aca="false">Resumo!$B$14*CEILING(I297,1)</f>
        <v>23.85</v>
      </c>
      <c r="AE297" s="39" t="n">
        <f aca="false">SUM(X297:AD297)</f>
        <v>146.68997</v>
      </c>
      <c r="AF297" s="39" t="n">
        <f aca="false">AE297/(1-Resumo!$B$5)</f>
        <v>166.693147727273</v>
      </c>
      <c r="AG297" s="39" t="n">
        <f aca="false">AF297-W297</f>
        <v>53.4500136363636</v>
      </c>
      <c r="AH297" s="40" t="n">
        <f aca="false">AF297/W297-1</f>
        <v>0.471993415454707</v>
      </c>
      <c r="AI297" s="37" t="str">
        <f aca="false">IF(AF297&lt;W297,"SIM","NÃO")</f>
        <v>NÃO</v>
      </c>
      <c r="AJ297" s="37" t="n">
        <v>2</v>
      </c>
      <c r="AK297" s="37" t="n">
        <v>5</v>
      </c>
      <c r="AL297" s="37" t="s">
        <v>343</v>
      </c>
      <c r="AM297" s="39" t="n">
        <v>114.12</v>
      </c>
    </row>
    <row r="298" customFormat="false" ht="15" hidden="false" customHeight="false" outlineLevel="0" collapsed="false">
      <c r="A298" s="37" t="n">
        <v>364021104</v>
      </c>
      <c r="B298" s="38" t="n">
        <v>46226.0633449074</v>
      </c>
      <c r="C298" s="37" t="s">
        <v>340</v>
      </c>
      <c r="D298" s="37" t="s">
        <v>644</v>
      </c>
      <c r="E298" s="37" t="n">
        <v>20520160</v>
      </c>
      <c r="F298" s="37" t="s">
        <v>159</v>
      </c>
      <c r="G298" s="37" t="s">
        <v>196</v>
      </c>
      <c r="H298" s="37" t="s">
        <v>187</v>
      </c>
      <c r="I298" s="37" t="n">
        <v>52.3</v>
      </c>
      <c r="J298" s="39" t="n">
        <v>643.99</v>
      </c>
      <c r="K298" s="37" t="s">
        <v>518</v>
      </c>
      <c r="L298" s="39" t="n">
        <v>113.35</v>
      </c>
      <c r="M298" s="39" t="n">
        <v>58.6</v>
      </c>
      <c r="N298" s="39" t="n">
        <f aca="false">J298*Resumo!$C$6</f>
        <v>0</v>
      </c>
      <c r="O298" s="39" t="n">
        <f aca="false">J298*Resumo!$C$7</f>
        <v>1.352379</v>
      </c>
      <c r="P298" s="39" t="n">
        <f aca="false">J298*Resumo!$C$8</f>
        <v>1.352379</v>
      </c>
      <c r="Q298" s="39" t="n">
        <f aca="false">Resumo!$C$10*CEILING(I298/100,1)</f>
        <v>1.05</v>
      </c>
      <c r="R298" s="39" t="n">
        <f aca="false">Resumo!$C$9</f>
        <v>0</v>
      </c>
      <c r="S298" s="39" t="n">
        <f aca="false">Resumo!$C$13</f>
        <v>13.55</v>
      </c>
      <c r="T298" s="39" t="n">
        <f aca="false">Resumo!$C$14*CEILING(I298,1)</f>
        <v>23.85</v>
      </c>
      <c r="U298" s="39" t="n">
        <f aca="false">SUM(M298:T298)*Resumo!$C$11</f>
        <v>0</v>
      </c>
      <c r="V298" s="39" t="n">
        <f aca="false">SUM(M298:U298)</f>
        <v>99.754758</v>
      </c>
      <c r="W298" s="39" t="n">
        <f aca="false">V298/(1-Resumo!$C$5)</f>
        <v>113.357679545455</v>
      </c>
      <c r="X298" s="39" t="n">
        <v>112.3</v>
      </c>
      <c r="Y298" s="39" t="n">
        <f aca="false">J298*Resumo!$B$6</f>
        <v>0.64399</v>
      </c>
      <c r="Z298" s="39" t="n">
        <f aca="false">J298*Resumo!$B$7</f>
        <v>1.28798</v>
      </c>
      <c r="AA298" s="39" t="n">
        <f aca="false">Resumo!$B$9</f>
        <v>1</v>
      </c>
      <c r="AB298" s="39" t="n">
        <f aca="false">Resumo!$B$10*CEILING(I298/100,1)</f>
        <v>4.5</v>
      </c>
      <c r="AC298" s="39" t="n">
        <f aca="false">Resumo!$B$12*CEILING(I298,1)</f>
        <v>3.18</v>
      </c>
      <c r="AD298" s="39" t="n">
        <f aca="false">Resumo!$B$14*CEILING(I298,1)</f>
        <v>23.85</v>
      </c>
      <c r="AE298" s="39" t="n">
        <f aca="false">SUM(X298:AD298)</f>
        <v>146.76197</v>
      </c>
      <c r="AF298" s="39" t="n">
        <f aca="false">AE298/(1-Resumo!$B$5)</f>
        <v>166.774965909091</v>
      </c>
      <c r="AG298" s="39" t="n">
        <f aca="false">AF298-W298</f>
        <v>53.4172863636363</v>
      </c>
      <c r="AH298" s="40" t="n">
        <f aca="false">AF298/W298-1</f>
        <v>0.471227768403788</v>
      </c>
      <c r="AI298" s="37" t="str">
        <f aca="false">IF(AF298&lt;W298,"SIM","NÃO")</f>
        <v>NÃO</v>
      </c>
      <c r="AJ298" s="37" t="n">
        <v>2</v>
      </c>
      <c r="AK298" s="37" t="n">
        <v>5</v>
      </c>
      <c r="AL298" s="37" t="s">
        <v>343</v>
      </c>
      <c r="AM298" s="39" t="n">
        <v>114.23</v>
      </c>
    </row>
    <row r="299" customFormat="false" ht="15" hidden="false" customHeight="false" outlineLevel="0" collapsed="false">
      <c r="A299" s="37" t="n">
        <v>364057799</v>
      </c>
      <c r="B299" s="38" t="n">
        <v>46226.1292476852</v>
      </c>
      <c r="C299" s="37" t="s">
        <v>340</v>
      </c>
      <c r="D299" s="37" t="s">
        <v>645</v>
      </c>
      <c r="E299" s="37" t="n">
        <v>21235535</v>
      </c>
      <c r="F299" s="37" t="s">
        <v>159</v>
      </c>
      <c r="G299" s="37" t="s">
        <v>196</v>
      </c>
      <c r="H299" s="37" t="s">
        <v>184</v>
      </c>
      <c r="I299" s="37" t="n">
        <v>31</v>
      </c>
      <c r="J299" s="39" t="n">
        <v>297.99</v>
      </c>
      <c r="K299" s="37" t="s">
        <v>518</v>
      </c>
      <c r="L299" s="39" t="n">
        <v>81.73</v>
      </c>
      <c r="M299" s="39" t="n">
        <v>42.11</v>
      </c>
      <c r="N299" s="39" t="n">
        <f aca="false">J299*Resumo!$C$6</f>
        <v>0</v>
      </c>
      <c r="O299" s="39" t="n">
        <f aca="false">J299*Resumo!$C$7</f>
        <v>0.625779</v>
      </c>
      <c r="P299" s="39" t="n">
        <f aca="false">J299*Resumo!$C$8</f>
        <v>0.625779</v>
      </c>
      <c r="Q299" s="39" t="n">
        <f aca="false">Resumo!$C$10*CEILING(I299/100,1)</f>
        <v>1.05</v>
      </c>
      <c r="R299" s="39" t="n">
        <f aca="false">Resumo!$C$9</f>
        <v>0</v>
      </c>
      <c r="S299" s="39" t="n">
        <f aca="false">Resumo!$C$13</f>
        <v>13.55</v>
      </c>
      <c r="T299" s="39" t="n">
        <f aca="false">Resumo!$C$14*CEILING(I299,1)</f>
        <v>13.95</v>
      </c>
      <c r="U299" s="39" t="n">
        <f aca="false">SUM(M299:T299)*Resumo!$C$11</f>
        <v>0</v>
      </c>
      <c r="V299" s="39" t="n">
        <f aca="false">SUM(M299:U299)</f>
        <v>71.911558</v>
      </c>
      <c r="W299" s="39" t="n">
        <f aca="false">V299/(1-Resumo!$C$5)</f>
        <v>81.7176795454545</v>
      </c>
      <c r="X299" s="39" t="n">
        <v>82.21</v>
      </c>
      <c r="Y299" s="39" t="n">
        <f aca="false">J299*Resumo!$B$6</f>
        <v>0.29799</v>
      </c>
      <c r="Z299" s="39" t="n">
        <f aca="false">J299*Resumo!$B$7</f>
        <v>0.59598</v>
      </c>
      <c r="AA299" s="39" t="n">
        <f aca="false">Resumo!$B$9</f>
        <v>1</v>
      </c>
      <c r="AB299" s="39" t="n">
        <f aca="false">Resumo!$B$10*CEILING(I299/100,1)</f>
        <v>4.5</v>
      </c>
      <c r="AC299" s="39" t="n">
        <f aca="false">Resumo!$B$12*CEILING(I299,1)</f>
        <v>1.86</v>
      </c>
      <c r="AD299" s="39" t="n">
        <f aca="false">Resumo!$B$14*CEILING(I299,1)</f>
        <v>13.95</v>
      </c>
      <c r="AE299" s="39" t="n">
        <f aca="false">SUM(X299:AD299)</f>
        <v>104.41397</v>
      </c>
      <c r="AF299" s="39" t="n">
        <f aca="false">AE299/(1-Resumo!$B$5)</f>
        <v>118.652238636364</v>
      </c>
      <c r="AG299" s="39" t="n">
        <f aca="false">AF299-W299</f>
        <v>36.9345590909091</v>
      </c>
      <c r="AH299" s="40" t="n">
        <f aca="false">AF299/W299-1</f>
        <v>0.451977580571957</v>
      </c>
      <c r="AI299" s="37" t="str">
        <f aca="false">IF(AF299&lt;W299,"SIM","NÃO")</f>
        <v>NÃO</v>
      </c>
      <c r="AJ299" s="37" t="n">
        <v>2</v>
      </c>
      <c r="AK299" s="37" t="n">
        <v>5</v>
      </c>
      <c r="AL299" s="37" t="s">
        <v>343</v>
      </c>
      <c r="AM299" s="39" t="n">
        <v>81.75</v>
      </c>
    </row>
    <row r="300" customFormat="false" ht="15" hidden="false" customHeight="false" outlineLevel="0" collapsed="false">
      <c r="A300" s="37" t="n">
        <v>364195273</v>
      </c>
      <c r="B300" s="38" t="n">
        <v>46226.3615740741</v>
      </c>
      <c r="C300" s="37" t="s">
        <v>340</v>
      </c>
      <c r="D300" s="37" t="s">
        <v>646</v>
      </c>
      <c r="E300" s="37" t="n">
        <v>26290198</v>
      </c>
      <c r="F300" s="37" t="s">
        <v>162</v>
      </c>
      <c r="G300" s="37" t="s">
        <v>197</v>
      </c>
      <c r="H300" s="37" t="s">
        <v>184</v>
      </c>
      <c r="I300" s="37" t="n">
        <v>31</v>
      </c>
      <c r="J300" s="39" t="n">
        <v>297.99</v>
      </c>
      <c r="K300" s="37" t="s">
        <v>518</v>
      </c>
      <c r="L300" s="39" t="n">
        <v>100.69</v>
      </c>
      <c r="M300" s="39" t="n">
        <v>58.8</v>
      </c>
      <c r="N300" s="39" t="n">
        <f aca="false">J300*Resumo!$C$6</f>
        <v>0</v>
      </c>
      <c r="O300" s="39" t="n">
        <f aca="false">J300*Resumo!$C$7</f>
        <v>0.625779</v>
      </c>
      <c r="P300" s="39" t="n">
        <f aca="false">J300*Resumo!$C$8</f>
        <v>0.625779</v>
      </c>
      <c r="Q300" s="39" t="n">
        <f aca="false">Resumo!$C$10*CEILING(I300/100,1)</f>
        <v>1.05</v>
      </c>
      <c r="R300" s="39" t="n">
        <f aca="false">Resumo!$C$9</f>
        <v>0</v>
      </c>
      <c r="S300" s="39" t="n">
        <f aca="false">Resumo!$C$13</f>
        <v>13.55</v>
      </c>
      <c r="T300" s="39" t="n">
        <f aca="false">Resumo!$C$14*CEILING(I300,1)</f>
        <v>13.95</v>
      </c>
      <c r="U300" s="39" t="n">
        <f aca="false">SUM(M300:T300)*Resumo!$C$11</f>
        <v>0</v>
      </c>
      <c r="V300" s="39" t="n">
        <f aca="false">SUM(M300:U300)</f>
        <v>88.601558</v>
      </c>
      <c r="W300" s="39" t="n">
        <f aca="false">V300/(1-Resumo!$C$5)</f>
        <v>100.683588636364</v>
      </c>
      <c r="X300" s="39" t="n">
        <v>82.21</v>
      </c>
      <c r="Y300" s="39" t="n">
        <f aca="false">J300*Resumo!$B$6</f>
        <v>0.29799</v>
      </c>
      <c r="Z300" s="39" t="n">
        <f aca="false">J300*Resumo!$B$7</f>
        <v>0.59598</v>
      </c>
      <c r="AA300" s="39" t="n">
        <f aca="false">Resumo!$B$9</f>
        <v>1</v>
      </c>
      <c r="AB300" s="39" t="n">
        <f aca="false">Resumo!$B$10*CEILING(I300/100,1)</f>
        <v>4.5</v>
      </c>
      <c r="AC300" s="39" t="n">
        <f aca="false">Resumo!$B$12*CEILING(I300,1)</f>
        <v>1.86</v>
      </c>
      <c r="AD300" s="39" t="n">
        <f aca="false">Resumo!$B$14*CEILING(I300,1)</f>
        <v>13.95</v>
      </c>
      <c r="AE300" s="39" t="n">
        <f aca="false">SUM(X300:AD300)</f>
        <v>104.41397</v>
      </c>
      <c r="AF300" s="39" t="n">
        <f aca="false">AE300/(1-Resumo!$B$5)</f>
        <v>118.652238636364</v>
      </c>
      <c r="AG300" s="39" t="n">
        <f aca="false">AF300-W300</f>
        <v>17.96865</v>
      </c>
      <c r="AH300" s="40" t="n">
        <f aca="false">AF300/W300-1</f>
        <v>0.178466523128182</v>
      </c>
      <c r="AI300" s="37" t="str">
        <f aca="false">IF(AF300&lt;W300,"SIM","NÃO")</f>
        <v>NÃO</v>
      </c>
      <c r="AJ300" s="37" t="n">
        <v>2</v>
      </c>
      <c r="AK300" s="37" t="n">
        <v>5</v>
      </c>
      <c r="AL300" s="37" t="s">
        <v>343</v>
      </c>
      <c r="AM300" s="39" t="n">
        <v>100.81</v>
      </c>
    </row>
    <row r="301" customFormat="false" ht="15" hidden="false" customHeight="false" outlineLevel="0" collapsed="false">
      <c r="A301" s="37" t="n">
        <v>364197304</v>
      </c>
      <c r="B301" s="38" t="n">
        <v>46226.3653819444</v>
      </c>
      <c r="C301" s="37" t="s">
        <v>379</v>
      </c>
      <c r="D301" s="37" t="s">
        <v>647</v>
      </c>
      <c r="E301" s="37" t="n">
        <v>22230080</v>
      </c>
      <c r="F301" s="37" t="s">
        <v>159</v>
      </c>
      <c r="G301" s="37" t="s">
        <v>196</v>
      </c>
      <c r="H301" s="37" t="s">
        <v>186</v>
      </c>
      <c r="I301" s="37" t="n">
        <v>41</v>
      </c>
      <c r="J301" s="39" t="n">
        <v>498.99</v>
      </c>
      <c r="K301" s="37" t="s">
        <v>518</v>
      </c>
      <c r="L301" s="39" t="n">
        <v>100.8</v>
      </c>
      <c r="M301" s="39" t="n">
        <v>53.55</v>
      </c>
      <c r="N301" s="39" t="n">
        <f aca="false">J301*Resumo!$C$6</f>
        <v>0</v>
      </c>
      <c r="O301" s="39" t="n">
        <f aca="false">J301*Resumo!$C$7</f>
        <v>1.047879</v>
      </c>
      <c r="P301" s="39" t="n">
        <f aca="false">J301*Resumo!$C$8</f>
        <v>1.047879</v>
      </c>
      <c r="Q301" s="39" t="n">
        <f aca="false">Resumo!$C$10*CEILING(I301/100,1)</f>
        <v>1.05</v>
      </c>
      <c r="R301" s="39" t="n">
        <f aca="false">Resumo!$C$9</f>
        <v>0</v>
      </c>
      <c r="S301" s="39" t="n">
        <f aca="false">Resumo!$C$13</f>
        <v>13.55</v>
      </c>
      <c r="T301" s="39" t="n">
        <f aca="false">Resumo!$C$14*CEILING(I301,1)</f>
        <v>18.45</v>
      </c>
      <c r="U301" s="39" t="n">
        <f aca="false">SUM(M301:T301)*Resumo!$C$11</f>
        <v>0</v>
      </c>
      <c r="V301" s="39" t="n">
        <f aca="false">SUM(M301:U301)</f>
        <v>88.695758</v>
      </c>
      <c r="W301" s="39" t="n">
        <f aca="false">V301/(1-Resumo!$C$5)</f>
        <v>100.790634090909</v>
      </c>
      <c r="X301" s="39" t="n">
        <v>93.97</v>
      </c>
      <c r="Y301" s="39" t="n">
        <f aca="false">J301*Resumo!$B$6</f>
        <v>0.49899</v>
      </c>
      <c r="Z301" s="39" t="n">
        <f aca="false">J301*Resumo!$B$7</f>
        <v>0.99798</v>
      </c>
      <c r="AA301" s="39" t="n">
        <f aca="false">Resumo!$B$9</f>
        <v>1</v>
      </c>
      <c r="AB301" s="39" t="n">
        <f aca="false">Resumo!$B$10*CEILING(I301/100,1)</f>
        <v>4.5</v>
      </c>
      <c r="AC301" s="39" t="n">
        <f aca="false">Resumo!$B$12*CEILING(I301,1)</f>
        <v>2.46</v>
      </c>
      <c r="AD301" s="39" t="n">
        <f aca="false">Resumo!$B$14*CEILING(I301,1)</f>
        <v>18.45</v>
      </c>
      <c r="AE301" s="39" t="n">
        <f aca="false">SUM(X301:AD301)</f>
        <v>121.87697</v>
      </c>
      <c r="AF301" s="39" t="n">
        <f aca="false">AE301/(1-Resumo!$B$5)</f>
        <v>138.496556818182</v>
      </c>
      <c r="AG301" s="39" t="n">
        <f aca="false">AF301-W301</f>
        <v>37.7059227272727</v>
      </c>
      <c r="AH301" s="40" t="n">
        <f aca="false">AF301/W301-1</f>
        <v>0.374101453645619</v>
      </c>
      <c r="AI301" s="37" t="str">
        <f aca="false">IF(AF301&lt;W301,"SIM","NÃO")</f>
        <v>NÃO</v>
      </c>
      <c r="AJ301" s="37" t="n">
        <v>2</v>
      </c>
      <c r="AK301" s="37" t="n">
        <v>5</v>
      </c>
      <c r="AL301" s="37" t="s">
        <v>343</v>
      </c>
      <c r="AM301" s="39" t="n">
        <v>102.98</v>
      </c>
    </row>
    <row r="302" customFormat="false" ht="15" hidden="false" customHeight="false" outlineLevel="0" collapsed="false">
      <c r="A302" s="37" t="n">
        <v>364246264</v>
      </c>
      <c r="B302" s="38" t="n">
        <v>46226.4262037037</v>
      </c>
      <c r="C302" s="37" t="s">
        <v>340</v>
      </c>
      <c r="D302" s="37" t="s">
        <v>648</v>
      </c>
      <c r="E302" s="37" t="n">
        <v>25070330</v>
      </c>
      <c r="F302" s="37" t="s">
        <v>161</v>
      </c>
      <c r="G302" s="37" t="s">
        <v>197</v>
      </c>
      <c r="H302" s="37" t="s">
        <v>187</v>
      </c>
      <c r="I302" s="37" t="n">
        <v>52.3</v>
      </c>
      <c r="J302" s="39" t="n">
        <v>619.99</v>
      </c>
      <c r="K302" s="37" t="s">
        <v>518</v>
      </c>
      <c r="L302" s="39" t="n">
        <v>127.31</v>
      </c>
      <c r="M302" s="39" t="n">
        <v>70.98</v>
      </c>
      <c r="N302" s="39" t="n">
        <f aca="false">J302*Resumo!$C$6</f>
        <v>0</v>
      </c>
      <c r="O302" s="39" t="n">
        <f aca="false">J302*Resumo!$C$7</f>
        <v>1.301979</v>
      </c>
      <c r="P302" s="39" t="n">
        <f aca="false">J302*Resumo!$C$8</f>
        <v>1.301979</v>
      </c>
      <c r="Q302" s="39" t="n">
        <f aca="false">Resumo!$C$10*CEILING(I302/100,1)</f>
        <v>1.05</v>
      </c>
      <c r="R302" s="39" t="n">
        <f aca="false">Resumo!$C$9</f>
        <v>0</v>
      </c>
      <c r="S302" s="39" t="n">
        <f aca="false">Resumo!$C$13</f>
        <v>13.55</v>
      </c>
      <c r="T302" s="39" t="n">
        <f aca="false">Resumo!$C$14*CEILING(I302,1)</f>
        <v>23.85</v>
      </c>
      <c r="U302" s="39" t="n">
        <f aca="false">SUM(M302:T302)*Resumo!$C$11</f>
        <v>0</v>
      </c>
      <c r="V302" s="39" t="n">
        <f aca="false">SUM(M302:U302)</f>
        <v>112.033958</v>
      </c>
      <c r="W302" s="39" t="n">
        <f aca="false">V302/(1-Resumo!$C$5)</f>
        <v>127.311315909091</v>
      </c>
      <c r="X302" s="39" t="n">
        <v>112.3</v>
      </c>
      <c r="Y302" s="39" t="n">
        <f aca="false">J302*Resumo!$B$6</f>
        <v>0.61999</v>
      </c>
      <c r="Z302" s="39" t="n">
        <f aca="false">J302*Resumo!$B$7</f>
        <v>1.23998</v>
      </c>
      <c r="AA302" s="39" t="n">
        <f aca="false">Resumo!$B$9</f>
        <v>1</v>
      </c>
      <c r="AB302" s="39" t="n">
        <f aca="false">Resumo!$B$10*CEILING(I302/100,1)</f>
        <v>4.5</v>
      </c>
      <c r="AC302" s="39" t="n">
        <f aca="false">Resumo!$B$12*CEILING(I302,1)</f>
        <v>3.18</v>
      </c>
      <c r="AD302" s="39" t="n">
        <f aca="false">Resumo!$B$14*CEILING(I302,1)</f>
        <v>23.85</v>
      </c>
      <c r="AE302" s="39" t="n">
        <f aca="false">SUM(X302:AD302)</f>
        <v>146.68997</v>
      </c>
      <c r="AF302" s="39" t="n">
        <f aca="false">AE302/(1-Resumo!$B$5)</f>
        <v>166.693147727273</v>
      </c>
      <c r="AG302" s="39" t="n">
        <f aca="false">AF302-W302</f>
        <v>39.3818318181818</v>
      </c>
      <c r="AH302" s="40" t="n">
        <f aca="false">AF302/W302-1</f>
        <v>0.309334889337749</v>
      </c>
      <c r="AI302" s="37" t="str">
        <f aca="false">IF(AF302&lt;W302,"SIM","NÃO")</f>
        <v>NÃO</v>
      </c>
      <c r="AJ302" s="37" t="n">
        <v>2</v>
      </c>
      <c r="AK302" s="37" t="n">
        <v>5</v>
      </c>
      <c r="AL302" s="37" t="s">
        <v>343</v>
      </c>
      <c r="AM302" s="39" t="n">
        <v>128.25</v>
      </c>
    </row>
    <row r="303" customFormat="false" ht="15" hidden="false" customHeight="false" outlineLevel="0" collapsed="false">
      <c r="A303" s="37" t="n">
        <v>364267881</v>
      </c>
      <c r="B303" s="38" t="n">
        <v>46226.4576736111</v>
      </c>
      <c r="C303" s="37" t="s">
        <v>345</v>
      </c>
      <c r="D303" s="37" t="s">
        <v>649</v>
      </c>
      <c r="E303" s="37" t="n">
        <v>23076360</v>
      </c>
      <c r="F303" s="37" t="s">
        <v>159</v>
      </c>
      <c r="G303" s="37" t="s">
        <v>196</v>
      </c>
      <c r="H303" s="37" t="s">
        <v>185</v>
      </c>
      <c r="I303" s="37" t="n">
        <v>37.5</v>
      </c>
      <c r="J303" s="39" t="n">
        <v>418.48</v>
      </c>
      <c r="K303" s="37" t="s">
        <v>518</v>
      </c>
      <c r="L303" s="39" t="n">
        <v>92.97</v>
      </c>
      <c r="M303" s="39" t="n">
        <v>48.35</v>
      </c>
      <c r="N303" s="39" t="n">
        <f aca="false">J303*Resumo!$C$6</f>
        <v>0</v>
      </c>
      <c r="O303" s="39" t="n">
        <f aca="false">J303*Resumo!$C$7</f>
        <v>0.878808</v>
      </c>
      <c r="P303" s="39" t="n">
        <f aca="false">J303*Resumo!$C$8</f>
        <v>0.878808</v>
      </c>
      <c r="Q303" s="39" t="n">
        <f aca="false">Resumo!$C$10*CEILING(I303/100,1)</f>
        <v>1.05</v>
      </c>
      <c r="R303" s="39" t="n">
        <f aca="false">Resumo!$C$9</f>
        <v>0</v>
      </c>
      <c r="S303" s="39" t="n">
        <f aca="false">Resumo!$C$13</f>
        <v>13.55</v>
      </c>
      <c r="T303" s="39" t="n">
        <f aca="false">Resumo!$C$14*CEILING(I303,1)</f>
        <v>17.1</v>
      </c>
      <c r="U303" s="39" t="n">
        <f aca="false">SUM(M303:T303)*Resumo!$C$11</f>
        <v>0</v>
      </c>
      <c r="V303" s="39" t="n">
        <f aca="false">SUM(M303:U303)</f>
        <v>81.807616</v>
      </c>
      <c r="W303" s="39" t="n">
        <f aca="false">V303/(1-Resumo!$C$5)</f>
        <v>92.9632</v>
      </c>
      <c r="X303" s="39" t="n">
        <v>93.97</v>
      </c>
      <c r="Y303" s="39" t="n">
        <f aca="false">J303*Resumo!$B$6</f>
        <v>0.41848</v>
      </c>
      <c r="Z303" s="39" t="n">
        <f aca="false">J303*Resumo!$B$7</f>
        <v>0.83696</v>
      </c>
      <c r="AA303" s="39" t="n">
        <f aca="false">Resumo!$B$9</f>
        <v>1</v>
      </c>
      <c r="AB303" s="39" t="n">
        <f aca="false">Resumo!$B$10*CEILING(I303/100,1)</f>
        <v>4.5</v>
      </c>
      <c r="AC303" s="39" t="n">
        <f aca="false">Resumo!$B$12*CEILING(I303,1)</f>
        <v>2.28</v>
      </c>
      <c r="AD303" s="39" t="n">
        <f aca="false">Resumo!$B$14*CEILING(I303,1)</f>
        <v>17.1</v>
      </c>
      <c r="AE303" s="39" t="n">
        <f aca="false">SUM(X303:AD303)</f>
        <v>120.10544</v>
      </c>
      <c r="AF303" s="39" t="n">
        <f aca="false">AE303/(1-Resumo!$B$5)</f>
        <v>136.483454545455</v>
      </c>
      <c r="AG303" s="39" t="n">
        <f aca="false">AF303-W303</f>
        <v>43.5202545454545</v>
      </c>
      <c r="AH303" s="40" t="n">
        <f aca="false">AF303/W303-1</f>
        <v>0.468144970756757</v>
      </c>
      <c r="AI303" s="37" t="str">
        <f aca="false">IF(AF303&lt;W303,"SIM","NÃO")</f>
        <v>NÃO</v>
      </c>
      <c r="AJ303" s="37" t="n">
        <v>2</v>
      </c>
      <c r="AK303" s="37" t="n">
        <v>5</v>
      </c>
      <c r="AL303" s="37" t="s">
        <v>343</v>
      </c>
      <c r="AM303" s="39" t="n">
        <v>91.86</v>
      </c>
    </row>
    <row r="304" customFormat="false" ht="15" hidden="false" customHeight="false" outlineLevel="0" collapsed="false">
      <c r="A304" s="37" t="n">
        <v>364296101</v>
      </c>
      <c r="B304" s="38" t="n">
        <v>46226.4911226852</v>
      </c>
      <c r="C304" s="37" t="s">
        <v>345</v>
      </c>
      <c r="D304" s="37" t="s">
        <v>650</v>
      </c>
      <c r="E304" s="37" t="n">
        <v>28050003</v>
      </c>
      <c r="F304" s="37" t="s">
        <v>164</v>
      </c>
      <c r="G304" s="37" t="s">
        <v>198</v>
      </c>
      <c r="H304" s="37" t="s">
        <v>184</v>
      </c>
      <c r="I304" s="37" t="n">
        <v>34.6</v>
      </c>
      <c r="J304" s="39" t="n">
        <v>629</v>
      </c>
      <c r="K304" s="37" t="s">
        <v>518</v>
      </c>
      <c r="L304" s="39" t="n">
        <v>112.07</v>
      </c>
      <c r="M304" s="39" t="n">
        <v>65.63</v>
      </c>
      <c r="N304" s="39" t="n">
        <f aca="false">J304*Resumo!$C$6</f>
        <v>0</v>
      </c>
      <c r="O304" s="39" t="n">
        <f aca="false">J304*Resumo!$C$7</f>
        <v>1.3209</v>
      </c>
      <c r="P304" s="39" t="n">
        <f aca="false">J304*Resumo!$C$8</f>
        <v>1.3209</v>
      </c>
      <c r="Q304" s="39" t="n">
        <f aca="false">Resumo!$C$10*CEILING(I304/100,1)</f>
        <v>1.05</v>
      </c>
      <c r="R304" s="39" t="n">
        <f aca="false">Resumo!$C$9</f>
        <v>0</v>
      </c>
      <c r="S304" s="39" t="n">
        <f aca="false">Resumo!$C$13</f>
        <v>13.55</v>
      </c>
      <c r="T304" s="39" t="n">
        <f aca="false">Resumo!$C$14*CEILING(I304,1)</f>
        <v>15.75</v>
      </c>
      <c r="U304" s="39" t="n">
        <f aca="false">SUM(M304:T304)*Resumo!$C$11</f>
        <v>0</v>
      </c>
      <c r="V304" s="39" t="n">
        <f aca="false">SUM(M304:U304)</f>
        <v>98.6218</v>
      </c>
      <c r="W304" s="39" t="n">
        <f aca="false">V304/(1-Resumo!$C$5)</f>
        <v>112.070227272727</v>
      </c>
      <c r="X304" s="39" t="n">
        <v>138.29</v>
      </c>
      <c r="Y304" s="39" t="n">
        <f aca="false">J304*Resumo!$B$6</f>
        <v>0.629</v>
      </c>
      <c r="Z304" s="39" t="n">
        <f aca="false">J304*Resumo!$B$7</f>
        <v>1.258</v>
      </c>
      <c r="AA304" s="39" t="n">
        <f aca="false">Resumo!$B$9</f>
        <v>1</v>
      </c>
      <c r="AB304" s="39" t="n">
        <f aca="false">Resumo!$B$10*CEILING(I304/100,1)</f>
        <v>4.5</v>
      </c>
      <c r="AC304" s="39" t="n">
        <f aca="false">Resumo!$B$12*CEILING(I304,1)</f>
        <v>2.1</v>
      </c>
      <c r="AD304" s="39" t="n">
        <f aca="false">Resumo!$B$14*CEILING(I304,1)</f>
        <v>15.75</v>
      </c>
      <c r="AE304" s="39" t="n">
        <f aca="false">SUM(X304:AD304)</f>
        <v>163.527</v>
      </c>
      <c r="AF304" s="39" t="n">
        <f aca="false">AE304/(1-Resumo!$B$5)</f>
        <v>185.826136363636</v>
      </c>
      <c r="AG304" s="39" t="n">
        <f aca="false">AF304-W304</f>
        <v>73.7559090909091</v>
      </c>
      <c r="AH304" s="40" t="n">
        <f aca="false">AF304/W304-1</f>
        <v>0.658122240721625</v>
      </c>
      <c r="AI304" s="37" t="str">
        <f aca="false">IF(AF304&lt;W304,"SIM","NÃO")</f>
        <v>NÃO</v>
      </c>
      <c r="AJ304" s="37" t="n">
        <v>13</v>
      </c>
      <c r="AK304" s="37" t="n">
        <v>11</v>
      </c>
      <c r="AL304" s="37" t="s">
        <v>343</v>
      </c>
      <c r="AM304" s="39" t="n">
        <v>110.19</v>
      </c>
    </row>
    <row r="305" customFormat="false" ht="15" hidden="false" customHeight="false" outlineLevel="0" collapsed="false">
      <c r="A305" s="37" t="n">
        <v>364393577</v>
      </c>
      <c r="B305" s="38" t="n">
        <v>46226.632037037</v>
      </c>
      <c r="C305" s="37" t="s">
        <v>379</v>
      </c>
      <c r="D305" s="37" t="s">
        <v>651</v>
      </c>
      <c r="E305" s="37" t="n">
        <v>24230253</v>
      </c>
      <c r="F305" s="37" t="s">
        <v>163</v>
      </c>
      <c r="G305" s="37" t="s">
        <v>197</v>
      </c>
      <c r="H305" s="37" t="s">
        <v>186</v>
      </c>
      <c r="I305" s="37" t="n">
        <v>41</v>
      </c>
      <c r="J305" s="39" t="n">
        <v>498.99</v>
      </c>
      <c r="K305" s="37" t="s">
        <v>518</v>
      </c>
      <c r="L305" s="39" t="n">
        <v>114.22</v>
      </c>
      <c r="M305" s="39" t="n">
        <v>65.36</v>
      </c>
      <c r="N305" s="39" t="n">
        <f aca="false">J305*Resumo!$C$6</f>
        <v>0</v>
      </c>
      <c r="O305" s="39" t="n">
        <f aca="false">J305*Resumo!$C$7</f>
        <v>1.047879</v>
      </c>
      <c r="P305" s="39" t="n">
        <f aca="false">J305*Resumo!$C$8</f>
        <v>1.047879</v>
      </c>
      <c r="Q305" s="39" t="n">
        <f aca="false">Resumo!$C$10*CEILING(I305/100,1)</f>
        <v>1.05</v>
      </c>
      <c r="R305" s="39" t="n">
        <f aca="false">Resumo!$C$9</f>
        <v>0</v>
      </c>
      <c r="S305" s="39" t="n">
        <f aca="false">Resumo!$C$13</f>
        <v>13.55</v>
      </c>
      <c r="T305" s="39" t="n">
        <f aca="false">Resumo!$C$14*CEILING(I305,1)</f>
        <v>18.45</v>
      </c>
      <c r="U305" s="39" t="n">
        <f aca="false">SUM(M305:T305)*Resumo!$C$11</f>
        <v>0</v>
      </c>
      <c r="V305" s="39" t="n">
        <f aca="false">SUM(M305:U305)</f>
        <v>100.505758</v>
      </c>
      <c r="W305" s="39" t="n">
        <f aca="false">V305/(1-Resumo!$C$5)</f>
        <v>114.211088636364</v>
      </c>
      <c r="X305" s="39" t="n">
        <v>114.95</v>
      </c>
      <c r="Y305" s="39" t="n">
        <f aca="false">J305*Resumo!$B$6</f>
        <v>0.49899</v>
      </c>
      <c r="Z305" s="39" t="n">
        <f aca="false">J305*Resumo!$B$7</f>
        <v>0.99798</v>
      </c>
      <c r="AA305" s="39" t="n">
        <f aca="false">Resumo!$B$9</f>
        <v>1</v>
      </c>
      <c r="AB305" s="39" t="n">
        <f aca="false">Resumo!$B$10*CEILING(I305/100,1)</f>
        <v>4.5</v>
      </c>
      <c r="AC305" s="39" t="n">
        <f aca="false">Resumo!$B$12*CEILING(I305,1)</f>
        <v>2.46</v>
      </c>
      <c r="AD305" s="39" t="n">
        <f aca="false">Resumo!$B$14*CEILING(I305,1)</f>
        <v>18.45</v>
      </c>
      <c r="AE305" s="39" t="n">
        <f aca="false">SUM(X305:AD305)</f>
        <v>142.85697</v>
      </c>
      <c r="AF305" s="39" t="n">
        <f aca="false">AE305/(1-Resumo!$B$5)</f>
        <v>162.337465909091</v>
      </c>
      <c r="AG305" s="39" t="n">
        <f aca="false">AF305-W305</f>
        <v>48.1263772727273</v>
      </c>
      <c r="AH305" s="40" t="n">
        <f aca="false">AF305/W305-1</f>
        <v>0.421380952124156</v>
      </c>
      <c r="AI305" s="37" t="str">
        <f aca="false">IF(AF305&lt;W305,"SIM","NÃO")</f>
        <v>NÃO</v>
      </c>
      <c r="AJ305" s="37" t="n">
        <v>2</v>
      </c>
      <c r="AK305" s="37" t="n">
        <v>7</v>
      </c>
      <c r="AL305" s="37" t="s">
        <v>343</v>
      </c>
      <c r="AM305" s="39" t="n">
        <v>116.46</v>
      </c>
    </row>
    <row r="306" customFormat="false" ht="15" hidden="false" customHeight="false" outlineLevel="0" collapsed="false">
      <c r="A306" s="37" t="n">
        <v>364396305</v>
      </c>
      <c r="B306" s="38" t="n">
        <v>46226.642962963</v>
      </c>
      <c r="C306" s="37" t="s">
        <v>361</v>
      </c>
      <c r="D306" s="37" t="s">
        <v>652</v>
      </c>
      <c r="E306" s="37" t="n">
        <v>23860000</v>
      </c>
      <c r="F306" s="37" t="s">
        <v>219</v>
      </c>
      <c r="G306" s="37" t="s">
        <v>198</v>
      </c>
      <c r="H306" s="37" t="s">
        <v>185</v>
      </c>
      <c r="I306" s="37" t="n">
        <v>36.9</v>
      </c>
      <c r="J306" s="39" t="n">
        <v>390.99</v>
      </c>
      <c r="K306" s="37" t="s">
        <v>518</v>
      </c>
      <c r="L306" s="39" t="n">
        <v>122.57</v>
      </c>
      <c r="M306" s="39" t="n">
        <v>74.97</v>
      </c>
      <c r="N306" s="39" t="n">
        <f aca="false">J306*Resumo!$C$6</f>
        <v>0</v>
      </c>
      <c r="O306" s="39" t="n">
        <f aca="false">J306*Resumo!$C$7</f>
        <v>0.821079</v>
      </c>
      <c r="P306" s="39" t="n">
        <f aca="false">J306*Resumo!$C$8</f>
        <v>0.821079</v>
      </c>
      <c r="Q306" s="39" t="n">
        <f aca="false">Resumo!$C$10*CEILING(I306/100,1)</f>
        <v>1.05</v>
      </c>
      <c r="R306" s="39" t="n">
        <f aca="false">Resumo!$C$9</f>
        <v>0</v>
      </c>
      <c r="S306" s="39" t="n">
        <f aca="false">Resumo!$C$13</f>
        <v>13.55</v>
      </c>
      <c r="T306" s="39" t="n">
        <f aca="false">Resumo!$C$14*CEILING(I306,1)</f>
        <v>16.65</v>
      </c>
      <c r="U306" s="39" t="n">
        <f aca="false">SUM(M306:T306)*Resumo!$C$11</f>
        <v>0</v>
      </c>
      <c r="V306" s="39" t="n">
        <f aca="false">SUM(M306:U306)</f>
        <v>107.862158</v>
      </c>
      <c r="W306" s="39" t="n">
        <f aca="false">V306/(1-Resumo!$C$5)</f>
        <v>122.570634090909</v>
      </c>
      <c r="X306" s="39" t="n">
        <v>124.38</v>
      </c>
      <c r="Y306" s="39" t="n">
        <f aca="false">J306*Resumo!$B$6</f>
        <v>0.39099</v>
      </c>
      <c r="Z306" s="39" t="n">
        <f aca="false">J306*Resumo!$B$7</f>
        <v>0.78198</v>
      </c>
      <c r="AA306" s="39" t="n">
        <f aca="false">Resumo!$B$9</f>
        <v>1</v>
      </c>
      <c r="AB306" s="39" t="n">
        <f aca="false">Resumo!$B$10*CEILING(I306/100,1)</f>
        <v>4.5</v>
      </c>
      <c r="AC306" s="39" t="n">
        <f aca="false">Resumo!$B$12*CEILING(I306,1)</f>
        <v>2.22</v>
      </c>
      <c r="AD306" s="39" t="n">
        <f aca="false">Resumo!$B$14*CEILING(I306,1)</f>
        <v>16.65</v>
      </c>
      <c r="AE306" s="39" t="n">
        <f aca="false">SUM(X306:AD306)</f>
        <v>149.92297</v>
      </c>
      <c r="AF306" s="39" t="n">
        <f aca="false">AE306/(1-Resumo!$B$5)</f>
        <v>170.367011363636</v>
      </c>
      <c r="AG306" s="39" t="n">
        <f aca="false">AF306-W306</f>
        <v>47.7963772727273</v>
      </c>
      <c r="AH306" s="40" t="n">
        <f aca="false">AF306/W306-1</f>
        <v>0.389949661492958</v>
      </c>
      <c r="AI306" s="37" t="str">
        <f aca="false">IF(AF306&lt;W306,"SIM","NÃO")</f>
        <v>NÃO</v>
      </c>
      <c r="AJ306" s="37" t="n">
        <v>13</v>
      </c>
      <c r="AK306" s="37" t="n">
        <v>10</v>
      </c>
      <c r="AL306" s="37" t="s">
        <v>347</v>
      </c>
      <c r="AM306" s="39" t="n">
        <v>122.12</v>
      </c>
    </row>
    <row r="307" customFormat="false" ht="15" hidden="false" customHeight="false" outlineLevel="0" collapsed="false">
      <c r="A307" s="37" t="n">
        <v>364444956</v>
      </c>
      <c r="B307" s="38" t="n">
        <v>46226.7175462963</v>
      </c>
      <c r="C307" s="37" t="s">
        <v>340</v>
      </c>
      <c r="D307" s="37" t="s">
        <v>653</v>
      </c>
      <c r="E307" s="37" t="n">
        <v>21921000</v>
      </c>
      <c r="F307" s="37" t="s">
        <v>159</v>
      </c>
      <c r="G307" s="37" t="s">
        <v>196</v>
      </c>
      <c r="H307" s="37" t="s">
        <v>187</v>
      </c>
      <c r="I307" s="37" t="n">
        <v>52.3</v>
      </c>
      <c r="J307" s="39" t="n">
        <v>643.99</v>
      </c>
      <c r="K307" s="37" t="s">
        <v>518</v>
      </c>
      <c r="L307" s="39" t="n">
        <v>113.35</v>
      </c>
      <c r="M307" s="39" t="n">
        <v>58.6</v>
      </c>
      <c r="N307" s="39" t="n">
        <f aca="false">J307*Resumo!$C$6</f>
        <v>0</v>
      </c>
      <c r="O307" s="39" t="n">
        <f aca="false">J307*Resumo!$C$7</f>
        <v>1.352379</v>
      </c>
      <c r="P307" s="39" t="n">
        <f aca="false">J307*Resumo!$C$8</f>
        <v>1.352379</v>
      </c>
      <c r="Q307" s="39" t="n">
        <f aca="false">Resumo!$C$10*CEILING(I307/100,1)</f>
        <v>1.05</v>
      </c>
      <c r="R307" s="39" t="n">
        <f aca="false">Resumo!$C$9</f>
        <v>0</v>
      </c>
      <c r="S307" s="39" t="n">
        <f aca="false">Resumo!$C$13</f>
        <v>13.55</v>
      </c>
      <c r="T307" s="39" t="n">
        <f aca="false">Resumo!$C$14*CEILING(I307,1)</f>
        <v>23.85</v>
      </c>
      <c r="U307" s="39" t="n">
        <f aca="false">SUM(M307:T307)*Resumo!$C$11</f>
        <v>0</v>
      </c>
      <c r="V307" s="39" t="n">
        <f aca="false">SUM(M307:U307)</f>
        <v>99.754758</v>
      </c>
      <c r="W307" s="39" t="n">
        <f aca="false">V307/(1-Resumo!$C$5)</f>
        <v>113.357679545455</v>
      </c>
      <c r="X307" s="39" t="n">
        <v>112.3</v>
      </c>
      <c r="Y307" s="39" t="n">
        <f aca="false">J307*Resumo!$B$6</f>
        <v>0.64399</v>
      </c>
      <c r="Z307" s="39" t="n">
        <f aca="false">J307*Resumo!$B$7</f>
        <v>1.28798</v>
      </c>
      <c r="AA307" s="39" t="n">
        <f aca="false">Resumo!$B$9</f>
        <v>1</v>
      </c>
      <c r="AB307" s="39" t="n">
        <f aca="false">Resumo!$B$10*CEILING(I307/100,1)</f>
        <v>4.5</v>
      </c>
      <c r="AC307" s="39" t="n">
        <f aca="false">Resumo!$B$12*CEILING(I307,1)</f>
        <v>3.18</v>
      </c>
      <c r="AD307" s="39" t="n">
        <f aca="false">Resumo!$B$14*CEILING(I307,1)</f>
        <v>23.85</v>
      </c>
      <c r="AE307" s="39" t="n">
        <f aca="false">SUM(X307:AD307)</f>
        <v>146.76197</v>
      </c>
      <c r="AF307" s="39" t="n">
        <f aca="false">AE307/(1-Resumo!$B$5)</f>
        <v>166.774965909091</v>
      </c>
      <c r="AG307" s="39" t="n">
        <f aca="false">AF307-W307</f>
        <v>53.4172863636363</v>
      </c>
      <c r="AH307" s="40" t="n">
        <f aca="false">AF307/W307-1</f>
        <v>0.471227768403788</v>
      </c>
      <c r="AI307" s="37" t="str">
        <f aca="false">IF(AF307&lt;W307,"SIM","NÃO")</f>
        <v>NÃO</v>
      </c>
      <c r="AJ307" s="37" t="n">
        <v>2</v>
      </c>
      <c r="AK307" s="37" t="n">
        <v>5</v>
      </c>
      <c r="AL307" s="37" t="s">
        <v>343</v>
      </c>
      <c r="AM307" s="39" t="n">
        <v>114.23</v>
      </c>
    </row>
    <row r="308" customFormat="false" ht="15" hidden="false" customHeight="false" outlineLevel="0" collapsed="false">
      <c r="A308" s="37" t="n">
        <v>364455233</v>
      </c>
      <c r="B308" s="38" t="n">
        <v>46226.7306365741</v>
      </c>
      <c r="C308" s="37" t="s">
        <v>340</v>
      </c>
      <c r="D308" s="37" t="s">
        <v>654</v>
      </c>
      <c r="E308" s="37" t="n">
        <v>27281270</v>
      </c>
      <c r="F308" s="37" t="s">
        <v>168</v>
      </c>
      <c r="G308" s="37" t="s">
        <v>198</v>
      </c>
      <c r="H308" s="37" t="s">
        <v>186</v>
      </c>
      <c r="I308" s="37" t="n">
        <v>48.3</v>
      </c>
      <c r="J308" s="39" t="n">
        <v>499.99</v>
      </c>
      <c r="K308" s="37" t="s">
        <v>518</v>
      </c>
      <c r="L308" s="39" t="n">
        <v>132.33</v>
      </c>
      <c r="M308" s="39" t="n">
        <v>77.7</v>
      </c>
      <c r="N308" s="39" t="n">
        <f aca="false">J308*Resumo!$C$6</f>
        <v>0</v>
      </c>
      <c r="O308" s="39" t="n">
        <f aca="false">J308*Resumo!$C$7</f>
        <v>1.049979</v>
      </c>
      <c r="P308" s="39" t="n">
        <f aca="false">J308*Resumo!$C$8</f>
        <v>1.049979</v>
      </c>
      <c r="Q308" s="39" t="n">
        <f aca="false">Resumo!$C$10*CEILING(I308/100,1)</f>
        <v>1.05</v>
      </c>
      <c r="R308" s="39" t="n">
        <f aca="false">Resumo!$C$9</f>
        <v>0</v>
      </c>
      <c r="S308" s="39" t="n">
        <f aca="false">Resumo!$C$13</f>
        <v>13.55</v>
      </c>
      <c r="T308" s="39" t="n">
        <f aca="false">Resumo!$C$14*CEILING(I308,1)</f>
        <v>22.05</v>
      </c>
      <c r="U308" s="39" t="n">
        <f aca="false">SUM(M308:T308)*Resumo!$C$11</f>
        <v>0</v>
      </c>
      <c r="V308" s="39" t="n">
        <f aca="false">SUM(M308:U308)</f>
        <v>116.449958</v>
      </c>
      <c r="W308" s="39" t="n">
        <f aca="false">V308/(1-Resumo!$C$5)</f>
        <v>132.329497727273</v>
      </c>
      <c r="X308" s="39" t="n">
        <v>124.38</v>
      </c>
      <c r="Y308" s="39" t="n">
        <f aca="false">J308*Resumo!$B$6</f>
        <v>0.49999</v>
      </c>
      <c r="Z308" s="39" t="n">
        <f aca="false">J308*Resumo!$B$7</f>
        <v>0.99998</v>
      </c>
      <c r="AA308" s="39" t="n">
        <f aca="false">Resumo!$B$9</f>
        <v>1</v>
      </c>
      <c r="AB308" s="39" t="n">
        <f aca="false">Resumo!$B$10*CEILING(I308/100,1)</f>
        <v>4.5</v>
      </c>
      <c r="AC308" s="39" t="n">
        <f aca="false">Resumo!$B$12*CEILING(I308,1)</f>
        <v>2.94</v>
      </c>
      <c r="AD308" s="39" t="n">
        <f aca="false">Resumo!$B$14*CEILING(I308,1)</f>
        <v>22.05</v>
      </c>
      <c r="AE308" s="39" t="n">
        <f aca="false">SUM(X308:AD308)</f>
        <v>156.36997</v>
      </c>
      <c r="AF308" s="39" t="n">
        <f aca="false">AE308/(1-Resumo!$B$5)</f>
        <v>177.693147727273</v>
      </c>
      <c r="AG308" s="39" t="n">
        <f aca="false">AF308-W308</f>
        <v>45.36365</v>
      </c>
      <c r="AH308" s="40" t="n">
        <f aca="false">AF308/W308-1</f>
        <v>0.342808298823088</v>
      </c>
      <c r="AI308" s="37" t="str">
        <f aca="false">IF(AF308&lt;W308,"SIM","NÃO")</f>
        <v>NÃO</v>
      </c>
      <c r="AJ308" s="37" t="n">
        <v>13</v>
      </c>
      <c r="AK308" s="37" t="n">
        <v>10</v>
      </c>
      <c r="AL308" s="37" t="s">
        <v>343</v>
      </c>
      <c r="AM308" s="39" t="n">
        <v>130.56</v>
      </c>
    </row>
    <row r="309" customFormat="false" ht="15" hidden="false" customHeight="false" outlineLevel="0" collapsed="false">
      <c r="A309" s="37" t="n">
        <v>364580811</v>
      </c>
      <c r="B309" s="38" t="n">
        <v>46226.8985416667</v>
      </c>
      <c r="C309" s="37" t="s">
        <v>340</v>
      </c>
      <c r="D309" s="37" t="s">
        <v>655</v>
      </c>
      <c r="E309" s="37" t="n">
        <v>24241002</v>
      </c>
      <c r="F309" s="37" t="s">
        <v>163</v>
      </c>
      <c r="G309" s="37" t="s">
        <v>197</v>
      </c>
      <c r="H309" s="37" t="s">
        <v>185</v>
      </c>
      <c r="I309" s="37" t="n">
        <v>35.4</v>
      </c>
      <c r="J309" s="39" t="n">
        <v>539.99</v>
      </c>
      <c r="K309" s="37" t="s">
        <v>342</v>
      </c>
      <c r="L309" s="39" t="n">
        <v>113.55</v>
      </c>
      <c r="M309" s="39" t="n">
        <v>66.83</v>
      </c>
      <c r="N309" s="39" t="n">
        <f aca="false">J309*Resumo!$C$6</f>
        <v>0</v>
      </c>
      <c r="O309" s="39" t="n">
        <f aca="false">J309*Resumo!$C$7</f>
        <v>1.133979</v>
      </c>
      <c r="P309" s="39" t="n">
        <f aca="false">J309*Resumo!$C$8</f>
        <v>1.133979</v>
      </c>
      <c r="Q309" s="39" t="n">
        <f aca="false">Resumo!$C$10*CEILING(I309/100,1)</f>
        <v>1.05</v>
      </c>
      <c r="R309" s="39" t="n">
        <f aca="false">Resumo!$C$9</f>
        <v>0</v>
      </c>
      <c r="S309" s="39" t="n">
        <f aca="false">Resumo!$C$13</f>
        <v>13.55</v>
      </c>
      <c r="T309" s="39" t="n">
        <f aca="false">Resumo!$C$14*CEILING(I309,1)</f>
        <v>16.2</v>
      </c>
      <c r="U309" s="39" t="n">
        <f aca="false">SUM(M309:T309)*Resumo!$C$11</f>
        <v>0</v>
      </c>
      <c r="V309" s="39" t="n">
        <f aca="false">SUM(M309:U309)</f>
        <v>99.897958</v>
      </c>
      <c r="W309" s="39" t="n">
        <f aca="false">V309/(1-Resumo!$C$5)</f>
        <v>113.520406818182</v>
      </c>
      <c r="X309" s="39" t="n">
        <v>114.95</v>
      </c>
      <c r="Y309" s="39" t="n">
        <f aca="false">J309*Resumo!$B$6</f>
        <v>0.53999</v>
      </c>
      <c r="Z309" s="39" t="n">
        <f aca="false">J309*Resumo!$B$7</f>
        <v>1.07998</v>
      </c>
      <c r="AA309" s="39" t="n">
        <f aca="false">Resumo!$B$9</f>
        <v>1</v>
      </c>
      <c r="AB309" s="39" t="n">
        <f aca="false">Resumo!$B$10*CEILING(I309/100,1)</f>
        <v>4.5</v>
      </c>
      <c r="AC309" s="39" t="n">
        <f aca="false">Resumo!$B$12*CEILING(I309,1)</f>
        <v>2.16</v>
      </c>
      <c r="AD309" s="39" t="n">
        <f aca="false">Resumo!$B$14*CEILING(I309,1)</f>
        <v>16.2</v>
      </c>
      <c r="AE309" s="39" t="n">
        <f aca="false">SUM(X309:AD309)</f>
        <v>140.42997</v>
      </c>
      <c r="AF309" s="39" t="n">
        <f aca="false">AE309/(1-Resumo!$B$5)</f>
        <v>159.579511363636</v>
      </c>
      <c r="AG309" s="39" t="n">
        <f aca="false">AF309-W309</f>
        <v>46.0591045454545</v>
      </c>
      <c r="AH309" s="40" t="n">
        <f aca="false">AF309/W309-1</f>
        <v>0.405734139230353</v>
      </c>
      <c r="AI309" s="37" t="str">
        <f aca="false">IF(AF309&lt;W309,"SIM","NÃO")</f>
        <v>NÃO</v>
      </c>
      <c r="AJ309" s="37" t="n">
        <v>2</v>
      </c>
      <c r="AK309" s="37" t="n">
        <v>7</v>
      </c>
      <c r="AL309" s="37" t="s">
        <v>343</v>
      </c>
      <c r="AM309" s="39" t="n">
        <v>113.54</v>
      </c>
    </row>
    <row r="310" customFormat="false" ht="15" hidden="false" customHeight="false" outlineLevel="0" collapsed="false">
      <c r="A310" s="37" t="n">
        <v>364590376</v>
      </c>
      <c r="B310" s="38" t="n">
        <v>46226.9081597222</v>
      </c>
      <c r="C310" s="37" t="s">
        <v>340</v>
      </c>
      <c r="D310" s="37" t="s">
        <v>656</v>
      </c>
      <c r="E310" s="37" t="n">
        <v>22740361</v>
      </c>
      <c r="F310" s="37" t="s">
        <v>159</v>
      </c>
      <c r="G310" s="37" t="s">
        <v>196</v>
      </c>
      <c r="H310" s="37" t="s">
        <v>188</v>
      </c>
      <c r="I310" s="37" t="n">
        <v>66.8</v>
      </c>
      <c r="J310" s="39" t="n">
        <v>643.99</v>
      </c>
      <c r="K310" s="37" t="s">
        <v>342</v>
      </c>
      <c r="L310" s="39" t="n">
        <v>124.3</v>
      </c>
      <c r="M310" s="39" t="n">
        <v>63.21</v>
      </c>
      <c r="N310" s="39" t="n">
        <f aca="false">J310*Resumo!$C$6</f>
        <v>0</v>
      </c>
      <c r="O310" s="39" t="n">
        <f aca="false">J310*Resumo!$C$7</f>
        <v>1.352379</v>
      </c>
      <c r="P310" s="39" t="n">
        <f aca="false">J310*Resumo!$C$8</f>
        <v>1.352379</v>
      </c>
      <c r="Q310" s="39" t="n">
        <f aca="false">Resumo!$C$10*CEILING(I310/100,1)</f>
        <v>1.05</v>
      </c>
      <c r="R310" s="39" t="n">
        <f aca="false">Resumo!$C$9</f>
        <v>0</v>
      </c>
      <c r="S310" s="39" t="n">
        <f aca="false">Resumo!$C$13</f>
        <v>13.55</v>
      </c>
      <c r="T310" s="39" t="n">
        <f aca="false">Resumo!$C$14*CEILING(I310,1)</f>
        <v>30.15</v>
      </c>
      <c r="U310" s="39" t="n">
        <f aca="false">SUM(M310:T310)*Resumo!$C$11</f>
        <v>0</v>
      </c>
      <c r="V310" s="39" t="n">
        <f aca="false">SUM(M310:U310)</f>
        <v>110.664758</v>
      </c>
      <c r="W310" s="39" t="n">
        <f aca="false">V310/(1-Resumo!$C$5)</f>
        <v>125.755406818182</v>
      </c>
      <c r="X310" s="39" t="n">
        <v>131.02</v>
      </c>
      <c r="Y310" s="39" t="n">
        <f aca="false">J310*Resumo!$B$6</f>
        <v>0.64399</v>
      </c>
      <c r="Z310" s="39" t="n">
        <f aca="false">J310*Resumo!$B$7</f>
        <v>1.28798</v>
      </c>
      <c r="AA310" s="39" t="n">
        <f aca="false">Resumo!$B$9</f>
        <v>1</v>
      </c>
      <c r="AB310" s="39" t="n">
        <f aca="false">Resumo!$B$10*CEILING(I310/100,1)</f>
        <v>4.5</v>
      </c>
      <c r="AC310" s="39" t="n">
        <f aca="false">Resumo!$B$12*CEILING(I310,1)</f>
        <v>4.02</v>
      </c>
      <c r="AD310" s="39" t="n">
        <f aca="false">Resumo!$B$14*CEILING(I310,1)</f>
        <v>30.15</v>
      </c>
      <c r="AE310" s="39" t="n">
        <f aca="false">SUM(X310:AD310)</f>
        <v>172.62197</v>
      </c>
      <c r="AF310" s="39" t="n">
        <f aca="false">AE310/(1-Resumo!$B$5)</f>
        <v>196.161329545455</v>
      </c>
      <c r="AG310" s="39" t="n">
        <f aca="false">AF310-W310</f>
        <v>70.4059227272727</v>
      </c>
      <c r="AH310" s="40" t="n">
        <f aca="false">AF310/W310-1</f>
        <v>0.559863981268544</v>
      </c>
      <c r="AI310" s="37" t="str">
        <f aca="false">IF(AF310&lt;W310,"SIM","NÃO")</f>
        <v>NÃO</v>
      </c>
      <c r="AJ310" s="37" t="n">
        <v>2</v>
      </c>
      <c r="AK310" s="37" t="n">
        <v>5</v>
      </c>
      <c r="AL310" s="37" t="s">
        <v>343</v>
      </c>
      <c r="AM310" s="39" t="n">
        <v>124.29</v>
      </c>
    </row>
    <row r="311" customFormat="false" ht="15" hidden="false" customHeight="false" outlineLevel="0" collapsed="false">
      <c r="A311" s="37" t="n">
        <v>364618453</v>
      </c>
      <c r="B311" s="38" t="n">
        <v>46226.9450694445</v>
      </c>
      <c r="C311" s="37" t="s">
        <v>340</v>
      </c>
      <c r="D311" s="37" t="s">
        <v>657</v>
      </c>
      <c r="E311" s="37" t="n">
        <v>26553390</v>
      </c>
      <c r="F311" s="37" t="s">
        <v>175</v>
      </c>
      <c r="G311" s="37" t="s">
        <v>197</v>
      </c>
      <c r="H311" s="37" t="s">
        <v>186</v>
      </c>
      <c r="I311" s="37" t="n">
        <v>48.3</v>
      </c>
      <c r="J311" s="39" t="n">
        <v>414.99</v>
      </c>
      <c r="K311" s="37" t="s">
        <v>518</v>
      </c>
      <c r="L311" s="39" t="n">
        <v>117.9</v>
      </c>
      <c r="M311" s="39" t="n">
        <v>65.36</v>
      </c>
      <c r="N311" s="39" t="n">
        <f aca="false">J311*Resumo!$C$6</f>
        <v>0</v>
      </c>
      <c r="O311" s="39" t="n">
        <f aca="false">J311*Resumo!$C$7</f>
        <v>0.871479</v>
      </c>
      <c r="P311" s="39" t="n">
        <f aca="false">J311*Resumo!$C$8</f>
        <v>0.871479</v>
      </c>
      <c r="Q311" s="39" t="n">
        <f aca="false">Resumo!$C$10*CEILING(I311/100,1)</f>
        <v>1.05</v>
      </c>
      <c r="R311" s="39" t="n">
        <f aca="false">Resumo!$C$9</f>
        <v>0</v>
      </c>
      <c r="S311" s="39" t="n">
        <f aca="false">Resumo!$C$13</f>
        <v>13.55</v>
      </c>
      <c r="T311" s="39" t="n">
        <f aca="false">Resumo!$C$14*CEILING(I311,1)</f>
        <v>22.05</v>
      </c>
      <c r="U311" s="39" t="n">
        <f aca="false">SUM(M311:T311)*Resumo!$C$11</f>
        <v>0</v>
      </c>
      <c r="V311" s="39" t="n">
        <f aca="false">SUM(M311:U311)</f>
        <v>103.752958</v>
      </c>
      <c r="W311" s="39" t="n">
        <f aca="false">V311/(1-Resumo!$C$5)</f>
        <v>117.901088636364</v>
      </c>
      <c r="X311" s="39" t="n">
        <v>93.97</v>
      </c>
      <c r="Y311" s="39" t="n">
        <f aca="false">J311*Resumo!$B$6</f>
        <v>0.41499</v>
      </c>
      <c r="Z311" s="39" t="n">
        <f aca="false">J311*Resumo!$B$7</f>
        <v>0.82998</v>
      </c>
      <c r="AA311" s="39" t="n">
        <f aca="false">Resumo!$B$9</f>
        <v>1</v>
      </c>
      <c r="AB311" s="39" t="n">
        <f aca="false">Resumo!$B$10*CEILING(I311/100,1)</f>
        <v>4.5</v>
      </c>
      <c r="AC311" s="39" t="n">
        <f aca="false">Resumo!$B$12*CEILING(I311,1)</f>
        <v>2.94</v>
      </c>
      <c r="AD311" s="39" t="n">
        <f aca="false">Resumo!$B$14*CEILING(I311,1)</f>
        <v>22.05</v>
      </c>
      <c r="AE311" s="39" t="n">
        <f aca="false">SUM(X311:AD311)</f>
        <v>125.70497</v>
      </c>
      <c r="AF311" s="39" t="n">
        <f aca="false">AE311/(1-Resumo!$B$5)</f>
        <v>142.846556818182</v>
      </c>
      <c r="AG311" s="39" t="n">
        <f aca="false">AF311-W311</f>
        <v>24.9454681818182</v>
      </c>
      <c r="AH311" s="40" t="n">
        <f aca="false">AF311/W311-1</f>
        <v>0.211579625517761</v>
      </c>
      <c r="AI311" s="37" t="str">
        <f aca="false">IF(AF311&lt;W311,"SIM","NÃO")</f>
        <v>NÃO</v>
      </c>
      <c r="AJ311" s="37" t="n">
        <v>2</v>
      </c>
      <c r="AK311" s="37" t="n">
        <v>5</v>
      </c>
      <c r="AL311" s="37" t="s">
        <v>343</v>
      </c>
      <c r="AM311" s="39" t="n">
        <v>116.06</v>
      </c>
    </row>
    <row r="312" customFormat="false" ht="15" hidden="false" customHeight="false" outlineLevel="0" collapsed="false">
      <c r="A312" s="37" t="n">
        <v>364912688</v>
      </c>
      <c r="B312" s="38" t="n">
        <v>46227.5399421296</v>
      </c>
      <c r="C312" s="37" t="s">
        <v>361</v>
      </c>
      <c r="D312" s="37" t="s">
        <v>658</v>
      </c>
      <c r="E312" s="37" t="n">
        <v>21852413</v>
      </c>
      <c r="F312" s="37" t="s">
        <v>159</v>
      </c>
      <c r="G312" s="37" t="s">
        <v>196</v>
      </c>
      <c r="H312" s="37" t="s">
        <v>187</v>
      </c>
      <c r="I312" s="37" t="n">
        <v>60</v>
      </c>
      <c r="J312" s="39" t="n">
        <v>999.99</v>
      </c>
      <c r="K312" s="37" t="s">
        <v>342</v>
      </c>
      <c r="L312" s="39" t="n">
        <v>115.94</v>
      </c>
      <c r="M312" s="39" t="n">
        <v>58.6</v>
      </c>
      <c r="N312" s="39" t="n">
        <f aca="false">J312*Resumo!$C$6</f>
        <v>0</v>
      </c>
      <c r="O312" s="39" t="n">
        <f aca="false">J312*Resumo!$C$7</f>
        <v>2.099979</v>
      </c>
      <c r="P312" s="39" t="n">
        <f aca="false">J312*Resumo!$C$8</f>
        <v>2.099979</v>
      </c>
      <c r="Q312" s="39" t="n">
        <f aca="false">Resumo!$C$10*CEILING(I312/100,1)</f>
        <v>1.05</v>
      </c>
      <c r="R312" s="39" t="n">
        <f aca="false">Resumo!$C$9</f>
        <v>0</v>
      </c>
      <c r="S312" s="39" t="n">
        <f aca="false">Resumo!$C$13</f>
        <v>13.55</v>
      </c>
      <c r="T312" s="39" t="n">
        <f aca="false">Resumo!$C$14*CEILING(I312,1)</f>
        <v>27</v>
      </c>
      <c r="U312" s="39" t="n">
        <f aca="false">SUM(M312:T312)*Resumo!$C$11</f>
        <v>0</v>
      </c>
      <c r="V312" s="39" t="n">
        <f aca="false">SUM(M312:U312)</f>
        <v>104.399958</v>
      </c>
      <c r="W312" s="39" t="n">
        <f aca="false">V312/(1-Resumo!$C$5)</f>
        <v>118.636315909091</v>
      </c>
      <c r="X312" s="39" t="n">
        <v>112.3</v>
      </c>
      <c r="Y312" s="39" t="n">
        <f aca="false">J312*Resumo!$B$6</f>
        <v>0.99999</v>
      </c>
      <c r="Z312" s="39" t="n">
        <f aca="false">J312*Resumo!$B$7</f>
        <v>1.99998</v>
      </c>
      <c r="AA312" s="39" t="n">
        <f aca="false">Resumo!$B$9</f>
        <v>1</v>
      </c>
      <c r="AB312" s="39" t="n">
        <f aca="false">Resumo!$B$10*CEILING(I312/100,1)</f>
        <v>4.5</v>
      </c>
      <c r="AC312" s="39" t="n">
        <f aca="false">Resumo!$B$12*CEILING(I312,1)</f>
        <v>3.6</v>
      </c>
      <c r="AD312" s="39" t="n">
        <f aca="false">Resumo!$B$14*CEILING(I312,1)</f>
        <v>27</v>
      </c>
      <c r="AE312" s="39" t="n">
        <f aca="false">SUM(X312:AD312)</f>
        <v>151.39997</v>
      </c>
      <c r="AF312" s="39" t="n">
        <f aca="false">AE312/(1-Resumo!$B$5)</f>
        <v>172.045420454545</v>
      </c>
      <c r="AG312" s="39" t="n">
        <f aca="false">AF312-W312</f>
        <v>53.4091045454545</v>
      </c>
      <c r="AH312" s="40" t="n">
        <f aca="false">AF312/W312-1</f>
        <v>0.450191866935425</v>
      </c>
      <c r="AI312" s="37" t="str">
        <f aca="false">IF(AF312&lt;W312,"SIM","NÃO")</f>
        <v>NÃO</v>
      </c>
      <c r="AJ312" s="37" t="n">
        <v>2</v>
      </c>
      <c r="AK312" s="37" t="n">
        <v>5</v>
      </c>
      <c r="AL312" s="37" t="s">
        <v>343</v>
      </c>
      <c r="AM312" s="39" t="n">
        <v>115.94</v>
      </c>
    </row>
    <row r="313" customFormat="false" ht="15" hidden="false" customHeight="false" outlineLevel="0" collapsed="false">
      <c r="A313" s="37" t="n">
        <v>364922421</v>
      </c>
      <c r="B313" s="38" t="n">
        <v>46227.5446875</v>
      </c>
      <c r="C313" s="37" t="s">
        <v>345</v>
      </c>
      <c r="D313" s="37" t="s">
        <v>659</v>
      </c>
      <c r="E313" s="37" t="n">
        <v>21555080</v>
      </c>
      <c r="F313" s="37" t="s">
        <v>159</v>
      </c>
      <c r="G313" s="37" t="s">
        <v>196</v>
      </c>
      <c r="H313" s="37" t="s">
        <v>193</v>
      </c>
      <c r="I313" s="37" t="n">
        <v>157.9</v>
      </c>
      <c r="J313" s="39" t="n">
        <v>1920.55</v>
      </c>
      <c r="K313" s="37" t="s">
        <v>342</v>
      </c>
      <c r="L313" s="39" t="n">
        <v>256.17</v>
      </c>
      <c r="M313" s="39" t="n">
        <v>130.31</v>
      </c>
      <c r="N313" s="39" t="n">
        <f aca="false">J313*Resumo!$C$6</f>
        <v>0</v>
      </c>
      <c r="O313" s="39" t="n">
        <f aca="false">J313*Resumo!$C$7</f>
        <v>4.033155</v>
      </c>
      <c r="P313" s="39" t="n">
        <f aca="false">J313*Resumo!$C$8</f>
        <v>4.033155</v>
      </c>
      <c r="Q313" s="39" t="n">
        <f aca="false">Resumo!$C$10*CEILING(I313/100,1)</f>
        <v>2.1</v>
      </c>
      <c r="R313" s="39" t="n">
        <f aca="false">Resumo!$C$9</f>
        <v>0</v>
      </c>
      <c r="S313" s="39" t="n">
        <f aca="false">Resumo!$C$13</f>
        <v>13.55</v>
      </c>
      <c r="T313" s="39" t="n">
        <f aca="false">Resumo!$C$14*CEILING(I313,1)</f>
        <v>71.1</v>
      </c>
      <c r="U313" s="39" t="n">
        <f aca="false">SUM(M313:T313)*Resumo!$C$11</f>
        <v>0</v>
      </c>
      <c r="V313" s="39" t="n">
        <f aca="false">SUM(M313:U313)</f>
        <v>225.12631</v>
      </c>
      <c r="W313" s="39" t="n">
        <f aca="false">V313/(1-Resumo!$C$5)</f>
        <v>255.825352272727</v>
      </c>
      <c r="X313" s="39" t="n">
        <v>271.15</v>
      </c>
      <c r="Y313" s="39" t="n">
        <f aca="false">J313*Resumo!$B$6</f>
        <v>1.92055</v>
      </c>
      <c r="Z313" s="39" t="n">
        <f aca="false">J313*Resumo!$B$7</f>
        <v>3.8411</v>
      </c>
      <c r="AA313" s="39" t="n">
        <f aca="false">Resumo!$B$9</f>
        <v>1</v>
      </c>
      <c r="AB313" s="39" t="n">
        <f aca="false">Resumo!$B$10*CEILING(I313/100,1)</f>
        <v>9</v>
      </c>
      <c r="AC313" s="39" t="n">
        <f aca="false">Resumo!$B$12*CEILING(I313,1)</f>
        <v>9.48</v>
      </c>
      <c r="AD313" s="39" t="n">
        <f aca="false">Resumo!$B$14*CEILING(I313,1)</f>
        <v>71.1</v>
      </c>
      <c r="AE313" s="39" t="n">
        <f aca="false">SUM(X313:AD313)</f>
        <v>367.49165</v>
      </c>
      <c r="AF313" s="39" t="n">
        <f aca="false">AE313/(1-Resumo!$B$5)</f>
        <v>417.604147727273</v>
      </c>
      <c r="AG313" s="39" t="n">
        <f aca="false">AF313-W313</f>
        <v>161.778795454545</v>
      </c>
      <c r="AH313" s="40" t="n">
        <f aca="false">AF313/W313-1</f>
        <v>0.632379840454899</v>
      </c>
      <c r="AI313" s="37" t="str">
        <f aca="false">IF(AF313&lt;W313,"SIM","NÃO")</f>
        <v>NÃO</v>
      </c>
      <c r="AJ313" s="37" t="n">
        <v>2</v>
      </c>
      <c r="AK313" s="37" t="n">
        <v>5</v>
      </c>
      <c r="AL313" s="37" t="s">
        <v>343</v>
      </c>
      <c r="AM313" s="39" t="n">
        <v>256.18</v>
      </c>
    </row>
    <row r="314" customFormat="false" ht="15" hidden="false" customHeight="false" outlineLevel="0" collapsed="false">
      <c r="A314" s="37" t="n">
        <v>365005336</v>
      </c>
      <c r="B314" s="38" t="n">
        <v>46227.651087963</v>
      </c>
      <c r="C314" s="37" t="s">
        <v>361</v>
      </c>
      <c r="D314" s="37" t="s">
        <v>658</v>
      </c>
      <c r="E314" s="37" t="n">
        <v>21852413</v>
      </c>
      <c r="F314" s="37" t="s">
        <v>159</v>
      </c>
      <c r="G314" s="37" t="s">
        <v>196</v>
      </c>
      <c r="H314" s="37" t="s">
        <v>187</v>
      </c>
      <c r="I314" s="37" t="n">
        <v>60</v>
      </c>
      <c r="J314" s="39" t="n">
        <v>999.99</v>
      </c>
      <c r="K314" s="37" t="s">
        <v>342</v>
      </c>
      <c r="L314" s="39" t="n">
        <v>115.94</v>
      </c>
      <c r="M314" s="39" t="n">
        <v>58.6</v>
      </c>
      <c r="N314" s="39" t="n">
        <f aca="false">J314*Resumo!$C$6</f>
        <v>0</v>
      </c>
      <c r="O314" s="39" t="n">
        <f aca="false">J314*Resumo!$C$7</f>
        <v>2.099979</v>
      </c>
      <c r="P314" s="39" t="n">
        <f aca="false">J314*Resumo!$C$8</f>
        <v>2.099979</v>
      </c>
      <c r="Q314" s="39" t="n">
        <f aca="false">Resumo!$C$10*CEILING(I314/100,1)</f>
        <v>1.05</v>
      </c>
      <c r="R314" s="39" t="n">
        <f aca="false">Resumo!$C$9</f>
        <v>0</v>
      </c>
      <c r="S314" s="39" t="n">
        <f aca="false">Resumo!$C$13</f>
        <v>13.55</v>
      </c>
      <c r="T314" s="39" t="n">
        <f aca="false">Resumo!$C$14*CEILING(I314,1)</f>
        <v>27</v>
      </c>
      <c r="U314" s="39" t="n">
        <f aca="false">SUM(M314:T314)*Resumo!$C$11</f>
        <v>0</v>
      </c>
      <c r="V314" s="39" t="n">
        <f aca="false">SUM(M314:U314)</f>
        <v>104.399958</v>
      </c>
      <c r="W314" s="39" t="n">
        <f aca="false">V314/(1-Resumo!$C$5)</f>
        <v>118.636315909091</v>
      </c>
      <c r="X314" s="39" t="n">
        <v>112.3</v>
      </c>
      <c r="Y314" s="39" t="n">
        <f aca="false">J314*Resumo!$B$6</f>
        <v>0.99999</v>
      </c>
      <c r="Z314" s="39" t="n">
        <f aca="false">J314*Resumo!$B$7</f>
        <v>1.99998</v>
      </c>
      <c r="AA314" s="39" t="n">
        <f aca="false">Resumo!$B$9</f>
        <v>1</v>
      </c>
      <c r="AB314" s="39" t="n">
        <f aca="false">Resumo!$B$10*CEILING(I314/100,1)</f>
        <v>4.5</v>
      </c>
      <c r="AC314" s="39" t="n">
        <f aca="false">Resumo!$B$12*CEILING(I314,1)</f>
        <v>3.6</v>
      </c>
      <c r="AD314" s="39" t="n">
        <f aca="false">Resumo!$B$14*CEILING(I314,1)</f>
        <v>27</v>
      </c>
      <c r="AE314" s="39" t="n">
        <f aca="false">SUM(X314:AD314)</f>
        <v>151.39997</v>
      </c>
      <c r="AF314" s="39" t="n">
        <f aca="false">AE314/(1-Resumo!$B$5)</f>
        <v>172.045420454545</v>
      </c>
      <c r="AG314" s="39" t="n">
        <f aca="false">AF314-W314</f>
        <v>53.4091045454545</v>
      </c>
      <c r="AH314" s="40" t="n">
        <f aca="false">AF314/W314-1</f>
        <v>0.450191866935425</v>
      </c>
      <c r="AI314" s="37" t="str">
        <f aca="false">IF(AF314&lt;W314,"SIM","NÃO")</f>
        <v>NÃO</v>
      </c>
      <c r="AJ314" s="37" t="n">
        <v>2</v>
      </c>
      <c r="AK314" s="37" t="n">
        <v>5</v>
      </c>
      <c r="AL314" s="37" t="s">
        <v>343</v>
      </c>
      <c r="AM314" s="39" t="n">
        <v>115.94</v>
      </c>
    </row>
    <row r="315" customFormat="false" ht="15" hidden="false" customHeight="false" outlineLevel="0" collapsed="false">
      <c r="A315" s="37" t="n">
        <v>365039970</v>
      </c>
      <c r="B315" s="38" t="n">
        <v>46227.6859837963</v>
      </c>
      <c r="C315" s="37" t="s">
        <v>340</v>
      </c>
      <c r="D315" s="37" t="s">
        <v>660</v>
      </c>
      <c r="E315" s="37" t="n">
        <v>22793075</v>
      </c>
      <c r="F315" s="37" t="s">
        <v>159</v>
      </c>
      <c r="G315" s="37" t="s">
        <v>196</v>
      </c>
      <c r="H315" s="37" t="s">
        <v>186</v>
      </c>
      <c r="I315" s="37" t="n">
        <v>48.3</v>
      </c>
      <c r="J315" s="39" t="n">
        <v>429.99</v>
      </c>
      <c r="K315" s="37" t="s">
        <v>342</v>
      </c>
      <c r="L315" s="39" t="n">
        <v>102.65</v>
      </c>
      <c r="M315" s="39" t="n">
        <v>53.55</v>
      </c>
      <c r="N315" s="39" t="n">
        <f aca="false">J315*Resumo!$C$6</f>
        <v>0</v>
      </c>
      <c r="O315" s="39" t="n">
        <f aca="false">J315*Resumo!$C$7</f>
        <v>0.902979</v>
      </c>
      <c r="P315" s="39" t="n">
        <f aca="false">J315*Resumo!$C$8</f>
        <v>0.902979</v>
      </c>
      <c r="Q315" s="39" t="n">
        <f aca="false">Resumo!$C$10*CEILING(I315/100,1)</f>
        <v>1.05</v>
      </c>
      <c r="R315" s="39" t="n">
        <f aca="false">Resumo!$C$9</f>
        <v>0</v>
      </c>
      <c r="S315" s="39" t="n">
        <f aca="false">Resumo!$C$13</f>
        <v>13.55</v>
      </c>
      <c r="T315" s="39" t="n">
        <f aca="false">Resumo!$C$14*CEILING(I315,1)</f>
        <v>22.05</v>
      </c>
      <c r="U315" s="39" t="n">
        <f aca="false">SUM(M315:T315)*Resumo!$C$11</f>
        <v>0</v>
      </c>
      <c r="V315" s="39" t="n">
        <f aca="false">SUM(M315:U315)</f>
        <v>92.005958</v>
      </c>
      <c r="W315" s="39" t="n">
        <f aca="false">V315/(1-Resumo!$C$5)</f>
        <v>104.552225</v>
      </c>
      <c r="X315" s="39" t="n">
        <v>93.97</v>
      </c>
      <c r="Y315" s="39" t="n">
        <f aca="false">J315*Resumo!$B$6</f>
        <v>0.42999</v>
      </c>
      <c r="Z315" s="39" t="n">
        <f aca="false">J315*Resumo!$B$7</f>
        <v>0.85998</v>
      </c>
      <c r="AA315" s="39" t="n">
        <f aca="false">Resumo!$B$9</f>
        <v>1</v>
      </c>
      <c r="AB315" s="39" t="n">
        <f aca="false">Resumo!$B$10*CEILING(I315/100,1)</f>
        <v>4.5</v>
      </c>
      <c r="AC315" s="39" t="n">
        <f aca="false">Resumo!$B$12*CEILING(I315,1)</f>
        <v>2.94</v>
      </c>
      <c r="AD315" s="39" t="n">
        <f aca="false">Resumo!$B$14*CEILING(I315,1)</f>
        <v>22.05</v>
      </c>
      <c r="AE315" s="39" t="n">
        <f aca="false">SUM(X315:AD315)</f>
        <v>125.74997</v>
      </c>
      <c r="AF315" s="39" t="n">
        <f aca="false">AE315/(1-Resumo!$B$5)</f>
        <v>142.897693181818</v>
      </c>
      <c r="AG315" s="39" t="n">
        <f aca="false">AF315-W315</f>
        <v>38.3454681818182</v>
      </c>
      <c r="AH315" s="40" t="n">
        <f aca="false">AF315/W315-1</f>
        <v>0.366758987499483</v>
      </c>
      <c r="AI315" s="37" t="str">
        <f aca="false">IF(AF315&lt;W315,"SIM","NÃO")</f>
        <v>NÃO</v>
      </c>
      <c r="AJ315" s="37" t="n">
        <v>2</v>
      </c>
      <c r="AK315" s="37" t="n">
        <v>5</v>
      </c>
      <c r="AL315" s="37" t="s">
        <v>343</v>
      </c>
      <c r="AM315" s="39" t="n">
        <v>102.65</v>
      </c>
    </row>
    <row r="316" customFormat="false" ht="15" hidden="false" customHeight="false" outlineLevel="0" collapsed="false">
      <c r="A316" s="37" t="n">
        <v>365138826</v>
      </c>
      <c r="B316" s="38" t="n">
        <v>46227.8268055556</v>
      </c>
      <c r="C316" s="37" t="s">
        <v>340</v>
      </c>
      <c r="D316" s="37" t="s">
        <v>661</v>
      </c>
      <c r="E316" s="37" t="n">
        <v>22783123</v>
      </c>
      <c r="F316" s="37" t="s">
        <v>159</v>
      </c>
      <c r="G316" s="37" t="s">
        <v>196</v>
      </c>
      <c r="H316" s="37" t="s">
        <v>187</v>
      </c>
      <c r="I316" s="37" t="n">
        <v>52.3</v>
      </c>
      <c r="J316" s="39" t="n">
        <v>685.84</v>
      </c>
      <c r="K316" s="37" t="s">
        <v>518</v>
      </c>
      <c r="L316" s="39" t="n">
        <v>113.56</v>
      </c>
      <c r="M316" s="39" t="n">
        <v>58.6</v>
      </c>
      <c r="N316" s="39" t="n">
        <f aca="false">J316*Resumo!$C$6</f>
        <v>0</v>
      </c>
      <c r="O316" s="39" t="n">
        <f aca="false">J316*Resumo!$C$7</f>
        <v>1.440264</v>
      </c>
      <c r="P316" s="39" t="n">
        <f aca="false">J316*Resumo!$C$8</f>
        <v>1.440264</v>
      </c>
      <c r="Q316" s="39" t="n">
        <f aca="false">Resumo!$C$10*CEILING(I316/100,1)</f>
        <v>1.05</v>
      </c>
      <c r="R316" s="39" t="n">
        <f aca="false">Resumo!$C$9</f>
        <v>0</v>
      </c>
      <c r="S316" s="39" t="n">
        <f aca="false">Resumo!$C$13</f>
        <v>13.55</v>
      </c>
      <c r="T316" s="39" t="n">
        <f aca="false">Resumo!$C$14*CEILING(I316,1)</f>
        <v>23.85</v>
      </c>
      <c r="U316" s="39" t="n">
        <f aca="false">SUM(M316:T316)*Resumo!$C$11</f>
        <v>0</v>
      </c>
      <c r="V316" s="39" t="n">
        <f aca="false">SUM(M316:U316)</f>
        <v>99.930528</v>
      </c>
      <c r="W316" s="39" t="n">
        <f aca="false">V316/(1-Resumo!$C$5)</f>
        <v>113.557418181818</v>
      </c>
      <c r="X316" s="39" t="n">
        <v>112.3</v>
      </c>
      <c r="Y316" s="39" t="n">
        <f aca="false">J316*Resumo!$B$6</f>
        <v>0.68584</v>
      </c>
      <c r="Z316" s="39" t="n">
        <f aca="false">J316*Resumo!$B$7</f>
        <v>1.37168</v>
      </c>
      <c r="AA316" s="39" t="n">
        <f aca="false">Resumo!$B$9</f>
        <v>1</v>
      </c>
      <c r="AB316" s="39" t="n">
        <f aca="false">Resumo!$B$10*CEILING(I316/100,1)</f>
        <v>4.5</v>
      </c>
      <c r="AC316" s="39" t="n">
        <f aca="false">Resumo!$B$12*CEILING(I316,1)</f>
        <v>3.18</v>
      </c>
      <c r="AD316" s="39" t="n">
        <f aca="false">Resumo!$B$14*CEILING(I316,1)</f>
        <v>23.85</v>
      </c>
      <c r="AE316" s="39" t="n">
        <f aca="false">SUM(X316:AD316)</f>
        <v>146.88752</v>
      </c>
      <c r="AF316" s="39" t="n">
        <f aca="false">AE316/(1-Resumo!$B$5)</f>
        <v>166.917636363636</v>
      </c>
      <c r="AG316" s="39" t="n">
        <f aca="false">AF316-W316</f>
        <v>53.3602181818182</v>
      </c>
      <c r="AH316" s="40" t="n">
        <f aca="false">AF316/W316-1</f>
        <v>0.469896366403668</v>
      </c>
      <c r="AI316" s="37" t="str">
        <f aca="false">IF(AF316&lt;W316,"SIM","NÃO")</f>
        <v>NÃO</v>
      </c>
      <c r="AJ316" s="37" t="n">
        <v>2</v>
      </c>
      <c r="AK316" s="37" t="n">
        <v>5</v>
      </c>
      <c r="AL316" s="37" t="s">
        <v>343</v>
      </c>
      <c r="AM316" s="39" t="n">
        <v>114.44</v>
      </c>
    </row>
    <row r="317" customFormat="false" ht="15" hidden="false" customHeight="false" outlineLevel="0" collapsed="false">
      <c r="A317" s="37" t="n">
        <v>365188333</v>
      </c>
      <c r="B317" s="38" t="n">
        <v>46227.8884143519</v>
      </c>
      <c r="C317" s="37" t="s">
        <v>340</v>
      </c>
      <c r="D317" s="37" t="s">
        <v>662</v>
      </c>
      <c r="E317" s="37" t="n">
        <v>26295607</v>
      </c>
      <c r="F317" s="37" t="s">
        <v>162</v>
      </c>
      <c r="G317" s="37" t="s">
        <v>197</v>
      </c>
      <c r="H317" s="37" t="s">
        <v>187</v>
      </c>
      <c r="I317" s="37" t="n">
        <v>52.3</v>
      </c>
      <c r="J317" s="39" t="n">
        <v>685.84</v>
      </c>
      <c r="K317" s="37" t="s">
        <v>518</v>
      </c>
      <c r="L317" s="39" t="n">
        <v>127.62</v>
      </c>
      <c r="M317" s="39" t="n">
        <v>70.98</v>
      </c>
      <c r="N317" s="39" t="n">
        <f aca="false">J317*Resumo!$C$6</f>
        <v>0</v>
      </c>
      <c r="O317" s="39" t="n">
        <f aca="false">J317*Resumo!$C$7</f>
        <v>1.440264</v>
      </c>
      <c r="P317" s="39" t="n">
        <f aca="false">J317*Resumo!$C$8</f>
        <v>1.440264</v>
      </c>
      <c r="Q317" s="39" t="n">
        <f aca="false">Resumo!$C$10*CEILING(I317/100,1)</f>
        <v>1.05</v>
      </c>
      <c r="R317" s="39" t="n">
        <f aca="false">Resumo!$C$9</f>
        <v>0</v>
      </c>
      <c r="S317" s="39" t="n">
        <f aca="false">Resumo!$C$13</f>
        <v>13.55</v>
      </c>
      <c r="T317" s="39" t="n">
        <f aca="false">Resumo!$C$14*CEILING(I317,1)</f>
        <v>23.85</v>
      </c>
      <c r="U317" s="39" t="n">
        <f aca="false">SUM(M317:T317)*Resumo!$C$11</f>
        <v>0</v>
      </c>
      <c r="V317" s="39" t="n">
        <f aca="false">SUM(M317:U317)</f>
        <v>112.310528</v>
      </c>
      <c r="W317" s="39" t="n">
        <f aca="false">V317/(1-Resumo!$C$5)</f>
        <v>127.6256</v>
      </c>
      <c r="X317" s="39" t="n">
        <v>112.3</v>
      </c>
      <c r="Y317" s="39" t="n">
        <f aca="false">J317*Resumo!$B$6</f>
        <v>0.68584</v>
      </c>
      <c r="Z317" s="39" t="n">
        <f aca="false">J317*Resumo!$B$7</f>
        <v>1.37168</v>
      </c>
      <c r="AA317" s="39" t="n">
        <f aca="false">Resumo!$B$9</f>
        <v>1</v>
      </c>
      <c r="AB317" s="39" t="n">
        <f aca="false">Resumo!$B$10*CEILING(I317/100,1)</f>
        <v>4.5</v>
      </c>
      <c r="AC317" s="39" t="n">
        <f aca="false">Resumo!$B$12*CEILING(I317,1)</f>
        <v>3.18</v>
      </c>
      <c r="AD317" s="39" t="n">
        <f aca="false">Resumo!$B$14*CEILING(I317,1)</f>
        <v>23.85</v>
      </c>
      <c r="AE317" s="39" t="n">
        <f aca="false">SUM(X317:AD317)</f>
        <v>146.88752</v>
      </c>
      <c r="AF317" s="39" t="n">
        <f aca="false">AE317/(1-Resumo!$B$5)</f>
        <v>166.917636363636</v>
      </c>
      <c r="AG317" s="39" t="n">
        <f aca="false">AF317-W317</f>
        <v>39.2920363636363</v>
      </c>
      <c r="AH317" s="40" t="n">
        <f aca="false">AF317/W317-1</f>
        <v>0.307869552532065</v>
      </c>
      <c r="AI317" s="37" t="str">
        <f aca="false">IF(AF317&lt;W317,"SIM","NÃO")</f>
        <v>NÃO</v>
      </c>
      <c r="AJ317" s="37" t="n">
        <v>2</v>
      </c>
      <c r="AK317" s="37" t="n">
        <v>5</v>
      </c>
      <c r="AL317" s="37" t="s">
        <v>343</v>
      </c>
      <c r="AM317" s="39" t="n">
        <v>128.57</v>
      </c>
    </row>
    <row r="318" customFormat="false" ht="15" hidden="false" customHeight="false" outlineLevel="0" collapsed="false">
      <c r="A318" s="37" t="n">
        <v>365196543</v>
      </c>
      <c r="B318" s="38" t="n">
        <v>46227.9042824074</v>
      </c>
      <c r="C318" s="37" t="s">
        <v>379</v>
      </c>
      <c r="D318" s="37" t="s">
        <v>663</v>
      </c>
      <c r="E318" s="37" t="n">
        <v>22723391</v>
      </c>
      <c r="F318" s="37" t="s">
        <v>159</v>
      </c>
      <c r="G318" s="37" t="s">
        <v>196</v>
      </c>
      <c r="H318" s="37" t="s">
        <v>187</v>
      </c>
      <c r="I318" s="37" t="n">
        <v>52.3</v>
      </c>
      <c r="J318" s="39" t="n">
        <v>616.99</v>
      </c>
      <c r="K318" s="37" t="s">
        <v>518</v>
      </c>
      <c r="L318" s="39" t="n">
        <v>113.24</v>
      </c>
      <c r="M318" s="39" t="n">
        <v>58.6</v>
      </c>
      <c r="N318" s="39" t="n">
        <f aca="false">J318*Resumo!$C$6</f>
        <v>0</v>
      </c>
      <c r="O318" s="39" t="n">
        <f aca="false">J318*Resumo!$C$7</f>
        <v>1.295679</v>
      </c>
      <c r="P318" s="39" t="n">
        <f aca="false">J318*Resumo!$C$8</f>
        <v>1.295679</v>
      </c>
      <c r="Q318" s="39" t="n">
        <f aca="false">Resumo!$C$10*CEILING(I318/100,1)</f>
        <v>1.05</v>
      </c>
      <c r="R318" s="39" t="n">
        <f aca="false">Resumo!$C$9</f>
        <v>0</v>
      </c>
      <c r="S318" s="39" t="n">
        <f aca="false">Resumo!$C$13</f>
        <v>13.55</v>
      </c>
      <c r="T318" s="39" t="n">
        <f aca="false">Resumo!$C$14*CEILING(I318,1)</f>
        <v>23.85</v>
      </c>
      <c r="U318" s="39" t="n">
        <f aca="false">SUM(M318:T318)*Resumo!$C$11</f>
        <v>0</v>
      </c>
      <c r="V318" s="39" t="n">
        <f aca="false">SUM(M318:U318)</f>
        <v>99.641358</v>
      </c>
      <c r="W318" s="39" t="n">
        <f aca="false">V318/(1-Resumo!$C$5)</f>
        <v>113.228815909091</v>
      </c>
      <c r="X318" s="39" t="n">
        <v>112.3</v>
      </c>
      <c r="Y318" s="39" t="n">
        <f aca="false">J318*Resumo!$B$6</f>
        <v>0.61699</v>
      </c>
      <c r="Z318" s="39" t="n">
        <f aca="false">J318*Resumo!$B$7</f>
        <v>1.23398</v>
      </c>
      <c r="AA318" s="39" t="n">
        <f aca="false">Resumo!$B$9</f>
        <v>1</v>
      </c>
      <c r="AB318" s="39" t="n">
        <f aca="false">Resumo!$B$10*CEILING(I318/100,1)</f>
        <v>4.5</v>
      </c>
      <c r="AC318" s="39" t="n">
        <f aca="false">Resumo!$B$12*CEILING(I318,1)</f>
        <v>3.18</v>
      </c>
      <c r="AD318" s="39" t="n">
        <f aca="false">Resumo!$B$14*CEILING(I318,1)</f>
        <v>23.85</v>
      </c>
      <c r="AE318" s="39" t="n">
        <f aca="false">SUM(X318:AD318)</f>
        <v>146.68097</v>
      </c>
      <c r="AF318" s="39" t="n">
        <f aca="false">AE318/(1-Resumo!$B$5)</f>
        <v>166.682920454545</v>
      </c>
      <c r="AG318" s="39" t="n">
        <f aca="false">AF318-W318</f>
        <v>53.4541045454546</v>
      </c>
      <c r="AH318" s="40" t="n">
        <f aca="false">AF318/W318-1</f>
        <v>0.472089230257179</v>
      </c>
      <c r="AI318" s="37" t="str">
        <f aca="false">IF(AF318&lt;W318,"SIM","NÃO")</f>
        <v>NÃO</v>
      </c>
      <c r="AJ318" s="37" t="n">
        <v>2</v>
      </c>
      <c r="AK318" s="37" t="n">
        <v>5</v>
      </c>
      <c r="AL318" s="37" t="s">
        <v>343</v>
      </c>
      <c r="AM318" s="39" t="n">
        <v>114.11</v>
      </c>
    </row>
    <row r="319" customFormat="false" ht="15" hidden="false" customHeight="false" outlineLevel="0" collapsed="false">
      <c r="A319" s="37" t="n">
        <v>365204504</v>
      </c>
      <c r="B319" s="38" t="n">
        <v>46227.9150462963</v>
      </c>
      <c r="C319" s="37" t="s">
        <v>340</v>
      </c>
      <c r="D319" s="37" t="s">
        <v>664</v>
      </c>
      <c r="E319" s="37" t="n">
        <v>22783200</v>
      </c>
      <c r="F319" s="37" t="s">
        <v>159</v>
      </c>
      <c r="G319" s="37" t="s">
        <v>196</v>
      </c>
      <c r="H319" s="37" t="s">
        <v>187</v>
      </c>
      <c r="I319" s="37" t="n">
        <v>52.3</v>
      </c>
      <c r="J319" s="39" t="n">
        <v>699.99</v>
      </c>
      <c r="K319" s="37" t="s">
        <v>518</v>
      </c>
      <c r="L319" s="39" t="n">
        <v>113.63</v>
      </c>
      <c r="M319" s="39" t="n">
        <v>58.6</v>
      </c>
      <c r="N319" s="39" t="n">
        <f aca="false">J319*Resumo!$C$6</f>
        <v>0</v>
      </c>
      <c r="O319" s="39" t="n">
        <f aca="false">J319*Resumo!$C$7</f>
        <v>1.469979</v>
      </c>
      <c r="P319" s="39" t="n">
        <f aca="false">J319*Resumo!$C$8</f>
        <v>1.469979</v>
      </c>
      <c r="Q319" s="39" t="n">
        <f aca="false">Resumo!$C$10*CEILING(I319/100,1)</f>
        <v>1.05</v>
      </c>
      <c r="R319" s="39" t="n">
        <f aca="false">Resumo!$C$9</f>
        <v>0</v>
      </c>
      <c r="S319" s="39" t="n">
        <f aca="false">Resumo!$C$13</f>
        <v>13.55</v>
      </c>
      <c r="T319" s="39" t="n">
        <f aca="false">Resumo!$C$14*CEILING(I319,1)</f>
        <v>23.85</v>
      </c>
      <c r="U319" s="39" t="n">
        <f aca="false">SUM(M319:T319)*Resumo!$C$11</f>
        <v>0</v>
      </c>
      <c r="V319" s="39" t="n">
        <f aca="false">SUM(M319:U319)</f>
        <v>99.989958</v>
      </c>
      <c r="W319" s="39" t="n">
        <f aca="false">V319/(1-Resumo!$C$5)</f>
        <v>113.624952272727</v>
      </c>
      <c r="X319" s="39" t="n">
        <v>112.3</v>
      </c>
      <c r="Y319" s="39" t="n">
        <f aca="false">J319*Resumo!$B$6</f>
        <v>0.69999</v>
      </c>
      <c r="Z319" s="39" t="n">
        <f aca="false">J319*Resumo!$B$7</f>
        <v>1.39998</v>
      </c>
      <c r="AA319" s="39" t="n">
        <f aca="false">Resumo!$B$9</f>
        <v>1</v>
      </c>
      <c r="AB319" s="39" t="n">
        <f aca="false">Resumo!$B$10*CEILING(I319/100,1)</f>
        <v>4.5</v>
      </c>
      <c r="AC319" s="39" t="n">
        <f aca="false">Resumo!$B$12*CEILING(I319,1)</f>
        <v>3.18</v>
      </c>
      <c r="AD319" s="39" t="n">
        <f aca="false">Resumo!$B$14*CEILING(I319,1)</f>
        <v>23.85</v>
      </c>
      <c r="AE319" s="39" t="n">
        <f aca="false">SUM(X319:AD319)</f>
        <v>146.92997</v>
      </c>
      <c r="AF319" s="39" t="n">
        <f aca="false">AE319/(1-Resumo!$B$5)</f>
        <v>166.965875</v>
      </c>
      <c r="AG319" s="39" t="n">
        <f aca="false">AF319-W319</f>
        <v>53.3409227272727</v>
      </c>
      <c r="AH319" s="40" t="n">
        <f aca="false">AF319/W319-1</f>
        <v>0.469447261894039</v>
      </c>
      <c r="AI319" s="37" t="str">
        <f aca="false">IF(AF319&lt;W319,"SIM","NÃO")</f>
        <v>NÃO</v>
      </c>
      <c r="AJ319" s="37" t="n">
        <v>2</v>
      </c>
      <c r="AK319" s="37" t="n">
        <v>5</v>
      </c>
      <c r="AL319" s="37" t="s">
        <v>343</v>
      </c>
      <c r="AM319" s="39" t="n">
        <v>114.5</v>
      </c>
    </row>
    <row r="320" customFormat="false" ht="15" hidden="false" customHeight="false" outlineLevel="0" collapsed="false">
      <c r="A320" s="37" t="n">
        <v>365242625</v>
      </c>
      <c r="B320" s="38" t="n">
        <v>46227.9572569444</v>
      </c>
      <c r="C320" s="37" t="s">
        <v>345</v>
      </c>
      <c r="D320" s="37" t="s">
        <v>665</v>
      </c>
      <c r="E320" s="37" t="n">
        <v>23020230</v>
      </c>
      <c r="F320" s="37" t="s">
        <v>159</v>
      </c>
      <c r="G320" s="37" t="s">
        <v>196</v>
      </c>
      <c r="H320" s="37" t="s">
        <v>192</v>
      </c>
      <c r="I320" s="37" t="n">
        <v>145.8</v>
      </c>
      <c r="J320" s="39" t="n">
        <v>1869.99</v>
      </c>
      <c r="K320" s="37" t="s">
        <v>518</v>
      </c>
      <c r="L320" s="39" t="n">
        <v>238.41</v>
      </c>
      <c r="M320" s="39" t="n">
        <v>120.59</v>
      </c>
      <c r="N320" s="39" t="n">
        <f aca="false">J320*Resumo!$C$6</f>
        <v>0</v>
      </c>
      <c r="O320" s="39" t="n">
        <f aca="false">J320*Resumo!$C$7</f>
        <v>3.926979</v>
      </c>
      <c r="P320" s="39" t="n">
        <f aca="false">J320*Resumo!$C$8</f>
        <v>3.926979</v>
      </c>
      <c r="Q320" s="39" t="n">
        <f aca="false">Resumo!$C$10*CEILING(I320/100,1)</f>
        <v>2.1</v>
      </c>
      <c r="R320" s="39" t="n">
        <f aca="false">Resumo!$C$9</f>
        <v>0</v>
      </c>
      <c r="S320" s="39" t="n">
        <f aca="false">Resumo!$C$13</f>
        <v>13.55</v>
      </c>
      <c r="T320" s="39" t="n">
        <f aca="false">Resumo!$C$14*CEILING(I320,1)</f>
        <v>65.7</v>
      </c>
      <c r="U320" s="39" t="n">
        <f aca="false">SUM(M320:T320)*Resumo!$C$11</f>
        <v>0</v>
      </c>
      <c r="V320" s="39" t="n">
        <f aca="false">SUM(M320:U320)</f>
        <v>209.793958</v>
      </c>
      <c r="W320" s="39" t="n">
        <f aca="false">V320/(1-Resumo!$C$5)</f>
        <v>238.402225</v>
      </c>
      <c r="X320" s="39" t="n">
        <v>239.25</v>
      </c>
      <c r="Y320" s="39" t="n">
        <f aca="false">J320*Resumo!$B$6</f>
        <v>1.86999</v>
      </c>
      <c r="Z320" s="39" t="n">
        <f aca="false">J320*Resumo!$B$7</f>
        <v>3.73998</v>
      </c>
      <c r="AA320" s="39" t="n">
        <f aca="false">Resumo!$B$9</f>
        <v>1</v>
      </c>
      <c r="AB320" s="39" t="n">
        <f aca="false">Resumo!$B$10*CEILING(I320/100,1)</f>
        <v>9</v>
      </c>
      <c r="AC320" s="39" t="n">
        <f aca="false">Resumo!$B$12*CEILING(I320,1)</f>
        <v>8.76</v>
      </c>
      <c r="AD320" s="39" t="n">
        <f aca="false">Resumo!$B$14*CEILING(I320,1)</f>
        <v>65.7</v>
      </c>
      <c r="AE320" s="39" t="n">
        <f aca="false">SUM(X320:AD320)</f>
        <v>329.31997</v>
      </c>
      <c r="AF320" s="39" t="n">
        <f aca="false">AE320/(1-Resumo!$B$5)</f>
        <v>374.227238636364</v>
      </c>
      <c r="AG320" s="39" t="n">
        <f aca="false">AF320-W320</f>
        <v>135.825013636364</v>
      </c>
      <c r="AH320" s="40" t="n">
        <f aca="false">AF320/W320-1</f>
        <v>0.569730478129403</v>
      </c>
      <c r="AI320" s="37" t="str">
        <f aca="false">IF(AF320&lt;W320,"SIM","NÃO")</f>
        <v>NÃO</v>
      </c>
      <c r="AJ320" s="37" t="n">
        <v>2</v>
      </c>
      <c r="AK320" s="37" t="n">
        <v>5</v>
      </c>
      <c r="AL320" s="37" t="s">
        <v>343</v>
      </c>
      <c r="AM320" s="39" t="n">
        <v>235.25</v>
      </c>
    </row>
    <row r="321" customFormat="false" ht="15" hidden="false" customHeight="false" outlineLevel="0" collapsed="false">
      <c r="A321" s="37" t="n">
        <v>365248742</v>
      </c>
      <c r="B321" s="38" t="n">
        <v>46227.9659837963</v>
      </c>
      <c r="C321" s="37" t="s">
        <v>340</v>
      </c>
      <c r="D321" s="37" t="s">
        <v>666</v>
      </c>
      <c r="E321" s="37" t="n">
        <v>24465531</v>
      </c>
      <c r="F321" s="37" t="s">
        <v>160</v>
      </c>
      <c r="G321" s="37" t="s">
        <v>197</v>
      </c>
      <c r="H321" s="37" t="s">
        <v>188</v>
      </c>
      <c r="I321" s="37" t="n">
        <v>66.8</v>
      </c>
      <c r="J321" s="39" t="n">
        <v>639.99</v>
      </c>
      <c r="K321" s="37" t="s">
        <v>518</v>
      </c>
      <c r="L321" s="39" t="n">
        <v>140.89</v>
      </c>
      <c r="M321" s="39" t="n">
        <v>76.55</v>
      </c>
      <c r="N321" s="39" t="n">
        <f aca="false">J321*Resumo!$C$6</f>
        <v>0</v>
      </c>
      <c r="O321" s="39" t="n">
        <f aca="false">J321*Resumo!$C$7</f>
        <v>1.343979</v>
      </c>
      <c r="P321" s="39" t="n">
        <f aca="false">J321*Resumo!$C$8</f>
        <v>1.343979</v>
      </c>
      <c r="Q321" s="39" t="n">
        <f aca="false">Resumo!$C$10*CEILING(I321/100,1)</f>
        <v>1.05</v>
      </c>
      <c r="R321" s="39" t="n">
        <f aca="false">Resumo!$C$9</f>
        <v>0</v>
      </c>
      <c r="S321" s="39" t="n">
        <f aca="false">Resumo!$C$13</f>
        <v>13.55</v>
      </c>
      <c r="T321" s="39" t="n">
        <f aca="false">Resumo!$C$14*CEILING(I321,1)</f>
        <v>30.15</v>
      </c>
      <c r="U321" s="39" t="n">
        <f aca="false">SUM(M321:T321)*Resumo!$C$11</f>
        <v>0</v>
      </c>
      <c r="V321" s="39" t="n">
        <f aca="false">SUM(M321:U321)</f>
        <v>123.987958</v>
      </c>
      <c r="W321" s="39" t="n">
        <f aca="false">V321/(1-Resumo!$C$5)</f>
        <v>140.895406818182</v>
      </c>
      <c r="X321" s="39" t="n">
        <v>149.5</v>
      </c>
      <c r="Y321" s="39" t="n">
        <f aca="false">J321*Resumo!$B$6</f>
        <v>0.63999</v>
      </c>
      <c r="Z321" s="39" t="n">
        <f aca="false">J321*Resumo!$B$7</f>
        <v>1.27998</v>
      </c>
      <c r="AA321" s="39" t="n">
        <f aca="false">Resumo!$B$9</f>
        <v>1</v>
      </c>
      <c r="AB321" s="39" t="n">
        <f aca="false">Resumo!$B$10*CEILING(I321/100,1)</f>
        <v>4.5</v>
      </c>
      <c r="AC321" s="39" t="n">
        <f aca="false">Resumo!$B$12*CEILING(I321,1)</f>
        <v>4.02</v>
      </c>
      <c r="AD321" s="39" t="n">
        <f aca="false">Resumo!$B$14*CEILING(I321,1)</f>
        <v>30.15</v>
      </c>
      <c r="AE321" s="39" t="n">
        <f aca="false">SUM(X321:AD321)</f>
        <v>191.08997</v>
      </c>
      <c r="AF321" s="39" t="n">
        <f aca="false">AE321/(1-Resumo!$B$5)</f>
        <v>217.147693181818</v>
      </c>
      <c r="AG321" s="39" t="n">
        <f aca="false">AF321-W321</f>
        <v>76.2522863636364</v>
      </c>
      <c r="AH321" s="40" t="n">
        <f aca="false">AF321/W321-1</f>
        <v>0.541197815355585</v>
      </c>
      <c r="AI321" s="37" t="str">
        <f aca="false">IF(AF321&lt;W321,"SIM","NÃO")</f>
        <v>NÃO</v>
      </c>
      <c r="AJ321" s="37" t="n">
        <v>2</v>
      </c>
      <c r="AK321" s="37" t="n">
        <v>7</v>
      </c>
      <c r="AL321" s="37" t="s">
        <v>343</v>
      </c>
      <c r="AM321" s="39" t="n">
        <v>139.5</v>
      </c>
    </row>
    <row r="322" customFormat="false" ht="15" hidden="false" customHeight="false" outlineLevel="0" collapsed="false">
      <c r="A322" s="37" t="n">
        <v>365581559</v>
      </c>
      <c r="B322" s="38" t="n">
        <v>46228.4722453704</v>
      </c>
      <c r="C322" s="37" t="s">
        <v>340</v>
      </c>
      <c r="D322" s="37" t="s">
        <v>667</v>
      </c>
      <c r="E322" s="37" t="n">
        <v>24445790</v>
      </c>
      <c r="F322" s="37" t="s">
        <v>160</v>
      </c>
      <c r="G322" s="37" t="s">
        <v>197</v>
      </c>
      <c r="H322" s="37" t="s">
        <v>185</v>
      </c>
      <c r="I322" s="37" t="n">
        <v>37.2</v>
      </c>
      <c r="J322" s="39" t="n">
        <v>399.99</v>
      </c>
      <c r="K322" s="37" t="s">
        <v>518</v>
      </c>
      <c r="L322" s="39" t="n">
        <v>113.87</v>
      </c>
      <c r="M322" s="39" t="n">
        <v>66.83</v>
      </c>
      <c r="N322" s="39" t="n">
        <f aca="false">J322*Resumo!$C$6</f>
        <v>0</v>
      </c>
      <c r="O322" s="39" t="n">
        <f aca="false">J322*Resumo!$C$7</f>
        <v>0.839979</v>
      </c>
      <c r="P322" s="39" t="n">
        <f aca="false">J322*Resumo!$C$8</f>
        <v>0.839979</v>
      </c>
      <c r="Q322" s="39" t="n">
        <f aca="false">Resumo!$C$10*CEILING(I322/100,1)</f>
        <v>1.05</v>
      </c>
      <c r="R322" s="39" t="n">
        <f aca="false">Resumo!$C$9</f>
        <v>0</v>
      </c>
      <c r="S322" s="39" t="n">
        <f aca="false">Resumo!$C$13</f>
        <v>13.55</v>
      </c>
      <c r="T322" s="39" t="n">
        <f aca="false">Resumo!$C$14*CEILING(I322,1)</f>
        <v>17.1</v>
      </c>
      <c r="U322" s="39" t="n">
        <f aca="false">SUM(M322:T322)*Resumo!$C$11</f>
        <v>0</v>
      </c>
      <c r="V322" s="39" t="n">
        <f aca="false">SUM(M322:U322)</f>
        <v>100.209958</v>
      </c>
      <c r="W322" s="39" t="n">
        <f aca="false">V322/(1-Resumo!$C$5)</f>
        <v>113.874952272727</v>
      </c>
      <c r="X322" s="39" t="n">
        <v>114.95</v>
      </c>
      <c r="Y322" s="39" t="n">
        <f aca="false">J322*Resumo!$B$6</f>
        <v>0.39999</v>
      </c>
      <c r="Z322" s="39" t="n">
        <f aca="false">J322*Resumo!$B$7</f>
        <v>0.79998</v>
      </c>
      <c r="AA322" s="39" t="n">
        <f aca="false">Resumo!$B$9</f>
        <v>1</v>
      </c>
      <c r="AB322" s="39" t="n">
        <f aca="false">Resumo!$B$10*CEILING(I322/100,1)</f>
        <v>4.5</v>
      </c>
      <c r="AC322" s="39" t="n">
        <f aca="false">Resumo!$B$12*CEILING(I322,1)</f>
        <v>2.28</v>
      </c>
      <c r="AD322" s="39" t="n">
        <f aca="false">Resumo!$B$14*CEILING(I322,1)</f>
        <v>17.1</v>
      </c>
      <c r="AE322" s="39" t="n">
        <f aca="false">SUM(X322:AD322)</f>
        <v>141.02997</v>
      </c>
      <c r="AF322" s="39" t="n">
        <f aca="false">AE322/(1-Resumo!$B$5)</f>
        <v>160.261329545455</v>
      </c>
      <c r="AG322" s="39" t="n">
        <f aca="false">AF322-W322</f>
        <v>46.3863772727273</v>
      </c>
      <c r="AH322" s="40" t="n">
        <f aca="false">AF322/W322-1</f>
        <v>0.407344866864429</v>
      </c>
      <c r="AI322" s="37" t="str">
        <f aca="false">IF(AF322&lt;W322,"SIM","NÃO")</f>
        <v>NÃO</v>
      </c>
      <c r="AJ322" s="37" t="n">
        <v>2</v>
      </c>
      <c r="AK322" s="37" t="n">
        <v>7</v>
      </c>
      <c r="AL322" s="37" t="s">
        <v>343</v>
      </c>
      <c r="AM322" s="39" t="n">
        <v>112.87</v>
      </c>
    </row>
    <row r="323" customFormat="false" ht="15" hidden="false" customHeight="false" outlineLevel="0" collapsed="false">
      <c r="A323" s="37" t="n">
        <v>365596763</v>
      </c>
      <c r="B323" s="38" t="n">
        <v>46228.4935763889</v>
      </c>
      <c r="C323" s="37" t="s">
        <v>340</v>
      </c>
      <c r="D323" s="37" t="s">
        <v>668</v>
      </c>
      <c r="E323" s="37" t="n">
        <v>24750070</v>
      </c>
      <c r="F323" s="37" t="s">
        <v>160</v>
      </c>
      <c r="G323" s="37" t="s">
        <v>197</v>
      </c>
      <c r="H323" s="37" t="s">
        <v>185</v>
      </c>
      <c r="I323" s="37" t="n">
        <v>40</v>
      </c>
      <c r="J323" s="39" t="n">
        <v>599.99</v>
      </c>
      <c r="K323" s="37" t="s">
        <v>518</v>
      </c>
      <c r="L323" s="39" t="n">
        <v>115.85</v>
      </c>
      <c r="M323" s="39" t="n">
        <v>66.83</v>
      </c>
      <c r="N323" s="39" t="n">
        <f aca="false">J323*Resumo!$C$6</f>
        <v>0</v>
      </c>
      <c r="O323" s="39" t="n">
        <f aca="false">J323*Resumo!$C$7</f>
        <v>1.259979</v>
      </c>
      <c r="P323" s="39" t="n">
        <f aca="false">J323*Resumo!$C$8</f>
        <v>1.259979</v>
      </c>
      <c r="Q323" s="39" t="n">
        <f aca="false">Resumo!$C$10*CEILING(I323/100,1)</f>
        <v>1.05</v>
      </c>
      <c r="R323" s="39" t="n">
        <f aca="false">Resumo!$C$9</f>
        <v>0</v>
      </c>
      <c r="S323" s="39" t="n">
        <f aca="false">Resumo!$C$13</f>
        <v>13.55</v>
      </c>
      <c r="T323" s="39" t="n">
        <f aca="false">Resumo!$C$14*CEILING(I323,1)</f>
        <v>18</v>
      </c>
      <c r="U323" s="39" t="n">
        <f aca="false">SUM(M323:T323)*Resumo!$C$11</f>
        <v>0</v>
      </c>
      <c r="V323" s="39" t="n">
        <f aca="false">SUM(M323:U323)</f>
        <v>101.949958</v>
      </c>
      <c r="W323" s="39" t="n">
        <f aca="false">V323/(1-Resumo!$C$5)</f>
        <v>115.852225</v>
      </c>
      <c r="X323" s="39" t="n">
        <v>114.95</v>
      </c>
      <c r="Y323" s="39" t="n">
        <f aca="false">J323*Resumo!$B$6</f>
        <v>0.59999</v>
      </c>
      <c r="Z323" s="39" t="n">
        <f aca="false">J323*Resumo!$B$7</f>
        <v>1.19998</v>
      </c>
      <c r="AA323" s="39" t="n">
        <f aca="false">Resumo!$B$9</f>
        <v>1</v>
      </c>
      <c r="AB323" s="39" t="n">
        <f aca="false">Resumo!$B$10*CEILING(I323/100,1)</f>
        <v>4.5</v>
      </c>
      <c r="AC323" s="39" t="n">
        <f aca="false">Resumo!$B$12*CEILING(I323,1)</f>
        <v>2.4</v>
      </c>
      <c r="AD323" s="39" t="n">
        <f aca="false">Resumo!$B$14*CEILING(I323,1)</f>
        <v>18</v>
      </c>
      <c r="AE323" s="39" t="n">
        <f aca="false">SUM(X323:AD323)</f>
        <v>142.64997</v>
      </c>
      <c r="AF323" s="39" t="n">
        <f aca="false">AE323/(1-Resumo!$B$5)</f>
        <v>162.102238636364</v>
      </c>
      <c r="AG323" s="39" t="n">
        <f aca="false">AF323-W323</f>
        <v>46.2500136363637</v>
      </c>
      <c r="AH323" s="40" t="n">
        <f aca="false">AF323/W323-1</f>
        <v>0.399215583786705</v>
      </c>
      <c r="AI323" s="37" t="str">
        <f aca="false">IF(AF323&lt;W323,"SIM","NÃO")</f>
        <v>NÃO</v>
      </c>
      <c r="AJ323" s="37" t="n">
        <v>2</v>
      </c>
      <c r="AK323" s="37" t="n">
        <v>7</v>
      </c>
      <c r="AL323" s="37" t="s">
        <v>343</v>
      </c>
      <c r="AM323" s="39" t="n">
        <v>113.83</v>
      </c>
    </row>
    <row r="324" customFormat="false" ht="15" hidden="false" customHeight="false" outlineLevel="0" collapsed="false">
      <c r="A324" s="37" t="n">
        <v>365646208</v>
      </c>
      <c r="B324" s="38" t="n">
        <v>46228.5679166667</v>
      </c>
      <c r="C324" s="37" t="s">
        <v>361</v>
      </c>
      <c r="D324" s="37" t="s">
        <v>669</v>
      </c>
      <c r="E324" s="37" t="n">
        <v>24461290</v>
      </c>
      <c r="F324" s="37" t="s">
        <v>160</v>
      </c>
      <c r="G324" s="37" t="s">
        <v>197</v>
      </c>
      <c r="H324" s="37" t="s">
        <v>185</v>
      </c>
      <c r="I324" s="37" t="n">
        <v>37.2</v>
      </c>
      <c r="J324" s="39" t="n">
        <v>390.99</v>
      </c>
      <c r="K324" s="37" t="s">
        <v>518</v>
      </c>
      <c r="L324" s="39" t="n">
        <v>113.83</v>
      </c>
      <c r="M324" s="39" t="n">
        <v>66.83</v>
      </c>
      <c r="N324" s="39" t="n">
        <f aca="false">J324*Resumo!$C$6</f>
        <v>0</v>
      </c>
      <c r="O324" s="39" t="n">
        <f aca="false">J324*Resumo!$C$7</f>
        <v>0.821079</v>
      </c>
      <c r="P324" s="39" t="n">
        <f aca="false">J324*Resumo!$C$8</f>
        <v>0.821079</v>
      </c>
      <c r="Q324" s="39" t="n">
        <f aca="false">Resumo!$C$10*CEILING(I324/100,1)</f>
        <v>1.05</v>
      </c>
      <c r="R324" s="39" t="n">
        <f aca="false">Resumo!$C$9</f>
        <v>0</v>
      </c>
      <c r="S324" s="39" t="n">
        <f aca="false">Resumo!$C$13</f>
        <v>13.55</v>
      </c>
      <c r="T324" s="39" t="n">
        <f aca="false">Resumo!$C$14*CEILING(I324,1)</f>
        <v>17.1</v>
      </c>
      <c r="U324" s="39" t="n">
        <f aca="false">SUM(M324:T324)*Resumo!$C$11</f>
        <v>0</v>
      </c>
      <c r="V324" s="39" t="n">
        <f aca="false">SUM(M324:U324)</f>
        <v>100.172158</v>
      </c>
      <c r="W324" s="39" t="n">
        <f aca="false">V324/(1-Resumo!$C$5)</f>
        <v>113.831997727273</v>
      </c>
      <c r="X324" s="39" t="n">
        <v>114.95</v>
      </c>
      <c r="Y324" s="39" t="n">
        <f aca="false">J324*Resumo!$B$6</f>
        <v>0.39099</v>
      </c>
      <c r="Z324" s="39" t="n">
        <f aca="false">J324*Resumo!$B$7</f>
        <v>0.78198</v>
      </c>
      <c r="AA324" s="39" t="n">
        <f aca="false">Resumo!$B$9</f>
        <v>1</v>
      </c>
      <c r="AB324" s="39" t="n">
        <f aca="false">Resumo!$B$10*CEILING(I324/100,1)</f>
        <v>4.5</v>
      </c>
      <c r="AC324" s="39" t="n">
        <f aca="false">Resumo!$B$12*CEILING(I324,1)</f>
        <v>2.28</v>
      </c>
      <c r="AD324" s="39" t="n">
        <f aca="false">Resumo!$B$14*CEILING(I324,1)</f>
        <v>17.1</v>
      </c>
      <c r="AE324" s="39" t="n">
        <f aca="false">SUM(X324:AD324)</f>
        <v>141.00297</v>
      </c>
      <c r="AF324" s="39" t="n">
        <f aca="false">AE324/(1-Resumo!$B$5)</f>
        <v>160.230647727273</v>
      </c>
      <c r="AG324" s="39" t="n">
        <f aca="false">AF324-W324</f>
        <v>46.39865</v>
      </c>
      <c r="AH324" s="40" t="n">
        <f aca="false">AF324/W324-1</f>
        <v>0.407606392985963</v>
      </c>
      <c r="AI324" s="37" t="str">
        <f aca="false">IF(AF324&lt;W324,"SIM","NÃO")</f>
        <v>NÃO</v>
      </c>
      <c r="AJ324" s="37" t="n">
        <v>2</v>
      </c>
      <c r="AK324" s="37" t="n">
        <v>7</v>
      </c>
      <c r="AL324" s="37" t="s">
        <v>343</v>
      </c>
      <c r="AM324" s="39" t="n">
        <v>112.83</v>
      </c>
    </row>
    <row r="325" customFormat="false" ht="15" hidden="false" customHeight="false" outlineLevel="0" collapsed="false">
      <c r="A325" s="37" t="n">
        <v>365671494</v>
      </c>
      <c r="B325" s="38" t="n">
        <v>46228.5844791667</v>
      </c>
      <c r="C325" s="37" t="s">
        <v>379</v>
      </c>
      <c r="D325" s="37" t="s">
        <v>670</v>
      </c>
      <c r="E325" s="37" t="n">
        <v>25975450</v>
      </c>
      <c r="F325" s="37" t="s">
        <v>235</v>
      </c>
      <c r="G325" s="37" t="s">
        <v>198</v>
      </c>
      <c r="H325" s="37" t="s">
        <v>185</v>
      </c>
      <c r="I325" s="37" t="n">
        <v>40</v>
      </c>
      <c r="J325" s="39" t="n">
        <v>599.99</v>
      </c>
      <c r="K325" s="37" t="s">
        <v>518</v>
      </c>
      <c r="L325" s="39" t="n">
        <v>125.1</v>
      </c>
      <c r="M325" s="39" t="n">
        <v>74.97</v>
      </c>
      <c r="N325" s="39" t="n">
        <f aca="false">J325*Resumo!$C$6</f>
        <v>0</v>
      </c>
      <c r="O325" s="39" t="n">
        <f aca="false">J325*Resumo!$C$7</f>
        <v>1.259979</v>
      </c>
      <c r="P325" s="39" t="n">
        <f aca="false">J325*Resumo!$C$8</f>
        <v>1.259979</v>
      </c>
      <c r="Q325" s="39" t="n">
        <f aca="false">Resumo!$C$10*CEILING(I325/100,1)</f>
        <v>1.05</v>
      </c>
      <c r="R325" s="39" t="n">
        <f aca="false">Resumo!$C$9</f>
        <v>0</v>
      </c>
      <c r="S325" s="39" t="n">
        <f aca="false">Resumo!$C$13</f>
        <v>13.55</v>
      </c>
      <c r="T325" s="39" t="n">
        <f aca="false">Resumo!$C$14*CEILING(I325,1)</f>
        <v>18</v>
      </c>
      <c r="U325" s="39" t="n">
        <f aca="false">SUM(M325:T325)*Resumo!$C$11</f>
        <v>0</v>
      </c>
      <c r="V325" s="39" t="n">
        <f aca="false">SUM(M325:U325)</f>
        <v>110.089958</v>
      </c>
      <c r="W325" s="39" t="n">
        <f aca="false">V325/(1-Resumo!$C$5)</f>
        <v>125.102225</v>
      </c>
      <c r="X325" s="39" t="n">
        <v>125.63</v>
      </c>
      <c r="Y325" s="39" t="n">
        <f aca="false">J325*Resumo!$B$6</f>
        <v>0.59999</v>
      </c>
      <c r="Z325" s="39" t="n">
        <f aca="false">J325*Resumo!$B$7</f>
        <v>1.19998</v>
      </c>
      <c r="AA325" s="39" t="n">
        <f aca="false">Resumo!$B$9</f>
        <v>1</v>
      </c>
      <c r="AB325" s="39" t="n">
        <f aca="false">Resumo!$B$10*CEILING(I325/100,1)</f>
        <v>4.5</v>
      </c>
      <c r="AC325" s="39" t="n">
        <f aca="false">Resumo!$B$12*CEILING(I325,1)</f>
        <v>2.4</v>
      </c>
      <c r="AD325" s="39" t="n">
        <f aca="false">Resumo!$B$14*CEILING(I325,1)</f>
        <v>18</v>
      </c>
      <c r="AE325" s="39" t="n">
        <f aca="false">SUM(X325:AD325)</f>
        <v>153.32997</v>
      </c>
      <c r="AF325" s="39" t="n">
        <f aca="false">AE325/(1-Resumo!$B$5)</f>
        <v>174.238602272727</v>
      </c>
      <c r="AG325" s="39" t="n">
        <f aca="false">AF325-W325</f>
        <v>49.1363772727273</v>
      </c>
      <c r="AH325" s="40" t="n">
        <f aca="false">AF325/W325-1</f>
        <v>0.392769811030358</v>
      </c>
      <c r="AI325" s="37" t="str">
        <f aca="false">IF(AF325&lt;W325,"SIM","NÃO")</f>
        <v>NÃO</v>
      </c>
      <c r="AJ325" s="37" t="n">
        <v>13</v>
      </c>
      <c r="AK325" s="37" t="n">
        <v>10</v>
      </c>
      <c r="AL325" s="37" t="s">
        <v>347</v>
      </c>
      <c r="AM325" s="39" t="n">
        <v>123.12</v>
      </c>
    </row>
    <row r="326" customFormat="false" ht="15" hidden="false" customHeight="false" outlineLevel="0" collapsed="false">
      <c r="A326" s="37" t="n">
        <v>365718767</v>
      </c>
      <c r="B326" s="38" t="n">
        <v>46228.6526967593</v>
      </c>
      <c r="C326" s="37" t="s">
        <v>340</v>
      </c>
      <c r="D326" s="37" t="s">
        <v>671</v>
      </c>
      <c r="E326" s="37" t="n">
        <v>28927410</v>
      </c>
      <c r="F326" s="37" t="s">
        <v>172</v>
      </c>
      <c r="G326" s="37" t="s">
        <v>198</v>
      </c>
      <c r="H326" s="37" t="s">
        <v>186</v>
      </c>
      <c r="I326" s="37" t="n">
        <v>45.3</v>
      </c>
      <c r="J326" s="39" t="n">
        <v>699.99</v>
      </c>
      <c r="K326" s="37" t="s">
        <v>518</v>
      </c>
      <c r="L326" s="39" t="n">
        <v>131.75</v>
      </c>
      <c r="M326" s="39" t="n">
        <v>77.7</v>
      </c>
      <c r="N326" s="39" t="n">
        <f aca="false">J326*Resumo!$C$6</f>
        <v>0</v>
      </c>
      <c r="O326" s="39" t="n">
        <f aca="false">J326*Resumo!$C$7</f>
        <v>1.469979</v>
      </c>
      <c r="P326" s="39" t="n">
        <f aca="false">J326*Resumo!$C$8</f>
        <v>1.469979</v>
      </c>
      <c r="Q326" s="39" t="n">
        <f aca="false">Resumo!$C$10*CEILING(I326/100,1)</f>
        <v>1.05</v>
      </c>
      <c r="R326" s="39" t="n">
        <f aca="false">Resumo!$C$9</f>
        <v>0</v>
      </c>
      <c r="S326" s="39" t="n">
        <f aca="false">Resumo!$C$13</f>
        <v>13.55</v>
      </c>
      <c r="T326" s="39" t="n">
        <f aca="false">Resumo!$C$14*CEILING(I326,1)</f>
        <v>20.7</v>
      </c>
      <c r="U326" s="39" t="n">
        <f aca="false">SUM(M326:T326)*Resumo!$C$11</f>
        <v>0</v>
      </c>
      <c r="V326" s="39" t="n">
        <f aca="false">SUM(M326:U326)</f>
        <v>115.939958</v>
      </c>
      <c r="W326" s="39" t="n">
        <f aca="false">V326/(1-Resumo!$C$5)</f>
        <v>131.749952272727</v>
      </c>
      <c r="X326" s="39" t="n">
        <v>129.29</v>
      </c>
      <c r="Y326" s="39" t="n">
        <f aca="false">J326*Resumo!$B$6</f>
        <v>0.69999</v>
      </c>
      <c r="Z326" s="39" t="n">
        <f aca="false">J326*Resumo!$B$7</f>
        <v>1.39998</v>
      </c>
      <c r="AA326" s="39" t="n">
        <f aca="false">Resumo!$B$9</f>
        <v>1</v>
      </c>
      <c r="AB326" s="39" t="n">
        <f aca="false">Resumo!$B$10*CEILING(I326/100,1)</f>
        <v>4.5</v>
      </c>
      <c r="AC326" s="39" t="n">
        <f aca="false">Resumo!$B$12*CEILING(I326,1)</f>
        <v>2.76</v>
      </c>
      <c r="AD326" s="39" t="n">
        <f aca="false">Resumo!$B$14*CEILING(I326,1)</f>
        <v>20.7</v>
      </c>
      <c r="AE326" s="39" t="n">
        <f aca="false">SUM(X326:AD326)</f>
        <v>160.34997</v>
      </c>
      <c r="AF326" s="39" t="n">
        <f aca="false">AE326/(1-Resumo!$B$5)</f>
        <v>182.215875</v>
      </c>
      <c r="AG326" s="39" t="n">
        <f aca="false">AF326-W326</f>
        <v>50.4659227272727</v>
      </c>
      <c r="AH326" s="40" t="n">
        <f aca="false">AF326/W326-1</f>
        <v>0.383043195513319</v>
      </c>
      <c r="AI326" s="37" t="str">
        <f aca="false">IF(AF326&lt;W326,"SIM","NÃO")</f>
        <v>NÃO</v>
      </c>
      <c r="AJ326" s="37" t="n">
        <v>13</v>
      </c>
      <c r="AK326" s="37" t="n">
        <v>10</v>
      </c>
      <c r="AL326" s="37" t="s">
        <v>343</v>
      </c>
      <c r="AM326" s="39" t="n">
        <v>131.52</v>
      </c>
    </row>
    <row r="327" customFormat="false" ht="15" hidden="false" customHeight="false" outlineLevel="0" collapsed="false">
      <c r="A327" s="37" t="n">
        <v>365723921</v>
      </c>
      <c r="B327" s="38" t="n">
        <v>46228.6613888889</v>
      </c>
      <c r="C327" s="37" t="s">
        <v>345</v>
      </c>
      <c r="D327" s="37" t="s">
        <v>650</v>
      </c>
      <c r="E327" s="37" t="n">
        <v>28050003</v>
      </c>
      <c r="F327" s="37" t="s">
        <v>164</v>
      </c>
      <c r="G327" s="37" t="s">
        <v>198</v>
      </c>
      <c r="H327" s="37" t="s">
        <v>188</v>
      </c>
      <c r="I327" s="37" t="n">
        <v>64.5</v>
      </c>
      <c r="J327" s="39" t="n">
        <v>959.99</v>
      </c>
      <c r="K327" s="37" t="s">
        <v>518</v>
      </c>
      <c r="L327" s="39" t="n">
        <v>156.92</v>
      </c>
      <c r="M327" s="39" t="n">
        <v>90.2</v>
      </c>
      <c r="N327" s="39" t="n">
        <f aca="false">J327*Resumo!$C$6</f>
        <v>0</v>
      </c>
      <c r="O327" s="39" t="n">
        <f aca="false">J327*Resumo!$C$7</f>
        <v>2.015979</v>
      </c>
      <c r="P327" s="39" t="n">
        <f aca="false">J327*Resumo!$C$8</f>
        <v>2.015979</v>
      </c>
      <c r="Q327" s="39" t="n">
        <f aca="false">Resumo!$C$10*CEILING(I327/100,1)</f>
        <v>1.05</v>
      </c>
      <c r="R327" s="39" t="n">
        <f aca="false">Resumo!$C$9</f>
        <v>0</v>
      </c>
      <c r="S327" s="39" t="n">
        <f aca="false">Resumo!$C$13</f>
        <v>13.55</v>
      </c>
      <c r="T327" s="39" t="n">
        <f aca="false">Resumo!$C$14*CEILING(I327,1)</f>
        <v>29.25</v>
      </c>
      <c r="U327" s="39" t="n">
        <f aca="false">SUM(M327:T327)*Resumo!$C$11</f>
        <v>0</v>
      </c>
      <c r="V327" s="39" t="n">
        <f aca="false">SUM(M327:U327)</f>
        <v>138.081958</v>
      </c>
      <c r="W327" s="39" t="n">
        <f aca="false">V327/(1-Resumo!$C$5)</f>
        <v>156.911315909091</v>
      </c>
      <c r="X327" s="39" t="n">
        <v>171.54</v>
      </c>
      <c r="Y327" s="39" t="n">
        <f aca="false">J327*Resumo!$B$6</f>
        <v>0.95999</v>
      </c>
      <c r="Z327" s="39" t="n">
        <f aca="false">J327*Resumo!$B$7</f>
        <v>1.91998</v>
      </c>
      <c r="AA327" s="39" t="n">
        <f aca="false">Resumo!$B$9</f>
        <v>1</v>
      </c>
      <c r="AB327" s="39" t="n">
        <f aca="false">Resumo!$B$10*CEILING(I327/100,1)</f>
        <v>4.5</v>
      </c>
      <c r="AC327" s="39" t="n">
        <f aca="false">Resumo!$B$12*CEILING(I327,1)</f>
        <v>3.9</v>
      </c>
      <c r="AD327" s="39" t="n">
        <f aca="false">Resumo!$B$14*CEILING(I327,1)</f>
        <v>29.25</v>
      </c>
      <c r="AE327" s="39" t="n">
        <f aca="false">SUM(X327:AD327)</f>
        <v>213.06997</v>
      </c>
      <c r="AF327" s="39" t="n">
        <f aca="false">AE327/(1-Resumo!$B$5)</f>
        <v>242.124965909091</v>
      </c>
      <c r="AG327" s="39" t="n">
        <f aca="false">AF327-W327</f>
        <v>85.21365</v>
      </c>
      <c r="AH327" s="40" t="n">
        <f aca="false">AF327/W327-1</f>
        <v>0.543068863493376</v>
      </c>
      <c r="AI327" s="37" t="str">
        <f aca="false">IF(AF327&lt;W327,"SIM","NÃO")</f>
        <v>NÃO</v>
      </c>
      <c r="AJ327" s="37" t="n">
        <v>13</v>
      </c>
      <c r="AK327" s="37" t="n">
        <v>11</v>
      </c>
      <c r="AL327" s="37" t="s">
        <v>343</v>
      </c>
      <c r="AM327" s="39" t="n">
        <v>156.62</v>
      </c>
    </row>
    <row r="328" customFormat="false" ht="15" hidden="false" customHeight="false" outlineLevel="0" collapsed="false">
      <c r="A328" s="37" t="n">
        <v>365832106</v>
      </c>
      <c r="B328" s="38" t="n">
        <v>46228.8231481482</v>
      </c>
      <c r="C328" s="37" t="s">
        <v>375</v>
      </c>
      <c r="D328" s="37" t="s">
        <v>672</v>
      </c>
      <c r="E328" s="37" t="n">
        <v>22451263</v>
      </c>
      <c r="F328" s="37" t="s">
        <v>159</v>
      </c>
      <c r="G328" s="37" t="s">
        <v>196</v>
      </c>
      <c r="H328" s="37" t="s">
        <v>183</v>
      </c>
      <c r="I328" s="37" t="n">
        <v>9.95</v>
      </c>
      <c r="J328" s="39" t="n">
        <v>219.99</v>
      </c>
      <c r="K328" s="37" t="s">
        <v>518</v>
      </c>
      <c r="L328" s="39" t="n">
        <v>60.73</v>
      </c>
      <c r="M328" s="39" t="n">
        <v>33.42</v>
      </c>
      <c r="N328" s="39" t="n">
        <f aca="false">J328*Resumo!$C$6</f>
        <v>0</v>
      </c>
      <c r="O328" s="39" t="n">
        <f aca="false">J328*Resumo!$C$7</f>
        <v>0.461979</v>
      </c>
      <c r="P328" s="39" t="n">
        <f aca="false">J328*Resumo!$C$8</f>
        <v>0.461979</v>
      </c>
      <c r="Q328" s="39" t="n">
        <f aca="false">Resumo!$C$10*CEILING(I328/100,1)</f>
        <v>1.05</v>
      </c>
      <c r="R328" s="39" t="n">
        <f aca="false">Resumo!$C$9</f>
        <v>0</v>
      </c>
      <c r="S328" s="39" t="n">
        <f aca="false">Resumo!$C$13</f>
        <v>13.55</v>
      </c>
      <c r="T328" s="39" t="n">
        <f aca="false">Resumo!$C$14*CEILING(I328,1)</f>
        <v>4.5</v>
      </c>
      <c r="U328" s="39" t="n">
        <f aca="false">SUM(M328:T328)*Resumo!$C$11</f>
        <v>0</v>
      </c>
      <c r="V328" s="39" t="n">
        <f aca="false">SUM(M328:U328)</f>
        <v>53.443958</v>
      </c>
      <c r="W328" s="39" t="n">
        <f aca="false">V328/(1-Resumo!$C$5)</f>
        <v>60.7317704545455</v>
      </c>
      <c r="X328" s="39" t="n">
        <v>46.98</v>
      </c>
      <c r="Y328" s="39" t="n">
        <f aca="false">J328*Resumo!$B$6</f>
        <v>0.21999</v>
      </c>
      <c r="Z328" s="39" t="n">
        <f aca="false">J328*Resumo!$B$7</f>
        <v>0.43998</v>
      </c>
      <c r="AA328" s="39" t="n">
        <f aca="false">Resumo!$B$9</f>
        <v>1</v>
      </c>
      <c r="AB328" s="39" t="n">
        <f aca="false">Resumo!$B$10*CEILING(I328/100,1)</f>
        <v>4.5</v>
      </c>
      <c r="AC328" s="39" t="n">
        <f aca="false">Resumo!$B$12*CEILING(I328,1)</f>
        <v>0.6</v>
      </c>
      <c r="AD328" s="39" t="n">
        <f aca="false">Resumo!$B$14*CEILING(I328,1)</f>
        <v>4.5</v>
      </c>
      <c r="AE328" s="39" t="n">
        <f aca="false">SUM(X328:AD328)</f>
        <v>58.23997</v>
      </c>
      <c r="AF328" s="39" t="n">
        <f aca="false">AE328/(1-Resumo!$B$5)</f>
        <v>66.1817840909091</v>
      </c>
      <c r="AG328" s="39" t="n">
        <f aca="false">AF328-W328</f>
        <v>5.45001363636364</v>
      </c>
      <c r="AH328" s="40" t="n">
        <f aca="false">AF328/W328-1</f>
        <v>0.0897390870638735</v>
      </c>
      <c r="AI328" s="37" t="str">
        <f aca="false">IF(AF328&lt;W328,"SIM","NÃO")</f>
        <v>NÃO</v>
      </c>
      <c r="AJ328" s="37" t="n">
        <v>2</v>
      </c>
      <c r="AK328" s="37" t="n">
        <v>5</v>
      </c>
      <c r="AL328" s="37" t="s">
        <v>343</v>
      </c>
      <c r="AM328" s="39" t="n">
        <v>64.27</v>
      </c>
    </row>
    <row r="329" customFormat="false" ht="15" hidden="false" customHeight="false" outlineLevel="0" collapsed="false">
      <c r="A329" s="37" t="n">
        <v>365842106</v>
      </c>
      <c r="B329" s="38" t="n">
        <v>46228.833287037</v>
      </c>
      <c r="C329" s="37" t="s">
        <v>340</v>
      </c>
      <c r="D329" s="37" t="s">
        <v>673</v>
      </c>
      <c r="E329" s="37" t="n">
        <v>25035520</v>
      </c>
      <c r="F329" s="37" t="s">
        <v>161</v>
      </c>
      <c r="G329" s="37" t="s">
        <v>197</v>
      </c>
      <c r="H329" s="37" t="s">
        <v>187</v>
      </c>
      <c r="I329" s="37" t="n">
        <v>53.5</v>
      </c>
      <c r="J329" s="39" t="n">
        <v>629.99</v>
      </c>
      <c r="K329" s="37" t="s">
        <v>342</v>
      </c>
      <c r="L329" s="39" t="n">
        <v>128.31</v>
      </c>
      <c r="M329" s="39" t="n">
        <v>70.98</v>
      </c>
      <c r="N329" s="39" t="n">
        <f aca="false">J329*Resumo!$C$6</f>
        <v>0</v>
      </c>
      <c r="O329" s="39" t="n">
        <f aca="false">J329*Resumo!$C$7</f>
        <v>1.322979</v>
      </c>
      <c r="P329" s="39" t="n">
        <f aca="false">J329*Resumo!$C$8</f>
        <v>1.322979</v>
      </c>
      <c r="Q329" s="39" t="n">
        <f aca="false">Resumo!$C$10*CEILING(I329/100,1)</f>
        <v>1.05</v>
      </c>
      <c r="R329" s="39" t="n">
        <f aca="false">Resumo!$C$9</f>
        <v>0</v>
      </c>
      <c r="S329" s="39" t="n">
        <f aca="false">Resumo!$C$13</f>
        <v>13.55</v>
      </c>
      <c r="T329" s="39" t="n">
        <f aca="false">Resumo!$C$14*CEILING(I329,1)</f>
        <v>24.3</v>
      </c>
      <c r="U329" s="39" t="n">
        <f aca="false">SUM(M329:T329)*Resumo!$C$11</f>
        <v>0</v>
      </c>
      <c r="V329" s="39" t="n">
        <f aca="false">SUM(M329:U329)</f>
        <v>112.525958</v>
      </c>
      <c r="W329" s="39" t="n">
        <f aca="false">V329/(1-Resumo!$C$5)</f>
        <v>127.870406818182</v>
      </c>
      <c r="X329" s="39" t="n">
        <v>112.3</v>
      </c>
      <c r="Y329" s="39" t="n">
        <f aca="false">J329*Resumo!$B$6</f>
        <v>0.62999</v>
      </c>
      <c r="Z329" s="39" t="n">
        <f aca="false">J329*Resumo!$B$7</f>
        <v>1.25998</v>
      </c>
      <c r="AA329" s="39" t="n">
        <f aca="false">Resumo!$B$9</f>
        <v>1</v>
      </c>
      <c r="AB329" s="39" t="n">
        <f aca="false">Resumo!$B$10*CEILING(I329/100,1)</f>
        <v>4.5</v>
      </c>
      <c r="AC329" s="39" t="n">
        <f aca="false">Resumo!$B$12*CEILING(I329,1)</f>
        <v>3.24</v>
      </c>
      <c r="AD329" s="39" t="n">
        <f aca="false">Resumo!$B$14*CEILING(I329,1)</f>
        <v>24.3</v>
      </c>
      <c r="AE329" s="39" t="n">
        <f aca="false">SUM(X329:AD329)</f>
        <v>147.22997</v>
      </c>
      <c r="AF329" s="39" t="n">
        <f aca="false">AE329/(1-Resumo!$B$5)</f>
        <v>167.306784090909</v>
      </c>
      <c r="AG329" s="39" t="n">
        <f aca="false">AF329-W329</f>
        <v>39.4363772727273</v>
      </c>
      <c r="AH329" s="40" t="n">
        <f aca="false">AF329/W329-1</f>
        <v>0.308408945072034</v>
      </c>
      <c r="AI329" s="37" t="str">
        <f aca="false">IF(AF329&lt;W329,"SIM","NÃO")</f>
        <v>NÃO</v>
      </c>
      <c r="AJ329" s="37" t="n">
        <v>2</v>
      </c>
      <c r="AK329" s="37" t="n">
        <v>5</v>
      </c>
      <c r="AL329" s="37" t="s">
        <v>343</v>
      </c>
      <c r="AM329" s="39" t="n">
        <v>128.3</v>
      </c>
    </row>
    <row r="330" customFormat="false" ht="15" hidden="false" customHeight="false" outlineLevel="0" collapsed="false">
      <c r="A330" s="37" t="n">
        <v>365938523</v>
      </c>
      <c r="B330" s="38" t="n">
        <v>46228.9591319444</v>
      </c>
      <c r="C330" s="37" t="s">
        <v>340</v>
      </c>
      <c r="D330" s="37" t="s">
        <v>674</v>
      </c>
      <c r="E330" s="37" t="n">
        <v>24715532</v>
      </c>
      <c r="F330" s="37" t="s">
        <v>160</v>
      </c>
      <c r="G330" s="37" t="s">
        <v>197</v>
      </c>
      <c r="H330" s="37" t="s">
        <v>184</v>
      </c>
      <c r="I330" s="37" t="n">
        <v>31</v>
      </c>
      <c r="J330" s="39" t="n">
        <v>329.99</v>
      </c>
      <c r="K330" s="37" t="s">
        <v>518</v>
      </c>
      <c r="L330" s="39" t="n">
        <v>100.83</v>
      </c>
      <c r="M330" s="39" t="n">
        <v>58.8</v>
      </c>
      <c r="N330" s="39" t="n">
        <f aca="false">J330*Resumo!$C$6</f>
        <v>0</v>
      </c>
      <c r="O330" s="39" t="n">
        <f aca="false">J330*Resumo!$C$7</f>
        <v>0.692979</v>
      </c>
      <c r="P330" s="39" t="n">
        <f aca="false">J330*Resumo!$C$8</f>
        <v>0.692979</v>
      </c>
      <c r="Q330" s="39" t="n">
        <f aca="false">Resumo!$C$10*CEILING(I330/100,1)</f>
        <v>1.05</v>
      </c>
      <c r="R330" s="39" t="n">
        <f aca="false">Resumo!$C$9</f>
        <v>0</v>
      </c>
      <c r="S330" s="39" t="n">
        <f aca="false">Resumo!$C$13</f>
        <v>13.55</v>
      </c>
      <c r="T330" s="39" t="n">
        <f aca="false">Resumo!$C$14*CEILING(I330,1)</f>
        <v>13.95</v>
      </c>
      <c r="U330" s="39" t="n">
        <f aca="false">SUM(M330:T330)*Resumo!$C$11</f>
        <v>0</v>
      </c>
      <c r="V330" s="39" t="n">
        <f aca="false">SUM(M330:U330)</f>
        <v>88.735958</v>
      </c>
      <c r="W330" s="39" t="n">
        <f aca="false">V330/(1-Resumo!$C$5)</f>
        <v>100.836315909091</v>
      </c>
      <c r="X330" s="39" t="n">
        <v>100.58</v>
      </c>
      <c r="Y330" s="39" t="n">
        <f aca="false">J330*Resumo!$B$6</f>
        <v>0.32999</v>
      </c>
      <c r="Z330" s="39" t="n">
        <f aca="false">J330*Resumo!$B$7</f>
        <v>0.65998</v>
      </c>
      <c r="AA330" s="39" t="n">
        <f aca="false">Resumo!$B$9</f>
        <v>1</v>
      </c>
      <c r="AB330" s="39" t="n">
        <f aca="false">Resumo!$B$10*CEILING(I330/100,1)</f>
        <v>4.5</v>
      </c>
      <c r="AC330" s="39" t="n">
        <f aca="false">Resumo!$B$12*CEILING(I330,1)</f>
        <v>1.86</v>
      </c>
      <c r="AD330" s="39" t="n">
        <f aca="false">Resumo!$B$14*CEILING(I330,1)</f>
        <v>13.95</v>
      </c>
      <c r="AE330" s="39" t="n">
        <f aca="false">SUM(X330:AD330)</f>
        <v>122.87997</v>
      </c>
      <c r="AF330" s="39" t="n">
        <f aca="false">AE330/(1-Resumo!$B$5)</f>
        <v>139.636329545455</v>
      </c>
      <c r="AG330" s="39" t="n">
        <f aca="false">AF330-W330</f>
        <v>38.8000136363636</v>
      </c>
      <c r="AH330" s="40" t="n">
        <f aca="false">AF330/W330-1</f>
        <v>0.384782142093964</v>
      </c>
      <c r="AI330" s="37" t="str">
        <f aca="false">IF(AF330&lt;W330,"SIM","NÃO")</f>
        <v>NÃO</v>
      </c>
      <c r="AJ330" s="37" t="n">
        <v>2</v>
      </c>
      <c r="AK330" s="37" t="n">
        <v>7</v>
      </c>
      <c r="AL330" s="37" t="s">
        <v>343</v>
      </c>
      <c r="AM330" s="39" t="n">
        <v>100.97</v>
      </c>
    </row>
    <row r="331" customFormat="false" ht="15" hidden="false" customHeight="false" outlineLevel="0" collapsed="false">
      <c r="A331" s="37" t="n">
        <v>366222669</v>
      </c>
      <c r="B331" s="38" t="n">
        <v>46229.3956944444</v>
      </c>
      <c r="C331" s="37" t="s">
        <v>340</v>
      </c>
      <c r="D331" s="37" t="s">
        <v>675</v>
      </c>
      <c r="E331" s="37" t="n">
        <v>24753600</v>
      </c>
      <c r="F331" s="37" t="s">
        <v>160</v>
      </c>
      <c r="G331" s="37" t="s">
        <v>197</v>
      </c>
      <c r="H331" s="37" t="s">
        <v>184</v>
      </c>
      <c r="I331" s="37" t="n">
        <v>31</v>
      </c>
      <c r="J331" s="39" t="n">
        <v>329.99</v>
      </c>
      <c r="K331" s="37" t="s">
        <v>518</v>
      </c>
      <c r="L331" s="39" t="n">
        <v>100.83</v>
      </c>
      <c r="M331" s="39" t="n">
        <v>58.8</v>
      </c>
      <c r="N331" s="39" t="n">
        <f aca="false">J331*Resumo!$C$6</f>
        <v>0</v>
      </c>
      <c r="O331" s="39" t="n">
        <f aca="false">J331*Resumo!$C$7</f>
        <v>0.692979</v>
      </c>
      <c r="P331" s="39" t="n">
        <f aca="false">J331*Resumo!$C$8</f>
        <v>0.692979</v>
      </c>
      <c r="Q331" s="39" t="n">
        <f aca="false">Resumo!$C$10*CEILING(I331/100,1)</f>
        <v>1.05</v>
      </c>
      <c r="R331" s="39" t="n">
        <f aca="false">Resumo!$C$9</f>
        <v>0</v>
      </c>
      <c r="S331" s="39" t="n">
        <f aca="false">Resumo!$C$13</f>
        <v>13.55</v>
      </c>
      <c r="T331" s="39" t="n">
        <f aca="false">Resumo!$C$14*CEILING(I331,1)</f>
        <v>13.95</v>
      </c>
      <c r="U331" s="39" t="n">
        <f aca="false">SUM(M331:T331)*Resumo!$C$11</f>
        <v>0</v>
      </c>
      <c r="V331" s="39" t="n">
        <f aca="false">SUM(M331:U331)</f>
        <v>88.735958</v>
      </c>
      <c r="W331" s="39" t="n">
        <f aca="false">V331/(1-Resumo!$C$5)</f>
        <v>100.836315909091</v>
      </c>
      <c r="X331" s="39" t="n">
        <v>100.58</v>
      </c>
      <c r="Y331" s="39" t="n">
        <f aca="false">J331*Resumo!$B$6</f>
        <v>0.32999</v>
      </c>
      <c r="Z331" s="39" t="n">
        <f aca="false">J331*Resumo!$B$7</f>
        <v>0.65998</v>
      </c>
      <c r="AA331" s="39" t="n">
        <f aca="false">Resumo!$B$9</f>
        <v>1</v>
      </c>
      <c r="AB331" s="39" t="n">
        <f aca="false">Resumo!$B$10*CEILING(I331/100,1)</f>
        <v>4.5</v>
      </c>
      <c r="AC331" s="39" t="n">
        <f aca="false">Resumo!$B$12*CEILING(I331,1)</f>
        <v>1.86</v>
      </c>
      <c r="AD331" s="39" t="n">
        <f aca="false">Resumo!$B$14*CEILING(I331,1)</f>
        <v>13.95</v>
      </c>
      <c r="AE331" s="39" t="n">
        <f aca="false">SUM(X331:AD331)</f>
        <v>122.87997</v>
      </c>
      <c r="AF331" s="39" t="n">
        <f aca="false">AE331/(1-Resumo!$B$5)</f>
        <v>139.636329545455</v>
      </c>
      <c r="AG331" s="39" t="n">
        <f aca="false">AF331-W331</f>
        <v>38.8000136363636</v>
      </c>
      <c r="AH331" s="40" t="n">
        <f aca="false">AF331/W331-1</f>
        <v>0.384782142093964</v>
      </c>
      <c r="AI331" s="37" t="str">
        <f aca="false">IF(AF331&lt;W331,"SIM","NÃO")</f>
        <v>NÃO</v>
      </c>
      <c r="AJ331" s="37" t="n">
        <v>2</v>
      </c>
      <c r="AK331" s="37" t="n">
        <v>7</v>
      </c>
      <c r="AL331" s="37" t="s">
        <v>343</v>
      </c>
      <c r="AM331" s="39" t="n">
        <v>100.97</v>
      </c>
    </row>
    <row r="332" customFormat="false" ht="15" hidden="false" customHeight="false" outlineLevel="0" collapsed="false">
      <c r="A332" s="37" t="n">
        <v>366247225</v>
      </c>
      <c r="B332" s="38" t="n">
        <v>46229.4313773148</v>
      </c>
      <c r="C332" s="37" t="s">
        <v>340</v>
      </c>
      <c r="D332" s="37" t="s">
        <v>676</v>
      </c>
      <c r="E332" s="37" t="n">
        <v>22790880</v>
      </c>
      <c r="F332" s="37" t="s">
        <v>159</v>
      </c>
      <c r="G332" s="37" t="s">
        <v>196</v>
      </c>
      <c r="H332" s="37" t="s">
        <v>187</v>
      </c>
      <c r="I332" s="37" t="n">
        <v>52.3</v>
      </c>
      <c r="J332" s="39" t="n">
        <v>699.99</v>
      </c>
      <c r="K332" s="37" t="s">
        <v>518</v>
      </c>
      <c r="L332" s="39" t="n">
        <v>113.63</v>
      </c>
      <c r="M332" s="39" t="n">
        <v>58.6</v>
      </c>
      <c r="N332" s="39" t="n">
        <f aca="false">J332*Resumo!$C$6</f>
        <v>0</v>
      </c>
      <c r="O332" s="39" t="n">
        <f aca="false">J332*Resumo!$C$7</f>
        <v>1.469979</v>
      </c>
      <c r="P332" s="39" t="n">
        <f aca="false">J332*Resumo!$C$8</f>
        <v>1.469979</v>
      </c>
      <c r="Q332" s="39" t="n">
        <f aca="false">Resumo!$C$10*CEILING(I332/100,1)</f>
        <v>1.05</v>
      </c>
      <c r="R332" s="39" t="n">
        <f aca="false">Resumo!$C$9</f>
        <v>0</v>
      </c>
      <c r="S332" s="39" t="n">
        <f aca="false">Resumo!$C$13</f>
        <v>13.55</v>
      </c>
      <c r="T332" s="39" t="n">
        <f aca="false">Resumo!$C$14*CEILING(I332,1)</f>
        <v>23.85</v>
      </c>
      <c r="U332" s="39" t="n">
        <f aca="false">SUM(M332:T332)*Resumo!$C$11</f>
        <v>0</v>
      </c>
      <c r="V332" s="39" t="n">
        <f aca="false">SUM(M332:U332)</f>
        <v>99.989958</v>
      </c>
      <c r="W332" s="39" t="n">
        <f aca="false">V332/(1-Resumo!$C$5)</f>
        <v>113.624952272727</v>
      </c>
      <c r="X332" s="39" t="n">
        <v>112.3</v>
      </c>
      <c r="Y332" s="39" t="n">
        <f aca="false">J332*Resumo!$B$6</f>
        <v>0.69999</v>
      </c>
      <c r="Z332" s="39" t="n">
        <f aca="false">J332*Resumo!$B$7</f>
        <v>1.39998</v>
      </c>
      <c r="AA332" s="39" t="n">
        <f aca="false">Resumo!$B$9</f>
        <v>1</v>
      </c>
      <c r="AB332" s="39" t="n">
        <f aca="false">Resumo!$B$10*CEILING(I332/100,1)</f>
        <v>4.5</v>
      </c>
      <c r="AC332" s="39" t="n">
        <f aca="false">Resumo!$B$12*CEILING(I332,1)</f>
        <v>3.18</v>
      </c>
      <c r="AD332" s="39" t="n">
        <f aca="false">Resumo!$B$14*CEILING(I332,1)</f>
        <v>23.85</v>
      </c>
      <c r="AE332" s="39" t="n">
        <f aca="false">SUM(X332:AD332)</f>
        <v>146.92997</v>
      </c>
      <c r="AF332" s="39" t="n">
        <f aca="false">AE332/(1-Resumo!$B$5)</f>
        <v>166.965875</v>
      </c>
      <c r="AG332" s="39" t="n">
        <f aca="false">AF332-W332</f>
        <v>53.3409227272727</v>
      </c>
      <c r="AH332" s="40" t="n">
        <f aca="false">AF332/W332-1</f>
        <v>0.469447261894039</v>
      </c>
      <c r="AI332" s="37" t="str">
        <f aca="false">IF(AF332&lt;W332,"SIM","NÃO")</f>
        <v>NÃO</v>
      </c>
      <c r="AJ332" s="37" t="n">
        <v>2</v>
      </c>
      <c r="AK332" s="37" t="n">
        <v>5</v>
      </c>
      <c r="AL332" s="37" t="s">
        <v>343</v>
      </c>
      <c r="AM332" s="39" t="n">
        <v>114.5</v>
      </c>
    </row>
    <row r="333" customFormat="false" ht="15" hidden="false" customHeight="false" outlineLevel="0" collapsed="false">
      <c r="A333" s="37" t="n">
        <v>366326248</v>
      </c>
      <c r="B333" s="38" t="n">
        <v>46229.5356365741</v>
      </c>
      <c r="C333" s="37" t="s">
        <v>372</v>
      </c>
      <c r="D333" s="37" t="s">
        <v>677</v>
      </c>
      <c r="E333" s="37" t="n">
        <v>22290140</v>
      </c>
      <c r="F333" s="37" t="s">
        <v>159</v>
      </c>
      <c r="G333" s="37" t="s">
        <v>196</v>
      </c>
      <c r="H333" s="37" t="s">
        <v>183</v>
      </c>
      <c r="I333" s="37" t="n">
        <v>14.85</v>
      </c>
      <c r="J333" s="39" t="n">
        <v>191.99</v>
      </c>
      <c r="K333" s="37" t="s">
        <v>342</v>
      </c>
      <c r="L333" s="39" t="n">
        <v>64.13</v>
      </c>
      <c r="M333" s="39" t="n">
        <v>33.42</v>
      </c>
      <c r="N333" s="39" t="n">
        <f aca="false">J333*Resumo!$C$6</f>
        <v>0</v>
      </c>
      <c r="O333" s="39" t="n">
        <f aca="false">J333*Resumo!$C$7</f>
        <v>0.403179</v>
      </c>
      <c r="P333" s="39" t="n">
        <f aca="false">J333*Resumo!$C$8</f>
        <v>0.403179</v>
      </c>
      <c r="Q333" s="39" t="n">
        <f aca="false">Resumo!$C$10*CEILING(I333/100,1)</f>
        <v>1.05</v>
      </c>
      <c r="R333" s="39" t="n">
        <f aca="false">Resumo!$C$9</f>
        <v>0</v>
      </c>
      <c r="S333" s="39" t="n">
        <f aca="false">Resumo!$C$13</f>
        <v>13.55</v>
      </c>
      <c r="T333" s="39" t="n">
        <f aca="false">Resumo!$C$14*CEILING(I333,1)</f>
        <v>6.75</v>
      </c>
      <c r="U333" s="39" t="n">
        <f aca="false">SUM(M333:T333)*Resumo!$C$11</f>
        <v>0</v>
      </c>
      <c r="V333" s="39" t="n">
        <f aca="false">SUM(M333:U333)</f>
        <v>55.576358</v>
      </c>
      <c r="W333" s="39" t="n">
        <f aca="false">V333/(1-Resumo!$C$5)</f>
        <v>63.1549522727273</v>
      </c>
      <c r="X333" s="39" t="n">
        <v>46.98</v>
      </c>
      <c r="Y333" s="39" t="n">
        <f aca="false">J333*Resumo!$B$6</f>
        <v>0.19199</v>
      </c>
      <c r="Z333" s="39" t="n">
        <f aca="false">J333*Resumo!$B$7</f>
        <v>0.38398</v>
      </c>
      <c r="AA333" s="39" t="n">
        <f aca="false">Resumo!$B$9</f>
        <v>1</v>
      </c>
      <c r="AB333" s="39" t="n">
        <f aca="false">Resumo!$B$10*CEILING(I333/100,1)</f>
        <v>4.5</v>
      </c>
      <c r="AC333" s="39" t="n">
        <f aca="false">Resumo!$B$12*CEILING(I333,1)</f>
        <v>0.9</v>
      </c>
      <c r="AD333" s="39" t="n">
        <f aca="false">Resumo!$B$14*CEILING(I333,1)</f>
        <v>6.75</v>
      </c>
      <c r="AE333" s="39" t="n">
        <f aca="false">SUM(X333:AD333)</f>
        <v>60.70597</v>
      </c>
      <c r="AF333" s="39" t="n">
        <f aca="false">AE333/(1-Resumo!$B$5)</f>
        <v>68.9840568181818</v>
      </c>
      <c r="AG333" s="39" t="n">
        <f aca="false">AF333-W333</f>
        <v>5.82910454545454</v>
      </c>
      <c r="AH333" s="40" t="n">
        <f aca="false">AF333/W333-1</f>
        <v>0.0922984553971673</v>
      </c>
      <c r="AI333" s="37" t="str">
        <f aca="false">IF(AF333&lt;W333,"SIM","NÃO")</f>
        <v>NÃO</v>
      </c>
      <c r="AJ333" s="37" t="n">
        <v>2</v>
      </c>
      <c r="AK333" s="37" t="n">
        <v>5</v>
      </c>
      <c r="AL333" s="37" t="s">
        <v>343</v>
      </c>
      <c r="AM333" s="39" t="n">
        <v>64.14</v>
      </c>
    </row>
    <row r="334" customFormat="false" ht="15" hidden="false" customHeight="false" outlineLevel="0" collapsed="false">
      <c r="A334" s="37" t="n">
        <v>366385941</v>
      </c>
      <c r="B334" s="38" t="n">
        <v>46229.5977546296</v>
      </c>
      <c r="C334" s="37" t="s">
        <v>340</v>
      </c>
      <c r="D334" s="37" t="s">
        <v>678</v>
      </c>
      <c r="E334" s="37" t="n">
        <v>28983036</v>
      </c>
      <c r="F334" s="37" t="s">
        <v>173</v>
      </c>
      <c r="G334" s="37" t="s">
        <v>198</v>
      </c>
      <c r="H334" s="37" t="s">
        <v>184</v>
      </c>
      <c r="I334" s="37" t="n">
        <v>31.5</v>
      </c>
      <c r="J334" s="39" t="n">
        <v>429.99</v>
      </c>
      <c r="K334" s="37" t="s">
        <v>518</v>
      </c>
      <c r="L334" s="39" t="n">
        <v>109.58</v>
      </c>
      <c r="M334" s="39" t="n">
        <v>65.63</v>
      </c>
      <c r="N334" s="39" t="n">
        <f aca="false">J334*Resumo!$C$6</f>
        <v>0</v>
      </c>
      <c r="O334" s="39" t="n">
        <f aca="false">J334*Resumo!$C$7</f>
        <v>0.902979</v>
      </c>
      <c r="P334" s="39" t="n">
        <f aca="false">J334*Resumo!$C$8</f>
        <v>0.902979</v>
      </c>
      <c r="Q334" s="39" t="n">
        <f aca="false">Resumo!$C$10*CEILING(I334/100,1)</f>
        <v>1.05</v>
      </c>
      <c r="R334" s="39" t="n">
        <f aca="false">Resumo!$C$9</f>
        <v>0</v>
      </c>
      <c r="S334" s="39" t="n">
        <f aca="false">Resumo!$C$13</f>
        <v>13.55</v>
      </c>
      <c r="T334" s="39" t="n">
        <f aca="false">Resumo!$C$14*CEILING(I334,1)</f>
        <v>14.4</v>
      </c>
      <c r="U334" s="39" t="n">
        <f aca="false">SUM(M334:T334)*Resumo!$C$11</f>
        <v>0</v>
      </c>
      <c r="V334" s="39" t="n">
        <f aca="false">SUM(M334:U334)</f>
        <v>96.435958</v>
      </c>
      <c r="W334" s="39" t="n">
        <f aca="false">V334/(1-Resumo!$C$5)</f>
        <v>109.586315909091</v>
      </c>
      <c r="X334" s="39" t="n">
        <v>114.95</v>
      </c>
      <c r="Y334" s="39" t="n">
        <f aca="false">J334*Resumo!$B$6</f>
        <v>0.42999</v>
      </c>
      <c r="Z334" s="39" t="n">
        <f aca="false">J334*Resumo!$B$7</f>
        <v>0.85998</v>
      </c>
      <c r="AA334" s="39" t="n">
        <f aca="false">Resumo!$B$9</f>
        <v>1</v>
      </c>
      <c r="AB334" s="39" t="n">
        <f aca="false">Resumo!$B$10*CEILING(I334/100,1)</f>
        <v>4.5</v>
      </c>
      <c r="AC334" s="39" t="n">
        <f aca="false">Resumo!$B$12*CEILING(I334,1)</f>
        <v>1.92</v>
      </c>
      <c r="AD334" s="39" t="n">
        <f aca="false">Resumo!$B$14*CEILING(I334,1)</f>
        <v>14.4</v>
      </c>
      <c r="AE334" s="39" t="n">
        <f aca="false">SUM(X334:AD334)</f>
        <v>138.05997</v>
      </c>
      <c r="AF334" s="39" t="n">
        <f aca="false">AE334/(1-Resumo!$B$5)</f>
        <v>156.886329545455</v>
      </c>
      <c r="AG334" s="39" t="n">
        <f aca="false">AF334-W334</f>
        <v>47.3000136363636</v>
      </c>
      <c r="AH334" s="40" t="n">
        <f aca="false">AF334/W334-1</f>
        <v>0.431623357752095</v>
      </c>
      <c r="AI334" s="37" t="str">
        <f aca="false">IF(AF334&lt;W334,"SIM","NÃO")</f>
        <v>NÃO</v>
      </c>
      <c r="AJ334" s="37" t="n">
        <v>13</v>
      </c>
      <c r="AK334" s="37" t="n">
        <v>10</v>
      </c>
      <c r="AL334" s="37" t="s">
        <v>343</v>
      </c>
      <c r="AM334" s="39" t="n">
        <v>109.24</v>
      </c>
    </row>
    <row r="335" customFormat="false" ht="15" hidden="false" customHeight="false" outlineLevel="0" collapsed="false">
      <c r="A335" s="37" t="n">
        <v>366416956</v>
      </c>
      <c r="B335" s="38" t="n">
        <v>46229.6320023148</v>
      </c>
      <c r="C335" s="37" t="s">
        <v>345</v>
      </c>
      <c r="D335" s="37" t="s">
        <v>679</v>
      </c>
      <c r="E335" s="37" t="n">
        <v>28890133</v>
      </c>
      <c r="F335" s="37" t="s">
        <v>178</v>
      </c>
      <c r="G335" s="37" t="s">
        <v>198</v>
      </c>
      <c r="H335" s="37" t="s">
        <v>187</v>
      </c>
      <c r="I335" s="37" t="n">
        <v>56.7</v>
      </c>
      <c r="J335" s="39" t="n">
        <v>688.47</v>
      </c>
      <c r="K335" s="37" t="s">
        <v>518</v>
      </c>
      <c r="L335" s="39" t="n">
        <v>144.01</v>
      </c>
      <c r="M335" s="39" t="n">
        <v>83.58</v>
      </c>
      <c r="N335" s="39" t="n">
        <f aca="false">J335*Resumo!$C$6</f>
        <v>0</v>
      </c>
      <c r="O335" s="39" t="n">
        <f aca="false">J335*Resumo!$C$7</f>
        <v>1.445787</v>
      </c>
      <c r="P335" s="39" t="n">
        <f aca="false">J335*Resumo!$C$8</f>
        <v>1.445787</v>
      </c>
      <c r="Q335" s="39" t="n">
        <f aca="false">Resumo!$C$10*CEILING(I335/100,1)</f>
        <v>1.05</v>
      </c>
      <c r="R335" s="39" t="n">
        <f aca="false">Resumo!$C$9</f>
        <v>0</v>
      </c>
      <c r="S335" s="39" t="n">
        <f aca="false">Resumo!$C$13</f>
        <v>13.55</v>
      </c>
      <c r="T335" s="39" t="n">
        <f aca="false">Resumo!$C$14*CEILING(I335,1)</f>
        <v>25.65</v>
      </c>
      <c r="U335" s="39" t="n">
        <f aca="false">SUM(M335:T335)*Resumo!$C$11</f>
        <v>0</v>
      </c>
      <c r="V335" s="39" t="n">
        <f aca="false">SUM(M335:U335)</f>
        <v>126.721574</v>
      </c>
      <c r="W335" s="39" t="n">
        <f aca="false">V335/(1-Resumo!$C$5)</f>
        <v>144.001788636364</v>
      </c>
      <c r="X335" s="39" t="n">
        <v>142.32</v>
      </c>
      <c r="Y335" s="39" t="n">
        <f aca="false">J335*Resumo!$B$6</f>
        <v>0.68847</v>
      </c>
      <c r="Z335" s="39" t="n">
        <f aca="false">J335*Resumo!$B$7</f>
        <v>1.37694</v>
      </c>
      <c r="AA335" s="39" t="n">
        <f aca="false">Resumo!$B$9</f>
        <v>1</v>
      </c>
      <c r="AB335" s="39" t="n">
        <f aca="false">Resumo!$B$10*CEILING(I335/100,1)</f>
        <v>4.5</v>
      </c>
      <c r="AC335" s="39" t="n">
        <f aca="false">Resumo!$B$12*CEILING(I335,1)</f>
        <v>3.42</v>
      </c>
      <c r="AD335" s="39" t="n">
        <f aca="false">Resumo!$B$14*CEILING(I335,1)</f>
        <v>25.65</v>
      </c>
      <c r="AE335" s="39" t="n">
        <f aca="false">SUM(X335:AD335)</f>
        <v>178.95541</v>
      </c>
      <c r="AF335" s="39" t="n">
        <f aca="false">AE335/(1-Resumo!$B$5)</f>
        <v>203.358420454545</v>
      </c>
      <c r="AG335" s="39" t="n">
        <f aca="false">AF335-W335</f>
        <v>59.3566318181818</v>
      </c>
      <c r="AH335" s="40" t="n">
        <f aca="false">AF335/W335-1</f>
        <v>0.412193712177218</v>
      </c>
      <c r="AI335" s="37" t="str">
        <f aca="false">IF(AF335&lt;W335,"SIM","NÃO")</f>
        <v>NÃO</v>
      </c>
      <c r="AJ335" s="37" t="n">
        <v>13</v>
      </c>
      <c r="AK335" s="37" t="n">
        <v>10</v>
      </c>
      <c r="AL335" s="37" t="s">
        <v>343</v>
      </c>
      <c r="AM335" s="39" t="n">
        <v>142.97</v>
      </c>
    </row>
    <row r="336" customFormat="false" ht="15" hidden="false" customHeight="false" outlineLevel="0" collapsed="false">
      <c r="A336" s="37" t="n">
        <v>366449453</v>
      </c>
      <c r="B336" s="38" t="n">
        <v>46229.6685416667</v>
      </c>
      <c r="C336" s="37" t="s">
        <v>372</v>
      </c>
      <c r="D336" s="37" t="s">
        <v>680</v>
      </c>
      <c r="E336" s="37" t="n">
        <v>21530000</v>
      </c>
      <c r="F336" s="37" t="s">
        <v>159</v>
      </c>
      <c r="G336" s="37" t="s">
        <v>196</v>
      </c>
      <c r="H336" s="37" t="s">
        <v>186</v>
      </c>
      <c r="I336" s="37" t="n">
        <v>48.3</v>
      </c>
      <c r="J336" s="39" t="n">
        <v>391.99</v>
      </c>
      <c r="K336" s="37" t="s">
        <v>342</v>
      </c>
      <c r="L336" s="39" t="n">
        <v>102.45</v>
      </c>
      <c r="M336" s="39" t="n">
        <v>53.55</v>
      </c>
      <c r="N336" s="39" t="n">
        <f aca="false">J336*Resumo!$C$6</f>
        <v>0</v>
      </c>
      <c r="O336" s="39" t="n">
        <f aca="false">J336*Resumo!$C$7</f>
        <v>0.823179</v>
      </c>
      <c r="P336" s="39" t="n">
        <f aca="false">J336*Resumo!$C$8</f>
        <v>0.823179</v>
      </c>
      <c r="Q336" s="39" t="n">
        <f aca="false">Resumo!$C$10*CEILING(I336/100,1)</f>
        <v>1.05</v>
      </c>
      <c r="R336" s="39" t="n">
        <f aca="false">Resumo!$C$9</f>
        <v>0</v>
      </c>
      <c r="S336" s="39" t="n">
        <f aca="false">Resumo!$C$13</f>
        <v>13.55</v>
      </c>
      <c r="T336" s="39" t="n">
        <f aca="false">Resumo!$C$14*CEILING(I336,1)</f>
        <v>22.05</v>
      </c>
      <c r="U336" s="39" t="n">
        <f aca="false">SUM(M336:T336)*Resumo!$C$11</f>
        <v>0</v>
      </c>
      <c r="V336" s="39" t="n">
        <f aca="false">SUM(M336:U336)</f>
        <v>91.846358</v>
      </c>
      <c r="W336" s="39" t="n">
        <f aca="false">V336/(1-Resumo!$C$5)</f>
        <v>104.370861363636</v>
      </c>
      <c r="X336" s="39" t="n">
        <v>93.97</v>
      </c>
      <c r="Y336" s="39" t="n">
        <f aca="false">J336*Resumo!$B$6</f>
        <v>0.39199</v>
      </c>
      <c r="Z336" s="39" t="n">
        <f aca="false">J336*Resumo!$B$7</f>
        <v>0.78398</v>
      </c>
      <c r="AA336" s="39" t="n">
        <f aca="false">Resumo!$B$9</f>
        <v>1</v>
      </c>
      <c r="AB336" s="39" t="n">
        <f aca="false">Resumo!$B$10*CEILING(I336/100,1)</f>
        <v>4.5</v>
      </c>
      <c r="AC336" s="39" t="n">
        <f aca="false">Resumo!$B$12*CEILING(I336,1)</f>
        <v>2.94</v>
      </c>
      <c r="AD336" s="39" t="n">
        <f aca="false">Resumo!$B$14*CEILING(I336,1)</f>
        <v>22.05</v>
      </c>
      <c r="AE336" s="39" t="n">
        <f aca="false">SUM(X336:AD336)</f>
        <v>125.63597</v>
      </c>
      <c r="AF336" s="39" t="n">
        <f aca="false">AE336/(1-Resumo!$B$5)</f>
        <v>142.768147727273</v>
      </c>
      <c r="AG336" s="39" t="n">
        <f aca="false">AF336-W336</f>
        <v>38.3972863636364</v>
      </c>
      <c r="AH336" s="40" t="n">
        <f aca="false">AF336/W336-1</f>
        <v>0.367892780245026</v>
      </c>
      <c r="AI336" s="37" t="str">
        <f aca="false">IF(AF336&lt;W336,"SIM","NÃO")</f>
        <v>NÃO</v>
      </c>
      <c r="AJ336" s="37" t="n">
        <v>2</v>
      </c>
      <c r="AK336" s="37" t="n">
        <v>5</v>
      </c>
      <c r="AL336" s="37" t="s">
        <v>343</v>
      </c>
      <c r="AM336" s="39" t="n">
        <v>102.46</v>
      </c>
    </row>
    <row r="337" customFormat="false" ht="15" hidden="false" customHeight="false" outlineLevel="0" collapsed="false">
      <c r="A337" s="37" t="n">
        <v>366477196</v>
      </c>
      <c r="B337" s="38" t="n">
        <v>46229.6940162037</v>
      </c>
      <c r="C337" s="37" t="s">
        <v>345</v>
      </c>
      <c r="D337" s="37" t="s">
        <v>681</v>
      </c>
      <c r="E337" s="37" t="n">
        <v>24924465</v>
      </c>
      <c r="F337" s="37" t="s">
        <v>171</v>
      </c>
      <c r="G337" s="37" t="s">
        <v>198</v>
      </c>
      <c r="H337" s="37" t="s">
        <v>192</v>
      </c>
      <c r="I337" s="37" t="n">
        <v>125.8</v>
      </c>
      <c r="J337" s="39" t="n">
        <v>1869.99</v>
      </c>
      <c r="K337" s="37" t="s">
        <v>518</v>
      </c>
      <c r="L337" s="39" t="n">
        <v>255.06</v>
      </c>
      <c r="M337" s="39" t="n">
        <v>144.24</v>
      </c>
      <c r="N337" s="39" t="n">
        <f aca="false">J337*Resumo!$C$6</f>
        <v>0</v>
      </c>
      <c r="O337" s="39" t="n">
        <f aca="false">J337*Resumo!$C$7</f>
        <v>3.926979</v>
      </c>
      <c r="P337" s="39" t="n">
        <f aca="false">J337*Resumo!$C$8</f>
        <v>3.926979</v>
      </c>
      <c r="Q337" s="39" t="n">
        <f aca="false">Resumo!$C$10*CEILING(I337/100,1)</f>
        <v>2.1</v>
      </c>
      <c r="R337" s="39" t="n">
        <f aca="false">Resumo!$C$9</f>
        <v>0</v>
      </c>
      <c r="S337" s="39" t="n">
        <f aca="false">Resumo!$C$13</f>
        <v>13.55</v>
      </c>
      <c r="T337" s="39" t="n">
        <f aca="false">Resumo!$C$14*CEILING(I337,1)</f>
        <v>56.7</v>
      </c>
      <c r="U337" s="39" t="n">
        <f aca="false">SUM(M337:T337)*Resumo!$C$11</f>
        <v>0</v>
      </c>
      <c r="V337" s="39" t="n">
        <f aca="false">SUM(M337:U337)</f>
        <v>224.443958</v>
      </c>
      <c r="W337" s="39" t="n">
        <f aca="false">V337/(1-Resumo!$C$5)</f>
        <v>255.049952272727</v>
      </c>
      <c r="X337" s="39" t="n">
        <v>249.03</v>
      </c>
      <c r="Y337" s="39" t="n">
        <f aca="false">J337*Resumo!$B$6</f>
        <v>1.86999</v>
      </c>
      <c r="Z337" s="39" t="n">
        <f aca="false">J337*Resumo!$B$7</f>
        <v>3.73998</v>
      </c>
      <c r="AA337" s="39" t="n">
        <f aca="false">Resumo!$B$9</f>
        <v>1</v>
      </c>
      <c r="AB337" s="39" t="n">
        <f aca="false">Resumo!$B$10*CEILING(I337/100,1)</f>
        <v>9</v>
      </c>
      <c r="AC337" s="39" t="n">
        <f aca="false">Resumo!$B$12*CEILING(I337,1)</f>
        <v>7.56</v>
      </c>
      <c r="AD337" s="39" t="n">
        <f aca="false">Resumo!$B$14*CEILING(I337,1)</f>
        <v>56.7</v>
      </c>
      <c r="AE337" s="39" t="n">
        <f aca="false">SUM(X337:AD337)</f>
        <v>328.89997</v>
      </c>
      <c r="AF337" s="39" t="n">
        <f aca="false">AE337/(1-Resumo!$B$5)</f>
        <v>373.749965909091</v>
      </c>
      <c r="AG337" s="39" t="n">
        <f aca="false">AF337-W337</f>
        <v>118.700013636364</v>
      </c>
      <c r="AH337" s="40" t="n">
        <f aca="false">AF337/W337-1</f>
        <v>0.465399081939198</v>
      </c>
      <c r="AI337" s="37" t="str">
        <f aca="false">IF(AF337&lt;W337,"SIM","NÃO")</f>
        <v>NÃO</v>
      </c>
      <c r="AJ337" s="37" t="n">
        <v>13</v>
      </c>
      <c r="AK337" s="37" t="n">
        <v>7</v>
      </c>
      <c r="AL337" s="37" t="s">
        <v>343</v>
      </c>
      <c r="AM337" s="39" t="n">
        <v>262.25</v>
      </c>
    </row>
    <row r="338" customFormat="false" ht="15" hidden="false" customHeight="false" outlineLevel="0" collapsed="false">
      <c r="A338" s="37" t="n">
        <v>366487630</v>
      </c>
      <c r="B338" s="38" t="n">
        <v>46229.704837963</v>
      </c>
      <c r="C338" s="37" t="s">
        <v>340</v>
      </c>
      <c r="D338" s="37" t="s">
        <v>682</v>
      </c>
      <c r="E338" s="37" t="n">
        <v>21710200</v>
      </c>
      <c r="F338" s="37" t="s">
        <v>159</v>
      </c>
      <c r="G338" s="37" t="s">
        <v>196</v>
      </c>
      <c r="H338" s="37" t="s">
        <v>187</v>
      </c>
      <c r="I338" s="37" t="n">
        <v>52.3</v>
      </c>
      <c r="J338" s="39" t="n">
        <v>699.99</v>
      </c>
      <c r="K338" s="37" t="s">
        <v>518</v>
      </c>
      <c r="L338" s="39" t="n">
        <v>113.63</v>
      </c>
      <c r="M338" s="39" t="n">
        <v>58.6</v>
      </c>
      <c r="N338" s="39" t="n">
        <f aca="false">J338*Resumo!$C$6</f>
        <v>0</v>
      </c>
      <c r="O338" s="39" t="n">
        <f aca="false">J338*Resumo!$C$7</f>
        <v>1.469979</v>
      </c>
      <c r="P338" s="39" t="n">
        <f aca="false">J338*Resumo!$C$8</f>
        <v>1.469979</v>
      </c>
      <c r="Q338" s="39" t="n">
        <f aca="false">Resumo!$C$10*CEILING(I338/100,1)</f>
        <v>1.05</v>
      </c>
      <c r="R338" s="39" t="n">
        <f aca="false">Resumo!$C$9</f>
        <v>0</v>
      </c>
      <c r="S338" s="39" t="n">
        <f aca="false">Resumo!$C$13</f>
        <v>13.55</v>
      </c>
      <c r="T338" s="39" t="n">
        <f aca="false">Resumo!$C$14*CEILING(I338,1)</f>
        <v>23.85</v>
      </c>
      <c r="U338" s="39" t="n">
        <f aca="false">SUM(M338:T338)*Resumo!$C$11</f>
        <v>0</v>
      </c>
      <c r="V338" s="39" t="n">
        <f aca="false">SUM(M338:U338)</f>
        <v>99.989958</v>
      </c>
      <c r="W338" s="39" t="n">
        <f aca="false">V338/(1-Resumo!$C$5)</f>
        <v>113.624952272727</v>
      </c>
      <c r="X338" s="39" t="n">
        <v>112.3</v>
      </c>
      <c r="Y338" s="39" t="n">
        <f aca="false">J338*Resumo!$B$6</f>
        <v>0.69999</v>
      </c>
      <c r="Z338" s="39" t="n">
        <f aca="false">J338*Resumo!$B$7</f>
        <v>1.39998</v>
      </c>
      <c r="AA338" s="39" t="n">
        <f aca="false">Resumo!$B$9</f>
        <v>1</v>
      </c>
      <c r="AB338" s="39" t="n">
        <f aca="false">Resumo!$B$10*CEILING(I338/100,1)</f>
        <v>4.5</v>
      </c>
      <c r="AC338" s="39" t="n">
        <f aca="false">Resumo!$B$12*CEILING(I338,1)</f>
        <v>3.18</v>
      </c>
      <c r="AD338" s="39" t="n">
        <f aca="false">Resumo!$B$14*CEILING(I338,1)</f>
        <v>23.85</v>
      </c>
      <c r="AE338" s="39" t="n">
        <f aca="false">SUM(X338:AD338)</f>
        <v>146.92997</v>
      </c>
      <c r="AF338" s="39" t="n">
        <f aca="false">AE338/(1-Resumo!$B$5)</f>
        <v>166.965875</v>
      </c>
      <c r="AG338" s="39" t="n">
        <f aca="false">AF338-W338</f>
        <v>53.3409227272727</v>
      </c>
      <c r="AH338" s="40" t="n">
        <f aca="false">AF338/W338-1</f>
        <v>0.469447261894039</v>
      </c>
      <c r="AI338" s="37" t="str">
        <f aca="false">IF(AF338&lt;W338,"SIM","NÃO")</f>
        <v>NÃO</v>
      </c>
      <c r="AJ338" s="37" t="n">
        <v>2</v>
      </c>
      <c r="AK338" s="37" t="n">
        <v>5</v>
      </c>
      <c r="AL338" s="37" t="s">
        <v>343</v>
      </c>
      <c r="AM338" s="39" t="n">
        <v>114.5</v>
      </c>
    </row>
    <row r="339" customFormat="false" ht="15" hidden="false" customHeight="false" outlineLevel="0" collapsed="false">
      <c r="A339" s="37" t="n">
        <v>366531052</v>
      </c>
      <c r="B339" s="38" t="n">
        <v>46229.7728472222</v>
      </c>
      <c r="C339" s="37" t="s">
        <v>340</v>
      </c>
      <c r="D339" s="37" t="s">
        <v>683</v>
      </c>
      <c r="E339" s="37" t="n">
        <v>28300000</v>
      </c>
      <c r="F339" s="37" t="s">
        <v>262</v>
      </c>
      <c r="G339" s="37" t="s">
        <v>198</v>
      </c>
      <c r="H339" s="37" t="s">
        <v>186</v>
      </c>
      <c r="I339" s="37" t="n">
        <v>48.3</v>
      </c>
      <c r="J339" s="39" t="n">
        <v>459.99</v>
      </c>
      <c r="K339" s="37" t="s">
        <v>518</v>
      </c>
      <c r="L339" s="39" t="n">
        <v>132.15</v>
      </c>
      <c r="M339" s="39" t="n">
        <v>77.7</v>
      </c>
      <c r="N339" s="39" t="n">
        <f aca="false">J339*Resumo!$C$6</f>
        <v>0</v>
      </c>
      <c r="O339" s="39" t="n">
        <f aca="false">J339*Resumo!$C$7</f>
        <v>0.965979</v>
      </c>
      <c r="P339" s="39" t="n">
        <f aca="false">J339*Resumo!$C$8</f>
        <v>0.965979</v>
      </c>
      <c r="Q339" s="39" t="n">
        <f aca="false">Resumo!$C$10*CEILING(I339/100,1)</f>
        <v>1.05</v>
      </c>
      <c r="R339" s="39" t="n">
        <f aca="false">Resumo!$C$9</f>
        <v>0</v>
      </c>
      <c r="S339" s="39" t="n">
        <f aca="false">Resumo!$C$13</f>
        <v>13.55</v>
      </c>
      <c r="T339" s="39" t="n">
        <f aca="false">Resumo!$C$14*CEILING(I339,1)</f>
        <v>22.05</v>
      </c>
      <c r="U339" s="39" t="n">
        <f aca="false">SUM(M339:T339)*Resumo!$C$11</f>
        <v>0</v>
      </c>
      <c r="V339" s="39" t="n">
        <f aca="false">SUM(M339:U339)</f>
        <v>116.281958</v>
      </c>
      <c r="W339" s="39" t="n">
        <f aca="false">V339/(1-Resumo!$C$5)</f>
        <v>132.138588636364</v>
      </c>
      <c r="X339" s="39" t="n">
        <v>152.54</v>
      </c>
      <c r="Y339" s="39" t="n">
        <f aca="false">J339*Resumo!$B$6</f>
        <v>0.45999</v>
      </c>
      <c r="Z339" s="39" t="n">
        <f aca="false">J339*Resumo!$B$7</f>
        <v>0.91998</v>
      </c>
      <c r="AA339" s="39" t="n">
        <f aca="false">Resumo!$B$9</f>
        <v>1</v>
      </c>
      <c r="AB339" s="39" t="n">
        <f aca="false">Resumo!$B$10*CEILING(I339/100,1)</f>
        <v>4.5</v>
      </c>
      <c r="AC339" s="39" t="n">
        <f aca="false">Resumo!$B$12*CEILING(I339,1)</f>
        <v>2.94</v>
      </c>
      <c r="AD339" s="39" t="n">
        <f aca="false">Resumo!$B$14*CEILING(I339,1)</f>
        <v>22.05</v>
      </c>
      <c r="AE339" s="39" t="n">
        <f aca="false">SUM(X339:AD339)</f>
        <v>184.40997</v>
      </c>
      <c r="AF339" s="39" t="n">
        <f aca="false">AE339/(1-Resumo!$B$5)</f>
        <v>209.556784090909</v>
      </c>
      <c r="AG339" s="39" t="n">
        <f aca="false">AF339-W339</f>
        <v>77.4181954545455</v>
      </c>
      <c r="AH339" s="40" t="n">
        <f aca="false">AF339/W339-1</f>
        <v>0.585886350486118</v>
      </c>
      <c r="AI339" s="37" t="str">
        <f aca="false">IF(AF339&lt;W339,"SIM","NÃO")</f>
        <v>NÃO</v>
      </c>
      <c r="AJ339" s="37" t="n">
        <v>13</v>
      </c>
      <c r="AK339" s="37" t="n">
        <v>11</v>
      </c>
      <c r="AL339" s="37" t="s">
        <v>347</v>
      </c>
      <c r="AM339" s="39" t="n">
        <v>130.36</v>
      </c>
    </row>
    <row r="340" customFormat="false" ht="15" hidden="false" customHeight="false" outlineLevel="0" collapsed="false">
      <c r="A340" s="37" t="n">
        <v>366546559</v>
      </c>
      <c r="B340" s="38" t="n">
        <v>46229.7944097222</v>
      </c>
      <c r="C340" s="37" t="s">
        <v>340</v>
      </c>
      <c r="D340" s="37" t="s">
        <v>414</v>
      </c>
      <c r="E340" s="37" t="n">
        <v>24110310</v>
      </c>
      <c r="F340" s="37" t="s">
        <v>163</v>
      </c>
      <c r="G340" s="37" t="s">
        <v>197</v>
      </c>
      <c r="H340" s="37" t="s">
        <v>187</v>
      </c>
      <c r="I340" s="37" t="n">
        <v>52.3</v>
      </c>
      <c r="J340" s="39" t="n">
        <v>685.84</v>
      </c>
      <c r="K340" s="37" t="s">
        <v>518</v>
      </c>
      <c r="L340" s="39" t="n">
        <v>127.62</v>
      </c>
      <c r="M340" s="39" t="n">
        <v>70.98</v>
      </c>
      <c r="N340" s="39" t="n">
        <f aca="false">J340*Resumo!$C$6</f>
        <v>0</v>
      </c>
      <c r="O340" s="39" t="n">
        <f aca="false">J340*Resumo!$C$7</f>
        <v>1.440264</v>
      </c>
      <c r="P340" s="39" t="n">
        <f aca="false">J340*Resumo!$C$8</f>
        <v>1.440264</v>
      </c>
      <c r="Q340" s="39" t="n">
        <f aca="false">Resumo!$C$10*CEILING(I340/100,1)</f>
        <v>1.05</v>
      </c>
      <c r="R340" s="39" t="n">
        <f aca="false">Resumo!$C$9</f>
        <v>0</v>
      </c>
      <c r="S340" s="39" t="n">
        <f aca="false">Resumo!$C$13</f>
        <v>13.55</v>
      </c>
      <c r="T340" s="39" t="n">
        <f aca="false">Resumo!$C$14*CEILING(I340,1)</f>
        <v>23.85</v>
      </c>
      <c r="U340" s="39" t="n">
        <f aca="false">SUM(M340:T340)*Resumo!$C$11</f>
        <v>0</v>
      </c>
      <c r="V340" s="39" t="n">
        <f aca="false">SUM(M340:U340)</f>
        <v>112.310528</v>
      </c>
      <c r="W340" s="39" t="n">
        <f aca="false">V340/(1-Resumo!$C$5)</f>
        <v>127.6256</v>
      </c>
      <c r="X340" s="39" t="n">
        <v>128.14</v>
      </c>
      <c r="Y340" s="39" t="n">
        <f aca="false">J340*Resumo!$B$6</f>
        <v>0.68584</v>
      </c>
      <c r="Z340" s="39" t="n">
        <f aca="false">J340*Resumo!$B$7</f>
        <v>1.37168</v>
      </c>
      <c r="AA340" s="39" t="n">
        <f aca="false">Resumo!$B$9</f>
        <v>1</v>
      </c>
      <c r="AB340" s="39" t="n">
        <f aca="false">Resumo!$B$10*CEILING(I340/100,1)</f>
        <v>4.5</v>
      </c>
      <c r="AC340" s="39" t="n">
        <f aca="false">Resumo!$B$12*CEILING(I340,1)</f>
        <v>3.18</v>
      </c>
      <c r="AD340" s="39" t="n">
        <f aca="false">Resumo!$B$14*CEILING(I340,1)</f>
        <v>23.85</v>
      </c>
      <c r="AE340" s="39" t="n">
        <f aca="false">SUM(X340:AD340)</f>
        <v>162.72752</v>
      </c>
      <c r="AF340" s="39" t="n">
        <f aca="false">AE340/(1-Resumo!$B$5)</f>
        <v>184.917636363636</v>
      </c>
      <c r="AG340" s="39" t="n">
        <f aca="false">AF340-W340</f>
        <v>57.2920363636363</v>
      </c>
      <c r="AH340" s="40" t="n">
        <f aca="false">AF340/W340-1</f>
        <v>0.448907087321323</v>
      </c>
      <c r="AI340" s="37" t="str">
        <f aca="false">IF(AF340&lt;W340,"SIM","NÃO")</f>
        <v>NÃO</v>
      </c>
      <c r="AJ340" s="37" t="n">
        <v>2</v>
      </c>
      <c r="AK340" s="37" t="n">
        <v>7</v>
      </c>
      <c r="AL340" s="37" t="s">
        <v>343</v>
      </c>
      <c r="AM340" s="39" t="n">
        <v>128.57</v>
      </c>
    </row>
    <row r="341" customFormat="false" ht="15" hidden="false" customHeight="false" outlineLevel="0" collapsed="false">
      <c r="A341" s="37" t="n">
        <v>366584058</v>
      </c>
      <c r="B341" s="38" t="n">
        <v>46229.8339351852</v>
      </c>
      <c r="C341" s="37" t="s">
        <v>340</v>
      </c>
      <c r="D341" s="37" t="s">
        <v>684</v>
      </c>
      <c r="E341" s="37" t="n">
        <v>28920060</v>
      </c>
      <c r="F341" s="37" t="s">
        <v>172</v>
      </c>
      <c r="G341" s="37" t="s">
        <v>198</v>
      </c>
      <c r="H341" s="37" t="s">
        <v>186</v>
      </c>
      <c r="I341" s="37" t="n">
        <v>48.3</v>
      </c>
      <c r="J341" s="39" t="n">
        <v>459.99</v>
      </c>
      <c r="K341" s="37" t="s">
        <v>518</v>
      </c>
      <c r="L341" s="39" t="n">
        <v>132.15</v>
      </c>
      <c r="M341" s="39" t="n">
        <v>77.7</v>
      </c>
      <c r="N341" s="39" t="n">
        <f aca="false">J341*Resumo!$C$6</f>
        <v>0</v>
      </c>
      <c r="O341" s="39" t="n">
        <f aca="false">J341*Resumo!$C$7</f>
        <v>0.965979</v>
      </c>
      <c r="P341" s="39" t="n">
        <f aca="false">J341*Resumo!$C$8</f>
        <v>0.965979</v>
      </c>
      <c r="Q341" s="39" t="n">
        <f aca="false">Resumo!$C$10*CEILING(I341/100,1)</f>
        <v>1.05</v>
      </c>
      <c r="R341" s="39" t="n">
        <f aca="false">Resumo!$C$9</f>
        <v>0</v>
      </c>
      <c r="S341" s="39" t="n">
        <f aca="false">Resumo!$C$13</f>
        <v>13.55</v>
      </c>
      <c r="T341" s="39" t="n">
        <f aca="false">Resumo!$C$14*CEILING(I341,1)</f>
        <v>22.05</v>
      </c>
      <c r="U341" s="39" t="n">
        <f aca="false">SUM(M341:T341)*Resumo!$C$11</f>
        <v>0</v>
      </c>
      <c r="V341" s="39" t="n">
        <f aca="false">SUM(M341:U341)</f>
        <v>116.281958</v>
      </c>
      <c r="W341" s="39" t="n">
        <f aca="false">V341/(1-Resumo!$C$5)</f>
        <v>132.138588636364</v>
      </c>
      <c r="X341" s="39" t="n">
        <v>129.29</v>
      </c>
      <c r="Y341" s="39" t="n">
        <f aca="false">J341*Resumo!$B$6</f>
        <v>0.45999</v>
      </c>
      <c r="Z341" s="39" t="n">
        <f aca="false">J341*Resumo!$B$7</f>
        <v>0.91998</v>
      </c>
      <c r="AA341" s="39" t="n">
        <f aca="false">Resumo!$B$9</f>
        <v>1</v>
      </c>
      <c r="AB341" s="39" t="n">
        <f aca="false">Resumo!$B$10*CEILING(I341/100,1)</f>
        <v>4.5</v>
      </c>
      <c r="AC341" s="39" t="n">
        <f aca="false">Resumo!$B$12*CEILING(I341,1)</f>
        <v>2.94</v>
      </c>
      <c r="AD341" s="39" t="n">
        <f aca="false">Resumo!$B$14*CEILING(I341,1)</f>
        <v>22.05</v>
      </c>
      <c r="AE341" s="39" t="n">
        <f aca="false">SUM(X341:AD341)</f>
        <v>161.15997</v>
      </c>
      <c r="AF341" s="39" t="n">
        <f aca="false">AE341/(1-Resumo!$B$5)</f>
        <v>183.136329545455</v>
      </c>
      <c r="AG341" s="39" t="n">
        <f aca="false">AF341-W341</f>
        <v>50.9977409090909</v>
      </c>
      <c r="AH341" s="40" t="n">
        <f aca="false">AF341/W341-1</f>
        <v>0.385941316880819</v>
      </c>
      <c r="AI341" s="37" t="str">
        <f aca="false">IF(AF341&lt;W341,"SIM","NÃO")</f>
        <v>NÃO</v>
      </c>
      <c r="AJ341" s="37" t="n">
        <v>13</v>
      </c>
      <c r="AK341" s="37" t="n">
        <v>10</v>
      </c>
      <c r="AL341" s="37" t="s">
        <v>343</v>
      </c>
      <c r="AM341" s="39" t="n">
        <v>130.36</v>
      </c>
    </row>
    <row r="342" customFormat="false" ht="15" hidden="false" customHeight="false" outlineLevel="0" collapsed="false">
      <c r="A342" s="37" t="n">
        <v>366711580</v>
      </c>
      <c r="B342" s="38" t="n">
        <v>46229.977974537</v>
      </c>
      <c r="C342" s="37" t="s">
        <v>340</v>
      </c>
      <c r="D342" s="37" t="s">
        <v>685</v>
      </c>
      <c r="E342" s="37" t="n">
        <v>26265190</v>
      </c>
      <c r="F342" s="37" t="s">
        <v>162</v>
      </c>
      <c r="G342" s="37" t="s">
        <v>197</v>
      </c>
      <c r="H342" s="37" t="s">
        <v>187</v>
      </c>
      <c r="I342" s="37" t="n">
        <v>52.3</v>
      </c>
      <c r="J342" s="39" t="n">
        <v>685.84</v>
      </c>
      <c r="K342" s="37" t="s">
        <v>518</v>
      </c>
      <c r="L342" s="39" t="n">
        <v>127.62</v>
      </c>
      <c r="M342" s="39" t="n">
        <v>70.98</v>
      </c>
      <c r="N342" s="39" t="n">
        <f aca="false">J342*Resumo!$C$6</f>
        <v>0</v>
      </c>
      <c r="O342" s="39" t="n">
        <f aca="false">J342*Resumo!$C$7</f>
        <v>1.440264</v>
      </c>
      <c r="P342" s="39" t="n">
        <f aca="false">J342*Resumo!$C$8</f>
        <v>1.440264</v>
      </c>
      <c r="Q342" s="39" t="n">
        <f aca="false">Resumo!$C$10*CEILING(I342/100,1)</f>
        <v>1.05</v>
      </c>
      <c r="R342" s="39" t="n">
        <f aca="false">Resumo!$C$9</f>
        <v>0</v>
      </c>
      <c r="S342" s="39" t="n">
        <f aca="false">Resumo!$C$13</f>
        <v>13.55</v>
      </c>
      <c r="T342" s="39" t="n">
        <f aca="false">Resumo!$C$14*CEILING(I342,1)</f>
        <v>23.85</v>
      </c>
      <c r="U342" s="39" t="n">
        <f aca="false">SUM(M342:T342)*Resumo!$C$11</f>
        <v>0</v>
      </c>
      <c r="V342" s="39" t="n">
        <f aca="false">SUM(M342:U342)</f>
        <v>112.310528</v>
      </c>
      <c r="W342" s="39" t="n">
        <f aca="false">V342/(1-Resumo!$C$5)</f>
        <v>127.6256</v>
      </c>
      <c r="X342" s="39" t="n">
        <v>112.3</v>
      </c>
      <c r="Y342" s="39" t="n">
        <f aca="false">J342*Resumo!$B$6</f>
        <v>0.68584</v>
      </c>
      <c r="Z342" s="39" t="n">
        <f aca="false">J342*Resumo!$B$7</f>
        <v>1.37168</v>
      </c>
      <c r="AA342" s="39" t="n">
        <f aca="false">Resumo!$B$9</f>
        <v>1</v>
      </c>
      <c r="AB342" s="39" t="n">
        <f aca="false">Resumo!$B$10*CEILING(I342/100,1)</f>
        <v>4.5</v>
      </c>
      <c r="AC342" s="39" t="n">
        <f aca="false">Resumo!$B$12*CEILING(I342,1)</f>
        <v>3.18</v>
      </c>
      <c r="AD342" s="39" t="n">
        <f aca="false">Resumo!$B$14*CEILING(I342,1)</f>
        <v>23.85</v>
      </c>
      <c r="AE342" s="39" t="n">
        <f aca="false">SUM(X342:AD342)</f>
        <v>146.88752</v>
      </c>
      <c r="AF342" s="39" t="n">
        <f aca="false">AE342/(1-Resumo!$B$5)</f>
        <v>166.917636363636</v>
      </c>
      <c r="AG342" s="39" t="n">
        <f aca="false">AF342-W342</f>
        <v>39.2920363636363</v>
      </c>
      <c r="AH342" s="40" t="n">
        <f aca="false">AF342/W342-1</f>
        <v>0.307869552532065</v>
      </c>
      <c r="AI342" s="37" t="str">
        <f aca="false">IF(AF342&lt;W342,"SIM","NÃO")</f>
        <v>NÃO</v>
      </c>
      <c r="AJ342" s="37" t="n">
        <v>2</v>
      </c>
      <c r="AK342" s="37" t="n">
        <v>5</v>
      </c>
      <c r="AL342" s="37" t="s">
        <v>343</v>
      </c>
      <c r="AM342" s="39" t="n">
        <v>128.57</v>
      </c>
    </row>
    <row r="343" customFormat="false" ht="15" hidden="false" customHeight="false" outlineLevel="0" collapsed="false">
      <c r="A343" s="37" t="n">
        <v>366884105</v>
      </c>
      <c r="B343" s="38" t="n">
        <v>46230.3112384259</v>
      </c>
      <c r="C343" s="37" t="s">
        <v>345</v>
      </c>
      <c r="D343" s="37" t="s">
        <v>686</v>
      </c>
      <c r="E343" s="37" t="n">
        <v>24050330</v>
      </c>
      <c r="F343" s="37" t="s">
        <v>163</v>
      </c>
      <c r="G343" s="37" t="s">
        <v>197</v>
      </c>
      <c r="H343" s="37" t="s">
        <v>186</v>
      </c>
      <c r="I343" s="37" t="n">
        <v>48.53</v>
      </c>
      <c r="J343" s="39" t="n">
        <v>449.85</v>
      </c>
      <c r="K343" s="37" t="s">
        <v>342</v>
      </c>
      <c r="L343" s="39" t="n">
        <v>116.23</v>
      </c>
      <c r="M343" s="39" t="n">
        <v>65.36</v>
      </c>
      <c r="N343" s="39" t="n">
        <f aca="false">J343*Resumo!$C$6</f>
        <v>0</v>
      </c>
      <c r="O343" s="39" t="n">
        <f aca="false">J343*Resumo!$C$7</f>
        <v>0.944685</v>
      </c>
      <c r="P343" s="39" t="n">
        <f aca="false">J343*Resumo!$C$8</f>
        <v>0.944685</v>
      </c>
      <c r="Q343" s="39" t="n">
        <f aca="false">Resumo!$C$10*CEILING(I343/100,1)</f>
        <v>1.05</v>
      </c>
      <c r="R343" s="39" t="n">
        <f aca="false">Resumo!$C$9</f>
        <v>0</v>
      </c>
      <c r="S343" s="39" t="n">
        <f aca="false">Resumo!$C$13</f>
        <v>13.55</v>
      </c>
      <c r="T343" s="39" t="n">
        <f aca="false">Resumo!$C$14*CEILING(I343,1)</f>
        <v>22.05</v>
      </c>
      <c r="U343" s="39" t="n">
        <f aca="false">SUM(M343:T343)*Resumo!$C$11</f>
        <v>0</v>
      </c>
      <c r="V343" s="39" t="n">
        <f aca="false">SUM(M343:U343)</f>
        <v>103.89937</v>
      </c>
      <c r="W343" s="39" t="n">
        <f aca="false">V343/(1-Resumo!$C$5)</f>
        <v>118.067465909091</v>
      </c>
      <c r="X343" s="39" t="n">
        <v>114.95</v>
      </c>
      <c r="Y343" s="39" t="n">
        <f aca="false">J343*Resumo!$B$6</f>
        <v>0.44985</v>
      </c>
      <c r="Z343" s="39" t="n">
        <f aca="false">J343*Resumo!$B$7</f>
        <v>0.8997</v>
      </c>
      <c r="AA343" s="39" t="n">
        <f aca="false">Resumo!$B$9</f>
        <v>1</v>
      </c>
      <c r="AB343" s="39" t="n">
        <f aca="false">Resumo!$B$10*CEILING(I343/100,1)</f>
        <v>4.5</v>
      </c>
      <c r="AC343" s="39" t="n">
        <f aca="false">Resumo!$B$12*CEILING(I343,1)</f>
        <v>2.94</v>
      </c>
      <c r="AD343" s="39" t="n">
        <f aca="false">Resumo!$B$14*CEILING(I343,1)</f>
        <v>22.05</v>
      </c>
      <c r="AE343" s="39" t="n">
        <f aca="false">SUM(X343:AD343)</f>
        <v>146.78955</v>
      </c>
      <c r="AF343" s="39" t="n">
        <f aca="false">AE343/(1-Resumo!$B$5)</f>
        <v>166.806306818182</v>
      </c>
      <c r="AG343" s="39" t="n">
        <f aca="false">AF343-W343</f>
        <v>48.7388409090909</v>
      </c>
      <c r="AH343" s="40" t="n">
        <f aca="false">AF343/W343-1</f>
        <v>0.412805005458647</v>
      </c>
      <c r="AI343" s="37" t="str">
        <f aca="false">IF(AF343&lt;W343,"SIM","NÃO")</f>
        <v>NÃO</v>
      </c>
      <c r="AJ343" s="37" t="n">
        <v>2</v>
      </c>
      <c r="AK343" s="37" t="n">
        <v>7</v>
      </c>
      <c r="AL343" s="37" t="s">
        <v>343</v>
      </c>
      <c r="AM343" s="39" t="n">
        <v>116.23</v>
      </c>
    </row>
    <row r="344" customFormat="false" ht="15" hidden="false" customHeight="false" outlineLevel="0" collapsed="false">
      <c r="A344" s="37" t="n">
        <v>366909396</v>
      </c>
      <c r="B344" s="38" t="n">
        <v>46230.3605092593</v>
      </c>
      <c r="C344" s="37" t="s">
        <v>345</v>
      </c>
      <c r="D344" s="37" t="s">
        <v>687</v>
      </c>
      <c r="E344" s="37" t="n">
        <v>23525002</v>
      </c>
      <c r="F344" s="37" t="s">
        <v>159</v>
      </c>
      <c r="G344" s="37" t="s">
        <v>196</v>
      </c>
      <c r="H344" s="37" t="s">
        <v>192</v>
      </c>
      <c r="I344" s="37" t="n">
        <v>124.2</v>
      </c>
      <c r="J344" s="39" t="n">
        <v>1589.99</v>
      </c>
      <c r="K344" s="37" t="s">
        <v>518</v>
      </c>
      <c r="L344" s="39" t="n">
        <v>226.33</v>
      </c>
      <c r="M344" s="39" t="n">
        <v>120.59</v>
      </c>
      <c r="N344" s="39" t="n">
        <f aca="false">J344*Resumo!$C$6</f>
        <v>0</v>
      </c>
      <c r="O344" s="39" t="n">
        <f aca="false">J344*Resumo!$C$7</f>
        <v>3.338979</v>
      </c>
      <c r="P344" s="39" t="n">
        <f aca="false">J344*Resumo!$C$8</f>
        <v>3.338979</v>
      </c>
      <c r="Q344" s="39" t="n">
        <f aca="false">Resumo!$C$10*CEILING(I344/100,1)</f>
        <v>2.1</v>
      </c>
      <c r="R344" s="39" t="n">
        <f aca="false">Resumo!$C$9</f>
        <v>0</v>
      </c>
      <c r="S344" s="39" t="n">
        <f aca="false">Resumo!$C$13</f>
        <v>13.55</v>
      </c>
      <c r="T344" s="39" t="n">
        <f aca="false">Resumo!$C$14*CEILING(I344,1)</f>
        <v>56.25</v>
      </c>
      <c r="U344" s="39" t="n">
        <f aca="false">SUM(M344:T344)*Resumo!$C$11</f>
        <v>0</v>
      </c>
      <c r="V344" s="39" t="n">
        <f aca="false">SUM(M344:U344)</f>
        <v>199.167958</v>
      </c>
      <c r="W344" s="39" t="n">
        <f aca="false">V344/(1-Resumo!$C$5)</f>
        <v>226.327225</v>
      </c>
      <c r="X344" s="39" t="n">
        <v>239.25</v>
      </c>
      <c r="Y344" s="39" t="n">
        <f aca="false">J344*Resumo!$B$6</f>
        <v>1.58999</v>
      </c>
      <c r="Z344" s="39" t="n">
        <f aca="false">J344*Resumo!$B$7</f>
        <v>3.17998</v>
      </c>
      <c r="AA344" s="39" t="n">
        <f aca="false">Resumo!$B$9</f>
        <v>1</v>
      </c>
      <c r="AB344" s="39" t="n">
        <f aca="false">Resumo!$B$10*CEILING(I344/100,1)</f>
        <v>9</v>
      </c>
      <c r="AC344" s="39" t="n">
        <f aca="false">Resumo!$B$12*CEILING(I344,1)</f>
        <v>7.5</v>
      </c>
      <c r="AD344" s="39" t="n">
        <f aca="false">Resumo!$B$14*CEILING(I344,1)</f>
        <v>56.25</v>
      </c>
      <c r="AE344" s="39" t="n">
        <f aca="false">SUM(X344:AD344)</f>
        <v>317.76997</v>
      </c>
      <c r="AF344" s="39" t="n">
        <f aca="false">AE344/(1-Resumo!$B$5)</f>
        <v>361.102238636364</v>
      </c>
      <c r="AG344" s="39" t="n">
        <f aca="false">AF344-W344</f>
        <v>134.775013636364</v>
      </c>
      <c r="AH344" s="40" t="n">
        <f aca="false">AF344/W344-1</f>
        <v>0.595487412689143</v>
      </c>
      <c r="AI344" s="37" t="str">
        <f aca="false">IF(AF344&lt;W344,"SIM","NÃO")</f>
        <v>NÃO</v>
      </c>
      <c r="AJ344" s="37" t="n">
        <v>2</v>
      </c>
      <c r="AK344" s="37" t="n">
        <v>5</v>
      </c>
      <c r="AL344" s="37" t="s">
        <v>343</v>
      </c>
      <c r="AM344" s="39" t="n">
        <v>233.91</v>
      </c>
    </row>
    <row r="345" customFormat="false" ht="15" hidden="false" customHeight="false" outlineLevel="0" collapsed="false">
      <c r="A345" s="37" t="n">
        <v>366935861</v>
      </c>
      <c r="B345" s="38" t="n">
        <v>46230.4009606482</v>
      </c>
      <c r="C345" s="37" t="s">
        <v>375</v>
      </c>
      <c r="D345" s="37" t="s">
        <v>688</v>
      </c>
      <c r="E345" s="37" t="n">
        <v>20931060</v>
      </c>
      <c r="F345" s="37" t="s">
        <v>159</v>
      </c>
      <c r="G345" s="37" t="s">
        <v>196</v>
      </c>
      <c r="H345" s="37" t="s">
        <v>187</v>
      </c>
      <c r="I345" s="37" t="n">
        <v>52.3</v>
      </c>
      <c r="J345" s="39" t="n">
        <v>552.65</v>
      </c>
      <c r="K345" s="37" t="s">
        <v>518</v>
      </c>
      <c r="L345" s="39" t="n">
        <v>112.92</v>
      </c>
      <c r="M345" s="39" t="n">
        <v>58.6</v>
      </c>
      <c r="N345" s="39" t="n">
        <f aca="false">J345*Resumo!$C$6</f>
        <v>0</v>
      </c>
      <c r="O345" s="39" t="n">
        <f aca="false">J345*Resumo!$C$7</f>
        <v>1.160565</v>
      </c>
      <c r="P345" s="39" t="n">
        <f aca="false">J345*Resumo!$C$8</f>
        <v>1.160565</v>
      </c>
      <c r="Q345" s="39" t="n">
        <f aca="false">Resumo!$C$10*CEILING(I345/100,1)</f>
        <v>1.05</v>
      </c>
      <c r="R345" s="39" t="n">
        <f aca="false">Resumo!$C$9</f>
        <v>0</v>
      </c>
      <c r="S345" s="39" t="n">
        <f aca="false">Resumo!$C$13</f>
        <v>13.55</v>
      </c>
      <c r="T345" s="39" t="n">
        <f aca="false">Resumo!$C$14*CEILING(I345,1)</f>
        <v>23.85</v>
      </c>
      <c r="U345" s="39" t="n">
        <f aca="false">SUM(M345:T345)*Resumo!$C$11</f>
        <v>0</v>
      </c>
      <c r="V345" s="39" t="n">
        <f aca="false">SUM(M345:U345)</f>
        <v>99.37113</v>
      </c>
      <c r="W345" s="39" t="n">
        <f aca="false">V345/(1-Resumo!$C$5)</f>
        <v>112.921738636364</v>
      </c>
      <c r="X345" s="39" t="n">
        <v>112.3</v>
      </c>
      <c r="Y345" s="39" t="n">
        <f aca="false">J345*Resumo!$B$6</f>
        <v>0.55265</v>
      </c>
      <c r="Z345" s="39" t="n">
        <f aca="false">J345*Resumo!$B$7</f>
        <v>1.1053</v>
      </c>
      <c r="AA345" s="39" t="n">
        <f aca="false">Resumo!$B$9</f>
        <v>1</v>
      </c>
      <c r="AB345" s="39" t="n">
        <f aca="false">Resumo!$B$10*CEILING(I345/100,1)</f>
        <v>4.5</v>
      </c>
      <c r="AC345" s="39" t="n">
        <f aca="false">Resumo!$B$12*CEILING(I345,1)</f>
        <v>3.18</v>
      </c>
      <c r="AD345" s="39" t="n">
        <f aca="false">Resumo!$B$14*CEILING(I345,1)</f>
        <v>23.85</v>
      </c>
      <c r="AE345" s="39" t="n">
        <f aca="false">SUM(X345:AD345)</f>
        <v>146.48795</v>
      </c>
      <c r="AF345" s="39" t="n">
        <f aca="false">AE345/(1-Resumo!$B$5)</f>
        <v>166.463579545455</v>
      </c>
      <c r="AG345" s="39" t="n">
        <f aca="false">AF345-W345</f>
        <v>53.5418409090909</v>
      </c>
      <c r="AH345" s="40" t="n">
        <f aca="false">AF345/W345-1</f>
        <v>0.474149987023394</v>
      </c>
      <c r="AI345" s="37" t="str">
        <f aca="false">IF(AF345&lt;W345,"SIM","NÃO")</f>
        <v>NÃO</v>
      </c>
      <c r="AJ345" s="37" t="n">
        <v>2</v>
      </c>
      <c r="AK345" s="37" t="n">
        <v>5</v>
      </c>
      <c r="AL345" s="37" t="s">
        <v>343</v>
      </c>
      <c r="AM345" s="39" t="n">
        <v>113.8</v>
      </c>
    </row>
    <row r="346" customFormat="false" ht="15" hidden="false" customHeight="false" outlineLevel="0" collapsed="false">
      <c r="A346" s="37" t="n">
        <v>366975566</v>
      </c>
      <c r="B346" s="38" t="n">
        <v>46230.4808101852</v>
      </c>
      <c r="C346" s="37" t="s">
        <v>340</v>
      </c>
      <c r="D346" s="37" t="s">
        <v>689</v>
      </c>
      <c r="E346" s="37" t="n">
        <v>20756070</v>
      </c>
      <c r="F346" s="37" t="s">
        <v>159</v>
      </c>
      <c r="G346" s="37" t="s">
        <v>196</v>
      </c>
      <c r="H346" s="37" t="s">
        <v>187</v>
      </c>
      <c r="I346" s="37" t="n">
        <v>52.3</v>
      </c>
      <c r="J346" s="39" t="n">
        <v>699.99</v>
      </c>
      <c r="K346" s="37" t="s">
        <v>518</v>
      </c>
      <c r="L346" s="39" t="n">
        <v>113.63</v>
      </c>
      <c r="M346" s="39" t="n">
        <v>58.6</v>
      </c>
      <c r="N346" s="39" t="n">
        <f aca="false">J346*Resumo!$C$6</f>
        <v>0</v>
      </c>
      <c r="O346" s="39" t="n">
        <f aca="false">J346*Resumo!$C$7</f>
        <v>1.469979</v>
      </c>
      <c r="P346" s="39" t="n">
        <f aca="false">J346*Resumo!$C$8</f>
        <v>1.469979</v>
      </c>
      <c r="Q346" s="39" t="n">
        <f aca="false">Resumo!$C$10*CEILING(I346/100,1)</f>
        <v>1.05</v>
      </c>
      <c r="R346" s="39" t="n">
        <f aca="false">Resumo!$C$9</f>
        <v>0</v>
      </c>
      <c r="S346" s="39" t="n">
        <f aca="false">Resumo!$C$13</f>
        <v>13.55</v>
      </c>
      <c r="T346" s="39" t="n">
        <f aca="false">Resumo!$C$14*CEILING(I346,1)</f>
        <v>23.85</v>
      </c>
      <c r="U346" s="39" t="n">
        <f aca="false">SUM(M346:T346)*Resumo!$C$11</f>
        <v>0</v>
      </c>
      <c r="V346" s="39" t="n">
        <f aca="false">SUM(M346:U346)</f>
        <v>99.989958</v>
      </c>
      <c r="W346" s="39" t="n">
        <f aca="false">V346/(1-Resumo!$C$5)</f>
        <v>113.624952272727</v>
      </c>
      <c r="X346" s="39" t="n">
        <v>112.3</v>
      </c>
      <c r="Y346" s="39" t="n">
        <f aca="false">J346*Resumo!$B$6</f>
        <v>0.69999</v>
      </c>
      <c r="Z346" s="39" t="n">
        <f aca="false">J346*Resumo!$B$7</f>
        <v>1.39998</v>
      </c>
      <c r="AA346" s="39" t="n">
        <f aca="false">Resumo!$B$9</f>
        <v>1</v>
      </c>
      <c r="AB346" s="39" t="n">
        <f aca="false">Resumo!$B$10*CEILING(I346/100,1)</f>
        <v>4.5</v>
      </c>
      <c r="AC346" s="39" t="n">
        <f aca="false">Resumo!$B$12*CEILING(I346,1)</f>
        <v>3.18</v>
      </c>
      <c r="AD346" s="39" t="n">
        <f aca="false">Resumo!$B$14*CEILING(I346,1)</f>
        <v>23.85</v>
      </c>
      <c r="AE346" s="39" t="n">
        <f aca="false">SUM(X346:AD346)</f>
        <v>146.92997</v>
      </c>
      <c r="AF346" s="39" t="n">
        <f aca="false">AE346/(1-Resumo!$B$5)</f>
        <v>166.965875</v>
      </c>
      <c r="AG346" s="39" t="n">
        <f aca="false">AF346-W346</f>
        <v>53.3409227272727</v>
      </c>
      <c r="AH346" s="40" t="n">
        <f aca="false">AF346/W346-1</f>
        <v>0.469447261894039</v>
      </c>
      <c r="AI346" s="37" t="str">
        <f aca="false">IF(AF346&lt;W346,"SIM","NÃO")</f>
        <v>NÃO</v>
      </c>
      <c r="AJ346" s="37" t="n">
        <v>2</v>
      </c>
      <c r="AK346" s="37" t="n">
        <v>5</v>
      </c>
      <c r="AL346" s="37" t="s">
        <v>343</v>
      </c>
      <c r="AM346" s="39" t="n">
        <v>114.5</v>
      </c>
    </row>
    <row r="347" customFormat="false" ht="15" hidden="false" customHeight="false" outlineLevel="0" collapsed="false">
      <c r="A347" s="37" t="n">
        <v>366975600</v>
      </c>
      <c r="B347" s="38" t="n">
        <v>46230.4809143519</v>
      </c>
      <c r="C347" s="37" t="s">
        <v>345</v>
      </c>
      <c r="D347" s="37" t="s">
        <v>690</v>
      </c>
      <c r="E347" s="37" t="n">
        <v>25710193</v>
      </c>
      <c r="F347" s="37" t="s">
        <v>170</v>
      </c>
      <c r="G347" s="37" t="s">
        <v>198</v>
      </c>
      <c r="H347" s="37" t="s">
        <v>187</v>
      </c>
      <c r="I347" s="37" t="n">
        <v>60</v>
      </c>
      <c r="J347" s="39" t="n">
        <v>862</v>
      </c>
      <c r="K347" s="37" t="s">
        <v>518</v>
      </c>
      <c r="L347" s="39" t="n">
        <v>146.36</v>
      </c>
      <c r="M347" s="39" t="n">
        <v>83.58</v>
      </c>
      <c r="N347" s="39" t="n">
        <f aca="false">J347*Resumo!$C$6</f>
        <v>0</v>
      </c>
      <c r="O347" s="39" t="n">
        <f aca="false">J347*Resumo!$C$7</f>
        <v>1.8102</v>
      </c>
      <c r="P347" s="39" t="n">
        <f aca="false">J347*Resumo!$C$8</f>
        <v>1.8102</v>
      </c>
      <c r="Q347" s="39" t="n">
        <f aca="false">Resumo!$C$10*CEILING(I347/100,1)</f>
        <v>1.05</v>
      </c>
      <c r="R347" s="39" t="n">
        <f aca="false">Resumo!$C$9</f>
        <v>0</v>
      </c>
      <c r="S347" s="39" t="n">
        <f aca="false">Resumo!$C$13</f>
        <v>13.55</v>
      </c>
      <c r="T347" s="39" t="n">
        <f aca="false">Resumo!$C$14*CEILING(I347,1)</f>
        <v>27</v>
      </c>
      <c r="U347" s="39" t="n">
        <f aca="false">SUM(M347:T347)*Resumo!$C$11</f>
        <v>0</v>
      </c>
      <c r="V347" s="39" t="n">
        <f aca="false">SUM(M347:U347)</f>
        <v>128.8004</v>
      </c>
      <c r="W347" s="39" t="n">
        <f aca="false">V347/(1-Resumo!$C$5)</f>
        <v>146.364090909091</v>
      </c>
      <c r="X347" s="39" t="n">
        <v>142.32</v>
      </c>
      <c r="Y347" s="39" t="n">
        <f aca="false">J347*Resumo!$B$6</f>
        <v>0.862</v>
      </c>
      <c r="Z347" s="39" t="n">
        <f aca="false">J347*Resumo!$B$7</f>
        <v>1.724</v>
      </c>
      <c r="AA347" s="39" t="n">
        <f aca="false">Resumo!$B$9</f>
        <v>1</v>
      </c>
      <c r="AB347" s="39" t="n">
        <f aca="false">Resumo!$B$10*CEILING(I347/100,1)</f>
        <v>4.5</v>
      </c>
      <c r="AC347" s="39" t="n">
        <f aca="false">Resumo!$B$12*CEILING(I347,1)</f>
        <v>3.6</v>
      </c>
      <c r="AD347" s="39" t="n">
        <f aca="false">Resumo!$B$14*CEILING(I347,1)</f>
        <v>27</v>
      </c>
      <c r="AE347" s="39" t="n">
        <f aca="false">SUM(X347:AD347)</f>
        <v>181.006</v>
      </c>
      <c r="AF347" s="39" t="n">
        <f aca="false">AE347/(1-Resumo!$B$5)</f>
        <v>205.688636363636</v>
      </c>
      <c r="AG347" s="39" t="n">
        <f aca="false">AF347-W347</f>
        <v>59.3245454545455</v>
      </c>
      <c r="AH347" s="40" t="n">
        <f aca="false">AF347/W347-1</f>
        <v>0.405321722603346</v>
      </c>
      <c r="AI347" s="37" t="str">
        <f aca="false">IF(AF347&lt;W347,"SIM","NÃO")</f>
        <v>NÃO</v>
      </c>
      <c r="AJ347" s="37" t="n">
        <v>13</v>
      </c>
      <c r="AK347" s="37" t="n">
        <v>8</v>
      </c>
      <c r="AL347" s="37" t="s">
        <v>343</v>
      </c>
      <c r="AM347" s="39" t="n">
        <v>143.8</v>
      </c>
    </row>
    <row r="348" customFormat="false" ht="15" hidden="false" customHeight="false" outlineLevel="0" collapsed="false">
      <c r="A348" s="37" t="n">
        <v>367010544</v>
      </c>
      <c r="B348" s="38" t="n">
        <v>46230.5450115741</v>
      </c>
      <c r="C348" s="37" t="s">
        <v>340</v>
      </c>
      <c r="D348" s="37" t="s">
        <v>691</v>
      </c>
      <c r="E348" s="37" t="n">
        <v>23812720</v>
      </c>
      <c r="F348" s="37" t="s">
        <v>217</v>
      </c>
      <c r="G348" s="37" t="s">
        <v>198</v>
      </c>
      <c r="H348" s="37" t="s">
        <v>191</v>
      </c>
      <c r="I348" s="37" t="n">
        <v>117.5</v>
      </c>
      <c r="J348" s="39" t="n">
        <v>1349.99</v>
      </c>
      <c r="K348" s="37" t="s">
        <v>518</v>
      </c>
      <c r="L348" s="39" t="n">
        <v>220.35</v>
      </c>
      <c r="M348" s="39" t="n">
        <v>119.5</v>
      </c>
      <c r="N348" s="39" t="n">
        <f aca="false">J348*Resumo!$C$6</f>
        <v>0</v>
      </c>
      <c r="O348" s="39" t="n">
        <f aca="false">J348*Resumo!$C$7</f>
        <v>2.834979</v>
      </c>
      <c r="P348" s="39" t="n">
        <f aca="false">J348*Resumo!$C$8</f>
        <v>2.834979</v>
      </c>
      <c r="Q348" s="39" t="n">
        <f aca="false">Resumo!$C$10*CEILING(I348/100,1)</f>
        <v>2.1</v>
      </c>
      <c r="R348" s="39" t="n">
        <f aca="false">Resumo!$C$9</f>
        <v>0</v>
      </c>
      <c r="S348" s="39" t="n">
        <f aca="false">Resumo!$C$13</f>
        <v>13.55</v>
      </c>
      <c r="T348" s="39" t="n">
        <f aca="false">Resumo!$C$14*CEILING(I348,1)</f>
        <v>53.1</v>
      </c>
      <c r="U348" s="39" t="n">
        <f aca="false">SUM(M348:T348)*Resumo!$C$11</f>
        <v>0</v>
      </c>
      <c r="V348" s="39" t="n">
        <f aca="false">SUM(M348:U348)</f>
        <v>193.919958</v>
      </c>
      <c r="W348" s="39" t="n">
        <f aca="false">V348/(1-Resumo!$C$5)</f>
        <v>220.363588636364</v>
      </c>
      <c r="X348" s="39" t="n">
        <v>211.59</v>
      </c>
      <c r="Y348" s="39" t="n">
        <f aca="false">J348*Resumo!$B$6</f>
        <v>1.34999</v>
      </c>
      <c r="Z348" s="39" t="n">
        <f aca="false">J348*Resumo!$B$7</f>
        <v>2.69998</v>
      </c>
      <c r="AA348" s="39" t="n">
        <f aca="false">Resumo!$B$9</f>
        <v>1</v>
      </c>
      <c r="AB348" s="39" t="n">
        <f aca="false">Resumo!$B$10*CEILING(I348/100,1)</f>
        <v>9</v>
      </c>
      <c r="AC348" s="39" t="n">
        <f aca="false">Resumo!$B$12*CEILING(I348,1)</f>
        <v>7.08</v>
      </c>
      <c r="AD348" s="39" t="n">
        <f aca="false">Resumo!$B$14*CEILING(I348,1)</f>
        <v>53.1</v>
      </c>
      <c r="AE348" s="39" t="n">
        <f aca="false">SUM(X348:AD348)</f>
        <v>285.81997</v>
      </c>
      <c r="AF348" s="39" t="n">
        <f aca="false">AE348/(1-Resumo!$B$5)</f>
        <v>324.795420454546</v>
      </c>
      <c r="AG348" s="39" t="n">
        <f aca="false">AF348-W348</f>
        <v>104.431831818182</v>
      </c>
      <c r="AH348" s="40" t="n">
        <f aca="false">AF348/W348-1</f>
        <v>0.473906930198489</v>
      </c>
      <c r="AI348" s="37" t="str">
        <f aca="false">IF(AF348&lt;W348,"SIM","NÃO")</f>
        <v>NÃO</v>
      </c>
      <c r="AJ348" s="37" t="n">
        <v>13</v>
      </c>
      <c r="AK348" s="37" t="n">
        <v>5</v>
      </c>
      <c r="AL348" s="37" t="s">
        <v>347</v>
      </c>
      <c r="AM348" s="39" t="n">
        <v>217.13</v>
      </c>
    </row>
    <row r="349" customFormat="false" ht="15" hidden="false" customHeight="false" outlineLevel="0" collapsed="false">
      <c r="A349" s="37" t="n">
        <v>367043399</v>
      </c>
      <c r="B349" s="38" t="n">
        <v>46230.5929050926</v>
      </c>
      <c r="C349" s="37" t="s">
        <v>345</v>
      </c>
      <c r="D349" s="37" t="s">
        <v>692</v>
      </c>
      <c r="E349" s="37" t="n">
        <v>26084185</v>
      </c>
      <c r="F349" s="37" t="s">
        <v>162</v>
      </c>
      <c r="G349" s="37" t="s">
        <v>197</v>
      </c>
      <c r="H349" s="37" t="s">
        <v>187</v>
      </c>
      <c r="I349" s="37" t="n">
        <v>52.3</v>
      </c>
      <c r="J349" s="39" t="n">
        <v>642.07</v>
      </c>
      <c r="K349" s="37" t="s">
        <v>518</v>
      </c>
      <c r="L349" s="39" t="n">
        <v>127.42</v>
      </c>
      <c r="M349" s="39" t="n">
        <v>70.98</v>
      </c>
      <c r="N349" s="39" t="n">
        <f aca="false">J349*Resumo!$C$6</f>
        <v>0</v>
      </c>
      <c r="O349" s="39" t="n">
        <f aca="false">J349*Resumo!$C$7</f>
        <v>1.348347</v>
      </c>
      <c r="P349" s="39" t="n">
        <f aca="false">J349*Resumo!$C$8</f>
        <v>1.348347</v>
      </c>
      <c r="Q349" s="39" t="n">
        <f aca="false">Resumo!$C$10*CEILING(I349/100,1)</f>
        <v>1.05</v>
      </c>
      <c r="R349" s="39" t="n">
        <f aca="false">Resumo!$C$9</f>
        <v>0</v>
      </c>
      <c r="S349" s="39" t="n">
        <f aca="false">Resumo!$C$13</f>
        <v>13.55</v>
      </c>
      <c r="T349" s="39" t="n">
        <f aca="false">Resumo!$C$14*CEILING(I349,1)</f>
        <v>23.85</v>
      </c>
      <c r="U349" s="39" t="n">
        <f aca="false">SUM(M349:T349)*Resumo!$C$11</f>
        <v>0</v>
      </c>
      <c r="V349" s="39" t="n">
        <f aca="false">SUM(M349:U349)</f>
        <v>112.126694</v>
      </c>
      <c r="W349" s="39" t="n">
        <f aca="false">V349/(1-Resumo!$C$5)</f>
        <v>127.416697727273</v>
      </c>
      <c r="X349" s="39" t="n">
        <v>112.3</v>
      </c>
      <c r="Y349" s="39" t="n">
        <f aca="false">J349*Resumo!$B$6</f>
        <v>0.64207</v>
      </c>
      <c r="Z349" s="39" t="n">
        <f aca="false">J349*Resumo!$B$7</f>
        <v>1.28414</v>
      </c>
      <c r="AA349" s="39" t="n">
        <f aca="false">Resumo!$B$9</f>
        <v>1</v>
      </c>
      <c r="AB349" s="39" t="n">
        <f aca="false">Resumo!$B$10*CEILING(I349/100,1)</f>
        <v>4.5</v>
      </c>
      <c r="AC349" s="39" t="n">
        <f aca="false">Resumo!$B$12*CEILING(I349,1)</f>
        <v>3.18</v>
      </c>
      <c r="AD349" s="39" t="n">
        <f aca="false">Resumo!$B$14*CEILING(I349,1)</f>
        <v>23.85</v>
      </c>
      <c r="AE349" s="39" t="n">
        <f aca="false">SUM(X349:AD349)</f>
        <v>146.75621</v>
      </c>
      <c r="AF349" s="39" t="n">
        <f aca="false">AE349/(1-Resumo!$B$5)</f>
        <v>166.768420454545</v>
      </c>
      <c r="AG349" s="39" t="n">
        <f aca="false">AF349-W349</f>
        <v>39.3517227272727</v>
      </c>
      <c r="AH349" s="40" t="n">
        <f aca="false">AF349/W349-1</f>
        <v>0.308842745332347</v>
      </c>
      <c r="AI349" s="37" t="str">
        <f aca="false">IF(AF349&lt;W349,"SIM","NÃO")</f>
        <v>NÃO</v>
      </c>
      <c r="AJ349" s="37" t="n">
        <v>2</v>
      </c>
      <c r="AK349" s="37" t="n">
        <v>5</v>
      </c>
      <c r="AL349" s="37" t="s">
        <v>343</v>
      </c>
      <c r="AM349" s="39" t="n">
        <v>128.36</v>
      </c>
    </row>
    <row r="350" customFormat="false" ht="15" hidden="false" customHeight="false" outlineLevel="0" collapsed="false">
      <c r="A350" s="37" t="n">
        <v>367050811</v>
      </c>
      <c r="B350" s="38" t="n">
        <v>46230.6031712963</v>
      </c>
      <c r="C350" s="37" t="s">
        <v>345</v>
      </c>
      <c r="D350" s="37" t="s">
        <v>693</v>
      </c>
      <c r="E350" s="37" t="n">
        <v>25056360</v>
      </c>
      <c r="F350" s="37" t="s">
        <v>161</v>
      </c>
      <c r="G350" s="37" t="s">
        <v>197</v>
      </c>
      <c r="H350" s="37" t="s">
        <v>187</v>
      </c>
      <c r="I350" s="37" t="n">
        <v>52.3</v>
      </c>
      <c r="J350" s="39" t="n">
        <v>637.57</v>
      </c>
      <c r="K350" s="37" t="s">
        <v>518</v>
      </c>
      <c r="L350" s="39" t="n">
        <v>127.4</v>
      </c>
      <c r="M350" s="39" t="n">
        <v>70.98</v>
      </c>
      <c r="N350" s="39" t="n">
        <f aca="false">J350*Resumo!$C$6</f>
        <v>0</v>
      </c>
      <c r="O350" s="39" t="n">
        <f aca="false">J350*Resumo!$C$7</f>
        <v>1.338897</v>
      </c>
      <c r="P350" s="39" t="n">
        <f aca="false">J350*Resumo!$C$8</f>
        <v>1.338897</v>
      </c>
      <c r="Q350" s="39" t="n">
        <f aca="false">Resumo!$C$10*CEILING(I350/100,1)</f>
        <v>1.05</v>
      </c>
      <c r="R350" s="39" t="n">
        <f aca="false">Resumo!$C$9</f>
        <v>0</v>
      </c>
      <c r="S350" s="39" t="n">
        <f aca="false">Resumo!$C$13</f>
        <v>13.55</v>
      </c>
      <c r="T350" s="39" t="n">
        <f aca="false">Resumo!$C$14*CEILING(I350,1)</f>
        <v>23.85</v>
      </c>
      <c r="U350" s="39" t="n">
        <f aca="false">SUM(M350:T350)*Resumo!$C$11</f>
        <v>0</v>
      </c>
      <c r="V350" s="39" t="n">
        <f aca="false">SUM(M350:U350)</f>
        <v>112.107794</v>
      </c>
      <c r="W350" s="39" t="n">
        <f aca="false">V350/(1-Resumo!$C$5)</f>
        <v>127.395220454545</v>
      </c>
      <c r="X350" s="39" t="n">
        <v>112.3</v>
      </c>
      <c r="Y350" s="39" t="n">
        <f aca="false">J350*Resumo!$B$6</f>
        <v>0.63757</v>
      </c>
      <c r="Z350" s="39" t="n">
        <f aca="false">J350*Resumo!$B$7</f>
        <v>1.27514</v>
      </c>
      <c r="AA350" s="39" t="n">
        <f aca="false">Resumo!$B$9</f>
        <v>1</v>
      </c>
      <c r="AB350" s="39" t="n">
        <f aca="false">Resumo!$B$10*CEILING(I350/100,1)</f>
        <v>4.5</v>
      </c>
      <c r="AC350" s="39" t="n">
        <f aca="false">Resumo!$B$12*CEILING(I350,1)</f>
        <v>3.18</v>
      </c>
      <c r="AD350" s="39" t="n">
        <f aca="false">Resumo!$B$14*CEILING(I350,1)</f>
        <v>23.85</v>
      </c>
      <c r="AE350" s="39" t="n">
        <f aca="false">SUM(X350:AD350)</f>
        <v>146.74271</v>
      </c>
      <c r="AF350" s="39" t="n">
        <f aca="false">AE350/(1-Resumo!$B$5)</f>
        <v>166.753079545455</v>
      </c>
      <c r="AG350" s="39" t="n">
        <f aca="false">AF350-W350</f>
        <v>39.3578590909091</v>
      </c>
      <c r="AH350" s="40" t="n">
        <f aca="false">AF350/W350-1</f>
        <v>0.308942980360491</v>
      </c>
      <c r="AI350" s="37" t="str">
        <f aca="false">IF(AF350&lt;W350,"SIM","NÃO")</f>
        <v>NÃO</v>
      </c>
      <c r="AJ350" s="37" t="n">
        <v>2</v>
      </c>
      <c r="AK350" s="37" t="n">
        <v>5</v>
      </c>
      <c r="AL350" s="37" t="s">
        <v>343</v>
      </c>
      <c r="AM350" s="39" t="n">
        <v>128.34</v>
      </c>
    </row>
    <row r="351" customFormat="false" ht="15" hidden="false" customHeight="false" outlineLevel="0" collapsed="false">
      <c r="A351" s="37" t="n">
        <v>367091802</v>
      </c>
      <c r="B351" s="38" t="n">
        <v>46230.6725578704</v>
      </c>
      <c r="C351" s="37" t="s">
        <v>340</v>
      </c>
      <c r="D351" s="37" t="s">
        <v>694</v>
      </c>
      <c r="E351" s="37" t="n">
        <v>28400000</v>
      </c>
      <c r="F351" s="37" t="s">
        <v>268</v>
      </c>
      <c r="G351" s="37" t="s">
        <v>198</v>
      </c>
      <c r="H351" s="37" t="s">
        <v>192</v>
      </c>
      <c r="I351" s="37" t="n">
        <v>125.8</v>
      </c>
      <c r="J351" s="39" t="n">
        <v>1999.99</v>
      </c>
      <c r="K351" s="37" t="s">
        <v>518</v>
      </c>
      <c r="L351" s="39" t="n">
        <v>255.67</v>
      </c>
      <c r="M351" s="39" t="n">
        <v>144.24</v>
      </c>
      <c r="N351" s="39" t="n">
        <f aca="false">J351*Resumo!$C$6</f>
        <v>0</v>
      </c>
      <c r="O351" s="39" t="n">
        <f aca="false">J351*Resumo!$C$7</f>
        <v>4.199979</v>
      </c>
      <c r="P351" s="39" t="n">
        <f aca="false">J351*Resumo!$C$8</f>
        <v>4.199979</v>
      </c>
      <c r="Q351" s="39" t="n">
        <f aca="false">Resumo!$C$10*CEILING(I351/100,1)</f>
        <v>2.1</v>
      </c>
      <c r="R351" s="39" t="n">
        <f aca="false">Resumo!$C$9</f>
        <v>0</v>
      </c>
      <c r="S351" s="39" t="n">
        <f aca="false">Resumo!$C$13</f>
        <v>13.55</v>
      </c>
      <c r="T351" s="39" t="n">
        <f aca="false">Resumo!$C$14*CEILING(I351,1)</f>
        <v>56.7</v>
      </c>
      <c r="U351" s="39" t="n">
        <f aca="false">SUM(M351:T351)*Resumo!$C$11</f>
        <v>0</v>
      </c>
      <c r="V351" s="39" t="n">
        <f aca="false">SUM(M351:U351)</f>
        <v>224.989958</v>
      </c>
      <c r="W351" s="39" t="n">
        <f aca="false">V351/(1-Resumo!$C$5)</f>
        <v>255.670406818182</v>
      </c>
      <c r="X351" s="39" t="n">
        <v>264.84</v>
      </c>
      <c r="Y351" s="39" t="n">
        <f aca="false">J351*Resumo!$B$6</f>
        <v>1.99999</v>
      </c>
      <c r="Z351" s="39" t="n">
        <f aca="false">J351*Resumo!$B$7</f>
        <v>3.99998</v>
      </c>
      <c r="AA351" s="39" t="n">
        <f aca="false">Resumo!$B$9</f>
        <v>1</v>
      </c>
      <c r="AB351" s="39" t="n">
        <f aca="false">Resumo!$B$10*CEILING(I351/100,1)</f>
        <v>9</v>
      </c>
      <c r="AC351" s="39" t="n">
        <f aca="false">Resumo!$B$12*CEILING(I351,1)</f>
        <v>7.56</v>
      </c>
      <c r="AD351" s="39" t="n">
        <f aca="false">Resumo!$B$14*CEILING(I351,1)</f>
        <v>56.7</v>
      </c>
      <c r="AE351" s="39" t="n">
        <f aca="false">SUM(X351:AD351)</f>
        <v>345.09997</v>
      </c>
      <c r="AF351" s="39" t="n">
        <f aca="false">AE351/(1-Resumo!$B$5)</f>
        <v>392.159056818182</v>
      </c>
      <c r="AG351" s="39" t="n">
        <f aca="false">AF351-W351</f>
        <v>136.48865</v>
      </c>
      <c r="AH351" s="40" t="n">
        <f aca="false">AF351/W351-1</f>
        <v>0.533846101700237</v>
      </c>
      <c r="AI351" s="37" t="str">
        <f aca="false">IF(AF351&lt;W351,"SIM","NÃO")</f>
        <v>NÃO</v>
      </c>
      <c r="AJ351" s="37" t="n">
        <v>13</v>
      </c>
      <c r="AK351" s="37" t="n">
        <v>11</v>
      </c>
      <c r="AL351" s="37" t="s">
        <v>347</v>
      </c>
      <c r="AM351" s="39" t="n">
        <v>262.87</v>
      </c>
    </row>
    <row r="352" customFormat="false" ht="15" hidden="false" customHeight="false" outlineLevel="0" collapsed="false">
      <c r="A352" s="37" t="n">
        <v>367166761</v>
      </c>
      <c r="B352" s="38" t="n">
        <v>46230.7930092593</v>
      </c>
      <c r="C352" s="37" t="s">
        <v>340</v>
      </c>
      <c r="D352" s="37" t="s">
        <v>695</v>
      </c>
      <c r="E352" s="37" t="n">
        <v>20911250</v>
      </c>
      <c r="F352" s="37" t="s">
        <v>159</v>
      </c>
      <c r="G352" s="37" t="s">
        <v>196</v>
      </c>
      <c r="H352" s="37" t="s">
        <v>186</v>
      </c>
      <c r="I352" s="37" t="n">
        <v>44.6</v>
      </c>
      <c r="J352" s="39" t="n">
        <v>579.99</v>
      </c>
      <c r="K352" s="37" t="s">
        <v>342</v>
      </c>
      <c r="L352" s="39" t="n">
        <v>103.36</v>
      </c>
      <c r="M352" s="39" t="n">
        <v>53.55</v>
      </c>
      <c r="N352" s="39" t="n">
        <f aca="false">J352*Resumo!$C$6</f>
        <v>0</v>
      </c>
      <c r="O352" s="39" t="n">
        <f aca="false">J352*Resumo!$C$7</f>
        <v>1.217979</v>
      </c>
      <c r="P352" s="39" t="n">
        <f aca="false">J352*Resumo!$C$8</f>
        <v>1.217979</v>
      </c>
      <c r="Q352" s="39" t="n">
        <f aca="false">Resumo!$C$10*CEILING(I352/100,1)</f>
        <v>1.05</v>
      </c>
      <c r="R352" s="39" t="n">
        <f aca="false">Resumo!$C$9</f>
        <v>0</v>
      </c>
      <c r="S352" s="39" t="n">
        <f aca="false">Resumo!$C$13</f>
        <v>13.55</v>
      </c>
      <c r="T352" s="39" t="n">
        <f aca="false">Resumo!$C$14*CEILING(I352,1)</f>
        <v>20.25</v>
      </c>
      <c r="U352" s="39" t="n">
        <f aca="false">SUM(M352:T352)*Resumo!$C$11</f>
        <v>0</v>
      </c>
      <c r="V352" s="39" t="n">
        <f aca="false">SUM(M352:U352)</f>
        <v>90.835958</v>
      </c>
      <c r="W352" s="39" t="n">
        <f aca="false">V352/(1-Resumo!$C$5)</f>
        <v>103.222679545455</v>
      </c>
      <c r="X352" s="39" t="n">
        <v>93.97</v>
      </c>
      <c r="Y352" s="39" t="n">
        <f aca="false">J352*Resumo!$B$6</f>
        <v>0.57999</v>
      </c>
      <c r="Z352" s="39" t="n">
        <f aca="false">J352*Resumo!$B$7</f>
        <v>1.15998</v>
      </c>
      <c r="AA352" s="39" t="n">
        <f aca="false">Resumo!$B$9</f>
        <v>1</v>
      </c>
      <c r="AB352" s="39" t="n">
        <f aca="false">Resumo!$B$10*CEILING(I352/100,1)</f>
        <v>4.5</v>
      </c>
      <c r="AC352" s="39" t="n">
        <f aca="false">Resumo!$B$12*CEILING(I352,1)</f>
        <v>2.7</v>
      </c>
      <c r="AD352" s="39" t="n">
        <f aca="false">Resumo!$B$14*CEILING(I352,1)</f>
        <v>20.25</v>
      </c>
      <c r="AE352" s="39" t="n">
        <f aca="false">SUM(X352:AD352)</f>
        <v>124.15997</v>
      </c>
      <c r="AF352" s="39" t="n">
        <f aca="false">AE352/(1-Resumo!$B$5)</f>
        <v>141.090875</v>
      </c>
      <c r="AG352" s="39" t="n">
        <f aca="false">AF352-W352</f>
        <v>37.8681954545455</v>
      </c>
      <c r="AH352" s="40" t="n">
        <f aca="false">AF352/W352-1</f>
        <v>0.366859256331067</v>
      </c>
      <c r="AI352" s="37" t="str">
        <f aca="false">IF(AF352&lt;W352,"SIM","NÃO")</f>
        <v>NÃO</v>
      </c>
      <c r="AJ352" s="37" t="n">
        <v>2</v>
      </c>
      <c r="AK352" s="37" t="n">
        <v>5</v>
      </c>
      <c r="AL352" s="37" t="s">
        <v>343</v>
      </c>
      <c r="AM352" s="39" t="n">
        <v>103.37</v>
      </c>
    </row>
    <row r="353" customFormat="false" ht="15" hidden="false" customHeight="false" outlineLevel="0" collapsed="false">
      <c r="A353" s="37" t="n">
        <v>367168612</v>
      </c>
      <c r="B353" s="38" t="n">
        <v>46230.8002777778</v>
      </c>
      <c r="C353" s="37" t="s">
        <v>361</v>
      </c>
      <c r="D353" s="37" t="s">
        <v>696</v>
      </c>
      <c r="E353" s="37" t="n">
        <v>23092080</v>
      </c>
      <c r="F353" s="37" t="s">
        <v>159</v>
      </c>
      <c r="G353" s="37" t="s">
        <v>196</v>
      </c>
      <c r="H353" s="37" t="s">
        <v>183</v>
      </c>
      <c r="I353" s="37" t="n">
        <v>19.5</v>
      </c>
      <c r="J353" s="39" t="n">
        <v>549.99</v>
      </c>
      <c r="K353" s="37" t="s">
        <v>518</v>
      </c>
      <c r="L353" s="39" t="n">
        <v>67.41</v>
      </c>
      <c r="M353" s="39" t="n">
        <v>33.42</v>
      </c>
      <c r="N353" s="39" t="n">
        <f aca="false">J353*Resumo!$C$6</f>
        <v>0</v>
      </c>
      <c r="O353" s="39" t="n">
        <f aca="false">J353*Resumo!$C$7</f>
        <v>1.154979</v>
      </c>
      <c r="P353" s="39" t="n">
        <f aca="false">J353*Resumo!$C$8</f>
        <v>1.154979</v>
      </c>
      <c r="Q353" s="39" t="n">
        <f aca="false">Resumo!$C$10*CEILING(I353/100,1)</f>
        <v>1.05</v>
      </c>
      <c r="R353" s="39" t="n">
        <f aca="false">Resumo!$C$9</f>
        <v>0</v>
      </c>
      <c r="S353" s="39" t="n">
        <f aca="false">Resumo!$C$13</f>
        <v>13.55</v>
      </c>
      <c r="T353" s="39" t="n">
        <f aca="false">Resumo!$C$14*CEILING(I353,1)</f>
        <v>9</v>
      </c>
      <c r="U353" s="39" t="n">
        <f aca="false">SUM(M353:T353)*Resumo!$C$11</f>
        <v>0</v>
      </c>
      <c r="V353" s="39" t="n">
        <f aca="false">SUM(M353:U353)</f>
        <v>59.329958</v>
      </c>
      <c r="W353" s="39" t="n">
        <f aca="false">V353/(1-Resumo!$C$5)</f>
        <v>67.4204068181818</v>
      </c>
      <c r="X353" s="39" t="n">
        <v>46.98</v>
      </c>
      <c r="Y353" s="39" t="n">
        <f aca="false">J353*Resumo!$B$6</f>
        <v>0.54999</v>
      </c>
      <c r="Z353" s="39" t="n">
        <f aca="false">J353*Resumo!$B$7</f>
        <v>1.09998</v>
      </c>
      <c r="AA353" s="39" t="n">
        <f aca="false">Resumo!$B$9</f>
        <v>1</v>
      </c>
      <c r="AB353" s="39" t="n">
        <f aca="false">Resumo!$B$10*CEILING(I353/100,1)</f>
        <v>4.5</v>
      </c>
      <c r="AC353" s="39" t="n">
        <f aca="false">Resumo!$B$12*CEILING(I353,1)</f>
        <v>1.2</v>
      </c>
      <c r="AD353" s="39" t="n">
        <f aca="false">Resumo!$B$14*CEILING(I353,1)</f>
        <v>9</v>
      </c>
      <c r="AE353" s="39" t="n">
        <f aca="false">SUM(X353:AD353)</f>
        <v>64.32997</v>
      </c>
      <c r="AF353" s="39" t="n">
        <f aca="false">AE353/(1-Resumo!$B$5)</f>
        <v>73.1022386363636</v>
      </c>
      <c r="AG353" s="39" t="n">
        <f aca="false">AF353-W353</f>
        <v>5.68183181818182</v>
      </c>
      <c r="AH353" s="40" t="n">
        <f aca="false">AF353/W353-1</f>
        <v>0.0842746593550598</v>
      </c>
      <c r="AI353" s="37" t="str">
        <f aca="false">IF(AF353&lt;W353,"SIM","NÃO")</f>
        <v>NÃO</v>
      </c>
      <c r="AJ353" s="37" t="n">
        <v>2</v>
      </c>
      <c r="AK353" s="37" t="n">
        <v>5</v>
      </c>
      <c r="AL353" s="37" t="s">
        <v>343</v>
      </c>
      <c r="AM353" s="39" t="n">
        <v>65.85</v>
      </c>
    </row>
    <row r="354" customFormat="false" ht="15" hidden="false" customHeight="false" outlineLevel="0" collapsed="false">
      <c r="A354" s="37" t="n">
        <v>367173178</v>
      </c>
      <c r="B354" s="38" t="n">
        <v>46230.8013888889</v>
      </c>
      <c r="C354" s="37" t="s">
        <v>340</v>
      </c>
      <c r="D354" s="37" t="s">
        <v>697</v>
      </c>
      <c r="E354" s="37" t="n">
        <v>24861008</v>
      </c>
      <c r="F354" s="37" t="s">
        <v>174</v>
      </c>
      <c r="G354" s="37" t="s">
        <v>198</v>
      </c>
      <c r="H354" s="37" t="s">
        <v>192</v>
      </c>
      <c r="I354" s="37" t="n">
        <v>124.2</v>
      </c>
      <c r="J354" s="39" t="n">
        <v>1699.99</v>
      </c>
      <c r="K354" s="37" t="s">
        <v>518</v>
      </c>
      <c r="L354" s="39" t="n">
        <v>253.73</v>
      </c>
      <c r="M354" s="39" t="n">
        <v>144.24</v>
      </c>
      <c r="N354" s="39" t="n">
        <f aca="false">J354*Resumo!$C$6</f>
        <v>0</v>
      </c>
      <c r="O354" s="39" t="n">
        <f aca="false">J354*Resumo!$C$7</f>
        <v>3.569979</v>
      </c>
      <c r="P354" s="39" t="n">
        <f aca="false">J354*Resumo!$C$8</f>
        <v>3.569979</v>
      </c>
      <c r="Q354" s="39" t="n">
        <f aca="false">Resumo!$C$10*CEILING(I354/100,1)</f>
        <v>2.1</v>
      </c>
      <c r="R354" s="39" t="n">
        <f aca="false">Resumo!$C$9</f>
        <v>0</v>
      </c>
      <c r="S354" s="39" t="n">
        <f aca="false">Resumo!$C$13</f>
        <v>13.55</v>
      </c>
      <c r="T354" s="39" t="n">
        <f aca="false">Resumo!$C$14*CEILING(I354,1)</f>
        <v>56.25</v>
      </c>
      <c r="U354" s="39" t="n">
        <f aca="false">SUM(M354:T354)*Resumo!$C$11</f>
        <v>0</v>
      </c>
      <c r="V354" s="39" t="n">
        <f aca="false">SUM(M354:U354)</f>
        <v>223.279958</v>
      </c>
      <c r="W354" s="39" t="n">
        <f aca="false">V354/(1-Resumo!$C$5)</f>
        <v>253.727225</v>
      </c>
      <c r="X354" s="39" t="n">
        <v>249.03</v>
      </c>
      <c r="Y354" s="39" t="n">
        <f aca="false">J354*Resumo!$B$6</f>
        <v>1.69999</v>
      </c>
      <c r="Z354" s="39" t="n">
        <f aca="false">J354*Resumo!$B$7</f>
        <v>3.39998</v>
      </c>
      <c r="AA354" s="39" t="n">
        <f aca="false">Resumo!$B$9</f>
        <v>1</v>
      </c>
      <c r="AB354" s="39" t="n">
        <f aca="false">Resumo!$B$10*CEILING(I354/100,1)</f>
        <v>9</v>
      </c>
      <c r="AC354" s="39" t="n">
        <f aca="false">Resumo!$B$12*CEILING(I354,1)</f>
        <v>7.5</v>
      </c>
      <c r="AD354" s="39" t="n">
        <f aca="false">Resumo!$B$14*CEILING(I354,1)</f>
        <v>56.25</v>
      </c>
      <c r="AE354" s="39" t="n">
        <f aca="false">SUM(X354:AD354)</f>
        <v>327.87997</v>
      </c>
      <c r="AF354" s="39" t="n">
        <f aca="false">AE354/(1-Resumo!$B$5)</f>
        <v>372.590875</v>
      </c>
      <c r="AG354" s="39" t="n">
        <f aca="false">AF354-W354</f>
        <v>118.86365</v>
      </c>
      <c r="AH354" s="40" t="n">
        <f aca="false">AF354/W354-1</f>
        <v>0.468470224273331</v>
      </c>
      <c r="AI354" s="37" t="str">
        <f aca="false">IF(AF354&lt;W354,"SIM","NÃO")</f>
        <v>NÃO</v>
      </c>
      <c r="AJ354" s="37" t="n">
        <v>13</v>
      </c>
      <c r="AK354" s="37" t="n">
        <v>7</v>
      </c>
      <c r="AL354" s="37" t="s">
        <v>343</v>
      </c>
      <c r="AM354" s="39" t="n">
        <v>261.44</v>
      </c>
    </row>
    <row r="355" customFormat="false" ht="15" hidden="false" customHeight="false" outlineLevel="0" collapsed="false">
      <c r="A355" s="37" t="n">
        <v>367209313</v>
      </c>
      <c r="B355" s="38" t="n">
        <v>46230.8755555556</v>
      </c>
      <c r="C355" s="37" t="s">
        <v>345</v>
      </c>
      <c r="D355" s="37" t="s">
        <v>698</v>
      </c>
      <c r="E355" s="37" t="n">
        <v>28020197</v>
      </c>
      <c r="F355" s="37" t="s">
        <v>164</v>
      </c>
      <c r="G355" s="37" t="s">
        <v>198</v>
      </c>
      <c r="H355" s="37" t="s">
        <v>188</v>
      </c>
      <c r="I355" s="37" t="n">
        <v>61.4</v>
      </c>
      <c r="J355" s="39" t="n">
        <v>1099.99</v>
      </c>
      <c r="K355" s="37" t="s">
        <v>518</v>
      </c>
      <c r="L355" s="39" t="n">
        <v>156.05</v>
      </c>
      <c r="M355" s="39" t="n">
        <v>90.2</v>
      </c>
      <c r="N355" s="39" t="n">
        <f aca="false">J355*Resumo!$C$6</f>
        <v>0</v>
      </c>
      <c r="O355" s="39" t="n">
        <f aca="false">J355*Resumo!$C$7</f>
        <v>2.309979</v>
      </c>
      <c r="P355" s="39" t="n">
        <f aca="false">J355*Resumo!$C$8</f>
        <v>2.309979</v>
      </c>
      <c r="Q355" s="39" t="n">
        <f aca="false">Resumo!$C$10*CEILING(I355/100,1)</f>
        <v>1.05</v>
      </c>
      <c r="R355" s="39" t="n">
        <f aca="false">Resumo!$C$9</f>
        <v>0</v>
      </c>
      <c r="S355" s="39" t="n">
        <f aca="false">Resumo!$C$13</f>
        <v>13.55</v>
      </c>
      <c r="T355" s="39" t="n">
        <f aca="false">Resumo!$C$14*CEILING(I355,1)</f>
        <v>27.9</v>
      </c>
      <c r="U355" s="39" t="n">
        <f aca="false">SUM(M355:T355)*Resumo!$C$11</f>
        <v>0</v>
      </c>
      <c r="V355" s="39" t="n">
        <f aca="false">SUM(M355:U355)</f>
        <v>137.319958</v>
      </c>
      <c r="W355" s="39" t="n">
        <f aca="false">V355/(1-Resumo!$C$5)</f>
        <v>156.045406818182</v>
      </c>
      <c r="X355" s="39" t="n">
        <v>171.54</v>
      </c>
      <c r="Y355" s="39" t="n">
        <f aca="false">J355*Resumo!$B$6</f>
        <v>1.09999</v>
      </c>
      <c r="Z355" s="39" t="n">
        <f aca="false">J355*Resumo!$B$7</f>
        <v>2.19998</v>
      </c>
      <c r="AA355" s="39" t="n">
        <f aca="false">Resumo!$B$9</f>
        <v>1</v>
      </c>
      <c r="AB355" s="39" t="n">
        <f aca="false">Resumo!$B$10*CEILING(I355/100,1)</f>
        <v>4.5</v>
      </c>
      <c r="AC355" s="39" t="n">
        <f aca="false">Resumo!$B$12*CEILING(I355,1)</f>
        <v>3.72</v>
      </c>
      <c r="AD355" s="39" t="n">
        <f aca="false">Resumo!$B$14*CEILING(I355,1)</f>
        <v>27.9</v>
      </c>
      <c r="AE355" s="39" t="n">
        <f aca="false">SUM(X355:AD355)</f>
        <v>211.95997</v>
      </c>
      <c r="AF355" s="39" t="n">
        <f aca="false">AE355/(1-Resumo!$B$5)</f>
        <v>240.863602272727</v>
      </c>
      <c r="AG355" s="39" t="n">
        <f aca="false">AF355-W355</f>
        <v>84.8181954545454</v>
      </c>
      <c r="AH355" s="40" t="n">
        <f aca="false">AF355/W355-1</f>
        <v>0.543548170907538</v>
      </c>
      <c r="AI355" s="37" t="str">
        <f aca="false">IF(AF355&lt;W355,"SIM","NÃO")</f>
        <v>NÃO</v>
      </c>
      <c r="AJ355" s="37" t="n">
        <v>13</v>
      </c>
      <c r="AK355" s="37" t="n">
        <v>11</v>
      </c>
      <c r="AL355" s="37" t="s">
        <v>343</v>
      </c>
      <c r="AM355" s="39" t="n">
        <v>157.29</v>
      </c>
    </row>
    <row r="356" customFormat="false" ht="15" hidden="false" customHeight="false" outlineLevel="0" collapsed="false">
      <c r="A356" s="37" t="n">
        <v>367210485</v>
      </c>
      <c r="B356" s="38" t="n">
        <v>46230.8781481482</v>
      </c>
      <c r="C356" s="37" t="s">
        <v>340</v>
      </c>
      <c r="D356" s="37" t="s">
        <v>699</v>
      </c>
      <c r="E356" s="37" t="n">
        <v>28928524</v>
      </c>
      <c r="F356" s="37" t="s">
        <v>172</v>
      </c>
      <c r="G356" s="37" t="s">
        <v>198</v>
      </c>
      <c r="H356" s="37" t="s">
        <v>188</v>
      </c>
      <c r="I356" s="37" t="n">
        <v>63</v>
      </c>
      <c r="J356" s="39" t="n">
        <v>779.99</v>
      </c>
      <c r="K356" s="37" t="s">
        <v>518</v>
      </c>
      <c r="L356" s="39" t="n">
        <v>155.03</v>
      </c>
      <c r="M356" s="39" t="n">
        <v>90.2</v>
      </c>
      <c r="N356" s="39" t="n">
        <f aca="false">J356*Resumo!$C$6</f>
        <v>0</v>
      </c>
      <c r="O356" s="39" t="n">
        <f aca="false">J356*Resumo!$C$7</f>
        <v>1.637979</v>
      </c>
      <c r="P356" s="39" t="n">
        <f aca="false">J356*Resumo!$C$8</f>
        <v>1.637979</v>
      </c>
      <c r="Q356" s="39" t="n">
        <f aca="false">Resumo!$C$10*CEILING(I356/100,1)</f>
        <v>1.05</v>
      </c>
      <c r="R356" s="39" t="n">
        <f aca="false">Resumo!$C$9</f>
        <v>0</v>
      </c>
      <c r="S356" s="39" t="n">
        <f aca="false">Resumo!$C$13</f>
        <v>13.55</v>
      </c>
      <c r="T356" s="39" t="n">
        <f aca="false">Resumo!$C$14*CEILING(I356,1)</f>
        <v>28.35</v>
      </c>
      <c r="U356" s="39" t="n">
        <f aca="false">SUM(M356:T356)*Resumo!$C$11</f>
        <v>0</v>
      </c>
      <c r="V356" s="39" t="n">
        <f aca="false">SUM(M356:U356)</f>
        <v>136.425958</v>
      </c>
      <c r="W356" s="39" t="n">
        <f aca="false">V356/(1-Resumo!$C$5)</f>
        <v>155.029497727273</v>
      </c>
      <c r="X356" s="39" t="n">
        <v>166.05</v>
      </c>
      <c r="Y356" s="39" t="n">
        <f aca="false">J356*Resumo!$B$6</f>
        <v>0.77999</v>
      </c>
      <c r="Z356" s="39" t="n">
        <f aca="false">J356*Resumo!$B$7</f>
        <v>1.55998</v>
      </c>
      <c r="AA356" s="39" t="n">
        <f aca="false">Resumo!$B$9</f>
        <v>1</v>
      </c>
      <c r="AB356" s="39" t="n">
        <f aca="false">Resumo!$B$10*CEILING(I356/100,1)</f>
        <v>4.5</v>
      </c>
      <c r="AC356" s="39" t="n">
        <f aca="false">Resumo!$B$12*CEILING(I356,1)</f>
        <v>3.78</v>
      </c>
      <c r="AD356" s="39" t="n">
        <f aca="false">Resumo!$B$14*CEILING(I356,1)</f>
        <v>28.35</v>
      </c>
      <c r="AE356" s="39" t="n">
        <f aca="false">SUM(X356:AD356)</f>
        <v>206.01997</v>
      </c>
      <c r="AF356" s="39" t="n">
        <f aca="false">AE356/(1-Resumo!$B$5)</f>
        <v>234.113602272727</v>
      </c>
      <c r="AG356" s="39" t="n">
        <f aca="false">AF356-W356</f>
        <v>79.0841045454545</v>
      </c>
      <c r="AH356" s="40" t="n">
        <f aca="false">AF356/W356-1</f>
        <v>0.510122948889243</v>
      </c>
      <c r="AI356" s="37" t="str">
        <f aca="false">IF(AF356&lt;W356,"SIM","NÃO")</f>
        <v>NÃO</v>
      </c>
      <c r="AJ356" s="37" t="n">
        <v>13</v>
      </c>
      <c r="AK356" s="37" t="n">
        <v>10</v>
      </c>
      <c r="AL356" s="37" t="s">
        <v>343</v>
      </c>
      <c r="AM356" s="39" t="n">
        <v>155.76</v>
      </c>
    </row>
    <row r="357" customFormat="false" ht="15" hidden="false" customHeight="false" outlineLevel="0" collapsed="false">
      <c r="A357" s="37" t="n">
        <v>367223218</v>
      </c>
      <c r="B357" s="38" t="n">
        <v>46230.9035648148</v>
      </c>
      <c r="C357" s="37" t="s">
        <v>340</v>
      </c>
      <c r="D357" s="37" t="s">
        <v>700</v>
      </c>
      <c r="E357" s="37" t="n">
        <v>23028210</v>
      </c>
      <c r="F357" s="37" t="s">
        <v>159</v>
      </c>
      <c r="G357" s="37" t="s">
        <v>196</v>
      </c>
      <c r="H357" s="37" t="s">
        <v>185</v>
      </c>
      <c r="I357" s="37" t="n">
        <v>35.3</v>
      </c>
      <c r="J357" s="39" t="n">
        <v>479.79</v>
      </c>
      <c r="K357" s="37" t="s">
        <v>518</v>
      </c>
      <c r="L357" s="39" t="n">
        <v>92.24</v>
      </c>
      <c r="M357" s="39" t="n">
        <v>48.35</v>
      </c>
      <c r="N357" s="39" t="n">
        <f aca="false">J357*Resumo!$C$6</f>
        <v>0</v>
      </c>
      <c r="O357" s="39" t="n">
        <f aca="false">J357*Resumo!$C$7</f>
        <v>1.007559</v>
      </c>
      <c r="P357" s="39" t="n">
        <f aca="false">J357*Resumo!$C$8</f>
        <v>1.007559</v>
      </c>
      <c r="Q357" s="39" t="n">
        <f aca="false">Resumo!$C$10*CEILING(I357/100,1)</f>
        <v>1.05</v>
      </c>
      <c r="R357" s="39" t="n">
        <f aca="false">Resumo!$C$9</f>
        <v>0</v>
      </c>
      <c r="S357" s="39" t="n">
        <f aca="false">Resumo!$C$13</f>
        <v>13.55</v>
      </c>
      <c r="T357" s="39" t="n">
        <f aca="false">Resumo!$C$14*CEILING(I357,1)</f>
        <v>16.2</v>
      </c>
      <c r="U357" s="39" t="n">
        <f aca="false">SUM(M357:T357)*Resumo!$C$11</f>
        <v>0</v>
      </c>
      <c r="V357" s="39" t="n">
        <f aca="false">SUM(M357:U357)</f>
        <v>81.165118</v>
      </c>
      <c r="W357" s="39" t="n">
        <f aca="false">V357/(1-Resumo!$C$5)</f>
        <v>92.2330886363637</v>
      </c>
      <c r="X357" s="39" t="n">
        <v>93.97</v>
      </c>
      <c r="Y357" s="39" t="n">
        <f aca="false">J357*Resumo!$B$6</f>
        <v>0.47979</v>
      </c>
      <c r="Z357" s="39" t="n">
        <f aca="false">J357*Resumo!$B$7</f>
        <v>0.95958</v>
      </c>
      <c r="AA357" s="39" t="n">
        <f aca="false">Resumo!$B$9</f>
        <v>1</v>
      </c>
      <c r="AB357" s="39" t="n">
        <f aca="false">Resumo!$B$10*CEILING(I357/100,1)</f>
        <v>4.5</v>
      </c>
      <c r="AC357" s="39" t="n">
        <f aca="false">Resumo!$B$12*CEILING(I357,1)</f>
        <v>2.16</v>
      </c>
      <c r="AD357" s="39" t="n">
        <f aca="false">Resumo!$B$14*CEILING(I357,1)</f>
        <v>16.2</v>
      </c>
      <c r="AE357" s="39" t="n">
        <f aca="false">SUM(X357:AD357)</f>
        <v>119.26937</v>
      </c>
      <c r="AF357" s="39" t="n">
        <f aca="false">AE357/(1-Resumo!$B$5)</f>
        <v>135.533375</v>
      </c>
      <c r="AG357" s="39" t="n">
        <f aca="false">AF357-W357</f>
        <v>43.3002863636364</v>
      </c>
      <c r="AH357" s="40" t="n">
        <f aca="false">AF357/W357-1</f>
        <v>0.469465860937946</v>
      </c>
      <c r="AI357" s="37" t="str">
        <f aca="false">IF(AF357&lt;W357,"SIM","NÃO")</f>
        <v>NÃO</v>
      </c>
      <c r="AJ357" s="37" t="n">
        <v>2</v>
      </c>
      <c r="AK357" s="37" t="n">
        <v>5</v>
      </c>
      <c r="AL357" s="37" t="s">
        <v>343</v>
      </c>
      <c r="AM357" s="39" t="n">
        <v>92.16</v>
      </c>
    </row>
    <row r="358" customFormat="false" ht="15" hidden="false" customHeight="false" outlineLevel="0" collapsed="false">
      <c r="A358" s="37" t="n">
        <v>367237101</v>
      </c>
      <c r="B358" s="38" t="n">
        <v>46230.9363541667</v>
      </c>
      <c r="C358" s="37" t="s">
        <v>361</v>
      </c>
      <c r="D358" s="37" t="s">
        <v>701</v>
      </c>
      <c r="E358" s="37" t="n">
        <v>26155040</v>
      </c>
      <c r="F358" s="37" t="s">
        <v>165</v>
      </c>
      <c r="G358" s="37" t="s">
        <v>197</v>
      </c>
      <c r="H358" s="37" t="s">
        <v>192</v>
      </c>
      <c r="I358" s="37" t="n">
        <v>148.7</v>
      </c>
      <c r="J358" s="39" t="n">
        <v>1699.99</v>
      </c>
      <c r="K358" s="37" t="s">
        <v>518</v>
      </c>
      <c r="L358" s="39" t="n">
        <v>249.39</v>
      </c>
      <c r="M358" s="39" t="n">
        <v>129.62</v>
      </c>
      <c r="N358" s="39" t="n">
        <f aca="false">J358*Resumo!$C$6</f>
        <v>0</v>
      </c>
      <c r="O358" s="39" t="n">
        <f aca="false">J358*Resumo!$C$7</f>
        <v>3.569979</v>
      </c>
      <c r="P358" s="39" t="n">
        <f aca="false">J358*Resumo!$C$8</f>
        <v>3.569979</v>
      </c>
      <c r="Q358" s="39" t="n">
        <f aca="false">Resumo!$C$10*CEILING(I358/100,1)</f>
        <v>2.1</v>
      </c>
      <c r="R358" s="39" t="n">
        <f aca="false">Resumo!$C$9</f>
        <v>0</v>
      </c>
      <c r="S358" s="39" t="n">
        <f aca="false">Resumo!$C$13</f>
        <v>13.55</v>
      </c>
      <c r="T358" s="39" t="n">
        <f aca="false">Resumo!$C$14*CEILING(I358,1)</f>
        <v>67.05</v>
      </c>
      <c r="U358" s="39" t="n">
        <f aca="false">SUM(M358:T358)*Resumo!$C$11</f>
        <v>0</v>
      </c>
      <c r="V358" s="39" t="n">
        <f aca="false">SUM(M358:U358)</f>
        <v>219.459958</v>
      </c>
      <c r="W358" s="39" t="n">
        <f aca="false">V358/(1-Resumo!$C$5)</f>
        <v>249.386315909091</v>
      </c>
      <c r="X358" s="39" t="n">
        <v>239.25</v>
      </c>
      <c r="Y358" s="39" t="n">
        <f aca="false">J358*Resumo!$B$6</f>
        <v>1.69999</v>
      </c>
      <c r="Z358" s="39" t="n">
        <f aca="false">J358*Resumo!$B$7</f>
        <v>3.39998</v>
      </c>
      <c r="AA358" s="39" t="n">
        <f aca="false">Resumo!$B$9</f>
        <v>1</v>
      </c>
      <c r="AB358" s="39" t="n">
        <f aca="false">Resumo!$B$10*CEILING(I358/100,1)</f>
        <v>9</v>
      </c>
      <c r="AC358" s="39" t="n">
        <f aca="false">Resumo!$B$12*CEILING(I358,1)</f>
        <v>8.94</v>
      </c>
      <c r="AD358" s="39" t="n">
        <f aca="false">Resumo!$B$14*CEILING(I358,1)</f>
        <v>67.05</v>
      </c>
      <c r="AE358" s="39" t="n">
        <f aca="false">SUM(X358:AD358)</f>
        <v>330.33997</v>
      </c>
      <c r="AF358" s="39" t="n">
        <f aca="false">AE358/(1-Resumo!$B$5)</f>
        <v>375.386329545455</v>
      </c>
      <c r="AG358" s="39" t="n">
        <f aca="false">AF358-W358</f>
        <v>126.000013636364</v>
      </c>
      <c r="AH358" s="40" t="n">
        <f aca="false">AF358/W358-1</f>
        <v>0.505240286248483</v>
      </c>
      <c r="AI358" s="37" t="str">
        <f aca="false">IF(AF358&lt;W358,"SIM","NÃO")</f>
        <v>NÃO</v>
      </c>
      <c r="AJ358" s="37" t="n">
        <v>2</v>
      </c>
      <c r="AK358" s="37" t="n">
        <v>5</v>
      </c>
      <c r="AL358" s="37" t="s">
        <v>343</v>
      </c>
      <c r="AM358" s="39" t="n">
        <v>244.75</v>
      </c>
    </row>
    <row r="359" customFormat="false" ht="15" hidden="false" customHeight="false" outlineLevel="0" collapsed="false">
      <c r="A359" s="37" t="n">
        <v>367261347</v>
      </c>
      <c r="B359" s="38" t="n">
        <v>46230.989525463</v>
      </c>
      <c r="C359" s="37" t="s">
        <v>340</v>
      </c>
      <c r="D359" s="37" t="s">
        <v>702</v>
      </c>
      <c r="E359" s="37" t="n">
        <v>21830360</v>
      </c>
      <c r="F359" s="37" t="s">
        <v>159</v>
      </c>
      <c r="G359" s="37" t="s">
        <v>196</v>
      </c>
      <c r="H359" s="37" t="s">
        <v>185</v>
      </c>
      <c r="I359" s="37" t="n">
        <v>37.2</v>
      </c>
      <c r="J359" s="39" t="n">
        <v>399.99</v>
      </c>
      <c r="K359" s="37" t="s">
        <v>342</v>
      </c>
      <c r="L359" s="39" t="n">
        <v>91.77</v>
      </c>
      <c r="M359" s="39" t="n">
        <v>48.35</v>
      </c>
      <c r="N359" s="39" t="n">
        <f aca="false">J359*Resumo!$C$6</f>
        <v>0</v>
      </c>
      <c r="O359" s="39" t="n">
        <f aca="false">J359*Resumo!$C$7</f>
        <v>0.839979</v>
      </c>
      <c r="P359" s="39" t="n">
        <f aca="false">J359*Resumo!$C$8</f>
        <v>0.839979</v>
      </c>
      <c r="Q359" s="39" t="n">
        <f aca="false">Resumo!$C$10*CEILING(I359/100,1)</f>
        <v>1.05</v>
      </c>
      <c r="R359" s="39" t="n">
        <f aca="false">Resumo!$C$9</f>
        <v>0</v>
      </c>
      <c r="S359" s="39" t="n">
        <f aca="false">Resumo!$C$13</f>
        <v>13.55</v>
      </c>
      <c r="T359" s="39" t="n">
        <f aca="false">Resumo!$C$14*CEILING(I359,1)</f>
        <v>17.1</v>
      </c>
      <c r="U359" s="39" t="n">
        <f aca="false">SUM(M359:T359)*Resumo!$C$11</f>
        <v>0</v>
      </c>
      <c r="V359" s="39" t="n">
        <f aca="false">SUM(M359:U359)</f>
        <v>81.729958</v>
      </c>
      <c r="W359" s="39" t="n">
        <f aca="false">V359/(1-Resumo!$C$5)</f>
        <v>92.8749522727273</v>
      </c>
      <c r="X359" s="39" t="n">
        <v>93.97</v>
      </c>
      <c r="Y359" s="39" t="n">
        <f aca="false">J359*Resumo!$B$6</f>
        <v>0.39999</v>
      </c>
      <c r="Z359" s="39" t="n">
        <f aca="false">J359*Resumo!$B$7</f>
        <v>0.79998</v>
      </c>
      <c r="AA359" s="39" t="n">
        <f aca="false">Resumo!$B$9</f>
        <v>1</v>
      </c>
      <c r="AB359" s="39" t="n">
        <f aca="false">Resumo!$B$10*CEILING(I359/100,1)</f>
        <v>4.5</v>
      </c>
      <c r="AC359" s="39" t="n">
        <f aca="false">Resumo!$B$12*CEILING(I359,1)</f>
        <v>2.28</v>
      </c>
      <c r="AD359" s="39" t="n">
        <f aca="false">Resumo!$B$14*CEILING(I359,1)</f>
        <v>17.1</v>
      </c>
      <c r="AE359" s="39" t="n">
        <f aca="false">SUM(X359:AD359)</f>
        <v>120.04997</v>
      </c>
      <c r="AF359" s="39" t="n">
        <f aca="false">AE359/(1-Resumo!$B$5)</f>
        <v>136.420420454545</v>
      </c>
      <c r="AG359" s="39" t="n">
        <f aca="false">AF359-W359</f>
        <v>43.5454681818182</v>
      </c>
      <c r="AH359" s="40" t="n">
        <f aca="false">AF359/W359-1</f>
        <v>0.468861271163262</v>
      </c>
      <c r="AI359" s="37" t="str">
        <f aca="false">IF(AF359&lt;W359,"SIM","NÃO")</f>
        <v>NÃO</v>
      </c>
      <c r="AJ359" s="37" t="n">
        <v>2</v>
      </c>
      <c r="AK359" s="37" t="n">
        <v>5</v>
      </c>
      <c r="AL359" s="37" t="s">
        <v>343</v>
      </c>
      <c r="AM359" s="39" t="n">
        <v>91.77</v>
      </c>
    </row>
    <row r="360" customFormat="false" ht="15" hidden="false" customHeight="false" outlineLevel="0" collapsed="false">
      <c r="A360" s="37" t="n">
        <v>367376901</v>
      </c>
      <c r="B360" s="38" t="n">
        <v>46231.3741087963</v>
      </c>
      <c r="C360" s="37" t="s">
        <v>340</v>
      </c>
      <c r="D360" s="37" t="s">
        <v>703</v>
      </c>
      <c r="E360" s="37" t="n">
        <v>21775370</v>
      </c>
      <c r="F360" s="37" t="s">
        <v>159</v>
      </c>
      <c r="G360" s="37" t="s">
        <v>196</v>
      </c>
      <c r="H360" s="37" t="s">
        <v>187</v>
      </c>
      <c r="I360" s="37" t="n">
        <v>52.3</v>
      </c>
      <c r="J360" s="39" t="n">
        <v>699.99</v>
      </c>
      <c r="K360" s="37" t="s">
        <v>518</v>
      </c>
      <c r="L360" s="39" t="n">
        <v>113.63</v>
      </c>
      <c r="M360" s="39" t="n">
        <v>58.6</v>
      </c>
      <c r="N360" s="39" t="n">
        <f aca="false">J360*Resumo!$C$6</f>
        <v>0</v>
      </c>
      <c r="O360" s="39" t="n">
        <f aca="false">J360*Resumo!$C$7</f>
        <v>1.469979</v>
      </c>
      <c r="P360" s="39" t="n">
        <f aca="false">J360*Resumo!$C$8</f>
        <v>1.469979</v>
      </c>
      <c r="Q360" s="39" t="n">
        <f aca="false">Resumo!$C$10*CEILING(I360/100,1)</f>
        <v>1.05</v>
      </c>
      <c r="R360" s="39" t="n">
        <f aca="false">Resumo!$C$9</f>
        <v>0</v>
      </c>
      <c r="S360" s="39" t="n">
        <f aca="false">Resumo!$C$13</f>
        <v>13.55</v>
      </c>
      <c r="T360" s="39" t="n">
        <f aca="false">Resumo!$C$14*CEILING(I360,1)</f>
        <v>23.85</v>
      </c>
      <c r="U360" s="39" t="n">
        <f aca="false">SUM(M360:T360)*Resumo!$C$11</f>
        <v>0</v>
      </c>
      <c r="V360" s="39" t="n">
        <f aca="false">SUM(M360:U360)</f>
        <v>99.989958</v>
      </c>
      <c r="W360" s="39" t="n">
        <f aca="false">V360/(1-Resumo!$C$5)</f>
        <v>113.624952272727</v>
      </c>
      <c r="X360" s="39" t="n">
        <v>112.3</v>
      </c>
      <c r="Y360" s="39" t="n">
        <f aca="false">J360*Resumo!$B$6</f>
        <v>0.69999</v>
      </c>
      <c r="Z360" s="39" t="n">
        <f aca="false">J360*Resumo!$B$7</f>
        <v>1.39998</v>
      </c>
      <c r="AA360" s="39" t="n">
        <f aca="false">Resumo!$B$9</f>
        <v>1</v>
      </c>
      <c r="AB360" s="39" t="n">
        <f aca="false">Resumo!$B$10*CEILING(I360/100,1)</f>
        <v>4.5</v>
      </c>
      <c r="AC360" s="39" t="n">
        <f aca="false">Resumo!$B$12*CEILING(I360,1)</f>
        <v>3.18</v>
      </c>
      <c r="AD360" s="39" t="n">
        <f aca="false">Resumo!$B$14*CEILING(I360,1)</f>
        <v>23.85</v>
      </c>
      <c r="AE360" s="39" t="n">
        <f aca="false">SUM(X360:AD360)</f>
        <v>146.92997</v>
      </c>
      <c r="AF360" s="39" t="n">
        <f aca="false">AE360/(1-Resumo!$B$5)</f>
        <v>166.965875</v>
      </c>
      <c r="AG360" s="39" t="n">
        <f aca="false">AF360-W360</f>
        <v>53.3409227272727</v>
      </c>
      <c r="AH360" s="40" t="n">
        <f aca="false">AF360/W360-1</f>
        <v>0.469447261894039</v>
      </c>
      <c r="AI360" s="37" t="str">
        <f aca="false">IF(AF360&lt;W360,"SIM","NÃO")</f>
        <v>NÃO</v>
      </c>
      <c r="AJ360" s="37" t="n">
        <v>2</v>
      </c>
      <c r="AK360" s="37" t="n">
        <v>5</v>
      </c>
      <c r="AL360" s="37" t="s">
        <v>343</v>
      </c>
      <c r="AM360" s="39" t="n">
        <v>114.5</v>
      </c>
    </row>
    <row r="361" customFormat="false" ht="15" hidden="false" customHeight="false" outlineLevel="0" collapsed="false">
      <c r="A361" s="37" t="n">
        <v>367410133</v>
      </c>
      <c r="B361" s="38" t="n">
        <v>46231.4362615741</v>
      </c>
      <c r="C361" s="37" t="s">
        <v>345</v>
      </c>
      <c r="D361" s="37" t="s">
        <v>704</v>
      </c>
      <c r="E361" s="37" t="n">
        <v>25065210</v>
      </c>
      <c r="F361" s="37" t="s">
        <v>161</v>
      </c>
      <c r="G361" s="37" t="s">
        <v>197</v>
      </c>
      <c r="H361" s="37" t="s">
        <v>186</v>
      </c>
      <c r="I361" s="37" t="n">
        <v>48.6</v>
      </c>
      <c r="J361" s="39" t="n">
        <v>575.6</v>
      </c>
      <c r="K361" s="37" t="s">
        <v>342</v>
      </c>
      <c r="L361" s="39" t="n">
        <v>116.83</v>
      </c>
      <c r="M361" s="39" t="n">
        <v>65.36</v>
      </c>
      <c r="N361" s="39" t="n">
        <f aca="false">J361*Resumo!$C$6</f>
        <v>0</v>
      </c>
      <c r="O361" s="39" t="n">
        <f aca="false">J361*Resumo!$C$7</f>
        <v>1.20876</v>
      </c>
      <c r="P361" s="39" t="n">
        <f aca="false">J361*Resumo!$C$8</f>
        <v>1.20876</v>
      </c>
      <c r="Q361" s="39" t="n">
        <f aca="false">Resumo!$C$10*CEILING(I361/100,1)</f>
        <v>1.05</v>
      </c>
      <c r="R361" s="39" t="n">
        <f aca="false">Resumo!$C$9</f>
        <v>0</v>
      </c>
      <c r="S361" s="39" t="n">
        <f aca="false">Resumo!$C$13</f>
        <v>13.55</v>
      </c>
      <c r="T361" s="39" t="n">
        <f aca="false">Resumo!$C$14*CEILING(I361,1)</f>
        <v>22.05</v>
      </c>
      <c r="U361" s="39" t="n">
        <f aca="false">SUM(M361:T361)*Resumo!$C$11</f>
        <v>0</v>
      </c>
      <c r="V361" s="39" t="n">
        <f aca="false">SUM(M361:U361)</f>
        <v>104.42752</v>
      </c>
      <c r="W361" s="39" t="n">
        <f aca="false">V361/(1-Resumo!$C$5)</f>
        <v>118.667636363636</v>
      </c>
      <c r="X361" s="39" t="n">
        <v>93.97</v>
      </c>
      <c r="Y361" s="39" t="n">
        <f aca="false">J361*Resumo!$B$6</f>
        <v>0.5756</v>
      </c>
      <c r="Z361" s="39" t="n">
        <f aca="false">J361*Resumo!$B$7</f>
        <v>1.1512</v>
      </c>
      <c r="AA361" s="39" t="n">
        <f aca="false">Resumo!$B$9</f>
        <v>1</v>
      </c>
      <c r="AB361" s="39" t="n">
        <f aca="false">Resumo!$B$10*CEILING(I361/100,1)</f>
        <v>4.5</v>
      </c>
      <c r="AC361" s="39" t="n">
        <f aca="false">Resumo!$B$12*CEILING(I361,1)</f>
        <v>2.94</v>
      </c>
      <c r="AD361" s="39" t="n">
        <f aca="false">Resumo!$B$14*CEILING(I361,1)</f>
        <v>22.05</v>
      </c>
      <c r="AE361" s="39" t="n">
        <f aca="false">SUM(X361:AD361)</f>
        <v>126.1868</v>
      </c>
      <c r="AF361" s="39" t="n">
        <f aca="false">AE361/(1-Resumo!$B$5)</f>
        <v>143.394090909091</v>
      </c>
      <c r="AG361" s="39" t="n">
        <f aca="false">AF361-W361</f>
        <v>24.7264545454545</v>
      </c>
      <c r="AH361" s="40" t="n">
        <f aca="false">AF361/W361-1</f>
        <v>0.208367296283585</v>
      </c>
      <c r="AI361" s="37" t="str">
        <f aca="false">IF(AF361&lt;W361,"SIM","NÃO")</f>
        <v>NÃO</v>
      </c>
      <c r="AJ361" s="37" t="n">
        <v>2</v>
      </c>
      <c r="AK361" s="37" t="n">
        <v>5</v>
      </c>
      <c r="AL361" s="37" t="s">
        <v>343</v>
      </c>
      <c r="AM361" s="39" t="n">
        <v>116.83</v>
      </c>
    </row>
    <row r="362" customFormat="false" ht="15" hidden="false" customHeight="false" outlineLevel="0" collapsed="false">
      <c r="A362" s="37" t="n">
        <v>367416594</v>
      </c>
      <c r="B362" s="38" t="n">
        <v>46231.4486805556</v>
      </c>
      <c r="C362" s="37" t="s">
        <v>379</v>
      </c>
      <c r="D362" s="37" t="s">
        <v>705</v>
      </c>
      <c r="E362" s="37" t="n">
        <v>22775045</v>
      </c>
      <c r="F362" s="37" t="s">
        <v>159</v>
      </c>
      <c r="G362" s="37" t="s">
        <v>196</v>
      </c>
      <c r="H362" s="37" t="s">
        <v>183</v>
      </c>
      <c r="I362" s="37" t="n">
        <v>17.2</v>
      </c>
      <c r="J362" s="39" t="n">
        <v>243.58</v>
      </c>
      <c r="K362" s="37" t="s">
        <v>342</v>
      </c>
      <c r="L362" s="39" t="n">
        <v>64.39</v>
      </c>
      <c r="M362" s="39" t="n">
        <v>33.42</v>
      </c>
      <c r="N362" s="39" t="n">
        <f aca="false">J362*Resumo!$C$6</f>
        <v>0</v>
      </c>
      <c r="O362" s="39" t="n">
        <f aca="false">J362*Resumo!$C$7</f>
        <v>0.511518</v>
      </c>
      <c r="P362" s="39" t="n">
        <f aca="false">J362*Resumo!$C$8</f>
        <v>0.511518</v>
      </c>
      <c r="Q362" s="39" t="n">
        <f aca="false">Resumo!$C$10*CEILING(I362/100,1)</f>
        <v>1.05</v>
      </c>
      <c r="R362" s="39" t="n">
        <f aca="false">Resumo!$C$9</f>
        <v>0</v>
      </c>
      <c r="S362" s="39" t="n">
        <f aca="false">Resumo!$C$13</f>
        <v>13.55</v>
      </c>
      <c r="T362" s="39" t="n">
        <f aca="false">Resumo!$C$14*CEILING(I362,1)</f>
        <v>8.1</v>
      </c>
      <c r="U362" s="39" t="n">
        <f aca="false">SUM(M362:T362)*Resumo!$C$11</f>
        <v>0</v>
      </c>
      <c r="V362" s="39" t="n">
        <f aca="false">SUM(M362:U362)</f>
        <v>57.143036</v>
      </c>
      <c r="W362" s="39" t="n">
        <f aca="false">V362/(1-Resumo!$C$5)</f>
        <v>64.9352681818182</v>
      </c>
      <c r="X362" s="39" t="n">
        <v>46.98</v>
      </c>
      <c r="Y362" s="39" t="n">
        <f aca="false">J362*Resumo!$B$6</f>
        <v>0.24358</v>
      </c>
      <c r="Z362" s="39" t="n">
        <f aca="false">J362*Resumo!$B$7</f>
        <v>0.48716</v>
      </c>
      <c r="AA362" s="39" t="n">
        <f aca="false">Resumo!$B$9</f>
        <v>1</v>
      </c>
      <c r="AB362" s="39" t="n">
        <f aca="false">Resumo!$B$10*CEILING(I362/100,1)</f>
        <v>4.5</v>
      </c>
      <c r="AC362" s="39" t="n">
        <f aca="false">Resumo!$B$12*CEILING(I362,1)</f>
        <v>1.08</v>
      </c>
      <c r="AD362" s="39" t="n">
        <f aca="false">Resumo!$B$14*CEILING(I362,1)</f>
        <v>8.1</v>
      </c>
      <c r="AE362" s="39" t="n">
        <f aca="false">SUM(X362:AD362)</f>
        <v>62.39074</v>
      </c>
      <c r="AF362" s="39" t="n">
        <f aca="false">AE362/(1-Resumo!$B$5)</f>
        <v>70.8985681818182</v>
      </c>
      <c r="AG362" s="39" t="n">
        <f aca="false">AF362-W362</f>
        <v>5.96329999999999</v>
      </c>
      <c r="AH362" s="40" t="n">
        <f aca="false">AF362/W362-1</f>
        <v>0.0918345325579129</v>
      </c>
      <c r="AI362" s="37" t="str">
        <f aca="false">IF(AF362&lt;W362,"SIM","NÃO")</f>
        <v>NÃO</v>
      </c>
      <c r="AJ362" s="37" t="n">
        <v>2</v>
      </c>
      <c r="AK362" s="37" t="n">
        <v>5</v>
      </c>
      <c r="AL362" s="37" t="s">
        <v>343</v>
      </c>
      <c r="AM362" s="39" t="n">
        <v>64.38</v>
      </c>
    </row>
    <row r="363" customFormat="false" ht="15" hidden="false" customHeight="false" outlineLevel="0" collapsed="false">
      <c r="A363" s="37" t="n">
        <v>367430239</v>
      </c>
      <c r="B363" s="38" t="n">
        <v>46231.4730555556</v>
      </c>
      <c r="C363" s="37" t="s">
        <v>345</v>
      </c>
      <c r="D363" s="37" t="s">
        <v>706</v>
      </c>
      <c r="E363" s="37" t="n">
        <v>26291368</v>
      </c>
      <c r="F363" s="37" t="s">
        <v>162</v>
      </c>
      <c r="G363" s="37" t="s">
        <v>197</v>
      </c>
      <c r="H363" s="37" t="s">
        <v>192</v>
      </c>
      <c r="I363" s="37" t="n">
        <v>124.2</v>
      </c>
      <c r="J363" s="39" t="n">
        <v>1799.99</v>
      </c>
      <c r="K363" s="37" t="s">
        <v>342</v>
      </c>
      <c r="L363" s="39" t="n">
        <v>245.23</v>
      </c>
      <c r="M363" s="39" t="n">
        <v>129.62</v>
      </c>
      <c r="N363" s="39" t="n">
        <f aca="false">J363*Resumo!$C$6</f>
        <v>0</v>
      </c>
      <c r="O363" s="39" t="n">
        <f aca="false">J363*Resumo!$C$7</f>
        <v>3.779979</v>
      </c>
      <c r="P363" s="39" t="n">
        <f aca="false">J363*Resumo!$C$8</f>
        <v>3.779979</v>
      </c>
      <c r="Q363" s="39" t="n">
        <f aca="false">Resumo!$C$10*CEILING(I363/100,1)</f>
        <v>2.1</v>
      </c>
      <c r="R363" s="39" t="n">
        <f aca="false">Resumo!$C$9</f>
        <v>0</v>
      </c>
      <c r="S363" s="39" t="n">
        <f aca="false">Resumo!$C$13</f>
        <v>13.55</v>
      </c>
      <c r="T363" s="39" t="n">
        <f aca="false">Resumo!$C$14*CEILING(I363,1)</f>
        <v>56.25</v>
      </c>
      <c r="U363" s="39" t="n">
        <f aca="false">SUM(M363:T363)*Resumo!$C$11</f>
        <v>0</v>
      </c>
      <c r="V363" s="39" t="n">
        <f aca="false">SUM(M363:U363)</f>
        <v>209.079958</v>
      </c>
      <c r="W363" s="39" t="n">
        <f aca="false">V363/(1-Resumo!$C$5)</f>
        <v>237.590861363636</v>
      </c>
      <c r="X363" s="39" t="n">
        <v>239.25</v>
      </c>
      <c r="Y363" s="39" t="n">
        <f aca="false">J363*Resumo!$B$6</f>
        <v>1.79999</v>
      </c>
      <c r="Z363" s="39" t="n">
        <f aca="false">J363*Resumo!$B$7</f>
        <v>3.59998</v>
      </c>
      <c r="AA363" s="39" t="n">
        <f aca="false">Resumo!$B$9</f>
        <v>1</v>
      </c>
      <c r="AB363" s="39" t="n">
        <f aca="false">Resumo!$B$10*CEILING(I363/100,1)</f>
        <v>9</v>
      </c>
      <c r="AC363" s="39" t="n">
        <f aca="false">Resumo!$B$12*CEILING(I363,1)</f>
        <v>7.5</v>
      </c>
      <c r="AD363" s="39" t="n">
        <f aca="false">Resumo!$B$14*CEILING(I363,1)</f>
        <v>56.25</v>
      </c>
      <c r="AE363" s="39" t="n">
        <f aca="false">SUM(X363:AD363)</f>
        <v>318.39997</v>
      </c>
      <c r="AF363" s="39" t="n">
        <f aca="false">AE363/(1-Resumo!$B$5)</f>
        <v>361.818147727273</v>
      </c>
      <c r="AG363" s="39" t="n">
        <f aca="false">AF363-W363</f>
        <v>124.227286363636</v>
      </c>
      <c r="AH363" s="40" t="n">
        <f aca="false">AF363/W363-1</f>
        <v>0.522862224795358</v>
      </c>
      <c r="AI363" s="37" t="str">
        <f aca="false">IF(AF363&lt;W363,"SIM","NÃO")</f>
        <v>NÃO</v>
      </c>
      <c r="AJ363" s="37" t="n">
        <v>2</v>
      </c>
      <c r="AK363" s="37" t="n">
        <v>5</v>
      </c>
      <c r="AL363" s="37" t="s">
        <v>343</v>
      </c>
      <c r="AM363" s="39" t="n">
        <v>245.23</v>
      </c>
    </row>
    <row r="364" customFormat="false" ht="15" hidden="false" customHeight="false" outlineLevel="0" collapsed="false">
      <c r="A364" s="37" t="n">
        <v>367446783</v>
      </c>
      <c r="B364" s="38" t="n">
        <v>46231.4821990741</v>
      </c>
      <c r="C364" s="37" t="s">
        <v>537</v>
      </c>
      <c r="D364" s="37" t="s">
        <v>707</v>
      </c>
      <c r="E364" s="37" t="n">
        <v>20920410</v>
      </c>
      <c r="F364" s="37" t="s">
        <v>159</v>
      </c>
      <c r="G364" s="37" t="s">
        <v>196</v>
      </c>
      <c r="H364" s="37" t="s">
        <v>185</v>
      </c>
      <c r="I364" s="37" t="n">
        <v>40</v>
      </c>
      <c r="J364" s="39" t="n">
        <v>509.6</v>
      </c>
      <c r="K364" s="37" t="s">
        <v>342</v>
      </c>
      <c r="L364" s="39" t="n">
        <v>92.3</v>
      </c>
      <c r="M364" s="39" t="n">
        <v>48.35</v>
      </c>
      <c r="N364" s="39" t="n">
        <f aca="false">J364*Resumo!$C$6</f>
        <v>0</v>
      </c>
      <c r="O364" s="39" t="n">
        <f aca="false">J364*Resumo!$C$7</f>
        <v>1.07016</v>
      </c>
      <c r="P364" s="39" t="n">
        <f aca="false">J364*Resumo!$C$8</f>
        <v>1.07016</v>
      </c>
      <c r="Q364" s="39" t="n">
        <f aca="false">Resumo!$C$10*CEILING(I364/100,1)</f>
        <v>1.05</v>
      </c>
      <c r="R364" s="39" t="n">
        <f aca="false">Resumo!$C$9</f>
        <v>0</v>
      </c>
      <c r="S364" s="39" t="n">
        <f aca="false">Resumo!$C$13</f>
        <v>13.55</v>
      </c>
      <c r="T364" s="39" t="n">
        <f aca="false">Resumo!$C$14*CEILING(I364,1)</f>
        <v>18</v>
      </c>
      <c r="U364" s="39" t="n">
        <f aca="false">SUM(M364:T364)*Resumo!$C$11</f>
        <v>0</v>
      </c>
      <c r="V364" s="39" t="n">
        <f aca="false">SUM(M364:U364)</f>
        <v>83.09032</v>
      </c>
      <c r="W364" s="39" t="n">
        <f aca="false">V364/(1-Resumo!$C$5)</f>
        <v>94.4208181818182</v>
      </c>
      <c r="X364" s="39" t="n">
        <v>93.97</v>
      </c>
      <c r="Y364" s="39" t="n">
        <f aca="false">J364*Resumo!$B$6</f>
        <v>0.5096</v>
      </c>
      <c r="Z364" s="39" t="n">
        <f aca="false">J364*Resumo!$B$7</f>
        <v>1.0192</v>
      </c>
      <c r="AA364" s="39" t="n">
        <f aca="false">Resumo!$B$9</f>
        <v>1</v>
      </c>
      <c r="AB364" s="39" t="n">
        <f aca="false">Resumo!$B$10*CEILING(I364/100,1)</f>
        <v>4.5</v>
      </c>
      <c r="AC364" s="39" t="n">
        <f aca="false">Resumo!$B$12*CEILING(I364,1)</f>
        <v>2.4</v>
      </c>
      <c r="AD364" s="39" t="n">
        <f aca="false">Resumo!$B$14*CEILING(I364,1)</f>
        <v>18</v>
      </c>
      <c r="AE364" s="39" t="n">
        <f aca="false">SUM(X364:AD364)</f>
        <v>121.3988</v>
      </c>
      <c r="AF364" s="39" t="n">
        <f aca="false">AE364/(1-Resumo!$B$5)</f>
        <v>137.953181818182</v>
      </c>
      <c r="AG364" s="39" t="n">
        <f aca="false">AF364-W364</f>
        <v>43.5323636363636</v>
      </c>
      <c r="AH364" s="40" t="n">
        <f aca="false">AF364/W364-1</f>
        <v>0.461046244616701</v>
      </c>
      <c r="AI364" s="37" t="str">
        <f aca="false">IF(AF364&lt;W364,"SIM","NÃO")</f>
        <v>NÃO</v>
      </c>
      <c r="AJ364" s="37" t="n">
        <v>2</v>
      </c>
      <c r="AK364" s="37" t="n">
        <v>5</v>
      </c>
      <c r="AL364" s="37" t="s">
        <v>343</v>
      </c>
      <c r="AM364" s="39" t="n">
        <v>92.3</v>
      </c>
    </row>
    <row r="365" customFormat="false" ht="15" hidden="false" customHeight="false" outlineLevel="0" collapsed="false">
      <c r="A365" s="37" t="n">
        <v>367480619</v>
      </c>
      <c r="B365" s="38" t="n">
        <v>46231.5685648148</v>
      </c>
      <c r="C365" s="37" t="s">
        <v>340</v>
      </c>
      <c r="D365" s="37" t="s">
        <v>708</v>
      </c>
      <c r="E365" s="37" t="n">
        <v>26554220</v>
      </c>
      <c r="F365" s="37" t="s">
        <v>175</v>
      </c>
      <c r="G365" s="37" t="s">
        <v>197</v>
      </c>
      <c r="H365" s="37" t="s">
        <v>185</v>
      </c>
      <c r="I365" s="37" t="n">
        <v>39.6</v>
      </c>
      <c r="J365" s="39" t="n">
        <v>739.98</v>
      </c>
      <c r="K365" s="37" t="s">
        <v>518</v>
      </c>
      <c r="L365" s="39" t="n">
        <v>116.51</v>
      </c>
      <c r="M365" s="39" t="n">
        <v>66.83</v>
      </c>
      <c r="N365" s="39" t="n">
        <f aca="false">J365*Resumo!$C$6</f>
        <v>0</v>
      </c>
      <c r="O365" s="39" t="n">
        <f aca="false">J365*Resumo!$C$7</f>
        <v>1.553958</v>
      </c>
      <c r="P365" s="39" t="n">
        <f aca="false">J365*Resumo!$C$8</f>
        <v>1.553958</v>
      </c>
      <c r="Q365" s="39" t="n">
        <f aca="false">Resumo!$C$10*CEILING(I365/100,1)</f>
        <v>1.05</v>
      </c>
      <c r="R365" s="39" t="n">
        <f aca="false">Resumo!$C$9</f>
        <v>0</v>
      </c>
      <c r="S365" s="39" t="n">
        <f aca="false">Resumo!$C$13</f>
        <v>13.55</v>
      </c>
      <c r="T365" s="39" t="n">
        <f aca="false">Resumo!$C$14*CEILING(I365,1)</f>
        <v>18</v>
      </c>
      <c r="U365" s="39" t="n">
        <f aca="false">SUM(M365:T365)*Resumo!$C$11</f>
        <v>0</v>
      </c>
      <c r="V365" s="39" t="n">
        <f aca="false">SUM(M365:U365)</f>
        <v>102.537916</v>
      </c>
      <c r="W365" s="39" t="n">
        <f aca="false">V365/(1-Resumo!$C$5)</f>
        <v>116.520359090909</v>
      </c>
      <c r="X365" s="39" t="n">
        <v>93.97</v>
      </c>
      <c r="Y365" s="39" t="n">
        <f aca="false">J365*Resumo!$B$6</f>
        <v>0.73998</v>
      </c>
      <c r="Z365" s="39" t="n">
        <f aca="false">J365*Resumo!$B$7</f>
        <v>1.47996</v>
      </c>
      <c r="AA365" s="39" t="n">
        <f aca="false">Resumo!$B$9</f>
        <v>1</v>
      </c>
      <c r="AB365" s="39" t="n">
        <f aca="false">Resumo!$B$10*CEILING(I365/100,1)</f>
        <v>4.5</v>
      </c>
      <c r="AC365" s="39" t="n">
        <f aca="false">Resumo!$B$12*CEILING(I365,1)</f>
        <v>2.4</v>
      </c>
      <c r="AD365" s="39" t="n">
        <f aca="false">Resumo!$B$14*CEILING(I365,1)</f>
        <v>18</v>
      </c>
      <c r="AE365" s="39" t="n">
        <f aca="false">SUM(X365:AD365)</f>
        <v>122.08994</v>
      </c>
      <c r="AF365" s="39" t="n">
        <f aca="false">AE365/(1-Resumo!$B$5)</f>
        <v>138.738568181818</v>
      </c>
      <c r="AG365" s="39" t="n">
        <f aca="false">AF365-W365</f>
        <v>22.2182090909091</v>
      </c>
      <c r="AH365" s="40" t="n">
        <f aca="false">AF365/W365-1</f>
        <v>0.190680918461421</v>
      </c>
      <c r="AI365" s="37" t="str">
        <f aca="false">IF(AF365&lt;W365,"SIM","NÃO")</f>
        <v>NÃO</v>
      </c>
      <c r="AJ365" s="37" t="n">
        <v>2</v>
      </c>
      <c r="AK365" s="37" t="n">
        <v>5</v>
      </c>
      <c r="AL365" s="37" t="s">
        <v>343</v>
      </c>
      <c r="AM365" s="39" t="n">
        <v>114.5</v>
      </c>
    </row>
    <row r="366" customFormat="false" ht="15" hidden="false" customHeight="false" outlineLevel="0" collapsed="false">
      <c r="A366" s="37" t="n">
        <v>367484806</v>
      </c>
      <c r="B366" s="38" t="n">
        <v>46231.576724537</v>
      </c>
      <c r="C366" s="37" t="s">
        <v>345</v>
      </c>
      <c r="D366" s="37" t="s">
        <v>709</v>
      </c>
      <c r="E366" s="37" t="n">
        <v>20785000</v>
      </c>
      <c r="F366" s="37" t="s">
        <v>159</v>
      </c>
      <c r="G366" s="37" t="s">
        <v>196</v>
      </c>
      <c r="H366" s="37" t="s">
        <v>187</v>
      </c>
      <c r="I366" s="37" t="n">
        <v>51.3</v>
      </c>
      <c r="J366" s="39" t="n">
        <v>578.42</v>
      </c>
      <c r="K366" s="37" t="s">
        <v>342</v>
      </c>
      <c r="L366" s="39" t="n">
        <v>113.93</v>
      </c>
      <c r="M366" s="39" t="n">
        <v>58.6</v>
      </c>
      <c r="N366" s="39" t="n">
        <f aca="false">J366*Resumo!$C$6</f>
        <v>0</v>
      </c>
      <c r="O366" s="39" t="n">
        <f aca="false">J366*Resumo!$C$7</f>
        <v>1.214682</v>
      </c>
      <c r="P366" s="39" t="n">
        <f aca="false">J366*Resumo!$C$8</f>
        <v>1.214682</v>
      </c>
      <c r="Q366" s="39" t="n">
        <f aca="false">Resumo!$C$10*CEILING(I366/100,1)</f>
        <v>1.05</v>
      </c>
      <c r="R366" s="39" t="n">
        <f aca="false">Resumo!$C$9</f>
        <v>0</v>
      </c>
      <c r="S366" s="39" t="n">
        <f aca="false">Resumo!$C$13</f>
        <v>13.55</v>
      </c>
      <c r="T366" s="39" t="n">
        <f aca="false">Resumo!$C$14*CEILING(I366,1)</f>
        <v>23.4</v>
      </c>
      <c r="U366" s="39" t="n">
        <f aca="false">SUM(M366:T366)*Resumo!$C$11</f>
        <v>0</v>
      </c>
      <c r="V366" s="39" t="n">
        <f aca="false">SUM(M366:U366)</f>
        <v>99.029364</v>
      </c>
      <c r="W366" s="39" t="n">
        <f aca="false">V366/(1-Resumo!$C$5)</f>
        <v>112.533368181818</v>
      </c>
      <c r="X366" s="39" t="n">
        <v>112.3</v>
      </c>
      <c r="Y366" s="39" t="n">
        <f aca="false">J366*Resumo!$B$6</f>
        <v>0.57842</v>
      </c>
      <c r="Z366" s="39" t="n">
        <f aca="false">J366*Resumo!$B$7</f>
        <v>1.15684</v>
      </c>
      <c r="AA366" s="39" t="n">
        <f aca="false">Resumo!$B$9</f>
        <v>1</v>
      </c>
      <c r="AB366" s="39" t="n">
        <f aca="false">Resumo!$B$10*CEILING(I366/100,1)</f>
        <v>4.5</v>
      </c>
      <c r="AC366" s="39" t="n">
        <f aca="false">Resumo!$B$12*CEILING(I366,1)</f>
        <v>3.12</v>
      </c>
      <c r="AD366" s="39" t="n">
        <f aca="false">Resumo!$B$14*CEILING(I366,1)</f>
        <v>23.4</v>
      </c>
      <c r="AE366" s="39" t="n">
        <f aca="false">SUM(X366:AD366)</f>
        <v>146.05526</v>
      </c>
      <c r="AF366" s="39" t="n">
        <f aca="false">AE366/(1-Resumo!$B$5)</f>
        <v>165.971886363636</v>
      </c>
      <c r="AG366" s="39" t="n">
        <f aca="false">AF366-W366</f>
        <v>53.4385181818182</v>
      </c>
      <c r="AH366" s="40" t="n">
        <f aca="false">AF366/W366-1</f>
        <v>0.474868201718432</v>
      </c>
      <c r="AI366" s="37" t="str">
        <f aca="false">IF(AF366&lt;W366,"SIM","NÃO")</f>
        <v>NÃO</v>
      </c>
      <c r="AJ366" s="37" t="n">
        <v>2</v>
      </c>
      <c r="AK366" s="37" t="n">
        <v>5</v>
      </c>
      <c r="AL366" s="37" t="s">
        <v>343</v>
      </c>
      <c r="AM366" s="39" t="n">
        <v>113.92</v>
      </c>
    </row>
    <row r="367" customFormat="false" ht="15" hidden="false" customHeight="false" outlineLevel="0" collapsed="false">
      <c r="A367" s="37" t="n">
        <v>367487451</v>
      </c>
      <c r="B367" s="38" t="n">
        <v>46231.5817592593</v>
      </c>
      <c r="C367" s="37" t="s">
        <v>340</v>
      </c>
      <c r="D367" s="37" t="s">
        <v>710</v>
      </c>
      <c r="E367" s="37" t="n">
        <v>23587617</v>
      </c>
      <c r="F367" s="37" t="s">
        <v>159</v>
      </c>
      <c r="G367" s="37" t="s">
        <v>196</v>
      </c>
      <c r="H367" s="37" t="s">
        <v>185</v>
      </c>
      <c r="I367" s="37" t="n">
        <v>36.8</v>
      </c>
      <c r="J367" s="39" t="n">
        <v>469.99</v>
      </c>
      <c r="K367" s="37" t="s">
        <v>518</v>
      </c>
      <c r="L367" s="39" t="n">
        <v>92.7</v>
      </c>
      <c r="M367" s="39" t="n">
        <v>48.35</v>
      </c>
      <c r="N367" s="39" t="n">
        <f aca="false">J367*Resumo!$C$6</f>
        <v>0</v>
      </c>
      <c r="O367" s="39" t="n">
        <f aca="false">J367*Resumo!$C$7</f>
        <v>0.986979</v>
      </c>
      <c r="P367" s="39" t="n">
        <f aca="false">J367*Resumo!$C$8</f>
        <v>0.986979</v>
      </c>
      <c r="Q367" s="39" t="n">
        <f aca="false">Resumo!$C$10*CEILING(I367/100,1)</f>
        <v>1.05</v>
      </c>
      <c r="R367" s="39" t="n">
        <f aca="false">Resumo!$C$9</f>
        <v>0</v>
      </c>
      <c r="S367" s="39" t="n">
        <f aca="false">Resumo!$C$13</f>
        <v>13.55</v>
      </c>
      <c r="T367" s="39" t="n">
        <f aca="false">Resumo!$C$14*CEILING(I367,1)</f>
        <v>16.65</v>
      </c>
      <c r="U367" s="39" t="n">
        <f aca="false">SUM(M367:T367)*Resumo!$C$11</f>
        <v>0</v>
      </c>
      <c r="V367" s="39" t="n">
        <f aca="false">SUM(M367:U367)</f>
        <v>81.573958</v>
      </c>
      <c r="W367" s="39" t="n">
        <f aca="false">V367/(1-Resumo!$C$5)</f>
        <v>92.6976795454546</v>
      </c>
      <c r="X367" s="39" t="n">
        <v>93.97</v>
      </c>
      <c r="Y367" s="39" t="n">
        <f aca="false">J367*Resumo!$B$6</f>
        <v>0.46999</v>
      </c>
      <c r="Z367" s="39" t="n">
        <f aca="false">J367*Resumo!$B$7</f>
        <v>0.93998</v>
      </c>
      <c r="AA367" s="39" t="n">
        <f aca="false">Resumo!$B$9</f>
        <v>1</v>
      </c>
      <c r="AB367" s="39" t="n">
        <f aca="false">Resumo!$B$10*CEILING(I367/100,1)</f>
        <v>4.5</v>
      </c>
      <c r="AC367" s="39" t="n">
        <f aca="false">Resumo!$B$12*CEILING(I367,1)</f>
        <v>2.22</v>
      </c>
      <c r="AD367" s="39" t="n">
        <f aca="false">Resumo!$B$14*CEILING(I367,1)</f>
        <v>16.65</v>
      </c>
      <c r="AE367" s="39" t="n">
        <f aca="false">SUM(X367:AD367)</f>
        <v>119.74997</v>
      </c>
      <c r="AF367" s="39" t="n">
        <f aca="false">AE367/(1-Resumo!$B$5)</f>
        <v>136.079511363636</v>
      </c>
      <c r="AG367" s="39" t="n">
        <f aca="false">AF367-W367</f>
        <v>43.3818318181818</v>
      </c>
      <c r="AH367" s="40" t="n">
        <f aca="false">AF367/W367-1</f>
        <v>0.467992640494409</v>
      </c>
      <c r="AI367" s="37" t="str">
        <f aca="false">IF(AF367&lt;W367,"SIM","NÃO")</f>
        <v>NÃO</v>
      </c>
      <c r="AJ367" s="37" t="n">
        <v>2</v>
      </c>
      <c r="AK367" s="37" t="n">
        <v>5</v>
      </c>
      <c r="AL367" s="37" t="s">
        <v>343</v>
      </c>
      <c r="AM367" s="39" t="n">
        <v>92.11</v>
      </c>
    </row>
    <row r="368" customFormat="false" ht="15" hidden="false" customHeight="false" outlineLevel="0" collapsed="false">
      <c r="A368" s="37" t="n">
        <v>367500356</v>
      </c>
      <c r="B368" s="38" t="n">
        <v>46231.6055439815</v>
      </c>
      <c r="C368" s="37" t="s">
        <v>345</v>
      </c>
      <c r="D368" s="37" t="s">
        <v>597</v>
      </c>
      <c r="E368" s="37" t="n">
        <v>23970000</v>
      </c>
      <c r="F368" s="37" t="s">
        <v>222</v>
      </c>
      <c r="G368" s="37" t="s">
        <v>198</v>
      </c>
      <c r="H368" s="37" t="s">
        <v>184</v>
      </c>
      <c r="I368" s="37" t="n">
        <v>22</v>
      </c>
      <c r="J368" s="39" t="n">
        <v>727.37</v>
      </c>
      <c r="K368" s="37" t="s">
        <v>518</v>
      </c>
      <c r="L368" s="39" t="n">
        <v>105.9</v>
      </c>
      <c r="M368" s="39" t="n">
        <v>65.63</v>
      </c>
      <c r="N368" s="39" t="n">
        <f aca="false">J368*Resumo!$C$6</f>
        <v>0</v>
      </c>
      <c r="O368" s="39" t="n">
        <f aca="false">J368*Resumo!$C$7</f>
        <v>1.527477</v>
      </c>
      <c r="P368" s="39" t="n">
        <f aca="false">J368*Resumo!$C$8</f>
        <v>1.527477</v>
      </c>
      <c r="Q368" s="39" t="n">
        <f aca="false">Resumo!$C$10*CEILING(I368/100,1)</f>
        <v>1.05</v>
      </c>
      <c r="R368" s="39" t="n">
        <f aca="false">Resumo!$C$9</f>
        <v>0</v>
      </c>
      <c r="S368" s="39" t="n">
        <f aca="false">Resumo!$C$13</f>
        <v>13.55</v>
      </c>
      <c r="T368" s="39" t="n">
        <f aca="false">Resumo!$C$14*CEILING(I368,1)</f>
        <v>9.9</v>
      </c>
      <c r="U368" s="39" t="n">
        <f aca="false">SUM(M368:T368)*Resumo!$C$11</f>
        <v>0</v>
      </c>
      <c r="V368" s="39" t="n">
        <f aca="false">SUM(M368:U368)</f>
        <v>93.184954</v>
      </c>
      <c r="W368" s="39" t="n">
        <f aca="false">V368/(1-Resumo!$C$5)</f>
        <v>105.891993181818</v>
      </c>
      <c r="X368" s="39" t="n">
        <v>108.83</v>
      </c>
      <c r="Y368" s="39" t="n">
        <f aca="false">J368*Resumo!$B$6</f>
        <v>0.72737</v>
      </c>
      <c r="Z368" s="39" t="n">
        <f aca="false">J368*Resumo!$B$7</f>
        <v>1.45474</v>
      </c>
      <c r="AA368" s="39" t="n">
        <f aca="false">Resumo!$B$9</f>
        <v>1</v>
      </c>
      <c r="AB368" s="39" t="n">
        <f aca="false">Resumo!$B$10*CEILING(I368/100,1)</f>
        <v>4.5</v>
      </c>
      <c r="AC368" s="39" t="n">
        <f aca="false">Resumo!$B$12*CEILING(I368,1)</f>
        <v>1.32</v>
      </c>
      <c r="AD368" s="39" t="n">
        <f aca="false">Resumo!$B$14*CEILING(I368,1)</f>
        <v>9.9</v>
      </c>
      <c r="AE368" s="39" t="n">
        <f aca="false">SUM(X368:AD368)</f>
        <v>127.73211</v>
      </c>
      <c r="AF368" s="39" t="n">
        <f aca="false">AE368/(1-Resumo!$B$5)</f>
        <v>145.150125</v>
      </c>
      <c r="AG368" s="39" t="n">
        <f aca="false">AF368-W368</f>
        <v>39.2581318181818</v>
      </c>
      <c r="AH368" s="40" t="n">
        <f aca="false">AF368/W368-1</f>
        <v>0.370737490518051</v>
      </c>
      <c r="AI368" s="37" t="str">
        <f aca="false">IF(AF368&lt;W368,"SIM","NÃO")</f>
        <v>NÃO</v>
      </c>
      <c r="AJ368" s="37" t="n">
        <v>13</v>
      </c>
      <c r="AK368" s="37" t="n">
        <v>10</v>
      </c>
      <c r="AL368" s="37" t="s">
        <v>347</v>
      </c>
      <c r="AM368" s="39" t="n">
        <v>110.67</v>
      </c>
    </row>
    <row r="369" customFormat="false" ht="15" hidden="false" customHeight="false" outlineLevel="0" collapsed="false">
      <c r="A369" s="37" t="n">
        <v>367511290</v>
      </c>
      <c r="B369" s="38" t="n">
        <v>46231.6268055556</v>
      </c>
      <c r="C369" s="37" t="s">
        <v>340</v>
      </c>
      <c r="D369" s="37" t="s">
        <v>711</v>
      </c>
      <c r="E369" s="37" t="n">
        <v>20775000</v>
      </c>
      <c r="F369" s="37" t="s">
        <v>159</v>
      </c>
      <c r="G369" s="37" t="s">
        <v>196</v>
      </c>
      <c r="H369" s="37" t="s">
        <v>187</v>
      </c>
      <c r="I369" s="37" t="n">
        <v>52.3</v>
      </c>
      <c r="J369" s="39" t="n">
        <v>685.84</v>
      </c>
      <c r="K369" s="37" t="s">
        <v>518</v>
      </c>
      <c r="L369" s="39" t="n">
        <v>113.56</v>
      </c>
      <c r="M369" s="39" t="n">
        <v>58.6</v>
      </c>
      <c r="N369" s="39" t="n">
        <f aca="false">J369*Resumo!$C$6</f>
        <v>0</v>
      </c>
      <c r="O369" s="39" t="n">
        <f aca="false">J369*Resumo!$C$7</f>
        <v>1.440264</v>
      </c>
      <c r="P369" s="39" t="n">
        <f aca="false">J369*Resumo!$C$8</f>
        <v>1.440264</v>
      </c>
      <c r="Q369" s="39" t="n">
        <f aca="false">Resumo!$C$10*CEILING(I369/100,1)</f>
        <v>1.05</v>
      </c>
      <c r="R369" s="39" t="n">
        <f aca="false">Resumo!$C$9</f>
        <v>0</v>
      </c>
      <c r="S369" s="39" t="n">
        <f aca="false">Resumo!$C$13</f>
        <v>13.55</v>
      </c>
      <c r="T369" s="39" t="n">
        <f aca="false">Resumo!$C$14*CEILING(I369,1)</f>
        <v>23.85</v>
      </c>
      <c r="U369" s="39" t="n">
        <f aca="false">SUM(M369:T369)*Resumo!$C$11</f>
        <v>0</v>
      </c>
      <c r="V369" s="39" t="n">
        <f aca="false">SUM(M369:U369)</f>
        <v>99.930528</v>
      </c>
      <c r="W369" s="39" t="n">
        <f aca="false">V369/(1-Resumo!$C$5)</f>
        <v>113.557418181818</v>
      </c>
      <c r="X369" s="39" t="n">
        <v>112.3</v>
      </c>
      <c r="Y369" s="39" t="n">
        <f aca="false">J369*Resumo!$B$6</f>
        <v>0.68584</v>
      </c>
      <c r="Z369" s="39" t="n">
        <f aca="false">J369*Resumo!$B$7</f>
        <v>1.37168</v>
      </c>
      <c r="AA369" s="39" t="n">
        <f aca="false">Resumo!$B$9</f>
        <v>1</v>
      </c>
      <c r="AB369" s="39" t="n">
        <f aca="false">Resumo!$B$10*CEILING(I369/100,1)</f>
        <v>4.5</v>
      </c>
      <c r="AC369" s="39" t="n">
        <f aca="false">Resumo!$B$12*CEILING(I369,1)</f>
        <v>3.18</v>
      </c>
      <c r="AD369" s="39" t="n">
        <f aca="false">Resumo!$B$14*CEILING(I369,1)</f>
        <v>23.85</v>
      </c>
      <c r="AE369" s="39" t="n">
        <f aca="false">SUM(X369:AD369)</f>
        <v>146.88752</v>
      </c>
      <c r="AF369" s="39" t="n">
        <f aca="false">AE369/(1-Resumo!$B$5)</f>
        <v>166.917636363636</v>
      </c>
      <c r="AG369" s="39" t="n">
        <f aca="false">AF369-W369</f>
        <v>53.3602181818182</v>
      </c>
      <c r="AH369" s="40" t="n">
        <f aca="false">AF369/W369-1</f>
        <v>0.469896366403668</v>
      </c>
      <c r="AI369" s="37" t="str">
        <f aca="false">IF(AF369&lt;W369,"SIM","NÃO")</f>
        <v>NÃO</v>
      </c>
      <c r="AJ369" s="37" t="n">
        <v>2</v>
      </c>
      <c r="AK369" s="37" t="n">
        <v>5</v>
      </c>
      <c r="AL369" s="37" t="s">
        <v>343</v>
      </c>
      <c r="AM369" s="39" t="n">
        <v>114.44</v>
      </c>
    </row>
    <row r="370" customFormat="false" ht="15" hidden="false" customHeight="false" outlineLevel="0" collapsed="false">
      <c r="A370" s="37" t="n">
        <v>367510741</v>
      </c>
      <c r="B370" s="38" t="n">
        <v>46231.6302314815</v>
      </c>
      <c r="C370" s="37" t="s">
        <v>361</v>
      </c>
      <c r="D370" s="37" t="s">
        <v>712</v>
      </c>
      <c r="E370" s="37" t="n">
        <v>22641190</v>
      </c>
      <c r="F370" s="37" t="s">
        <v>159</v>
      </c>
      <c r="G370" s="37" t="s">
        <v>196</v>
      </c>
      <c r="H370" s="37" t="s">
        <v>185</v>
      </c>
      <c r="I370" s="37" t="n">
        <v>36.9</v>
      </c>
      <c r="J370" s="39" t="n">
        <v>459.99</v>
      </c>
      <c r="K370" s="37" t="s">
        <v>342</v>
      </c>
      <c r="L370" s="39" t="n">
        <v>92.06</v>
      </c>
      <c r="M370" s="39" t="n">
        <v>48.35</v>
      </c>
      <c r="N370" s="39" t="n">
        <f aca="false">J370*Resumo!$C$6</f>
        <v>0</v>
      </c>
      <c r="O370" s="39" t="n">
        <f aca="false">J370*Resumo!$C$7</f>
        <v>0.965979</v>
      </c>
      <c r="P370" s="39" t="n">
        <f aca="false">J370*Resumo!$C$8</f>
        <v>0.965979</v>
      </c>
      <c r="Q370" s="39" t="n">
        <f aca="false">Resumo!$C$10*CEILING(I370/100,1)</f>
        <v>1.05</v>
      </c>
      <c r="R370" s="39" t="n">
        <f aca="false">Resumo!$C$9</f>
        <v>0</v>
      </c>
      <c r="S370" s="39" t="n">
        <f aca="false">Resumo!$C$13</f>
        <v>13.55</v>
      </c>
      <c r="T370" s="39" t="n">
        <f aca="false">Resumo!$C$14*CEILING(I370,1)</f>
        <v>16.65</v>
      </c>
      <c r="U370" s="39" t="n">
        <f aca="false">SUM(M370:T370)*Resumo!$C$11</f>
        <v>0</v>
      </c>
      <c r="V370" s="39" t="n">
        <f aca="false">SUM(M370:U370)</f>
        <v>81.531958</v>
      </c>
      <c r="W370" s="39" t="n">
        <f aca="false">V370/(1-Resumo!$C$5)</f>
        <v>92.6499522727273</v>
      </c>
      <c r="X370" s="39" t="n">
        <v>93.97</v>
      </c>
      <c r="Y370" s="39" t="n">
        <f aca="false">J370*Resumo!$B$6</f>
        <v>0.45999</v>
      </c>
      <c r="Z370" s="39" t="n">
        <f aca="false">J370*Resumo!$B$7</f>
        <v>0.91998</v>
      </c>
      <c r="AA370" s="39" t="n">
        <f aca="false">Resumo!$B$9</f>
        <v>1</v>
      </c>
      <c r="AB370" s="39" t="n">
        <f aca="false">Resumo!$B$10*CEILING(I370/100,1)</f>
        <v>4.5</v>
      </c>
      <c r="AC370" s="39" t="n">
        <f aca="false">Resumo!$B$12*CEILING(I370,1)</f>
        <v>2.22</v>
      </c>
      <c r="AD370" s="39" t="n">
        <f aca="false">Resumo!$B$14*CEILING(I370,1)</f>
        <v>16.65</v>
      </c>
      <c r="AE370" s="39" t="n">
        <f aca="false">SUM(X370:AD370)</f>
        <v>119.71997</v>
      </c>
      <c r="AF370" s="39" t="n">
        <f aca="false">AE370/(1-Resumo!$B$5)</f>
        <v>136.045420454545</v>
      </c>
      <c r="AG370" s="39" t="n">
        <f aca="false">AF370-W370</f>
        <v>43.3954681818182</v>
      </c>
      <c r="AH370" s="40" t="n">
        <f aca="false">AF370/W370-1</f>
        <v>0.468380901633688</v>
      </c>
      <c r="AI370" s="37" t="str">
        <f aca="false">IF(AF370&lt;W370,"SIM","NÃO")</f>
        <v>NÃO</v>
      </c>
      <c r="AJ370" s="37" t="n">
        <v>2</v>
      </c>
      <c r="AK370" s="37" t="n">
        <v>5</v>
      </c>
      <c r="AL370" s="37" t="s">
        <v>343</v>
      </c>
      <c r="AM370" s="39" t="n">
        <v>92.06</v>
      </c>
    </row>
    <row r="371" customFormat="false" ht="15" hidden="false" customHeight="false" outlineLevel="0" collapsed="false">
      <c r="A371" s="37" t="n">
        <v>367547120</v>
      </c>
      <c r="B371" s="38" t="n">
        <v>46231.6924189815</v>
      </c>
      <c r="C371" s="37" t="s">
        <v>340</v>
      </c>
      <c r="D371" s="37" t="s">
        <v>713</v>
      </c>
      <c r="E371" s="37" t="n">
        <v>22452100</v>
      </c>
      <c r="F371" s="37" t="s">
        <v>159</v>
      </c>
      <c r="G371" s="37" t="s">
        <v>196</v>
      </c>
      <c r="H371" s="37" t="s">
        <v>185</v>
      </c>
      <c r="I371" s="37" t="n">
        <v>37.2</v>
      </c>
      <c r="J371" s="39" t="n">
        <v>399.99</v>
      </c>
      <c r="K371" s="37" t="s">
        <v>342</v>
      </c>
      <c r="L371" s="39" t="n">
        <v>91.77</v>
      </c>
      <c r="M371" s="39" t="n">
        <v>48.35</v>
      </c>
      <c r="N371" s="39" t="n">
        <f aca="false">J371*Resumo!$C$6</f>
        <v>0</v>
      </c>
      <c r="O371" s="39" t="n">
        <f aca="false">J371*Resumo!$C$7</f>
        <v>0.839979</v>
      </c>
      <c r="P371" s="39" t="n">
        <f aca="false">J371*Resumo!$C$8</f>
        <v>0.839979</v>
      </c>
      <c r="Q371" s="39" t="n">
        <f aca="false">Resumo!$C$10*CEILING(I371/100,1)</f>
        <v>1.05</v>
      </c>
      <c r="R371" s="39" t="n">
        <f aca="false">Resumo!$C$9</f>
        <v>0</v>
      </c>
      <c r="S371" s="39" t="n">
        <f aca="false">Resumo!$C$13</f>
        <v>13.55</v>
      </c>
      <c r="T371" s="39" t="n">
        <f aca="false">Resumo!$C$14*CEILING(I371,1)</f>
        <v>17.1</v>
      </c>
      <c r="U371" s="39" t="n">
        <f aca="false">SUM(M371:T371)*Resumo!$C$11</f>
        <v>0</v>
      </c>
      <c r="V371" s="39" t="n">
        <f aca="false">SUM(M371:U371)</f>
        <v>81.729958</v>
      </c>
      <c r="W371" s="39" t="n">
        <f aca="false">V371/(1-Resumo!$C$5)</f>
        <v>92.8749522727273</v>
      </c>
      <c r="X371" s="39" t="n">
        <v>93.97</v>
      </c>
      <c r="Y371" s="39" t="n">
        <f aca="false">J371*Resumo!$B$6</f>
        <v>0.39999</v>
      </c>
      <c r="Z371" s="39" t="n">
        <f aca="false">J371*Resumo!$B$7</f>
        <v>0.79998</v>
      </c>
      <c r="AA371" s="39" t="n">
        <f aca="false">Resumo!$B$9</f>
        <v>1</v>
      </c>
      <c r="AB371" s="39" t="n">
        <f aca="false">Resumo!$B$10*CEILING(I371/100,1)</f>
        <v>4.5</v>
      </c>
      <c r="AC371" s="39" t="n">
        <f aca="false">Resumo!$B$12*CEILING(I371,1)</f>
        <v>2.28</v>
      </c>
      <c r="AD371" s="39" t="n">
        <f aca="false">Resumo!$B$14*CEILING(I371,1)</f>
        <v>17.1</v>
      </c>
      <c r="AE371" s="39" t="n">
        <f aca="false">SUM(X371:AD371)</f>
        <v>120.04997</v>
      </c>
      <c r="AF371" s="39" t="n">
        <f aca="false">AE371/(1-Resumo!$B$5)</f>
        <v>136.420420454545</v>
      </c>
      <c r="AG371" s="39" t="n">
        <f aca="false">AF371-W371</f>
        <v>43.5454681818182</v>
      </c>
      <c r="AH371" s="40" t="n">
        <f aca="false">AF371/W371-1</f>
        <v>0.468861271163262</v>
      </c>
      <c r="AI371" s="37" t="str">
        <f aca="false">IF(AF371&lt;W371,"SIM","NÃO")</f>
        <v>NÃO</v>
      </c>
      <c r="AJ371" s="37" t="n">
        <v>2</v>
      </c>
      <c r="AK371" s="37" t="n">
        <v>5</v>
      </c>
      <c r="AL371" s="37" t="s">
        <v>343</v>
      </c>
      <c r="AM371" s="39" t="n">
        <v>91.77</v>
      </c>
    </row>
    <row r="372" customFormat="false" ht="15" hidden="false" customHeight="false" outlineLevel="0" collapsed="false">
      <c r="A372" s="37" t="n">
        <v>367552295</v>
      </c>
      <c r="B372" s="38" t="n">
        <v>46231.7067708333</v>
      </c>
      <c r="C372" s="37" t="s">
        <v>340</v>
      </c>
      <c r="D372" s="37" t="s">
        <v>714</v>
      </c>
      <c r="E372" s="37" t="n">
        <v>20261004</v>
      </c>
      <c r="F372" s="37" t="s">
        <v>159</v>
      </c>
      <c r="G372" s="37" t="s">
        <v>196</v>
      </c>
      <c r="H372" s="37" t="s">
        <v>192</v>
      </c>
      <c r="I372" s="37" t="n">
        <v>132.8</v>
      </c>
      <c r="J372" s="39" t="n">
        <v>1665.88</v>
      </c>
      <c r="K372" s="37" t="s">
        <v>342</v>
      </c>
      <c r="L372" s="39" t="n">
        <v>234.27</v>
      </c>
      <c r="M372" s="39" t="n">
        <v>120.59</v>
      </c>
      <c r="N372" s="39" t="n">
        <f aca="false">J372*Resumo!$C$6</f>
        <v>0</v>
      </c>
      <c r="O372" s="39" t="n">
        <f aca="false">J372*Resumo!$C$7</f>
        <v>3.498348</v>
      </c>
      <c r="P372" s="39" t="n">
        <f aca="false">J372*Resumo!$C$8</f>
        <v>3.498348</v>
      </c>
      <c r="Q372" s="39" t="n">
        <f aca="false">Resumo!$C$10*CEILING(I372/100,1)</f>
        <v>2.1</v>
      </c>
      <c r="R372" s="39" t="n">
        <f aca="false">Resumo!$C$9</f>
        <v>0</v>
      </c>
      <c r="S372" s="39" t="n">
        <f aca="false">Resumo!$C$13</f>
        <v>13.55</v>
      </c>
      <c r="T372" s="39" t="n">
        <f aca="false">Resumo!$C$14*CEILING(I372,1)</f>
        <v>59.85</v>
      </c>
      <c r="U372" s="39" t="n">
        <f aca="false">SUM(M372:T372)*Resumo!$C$11</f>
        <v>0</v>
      </c>
      <c r="V372" s="39" t="n">
        <f aca="false">SUM(M372:U372)</f>
        <v>203.086696</v>
      </c>
      <c r="W372" s="39" t="n">
        <f aca="false">V372/(1-Resumo!$C$5)</f>
        <v>230.780336363636</v>
      </c>
      <c r="X372" s="39" t="n">
        <v>239.25</v>
      </c>
      <c r="Y372" s="39" t="n">
        <f aca="false">J372*Resumo!$B$6</f>
        <v>1.66588</v>
      </c>
      <c r="Z372" s="39" t="n">
        <f aca="false">J372*Resumo!$B$7</f>
        <v>3.33176</v>
      </c>
      <c r="AA372" s="39" t="n">
        <f aca="false">Resumo!$B$9</f>
        <v>1</v>
      </c>
      <c r="AB372" s="39" t="n">
        <f aca="false">Resumo!$B$10*CEILING(I372/100,1)</f>
        <v>9</v>
      </c>
      <c r="AC372" s="39" t="n">
        <f aca="false">Resumo!$B$12*CEILING(I372,1)</f>
        <v>7.98</v>
      </c>
      <c r="AD372" s="39" t="n">
        <f aca="false">Resumo!$B$14*CEILING(I372,1)</f>
        <v>59.85</v>
      </c>
      <c r="AE372" s="39" t="n">
        <f aca="false">SUM(X372:AD372)</f>
        <v>322.07764</v>
      </c>
      <c r="AF372" s="39" t="n">
        <f aca="false">AE372/(1-Resumo!$B$5)</f>
        <v>365.997318181818</v>
      </c>
      <c r="AG372" s="39" t="n">
        <f aca="false">AF372-W372</f>
        <v>135.216981818182</v>
      </c>
      <c r="AH372" s="40" t="n">
        <f aca="false">AF372/W372-1</f>
        <v>0.585912057971538</v>
      </c>
      <c r="AI372" s="37" t="str">
        <f aca="false">IF(AF372&lt;W372,"SIM","NÃO")</f>
        <v>NÃO</v>
      </c>
      <c r="AJ372" s="37" t="n">
        <v>2</v>
      </c>
      <c r="AK372" s="37" t="n">
        <v>5</v>
      </c>
      <c r="AL372" s="37" t="s">
        <v>343</v>
      </c>
      <c r="AM372" s="39" t="n">
        <v>234.27</v>
      </c>
    </row>
    <row r="373" customFormat="false" ht="15" hidden="false" customHeight="false" outlineLevel="0" collapsed="false">
      <c r="A373" s="37" t="n">
        <v>367554894</v>
      </c>
      <c r="B373" s="38" t="n">
        <v>46231.7133912037</v>
      </c>
      <c r="C373" s="37" t="s">
        <v>340</v>
      </c>
      <c r="D373" s="37" t="s">
        <v>715</v>
      </c>
      <c r="E373" s="37" t="n">
        <v>23025070</v>
      </c>
      <c r="F373" s="37" t="s">
        <v>159</v>
      </c>
      <c r="G373" s="37" t="s">
        <v>196</v>
      </c>
      <c r="H373" s="37" t="s">
        <v>192</v>
      </c>
      <c r="I373" s="37" t="n">
        <v>141.5</v>
      </c>
      <c r="J373" s="39" t="n">
        <v>1699.99</v>
      </c>
      <c r="K373" s="37" t="s">
        <v>518</v>
      </c>
      <c r="L373" s="39" t="n">
        <v>235.55</v>
      </c>
      <c r="M373" s="39" t="n">
        <v>120.59</v>
      </c>
      <c r="N373" s="39" t="n">
        <f aca="false">J373*Resumo!$C$6</f>
        <v>0</v>
      </c>
      <c r="O373" s="39" t="n">
        <f aca="false">J373*Resumo!$C$7</f>
        <v>3.569979</v>
      </c>
      <c r="P373" s="39" t="n">
        <f aca="false">J373*Resumo!$C$8</f>
        <v>3.569979</v>
      </c>
      <c r="Q373" s="39" t="n">
        <f aca="false">Resumo!$C$10*CEILING(I373/100,1)</f>
        <v>2.1</v>
      </c>
      <c r="R373" s="39" t="n">
        <f aca="false">Resumo!$C$9</f>
        <v>0</v>
      </c>
      <c r="S373" s="39" t="n">
        <f aca="false">Resumo!$C$13</f>
        <v>13.55</v>
      </c>
      <c r="T373" s="39" t="n">
        <f aca="false">Resumo!$C$14*CEILING(I373,1)</f>
        <v>63.9</v>
      </c>
      <c r="U373" s="39" t="n">
        <f aca="false">SUM(M373:T373)*Resumo!$C$11</f>
        <v>0</v>
      </c>
      <c r="V373" s="39" t="n">
        <f aca="false">SUM(M373:U373)</f>
        <v>207.279958</v>
      </c>
      <c r="W373" s="39" t="n">
        <f aca="false">V373/(1-Resumo!$C$5)</f>
        <v>235.545406818182</v>
      </c>
      <c r="X373" s="39" t="n">
        <v>239.25</v>
      </c>
      <c r="Y373" s="39" t="n">
        <f aca="false">J373*Resumo!$B$6</f>
        <v>1.69999</v>
      </c>
      <c r="Z373" s="39" t="n">
        <f aca="false">J373*Resumo!$B$7</f>
        <v>3.39998</v>
      </c>
      <c r="AA373" s="39" t="n">
        <f aca="false">Resumo!$B$9</f>
        <v>1</v>
      </c>
      <c r="AB373" s="39" t="n">
        <f aca="false">Resumo!$B$10*CEILING(I373/100,1)</f>
        <v>9</v>
      </c>
      <c r="AC373" s="39" t="n">
        <f aca="false">Resumo!$B$12*CEILING(I373,1)</f>
        <v>8.52</v>
      </c>
      <c r="AD373" s="39" t="n">
        <f aca="false">Resumo!$B$14*CEILING(I373,1)</f>
        <v>63.9</v>
      </c>
      <c r="AE373" s="39" t="n">
        <f aca="false">SUM(X373:AD373)</f>
        <v>326.76997</v>
      </c>
      <c r="AF373" s="39" t="n">
        <f aca="false">AE373/(1-Resumo!$B$5)</f>
        <v>371.329511363636</v>
      </c>
      <c r="AG373" s="39" t="n">
        <f aca="false">AF373-W373</f>
        <v>135.784104545455</v>
      </c>
      <c r="AH373" s="40" t="n">
        <f aca="false">AF373/W373-1</f>
        <v>0.576466789905467</v>
      </c>
      <c r="AI373" s="37" t="str">
        <f aca="false">IF(AF373&lt;W373,"SIM","NÃO")</f>
        <v>NÃO</v>
      </c>
      <c r="AJ373" s="37" t="n">
        <v>2</v>
      </c>
      <c r="AK373" s="37" t="n">
        <v>5</v>
      </c>
      <c r="AL373" s="37" t="s">
        <v>343</v>
      </c>
      <c r="AM373" s="39" t="n">
        <v>234.44</v>
      </c>
    </row>
    <row r="374" customFormat="false" ht="15" hidden="false" customHeight="false" outlineLevel="0" collapsed="false">
      <c r="A374" s="37" t="n">
        <v>367691253</v>
      </c>
      <c r="B374" s="38" t="n">
        <v>46231.9431365741</v>
      </c>
      <c r="C374" s="37" t="s">
        <v>340</v>
      </c>
      <c r="D374" s="37" t="s">
        <v>716</v>
      </c>
      <c r="E374" s="37" t="n">
        <v>22730521</v>
      </c>
      <c r="F374" s="37" t="s">
        <v>159</v>
      </c>
      <c r="G374" s="37" t="s">
        <v>196</v>
      </c>
      <c r="H374" s="37" t="s">
        <v>187</v>
      </c>
      <c r="I374" s="37" t="n">
        <v>52.3</v>
      </c>
      <c r="J374" s="39" t="n">
        <v>685.84</v>
      </c>
      <c r="K374" s="37" t="s">
        <v>518</v>
      </c>
      <c r="L374" s="39" t="n">
        <v>113.56</v>
      </c>
      <c r="M374" s="39" t="n">
        <v>58.6</v>
      </c>
      <c r="N374" s="39" t="n">
        <f aca="false">J374*Resumo!$C$6</f>
        <v>0</v>
      </c>
      <c r="O374" s="39" t="n">
        <f aca="false">J374*Resumo!$C$7</f>
        <v>1.440264</v>
      </c>
      <c r="P374" s="39" t="n">
        <f aca="false">J374*Resumo!$C$8</f>
        <v>1.440264</v>
      </c>
      <c r="Q374" s="39" t="n">
        <f aca="false">Resumo!$C$10*CEILING(I374/100,1)</f>
        <v>1.05</v>
      </c>
      <c r="R374" s="39" t="n">
        <f aca="false">Resumo!$C$9</f>
        <v>0</v>
      </c>
      <c r="S374" s="39" t="n">
        <f aca="false">Resumo!$C$13</f>
        <v>13.55</v>
      </c>
      <c r="T374" s="39" t="n">
        <f aca="false">Resumo!$C$14*CEILING(I374,1)</f>
        <v>23.85</v>
      </c>
      <c r="U374" s="39" t="n">
        <f aca="false">SUM(M374:T374)*Resumo!$C$11</f>
        <v>0</v>
      </c>
      <c r="V374" s="39" t="n">
        <f aca="false">SUM(M374:U374)</f>
        <v>99.930528</v>
      </c>
      <c r="W374" s="39" t="n">
        <f aca="false">V374/(1-Resumo!$C$5)</f>
        <v>113.557418181818</v>
      </c>
      <c r="X374" s="39" t="n">
        <v>112.3</v>
      </c>
      <c r="Y374" s="39" t="n">
        <f aca="false">J374*Resumo!$B$6</f>
        <v>0.68584</v>
      </c>
      <c r="Z374" s="39" t="n">
        <f aca="false">J374*Resumo!$B$7</f>
        <v>1.37168</v>
      </c>
      <c r="AA374" s="39" t="n">
        <f aca="false">Resumo!$B$9</f>
        <v>1</v>
      </c>
      <c r="AB374" s="39" t="n">
        <f aca="false">Resumo!$B$10*CEILING(I374/100,1)</f>
        <v>4.5</v>
      </c>
      <c r="AC374" s="39" t="n">
        <f aca="false">Resumo!$B$12*CEILING(I374,1)</f>
        <v>3.18</v>
      </c>
      <c r="AD374" s="39" t="n">
        <f aca="false">Resumo!$B$14*CEILING(I374,1)</f>
        <v>23.85</v>
      </c>
      <c r="AE374" s="39" t="n">
        <f aca="false">SUM(X374:AD374)</f>
        <v>146.88752</v>
      </c>
      <c r="AF374" s="39" t="n">
        <f aca="false">AE374/(1-Resumo!$B$5)</f>
        <v>166.917636363636</v>
      </c>
      <c r="AG374" s="39" t="n">
        <f aca="false">AF374-W374</f>
        <v>53.3602181818182</v>
      </c>
      <c r="AH374" s="40" t="n">
        <f aca="false">AF374/W374-1</f>
        <v>0.469896366403668</v>
      </c>
      <c r="AI374" s="37" t="str">
        <f aca="false">IF(AF374&lt;W374,"SIM","NÃO")</f>
        <v>NÃO</v>
      </c>
      <c r="AJ374" s="37" t="n">
        <v>2</v>
      </c>
      <c r="AK374" s="37" t="n">
        <v>5</v>
      </c>
      <c r="AL374" s="37" t="s">
        <v>343</v>
      </c>
      <c r="AM374" s="39" t="n">
        <v>114.44</v>
      </c>
    </row>
    <row r="375" customFormat="false" ht="15" hidden="false" customHeight="false" outlineLevel="0" collapsed="false">
      <c r="A375" s="37" t="n">
        <v>367698848</v>
      </c>
      <c r="B375" s="38" t="n">
        <v>46231.9587268519</v>
      </c>
      <c r="C375" s="37" t="s">
        <v>340</v>
      </c>
      <c r="D375" s="37" t="s">
        <v>717</v>
      </c>
      <c r="E375" s="37" t="n">
        <v>21331050</v>
      </c>
      <c r="F375" s="37" t="s">
        <v>159</v>
      </c>
      <c r="G375" s="37" t="s">
        <v>196</v>
      </c>
      <c r="H375" s="37" t="s">
        <v>191</v>
      </c>
      <c r="I375" s="37" t="n">
        <v>106.5</v>
      </c>
      <c r="J375" s="39" t="n">
        <v>1249.99</v>
      </c>
      <c r="K375" s="37" t="s">
        <v>342</v>
      </c>
      <c r="L375" s="39" t="n">
        <v>185.64</v>
      </c>
      <c r="M375" s="39" t="n">
        <v>92.34</v>
      </c>
      <c r="N375" s="39" t="n">
        <f aca="false">J375*Resumo!$C$6</f>
        <v>0</v>
      </c>
      <c r="O375" s="39" t="n">
        <f aca="false">J375*Resumo!$C$7</f>
        <v>2.624979</v>
      </c>
      <c r="P375" s="39" t="n">
        <f aca="false">J375*Resumo!$C$8</f>
        <v>2.624979</v>
      </c>
      <c r="Q375" s="39" t="n">
        <f aca="false">Resumo!$C$10*CEILING(I375/100,1)</f>
        <v>2.1</v>
      </c>
      <c r="R375" s="39" t="n">
        <f aca="false">Resumo!$C$9</f>
        <v>0</v>
      </c>
      <c r="S375" s="39" t="n">
        <f aca="false">Resumo!$C$13</f>
        <v>13.55</v>
      </c>
      <c r="T375" s="39" t="n">
        <f aca="false">Resumo!$C$14*CEILING(I375,1)</f>
        <v>48.15</v>
      </c>
      <c r="U375" s="39" t="n">
        <f aca="false">SUM(M375:T375)*Resumo!$C$11</f>
        <v>0</v>
      </c>
      <c r="V375" s="39" t="n">
        <f aca="false">SUM(M375:U375)</f>
        <v>161.389958</v>
      </c>
      <c r="W375" s="39" t="n">
        <f aca="false">V375/(1-Resumo!$C$5)</f>
        <v>183.397679545455</v>
      </c>
      <c r="X375" s="39" t="n">
        <v>201.59</v>
      </c>
      <c r="Y375" s="39" t="n">
        <f aca="false">J375*Resumo!$B$6</f>
        <v>1.24999</v>
      </c>
      <c r="Z375" s="39" t="n">
        <f aca="false">J375*Resumo!$B$7</f>
        <v>2.49998</v>
      </c>
      <c r="AA375" s="39" t="n">
        <f aca="false">Resumo!$B$9</f>
        <v>1</v>
      </c>
      <c r="AB375" s="39" t="n">
        <f aca="false">Resumo!$B$10*CEILING(I375/100,1)</f>
        <v>9</v>
      </c>
      <c r="AC375" s="39" t="n">
        <f aca="false">Resumo!$B$12*CEILING(I375,1)</f>
        <v>6.42</v>
      </c>
      <c r="AD375" s="39" t="n">
        <f aca="false">Resumo!$B$14*CEILING(I375,1)</f>
        <v>48.15</v>
      </c>
      <c r="AE375" s="39" t="n">
        <f aca="false">SUM(X375:AD375)</f>
        <v>269.90997</v>
      </c>
      <c r="AF375" s="39" t="n">
        <f aca="false">AE375/(1-Resumo!$B$5)</f>
        <v>306.715875</v>
      </c>
      <c r="AG375" s="39" t="n">
        <f aca="false">AF375-W375</f>
        <v>123.318195454545</v>
      </c>
      <c r="AH375" s="40" t="n">
        <f aca="false">AF375/W375-1</f>
        <v>0.672408700918058</v>
      </c>
      <c r="AI375" s="37" t="str">
        <f aca="false">IF(AF375&lt;W375,"SIM","NÃO")</f>
        <v>NÃO</v>
      </c>
      <c r="AJ375" s="37" t="n">
        <v>2</v>
      </c>
      <c r="AK375" s="37" t="n">
        <v>5</v>
      </c>
      <c r="AL375" s="37" t="s">
        <v>343</v>
      </c>
      <c r="AM375" s="39" t="n">
        <v>185.63</v>
      </c>
    </row>
    <row r="376" customFormat="false" ht="15" hidden="false" customHeight="false" outlineLevel="0" collapsed="false">
      <c r="A376" s="37" t="n">
        <v>367884392</v>
      </c>
      <c r="B376" s="38" t="n">
        <v>46232.4217939815</v>
      </c>
      <c r="C376" s="37" t="s">
        <v>340</v>
      </c>
      <c r="D376" s="37" t="s">
        <v>718</v>
      </c>
      <c r="E376" s="37" t="n">
        <v>27130050</v>
      </c>
      <c r="F376" s="37" t="s">
        <v>244</v>
      </c>
      <c r="G376" s="37" t="s">
        <v>198</v>
      </c>
      <c r="H376" s="37" t="s">
        <v>185</v>
      </c>
      <c r="I376" s="37" t="n">
        <v>40</v>
      </c>
      <c r="J376" s="39" t="n">
        <v>599.99</v>
      </c>
      <c r="K376" s="37" t="s">
        <v>518</v>
      </c>
      <c r="L376" s="39" t="n">
        <v>125.1</v>
      </c>
      <c r="M376" s="39" t="n">
        <v>74.97</v>
      </c>
      <c r="N376" s="39" t="n">
        <f aca="false">J376*Resumo!$C$6</f>
        <v>0</v>
      </c>
      <c r="O376" s="39" t="n">
        <f aca="false">J376*Resumo!$C$7</f>
        <v>1.259979</v>
      </c>
      <c r="P376" s="39" t="n">
        <f aca="false">J376*Resumo!$C$8</f>
        <v>1.259979</v>
      </c>
      <c r="Q376" s="39" t="n">
        <f aca="false">Resumo!$C$10*CEILING(I376/100,1)</f>
        <v>1.05</v>
      </c>
      <c r="R376" s="39" t="n">
        <f aca="false">Resumo!$C$9</f>
        <v>0</v>
      </c>
      <c r="S376" s="39" t="n">
        <f aca="false">Resumo!$C$13</f>
        <v>13.55</v>
      </c>
      <c r="T376" s="39" t="n">
        <f aca="false">Resumo!$C$14*CEILING(I376,1)</f>
        <v>18</v>
      </c>
      <c r="U376" s="39" t="n">
        <f aca="false">SUM(M376:T376)*Resumo!$C$11</f>
        <v>0</v>
      </c>
      <c r="V376" s="39" t="n">
        <f aca="false">SUM(M376:U376)</f>
        <v>110.089958</v>
      </c>
      <c r="W376" s="39" t="n">
        <f aca="false">V376/(1-Resumo!$C$5)</f>
        <v>125.102225</v>
      </c>
      <c r="X376" s="39" t="n">
        <v>124.38</v>
      </c>
      <c r="Y376" s="39" t="n">
        <f aca="false">J376*Resumo!$B$6</f>
        <v>0.59999</v>
      </c>
      <c r="Z376" s="39" t="n">
        <f aca="false">J376*Resumo!$B$7</f>
        <v>1.19998</v>
      </c>
      <c r="AA376" s="39" t="n">
        <f aca="false">Resumo!$B$9</f>
        <v>1</v>
      </c>
      <c r="AB376" s="39" t="n">
        <f aca="false">Resumo!$B$10*CEILING(I376/100,1)</f>
        <v>4.5</v>
      </c>
      <c r="AC376" s="39" t="n">
        <f aca="false">Resumo!$B$12*CEILING(I376,1)</f>
        <v>2.4</v>
      </c>
      <c r="AD376" s="39" t="n">
        <f aca="false">Resumo!$B$14*CEILING(I376,1)</f>
        <v>18</v>
      </c>
      <c r="AE376" s="39" t="n">
        <f aca="false">SUM(X376:AD376)</f>
        <v>152.07997</v>
      </c>
      <c r="AF376" s="39" t="n">
        <f aca="false">AE376/(1-Resumo!$B$5)</f>
        <v>172.818147727273</v>
      </c>
      <c r="AG376" s="39" t="n">
        <f aca="false">AF376-W376</f>
        <v>47.7159227272727</v>
      </c>
      <c r="AH376" s="40" t="n">
        <f aca="false">AF376/W376-1</f>
        <v>0.381415460254786</v>
      </c>
      <c r="AI376" s="37" t="str">
        <f aca="false">IF(AF376&lt;W376,"SIM","NÃO")</f>
        <v>NÃO</v>
      </c>
      <c r="AJ376" s="37" t="n">
        <v>13</v>
      </c>
      <c r="AK376" s="37" t="n">
        <v>10</v>
      </c>
      <c r="AL376" s="37" t="s">
        <v>347</v>
      </c>
      <c r="AM376" s="39" t="n">
        <v>123.12</v>
      </c>
    </row>
    <row r="377" customFormat="false" ht="15" hidden="false" customHeight="false" outlineLevel="0" collapsed="false">
      <c r="A377" s="37" t="n">
        <v>367898631</v>
      </c>
      <c r="B377" s="38" t="n">
        <v>46232.4442939815</v>
      </c>
      <c r="C377" s="37" t="s">
        <v>340</v>
      </c>
      <c r="D377" s="37" t="s">
        <v>719</v>
      </c>
      <c r="E377" s="37" t="n">
        <v>25025237</v>
      </c>
      <c r="F377" s="37" t="s">
        <v>161</v>
      </c>
      <c r="G377" s="37" t="s">
        <v>197</v>
      </c>
      <c r="H377" s="37" t="s">
        <v>184</v>
      </c>
      <c r="I377" s="37" t="n">
        <v>23</v>
      </c>
      <c r="J377" s="39" t="n">
        <v>349.99</v>
      </c>
      <c r="K377" s="37" t="s">
        <v>342</v>
      </c>
      <c r="L377" s="39" t="n">
        <v>101.07</v>
      </c>
      <c r="M377" s="39" t="n">
        <v>58.8</v>
      </c>
      <c r="N377" s="39" t="n">
        <f aca="false">J377*Resumo!$C$6</f>
        <v>0</v>
      </c>
      <c r="O377" s="39" t="n">
        <f aca="false">J377*Resumo!$C$7</f>
        <v>0.734979</v>
      </c>
      <c r="P377" s="39" t="n">
        <f aca="false">J377*Resumo!$C$8</f>
        <v>0.734979</v>
      </c>
      <c r="Q377" s="39" t="n">
        <f aca="false">Resumo!$C$10*CEILING(I377/100,1)</f>
        <v>1.05</v>
      </c>
      <c r="R377" s="39" t="n">
        <f aca="false">Resumo!$C$9</f>
        <v>0</v>
      </c>
      <c r="S377" s="39" t="n">
        <f aca="false">Resumo!$C$13</f>
        <v>13.55</v>
      </c>
      <c r="T377" s="39" t="n">
        <f aca="false">Resumo!$C$14*CEILING(I377,1)</f>
        <v>10.35</v>
      </c>
      <c r="U377" s="39" t="n">
        <f aca="false">SUM(M377:T377)*Resumo!$C$11</f>
        <v>0</v>
      </c>
      <c r="V377" s="39" t="n">
        <f aca="false">SUM(M377:U377)</f>
        <v>85.219958</v>
      </c>
      <c r="W377" s="39" t="n">
        <f aca="false">V377/(1-Resumo!$C$5)</f>
        <v>96.8408613636364</v>
      </c>
      <c r="X377" s="39" t="n">
        <v>82.21</v>
      </c>
      <c r="Y377" s="39" t="n">
        <f aca="false">J377*Resumo!$B$6</f>
        <v>0.34999</v>
      </c>
      <c r="Z377" s="39" t="n">
        <f aca="false">J377*Resumo!$B$7</f>
        <v>0.69998</v>
      </c>
      <c r="AA377" s="39" t="n">
        <f aca="false">Resumo!$B$9</f>
        <v>1</v>
      </c>
      <c r="AB377" s="39" t="n">
        <f aca="false">Resumo!$B$10*CEILING(I377/100,1)</f>
        <v>4.5</v>
      </c>
      <c r="AC377" s="39" t="n">
        <f aca="false">Resumo!$B$12*CEILING(I377,1)</f>
        <v>1.38</v>
      </c>
      <c r="AD377" s="39" t="n">
        <f aca="false">Resumo!$B$14*CEILING(I377,1)</f>
        <v>10.35</v>
      </c>
      <c r="AE377" s="39" t="n">
        <f aca="false">SUM(X377:AD377)</f>
        <v>100.48997</v>
      </c>
      <c r="AF377" s="39" t="n">
        <f aca="false">AE377/(1-Resumo!$B$5)</f>
        <v>114.193147727273</v>
      </c>
      <c r="AG377" s="39" t="n">
        <f aca="false">AF377-W377</f>
        <v>17.3522863636364</v>
      </c>
      <c r="AH377" s="40" t="n">
        <f aca="false">AF377/W377-1</f>
        <v>0.17918351942863</v>
      </c>
      <c r="AI377" s="37" t="str">
        <f aca="false">IF(AF377&lt;W377,"SIM","NÃO")</f>
        <v>NÃO</v>
      </c>
      <c r="AJ377" s="37" t="n">
        <v>2</v>
      </c>
      <c r="AK377" s="37" t="n">
        <v>5</v>
      </c>
      <c r="AL377" s="37" t="s">
        <v>343</v>
      </c>
      <c r="AM377" s="39" t="n">
        <v>101.06</v>
      </c>
    </row>
    <row r="378" customFormat="false" ht="15" hidden="false" customHeight="false" outlineLevel="0" collapsed="false">
      <c r="A378" s="37" t="n">
        <v>367914862</v>
      </c>
      <c r="B378" s="38" t="n">
        <v>46232.4758333333</v>
      </c>
      <c r="C378" s="37" t="s">
        <v>375</v>
      </c>
      <c r="D378" s="37" t="s">
        <v>720</v>
      </c>
      <c r="E378" s="37" t="n">
        <v>21715421</v>
      </c>
      <c r="F378" s="37" t="s">
        <v>159</v>
      </c>
      <c r="G378" s="37" t="s">
        <v>196</v>
      </c>
      <c r="H378" s="37" t="s">
        <v>184</v>
      </c>
      <c r="I378" s="37" t="n">
        <v>33.7</v>
      </c>
      <c r="J378" s="39" t="n">
        <v>387.19</v>
      </c>
      <c r="K378" s="37" t="s">
        <v>342</v>
      </c>
      <c r="L378" s="39" t="n">
        <v>82.17</v>
      </c>
      <c r="M378" s="39" t="n">
        <v>42.11</v>
      </c>
      <c r="N378" s="39" t="n">
        <f aca="false">J378*Resumo!$C$6</f>
        <v>0</v>
      </c>
      <c r="O378" s="39" t="n">
        <f aca="false">J378*Resumo!$C$7</f>
        <v>0.813099</v>
      </c>
      <c r="P378" s="39" t="n">
        <f aca="false">J378*Resumo!$C$8</f>
        <v>0.813099</v>
      </c>
      <c r="Q378" s="39" t="n">
        <f aca="false">Resumo!$C$10*CEILING(I378/100,1)</f>
        <v>1.05</v>
      </c>
      <c r="R378" s="39" t="n">
        <f aca="false">Resumo!$C$9</f>
        <v>0</v>
      </c>
      <c r="S378" s="39" t="n">
        <f aca="false">Resumo!$C$13</f>
        <v>13.55</v>
      </c>
      <c r="T378" s="39" t="n">
        <f aca="false">Resumo!$C$14*CEILING(I378,1)</f>
        <v>15.3</v>
      </c>
      <c r="U378" s="39" t="n">
        <f aca="false">SUM(M378:T378)*Resumo!$C$11</f>
        <v>0</v>
      </c>
      <c r="V378" s="39" t="n">
        <f aca="false">SUM(M378:U378)</f>
        <v>73.636198</v>
      </c>
      <c r="W378" s="39" t="n">
        <f aca="false">V378/(1-Resumo!$C$5)</f>
        <v>83.6774977272727</v>
      </c>
      <c r="X378" s="39" t="n">
        <v>82.21</v>
      </c>
      <c r="Y378" s="39" t="n">
        <f aca="false">J378*Resumo!$B$6</f>
        <v>0.38719</v>
      </c>
      <c r="Z378" s="39" t="n">
        <f aca="false">J378*Resumo!$B$7</f>
        <v>0.77438</v>
      </c>
      <c r="AA378" s="39" t="n">
        <f aca="false">Resumo!$B$9</f>
        <v>1</v>
      </c>
      <c r="AB378" s="39" t="n">
        <f aca="false">Resumo!$B$10*CEILING(I378/100,1)</f>
        <v>4.5</v>
      </c>
      <c r="AC378" s="39" t="n">
        <f aca="false">Resumo!$B$12*CEILING(I378,1)</f>
        <v>2.04</v>
      </c>
      <c r="AD378" s="39" t="n">
        <f aca="false">Resumo!$B$14*CEILING(I378,1)</f>
        <v>15.3</v>
      </c>
      <c r="AE378" s="39" t="n">
        <f aca="false">SUM(X378:AD378)</f>
        <v>106.21157</v>
      </c>
      <c r="AF378" s="39" t="n">
        <f aca="false">AE378/(1-Resumo!$B$5)</f>
        <v>120.694965909091</v>
      </c>
      <c r="AG378" s="39" t="n">
        <f aca="false">AF378-W378</f>
        <v>37.0174681818182</v>
      </c>
      <c r="AH378" s="40" t="n">
        <f aca="false">AF378/W378-1</f>
        <v>0.44238259014948</v>
      </c>
      <c r="AI378" s="37" t="str">
        <f aca="false">IF(AF378&lt;W378,"SIM","NÃO")</f>
        <v>NÃO</v>
      </c>
      <c r="AJ378" s="37" t="n">
        <v>2</v>
      </c>
      <c r="AK378" s="37" t="n">
        <v>5</v>
      </c>
      <c r="AL378" s="37" t="s">
        <v>343</v>
      </c>
      <c r="AM378" s="39" t="n">
        <v>82.18</v>
      </c>
    </row>
    <row r="379" customFormat="false" ht="15" hidden="false" customHeight="false" outlineLevel="0" collapsed="false">
      <c r="A379" s="37" t="n">
        <v>367921582</v>
      </c>
      <c r="B379" s="38" t="n">
        <v>46232.4829282407</v>
      </c>
      <c r="C379" s="37" t="s">
        <v>340</v>
      </c>
      <c r="D379" s="37" t="s">
        <v>721</v>
      </c>
      <c r="E379" s="37" t="n">
        <v>23912440</v>
      </c>
      <c r="F379" s="37" t="s">
        <v>169</v>
      </c>
      <c r="G379" s="37" t="s">
        <v>198</v>
      </c>
      <c r="H379" s="37" t="s">
        <v>186</v>
      </c>
      <c r="I379" s="37" t="n">
        <v>44.5</v>
      </c>
      <c r="J379" s="39" t="n">
        <v>685.62</v>
      </c>
      <c r="K379" s="37" t="s">
        <v>518</v>
      </c>
      <c r="L379" s="39" t="n">
        <v>131.17</v>
      </c>
      <c r="M379" s="39" t="n">
        <v>77.7</v>
      </c>
      <c r="N379" s="39" t="n">
        <f aca="false">J379*Resumo!$C$6</f>
        <v>0</v>
      </c>
      <c r="O379" s="39" t="n">
        <f aca="false">J379*Resumo!$C$7</f>
        <v>1.439802</v>
      </c>
      <c r="P379" s="39" t="n">
        <f aca="false">J379*Resumo!$C$8</f>
        <v>1.439802</v>
      </c>
      <c r="Q379" s="39" t="n">
        <f aca="false">Resumo!$C$10*CEILING(I379/100,1)</f>
        <v>1.05</v>
      </c>
      <c r="R379" s="39" t="n">
        <f aca="false">Resumo!$C$9</f>
        <v>0</v>
      </c>
      <c r="S379" s="39" t="n">
        <f aca="false">Resumo!$C$13</f>
        <v>13.55</v>
      </c>
      <c r="T379" s="39" t="n">
        <f aca="false">Resumo!$C$14*CEILING(I379,1)</f>
        <v>20.25</v>
      </c>
      <c r="U379" s="39" t="n">
        <f aca="false">SUM(M379:T379)*Resumo!$C$11</f>
        <v>0</v>
      </c>
      <c r="V379" s="39" t="n">
        <f aca="false">SUM(M379:U379)</f>
        <v>115.429604</v>
      </c>
      <c r="W379" s="39" t="n">
        <f aca="false">V379/(1-Resumo!$C$5)</f>
        <v>131.170004545455</v>
      </c>
      <c r="X379" s="39" t="n">
        <v>124.38</v>
      </c>
      <c r="Y379" s="39" t="n">
        <f aca="false">J379*Resumo!$B$6</f>
        <v>0.68562</v>
      </c>
      <c r="Z379" s="39" t="n">
        <f aca="false">J379*Resumo!$B$7</f>
        <v>1.37124</v>
      </c>
      <c r="AA379" s="39" t="n">
        <f aca="false">Resumo!$B$9</f>
        <v>1</v>
      </c>
      <c r="AB379" s="39" t="n">
        <f aca="false">Resumo!$B$10*CEILING(I379/100,1)</f>
        <v>4.5</v>
      </c>
      <c r="AC379" s="39" t="n">
        <f aca="false">Resumo!$B$12*CEILING(I379,1)</f>
        <v>2.7</v>
      </c>
      <c r="AD379" s="39" t="n">
        <f aca="false">Resumo!$B$14*CEILING(I379,1)</f>
        <v>20.25</v>
      </c>
      <c r="AE379" s="39" t="n">
        <f aca="false">SUM(X379:AD379)</f>
        <v>154.88686</v>
      </c>
      <c r="AF379" s="39" t="n">
        <f aca="false">AE379/(1-Resumo!$B$5)</f>
        <v>176.007795454545</v>
      </c>
      <c r="AG379" s="39" t="n">
        <f aca="false">AF379-W379</f>
        <v>44.8377909090909</v>
      </c>
      <c r="AH379" s="40" t="n">
        <f aca="false">AF379/W379-1</f>
        <v>0.34182960551437</v>
      </c>
      <c r="AI379" s="37" t="str">
        <f aca="false">IF(AF379&lt;W379,"SIM","NÃO")</f>
        <v>NÃO</v>
      </c>
      <c r="AJ379" s="37" t="n">
        <v>13</v>
      </c>
      <c r="AK379" s="37" t="n">
        <v>10</v>
      </c>
      <c r="AL379" s="37" t="s">
        <v>343</v>
      </c>
      <c r="AM379" s="39" t="n">
        <v>131.45</v>
      </c>
    </row>
    <row r="380" customFormat="false" ht="15" hidden="false" customHeight="false" outlineLevel="0" collapsed="false">
      <c r="A380" s="37" t="n">
        <v>367960788</v>
      </c>
      <c r="B380" s="38" t="n">
        <v>46232.5584027778</v>
      </c>
      <c r="C380" s="37" t="s">
        <v>340</v>
      </c>
      <c r="D380" s="37" t="s">
        <v>722</v>
      </c>
      <c r="E380" s="37" t="n">
        <v>23555090</v>
      </c>
      <c r="F380" s="37" t="s">
        <v>159</v>
      </c>
      <c r="G380" s="37" t="s">
        <v>196</v>
      </c>
      <c r="H380" s="37" t="s">
        <v>183</v>
      </c>
      <c r="I380" s="37" t="n">
        <v>19.9</v>
      </c>
      <c r="J380" s="39" t="n">
        <v>309.99</v>
      </c>
      <c r="K380" s="37" t="s">
        <v>518</v>
      </c>
      <c r="L380" s="39" t="n">
        <v>66.27</v>
      </c>
      <c r="M380" s="39" t="n">
        <v>33.42</v>
      </c>
      <c r="N380" s="39" t="n">
        <f aca="false">J380*Resumo!$C$6</f>
        <v>0</v>
      </c>
      <c r="O380" s="39" t="n">
        <f aca="false">J380*Resumo!$C$7</f>
        <v>0.650979</v>
      </c>
      <c r="P380" s="39" t="n">
        <f aca="false">J380*Resumo!$C$8</f>
        <v>0.650979</v>
      </c>
      <c r="Q380" s="39" t="n">
        <f aca="false">Resumo!$C$10*CEILING(I380/100,1)</f>
        <v>1.05</v>
      </c>
      <c r="R380" s="39" t="n">
        <f aca="false">Resumo!$C$9</f>
        <v>0</v>
      </c>
      <c r="S380" s="39" t="n">
        <f aca="false">Resumo!$C$13</f>
        <v>13.55</v>
      </c>
      <c r="T380" s="39" t="n">
        <f aca="false">Resumo!$C$14*CEILING(I380,1)</f>
        <v>9</v>
      </c>
      <c r="U380" s="39" t="n">
        <f aca="false">SUM(M380:T380)*Resumo!$C$11</f>
        <v>0</v>
      </c>
      <c r="V380" s="39" t="n">
        <f aca="false">SUM(M380:U380)</f>
        <v>58.321958</v>
      </c>
      <c r="W380" s="39" t="n">
        <f aca="false">V380/(1-Resumo!$C$5)</f>
        <v>66.2749522727273</v>
      </c>
      <c r="X380" s="39" t="n">
        <v>46.98</v>
      </c>
      <c r="Y380" s="39" t="n">
        <f aca="false">J380*Resumo!$B$6</f>
        <v>0.30999</v>
      </c>
      <c r="Z380" s="39" t="n">
        <f aca="false">J380*Resumo!$B$7</f>
        <v>0.61998</v>
      </c>
      <c r="AA380" s="39" t="n">
        <f aca="false">Resumo!$B$9</f>
        <v>1</v>
      </c>
      <c r="AB380" s="39" t="n">
        <f aca="false">Resumo!$B$10*CEILING(I380/100,1)</f>
        <v>4.5</v>
      </c>
      <c r="AC380" s="39" t="n">
        <f aca="false">Resumo!$B$12*CEILING(I380,1)</f>
        <v>1.2</v>
      </c>
      <c r="AD380" s="39" t="n">
        <f aca="false">Resumo!$B$14*CEILING(I380,1)</f>
        <v>9</v>
      </c>
      <c r="AE380" s="39" t="n">
        <f aca="false">SUM(X380:AD380)</f>
        <v>63.60997</v>
      </c>
      <c r="AF380" s="39" t="n">
        <f aca="false">AE380/(1-Resumo!$B$5)</f>
        <v>72.2840568181818</v>
      </c>
      <c r="AG380" s="39" t="n">
        <f aca="false">AF380-W380</f>
        <v>6.00910454545453</v>
      </c>
      <c r="AH380" s="40" t="n">
        <f aca="false">AF380/W380-1</f>
        <v>0.090669315320312</v>
      </c>
      <c r="AI380" s="37" t="str">
        <f aca="false">IF(AF380&lt;W380,"SIM","NÃO")</f>
        <v>NÃO</v>
      </c>
      <c r="AJ380" s="37" t="n">
        <v>2</v>
      </c>
      <c r="AK380" s="37" t="n">
        <v>5</v>
      </c>
      <c r="AL380" s="37" t="s">
        <v>343</v>
      </c>
      <c r="AM380" s="39" t="n">
        <v>64.7</v>
      </c>
    </row>
    <row r="381" customFormat="false" ht="15" hidden="false" customHeight="false" outlineLevel="0" collapsed="false">
      <c r="A381" s="37" t="n">
        <v>367995414</v>
      </c>
      <c r="B381" s="38" t="n">
        <v>46232.6030439815</v>
      </c>
      <c r="C381" s="37" t="s">
        <v>345</v>
      </c>
      <c r="D381" s="37" t="s">
        <v>723</v>
      </c>
      <c r="E381" s="37" t="n">
        <v>25268410</v>
      </c>
      <c r="F381" s="37" t="s">
        <v>161</v>
      </c>
      <c r="G381" s="37" t="s">
        <v>197</v>
      </c>
      <c r="H381" s="37" t="s">
        <v>184</v>
      </c>
      <c r="I381" s="37" t="n">
        <v>33.21</v>
      </c>
      <c r="J381" s="39" t="n">
        <v>378.64</v>
      </c>
      <c r="K381" s="37" t="s">
        <v>342</v>
      </c>
      <c r="L381" s="39" t="n">
        <v>101.2</v>
      </c>
      <c r="M381" s="39" t="n">
        <v>58.8</v>
      </c>
      <c r="N381" s="39" t="n">
        <f aca="false">J381*Resumo!$C$6</f>
        <v>0</v>
      </c>
      <c r="O381" s="39" t="n">
        <f aca="false">J381*Resumo!$C$7</f>
        <v>0.795144</v>
      </c>
      <c r="P381" s="39" t="n">
        <f aca="false">J381*Resumo!$C$8</f>
        <v>0.795144</v>
      </c>
      <c r="Q381" s="39" t="n">
        <f aca="false">Resumo!$C$10*CEILING(I381/100,1)</f>
        <v>1.05</v>
      </c>
      <c r="R381" s="39" t="n">
        <f aca="false">Resumo!$C$9</f>
        <v>0</v>
      </c>
      <c r="S381" s="39" t="n">
        <f aca="false">Resumo!$C$13</f>
        <v>13.55</v>
      </c>
      <c r="T381" s="39" t="n">
        <f aca="false">Resumo!$C$14*CEILING(I381,1)</f>
        <v>15.3</v>
      </c>
      <c r="U381" s="39" t="n">
        <f aca="false">SUM(M381:T381)*Resumo!$C$11</f>
        <v>0</v>
      </c>
      <c r="V381" s="39" t="n">
        <f aca="false">SUM(M381:U381)</f>
        <v>90.290288</v>
      </c>
      <c r="W381" s="39" t="n">
        <f aca="false">V381/(1-Resumo!$C$5)</f>
        <v>102.6026</v>
      </c>
      <c r="X381" s="39" t="n">
        <v>82.21</v>
      </c>
      <c r="Y381" s="39" t="n">
        <f aca="false">J381*Resumo!$B$6</f>
        <v>0.37864</v>
      </c>
      <c r="Z381" s="39" t="n">
        <f aca="false">J381*Resumo!$B$7</f>
        <v>0.75728</v>
      </c>
      <c r="AA381" s="39" t="n">
        <f aca="false">Resumo!$B$9</f>
        <v>1</v>
      </c>
      <c r="AB381" s="39" t="n">
        <f aca="false">Resumo!$B$10*CEILING(I381/100,1)</f>
        <v>4.5</v>
      </c>
      <c r="AC381" s="39" t="n">
        <f aca="false">Resumo!$B$12*CEILING(I381,1)</f>
        <v>2.04</v>
      </c>
      <c r="AD381" s="39" t="n">
        <f aca="false">Resumo!$B$14*CEILING(I381,1)</f>
        <v>15.3</v>
      </c>
      <c r="AE381" s="39" t="n">
        <f aca="false">SUM(X381:AD381)</f>
        <v>106.18592</v>
      </c>
      <c r="AF381" s="39" t="n">
        <f aca="false">AE381/(1-Resumo!$B$5)</f>
        <v>120.665818181818</v>
      </c>
      <c r="AG381" s="39" t="n">
        <f aca="false">AF381-W381</f>
        <v>18.0632181818182</v>
      </c>
      <c r="AH381" s="40" t="n">
        <f aca="false">AF381/W381-1</f>
        <v>0.176050296793826</v>
      </c>
      <c r="AI381" s="37" t="str">
        <f aca="false">IF(AF381&lt;W381,"SIM","NÃO")</f>
        <v>NÃO</v>
      </c>
      <c r="AJ381" s="37" t="n">
        <v>2</v>
      </c>
      <c r="AK381" s="37" t="n">
        <v>5</v>
      </c>
      <c r="AL381" s="37" t="s">
        <v>343</v>
      </c>
      <c r="AM381" s="39" t="n">
        <v>101.2</v>
      </c>
    </row>
    <row r="382" customFormat="false" ht="15" hidden="false" customHeight="false" outlineLevel="0" collapsed="false">
      <c r="A382" s="37" t="n">
        <v>368000576</v>
      </c>
      <c r="B382" s="38" t="n">
        <v>46232.6139699074</v>
      </c>
      <c r="C382" s="37" t="s">
        <v>340</v>
      </c>
      <c r="D382" s="37" t="s">
        <v>724</v>
      </c>
      <c r="E382" s="37" t="n">
        <v>21745310</v>
      </c>
      <c r="F382" s="37" t="s">
        <v>159</v>
      </c>
      <c r="G382" s="37" t="s">
        <v>196</v>
      </c>
      <c r="H382" s="37" t="s">
        <v>191</v>
      </c>
      <c r="I382" s="37" t="n">
        <v>106.5</v>
      </c>
      <c r="J382" s="39" t="n">
        <v>1199.99</v>
      </c>
      <c r="K382" s="37" t="s">
        <v>342</v>
      </c>
      <c r="L382" s="39" t="n">
        <v>185.4</v>
      </c>
      <c r="M382" s="39" t="n">
        <v>92.34</v>
      </c>
      <c r="N382" s="39" t="n">
        <f aca="false">J382*Resumo!$C$6</f>
        <v>0</v>
      </c>
      <c r="O382" s="39" t="n">
        <f aca="false">J382*Resumo!$C$7</f>
        <v>2.519979</v>
      </c>
      <c r="P382" s="39" t="n">
        <f aca="false">J382*Resumo!$C$8</f>
        <v>2.519979</v>
      </c>
      <c r="Q382" s="39" t="n">
        <f aca="false">Resumo!$C$10*CEILING(I382/100,1)</f>
        <v>2.1</v>
      </c>
      <c r="R382" s="39" t="n">
        <f aca="false">Resumo!$C$9</f>
        <v>0</v>
      </c>
      <c r="S382" s="39" t="n">
        <f aca="false">Resumo!$C$13</f>
        <v>13.55</v>
      </c>
      <c r="T382" s="39" t="n">
        <f aca="false">Resumo!$C$14*CEILING(I382,1)</f>
        <v>48.15</v>
      </c>
      <c r="U382" s="39" t="n">
        <f aca="false">SUM(M382:T382)*Resumo!$C$11</f>
        <v>0</v>
      </c>
      <c r="V382" s="39" t="n">
        <f aca="false">SUM(M382:U382)</f>
        <v>161.179958</v>
      </c>
      <c r="W382" s="39" t="n">
        <f aca="false">V382/(1-Resumo!$C$5)</f>
        <v>183.159043181818</v>
      </c>
      <c r="X382" s="39" t="n">
        <v>201.59</v>
      </c>
      <c r="Y382" s="39" t="n">
        <f aca="false">J382*Resumo!$B$6</f>
        <v>1.19999</v>
      </c>
      <c r="Z382" s="39" t="n">
        <f aca="false">J382*Resumo!$B$7</f>
        <v>2.39998</v>
      </c>
      <c r="AA382" s="39" t="n">
        <f aca="false">Resumo!$B$9</f>
        <v>1</v>
      </c>
      <c r="AB382" s="39" t="n">
        <f aca="false">Resumo!$B$10*CEILING(I382/100,1)</f>
        <v>9</v>
      </c>
      <c r="AC382" s="39" t="n">
        <f aca="false">Resumo!$B$12*CEILING(I382,1)</f>
        <v>6.42</v>
      </c>
      <c r="AD382" s="39" t="n">
        <f aca="false">Resumo!$B$14*CEILING(I382,1)</f>
        <v>48.15</v>
      </c>
      <c r="AE382" s="39" t="n">
        <f aca="false">SUM(X382:AD382)</f>
        <v>269.75997</v>
      </c>
      <c r="AF382" s="39" t="n">
        <f aca="false">AE382/(1-Resumo!$B$5)</f>
        <v>306.545420454546</v>
      </c>
      <c r="AG382" s="39" t="n">
        <f aca="false">AF382-W382</f>
        <v>123.386377272727</v>
      </c>
      <c r="AH382" s="40" t="n">
        <f aca="false">AF382/W382-1</f>
        <v>0.673657031229652</v>
      </c>
      <c r="AI382" s="37" t="str">
        <f aca="false">IF(AF382&lt;W382,"SIM","NÃO")</f>
        <v>NÃO</v>
      </c>
      <c r="AJ382" s="37" t="n">
        <v>2</v>
      </c>
      <c r="AK382" s="37" t="n">
        <v>5</v>
      </c>
      <c r="AL382" s="37" t="s">
        <v>343</v>
      </c>
      <c r="AM382" s="39" t="n">
        <v>185.39</v>
      </c>
    </row>
    <row r="383" customFormat="false" ht="15" hidden="false" customHeight="false" outlineLevel="0" collapsed="false">
      <c r="A383" s="37" t="n">
        <v>368000867</v>
      </c>
      <c r="B383" s="38" t="n">
        <v>46232.6148611111</v>
      </c>
      <c r="C383" s="37" t="s">
        <v>340</v>
      </c>
      <c r="D383" s="37" t="s">
        <v>725</v>
      </c>
      <c r="E383" s="37" t="n">
        <v>26425320</v>
      </c>
      <c r="F383" s="37" t="s">
        <v>237</v>
      </c>
      <c r="G383" s="37" t="s">
        <v>198</v>
      </c>
      <c r="H383" s="37" t="s">
        <v>188</v>
      </c>
      <c r="I383" s="37" t="n">
        <v>62.8</v>
      </c>
      <c r="J383" s="39" t="n">
        <v>819.99</v>
      </c>
      <c r="K383" s="37" t="s">
        <v>518</v>
      </c>
      <c r="L383" s="39" t="n">
        <v>155.22</v>
      </c>
      <c r="M383" s="39" t="n">
        <v>90.2</v>
      </c>
      <c r="N383" s="39" t="n">
        <f aca="false">J383*Resumo!$C$6</f>
        <v>0</v>
      </c>
      <c r="O383" s="39" t="n">
        <f aca="false">J383*Resumo!$C$7</f>
        <v>1.721979</v>
      </c>
      <c r="P383" s="39" t="n">
        <f aca="false">J383*Resumo!$C$8</f>
        <v>1.721979</v>
      </c>
      <c r="Q383" s="39" t="n">
        <f aca="false">Resumo!$C$10*CEILING(I383/100,1)</f>
        <v>1.05</v>
      </c>
      <c r="R383" s="39" t="n">
        <f aca="false">Resumo!$C$9</f>
        <v>0</v>
      </c>
      <c r="S383" s="39" t="n">
        <f aca="false">Resumo!$C$13</f>
        <v>13.55</v>
      </c>
      <c r="T383" s="39" t="n">
        <f aca="false">Resumo!$C$14*CEILING(I383,1)</f>
        <v>28.35</v>
      </c>
      <c r="U383" s="39" t="n">
        <f aca="false">SUM(M383:T383)*Resumo!$C$11</f>
        <v>0</v>
      </c>
      <c r="V383" s="39" t="n">
        <f aca="false">SUM(M383:U383)</f>
        <v>136.593958</v>
      </c>
      <c r="W383" s="39" t="n">
        <f aca="false">V383/(1-Resumo!$C$5)</f>
        <v>155.220406818182</v>
      </c>
      <c r="X383" s="39" t="n">
        <v>131.02</v>
      </c>
      <c r="Y383" s="39" t="n">
        <f aca="false">J383*Resumo!$B$6</f>
        <v>0.81999</v>
      </c>
      <c r="Z383" s="39" t="n">
        <f aca="false">J383*Resumo!$B$7</f>
        <v>1.63998</v>
      </c>
      <c r="AA383" s="39" t="n">
        <f aca="false">Resumo!$B$9</f>
        <v>1</v>
      </c>
      <c r="AB383" s="39" t="n">
        <f aca="false">Resumo!$B$10*CEILING(I383/100,1)</f>
        <v>4.5</v>
      </c>
      <c r="AC383" s="39" t="n">
        <f aca="false">Resumo!$B$12*CEILING(I383,1)</f>
        <v>3.78</v>
      </c>
      <c r="AD383" s="39" t="n">
        <f aca="false">Resumo!$B$14*CEILING(I383,1)</f>
        <v>28.35</v>
      </c>
      <c r="AE383" s="39" t="n">
        <f aca="false">SUM(X383:AD383)</f>
        <v>171.10997</v>
      </c>
      <c r="AF383" s="39" t="n">
        <f aca="false">AE383/(1-Resumo!$B$5)</f>
        <v>194.443147727273</v>
      </c>
      <c r="AG383" s="39" t="n">
        <f aca="false">AF383-W383</f>
        <v>39.2227409090909</v>
      </c>
      <c r="AH383" s="40" t="n">
        <f aca="false">AF383/W383-1</f>
        <v>0.252690620473857</v>
      </c>
      <c r="AI383" s="37" t="str">
        <f aca="false">IF(AF383&lt;W383,"SIM","NÃO")</f>
        <v>NÃO</v>
      </c>
      <c r="AJ383" s="37" t="n">
        <v>13</v>
      </c>
      <c r="AK383" s="37" t="n">
        <v>5</v>
      </c>
      <c r="AL383" s="37" t="s">
        <v>347</v>
      </c>
      <c r="AM383" s="39" t="n">
        <v>155.95</v>
      </c>
    </row>
    <row r="384" customFormat="false" ht="15" hidden="false" customHeight="false" outlineLevel="0" collapsed="false">
      <c r="A384" s="37" t="n">
        <v>368003777</v>
      </c>
      <c r="B384" s="38" t="n">
        <v>46232.6208333333</v>
      </c>
      <c r="C384" s="37" t="s">
        <v>345</v>
      </c>
      <c r="D384" s="37" t="s">
        <v>726</v>
      </c>
      <c r="E384" s="37" t="n">
        <v>22753005</v>
      </c>
      <c r="F384" s="37" t="s">
        <v>159</v>
      </c>
      <c r="G384" s="37" t="s">
        <v>196</v>
      </c>
      <c r="H384" s="37" t="s">
        <v>186</v>
      </c>
      <c r="I384" s="37" t="n">
        <v>48.8</v>
      </c>
      <c r="J384" s="39" t="n">
        <v>549.99</v>
      </c>
      <c r="K384" s="37" t="s">
        <v>342</v>
      </c>
      <c r="L384" s="39" t="n">
        <v>103.23</v>
      </c>
      <c r="M384" s="39" t="n">
        <v>53.55</v>
      </c>
      <c r="N384" s="39" t="n">
        <f aca="false">J384*Resumo!$C$6</f>
        <v>0</v>
      </c>
      <c r="O384" s="39" t="n">
        <f aca="false">J384*Resumo!$C$7</f>
        <v>1.154979</v>
      </c>
      <c r="P384" s="39" t="n">
        <f aca="false">J384*Resumo!$C$8</f>
        <v>1.154979</v>
      </c>
      <c r="Q384" s="39" t="n">
        <f aca="false">Resumo!$C$10*CEILING(I384/100,1)</f>
        <v>1.05</v>
      </c>
      <c r="R384" s="39" t="n">
        <f aca="false">Resumo!$C$9</f>
        <v>0</v>
      </c>
      <c r="S384" s="39" t="n">
        <f aca="false">Resumo!$C$13</f>
        <v>13.55</v>
      </c>
      <c r="T384" s="39" t="n">
        <f aca="false">Resumo!$C$14*CEILING(I384,1)</f>
        <v>22.05</v>
      </c>
      <c r="U384" s="39" t="n">
        <f aca="false">SUM(M384:T384)*Resumo!$C$11</f>
        <v>0</v>
      </c>
      <c r="V384" s="39" t="n">
        <f aca="false">SUM(M384:U384)</f>
        <v>92.509958</v>
      </c>
      <c r="W384" s="39" t="n">
        <f aca="false">V384/(1-Resumo!$C$5)</f>
        <v>105.124952272727</v>
      </c>
      <c r="X384" s="39" t="n">
        <v>93.97</v>
      </c>
      <c r="Y384" s="39" t="n">
        <f aca="false">J384*Resumo!$B$6</f>
        <v>0.54999</v>
      </c>
      <c r="Z384" s="39" t="n">
        <f aca="false">J384*Resumo!$B$7</f>
        <v>1.09998</v>
      </c>
      <c r="AA384" s="39" t="n">
        <f aca="false">Resumo!$B$9</f>
        <v>1</v>
      </c>
      <c r="AB384" s="39" t="n">
        <f aca="false">Resumo!$B$10*CEILING(I384/100,1)</f>
        <v>4.5</v>
      </c>
      <c r="AC384" s="39" t="n">
        <f aca="false">Resumo!$B$12*CEILING(I384,1)</f>
        <v>2.94</v>
      </c>
      <c r="AD384" s="39" t="n">
        <f aca="false">Resumo!$B$14*CEILING(I384,1)</f>
        <v>22.05</v>
      </c>
      <c r="AE384" s="39" t="n">
        <f aca="false">SUM(X384:AD384)</f>
        <v>126.10997</v>
      </c>
      <c r="AF384" s="39" t="n">
        <f aca="false">AE384/(1-Resumo!$B$5)</f>
        <v>143.306784090909</v>
      </c>
      <c r="AG384" s="39" t="n">
        <f aca="false">AF384-W384</f>
        <v>38.1818318181818</v>
      </c>
      <c r="AH384" s="40" t="n">
        <f aca="false">AF384/W384-1</f>
        <v>0.363204272560582</v>
      </c>
      <c r="AI384" s="37" t="str">
        <f aca="false">IF(AF384&lt;W384,"SIM","NÃO")</f>
        <v>NÃO</v>
      </c>
      <c r="AJ384" s="37" t="n">
        <v>2</v>
      </c>
      <c r="AK384" s="37" t="n">
        <v>5</v>
      </c>
      <c r="AL384" s="37" t="s">
        <v>343</v>
      </c>
      <c r="AM384" s="39" t="n">
        <v>103.22</v>
      </c>
    </row>
    <row r="385" customFormat="false" ht="15" hidden="false" customHeight="false" outlineLevel="0" collapsed="false">
      <c r="A385" s="37" t="n">
        <v>368016648</v>
      </c>
      <c r="B385" s="38" t="n">
        <v>46232.6435185185</v>
      </c>
      <c r="C385" s="37" t="s">
        <v>340</v>
      </c>
      <c r="D385" s="37" t="s">
        <v>727</v>
      </c>
      <c r="E385" s="37" t="n">
        <v>24310340</v>
      </c>
      <c r="F385" s="37" t="s">
        <v>163</v>
      </c>
      <c r="G385" s="37" t="s">
        <v>197</v>
      </c>
      <c r="H385" s="37" t="s">
        <v>183</v>
      </c>
      <c r="I385" s="37" t="n">
        <v>19.5</v>
      </c>
      <c r="J385" s="39" t="n">
        <v>332.99</v>
      </c>
      <c r="K385" s="37" t="s">
        <v>342</v>
      </c>
      <c r="L385" s="39" t="n">
        <v>75.44</v>
      </c>
      <c r="M385" s="39" t="n">
        <v>42.72</v>
      </c>
      <c r="N385" s="39" t="n">
        <f aca="false">J385*Resumo!$C$6</f>
        <v>0</v>
      </c>
      <c r="O385" s="39" t="n">
        <f aca="false">J385*Resumo!$C$7</f>
        <v>0.699279</v>
      </c>
      <c r="P385" s="39" t="n">
        <f aca="false">J385*Resumo!$C$8</f>
        <v>0.699279</v>
      </c>
      <c r="Q385" s="39" t="n">
        <f aca="false">Resumo!$C$10*CEILING(I385/100,1)</f>
        <v>1.05</v>
      </c>
      <c r="R385" s="39" t="n">
        <f aca="false">Resumo!$C$9</f>
        <v>0</v>
      </c>
      <c r="S385" s="39" t="n">
        <f aca="false">Resumo!$C$13</f>
        <v>13.55</v>
      </c>
      <c r="T385" s="39" t="n">
        <f aca="false">Resumo!$C$14*CEILING(I385,1)</f>
        <v>9</v>
      </c>
      <c r="U385" s="39" t="n">
        <f aca="false">SUM(M385:T385)*Resumo!$C$11</f>
        <v>0</v>
      </c>
      <c r="V385" s="39" t="n">
        <f aca="false">SUM(M385:U385)</f>
        <v>67.718558</v>
      </c>
      <c r="W385" s="39" t="n">
        <f aca="false">V385/(1-Resumo!$C$5)</f>
        <v>76.9529068181818</v>
      </c>
      <c r="X385" s="39" t="n">
        <v>57.47</v>
      </c>
      <c r="Y385" s="39" t="n">
        <f aca="false">J385*Resumo!$B$6</f>
        <v>0.33299</v>
      </c>
      <c r="Z385" s="39" t="n">
        <f aca="false">J385*Resumo!$B$7</f>
        <v>0.66598</v>
      </c>
      <c r="AA385" s="39" t="n">
        <f aca="false">Resumo!$B$9</f>
        <v>1</v>
      </c>
      <c r="AB385" s="39" t="n">
        <f aca="false">Resumo!$B$10*CEILING(I385/100,1)</f>
        <v>4.5</v>
      </c>
      <c r="AC385" s="39" t="n">
        <f aca="false">Resumo!$B$12*CEILING(I385,1)</f>
        <v>1.2</v>
      </c>
      <c r="AD385" s="39" t="n">
        <f aca="false">Resumo!$B$14*CEILING(I385,1)</f>
        <v>9</v>
      </c>
      <c r="AE385" s="39" t="n">
        <f aca="false">SUM(X385:AD385)</f>
        <v>74.16897</v>
      </c>
      <c r="AF385" s="39" t="n">
        <f aca="false">AE385/(1-Resumo!$B$5)</f>
        <v>84.2829204545455</v>
      </c>
      <c r="AG385" s="39" t="n">
        <f aca="false">AF385-W385</f>
        <v>7.33001363636365</v>
      </c>
      <c r="AH385" s="40" t="n">
        <f aca="false">AF385/W385-1</f>
        <v>0.0952532391490086</v>
      </c>
      <c r="AI385" s="37" t="str">
        <f aca="false">IF(AF385&lt;W385,"SIM","NÃO")</f>
        <v>NÃO</v>
      </c>
      <c r="AJ385" s="37" t="n">
        <v>2</v>
      </c>
      <c r="AK385" s="37" t="n">
        <v>7</v>
      </c>
      <c r="AL385" s="37" t="s">
        <v>343</v>
      </c>
      <c r="AM385" s="39" t="n">
        <v>75.43</v>
      </c>
    </row>
    <row r="386" customFormat="false" ht="15" hidden="false" customHeight="false" outlineLevel="0" collapsed="false">
      <c r="A386" s="37" t="n">
        <v>368081027</v>
      </c>
      <c r="B386" s="38" t="n">
        <v>46232.7472569444</v>
      </c>
      <c r="C386" s="37" t="s">
        <v>340</v>
      </c>
      <c r="D386" s="37" t="s">
        <v>728</v>
      </c>
      <c r="E386" s="37" t="n">
        <v>27211560</v>
      </c>
      <c r="F386" s="37" t="s">
        <v>168</v>
      </c>
      <c r="G386" s="37" t="s">
        <v>198</v>
      </c>
      <c r="H386" s="37" t="s">
        <v>186</v>
      </c>
      <c r="I386" s="37" t="n">
        <v>44.5</v>
      </c>
      <c r="J386" s="39" t="n">
        <v>685.62</v>
      </c>
      <c r="K386" s="37" t="s">
        <v>518</v>
      </c>
      <c r="L386" s="39" t="n">
        <v>131.17</v>
      </c>
      <c r="M386" s="39" t="n">
        <v>77.7</v>
      </c>
      <c r="N386" s="39" t="n">
        <f aca="false">J386*Resumo!$C$6</f>
        <v>0</v>
      </c>
      <c r="O386" s="39" t="n">
        <f aca="false">J386*Resumo!$C$7</f>
        <v>1.439802</v>
      </c>
      <c r="P386" s="39" t="n">
        <f aca="false">J386*Resumo!$C$8</f>
        <v>1.439802</v>
      </c>
      <c r="Q386" s="39" t="n">
        <f aca="false">Resumo!$C$10*CEILING(I386/100,1)</f>
        <v>1.05</v>
      </c>
      <c r="R386" s="39" t="n">
        <f aca="false">Resumo!$C$9</f>
        <v>0</v>
      </c>
      <c r="S386" s="39" t="n">
        <f aca="false">Resumo!$C$13</f>
        <v>13.55</v>
      </c>
      <c r="T386" s="39" t="n">
        <f aca="false">Resumo!$C$14*CEILING(I386,1)</f>
        <v>20.25</v>
      </c>
      <c r="U386" s="39" t="n">
        <f aca="false">SUM(M386:T386)*Resumo!$C$11</f>
        <v>0</v>
      </c>
      <c r="V386" s="39" t="n">
        <f aca="false">SUM(M386:U386)</f>
        <v>115.429604</v>
      </c>
      <c r="W386" s="39" t="n">
        <f aca="false">V386/(1-Resumo!$C$5)</f>
        <v>131.170004545455</v>
      </c>
      <c r="X386" s="39" t="n">
        <v>124.38</v>
      </c>
      <c r="Y386" s="39" t="n">
        <f aca="false">J386*Resumo!$B$6</f>
        <v>0.68562</v>
      </c>
      <c r="Z386" s="39" t="n">
        <f aca="false">J386*Resumo!$B$7</f>
        <v>1.37124</v>
      </c>
      <c r="AA386" s="39" t="n">
        <f aca="false">Resumo!$B$9</f>
        <v>1</v>
      </c>
      <c r="AB386" s="39" t="n">
        <f aca="false">Resumo!$B$10*CEILING(I386/100,1)</f>
        <v>4.5</v>
      </c>
      <c r="AC386" s="39" t="n">
        <f aca="false">Resumo!$B$12*CEILING(I386,1)</f>
        <v>2.7</v>
      </c>
      <c r="AD386" s="39" t="n">
        <f aca="false">Resumo!$B$14*CEILING(I386,1)</f>
        <v>20.25</v>
      </c>
      <c r="AE386" s="39" t="n">
        <f aca="false">SUM(X386:AD386)</f>
        <v>154.88686</v>
      </c>
      <c r="AF386" s="39" t="n">
        <f aca="false">AE386/(1-Resumo!$B$5)</f>
        <v>176.007795454545</v>
      </c>
      <c r="AG386" s="39" t="n">
        <f aca="false">AF386-W386</f>
        <v>44.8377909090909</v>
      </c>
      <c r="AH386" s="40" t="n">
        <f aca="false">AF386/W386-1</f>
        <v>0.34182960551437</v>
      </c>
      <c r="AI386" s="37" t="str">
        <f aca="false">IF(AF386&lt;W386,"SIM","NÃO")</f>
        <v>NÃO</v>
      </c>
      <c r="AJ386" s="37" t="n">
        <v>13</v>
      </c>
      <c r="AK386" s="37" t="n">
        <v>10</v>
      </c>
      <c r="AL386" s="37" t="s">
        <v>343</v>
      </c>
      <c r="AM386" s="39" t="n">
        <v>131.45</v>
      </c>
    </row>
    <row r="387" customFormat="false" ht="15" hidden="false" customHeight="false" outlineLevel="0" collapsed="false">
      <c r="A387" s="37" t="n">
        <v>368089138</v>
      </c>
      <c r="B387" s="38" t="n">
        <v>46232.7633101852</v>
      </c>
      <c r="C387" s="37" t="s">
        <v>340</v>
      </c>
      <c r="D387" s="37" t="s">
        <v>552</v>
      </c>
      <c r="E387" s="37" t="n">
        <v>28540000</v>
      </c>
      <c r="F387" s="37" t="s">
        <v>275</v>
      </c>
      <c r="G387" s="37" t="s">
        <v>198</v>
      </c>
      <c r="H387" s="37" t="s">
        <v>183</v>
      </c>
      <c r="I387" s="37" t="n">
        <v>19.5</v>
      </c>
      <c r="J387" s="39" t="n">
        <v>332.99</v>
      </c>
      <c r="K387" s="37" t="s">
        <v>518</v>
      </c>
      <c r="L387" s="39" t="n">
        <v>81.76</v>
      </c>
      <c r="M387" s="39" t="n">
        <v>46.95</v>
      </c>
      <c r="N387" s="39" t="n">
        <f aca="false">J387*Resumo!$C$6</f>
        <v>0</v>
      </c>
      <c r="O387" s="39" t="n">
        <f aca="false">J387*Resumo!$C$7</f>
        <v>0.699279</v>
      </c>
      <c r="P387" s="39" t="n">
        <f aca="false">J387*Resumo!$C$8</f>
        <v>0.699279</v>
      </c>
      <c r="Q387" s="39" t="n">
        <f aca="false">Resumo!$C$10*CEILING(I387/100,1)</f>
        <v>1.05</v>
      </c>
      <c r="R387" s="39" t="n">
        <f aca="false">Resumo!$C$9</f>
        <v>0</v>
      </c>
      <c r="S387" s="39" t="n">
        <f aca="false">Resumo!$C$13</f>
        <v>13.55</v>
      </c>
      <c r="T387" s="39" t="n">
        <f aca="false">Resumo!$C$14*CEILING(I387,1)</f>
        <v>9</v>
      </c>
      <c r="U387" s="39" t="n">
        <f aca="false">SUM(M387:T387)*Resumo!$C$11</f>
        <v>0</v>
      </c>
      <c r="V387" s="39" t="n">
        <f aca="false">SUM(M387:U387)</f>
        <v>71.948558</v>
      </c>
      <c r="W387" s="39" t="n">
        <f aca="false">V387/(1-Resumo!$C$5)</f>
        <v>81.759725</v>
      </c>
      <c r="X387" s="39" t="n">
        <v>106.53</v>
      </c>
      <c r="Y387" s="39" t="n">
        <f aca="false">J387*Resumo!$B$6</f>
        <v>0.33299</v>
      </c>
      <c r="Z387" s="39" t="n">
        <f aca="false">J387*Resumo!$B$7</f>
        <v>0.66598</v>
      </c>
      <c r="AA387" s="39" t="n">
        <f aca="false">Resumo!$B$9</f>
        <v>1</v>
      </c>
      <c r="AB387" s="39" t="n">
        <f aca="false">Resumo!$B$10*CEILING(I387/100,1)</f>
        <v>4.5</v>
      </c>
      <c r="AC387" s="39" t="n">
        <f aca="false">Resumo!$B$12*CEILING(I387,1)</f>
        <v>1.2</v>
      </c>
      <c r="AD387" s="39" t="n">
        <f aca="false">Resumo!$B$14*CEILING(I387,1)</f>
        <v>9</v>
      </c>
      <c r="AE387" s="39" t="n">
        <f aca="false">SUM(X387:AD387)</f>
        <v>123.22897</v>
      </c>
      <c r="AF387" s="39" t="n">
        <f aca="false">AE387/(1-Resumo!$B$5)</f>
        <v>140.032920454545</v>
      </c>
      <c r="AG387" s="39" t="n">
        <f aca="false">AF387-W387</f>
        <v>58.2731954545455</v>
      </c>
      <c r="AH387" s="40" t="n">
        <f aca="false">AF387/W387-1</f>
        <v>0.712737175357983</v>
      </c>
      <c r="AI387" s="37" t="str">
        <f aca="false">IF(AF387&lt;W387,"SIM","NÃO")</f>
        <v>NÃO</v>
      </c>
      <c r="AJ387" s="37" t="n">
        <v>13</v>
      </c>
      <c r="AK387" s="37" t="n">
        <v>10</v>
      </c>
      <c r="AL387" s="37" t="s">
        <v>347</v>
      </c>
      <c r="AM387" s="39" t="n">
        <v>80.25</v>
      </c>
    </row>
    <row r="388" customFormat="false" ht="15" hidden="false" customHeight="false" outlineLevel="0" collapsed="false">
      <c r="A388" s="37" t="n">
        <v>368093150</v>
      </c>
      <c r="B388" s="38" t="n">
        <v>46232.7701041667</v>
      </c>
      <c r="C388" s="37" t="s">
        <v>345</v>
      </c>
      <c r="D388" s="37" t="s">
        <v>729</v>
      </c>
      <c r="E388" s="37" t="n">
        <v>28928788</v>
      </c>
      <c r="F388" s="37" t="s">
        <v>172</v>
      </c>
      <c r="G388" s="37" t="s">
        <v>198</v>
      </c>
      <c r="H388" s="37" t="s">
        <v>185</v>
      </c>
      <c r="I388" s="37" t="n">
        <v>36.8</v>
      </c>
      <c r="J388" s="39" t="n">
        <v>428.97</v>
      </c>
      <c r="K388" s="37" t="s">
        <v>518</v>
      </c>
      <c r="L388" s="39" t="n">
        <v>122.75</v>
      </c>
      <c r="M388" s="39" t="n">
        <v>74.97</v>
      </c>
      <c r="N388" s="39" t="n">
        <f aca="false">J388*Resumo!$C$6</f>
        <v>0</v>
      </c>
      <c r="O388" s="39" t="n">
        <f aca="false">J388*Resumo!$C$7</f>
        <v>0.900837</v>
      </c>
      <c r="P388" s="39" t="n">
        <f aca="false">J388*Resumo!$C$8</f>
        <v>0.900837</v>
      </c>
      <c r="Q388" s="39" t="n">
        <f aca="false">Resumo!$C$10*CEILING(I388/100,1)</f>
        <v>1.05</v>
      </c>
      <c r="R388" s="39" t="n">
        <f aca="false">Resumo!$C$9</f>
        <v>0</v>
      </c>
      <c r="S388" s="39" t="n">
        <f aca="false">Resumo!$C$13</f>
        <v>13.55</v>
      </c>
      <c r="T388" s="39" t="n">
        <f aca="false">Resumo!$C$14*CEILING(I388,1)</f>
        <v>16.65</v>
      </c>
      <c r="U388" s="39" t="n">
        <f aca="false">SUM(M388:T388)*Resumo!$C$11</f>
        <v>0</v>
      </c>
      <c r="V388" s="39" t="n">
        <f aca="false">SUM(M388:U388)</f>
        <v>108.021674</v>
      </c>
      <c r="W388" s="39" t="n">
        <f aca="false">V388/(1-Resumo!$C$5)</f>
        <v>122.751902272727</v>
      </c>
      <c r="X388" s="39" t="n">
        <v>124.38</v>
      </c>
      <c r="Y388" s="39" t="n">
        <f aca="false">J388*Resumo!$B$6</f>
        <v>0.42897</v>
      </c>
      <c r="Z388" s="39" t="n">
        <f aca="false">J388*Resumo!$B$7</f>
        <v>0.85794</v>
      </c>
      <c r="AA388" s="39" t="n">
        <f aca="false">Resumo!$B$9</f>
        <v>1</v>
      </c>
      <c r="AB388" s="39" t="n">
        <f aca="false">Resumo!$B$10*CEILING(I388/100,1)</f>
        <v>4.5</v>
      </c>
      <c r="AC388" s="39" t="n">
        <f aca="false">Resumo!$B$12*CEILING(I388,1)</f>
        <v>2.22</v>
      </c>
      <c r="AD388" s="39" t="n">
        <f aca="false">Resumo!$B$14*CEILING(I388,1)</f>
        <v>16.65</v>
      </c>
      <c r="AE388" s="39" t="n">
        <f aca="false">SUM(X388:AD388)</f>
        <v>150.03691</v>
      </c>
      <c r="AF388" s="39" t="n">
        <f aca="false">AE388/(1-Resumo!$B$5)</f>
        <v>170.496488636364</v>
      </c>
      <c r="AG388" s="39" t="n">
        <f aca="false">AF388-W388</f>
        <v>47.7445863636364</v>
      </c>
      <c r="AH388" s="40" t="n">
        <f aca="false">AF388/W388-1</f>
        <v>0.388951906077664</v>
      </c>
      <c r="AI388" s="37" t="str">
        <f aca="false">IF(AF388&lt;W388,"SIM","NÃO")</f>
        <v>NÃO</v>
      </c>
      <c r="AJ388" s="37" t="n">
        <v>13</v>
      </c>
      <c r="AK388" s="37" t="n">
        <v>10</v>
      </c>
      <c r="AL388" s="37" t="s">
        <v>343</v>
      </c>
      <c r="AM388" s="39" t="n">
        <v>122.3</v>
      </c>
    </row>
    <row r="389" customFormat="false" ht="15" hidden="false" customHeight="false" outlineLevel="0" collapsed="false">
      <c r="A389" s="37" t="n">
        <v>368119514</v>
      </c>
      <c r="B389" s="38" t="n">
        <v>46232.8123148148</v>
      </c>
      <c r="C389" s="37" t="s">
        <v>345</v>
      </c>
      <c r="D389" s="37" t="s">
        <v>730</v>
      </c>
      <c r="E389" s="37" t="n">
        <v>24350405</v>
      </c>
      <c r="F389" s="37" t="s">
        <v>163</v>
      </c>
      <c r="G389" s="37" t="s">
        <v>197</v>
      </c>
      <c r="H389" s="37" t="s">
        <v>190</v>
      </c>
      <c r="I389" s="37" t="n">
        <v>97.2</v>
      </c>
      <c r="J389" s="39" t="n">
        <v>1136</v>
      </c>
      <c r="K389" s="37" t="s">
        <v>342</v>
      </c>
      <c r="L389" s="39" t="n">
        <v>174.26</v>
      </c>
      <c r="M389" s="39" t="n">
        <v>92.32</v>
      </c>
      <c r="N389" s="39" t="n">
        <f aca="false">J389*Resumo!$C$6</f>
        <v>0</v>
      </c>
      <c r="O389" s="39" t="n">
        <f aca="false">J389*Resumo!$C$7</f>
        <v>2.3856</v>
      </c>
      <c r="P389" s="39" t="n">
        <f aca="false">J389*Resumo!$C$8</f>
        <v>2.3856</v>
      </c>
      <c r="Q389" s="39" t="n">
        <f aca="false">Resumo!$C$10*CEILING(I389/100,1)</f>
        <v>1.05</v>
      </c>
      <c r="R389" s="39" t="n">
        <f aca="false">Resumo!$C$9</f>
        <v>0</v>
      </c>
      <c r="S389" s="39" t="n">
        <f aca="false">Resumo!$C$13</f>
        <v>13.55</v>
      </c>
      <c r="T389" s="39" t="n">
        <f aca="false">Resumo!$C$14*CEILING(I389,1)</f>
        <v>44.1</v>
      </c>
      <c r="U389" s="39" t="n">
        <f aca="false">SUM(M389:T389)*Resumo!$C$11</f>
        <v>0</v>
      </c>
      <c r="V389" s="39" t="n">
        <f aca="false">SUM(M389:U389)</f>
        <v>155.7912</v>
      </c>
      <c r="W389" s="39" t="n">
        <f aca="false">V389/(1-Resumo!$C$5)</f>
        <v>177.035454545455</v>
      </c>
      <c r="X389" s="39" t="n">
        <v>178.42</v>
      </c>
      <c r="Y389" s="39" t="n">
        <f aca="false">J389*Resumo!$B$6</f>
        <v>1.136</v>
      </c>
      <c r="Z389" s="39" t="n">
        <f aca="false">J389*Resumo!$B$7</f>
        <v>2.272</v>
      </c>
      <c r="AA389" s="39" t="n">
        <f aca="false">Resumo!$B$9</f>
        <v>1</v>
      </c>
      <c r="AB389" s="39" t="n">
        <f aca="false">Resumo!$B$10*CEILING(I389/100,1)</f>
        <v>4.5</v>
      </c>
      <c r="AC389" s="39" t="n">
        <f aca="false">Resumo!$B$12*CEILING(I389,1)</f>
        <v>5.88</v>
      </c>
      <c r="AD389" s="39" t="n">
        <f aca="false">Resumo!$B$14*CEILING(I389,1)</f>
        <v>44.1</v>
      </c>
      <c r="AE389" s="39" t="n">
        <f aca="false">SUM(X389:AD389)</f>
        <v>237.308</v>
      </c>
      <c r="AF389" s="39" t="n">
        <f aca="false">AE389/(1-Resumo!$B$5)</f>
        <v>269.668181818182</v>
      </c>
      <c r="AG389" s="39" t="n">
        <f aca="false">AF389-W389</f>
        <v>92.6327272727273</v>
      </c>
      <c r="AH389" s="40" t="n">
        <f aca="false">AF389/W389-1</f>
        <v>0.523243931621299</v>
      </c>
      <c r="AI389" s="37" t="str">
        <f aca="false">IF(AF389&lt;W389,"SIM","NÃO")</f>
        <v>NÃO</v>
      </c>
      <c r="AJ389" s="37" t="n">
        <v>2</v>
      </c>
      <c r="AK389" s="37" t="n">
        <v>7</v>
      </c>
      <c r="AL389" s="37" t="s">
        <v>343</v>
      </c>
      <c r="AM389" s="39" t="n">
        <v>174.27</v>
      </c>
    </row>
    <row r="390" customFormat="false" ht="15" hidden="false" customHeight="false" outlineLevel="0" collapsed="false">
      <c r="A390" s="37" t="n">
        <v>368123331</v>
      </c>
      <c r="B390" s="38" t="n">
        <v>46232.8212962963</v>
      </c>
      <c r="C390" s="37" t="s">
        <v>340</v>
      </c>
      <c r="D390" s="37" t="s">
        <v>731</v>
      </c>
      <c r="E390" s="37" t="n">
        <v>24452005</v>
      </c>
      <c r="F390" s="37" t="s">
        <v>160</v>
      </c>
      <c r="G390" s="37" t="s">
        <v>197</v>
      </c>
      <c r="H390" s="37" t="s">
        <v>185</v>
      </c>
      <c r="I390" s="37" t="n">
        <v>37.6</v>
      </c>
      <c r="J390" s="39" t="n">
        <v>391.04</v>
      </c>
      <c r="K390" s="37" t="s">
        <v>518</v>
      </c>
      <c r="L390" s="39" t="n">
        <v>113.83</v>
      </c>
      <c r="M390" s="39" t="n">
        <v>66.83</v>
      </c>
      <c r="N390" s="39" t="n">
        <f aca="false">J390*Resumo!$C$6</f>
        <v>0</v>
      </c>
      <c r="O390" s="39" t="n">
        <f aca="false">J390*Resumo!$C$7</f>
        <v>0.821184</v>
      </c>
      <c r="P390" s="39" t="n">
        <f aca="false">J390*Resumo!$C$8</f>
        <v>0.821184</v>
      </c>
      <c r="Q390" s="39" t="n">
        <f aca="false">Resumo!$C$10*CEILING(I390/100,1)</f>
        <v>1.05</v>
      </c>
      <c r="R390" s="39" t="n">
        <f aca="false">Resumo!$C$9</f>
        <v>0</v>
      </c>
      <c r="S390" s="39" t="n">
        <f aca="false">Resumo!$C$13</f>
        <v>13.55</v>
      </c>
      <c r="T390" s="39" t="n">
        <f aca="false">Resumo!$C$14*CEILING(I390,1)</f>
        <v>17.1</v>
      </c>
      <c r="U390" s="39" t="n">
        <f aca="false">SUM(M390:T390)*Resumo!$C$11</f>
        <v>0</v>
      </c>
      <c r="V390" s="39" t="n">
        <f aca="false">SUM(M390:U390)</f>
        <v>100.172368</v>
      </c>
      <c r="W390" s="39" t="n">
        <f aca="false">V390/(1-Resumo!$C$5)</f>
        <v>113.832236363636</v>
      </c>
      <c r="X390" s="39" t="n">
        <v>114.95</v>
      </c>
      <c r="Y390" s="39" t="n">
        <f aca="false">J390*Resumo!$B$6</f>
        <v>0.39104</v>
      </c>
      <c r="Z390" s="39" t="n">
        <f aca="false">J390*Resumo!$B$7</f>
        <v>0.78208</v>
      </c>
      <c r="AA390" s="39" t="n">
        <f aca="false">Resumo!$B$9</f>
        <v>1</v>
      </c>
      <c r="AB390" s="39" t="n">
        <f aca="false">Resumo!$B$10*CEILING(I390/100,1)</f>
        <v>4.5</v>
      </c>
      <c r="AC390" s="39" t="n">
        <f aca="false">Resumo!$B$12*CEILING(I390,1)</f>
        <v>2.28</v>
      </c>
      <c r="AD390" s="39" t="n">
        <f aca="false">Resumo!$B$14*CEILING(I390,1)</f>
        <v>17.1</v>
      </c>
      <c r="AE390" s="39" t="n">
        <f aca="false">SUM(X390:AD390)</f>
        <v>141.00312</v>
      </c>
      <c r="AF390" s="39" t="n">
        <f aca="false">AE390/(1-Resumo!$B$5)</f>
        <v>160.230818181818</v>
      </c>
      <c r="AG390" s="39" t="n">
        <f aca="false">AF390-W390</f>
        <v>46.3985818181818</v>
      </c>
      <c r="AH390" s="40" t="n">
        <f aca="false">AF390/W390-1</f>
        <v>0.407604939517852</v>
      </c>
      <c r="AI390" s="37" t="str">
        <f aca="false">IF(AF390&lt;W390,"SIM","NÃO")</f>
        <v>NÃO</v>
      </c>
      <c r="AJ390" s="37" t="n">
        <v>2</v>
      </c>
      <c r="AK390" s="37" t="n">
        <v>7</v>
      </c>
      <c r="AL390" s="37" t="s">
        <v>343</v>
      </c>
      <c r="AM390" s="39" t="n">
        <v>112.83</v>
      </c>
    </row>
    <row r="391" customFormat="false" ht="15" hidden="false" customHeight="false" outlineLevel="0" collapsed="false">
      <c r="A391" s="37" t="n">
        <v>368123432</v>
      </c>
      <c r="B391" s="38" t="n">
        <v>46232.8216666667</v>
      </c>
      <c r="C391" s="37" t="s">
        <v>340</v>
      </c>
      <c r="D391" s="37" t="s">
        <v>732</v>
      </c>
      <c r="E391" s="37" t="n">
        <v>22240004</v>
      </c>
      <c r="F391" s="37" t="s">
        <v>159</v>
      </c>
      <c r="G391" s="37" t="s">
        <v>196</v>
      </c>
      <c r="H391" s="37" t="s">
        <v>187</v>
      </c>
      <c r="I391" s="37" t="n">
        <v>52.3</v>
      </c>
      <c r="J391" s="39" t="n">
        <v>685.84</v>
      </c>
      <c r="K391" s="37" t="s">
        <v>518</v>
      </c>
      <c r="L391" s="39" t="n">
        <v>113.56</v>
      </c>
      <c r="M391" s="39" t="n">
        <v>58.6</v>
      </c>
      <c r="N391" s="39" t="n">
        <f aca="false">J391*Resumo!$C$6</f>
        <v>0</v>
      </c>
      <c r="O391" s="39" t="n">
        <f aca="false">J391*Resumo!$C$7</f>
        <v>1.440264</v>
      </c>
      <c r="P391" s="39" t="n">
        <f aca="false">J391*Resumo!$C$8</f>
        <v>1.440264</v>
      </c>
      <c r="Q391" s="39" t="n">
        <f aca="false">Resumo!$C$10*CEILING(I391/100,1)</f>
        <v>1.05</v>
      </c>
      <c r="R391" s="39" t="n">
        <f aca="false">Resumo!$C$9</f>
        <v>0</v>
      </c>
      <c r="S391" s="39" t="n">
        <f aca="false">Resumo!$C$13</f>
        <v>13.55</v>
      </c>
      <c r="T391" s="39" t="n">
        <f aca="false">Resumo!$C$14*CEILING(I391,1)</f>
        <v>23.85</v>
      </c>
      <c r="U391" s="39" t="n">
        <f aca="false">SUM(M391:T391)*Resumo!$C$11</f>
        <v>0</v>
      </c>
      <c r="V391" s="39" t="n">
        <f aca="false">SUM(M391:U391)</f>
        <v>99.930528</v>
      </c>
      <c r="W391" s="39" t="n">
        <f aca="false">V391/(1-Resumo!$C$5)</f>
        <v>113.557418181818</v>
      </c>
      <c r="X391" s="39" t="n">
        <v>112.3</v>
      </c>
      <c r="Y391" s="39" t="n">
        <f aca="false">J391*Resumo!$B$6</f>
        <v>0.68584</v>
      </c>
      <c r="Z391" s="39" t="n">
        <f aca="false">J391*Resumo!$B$7</f>
        <v>1.37168</v>
      </c>
      <c r="AA391" s="39" t="n">
        <f aca="false">Resumo!$B$9</f>
        <v>1</v>
      </c>
      <c r="AB391" s="39" t="n">
        <f aca="false">Resumo!$B$10*CEILING(I391/100,1)</f>
        <v>4.5</v>
      </c>
      <c r="AC391" s="39" t="n">
        <f aca="false">Resumo!$B$12*CEILING(I391,1)</f>
        <v>3.18</v>
      </c>
      <c r="AD391" s="39" t="n">
        <f aca="false">Resumo!$B$14*CEILING(I391,1)</f>
        <v>23.85</v>
      </c>
      <c r="AE391" s="39" t="n">
        <f aca="false">SUM(X391:AD391)</f>
        <v>146.88752</v>
      </c>
      <c r="AF391" s="39" t="n">
        <f aca="false">AE391/(1-Resumo!$B$5)</f>
        <v>166.917636363636</v>
      </c>
      <c r="AG391" s="39" t="n">
        <f aca="false">AF391-W391</f>
        <v>53.3602181818182</v>
      </c>
      <c r="AH391" s="40" t="n">
        <f aca="false">AF391/W391-1</f>
        <v>0.469896366403668</v>
      </c>
      <c r="AI391" s="37" t="str">
        <f aca="false">IF(AF391&lt;W391,"SIM","NÃO")</f>
        <v>NÃO</v>
      </c>
      <c r="AJ391" s="37" t="n">
        <v>2</v>
      </c>
      <c r="AK391" s="37" t="n">
        <v>5</v>
      </c>
      <c r="AL391" s="37" t="s">
        <v>343</v>
      </c>
      <c r="AM391" s="39" t="n">
        <v>114.44</v>
      </c>
    </row>
    <row r="392" customFormat="false" ht="15" hidden="false" customHeight="false" outlineLevel="0" collapsed="false">
      <c r="A392" s="37" t="n">
        <v>368154400</v>
      </c>
      <c r="B392" s="38" t="n">
        <v>46232.8812268519</v>
      </c>
      <c r="C392" s="37" t="s">
        <v>340</v>
      </c>
      <c r="D392" s="37" t="s">
        <v>733</v>
      </c>
      <c r="E392" s="37" t="n">
        <v>21250150</v>
      </c>
      <c r="F392" s="37" t="s">
        <v>159</v>
      </c>
      <c r="G392" s="37" t="s">
        <v>196</v>
      </c>
      <c r="H392" s="37" t="s">
        <v>186</v>
      </c>
      <c r="I392" s="37" t="n">
        <v>43.5</v>
      </c>
      <c r="J392" s="39" t="n">
        <v>769.99</v>
      </c>
      <c r="K392" s="37" t="s">
        <v>342</v>
      </c>
      <c r="L392" s="39" t="n">
        <v>104.27</v>
      </c>
      <c r="M392" s="39" t="n">
        <v>53.55</v>
      </c>
      <c r="N392" s="39" t="n">
        <f aca="false">J392*Resumo!$C$6</f>
        <v>0</v>
      </c>
      <c r="O392" s="39" t="n">
        <f aca="false">J392*Resumo!$C$7</f>
        <v>1.616979</v>
      </c>
      <c r="P392" s="39" t="n">
        <f aca="false">J392*Resumo!$C$8</f>
        <v>1.616979</v>
      </c>
      <c r="Q392" s="39" t="n">
        <f aca="false">Resumo!$C$10*CEILING(I392/100,1)</f>
        <v>1.05</v>
      </c>
      <c r="R392" s="39" t="n">
        <f aca="false">Resumo!$C$9</f>
        <v>0</v>
      </c>
      <c r="S392" s="39" t="n">
        <f aca="false">Resumo!$C$13</f>
        <v>13.55</v>
      </c>
      <c r="T392" s="39" t="n">
        <f aca="false">Resumo!$C$14*CEILING(I392,1)</f>
        <v>19.8</v>
      </c>
      <c r="U392" s="39" t="n">
        <f aca="false">SUM(M392:T392)*Resumo!$C$11</f>
        <v>0</v>
      </c>
      <c r="V392" s="39" t="n">
        <f aca="false">SUM(M392:U392)</f>
        <v>91.183958</v>
      </c>
      <c r="W392" s="39" t="n">
        <f aca="false">V392/(1-Resumo!$C$5)</f>
        <v>103.618134090909</v>
      </c>
      <c r="X392" s="39" t="n">
        <v>93.97</v>
      </c>
      <c r="Y392" s="39" t="n">
        <f aca="false">J392*Resumo!$B$6</f>
        <v>0.76999</v>
      </c>
      <c r="Z392" s="39" t="n">
        <f aca="false">J392*Resumo!$B$7</f>
        <v>1.53998</v>
      </c>
      <c r="AA392" s="39" t="n">
        <f aca="false">Resumo!$B$9</f>
        <v>1</v>
      </c>
      <c r="AB392" s="39" t="n">
        <f aca="false">Resumo!$B$10*CEILING(I392/100,1)</f>
        <v>4.5</v>
      </c>
      <c r="AC392" s="39" t="n">
        <f aca="false">Resumo!$B$12*CEILING(I392,1)</f>
        <v>2.64</v>
      </c>
      <c r="AD392" s="39" t="n">
        <f aca="false">Resumo!$B$14*CEILING(I392,1)</f>
        <v>19.8</v>
      </c>
      <c r="AE392" s="39" t="n">
        <f aca="false">SUM(X392:AD392)</f>
        <v>124.21997</v>
      </c>
      <c r="AF392" s="39" t="n">
        <f aca="false">AE392/(1-Resumo!$B$5)</f>
        <v>141.159056818182</v>
      </c>
      <c r="AG392" s="39" t="n">
        <f aca="false">AF392-W392</f>
        <v>37.5409227272727</v>
      </c>
      <c r="AH392" s="40" t="n">
        <f aca="false">AF392/W392-1</f>
        <v>0.362300702059895</v>
      </c>
      <c r="AI392" s="37" t="str">
        <f aca="false">IF(AF392&lt;W392,"SIM","NÃO")</f>
        <v>NÃO</v>
      </c>
      <c r="AJ392" s="37" t="n">
        <v>2</v>
      </c>
      <c r="AK392" s="37" t="n">
        <v>5</v>
      </c>
      <c r="AL392" s="37" t="s">
        <v>343</v>
      </c>
      <c r="AM392" s="39" t="n">
        <v>104.28</v>
      </c>
    </row>
    <row r="393" customFormat="false" ht="15" hidden="false" customHeight="false" outlineLevel="0" collapsed="false">
      <c r="A393" s="37" t="n">
        <v>368170099</v>
      </c>
      <c r="B393" s="38" t="n">
        <v>46232.9090509259</v>
      </c>
      <c r="C393" s="37" t="s">
        <v>345</v>
      </c>
      <c r="D393" s="37" t="s">
        <v>734</v>
      </c>
      <c r="E393" s="37" t="n">
        <v>28630590</v>
      </c>
      <c r="F393" s="37" t="s">
        <v>177</v>
      </c>
      <c r="G393" s="37" t="s">
        <v>198</v>
      </c>
      <c r="H393" s="37" t="s">
        <v>192</v>
      </c>
      <c r="I393" s="37" t="n">
        <v>124.2</v>
      </c>
      <c r="J393" s="39" t="n">
        <v>1630.39</v>
      </c>
      <c r="K393" s="37" t="s">
        <v>518</v>
      </c>
      <c r="L393" s="39" t="n">
        <v>253.39</v>
      </c>
      <c r="M393" s="39" t="n">
        <v>144.24</v>
      </c>
      <c r="N393" s="39" t="n">
        <f aca="false">J393*Resumo!$C$6</f>
        <v>0</v>
      </c>
      <c r="O393" s="39" t="n">
        <f aca="false">J393*Resumo!$C$7</f>
        <v>3.423819</v>
      </c>
      <c r="P393" s="39" t="n">
        <f aca="false">J393*Resumo!$C$8</f>
        <v>3.423819</v>
      </c>
      <c r="Q393" s="39" t="n">
        <f aca="false">Resumo!$C$10*CEILING(I393/100,1)</f>
        <v>2.1</v>
      </c>
      <c r="R393" s="39" t="n">
        <f aca="false">Resumo!$C$9</f>
        <v>0</v>
      </c>
      <c r="S393" s="39" t="n">
        <f aca="false">Resumo!$C$13</f>
        <v>13.55</v>
      </c>
      <c r="T393" s="39" t="n">
        <f aca="false">Resumo!$C$14*CEILING(I393,1)</f>
        <v>56.25</v>
      </c>
      <c r="U393" s="39" t="n">
        <f aca="false">SUM(M393:T393)*Resumo!$C$11</f>
        <v>0</v>
      </c>
      <c r="V393" s="39" t="n">
        <f aca="false">SUM(M393:U393)</f>
        <v>222.987638</v>
      </c>
      <c r="W393" s="39" t="n">
        <f aca="false">V393/(1-Resumo!$C$5)</f>
        <v>253.395043181818</v>
      </c>
      <c r="X393" s="39" t="n">
        <v>264.84</v>
      </c>
      <c r="Y393" s="39" t="n">
        <f aca="false">J393*Resumo!$B$6</f>
        <v>1.63039</v>
      </c>
      <c r="Z393" s="39" t="n">
        <f aca="false">J393*Resumo!$B$7</f>
        <v>3.26078</v>
      </c>
      <c r="AA393" s="39" t="n">
        <f aca="false">Resumo!$B$9</f>
        <v>1</v>
      </c>
      <c r="AB393" s="39" t="n">
        <f aca="false">Resumo!$B$10*CEILING(I393/100,1)</f>
        <v>9</v>
      </c>
      <c r="AC393" s="39" t="n">
        <f aca="false">Resumo!$B$12*CEILING(I393,1)</f>
        <v>7.5</v>
      </c>
      <c r="AD393" s="39" t="n">
        <f aca="false">Resumo!$B$14*CEILING(I393,1)</f>
        <v>56.25</v>
      </c>
      <c r="AE393" s="39" t="n">
        <f aca="false">SUM(X393:AD393)</f>
        <v>343.48117</v>
      </c>
      <c r="AF393" s="39" t="n">
        <f aca="false">AE393/(1-Resumo!$B$5)</f>
        <v>390.319511363636</v>
      </c>
      <c r="AG393" s="39" t="n">
        <f aca="false">AF393-W393</f>
        <v>136.924468181818</v>
      </c>
      <c r="AH393" s="40" t="n">
        <f aca="false">AF393/W393-1</f>
        <v>0.540359694737876</v>
      </c>
      <c r="AI393" s="37" t="str">
        <f aca="false">IF(AF393&lt;W393,"SIM","NÃO")</f>
        <v>NÃO</v>
      </c>
      <c r="AJ393" s="37" t="n">
        <v>13</v>
      </c>
      <c r="AK393" s="37" t="n">
        <v>10</v>
      </c>
      <c r="AL393" s="37" t="s">
        <v>343</v>
      </c>
      <c r="AM393" s="39" t="n">
        <v>261.1</v>
      </c>
    </row>
    <row r="394" customFormat="false" ht="15" hidden="false" customHeight="false" outlineLevel="0" collapsed="false">
      <c r="A394" s="37" t="n">
        <v>368193269</v>
      </c>
      <c r="B394" s="38" t="n">
        <v>46232.9664699074</v>
      </c>
      <c r="C394" s="37" t="s">
        <v>345</v>
      </c>
      <c r="D394" s="37" t="s">
        <v>735</v>
      </c>
      <c r="E394" s="37" t="n">
        <v>22031112</v>
      </c>
      <c r="F394" s="37" t="s">
        <v>159</v>
      </c>
      <c r="G394" s="37" t="s">
        <v>196</v>
      </c>
      <c r="H394" s="37" t="s">
        <v>184</v>
      </c>
      <c r="I394" s="37" t="n">
        <v>22.9</v>
      </c>
      <c r="J394" s="39" t="n">
        <v>314.76</v>
      </c>
      <c r="K394" s="37" t="s">
        <v>342</v>
      </c>
      <c r="L394" s="39" t="n">
        <v>81.83</v>
      </c>
      <c r="M394" s="39" t="n">
        <v>42.11</v>
      </c>
      <c r="N394" s="39" t="n">
        <f aca="false">J394*Resumo!$C$6</f>
        <v>0</v>
      </c>
      <c r="O394" s="39" t="n">
        <f aca="false">J394*Resumo!$C$7</f>
        <v>0.660996</v>
      </c>
      <c r="P394" s="39" t="n">
        <f aca="false">J394*Resumo!$C$8</f>
        <v>0.660996</v>
      </c>
      <c r="Q394" s="39" t="n">
        <f aca="false">Resumo!$C$10*CEILING(I394/100,1)</f>
        <v>1.05</v>
      </c>
      <c r="R394" s="39" t="n">
        <f aca="false">Resumo!$C$9</f>
        <v>0</v>
      </c>
      <c r="S394" s="39" t="n">
        <f aca="false">Resumo!$C$13</f>
        <v>13.55</v>
      </c>
      <c r="T394" s="39" t="n">
        <f aca="false">Resumo!$C$14*CEILING(I394,1)</f>
        <v>10.35</v>
      </c>
      <c r="U394" s="39" t="n">
        <f aca="false">SUM(M394:T394)*Resumo!$C$11</f>
        <v>0</v>
      </c>
      <c r="V394" s="39" t="n">
        <f aca="false">SUM(M394:U394)</f>
        <v>68.381992</v>
      </c>
      <c r="W394" s="39" t="n">
        <f aca="false">V394/(1-Resumo!$C$5)</f>
        <v>77.7068090909091</v>
      </c>
      <c r="X394" s="39" t="n">
        <v>82.21</v>
      </c>
      <c r="Y394" s="39" t="n">
        <f aca="false">J394*Resumo!$B$6</f>
        <v>0.31476</v>
      </c>
      <c r="Z394" s="39" t="n">
        <f aca="false">J394*Resumo!$B$7</f>
        <v>0.62952</v>
      </c>
      <c r="AA394" s="39" t="n">
        <f aca="false">Resumo!$B$9</f>
        <v>1</v>
      </c>
      <c r="AB394" s="39" t="n">
        <f aca="false">Resumo!$B$10*CEILING(I394/100,1)</f>
        <v>4.5</v>
      </c>
      <c r="AC394" s="39" t="n">
        <f aca="false">Resumo!$B$12*CEILING(I394,1)</f>
        <v>1.38</v>
      </c>
      <c r="AD394" s="39" t="n">
        <f aca="false">Resumo!$B$14*CEILING(I394,1)</f>
        <v>10.35</v>
      </c>
      <c r="AE394" s="39" t="n">
        <f aca="false">SUM(X394:AD394)</f>
        <v>100.38428</v>
      </c>
      <c r="AF394" s="39" t="n">
        <f aca="false">AE394/(1-Resumo!$B$5)</f>
        <v>114.073045454545</v>
      </c>
      <c r="AG394" s="39" t="n">
        <f aca="false">AF394-W394</f>
        <v>36.3662363636364</v>
      </c>
      <c r="AH394" s="40" t="n">
        <f aca="false">AF394/W394-1</f>
        <v>0.467992918369503</v>
      </c>
      <c r="AI394" s="37" t="str">
        <f aca="false">IF(AF394&lt;W394,"SIM","NÃO")</f>
        <v>NÃO</v>
      </c>
      <c r="AJ394" s="37" t="n">
        <v>2</v>
      </c>
      <c r="AK394" s="37" t="n">
        <v>5</v>
      </c>
      <c r="AL394" s="37" t="s">
        <v>343</v>
      </c>
      <c r="AM394" s="39" t="n">
        <v>81.83</v>
      </c>
    </row>
    <row r="395" customFormat="false" ht="15" hidden="false" customHeight="false" outlineLevel="0" collapsed="false">
      <c r="A395" s="37" t="n">
        <v>368199206</v>
      </c>
      <c r="B395" s="38" t="n">
        <v>46232.9820601852</v>
      </c>
      <c r="C395" s="37" t="s">
        <v>340</v>
      </c>
      <c r="D395" s="37" t="s">
        <v>736</v>
      </c>
      <c r="E395" s="37" t="n">
        <v>27320710</v>
      </c>
      <c r="F395" s="37" t="s">
        <v>247</v>
      </c>
      <c r="G395" s="37" t="s">
        <v>198</v>
      </c>
      <c r="H395" s="37" t="s">
        <v>192</v>
      </c>
      <c r="I395" s="37" t="n">
        <v>124.2</v>
      </c>
      <c r="J395" s="39" t="n">
        <v>1558.08</v>
      </c>
      <c r="K395" s="37" t="s">
        <v>518</v>
      </c>
      <c r="L395" s="39" t="n">
        <v>253.05</v>
      </c>
      <c r="M395" s="39" t="n">
        <v>144.24</v>
      </c>
      <c r="N395" s="39" t="n">
        <f aca="false">J395*Resumo!$C$6</f>
        <v>0</v>
      </c>
      <c r="O395" s="39" t="n">
        <f aca="false">J395*Resumo!$C$7</f>
        <v>3.271968</v>
      </c>
      <c r="P395" s="39" t="n">
        <f aca="false">J395*Resumo!$C$8</f>
        <v>3.271968</v>
      </c>
      <c r="Q395" s="39" t="n">
        <f aca="false">Resumo!$C$10*CEILING(I395/100,1)</f>
        <v>2.1</v>
      </c>
      <c r="R395" s="39" t="n">
        <f aca="false">Resumo!$C$9</f>
        <v>0</v>
      </c>
      <c r="S395" s="39" t="n">
        <f aca="false">Resumo!$C$13</f>
        <v>13.55</v>
      </c>
      <c r="T395" s="39" t="n">
        <f aca="false">Resumo!$C$14*CEILING(I395,1)</f>
        <v>56.25</v>
      </c>
      <c r="U395" s="39" t="n">
        <f aca="false">SUM(M395:T395)*Resumo!$C$11</f>
        <v>0</v>
      </c>
      <c r="V395" s="39" t="n">
        <f aca="false">SUM(M395:U395)</f>
        <v>222.683936</v>
      </c>
      <c r="W395" s="39" t="n">
        <f aca="false">V395/(1-Resumo!$C$5)</f>
        <v>253.049927272727</v>
      </c>
      <c r="X395" s="39" t="n">
        <v>264.84</v>
      </c>
      <c r="Y395" s="39" t="n">
        <f aca="false">J395*Resumo!$B$6</f>
        <v>1.55808</v>
      </c>
      <c r="Z395" s="39" t="n">
        <f aca="false">J395*Resumo!$B$7</f>
        <v>3.11616</v>
      </c>
      <c r="AA395" s="39" t="n">
        <f aca="false">Resumo!$B$9</f>
        <v>1</v>
      </c>
      <c r="AB395" s="39" t="n">
        <f aca="false">Resumo!$B$10*CEILING(I395/100,1)</f>
        <v>9</v>
      </c>
      <c r="AC395" s="39" t="n">
        <f aca="false">Resumo!$B$12*CEILING(I395,1)</f>
        <v>7.5</v>
      </c>
      <c r="AD395" s="39" t="n">
        <f aca="false">Resumo!$B$14*CEILING(I395,1)</f>
        <v>56.25</v>
      </c>
      <c r="AE395" s="39" t="n">
        <f aca="false">SUM(X395:AD395)</f>
        <v>343.26424</v>
      </c>
      <c r="AF395" s="39" t="n">
        <f aca="false">AE395/(1-Resumo!$B$5)</f>
        <v>390.073</v>
      </c>
      <c r="AG395" s="39" t="n">
        <f aca="false">AF395-W395</f>
        <v>137.023072727273</v>
      </c>
      <c r="AH395" s="40" t="n">
        <f aca="false">AF395/W395-1</f>
        <v>0.541486315384689</v>
      </c>
      <c r="AI395" s="37" t="str">
        <f aca="false">IF(AF395&lt;W395,"SIM","NÃO")</f>
        <v>NÃO</v>
      </c>
      <c r="AJ395" s="37" t="n">
        <v>13</v>
      </c>
      <c r="AK395" s="37" t="n">
        <v>10</v>
      </c>
      <c r="AL395" s="37" t="s">
        <v>347</v>
      </c>
      <c r="AM395" s="39" t="n">
        <v>260.76</v>
      </c>
    </row>
    <row r="396" customFormat="false" ht="15" hidden="false" customHeight="false" outlineLevel="0" collapsed="false">
      <c r="A396" s="37" t="n">
        <v>368235505</v>
      </c>
      <c r="B396" s="38" t="n">
        <v>46233.0966782407</v>
      </c>
      <c r="C396" s="37" t="s">
        <v>340</v>
      </c>
      <c r="D396" s="37" t="s">
        <v>737</v>
      </c>
      <c r="E396" s="37" t="n">
        <v>21321740</v>
      </c>
      <c r="F396" s="37" t="s">
        <v>159</v>
      </c>
      <c r="G396" s="37" t="s">
        <v>196</v>
      </c>
      <c r="H396" s="37" t="s">
        <v>186</v>
      </c>
      <c r="I396" s="37" t="n">
        <v>41</v>
      </c>
      <c r="J396" s="39" t="n">
        <v>559.99</v>
      </c>
      <c r="K396" s="37" t="s">
        <v>518</v>
      </c>
      <c r="L396" s="39" t="n">
        <v>101.09</v>
      </c>
      <c r="M396" s="39" t="n">
        <v>53.55</v>
      </c>
      <c r="N396" s="39" t="n">
        <f aca="false">J396*Resumo!$C$6</f>
        <v>0</v>
      </c>
      <c r="O396" s="39" t="n">
        <f aca="false">J396*Resumo!$C$7</f>
        <v>1.175979</v>
      </c>
      <c r="P396" s="39" t="n">
        <f aca="false">J396*Resumo!$C$8</f>
        <v>1.175979</v>
      </c>
      <c r="Q396" s="39" t="n">
        <f aca="false">Resumo!$C$10*CEILING(I396/100,1)</f>
        <v>1.05</v>
      </c>
      <c r="R396" s="39" t="n">
        <f aca="false">Resumo!$C$9</f>
        <v>0</v>
      </c>
      <c r="S396" s="39" t="n">
        <f aca="false">Resumo!$C$13</f>
        <v>13.55</v>
      </c>
      <c r="T396" s="39" t="n">
        <f aca="false">Resumo!$C$14*CEILING(I396,1)</f>
        <v>18.45</v>
      </c>
      <c r="U396" s="39" t="n">
        <f aca="false">SUM(M396:T396)*Resumo!$C$11</f>
        <v>0</v>
      </c>
      <c r="V396" s="39" t="n">
        <f aca="false">SUM(M396:U396)</f>
        <v>88.951958</v>
      </c>
      <c r="W396" s="39" t="n">
        <f aca="false">V396/(1-Resumo!$C$5)</f>
        <v>101.081770454545</v>
      </c>
      <c r="X396" s="39" t="n">
        <v>93.97</v>
      </c>
      <c r="Y396" s="39" t="n">
        <f aca="false">J396*Resumo!$B$6</f>
        <v>0.55999</v>
      </c>
      <c r="Z396" s="39" t="n">
        <f aca="false">J396*Resumo!$B$7</f>
        <v>1.11998</v>
      </c>
      <c r="AA396" s="39" t="n">
        <f aca="false">Resumo!$B$9</f>
        <v>1</v>
      </c>
      <c r="AB396" s="39" t="n">
        <f aca="false">Resumo!$B$10*CEILING(I396/100,1)</f>
        <v>4.5</v>
      </c>
      <c r="AC396" s="39" t="n">
        <f aca="false">Resumo!$B$12*CEILING(I396,1)</f>
        <v>2.46</v>
      </c>
      <c r="AD396" s="39" t="n">
        <f aca="false">Resumo!$B$14*CEILING(I396,1)</f>
        <v>18.45</v>
      </c>
      <c r="AE396" s="39" t="n">
        <f aca="false">SUM(X396:AD396)</f>
        <v>122.05997</v>
      </c>
      <c r="AF396" s="39" t="n">
        <f aca="false">AE396/(1-Resumo!$B$5)</f>
        <v>138.704511363636</v>
      </c>
      <c r="AG396" s="39" t="n">
        <f aca="false">AF396-W396</f>
        <v>37.6227409090909</v>
      </c>
      <c r="AH396" s="40" t="n">
        <f aca="false">AF396/W396-1</f>
        <v>0.372201048120829</v>
      </c>
      <c r="AI396" s="37" t="str">
        <f aca="false">IF(AF396&lt;W396,"SIM","NÃO")</f>
        <v>NÃO</v>
      </c>
      <c r="AJ396" s="37" t="n">
        <v>2</v>
      </c>
      <c r="AK396" s="37" t="n">
        <v>5</v>
      </c>
      <c r="AL396" s="37" t="s">
        <v>343</v>
      </c>
      <c r="AM396" s="39" t="n">
        <v>103.27</v>
      </c>
    </row>
    <row r="397" customFormat="false" ht="15" hidden="false" customHeight="false" outlineLevel="0" collapsed="false">
      <c r="A397" s="37" t="n">
        <v>368295630</v>
      </c>
      <c r="B397" s="38" t="n">
        <v>46233.3183101852</v>
      </c>
      <c r="C397" s="37" t="s">
        <v>345</v>
      </c>
      <c r="D397" s="37" t="s">
        <v>738</v>
      </c>
      <c r="E397" s="37" t="n">
        <v>21920070</v>
      </c>
      <c r="F397" s="37" t="s">
        <v>159</v>
      </c>
      <c r="G397" s="37" t="s">
        <v>196</v>
      </c>
      <c r="H397" s="37" t="s">
        <v>192</v>
      </c>
      <c r="I397" s="37" t="n">
        <v>124.2</v>
      </c>
      <c r="J397" s="39" t="n">
        <v>1630.39</v>
      </c>
      <c r="K397" s="37" t="s">
        <v>342</v>
      </c>
      <c r="L397" s="39" t="n">
        <v>234.1</v>
      </c>
      <c r="M397" s="39" t="n">
        <v>120.59</v>
      </c>
      <c r="N397" s="39" t="n">
        <f aca="false">J397*Resumo!$C$6</f>
        <v>0</v>
      </c>
      <c r="O397" s="39" t="n">
        <f aca="false">J397*Resumo!$C$7</f>
        <v>3.423819</v>
      </c>
      <c r="P397" s="39" t="n">
        <f aca="false">J397*Resumo!$C$8</f>
        <v>3.423819</v>
      </c>
      <c r="Q397" s="39" t="n">
        <f aca="false">Resumo!$C$10*CEILING(I397/100,1)</f>
        <v>2.1</v>
      </c>
      <c r="R397" s="39" t="n">
        <f aca="false">Resumo!$C$9</f>
        <v>0</v>
      </c>
      <c r="S397" s="39" t="n">
        <f aca="false">Resumo!$C$13</f>
        <v>13.55</v>
      </c>
      <c r="T397" s="39" t="n">
        <f aca="false">Resumo!$C$14*CEILING(I397,1)</f>
        <v>56.25</v>
      </c>
      <c r="U397" s="39" t="n">
        <f aca="false">SUM(M397:T397)*Resumo!$C$11</f>
        <v>0</v>
      </c>
      <c r="V397" s="39" t="n">
        <f aca="false">SUM(M397:U397)</f>
        <v>199.337638</v>
      </c>
      <c r="W397" s="39" t="n">
        <f aca="false">V397/(1-Resumo!$C$5)</f>
        <v>226.520043181818</v>
      </c>
      <c r="X397" s="39" t="n">
        <v>239.25</v>
      </c>
      <c r="Y397" s="39" t="n">
        <f aca="false">J397*Resumo!$B$6</f>
        <v>1.63039</v>
      </c>
      <c r="Z397" s="39" t="n">
        <f aca="false">J397*Resumo!$B$7</f>
        <v>3.26078</v>
      </c>
      <c r="AA397" s="39" t="n">
        <f aca="false">Resumo!$B$9</f>
        <v>1</v>
      </c>
      <c r="AB397" s="39" t="n">
        <f aca="false">Resumo!$B$10*CEILING(I397/100,1)</f>
        <v>9</v>
      </c>
      <c r="AC397" s="39" t="n">
        <f aca="false">Resumo!$B$12*CEILING(I397,1)</f>
        <v>7.5</v>
      </c>
      <c r="AD397" s="39" t="n">
        <f aca="false">Resumo!$B$14*CEILING(I397,1)</f>
        <v>56.25</v>
      </c>
      <c r="AE397" s="39" t="n">
        <f aca="false">SUM(X397:AD397)</f>
        <v>317.89117</v>
      </c>
      <c r="AF397" s="39" t="n">
        <f aca="false">AE397/(1-Resumo!$B$5)</f>
        <v>361.239965909091</v>
      </c>
      <c r="AG397" s="39" t="n">
        <f aca="false">AF397-W397</f>
        <v>134.719922727273</v>
      </c>
      <c r="AH397" s="40" t="n">
        <f aca="false">AF397/W397-1</f>
        <v>0.594737316993793</v>
      </c>
      <c r="AI397" s="37" t="str">
        <f aca="false">IF(AF397&lt;W397,"SIM","NÃO")</f>
        <v>NÃO</v>
      </c>
      <c r="AJ397" s="37" t="n">
        <v>2</v>
      </c>
      <c r="AK397" s="37" t="n">
        <v>5</v>
      </c>
      <c r="AL397" s="37" t="s">
        <v>343</v>
      </c>
      <c r="AM397" s="39" t="n">
        <v>234.1</v>
      </c>
    </row>
    <row r="398" customFormat="false" ht="15" hidden="false" customHeight="false" outlineLevel="0" collapsed="false">
      <c r="A398" s="37" t="n">
        <v>368303266</v>
      </c>
      <c r="B398" s="38" t="n">
        <v>46233.3419212963</v>
      </c>
      <c r="C398" s="37" t="s">
        <v>379</v>
      </c>
      <c r="D398" s="37" t="s">
        <v>414</v>
      </c>
      <c r="E398" s="37" t="n">
        <v>24110310</v>
      </c>
      <c r="F398" s="37" t="s">
        <v>163</v>
      </c>
      <c r="G398" s="37" t="s">
        <v>197</v>
      </c>
      <c r="H398" s="37" t="s">
        <v>187</v>
      </c>
      <c r="I398" s="37" t="n">
        <v>52.3</v>
      </c>
      <c r="J398" s="39" t="n">
        <v>597.99</v>
      </c>
      <c r="K398" s="37" t="s">
        <v>518</v>
      </c>
      <c r="L398" s="39" t="n">
        <v>127.22</v>
      </c>
      <c r="M398" s="39" t="n">
        <v>70.98</v>
      </c>
      <c r="N398" s="39" t="n">
        <f aca="false">J398*Resumo!$C$6</f>
        <v>0</v>
      </c>
      <c r="O398" s="39" t="n">
        <f aca="false">J398*Resumo!$C$7</f>
        <v>1.255779</v>
      </c>
      <c r="P398" s="39" t="n">
        <f aca="false">J398*Resumo!$C$8</f>
        <v>1.255779</v>
      </c>
      <c r="Q398" s="39" t="n">
        <f aca="false">Resumo!$C$10*CEILING(I398/100,1)</f>
        <v>1.05</v>
      </c>
      <c r="R398" s="39" t="n">
        <f aca="false">Resumo!$C$9</f>
        <v>0</v>
      </c>
      <c r="S398" s="39" t="n">
        <f aca="false">Resumo!$C$13</f>
        <v>13.55</v>
      </c>
      <c r="T398" s="39" t="n">
        <f aca="false">Resumo!$C$14*CEILING(I398,1)</f>
        <v>23.85</v>
      </c>
      <c r="U398" s="39" t="n">
        <f aca="false">SUM(M398:T398)*Resumo!$C$11</f>
        <v>0</v>
      </c>
      <c r="V398" s="39" t="n">
        <f aca="false">SUM(M398:U398)</f>
        <v>111.941558</v>
      </c>
      <c r="W398" s="39" t="n">
        <f aca="false">V398/(1-Resumo!$C$5)</f>
        <v>127.206315909091</v>
      </c>
      <c r="X398" s="39" t="n">
        <v>128.14</v>
      </c>
      <c r="Y398" s="39" t="n">
        <f aca="false">J398*Resumo!$B$6</f>
        <v>0.59799</v>
      </c>
      <c r="Z398" s="39" t="n">
        <f aca="false">J398*Resumo!$B$7</f>
        <v>1.19598</v>
      </c>
      <c r="AA398" s="39" t="n">
        <f aca="false">Resumo!$B$9</f>
        <v>1</v>
      </c>
      <c r="AB398" s="39" t="n">
        <f aca="false">Resumo!$B$10*CEILING(I398/100,1)</f>
        <v>4.5</v>
      </c>
      <c r="AC398" s="39" t="n">
        <f aca="false">Resumo!$B$12*CEILING(I398,1)</f>
        <v>3.18</v>
      </c>
      <c r="AD398" s="39" t="n">
        <f aca="false">Resumo!$B$14*CEILING(I398,1)</f>
        <v>23.85</v>
      </c>
      <c r="AE398" s="39" t="n">
        <f aca="false">SUM(X398:AD398)</f>
        <v>162.46397</v>
      </c>
      <c r="AF398" s="39" t="n">
        <f aca="false">AE398/(1-Resumo!$B$5)</f>
        <v>184.618147727273</v>
      </c>
      <c r="AG398" s="39" t="n">
        <f aca="false">AF398-W398</f>
        <v>57.4118318181818</v>
      </c>
      <c r="AH398" s="40" t="n">
        <f aca="false">AF398/W398-1</f>
        <v>0.451328469092774</v>
      </c>
      <c r="AI398" s="37" t="str">
        <f aca="false">IF(AF398&lt;W398,"SIM","NÃO")</f>
        <v>NÃO</v>
      </c>
      <c r="AJ398" s="37" t="n">
        <v>2</v>
      </c>
      <c r="AK398" s="37" t="n">
        <v>7</v>
      </c>
      <c r="AL398" s="37" t="s">
        <v>343</v>
      </c>
      <c r="AM398" s="39" t="n">
        <v>128.15</v>
      </c>
    </row>
    <row r="399" customFormat="false" ht="15" hidden="false" customHeight="false" outlineLevel="0" collapsed="false">
      <c r="A399" s="37" t="n">
        <v>368306337</v>
      </c>
      <c r="B399" s="38" t="n">
        <v>46233.350775463</v>
      </c>
      <c r="C399" s="37" t="s">
        <v>340</v>
      </c>
      <c r="D399" s="37" t="s">
        <v>739</v>
      </c>
      <c r="E399" s="37" t="n">
        <v>24322535</v>
      </c>
      <c r="F399" s="37" t="s">
        <v>163</v>
      </c>
      <c r="G399" s="37" t="s">
        <v>197</v>
      </c>
      <c r="H399" s="37" t="s">
        <v>186</v>
      </c>
      <c r="I399" s="37" t="n">
        <v>44.5</v>
      </c>
      <c r="J399" s="39" t="n">
        <v>685.62</v>
      </c>
      <c r="K399" s="37" t="s">
        <v>342</v>
      </c>
      <c r="L399" s="39" t="n">
        <v>117.35</v>
      </c>
      <c r="M399" s="39" t="n">
        <v>65.36</v>
      </c>
      <c r="N399" s="39" t="n">
        <f aca="false">J399*Resumo!$C$6</f>
        <v>0</v>
      </c>
      <c r="O399" s="39" t="n">
        <f aca="false">J399*Resumo!$C$7</f>
        <v>1.439802</v>
      </c>
      <c r="P399" s="39" t="n">
        <f aca="false">J399*Resumo!$C$8</f>
        <v>1.439802</v>
      </c>
      <c r="Q399" s="39" t="n">
        <f aca="false">Resumo!$C$10*CEILING(I399/100,1)</f>
        <v>1.05</v>
      </c>
      <c r="R399" s="39" t="n">
        <f aca="false">Resumo!$C$9</f>
        <v>0</v>
      </c>
      <c r="S399" s="39" t="n">
        <f aca="false">Resumo!$C$13</f>
        <v>13.55</v>
      </c>
      <c r="T399" s="39" t="n">
        <f aca="false">Resumo!$C$14*CEILING(I399,1)</f>
        <v>20.25</v>
      </c>
      <c r="U399" s="39" t="n">
        <f aca="false">SUM(M399:T399)*Resumo!$C$11</f>
        <v>0</v>
      </c>
      <c r="V399" s="39" t="n">
        <f aca="false">SUM(M399:U399)</f>
        <v>103.089604</v>
      </c>
      <c r="W399" s="39" t="n">
        <f aca="false">V399/(1-Resumo!$C$5)</f>
        <v>117.147277272727</v>
      </c>
      <c r="X399" s="39" t="n">
        <v>114.95</v>
      </c>
      <c r="Y399" s="39" t="n">
        <f aca="false">J399*Resumo!$B$6</f>
        <v>0.68562</v>
      </c>
      <c r="Z399" s="39" t="n">
        <f aca="false">J399*Resumo!$B$7</f>
        <v>1.37124</v>
      </c>
      <c r="AA399" s="39" t="n">
        <f aca="false">Resumo!$B$9</f>
        <v>1</v>
      </c>
      <c r="AB399" s="39" t="n">
        <f aca="false">Resumo!$B$10*CEILING(I399/100,1)</f>
        <v>4.5</v>
      </c>
      <c r="AC399" s="39" t="n">
        <f aca="false">Resumo!$B$12*CEILING(I399,1)</f>
        <v>2.7</v>
      </c>
      <c r="AD399" s="39" t="n">
        <f aca="false">Resumo!$B$14*CEILING(I399,1)</f>
        <v>20.25</v>
      </c>
      <c r="AE399" s="39" t="n">
        <f aca="false">SUM(X399:AD399)</f>
        <v>145.45686</v>
      </c>
      <c r="AF399" s="39" t="n">
        <f aca="false">AE399/(1-Resumo!$B$5)</f>
        <v>165.291886363636</v>
      </c>
      <c r="AG399" s="39" t="n">
        <f aca="false">AF399-W399</f>
        <v>48.1446090909091</v>
      </c>
      <c r="AH399" s="40" t="n">
        <f aca="false">AF399/W399-1</f>
        <v>0.410975058163964</v>
      </c>
      <c r="AI399" s="37" t="str">
        <f aca="false">IF(AF399&lt;W399,"SIM","NÃO")</f>
        <v>NÃO</v>
      </c>
      <c r="AJ399" s="37" t="n">
        <v>2</v>
      </c>
      <c r="AK399" s="37" t="n">
        <v>7</v>
      </c>
      <c r="AL399" s="37" t="s">
        <v>343</v>
      </c>
      <c r="AM399" s="39" t="n">
        <v>117.36</v>
      </c>
    </row>
    <row r="400" customFormat="false" ht="15" hidden="false" customHeight="false" outlineLevel="0" collapsed="false">
      <c r="A400" s="37" t="n">
        <v>368330685</v>
      </c>
      <c r="B400" s="38" t="n">
        <v>46233.3898611111</v>
      </c>
      <c r="C400" s="37" t="s">
        <v>537</v>
      </c>
      <c r="D400" s="37" t="s">
        <v>740</v>
      </c>
      <c r="E400" s="37" t="n">
        <v>22051002</v>
      </c>
      <c r="F400" s="37" t="s">
        <v>159</v>
      </c>
      <c r="G400" s="37" t="s">
        <v>196</v>
      </c>
      <c r="H400" s="37" t="s">
        <v>186</v>
      </c>
      <c r="I400" s="37" t="n">
        <v>48.3</v>
      </c>
      <c r="J400" s="39" t="n">
        <v>474.99</v>
      </c>
      <c r="K400" s="37" t="s">
        <v>342</v>
      </c>
      <c r="L400" s="39" t="n">
        <v>102.86</v>
      </c>
      <c r="M400" s="39" t="n">
        <v>53.55</v>
      </c>
      <c r="N400" s="39" t="n">
        <f aca="false">J400*Resumo!$C$6</f>
        <v>0</v>
      </c>
      <c r="O400" s="39" t="n">
        <f aca="false">J400*Resumo!$C$7</f>
        <v>0.997479</v>
      </c>
      <c r="P400" s="39" t="n">
        <f aca="false">J400*Resumo!$C$8</f>
        <v>0.997479</v>
      </c>
      <c r="Q400" s="39" t="n">
        <f aca="false">Resumo!$C$10*CEILING(I400/100,1)</f>
        <v>1.05</v>
      </c>
      <c r="R400" s="39" t="n">
        <f aca="false">Resumo!$C$9</f>
        <v>0</v>
      </c>
      <c r="S400" s="39" t="n">
        <f aca="false">Resumo!$C$13</f>
        <v>13.55</v>
      </c>
      <c r="T400" s="39" t="n">
        <f aca="false">Resumo!$C$14*CEILING(I400,1)</f>
        <v>22.05</v>
      </c>
      <c r="U400" s="39" t="n">
        <f aca="false">SUM(M400:T400)*Resumo!$C$11</f>
        <v>0</v>
      </c>
      <c r="V400" s="39" t="n">
        <f aca="false">SUM(M400:U400)</f>
        <v>92.194958</v>
      </c>
      <c r="W400" s="39" t="n">
        <f aca="false">V400/(1-Resumo!$C$5)</f>
        <v>104.766997727273</v>
      </c>
      <c r="X400" s="39" t="n">
        <v>93.97</v>
      </c>
      <c r="Y400" s="39" t="n">
        <f aca="false">J400*Resumo!$B$6</f>
        <v>0.47499</v>
      </c>
      <c r="Z400" s="39" t="n">
        <f aca="false">J400*Resumo!$B$7</f>
        <v>0.94998</v>
      </c>
      <c r="AA400" s="39" t="n">
        <f aca="false">Resumo!$B$9</f>
        <v>1</v>
      </c>
      <c r="AB400" s="39" t="n">
        <f aca="false">Resumo!$B$10*CEILING(I400/100,1)</f>
        <v>4.5</v>
      </c>
      <c r="AC400" s="39" t="n">
        <f aca="false">Resumo!$B$12*CEILING(I400,1)</f>
        <v>2.94</v>
      </c>
      <c r="AD400" s="39" t="n">
        <f aca="false">Resumo!$B$14*CEILING(I400,1)</f>
        <v>22.05</v>
      </c>
      <c r="AE400" s="39" t="n">
        <f aca="false">SUM(X400:AD400)</f>
        <v>125.88497</v>
      </c>
      <c r="AF400" s="39" t="n">
        <f aca="false">AE400/(1-Resumo!$B$5)</f>
        <v>143.051102272727</v>
      </c>
      <c r="AG400" s="39" t="n">
        <f aca="false">AF400-W400</f>
        <v>38.2841045454545</v>
      </c>
      <c r="AH400" s="40" t="n">
        <f aca="false">AF400/W400-1</f>
        <v>0.365421414910781</v>
      </c>
      <c r="AI400" s="37" t="str">
        <f aca="false">IF(AF400&lt;W400,"SIM","NÃO")</f>
        <v>NÃO</v>
      </c>
      <c r="AJ400" s="37" t="n">
        <v>2</v>
      </c>
      <c r="AK400" s="37" t="n">
        <v>5</v>
      </c>
      <c r="AL400" s="37" t="s">
        <v>343</v>
      </c>
      <c r="AM400" s="39" t="n">
        <v>102.86</v>
      </c>
    </row>
    <row r="401" customFormat="false" ht="15" hidden="false" customHeight="false" outlineLevel="0" collapsed="false">
      <c r="A401" s="37" t="n">
        <v>368347140</v>
      </c>
      <c r="B401" s="38" t="n">
        <v>46233.4425347222</v>
      </c>
      <c r="C401" s="37" t="s">
        <v>375</v>
      </c>
      <c r="D401" s="37" t="s">
        <v>741</v>
      </c>
      <c r="E401" s="37" t="n">
        <v>23075067</v>
      </c>
      <c r="F401" s="37" t="s">
        <v>159</v>
      </c>
      <c r="G401" s="37" t="s">
        <v>196</v>
      </c>
      <c r="H401" s="37" t="s">
        <v>183</v>
      </c>
      <c r="I401" s="37" t="n">
        <v>19.9</v>
      </c>
      <c r="J401" s="39" t="n">
        <v>227.12</v>
      </c>
      <c r="K401" s="37" t="s">
        <v>518</v>
      </c>
      <c r="L401" s="39" t="n">
        <v>65.89</v>
      </c>
      <c r="M401" s="39" t="n">
        <v>33.42</v>
      </c>
      <c r="N401" s="39" t="n">
        <f aca="false">J401*Resumo!$C$6</f>
        <v>0</v>
      </c>
      <c r="O401" s="39" t="n">
        <f aca="false">J401*Resumo!$C$7</f>
        <v>0.476952</v>
      </c>
      <c r="P401" s="39" t="n">
        <f aca="false">J401*Resumo!$C$8</f>
        <v>0.476952</v>
      </c>
      <c r="Q401" s="39" t="n">
        <f aca="false">Resumo!$C$10*CEILING(I401/100,1)</f>
        <v>1.05</v>
      </c>
      <c r="R401" s="39" t="n">
        <f aca="false">Resumo!$C$9</f>
        <v>0</v>
      </c>
      <c r="S401" s="39" t="n">
        <f aca="false">Resumo!$C$13</f>
        <v>13.55</v>
      </c>
      <c r="T401" s="39" t="n">
        <f aca="false">Resumo!$C$14*CEILING(I401,1)</f>
        <v>9</v>
      </c>
      <c r="U401" s="39" t="n">
        <f aca="false">SUM(M401:T401)*Resumo!$C$11</f>
        <v>0</v>
      </c>
      <c r="V401" s="39" t="n">
        <f aca="false">SUM(M401:U401)</f>
        <v>57.973904</v>
      </c>
      <c r="W401" s="39" t="n">
        <f aca="false">V401/(1-Resumo!$C$5)</f>
        <v>65.8794363636364</v>
      </c>
      <c r="X401" s="39" t="n">
        <v>46.98</v>
      </c>
      <c r="Y401" s="39" t="n">
        <f aca="false">J401*Resumo!$B$6</f>
        <v>0.22712</v>
      </c>
      <c r="Z401" s="39" t="n">
        <f aca="false">J401*Resumo!$B$7</f>
        <v>0.45424</v>
      </c>
      <c r="AA401" s="39" t="n">
        <f aca="false">Resumo!$B$9</f>
        <v>1</v>
      </c>
      <c r="AB401" s="39" t="n">
        <f aca="false">Resumo!$B$10*CEILING(I401/100,1)</f>
        <v>4.5</v>
      </c>
      <c r="AC401" s="39" t="n">
        <f aca="false">Resumo!$B$12*CEILING(I401,1)</f>
        <v>1.2</v>
      </c>
      <c r="AD401" s="39" t="n">
        <f aca="false">Resumo!$B$14*CEILING(I401,1)</f>
        <v>9</v>
      </c>
      <c r="AE401" s="39" t="n">
        <f aca="false">SUM(X401:AD401)</f>
        <v>63.36136</v>
      </c>
      <c r="AF401" s="39" t="n">
        <f aca="false">AE401/(1-Resumo!$B$5)</f>
        <v>72.0015454545455</v>
      </c>
      <c r="AG401" s="39" t="n">
        <f aca="false">AF401-W401</f>
        <v>6.12210909090908</v>
      </c>
      <c r="AH401" s="40" t="n">
        <f aca="false">AF401/W401-1</f>
        <v>0.092928984047719</v>
      </c>
      <c r="AI401" s="37" t="str">
        <f aca="false">IF(AF401&lt;W401,"SIM","NÃO")</f>
        <v>NÃO</v>
      </c>
      <c r="AJ401" s="37" t="n">
        <v>2</v>
      </c>
      <c r="AK401" s="37" t="n">
        <v>5</v>
      </c>
      <c r="AL401" s="37" t="s">
        <v>343</v>
      </c>
      <c r="AM401" s="39" t="n">
        <v>64.31</v>
      </c>
    </row>
    <row r="402" customFormat="false" ht="15" hidden="false" customHeight="false" outlineLevel="0" collapsed="false">
      <c r="A402" s="37" t="n">
        <v>368352842</v>
      </c>
      <c r="B402" s="38" t="n">
        <v>46233.4518055556</v>
      </c>
      <c r="C402" s="37" t="s">
        <v>340</v>
      </c>
      <c r="D402" s="37" t="s">
        <v>742</v>
      </c>
      <c r="E402" s="37" t="n">
        <v>23903602</v>
      </c>
      <c r="F402" s="37" t="s">
        <v>169</v>
      </c>
      <c r="G402" s="37" t="s">
        <v>198</v>
      </c>
      <c r="H402" s="37" t="s">
        <v>187</v>
      </c>
      <c r="I402" s="37" t="n">
        <v>52.3</v>
      </c>
      <c r="J402" s="39" t="n">
        <v>685.84</v>
      </c>
      <c r="K402" s="37" t="s">
        <v>518</v>
      </c>
      <c r="L402" s="39" t="n">
        <v>141.94</v>
      </c>
      <c r="M402" s="39" t="n">
        <v>83.58</v>
      </c>
      <c r="N402" s="39" t="n">
        <f aca="false">J402*Resumo!$C$6</f>
        <v>0</v>
      </c>
      <c r="O402" s="39" t="n">
        <f aca="false">J402*Resumo!$C$7</f>
        <v>1.440264</v>
      </c>
      <c r="P402" s="39" t="n">
        <f aca="false">J402*Resumo!$C$8</f>
        <v>1.440264</v>
      </c>
      <c r="Q402" s="39" t="n">
        <f aca="false">Resumo!$C$10*CEILING(I402/100,1)</f>
        <v>1.05</v>
      </c>
      <c r="R402" s="39" t="n">
        <f aca="false">Resumo!$C$9</f>
        <v>0</v>
      </c>
      <c r="S402" s="39" t="n">
        <f aca="false">Resumo!$C$13</f>
        <v>13.55</v>
      </c>
      <c r="T402" s="39" t="n">
        <f aca="false">Resumo!$C$14*CEILING(I402,1)</f>
        <v>23.85</v>
      </c>
      <c r="U402" s="39" t="n">
        <f aca="false">SUM(M402:T402)*Resumo!$C$11</f>
        <v>0</v>
      </c>
      <c r="V402" s="39" t="n">
        <f aca="false">SUM(M402:U402)</f>
        <v>124.910528</v>
      </c>
      <c r="W402" s="39" t="n">
        <f aca="false">V402/(1-Resumo!$C$5)</f>
        <v>141.943781818182</v>
      </c>
      <c r="X402" s="39" t="n">
        <v>142.32</v>
      </c>
      <c r="Y402" s="39" t="n">
        <f aca="false">J402*Resumo!$B$6</f>
        <v>0.68584</v>
      </c>
      <c r="Z402" s="39" t="n">
        <f aca="false">J402*Resumo!$B$7</f>
        <v>1.37168</v>
      </c>
      <c r="AA402" s="39" t="n">
        <f aca="false">Resumo!$B$9</f>
        <v>1</v>
      </c>
      <c r="AB402" s="39" t="n">
        <f aca="false">Resumo!$B$10*CEILING(I402/100,1)</f>
        <v>4.5</v>
      </c>
      <c r="AC402" s="39" t="n">
        <f aca="false">Resumo!$B$12*CEILING(I402,1)</f>
        <v>3.18</v>
      </c>
      <c r="AD402" s="39" t="n">
        <f aca="false">Resumo!$B$14*CEILING(I402,1)</f>
        <v>23.85</v>
      </c>
      <c r="AE402" s="39" t="n">
        <f aca="false">SUM(X402:AD402)</f>
        <v>176.90752</v>
      </c>
      <c r="AF402" s="39" t="n">
        <f aca="false">AE402/(1-Resumo!$B$5)</f>
        <v>201.031272727273</v>
      </c>
      <c r="AG402" s="39" t="n">
        <f aca="false">AF402-W402</f>
        <v>59.0874909090909</v>
      </c>
      <c r="AH402" s="40" t="n">
        <f aca="false">AF402/W402-1</f>
        <v>0.41627389486337</v>
      </c>
      <c r="AI402" s="37" t="str">
        <f aca="false">IF(AF402&lt;W402,"SIM","NÃO")</f>
        <v>NÃO</v>
      </c>
      <c r="AJ402" s="37" t="n">
        <v>13</v>
      </c>
      <c r="AK402" s="37" t="n">
        <v>10</v>
      </c>
      <c r="AL402" s="37" t="s">
        <v>343</v>
      </c>
      <c r="AM402" s="39" t="n">
        <v>142.96</v>
      </c>
    </row>
    <row r="403" customFormat="false" ht="15" hidden="false" customHeight="false" outlineLevel="0" collapsed="false">
      <c r="A403" s="37" t="n">
        <v>368357810</v>
      </c>
      <c r="B403" s="38" t="n">
        <v>46233.4588310185</v>
      </c>
      <c r="C403" s="37" t="s">
        <v>340</v>
      </c>
      <c r="D403" s="37" t="s">
        <v>743</v>
      </c>
      <c r="E403" s="37" t="n">
        <v>21073190</v>
      </c>
      <c r="F403" s="37" t="s">
        <v>159</v>
      </c>
      <c r="G403" s="37" t="s">
        <v>196</v>
      </c>
      <c r="H403" s="37" t="s">
        <v>184</v>
      </c>
      <c r="I403" s="37" t="n">
        <v>22</v>
      </c>
      <c r="J403" s="39" t="n">
        <v>829.99</v>
      </c>
      <c r="K403" s="37" t="s">
        <v>342</v>
      </c>
      <c r="L403" s="39" t="n">
        <v>84.31</v>
      </c>
      <c r="M403" s="39" t="n">
        <v>42.11</v>
      </c>
      <c r="N403" s="39" t="n">
        <f aca="false">J403*Resumo!$C$6</f>
        <v>0</v>
      </c>
      <c r="O403" s="39" t="n">
        <f aca="false">J403*Resumo!$C$7</f>
        <v>1.742979</v>
      </c>
      <c r="P403" s="39" t="n">
        <f aca="false">J403*Resumo!$C$8</f>
        <v>1.742979</v>
      </c>
      <c r="Q403" s="39" t="n">
        <f aca="false">Resumo!$C$10*CEILING(I403/100,1)</f>
        <v>1.05</v>
      </c>
      <c r="R403" s="39" t="n">
        <f aca="false">Resumo!$C$9</f>
        <v>0</v>
      </c>
      <c r="S403" s="39" t="n">
        <f aca="false">Resumo!$C$13</f>
        <v>13.55</v>
      </c>
      <c r="T403" s="39" t="n">
        <f aca="false">Resumo!$C$14*CEILING(I403,1)</f>
        <v>9.9</v>
      </c>
      <c r="U403" s="39" t="n">
        <f aca="false">SUM(M403:T403)*Resumo!$C$11</f>
        <v>0</v>
      </c>
      <c r="V403" s="39" t="n">
        <f aca="false">SUM(M403:U403)</f>
        <v>70.095958</v>
      </c>
      <c r="W403" s="39" t="n">
        <f aca="false">V403/(1-Resumo!$C$5)</f>
        <v>79.6544977272727</v>
      </c>
      <c r="X403" s="39" t="n">
        <v>82.21</v>
      </c>
      <c r="Y403" s="39" t="n">
        <f aca="false">J403*Resumo!$B$6</f>
        <v>0.82999</v>
      </c>
      <c r="Z403" s="39" t="n">
        <f aca="false">J403*Resumo!$B$7</f>
        <v>1.65998</v>
      </c>
      <c r="AA403" s="39" t="n">
        <f aca="false">Resumo!$B$9</f>
        <v>1</v>
      </c>
      <c r="AB403" s="39" t="n">
        <f aca="false">Resumo!$B$10*CEILING(I403/100,1)</f>
        <v>4.5</v>
      </c>
      <c r="AC403" s="39" t="n">
        <f aca="false">Resumo!$B$12*CEILING(I403,1)</f>
        <v>1.32</v>
      </c>
      <c r="AD403" s="39" t="n">
        <f aca="false">Resumo!$B$14*CEILING(I403,1)</f>
        <v>9.9</v>
      </c>
      <c r="AE403" s="39" t="n">
        <f aca="false">SUM(X403:AD403)</f>
        <v>101.41997</v>
      </c>
      <c r="AF403" s="39" t="n">
        <f aca="false">AE403/(1-Resumo!$B$5)</f>
        <v>115.249965909091</v>
      </c>
      <c r="AG403" s="39" t="n">
        <f aca="false">AF403-W403</f>
        <v>35.5954681818182</v>
      </c>
      <c r="AH403" s="40" t="n">
        <f aca="false">AF403/W403-1</f>
        <v>0.446873299028169</v>
      </c>
      <c r="AI403" s="37" t="str">
        <f aca="false">IF(AF403&lt;W403,"SIM","NÃO")</f>
        <v>NÃO</v>
      </c>
      <c r="AJ403" s="37" t="n">
        <v>2</v>
      </c>
      <c r="AK403" s="37" t="n">
        <v>5</v>
      </c>
      <c r="AL403" s="37" t="s">
        <v>343</v>
      </c>
      <c r="AM403" s="39" t="n">
        <v>84.3</v>
      </c>
    </row>
    <row r="404" customFormat="false" ht="15" hidden="false" customHeight="false" outlineLevel="0" collapsed="false">
      <c r="A404" s="37" t="n">
        <v>368361033</v>
      </c>
      <c r="B404" s="38" t="n">
        <v>46233.463287037</v>
      </c>
      <c r="C404" s="37" t="s">
        <v>340</v>
      </c>
      <c r="D404" s="37" t="s">
        <v>744</v>
      </c>
      <c r="E404" s="37" t="n">
        <v>22471210</v>
      </c>
      <c r="F404" s="37" t="s">
        <v>159</v>
      </c>
      <c r="G404" s="37" t="s">
        <v>196</v>
      </c>
      <c r="H404" s="37" t="s">
        <v>185</v>
      </c>
      <c r="I404" s="37" t="n">
        <v>37.2</v>
      </c>
      <c r="J404" s="39" t="n">
        <v>399.99</v>
      </c>
      <c r="K404" s="37" t="s">
        <v>518</v>
      </c>
      <c r="L404" s="39" t="n">
        <v>92.87</v>
      </c>
      <c r="M404" s="39" t="n">
        <v>48.35</v>
      </c>
      <c r="N404" s="39" t="n">
        <f aca="false">J404*Resumo!$C$6</f>
        <v>0</v>
      </c>
      <c r="O404" s="39" t="n">
        <f aca="false">J404*Resumo!$C$7</f>
        <v>0.839979</v>
      </c>
      <c r="P404" s="39" t="n">
        <f aca="false">J404*Resumo!$C$8</f>
        <v>0.839979</v>
      </c>
      <c r="Q404" s="39" t="n">
        <f aca="false">Resumo!$C$10*CEILING(I404/100,1)</f>
        <v>1.05</v>
      </c>
      <c r="R404" s="39" t="n">
        <f aca="false">Resumo!$C$9</f>
        <v>0</v>
      </c>
      <c r="S404" s="39" t="n">
        <f aca="false">Resumo!$C$13</f>
        <v>13.55</v>
      </c>
      <c r="T404" s="39" t="n">
        <f aca="false">Resumo!$C$14*CEILING(I404,1)</f>
        <v>17.1</v>
      </c>
      <c r="U404" s="39" t="n">
        <f aca="false">SUM(M404:T404)*Resumo!$C$11</f>
        <v>0</v>
      </c>
      <c r="V404" s="39" t="n">
        <f aca="false">SUM(M404:U404)</f>
        <v>81.729958</v>
      </c>
      <c r="W404" s="39" t="n">
        <f aca="false">V404/(1-Resumo!$C$5)</f>
        <v>92.8749522727273</v>
      </c>
      <c r="X404" s="39" t="n">
        <v>93.97</v>
      </c>
      <c r="Y404" s="39" t="n">
        <f aca="false">J404*Resumo!$B$6</f>
        <v>0.39999</v>
      </c>
      <c r="Z404" s="39" t="n">
        <f aca="false">J404*Resumo!$B$7</f>
        <v>0.79998</v>
      </c>
      <c r="AA404" s="39" t="n">
        <f aca="false">Resumo!$B$9</f>
        <v>1</v>
      </c>
      <c r="AB404" s="39" t="n">
        <f aca="false">Resumo!$B$10*CEILING(I404/100,1)</f>
        <v>4.5</v>
      </c>
      <c r="AC404" s="39" t="n">
        <f aca="false">Resumo!$B$12*CEILING(I404,1)</f>
        <v>2.28</v>
      </c>
      <c r="AD404" s="39" t="n">
        <f aca="false">Resumo!$B$14*CEILING(I404,1)</f>
        <v>17.1</v>
      </c>
      <c r="AE404" s="39" t="n">
        <f aca="false">SUM(X404:AD404)</f>
        <v>120.04997</v>
      </c>
      <c r="AF404" s="39" t="n">
        <f aca="false">AE404/(1-Resumo!$B$5)</f>
        <v>136.420420454545</v>
      </c>
      <c r="AG404" s="39" t="n">
        <f aca="false">AF404-W404</f>
        <v>43.5454681818182</v>
      </c>
      <c r="AH404" s="40" t="n">
        <f aca="false">AF404/W404-1</f>
        <v>0.468861271163262</v>
      </c>
      <c r="AI404" s="37" t="str">
        <f aca="false">IF(AF404&lt;W404,"SIM","NÃO")</f>
        <v>NÃO</v>
      </c>
      <c r="AJ404" s="37" t="n">
        <v>2</v>
      </c>
      <c r="AK404" s="37" t="n">
        <v>5</v>
      </c>
      <c r="AL404" s="37" t="s">
        <v>343</v>
      </c>
      <c r="AM404" s="39" t="n">
        <v>91.77</v>
      </c>
    </row>
    <row r="405" customFormat="false" ht="15" hidden="false" customHeight="false" outlineLevel="0" collapsed="false">
      <c r="A405" s="37" t="n">
        <v>368377370</v>
      </c>
      <c r="B405" s="38" t="n">
        <v>46233.4870949074</v>
      </c>
      <c r="C405" s="37" t="s">
        <v>340</v>
      </c>
      <c r="D405" s="37" t="s">
        <v>745</v>
      </c>
      <c r="E405" s="37" t="n">
        <v>27521071</v>
      </c>
      <c r="F405" s="37" t="s">
        <v>250</v>
      </c>
      <c r="G405" s="37" t="s">
        <v>198</v>
      </c>
      <c r="H405" s="37" t="s">
        <v>187</v>
      </c>
      <c r="I405" s="37" t="n">
        <v>54</v>
      </c>
      <c r="J405" s="39" t="n">
        <v>956.51</v>
      </c>
      <c r="K405" s="37" t="s">
        <v>518</v>
      </c>
      <c r="L405" s="39" t="n">
        <v>143.75</v>
      </c>
      <c r="M405" s="39" t="n">
        <v>83.58</v>
      </c>
      <c r="N405" s="39" t="n">
        <f aca="false">J405*Resumo!$C$6</f>
        <v>0</v>
      </c>
      <c r="O405" s="39" t="n">
        <f aca="false">J405*Resumo!$C$7</f>
        <v>2.008671</v>
      </c>
      <c r="P405" s="39" t="n">
        <f aca="false">J405*Resumo!$C$8</f>
        <v>2.008671</v>
      </c>
      <c r="Q405" s="39" t="n">
        <f aca="false">Resumo!$C$10*CEILING(I405/100,1)</f>
        <v>1.05</v>
      </c>
      <c r="R405" s="39" t="n">
        <f aca="false">Resumo!$C$9</f>
        <v>0</v>
      </c>
      <c r="S405" s="39" t="n">
        <f aca="false">Resumo!$C$13</f>
        <v>13.55</v>
      </c>
      <c r="T405" s="39" t="n">
        <f aca="false">Resumo!$C$14*CEILING(I405,1)</f>
        <v>24.3</v>
      </c>
      <c r="U405" s="39" t="n">
        <f aca="false">SUM(M405:T405)*Resumo!$C$11</f>
        <v>0</v>
      </c>
      <c r="V405" s="39" t="n">
        <f aca="false">SUM(M405:U405)</f>
        <v>126.497342</v>
      </c>
      <c r="W405" s="39" t="n">
        <f aca="false">V405/(1-Resumo!$C$5)</f>
        <v>143.746979545455</v>
      </c>
      <c r="X405" s="39" t="n">
        <v>142.32</v>
      </c>
      <c r="Y405" s="39" t="n">
        <f aca="false">J405*Resumo!$B$6</f>
        <v>0.95651</v>
      </c>
      <c r="Z405" s="39" t="n">
        <f aca="false">J405*Resumo!$B$7</f>
        <v>1.91302</v>
      </c>
      <c r="AA405" s="39" t="n">
        <f aca="false">Resumo!$B$9</f>
        <v>1</v>
      </c>
      <c r="AB405" s="39" t="n">
        <f aca="false">Resumo!$B$10*CEILING(I405/100,1)</f>
        <v>4.5</v>
      </c>
      <c r="AC405" s="39" t="n">
        <f aca="false">Resumo!$B$12*CEILING(I405,1)</f>
        <v>3.24</v>
      </c>
      <c r="AD405" s="39" t="n">
        <f aca="false">Resumo!$B$14*CEILING(I405,1)</f>
        <v>24.3</v>
      </c>
      <c r="AE405" s="39" t="n">
        <f aca="false">SUM(X405:AD405)</f>
        <v>178.22953</v>
      </c>
      <c r="AF405" s="39" t="n">
        <f aca="false">AE405/(1-Resumo!$B$5)</f>
        <v>202.533556818182</v>
      </c>
      <c r="AG405" s="39" t="n">
        <f aca="false">AF405-W405</f>
        <v>58.7865772727273</v>
      </c>
      <c r="AH405" s="40" t="n">
        <f aca="false">AF405/W405-1</f>
        <v>0.408958695748722</v>
      </c>
      <c r="AI405" s="37" t="str">
        <f aca="false">IF(AF405&lt;W405,"SIM","NÃO")</f>
        <v>NÃO</v>
      </c>
      <c r="AJ405" s="37" t="n">
        <v>13</v>
      </c>
      <c r="AK405" s="37" t="n">
        <v>10</v>
      </c>
      <c r="AL405" s="37" t="s">
        <v>347</v>
      </c>
      <c r="AM405" s="39" t="n">
        <v>144.25</v>
      </c>
    </row>
    <row r="406" customFormat="false" ht="15" hidden="false" customHeight="false" outlineLevel="0" collapsed="false">
      <c r="A406" s="37" t="n">
        <v>368408124</v>
      </c>
      <c r="B406" s="38" t="n">
        <v>46233.5485532407</v>
      </c>
      <c r="C406" s="37" t="s">
        <v>340</v>
      </c>
      <c r="D406" s="37" t="s">
        <v>746</v>
      </c>
      <c r="E406" s="37" t="n">
        <v>26190420</v>
      </c>
      <c r="F406" s="37" t="s">
        <v>165</v>
      </c>
      <c r="G406" s="37" t="s">
        <v>197</v>
      </c>
      <c r="H406" s="37" t="s">
        <v>186</v>
      </c>
      <c r="I406" s="37" t="n">
        <v>46.8</v>
      </c>
      <c r="J406" s="39" t="n">
        <v>599.99</v>
      </c>
      <c r="K406" s="37" t="s">
        <v>518</v>
      </c>
      <c r="L406" s="39" t="n">
        <v>117.76</v>
      </c>
      <c r="M406" s="39" t="n">
        <v>65.36</v>
      </c>
      <c r="N406" s="39" t="n">
        <f aca="false">J406*Resumo!$C$6</f>
        <v>0</v>
      </c>
      <c r="O406" s="39" t="n">
        <f aca="false">J406*Resumo!$C$7</f>
        <v>1.259979</v>
      </c>
      <c r="P406" s="39" t="n">
        <f aca="false">J406*Resumo!$C$8</f>
        <v>1.259979</v>
      </c>
      <c r="Q406" s="39" t="n">
        <f aca="false">Resumo!$C$10*CEILING(I406/100,1)</f>
        <v>1.05</v>
      </c>
      <c r="R406" s="39" t="n">
        <f aca="false">Resumo!$C$9</f>
        <v>0</v>
      </c>
      <c r="S406" s="39" t="n">
        <f aca="false">Resumo!$C$13</f>
        <v>13.55</v>
      </c>
      <c r="T406" s="39" t="n">
        <f aca="false">Resumo!$C$14*CEILING(I406,1)</f>
        <v>21.15</v>
      </c>
      <c r="U406" s="39" t="n">
        <f aca="false">SUM(M406:T406)*Resumo!$C$11</f>
        <v>0</v>
      </c>
      <c r="V406" s="39" t="n">
        <f aca="false">SUM(M406:U406)</f>
        <v>103.629958</v>
      </c>
      <c r="W406" s="39" t="n">
        <f aca="false">V406/(1-Resumo!$C$5)</f>
        <v>117.761315909091</v>
      </c>
      <c r="X406" s="39" t="n">
        <v>93.97</v>
      </c>
      <c r="Y406" s="39" t="n">
        <f aca="false">J406*Resumo!$B$6</f>
        <v>0.59999</v>
      </c>
      <c r="Z406" s="39" t="n">
        <f aca="false">J406*Resumo!$B$7</f>
        <v>1.19998</v>
      </c>
      <c r="AA406" s="39" t="n">
        <f aca="false">Resumo!$B$9</f>
        <v>1</v>
      </c>
      <c r="AB406" s="39" t="n">
        <f aca="false">Resumo!$B$10*CEILING(I406/100,1)</f>
        <v>4.5</v>
      </c>
      <c r="AC406" s="39" t="n">
        <f aca="false">Resumo!$B$12*CEILING(I406,1)</f>
        <v>2.82</v>
      </c>
      <c r="AD406" s="39" t="n">
        <f aca="false">Resumo!$B$14*CEILING(I406,1)</f>
        <v>21.15</v>
      </c>
      <c r="AE406" s="39" t="n">
        <f aca="false">SUM(X406:AD406)</f>
        <v>125.23997</v>
      </c>
      <c r="AF406" s="39" t="n">
        <f aca="false">AE406/(1-Resumo!$B$5)</f>
        <v>142.318147727273</v>
      </c>
      <c r="AG406" s="39" t="n">
        <f aca="false">AF406-W406</f>
        <v>24.5568318181818</v>
      </c>
      <c r="AH406" s="40" t="n">
        <f aca="false">AF406/W406-1</f>
        <v>0.208530548666246</v>
      </c>
      <c r="AI406" s="37" t="str">
        <f aca="false">IF(AF406&lt;W406,"SIM","NÃO")</f>
        <v>NÃO</v>
      </c>
      <c r="AJ406" s="37" t="n">
        <v>2</v>
      </c>
      <c r="AK406" s="37" t="n">
        <v>5</v>
      </c>
      <c r="AL406" s="37" t="s">
        <v>343</v>
      </c>
      <c r="AM406" s="39" t="n">
        <v>116.95</v>
      </c>
    </row>
    <row r="407" customFormat="false" ht="15" hidden="false" customHeight="false" outlineLevel="0" collapsed="false">
      <c r="A407" s="37" t="n">
        <v>368416343</v>
      </c>
      <c r="B407" s="38" t="n">
        <v>46233.5647337963</v>
      </c>
      <c r="C407" s="37" t="s">
        <v>340</v>
      </c>
      <c r="D407" s="37" t="s">
        <v>747</v>
      </c>
      <c r="E407" s="37" t="n">
        <v>25035060</v>
      </c>
      <c r="F407" s="37" t="s">
        <v>161</v>
      </c>
      <c r="G407" s="37" t="s">
        <v>197</v>
      </c>
      <c r="H407" s="37" t="s">
        <v>183</v>
      </c>
      <c r="I407" s="37" t="n">
        <v>19.9</v>
      </c>
      <c r="J407" s="39" t="n">
        <v>279.99</v>
      </c>
      <c r="K407" s="37" t="s">
        <v>342</v>
      </c>
      <c r="L407" s="39" t="n">
        <v>75.18</v>
      </c>
      <c r="M407" s="39" t="n">
        <v>42.72</v>
      </c>
      <c r="N407" s="39" t="n">
        <f aca="false">J407*Resumo!$C$6</f>
        <v>0</v>
      </c>
      <c r="O407" s="39" t="n">
        <f aca="false">J407*Resumo!$C$7</f>
        <v>0.587979</v>
      </c>
      <c r="P407" s="39" t="n">
        <f aca="false">J407*Resumo!$C$8</f>
        <v>0.587979</v>
      </c>
      <c r="Q407" s="39" t="n">
        <f aca="false">Resumo!$C$10*CEILING(I407/100,1)</f>
        <v>1.05</v>
      </c>
      <c r="R407" s="39" t="n">
        <f aca="false">Resumo!$C$9</f>
        <v>0</v>
      </c>
      <c r="S407" s="39" t="n">
        <f aca="false">Resumo!$C$13</f>
        <v>13.55</v>
      </c>
      <c r="T407" s="39" t="n">
        <f aca="false">Resumo!$C$14*CEILING(I407,1)</f>
        <v>9</v>
      </c>
      <c r="U407" s="39" t="n">
        <f aca="false">SUM(M407:T407)*Resumo!$C$11</f>
        <v>0</v>
      </c>
      <c r="V407" s="39" t="n">
        <f aca="false">SUM(M407:U407)</f>
        <v>67.495958</v>
      </c>
      <c r="W407" s="39" t="n">
        <f aca="false">V407/(1-Resumo!$C$5)</f>
        <v>76.6999522727273</v>
      </c>
      <c r="X407" s="39" t="n">
        <v>46.98</v>
      </c>
      <c r="Y407" s="39" t="n">
        <f aca="false">J407*Resumo!$B$6</f>
        <v>0.27999</v>
      </c>
      <c r="Z407" s="39" t="n">
        <f aca="false">J407*Resumo!$B$7</f>
        <v>0.55998</v>
      </c>
      <c r="AA407" s="39" t="n">
        <f aca="false">Resumo!$B$9</f>
        <v>1</v>
      </c>
      <c r="AB407" s="39" t="n">
        <f aca="false">Resumo!$B$10*CEILING(I407/100,1)</f>
        <v>4.5</v>
      </c>
      <c r="AC407" s="39" t="n">
        <f aca="false">Resumo!$B$12*CEILING(I407,1)</f>
        <v>1.2</v>
      </c>
      <c r="AD407" s="39" t="n">
        <f aca="false">Resumo!$B$14*CEILING(I407,1)</f>
        <v>9</v>
      </c>
      <c r="AE407" s="39" t="n">
        <f aca="false">SUM(X407:AD407)</f>
        <v>63.51997</v>
      </c>
      <c r="AF407" s="39" t="n">
        <f aca="false">AE407/(1-Resumo!$B$5)</f>
        <v>72.1817840909091</v>
      </c>
      <c r="AG407" s="39" t="n">
        <f aca="false">AF407-W407</f>
        <v>-4.5181681818182</v>
      </c>
      <c r="AH407" s="40" t="n">
        <f aca="false">AF407/W407-1</f>
        <v>-0.0589070533675515</v>
      </c>
      <c r="AI407" s="37" t="str">
        <f aca="false">IF(AF407&lt;W407,"SIM","NÃO")</f>
        <v>SIM</v>
      </c>
      <c r="AJ407" s="37" t="n">
        <v>2</v>
      </c>
      <c r="AK407" s="37" t="n">
        <v>5</v>
      </c>
      <c r="AL407" s="37" t="s">
        <v>343</v>
      </c>
      <c r="AM407" s="39" t="n">
        <v>75.18</v>
      </c>
    </row>
    <row r="408" customFormat="false" ht="15" hidden="false" customHeight="false" outlineLevel="0" collapsed="false">
      <c r="A408" s="37" t="n">
        <v>368440917</v>
      </c>
      <c r="B408" s="38" t="n">
        <v>46233.6147569444</v>
      </c>
      <c r="C408" s="37" t="s">
        <v>340</v>
      </c>
      <c r="D408" s="37" t="s">
        <v>748</v>
      </c>
      <c r="E408" s="37" t="n">
        <v>21740170</v>
      </c>
      <c r="F408" s="37" t="s">
        <v>159</v>
      </c>
      <c r="G408" s="37" t="s">
        <v>196</v>
      </c>
      <c r="H408" s="37" t="s">
        <v>185</v>
      </c>
      <c r="I408" s="37" t="n">
        <v>39</v>
      </c>
      <c r="J408" s="39" t="n">
        <v>515.19</v>
      </c>
      <c r="K408" s="37" t="s">
        <v>342</v>
      </c>
      <c r="L408" s="39" t="n">
        <v>92.33</v>
      </c>
      <c r="M408" s="39" t="n">
        <v>48.35</v>
      </c>
      <c r="N408" s="39" t="n">
        <f aca="false">J408*Resumo!$C$6</f>
        <v>0</v>
      </c>
      <c r="O408" s="39" t="n">
        <f aca="false">J408*Resumo!$C$7</f>
        <v>1.081899</v>
      </c>
      <c r="P408" s="39" t="n">
        <f aca="false">J408*Resumo!$C$8</f>
        <v>1.081899</v>
      </c>
      <c r="Q408" s="39" t="n">
        <f aca="false">Resumo!$C$10*CEILING(I408/100,1)</f>
        <v>1.05</v>
      </c>
      <c r="R408" s="39" t="n">
        <f aca="false">Resumo!$C$9</f>
        <v>0</v>
      </c>
      <c r="S408" s="39" t="n">
        <f aca="false">Resumo!$C$13</f>
        <v>13.55</v>
      </c>
      <c r="T408" s="39" t="n">
        <f aca="false">Resumo!$C$14*CEILING(I408,1)</f>
        <v>17.55</v>
      </c>
      <c r="U408" s="39" t="n">
        <f aca="false">SUM(M408:T408)*Resumo!$C$11</f>
        <v>0</v>
      </c>
      <c r="V408" s="39" t="n">
        <f aca="false">SUM(M408:U408)</f>
        <v>82.663798</v>
      </c>
      <c r="W408" s="39" t="n">
        <f aca="false">V408/(1-Resumo!$C$5)</f>
        <v>93.9361340909091</v>
      </c>
      <c r="X408" s="39" t="n">
        <v>93.97</v>
      </c>
      <c r="Y408" s="39" t="n">
        <f aca="false">J408*Resumo!$B$6</f>
        <v>0.51519</v>
      </c>
      <c r="Z408" s="39" t="n">
        <f aca="false">J408*Resumo!$B$7</f>
        <v>1.03038</v>
      </c>
      <c r="AA408" s="39" t="n">
        <f aca="false">Resumo!$B$9</f>
        <v>1</v>
      </c>
      <c r="AB408" s="39" t="n">
        <f aca="false">Resumo!$B$10*CEILING(I408/100,1)</f>
        <v>4.5</v>
      </c>
      <c r="AC408" s="39" t="n">
        <f aca="false">Resumo!$B$12*CEILING(I408,1)</f>
        <v>2.34</v>
      </c>
      <c r="AD408" s="39" t="n">
        <f aca="false">Resumo!$B$14*CEILING(I408,1)</f>
        <v>17.55</v>
      </c>
      <c r="AE408" s="39" t="n">
        <f aca="false">SUM(X408:AD408)</f>
        <v>120.90557</v>
      </c>
      <c r="AF408" s="39" t="n">
        <f aca="false">AE408/(1-Resumo!$B$5)</f>
        <v>137.392693181818</v>
      </c>
      <c r="AG408" s="39" t="n">
        <f aca="false">AF408-W408</f>
        <v>43.4565590909091</v>
      </c>
      <c r="AH408" s="40" t="n">
        <f aca="false">AF408/W408-1</f>
        <v>0.462618134240578</v>
      </c>
      <c r="AI408" s="37" t="str">
        <f aca="false">IF(AF408&lt;W408,"SIM","NÃO")</f>
        <v>NÃO</v>
      </c>
      <c r="AJ408" s="37" t="n">
        <v>2</v>
      </c>
      <c r="AK408" s="37" t="n">
        <v>5</v>
      </c>
      <c r="AL408" s="37" t="s">
        <v>343</v>
      </c>
      <c r="AM408" s="39" t="n">
        <v>92.33</v>
      </c>
    </row>
    <row r="409" customFormat="false" ht="15" hidden="false" customHeight="false" outlineLevel="0" collapsed="false">
      <c r="A409" s="37" t="n">
        <v>368443840</v>
      </c>
      <c r="B409" s="38" t="n">
        <v>46233.6209953704</v>
      </c>
      <c r="C409" s="37" t="s">
        <v>340</v>
      </c>
      <c r="D409" s="37" t="s">
        <v>749</v>
      </c>
      <c r="E409" s="37" t="n">
        <v>20911300</v>
      </c>
      <c r="F409" s="37" t="s">
        <v>159</v>
      </c>
      <c r="G409" s="37" t="s">
        <v>196</v>
      </c>
      <c r="H409" s="37" t="s">
        <v>191</v>
      </c>
      <c r="I409" s="37" t="n">
        <v>117.5</v>
      </c>
      <c r="J409" s="39" t="n">
        <v>1349.99</v>
      </c>
      <c r="K409" s="37" t="s">
        <v>342</v>
      </c>
      <c r="L409" s="39" t="n">
        <v>186.11</v>
      </c>
      <c r="M409" s="39" t="n">
        <v>92.34</v>
      </c>
      <c r="N409" s="39" t="n">
        <f aca="false">J409*Resumo!$C$6</f>
        <v>0</v>
      </c>
      <c r="O409" s="39" t="n">
        <f aca="false">J409*Resumo!$C$7</f>
        <v>2.834979</v>
      </c>
      <c r="P409" s="39" t="n">
        <f aca="false">J409*Resumo!$C$8</f>
        <v>2.834979</v>
      </c>
      <c r="Q409" s="39" t="n">
        <f aca="false">Resumo!$C$10*CEILING(I409/100,1)</f>
        <v>2.1</v>
      </c>
      <c r="R409" s="39" t="n">
        <f aca="false">Resumo!$C$9</f>
        <v>0</v>
      </c>
      <c r="S409" s="39" t="n">
        <f aca="false">Resumo!$C$13</f>
        <v>13.55</v>
      </c>
      <c r="T409" s="39" t="n">
        <f aca="false">Resumo!$C$14*CEILING(I409,1)</f>
        <v>53.1</v>
      </c>
      <c r="U409" s="39" t="n">
        <f aca="false">SUM(M409:T409)*Resumo!$C$11</f>
        <v>0</v>
      </c>
      <c r="V409" s="39" t="n">
        <f aca="false">SUM(M409:U409)</f>
        <v>166.759958</v>
      </c>
      <c r="W409" s="39" t="n">
        <f aca="false">V409/(1-Resumo!$C$5)</f>
        <v>189.499952272727</v>
      </c>
      <c r="X409" s="39" t="n">
        <v>201.59</v>
      </c>
      <c r="Y409" s="39" t="n">
        <f aca="false">J409*Resumo!$B$6</f>
        <v>1.34999</v>
      </c>
      <c r="Z409" s="39" t="n">
        <f aca="false">J409*Resumo!$B$7</f>
        <v>2.69998</v>
      </c>
      <c r="AA409" s="39" t="n">
        <f aca="false">Resumo!$B$9</f>
        <v>1</v>
      </c>
      <c r="AB409" s="39" t="n">
        <f aca="false">Resumo!$B$10*CEILING(I409/100,1)</f>
        <v>9</v>
      </c>
      <c r="AC409" s="39" t="n">
        <f aca="false">Resumo!$B$12*CEILING(I409,1)</f>
        <v>7.08</v>
      </c>
      <c r="AD409" s="39" t="n">
        <f aca="false">Resumo!$B$14*CEILING(I409,1)</f>
        <v>53.1</v>
      </c>
      <c r="AE409" s="39" t="n">
        <f aca="false">SUM(X409:AD409)</f>
        <v>275.81997</v>
      </c>
      <c r="AF409" s="39" t="n">
        <f aca="false">AE409/(1-Resumo!$B$5)</f>
        <v>313.431784090909</v>
      </c>
      <c r="AG409" s="39" t="n">
        <f aca="false">AF409-W409</f>
        <v>123.931831818182</v>
      </c>
      <c r="AH409" s="40" t="n">
        <f aca="false">AF409/W409-1</f>
        <v>0.653994000166395</v>
      </c>
      <c r="AI409" s="37" t="str">
        <f aca="false">IF(AF409&lt;W409,"SIM","NÃO")</f>
        <v>NÃO</v>
      </c>
      <c r="AJ409" s="37" t="n">
        <v>2</v>
      </c>
      <c r="AK409" s="37" t="n">
        <v>5</v>
      </c>
      <c r="AL409" s="37" t="s">
        <v>343</v>
      </c>
      <c r="AM409" s="39" t="n">
        <v>186.11</v>
      </c>
    </row>
    <row r="410" customFormat="false" ht="15" hidden="false" customHeight="false" outlineLevel="0" collapsed="false">
      <c r="A410" s="37" t="n">
        <v>368446760</v>
      </c>
      <c r="B410" s="38" t="n">
        <v>46233.6272800926</v>
      </c>
      <c r="C410" s="37" t="s">
        <v>340</v>
      </c>
      <c r="D410" s="37" t="s">
        <v>750</v>
      </c>
      <c r="E410" s="37" t="n">
        <v>28455130</v>
      </c>
      <c r="F410" s="37" t="s">
        <v>270</v>
      </c>
      <c r="G410" s="37" t="s">
        <v>198</v>
      </c>
      <c r="H410" s="37" t="s">
        <v>185</v>
      </c>
      <c r="I410" s="37" t="n">
        <v>36.9</v>
      </c>
      <c r="J410" s="39" t="n">
        <v>389.99</v>
      </c>
      <c r="K410" s="37" t="s">
        <v>518</v>
      </c>
      <c r="L410" s="39" t="n">
        <v>122.57</v>
      </c>
      <c r="M410" s="39" t="n">
        <v>74.97</v>
      </c>
      <c r="N410" s="39" t="n">
        <f aca="false">J410*Resumo!$C$6</f>
        <v>0</v>
      </c>
      <c r="O410" s="39" t="n">
        <f aca="false">J410*Resumo!$C$7</f>
        <v>0.818979</v>
      </c>
      <c r="P410" s="39" t="n">
        <f aca="false">J410*Resumo!$C$8</f>
        <v>0.818979</v>
      </c>
      <c r="Q410" s="39" t="n">
        <f aca="false">Resumo!$C$10*CEILING(I410/100,1)</f>
        <v>1.05</v>
      </c>
      <c r="R410" s="39" t="n">
        <f aca="false">Resumo!$C$9</f>
        <v>0</v>
      </c>
      <c r="S410" s="39" t="n">
        <f aca="false">Resumo!$C$13</f>
        <v>13.55</v>
      </c>
      <c r="T410" s="39" t="n">
        <f aca="false">Resumo!$C$14*CEILING(I410,1)</f>
        <v>16.65</v>
      </c>
      <c r="U410" s="39" t="n">
        <f aca="false">SUM(M410:T410)*Resumo!$C$11</f>
        <v>0</v>
      </c>
      <c r="V410" s="39" t="n">
        <f aca="false">SUM(M410:U410)</f>
        <v>107.857958</v>
      </c>
      <c r="W410" s="39" t="n">
        <f aca="false">V410/(1-Resumo!$C$5)</f>
        <v>122.565861363636</v>
      </c>
      <c r="X410" s="39" t="n">
        <v>143.04</v>
      </c>
      <c r="Y410" s="39" t="n">
        <f aca="false">J410*Resumo!$B$6</f>
        <v>0.38999</v>
      </c>
      <c r="Z410" s="39" t="n">
        <f aca="false">J410*Resumo!$B$7</f>
        <v>0.77998</v>
      </c>
      <c r="AA410" s="39" t="n">
        <f aca="false">Resumo!$B$9</f>
        <v>1</v>
      </c>
      <c r="AB410" s="39" t="n">
        <f aca="false">Resumo!$B$10*CEILING(I410/100,1)</f>
        <v>4.5</v>
      </c>
      <c r="AC410" s="39" t="n">
        <f aca="false">Resumo!$B$12*CEILING(I410,1)</f>
        <v>2.22</v>
      </c>
      <c r="AD410" s="39" t="n">
        <f aca="false">Resumo!$B$14*CEILING(I410,1)</f>
        <v>16.65</v>
      </c>
      <c r="AE410" s="39" t="n">
        <f aca="false">SUM(X410:AD410)</f>
        <v>168.57997</v>
      </c>
      <c r="AF410" s="39" t="n">
        <f aca="false">AE410/(1-Resumo!$B$5)</f>
        <v>191.568147727273</v>
      </c>
      <c r="AG410" s="39" t="n">
        <f aca="false">AF410-W410</f>
        <v>69.0022863636364</v>
      </c>
      <c r="AH410" s="40" t="n">
        <f aca="false">AF410/W410-1</f>
        <v>0.562981286925532</v>
      </c>
      <c r="AI410" s="37" t="str">
        <f aca="false">IF(AF410&lt;W410,"SIM","NÃO")</f>
        <v>NÃO</v>
      </c>
      <c r="AJ410" s="37" t="n">
        <v>13</v>
      </c>
      <c r="AK410" s="37" t="n">
        <v>11</v>
      </c>
      <c r="AL410" s="37" t="s">
        <v>347</v>
      </c>
      <c r="AM410" s="39" t="n">
        <v>122.12</v>
      </c>
    </row>
    <row r="411" customFormat="false" ht="15" hidden="false" customHeight="false" outlineLevel="0" collapsed="false">
      <c r="A411" s="37" t="n">
        <v>368457198</v>
      </c>
      <c r="B411" s="38" t="n">
        <v>46233.6435069444</v>
      </c>
      <c r="C411" s="37" t="s">
        <v>340</v>
      </c>
      <c r="D411" s="37" t="s">
        <v>751</v>
      </c>
      <c r="E411" s="37" t="n">
        <v>23028340</v>
      </c>
      <c r="F411" s="37" t="s">
        <v>159</v>
      </c>
      <c r="G411" s="37" t="s">
        <v>196</v>
      </c>
      <c r="H411" s="37" t="s">
        <v>191</v>
      </c>
      <c r="I411" s="37" t="n">
        <v>106.5</v>
      </c>
      <c r="J411" s="39" t="n">
        <v>1199.99</v>
      </c>
      <c r="K411" s="37" t="s">
        <v>518</v>
      </c>
      <c r="L411" s="39" t="n">
        <v>183.16</v>
      </c>
      <c r="M411" s="39" t="n">
        <v>92.34</v>
      </c>
      <c r="N411" s="39" t="n">
        <f aca="false">J411*Resumo!$C$6</f>
        <v>0</v>
      </c>
      <c r="O411" s="39" t="n">
        <f aca="false">J411*Resumo!$C$7</f>
        <v>2.519979</v>
      </c>
      <c r="P411" s="39" t="n">
        <f aca="false">J411*Resumo!$C$8</f>
        <v>2.519979</v>
      </c>
      <c r="Q411" s="39" t="n">
        <f aca="false">Resumo!$C$10*CEILING(I411/100,1)</f>
        <v>2.1</v>
      </c>
      <c r="R411" s="39" t="n">
        <f aca="false">Resumo!$C$9</f>
        <v>0</v>
      </c>
      <c r="S411" s="39" t="n">
        <f aca="false">Resumo!$C$13</f>
        <v>13.55</v>
      </c>
      <c r="T411" s="39" t="n">
        <f aca="false">Resumo!$C$14*CEILING(I411,1)</f>
        <v>48.15</v>
      </c>
      <c r="U411" s="39" t="n">
        <f aca="false">SUM(M411:T411)*Resumo!$C$11</f>
        <v>0</v>
      </c>
      <c r="V411" s="39" t="n">
        <f aca="false">SUM(M411:U411)</f>
        <v>161.179958</v>
      </c>
      <c r="W411" s="39" t="n">
        <f aca="false">V411/(1-Resumo!$C$5)</f>
        <v>183.159043181818</v>
      </c>
      <c r="X411" s="39" t="n">
        <v>201.59</v>
      </c>
      <c r="Y411" s="39" t="n">
        <f aca="false">J411*Resumo!$B$6</f>
        <v>1.19999</v>
      </c>
      <c r="Z411" s="39" t="n">
        <f aca="false">J411*Resumo!$B$7</f>
        <v>2.39998</v>
      </c>
      <c r="AA411" s="39" t="n">
        <f aca="false">Resumo!$B$9</f>
        <v>1</v>
      </c>
      <c r="AB411" s="39" t="n">
        <f aca="false">Resumo!$B$10*CEILING(I411/100,1)</f>
        <v>9</v>
      </c>
      <c r="AC411" s="39" t="n">
        <f aca="false">Resumo!$B$12*CEILING(I411,1)</f>
        <v>6.42</v>
      </c>
      <c r="AD411" s="39" t="n">
        <f aca="false">Resumo!$B$14*CEILING(I411,1)</f>
        <v>48.15</v>
      </c>
      <c r="AE411" s="39" t="n">
        <f aca="false">SUM(X411:AD411)</f>
        <v>269.75997</v>
      </c>
      <c r="AF411" s="39" t="n">
        <f aca="false">AE411/(1-Resumo!$B$5)</f>
        <v>306.545420454546</v>
      </c>
      <c r="AG411" s="39" t="n">
        <f aca="false">AF411-W411</f>
        <v>123.386377272727</v>
      </c>
      <c r="AH411" s="40" t="n">
        <f aca="false">AF411/W411-1</f>
        <v>0.673657031229652</v>
      </c>
      <c r="AI411" s="37" t="str">
        <f aca="false">IF(AF411&lt;W411,"SIM","NÃO")</f>
        <v>NÃO</v>
      </c>
      <c r="AJ411" s="37" t="n">
        <v>2</v>
      </c>
      <c r="AK411" s="37" t="n">
        <v>5</v>
      </c>
      <c r="AL411" s="37" t="s">
        <v>343</v>
      </c>
      <c r="AM411" s="39" t="n">
        <v>185.39</v>
      </c>
    </row>
    <row r="412" customFormat="false" ht="15" hidden="false" customHeight="false" outlineLevel="0" collapsed="false">
      <c r="A412" s="37" t="n">
        <v>368483774</v>
      </c>
      <c r="B412" s="38" t="n">
        <v>46233.6851041667</v>
      </c>
      <c r="C412" s="37" t="s">
        <v>345</v>
      </c>
      <c r="D412" s="37" t="s">
        <v>752</v>
      </c>
      <c r="E412" s="37" t="n">
        <v>22775002</v>
      </c>
      <c r="F412" s="37" t="s">
        <v>159</v>
      </c>
      <c r="G412" s="37" t="s">
        <v>196</v>
      </c>
      <c r="H412" s="37" t="s">
        <v>185</v>
      </c>
      <c r="I412" s="37" t="n">
        <v>38.15</v>
      </c>
      <c r="J412" s="39" t="n">
        <v>418</v>
      </c>
      <c r="K412" s="37" t="s">
        <v>342</v>
      </c>
      <c r="L412" s="39" t="n">
        <v>91.86</v>
      </c>
      <c r="M412" s="39" t="n">
        <v>48.35</v>
      </c>
      <c r="N412" s="39" t="n">
        <f aca="false">J412*Resumo!$C$6</f>
        <v>0</v>
      </c>
      <c r="O412" s="39" t="n">
        <f aca="false">J412*Resumo!$C$7</f>
        <v>0.8778</v>
      </c>
      <c r="P412" s="39" t="n">
        <f aca="false">J412*Resumo!$C$8</f>
        <v>0.8778</v>
      </c>
      <c r="Q412" s="39" t="n">
        <f aca="false">Resumo!$C$10*CEILING(I412/100,1)</f>
        <v>1.05</v>
      </c>
      <c r="R412" s="39" t="n">
        <f aca="false">Resumo!$C$9</f>
        <v>0</v>
      </c>
      <c r="S412" s="39" t="n">
        <f aca="false">Resumo!$C$13</f>
        <v>13.55</v>
      </c>
      <c r="T412" s="39" t="n">
        <f aca="false">Resumo!$C$14*CEILING(I412,1)</f>
        <v>17.55</v>
      </c>
      <c r="U412" s="39" t="n">
        <f aca="false">SUM(M412:T412)*Resumo!$C$11</f>
        <v>0</v>
      </c>
      <c r="V412" s="39" t="n">
        <f aca="false">SUM(M412:U412)</f>
        <v>82.2556</v>
      </c>
      <c r="W412" s="39" t="n">
        <f aca="false">V412/(1-Resumo!$C$5)</f>
        <v>93.4722727272727</v>
      </c>
      <c r="X412" s="39" t="n">
        <v>93.97</v>
      </c>
      <c r="Y412" s="39" t="n">
        <f aca="false">J412*Resumo!$B$6</f>
        <v>0.418</v>
      </c>
      <c r="Z412" s="39" t="n">
        <f aca="false">J412*Resumo!$B$7</f>
        <v>0.836</v>
      </c>
      <c r="AA412" s="39" t="n">
        <f aca="false">Resumo!$B$9</f>
        <v>1</v>
      </c>
      <c r="AB412" s="39" t="n">
        <f aca="false">Resumo!$B$10*CEILING(I412/100,1)</f>
        <v>4.5</v>
      </c>
      <c r="AC412" s="39" t="n">
        <f aca="false">Resumo!$B$12*CEILING(I412,1)</f>
        <v>2.34</v>
      </c>
      <c r="AD412" s="39" t="n">
        <f aca="false">Resumo!$B$14*CEILING(I412,1)</f>
        <v>17.55</v>
      </c>
      <c r="AE412" s="39" t="n">
        <f aca="false">SUM(X412:AD412)</f>
        <v>120.614</v>
      </c>
      <c r="AF412" s="39" t="n">
        <f aca="false">AE412/(1-Resumo!$B$5)</f>
        <v>137.061363636364</v>
      </c>
      <c r="AG412" s="39" t="n">
        <f aca="false">AF412-W412</f>
        <v>43.5890909090909</v>
      </c>
      <c r="AH412" s="40" t="n">
        <f aca="false">AF412/W412-1</f>
        <v>0.466331775587316</v>
      </c>
      <c r="AI412" s="37" t="str">
        <f aca="false">IF(AF412&lt;W412,"SIM","NÃO")</f>
        <v>NÃO</v>
      </c>
      <c r="AJ412" s="37" t="n">
        <v>2</v>
      </c>
      <c r="AK412" s="37" t="n">
        <v>5</v>
      </c>
      <c r="AL412" s="37" t="s">
        <v>343</v>
      </c>
      <c r="AM412" s="39" t="n">
        <v>91.86</v>
      </c>
    </row>
    <row r="413" customFormat="false" ht="15" hidden="false" customHeight="false" outlineLevel="0" collapsed="false">
      <c r="A413" s="37" t="n">
        <v>368503920</v>
      </c>
      <c r="B413" s="38" t="n">
        <v>46233.7329050926</v>
      </c>
      <c r="C413" s="37" t="s">
        <v>340</v>
      </c>
      <c r="D413" s="37" t="s">
        <v>753</v>
      </c>
      <c r="E413" s="37" t="n">
        <v>21340120</v>
      </c>
      <c r="F413" s="37" t="s">
        <v>159</v>
      </c>
      <c r="G413" s="37" t="s">
        <v>196</v>
      </c>
      <c r="H413" s="37" t="s">
        <v>184</v>
      </c>
      <c r="I413" s="37" t="n">
        <v>27.4</v>
      </c>
      <c r="J413" s="39" t="n">
        <v>359.99</v>
      </c>
      <c r="K413" s="37" t="s">
        <v>342</v>
      </c>
      <c r="L413" s="39" t="n">
        <v>82.05</v>
      </c>
      <c r="M413" s="39" t="n">
        <v>42.11</v>
      </c>
      <c r="N413" s="39" t="n">
        <f aca="false">J413*Resumo!$C$6</f>
        <v>0</v>
      </c>
      <c r="O413" s="39" t="n">
        <f aca="false">J413*Resumo!$C$7</f>
        <v>0.755979</v>
      </c>
      <c r="P413" s="39" t="n">
        <f aca="false">J413*Resumo!$C$8</f>
        <v>0.755979</v>
      </c>
      <c r="Q413" s="39" t="n">
        <f aca="false">Resumo!$C$10*CEILING(I413/100,1)</f>
        <v>1.05</v>
      </c>
      <c r="R413" s="39" t="n">
        <f aca="false">Resumo!$C$9</f>
        <v>0</v>
      </c>
      <c r="S413" s="39" t="n">
        <f aca="false">Resumo!$C$13</f>
        <v>13.55</v>
      </c>
      <c r="T413" s="39" t="n">
        <f aca="false">Resumo!$C$14*CEILING(I413,1)</f>
        <v>12.6</v>
      </c>
      <c r="U413" s="39" t="n">
        <f aca="false">SUM(M413:T413)*Resumo!$C$11</f>
        <v>0</v>
      </c>
      <c r="V413" s="39" t="n">
        <f aca="false">SUM(M413:U413)</f>
        <v>70.821958</v>
      </c>
      <c r="W413" s="39" t="n">
        <f aca="false">V413/(1-Resumo!$C$5)</f>
        <v>80.4794977272727</v>
      </c>
      <c r="X413" s="39" t="n">
        <v>82.21</v>
      </c>
      <c r="Y413" s="39" t="n">
        <f aca="false">J413*Resumo!$B$6</f>
        <v>0.35999</v>
      </c>
      <c r="Z413" s="39" t="n">
        <f aca="false">J413*Resumo!$B$7</f>
        <v>0.71998</v>
      </c>
      <c r="AA413" s="39" t="n">
        <f aca="false">Resumo!$B$9</f>
        <v>1</v>
      </c>
      <c r="AB413" s="39" t="n">
        <f aca="false">Resumo!$B$10*CEILING(I413/100,1)</f>
        <v>4.5</v>
      </c>
      <c r="AC413" s="39" t="n">
        <f aca="false">Resumo!$B$12*CEILING(I413,1)</f>
        <v>1.68</v>
      </c>
      <c r="AD413" s="39" t="n">
        <f aca="false">Resumo!$B$14*CEILING(I413,1)</f>
        <v>12.6</v>
      </c>
      <c r="AE413" s="39" t="n">
        <f aca="false">SUM(X413:AD413)</f>
        <v>103.06997</v>
      </c>
      <c r="AF413" s="39" t="n">
        <f aca="false">AE413/(1-Resumo!$B$5)</f>
        <v>117.124965909091</v>
      </c>
      <c r="AG413" s="39" t="n">
        <f aca="false">AF413-W413</f>
        <v>36.6454681818182</v>
      </c>
      <c r="AH413" s="40" t="n">
        <f aca="false">AF413/W413-1</f>
        <v>0.455339176022216</v>
      </c>
      <c r="AI413" s="37" t="str">
        <f aca="false">IF(AF413&lt;W413,"SIM","NÃO")</f>
        <v>NÃO</v>
      </c>
      <c r="AJ413" s="37" t="n">
        <v>2</v>
      </c>
      <c r="AK413" s="37" t="n">
        <v>5</v>
      </c>
      <c r="AL413" s="37" t="s">
        <v>343</v>
      </c>
      <c r="AM413" s="39" t="n">
        <v>82.05</v>
      </c>
    </row>
    <row r="414" customFormat="false" ht="15" hidden="false" customHeight="false" outlineLevel="0" collapsed="false">
      <c r="A414" s="37" t="n">
        <v>368506039</v>
      </c>
      <c r="B414" s="38" t="n">
        <v>46233.7376388889</v>
      </c>
      <c r="C414" s="37" t="s">
        <v>340</v>
      </c>
      <c r="D414" s="37" t="s">
        <v>754</v>
      </c>
      <c r="E414" s="37" t="n">
        <v>23075470</v>
      </c>
      <c r="F414" s="37" t="s">
        <v>159</v>
      </c>
      <c r="G414" s="37" t="s">
        <v>196</v>
      </c>
      <c r="H414" s="37" t="s">
        <v>186</v>
      </c>
      <c r="I414" s="37" t="n">
        <v>48.3</v>
      </c>
      <c r="J414" s="39" t="n">
        <v>559.99</v>
      </c>
      <c r="K414" s="37" t="s">
        <v>518</v>
      </c>
      <c r="L414" s="39" t="n">
        <v>105.18</v>
      </c>
      <c r="M414" s="39" t="n">
        <v>53.55</v>
      </c>
      <c r="N414" s="39" t="n">
        <f aca="false">J414*Resumo!$C$6</f>
        <v>0</v>
      </c>
      <c r="O414" s="39" t="n">
        <f aca="false">J414*Resumo!$C$7</f>
        <v>1.175979</v>
      </c>
      <c r="P414" s="39" t="n">
        <f aca="false">J414*Resumo!$C$8</f>
        <v>1.175979</v>
      </c>
      <c r="Q414" s="39" t="n">
        <f aca="false">Resumo!$C$10*CEILING(I414/100,1)</f>
        <v>1.05</v>
      </c>
      <c r="R414" s="39" t="n">
        <f aca="false">Resumo!$C$9</f>
        <v>0</v>
      </c>
      <c r="S414" s="39" t="n">
        <f aca="false">Resumo!$C$13</f>
        <v>13.55</v>
      </c>
      <c r="T414" s="39" t="n">
        <f aca="false">Resumo!$C$14*CEILING(I414,1)</f>
        <v>22.05</v>
      </c>
      <c r="U414" s="39" t="n">
        <f aca="false">SUM(M414:T414)*Resumo!$C$11</f>
        <v>0</v>
      </c>
      <c r="V414" s="39" t="n">
        <f aca="false">SUM(M414:U414)</f>
        <v>92.551958</v>
      </c>
      <c r="W414" s="39" t="n">
        <f aca="false">V414/(1-Resumo!$C$5)</f>
        <v>105.172679545455</v>
      </c>
      <c r="X414" s="39" t="n">
        <v>93.97</v>
      </c>
      <c r="Y414" s="39" t="n">
        <f aca="false">J414*Resumo!$B$6</f>
        <v>0.55999</v>
      </c>
      <c r="Z414" s="39" t="n">
        <f aca="false">J414*Resumo!$B$7</f>
        <v>1.11998</v>
      </c>
      <c r="AA414" s="39" t="n">
        <f aca="false">Resumo!$B$9</f>
        <v>1</v>
      </c>
      <c r="AB414" s="39" t="n">
        <f aca="false">Resumo!$B$10*CEILING(I414/100,1)</f>
        <v>4.5</v>
      </c>
      <c r="AC414" s="39" t="n">
        <f aca="false">Resumo!$B$12*CEILING(I414,1)</f>
        <v>2.94</v>
      </c>
      <c r="AD414" s="39" t="n">
        <f aca="false">Resumo!$B$14*CEILING(I414,1)</f>
        <v>22.05</v>
      </c>
      <c r="AE414" s="39" t="n">
        <f aca="false">SUM(X414:AD414)</f>
        <v>126.13997</v>
      </c>
      <c r="AF414" s="39" t="n">
        <f aca="false">AE414/(1-Resumo!$B$5)</f>
        <v>143.340875</v>
      </c>
      <c r="AG414" s="39" t="n">
        <f aca="false">AF414-W414</f>
        <v>38.1681954545454</v>
      </c>
      <c r="AH414" s="40" t="n">
        <f aca="false">AF414/W414-1</f>
        <v>0.362909793869515</v>
      </c>
      <c r="AI414" s="37" t="str">
        <f aca="false">IF(AF414&lt;W414,"SIM","NÃO")</f>
        <v>NÃO</v>
      </c>
      <c r="AJ414" s="37" t="n">
        <v>2</v>
      </c>
      <c r="AK414" s="37" t="n">
        <v>5</v>
      </c>
      <c r="AL414" s="37" t="s">
        <v>343</v>
      </c>
      <c r="AM414" s="39" t="n">
        <v>103.27</v>
      </c>
    </row>
    <row r="415" customFormat="false" ht="15" hidden="false" customHeight="false" outlineLevel="0" collapsed="false">
      <c r="A415" s="37" t="n">
        <v>368512015</v>
      </c>
      <c r="B415" s="38" t="n">
        <v>46233.7516319445</v>
      </c>
      <c r="C415" s="37" t="s">
        <v>340</v>
      </c>
      <c r="D415" s="37" t="s">
        <v>755</v>
      </c>
      <c r="E415" s="37" t="n">
        <v>22610050</v>
      </c>
      <c r="F415" s="37" t="s">
        <v>159</v>
      </c>
      <c r="G415" s="37" t="s">
        <v>196</v>
      </c>
      <c r="H415" s="37" t="s">
        <v>187</v>
      </c>
      <c r="I415" s="37" t="n">
        <v>52.3</v>
      </c>
      <c r="J415" s="39" t="n">
        <v>685.84</v>
      </c>
      <c r="K415" s="37" t="s">
        <v>518</v>
      </c>
      <c r="L415" s="39" t="n">
        <v>113.56</v>
      </c>
      <c r="M415" s="39" t="n">
        <v>58.6</v>
      </c>
      <c r="N415" s="39" t="n">
        <f aca="false">J415*Resumo!$C$6</f>
        <v>0</v>
      </c>
      <c r="O415" s="39" t="n">
        <f aca="false">J415*Resumo!$C$7</f>
        <v>1.440264</v>
      </c>
      <c r="P415" s="39" t="n">
        <f aca="false">J415*Resumo!$C$8</f>
        <v>1.440264</v>
      </c>
      <c r="Q415" s="39" t="n">
        <f aca="false">Resumo!$C$10*CEILING(I415/100,1)</f>
        <v>1.05</v>
      </c>
      <c r="R415" s="39" t="n">
        <f aca="false">Resumo!$C$9</f>
        <v>0</v>
      </c>
      <c r="S415" s="39" t="n">
        <f aca="false">Resumo!$C$13</f>
        <v>13.55</v>
      </c>
      <c r="T415" s="39" t="n">
        <f aca="false">Resumo!$C$14*CEILING(I415,1)</f>
        <v>23.85</v>
      </c>
      <c r="U415" s="39" t="n">
        <f aca="false">SUM(M415:T415)*Resumo!$C$11</f>
        <v>0</v>
      </c>
      <c r="V415" s="39" t="n">
        <f aca="false">SUM(M415:U415)</f>
        <v>99.930528</v>
      </c>
      <c r="W415" s="39" t="n">
        <f aca="false">V415/(1-Resumo!$C$5)</f>
        <v>113.557418181818</v>
      </c>
      <c r="X415" s="39" t="n">
        <v>112.3</v>
      </c>
      <c r="Y415" s="39" t="n">
        <f aca="false">J415*Resumo!$B$6</f>
        <v>0.68584</v>
      </c>
      <c r="Z415" s="39" t="n">
        <f aca="false">J415*Resumo!$B$7</f>
        <v>1.37168</v>
      </c>
      <c r="AA415" s="39" t="n">
        <f aca="false">Resumo!$B$9</f>
        <v>1</v>
      </c>
      <c r="AB415" s="39" t="n">
        <f aca="false">Resumo!$B$10*CEILING(I415/100,1)</f>
        <v>4.5</v>
      </c>
      <c r="AC415" s="39" t="n">
        <f aca="false">Resumo!$B$12*CEILING(I415,1)</f>
        <v>3.18</v>
      </c>
      <c r="AD415" s="39" t="n">
        <f aca="false">Resumo!$B$14*CEILING(I415,1)</f>
        <v>23.85</v>
      </c>
      <c r="AE415" s="39" t="n">
        <f aca="false">SUM(X415:AD415)</f>
        <v>146.88752</v>
      </c>
      <c r="AF415" s="39" t="n">
        <f aca="false">AE415/(1-Resumo!$B$5)</f>
        <v>166.917636363636</v>
      </c>
      <c r="AG415" s="39" t="n">
        <f aca="false">AF415-W415</f>
        <v>53.3602181818182</v>
      </c>
      <c r="AH415" s="40" t="n">
        <f aca="false">AF415/W415-1</f>
        <v>0.469896366403668</v>
      </c>
      <c r="AI415" s="37" t="str">
        <f aca="false">IF(AF415&lt;W415,"SIM","NÃO")</f>
        <v>NÃO</v>
      </c>
      <c r="AJ415" s="37" t="n">
        <v>2</v>
      </c>
      <c r="AK415" s="37" t="n">
        <v>5</v>
      </c>
      <c r="AL415" s="37" t="s">
        <v>343</v>
      </c>
      <c r="AM415" s="39" t="n">
        <v>114.44</v>
      </c>
    </row>
    <row r="416" customFormat="false" ht="15" hidden="false" customHeight="false" outlineLevel="0" collapsed="false">
      <c r="A416" s="37" t="n">
        <v>368510232</v>
      </c>
      <c r="B416" s="38" t="n">
        <v>46233.7567824074</v>
      </c>
      <c r="C416" s="37" t="s">
        <v>361</v>
      </c>
      <c r="D416" s="37" t="s">
        <v>756</v>
      </c>
      <c r="E416" s="37" t="n">
        <v>28650000</v>
      </c>
      <c r="F416" s="37" t="s">
        <v>281</v>
      </c>
      <c r="G416" s="37" t="s">
        <v>198</v>
      </c>
      <c r="H416" s="37" t="s">
        <v>184</v>
      </c>
      <c r="I416" s="37" t="n">
        <v>22.4</v>
      </c>
      <c r="J416" s="39" t="n">
        <v>424.99</v>
      </c>
      <c r="K416" s="37" t="s">
        <v>518</v>
      </c>
      <c r="L416" s="39" t="n">
        <v>104.95</v>
      </c>
      <c r="M416" s="39" t="n">
        <v>65.63</v>
      </c>
      <c r="N416" s="39" t="n">
        <f aca="false">J416*Resumo!$C$6</f>
        <v>0</v>
      </c>
      <c r="O416" s="39" t="n">
        <f aca="false">J416*Resumo!$C$7</f>
        <v>0.892479</v>
      </c>
      <c r="P416" s="39" t="n">
        <f aca="false">J416*Resumo!$C$8</f>
        <v>0.892479</v>
      </c>
      <c r="Q416" s="39" t="n">
        <f aca="false">Resumo!$C$10*CEILING(I416/100,1)</f>
        <v>1.05</v>
      </c>
      <c r="R416" s="39" t="n">
        <f aca="false">Resumo!$C$9</f>
        <v>0</v>
      </c>
      <c r="S416" s="39" t="n">
        <f aca="false">Resumo!$C$13</f>
        <v>13.55</v>
      </c>
      <c r="T416" s="39" t="n">
        <f aca="false">Resumo!$C$14*CEILING(I416,1)</f>
        <v>10.35</v>
      </c>
      <c r="U416" s="39" t="n">
        <f aca="false">SUM(M416:T416)*Resumo!$C$11</f>
        <v>0</v>
      </c>
      <c r="V416" s="39" t="n">
        <f aca="false">SUM(M416:U416)</f>
        <v>92.364958</v>
      </c>
      <c r="W416" s="39" t="n">
        <f aca="false">V416/(1-Resumo!$C$5)</f>
        <v>104.960179545455</v>
      </c>
      <c r="X416" s="39" t="n">
        <v>120.78</v>
      </c>
      <c r="Y416" s="39" t="n">
        <f aca="false">J416*Resumo!$B$6</f>
        <v>0.42499</v>
      </c>
      <c r="Z416" s="39" t="n">
        <f aca="false">J416*Resumo!$B$7</f>
        <v>0.84998</v>
      </c>
      <c r="AA416" s="39" t="n">
        <f aca="false">Resumo!$B$9</f>
        <v>1</v>
      </c>
      <c r="AB416" s="39" t="n">
        <f aca="false">Resumo!$B$10*CEILING(I416/100,1)</f>
        <v>4.5</v>
      </c>
      <c r="AC416" s="39" t="n">
        <f aca="false">Resumo!$B$12*CEILING(I416,1)</f>
        <v>1.38</v>
      </c>
      <c r="AD416" s="39" t="n">
        <f aca="false">Resumo!$B$14*CEILING(I416,1)</f>
        <v>10.35</v>
      </c>
      <c r="AE416" s="39" t="n">
        <f aca="false">SUM(X416:AD416)</f>
        <v>139.28497</v>
      </c>
      <c r="AF416" s="39" t="n">
        <f aca="false">AE416/(1-Resumo!$B$5)</f>
        <v>158.278375</v>
      </c>
      <c r="AG416" s="39" t="n">
        <f aca="false">AF416-W416</f>
        <v>53.3181954545454</v>
      </c>
      <c r="AH416" s="40" t="n">
        <f aca="false">AF416/W416-1</f>
        <v>0.507984987120332</v>
      </c>
      <c r="AI416" s="37" t="str">
        <f aca="false">IF(AF416&lt;W416,"SIM","NÃO")</f>
        <v>NÃO</v>
      </c>
      <c r="AJ416" s="37" t="n">
        <v>13</v>
      </c>
      <c r="AK416" s="37" t="n">
        <v>10</v>
      </c>
      <c r="AL416" s="37" t="s">
        <v>347</v>
      </c>
      <c r="AM416" s="39" t="n">
        <v>109.22</v>
      </c>
    </row>
    <row r="417" customFormat="false" ht="15" hidden="false" customHeight="false" outlineLevel="0" collapsed="false">
      <c r="A417" s="37" t="n">
        <v>368532852</v>
      </c>
      <c r="B417" s="38" t="n">
        <v>46233.7978935185</v>
      </c>
      <c r="C417" s="37" t="s">
        <v>340</v>
      </c>
      <c r="D417" s="37" t="s">
        <v>757</v>
      </c>
      <c r="E417" s="37" t="n">
        <v>25253650</v>
      </c>
      <c r="F417" s="37" t="s">
        <v>161</v>
      </c>
      <c r="G417" s="37" t="s">
        <v>197</v>
      </c>
      <c r="H417" s="37" t="s">
        <v>191</v>
      </c>
      <c r="I417" s="37" t="n">
        <v>106.5</v>
      </c>
      <c r="J417" s="39" t="n">
        <v>1249.99</v>
      </c>
      <c r="K417" s="37" t="s">
        <v>342</v>
      </c>
      <c r="L417" s="39" t="n">
        <v>195.82</v>
      </c>
      <c r="M417" s="39" t="n">
        <v>101.26</v>
      </c>
      <c r="N417" s="39" t="n">
        <f aca="false">J417*Resumo!$C$6</f>
        <v>0</v>
      </c>
      <c r="O417" s="39" t="n">
        <f aca="false">J417*Resumo!$C$7</f>
        <v>2.624979</v>
      </c>
      <c r="P417" s="39" t="n">
        <f aca="false">J417*Resumo!$C$8</f>
        <v>2.624979</v>
      </c>
      <c r="Q417" s="39" t="n">
        <f aca="false">Resumo!$C$10*CEILING(I417/100,1)</f>
        <v>2.1</v>
      </c>
      <c r="R417" s="39" t="n">
        <f aca="false">Resumo!$C$9</f>
        <v>0</v>
      </c>
      <c r="S417" s="39" t="n">
        <f aca="false">Resumo!$C$13</f>
        <v>13.55</v>
      </c>
      <c r="T417" s="39" t="n">
        <f aca="false">Resumo!$C$14*CEILING(I417,1)</f>
        <v>48.15</v>
      </c>
      <c r="U417" s="39" t="n">
        <f aca="false">SUM(M417:T417)*Resumo!$C$11</f>
        <v>0</v>
      </c>
      <c r="V417" s="39" t="n">
        <f aca="false">SUM(M417:U417)</f>
        <v>170.309958</v>
      </c>
      <c r="W417" s="39" t="n">
        <f aca="false">V417/(1-Resumo!$C$5)</f>
        <v>193.534043181818</v>
      </c>
      <c r="X417" s="39" t="n">
        <v>201.59</v>
      </c>
      <c r="Y417" s="39" t="n">
        <f aca="false">J417*Resumo!$B$6</f>
        <v>1.24999</v>
      </c>
      <c r="Z417" s="39" t="n">
        <f aca="false">J417*Resumo!$B$7</f>
        <v>2.49998</v>
      </c>
      <c r="AA417" s="39" t="n">
        <f aca="false">Resumo!$B$9</f>
        <v>1</v>
      </c>
      <c r="AB417" s="39" t="n">
        <f aca="false">Resumo!$B$10*CEILING(I417/100,1)</f>
        <v>9</v>
      </c>
      <c r="AC417" s="39" t="n">
        <f aca="false">Resumo!$B$12*CEILING(I417,1)</f>
        <v>6.42</v>
      </c>
      <c r="AD417" s="39" t="n">
        <f aca="false">Resumo!$B$14*CEILING(I417,1)</f>
        <v>48.15</v>
      </c>
      <c r="AE417" s="39" t="n">
        <f aca="false">SUM(X417:AD417)</f>
        <v>269.90997</v>
      </c>
      <c r="AF417" s="39" t="n">
        <f aca="false">AE417/(1-Resumo!$B$5)</f>
        <v>306.715875</v>
      </c>
      <c r="AG417" s="39" t="n">
        <f aca="false">AF417-W417</f>
        <v>113.181831818182</v>
      </c>
      <c r="AH417" s="40" t="n">
        <f aca="false">AF417/W417-1</f>
        <v>0.584816138584216</v>
      </c>
      <c r="AI417" s="37" t="str">
        <f aca="false">IF(AF417&lt;W417,"SIM","NÃO")</f>
        <v>NÃO</v>
      </c>
      <c r="AJ417" s="37" t="n">
        <v>2</v>
      </c>
      <c r="AK417" s="37" t="n">
        <v>5</v>
      </c>
      <c r="AL417" s="37" t="s">
        <v>343</v>
      </c>
      <c r="AM417" s="39" t="n">
        <v>195.82</v>
      </c>
    </row>
    <row r="418" customFormat="false" ht="15" hidden="false" customHeight="false" outlineLevel="0" collapsed="false">
      <c r="A418" s="37" t="n">
        <v>368538252</v>
      </c>
      <c r="B418" s="38" t="n">
        <v>46233.8104166667</v>
      </c>
      <c r="C418" s="37" t="s">
        <v>340</v>
      </c>
      <c r="D418" s="37" t="s">
        <v>758</v>
      </c>
      <c r="E418" s="37" t="n">
        <v>20220007</v>
      </c>
      <c r="F418" s="37" t="s">
        <v>159</v>
      </c>
      <c r="G418" s="37" t="s">
        <v>196</v>
      </c>
      <c r="H418" s="37" t="s">
        <v>187</v>
      </c>
      <c r="I418" s="37" t="n">
        <v>52.3</v>
      </c>
      <c r="J418" s="39" t="n">
        <v>685.84</v>
      </c>
      <c r="K418" s="37" t="s">
        <v>518</v>
      </c>
      <c r="L418" s="39" t="n">
        <v>113.56</v>
      </c>
      <c r="M418" s="39" t="n">
        <v>58.6</v>
      </c>
      <c r="N418" s="39" t="n">
        <f aca="false">J418*Resumo!$C$6</f>
        <v>0</v>
      </c>
      <c r="O418" s="39" t="n">
        <f aca="false">J418*Resumo!$C$7</f>
        <v>1.440264</v>
      </c>
      <c r="P418" s="39" t="n">
        <f aca="false">J418*Resumo!$C$8</f>
        <v>1.440264</v>
      </c>
      <c r="Q418" s="39" t="n">
        <f aca="false">Resumo!$C$10*CEILING(I418/100,1)</f>
        <v>1.05</v>
      </c>
      <c r="R418" s="39" t="n">
        <f aca="false">Resumo!$C$9</f>
        <v>0</v>
      </c>
      <c r="S418" s="39" t="n">
        <f aca="false">Resumo!$C$13</f>
        <v>13.55</v>
      </c>
      <c r="T418" s="39" t="n">
        <f aca="false">Resumo!$C$14*CEILING(I418,1)</f>
        <v>23.85</v>
      </c>
      <c r="U418" s="39" t="n">
        <f aca="false">SUM(M418:T418)*Resumo!$C$11</f>
        <v>0</v>
      </c>
      <c r="V418" s="39" t="n">
        <f aca="false">SUM(M418:U418)</f>
        <v>99.930528</v>
      </c>
      <c r="W418" s="39" t="n">
        <f aca="false">V418/(1-Resumo!$C$5)</f>
        <v>113.557418181818</v>
      </c>
      <c r="X418" s="39" t="n">
        <v>112.3</v>
      </c>
      <c r="Y418" s="39" t="n">
        <f aca="false">J418*Resumo!$B$6</f>
        <v>0.68584</v>
      </c>
      <c r="Z418" s="39" t="n">
        <f aca="false">J418*Resumo!$B$7</f>
        <v>1.37168</v>
      </c>
      <c r="AA418" s="39" t="n">
        <f aca="false">Resumo!$B$9</f>
        <v>1</v>
      </c>
      <c r="AB418" s="39" t="n">
        <f aca="false">Resumo!$B$10*CEILING(I418/100,1)</f>
        <v>4.5</v>
      </c>
      <c r="AC418" s="39" t="n">
        <f aca="false">Resumo!$B$12*CEILING(I418,1)</f>
        <v>3.18</v>
      </c>
      <c r="AD418" s="39" t="n">
        <f aca="false">Resumo!$B$14*CEILING(I418,1)</f>
        <v>23.85</v>
      </c>
      <c r="AE418" s="39" t="n">
        <f aca="false">SUM(X418:AD418)</f>
        <v>146.88752</v>
      </c>
      <c r="AF418" s="39" t="n">
        <f aca="false">AE418/(1-Resumo!$B$5)</f>
        <v>166.917636363636</v>
      </c>
      <c r="AG418" s="39" t="n">
        <f aca="false">AF418-W418</f>
        <v>53.3602181818182</v>
      </c>
      <c r="AH418" s="40" t="n">
        <f aca="false">AF418/W418-1</f>
        <v>0.469896366403668</v>
      </c>
      <c r="AI418" s="37" t="str">
        <f aca="false">IF(AF418&lt;W418,"SIM","NÃO")</f>
        <v>NÃO</v>
      </c>
      <c r="AJ418" s="37" t="n">
        <v>2</v>
      </c>
      <c r="AK418" s="37" t="n">
        <v>5</v>
      </c>
      <c r="AL418" s="37" t="s">
        <v>343</v>
      </c>
      <c r="AM418" s="39" t="n">
        <v>114.44</v>
      </c>
    </row>
    <row r="419" customFormat="false" ht="15" hidden="false" customHeight="false" outlineLevel="0" collapsed="false">
      <c r="A419" s="37" t="n">
        <v>368552069</v>
      </c>
      <c r="B419" s="38" t="n">
        <v>46233.8405902778</v>
      </c>
      <c r="C419" s="37" t="s">
        <v>340</v>
      </c>
      <c r="D419" s="37" t="s">
        <v>759</v>
      </c>
      <c r="E419" s="37" t="n">
        <v>21853410</v>
      </c>
      <c r="F419" s="37" t="s">
        <v>159</v>
      </c>
      <c r="G419" s="37" t="s">
        <v>196</v>
      </c>
      <c r="H419" s="37" t="s">
        <v>187</v>
      </c>
      <c r="I419" s="37" t="n">
        <v>52.3</v>
      </c>
      <c r="J419" s="39" t="n">
        <v>685.84</v>
      </c>
      <c r="K419" s="37" t="s">
        <v>518</v>
      </c>
      <c r="L419" s="39" t="n">
        <v>113.56</v>
      </c>
      <c r="M419" s="39" t="n">
        <v>58.6</v>
      </c>
      <c r="N419" s="39" t="n">
        <f aca="false">J419*Resumo!$C$6</f>
        <v>0</v>
      </c>
      <c r="O419" s="39" t="n">
        <f aca="false">J419*Resumo!$C$7</f>
        <v>1.440264</v>
      </c>
      <c r="P419" s="39" t="n">
        <f aca="false">J419*Resumo!$C$8</f>
        <v>1.440264</v>
      </c>
      <c r="Q419" s="39" t="n">
        <f aca="false">Resumo!$C$10*CEILING(I419/100,1)</f>
        <v>1.05</v>
      </c>
      <c r="R419" s="39" t="n">
        <f aca="false">Resumo!$C$9</f>
        <v>0</v>
      </c>
      <c r="S419" s="39" t="n">
        <f aca="false">Resumo!$C$13</f>
        <v>13.55</v>
      </c>
      <c r="T419" s="39" t="n">
        <f aca="false">Resumo!$C$14*CEILING(I419,1)</f>
        <v>23.85</v>
      </c>
      <c r="U419" s="39" t="n">
        <f aca="false">SUM(M419:T419)*Resumo!$C$11</f>
        <v>0</v>
      </c>
      <c r="V419" s="39" t="n">
        <f aca="false">SUM(M419:U419)</f>
        <v>99.930528</v>
      </c>
      <c r="W419" s="39" t="n">
        <f aca="false">V419/(1-Resumo!$C$5)</f>
        <v>113.557418181818</v>
      </c>
      <c r="X419" s="39" t="n">
        <v>112.3</v>
      </c>
      <c r="Y419" s="39" t="n">
        <f aca="false">J419*Resumo!$B$6</f>
        <v>0.68584</v>
      </c>
      <c r="Z419" s="39" t="n">
        <f aca="false">J419*Resumo!$B$7</f>
        <v>1.37168</v>
      </c>
      <c r="AA419" s="39" t="n">
        <f aca="false">Resumo!$B$9</f>
        <v>1</v>
      </c>
      <c r="AB419" s="39" t="n">
        <f aca="false">Resumo!$B$10*CEILING(I419/100,1)</f>
        <v>4.5</v>
      </c>
      <c r="AC419" s="39" t="n">
        <f aca="false">Resumo!$B$12*CEILING(I419,1)</f>
        <v>3.18</v>
      </c>
      <c r="AD419" s="39" t="n">
        <f aca="false">Resumo!$B$14*CEILING(I419,1)</f>
        <v>23.85</v>
      </c>
      <c r="AE419" s="39" t="n">
        <f aca="false">SUM(X419:AD419)</f>
        <v>146.88752</v>
      </c>
      <c r="AF419" s="39" t="n">
        <f aca="false">AE419/(1-Resumo!$B$5)</f>
        <v>166.917636363636</v>
      </c>
      <c r="AG419" s="39" t="n">
        <f aca="false">AF419-W419</f>
        <v>53.3602181818182</v>
      </c>
      <c r="AH419" s="40" t="n">
        <f aca="false">AF419/W419-1</f>
        <v>0.469896366403668</v>
      </c>
      <c r="AI419" s="37" t="str">
        <f aca="false">IF(AF419&lt;W419,"SIM","NÃO")</f>
        <v>NÃO</v>
      </c>
      <c r="AJ419" s="37" t="n">
        <v>2</v>
      </c>
      <c r="AK419" s="37" t="n">
        <v>5</v>
      </c>
      <c r="AL419" s="37" t="s">
        <v>343</v>
      </c>
      <c r="AM419" s="39" t="n">
        <v>114.44</v>
      </c>
    </row>
    <row r="420" customFormat="false" ht="15" hidden="false" customHeight="false" outlineLevel="0" collapsed="false">
      <c r="A420" s="37" t="n">
        <v>368561116</v>
      </c>
      <c r="B420" s="38" t="n">
        <v>46233.8573148148</v>
      </c>
      <c r="C420" s="37" t="s">
        <v>340</v>
      </c>
      <c r="D420" s="37" t="s">
        <v>760</v>
      </c>
      <c r="E420" s="37" t="n">
        <v>28983712</v>
      </c>
      <c r="F420" s="37" t="s">
        <v>173</v>
      </c>
      <c r="G420" s="37" t="s">
        <v>198</v>
      </c>
      <c r="H420" s="37" t="s">
        <v>187</v>
      </c>
      <c r="I420" s="37" t="n">
        <v>53.5</v>
      </c>
      <c r="J420" s="39" t="n">
        <v>649.99</v>
      </c>
      <c r="K420" s="37" t="s">
        <v>518</v>
      </c>
      <c r="L420" s="39" t="n">
        <v>142.27</v>
      </c>
      <c r="M420" s="39" t="n">
        <v>83.58</v>
      </c>
      <c r="N420" s="39" t="n">
        <f aca="false">J420*Resumo!$C$6</f>
        <v>0</v>
      </c>
      <c r="O420" s="39" t="n">
        <f aca="false">J420*Resumo!$C$7</f>
        <v>1.364979</v>
      </c>
      <c r="P420" s="39" t="n">
        <f aca="false">J420*Resumo!$C$8</f>
        <v>1.364979</v>
      </c>
      <c r="Q420" s="39" t="n">
        <f aca="false">Resumo!$C$10*CEILING(I420/100,1)</f>
        <v>1.05</v>
      </c>
      <c r="R420" s="39" t="n">
        <f aca="false">Resumo!$C$9</f>
        <v>0</v>
      </c>
      <c r="S420" s="39" t="n">
        <f aca="false">Resumo!$C$13</f>
        <v>13.55</v>
      </c>
      <c r="T420" s="39" t="n">
        <f aca="false">Resumo!$C$14*CEILING(I420,1)</f>
        <v>24.3</v>
      </c>
      <c r="U420" s="39" t="n">
        <f aca="false">SUM(M420:T420)*Resumo!$C$11</f>
        <v>0</v>
      </c>
      <c r="V420" s="39" t="n">
        <f aca="false">SUM(M420:U420)</f>
        <v>125.209958</v>
      </c>
      <c r="W420" s="39" t="n">
        <f aca="false">V420/(1-Resumo!$C$5)</f>
        <v>142.284043181818</v>
      </c>
      <c r="X420" s="39" t="n">
        <v>142.32</v>
      </c>
      <c r="Y420" s="39" t="n">
        <f aca="false">J420*Resumo!$B$6</f>
        <v>0.64999</v>
      </c>
      <c r="Z420" s="39" t="n">
        <f aca="false">J420*Resumo!$B$7</f>
        <v>1.29998</v>
      </c>
      <c r="AA420" s="39" t="n">
        <f aca="false">Resumo!$B$9</f>
        <v>1</v>
      </c>
      <c r="AB420" s="39" t="n">
        <f aca="false">Resumo!$B$10*CEILING(I420/100,1)</f>
        <v>4.5</v>
      </c>
      <c r="AC420" s="39" t="n">
        <f aca="false">Resumo!$B$12*CEILING(I420,1)</f>
        <v>3.24</v>
      </c>
      <c r="AD420" s="39" t="n">
        <f aca="false">Resumo!$B$14*CEILING(I420,1)</f>
        <v>24.3</v>
      </c>
      <c r="AE420" s="39" t="n">
        <f aca="false">SUM(X420:AD420)</f>
        <v>177.30997</v>
      </c>
      <c r="AF420" s="39" t="n">
        <f aca="false">AE420/(1-Resumo!$B$5)</f>
        <v>201.488602272727</v>
      </c>
      <c r="AG420" s="39" t="n">
        <f aca="false">AF420-W420</f>
        <v>59.2045590909091</v>
      </c>
      <c r="AH420" s="40" t="n">
        <f aca="false">AF420/W420-1</f>
        <v>0.416101185817824</v>
      </c>
      <c r="AI420" s="37" t="str">
        <f aca="false">IF(AF420&lt;W420,"SIM","NÃO")</f>
        <v>NÃO</v>
      </c>
      <c r="AJ420" s="37" t="n">
        <v>13</v>
      </c>
      <c r="AK420" s="37" t="n">
        <v>10</v>
      </c>
      <c r="AL420" s="37" t="s">
        <v>343</v>
      </c>
      <c r="AM420" s="39" t="n">
        <v>142.78</v>
      </c>
    </row>
    <row r="421" customFormat="false" ht="15" hidden="false" customHeight="false" outlineLevel="0" collapsed="false">
      <c r="A421" s="37" t="n">
        <v>368598847</v>
      </c>
      <c r="B421" s="38" t="n">
        <v>46233.9275347222</v>
      </c>
      <c r="C421" s="37" t="s">
        <v>372</v>
      </c>
      <c r="D421" s="37" t="s">
        <v>761</v>
      </c>
      <c r="E421" s="37" t="n">
        <v>21370260</v>
      </c>
      <c r="F421" s="37" t="s">
        <v>159</v>
      </c>
      <c r="G421" s="37" t="s">
        <v>196</v>
      </c>
      <c r="H421" s="37" t="s">
        <v>187</v>
      </c>
      <c r="I421" s="37" t="n">
        <v>52.73</v>
      </c>
      <c r="J421" s="39" t="n">
        <v>568.64</v>
      </c>
      <c r="K421" s="37" t="s">
        <v>342</v>
      </c>
      <c r="L421" s="39" t="n">
        <v>113.87</v>
      </c>
      <c r="M421" s="39" t="n">
        <v>58.6</v>
      </c>
      <c r="N421" s="39" t="n">
        <f aca="false">J421*Resumo!$C$6</f>
        <v>0</v>
      </c>
      <c r="O421" s="39" t="n">
        <f aca="false">J421*Resumo!$C$7</f>
        <v>1.194144</v>
      </c>
      <c r="P421" s="39" t="n">
        <f aca="false">J421*Resumo!$C$8</f>
        <v>1.194144</v>
      </c>
      <c r="Q421" s="39" t="n">
        <f aca="false">Resumo!$C$10*CEILING(I421/100,1)</f>
        <v>1.05</v>
      </c>
      <c r="R421" s="39" t="n">
        <f aca="false">Resumo!$C$9</f>
        <v>0</v>
      </c>
      <c r="S421" s="39" t="n">
        <f aca="false">Resumo!$C$13</f>
        <v>13.55</v>
      </c>
      <c r="T421" s="39" t="n">
        <f aca="false">Resumo!$C$14*CEILING(I421,1)</f>
        <v>23.85</v>
      </c>
      <c r="U421" s="39" t="n">
        <f aca="false">SUM(M421:T421)*Resumo!$C$11</f>
        <v>0</v>
      </c>
      <c r="V421" s="39" t="n">
        <f aca="false">SUM(M421:U421)</f>
        <v>99.438288</v>
      </c>
      <c r="W421" s="39" t="n">
        <f aca="false">V421/(1-Resumo!$C$5)</f>
        <v>112.998054545455</v>
      </c>
      <c r="X421" s="39" t="n">
        <v>112.3</v>
      </c>
      <c r="Y421" s="39" t="n">
        <f aca="false">J421*Resumo!$B$6</f>
        <v>0.56864</v>
      </c>
      <c r="Z421" s="39" t="n">
        <f aca="false">J421*Resumo!$B$7</f>
        <v>1.13728</v>
      </c>
      <c r="AA421" s="39" t="n">
        <f aca="false">Resumo!$B$9</f>
        <v>1</v>
      </c>
      <c r="AB421" s="39" t="n">
        <f aca="false">Resumo!$B$10*CEILING(I421/100,1)</f>
        <v>4.5</v>
      </c>
      <c r="AC421" s="39" t="n">
        <f aca="false">Resumo!$B$12*CEILING(I421,1)</f>
        <v>3.18</v>
      </c>
      <c r="AD421" s="39" t="n">
        <f aca="false">Resumo!$B$14*CEILING(I421,1)</f>
        <v>23.85</v>
      </c>
      <c r="AE421" s="39" t="n">
        <f aca="false">SUM(X421:AD421)</f>
        <v>146.53592</v>
      </c>
      <c r="AF421" s="39" t="n">
        <f aca="false">AE421/(1-Resumo!$B$5)</f>
        <v>166.518090909091</v>
      </c>
      <c r="AG421" s="39" t="n">
        <f aca="false">AF421-W421</f>
        <v>53.5200363636364</v>
      </c>
      <c r="AH421" s="40" t="n">
        <f aca="false">AF421/W421-1</f>
        <v>0.473636794712314</v>
      </c>
      <c r="AI421" s="37" t="str">
        <f aca="false">IF(AF421&lt;W421,"SIM","NÃO")</f>
        <v>NÃO</v>
      </c>
      <c r="AJ421" s="37" t="n">
        <v>2</v>
      </c>
      <c r="AK421" s="37" t="n">
        <v>5</v>
      </c>
      <c r="AL421" s="37" t="s">
        <v>343</v>
      </c>
      <c r="AM421" s="39" t="n">
        <v>113.87</v>
      </c>
    </row>
    <row r="422" customFormat="false" ht="15" hidden="false" customHeight="false" outlineLevel="0" collapsed="false">
      <c r="A422" s="37" t="n">
        <v>368601341</v>
      </c>
      <c r="B422" s="38" t="n">
        <v>46233.9296759259</v>
      </c>
      <c r="C422" s="37" t="s">
        <v>340</v>
      </c>
      <c r="D422" s="37" t="s">
        <v>762</v>
      </c>
      <c r="E422" s="37" t="n">
        <v>27963452</v>
      </c>
      <c r="F422" s="37" t="s">
        <v>166</v>
      </c>
      <c r="G422" s="37" t="s">
        <v>198</v>
      </c>
      <c r="H422" s="37" t="s">
        <v>186</v>
      </c>
      <c r="I422" s="37" t="n">
        <v>48.3</v>
      </c>
      <c r="J422" s="39" t="n">
        <v>459.99</v>
      </c>
      <c r="K422" s="37" t="s">
        <v>518</v>
      </c>
      <c r="L422" s="39" t="n">
        <v>132.15</v>
      </c>
      <c r="M422" s="39" t="n">
        <v>77.7</v>
      </c>
      <c r="N422" s="39" t="n">
        <f aca="false">J422*Resumo!$C$6</f>
        <v>0</v>
      </c>
      <c r="O422" s="39" t="n">
        <f aca="false">J422*Resumo!$C$7</f>
        <v>0.965979</v>
      </c>
      <c r="P422" s="39" t="n">
        <f aca="false">J422*Resumo!$C$8</f>
        <v>0.965979</v>
      </c>
      <c r="Q422" s="39" t="n">
        <f aca="false">Resumo!$C$10*CEILING(I422/100,1)</f>
        <v>1.05</v>
      </c>
      <c r="R422" s="39" t="n">
        <f aca="false">Resumo!$C$9</f>
        <v>0</v>
      </c>
      <c r="S422" s="39" t="n">
        <f aca="false">Resumo!$C$13</f>
        <v>13.55</v>
      </c>
      <c r="T422" s="39" t="n">
        <f aca="false">Resumo!$C$14*CEILING(I422,1)</f>
        <v>22.05</v>
      </c>
      <c r="U422" s="39" t="n">
        <f aca="false">SUM(M422:T422)*Resumo!$C$11</f>
        <v>0</v>
      </c>
      <c r="V422" s="39" t="n">
        <f aca="false">SUM(M422:U422)</f>
        <v>116.281958</v>
      </c>
      <c r="W422" s="39" t="n">
        <f aca="false">V422/(1-Resumo!$C$5)</f>
        <v>132.138588636364</v>
      </c>
      <c r="X422" s="39" t="n">
        <v>152.54</v>
      </c>
      <c r="Y422" s="39" t="n">
        <f aca="false">J422*Resumo!$B$6</f>
        <v>0.45999</v>
      </c>
      <c r="Z422" s="39" t="n">
        <f aca="false">J422*Resumo!$B$7</f>
        <v>0.91998</v>
      </c>
      <c r="AA422" s="39" t="n">
        <f aca="false">Resumo!$B$9</f>
        <v>1</v>
      </c>
      <c r="AB422" s="39" t="n">
        <f aca="false">Resumo!$B$10*CEILING(I422/100,1)</f>
        <v>4.5</v>
      </c>
      <c r="AC422" s="39" t="n">
        <f aca="false">Resumo!$B$12*CEILING(I422,1)</f>
        <v>2.94</v>
      </c>
      <c r="AD422" s="39" t="n">
        <f aca="false">Resumo!$B$14*CEILING(I422,1)</f>
        <v>22.05</v>
      </c>
      <c r="AE422" s="39" t="n">
        <f aca="false">SUM(X422:AD422)</f>
        <v>184.40997</v>
      </c>
      <c r="AF422" s="39" t="n">
        <f aca="false">AE422/(1-Resumo!$B$5)</f>
        <v>209.556784090909</v>
      </c>
      <c r="AG422" s="39" t="n">
        <f aca="false">AF422-W422</f>
        <v>77.4181954545455</v>
      </c>
      <c r="AH422" s="40" t="n">
        <f aca="false">AF422/W422-1</f>
        <v>0.585886350486118</v>
      </c>
      <c r="AI422" s="37" t="str">
        <f aca="false">IF(AF422&lt;W422,"SIM","NÃO")</f>
        <v>NÃO</v>
      </c>
      <c r="AJ422" s="37" t="n">
        <v>13</v>
      </c>
      <c r="AK422" s="37" t="n">
        <v>11</v>
      </c>
      <c r="AL422" s="37" t="s">
        <v>343</v>
      </c>
      <c r="AM422" s="39" t="n">
        <v>130.36</v>
      </c>
    </row>
    <row r="423" customFormat="false" ht="15" hidden="false" customHeight="false" outlineLevel="0" collapsed="false">
      <c r="A423" s="37" t="n">
        <v>368603143</v>
      </c>
      <c r="B423" s="38" t="n">
        <v>46233.9340740741</v>
      </c>
      <c r="C423" s="37" t="s">
        <v>340</v>
      </c>
      <c r="D423" s="37" t="s">
        <v>763</v>
      </c>
      <c r="E423" s="37" t="n">
        <v>25270550</v>
      </c>
      <c r="F423" s="37" t="s">
        <v>161</v>
      </c>
      <c r="G423" s="37" t="s">
        <v>197</v>
      </c>
      <c r="H423" s="37" t="s">
        <v>185</v>
      </c>
      <c r="I423" s="37" t="n">
        <v>39.8</v>
      </c>
      <c r="J423" s="39" t="n">
        <v>499.99</v>
      </c>
      <c r="K423" s="37" t="s">
        <v>342</v>
      </c>
      <c r="L423" s="39" t="n">
        <v>113.35</v>
      </c>
      <c r="M423" s="39" t="n">
        <v>66.83</v>
      </c>
      <c r="N423" s="39" t="n">
        <f aca="false">J423*Resumo!$C$6</f>
        <v>0</v>
      </c>
      <c r="O423" s="39" t="n">
        <f aca="false">J423*Resumo!$C$7</f>
        <v>1.049979</v>
      </c>
      <c r="P423" s="39" t="n">
        <f aca="false">J423*Resumo!$C$8</f>
        <v>1.049979</v>
      </c>
      <c r="Q423" s="39" t="n">
        <f aca="false">Resumo!$C$10*CEILING(I423/100,1)</f>
        <v>1.05</v>
      </c>
      <c r="R423" s="39" t="n">
        <f aca="false">Resumo!$C$9</f>
        <v>0</v>
      </c>
      <c r="S423" s="39" t="n">
        <f aca="false">Resumo!$C$13</f>
        <v>13.55</v>
      </c>
      <c r="T423" s="39" t="n">
        <f aca="false">Resumo!$C$14*CEILING(I423,1)</f>
        <v>18</v>
      </c>
      <c r="U423" s="39" t="n">
        <f aca="false">SUM(M423:T423)*Resumo!$C$11</f>
        <v>0</v>
      </c>
      <c r="V423" s="39" t="n">
        <f aca="false">SUM(M423:U423)</f>
        <v>101.529958</v>
      </c>
      <c r="W423" s="39" t="n">
        <f aca="false">V423/(1-Resumo!$C$5)</f>
        <v>115.374952272727</v>
      </c>
      <c r="X423" s="39" t="n">
        <v>93.97</v>
      </c>
      <c r="Y423" s="39" t="n">
        <f aca="false">J423*Resumo!$B$6</f>
        <v>0.49999</v>
      </c>
      <c r="Z423" s="39" t="n">
        <f aca="false">J423*Resumo!$B$7</f>
        <v>0.99998</v>
      </c>
      <c r="AA423" s="39" t="n">
        <f aca="false">Resumo!$B$9</f>
        <v>1</v>
      </c>
      <c r="AB423" s="39" t="n">
        <f aca="false">Resumo!$B$10*CEILING(I423/100,1)</f>
        <v>4.5</v>
      </c>
      <c r="AC423" s="39" t="n">
        <f aca="false">Resumo!$B$12*CEILING(I423,1)</f>
        <v>2.4</v>
      </c>
      <c r="AD423" s="39" t="n">
        <f aca="false">Resumo!$B$14*CEILING(I423,1)</f>
        <v>18</v>
      </c>
      <c r="AE423" s="39" t="n">
        <f aca="false">SUM(X423:AD423)</f>
        <v>121.36997</v>
      </c>
      <c r="AF423" s="39" t="n">
        <f aca="false">AE423/(1-Resumo!$B$5)</f>
        <v>137.920420454545</v>
      </c>
      <c r="AG423" s="39" t="n">
        <f aca="false">AF423-W423</f>
        <v>22.5454681818182</v>
      </c>
      <c r="AH423" s="40" t="n">
        <f aca="false">AF423/W423-1</f>
        <v>0.195410422606498</v>
      </c>
      <c r="AI423" s="37" t="str">
        <f aca="false">IF(AF423&lt;W423,"SIM","NÃO")</f>
        <v>NÃO</v>
      </c>
      <c r="AJ423" s="37" t="n">
        <v>2</v>
      </c>
      <c r="AK423" s="37" t="n">
        <v>5</v>
      </c>
      <c r="AL423" s="37" t="s">
        <v>343</v>
      </c>
      <c r="AM423" s="39" t="n">
        <v>113.35</v>
      </c>
    </row>
    <row r="424" customFormat="false" ht="15" hidden="false" customHeight="false" outlineLevel="0" collapsed="false">
      <c r="A424" s="37" t="n">
        <v>368613000</v>
      </c>
      <c r="B424" s="38" t="n">
        <v>46233.9577893519</v>
      </c>
      <c r="C424" s="37" t="s">
        <v>345</v>
      </c>
      <c r="D424" s="37" t="s">
        <v>764</v>
      </c>
      <c r="E424" s="37" t="n">
        <v>23891755</v>
      </c>
      <c r="F424" s="37" t="s">
        <v>221</v>
      </c>
      <c r="G424" s="37" t="s">
        <v>198</v>
      </c>
      <c r="H424" s="37" t="s">
        <v>187</v>
      </c>
      <c r="I424" s="37" t="n">
        <v>56.7</v>
      </c>
      <c r="J424" s="39" t="n">
        <v>663.52</v>
      </c>
      <c r="K424" s="37" t="s">
        <v>518</v>
      </c>
      <c r="L424" s="39" t="n">
        <v>143.88</v>
      </c>
      <c r="M424" s="39" t="n">
        <v>83.58</v>
      </c>
      <c r="N424" s="39" t="n">
        <f aca="false">J424*Resumo!$C$6</f>
        <v>0</v>
      </c>
      <c r="O424" s="39" t="n">
        <f aca="false">J424*Resumo!$C$7</f>
        <v>1.393392</v>
      </c>
      <c r="P424" s="39" t="n">
        <f aca="false">J424*Resumo!$C$8</f>
        <v>1.393392</v>
      </c>
      <c r="Q424" s="39" t="n">
        <f aca="false">Resumo!$C$10*CEILING(I424/100,1)</f>
        <v>1.05</v>
      </c>
      <c r="R424" s="39" t="n">
        <f aca="false">Resumo!$C$9</f>
        <v>0</v>
      </c>
      <c r="S424" s="39" t="n">
        <f aca="false">Resumo!$C$13</f>
        <v>13.55</v>
      </c>
      <c r="T424" s="39" t="n">
        <f aca="false">Resumo!$C$14*CEILING(I424,1)</f>
        <v>25.65</v>
      </c>
      <c r="U424" s="39" t="n">
        <f aca="false">SUM(M424:T424)*Resumo!$C$11</f>
        <v>0</v>
      </c>
      <c r="V424" s="39" t="n">
        <f aca="false">SUM(M424:U424)</f>
        <v>126.616784</v>
      </c>
      <c r="W424" s="39" t="n">
        <f aca="false">V424/(1-Resumo!$C$5)</f>
        <v>143.882709090909</v>
      </c>
      <c r="X424" s="39" t="n">
        <v>122.3</v>
      </c>
      <c r="Y424" s="39" t="n">
        <f aca="false">J424*Resumo!$B$6</f>
        <v>0.66352</v>
      </c>
      <c r="Z424" s="39" t="n">
        <f aca="false">J424*Resumo!$B$7</f>
        <v>1.32704</v>
      </c>
      <c r="AA424" s="39" t="n">
        <f aca="false">Resumo!$B$9</f>
        <v>1</v>
      </c>
      <c r="AB424" s="39" t="n">
        <f aca="false">Resumo!$B$10*CEILING(I424/100,1)</f>
        <v>4.5</v>
      </c>
      <c r="AC424" s="39" t="n">
        <f aca="false">Resumo!$B$12*CEILING(I424,1)</f>
        <v>3.42</v>
      </c>
      <c r="AD424" s="39" t="n">
        <f aca="false">Resumo!$B$14*CEILING(I424,1)</f>
        <v>25.65</v>
      </c>
      <c r="AE424" s="39" t="n">
        <f aca="false">SUM(X424:AD424)</f>
        <v>158.86056</v>
      </c>
      <c r="AF424" s="39" t="n">
        <f aca="false">AE424/(1-Resumo!$B$5)</f>
        <v>180.523363636364</v>
      </c>
      <c r="AG424" s="39" t="n">
        <f aca="false">AF424-W424</f>
        <v>36.6406545454545</v>
      </c>
      <c r="AH424" s="40" t="n">
        <f aca="false">AF424/W424-1</f>
        <v>0.254656412691701</v>
      </c>
      <c r="AI424" s="37" t="str">
        <f aca="false">IF(AF424&lt;W424,"SIM","NÃO")</f>
        <v>NÃO</v>
      </c>
      <c r="AJ424" s="37" t="n">
        <v>13</v>
      </c>
      <c r="AK424" s="37" t="n">
        <v>5</v>
      </c>
      <c r="AL424" s="37" t="s">
        <v>347</v>
      </c>
      <c r="AM424" s="39" t="n">
        <v>142.85</v>
      </c>
    </row>
    <row r="425" customFormat="false" ht="15" hidden="false" customHeight="false" outlineLevel="0" collapsed="false">
      <c r="A425" s="37" t="n">
        <v>368628102</v>
      </c>
      <c r="B425" s="38" t="n">
        <v>46234.0036689815</v>
      </c>
      <c r="C425" s="37" t="s">
        <v>375</v>
      </c>
      <c r="D425" s="37" t="s">
        <v>765</v>
      </c>
      <c r="E425" s="37" t="n">
        <v>23092190</v>
      </c>
      <c r="F425" s="37" t="s">
        <v>159</v>
      </c>
      <c r="G425" s="37" t="s">
        <v>196</v>
      </c>
      <c r="H425" s="37" t="s">
        <v>186</v>
      </c>
      <c r="I425" s="37" t="n">
        <v>48</v>
      </c>
      <c r="J425" s="39" t="n">
        <v>785.83</v>
      </c>
      <c r="K425" s="37" t="s">
        <v>518</v>
      </c>
      <c r="L425" s="39" t="n">
        <v>105.74</v>
      </c>
      <c r="M425" s="39" t="n">
        <v>53.55</v>
      </c>
      <c r="N425" s="39" t="n">
        <f aca="false">J425*Resumo!$C$6</f>
        <v>0</v>
      </c>
      <c r="O425" s="39" t="n">
        <f aca="false">J425*Resumo!$C$7</f>
        <v>1.650243</v>
      </c>
      <c r="P425" s="39" t="n">
        <f aca="false">J425*Resumo!$C$8</f>
        <v>1.650243</v>
      </c>
      <c r="Q425" s="39" t="n">
        <f aca="false">Resumo!$C$10*CEILING(I425/100,1)</f>
        <v>1.05</v>
      </c>
      <c r="R425" s="39" t="n">
        <f aca="false">Resumo!$C$9</f>
        <v>0</v>
      </c>
      <c r="S425" s="39" t="n">
        <f aca="false">Resumo!$C$13</f>
        <v>13.55</v>
      </c>
      <c r="T425" s="39" t="n">
        <f aca="false">Resumo!$C$14*CEILING(I425,1)</f>
        <v>21.6</v>
      </c>
      <c r="U425" s="39" t="n">
        <f aca="false">SUM(M425:T425)*Resumo!$C$11</f>
        <v>0</v>
      </c>
      <c r="V425" s="39" t="n">
        <f aca="false">SUM(M425:U425)</f>
        <v>93.050486</v>
      </c>
      <c r="W425" s="39" t="n">
        <f aca="false">V425/(1-Resumo!$C$5)</f>
        <v>105.739188636364</v>
      </c>
      <c r="X425" s="39" t="n">
        <v>93.97</v>
      </c>
      <c r="Y425" s="39" t="n">
        <f aca="false">J425*Resumo!$B$6</f>
        <v>0.78583</v>
      </c>
      <c r="Z425" s="39" t="n">
        <f aca="false">J425*Resumo!$B$7</f>
        <v>1.57166</v>
      </c>
      <c r="AA425" s="39" t="n">
        <f aca="false">Resumo!$B$9</f>
        <v>1</v>
      </c>
      <c r="AB425" s="39" t="n">
        <f aca="false">Resumo!$B$10*CEILING(I425/100,1)</f>
        <v>4.5</v>
      </c>
      <c r="AC425" s="39" t="n">
        <f aca="false">Resumo!$B$12*CEILING(I425,1)</f>
        <v>2.88</v>
      </c>
      <c r="AD425" s="39" t="n">
        <f aca="false">Resumo!$B$14*CEILING(I425,1)</f>
        <v>21.6</v>
      </c>
      <c r="AE425" s="39" t="n">
        <f aca="false">SUM(X425:AD425)</f>
        <v>126.30749</v>
      </c>
      <c r="AF425" s="39" t="n">
        <f aca="false">AE425/(1-Resumo!$B$5)</f>
        <v>143.531238636364</v>
      </c>
      <c r="AG425" s="39" t="n">
        <f aca="false">AF425-W425</f>
        <v>37.79205</v>
      </c>
      <c r="AH425" s="40" t="n">
        <f aca="false">AF425/W425-1</f>
        <v>0.357408170871886</v>
      </c>
      <c r="AI425" s="37" t="str">
        <f aca="false">IF(AF425&lt;W425,"SIM","NÃO")</f>
        <v>NÃO</v>
      </c>
      <c r="AJ425" s="37" t="n">
        <v>2</v>
      </c>
      <c r="AK425" s="37" t="n">
        <v>5</v>
      </c>
      <c r="AL425" s="37" t="s">
        <v>343</v>
      </c>
      <c r="AM425" s="39" t="n">
        <v>104.35</v>
      </c>
    </row>
    <row r="426" customFormat="false" ht="15" hidden="false" customHeight="false" outlineLevel="0" collapsed="false">
      <c r="A426" s="37" t="n">
        <v>368636536</v>
      </c>
      <c r="B426" s="38" t="n">
        <v>46234.0259143519</v>
      </c>
      <c r="C426" s="37" t="s">
        <v>340</v>
      </c>
      <c r="D426" s="37" t="s">
        <v>766</v>
      </c>
      <c r="E426" s="37" t="n">
        <v>20920460</v>
      </c>
      <c r="F426" s="37" t="s">
        <v>159</v>
      </c>
      <c r="G426" s="37" t="s">
        <v>196</v>
      </c>
      <c r="H426" s="37" t="s">
        <v>187</v>
      </c>
      <c r="I426" s="37" t="n">
        <v>52.3</v>
      </c>
      <c r="J426" s="39" t="n">
        <v>685.84</v>
      </c>
      <c r="K426" s="37" t="s">
        <v>518</v>
      </c>
      <c r="L426" s="39" t="n">
        <v>113.56</v>
      </c>
      <c r="M426" s="39" t="n">
        <v>58.6</v>
      </c>
      <c r="N426" s="39" t="n">
        <f aca="false">J426*Resumo!$C$6</f>
        <v>0</v>
      </c>
      <c r="O426" s="39" t="n">
        <f aca="false">J426*Resumo!$C$7</f>
        <v>1.440264</v>
      </c>
      <c r="P426" s="39" t="n">
        <f aca="false">J426*Resumo!$C$8</f>
        <v>1.440264</v>
      </c>
      <c r="Q426" s="39" t="n">
        <f aca="false">Resumo!$C$10*CEILING(I426/100,1)</f>
        <v>1.05</v>
      </c>
      <c r="R426" s="39" t="n">
        <f aca="false">Resumo!$C$9</f>
        <v>0</v>
      </c>
      <c r="S426" s="39" t="n">
        <f aca="false">Resumo!$C$13</f>
        <v>13.55</v>
      </c>
      <c r="T426" s="39" t="n">
        <f aca="false">Resumo!$C$14*CEILING(I426,1)</f>
        <v>23.85</v>
      </c>
      <c r="U426" s="39" t="n">
        <f aca="false">SUM(M426:T426)*Resumo!$C$11</f>
        <v>0</v>
      </c>
      <c r="V426" s="39" t="n">
        <f aca="false">SUM(M426:U426)</f>
        <v>99.930528</v>
      </c>
      <c r="W426" s="39" t="n">
        <f aca="false">V426/(1-Resumo!$C$5)</f>
        <v>113.557418181818</v>
      </c>
      <c r="X426" s="39" t="n">
        <v>112.3</v>
      </c>
      <c r="Y426" s="39" t="n">
        <f aca="false">J426*Resumo!$B$6</f>
        <v>0.68584</v>
      </c>
      <c r="Z426" s="39" t="n">
        <f aca="false">J426*Resumo!$B$7</f>
        <v>1.37168</v>
      </c>
      <c r="AA426" s="39" t="n">
        <f aca="false">Resumo!$B$9</f>
        <v>1</v>
      </c>
      <c r="AB426" s="39" t="n">
        <f aca="false">Resumo!$B$10*CEILING(I426/100,1)</f>
        <v>4.5</v>
      </c>
      <c r="AC426" s="39" t="n">
        <f aca="false">Resumo!$B$12*CEILING(I426,1)</f>
        <v>3.18</v>
      </c>
      <c r="AD426" s="39" t="n">
        <f aca="false">Resumo!$B$14*CEILING(I426,1)</f>
        <v>23.85</v>
      </c>
      <c r="AE426" s="39" t="n">
        <f aca="false">SUM(X426:AD426)</f>
        <v>146.88752</v>
      </c>
      <c r="AF426" s="39" t="n">
        <f aca="false">AE426/(1-Resumo!$B$5)</f>
        <v>166.917636363636</v>
      </c>
      <c r="AG426" s="39" t="n">
        <f aca="false">AF426-W426</f>
        <v>53.3602181818182</v>
      </c>
      <c r="AH426" s="40" t="n">
        <f aca="false">AF426/W426-1</f>
        <v>0.469896366403668</v>
      </c>
      <c r="AI426" s="37" t="str">
        <f aca="false">IF(AF426&lt;W426,"SIM","NÃO")</f>
        <v>NÃO</v>
      </c>
      <c r="AJ426" s="37" t="n">
        <v>2</v>
      </c>
      <c r="AK426" s="37" t="n">
        <v>5</v>
      </c>
      <c r="AL426" s="37" t="s">
        <v>343</v>
      </c>
      <c r="AM426" s="39" t="n">
        <v>114.44</v>
      </c>
    </row>
    <row r="427" customFormat="false" ht="15" hidden="false" customHeight="false" outlineLevel="0" collapsed="false">
      <c r="A427" s="37" t="n">
        <v>368644846</v>
      </c>
      <c r="B427" s="38" t="n">
        <v>46234.0555324074</v>
      </c>
      <c r="C427" s="37" t="s">
        <v>340</v>
      </c>
      <c r="D427" s="37" t="s">
        <v>767</v>
      </c>
      <c r="E427" s="37" t="n">
        <v>24210470</v>
      </c>
      <c r="F427" s="37" t="s">
        <v>163</v>
      </c>
      <c r="G427" s="37" t="s">
        <v>197</v>
      </c>
      <c r="H427" s="37" t="s">
        <v>187</v>
      </c>
      <c r="I427" s="37" t="n">
        <v>52.3</v>
      </c>
      <c r="J427" s="39" t="n">
        <v>685.84</v>
      </c>
      <c r="K427" s="37" t="s">
        <v>518</v>
      </c>
      <c r="L427" s="39" t="n">
        <v>127.62</v>
      </c>
      <c r="M427" s="39" t="n">
        <v>70.98</v>
      </c>
      <c r="N427" s="39" t="n">
        <f aca="false">J427*Resumo!$C$6</f>
        <v>0</v>
      </c>
      <c r="O427" s="39" t="n">
        <f aca="false">J427*Resumo!$C$7</f>
        <v>1.440264</v>
      </c>
      <c r="P427" s="39" t="n">
        <f aca="false">J427*Resumo!$C$8</f>
        <v>1.440264</v>
      </c>
      <c r="Q427" s="39" t="n">
        <f aca="false">Resumo!$C$10*CEILING(I427/100,1)</f>
        <v>1.05</v>
      </c>
      <c r="R427" s="39" t="n">
        <f aca="false">Resumo!$C$9</f>
        <v>0</v>
      </c>
      <c r="S427" s="39" t="n">
        <f aca="false">Resumo!$C$13</f>
        <v>13.55</v>
      </c>
      <c r="T427" s="39" t="n">
        <f aca="false">Resumo!$C$14*CEILING(I427,1)</f>
        <v>23.85</v>
      </c>
      <c r="U427" s="39" t="n">
        <f aca="false">SUM(M427:T427)*Resumo!$C$11</f>
        <v>0</v>
      </c>
      <c r="V427" s="39" t="n">
        <f aca="false">SUM(M427:U427)</f>
        <v>112.310528</v>
      </c>
      <c r="W427" s="39" t="n">
        <f aca="false">V427/(1-Resumo!$C$5)</f>
        <v>127.6256</v>
      </c>
      <c r="X427" s="39" t="n">
        <v>128.14</v>
      </c>
      <c r="Y427" s="39" t="n">
        <f aca="false">J427*Resumo!$B$6</f>
        <v>0.68584</v>
      </c>
      <c r="Z427" s="39" t="n">
        <f aca="false">J427*Resumo!$B$7</f>
        <v>1.37168</v>
      </c>
      <c r="AA427" s="39" t="n">
        <f aca="false">Resumo!$B$9</f>
        <v>1</v>
      </c>
      <c r="AB427" s="39" t="n">
        <f aca="false">Resumo!$B$10*CEILING(I427/100,1)</f>
        <v>4.5</v>
      </c>
      <c r="AC427" s="39" t="n">
        <f aca="false">Resumo!$B$12*CEILING(I427,1)</f>
        <v>3.18</v>
      </c>
      <c r="AD427" s="39" t="n">
        <f aca="false">Resumo!$B$14*CEILING(I427,1)</f>
        <v>23.85</v>
      </c>
      <c r="AE427" s="39" t="n">
        <f aca="false">SUM(X427:AD427)</f>
        <v>162.72752</v>
      </c>
      <c r="AF427" s="39" t="n">
        <f aca="false">AE427/(1-Resumo!$B$5)</f>
        <v>184.917636363636</v>
      </c>
      <c r="AG427" s="39" t="n">
        <f aca="false">AF427-W427</f>
        <v>57.2920363636363</v>
      </c>
      <c r="AH427" s="40" t="n">
        <f aca="false">AF427/W427-1</f>
        <v>0.448907087321323</v>
      </c>
      <c r="AI427" s="37" t="str">
        <f aca="false">IF(AF427&lt;W427,"SIM","NÃO")</f>
        <v>NÃO</v>
      </c>
      <c r="AJ427" s="37" t="n">
        <v>2</v>
      </c>
      <c r="AK427" s="37" t="n">
        <v>7</v>
      </c>
      <c r="AL427" s="37" t="s">
        <v>343</v>
      </c>
      <c r="AM427" s="39" t="n">
        <v>128.57</v>
      </c>
    </row>
    <row r="428" customFormat="false" ht="15" hidden="false" customHeight="false" outlineLevel="0" collapsed="false">
      <c r="A428" s="37" t="n">
        <v>368705484</v>
      </c>
      <c r="B428" s="38" t="n">
        <v>46234.2966550926</v>
      </c>
      <c r="C428" s="37" t="s">
        <v>340</v>
      </c>
      <c r="D428" s="37" t="s">
        <v>768</v>
      </c>
      <c r="E428" s="37" t="n">
        <v>21853340</v>
      </c>
      <c r="F428" s="37" t="s">
        <v>159</v>
      </c>
      <c r="G428" s="37" t="s">
        <v>196</v>
      </c>
      <c r="H428" s="37" t="s">
        <v>185</v>
      </c>
      <c r="I428" s="37" t="n">
        <v>36.9</v>
      </c>
      <c r="J428" s="39" t="n">
        <v>391.87</v>
      </c>
      <c r="K428" s="37" t="s">
        <v>342</v>
      </c>
      <c r="L428" s="39" t="n">
        <v>91.73</v>
      </c>
      <c r="M428" s="39" t="n">
        <v>48.35</v>
      </c>
      <c r="N428" s="39" t="n">
        <f aca="false">J428*Resumo!$C$6</f>
        <v>0</v>
      </c>
      <c r="O428" s="39" t="n">
        <f aca="false">J428*Resumo!$C$7</f>
        <v>0.822927</v>
      </c>
      <c r="P428" s="39" t="n">
        <f aca="false">J428*Resumo!$C$8</f>
        <v>0.822927</v>
      </c>
      <c r="Q428" s="39" t="n">
        <f aca="false">Resumo!$C$10*CEILING(I428/100,1)</f>
        <v>1.05</v>
      </c>
      <c r="R428" s="39" t="n">
        <f aca="false">Resumo!$C$9</f>
        <v>0</v>
      </c>
      <c r="S428" s="39" t="n">
        <f aca="false">Resumo!$C$13</f>
        <v>13.55</v>
      </c>
      <c r="T428" s="39" t="n">
        <f aca="false">Resumo!$C$14*CEILING(I428,1)</f>
        <v>16.65</v>
      </c>
      <c r="U428" s="39" t="n">
        <f aca="false">SUM(M428:T428)*Resumo!$C$11</f>
        <v>0</v>
      </c>
      <c r="V428" s="39" t="n">
        <f aca="false">SUM(M428:U428)</f>
        <v>81.245854</v>
      </c>
      <c r="W428" s="39" t="n">
        <f aca="false">V428/(1-Resumo!$C$5)</f>
        <v>92.3248340909091</v>
      </c>
      <c r="X428" s="39" t="n">
        <v>93.97</v>
      </c>
      <c r="Y428" s="39" t="n">
        <f aca="false">J428*Resumo!$B$6</f>
        <v>0.39187</v>
      </c>
      <c r="Z428" s="39" t="n">
        <f aca="false">J428*Resumo!$B$7</f>
        <v>0.78374</v>
      </c>
      <c r="AA428" s="39" t="n">
        <f aca="false">Resumo!$B$9</f>
        <v>1</v>
      </c>
      <c r="AB428" s="39" t="n">
        <f aca="false">Resumo!$B$10*CEILING(I428/100,1)</f>
        <v>4.5</v>
      </c>
      <c r="AC428" s="39" t="n">
        <f aca="false">Resumo!$B$12*CEILING(I428,1)</f>
        <v>2.22</v>
      </c>
      <c r="AD428" s="39" t="n">
        <f aca="false">Resumo!$B$14*CEILING(I428,1)</f>
        <v>16.65</v>
      </c>
      <c r="AE428" s="39" t="n">
        <f aca="false">SUM(X428:AD428)</f>
        <v>119.51561</v>
      </c>
      <c r="AF428" s="39" t="n">
        <f aca="false">AE428/(1-Resumo!$B$5)</f>
        <v>135.813193181818</v>
      </c>
      <c r="AG428" s="39" t="n">
        <f aca="false">AF428-W428</f>
        <v>43.4883590909091</v>
      </c>
      <c r="AH428" s="40" t="n">
        <f aca="false">AF428/W428-1</f>
        <v>0.471036417439836</v>
      </c>
      <c r="AI428" s="37" t="str">
        <f aca="false">IF(AF428&lt;W428,"SIM","NÃO")</f>
        <v>NÃO</v>
      </c>
      <c r="AJ428" s="37" t="n">
        <v>2</v>
      </c>
      <c r="AK428" s="37" t="n">
        <v>5</v>
      </c>
      <c r="AL428" s="37" t="s">
        <v>343</v>
      </c>
      <c r="AM428" s="39" t="n">
        <v>91.73</v>
      </c>
    </row>
    <row r="429" customFormat="false" ht="15" hidden="false" customHeight="false" outlineLevel="0" collapsed="false">
      <c r="A429" s="37" t="n">
        <v>368725146</v>
      </c>
      <c r="B429" s="38" t="n">
        <v>46234.3576388889</v>
      </c>
      <c r="C429" s="37" t="s">
        <v>345</v>
      </c>
      <c r="D429" s="37" t="s">
        <v>769</v>
      </c>
      <c r="E429" s="37" t="n">
        <v>22765390</v>
      </c>
      <c r="F429" s="37" t="s">
        <v>159</v>
      </c>
      <c r="G429" s="37" t="s">
        <v>196</v>
      </c>
      <c r="H429" s="37" t="s">
        <v>186</v>
      </c>
      <c r="I429" s="37" t="n">
        <v>48.6</v>
      </c>
      <c r="J429" s="39" t="n">
        <v>543.29</v>
      </c>
      <c r="K429" s="37" t="s">
        <v>342</v>
      </c>
      <c r="L429" s="39" t="n">
        <v>103.19</v>
      </c>
      <c r="M429" s="39" t="n">
        <v>53.55</v>
      </c>
      <c r="N429" s="39" t="n">
        <f aca="false">J429*Resumo!$C$6</f>
        <v>0</v>
      </c>
      <c r="O429" s="39" t="n">
        <f aca="false">J429*Resumo!$C$7</f>
        <v>1.140909</v>
      </c>
      <c r="P429" s="39" t="n">
        <f aca="false">J429*Resumo!$C$8</f>
        <v>1.140909</v>
      </c>
      <c r="Q429" s="39" t="n">
        <f aca="false">Resumo!$C$10*CEILING(I429/100,1)</f>
        <v>1.05</v>
      </c>
      <c r="R429" s="39" t="n">
        <f aca="false">Resumo!$C$9</f>
        <v>0</v>
      </c>
      <c r="S429" s="39" t="n">
        <f aca="false">Resumo!$C$13</f>
        <v>13.55</v>
      </c>
      <c r="T429" s="39" t="n">
        <f aca="false">Resumo!$C$14*CEILING(I429,1)</f>
        <v>22.05</v>
      </c>
      <c r="U429" s="39" t="n">
        <f aca="false">SUM(M429:T429)*Resumo!$C$11</f>
        <v>0</v>
      </c>
      <c r="V429" s="39" t="n">
        <f aca="false">SUM(M429:U429)</f>
        <v>92.481818</v>
      </c>
      <c r="W429" s="39" t="n">
        <f aca="false">V429/(1-Resumo!$C$5)</f>
        <v>105.092975</v>
      </c>
      <c r="X429" s="39" t="n">
        <v>93.97</v>
      </c>
      <c r="Y429" s="39" t="n">
        <f aca="false">J429*Resumo!$B$6</f>
        <v>0.54329</v>
      </c>
      <c r="Z429" s="39" t="n">
        <f aca="false">J429*Resumo!$B$7</f>
        <v>1.08658</v>
      </c>
      <c r="AA429" s="39" t="n">
        <f aca="false">Resumo!$B$9</f>
        <v>1</v>
      </c>
      <c r="AB429" s="39" t="n">
        <f aca="false">Resumo!$B$10*CEILING(I429/100,1)</f>
        <v>4.5</v>
      </c>
      <c r="AC429" s="39" t="n">
        <f aca="false">Resumo!$B$12*CEILING(I429,1)</f>
        <v>2.94</v>
      </c>
      <c r="AD429" s="39" t="n">
        <f aca="false">Resumo!$B$14*CEILING(I429,1)</f>
        <v>22.05</v>
      </c>
      <c r="AE429" s="39" t="n">
        <f aca="false">SUM(X429:AD429)</f>
        <v>126.08987</v>
      </c>
      <c r="AF429" s="39" t="n">
        <f aca="false">AE429/(1-Resumo!$B$5)</f>
        <v>143.283943181818</v>
      </c>
      <c r="AG429" s="39" t="n">
        <f aca="false">AF429-W429</f>
        <v>38.1909681818182</v>
      </c>
      <c r="AH429" s="40" t="n">
        <f aca="false">AF429/W429-1</f>
        <v>0.363401722920283</v>
      </c>
      <c r="AI429" s="37" t="str">
        <f aca="false">IF(AF429&lt;W429,"SIM","NÃO")</f>
        <v>NÃO</v>
      </c>
      <c r="AJ429" s="37" t="n">
        <v>2</v>
      </c>
      <c r="AK429" s="37" t="n">
        <v>5</v>
      </c>
      <c r="AL429" s="37" t="s">
        <v>343</v>
      </c>
      <c r="AM429" s="39" t="n">
        <v>103.19</v>
      </c>
    </row>
    <row r="430" customFormat="false" ht="15" hidden="false" customHeight="false" outlineLevel="0" collapsed="false">
      <c r="A430" s="37" t="n">
        <v>368731672</v>
      </c>
      <c r="B430" s="38" t="n">
        <v>46234.374224537</v>
      </c>
      <c r="C430" s="37" t="s">
        <v>340</v>
      </c>
      <c r="D430" s="37" t="s">
        <v>770</v>
      </c>
      <c r="E430" s="37" t="n">
        <v>26183490</v>
      </c>
      <c r="F430" s="37" t="s">
        <v>165</v>
      </c>
      <c r="G430" s="37" t="s">
        <v>197</v>
      </c>
      <c r="H430" s="37" t="s">
        <v>186</v>
      </c>
      <c r="I430" s="37" t="n">
        <v>48.3</v>
      </c>
      <c r="J430" s="39" t="n">
        <v>459.99</v>
      </c>
      <c r="K430" s="37" t="s">
        <v>518</v>
      </c>
      <c r="L430" s="39" t="n">
        <v>118.12</v>
      </c>
      <c r="M430" s="39" t="n">
        <v>65.36</v>
      </c>
      <c r="N430" s="39" t="n">
        <f aca="false">J430*Resumo!$C$6</f>
        <v>0</v>
      </c>
      <c r="O430" s="39" t="n">
        <f aca="false">J430*Resumo!$C$7</f>
        <v>0.965979</v>
      </c>
      <c r="P430" s="39" t="n">
        <f aca="false">J430*Resumo!$C$8</f>
        <v>0.965979</v>
      </c>
      <c r="Q430" s="39" t="n">
        <f aca="false">Resumo!$C$10*CEILING(I430/100,1)</f>
        <v>1.05</v>
      </c>
      <c r="R430" s="39" t="n">
        <f aca="false">Resumo!$C$9</f>
        <v>0</v>
      </c>
      <c r="S430" s="39" t="n">
        <f aca="false">Resumo!$C$13</f>
        <v>13.55</v>
      </c>
      <c r="T430" s="39" t="n">
        <f aca="false">Resumo!$C$14*CEILING(I430,1)</f>
        <v>22.05</v>
      </c>
      <c r="U430" s="39" t="n">
        <f aca="false">SUM(M430:T430)*Resumo!$C$11</f>
        <v>0</v>
      </c>
      <c r="V430" s="39" t="n">
        <f aca="false">SUM(M430:U430)</f>
        <v>103.941958</v>
      </c>
      <c r="W430" s="39" t="n">
        <f aca="false">V430/(1-Resumo!$C$5)</f>
        <v>118.115861363636</v>
      </c>
      <c r="X430" s="39" t="n">
        <v>93.97</v>
      </c>
      <c r="Y430" s="39" t="n">
        <f aca="false">J430*Resumo!$B$6</f>
        <v>0.45999</v>
      </c>
      <c r="Z430" s="39" t="n">
        <f aca="false">J430*Resumo!$B$7</f>
        <v>0.91998</v>
      </c>
      <c r="AA430" s="39" t="n">
        <f aca="false">Resumo!$B$9</f>
        <v>1</v>
      </c>
      <c r="AB430" s="39" t="n">
        <f aca="false">Resumo!$B$10*CEILING(I430/100,1)</f>
        <v>4.5</v>
      </c>
      <c r="AC430" s="39" t="n">
        <f aca="false">Resumo!$B$12*CEILING(I430,1)</f>
        <v>2.94</v>
      </c>
      <c r="AD430" s="39" t="n">
        <f aca="false">Resumo!$B$14*CEILING(I430,1)</f>
        <v>22.05</v>
      </c>
      <c r="AE430" s="39" t="n">
        <f aca="false">SUM(X430:AD430)</f>
        <v>125.83997</v>
      </c>
      <c r="AF430" s="39" t="n">
        <f aca="false">AE430/(1-Resumo!$B$5)</f>
        <v>142.999965909091</v>
      </c>
      <c r="AG430" s="39" t="n">
        <f aca="false">AF430-W430</f>
        <v>24.8841045454545</v>
      </c>
      <c r="AH430" s="40" t="n">
        <f aca="false">AF430/W430-1</f>
        <v>0.210675384814282</v>
      </c>
      <c r="AI430" s="37" t="str">
        <f aca="false">IF(AF430&lt;W430,"SIM","NÃO")</f>
        <v>NÃO</v>
      </c>
      <c r="AJ430" s="37" t="n">
        <v>2</v>
      </c>
      <c r="AK430" s="37" t="n">
        <v>5</v>
      </c>
      <c r="AL430" s="37" t="s">
        <v>343</v>
      </c>
      <c r="AM430" s="39" t="n">
        <v>116.28</v>
      </c>
    </row>
    <row r="431" customFormat="false" ht="15" hidden="false" customHeight="false" outlineLevel="0" collapsed="false">
      <c r="A431" s="37" t="n">
        <v>368736783</v>
      </c>
      <c r="B431" s="38" t="n">
        <v>46234.3867939815</v>
      </c>
      <c r="C431" s="37" t="s">
        <v>345</v>
      </c>
      <c r="D431" s="37" t="s">
        <v>771</v>
      </c>
      <c r="E431" s="37" t="n">
        <v>23550375</v>
      </c>
      <c r="F431" s="37" t="s">
        <v>159</v>
      </c>
      <c r="G431" s="37" t="s">
        <v>196</v>
      </c>
      <c r="H431" s="37" t="s">
        <v>185</v>
      </c>
      <c r="I431" s="37" t="n">
        <v>36.8</v>
      </c>
      <c r="J431" s="39" t="n">
        <v>418.55</v>
      </c>
      <c r="K431" s="37" t="s">
        <v>518</v>
      </c>
      <c r="L431" s="39" t="n">
        <v>92.45</v>
      </c>
      <c r="M431" s="39" t="n">
        <v>48.35</v>
      </c>
      <c r="N431" s="39" t="n">
        <f aca="false">J431*Resumo!$C$6</f>
        <v>0</v>
      </c>
      <c r="O431" s="39" t="n">
        <f aca="false">J431*Resumo!$C$7</f>
        <v>0.878955</v>
      </c>
      <c r="P431" s="39" t="n">
        <f aca="false">J431*Resumo!$C$8</f>
        <v>0.878955</v>
      </c>
      <c r="Q431" s="39" t="n">
        <f aca="false">Resumo!$C$10*CEILING(I431/100,1)</f>
        <v>1.05</v>
      </c>
      <c r="R431" s="39" t="n">
        <f aca="false">Resumo!$C$9</f>
        <v>0</v>
      </c>
      <c r="S431" s="39" t="n">
        <f aca="false">Resumo!$C$13</f>
        <v>13.55</v>
      </c>
      <c r="T431" s="39" t="n">
        <f aca="false">Resumo!$C$14*CEILING(I431,1)</f>
        <v>16.65</v>
      </c>
      <c r="U431" s="39" t="n">
        <f aca="false">SUM(M431:T431)*Resumo!$C$11</f>
        <v>0</v>
      </c>
      <c r="V431" s="39" t="n">
        <f aca="false">SUM(M431:U431)</f>
        <v>81.35791</v>
      </c>
      <c r="W431" s="39" t="n">
        <f aca="false">V431/(1-Resumo!$C$5)</f>
        <v>92.4521704545455</v>
      </c>
      <c r="X431" s="39" t="n">
        <v>93.97</v>
      </c>
      <c r="Y431" s="39" t="n">
        <f aca="false">J431*Resumo!$B$6</f>
        <v>0.41855</v>
      </c>
      <c r="Z431" s="39" t="n">
        <f aca="false">J431*Resumo!$B$7</f>
        <v>0.8371</v>
      </c>
      <c r="AA431" s="39" t="n">
        <f aca="false">Resumo!$B$9</f>
        <v>1</v>
      </c>
      <c r="AB431" s="39" t="n">
        <f aca="false">Resumo!$B$10*CEILING(I431/100,1)</f>
        <v>4.5</v>
      </c>
      <c r="AC431" s="39" t="n">
        <f aca="false">Resumo!$B$12*CEILING(I431,1)</f>
        <v>2.22</v>
      </c>
      <c r="AD431" s="39" t="n">
        <f aca="false">Resumo!$B$14*CEILING(I431,1)</f>
        <v>16.65</v>
      </c>
      <c r="AE431" s="39" t="n">
        <f aca="false">SUM(X431:AD431)</f>
        <v>119.59565</v>
      </c>
      <c r="AF431" s="39" t="n">
        <f aca="false">AE431/(1-Resumo!$B$5)</f>
        <v>135.904147727273</v>
      </c>
      <c r="AG431" s="39" t="n">
        <f aca="false">AF431-W431</f>
        <v>43.4519772727273</v>
      </c>
      <c r="AH431" s="40" t="n">
        <f aca="false">AF431/W431-1</f>
        <v>0.469994128413574</v>
      </c>
      <c r="AI431" s="37" t="str">
        <f aca="false">IF(AF431&lt;W431,"SIM","NÃO")</f>
        <v>NÃO</v>
      </c>
      <c r="AJ431" s="37" t="n">
        <v>2</v>
      </c>
      <c r="AK431" s="37" t="n">
        <v>5</v>
      </c>
      <c r="AL431" s="37" t="s">
        <v>343</v>
      </c>
      <c r="AM431" s="39" t="n">
        <v>91.86</v>
      </c>
    </row>
    <row r="432" customFormat="false" ht="15" hidden="false" customHeight="false" outlineLevel="0" collapsed="false">
      <c r="A432" s="37" t="n">
        <v>368739102</v>
      </c>
      <c r="B432" s="38" t="n">
        <v>46234.3925115741</v>
      </c>
      <c r="C432" s="37" t="s">
        <v>340</v>
      </c>
      <c r="D432" s="37" t="s">
        <v>772</v>
      </c>
      <c r="E432" s="37" t="n">
        <v>24755420</v>
      </c>
      <c r="F432" s="37" t="s">
        <v>160</v>
      </c>
      <c r="G432" s="37" t="s">
        <v>197</v>
      </c>
      <c r="H432" s="37" t="s">
        <v>183</v>
      </c>
      <c r="I432" s="37" t="n">
        <v>19.5</v>
      </c>
      <c r="J432" s="39" t="n">
        <v>350.99</v>
      </c>
      <c r="K432" s="37" t="s">
        <v>518</v>
      </c>
      <c r="L432" s="39" t="n">
        <v>77.05</v>
      </c>
      <c r="M432" s="39" t="n">
        <v>42.72</v>
      </c>
      <c r="N432" s="39" t="n">
        <f aca="false">J432*Resumo!$C$6</f>
        <v>0</v>
      </c>
      <c r="O432" s="39" t="n">
        <f aca="false">J432*Resumo!$C$7</f>
        <v>0.737079</v>
      </c>
      <c r="P432" s="39" t="n">
        <f aca="false">J432*Resumo!$C$8</f>
        <v>0.737079</v>
      </c>
      <c r="Q432" s="39" t="n">
        <f aca="false">Resumo!$C$10*CEILING(I432/100,1)</f>
        <v>1.05</v>
      </c>
      <c r="R432" s="39" t="n">
        <f aca="false">Resumo!$C$9</f>
        <v>0</v>
      </c>
      <c r="S432" s="39" t="n">
        <f aca="false">Resumo!$C$13</f>
        <v>13.55</v>
      </c>
      <c r="T432" s="39" t="n">
        <f aca="false">Resumo!$C$14*CEILING(I432,1)</f>
        <v>9</v>
      </c>
      <c r="U432" s="39" t="n">
        <f aca="false">SUM(M432:T432)*Resumo!$C$11</f>
        <v>0</v>
      </c>
      <c r="V432" s="39" t="n">
        <f aca="false">SUM(M432:U432)</f>
        <v>67.794158</v>
      </c>
      <c r="W432" s="39" t="n">
        <f aca="false">V432/(1-Resumo!$C$5)</f>
        <v>77.0388159090909</v>
      </c>
      <c r="X432" s="39" t="n">
        <v>57.47</v>
      </c>
      <c r="Y432" s="39" t="n">
        <f aca="false">J432*Resumo!$B$6</f>
        <v>0.35099</v>
      </c>
      <c r="Z432" s="39" t="n">
        <f aca="false">J432*Resumo!$B$7</f>
        <v>0.70198</v>
      </c>
      <c r="AA432" s="39" t="n">
        <f aca="false">Resumo!$B$9</f>
        <v>1</v>
      </c>
      <c r="AB432" s="39" t="n">
        <f aca="false">Resumo!$B$10*CEILING(I432/100,1)</f>
        <v>4.5</v>
      </c>
      <c r="AC432" s="39" t="n">
        <f aca="false">Resumo!$B$12*CEILING(I432,1)</f>
        <v>1.2</v>
      </c>
      <c r="AD432" s="39" t="n">
        <f aca="false">Resumo!$B$14*CEILING(I432,1)</f>
        <v>9</v>
      </c>
      <c r="AE432" s="39" t="n">
        <f aca="false">SUM(X432:AD432)</f>
        <v>74.22297</v>
      </c>
      <c r="AF432" s="39" t="n">
        <f aca="false">AE432/(1-Resumo!$B$5)</f>
        <v>84.3442840909091</v>
      </c>
      <c r="AG432" s="39" t="n">
        <f aca="false">AF432-W432</f>
        <v>7.3054681818182</v>
      </c>
      <c r="AH432" s="40" t="n">
        <f aca="false">AF432/W432-1</f>
        <v>0.0948284068960634</v>
      </c>
      <c r="AI432" s="37" t="str">
        <f aca="false">IF(AF432&lt;W432,"SIM","NÃO")</f>
        <v>NÃO</v>
      </c>
      <c r="AJ432" s="37" t="n">
        <v>2</v>
      </c>
      <c r="AK432" s="37" t="n">
        <v>7</v>
      </c>
      <c r="AL432" s="37" t="s">
        <v>343</v>
      </c>
      <c r="AM432" s="39" t="n">
        <v>75.52</v>
      </c>
    </row>
    <row r="433" customFormat="false" ht="15" hidden="false" customHeight="false" outlineLevel="0" collapsed="false">
      <c r="A433" s="37" t="n">
        <v>368758549</v>
      </c>
      <c r="B433" s="38" t="n">
        <v>46234.4359375</v>
      </c>
      <c r="C433" s="37" t="s">
        <v>340</v>
      </c>
      <c r="D433" s="37" t="s">
        <v>773</v>
      </c>
      <c r="E433" s="37" t="n">
        <v>27961804</v>
      </c>
      <c r="F433" s="37" t="s">
        <v>166</v>
      </c>
      <c r="G433" s="37" t="s">
        <v>198</v>
      </c>
      <c r="H433" s="37" t="s">
        <v>188</v>
      </c>
      <c r="I433" s="37" t="n">
        <v>61.4</v>
      </c>
      <c r="J433" s="39" t="n">
        <v>901.59</v>
      </c>
      <c r="K433" s="37" t="s">
        <v>518</v>
      </c>
      <c r="L433" s="39" t="n">
        <v>155.09</v>
      </c>
      <c r="M433" s="39" t="n">
        <v>90.2</v>
      </c>
      <c r="N433" s="39" t="n">
        <f aca="false">J433*Resumo!$C$6</f>
        <v>0</v>
      </c>
      <c r="O433" s="39" t="n">
        <f aca="false">J433*Resumo!$C$7</f>
        <v>1.893339</v>
      </c>
      <c r="P433" s="39" t="n">
        <f aca="false">J433*Resumo!$C$8</f>
        <v>1.893339</v>
      </c>
      <c r="Q433" s="39" t="n">
        <f aca="false">Resumo!$C$10*CEILING(I433/100,1)</f>
        <v>1.05</v>
      </c>
      <c r="R433" s="39" t="n">
        <f aca="false">Resumo!$C$9</f>
        <v>0</v>
      </c>
      <c r="S433" s="39" t="n">
        <f aca="false">Resumo!$C$13</f>
        <v>13.55</v>
      </c>
      <c r="T433" s="39" t="n">
        <f aca="false">Resumo!$C$14*CEILING(I433,1)</f>
        <v>27.9</v>
      </c>
      <c r="U433" s="39" t="n">
        <f aca="false">SUM(M433:T433)*Resumo!$C$11</f>
        <v>0</v>
      </c>
      <c r="V433" s="39" t="n">
        <f aca="false">SUM(M433:U433)</f>
        <v>136.486678</v>
      </c>
      <c r="W433" s="39" t="n">
        <f aca="false">V433/(1-Resumo!$C$5)</f>
        <v>155.098497727273</v>
      </c>
      <c r="X433" s="39" t="n">
        <v>171.54</v>
      </c>
      <c r="Y433" s="39" t="n">
        <f aca="false">J433*Resumo!$B$6</f>
        <v>0.90159</v>
      </c>
      <c r="Z433" s="39" t="n">
        <f aca="false">J433*Resumo!$B$7</f>
        <v>1.80318</v>
      </c>
      <c r="AA433" s="39" t="n">
        <f aca="false">Resumo!$B$9</f>
        <v>1</v>
      </c>
      <c r="AB433" s="39" t="n">
        <f aca="false">Resumo!$B$10*CEILING(I433/100,1)</f>
        <v>4.5</v>
      </c>
      <c r="AC433" s="39" t="n">
        <f aca="false">Resumo!$B$12*CEILING(I433,1)</f>
        <v>3.72</v>
      </c>
      <c r="AD433" s="39" t="n">
        <f aca="false">Resumo!$B$14*CEILING(I433,1)</f>
        <v>27.9</v>
      </c>
      <c r="AE433" s="39" t="n">
        <f aca="false">SUM(X433:AD433)</f>
        <v>211.36477</v>
      </c>
      <c r="AF433" s="39" t="n">
        <f aca="false">AE433/(1-Resumo!$B$5)</f>
        <v>240.187238636364</v>
      </c>
      <c r="AG433" s="39" t="n">
        <f aca="false">AF433-W433</f>
        <v>85.0887409090909</v>
      </c>
      <c r="AH433" s="40" t="n">
        <f aca="false">AF433/W433-1</f>
        <v>0.548610993374753</v>
      </c>
      <c r="AI433" s="37" t="str">
        <f aca="false">IF(AF433&lt;W433,"SIM","NÃO")</f>
        <v>NÃO</v>
      </c>
      <c r="AJ433" s="37" t="n">
        <v>13</v>
      </c>
      <c r="AK433" s="37" t="n">
        <v>11</v>
      </c>
      <c r="AL433" s="37" t="s">
        <v>343</v>
      </c>
      <c r="AM433" s="39" t="n">
        <v>156.34</v>
      </c>
    </row>
    <row r="434" customFormat="false" ht="15" hidden="false" customHeight="false" outlineLevel="0" collapsed="false">
      <c r="A434" s="37" t="n">
        <v>368763045</v>
      </c>
      <c r="B434" s="38" t="n">
        <v>46234.4459490741</v>
      </c>
      <c r="C434" s="37" t="s">
        <v>340</v>
      </c>
      <c r="D434" s="37" t="s">
        <v>774</v>
      </c>
      <c r="E434" s="37" t="n">
        <v>24916125</v>
      </c>
      <c r="F434" s="37" t="s">
        <v>171</v>
      </c>
      <c r="G434" s="37" t="s">
        <v>198</v>
      </c>
      <c r="H434" s="37" t="s">
        <v>192</v>
      </c>
      <c r="I434" s="37" t="n">
        <v>124.2</v>
      </c>
      <c r="J434" s="39" t="n">
        <v>1558.08</v>
      </c>
      <c r="K434" s="37" t="s">
        <v>518</v>
      </c>
      <c r="L434" s="39" t="n">
        <v>253.05</v>
      </c>
      <c r="M434" s="39" t="n">
        <v>144.24</v>
      </c>
      <c r="N434" s="39" t="n">
        <f aca="false">J434*Resumo!$C$6</f>
        <v>0</v>
      </c>
      <c r="O434" s="39" t="n">
        <f aca="false">J434*Resumo!$C$7</f>
        <v>3.271968</v>
      </c>
      <c r="P434" s="39" t="n">
        <f aca="false">J434*Resumo!$C$8</f>
        <v>3.271968</v>
      </c>
      <c r="Q434" s="39" t="n">
        <f aca="false">Resumo!$C$10*CEILING(I434/100,1)</f>
        <v>2.1</v>
      </c>
      <c r="R434" s="39" t="n">
        <f aca="false">Resumo!$C$9</f>
        <v>0</v>
      </c>
      <c r="S434" s="39" t="n">
        <f aca="false">Resumo!$C$13</f>
        <v>13.55</v>
      </c>
      <c r="T434" s="39" t="n">
        <f aca="false">Resumo!$C$14*CEILING(I434,1)</f>
        <v>56.25</v>
      </c>
      <c r="U434" s="39" t="n">
        <f aca="false">SUM(M434:T434)*Resumo!$C$11</f>
        <v>0</v>
      </c>
      <c r="V434" s="39" t="n">
        <f aca="false">SUM(M434:U434)</f>
        <v>222.683936</v>
      </c>
      <c r="W434" s="39" t="n">
        <f aca="false">V434/(1-Resumo!$C$5)</f>
        <v>253.049927272727</v>
      </c>
      <c r="X434" s="39" t="n">
        <v>249.03</v>
      </c>
      <c r="Y434" s="39" t="n">
        <f aca="false">J434*Resumo!$B$6</f>
        <v>1.55808</v>
      </c>
      <c r="Z434" s="39" t="n">
        <f aca="false">J434*Resumo!$B$7</f>
        <v>3.11616</v>
      </c>
      <c r="AA434" s="39" t="n">
        <f aca="false">Resumo!$B$9</f>
        <v>1</v>
      </c>
      <c r="AB434" s="39" t="n">
        <f aca="false">Resumo!$B$10*CEILING(I434/100,1)</f>
        <v>9</v>
      </c>
      <c r="AC434" s="39" t="n">
        <f aca="false">Resumo!$B$12*CEILING(I434,1)</f>
        <v>7.5</v>
      </c>
      <c r="AD434" s="39" t="n">
        <f aca="false">Resumo!$B$14*CEILING(I434,1)</f>
        <v>56.25</v>
      </c>
      <c r="AE434" s="39" t="n">
        <f aca="false">SUM(X434:AD434)</f>
        <v>327.45424</v>
      </c>
      <c r="AF434" s="39" t="n">
        <f aca="false">AE434/(1-Resumo!$B$5)</f>
        <v>372.107090909091</v>
      </c>
      <c r="AG434" s="39" t="n">
        <f aca="false">AF434-W434</f>
        <v>119.057163636364</v>
      </c>
      <c r="AH434" s="40" t="n">
        <f aca="false">AF434/W434-1</f>
        <v>0.470488827716787</v>
      </c>
      <c r="AI434" s="37" t="str">
        <f aca="false">IF(AF434&lt;W434,"SIM","NÃO")</f>
        <v>NÃO</v>
      </c>
      <c r="AJ434" s="37" t="n">
        <v>13</v>
      </c>
      <c r="AK434" s="37" t="n">
        <v>7</v>
      </c>
      <c r="AL434" s="37" t="s">
        <v>343</v>
      </c>
      <c r="AM434" s="39" t="n">
        <v>260.76</v>
      </c>
    </row>
    <row r="435" customFormat="false" ht="15" hidden="false" customHeight="false" outlineLevel="0" collapsed="false">
      <c r="A435" s="37" t="n">
        <v>368763987</v>
      </c>
      <c r="B435" s="38" t="n">
        <v>46234.4525231482</v>
      </c>
      <c r="C435" s="37" t="s">
        <v>361</v>
      </c>
      <c r="D435" s="37" t="s">
        <v>775</v>
      </c>
      <c r="E435" s="37" t="n">
        <v>24470030</v>
      </c>
      <c r="F435" s="37" t="s">
        <v>160</v>
      </c>
      <c r="G435" s="37" t="s">
        <v>197</v>
      </c>
      <c r="H435" s="37" t="s">
        <v>187</v>
      </c>
      <c r="I435" s="37" t="n">
        <v>60</v>
      </c>
      <c r="J435" s="39" t="n">
        <v>849.99</v>
      </c>
      <c r="K435" s="37" t="s">
        <v>518</v>
      </c>
      <c r="L435" s="39" t="n">
        <v>131.98</v>
      </c>
      <c r="M435" s="39" t="n">
        <v>70.98</v>
      </c>
      <c r="N435" s="39" t="n">
        <f aca="false">J435*Resumo!$C$6</f>
        <v>0</v>
      </c>
      <c r="O435" s="39" t="n">
        <f aca="false">J435*Resumo!$C$7</f>
        <v>1.784979</v>
      </c>
      <c r="P435" s="39" t="n">
        <f aca="false">J435*Resumo!$C$8</f>
        <v>1.784979</v>
      </c>
      <c r="Q435" s="39" t="n">
        <f aca="false">Resumo!$C$10*CEILING(I435/100,1)</f>
        <v>1.05</v>
      </c>
      <c r="R435" s="39" t="n">
        <f aca="false">Resumo!$C$9</f>
        <v>0</v>
      </c>
      <c r="S435" s="39" t="n">
        <f aca="false">Resumo!$C$13</f>
        <v>13.55</v>
      </c>
      <c r="T435" s="39" t="n">
        <f aca="false">Resumo!$C$14*CEILING(I435,1)</f>
        <v>27</v>
      </c>
      <c r="U435" s="39" t="n">
        <f aca="false">SUM(M435:T435)*Resumo!$C$11</f>
        <v>0</v>
      </c>
      <c r="V435" s="39" t="n">
        <f aca="false">SUM(M435:U435)</f>
        <v>116.149958</v>
      </c>
      <c r="W435" s="39" t="n">
        <f aca="false">V435/(1-Resumo!$C$5)</f>
        <v>131.988588636364</v>
      </c>
      <c r="X435" s="39" t="n">
        <v>128.14</v>
      </c>
      <c r="Y435" s="39" t="n">
        <f aca="false">J435*Resumo!$B$6</f>
        <v>0.84999</v>
      </c>
      <c r="Z435" s="39" t="n">
        <f aca="false">J435*Resumo!$B$7</f>
        <v>1.69998</v>
      </c>
      <c r="AA435" s="39" t="n">
        <f aca="false">Resumo!$B$9</f>
        <v>1</v>
      </c>
      <c r="AB435" s="39" t="n">
        <f aca="false">Resumo!$B$10*CEILING(I435/100,1)</f>
        <v>4.5</v>
      </c>
      <c r="AC435" s="39" t="n">
        <f aca="false">Resumo!$B$12*CEILING(I435,1)</f>
        <v>3.6</v>
      </c>
      <c r="AD435" s="39" t="n">
        <f aca="false">Resumo!$B$14*CEILING(I435,1)</f>
        <v>27</v>
      </c>
      <c r="AE435" s="39" t="n">
        <f aca="false">SUM(X435:AD435)</f>
        <v>166.78997</v>
      </c>
      <c r="AF435" s="39" t="n">
        <f aca="false">AE435/(1-Resumo!$B$5)</f>
        <v>189.534056818182</v>
      </c>
      <c r="AG435" s="39" t="n">
        <f aca="false">AF435-W435</f>
        <v>57.5454681818182</v>
      </c>
      <c r="AH435" s="40" t="n">
        <f aca="false">AF435/W435-1</f>
        <v>0.435988207589365</v>
      </c>
      <c r="AI435" s="37" t="str">
        <f aca="false">IF(AF435&lt;W435,"SIM","NÃO")</f>
        <v>NÃO</v>
      </c>
      <c r="AJ435" s="37" t="n">
        <v>2</v>
      </c>
      <c r="AK435" s="37" t="n">
        <v>7</v>
      </c>
      <c r="AL435" s="37" t="s">
        <v>343</v>
      </c>
      <c r="AM435" s="39" t="n">
        <v>129.36</v>
      </c>
    </row>
    <row r="436" customFormat="false" ht="15" hidden="false" customHeight="false" outlineLevel="0" collapsed="false">
      <c r="A436" s="37" t="n">
        <v>368772774</v>
      </c>
      <c r="B436" s="38" t="n">
        <v>46234.4672453704</v>
      </c>
      <c r="C436" s="37" t="s">
        <v>340</v>
      </c>
      <c r="D436" s="37" t="s">
        <v>776</v>
      </c>
      <c r="E436" s="37" t="n">
        <v>23944040</v>
      </c>
      <c r="F436" s="37" t="s">
        <v>169</v>
      </c>
      <c r="G436" s="37" t="s">
        <v>198</v>
      </c>
      <c r="H436" s="37" t="s">
        <v>184</v>
      </c>
      <c r="I436" s="37" t="n">
        <v>28.1</v>
      </c>
      <c r="J436" s="39" t="n">
        <v>439.99</v>
      </c>
      <c r="K436" s="37" t="s">
        <v>518</v>
      </c>
      <c r="L436" s="39" t="n">
        <v>108.09</v>
      </c>
      <c r="M436" s="39" t="n">
        <v>65.63</v>
      </c>
      <c r="N436" s="39" t="n">
        <f aca="false">J436*Resumo!$C$6</f>
        <v>0</v>
      </c>
      <c r="O436" s="39" t="n">
        <f aca="false">J436*Resumo!$C$7</f>
        <v>0.923979</v>
      </c>
      <c r="P436" s="39" t="n">
        <f aca="false">J436*Resumo!$C$8</f>
        <v>0.923979</v>
      </c>
      <c r="Q436" s="39" t="n">
        <f aca="false">Resumo!$C$10*CEILING(I436/100,1)</f>
        <v>1.05</v>
      </c>
      <c r="R436" s="39" t="n">
        <f aca="false">Resumo!$C$9</f>
        <v>0</v>
      </c>
      <c r="S436" s="39" t="n">
        <f aca="false">Resumo!$C$13</f>
        <v>13.55</v>
      </c>
      <c r="T436" s="39" t="n">
        <f aca="false">Resumo!$C$14*CEILING(I436,1)</f>
        <v>13.05</v>
      </c>
      <c r="U436" s="39" t="n">
        <f aca="false">SUM(M436:T436)*Resumo!$C$11</f>
        <v>0</v>
      </c>
      <c r="V436" s="39" t="n">
        <f aca="false">SUM(M436:U436)</f>
        <v>95.127958</v>
      </c>
      <c r="W436" s="39" t="n">
        <f aca="false">V436/(1-Resumo!$C$5)</f>
        <v>108.099952272727</v>
      </c>
      <c r="X436" s="39" t="n">
        <v>108.83</v>
      </c>
      <c r="Y436" s="39" t="n">
        <f aca="false">J436*Resumo!$B$6</f>
        <v>0.43999</v>
      </c>
      <c r="Z436" s="39" t="n">
        <f aca="false">J436*Resumo!$B$7</f>
        <v>0.87998</v>
      </c>
      <c r="AA436" s="39" t="n">
        <f aca="false">Resumo!$B$9</f>
        <v>1</v>
      </c>
      <c r="AB436" s="39" t="n">
        <f aca="false">Resumo!$B$10*CEILING(I436/100,1)</f>
        <v>4.5</v>
      </c>
      <c r="AC436" s="39" t="n">
        <f aca="false">Resumo!$B$12*CEILING(I436,1)</f>
        <v>1.74</v>
      </c>
      <c r="AD436" s="39" t="n">
        <f aca="false">Resumo!$B$14*CEILING(I436,1)</f>
        <v>13.05</v>
      </c>
      <c r="AE436" s="39" t="n">
        <f aca="false">SUM(X436:AD436)</f>
        <v>130.43997</v>
      </c>
      <c r="AF436" s="39" t="n">
        <f aca="false">AE436/(1-Resumo!$B$5)</f>
        <v>148.227238636364</v>
      </c>
      <c r="AG436" s="39" t="n">
        <f aca="false">AF436-W436</f>
        <v>40.1272863636364</v>
      </c>
      <c r="AH436" s="40" t="n">
        <f aca="false">AF436/W436-1</f>
        <v>0.371205403147622</v>
      </c>
      <c r="AI436" s="37" t="str">
        <f aca="false">IF(AF436&lt;W436,"SIM","NÃO")</f>
        <v>NÃO</v>
      </c>
      <c r="AJ436" s="37" t="n">
        <v>13</v>
      </c>
      <c r="AK436" s="37" t="n">
        <v>10</v>
      </c>
      <c r="AL436" s="37" t="s">
        <v>343</v>
      </c>
      <c r="AM436" s="39" t="n">
        <v>109.29</v>
      </c>
    </row>
    <row r="437" customFormat="false" ht="15" hidden="false" customHeight="false" outlineLevel="0" collapsed="false">
      <c r="A437" s="37" t="n">
        <v>368770106</v>
      </c>
      <c r="B437" s="38" t="n">
        <v>46234.4692824074</v>
      </c>
      <c r="C437" s="37" t="s">
        <v>361</v>
      </c>
      <c r="D437" s="37" t="s">
        <v>777</v>
      </c>
      <c r="E437" s="37" t="n">
        <v>22420004</v>
      </c>
      <c r="F437" s="37" t="s">
        <v>159</v>
      </c>
      <c r="G437" s="37" t="s">
        <v>196</v>
      </c>
      <c r="H437" s="37" t="s">
        <v>185</v>
      </c>
      <c r="I437" s="37" t="n">
        <v>36.9</v>
      </c>
      <c r="J437" s="39" t="n">
        <v>390.99</v>
      </c>
      <c r="K437" s="37" t="s">
        <v>342</v>
      </c>
      <c r="L437" s="39" t="n">
        <v>91.73</v>
      </c>
      <c r="M437" s="39" t="n">
        <v>48.35</v>
      </c>
      <c r="N437" s="39" t="n">
        <f aca="false">J437*Resumo!$C$6</f>
        <v>0</v>
      </c>
      <c r="O437" s="39" t="n">
        <f aca="false">J437*Resumo!$C$7</f>
        <v>0.821079</v>
      </c>
      <c r="P437" s="39" t="n">
        <f aca="false">J437*Resumo!$C$8</f>
        <v>0.821079</v>
      </c>
      <c r="Q437" s="39" t="n">
        <f aca="false">Resumo!$C$10*CEILING(I437/100,1)</f>
        <v>1.05</v>
      </c>
      <c r="R437" s="39" t="n">
        <f aca="false">Resumo!$C$9</f>
        <v>0</v>
      </c>
      <c r="S437" s="39" t="n">
        <f aca="false">Resumo!$C$13</f>
        <v>13.55</v>
      </c>
      <c r="T437" s="39" t="n">
        <f aca="false">Resumo!$C$14*CEILING(I437,1)</f>
        <v>16.65</v>
      </c>
      <c r="U437" s="39" t="n">
        <f aca="false">SUM(M437:T437)*Resumo!$C$11</f>
        <v>0</v>
      </c>
      <c r="V437" s="39" t="n">
        <f aca="false">SUM(M437:U437)</f>
        <v>81.242158</v>
      </c>
      <c r="W437" s="39" t="n">
        <f aca="false">V437/(1-Resumo!$C$5)</f>
        <v>92.3206340909091</v>
      </c>
      <c r="X437" s="39" t="n">
        <v>93.97</v>
      </c>
      <c r="Y437" s="39" t="n">
        <f aca="false">J437*Resumo!$B$6</f>
        <v>0.39099</v>
      </c>
      <c r="Z437" s="39" t="n">
        <f aca="false">J437*Resumo!$B$7</f>
        <v>0.78198</v>
      </c>
      <c r="AA437" s="39" t="n">
        <f aca="false">Resumo!$B$9</f>
        <v>1</v>
      </c>
      <c r="AB437" s="39" t="n">
        <f aca="false">Resumo!$B$10*CEILING(I437/100,1)</f>
        <v>4.5</v>
      </c>
      <c r="AC437" s="39" t="n">
        <f aca="false">Resumo!$B$12*CEILING(I437,1)</f>
        <v>2.22</v>
      </c>
      <c r="AD437" s="39" t="n">
        <f aca="false">Resumo!$B$14*CEILING(I437,1)</f>
        <v>16.65</v>
      </c>
      <c r="AE437" s="39" t="n">
        <f aca="false">SUM(X437:AD437)</f>
        <v>119.51297</v>
      </c>
      <c r="AF437" s="39" t="n">
        <f aca="false">AE437/(1-Resumo!$B$5)</f>
        <v>135.810193181818</v>
      </c>
      <c r="AG437" s="39" t="n">
        <f aca="false">AF437-W437</f>
        <v>43.4895590909091</v>
      </c>
      <c r="AH437" s="40" t="n">
        <f aca="false">AF437/W437-1</f>
        <v>0.471070844770027</v>
      </c>
      <c r="AI437" s="37" t="str">
        <f aca="false">IF(AF437&lt;W437,"SIM","NÃO")</f>
        <v>NÃO</v>
      </c>
      <c r="AJ437" s="37" t="n">
        <v>2</v>
      </c>
      <c r="AK437" s="37" t="n">
        <v>5</v>
      </c>
      <c r="AL437" s="37" t="s">
        <v>343</v>
      </c>
      <c r="AM437" s="39" t="n">
        <v>91.73</v>
      </c>
    </row>
    <row r="438" customFormat="false" ht="15" hidden="false" customHeight="false" outlineLevel="0" collapsed="false">
      <c r="A438" s="37" t="n">
        <v>368793613</v>
      </c>
      <c r="B438" s="38" t="n">
        <v>46234.5052083333</v>
      </c>
      <c r="C438" s="37" t="s">
        <v>340</v>
      </c>
      <c r="D438" s="37" t="s">
        <v>778</v>
      </c>
      <c r="E438" s="37" t="n">
        <v>24466142</v>
      </c>
      <c r="F438" s="37" t="s">
        <v>160</v>
      </c>
      <c r="G438" s="37" t="s">
        <v>197</v>
      </c>
      <c r="H438" s="37" t="s">
        <v>183</v>
      </c>
      <c r="I438" s="37" t="n">
        <v>19.5</v>
      </c>
      <c r="J438" s="39" t="n">
        <v>332.99</v>
      </c>
      <c r="K438" s="37" t="s">
        <v>518</v>
      </c>
      <c r="L438" s="39" t="n">
        <v>76.95</v>
      </c>
      <c r="M438" s="39" t="n">
        <v>42.72</v>
      </c>
      <c r="N438" s="39" t="n">
        <f aca="false">J438*Resumo!$C$6</f>
        <v>0</v>
      </c>
      <c r="O438" s="39" t="n">
        <f aca="false">J438*Resumo!$C$7</f>
        <v>0.699279</v>
      </c>
      <c r="P438" s="39" t="n">
        <f aca="false">J438*Resumo!$C$8</f>
        <v>0.699279</v>
      </c>
      <c r="Q438" s="39" t="n">
        <f aca="false">Resumo!$C$10*CEILING(I438/100,1)</f>
        <v>1.05</v>
      </c>
      <c r="R438" s="39" t="n">
        <f aca="false">Resumo!$C$9</f>
        <v>0</v>
      </c>
      <c r="S438" s="39" t="n">
        <f aca="false">Resumo!$C$13</f>
        <v>13.55</v>
      </c>
      <c r="T438" s="39" t="n">
        <f aca="false">Resumo!$C$14*CEILING(I438,1)</f>
        <v>9</v>
      </c>
      <c r="U438" s="39" t="n">
        <f aca="false">SUM(M438:T438)*Resumo!$C$11</f>
        <v>0</v>
      </c>
      <c r="V438" s="39" t="n">
        <f aca="false">SUM(M438:U438)</f>
        <v>67.718558</v>
      </c>
      <c r="W438" s="39" t="n">
        <f aca="false">V438/(1-Resumo!$C$5)</f>
        <v>76.9529068181818</v>
      </c>
      <c r="X438" s="39" t="n">
        <v>57.47</v>
      </c>
      <c r="Y438" s="39" t="n">
        <f aca="false">J438*Resumo!$B$6</f>
        <v>0.33299</v>
      </c>
      <c r="Z438" s="39" t="n">
        <f aca="false">J438*Resumo!$B$7</f>
        <v>0.66598</v>
      </c>
      <c r="AA438" s="39" t="n">
        <f aca="false">Resumo!$B$9</f>
        <v>1</v>
      </c>
      <c r="AB438" s="39" t="n">
        <f aca="false">Resumo!$B$10*CEILING(I438/100,1)</f>
        <v>4.5</v>
      </c>
      <c r="AC438" s="39" t="n">
        <f aca="false">Resumo!$B$12*CEILING(I438,1)</f>
        <v>1.2</v>
      </c>
      <c r="AD438" s="39" t="n">
        <f aca="false">Resumo!$B$14*CEILING(I438,1)</f>
        <v>9</v>
      </c>
      <c r="AE438" s="39" t="n">
        <f aca="false">SUM(X438:AD438)</f>
        <v>74.16897</v>
      </c>
      <c r="AF438" s="39" t="n">
        <f aca="false">AE438/(1-Resumo!$B$5)</f>
        <v>84.2829204545455</v>
      </c>
      <c r="AG438" s="39" t="n">
        <f aca="false">AF438-W438</f>
        <v>7.33001363636365</v>
      </c>
      <c r="AH438" s="40" t="n">
        <f aca="false">AF438/W438-1</f>
        <v>0.0952532391490086</v>
      </c>
      <c r="AI438" s="37" t="str">
        <f aca="false">IF(AF438&lt;W438,"SIM","NÃO")</f>
        <v>NÃO</v>
      </c>
      <c r="AJ438" s="37" t="n">
        <v>2</v>
      </c>
      <c r="AK438" s="37" t="n">
        <v>7</v>
      </c>
      <c r="AL438" s="37" t="s">
        <v>343</v>
      </c>
      <c r="AM438" s="39" t="n">
        <v>75.43</v>
      </c>
    </row>
    <row r="439" customFormat="false" ht="15" hidden="false" customHeight="false" outlineLevel="0" collapsed="false">
      <c r="A439" s="37" t="n">
        <v>368801740</v>
      </c>
      <c r="B439" s="38" t="n">
        <v>46234.5195138889</v>
      </c>
      <c r="C439" s="37" t="s">
        <v>340</v>
      </c>
      <c r="D439" s="37" t="s">
        <v>454</v>
      </c>
      <c r="E439" s="37" t="n">
        <v>28200000</v>
      </c>
      <c r="F439" s="37" t="s">
        <v>259</v>
      </c>
      <c r="G439" s="37" t="s">
        <v>198</v>
      </c>
      <c r="H439" s="37" t="s">
        <v>186</v>
      </c>
      <c r="I439" s="37" t="n">
        <v>48.3</v>
      </c>
      <c r="J439" s="39" t="n">
        <v>429.99</v>
      </c>
      <c r="K439" s="37" t="s">
        <v>518</v>
      </c>
      <c r="L439" s="39" t="n">
        <v>131.99</v>
      </c>
      <c r="M439" s="39" t="n">
        <v>77.7</v>
      </c>
      <c r="N439" s="39" t="n">
        <f aca="false">J439*Resumo!$C$6</f>
        <v>0</v>
      </c>
      <c r="O439" s="39" t="n">
        <f aca="false">J439*Resumo!$C$7</f>
        <v>0.902979</v>
      </c>
      <c r="P439" s="39" t="n">
        <f aca="false">J439*Resumo!$C$8</f>
        <v>0.902979</v>
      </c>
      <c r="Q439" s="39" t="n">
        <f aca="false">Resumo!$C$10*CEILING(I439/100,1)</f>
        <v>1.05</v>
      </c>
      <c r="R439" s="39" t="n">
        <f aca="false">Resumo!$C$9</f>
        <v>0</v>
      </c>
      <c r="S439" s="39" t="n">
        <f aca="false">Resumo!$C$13</f>
        <v>13.55</v>
      </c>
      <c r="T439" s="39" t="n">
        <f aca="false">Resumo!$C$14*CEILING(I439,1)</f>
        <v>22.05</v>
      </c>
      <c r="U439" s="39" t="n">
        <f aca="false">SUM(M439:T439)*Resumo!$C$11</f>
        <v>0</v>
      </c>
      <c r="V439" s="39" t="n">
        <f aca="false">SUM(M439:U439)</f>
        <v>116.155958</v>
      </c>
      <c r="W439" s="39" t="n">
        <f aca="false">V439/(1-Resumo!$C$5)</f>
        <v>131.995406818182</v>
      </c>
      <c r="X439" s="39" t="n">
        <v>152.54</v>
      </c>
      <c r="Y439" s="39" t="n">
        <f aca="false">J439*Resumo!$B$6</f>
        <v>0.42999</v>
      </c>
      <c r="Z439" s="39" t="n">
        <f aca="false">J439*Resumo!$B$7</f>
        <v>0.85998</v>
      </c>
      <c r="AA439" s="39" t="n">
        <f aca="false">Resumo!$B$9</f>
        <v>1</v>
      </c>
      <c r="AB439" s="39" t="n">
        <f aca="false">Resumo!$B$10*CEILING(I439/100,1)</f>
        <v>4.5</v>
      </c>
      <c r="AC439" s="39" t="n">
        <f aca="false">Resumo!$B$12*CEILING(I439,1)</f>
        <v>2.94</v>
      </c>
      <c r="AD439" s="39" t="n">
        <f aca="false">Resumo!$B$14*CEILING(I439,1)</f>
        <v>22.05</v>
      </c>
      <c r="AE439" s="39" t="n">
        <f aca="false">SUM(X439:AD439)</f>
        <v>184.31997</v>
      </c>
      <c r="AF439" s="39" t="n">
        <f aca="false">AE439/(1-Resumo!$B$5)</f>
        <v>209.454511363636</v>
      </c>
      <c r="AG439" s="39" t="n">
        <f aca="false">AF439-W439</f>
        <v>77.4591045454546</v>
      </c>
      <c r="AH439" s="40" t="n">
        <f aca="false">AF439/W439-1</f>
        <v>0.586831817959782</v>
      </c>
      <c r="AI439" s="37" t="str">
        <f aca="false">IF(AF439&lt;W439,"SIM","NÃO")</f>
        <v>NÃO</v>
      </c>
      <c r="AJ439" s="37" t="n">
        <v>13</v>
      </c>
      <c r="AK439" s="37" t="n">
        <v>11</v>
      </c>
      <c r="AL439" s="37" t="s">
        <v>347</v>
      </c>
      <c r="AM439" s="39" t="n">
        <v>130.22</v>
      </c>
    </row>
    <row r="440" customFormat="false" ht="15" hidden="false" customHeight="false" outlineLevel="0" collapsed="false">
      <c r="A440" s="37" t="n">
        <v>368812045</v>
      </c>
      <c r="B440" s="38" t="n">
        <v>46234.5398611111</v>
      </c>
      <c r="C440" s="37" t="s">
        <v>340</v>
      </c>
      <c r="D440" s="37" t="s">
        <v>779</v>
      </c>
      <c r="E440" s="37" t="n">
        <v>21046210</v>
      </c>
      <c r="F440" s="37" t="s">
        <v>159</v>
      </c>
      <c r="G440" s="37" t="s">
        <v>196</v>
      </c>
      <c r="H440" s="37" t="s">
        <v>184</v>
      </c>
      <c r="I440" s="37" t="n">
        <v>31</v>
      </c>
      <c r="J440" s="39" t="n">
        <v>329.99</v>
      </c>
      <c r="K440" s="37" t="s">
        <v>518</v>
      </c>
      <c r="L440" s="39" t="n">
        <v>81.86</v>
      </c>
      <c r="M440" s="39" t="n">
        <v>42.11</v>
      </c>
      <c r="N440" s="39" t="n">
        <f aca="false">J440*Resumo!$C$6</f>
        <v>0</v>
      </c>
      <c r="O440" s="39" t="n">
        <f aca="false">J440*Resumo!$C$7</f>
        <v>0.692979</v>
      </c>
      <c r="P440" s="39" t="n">
        <f aca="false">J440*Resumo!$C$8</f>
        <v>0.692979</v>
      </c>
      <c r="Q440" s="39" t="n">
        <f aca="false">Resumo!$C$10*CEILING(I440/100,1)</f>
        <v>1.05</v>
      </c>
      <c r="R440" s="39" t="n">
        <f aca="false">Resumo!$C$9</f>
        <v>0</v>
      </c>
      <c r="S440" s="39" t="n">
        <f aca="false">Resumo!$C$13</f>
        <v>13.55</v>
      </c>
      <c r="T440" s="39" t="n">
        <f aca="false">Resumo!$C$14*CEILING(I440,1)</f>
        <v>13.95</v>
      </c>
      <c r="U440" s="39" t="n">
        <f aca="false">SUM(M440:T440)*Resumo!$C$11</f>
        <v>0</v>
      </c>
      <c r="V440" s="39" t="n">
        <f aca="false">SUM(M440:U440)</f>
        <v>72.045958</v>
      </c>
      <c r="W440" s="39" t="n">
        <f aca="false">V440/(1-Resumo!$C$5)</f>
        <v>81.8704068181818</v>
      </c>
      <c r="X440" s="39" t="n">
        <v>82.21</v>
      </c>
      <c r="Y440" s="39" t="n">
        <f aca="false">J440*Resumo!$B$6</f>
        <v>0.32999</v>
      </c>
      <c r="Z440" s="39" t="n">
        <f aca="false">J440*Resumo!$B$7</f>
        <v>0.65998</v>
      </c>
      <c r="AA440" s="39" t="n">
        <f aca="false">Resumo!$B$9</f>
        <v>1</v>
      </c>
      <c r="AB440" s="39" t="n">
        <f aca="false">Resumo!$B$10*CEILING(I440/100,1)</f>
        <v>4.5</v>
      </c>
      <c r="AC440" s="39" t="n">
        <f aca="false">Resumo!$B$12*CEILING(I440,1)</f>
        <v>1.86</v>
      </c>
      <c r="AD440" s="39" t="n">
        <f aca="false">Resumo!$B$14*CEILING(I440,1)</f>
        <v>13.95</v>
      </c>
      <c r="AE440" s="39" t="n">
        <f aca="false">SUM(X440:AD440)</f>
        <v>104.50997</v>
      </c>
      <c r="AF440" s="39" t="n">
        <f aca="false">AE440/(1-Resumo!$B$5)</f>
        <v>118.761329545455</v>
      </c>
      <c r="AG440" s="39" t="n">
        <f aca="false">AF440-W440</f>
        <v>36.8909227272727</v>
      </c>
      <c r="AH440" s="40" t="n">
        <f aca="false">AF440/W440-1</f>
        <v>0.450601434156792</v>
      </c>
      <c r="AI440" s="37" t="str">
        <f aca="false">IF(AF440&lt;W440,"SIM","NÃO")</f>
        <v>NÃO</v>
      </c>
      <c r="AJ440" s="37" t="n">
        <v>2</v>
      </c>
      <c r="AK440" s="37" t="n">
        <v>5</v>
      </c>
      <c r="AL440" s="37" t="s">
        <v>343</v>
      </c>
      <c r="AM440" s="39" t="n">
        <v>81.91</v>
      </c>
    </row>
    <row r="441" customFormat="false" ht="15" hidden="false" customHeight="false" outlineLevel="0" collapsed="false">
      <c r="A441" s="37" t="n">
        <v>368823297</v>
      </c>
      <c r="B441" s="38" t="n">
        <v>46234.547025463</v>
      </c>
      <c r="C441" s="37" t="s">
        <v>537</v>
      </c>
      <c r="D441" s="37" t="s">
        <v>780</v>
      </c>
      <c r="E441" s="37" t="n">
        <v>20051070</v>
      </c>
      <c r="F441" s="37" t="s">
        <v>159</v>
      </c>
      <c r="G441" s="37" t="s">
        <v>196</v>
      </c>
      <c r="H441" s="37" t="s">
        <v>186</v>
      </c>
      <c r="I441" s="37" t="n">
        <v>44.8</v>
      </c>
      <c r="J441" s="39" t="n">
        <v>579.99</v>
      </c>
      <c r="K441" s="37" t="s">
        <v>342</v>
      </c>
      <c r="L441" s="39" t="n">
        <v>103.36</v>
      </c>
      <c r="M441" s="39" t="n">
        <v>53.55</v>
      </c>
      <c r="N441" s="39" t="n">
        <f aca="false">J441*Resumo!$C$6</f>
        <v>0</v>
      </c>
      <c r="O441" s="39" t="n">
        <f aca="false">J441*Resumo!$C$7</f>
        <v>1.217979</v>
      </c>
      <c r="P441" s="39" t="n">
        <f aca="false">J441*Resumo!$C$8</f>
        <v>1.217979</v>
      </c>
      <c r="Q441" s="39" t="n">
        <f aca="false">Resumo!$C$10*CEILING(I441/100,1)</f>
        <v>1.05</v>
      </c>
      <c r="R441" s="39" t="n">
        <f aca="false">Resumo!$C$9</f>
        <v>0</v>
      </c>
      <c r="S441" s="39" t="n">
        <f aca="false">Resumo!$C$13</f>
        <v>13.55</v>
      </c>
      <c r="T441" s="39" t="n">
        <f aca="false">Resumo!$C$14*CEILING(I441,1)</f>
        <v>20.25</v>
      </c>
      <c r="U441" s="39" t="n">
        <f aca="false">SUM(M441:T441)*Resumo!$C$11</f>
        <v>0</v>
      </c>
      <c r="V441" s="39" t="n">
        <f aca="false">SUM(M441:U441)</f>
        <v>90.835958</v>
      </c>
      <c r="W441" s="39" t="n">
        <f aca="false">V441/(1-Resumo!$C$5)</f>
        <v>103.222679545455</v>
      </c>
      <c r="X441" s="39" t="n">
        <v>93.97</v>
      </c>
      <c r="Y441" s="39" t="n">
        <f aca="false">J441*Resumo!$B$6</f>
        <v>0.57999</v>
      </c>
      <c r="Z441" s="39" t="n">
        <f aca="false">J441*Resumo!$B$7</f>
        <v>1.15998</v>
      </c>
      <c r="AA441" s="39" t="n">
        <f aca="false">Resumo!$B$9</f>
        <v>1</v>
      </c>
      <c r="AB441" s="39" t="n">
        <f aca="false">Resumo!$B$10*CEILING(I441/100,1)</f>
        <v>4.5</v>
      </c>
      <c r="AC441" s="39" t="n">
        <f aca="false">Resumo!$B$12*CEILING(I441,1)</f>
        <v>2.7</v>
      </c>
      <c r="AD441" s="39" t="n">
        <f aca="false">Resumo!$B$14*CEILING(I441,1)</f>
        <v>20.25</v>
      </c>
      <c r="AE441" s="39" t="n">
        <f aca="false">SUM(X441:AD441)</f>
        <v>124.15997</v>
      </c>
      <c r="AF441" s="39" t="n">
        <f aca="false">AE441/(1-Resumo!$B$5)</f>
        <v>141.090875</v>
      </c>
      <c r="AG441" s="39" t="n">
        <f aca="false">AF441-W441</f>
        <v>37.8681954545455</v>
      </c>
      <c r="AH441" s="40" t="n">
        <f aca="false">AF441/W441-1</f>
        <v>0.366859256331067</v>
      </c>
      <c r="AI441" s="37" t="str">
        <f aca="false">IF(AF441&lt;W441,"SIM","NÃO")</f>
        <v>NÃO</v>
      </c>
      <c r="AJ441" s="37" t="n">
        <v>2</v>
      </c>
      <c r="AK441" s="37" t="n">
        <v>5</v>
      </c>
      <c r="AL441" s="37" t="s">
        <v>343</v>
      </c>
      <c r="AM441" s="39" t="n">
        <v>103.37</v>
      </c>
    </row>
    <row r="442" customFormat="false" ht="15" hidden="false" customHeight="false" outlineLevel="0" collapsed="false">
      <c r="A442" s="37" t="n">
        <v>368816609</v>
      </c>
      <c r="B442" s="38" t="n">
        <v>46234.5499421296</v>
      </c>
      <c r="C442" s="37" t="s">
        <v>340</v>
      </c>
      <c r="D442" s="37" t="s">
        <v>781</v>
      </c>
      <c r="E442" s="37" t="n">
        <v>26291003</v>
      </c>
      <c r="F442" s="37" t="s">
        <v>162</v>
      </c>
      <c r="G442" s="37" t="s">
        <v>197</v>
      </c>
      <c r="H442" s="37" t="s">
        <v>185</v>
      </c>
      <c r="I442" s="37" t="n">
        <v>37.2</v>
      </c>
      <c r="J442" s="39" t="n">
        <v>399.99</v>
      </c>
      <c r="K442" s="37" t="s">
        <v>342</v>
      </c>
      <c r="L442" s="39" t="n">
        <v>112.88</v>
      </c>
      <c r="M442" s="39" t="n">
        <v>66.83</v>
      </c>
      <c r="N442" s="39" t="n">
        <f aca="false">J442*Resumo!$C$6</f>
        <v>0</v>
      </c>
      <c r="O442" s="39" t="n">
        <f aca="false">J442*Resumo!$C$7</f>
        <v>0.839979</v>
      </c>
      <c r="P442" s="39" t="n">
        <f aca="false">J442*Resumo!$C$8</f>
        <v>0.839979</v>
      </c>
      <c r="Q442" s="39" t="n">
        <f aca="false">Resumo!$C$10*CEILING(I442/100,1)</f>
        <v>1.05</v>
      </c>
      <c r="R442" s="39" t="n">
        <f aca="false">Resumo!$C$9</f>
        <v>0</v>
      </c>
      <c r="S442" s="39" t="n">
        <f aca="false">Resumo!$C$13</f>
        <v>13.55</v>
      </c>
      <c r="T442" s="39" t="n">
        <f aca="false">Resumo!$C$14*CEILING(I442,1)</f>
        <v>17.1</v>
      </c>
      <c r="U442" s="39" t="n">
        <f aca="false">SUM(M442:T442)*Resumo!$C$11</f>
        <v>0</v>
      </c>
      <c r="V442" s="39" t="n">
        <f aca="false">SUM(M442:U442)</f>
        <v>100.209958</v>
      </c>
      <c r="W442" s="39" t="n">
        <f aca="false">V442/(1-Resumo!$C$5)</f>
        <v>113.874952272727</v>
      </c>
      <c r="X442" s="39" t="n">
        <v>93.97</v>
      </c>
      <c r="Y442" s="39" t="n">
        <f aca="false">J442*Resumo!$B$6</f>
        <v>0.39999</v>
      </c>
      <c r="Z442" s="39" t="n">
        <f aca="false">J442*Resumo!$B$7</f>
        <v>0.79998</v>
      </c>
      <c r="AA442" s="39" t="n">
        <f aca="false">Resumo!$B$9</f>
        <v>1</v>
      </c>
      <c r="AB442" s="39" t="n">
        <f aca="false">Resumo!$B$10*CEILING(I442/100,1)</f>
        <v>4.5</v>
      </c>
      <c r="AC442" s="39" t="n">
        <f aca="false">Resumo!$B$12*CEILING(I442,1)</f>
        <v>2.28</v>
      </c>
      <c r="AD442" s="39" t="n">
        <f aca="false">Resumo!$B$14*CEILING(I442,1)</f>
        <v>17.1</v>
      </c>
      <c r="AE442" s="39" t="n">
        <f aca="false">SUM(X442:AD442)</f>
        <v>120.04997</v>
      </c>
      <c r="AF442" s="39" t="n">
        <f aca="false">AE442/(1-Resumo!$B$5)</f>
        <v>136.420420454545</v>
      </c>
      <c r="AG442" s="39" t="n">
        <f aca="false">AF442-W442</f>
        <v>22.5454681818182</v>
      </c>
      <c r="AH442" s="40" t="n">
        <f aca="false">AF442/W442-1</f>
        <v>0.197984435838203</v>
      </c>
      <c r="AI442" s="37" t="str">
        <f aca="false">IF(AF442&lt;W442,"SIM","NÃO")</f>
        <v>NÃO</v>
      </c>
      <c r="AJ442" s="37" t="n">
        <v>2</v>
      </c>
      <c r="AK442" s="37" t="n">
        <v>5</v>
      </c>
      <c r="AL442" s="37" t="s">
        <v>343</v>
      </c>
      <c r="AM442" s="39" t="n">
        <v>112.87</v>
      </c>
    </row>
    <row r="443" customFormat="false" ht="15" hidden="false" customHeight="false" outlineLevel="0" collapsed="false">
      <c r="A443" s="37" t="n">
        <v>368820209</v>
      </c>
      <c r="B443" s="38" t="n">
        <v>46234.5579861111</v>
      </c>
      <c r="C443" s="37" t="s">
        <v>345</v>
      </c>
      <c r="D443" s="37" t="s">
        <v>454</v>
      </c>
      <c r="E443" s="37" t="n">
        <v>28200000</v>
      </c>
      <c r="F443" s="37" t="s">
        <v>259</v>
      </c>
      <c r="G443" s="37" t="s">
        <v>198</v>
      </c>
      <c r="H443" s="37" t="s">
        <v>187</v>
      </c>
      <c r="I443" s="37" t="n">
        <v>54</v>
      </c>
      <c r="J443" s="39" t="n">
        <v>919.99</v>
      </c>
      <c r="K443" s="37" t="s">
        <v>518</v>
      </c>
      <c r="L443" s="39" t="n">
        <v>143.57</v>
      </c>
      <c r="M443" s="39" t="n">
        <v>83.58</v>
      </c>
      <c r="N443" s="39" t="n">
        <f aca="false">J443*Resumo!$C$6</f>
        <v>0</v>
      </c>
      <c r="O443" s="39" t="n">
        <f aca="false">J443*Resumo!$C$7</f>
        <v>1.931979</v>
      </c>
      <c r="P443" s="39" t="n">
        <f aca="false">J443*Resumo!$C$8</f>
        <v>1.931979</v>
      </c>
      <c r="Q443" s="39" t="n">
        <f aca="false">Resumo!$C$10*CEILING(I443/100,1)</f>
        <v>1.05</v>
      </c>
      <c r="R443" s="39" t="n">
        <f aca="false">Resumo!$C$9</f>
        <v>0</v>
      </c>
      <c r="S443" s="39" t="n">
        <f aca="false">Resumo!$C$13</f>
        <v>13.55</v>
      </c>
      <c r="T443" s="39" t="n">
        <f aca="false">Resumo!$C$14*CEILING(I443,1)</f>
        <v>24.3</v>
      </c>
      <c r="U443" s="39" t="n">
        <f aca="false">SUM(M443:T443)*Resumo!$C$11</f>
        <v>0</v>
      </c>
      <c r="V443" s="39" t="n">
        <f aca="false">SUM(M443:U443)</f>
        <v>126.343958</v>
      </c>
      <c r="W443" s="39" t="n">
        <f aca="false">V443/(1-Resumo!$C$5)</f>
        <v>143.572679545455</v>
      </c>
      <c r="X443" s="39" t="n">
        <v>162.04</v>
      </c>
      <c r="Y443" s="39" t="n">
        <f aca="false">J443*Resumo!$B$6</f>
        <v>0.91999</v>
      </c>
      <c r="Z443" s="39" t="n">
        <f aca="false">J443*Resumo!$B$7</f>
        <v>1.83998</v>
      </c>
      <c r="AA443" s="39" t="n">
        <f aca="false">Resumo!$B$9</f>
        <v>1</v>
      </c>
      <c r="AB443" s="39" t="n">
        <f aca="false">Resumo!$B$10*CEILING(I443/100,1)</f>
        <v>4.5</v>
      </c>
      <c r="AC443" s="39" t="n">
        <f aca="false">Resumo!$B$12*CEILING(I443,1)</f>
        <v>3.24</v>
      </c>
      <c r="AD443" s="39" t="n">
        <f aca="false">Resumo!$B$14*CEILING(I443,1)</f>
        <v>24.3</v>
      </c>
      <c r="AE443" s="39" t="n">
        <f aca="false">SUM(X443:AD443)</f>
        <v>197.83997</v>
      </c>
      <c r="AF443" s="39" t="n">
        <f aca="false">AE443/(1-Resumo!$B$5)</f>
        <v>224.818147727273</v>
      </c>
      <c r="AG443" s="39" t="n">
        <f aca="false">AF443-W443</f>
        <v>81.2454681818182</v>
      </c>
      <c r="AH443" s="40" t="n">
        <f aca="false">AF443/W443-1</f>
        <v>0.565883902418191</v>
      </c>
      <c r="AI443" s="37" t="str">
        <f aca="false">IF(AF443&lt;W443,"SIM","NÃO")</f>
        <v>NÃO</v>
      </c>
      <c r="AJ443" s="37" t="n">
        <v>13</v>
      </c>
      <c r="AK443" s="37" t="n">
        <v>11</v>
      </c>
      <c r="AL443" s="37" t="s">
        <v>347</v>
      </c>
      <c r="AM443" s="39" t="n">
        <v>144.08</v>
      </c>
    </row>
    <row r="444" customFormat="false" ht="15" hidden="false" customHeight="false" outlineLevel="0" collapsed="false">
      <c r="A444" s="37" t="n">
        <v>368856007</v>
      </c>
      <c r="B444" s="38" t="n">
        <v>46234.6327199074</v>
      </c>
      <c r="C444" s="37" t="s">
        <v>340</v>
      </c>
      <c r="D444" s="37" t="s">
        <v>782</v>
      </c>
      <c r="E444" s="37" t="n">
        <v>26381368</v>
      </c>
      <c r="F444" s="37" t="s">
        <v>236</v>
      </c>
      <c r="G444" s="37" t="s">
        <v>197</v>
      </c>
      <c r="H444" s="37" t="s">
        <v>190</v>
      </c>
      <c r="I444" s="37" t="n">
        <v>93.8</v>
      </c>
      <c r="J444" s="39" t="n">
        <v>999.99</v>
      </c>
      <c r="K444" s="37" t="s">
        <v>518</v>
      </c>
      <c r="L444" s="39" t="n">
        <v>174.34</v>
      </c>
      <c r="M444" s="39" t="n">
        <v>92.32</v>
      </c>
      <c r="N444" s="39" t="n">
        <f aca="false">J444*Resumo!$C$6</f>
        <v>0</v>
      </c>
      <c r="O444" s="39" t="n">
        <f aca="false">J444*Resumo!$C$7</f>
        <v>2.099979</v>
      </c>
      <c r="P444" s="39" t="n">
        <f aca="false">J444*Resumo!$C$8</f>
        <v>2.099979</v>
      </c>
      <c r="Q444" s="39" t="n">
        <f aca="false">Resumo!$C$10*CEILING(I444/100,1)</f>
        <v>1.05</v>
      </c>
      <c r="R444" s="39" t="n">
        <f aca="false">Resumo!$C$9</f>
        <v>0</v>
      </c>
      <c r="S444" s="39" t="n">
        <f aca="false">Resumo!$C$13</f>
        <v>13.55</v>
      </c>
      <c r="T444" s="39" t="n">
        <f aca="false">Resumo!$C$14*CEILING(I444,1)</f>
        <v>42.3</v>
      </c>
      <c r="U444" s="39" t="n">
        <f aca="false">SUM(M444:T444)*Resumo!$C$11</f>
        <v>0</v>
      </c>
      <c r="V444" s="39" t="n">
        <f aca="false">SUM(M444:U444)</f>
        <v>153.419958</v>
      </c>
      <c r="W444" s="39" t="n">
        <f aca="false">V444/(1-Resumo!$C$5)</f>
        <v>174.340861363636</v>
      </c>
      <c r="X444" s="39" t="n">
        <v>167.99</v>
      </c>
      <c r="Y444" s="39" t="n">
        <f aca="false">J444*Resumo!$B$6</f>
        <v>0.99999</v>
      </c>
      <c r="Z444" s="39" t="n">
        <f aca="false">J444*Resumo!$B$7</f>
        <v>1.99998</v>
      </c>
      <c r="AA444" s="39" t="n">
        <f aca="false">Resumo!$B$9</f>
        <v>1</v>
      </c>
      <c r="AB444" s="39" t="n">
        <f aca="false">Resumo!$B$10*CEILING(I444/100,1)</f>
        <v>4.5</v>
      </c>
      <c r="AC444" s="39" t="n">
        <f aca="false">Resumo!$B$12*CEILING(I444,1)</f>
        <v>5.64</v>
      </c>
      <c r="AD444" s="39" t="n">
        <f aca="false">Resumo!$B$14*CEILING(I444,1)</f>
        <v>42.3</v>
      </c>
      <c r="AE444" s="39" t="n">
        <f aca="false">SUM(X444:AD444)</f>
        <v>224.42997</v>
      </c>
      <c r="AF444" s="39" t="n">
        <f aca="false">AE444/(1-Resumo!$B$5)</f>
        <v>255.034056818182</v>
      </c>
      <c r="AG444" s="39" t="n">
        <f aca="false">AF444-W444</f>
        <v>80.6931954545455</v>
      </c>
      <c r="AH444" s="40" t="n">
        <f aca="false">AF444/W444-1</f>
        <v>0.462847291354362</v>
      </c>
      <c r="AI444" s="37" t="str">
        <f aca="false">IF(AF444&lt;W444,"SIM","NÃO")</f>
        <v>NÃO</v>
      </c>
      <c r="AJ444" s="37" t="n">
        <v>2</v>
      </c>
      <c r="AK444" s="37" t="n">
        <v>5</v>
      </c>
      <c r="AL444" s="37" t="s">
        <v>347</v>
      </c>
      <c r="AM444" s="39" t="n">
        <v>173.62</v>
      </c>
    </row>
    <row r="445" customFormat="false" ht="15" hidden="false" customHeight="false" outlineLevel="0" collapsed="false">
      <c r="A445" s="37" t="n">
        <v>368866781</v>
      </c>
      <c r="B445" s="38" t="n">
        <v>46234.6536458333</v>
      </c>
      <c r="C445" s="37" t="s">
        <v>345</v>
      </c>
      <c r="D445" s="37" t="s">
        <v>783</v>
      </c>
      <c r="E445" s="37" t="n">
        <v>28941412</v>
      </c>
      <c r="F445" s="37" t="s">
        <v>292</v>
      </c>
      <c r="G445" s="37" t="s">
        <v>198</v>
      </c>
      <c r="H445" s="37" t="s">
        <v>186</v>
      </c>
      <c r="I445" s="37" t="n">
        <v>43.5</v>
      </c>
      <c r="J445" s="39" t="n">
        <v>608.99</v>
      </c>
      <c r="K445" s="37" t="s">
        <v>518</v>
      </c>
      <c r="L445" s="39" t="n">
        <v>130.3</v>
      </c>
      <c r="M445" s="39" t="n">
        <v>77.7</v>
      </c>
      <c r="N445" s="39" t="n">
        <f aca="false">J445*Resumo!$C$6</f>
        <v>0</v>
      </c>
      <c r="O445" s="39" t="n">
        <f aca="false">J445*Resumo!$C$7</f>
        <v>1.278879</v>
      </c>
      <c r="P445" s="39" t="n">
        <f aca="false">J445*Resumo!$C$8</f>
        <v>1.278879</v>
      </c>
      <c r="Q445" s="39" t="n">
        <f aca="false">Resumo!$C$10*CEILING(I445/100,1)</f>
        <v>1.05</v>
      </c>
      <c r="R445" s="39" t="n">
        <f aca="false">Resumo!$C$9</f>
        <v>0</v>
      </c>
      <c r="S445" s="39" t="n">
        <f aca="false">Resumo!$C$13</f>
        <v>13.55</v>
      </c>
      <c r="T445" s="39" t="n">
        <f aca="false">Resumo!$C$14*CEILING(I445,1)</f>
        <v>19.8</v>
      </c>
      <c r="U445" s="39" t="n">
        <f aca="false">SUM(M445:T445)*Resumo!$C$11</f>
        <v>0</v>
      </c>
      <c r="V445" s="39" t="n">
        <f aca="false">SUM(M445:U445)</f>
        <v>114.657758</v>
      </c>
      <c r="W445" s="39" t="n">
        <f aca="false">V445/(1-Resumo!$C$5)</f>
        <v>130.292906818182</v>
      </c>
      <c r="X445" s="39" t="n">
        <v>129.29</v>
      </c>
      <c r="Y445" s="39" t="n">
        <f aca="false">J445*Resumo!$B$6</f>
        <v>0.60899</v>
      </c>
      <c r="Z445" s="39" t="n">
        <f aca="false">J445*Resumo!$B$7</f>
        <v>1.21798</v>
      </c>
      <c r="AA445" s="39" t="n">
        <f aca="false">Resumo!$B$9</f>
        <v>1</v>
      </c>
      <c r="AB445" s="39" t="n">
        <f aca="false">Resumo!$B$10*CEILING(I445/100,1)</f>
        <v>4.5</v>
      </c>
      <c r="AC445" s="39" t="n">
        <f aca="false">Resumo!$B$12*CEILING(I445,1)</f>
        <v>2.64</v>
      </c>
      <c r="AD445" s="39" t="n">
        <f aca="false">Resumo!$B$14*CEILING(I445,1)</f>
        <v>19.8</v>
      </c>
      <c r="AE445" s="39" t="n">
        <f aca="false">SUM(X445:AD445)</f>
        <v>159.05697</v>
      </c>
      <c r="AF445" s="39" t="n">
        <f aca="false">AE445/(1-Resumo!$B$5)</f>
        <v>180.746556818182</v>
      </c>
      <c r="AG445" s="39" t="n">
        <f aca="false">AF445-W445</f>
        <v>50.45365</v>
      </c>
      <c r="AH445" s="40" t="n">
        <f aca="false">AF445/W445-1</f>
        <v>0.387232515047085</v>
      </c>
      <c r="AI445" s="37" t="str">
        <f aca="false">IF(AF445&lt;W445,"SIM","NÃO")</f>
        <v>NÃO</v>
      </c>
      <c r="AJ445" s="37" t="n">
        <v>13</v>
      </c>
      <c r="AK445" s="37" t="n">
        <v>10</v>
      </c>
      <c r="AL445" s="37" t="s">
        <v>347</v>
      </c>
      <c r="AM445" s="39" t="n">
        <v>131.08</v>
      </c>
    </row>
    <row r="446" customFormat="false" ht="15" hidden="false" customHeight="false" outlineLevel="0" collapsed="false">
      <c r="A446" s="37" t="n">
        <v>368873212</v>
      </c>
      <c r="B446" s="38" t="n">
        <v>46234.6675</v>
      </c>
      <c r="C446" s="37" t="s">
        <v>345</v>
      </c>
      <c r="D446" s="37" t="s">
        <v>784</v>
      </c>
      <c r="E446" s="37" t="n">
        <v>20931350</v>
      </c>
      <c r="F446" s="37" t="s">
        <v>159</v>
      </c>
      <c r="G446" s="37" t="s">
        <v>196</v>
      </c>
      <c r="H446" s="37" t="s">
        <v>184</v>
      </c>
      <c r="I446" s="37" t="n">
        <v>22</v>
      </c>
      <c r="J446" s="39" t="n">
        <v>727.37</v>
      </c>
      <c r="K446" s="37" t="s">
        <v>342</v>
      </c>
      <c r="L446" s="39" t="n">
        <v>83.8</v>
      </c>
      <c r="M446" s="39" t="n">
        <v>42.11</v>
      </c>
      <c r="N446" s="39" t="n">
        <f aca="false">J446*Resumo!$C$6</f>
        <v>0</v>
      </c>
      <c r="O446" s="39" t="n">
        <f aca="false">J446*Resumo!$C$7</f>
        <v>1.527477</v>
      </c>
      <c r="P446" s="39" t="n">
        <f aca="false">J446*Resumo!$C$8</f>
        <v>1.527477</v>
      </c>
      <c r="Q446" s="39" t="n">
        <f aca="false">Resumo!$C$10*CEILING(I446/100,1)</f>
        <v>1.05</v>
      </c>
      <c r="R446" s="39" t="n">
        <f aca="false">Resumo!$C$9</f>
        <v>0</v>
      </c>
      <c r="S446" s="39" t="n">
        <f aca="false">Resumo!$C$13</f>
        <v>13.55</v>
      </c>
      <c r="T446" s="39" t="n">
        <f aca="false">Resumo!$C$14*CEILING(I446,1)</f>
        <v>9.9</v>
      </c>
      <c r="U446" s="39" t="n">
        <f aca="false">SUM(M446:T446)*Resumo!$C$11</f>
        <v>0</v>
      </c>
      <c r="V446" s="39" t="n">
        <f aca="false">SUM(M446:U446)</f>
        <v>69.664954</v>
      </c>
      <c r="W446" s="39" t="n">
        <f aca="false">V446/(1-Resumo!$C$5)</f>
        <v>79.1647204545455</v>
      </c>
      <c r="X446" s="39" t="n">
        <v>82.21</v>
      </c>
      <c r="Y446" s="39" t="n">
        <f aca="false">J446*Resumo!$B$6</f>
        <v>0.72737</v>
      </c>
      <c r="Z446" s="39" t="n">
        <f aca="false">J446*Resumo!$B$7</f>
        <v>1.45474</v>
      </c>
      <c r="AA446" s="39" t="n">
        <f aca="false">Resumo!$B$9</f>
        <v>1</v>
      </c>
      <c r="AB446" s="39" t="n">
        <f aca="false">Resumo!$B$10*CEILING(I446/100,1)</f>
        <v>4.5</v>
      </c>
      <c r="AC446" s="39" t="n">
        <f aca="false">Resumo!$B$12*CEILING(I446,1)</f>
        <v>1.32</v>
      </c>
      <c r="AD446" s="39" t="n">
        <f aca="false">Resumo!$B$14*CEILING(I446,1)</f>
        <v>9.9</v>
      </c>
      <c r="AE446" s="39" t="n">
        <f aca="false">SUM(X446:AD446)</f>
        <v>101.11211</v>
      </c>
      <c r="AF446" s="39" t="n">
        <f aca="false">AE446/(1-Resumo!$B$5)</f>
        <v>114.900125</v>
      </c>
      <c r="AG446" s="39" t="n">
        <f aca="false">AF446-W446</f>
        <v>35.7354045454545</v>
      </c>
      <c r="AH446" s="40" t="n">
        <f aca="false">AF446/W446-1</f>
        <v>0.451405680968368</v>
      </c>
      <c r="AI446" s="37" t="str">
        <f aca="false">IF(AF446&lt;W446,"SIM","NÃO")</f>
        <v>NÃO</v>
      </c>
      <c r="AJ446" s="37" t="n">
        <v>2</v>
      </c>
      <c r="AK446" s="37" t="n">
        <v>5</v>
      </c>
      <c r="AL446" s="37" t="s">
        <v>343</v>
      </c>
      <c r="AM446" s="39" t="n">
        <v>83.81</v>
      </c>
    </row>
    <row r="447" customFormat="false" ht="15" hidden="false" customHeight="false" outlineLevel="0" collapsed="false">
      <c r="A447" s="37" t="n">
        <v>368898595</v>
      </c>
      <c r="B447" s="38" t="n">
        <v>46234.7240856482</v>
      </c>
      <c r="C447" s="37" t="s">
        <v>340</v>
      </c>
      <c r="D447" s="37" t="s">
        <v>785</v>
      </c>
      <c r="E447" s="37" t="n">
        <v>23520286</v>
      </c>
      <c r="F447" s="37" t="s">
        <v>159</v>
      </c>
      <c r="G447" s="37" t="s">
        <v>196</v>
      </c>
      <c r="H447" s="37" t="s">
        <v>192</v>
      </c>
      <c r="I447" s="37" t="n">
        <v>124.2</v>
      </c>
      <c r="J447" s="39" t="n">
        <v>1699.99</v>
      </c>
      <c r="K447" s="37" t="s">
        <v>518</v>
      </c>
      <c r="L447" s="39" t="n">
        <v>226.85</v>
      </c>
      <c r="M447" s="39" t="n">
        <v>120.59</v>
      </c>
      <c r="N447" s="39" t="n">
        <f aca="false">J447*Resumo!$C$6</f>
        <v>0</v>
      </c>
      <c r="O447" s="39" t="n">
        <f aca="false">J447*Resumo!$C$7</f>
        <v>3.569979</v>
      </c>
      <c r="P447" s="39" t="n">
        <f aca="false">J447*Resumo!$C$8</f>
        <v>3.569979</v>
      </c>
      <c r="Q447" s="39" t="n">
        <f aca="false">Resumo!$C$10*CEILING(I447/100,1)</f>
        <v>2.1</v>
      </c>
      <c r="R447" s="39" t="n">
        <f aca="false">Resumo!$C$9</f>
        <v>0</v>
      </c>
      <c r="S447" s="39" t="n">
        <f aca="false">Resumo!$C$13</f>
        <v>13.55</v>
      </c>
      <c r="T447" s="39" t="n">
        <f aca="false">Resumo!$C$14*CEILING(I447,1)</f>
        <v>56.25</v>
      </c>
      <c r="U447" s="39" t="n">
        <f aca="false">SUM(M447:T447)*Resumo!$C$11</f>
        <v>0</v>
      </c>
      <c r="V447" s="39" t="n">
        <f aca="false">SUM(M447:U447)</f>
        <v>199.629958</v>
      </c>
      <c r="W447" s="39" t="n">
        <f aca="false">V447/(1-Resumo!$C$5)</f>
        <v>226.852225</v>
      </c>
      <c r="X447" s="39" t="n">
        <v>239.25</v>
      </c>
      <c r="Y447" s="39" t="n">
        <f aca="false">J447*Resumo!$B$6</f>
        <v>1.69999</v>
      </c>
      <c r="Z447" s="39" t="n">
        <f aca="false">J447*Resumo!$B$7</f>
        <v>3.39998</v>
      </c>
      <c r="AA447" s="39" t="n">
        <f aca="false">Resumo!$B$9</f>
        <v>1</v>
      </c>
      <c r="AB447" s="39" t="n">
        <f aca="false">Resumo!$B$10*CEILING(I447/100,1)</f>
        <v>9</v>
      </c>
      <c r="AC447" s="39" t="n">
        <f aca="false">Resumo!$B$12*CEILING(I447,1)</f>
        <v>7.5</v>
      </c>
      <c r="AD447" s="39" t="n">
        <f aca="false">Resumo!$B$14*CEILING(I447,1)</f>
        <v>56.25</v>
      </c>
      <c r="AE447" s="39" t="n">
        <f aca="false">SUM(X447:AD447)</f>
        <v>318.09997</v>
      </c>
      <c r="AF447" s="39" t="n">
        <f aca="false">AE447/(1-Resumo!$B$5)</f>
        <v>361.477238636364</v>
      </c>
      <c r="AG447" s="39" t="n">
        <f aca="false">AF447-W447</f>
        <v>134.625013636364</v>
      </c>
      <c r="AH447" s="40" t="n">
        <f aca="false">AF447/W447-1</f>
        <v>0.593448063541645</v>
      </c>
      <c r="AI447" s="37" t="str">
        <f aca="false">IF(AF447&lt;W447,"SIM","NÃO")</f>
        <v>NÃO</v>
      </c>
      <c r="AJ447" s="37" t="n">
        <v>2</v>
      </c>
      <c r="AK447" s="37" t="n">
        <v>5</v>
      </c>
      <c r="AL447" s="37" t="s">
        <v>343</v>
      </c>
      <c r="AM447" s="39" t="n">
        <v>234.44</v>
      </c>
    </row>
    <row r="448" customFormat="false" ht="15" hidden="false" customHeight="false" outlineLevel="0" collapsed="false">
      <c r="A448" s="37" t="n">
        <v>368906974</v>
      </c>
      <c r="B448" s="38" t="n">
        <v>46234.746400463</v>
      </c>
      <c r="C448" s="37" t="s">
        <v>372</v>
      </c>
      <c r="D448" s="37" t="s">
        <v>786</v>
      </c>
      <c r="E448" s="37" t="n">
        <v>24412560</v>
      </c>
      <c r="F448" s="37" t="s">
        <v>160</v>
      </c>
      <c r="G448" s="37" t="s">
        <v>197</v>
      </c>
      <c r="H448" s="37" t="s">
        <v>185</v>
      </c>
      <c r="I448" s="37" t="n">
        <v>39.9</v>
      </c>
      <c r="J448" s="39" t="n">
        <v>495.99</v>
      </c>
      <c r="K448" s="37" t="s">
        <v>518</v>
      </c>
      <c r="L448" s="39" t="n">
        <v>115.35</v>
      </c>
      <c r="M448" s="39" t="n">
        <v>66.83</v>
      </c>
      <c r="N448" s="39" t="n">
        <f aca="false">J448*Resumo!$C$6</f>
        <v>0</v>
      </c>
      <c r="O448" s="39" t="n">
        <f aca="false">J448*Resumo!$C$7</f>
        <v>1.041579</v>
      </c>
      <c r="P448" s="39" t="n">
        <f aca="false">J448*Resumo!$C$8</f>
        <v>1.041579</v>
      </c>
      <c r="Q448" s="39" t="n">
        <f aca="false">Resumo!$C$10*CEILING(I448/100,1)</f>
        <v>1.05</v>
      </c>
      <c r="R448" s="39" t="n">
        <f aca="false">Resumo!$C$9</f>
        <v>0</v>
      </c>
      <c r="S448" s="39" t="n">
        <f aca="false">Resumo!$C$13</f>
        <v>13.55</v>
      </c>
      <c r="T448" s="39" t="n">
        <f aca="false">Resumo!$C$14*CEILING(I448,1)</f>
        <v>18</v>
      </c>
      <c r="U448" s="39" t="n">
        <f aca="false">SUM(M448:T448)*Resumo!$C$11</f>
        <v>0</v>
      </c>
      <c r="V448" s="39" t="n">
        <f aca="false">SUM(M448:U448)</f>
        <v>101.513158</v>
      </c>
      <c r="W448" s="39" t="n">
        <f aca="false">V448/(1-Resumo!$C$5)</f>
        <v>115.355861363636</v>
      </c>
      <c r="X448" s="39" t="n">
        <v>114.95</v>
      </c>
      <c r="Y448" s="39" t="n">
        <f aca="false">J448*Resumo!$B$6</f>
        <v>0.49599</v>
      </c>
      <c r="Z448" s="39" t="n">
        <f aca="false">J448*Resumo!$B$7</f>
        <v>0.99198</v>
      </c>
      <c r="AA448" s="39" t="n">
        <f aca="false">Resumo!$B$9</f>
        <v>1</v>
      </c>
      <c r="AB448" s="39" t="n">
        <f aca="false">Resumo!$B$10*CEILING(I448/100,1)</f>
        <v>4.5</v>
      </c>
      <c r="AC448" s="39" t="n">
        <f aca="false">Resumo!$B$12*CEILING(I448,1)</f>
        <v>2.4</v>
      </c>
      <c r="AD448" s="39" t="n">
        <f aca="false">Resumo!$B$14*CEILING(I448,1)</f>
        <v>18</v>
      </c>
      <c r="AE448" s="39" t="n">
        <f aca="false">SUM(X448:AD448)</f>
        <v>142.33797</v>
      </c>
      <c r="AF448" s="39" t="n">
        <f aca="false">AE448/(1-Resumo!$B$5)</f>
        <v>161.747693181818</v>
      </c>
      <c r="AG448" s="39" t="n">
        <f aca="false">AF448-W448</f>
        <v>46.3918318181818</v>
      </c>
      <c r="AH448" s="40" t="n">
        <f aca="false">AF448/W448-1</f>
        <v>0.402162761993869</v>
      </c>
      <c r="AI448" s="37" t="str">
        <f aca="false">IF(AF448&lt;W448,"SIM","NÃO")</f>
        <v>NÃO</v>
      </c>
      <c r="AJ448" s="37" t="n">
        <v>2</v>
      </c>
      <c r="AK448" s="37" t="n">
        <v>7</v>
      </c>
      <c r="AL448" s="37" t="s">
        <v>343</v>
      </c>
      <c r="AM448" s="39" t="n">
        <v>113.33</v>
      </c>
    </row>
    <row r="449" customFormat="false" ht="15" hidden="false" customHeight="false" outlineLevel="0" collapsed="false">
      <c r="A449" s="37" t="n">
        <v>368924697</v>
      </c>
      <c r="B449" s="38" t="n">
        <v>46234.7722569444</v>
      </c>
      <c r="C449" s="37" t="s">
        <v>340</v>
      </c>
      <c r="D449" s="37" t="s">
        <v>787</v>
      </c>
      <c r="E449" s="37" t="n">
        <v>28350190</v>
      </c>
      <c r="F449" s="37" t="s">
        <v>263</v>
      </c>
      <c r="G449" s="37" t="s">
        <v>198</v>
      </c>
      <c r="H449" s="37" t="s">
        <v>185</v>
      </c>
      <c r="I449" s="37" t="n">
        <v>37.2</v>
      </c>
      <c r="J449" s="39" t="n">
        <v>399.99</v>
      </c>
      <c r="K449" s="37" t="s">
        <v>518</v>
      </c>
      <c r="L449" s="39" t="n">
        <v>123.13</v>
      </c>
      <c r="M449" s="39" t="n">
        <v>74.97</v>
      </c>
      <c r="N449" s="39" t="n">
        <f aca="false">J449*Resumo!$C$6</f>
        <v>0</v>
      </c>
      <c r="O449" s="39" t="n">
        <f aca="false">J449*Resumo!$C$7</f>
        <v>0.839979</v>
      </c>
      <c r="P449" s="39" t="n">
        <f aca="false">J449*Resumo!$C$8</f>
        <v>0.839979</v>
      </c>
      <c r="Q449" s="39" t="n">
        <f aca="false">Resumo!$C$10*CEILING(I449/100,1)</f>
        <v>1.05</v>
      </c>
      <c r="R449" s="39" t="n">
        <f aca="false">Resumo!$C$9</f>
        <v>0</v>
      </c>
      <c r="S449" s="39" t="n">
        <f aca="false">Resumo!$C$13</f>
        <v>13.55</v>
      </c>
      <c r="T449" s="39" t="n">
        <f aca="false">Resumo!$C$14*CEILING(I449,1)</f>
        <v>17.1</v>
      </c>
      <c r="U449" s="39" t="n">
        <f aca="false">SUM(M449:T449)*Resumo!$C$11</f>
        <v>0</v>
      </c>
      <c r="V449" s="39" t="n">
        <f aca="false">SUM(M449:U449)</f>
        <v>108.349958</v>
      </c>
      <c r="W449" s="39" t="n">
        <f aca="false">V449/(1-Resumo!$C$5)</f>
        <v>123.124952272727</v>
      </c>
      <c r="X449" s="39" t="n">
        <v>143.04</v>
      </c>
      <c r="Y449" s="39" t="n">
        <f aca="false">J449*Resumo!$B$6</f>
        <v>0.39999</v>
      </c>
      <c r="Z449" s="39" t="n">
        <f aca="false">J449*Resumo!$B$7</f>
        <v>0.79998</v>
      </c>
      <c r="AA449" s="39" t="n">
        <f aca="false">Resumo!$B$9</f>
        <v>1</v>
      </c>
      <c r="AB449" s="39" t="n">
        <f aca="false">Resumo!$B$10*CEILING(I449/100,1)</f>
        <v>4.5</v>
      </c>
      <c r="AC449" s="39" t="n">
        <f aca="false">Resumo!$B$12*CEILING(I449,1)</f>
        <v>2.28</v>
      </c>
      <c r="AD449" s="39" t="n">
        <f aca="false">Resumo!$B$14*CEILING(I449,1)</f>
        <v>17.1</v>
      </c>
      <c r="AE449" s="39" t="n">
        <f aca="false">SUM(X449:AD449)</f>
        <v>169.11997</v>
      </c>
      <c r="AF449" s="39" t="n">
        <f aca="false">AE449/(1-Resumo!$B$5)</f>
        <v>192.181784090909</v>
      </c>
      <c r="AG449" s="39" t="n">
        <f aca="false">AF449-W449</f>
        <v>69.0568318181818</v>
      </c>
      <c r="AH449" s="40" t="n">
        <f aca="false">AF449/W449-1</f>
        <v>0.560867887000012</v>
      </c>
      <c r="AI449" s="37" t="str">
        <f aca="false">IF(AF449&lt;W449,"SIM","NÃO")</f>
        <v>NÃO</v>
      </c>
      <c r="AJ449" s="37" t="n">
        <v>13</v>
      </c>
      <c r="AK449" s="37" t="n">
        <v>11</v>
      </c>
      <c r="AL449" s="37" t="s">
        <v>347</v>
      </c>
      <c r="AM449" s="39" t="n">
        <v>122.16</v>
      </c>
    </row>
    <row r="450" customFormat="false" ht="15" hidden="false" customHeight="false" outlineLevel="0" collapsed="false">
      <c r="A450" s="37" t="n">
        <v>369015777</v>
      </c>
      <c r="B450" s="38" t="n">
        <v>46234.9237268519</v>
      </c>
      <c r="C450" s="37" t="s">
        <v>340</v>
      </c>
      <c r="D450" s="37" t="s">
        <v>788</v>
      </c>
      <c r="E450" s="37" t="n">
        <v>23932405</v>
      </c>
      <c r="F450" s="37" t="s">
        <v>169</v>
      </c>
      <c r="G450" s="37" t="s">
        <v>198</v>
      </c>
      <c r="H450" s="37" t="s">
        <v>185</v>
      </c>
      <c r="I450" s="37" t="n">
        <v>40</v>
      </c>
      <c r="J450" s="39" t="n">
        <v>619.99</v>
      </c>
      <c r="K450" s="37" t="s">
        <v>518</v>
      </c>
      <c r="L450" s="39" t="n">
        <v>125.19</v>
      </c>
      <c r="M450" s="39" t="n">
        <v>74.97</v>
      </c>
      <c r="N450" s="39" t="n">
        <f aca="false">J450*Resumo!$C$6</f>
        <v>0</v>
      </c>
      <c r="O450" s="39" t="n">
        <f aca="false">J450*Resumo!$C$7</f>
        <v>1.301979</v>
      </c>
      <c r="P450" s="39" t="n">
        <f aca="false">J450*Resumo!$C$8</f>
        <v>1.301979</v>
      </c>
      <c r="Q450" s="39" t="n">
        <f aca="false">Resumo!$C$10*CEILING(I450/100,1)</f>
        <v>1.05</v>
      </c>
      <c r="R450" s="39" t="n">
        <f aca="false">Resumo!$C$9</f>
        <v>0</v>
      </c>
      <c r="S450" s="39" t="n">
        <f aca="false">Resumo!$C$13</f>
        <v>13.55</v>
      </c>
      <c r="T450" s="39" t="n">
        <f aca="false">Resumo!$C$14*CEILING(I450,1)</f>
        <v>18</v>
      </c>
      <c r="U450" s="39" t="n">
        <f aca="false">SUM(M450:T450)*Resumo!$C$11</f>
        <v>0</v>
      </c>
      <c r="V450" s="39" t="n">
        <f aca="false">SUM(M450:U450)</f>
        <v>110.173958</v>
      </c>
      <c r="W450" s="39" t="n">
        <f aca="false">V450/(1-Resumo!$C$5)</f>
        <v>125.197679545455</v>
      </c>
      <c r="X450" s="39" t="n">
        <v>124.38</v>
      </c>
      <c r="Y450" s="39" t="n">
        <f aca="false">J450*Resumo!$B$6</f>
        <v>0.61999</v>
      </c>
      <c r="Z450" s="39" t="n">
        <f aca="false">J450*Resumo!$B$7</f>
        <v>1.23998</v>
      </c>
      <c r="AA450" s="39" t="n">
        <f aca="false">Resumo!$B$9</f>
        <v>1</v>
      </c>
      <c r="AB450" s="39" t="n">
        <f aca="false">Resumo!$B$10*CEILING(I450/100,1)</f>
        <v>4.5</v>
      </c>
      <c r="AC450" s="39" t="n">
        <f aca="false">Resumo!$B$12*CEILING(I450,1)</f>
        <v>2.4</v>
      </c>
      <c r="AD450" s="39" t="n">
        <f aca="false">Resumo!$B$14*CEILING(I450,1)</f>
        <v>18</v>
      </c>
      <c r="AE450" s="39" t="n">
        <f aca="false">SUM(X450:AD450)</f>
        <v>152.13997</v>
      </c>
      <c r="AF450" s="39" t="n">
        <f aca="false">AE450/(1-Resumo!$B$5)</f>
        <v>172.886329545455</v>
      </c>
      <c r="AG450" s="39" t="n">
        <f aca="false">AF450-W450</f>
        <v>47.68865</v>
      </c>
      <c r="AH450" s="40" t="n">
        <f aca="false">AF450/W450-1</f>
        <v>0.380906820103531</v>
      </c>
      <c r="AI450" s="37" t="str">
        <f aca="false">IF(AF450&lt;W450,"SIM","NÃO")</f>
        <v>NÃO</v>
      </c>
      <c r="AJ450" s="37" t="n">
        <v>13</v>
      </c>
      <c r="AK450" s="37" t="n">
        <v>10</v>
      </c>
      <c r="AL450" s="37" t="s">
        <v>343</v>
      </c>
      <c r="AM450" s="39" t="n">
        <v>123.22</v>
      </c>
    </row>
    <row r="451" customFormat="false" ht="15" hidden="false" customHeight="false" outlineLevel="0" collapsed="false">
      <c r="A451" s="37" t="n">
        <v>369020391</v>
      </c>
      <c r="B451" s="38" t="n">
        <v>46234.9331712963</v>
      </c>
      <c r="C451" s="37" t="s">
        <v>340</v>
      </c>
      <c r="D451" s="37" t="s">
        <v>789</v>
      </c>
      <c r="E451" s="37" t="n">
        <v>24809230</v>
      </c>
      <c r="F451" s="37" t="s">
        <v>174</v>
      </c>
      <c r="G451" s="37" t="s">
        <v>198</v>
      </c>
      <c r="H451" s="37" t="s">
        <v>185</v>
      </c>
      <c r="I451" s="37" t="n">
        <v>37.2</v>
      </c>
      <c r="J451" s="39" t="n">
        <v>399.99</v>
      </c>
      <c r="K451" s="37" t="s">
        <v>518</v>
      </c>
      <c r="L451" s="39" t="n">
        <v>123.13</v>
      </c>
      <c r="M451" s="39" t="n">
        <v>74.97</v>
      </c>
      <c r="N451" s="39" t="n">
        <f aca="false">J451*Resumo!$C$6</f>
        <v>0</v>
      </c>
      <c r="O451" s="39" t="n">
        <f aca="false">J451*Resumo!$C$7</f>
        <v>0.839979</v>
      </c>
      <c r="P451" s="39" t="n">
        <f aca="false">J451*Resumo!$C$8</f>
        <v>0.839979</v>
      </c>
      <c r="Q451" s="39" t="n">
        <f aca="false">Resumo!$C$10*CEILING(I451/100,1)</f>
        <v>1.05</v>
      </c>
      <c r="R451" s="39" t="n">
        <f aca="false">Resumo!$C$9</f>
        <v>0</v>
      </c>
      <c r="S451" s="39" t="n">
        <f aca="false">Resumo!$C$13</f>
        <v>13.55</v>
      </c>
      <c r="T451" s="39" t="n">
        <f aca="false">Resumo!$C$14*CEILING(I451,1)</f>
        <v>17.1</v>
      </c>
      <c r="U451" s="39" t="n">
        <f aca="false">SUM(M451:T451)*Resumo!$C$11</f>
        <v>0</v>
      </c>
      <c r="V451" s="39" t="n">
        <f aca="false">SUM(M451:U451)</f>
        <v>108.349958</v>
      </c>
      <c r="W451" s="39" t="n">
        <f aca="false">V451/(1-Resumo!$C$5)</f>
        <v>123.124952272727</v>
      </c>
      <c r="X451" s="39" t="n">
        <v>114.95</v>
      </c>
      <c r="Y451" s="39" t="n">
        <f aca="false">J451*Resumo!$B$6</f>
        <v>0.39999</v>
      </c>
      <c r="Z451" s="39" t="n">
        <f aca="false">J451*Resumo!$B$7</f>
        <v>0.79998</v>
      </c>
      <c r="AA451" s="39" t="n">
        <f aca="false">Resumo!$B$9</f>
        <v>1</v>
      </c>
      <c r="AB451" s="39" t="n">
        <f aca="false">Resumo!$B$10*CEILING(I451/100,1)</f>
        <v>4.5</v>
      </c>
      <c r="AC451" s="39" t="n">
        <f aca="false">Resumo!$B$12*CEILING(I451,1)</f>
        <v>2.28</v>
      </c>
      <c r="AD451" s="39" t="n">
        <f aca="false">Resumo!$B$14*CEILING(I451,1)</f>
        <v>17.1</v>
      </c>
      <c r="AE451" s="39" t="n">
        <f aca="false">SUM(X451:AD451)</f>
        <v>141.02997</v>
      </c>
      <c r="AF451" s="39" t="n">
        <f aca="false">AE451/(1-Resumo!$B$5)</f>
        <v>160.261329545455</v>
      </c>
      <c r="AG451" s="39" t="n">
        <f aca="false">AF451-W451</f>
        <v>37.1363772727273</v>
      </c>
      <c r="AH451" s="40" t="n">
        <f aca="false">AF451/W451-1</f>
        <v>0.301615363801064</v>
      </c>
      <c r="AI451" s="37" t="str">
        <f aca="false">IF(AF451&lt;W451,"SIM","NÃO")</f>
        <v>NÃO</v>
      </c>
      <c r="AJ451" s="37" t="n">
        <v>13</v>
      </c>
      <c r="AK451" s="37" t="n">
        <v>7</v>
      </c>
      <c r="AL451" s="37" t="s">
        <v>343</v>
      </c>
      <c r="AM451" s="39" t="n">
        <v>122.16</v>
      </c>
    </row>
    <row r="452" customFormat="false" ht="15" hidden="false" customHeight="false" outlineLevel="0" collapsed="false">
      <c r="A452" s="37" t="n">
        <v>369031835</v>
      </c>
      <c r="B452" s="38" t="n">
        <v>46234.9561458333</v>
      </c>
      <c r="C452" s="37" t="s">
        <v>340</v>
      </c>
      <c r="D452" s="37" t="s">
        <v>790</v>
      </c>
      <c r="E452" s="37" t="n">
        <v>27931173</v>
      </c>
      <c r="F452" s="37" t="s">
        <v>166</v>
      </c>
      <c r="G452" s="37" t="s">
        <v>198</v>
      </c>
      <c r="H452" s="37" t="s">
        <v>192</v>
      </c>
      <c r="I452" s="37" t="n">
        <v>124.2</v>
      </c>
      <c r="J452" s="39" t="n">
        <v>1558.08</v>
      </c>
      <c r="K452" s="37" t="s">
        <v>518</v>
      </c>
      <c r="L452" s="39" t="n">
        <v>253.05</v>
      </c>
      <c r="M452" s="39" t="n">
        <v>144.24</v>
      </c>
      <c r="N452" s="39" t="n">
        <f aca="false">J452*Resumo!$C$6</f>
        <v>0</v>
      </c>
      <c r="O452" s="39" t="n">
        <f aca="false">J452*Resumo!$C$7</f>
        <v>3.271968</v>
      </c>
      <c r="P452" s="39" t="n">
        <f aca="false">J452*Resumo!$C$8</f>
        <v>3.271968</v>
      </c>
      <c r="Q452" s="39" t="n">
        <f aca="false">Resumo!$C$10*CEILING(I452/100,1)</f>
        <v>2.1</v>
      </c>
      <c r="R452" s="39" t="n">
        <f aca="false">Resumo!$C$9</f>
        <v>0</v>
      </c>
      <c r="S452" s="39" t="n">
        <f aca="false">Resumo!$C$13</f>
        <v>13.55</v>
      </c>
      <c r="T452" s="39" t="n">
        <f aca="false">Resumo!$C$14*CEILING(I452,1)</f>
        <v>56.25</v>
      </c>
      <c r="U452" s="39" t="n">
        <f aca="false">SUM(M452:T452)*Resumo!$C$11</f>
        <v>0</v>
      </c>
      <c r="V452" s="39" t="n">
        <f aca="false">SUM(M452:U452)</f>
        <v>222.683936</v>
      </c>
      <c r="W452" s="39" t="n">
        <f aca="false">V452/(1-Resumo!$C$5)</f>
        <v>253.049927272727</v>
      </c>
      <c r="X452" s="39" t="n">
        <v>264.84</v>
      </c>
      <c r="Y452" s="39" t="n">
        <f aca="false">J452*Resumo!$B$6</f>
        <v>1.55808</v>
      </c>
      <c r="Z452" s="39" t="n">
        <f aca="false">J452*Resumo!$B$7</f>
        <v>3.11616</v>
      </c>
      <c r="AA452" s="39" t="n">
        <f aca="false">Resumo!$B$9</f>
        <v>1</v>
      </c>
      <c r="AB452" s="39" t="n">
        <f aca="false">Resumo!$B$10*CEILING(I452/100,1)</f>
        <v>9</v>
      </c>
      <c r="AC452" s="39" t="n">
        <f aca="false">Resumo!$B$12*CEILING(I452,1)</f>
        <v>7.5</v>
      </c>
      <c r="AD452" s="39" t="n">
        <f aca="false">Resumo!$B$14*CEILING(I452,1)</f>
        <v>56.25</v>
      </c>
      <c r="AE452" s="39" t="n">
        <f aca="false">SUM(X452:AD452)</f>
        <v>343.26424</v>
      </c>
      <c r="AF452" s="39" t="n">
        <f aca="false">AE452/(1-Resumo!$B$5)</f>
        <v>390.073</v>
      </c>
      <c r="AG452" s="39" t="n">
        <f aca="false">AF452-W452</f>
        <v>137.023072727273</v>
      </c>
      <c r="AH452" s="40" t="n">
        <f aca="false">AF452/W452-1</f>
        <v>0.541486315384689</v>
      </c>
      <c r="AI452" s="37" t="str">
        <f aca="false">IF(AF452&lt;W452,"SIM","NÃO")</f>
        <v>NÃO</v>
      </c>
      <c r="AJ452" s="37" t="n">
        <v>13</v>
      </c>
      <c r="AK452" s="37" t="n">
        <v>11</v>
      </c>
      <c r="AL452" s="37" t="s">
        <v>343</v>
      </c>
      <c r="AM452" s="39" t="n">
        <v>260.76</v>
      </c>
    </row>
    <row r="453" customFormat="false" ht="15" hidden="false" customHeight="false" outlineLevel="0" collapsed="false">
      <c r="A453" s="37" t="n">
        <v>369072990</v>
      </c>
      <c r="B453" s="38" t="n">
        <v>46235.0544097222</v>
      </c>
      <c r="C453" s="37" t="s">
        <v>340</v>
      </c>
      <c r="D453" s="37" t="s">
        <v>791</v>
      </c>
      <c r="E453" s="37" t="n">
        <v>23914465</v>
      </c>
      <c r="F453" s="37" t="s">
        <v>169</v>
      </c>
      <c r="G453" s="37" t="s">
        <v>198</v>
      </c>
      <c r="H453" s="37" t="s">
        <v>187</v>
      </c>
      <c r="I453" s="37" t="n">
        <v>52.3</v>
      </c>
      <c r="J453" s="39" t="n">
        <v>685.85</v>
      </c>
      <c r="K453" s="37" t="s">
        <v>518</v>
      </c>
      <c r="L453" s="39" t="n">
        <v>141.94</v>
      </c>
      <c r="M453" s="39" t="n">
        <v>83.58</v>
      </c>
      <c r="N453" s="39" t="n">
        <f aca="false">J453*Resumo!$C$6</f>
        <v>0</v>
      </c>
      <c r="O453" s="39" t="n">
        <f aca="false">J453*Resumo!$C$7</f>
        <v>1.440285</v>
      </c>
      <c r="P453" s="39" t="n">
        <f aca="false">J453*Resumo!$C$8</f>
        <v>1.440285</v>
      </c>
      <c r="Q453" s="39" t="n">
        <f aca="false">Resumo!$C$10*CEILING(I453/100,1)</f>
        <v>1.05</v>
      </c>
      <c r="R453" s="39" t="n">
        <f aca="false">Resumo!$C$9</f>
        <v>0</v>
      </c>
      <c r="S453" s="39" t="n">
        <f aca="false">Resumo!$C$13</f>
        <v>13.55</v>
      </c>
      <c r="T453" s="39" t="n">
        <f aca="false">Resumo!$C$14*CEILING(I453,1)</f>
        <v>23.85</v>
      </c>
      <c r="U453" s="39" t="n">
        <f aca="false">SUM(M453:T453)*Resumo!$C$11</f>
        <v>0</v>
      </c>
      <c r="V453" s="39" t="n">
        <f aca="false">SUM(M453:U453)</f>
        <v>124.91057</v>
      </c>
      <c r="W453" s="39" t="n">
        <f aca="false">V453/(1-Resumo!$C$5)</f>
        <v>141.943829545455</v>
      </c>
      <c r="X453" s="39" t="n">
        <v>142.32</v>
      </c>
      <c r="Y453" s="39" t="n">
        <f aca="false">J453*Resumo!$B$6</f>
        <v>0.68585</v>
      </c>
      <c r="Z453" s="39" t="n">
        <f aca="false">J453*Resumo!$B$7</f>
        <v>1.3717</v>
      </c>
      <c r="AA453" s="39" t="n">
        <f aca="false">Resumo!$B$9</f>
        <v>1</v>
      </c>
      <c r="AB453" s="39" t="n">
        <f aca="false">Resumo!$B$10*CEILING(I453/100,1)</f>
        <v>4.5</v>
      </c>
      <c r="AC453" s="39" t="n">
        <f aca="false">Resumo!$B$12*CEILING(I453,1)</f>
        <v>3.18</v>
      </c>
      <c r="AD453" s="39" t="n">
        <f aca="false">Resumo!$B$14*CEILING(I453,1)</f>
        <v>23.85</v>
      </c>
      <c r="AE453" s="39" t="n">
        <f aca="false">SUM(X453:AD453)</f>
        <v>176.90755</v>
      </c>
      <c r="AF453" s="39" t="n">
        <f aca="false">AE453/(1-Resumo!$B$5)</f>
        <v>201.031306818182</v>
      </c>
      <c r="AG453" s="39" t="n">
        <f aca="false">AF453-W453</f>
        <v>59.0874772727273</v>
      </c>
      <c r="AH453" s="40" t="n">
        <f aca="false">AF453/W453-1</f>
        <v>0.416273658826471</v>
      </c>
      <c r="AI453" s="37" t="str">
        <f aca="false">IF(AF453&lt;W453,"SIM","NÃO")</f>
        <v>NÃO</v>
      </c>
      <c r="AJ453" s="37" t="n">
        <v>13</v>
      </c>
      <c r="AK453" s="37" t="n">
        <v>10</v>
      </c>
      <c r="AL453" s="37" t="s">
        <v>343</v>
      </c>
      <c r="AM453" s="39" t="n">
        <v>142.96</v>
      </c>
    </row>
    <row r="454" customFormat="false" ht="15" hidden="false" customHeight="false" outlineLevel="0" collapsed="false">
      <c r="A454" s="37" t="n">
        <v>369082511</v>
      </c>
      <c r="B454" s="38" t="n">
        <v>46235.0810532407</v>
      </c>
      <c r="C454" s="37" t="s">
        <v>345</v>
      </c>
      <c r="D454" s="37" t="s">
        <v>792</v>
      </c>
      <c r="E454" s="37" t="n">
        <v>23094140</v>
      </c>
      <c r="F454" s="37" t="s">
        <v>159</v>
      </c>
      <c r="G454" s="37" t="s">
        <v>196</v>
      </c>
      <c r="H454" s="37" t="s">
        <v>191</v>
      </c>
      <c r="I454" s="37" t="n">
        <v>117.7</v>
      </c>
      <c r="J454" s="39" t="n">
        <v>1318.14</v>
      </c>
      <c r="K454" s="37" t="s">
        <v>518</v>
      </c>
      <c r="L454" s="39" t="n">
        <v>189.35</v>
      </c>
      <c r="M454" s="39" t="n">
        <v>92.34</v>
      </c>
      <c r="N454" s="39" t="n">
        <f aca="false">J454*Resumo!$C$6</f>
        <v>0</v>
      </c>
      <c r="O454" s="39" t="n">
        <f aca="false">J454*Resumo!$C$7</f>
        <v>2.768094</v>
      </c>
      <c r="P454" s="39" t="n">
        <f aca="false">J454*Resumo!$C$8</f>
        <v>2.768094</v>
      </c>
      <c r="Q454" s="39" t="n">
        <f aca="false">Resumo!$C$10*CEILING(I454/100,1)</f>
        <v>2.1</v>
      </c>
      <c r="R454" s="39" t="n">
        <f aca="false">Resumo!$C$9</f>
        <v>0</v>
      </c>
      <c r="S454" s="39" t="n">
        <f aca="false">Resumo!$C$13</f>
        <v>13.55</v>
      </c>
      <c r="T454" s="39" t="n">
        <f aca="false">Resumo!$C$14*CEILING(I454,1)</f>
        <v>53.1</v>
      </c>
      <c r="U454" s="39" t="n">
        <f aca="false">SUM(M454:T454)*Resumo!$C$11</f>
        <v>0</v>
      </c>
      <c r="V454" s="39" t="n">
        <f aca="false">SUM(M454:U454)</f>
        <v>166.626188</v>
      </c>
      <c r="W454" s="39" t="n">
        <f aca="false">V454/(1-Resumo!$C$5)</f>
        <v>189.347940909091</v>
      </c>
      <c r="X454" s="39" t="n">
        <v>201.59</v>
      </c>
      <c r="Y454" s="39" t="n">
        <f aca="false">J454*Resumo!$B$6</f>
        <v>1.31814</v>
      </c>
      <c r="Z454" s="39" t="n">
        <f aca="false">J454*Resumo!$B$7</f>
        <v>2.63628</v>
      </c>
      <c r="AA454" s="39" t="n">
        <f aca="false">Resumo!$B$9</f>
        <v>1</v>
      </c>
      <c r="AB454" s="39" t="n">
        <f aca="false">Resumo!$B$10*CEILING(I454/100,1)</f>
        <v>9</v>
      </c>
      <c r="AC454" s="39" t="n">
        <f aca="false">Resumo!$B$12*CEILING(I454,1)</f>
        <v>7.08</v>
      </c>
      <c r="AD454" s="39" t="n">
        <f aca="false">Resumo!$B$14*CEILING(I454,1)</f>
        <v>53.1</v>
      </c>
      <c r="AE454" s="39" t="n">
        <f aca="false">SUM(X454:AD454)</f>
        <v>275.72442</v>
      </c>
      <c r="AF454" s="39" t="n">
        <f aca="false">AE454/(1-Resumo!$B$5)</f>
        <v>313.323204545455</v>
      </c>
      <c r="AG454" s="39" t="n">
        <f aca="false">AF454-W454</f>
        <v>123.975263636364</v>
      </c>
      <c r="AH454" s="40" t="n">
        <f aca="false">AF454/W454-1</f>
        <v>0.654748412056333</v>
      </c>
      <c r="AI454" s="37" t="str">
        <f aca="false">IF(AF454&lt;W454,"SIM","NÃO")</f>
        <v>NÃO</v>
      </c>
      <c r="AJ454" s="37" t="n">
        <v>2</v>
      </c>
      <c r="AK454" s="37" t="n">
        <v>5</v>
      </c>
      <c r="AL454" s="37" t="s">
        <v>343</v>
      </c>
      <c r="AM454" s="39" t="n">
        <v>185.96</v>
      </c>
    </row>
    <row r="455" customFormat="false" ht="15" hidden="false" customHeight="false" outlineLevel="0" collapsed="false">
      <c r="A455" s="37" t="n">
        <v>369229649</v>
      </c>
      <c r="B455" s="38" t="n">
        <v>46235.3638194444</v>
      </c>
      <c r="C455" s="37" t="s">
        <v>345</v>
      </c>
      <c r="D455" s="37" t="s">
        <v>665</v>
      </c>
      <c r="E455" s="37" t="n">
        <v>23020230</v>
      </c>
      <c r="F455" s="37" t="s">
        <v>159</v>
      </c>
      <c r="G455" s="37" t="s">
        <v>196</v>
      </c>
      <c r="H455" s="37" t="s">
        <v>187</v>
      </c>
      <c r="I455" s="37" t="n">
        <v>55</v>
      </c>
      <c r="J455" s="39" t="n">
        <v>676</v>
      </c>
      <c r="K455" s="37" t="s">
        <v>518</v>
      </c>
      <c r="L455" s="39" t="n">
        <v>114.53</v>
      </c>
      <c r="M455" s="39" t="n">
        <v>58.6</v>
      </c>
      <c r="N455" s="39" t="n">
        <f aca="false">J455*Resumo!$C$6</f>
        <v>0</v>
      </c>
      <c r="O455" s="39" t="n">
        <f aca="false">J455*Resumo!$C$7</f>
        <v>1.4196</v>
      </c>
      <c r="P455" s="39" t="n">
        <f aca="false">J455*Resumo!$C$8</f>
        <v>1.4196</v>
      </c>
      <c r="Q455" s="39" t="n">
        <f aca="false">Resumo!$C$10*CEILING(I455/100,1)</f>
        <v>1.05</v>
      </c>
      <c r="R455" s="39" t="n">
        <f aca="false">Resumo!$C$9</f>
        <v>0</v>
      </c>
      <c r="S455" s="39" t="n">
        <f aca="false">Resumo!$C$13</f>
        <v>13.55</v>
      </c>
      <c r="T455" s="39" t="n">
        <f aca="false">Resumo!$C$14*CEILING(I455,1)</f>
        <v>24.75</v>
      </c>
      <c r="U455" s="39" t="n">
        <f aca="false">SUM(M455:T455)*Resumo!$C$11</f>
        <v>0</v>
      </c>
      <c r="V455" s="39" t="n">
        <f aca="false">SUM(M455:U455)</f>
        <v>100.7892</v>
      </c>
      <c r="W455" s="39" t="n">
        <f aca="false">V455/(1-Resumo!$C$5)</f>
        <v>114.533181818182</v>
      </c>
      <c r="X455" s="39" t="n">
        <v>112.3</v>
      </c>
      <c r="Y455" s="39" t="n">
        <f aca="false">J455*Resumo!$B$6</f>
        <v>0.676</v>
      </c>
      <c r="Z455" s="39" t="n">
        <f aca="false">J455*Resumo!$B$7</f>
        <v>1.352</v>
      </c>
      <c r="AA455" s="39" t="n">
        <f aca="false">Resumo!$B$9</f>
        <v>1</v>
      </c>
      <c r="AB455" s="39" t="n">
        <f aca="false">Resumo!$B$10*CEILING(I455/100,1)</f>
        <v>4.5</v>
      </c>
      <c r="AC455" s="39" t="n">
        <f aca="false">Resumo!$B$12*CEILING(I455,1)</f>
        <v>3.3</v>
      </c>
      <c r="AD455" s="39" t="n">
        <f aca="false">Resumo!$B$14*CEILING(I455,1)</f>
        <v>24.75</v>
      </c>
      <c r="AE455" s="39" t="n">
        <f aca="false">SUM(X455:AD455)</f>
        <v>147.878</v>
      </c>
      <c r="AF455" s="39" t="n">
        <f aca="false">AE455/(1-Resumo!$B$5)</f>
        <v>168.043181818182</v>
      </c>
      <c r="AG455" s="39" t="n">
        <f aca="false">AF455-W455</f>
        <v>53.51</v>
      </c>
      <c r="AH455" s="40" t="n">
        <f aca="false">AF455/W455-1</f>
        <v>0.467200850884817</v>
      </c>
      <c r="AI455" s="37" t="str">
        <f aca="false">IF(AF455&lt;W455,"SIM","NÃO")</f>
        <v>NÃO</v>
      </c>
      <c r="AJ455" s="37" t="n">
        <v>2</v>
      </c>
      <c r="AK455" s="37" t="n">
        <v>5</v>
      </c>
      <c r="AL455" s="37" t="s">
        <v>343</v>
      </c>
      <c r="AM455" s="39" t="n">
        <v>114.39</v>
      </c>
    </row>
    <row r="456" customFormat="false" ht="15" hidden="false" customHeight="false" outlineLevel="0" collapsed="false">
      <c r="A456" s="37" t="n">
        <v>369262008</v>
      </c>
      <c r="B456" s="38" t="n">
        <v>46235.4272337963</v>
      </c>
      <c r="C456" s="37" t="s">
        <v>345</v>
      </c>
      <c r="D456" s="37" t="s">
        <v>793</v>
      </c>
      <c r="E456" s="37" t="n">
        <v>20561098</v>
      </c>
      <c r="F456" s="37" t="s">
        <v>159</v>
      </c>
      <c r="G456" s="37" t="s">
        <v>196</v>
      </c>
      <c r="H456" s="37" t="s">
        <v>185</v>
      </c>
      <c r="I456" s="37" t="n">
        <v>36.8</v>
      </c>
      <c r="J456" s="39" t="n">
        <v>449.95</v>
      </c>
      <c r="K456" s="37" t="s">
        <v>342</v>
      </c>
      <c r="L456" s="39" t="n">
        <v>92.01</v>
      </c>
      <c r="M456" s="39" t="n">
        <v>48.35</v>
      </c>
      <c r="N456" s="39" t="n">
        <f aca="false">J456*Resumo!$C$6</f>
        <v>0</v>
      </c>
      <c r="O456" s="39" t="n">
        <f aca="false">J456*Resumo!$C$7</f>
        <v>0.944895</v>
      </c>
      <c r="P456" s="39" t="n">
        <f aca="false">J456*Resumo!$C$8</f>
        <v>0.944895</v>
      </c>
      <c r="Q456" s="39" t="n">
        <f aca="false">Resumo!$C$10*CEILING(I456/100,1)</f>
        <v>1.05</v>
      </c>
      <c r="R456" s="39" t="n">
        <f aca="false">Resumo!$C$9</f>
        <v>0</v>
      </c>
      <c r="S456" s="39" t="n">
        <f aca="false">Resumo!$C$13</f>
        <v>13.55</v>
      </c>
      <c r="T456" s="39" t="n">
        <f aca="false">Resumo!$C$14*CEILING(I456,1)</f>
        <v>16.65</v>
      </c>
      <c r="U456" s="39" t="n">
        <f aca="false">SUM(M456:T456)*Resumo!$C$11</f>
        <v>0</v>
      </c>
      <c r="V456" s="39" t="n">
        <f aca="false">SUM(M456:U456)</f>
        <v>81.48979</v>
      </c>
      <c r="W456" s="39" t="n">
        <f aca="false">V456/(1-Resumo!$C$5)</f>
        <v>92.6020340909091</v>
      </c>
      <c r="X456" s="39" t="n">
        <v>93.97</v>
      </c>
      <c r="Y456" s="39" t="n">
        <f aca="false">J456*Resumo!$B$6</f>
        <v>0.44995</v>
      </c>
      <c r="Z456" s="39" t="n">
        <f aca="false">J456*Resumo!$B$7</f>
        <v>0.8999</v>
      </c>
      <c r="AA456" s="39" t="n">
        <f aca="false">Resumo!$B$9</f>
        <v>1</v>
      </c>
      <c r="AB456" s="39" t="n">
        <f aca="false">Resumo!$B$10*CEILING(I456/100,1)</f>
        <v>4.5</v>
      </c>
      <c r="AC456" s="39" t="n">
        <f aca="false">Resumo!$B$12*CEILING(I456,1)</f>
        <v>2.22</v>
      </c>
      <c r="AD456" s="39" t="n">
        <f aca="false">Resumo!$B$14*CEILING(I456,1)</f>
        <v>16.65</v>
      </c>
      <c r="AE456" s="39" t="n">
        <f aca="false">SUM(X456:AD456)</f>
        <v>119.68985</v>
      </c>
      <c r="AF456" s="39" t="n">
        <f aca="false">AE456/(1-Resumo!$B$5)</f>
        <v>136.011193181818</v>
      </c>
      <c r="AG456" s="39" t="n">
        <f aca="false">AF456-W456</f>
        <v>43.4091590909091</v>
      </c>
      <c r="AH456" s="40" t="n">
        <f aca="false">AF456/W456-1</f>
        <v>0.468771118443182</v>
      </c>
      <c r="AI456" s="37" t="str">
        <f aca="false">IF(AF456&lt;W456,"SIM","NÃO")</f>
        <v>NÃO</v>
      </c>
      <c r="AJ456" s="37" t="n">
        <v>2</v>
      </c>
      <c r="AK456" s="37" t="n">
        <v>5</v>
      </c>
      <c r="AL456" s="37" t="s">
        <v>343</v>
      </c>
      <c r="AM456" s="39" t="n">
        <v>92.01</v>
      </c>
    </row>
    <row r="457" customFormat="false" ht="15" hidden="false" customHeight="false" outlineLevel="0" collapsed="false">
      <c r="A457" s="37" t="n">
        <v>369266435</v>
      </c>
      <c r="B457" s="38" t="n">
        <v>46235.4326388889</v>
      </c>
      <c r="C457" s="37" t="s">
        <v>340</v>
      </c>
      <c r="D457" s="37" t="s">
        <v>794</v>
      </c>
      <c r="E457" s="37" t="n">
        <v>24425480</v>
      </c>
      <c r="F457" s="37" t="s">
        <v>160</v>
      </c>
      <c r="G457" s="37" t="s">
        <v>197</v>
      </c>
      <c r="H457" s="37" t="s">
        <v>187</v>
      </c>
      <c r="I457" s="37" t="n">
        <v>52.3</v>
      </c>
      <c r="J457" s="39" t="n">
        <v>685.85</v>
      </c>
      <c r="K457" s="37" t="s">
        <v>518</v>
      </c>
      <c r="L457" s="39" t="n">
        <v>127.62</v>
      </c>
      <c r="M457" s="39" t="n">
        <v>70.98</v>
      </c>
      <c r="N457" s="39" t="n">
        <f aca="false">J457*Resumo!$C$6</f>
        <v>0</v>
      </c>
      <c r="O457" s="39" t="n">
        <f aca="false">J457*Resumo!$C$7</f>
        <v>1.440285</v>
      </c>
      <c r="P457" s="39" t="n">
        <f aca="false">J457*Resumo!$C$8</f>
        <v>1.440285</v>
      </c>
      <c r="Q457" s="39" t="n">
        <f aca="false">Resumo!$C$10*CEILING(I457/100,1)</f>
        <v>1.05</v>
      </c>
      <c r="R457" s="39" t="n">
        <f aca="false">Resumo!$C$9</f>
        <v>0</v>
      </c>
      <c r="S457" s="39" t="n">
        <f aca="false">Resumo!$C$13</f>
        <v>13.55</v>
      </c>
      <c r="T457" s="39" t="n">
        <f aca="false">Resumo!$C$14*CEILING(I457,1)</f>
        <v>23.85</v>
      </c>
      <c r="U457" s="39" t="n">
        <f aca="false">SUM(M457:T457)*Resumo!$C$11</f>
        <v>0</v>
      </c>
      <c r="V457" s="39" t="n">
        <f aca="false">SUM(M457:U457)</f>
        <v>112.31057</v>
      </c>
      <c r="W457" s="39" t="n">
        <f aca="false">V457/(1-Resumo!$C$5)</f>
        <v>127.625647727273</v>
      </c>
      <c r="X457" s="39" t="n">
        <v>128.14</v>
      </c>
      <c r="Y457" s="39" t="n">
        <f aca="false">J457*Resumo!$B$6</f>
        <v>0.68585</v>
      </c>
      <c r="Z457" s="39" t="n">
        <f aca="false">J457*Resumo!$B$7</f>
        <v>1.3717</v>
      </c>
      <c r="AA457" s="39" t="n">
        <f aca="false">Resumo!$B$9</f>
        <v>1</v>
      </c>
      <c r="AB457" s="39" t="n">
        <f aca="false">Resumo!$B$10*CEILING(I457/100,1)</f>
        <v>4.5</v>
      </c>
      <c r="AC457" s="39" t="n">
        <f aca="false">Resumo!$B$12*CEILING(I457,1)</f>
        <v>3.18</v>
      </c>
      <c r="AD457" s="39" t="n">
        <f aca="false">Resumo!$B$14*CEILING(I457,1)</f>
        <v>23.85</v>
      </c>
      <c r="AE457" s="39" t="n">
        <f aca="false">SUM(X457:AD457)</f>
        <v>162.72755</v>
      </c>
      <c r="AF457" s="39" t="n">
        <f aca="false">AE457/(1-Resumo!$B$5)</f>
        <v>184.917670454545</v>
      </c>
      <c r="AG457" s="39" t="n">
        <f aca="false">AF457-W457</f>
        <v>57.2920227272727</v>
      </c>
      <c r="AH457" s="40" t="n">
        <f aca="false">AF457/W457-1</f>
        <v>0.448906812600096</v>
      </c>
      <c r="AI457" s="37" t="str">
        <f aca="false">IF(AF457&lt;W457,"SIM","NÃO")</f>
        <v>NÃO</v>
      </c>
      <c r="AJ457" s="37" t="n">
        <v>2</v>
      </c>
      <c r="AK457" s="37" t="n">
        <v>7</v>
      </c>
      <c r="AL457" s="37" t="s">
        <v>343</v>
      </c>
      <c r="AM457" s="39" t="n">
        <v>128.57</v>
      </c>
    </row>
    <row r="458" customFormat="false" ht="15" hidden="false" customHeight="false" outlineLevel="0" collapsed="false">
      <c r="A458" s="37" t="n">
        <v>369270837</v>
      </c>
      <c r="B458" s="38" t="n">
        <v>46235.4381944445</v>
      </c>
      <c r="C458" s="37" t="s">
        <v>340</v>
      </c>
      <c r="D458" s="37" t="s">
        <v>795</v>
      </c>
      <c r="E458" s="37" t="n">
        <v>26160630</v>
      </c>
      <c r="F458" s="37" t="s">
        <v>165</v>
      </c>
      <c r="G458" s="37" t="s">
        <v>197</v>
      </c>
      <c r="H458" s="37" t="s">
        <v>185</v>
      </c>
      <c r="I458" s="37" t="n">
        <v>37.6</v>
      </c>
      <c r="J458" s="39" t="n">
        <v>391.05</v>
      </c>
      <c r="K458" s="37" t="s">
        <v>518</v>
      </c>
      <c r="L458" s="39" t="n">
        <v>113.83</v>
      </c>
      <c r="M458" s="39" t="n">
        <v>66.83</v>
      </c>
      <c r="N458" s="39" t="n">
        <f aca="false">J458*Resumo!$C$6</f>
        <v>0</v>
      </c>
      <c r="O458" s="39" t="n">
        <f aca="false">J458*Resumo!$C$7</f>
        <v>0.821205</v>
      </c>
      <c r="P458" s="39" t="n">
        <f aca="false">J458*Resumo!$C$8</f>
        <v>0.821205</v>
      </c>
      <c r="Q458" s="39" t="n">
        <f aca="false">Resumo!$C$10*CEILING(I458/100,1)</f>
        <v>1.05</v>
      </c>
      <c r="R458" s="39" t="n">
        <f aca="false">Resumo!$C$9</f>
        <v>0</v>
      </c>
      <c r="S458" s="39" t="n">
        <f aca="false">Resumo!$C$13</f>
        <v>13.55</v>
      </c>
      <c r="T458" s="39" t="n">
        <f aca="false">Resumo!$C$14*CEILING(I458,1)</f>
        <v>17.1</v>
      </c>
      <c r="U458" s="39" t="n">
        <f aca="false">SUM(M458:T458)*Resumo!$C$11</f>
        <v>0</v>
      </c>
      <c r="V458" s="39" t="n">
        <f aca="false">SUM(M458:U458)</f>
        <v>100.17241</v>
      </c>
      <c r="W458" s="39" t="n">
        <f aca="false">V458/(1-Resumo!$C$5)</f>
        <v>113.832284090909</v>
      </c>
      <c r="X458" s="39" t="n">
        <v>93.97</v>
      </c>
      <c r="Y458" s="39" t="n">
        <f aca="false">J458*Resumo!$B$6</f>
        <v>0.39105</v>
      </c>
      <c r="Z458" s="39" t="n">
        <f aca="false">J458*Resumo!$B$7</f>
        <v>0.7821</v>
      </c>
      <c r="AA458" s="39" t="n">
        <f aca="false">Resumo!$B$9</f>
        <v>1</v>
      </c>
      <c r="AB458" s="39" t="n">
        <f aca="false">Resumo!$B$10*CEILING(I458/100,1)</f>
        <v>4.5</v>
      </c>
      <c r="AC458" s="39" t="n">
        <f aca="false">Resumo!$B$12*CEILING(I458,1)</f>
        <v>2.28</v>
      </c>
      <c r="AD458" s="39" t="n">
        <f aca="false">Resumo!$B$14*CEILING(I458,1)</f>
        <v>17.1</v>
      </c>
      <c r="AE458" s="39" t="n">
        <f aca="false">SUM(X458:AD458)</f>
        <v>120.02315</v>
      </c>
      <c r="AF458" s="39" t="n">
        <f aca="false">AE458/(1-Resumo!$B$5)</f>
        <v>136.389943181818</v>
      </c>
      <c r="AG458" s="39" t="n">
        <f aca="false">AF458-W458</f>
        <v>22.557659090909</v>
      </c>
      <c r="AH458" s="40" t="n">
        <f aca="false">AF458/W458-1</f>
        <v>0.198165742443453</v>
      </c>
      <c r="AI458" s="37" t="str">
        <f aca="false">IF(AF458&lt;W458,"SIM","NÃO")</f>
        <v>NÃO</v>
      </c>
      <c r="AJ458" s="37" t="n">
        <v>2</v>
      </c>
      <c r="AK458" s="37" t="n">
        <v>5</v>
      </c>
      <c r="AL458" s="37" t="s">
        <v>343</v>
      </c>
      <c r="AM458" s="39" t="n">
        <v>112.83</v>
      </c>
    </row>
    <row r="459" customFormat="false" ht="15" hidden="false" customHeight="false" outlineLevel="0" collapsed="false">
      <c r="A459" s="37" t="n">
        <v>369271060</v>
      </c>
      <c r="B459" s="38" t="n">
        <v>46235.4384606482</v>
      </c>
      <c r="C459" s="37" t="s">
        <v>340</v>
      </c>
      <c r="D459" s="37" t="s">
        <v>796</v>
      </c>
      <c r="E459" s="37" t="n">
        <v>26180150</v>
      </c>
      <c r="F459" s="37" t="s">
        <v>165</v>
      </c>
      <c r="G459" s="37" t="s">
        <v>197</v>
      </c>
      <c r="H459" s="37" t="s">
        <v>183</v>
      </c>
      <c r="I459" s="37" t="n">
        <v>19.5</v>
      </c>
      <c r="J459" s="39" t="n">
        <v>359.99</v>
      </c>
      <c r="K459" s="37" t="s">
        <v>518</v>
      </c>
      <c r="L459" s="39" t="n">
        <v>77.09</v>
      </c>
      <c r="M459" s="39" t="n">
        <v>42.72</v>
      </c>
      <c r="N459" s="39" t="n">
        <f aca="false">J459*Resumo!$C$6</f>
        <v>0</v>
      </c>
      <c r="O459" s="39" t="n">
        <f aca="false">J459*Resumo!$C$7</f>
        <v>0.755979</v>
      </c>
      <c r="P459" s="39" t="n">
        <f aca="false">J459*Resumo!$C$8</f>
        <v>0.755979</v>
      </c>
      <c r="Q459" s="39" t="n">
        <f aca="false">Resumo!$C$10*CEILING(I459/100,1)</f>
        <v>1.05</v>
      </c>
      <c r="R459" s="39" t="n">
        <f aca="false">Resumo!$C$9</f>
        <v>0</v>
      </c>
      <c r="S459" s="39" t="n">
        <f aca="false">Resumo!$C$13</f>
        <v>13.55</v>
      </c>
      <c r="T459" s="39" t="n">
        <f aca="false">Resumo!$C$14*CEILING(I459,1)</f>
        <v>9</v>
      </c>
      <c r="U459" s="39" t="n">
        <f aca="false">SUM(M459:T459)*Resumo!$C$11</f>
        <v>0</v>
      </c>
      <c r="V459" s="39" t="n">
        <f aca="false">SUM(M459:U459)</f>
        <v>67.831958</v>
      </c>
      <c r="W459" s="39" t="n">
        <f aca="false">V459/(1-Resumo!$C$5)</f>
        <v>77.0817704545455</v>
      </c>
      <c r="X459" s="39" t="n">
        <v>46.98</v>
      </c>
      <c r="Y459" s="39" t="n">
        <f aca="false">J459*Resumo!$B$6</f>
        <v>0.35999</v>
      </c>
      <c r="Z459" s="39" t="n">
        <f aca="false">J459*Resumo!$B$7</f>
        <v>0.71998</v>
      </c>
      <c r="AA459" s="39" t="n">
        <f aca="false">Resumo!$B$9</f>
        <v>1</v>
      </c>
      <c r="AB459" s="39" t="n">
        <f aca="false">Resumo!$B$10*CEILING(I459/100,1)</f>
        <v>4.5</v>
      </c>
      <c r="AC459" s="39" t="n">
        <f aca="false">Resumo!$B$12*CEILING(I459,1)</f>
        <v>1.2</v>
      </c>
      <c r="AD459" s="39" t="n">
        <f aca="false">Resumo!$B$14*CEILING(I459,1)</f>
        <v>9</v>
      </c>
      <c r="AE459" s="39" t="n">
        <f aca="false">SUM(X459:AD459)</f>
        <v>63.75997</v>
      </c>
      <c r="AF459" s="39" t="n">
        <f aca="false">AE459/(1-Resumo!$B$5)</f>
        <v>72.4545113636364</v>
      </c>
      <c r="AG459" s="39" t="n">
        <f aca="false">AF459-W459</f>
        <v>-4.62725909090909</v>
      </c>
      <c r="AH459" s="40" t="n">
        <f aca="false">AF459/W459-1</f>
        <v>-0.0600305242552486</v>
      </c>
      <c r="AI459" s="37" t="str">
        <f aca="false">IF(AF459&lt;W459,"SIM","NÃO")</f>
        <v>SIM</v>
      </c>
      <c r="AJ459" s="37" t="n">
        <v>2</v>
      </c>
      <c r="AK459" s="37" t="n">
        <v>5</v>
      </c>
      <c r="AL459" s="37" t="s">
        <v>343</v>
      </c>
      <c r="AM459" s="39" t="n">
        <v>75.56</v>
      </c>
    </row>
    <row r="460" customFormat="false" ht="15" hidden="false" customHeight="false" outlineLevel="0" collapsed="false">
      <c r="A460" s="37" t="n">
        <v>369278227</v>
      </c>
      <c r="B460" s="38" t="n">
        <v>46235.4477314815</v>
      </c>
      <c r="C460" s="37" t="s">
        <v>340</v>
      </c>
      <c r="D460" s="37" t="s">
        <v>797</v>
      </c>
      <c r="E460" s="37" t="n">
        <v>25680502</v>
      </c>
      <c r="F460" s="37" t="s">
        <v>170</v>
      </c>
      <c r="G460" s="37" t="s">
        <v>198</v>
      </c>
      <c r="H460" s="37" t="s">
        <v>186</v>
      </c>
      <c r="I460" s="37" t="n">
        <v>49.6</v>
      </c>
      <c r="J460" s="39" t="n">
        <v>769.99</v>
      </c>
      <c r="K460" s="37" t="s">
        <v>518</v>
      </c>
      <c r="L460" s="39" t="n">
        <v>134.14</v>
      </c>
      <c r="M460" s="39" t="n">
        <v>77.7</v>
      </c>
      <c r="N460" s="39" t="n">
        <f aca="false">J460*Resumo!$C$6</f>
        <v>0</v>
      </c>
      <c r="O460" s="39" t="n">
        <f aca="false">J460*Resumo!$C$7</f>
        <v>1.616979</v>
      </c>
      <c r="P460" s="39" t="n">
        <f aca="false">J460*Resumo!$C$8</f>
        <v>1.616979</v>
      </c>
      <c r="Q460" s="39" t="n">
        <f aca="false">Resumo!$C$10*CEILING(I460/100,1)</f>
        <v>1.05</v>
      </c>
      <c r="R460" s="39" t="n">
        <f aca="false">Resumo!$C$9</f>
        <v>0</v>
      </c>
      <c r="S460" s="39" t="n">
        <f aca="false">Resumo!$C$13</f>
        <v>13.55</v>
      </c>
      <c r="T460" s="39" t="n">
        <f aca="false">Resumo!$C$14*CEILING(I460,1)</f>
        <v>22.5</v>
      </c>
      <c r="U460" s="39" t="n">
        <f aca="false">SUM(M460:T460)*Resumo!$C$11</f>
        <v>0</v>
      </c>
      <c r="V460" s="39" t="n">
        <f aca="false">SUM(M460:U460)</f>
        <v>118.033958</v>
      </c>
      <c r="W460" s="39" t="n">
        <f aca="false">V460/(1-Resumo!$C$5)</f>
        <v>134.129497727273</v>
      </c>
      <c r="X460" s="39" t="n">
        <v>124.38</v>
      </c>
      <c r="Y460" s="39" t="n">
        <f aca="false">J460*Resumo!$B$6</f>
        <v>0.76999</v>
      </c>
      <c r="Z460" s="39" t="n">
        <f aca="false">J460*Resumo!$B$7</f>
        <v>1.53998</v>
      </c>
      <c r="AA460" s="39" t="n">
        <f aca="false">Resumo!$B$9</f>
        <v>1</v>
      </c>
      <c r="AB460" s="39" t="n">
        <f aca="false">Resumo!$B$10*CEILING(I460/100,1)</f>
        <v>4.5</v>
      </c>
      <c r="AC460" s="39" t="n">
        <f aca="false">Resumo!$B$12*CEILING(I460,1)</f>
        <v>3</v>
      </c>
      <c r="AD460" s="39" t="n">
        <f aca="false">Resumo!$B$14*CEILING(I460,1)</f>
        <v>22.5</v>
      </c>
      <c r="AE460" s="39" t="n">
        <f aca="false">SUM(X460:AD460)</f>
        <v>157.68997</v>
      </c>
      <c r="AF460" s="39" t="n">
        <f aca="false">AE460/(1-Resumo!$B$5)</f>
        <v>179.193147727273</v>
      </c>
      <c r="AG460" s="39" t="n">
        <f aca="false">AF460-W460</f>
        <v>45.06365</v>
      </c>
      <c r="AH460" s="40" t="n">
        <f aca="false">AF460/W460-1</f>
        <v>0.335971212623404</v>
      </c>
      <c r="AI460" s="37" t="str">
        <f aca="false">IF(AF460&lt;W460,"SIM","NÃO")</f>
        <v>NÃO</v>
      </c>
      <c r="AJ460" s="37" t="n">
        <v>13</v>
      </c>
      <c r="AK460" s="37" t="n">
        <v>8</v>
      </c>
      <c r="AL460" s="37" t="s">
        <v>343</v>
      </c>
      <c r="AM460" s="39" t="n">
        <v>131.85</v>
      </c>
    </row>
    <row r="461" customFormat="false" ht="15" hidden="false" customHeight="false" outlineLevel="0" collapsed="false">
      <c r="A461" s="37" t="n">
        <v>369331548</v>
      </c>
      <c r="B461" s="38" t="n">
        <v>46235.5013657407</v>
      </c>
      <c r="C461" s="37" t="s">
        <v>340</v>
      </c>
      <c r="D461" s="37" t="s">
        <v>798</v>
      </c>
      <c r="E461" s="37" t="n">
        <v>22713320</v>
      </c>
      <c r="F461" s="37" t="s">
        <v>159</v>
      </c>
      <c r="G461" s="37" t="s">
        <v>196</v>
      </c>
      <c r="H461" s="37" t="s">
        <v>184</v>
      </c>
      <c r="I461" s="37" t="n">
        <v>22</v>
      </c>
      <c r="J461" s="39" t="n">
        <v>829.99</v>
      </c>
      <c r="K461" s="37" t="s">
        <v>342</v>
      </c>
      <c r="L461" s="39" t="n">
        <v>84.31</v>
      </c>
      <c r="M461" s="39" t="n">
        <v>42.11</v>
      </c>
      <c r="N461" s="39" t="n">
        <f aca="false">J461*Resumo!$C$6</f>
        <v>0</v>
      </c>
      <c r="O461" s="39" t="n">
        <f aca="false">J461*Resumo!$C$7</f>
        <v>1.742979</v>
      </c>
      <c r="P461" s="39" t="n">
        <f aca="false">J461*Resumo!$C$8</f>
        <v>1.742979</v>
      </c>
      <c r="Q461" s="39" t="n">
        <f aca="false">Resumo!$C$10*CEILING(I461/100,1)</f>
        <v>1.05</v>
      </c>
      <c r="R461" s="39" t="n">
        <f aca="false">Resumo!$C$9</f>
        <v>0</v>
      </c>
      <c r="S461" s="39" t="n">
        <f aca="false">Resumo!$C$13</f>
        <v>13.55</v>
      </c>
      <c r="T461" s="39" t="n">
        <f aca="false">Resumo!$C$14*CEILING(I461,1)</f>
        <v>9.9</v>
      </c>
      <c r="U461" s="39" t="n">
        <f aca="false">SUM(M461:T461)*Resumo!$C$11</f>
        <v>0</v>
      </c>
      <c r="V461" s="39" t="n">
        <f aca="false">SUM(M461:U461)</f>
        <v>70.095958</v>
      </c>
      <c r="W461" s="39" t="n">
        <f aca="false">V461/(1-Resumo!$C$5)</f>
        <v>79.6544977272727</v>
      </c>
      <c r="X461" s="39" t="n">
        <v>82.21</v>
      </c>
      <c r="Y461" s="39" t="n">
        <f aca="false">J461*Resumo!$B$6</f>
        <v>0.82999</v>
      </c>
      <c r="Z461" s="39" t="n">
        <f aca="false">J461*Resumo!$B$7</f>
        <v>1.65998</v>
      </c>
      <c r="AA461" s="39" t="n">
        <f aca="false">Resumo!$B$9</f>
        <v>1</v>
      </c>
      <c r="AB461" s="39" t="n">
        <f aca="false">Resumo!$B$10*CEILING(I461/100,1)</f>
        <v>4.5</v>
      </c>
      <c r="AC461" s="39" t="n">
        <f aca="false">Resumo!$B$12*CEILING(I461,1)</f>
        <v>1.32</v>
      </c>
      <c r="AD461" s="39" t="n">
        <f aca="false">Resumo!$B$14*CEILING(I461,1)</f>
        <v>9.9</v>
      </c>
      <c r="AE461" s="39" t="n">
        <f aca="false">SUM(X461:AD461)</f>
        <v>101.41997</v>
      </c>
      <c r="AF461" s="39" t="n">
        <f aca="false">AE461/(1-Resumo!$B$5)</f>
        <v>115.249965909091</v>
      </c>
      <c r="AG461" s="39" t="n">
        <f aca="false">AF461-W461</f>
        <v>35.5954681818182</v>
      </c>
      <c r="AH461" s="40" t="n">
        <f aca="false">AF461/W461-1</f>
        <v>0.446873299028169</v>
      </c>
      <c r="AI461" s="37" t="str">
        <f aca="false">IF(AF461&lt;W461,"SIM","NÃO")</f>
        <v>NÃO</v>
      </c>
      <c r="AJ461" s="37" t="n">
        <v>2</v>
      </c>
      <c r="AK461" s="37" t="n">
        <v>5</v>
      </c>
      <c r="AL461" s="37" t="s">
        <v>343</v>
      </c>
      <c r="AM461" s="39" t="n">
        <v>84.3</v>
      </c>
    </row>
    <row r="462" customFormat="false" ht="15" hidden="false" customHeight="false" outlineLevel="0" collapsed="false">
      <c r="A462" s="37" t="n">
        <v>369348990</v>
      </c>
      <c r="B462" s="38" t="n">
        <v>46235.5428472222</v>
      </c>
      <c r="C462" s="37" t="s">
        <v>361</v>
      </c>
      <c r="D462" s="37" t="s">
        <v>799</v>
      </c>
      <c r="E462" s="37" t="n">
        <v>26297120</v>
      </c>
      <c r="F462" s="37" t="s">
        <v>162</v>
      </c>
      <c r="G462" s="37" t="s">
        <v>197</v>
      </c>
      <c r="H462" s="37" t="s">
        <v>185</v>
      </c>
      <c r="I462" s="37" t="n">
        <v>35.4</v>
      </c>
      <c r="J462" s="39" t="n">
        <v>475.99</v>
      </c>
      <c r="K462" s="37" t="s">
        <v>342</v>
      </c>
      <c r="L462" s="39" t="n">
        <v>113.23</v>
      </c>
      <c r="M462" s="39" t="n">
        <v>66.83</v>
      </c>
      <c r="N462" s="39" t="n">
        <f aca="false">J462*Resumo!$C$6</f>
        <v>0</v>
      </c>
      <c r="O462" s="39" t="n">
        <f aca="false">J462*Resumo!$C$7</f>
        <v>0.999579</v>
      </c>
      <c r="P462" s="39" t="n">
        <f aca="false">J462*Resumo!$C$8</f>
        <v>0.999579</v>
      </c>
      <c r="Q462" s="39" t="n">
        <f aca="false">Resumo!$C$10*CEILING(I462/100,1)</f>
        <v>1.05</v>
      </c>
      <c r="R462" s="39" t="n">
        <f aca="false">Resumo!$C$9</f>
        <v>0</v>
      </c>
      <c r="S462" s="39" t="n">
        <f aca="false">Resumo!$C$13</f>
        <v>13.55</v>
      </c>
      <c r="T462" s="39" t="n">
        <f aca="false">Resumo!$C$14*CEILING(I462,1)</f>
        <v>16.2</v>
      </c>
      <c r="U462" s="39" t="n">
        <f aca="false">SUM(M462:T462)*Resumo!$C$11</f>
        <v>0</v>
      </c>
      <c r="V462" s="39" t="n">
        <f aca="false">SUM(M462:U462)</f>
        <v>99.629158</v>
      </c>
      <c r="W462" s="39" t="n">
        <f aca="false">V462/(1-Resumo!$C$5)</f>
        <v>113.214952272727</v>
      </c>
      <c r="X462" s="39" t="n">
        <v>93.97</v>
      </c>
      <c r="Y462" s="39" t="n">
        <f aca="false">J462*Resumo!$B$6</f>
        <v>0.47599</v>
      </c>
      <c r="Z462" s="39" t="n">
        <f aca="false">J462*Resumo!$B$7</f>
        <v>0.95198</v>
      </c>
      <c r="AA462" s="39" t="n">
        <f aca="false">Resumo!$B$9</f>
        <v>1</v>
      </c>
      <c r="AB462" s="39" t="n">
        <f aca="false">Resumo!$B$10*CEILING(I462/100,1)</f>
        <v>4.5</v>
      </c>
      <c r="AC462" s="39" t="n">
        <f aca="false">Resumo!$B$12*CEILING(I462,1)</f>
        <v>2.16</v>
      </c>
      <c r="AD462" s="39" t="n">
        <f aca="false">Resumo!$B$14*CEILING(I462,1)</f>
        <v>16.2</v>
      </c>
      <c r="AE462" s="39" t="n">
        <f aca="false">SUM(X462:AD462)</f>
        <v>119.25797</v>
      </c>
      <c r="AF462" s="39" t="n">
        <f aca="false">AE462/(1-Resumo!$B$5)</f>
        <v>135.520420454545</v>
      </c>
      <c r="AG462" s="39" t="n">
        <f aca="false">AF462-W462</f>
        <v>22.3054681818182</v>
      </c>
      <c r="AH462" s="40" t="n">
        <f aca="false">AF462/W462-1</f>
        <v>0.197018748266446</v>
      </c>
      <c r="AI462" s="37" t="str">
        <f aca="false">IF(AF462&lt;W462,"SIM","NÃO")</f>
        <v>NÃO</v>
      </c>
      <c r="AJ462" s="37" t="n">
        <v>2</v>
      </c>
      <c r="AK462" s="37" t="n">
        <v>5</v>
      </c>
      <c r="AL462" s="37" t="s">
        <v>343</v>
      </c>
      <c r="AM462" s="39" t="n">
        <v>113.24</v>
      </c>
    </row>
    <row r="463" customFormat="false" ht="15" hidden="false" customHeight="false" outlineLevel="0" collapsed="false">
      <c r="A463" s="37" t="n">
        <v>369394180</v>
      </c>
      <c r="B463" s="38" t="n">
        <v>46235.5871759259</v>
      </c>
      <c r="C463" s="37" t="s">
        <v>345</v>
      </c>
      <c r="D463" s="37" t="s">
        <v>800</v>
      </c>
      <c r="E463" s="37" t="n">
        <v>20230194</v>
      </c>
      <c r="F463" s="37" t="s">
        <v>159</v>
      </c>
      <c r="G463" s="37" t="s">
        <v>196</v>
      </c>
      <c r="H463" s="37" t="s">
        <v>187</v>
      </c>
      <c r="I463" s="37" t="n">
        <v>52.3</v>
      </c>
      <c r="J463" s="39" t="n">
        <v>642.07</v>
      </c>
      <c r="K463" s="37" t="s">
        <v>518</v>
      </c>
      <c r="L463" s="39" t="n">
        <v>113.35</v>
      </c>
      <c r="M463" s="39" t="n">
        <v>58.6</v>
      </c>
      <c r="N463" s="39" t="n">
        <f aca="false">J463*Resumo!$C$6</f>
        <v>0</v>
      </c>
      <c r="O463" s="39" t="n">
        <f aca="false">J463*Resumo!$C$7</f>
        <v>1.348347</v>
      </c>
      <c r="P463" s="39" t="n">
        <f aca="false">J463*Resumo!$C$8</f>
        <v>1.348347</v>
      </c>
      <c r="Q463" s="39" t="n">
        <f aca="false">Resumo!$C$10*CEILING(I463/100,1)</f>
        <v>1.05</v>
      </c>
      <c r="R463" s="39" t="n">
        <f aca="false">Resumo!$C$9</f>
        <v>0</v>
      </c>
      <c r="S463" s="39" t="n">
        <f aca="false">Resumo!$C$13</f>
        <v>13.55</v>
      </c>
      <c r="T463" s="39" t="n">
        <f aca="false">Resumo!$C$14*CEILING(I463,1)</f>
        <v>23.85</v>
      </c>
      <c r="U463" s="39" t="n">
        <f aca="false">SUM(M463:T463)*Resumo!$C$11</f>
        <v>0</v>
      </c>
      <c r="V463" s="39" t="n">
        <f aca="false">SUM(M463:U463)</f>
        <v>99.746694</v>
      </c>
      <c r="W463" s="39" t="n">
        <f aca="false">V463/(1-Resumo!$C$5)</f>
        <v>113.348515909091</v>
      </c>
      <c r="X463" s="39" t="n">
        <v>112.3</v>
      </c>
      <c r="Y463" s="39" t="n">
        <f aca="false">J463*Resumo!$B$6</f>
        <v>0.64207</v>
      </c>
      <c r="Z463" s="39" t="n">
        <f aca="false">J463*Resumo!$B$7</f>
        <v>1.28414</v>
      </c>
      <c r="AA463" s="39" t="n">
        <f aca="false">Resumo!$B$9</f>
        <v>1</v>
      </c>
      <c r="AB463" s="39" t="n">
        <f aca="false">Resumo!$B$10*CEILING(I463/100,1)</f>
        <v>4.5</v>
      </c>
      <c r="AC463" s="39" t="n">
        <f aca="false">Resumo!$B$12*CEILING(I463,1)</f>
        <v>3.18</v>
      </c>
      <c r="AD463" s="39" t="n">
        <f aca="false">Resumo!$B$14*CEILING(I463,1)</f>
        <v>23.85</v>
      </c>
      <c r="AE463" s="39" t="n">
        <f aca="false">SUM(X463:AD463)</f>
        <v>146.75621</v>
      </c>
      <c r="AF463" s="39" t="n">
        <f aca="false">AE463/(1-Resumo!$B$5)</f>
        <v>166.768420454545</v>
      </c>
      <c r="AG463" s="39" t="n">
        <f aca="false">AF463-W463</f>
        <v>53.4199045454546</v>
      </c>
      <c r="AH463" s="40" t="n">
        <f aca="false">AF463/W463-1</f>
        <v>0.471288963221177</v>
      </c>
      <c r="AI463" s="37" t="str">
        <f aca="false">IF(AF463&lt;W463,"SIM","NÃO")</f>
        <v>NÃO</v>
      </c>
      <c r="AJ463" s="37" t="n">
        <v>2</v>
      </c>
      <c r="AK463" s="37" t="n">
        <v>5</v>
      </c>
      <c r="AL463" s="37" t="s">
        <v>343</v>
      </c>
      <c r="AM463" s="39" t="n">
        <v>114.23</v>
      </c>
    </row>
    <row r="464" customFormat="false" ht="15" hidden="false" customHeight="false" outlineLevel="0" collapsed="false">
      <c r="A464" s="37" t="n">
        <v>369397328</v>
      </c>
      <c r="B464" s="38" t="n">
        <v>46235.5910185185</v>
      </c>
      <c r="C464" s="37" t="s">
        <v>340</v>
      </c>
      <c r="D464" s="37" t="s">
        <v>801</v>
      </c>
      <c r="E464" s="37" t="n">
        <v>26155480</v>
      </c>
      <c r="F464" s="37" t="s">
        <v>165</v>
      </c>
      <c r="G464" s="37" t="s">
        <v>197</v>
      </c>
      <c r="H464" s="37" t="s">
        <v>186</v>
      </c>
      <c r="I464" s="37" t="n">
        <v>47.1</v>
      </c>
      <c r="J464" s="39" t="n">
        <v>619.99</v>
      </c>
      <c r="K464" s="37" t="s">
        <v>518</v>
      </c>
      <c r="L464" s="39" t="n">
        <v>118.36</v>
      </c>
      <c r="M464" s="39" t="n">
        <v>65.36</v>
      </c>
      <c r="N464" s="39" t="n">
        <f aca="false">J464*Resumo!$C$6</f>
        <v>0</v>
      </c>
      <c r="O464" s="39" t="n">
        <f aca="false">J464*Resumo!$C$7</f>
        <v>1.301979</v>
      </c>
      <c r="P464" s="39" t="n">
        <f aca="false">J464*Resumo!$C$8</f>
        <v>1.301979</v>
      </c>
      <c r="Q464" s="39" t="n">
        <f aca="false">Resumo!$C$10*CEILING(I464/100,1)</f>
        <v>1.05</v>
      </c>
      <c r="R464" s="39" t="n">
        <f aca="false">Resumo!$C$9</f>
        <v>0</v>
      </c>
      <c r="S464" s="39" t="n">
        <f aca="false">Resumo!$C$13</f>
        <v>13.55</v>
      </c>
      <c r="T464" s="39" t="n">
        <f aca="false">Resumo!$C$14*CEILING(I464,1)</f>
        <v>21.6</v>
      </c>
      <c r="U464" s="39" t="n">
        <f aca="false">SUM(M464:T464)*Resumo!$C$11</f>
        <v>0</v>
      </c>
      <c r="V464" s="39" t="n">
        <f aca="false">SUM(M464:U464)</f>
        <v>104.163958</v>
      </c>
      <c r="W464" s="39" t="n">
        <f aca="false">V464/(1-Resumo!$C$5)</f>
        <v>118.368134090909</v>
      </c>
      <c r="X464" s="39" t="n">
        <v>93.97</v>
      </c>
      <c r="Y464" s="39" t="n">
        <f aca="false">J464*Resumo!$B$6</f>
        <v>0.61999</v>
      </c>
      <c r="Z464" s="39" t="n">
        <f aca="false">J464*Resumo!$B$7</f>
        <v>1.23998</v>
      </c>
      <c r="AA464" s="39" t="n">
        <f aca="false">Resumo!$B$9</f>
        <v>1</v>
      </c>
      <c r="AB464" s="39" t="n">
        <f aca="false">Resumo!$B$10*CEILING(I464/100,1)</f>
        <v>4.5</v>
      </c>
      <c r="AC464" s="39" t="n">
        <f aca="false">Resumo!$B$12*CEILING(I464,1)</f>
        <v>2.88</v>
      </c>
      <c r="AD464" s="39" t="n">
        <f aca="false">Resumo!$B$14*CEILING(I464,1)</f>
        <v>21.6</v>
      </c>
      <c r="AE464" s="39" t="n">
        <f aca="false">SUM(X464:AD464)</f>
        <v>125.80997</v>
      </c>
      <c r="AF464" s="39" t="n">
        <f aca="false">AE464/(1-Resumo!$B$5)</f>
        <v>142.965875</v>
      </c>
      <c r="AG464" s="39" t="n">
        <f aca="false">AF464-W464</f>
        <v>24.5977409090909</v>
      </c>
      <c r="AH464" s="40" t="n">
        <f aca="false">AF464/W464-1</f>
        <v>0.207807118850073</v>
      </c>
      <c r="AI464" s="37" t="str">
        <f aca="false">IF(AF464&lt;W464,"SIM","NÃO")</f>
        <v>NÃO</v>
      </c>
      <c r="AJ464" s="37" t="n">
        <v>2</v>
      </c>
      <c r="AK464" s="37" t="n">
        <v>5</v>
      </c>
      <c r="AL464" s="37" t="s">
        <v>343</v>
      </c>
      <c r="AM464" s="39" t="n">
        <v>117.05</v>
      </c>
    </row>
    <row r="465" customFormat="false" ht="15" hidden="false" customHeight="false" outlineLevel="0" collapsed="false">
      <c r="A465" s="37" t="n">
        <v>369402156</v>
      </c>
      <c r="B465" s="38" t="n">
        <v>46235.5965393519</v>
      </c>
      <c r="C465" s="37" t="s">
        <v>345</v>
      </c>
      <c r="D465" s="37" t="s">
        <v>802</v>
      </c>
      <c r="E465" s="37" t="n">
        <v>28681375</v>
      </c>
      <c r="F465" s="37" t="s">
        <v>283</v>
      </c>
      <c r="G465" s="37" t="s">
        <v>198</v>
      </c>
      <c r="H465" s="37" t="s">
        <v>187</v>
      </c>
      <c r="I465" s="37" t="n">
        <v>52.3</v>
      </c>
      <c r="J465" s="39" t="n">
        <v>637.57</v>
      </c>
      <c r="K465" s="37" t="s">
        <v>518</v>
      </c>
      <c r="L465" s="39" t="n">
        <v>141.72</v>
      </c>
      <c r="M465" s="39" t="n">
        <v>83.58</v>
      </c>
      <c r="N465" s="39" t="n">
        <f aca="false">J465*Resumo!$C$6</f>
        <v>0</v>
      </c>
      <c r="O465" s="39" t="n">
        <f aca="false">J465*Resumo!$C$7</f>
        <v>1.338897</v>
      </c>
      <c r="P465" s="39" t="n">
        <f aca="false">J465*Resumo!$C$8</f>
        <v>1.338897</v>
      </c>
      <c r="Q465" s="39" t="n">
        <f aca="false">Resumo!$C$10*CEILING(I465/100,1)</f>
        <v>1.05</v>
      </c>
      <c r="R465" s="39" t="n">
        <f aca="false">Resumo!$C$9</f>
        <v>0</v>
      </c>
      <c r="S465" s="39" t="n">
        <f aca="false">Resumo!$C$13</f>
        <v>13.55</v>
      </c>
      <c r="T465" s="39" t="n">
        <f aca="false">Resumo!$C$14*CEILING(I465,1)</f>
        <v>23.85</v>
      </c>
      <c r="U465" s="39" t="n">
        <f aca="false">SUM(M465:T465)*Resumo!$C$11</f>
        <v>0</v>
      </c>
      <c r="V465" s="39" t="n">
        <f aca="false">SUM(M465:U465)</f>
        <v>124.707794</v>
      </c>
      <c r="W465" s="39" t="n">
        <f aca="false">V465/(1-Resumo!$C$5)</f>
        <v>141.713402272727</v>
      </c>
      <c r="X465" s="39" t="n">
        <v>144.53</v>
      </c>
      <c r="Y465" s="39" t="n">
        <f aca="false">J465*Resumo!$B$6</f>
        <v>0.63757</v>
      </c>
      <c r="Z465" s="39" t="n">
        <f aca="false">J465*Resumo!$B$7</f>
        <v>1.27514</v>
      </c>
      <c r="AA465" s="39" t="n">
        <f aca="false">Resumo!$B$9</f>
        <v>1</v>
      </c>
      <c r="AB465" s="39" t="n">
        <f aca="false">Resumo!$B$10*CEILING(I465/100,1)</f>
        <v>4.5</v>
      </c>
      <c r="AC465" s="39" t="n">
        <f aca="false">Resumo!$B$12*CEILING(I465,1)</f>
        <v>3.18</v>
      </c>
      <c r="AD465" s="39" t="n">
        <f aca="false">Resumo!$B$14*CEILING(I465,1)</f>
        <v>23.85</v>
      </c>
      <c r="AE465" s="39" t="n">
        <f aca="false">SUM(X465:AD465)</f>
        <v>178.97271</v>
      </c>
      <c r="AF465" s="39" t="n">
        <f aca="false">AE465/(1-Resumo!$B$5)</f>
        <v>203.378079545455</v>
      </c>
      <c r="AG465" s="39" t="n">
        <f aca="false">AF465-W465</f>
        <v>61.6646772727273</v>
      </c>
      <c r="AH465" s="40" t="n">
        <f aca="false">AF465/W465-1</f>
        <v>0.435136524025114</v>
      </c>
      <c r="AI465" s="37" t="str">
        <f aca="false">IF(AF465&lt;W465,"SIM","NÃO")</f>
        <v>NÃO</v>
      </c>
      <c r="AJ465" s="37" t="n">
        <v>13</v>
      </c>
      <c r="AK465" s="37" t="n">
        <v>10</v>
      </c>
      <c r="AL465" s="37" t="s">
        <v>347</v>
      </c>
      <c r="AM465" s="39" t="n">
        <v>142.73</v>
      </c>
    </row>
    <row r="466" customFormat="false" ht="15" hidden="false" customHeight="false" outlineLevel="0" collapsed="false">
      <c r="A466" s="37" t="n">
        <v>369412776</v>
      </c>
      <c r="B466" s="38" t="n">
        <v>46235.6070949074</v>
      </c>
      <c r="C466" s="37" t="s">
        <v>345</v>
      </c>
      <c r="D466" s="37" t="s">
        <v>803</v>
      </c>
      <c r="E466" s="37" t="n">
        <v>28956710</v>
      </c>
      <c r="F466" s="37" t="s">
        <v>293</v>
      </c>
      <c r="G466" s="37" t="s">
        <v>198</v>
      </c>
      <c r="H466" s="37" t="s">
        <v>187</v>
      </c>
      <c r="I466" s="37" t="n">
        <v>51.3</v>
      </c>
      <c r="J466" s="39" t="n">
        <v>579</v>
      </c>
      <c r="K466" s="37" t="s">
        <v>518</v>
      </c>
      <c r="L466" s="39" t="n">
        <v>140.93</v>
      </c>
      <c r="M466" s="39" t="n">
        <v>83.58</v>
      </c>
      <c r="N466" s="39" t="n">
        <f aca="false">J466*Resumo!$C$6</f>
        <v>0</v>
      </c>
      <c r="O466" s="39" t="n">
        <f aca="false">J466*Resumo!$C$7</f>
        <v>1.2159</v>
      </c>
      <c r="P466" s="39" t="n">
        <f aca="false">J466*Resumo!$C$8</f>
        <v>1.2159</v>
      </c>
      <c r="Q466" s="39" t="n">
        <f aca="false">Resumo!$C$10*CEILING(I466/100,1)</f>
        <v>1.05</v>
      </c>
      <c r="R466" s="39" t="n">
        <f aca="false">Resumo!$C$9</f>
        <v>0</v>
      </c>
      <c r="S466" s="39" t="n">
        <f aca="false">Resumo!$C$13</f>
        <v>13.55</v>
      </c>
      <c r="T466" s="39" t="n">
        <f aca="false">Resumo!$C$14*CEILING(I466,1)</f>
        <v>23.4</v>
      </c>
      <c r="U466" s="39" t="n">
        <f aca="false">SUM(M466:T466)*Resumo!$C$11</f>
        <v>0</v>
      </c>
      <c r="V466" s="39" t="n">
        <f aca="false">SUM(M466:U466)</f>
        <v>124.0118</v>
      </c>
      <c r="W466" s="39" t="n">
        <f aca="false">V466/(1-Resumo!$C$5)</f>
        <v>140.9225</v>
      </c>
      <c r="X466" s="39" t="n">
        <v>142.32</v>
      </c>
      <c r="Y466" s="39" t="n">
        <f aca="false">J466*Resumo!$B$6</f>
        <v>0.579</v>
      </c>
      <c r="Z466" s="39" t="n">
        <f aca="false">J466*Resumo!$B$7</f>
        <v>1.158</v>
      </c>
      <c r="AA466" s="39" t="n">
        <f aca="false">Resumo!$B$9</f>
        <v>1</v>
      </c>
      <c r="AB466" s="39" t="n">
        <f aca="false">Resumo!$B$10*CEILING(I466/100,1)</f>
        <v>4.5</v>
      </c>
      <c r="AC466" s="39" t="n">
        <f aca="false">Resumo!$B$12*CEILING(I466,1)</f>
        <v>3.12</v>
      </c>
      <c r="AD466" s="39" t="n">
        <f aca="false">Resumo!$B$14*CEILING(I466,1)</f>
        <v>23.4</v>
      </c>
      <c r="AE466" s="39" t="n">
        <f aca="false">SUM(X466:AD466)</f>
        <v>176.077</v>
      </c>
      <c r="AF466" s="39" t="n">
        <f aca="false">AE466/(1-Resumo!$B$5)</f>
        <v>200.0875</v>
      </c>
      <c r="AG466" s="39" t="n">
        <f aca="false">AF466-W466</f>
        <v>59.165</v>
      </c>
      <c r="AH466" s="40" t="n">
        <f aca="false">AF466/W466-1</f>
        <v>0.419840692579254</v>
      </c>
      <c r="AI466" s="37" t="str">
        <f aca="false">IF(AF466&lt;W466,"SIM","NÃO")</f>
        <v>NÃO</v>
      </c>
      <c r="AJ466" s="37" t="n">
        <v>13</v>
      </c>
      <c r="AK466" s="37" t="n">
        <v>10</v>
      </c>
      <c r="AL466" s="37" t="s">
        <v>347</v>
      </c>
      <c r="AM466" s="39" t="n">
        <v>142.44</v>
      </c>
    </row>
    <row r="467" customFormat="false" ht="15" hidden="false" customHeight="false" outlineLevel="0" collapsed="false">
      <c r="A467" s="37" t="n">
        <v>369435531</v>
      </c>
      <c r="B467" s="38" t="n">
        <v>46235.6367361111</v>
      </c>
      <c r="C467" s="37" t="s">
        <v>361</v>
      </c>
      <c r="D467" s="37" t="s">
        <v>804</v>
      </c>
      <c r="E467" s="37" t="n">
        <v>21911325</v>
      </c>
      <c r="F467" s="37" t="s">
        <v>159</v>
      </c>
      <c r="G467" s="37" t="s">
        <v>196</v>
      </c>
      <c r="H467" s="37" t="s">
        <v>184</v>
      </c>
      <c r="I467" s="37" t="n">
        <v>33.11</v>
      </c>
      <c r="J467" s="39" t="n">
        <v>459.99</v>
      </c>
      <c r="K467" s="37" t="s">
        <v>342</v>
      </c>
      <c r="L467" s="39" t="n">
        <v>82.53</v>
      </c>
      <c r="M467" s="39" t="n">
        <v>42.11</v>
      </c>
      <c r="N467" s="39" t="n">
        <f aca="false">J467*Resumo!$C$6</f>
        <v>0</v>
      </c>
      <c r="O467" s="39" t="n">
        <f aca="false">J467*Resumo!$C$7</f>
        <v>0.965979</v>
      </c>
      <c r="P467" s="39" t="n">
        <f aca="false">J467*Resumo!$C$8</f>
        <v>0.965979</v>
      </c>
      <c r="Q467" s="39" t="n">
        <f aca="false">Resumo!$C$10*CEILING(I467/100,1)</f>
        <v>1.05</v>
      </c>
      <c r="R467" s="39" t="n">
        <f aca="false">Resumo!$C$9</f>
        <v>0</v>
      </c>
      <c r="S467" s="39" t="n">
        <f aca="false">Resumo!$C$13</f>
        <v>13.55</v>
      </c>
      <c r="T467" s="39" t="n">
        <f aca="false">Resumo!$C$14*CEILING(I467,1)</f>
        <v>15.3</v>
      </c>
      <c r="U467" s="39" t="n">
        <f aca="false">SUM(M467:T467)*Resumo!$C$11</f>
        <v>0</v>
      </c>
      <c r="V467" s="39" t="n">
        <f aca="false">SUM(M467:U467)</f>
        <v>73.941958</v>
      </c>
      <c r="W467" s="39" t="n">
        <f aca="false">V467/(1-Resumo!$C$5)</f>
        <v>84.0249522727273</v>
      </c>
      <c r="X467" s="39" t="n">
        <v>82.21</v>
      </c>
      <c r="Y467" s="39" t="n">
        <f aca="false">J467*Resumo!$B$6</f>
        <v>0.45999</v>
      </c>
      <c r="Z467" s="39" t="n">
        <f aca="false">J467*Resumo!$B$7</f>
        <v>0.91998</v>
      </c>
      <c r="AA467" s="39" t="n">
        <f aca="false">Resumo!$B$9</f>
        <v>1</v>
      </c>
      <c r="AB467" s="39" t="n">
        <f aca="false">Resumo!$B$10*CEILING(I467/100,1)</f>
        <v>4.5</v>
      </c>
      <c r="AC467" s="39" t="n">
        <f aca="false">Resumo!$B$12*CEILING(I467,1)</f>
        <v>2.04</v>
      </c>
      <c r="AD467" s="39" t="n">
        <f aca="false">Resumo!$B$14*CEILING(I467,1)</f>
        <v>15.3</v>
      </c>
      <c r="AE467" s="39" t="n">
        <f aca="false">SUM(X467:AD467)</f>
        <v>106.42997</v>
      </c>
      <c r="AF467" s="39" t="n">
        <f aca="false">AE467/(1-Resumo!$B$5)</f>
        <v>120.943147727273</v>
      </c>
      <c r="AG467" s="39" t="n">
        <f aca="false">AF467-W467</f>
        <v>36.9181954545455</v>
      </c>
      <c r="AH467" s="40" t="n">
        <f aca="false">AF467/W467-1</f>
        <v>0.439371811062942</v>
      </c>
      <c r="AI467" s="37" t="str">
        <f aca="false">IF(AF467&lt;W467,"SIM","NÃO")</f>
        <v>NÃO</v>
      </c>
      <c r="AJ467" s="37" t="n">
        <v>2</v>
      </c>
      <c r="AK467" s="37" t="n">
        <v>5</v>
      </c>
      <c r="AL467" s="37" t="s">
        <v>343</v>
      </c>
      <c r="AM467" s="39" t="n">
        <v>82.53</v>
      </c>
    </row>
    <row r="468" customFormat="false" ht="15" hidden="false" customHeight="false" outlineLevel="0" collapsed="false">
      <c r="A468" s="37" t="n">
        <v>369468939</v>
      </c>
      <c r="B468" s="38" t="n">
        <v>46235.6687615741</v>
      </c>
      <c r="C468" s="37" t="s">
        <v>340</v>
      </c>
      <c r="D468" s="37" t="s">
        <v>805</v>
      </c>
      <c r="E468" s="37" t="n">
        <v>21610460</v>
      </c>
      <c r="F468" s="37" t="s">
        <v>159</v>
      </c>
      <c r="G468" s="37" t="s">
        <v>196</v>
      </c>
      <c r="H468" s="37" t="s">
        <v>183</v>
      </c>
      <c r="I468" s="37" t="n">
        <v>19.8</v>
      </c>
      <c r="J468" s="39" t="n">
        <v>369.99</v>
      </c>
      <c r="K468" s="37" t="s">
        <v>342</v>
      </c>
      <c r="L468" s="39" t="n">
        <v>64.99</v>
      </c>
      <c r="M468" s="39" t="n">
        <v>33.42</v>
      </c>
      <c r="N468" s="39" t="n">
        <f aca="false">J468*Resumo!$C$6</f>
        <v>0</v>
      </c>
      <c r="O468" s="39" t="n">
        <f aca="false">J468*Resumo!$C$7</f>
        <v>0.776979</v>
      </c>
      <c r="P468" s="39" t="n">
        <f aca="false">J468*Resumo!$C$8</f>
        <v>0.776979</v>
      </c>
      <c r="Q468" s="39" t="n">
        <f aca="false">Resumo!$C$10*CEILING(I468/100,1)</f>
        <v>1.05</v>
      </c>
      <c r="R468" s="39" t="n">
        <f aca="false">Resumo!$C$9</f>
        <v>0</v>
      </c>
      <c r="S468" s="39" t="n">
        <f aca="false">Resumo!$C$13</f>
        <v>13.55</v>
      </c>
      <c r="T468" s="39" t="n">
        <f aca="false">Resumo!$C$14*CEILING(I468,1)</f>
        <v>9</v>
      </c>
      <c r="U468" s="39" t="n">
        <f aca="false">SUM(M468:T468)*Resumo!$C$11</f>
        <v>0</v>
      </c>
      <c r="V468" s="39" t="n">
        <f aca="false">SUM(M468:U468)</f>
        <v>58.573958</v>
      </c>
      <c r="W468" s="39" t="n">
        <f aca="false">V468/(1-Resumo!$C$5)</f>
        <v>66.5613159090909</v>
      </c>
      <c r="X468" s="39" t="n">
        <v>46.98</v>
      </c>
      <c r="Y468" s="39" t="n">
        <f aca="false">J468*Resumo!$B$6</f>
        <v>0.36999</v>
      </c>
      <c r="Z468" s="39" t="n">
        <f aca="false">J468*Resumo!$B$7</f>
        <v>0.73998</v>
      </c>
      <c r="AA468" s="39" t="n">
        <f aca="false">Resumo!$B$9</f>
        <v>1</v>
      </c>
      <c r="AB468" s="39" t="n">
        <f aca="false">Resumo!$B$10*CEILING(I468/100,1)</f>
        <v>4.5</v>
      </c>
      <c r="AC468" s="39" t="n">
        <f aca="false">Resumo!$B$12*CEILING(I468,1)</f>
        <v>1.2</v>
      </c>
      <c r="AD468" s="39" t="n">
        <f aca="false">Resumo!$B$14*CEILING(I468,1)</f>
        <v>9</v>
      </c>
      <c r="AE468" s="39" t="n">
        <f aca="false">SUM(X468:AD468)</f>
        <v>63.78997</v>
      </c>
      <c r="AF468" s="39" t="n">
        <f aca="false">AE468/(1-Resumo!$B$5)</f>
        <v>72.4886022727273</v>
      </c>
      <c r="AG468" s="39" t="n">
        <f aca="false">AF468-W468</f>
        <v>5.92728636363636</v>
      </c>
      <c r="AH468" s="40" t="n">
        <f aca="false">AF468/W468-1</f>
        <v>0.0890500177570379</v>
      </c>
      <c r="AI468" s="37" t="str">
        <f aca="false">IF(AF468&lt;W468,"SIM","NÃO")</f>
        <v>NÃO</v>
      </c>
      <c r="AJ468" s="37" t="n">
        <v>2</v>
      </c>
      <c r="AK468" s="37" t="n">
        <v>5</v>
      </c>
      <c r="AL468" s="37" t="s">
        <v>343</v>
      </c>
      <c r="AM468" s="39" t="n">
        <v>64.99</v>
      </c>
    </row>
    <row r="469" customFormat="false" ht="15" hidden="false" customHeight="false" outlineLevel="0" collapsed="false">
      <c r="A469" s="37" t="n">
        <v>369479557</v>
      </c>
      <c r="B469" s="38" t="n">
        <v>46235.6800694445</v>
      </c>
      <c r="C469" s="37" t="s">
        <v>345</v>
      </c>
      <c r="D469" s="37" t="s">
        <v>806</v>
      </c>
      <c r="E469" s="37" t="n">
        <v>26070760</v>
      </c>
      <c r="F469" s="37" t="s">
        <v>162</v>
      </c>
      <c r="G469" s="37" t="s">
        <v>197</v>
      </c>
      <c r="H469" s="37" t="s">
        <v>191</v>
      </c>
      <c r="I469" s="37" t="n">
        <v>117.5</v>
      </c>
      <c r="J469" s="39" t="n">
        <v>1252.9</v>
      </c>
      <c r="K469" s="37" t="s">
        <v>342</v>
      </c>
      <c r="L469" s="39" t="n">
        <v>195.84</v>
      </c>
      <c r="M469" s="39" t="n">
        <v>101.26</v>
      </c>
      <c r="N469" s="39" t="n">
        <f aca="false">J469*Resumo!$C$6</f>
        <v>0</v>
      </c>
      <c r="O469" s="39" t="n">
        <f aca="false">J469*Resumo!$C$7</f>
        <v>2.63109</v>
      </c>
      <c r="P469" s="39" t="n">
        <f aca="false">J469*Resumo!$C$8</f>
        <v>2.63109</v>
      </c>
      <c r="Q469" s="39" t="n">
        <f aca="false">Resumo!$C$10*CEILING(I469/100,1)</f>
        <v>2.1</v>
      </c>
      <c r="R469" s="39" t="n">
        <f aca="false">Resumo!$C$9</f>
        <v>0</v>
      </c>
      <c r="S469" s="39" t="n">
        <f aca="false">Resumo!$C$13</f>
        <v>13.55</v>
      </c>
      <c r="T469" s="39" t="n">
        <f aca="false">Resumo!$C$14*CEILING(I469,1)</f>
        <v>53.1</v>
      </c>
      <c r="U469" s="39" t="n">
        <f aca="false">SUM(M469:T469)*Resumo!$C$11</f>
        <v>0</v>
      </c>
      <c r="V469" s="39" t="n">
        <f aca="false">SUM(M469:U469)</f>
        <v>175.27218</v>
      </c>
      <c r="W469" s="39" t="n">
        <f aca="false">V469/(1-Resumo!$C$5)</f>
        <v>199.172931818182</v>
      </c>
      <c r="X469" s="39" t="n">
        <v>201.59</v>
      </c>
      <c r="Y469" s="39" t="n">
        <f aca="false">J469*Resumo!$B$6</f>
        <v>1.2529</v>
      </c>
      <c r="Z469" s="39" t="n">
        <f aca="false">J469*Resumo!$B$7</f>
        <v>2.5058</v>
      </c>
      <c r="AA469" s="39" t="n">
        <f aca="false">Resumo!$B$9</f>
        <v>1</v>
      </c>
      <c r="AB469" s="39" t="n">
        <f aca="false">Resumo!$B$10*CEILING(I469/100,1)</f>
        <v>9</v>
      </c>
      <c r="AC469" s="39" t="n">
        <f aca="false">Resumo!$B$12*CEILING(I469,1)</f>
        <v>7.08</v>
      </c>
      <c r="AD469" s="39" t="n">
        <f aca="false">Resumo!$B$14*CEILING(I469,1)</f>
        <v>53.1</v>
      </c>
      <c r="AE469" s="39" t="n">
        <f aca="false">SUM(X469:AD469)</f>
        <v>275.5287</v>
      </c>
      <c r="AF469" s="39" t="n">
        <f aca="false">AE469/(1-Resumo!$B$5)</f>
        <v>313.100795454545</v>
      </c>
      <c r="AG469" s="39" t="n">
        <f aca="false">AF469-W469</f>
        <v>113.927863636364</v>
      </c>
      <c r="AH469" s="40" t="n">
        <f aca="false">AF469/W469-1</f>
        <v>0.572004752836417</v>
      </c>
      <c r="AI469" s="37" t="str">
        <f aca="false">IF(AF469&lt;W469,"SIM","NÃO")</f>
        <v>NÃO</v>
      </c>
      <c r="AJ469" s="37" t="n">
        <v>2</v>
      </c>
      <c r="AK469" s="37" t="n">
        <v>5</v>
      </c>
      <c r="AL469" s="37" t="s">
        <v>343</v>
      </c>
      <c r="AM469" s="39" t="n">
        <v>195.84</v>
      </c>
    </row>
    <row r="470" customFormat="false" ht="15" hidden="false" customHeight="false" outlineLevel="0" collapsed="false">
      <c r="A470" s="37" t="n">
        <v>369493948</v>
      </c>
      <c r="B470" s="38" t="n">
        <v>46235.6941898148</v>
      </c>
      <c r="C470" s="37" t="s">
        <v>340</v>
      </c>
      <c r="D470" s="37" t="s">
        <v>807</v>
      </c>
      <c r="E470" s="37" t="n">
        <v>28921799</v>
      </c>
      <c r="F470" s="37" t="s">
        <v>172</v>
      </c>
      <c r="G470" s="37" t="s">
        <v>198</v>
      </c>
      <c r="H470" s="37" t="s">
        <v>185</v>
      </c>
      <c r="I470" s="37" t="n">
        <v>37.6</v>
      </c>
      <c r="J470" s="39" t="n">
        <v>391.05</v>
      </c>
      <c r="K470" s="37" t="s">
        <v>518</v>
      </c>
      <c r="L470" s="39" t="n">
        <v>123.08</v>
      </c>
      <c r="M470" s="39" t="n">
        <v>74.97</v>
      </c>
      <c r="N470" s="39" t="n">
        <f aca="false">J470*Resumo!$C$6</f>
        <v>0</v>
      </c>
      <c r="O470" s="39" t="n">
        <f aca="false">J470*Resumo!$C$7</f>
        <v>0.821205</v>
      </c>
      <c r="P470" s="39" t="n">
        <f aca="false">J470*Resumo!$C$8</f>
        <v>0.821205</v>
      </c>
      <c r="Q470" s="39" t="n">
        <f aca="false">Resumo!$C$10*CEILING(I470/100,1)</f>
        <v>1.05</v>
      </c>
      <c r="R470" s="39" t="n">
        <f aca="false">Resumo!$C$9</f>
        <v>0</v>
      </c>
      <c r="S470" s="39" t="n">
        <f aca="false">Resumo!$C$13</f>
        <v>13.55</v>
      </c>
      <c r="T470" s="39" t="n">
        <f aca="false">Resumo!$C$14*CEILING(I470,1)</f>
        <v>17.1</v>
      </c>
      <c r="U470" s="39" t="n">
        <f aca="false">SUM(M470:T470)*Resumo!$C$11</f>
        <v>0</v>
      </c>
      <c r="V470" s="39" t="n">
        <f aca="false">SUM(M470:U470)</f>
        <v>108.31241</v>
      </c>
      <c r="W470" s="39" t="n">
        <f aca="false">V470/(1-Resumo!$C$5)</f>
        <v>123.082284090909</v>
      </c>
      <c r="X470" s="39" t="n">
        <v>124.38</v>
      </c>
      <c r="Y470" s="39" t="n">
        <f aca="false">J470*Resumo!$B$6</f>
        <v>0.39105</v>
      </c>
      <c r="Z470" s="39" t="n">
        <f aca="false">J470*Resumo!$B$7</f>
        <v>0.7821</v>
      </c>
      <c r="AA470" s="39" t="n">
        <f aca="false">Resumo!$B$9</f>
        <v>1</v>
      </c>
      <c r="AB470" s="39" t="n">
        <f aca="false">Resumo!$B$10*CEILING(I470/100,1)</f>
        <v>4.5</v>
      </c>
      <c r="AC470" s="39" t="n">
        <f aca="false">Resumo!$B$12*CEILING(I470,1)</f>
        <v>2.28</v>
      </c>
      <c r="AD470" s="39" t="n">
        <f aca="false">Resumo!$B$14*CEILING(I470,1)</f>
        <v>17.1</v>
      </c>
      <c r="AE470" s="39" t="n">
        <f aca="false">SUM(X470:AD470)</f>
        <v>150.43315</v>
      </c>
      <c r="AF470" s="39" t="n">
        <f aca="false">AE470/(1-Resumo!$B$5)</f>
        <v>170.946761363636</v>
      </c>
      <c r="AG470" s="39" t="n">
        <f aca="false">AF470-W470</f>
        <v>47.8644772727273</v>
      </c>
      <c r="AH470" s="40" t="n">
        <f aca="false">AF470/W470-1</f>
        <v>0.388881938828616</v>
      </c>
      <c r="AI470" s="37" t="str">
        <f aca="false">IF(AF470&lt;W470,"SIM","NÃO")</f>
        <v>NÃO</v>
      </c>
      <c r="AJ470" s="37" t="n">
        <v>13</v>
      </c>
      <c r="AK470" s="37" t="n">
        <v>10</v>
      </c>
      <c r="AL470" s="37" t="s">
        <v>343</v>
      </c>
      <c r="AM470" s="39" t="n">
        <v>122.12</v>
      </c>
    </row>
    <row r="471" customFormat="false" ht="15" hidden="false" customHeight="false" outlineLevel="0" collapsed="false">
      <c r="A471" s="37" t="n">
        <v>369513985</v>
      </c>
      <c r="B471" s="38" t="n">
        <v>46235.6954861111</v>
      </c>
      <c r="C471" s="37" t="s">
        <v>537</v>
      </c>
      <c r="D471" s="37" t="s">
        <v>808</v>
      </c>
      <c r="E471" s="37" t="n">
        <v>22783410</v>
      </c>
      <c r="F471" s="37" t="s">
        <v>159</v>
      </c>
      <c r="G471" s="37" t="s">
        <v>196</v>
      </c>
      <c r="H471" s="37" t="s">
        <v>186</v>
      </c>
      <c r="I471" s="37" t="n">
        <v>46.8</v>
      </c>
      <c r="J471" s="39" t="n">
        <v>563.99</v>
      </c>
      <c r="K471" s="37" t="s">
        <v>342</v>
      </c>
      <c r="L471" s="39" t="n">
        <v>103.3</v>
      </c>
      <c r="M471" s="39" t="n">
        <v>53.55</v>
      </c>
      <c r="N471" s="39" t="n">
        <f aca="false">J471*Resumo!$C$6</f>
        <v>0</v>
      </c>
      <c r="O471" s="39" t="n">
        <f aca="false">J471*Resumo!$C$7</f>
        <v>1.184379</v>
      </c>
      <c r="P471" s="39" t="n">
        <f aca="false">J471*Resumo!$C$8</f>
        <v>1.184379</v>
      </c>
      <c r="Q471" s="39" t="n">
        <f aca="false">Resumo!$C$10*CEILING(I471/100,1)</f>
        <v>1.05</v>
      </c>
      <c r="R471" s="39" t="n">
        <f aca="false">Resumo!$C$9</f>
        <v>0</v>
      </c>
      <c r="S471" s="39" t="n">
        <f aca="false">Resumo!$C$13</f>
        <v>13.55</v>
      </c>
      <c r="T471" s="39" t="n">
        <f aca="false">Resumo!$C$14*CEILING(I471,1)</f>
        <v>21.15</v>
      </c>
      <c r="U471" s="39" t="n">
        <f aca="false">SUM(M471:T471)*Resumo!$C$11</f>
        <v>0</v>
      </c>
      <c r="V471" s="39" t="n">
        <f aca="false">SUM(M471:U471)</f>
        <v>91.668758</v>
      </c>
      <c r="W471" s="39" t="n">
        <f aca="false">V471/(1-Resumo!$C$5)</f>
        <v>104.169043181818</v>
      </c>
      <c r="X471" s="39" t="n">
        <v>93.97</v>
      </c>
      <c r="Y471" s="39" t="n">
        <f aca="false">J471*Resumo!$B$6</f>
        <v>0.56399</v>
      </c>
      <c r="Z471" s="39" t="n">
        <f aca="false">J471*Resumo!$B$7</f>
        <v>1.12798</v>
      </c>
      <c r="AA471" s="39" t="n">
        <f aca="false">Resumo!$B$9</f>
        <v>1</v>
      </c>
      <c r="AB471" s="39" t="n">
        <f aca="false">Resumo!$B$10*CEILING(I471/100,1)</f>
        <v>4.5</v>
      </c>
      <c r="AC471" s="39" t="n">
        <f aca="false">Resumo!$B$12*CEILING(I471,1)</f>
        <v>2.82</v>
      </c>
      <c r="AD471" s="39" t="n">
        <f aca="false">Resumo!$B$14*CEILING(I471,1)</f>
        <v>21.15</v>
      </c>
      <c r="AE471" s="39" t="n">
        <f aca="false">SUM(X471:AD471)</f>
        <v>125.13197</v>
      </c>
      <c r="AF471" s="39" t="n">
        <f aca="false">AE471/(1-Resumo!$B$5)</f>
        <v>142.195420454545</v>
      </c>
      <c r="AG471" s="39" t="n">
        <f aca="false">AF471-W471</f>
        <v>38.0263772727273</v>
      </c>
      <c r="AH471" s="40" t="n">
        <f aca="false">AF471/W471-1</f>
        <v>0.365044893484866</v>
      </c>
      <c r="AI471" s="37" t="str">
        <f aca="false">IF(AF471&lt;W471,"SIM","NÃO")</f>
        <v>NÃO</v>
      </c>
      <c r="AJ471" s="37" t="n">
        <v>2</v>
      </c>
      <c r="AK471" s="37" t="n">
        <v>5</v>
      </c>
      <c r="AL471" s="37" t="s">
        <v>343</v>
      </c>
      <c r="AM471" s="39" t="n">
        <v>103.29</v>
      </c>
    </row>
    <row r="472" customFormat="false" ht="15" hidden="false" customHeight="false" outlineLevel="0" collapsed="false">
      <c r="A472" s="37" t="n">
        <v>369495865</v>
      </c>
      <c r="B472" s="38" t="n">
        <v>46235.6959837963</v>
      </c>
      <c r="C472" s="37" t="s">
        <v>345</v>
      </c>
      <c r="D472" s="37" t="s">
        <v>809</v>
      </c>
      <c r="E472" s="37" t="n">
        <v>26172144</v>
      </c>
      <c r="F472" s="37" t="s">
        <v>165</v>
      </c>
      <c r="G472" s="37" t="s">
        <v>197</v>
      </c>
      <c r="H472" s="37" t="s">
        <v>187</v>
      </c>
      <c r="I472" s="37" t="n">
        <v>58.6</v>
      </c>
      <c r="J472" s="39" t="n">
        <v>648.53</v>
      </c>
      <c r="K472" s="37" t="s">
        <v>518</v>
      </c>
      <c r="L472" s="39" t="n">
        <v>130.51</v>
      </c>
      <c r="M472" s="39" t="n">
        <v>70.98</v>
      </c>
      <c r="N472" s="39" t="n">
        <f aca="false">J472*Resumo!$C$6</f>
        <v>0</v>
      </c>
      <c r="O472" s="39" t="n">
        <f aca="false">J472*Resumo!$C$7</f>
        <v>1.361913</v>
      </c>
      <c r="P472" s="39" t="n">
        <f aca="false">J472*Resumo!$C$8</f>
        <v>1.361913</v>
      </c>
      <c r="Q472" s="39" t="n">
        <f aca="false">Resumo!$C$10*CEILING(I472/100,1)</f>
        <v>1.05</v>
      </c>
      <c r="R472" s="39" t="n">
        <f aca="false">Resumo!$C$9</f>
        <v>0</v>
      </c>
      <c r="S472" s="39" t="n">
        <f aca="false">Resumo!$C$13</f>
        <v>13.55</v>
      </c>
      <c r="T472" s="39" t="n">
        <f aca="false">Resumo!$C$14*CEILING(I472,1)</f>
        <v>26.55</v>
      </c>
      <c r="U472" s="39" t="n">
        <f aca="false">SUM(M472:T472)*Resumo!$C$11</f>
        <v>0</v>
      </c>
      <c r="V472" s="39" t="n">
        <f aca="false">SUM(M472:U472)</f>
        <v>114.853826</v>
      </c>
      <c r="W472" s="39" t="n">
        <f aca="false">V472/(1-Resumo!$C$5)</f>
        <v>130.515711363636</v>
      </c>
      <c r="X472" s="39" t="n">
        <v>112.3</v>
      </c>
      <c r="Y472" s="39" t="n">
        <f aca="false">J472*Resumo!$B$6</f>
        <v>0.64853</v>
      </c>
      <c r="Z472" s="39" t="n">
        <f aca="false">J472*Resumo!$B$7</f>
        <v>1.29706</v>
      </c>
      <c r="AA472" s="39" t="n">
        <f aca="false">Resumo!$B$9</f>
        <v>1</v>
      </c>
      <c r="AB472" s="39" t="n">
        <f aca="false">Resumo!$B$10*CEILING(I472/100,1)</f>
        <v>4.5</v>
      </c>
      <c r="AC472" s="39" t="n">
        <f aca="false">Resumo!$B$12*CEILING(I472,1)</f>
        <v>3.54</v>
      </c>
      <c r="AD472" s="39" t="n">
        <f aca="false">Resumo!$B$14*CEILING(I472,1)</f>
        <v>26.55</v>
      </c>
      <c r="AE472" s="39" t="n">
        <f aca="false">SUM(X472:AD472)</f>
        <v>149.83559</v>
      </c>
      <c r="AF472" s="39" t="n">
        <f aca="false">AE472/(1-Resumo!$B$5)</f>
        <v>170.267715909091</v>
      </c>
      <c r="AG472" s="39" t="n">
        <f aca="false">AF472-W472</f>
        <v>39.7520045454545</v>
      </c>
      <c r="AH472" s="40" t="n">
        <f aca="false">AF472/W472-1</f>
        <v>0.304576392605328</v>
      </c>
      <c r="AI472" s="37" t="str">
        <f aca="false">IF(AF472&lt;W472,"SIM","NÃO")</f>
        <v>NÃO</v>
      </c>
      <c r="AJ472" s="37" t="n">
        <v>2</v>
      </c>
      <c r="AK472" s="37" t="n">
        <v>5</v>
      </c>
      <c r="AL472" s="37" t="s">
        <v>343</v>
      </c>
      <c r="AM472" s="39" t="n">
        <v>128.39</v>
      </c>
    </row>
    <row r="473" customFormat="false" ht="15" hidden="false" customHeight="false" outlineLevel="0" collapsed="false">
      <c r="A473" s="37" t="n">
        <v>369520531</v>
      </c>
      <c r="B473" s="38" t="n">
        <v>46235.7187384259</v>
      </c>
      <c r="C473" s="37" t="s">
        <v>345</v>
      </c>
      <c r="D473" s="37" t="s">
        <v>810</v>
      </c>
      <c r="E473" s="37" t="n">
        <v>28035301</v>
      </c>
      <c r="F473" s="37" t="s">
        <v>164</v>
      </c>
      <c r="G473" s="37" t="s">
        <v>198</v>
      </c>
      <c r="H473" s="37" t="s">
        <v>187</v>
      </c>
      <c r="I473" s="37" t="n">
        <v>52.3</v>
      </c>
      <c r="J473" s="39" t="n">
        <v>637.57</v>
      </c>
      <c r="K473" s="37" t="s">
        <v>518</v>
      </c>
      <c r="L473" s="39" t="n">
        <v>141.72</v>
      </c>
      <c r="M473" s="39" t="n">
        <v>83.58</v>
      </c>
      <c r="N473" s="39" t="n">
        <f aca="false">J473*Resumo!$C$6</f>
        <v>0</v>
      </c>
      <c r="O473" s="39" t="n">
        <f aca="false">J473*Resumo!$C$7</f>
        <v>1.338897</v>
      </c>
      <c r="P473" s="39" t="n">
        <f aca="false">J473*Resumo!$C$8</f>
        <v>1.338897</v>
      </c>
      <c r="Q473" s="39" t="n">
        <f aca="false">Resumo!$C$10*CEILING(I473/100,1)</f>
        <v>1.05</v>
      </c>
      <c r="R473" s="39" t="n">
        <f aca="false">Resumo!$C$9</f>
        <v>0</v>
      </c>
      <c r="S473" s="39" t="n">
        <f aca="false">Resumo!$C$13</f>
        <v>13.55</v>
      </c>
      <c r="T473" s="39" t="n">
        <f aca="false">Resumo!$C$14*CEILING(I473,1)</f>
        <v>23.85</v>
      </c>
      <c r="U473" s="39" t="n">
        <f aca="false">SUM(M473:T473)*Resumo!$C$11</f>
        <v>0</v>
      </c>
      <c r="V473" s="39" t="n">
        <f aca="false">SUM(M473:U473)</f>
        <v>124.707794</v>
      </c>
      <c r="W473" s="39" t="n">
        <f aca="false">V473/(1-Resumo!$C$5)</f>
        <v>141.713402272727</v>
      </c>
      <c r="X473" s="39" t="n">
        <v>162.04</v>
      </c>
      <c r="Y473" s="39" t="n">
        <f aca="false">J473*Resumo!$B$6</f>
        <v>0.63757</v>
      </c>
      <c r="Z473" s="39" t="n">
        <f aca="false">J473*Resumo!$B$7</f>
        <v>1.27514</v>
      </c>
      <c r="AA473" s="39" t="n">
        <f aca="false">Resumo!$B$9</f>
        <v>1</v>
      </c>
      <c r="AB473" s="39" t="n">
        <f aca="false">Resumo!$B$10*CEILING(I473/100,1)</f>
        <v>4.5</v>
      </c>
      <c r="AC473" s="39" t="n">
        <f aca="false">Resumo!$B$12*CEILING(I473,1)</f>
        <v>3.18</v>
      </c>
      <c r="AD473" s="39" t="n">
        <f aca="false">Resumo!$B$14*CEILING(I473,1)</f>
        <v>23.85</v>
      </c>
      <c r="AE473" s="39" t="n">
        <f aca="false">SUM(X473:AD473)</f>
        <v>196.48271</v>
      </c>
      <c r="AF473" s="39" t="n">
        <f aca="false">AE473/(1-Resumo!$B$5)</f>
        <v>223.275806818182</v>
      </c>
      <c r="AG473" s="39" t="n">
        <f aca="false">AF473-W473</f>
        <v>81.5624045454545</v>
      </c>
      <c r="AH473" s="40" t="n">
        <f aca="false">AF473/W473-1</f>
        <v>0.575544749031484</v>
      </c>
      <c r="AI473" s="37" t="str">
        <f aca="false">IF(AF473&lt;W473,"SIM","NÃO")</f>
        <v>NÃO</v>
      </c>
      <c r="AJ473" s="37" t="n">
        <v>13</v>
      </c>
      <c r="AK473" s="37" t="n">
        <v>11</v>
      </c>
      <c r="AL473" s="37" t="s">
        <v>343</v>
      </c>
      <c r="AM473" s="39" t="n">
        <v>142.73</v>
      </c>
    </row>
    <row r="474" customFormat="false" ht="15" hidden="false" customHeight="false" outlineLevel="0" collapsed="false">
      <c r="A474" s="37" t="n">
        <v>369526007</v>
      </c>
      <c r="B474" s="38" t="n">
        <v>46235.7235185185</v>
      </c>
      <c r="C474" s="37" t="s">
        <v>340</v>
      </c>
      <c r="D474" s="37" t="s">
        <v>811</v>
      </c>
      <c r="E474" s="37" t="n">
        <v>24813564</v>
      </c>
      <c r="F474" s="37" t="s">
        <v>174</v>
      </c>
      <c r="G474" s="37" t="s">
        <v>198</v>
      </c>
      <c r="H474" s="37" t="s">
        <v>192</v>
      </c>
      <c r="I474" s="37" t="n">
        <v>134.4</v>
      </c>
      <c r="J474" s="39" t="n">
        <v>1779.99</v>
      </c>
      <c r="K474" s="37" t="s">
        <v>518</v>
      </c>
      <c r="L474" s="39" t="n">
        <v>259.23</v>
      </c>
      <c r="M474" s="39" t="n">
        <v>144.24</v>
      </c>
      <c r="N474" s="39" t="n">
        <f aca="false">J474*Resumo!$C$6</f>
        <v>0</v>
      </c>
      <c r="O474" s="39" t="n">
        <f aca="false">J474*Resumo!$C$7</f>
        <v>3.737979</v>
      </c>
      <c r="P474" s="39" t="n">
        <f aca="false">J474*Resumo!$C$8</f>
        <v>3.737979</v>
      </c>
      <c r="Q474" s="39" t="n">
        <f aca="false">Resumo!$C$10*CEILING(I474/100,1)</f>
        <v>2.1</v>
      </c>
      <c r="R474" s="39" t="n">
        <f aca="false">Resumo!$C$9</f>
        <v>0</v>
      </c>
      <c r="S474" s="39" t="n">
        <f aca="false">Resumo!$C$13</f>
        <v>13.55</v>
      </c>
      <c r="T474" s="39" t="n">
        <f aca="false">Resumo!$C$14*CEILING(I474,1)</f>
        <v>60.75</v>
      </c>
      <c r="U474" s="39" t="n">
        <f aca="false">SUM(M474:T474)*Resumo!$C$11</f>
        <v>0</v>
      </c>
      <c r="V474" s="39" t="n">
        <f aca="false">SUM(M474:U474)</f>
        <v>228.115958</v>
      </c>
      <c r="W474" s="39" t="n">
        <f aca="false">V474/(1-Resumo!$C$5)</f>
        <v>259.222679545455</v>
      </c>
      <c r="X474" s="39" t="n">
        <v>249.03</v>
      </c>
      <c r="Y474" s="39" t="n">
        <f aca="false">J474*Resumo!$B$6</f>
        <v>1.77999</v>
      </c>
      <c r="Z474" s="39" t="n">
        <f aca="false">J474*Resumo!$B$7</f>
        <v>3.55998</v>
      </c>
      <c r="AA474" s="39" t="n">
        <f aca="false">Resumo!$B$9</f>
        <v>1</v>
      </c>
      <c r="AB474" s="39" t="n">
        <f aca="false">Resumo!$B$10*CEILING(I474/100,1)</f>
        <v>9</v>
      </c>
      <c r="AC474" s="39" t="n">
        <f aca="false">Resumo!$B$12*CEILING(I474,1)</f>
        <v>8.1</v>
      </c>
      <c r="AD474" s="39" t="n">
        <f aca="false">Resumo!$B$14*CEILING(I474,1)</f>
        <v>60.75</v>
      </c>
      <c r="AE474" s="39" t="n">
        <f aca="false">SUM(X474:AD474)</f>
        <v>333.21997</v>
      </c>
      <c r="AF474" s="39" t="n">
        <f aca="false">AE474/(1-Resumo!$B$5)</f>
        <v>378.659056818182</v>
      </c>
      <c r="AG474" s="39" t="n">
        <f aca="false">AF474-W474</f>
        <v>119.436377272727</v>
      </c>
      <c r="AH474" s="40" t="n">
        <f aca="false">AF474/W474-1</f>
        <v>0.460748177906957</v>
      </c>
      <c r="AI474" s="37" t="str">
        <f aca="false">IF(AF474&lt;W474,"SIM","NÃO")</f>
        <v>NÃO</v>
      </c>
      <c r="AJ474" s="37" t="n">
        <v>13</v>
      </c>
      <c r="AK474" s="37" t="n">
        <v>7</v>
      </c>
      <c r="AL474" s="37" t="s">
        <v>343</v>
      </c>
      <c r="AM474" s="39" t="n">
        <v>261.82</v>
      </c>
    </row>
    <row r="475" customFormat="false" ht="15" hidden="false" customHeight="false" outlineLevel="0" collapsed="false">
      <c r="A475" s="37" t="n">
        <v>369526819</v>
      </c>
      <c r="B475" s="38" t="n">
        <v>46235.7241319444</v>
      </c>
      <c r="C475" s="37" t="s">
        <v>340</v>
      </c>
      <c r="D475" s="37" t="s">
        <v>812</v>
      </c>
      <c r="E475" s="37" t="n">
        <v>28637000</v>
      </c>
      <c r="F475" s="37" t="s">
        <v>279</v>
      </c>
      <c r="G475" s="37" t="s">
        <v>198</v>
      </c>
      <c r="H475" s="37" t="s">
        <v>184</v>
      </c>
      <c r="I475" s="37" t="n">
        <v>20.9</v>
      </c>
      <c r="J475" s="39" t="n">
        <v>487.59</v>
      </c>
      <c r="K475" s="37" t="s">
        <v>518</v>
      </c>
      <c r="L475" s="39" t="n">
        <v>104.23</v>
      </c>
      <c r="M475" s="39" t="n">
        <v>65.63</v>
      </c>
      <c r="N475" s="39" t="n">
        <f aca="false">J475*Resumo!$C$6</f>
        <v>0</v>
      </c>
      <c r="O475" s="39" t="n">
        <f aca="false">J475*Resumo!$C$7</f>
        <v>1.023939</v>
      </c>
      <c r="P475" s="39" t="n">
        <f aca="false">J475*Resumo!$C$8</f>
        <v>1.023939</v>
      </c>
      <c r="Q475" s="39" t="n">
        <f aca="false">Resumo!$C$10*CEILING(I475/100,1)</f>
        <v>1.05</v>
      </c>
      <c r="R475" s="39" t="n">
        <f aca="false">Resumo!$C$9</f>
        <v>0</v>
      </c>
      <c r="S475" s="39" t="n">
        <f aca="false">Resumo!$C$13</f>
        <v>13.55</v>
      </c>
      <c r="T475" s="39" t="n">
        <f aca="false">Resumo!$C$14*CEILING(I475,1)</f>
        <v>9.45</v>
      </c>
      <c r="U475" s="39" t="n">
        <f aca="false">SUM(M475:T475)*Resumo!$C$11</f>
        <v>0</v>
      </c>
      <c r="V475" s="39" t="n">
        <f aca="false">SUM(M475:U475)</f>
        <v>91.727878</v>
      </c>
      <c r="W475" s="39" t="n">
        <f aca="false">V475/(1-Resumo!$C$5)</f>
        <v>104.236225</v>
      </c>
      <c r="X475" s="39" t="n">
        <v>120.78</v>
      </c>
      <c r="Y475" s="39" t="n">
        <f aca="false">J475*Resumo!$B$6</f>
        <v>0.48759</v>
      </c>
      <c r="Z475" s="39" t="n">
        <f aca="false">J475*Resumo!$B$7</f>
        <v>0.97518</v>
      </c>
      <c r="AA475" s="39" t="n">
        <f aca="false">Resumo!$B$9</f>
        <v>1</v>
      </c>
      <c r="AB475" s="39" t="n">
        <f aca="false">Resumo!$B$10*CEILING(I475/100,1)</f>
        <v>4.5</v>
      </c>
      <c r="AC475" s="39" t="n">
        <f aca="false">Resumo!$B$12*CEILING(I475,1)</f>
        <v>1.26</v>
      </c>
      <c r="AD475" s="39" t="n">
        <f aca="false">Resumo!$B$14*CEILING(I475,1)</f>
        <v>9.45</v>
      </c>
      <c r="AE475" s="39" t="n">
        <f aca="false">SUM(X475:AD475)</f>
        <v>138.45277</v>
      </c>
      <c r="AF475" s="39" t="n">
        <f aca="false">AE475/(1-Resumo!$B$5)</f>
        <v>157.332693181818</v>
      </c>
      <c r="AG475" s="39" t="n">
        <f aca="false">AF475-W475</f>
        <v>53.0964681818182</v>
      </c>
      <c r="AH475" s="40" t="n">
        <f aca="false">AF475/W475-1</f>
        <v>0.509385946985495</v>
      </c>
      <c r="AI475" s="37" t="str">
        <f aca="false">IF(AF475&lt;W475,"SIM","NÃO")</f>
        <v>NÃO</v>
      </c>
      <c r="AJ475" s="37" t="n">
        <v>13</v>
      </c>
      <c r="AK475" s="37" t="n">
        <v>10</v>
      </c>
      <c r="AL475" s="37" t="s">
        <v>347</v>
      </c>
      <c r="AM475" s="39" t="n">
        <v>109.52</v>
      </c>
    </row>
    <row r="476" customFormat="false" ht="15" hidden="false" customHeight="false" outlineLevel="0" collapsed="false">
      <c r="A476" s="37" t="n">
        <v>369424625</v>
      </c>
      <c r="B476" s="38" t="n">
        <v>46235.7513888889</v>
      </c>
      <c r="C476" s="37" t="s">
        <v>361</v>
      </c>
      <c r="D476" s="37" t="s">
        <v>813</v>
      </c>
      <c r="E476" s="37" t="n">
        <v>26453230</v>
      </c>
      <c r="F476" s="37" t="s">
        <v>237</v>
      </c>
      <c r="G476" s="37" t="s">
        <v>198</v>
      </c>
      <c r="H476" s="37" t="s">
        <v>184</v>
      </c>
      <c r="I476" s="37" t="n">
        <v>26.4</v>
      </c>
      <c r="J476" s="39" t="n">
        <v>399.99</v>
      </c>
      <c r="K476" s="37" t="s">
        <v>518</v>
      </c>
      <c r="L476" s="39" t="n">
        <v>106.89</v>
      </c>
      <c r="M476" s="39" t="n">
        <v>65.63</v>
      </c>
      <c r="N476" s="39" t="n">
        <f aca="false">J476*Resumo!$C$6</f>
        <v>0</v>
      </c>
      <c r="O476" s="39" t="n">
        <f aca="false">J476*Resumo!$C$7</f>
        <v>0.839979</v>
      </c>
      <c r="P476" s="39" t="n">
        <f aca="false">J476*Resumo!$C$8</f>
        <v>0.839979</v>
      </c>
      <c r="Q476" s="39" t="n">
        <f aca="false">Resumo!$C$10*CEILING(I476/100,1)</f>
        <v>1.05</v>
      </c>
      <c r="R476" s="39" t="n">
        <f aca="false">Resumo!$C$9</f>
        <v>0</v>
      </c>
      <c r="S476" s="39" t="n">
        <f aca="false">Resumo!$C$13</f>
        <v>13.55</v>
      </c>
      <c r="T476" s="39" t="n">
        <f aca="false">Resumo!$C$14*CEILING(I476,1)</f>
        <v>12.15</v>
      </c>
      <c r="U476" s="39" t="n">
        <f aca="false">SUM(M476:T476)*Resumo!$C$11</f>
        <v>0</v>
      </c>
      <c r="V476" s="39" t="n">
        <f aca="false">SUM(M476:U476)</f>
        <v>94.059958</v>
      </c>
      <c r="W476" s="39" t="n">
        <f aca="false">V476/(1-Resumo!$C$5)</f>
        <v>106.886315909091</v>
      </c>
      <c r="X476" s="39" t="n">
        <v>82.21</v>
      </c>
      <c r="Y476" s="39" t="n">
        <f aca="false">J476*Resumo!$B$6</f>
        <v>0.39999</v>
      </c>
      <c r="Z476" s="39" t="n">
        <f aca="false">J476*Resumo!$B$7</f>
        <v>0.79998</v>
      </c>
      <c r="AA476" s="39" t="n">
        <f aca="false">Resumo!$B$9</f>
        <v>1</v>
      </c>
      <c r="AB476" s="39" t="n">
        <f aca="false">Resumo!$B$10*CEILING(I476/100,1)</f>
        <v>4.5</v>
      </c>
      <c r="AC476" s="39" t="n">
        <f aca="false">Resumo!$B$12*CEILING(I476,1)</f>
        <v>1.62</v>
      </c>
      <c r="AD476" s="39" t="n">
        <f aca="false">Resumo!$B$14*CEILING(I476,1)</f>
        <v>12.15</v>
      </c>
      <c r="AE476" s="39" t="n">
        <f aca="false">SUM(X476:AD476)</f>
        <v>102.67997</v>
      </c>
      <c r="AF476" s="39" t="n">
        <f aca="false">AE476/(1-Resumo!$B$5)</f>
        <v>116.681784090909</v>
      </c>
      <c r="AG476" s="39" t="n">
        <f aca="false">AF476-W476</f>
        <v>9.79546818181819</v>
      </c>
      <c r="AH476" s="40" t="n">
        <f aca="false">AF476/W476-1</f>
        <v>0.091643800223683</v>
      </c>
      <c r="AI476" s="37" t="str">
        <f aca="false">IF(AF476&lt;W476,"SIM","NÃO")</f>
        <v>NÃO</v>
      </c>
      <c r="AJ476" s="37" t="n">
        <v>13</v>
      </c>
      <c r="AK476" s="37" t="n">
        <v>5</v>
      </c>
      <c r="AL476" s="37" t="s">
        <v>347</v>
      </c>
      <c r="AM476" s="39" t="n">
        <v>109.1</v>
      </c>
    </row>
    <row r="477" customFormat="false" ht="15" hidden="false" customHeight="false" outlineLevel="0" collapsed="false">
      <c r="A477" s="37" t="n">
        <v>369563798</v>
      </c>
      <c r="B477" s="38" t="n">
        <v>46235.7604282407</v>
      </c>
      <c r="C477" s="37" t="s">
        <v>345</v>
      </c>
      <c r="D477" s="37" t="s">
        <v>814</v>
      </c>
      <c r="E477" s="37" t="n">
        <v>20511170</v>
      </c>
      <c r="F477" s="37" t="s">
        <v>159</v>
      </c>
      <c r="G477" s="37" t="s">
        <v>196</v>
      </c>
      <c r="H477" s="37" t="s">
        <v>184</v>
      </c>
      <c r="I477" s="37" t="n">
        <v>27.5</v>
      </c>
      <c r="J477" s="39" t="n">
        <v>338</v>
      </c>
      <c r="K477" s="37" t="s">
        <v>342</v>
      </c>
      <c r="L477" s="39" t="n">
        <v>81.95</v>
      </c>
      <c r="M477" s="39" t="n">
        <v>42.11</v>
      </c>
      <c r="N477" s="39" t="n">
        <f aca="false">J477*Resumo!$C$6</f>
        <v>0</v>
      </c>
      <c r="O477" s="39" t="n">
        <f aca="false">J477*Resumo!$C$7</f>
        <v>0.7098</v>
      </c>
      <c r="P477" s="39" t="n">
        <f aca="false">J477*Resumo!$C$8</f>
        <v>0.7098</v>
      </c>
      <c r="Q477" s="39" t="n">
        <f aca="false">Resumo!$C$10*CEILING(I477/100,1)</f>
        <v>1.05</v>
      </c>
      <c r="R477" s="39" t="n">
        <f aca="false">Resumo!$C$9</f>
        <v>0</v>
      </c>
      <c r="S477" s="39" t="n">
        <f aca="false">Resumo!$C$13</f>
        <v>13.55</v>
      </c>
      <c r="T477" s="39" t="n">
        <f aca="false">Resumo!$C$14*CEILING(I477,1)</f>
        <v>12.6</v>
      </c>
      <c r="U477" s="39" t="n">
        <f aca="false">SUM(M477:T477)*Resumo!$C$11</f>
        <v>0</v>
      </c>
      <c r="V477" s="39" t="n">
        <f aca="false">SUM(M477:U477)</f>
        <v>70.7296</v>
      </c>
      <c r="W477" s="39" t="n">
        <f aca="false">V477/(1-Resumo!$C$5)</f>
        <v>80.3745454545455</v>
      </c>
      <c r="X477" s="39" t="n">
        <v>82.21</v>
      </c>
      <c r="Y477" s="39" t="n">
        <f aca="false">J477*Resumo!$B$6</f>
        <v>0.338</v>
      </c>
      <c r="Z477" s="39" t="n">
        <f aca="false">J477*Resumo!$B$7</f>
        <v>0.676</v>
      </c>
      <c r="AA477" s="39" t="n">
        <f aca="false">Resumo!$B$9</f>
        <v>1</v>
      </c>
      <c r="AB477" s="39" t="n">
        <f aca="false">Resumo!$B$10*CEILING(I477/100,1)</f>
        <v>4.5</v>
      </c>
      <c r="AC477" s="39" t="n">
        <f aca="false">Resumo!$B$12*CEILING(I477,1)</f>
        <v>1.68</v>
      </c>
      <c r="AD477" s="39" t="n">
        <f aca="false">Resumo!$B$14*CEILING(I477,1)</f>
        <v>12.6</v>
      </c>
      <c r="AE477" s="39" t="n">
        <f aca="false">SUM(X477:AD477)</f>
        <v>103.004</v>
      </c>
      <c r="AF477" s="39" t="n">
        <f aca="false">AE477/(1-Resumo!$B$5)</f>
        <v>117.05</v>
      </c>
      <c r="AG477" s="39" t="n">
        <f aca="false">AF477-W477</f>
        <v>36.6754545454545</v>
      </c>
      <c r="AH477" s="40" t="n">
        <f aca="false">AF477/W477-1</f>
        <v>0.456306836176085</v>
      </c>
      <c r="AI477" s="37" t="str">
        <f aca="false">IF(AF477&lt;W477,"SIM","NÃO")</f>
        <v>NÃO</v>
      </c>
      <c r="AJ477" s="37" t="n">
        <v>2</v>
      </c>
      <c r="AK477" s="37" t="n">
        <v>5</v>
      </c>
      <c r="AL477" s="37" t="s">
        <v>343</v>
      </c>
      <c r="AM477" s="39" t="n">
        <v>81.94</v>
      </c>
    </row>
    <row r="478" customFormat="false" ht="15" hidden="false" customHeight="false" outlineLevel="0" collapsed="false">
      <c r="A478" s="37" t="n">
        <v>369575900</v>
      </c>
      <c r="B478" s="38" t="n">
        <v>46235.7759837963</v>
      </c>
      <c r="C478" s="37" t="s">
        <v>345</v>
      </c>
      <c r="D478" s="37" t="s">
        <v>815</v>
      </c>
      <c r="E478" s="37" t="n">
        <v>28968770</v>
      </c>
      <c r="F478" s="37" t="s">
        <v>294</v>
      </c>
      <c r="G478" s="37" t="s">
        <v>198</v>
      </c>
      <c r="H478" s="37" t="s">
        <v>185</v>
      </c>
      <c r="I478" s="37" t="n">
        <v>36.8</v>
      </c>
      <c r="J478" s="39" t="n">
        <v>418.55</v>
      </c>
      <c r="K478" s="37" t="s">
        <v>518</v>
      </c>
      <c r="L478" s="39" t="n">
        <v>122.7</v>
      </c>
      <c r="M478" s="39" t="n">
        <v>74.97</v>
      </c>
      <c r="N478" s="39" t="n">
        <f aca="false">J478*Resumo!$C$6</f>
        <v>0</v>
      </c>
      <c r="O478" s="39" t="n">
        <f aca="false">J478*Resumo!$C$7</f>
        <v>0.878955</v>
      </c>
      <c r="P478" s="39" t="n">
        <f aca="false">J478*Resumo!$C$8</f>
        <v>0.878955</v>
      </c>
      <c r="Q478" s="39" t="n">
        <f aca="false">Resumo!$C$10*CEILING(I478/100,1)</f>
        <v>1.05</v>
      </c>
      <c r="R478" s="39" t="n">
        <f aca="false">Resumo!$C$9</f>
        <v>0</v>
      </c>
      <c r="S478" s="39" t="n">
        <f aca="false">Resumo!$C$13</f>
        <v>13.55</v>
      </c>
      <c r="T478" s="39" t="n">
        <f aca="false">Resumo!$C$14*CEILING(I478,1)</f>
        <v>16.65</v>
      </c>
      <c r="U478" s="39" t="n">
        <f aca="false">SUM(M478:T478)*Resumo!$C$11</f>
        <v>0</v>
      </c>
      <c r="V478" s="39" t="n">
        <f aca="false">SUM(M478:U478)</f>
        <v>107.97791</v>
      </c>
      <c r="W478" s="39" t="n">
        <f aca="false">V478/(1-Resumo!$C$5)</f>
        <v>122.702170454545</v>
      </c>
      <c r="X478" s="39" t="n">
        <v>124.38</v>
      </c>
      <c r="Y478" s="39" t="n">
        <f aca="false">J478*Resumo!$B$6</f>
        <v>0.41855</v>
      </c>
      <c r="Z478" s="39" t="n">
        <f aca="false">J478*Resumo!$B$7</f>
        <v>0.8371</v>
      </c>
      <c r="AA478" s="39" t="n">
        <f aca="false">Resumo!$B$9</f>
        <v>1</v>
      </c>
      <c r="AB478" s="39" t="n">
        <f aca="false">Resumo!$B$10*CEILING(I478/100,1)</f>
        <v>4.5</v>
      </c>
      <c r="AC478" s="39" t="n">
        <f aca="false">Resumo!$B$12*CEILING(I478,1)</f>
        <v>2.22</v>
      </c>
      <c r="AD478" s="39" t="n">
        <f aca="false">Resumo!$B$14*CEILING(I478,1)</f>
        <v>16.65</v>
      </c>
      <c r="AE478" s="39" t="n">
        <f aca="false">SUM(X478:AD478)</f>
        <v>150.00565</v>
      </c>
      <c r="AF478" s="39" t="n">
        <f aca="false">AE478/(1-Resumo!$B$5)</f>
        <v>170.460965909091</v>
      </c>
      <c r="AG478" s="39" t="n">
        <f aca="false">AF478-W478</f>
        <v>47.7587954545454</v>
      </c>
      <c r="AH478" s="40" t="n">
        <f aca="false">AF478/W478-1</f>
        <v>0.389225351740925</v>
      </c>
      <c r="AI478" s="37" t="str">
        <f aca="false">IF(AF478&lt;W478,"SIM","NÃO")</f>
        <v>NÃO</v>
      </c>
      <c r="AJ478" s="37" t="n">
        <v>13</v>
      </c>
      <c r="AK478" s="37" t="n">
        <v>10</v>
      </c>
      <c r="AL478" s="37" t="s">
        <v>347</v>
      </c>
      <c r="AM478" s="39" t="n">
        <v>122.25</v>
      </c>
    </row>
    <row r="479" customFormat="false" ht="15" hidden="false" customHeight="false" outlineLevel="0" collapsed="false">
      <c r="A479" s="37" t="n">
        <v>369592706</v>
      </c>
      <c r="B479" s="38" t="n">
        <v>46235.800775463</v>
      </c>
      <c r="C479" s="37" t="s">
        <v>340</v>
      </c>
      <c r="D479" s="37" t="s">
        <v>754</v>
      </c>
      <c r="E479" s="37" t="n">
        <v>23075470</v>
      </c>
      <c r="F479" s="37" t="s">
        <v>159</v>
      </c>
      <c r="G479" s="37" t="s">
        <v>196</v>
      </c>
      <c r="H479" s="37" t="s">
        <v>188</v>
      </c>
      <c r="I479" s="37" t="n">
        <v>63.9</v>
      </c>
      <c r="J479" s="39" t="n">
        <v>735.99</v>
      </c>
      <c r="K479" s="37" t="s">
        <v>518</v>
      </c>
      <c r="L479" s="39" t="n">
        <v>124.67</v>
      </c>
      <c r="M479" s="39" t="n">
        <v>63.21</v>
      </c>
      <c r="N479" s="39" t="n">
        <f aca="false">J479*Resumo!$C$6</f>
        <v>0</v>
      </c>
      <c r="O479" s="39" t="n">
        <f aca="false">J479*Resumo!$C$7</f>
        <v>1.545579</v>
      </c>
      <c r="P479" s="39" t="n">
        <f aca="false">J479*Resumo!$C$8</f>
        <v>1.545579</v>
      </c>
      <c r="Q479" s="39" t="n">
        <f aca="false">Resumo!$C$10*CEILING(I479/100,1)</f>
        <v>1.05</v>
      </c>
      <c r="R479" s="39" t="n">
        <f aca="false">Resumo!$C$9</f>
        <v>0</v>
      </c>
      <c r="S479" s="39" t="n">
        <f aca="false">Resumo!$C$13</f>
        <v>13.55</v>
      </c>
      <c r="T479" s="39" t="n">
        <f aca="false">Resumo!$C$14*CEILING(I479,1)</f>
        <v>28.8</v>
      </c>
      <c r="U479" s="39" t="n">
        <f aca="false">SUM(M479:T479)*Resumo!$C$11</f>
        <v>0</v>
      </c>
      <c r="V479" s="39" t="n">
        <f aca="false">SUM(M479:U479)</f>
        <v>109.701158</v>
      </c>
      <c r="W479" s="39" t="n">
        <f aca="false">V479/(1-Resumo!$C$5)</f>
        <v>124.660406818182</v>
      </c>
      <c r="X479" s="39" t="n">
        <v>131.02</v>
      </c>
      <c r="Y479" s="39" t="n">
        <f aca="false">J479*Resumo!$B$6</f>
        <v>0.73599</v>
      </c>
      <c r="Z479" s="39" t="n">
        <f aca="false">J479*Resumo!$B$7</f>
        <v>1.47198</v>
      </c>
      <c r="AA479" s="39" t="n">
        <f aca="false">Resumo!$B$9</f>
        <v>1</v>
      </c>
      <c r="AB479" s="39" t="n">
        <f aca="false">Resumo!$B$10*CEILING(I479/100,1)</f>
        <v>4.5</v>
      </c>
      <c r="AC479" s="39" t="n">
        <f aca="false">Resumo!$B$12*CEILING(I479,1)</f>
        <v>3.84</v>
      </c>
      <c r="AD479" s="39" t="n">
        <f aca="false">Resumo!$B$14*CEILING(I479,1)</f>
        <v>28.8</v>
      </c>
      <c r="AE479" s="39" t="n">
        <f aca="false">SUM(X479:AD479)</f>
        <v>171.36797</v>
      </c>
      <c r="AF479" s="39" t="n">
        <f aca="false">AE479/(1-Resumo!$B$5)</f>
        <v>194.736329545455</v>
      </c>
      <c r="AG479" s="39" t="n">
        <f aca="false">AF479-W479</f>
        <v>70.0759227272728</v>
      </c>
      <c r="AH479" s="40" t="n">
        <f aca="false">AF479/W479-1</f>
        <v>0.562134558324353</v>
      </c>
      <c r="AI479" s="37" t="str">
        <f aca="false">IF(AF479&lt;W479,"SIM","NÃO")</f>
        <v>NÃO</v>
      </c>
      <c r="AJ479" s="37" t="n">
        <v>2</v>
      </c>
      <c r="AK479" s="37" t="n">
        <v>5</v>
      </c>
      <c r="AL479" s="37" t="s">
        <v>343</v>
      </c>
      <c r="AM479" s="39" t="n">
        <v>124.73</v>
      </c>
    </row>
    <row r="480" customFormat="false" ht="15" hidden="false" customHeight="false" outlineLevel="0" collapsed="false">
      <c r="A480" s="37" t="n">
        <v>369628221</v>
      </c>
      <c r="B480" s="38" t="n">
        <v>46235.8559259259</v>
      </c>
      <c r="C480" s="37" t="s">
        <v>372</v>
      </c>
      <c r="D480" s="37" t="s">
        <v>816</v>
      </c>
      <c r="E480" s="37" t="n">
        <v>21073185</v>
      </c>
      <c r="F480" s="37" t="s">
        <v>159</v>
      </c>
      <c r="G480" s="37" t="s">
        <v>196</v>
      </c>
      <c r="H480" s="37" t="s">
        <v>185</v>
      </c>
      <c r="I480" s="37" t="n">
        <v>40</v>
      </c>
      <c r="J480" s="39" t="n">
        <v>619.99</v>
      </c>
      <c r="K480" s="37" t="s">
        <v>342</v>
      </c>
      <c r="L480" s="39" t="n">
        <v>92.83</v>
      </c>
      <c r="M480" s="39" t="n">
        <v>48.35</v>
      </c>
      <c r="N480" s="39" t="n">
        <f aca="false">J480*Resumo!$C$6</f>
        <v>0</v>
      </c>
      <c r="O480" s="39" t="n">
        <f aca="false">J480*Resumo!$C$7</f>
        <v>1.301979</v>
      </c>
      <c r="P480" s="39" t="n">
        <f aca="false">J480*Resumo!$C$8</f>
        <v>1.301979</v>
      </c>
      <c r="Q480" s="39" t="n">
        <f aca="false">Resumo!$C$10*CEILING(I480/100,1)</f>
        <v>1.05</v>
      </c>
      <c r="R480" s="39" t="n">
        <f aca="false">Resumo!$C$9</f>
        <v>0</v>
      </c>
      <c r="S480" s="39" t="n">
        <f aca="false">Resumo!$C$13</f>
        <v>13.55</v>
      </c>
      <c r="T480" s="39" t="n">
        <f aca="false">Resumo!$C$14*CEILING(I480,1)</f>
        <v>18</v>
      </c>
      <c r="U480" s="39" t="n">
        <f aca="false">SUM(M480:T480)*Resumo!$C$11</f>
        <v>0</v>
      </c>
      <c r="V480" s="39" t="n">
        <f aca="false">SUM(M480:U480)</f>
        <v>83.553958</v>
      </c>
      <c r="W480" s="39" t="n">
        <f aca="false">V480/(1-Resumo!$C$5)</f>
        <v>94.9476795454546</v>
      </c>
      <c r="X480" s="39" t="n">
        <v>93.97</v>
      </c>
      <c r="Y480" s="39" t="n">
        <f aca="false">J480*Resumo!$B$6</f>
        <v>0.61999</v>
      </c>
      <c r="Z480" s="39" t="n">
        <f aca="false">J480*Resumo!$B$7</f>
        <v>1.23998</v>
      </c>
      <c r="AA480" s="39" t="n">
        <f aca="false">Resumo!$B$9</f>
        <v>1</v>
      </c>
      <c r="AB480" s="39" t="n">
        <f aca="false">Resumo!$B$10*CEILING(I480/100,1)</f>
        <v>4.5</v>
      </c>
      <c r="AC480" s="39" t="n">
        <f aca="false">Resumo!$B$12*CEILING(I480,1)</f>
        <v>2.4</v>
      </c>
      <c r="AD480" s="39" t="n">
        <f aca="false">Resumo!$B$14*CEILING(I480,1)</f>
        <v>18</v>
      </c>
      <c r="AE480" s="39" t="n">
        <f aca="false">SUM(X480:AD480)</f>
        <v>121.72997</v>
      </c>
      <c r="AF480" s="39" t="n">
        <f aca="false">AE480/(1-Resumo!$B$5)</f>
        <v>138.329511363636</v>
      </c>
      <c r="AG480" s="39" t="n">
        <f aca="false">AF480-W480</f>
        <v>43.3818318181818</v>
      </c>
      <c r="AH480" s="40" t="n">
        <f aca="false">AF480/W480-1</f>
        <v>0.45690249646821</v>
      </c>
      <c r="AI480" s="37" t="str">
        <f aca="false">IF(AF480&lt;W480,"SIM","NÃO")</f>
        <v>NÃO</v>
      </c>
      <c r="AJ480" s="37" t="n">
        <v>2</v>
      </c>
      <c r="AK480" s="37" t="n">
        <v>5</v>
      </c>
      <c r="AL480" s="37" t="s">
        <v>343</v>
      </c>
      <c r="AM480" s="39" t="n">
        <v>92.83</v>
      </c>
    </row>
    <row r="481" customFormat="false" ht="15" hidden="false" customHeight="false" outlineLevel="0" collapsed="false">
      <c r="A481" s="37" t="n">
        <v>369634526</v>
      </c>
      <c r="B481" s="38" t="n">
        <v>46235.8625694444</v>
      </c>
      <c r="C481" s="37" t="s">
        <v>345</v>
      </c>
      <c r="D481" s="37" t="s">
        <v>817</v>
      </c>
      <c r="E481" s="37" t="n">
        <v>20540218</v>
      </c>
      <c r="F481" s="37" t="s">
        <v>159</v>
      </c>
      <c r="G481" s="37" t="s">
        <v>196</v>
      </c>
      <c r="H481" s="37" t="s">
        <v>187</v>
      </c>
      <c r="I481" s="37" t="n">
        <v>52.3</v>
      </c>
      <c r="J481" s="39" t="n">
        <v>637.57</v>
      </c>
      <c r="K481" s="37" t="s">
        <v>518</v>
      </c>
      <c r="L481" s="39" t="n">
        <v>113.33</v>
      </c>
      <c r="M481" s="39" t="n">
        <v>58.6</v>
      </c>
      <c r="N481" s="39" t="n">
        <f aca="false">J481*Resumo!$C$6</f>
        <v>0</v>
      </c>
      <c r="O481" s="39" t="n">
        <f aca="false">J481*Resumo!$C$7</f>
        <v>1.338897</v>
      </c>
      <c r="P481" s="39" t="n">
        <f aca="false">J481*Resumo!$C$8</f>
        <v>1.338897</v>
      </c>
      <c r="Q481" s="39" t="n">
        <f aca="false">Resumo!$C$10*CEILING(I481/100,1)</f>
        <v>1.05</v>
      </c>
      <c r="R481" s="39" t="n">
        <f aca="false">Resumo!$C$9</f>
        <v>0</v>
      </c>
      <c r="S481" s="39" t="n">
        <f aca="false">Resumo!$C$13</f>
        <v>13.55</v>
      </c>
      <c r="T481" s="39" t="n">
        <f aca="false">Resumo!$C$14*CEILING(I481,1)</f>
        <v>23.85</v>
      </c>
      <c r="U481" s="39" t="n">
        <f aca="false">SUM(M481:T481)*Resumo!$C$11</f>
        <v>0</v>
      </c>
      <c r="V481" s="39" t="n">
        <f aca="false">SUM(M481:U481)</f>
        <v>99.727794</v>
      </c>
      <c r="W481" s="39" t="n">
        <f aca="false">V481/(1-Resumo!$C$5)</f>
        <v>113.327038636364</v>
      </c>
      <c r="X481" s="39" t="n">
        <v>112.3</v>
      </c>
      <c r="Y481" s="39" t="n">
        <f aca="false">J481*Resumo!$B$6</f>
        <v>0.63757</v>
      </c>
      <c r="Z481" s="39" t="n">
        <f aca="false">J481*Resumo!$B$7</f>
        <v>1.27514</v>
      </c>
      <c r="AA481" s="39" t="n">
        <f aca="false">Resumo!$B$9</f>
        <v>1</v>
      </c>
      <c r="AB481" s="39" t="n">
        <f aca="false">Resumo!$B$10*CEILING(I481/100,1)</f>
        <v>4.5</v>
      </c>
      <c r="AC481" s="39" t="n">
        <f aca="false">Resumo!$B$12*CEILING(I481,1)</f>
        <v>3.18</v>
      </c>
      <c r="AD481" s="39" t="n">
        <f aca="false">Resumo!$B$14*CEILING(I481,1)</f>
        <v>23.85</v>
      </c>
      <c r="AE481" s="39" t="n">
        <f aca="false">SUM(X481:AD481)</f>
        <v>146.74271</v>
      </c>
      <c r="AF481" s="39" t="n">
        <f aca="false">AE481/(1-Resumo!$B$5)</f>
        <v>166.753079545455</v>
      </c>
      <c r="AG481" s="39" t="n">
        <f aca="false">AF481-W481</f>
        <v>53.4260409090909</v>
      </c>
      <c r="AH481" s="40" t="n">
        <f aca="false">AF481/W481-1</f>
        <v>0.471432427353201</v>
      </c>
      <c r="AI481" s="37" t="str">
        <f aca="false">IF(AF481&lt;W481,"SIM","NÃO")</f>
        <v>NÃO</v>
      </c>
      <c r="AJ481" s="37" t="n">
        <v>2</v>
      </c>
      <c r="AK481" s="37" t="n">
        <v>5</v>
      </c>
      <c r="AL481" s="37" t="s">
        <v>343</v>
      </c>
      <c r="AM481" s="39" t="n">
        <v>114.2</v>
      </c>
    </row>
    <row r="482" customFormat="false" ht="15" hidden="false" customHeight="false" outlineLevel="0" collapsed="false">
      <c r="A482" s="37" t="n">
        <v>369714041</v>
      </c>
      <c r="B482" s="38" t="n">
        <v>46235.9599189815</v>
      </c>
      <c r="C482" s="37" t="s">
        <v>537</v>
      </c>
      <c r="D482" s="37" t="s">
        <v>818</v>
      </c>
      <c r="E482" s="37" t="n">
        <v>20550011</v>
      </c>
      <c r="F482" s="37" t="s">
        <v>159</v>
      </c>
      <c r="G482" s="37" t="s">
        <v>196</v>
      </c>
      <c r="H482" s="37" t="s">
        <v>184</v>
      </c>
      <c r="I482" s="37" t="n">
        <v>32.13</v>
      </c>
      <c r="J482" s="39" t="n">
        <v>399.99</v>
      </c>
      <c r="K482" s="37" t="s">
        <v>342</v>
      </c>
      <c r="L482" s="39" t="n">
        <v>82.24</v>
      </c>
      <c r="M482" s="39" t="n">
        <v>42.11</v>
      </c>
      <c r="N482" s="39" t="n">
        <f aca="false">J482*Resumo!$C$6</f>
        <v>0</v>
      </c>
      <c r="O482" s="39" t="n">
        <f aca="false">J482*Resumo!$C$7</f>
        <v>0.839979</v>
      </c>
      <c r="P482" s="39" t="n">
        <f aca="false">J482*Resumo!$C$8</f>
        <v>0.839979</v>
      </c>
      <c r="Q482" s="39" t="n">
        <f aca="false">Resumo!$C$10*CEILING(I482/100,1)</f>
        <v>1.05</v>
      </c>
      <c r="R482" s="39" t="n">
        <f aca="false">Resumo!$C$9</f>
        <v>0</v>
      </c>
      <c r="S482" s="39" t="n">
        <f aca="false">Resumo!$C$13</f>
        <v>13.55</v>
      </c>
      <c r="T482" s="39" t="n">
        <f aca="false">Resumo!$C$14*CEILING(I482,1)</f>
        <v>14.85</v>
      </c>
      <c r="U482" s="39" t="n">
        <f aca="false">SUM(M482:T482)*Resumo!$C$11</f>
        <v>0</v>
      </c>
      <c r="V482" s="39" t="n">
        <f aca="false">SUM(M482:U482)</f>
        <v>73.239958</v>
      </c>
      <c r="W482" s="39" t="n">
        <f aca="false">V482/(1-Resumo!$C$5)</f>
        <v>83.227225</v>
      </c>
      <c r="X482" s="39" t="n">
        <v>82.21</v>
      </c>
      <c r="Y482" s="39" t="n">
        <f aca="false">J482*Resumo!$B$6</f>
        <v>0.39999</v>
      </c>
      <c r="Z482" s="39" t="n">
        <f aca="false">J482*Resumo!$B$7</f>
        <v>0.79998</v>
      </c>
      <c r="AA482" s="39" t="n">
        <f aca="false">Resumo!$B$9</f>
        <v>1</v>
      </c>
      <c r="AB482" s="39" t="n">
        <f aca="false">Resumo!$B$10*CEILING(I482/100,1)</f>
        <v>4.5</v>
      </c>
      <c r="AC482" s="39" t="n">
        <f aca="false">Resumo!$B$12*CEILING(I482,1)</f>
        <v>1.98</v>
      </c>
      <c r="AD482" s="39" t="n">
        <f aca="false">Resumo!$B$14*CEILING(I482,1)</f>
        <v>14.85</v>
      </c>
      <c r="AE482" s="39" t="n">
        <f aca="false">SUM(X482:AD482)</f>
        <v>105.73997</v>
      </c>
      <c r="AF482" s="39" t="n">
        <f aca="false">AE482/(1-Resumo!$B$5)</f>
        <v>120.159056818182</v>
      </c>
      <c r="AG482" s="39" t="n">
        <f aca="false">AF482-W482</f>
        <v>36.9318318181818</v>
      </c>
      <c r="AH482" s="40" t="n">
        <f aca="false">AF482/W482-1</f>
        <v>0.443747004879495</v>
      </c>
      <c r="AI482" s="37" t="str">
        <f aca="false">IF(AF482&lt;W482,"SIM","NÃO")</f>
        <v>NÃO</v>
      </c>
      <c r="AJ482" s="37" t="n">
        <v>2</v>
      </c>
      <c r="AK482" s="37" t="n">
        <v>5</v>
      </c>
      <c r="AL482" s="37" t="s">
        <v>343</v>
      </c>
      <c r="AM482" s="39" t="n">
        <v>82.24</v>
      </c>
    </row>
    <row r="483" customFormat="false" ht="15" hidden="false" customHeight="false" outlineLevel="0" collapsed="false">
      <c r="A483" s="37" t="n">
        <v>370184155</v>
      </c>
      <c r="B483" s="38" t="n">
        <v>46236.3136342593</v>
      </c>
      <c r="C483" s="37" t="s">
        <v>361</v>
      </c>
      <c r="D483" s="37" t="s">
        <v>819</v>
      </c>
      <c r="E483" s="37" t="n">
        <v>28980000</v>
      </c>
      <c r="F483" s="37" t="s">
        <v>173</v>
      </c>
      <c r="G483" s="37" t="s">
        <v>198</v>
      </c>
      <c r="H483" s="37" t="s">
        <v>186</v>
      </c>
      <c r="I483" s="37" t="n">
        <v>48.3</v>
      </c>
      <c r="J483" s="39" t="n">
        <v>424.99</v>
      </c>
      <c r="K483" s="37" t="s">
        <v>518</v>
      </c>
      <c r="L483" s="39" t="n">
        <v>131.97</v>
      </c>
      <c r="M483" s="39" t="n">
        <v>77.7</v>
      </c>
      <c r="N483" s="39" t="n">
        <f aca="false">J483*Resumo!$C$6</f>
        <v>0</v>
      </c>
      <c r="O483" s="39" t="n">
        <f aca="false">J483*Resumo!$C$7</f>
        <v>0.892479</v>
      </c>
      <c r="P483" s="39" t="n">
        <f aca="false">J483*Resumo!$C$8</f>
        <v>0.892479</v>
      </c>
      <c r="Q483" s="39" t="n">
        <f aca="false">Resumo!$C$10*CEILING(I483/100,1)</f>
        <v>1.05</v>
      </c>
      <c r="R483" s="39" t="n">
        <f aca="false">Resumo!$C$9</f>
        <v>0</v>
      </c>
      <c r="S483" s="39" t="n">
        <f aca="false">Resumo!$C$13</f>
        <v>13.55</v>
      </c>
      <c r="T483" s="39" t="n">
        <f aca="false">Resumo!$C$14*CEILING(I483,1)</f>
        <v>22.05</v>
      </c>
      <c r="U483" s="39" t="n">
        <f aca="false">SUM(M483:T483)*Resumo!$C$11</f>
        <v>0</v>
      </c>
      <c r="V483" s="39" t="n">
        <f aca="false">SUM(M483:U483)</f>
        <v>116.134958</v>
      </c>
      <c r="W483" s="39" t="n">
        <f aca="false">V483/(1-Resumo!$C$5)</f>
        <v>131.971543181818</v>
      </c>
      <c r="X483" s="39" t="n">
        <v>129.29</v>
      </c>
      <c r="Y483" s="39" t="n">
        <f aca="false">J483*Resumo!$B$6</f>
        <v>0.42499</v>
      </c>
      <c r="Z483" s="39" t="n">
        <f aca="false">J483*Resumo!$B$7</f>
        <v>0.84998</v>
      </c>
      <c r="AA483" s="39" t="n">
        <f aca="false">Resumo!$B$9</f>
        <v>1</v>
      </c>
      <c r="AB483" s="39" t="n">
        <f aca="false">Resumo!$B$10*CEILING(I483/100,1)</f>
        <v>4.5</v>
      </c>
      <c r="AC483" s="39" t="n">
        <f aca="false">Resumo!$B$12*CEILING(I483,1)</f>
        <v>2.94</v>
      </c>
      <c r="AD483" s="39" t="n">
        <f aca="false">Resumo!$B$14*CEILING(I483,1)</f>
        <v>22.05</v>
      </c>
      <c r="AE483" s="39" t="n">
        <f aca="false">SUM(X483:AD483)</f>
        <v>161.05497</v>
      </c>
      <c r="AF483" s="39" t="n">
        <f aca="false">AE483/(1-Resumo!$B$5)</f>
        <v>183.017011363636</v>
      </c>
      <c r="AG483" s="39" t="n">
        <f aca="false">AF483-W483</f>
        <v>51.0454681818182</v>
      </c>
      <c r="AH483" s="40" t="n">
        <f aca="false">AF483/W483-1</f>
        <v>0.386791477549766</v>
      </c>
      <c r="AI483" s="37" t="str">
        <f aca="false">IF(AF483&lt;W483,"SIM","NÃO")</f>
        <v>NÃO</v>
      </c>
      <c r="AJ483" s="37" t="n">
        <v>13</v>
      </c>
      <c r="AK483" s="37" t="n">
        <v>10</v>
      </c>
      <c r="AL483" s="37" t="s">
        <v>343</v>
      </c>
      <c r="AM483" s="39" t="n">
        <v>130.2</v>
      </c>
    </row>
    <row r="484" customFormat="false" ht="15" hidden="false" customHeight="false" outlineLevel="0" collapsed="false">
      <c r="A484" s="37" t="n">
        <v>370284349</v>
      </c>
      <c r="B484" s="38" t="n">
        <v>46236.4037384259</v>
      </c>
      <c r="C484" s="37" t="s">
        <v>340</v>
      </c>
      <c r="D484" s="37" t="s">
        <v>820</v>
      </c>
      <c r="E484" s="37" t="n">
        <v>26587000</v>
      </c>
      <c r="F484" s="37" t="s">
        <v>175</v>
      </c>
      <c r="G484" s="37" t="s">
        <v>197</v>
      </c>
      <c r="H484" s="37" t="s">
        <v>183</v>
      </c>
      <c r="I484" s="37" t="n">
        <v>19.5</v>
      </c>
      <c r="J484" s="39" t="n">
        <v>379.99</v>
      </c>
      <c r="K484" s="37" t="s">
        <v>518</v>
      </c>
      <c r="L484" s="39" t="n">
        <v>77.18</v>
      </c>
      <c r="M484" s="39" t="n">
        <v>42.72</v>
      </c>
      <c r="N484" s="39" t="n">
        <f aca="false">J484*Resumo!$C$6</f>
        <v>0</v>
      </c>
      <c r="O484" s="39" t="n">
        <f aca="false">J484*Resumo!$C$7</f>
        <v>0.797979</v>
      </c>
      <c r="P484" s="39" t="n">
        <f aca="false">J484*Resumo!$C$8</f>
        <v>0.797979</v>
      </c>
      <c r="Q484" s="39" t="n">
        <f aca="false">Resumo!$C$10*CEILING(I484/100,1)</f>
        <v>1.05</v>
      </c>
      <c r="R484" s="39" t="n">
        <f aca="false">Resumo!$C$9</f>
        <v>0</v>
      </c>
      <c r="S484" s="39" t="n">
        <f aca="false">Resumo!$C$13</f>
        <v>13.55</v>
      </c>
      <c r="T484" s="39" t="n">
        <f aca="false">Resumo!$C$14*CEILING(I484,1)</f>
        <v>9</v>
      </c>
      <c r="U484" s="39" t="n">
        <f aca="false">SUM(M484:T484)*Resumo!$C$11</f>
        <v>0</v>
      </c>
      <c r="V484" s="39" t="n">
        <f aca="false">SUM(M484:U484)</f>
        <v>67.915958</v>
      </c>
      <c r="W484" s="39" t="n">
        <f aca="false">V484/(1-Resumo!$C$5)</f>
        <v>77.177225</v>
      </c>
      <c r="X484" s="39" t="n">
        <v>46.98</v>
      </c>
      <c r="Y484" s="39" t="n">
        <f aca="false">J484*Resumo!$B$6</f>
        <v>0.37999</v>
      </c>
      <c r="Z484" s="39" t="n">
        <f aca="false">J484*Resumo!$B$7</f>
        <v>0.75998</v>
      </c>
      <c r="AA484" s="39" t="n">
        <f aca="false">Resumo!$B$9</f>
        <v>1</v>
      </c>
      <c r="AB484" s="39" t="n">
        <f aca="false">Resumo!$B$10*CEILING(I484/100,1)</f>
        <v>4.5</v>
      </c>
      <c r="AC484" s="39" t="n">
        <f aca="false">Resumo!$B$12*CEILING(I484,1)</f>
        <v>1.2</v>
      </c>
      <c r="AD484" s="39" t="n">
        <f aca="false">Resumo!$B$14*CEILING(I484,1)</f>
        <v>9</v>
      </c>
      <c r="AE484" s="39" t="n">
        <f aca="false">SUM(X484:AD484)</f>
        <v>63.81997</v>
      </c>
      <c r="AF484" s="39" t="n">
        <f aca="false">AE484/(1-Resumo!$B$5)</f>
        <v>72.5226931818182</v>
      </c>
      <c r="AG484" s="39" t="n">
        <f aca="false">AF484-W484</f>
        <v>-4.65453181818181</v>
      </c>
      <c r="AH484" s="40" t="n">
        <f aca="false">AF484/W484-1</f>
        <v>-0.0603096550592718</v>
      </c>
      <c r="AI484" s="37" t="str">
        <f aca="false">IF(AF484&lt;W484,"SIM","NÃO")</f>
        <v>SIM</v>
      </c>
      <c r="AJ484" s="37" t="n">
        <v>2</v>
      </c>
      <c r="AK484" s="37" t="n">
        <v>5</v>
      </c>
      <c r="AL484" s="37" t="s">
        <v>343</v>
      </c>
      <c r="AM484" s="39" t="n">
        <v>75.66</v>
      </c>
    </row>
    <row r="485" customFormat="false" ht="15" hidden="false" customHeight="false" outlineLevel="0" collapsed="false">
      <c r="A485" s="37" t="n">
        <v>370329478</v>
      </c>
      <c r="B485" s="38" t="n">
        <v>46236.4432291667</v>
      </c>
      <c r="C485" s="37" t="s">
        <v>340</v>
      </c>
      <c r="D485" s="37" t="s">
        <v>821</v>
      </c>
      <c r="E485" s="37" t="n">
        <v>21061020</v>
      </c>
      <c r="F485" s="37" t="s">
        <v>159</v>
      </c>
      <c r="G485" s="37" t="s">
        <v>196</v>
      </c>
      <c r="H485" s="37" t="s">
        <v>186</v>
      </c>
      <c r="I485" s="37" t="n">
        <v>45.3</v>
      </c>
      <c r="J485" s="39" t="n">
        <v>699.99</v>
      </c>
      <c r="K485" s="37" t="s">
        <v>342</v>
      </c>
      <c r="L485" s="39" t="n">
        <v>103.94</v>
      </c>
      <c r="M485" s="39" t="n">
        <v>53.55</v>
      </c>
      <c r="N485" s="39" t="n">
        <f aca="false">J485*Resumo!$C$6</f>
        <v>0</v>
      </c>
      <c r="O485" s="39" t="n">
        <f aca="false">J485*Resumo!$C$7</f>
        <v>1.469979</v>
      </c>
      <c r="P485" s="39" t="n">
        <f aca="false">J485*Resumo!$C$8</f>
        <v>1.469979</v>
      </c>
      <c r="Q485" s="39" t="n">
        <f aca="false">Resumo!$C$10*CEILING(I485/100,1)</f>
        <v>1.05</v>
      </c>
      <c r="R485" s="39" t="n">
        <f aca="false">Resumo!$C$9</f>
        <v>0</v>
      </c>
      <c r="S485" s="39" t="n">
        <f aca="false">Resumo!$C$13</f>
        <v>13.55</v>
      </c>
      <c r="T485" s="39" t="n">
        <f aca="false">Resumo!$C$14*CEILING(I485,1)</f>
        <v>20.7</v>
      </c>
      <c r="U485" s="39" t="n">
        <f aca="false">SUM(M485:T485)*Resumo!$C$11</f>
        <v>0</v>
      </c>
      <c r="V485" s="39" t="n">
        <f aca="false">SUM(M485:U485)</f>
        <v>91.789958</v>
      </c>
      <c r="W485" s="39" t="n">
        <f aca="false">V485/(1-Resumo!$C$5)</f>
        <v>104.306770454545</v>
      </c>
      <c r="X485" s="39" t="n">
        <v>93.97</v>
      </c>
      <c r="Y485" s="39" t="n">
        <f aca="false">J485*Resumo!$B$6</f>
        <v>0.69999</v>
      </c>
      <c r="Z485" s="39" t="n">
        <f aca="false">J485*Resumo!$B$7</f>
        <v>1.39998</v>
      </c>
      <c r="AA485" s="39" t="n">
        <f aca="false">Resumo!$B$9</f>
        <v>1</v>
      </c>
      <c r="AB485" s="39" t="n">
        <f aca="false">Resumo!$B$10*CEILING(I485/100,1)</f>
        <v>4.5</v>
      </c>
      <c r="AC485" s="39" t="n">
        <f aca="false">Resumo!$B$12*CEILING(I485,1)</f>
        <v>2.76</v>
      </c>
      <c r="AD485" s="39" t="n">
        <f aca="false">Resumo!$B$14*CEILING(I485,1)</f>
        <v>20.7</v>
      </c>
      <c r="AE485" s="39" t="n">
        <f aca="false">SUM(X485:AD485)</f>
        <v>125.02997</v>
      </c>
      <c r="AF485" s="39" t="n">
        <f aca="false">AE485/(1-Resumo!$B$5)</f>
        <v>142.079511363636</v>
      </c>
      <c r="AG485" s="39" t="n">
        <f aca="false">AF485-W485</f>
        <v>37.7727409090909</v>
      </c>
      <c r="AH485" s="40" t="n">
        <f aca="false">AF485/W485-1</f>
        <v>0.362131247516204</v>
      </c>
      <c r="AI485" s="37" t="str">
        <f aca="false">IF(AF485&lt;W485,"SIM","NÃO")</f>
        <v>NÃO</v>
      </c>
      <c r="AJ485" s="37" t="n">
        <v>2</v>
      </c>
      <c r="AK485" s="37" t="n">
        <v>5</v>
      </c>
      <c r="AL485" s="37" t="s">
        <v>343</v>
      </c>
      <c r="AM485" s="39" t="n">
        <v>103.94</v>
      </c>
    </row>
    <row r="486" customFormat="false" ht="15" hidden="false" customHeight="false" outlineLevel="0" collapsed="false">
      <c r="A486" s="37" t="n">
        <v>370343324</v>
      </c>
      <c r="B486" s="38" t="n">
        <v>46236.454849537</v>
      </c>
      <c r="C486" s="37" t="s">
        <v>340</v>
      </c>
      <c r="D486" s="37" t="s">
        <v>822</v>
      </c>
      <c r="E486" s="37" t="n">
        <v>25545300</v>
      </c>
      <c r="F486" s="37" t="s">
        <v>167</v>
      </c>
      <c r="G486" s="37" t="s">
        <v>197</v>
      </c>
      <c r="H486" s="37" t="s">
        <v>186</v>
      </c>
      <c r="I486" s="37" t="n">
        <v>46.8</v>
      </c>
      <c r="J486" s="39" t="n">
        <v>599.99</v>
      </c>
      <c r="K486" s="37" t="s">
        <v>518</v>
      </c>
      <c r="L486" s="39" t="n">
        <v>117.76</v>
      </c>
      <c r="M486" s="39" t="n">
        <v>65.36</v>
      </c>
      <c r="N486" s="39" t="n">
        <f aca="false">J486*Resumo!$C$6</f>
        <v>0</v>
      </c>
      <c r="O486" s="39" t="n">
        <f aca="false">J486*Resumo!$C$7</f>
        <v>1.259979</v>
      </c>
      <c r="P486" s="39" t="n">
        <f aca="false">J486*Resumo!$C$8</f>
        <v>1.259979</v>
      </c>
      <c r="Q486" s="39" t="n">
        <f aca="false">Resumo!$C$10*CEILING(I486/100,1)</f>
        <v>1.05</v>
      </c>
      <c r="R486" s="39" t="n">
        <f aca="false">Resumo!$C$9</f>
        <v>0</v>
      </c>
      <c r="S486" s="39" t="n">
        <f aca="false">Resumo!$C$13</f>
        <v>13.55</v>
      </c>
      <c r="T486" s="39" t="n">
        <f aca="false">Resumo!$C$14*CEILING(I486,1)</f>
        <v>21.15</v>
      </c>
      <c r="U486" s="39" t="n">
        <f aca="false">SUM(M486:T486)*Resumo!$C$11</f>
        <v>0</v>
      </c>
      <c r="V486" s="39" t="n">
        <f aca="false">SUM(M486:U486)</f>
        <v>103.629958</v>
      </c>
      <c r="W486" s="39" t="n">
        <f aca="false">V486/(1-Resumo!$C$5)</f>
        <v>117.761315909091</v>
      </c>
      <c r="X486" s="39" t="n">
        <v>93.97</v>
      </c>
      <c r="Y486" s="39" t="n">
        <f aca="false">J486*Resumo!$B$6</f>
        <v>0.59999</v>
      </c>
      <c r="Z486" s="39" t="n">
        <f aca="false">J486*Resumo!$B$7</f>
        <v>1.19998</v>
      </c>
      <c r="AA486" s="39" t="n">
        <f aca="false">Resumo!$B$9</f>
        <v>1</v>
      </c>
      <c r="AB486" s="39" t="n">
        <f aca="false">Resumo!$B$10*CEILING(I486/100,1)</f>
        <v>4.5</v>
      </c>
      <c r="AC486" s="39" t="n">
        <f aca="false">Resumo!$B$12*CEILING(I486,1)</f>
        <v>2.82</v>
      </c>
      <c r="AD486" s="39" t="n">
        <f aca="false">Resumo!$B$14*CEILING(I486,1)</f>
        <v>21.15</v>
      </c>
      <c r="AE486" s="39" t="n">
        <f aca="false">SUM(X486:AD486)</f>
        <v>125.23997</v>
      </c>
      <c r="AF486" s="39" t="n">
        <f aca="false">AE486/(1-Resumo!$B$5)</f>
        <v>142.318147727273</v>
      </c>
      <c r="AG486" s="39" t="n">
        <f aca="false">AF486-W486</f>
        <v>24.5568318181818</v>
      </c>
      <c r="AH486" s="40" t="n">
        <f aca="false">AF486/W486-1</f>
        <v>0.208530548666246</v>
      </c>
      <c r="AI486" s="37" t="str">
        <f aca="false">IF(AF486&lt;W486,"SIM","NÃO")</f>
        <v>NÃO</v>
      </c>
      <c r="AJ486" s="37" t="n">
        <v>2</v>
      </c>
      <c r="AK486" s="37" t="n">
        <v>5</v>
      </c>
      <c r="AL486" s="37" t="s">
        <v>343</v>
      </c>
      <c r="AM486" s="39" t="n">
        <v>116.95</v>
      </c>
    </row>
    <row r="487" customFormat="false" ht="15" hidden="false" customHeight="false" outlineLevel="0" collapsed="false">
      <c r="A487" s="37" t="n">
        <v>370350679</v>
      </c>
      <c r="B487" s="38" t="n">
        <v>46236.4597569444</v>
      </c>
      <c r="C487" s="37" t="s">
        <v>361</v>
      </c>
      <c r="D487" s="37" t="s">
        <v>823</v>
      </c>
      <c r="E487" s="37" t="n">
        <v>25086296</v>
      </c>
      <c r="F487" s="37" t="s">
        <v>161</v>
      </c>
      <c r="G487" s="37" t="s">
        <v>197</v>
      </c>
      <c r="H487" s="37" t="s">
        <v>185</v>
      </c>
      <c r="I487" s="37" t="n">
        <v>37.59</v>
      </c>
      <c r="J487" s="39" t="n">
        <v>424.99</v>
      </c>
      <c r="K487" s="37" t="s">
        <v>342</v>
      </c>
      <c r="L487" s="39" t="n">
        <v>112.99</v>
      </c>
      <c r="M487" s="39" t="n">
        <v>66.83</v>
      </c>
      <c r="N487" s="39" t="n">
        <f aca="false">J487*Resumo!$C$6</f>
        <v>0</v>
      </c>
      <c r="O487" s="39" t="n">
        <f aca="false">J487*Resumo!$C$7</f>
        <v>0.892479</v>
      </c>
      <c r="P487" s="39" t="n">
        <f aca="false">J487*Resumo!$C$8</f>
        <v>0.892479</v>
      </c>
      <c r="Q487" s="39" t="n">
        <f aca="false">Resumo!$C$10*CEILING(I487/100,1)</f>
        <v>1.05</v>
      </c>
      <c r="R487" s="39" t="n">
        <f aca="false">Resumo!$C$9</f>
        <v>0</v>
      </c>
      <c r="S487" s="39" t="n">
        <f aca="false">Resumo!$C$13</f>
        <v>13.55</v>
      </c>
      <c r="T487" s="39" t="n">
        <f aca="false">Resumo!$C$14*CEILING(I487,1)</f>
        <v>17.1</v>
      </c>
      <c r="U487" s="39" t="n">
        <f aca="false">SUM(M487:T487)*Resumo!$C$11</f>
        <v>0</v>
      </c>
      <c r="V487" s="39" t="n">
        <f aca="false">SUM(M487:U487)</f>
        <v>100.314958</v>
      </c>
      <c r="W487" s="39" t="n">
        <f aca="false">V487/(1-Resumo!$C$5)</f>
        <v>113.994270454545</v>
      </c>
      <c r="X487" s="39" t="n">
        <v>93.97</v>
      </c>
      <c r="Y487" s="39" t="n">
        <f aca="false">J487*Resumo!$B$6</f>
        <v>0.42499</v>
      </c>
      <c r="Z487" s="39" t="n">
        <f aca="false">J487*Resumo!$B$7</f>
        <v>0.84998</v>
      </c>
      <c r="AA487" s="39" t="n">
        <f aca="false">Resumo!$B$9</f>
        <v>1</v>
      </c>
      <c r="AB487" s="39" t="n">
        <f aca="false">Resumo!$B$10*CEILING(I487/100,1)</f>
        <v>4.5</v>
      </c>
      <c r="AC487" s="39" t="n">
        <f aca="false">Resumo!$B$12*CEILING(I487,1)</f>
        <v>2.28</v>
      </c>
      <c r="AD487" s="39" t="n">
        <f aca="false">Resumo!$B$14*CEILING(I487,1)</f>
        <v>17.1</v>
      </c>
      <c r="AE487" s="39" t="n">
        <f aca="false">SUM(X487:AD487)</f>
        <v>120.12497</v>
      </c>
      <c r="AF487" s="39" t="n">
        <f aca="false">AE487/(1-Resumo!$B$5)</f>
        <v>136.505647727273</v>
      </c>
      <c r="AG487" s="39" t="n">
        <f aca="false">AF487-W487</f>
        <v>22.5113772727273</v>
      </c>
      <c r="AH487" s="40" t="n">
        <f aca="false">AF487/W487-1</f>
        <v>0.197478146778469</v>
      </c>
      <c r="AI487" s="37" t="str">
        <f aca="false">IF(AF487&lt;W487,"SIM","NÃO")</f>
        <v>NÃO</v>
      </c>
      <c r="AJ487" s="37" t="n">
        <v>2</v>
      </c>
      <c r="AK487" s="37" t="n">
        <v>5</v>
      </c>
      <c r="AL487" s="37" t="s">
        <v>343</v>
      </c>
      <c r="AM487" s="39" t="n">
        <v>112.99</v>
      </c>
    </row>
    <row r="488" customFormat="false" ht="15" hidden="false" customHeight="false" outlineLevel="0" collapsed="false">
      <c r="A488" s="37" t="n">
        <v>370430913</v>
      </c>
      <c r="B488" s="38" t="n">
        <v>46236.5358449074</v>
      </c>
      <c r="C488" s="37" t="s">
        <v>361</v>
      </c>
      <c r="D488" s="37" t="s">
        <v>824</v>
      </c>
      <c r="E488" s="37" t="n">
        <v>22773260</v>
      </c>
      <c r="F488" s="37" t="s">
        <v>159</v>
      </c>
      <c r="G488" s="37" t="s">
        <v>196</v>
      </c>
      <c r="H488" s="37" t="s">
        <v>185</v>
      </c>
      <c r="I488" s="37" t="n">
        <v>36.8</v>
      </c>
      <c r="J488" s="39" t="n">
        <v>499.99</v>
      </c>
      <c r="K488" s="37" t="s">
        <v>342</v>
      </c>
      <c r="L488" s="39" t="n">
        <v>92.25</v>
      </c>
      <c r="M488" s="39" t="n">
        <v>48.35</v>
      </c>
      <c r="N488" s="39" t="n">
        <f aca="false">J488*Resumo!$C$6</f>
        <v>0</v>
      </c>
      <c r="O488" s="39" t="n">
        <f aca="false">J488*Resumo!$C$7</f>
        <v>1.049979</v>
      </c>
      <c r="P488" s="39" t="n">
        <f aca="false">J488*Resumo!$C$8</f>
        <v>1.049979</v>
      </c>
      <c r="Q488" s="39" t="n">
        <f aca="false">Resumo!$C$10*CEILING(I488/100,1)</f>
        <v>1.05</v>
      </c>
      <c r="R488" s="39" t="n">
        <f aca="false">Resumo!$C$9</f>
        <v>0</v>
      </c>
      <c r="S488" s="39" t="n">
        <f aca="false">Resumo!$C$13</f>
        <v>13.55</v>
      </c>
      <c r="T488" s="39" t="n">
        <f aca="false">Resumo!$C$14*CEILING(I488,1)</f>
        <v>16.65</v>
      </c>
      <c r="U488" s="39" t="n">
        <f aca="false">SUM(M488:T488)*Resumo!$C$11</f>
        <v>0</v>
      </c>
      <c r="V488" s="39" t="n">
        <f aca="false">SUM(M488:U488)</f>
        <v>81.699958</v>
      </c>
      <c r="W488" s="39" t="n">
        <f aca="false">V488/(1-Resumo!$C$5)</f>
        <v>92.8408613636364</v>
      </c>
      <c r="X488" s="39" t="n">
        <v>93.97</v>
      </c>
      <c r="Y488" s="39" t="n">
        <f aca="false">J488*Resumo!$B$6</f>
        <v>0.49999</v>
      </c>
      <c r="Z488" s="39" t="n">
        <f aca="false">J488*Resumo!$B$7</f>
        <v>0.99998</v>
      </c>
      <c r="AA488" s="39" t="n">
        <f aca="false">Resumo!$B$9</f>
        <v>1</v>
      </c>
      <c r="AB488" s="39" t="n">
        <f aca="false">Resumo!$B$10*CEILING(I488/100,1)</f>
        <v>4.5</v>
      </c>
      <c r="AC488" s="39" t="n">
        <f aca="false">Resumo!$B$12*CEILING(I488,1)</f>
        <v>2.22</v>
      </c>
      <c r="AD488" s="39" t="n">
        <f aca="false">Resumo!$B$14*CEILING(I488,1)</f>
        <v>16.65</v>
      </c>
      <c r="AE488" s="39" t="n">
        <f aca="false">SUM(X488:AD488)</f>
        <v>119.83997</v>
      </c>
      <c r="AF488" s="39" t="n">
        <f aca="false">AE488/(1-Resumo!$B$5)</f>
        <v>136.181784090909</v>
      </c>
      <c r="AG488" s="39" t="n">
        <f aca="false">AF488-W488</f>
        <v>43.3409227272727</v>
      </c>
      <c r="AH488" s="40" t="n">
        <f aca="false">AF488/W488-1</f>
        <v>0.466830252226078</v>
      </c>
      <c r="AI488" s="37" t="str">
        <f aca="false">IF(AF488&lt;W488,"SIM","NÃO")</f>
        <v>NÃO</v>
      </c>
      <c r="AJ488" s="37" t="n">
        <v>2</v>
      </c>
      <c r="AK488" s="37" t="n">
        <v>5</v>
      </c>
      <c r="AL488" s="37" t="s">
        <v>343</v>
      </c>
      <c r="AM488" s="39" t="n">
        <v>92.25</v>
      </c>
    </row>
    <row r="489" customFormat="false" ht="15" hidden="false" customHeight="false" outlineLevel="0" collapsed="false">
      <c r="A489" s="37" t="n">
        <v>370465831</v>
      </c>
      <c r="B489" s="38" t="n">
        <v>46236.5669675926</v>
      </c>
      <c r="C489" s="37" t="s">
        <v>345</v>
      </c>
      <c r="D489" s="37" t="s">
        <v>825</v>
      </c>
      <c r="E489" s="37" t="n">
        <v>21250540</v>
      </c>
      <c r="F489" s="37" t="s">
        <v>159</v>
      </c>
      <c r="G489" s="37" t="s">
        <v>196</v>
      </c>
      <c r="H489" s="37" t="s">
        <v>188</v>
      </c>
      <c r="I489" s="37" t="n">
        <v>60.1</v>
      </c>
      <c r="J489" s="39" t="n">
        <v>999.09</v>
      </c>
      <c r="K489" s="37" t="s">
        <v>342</v>
      </c>
      <c r="L489" s="39" t="n">
        <v>126</v>
      </c>
      <c r="M489" s="39" t="n">
        <v>63.21</v>
      </c>
      <c r="N489" s="39" t="n">
        <f aca="false">J489*Resumo!$C$6</f>
        <v>0</v>
      </c>
      <c r="O489" s="39" t="n">
        <f aca="false">J489*Resumo!$C$7</f>
        <v>2.098089</v>
      </c>
      <c r="P489" s="39" t="n">
        <f aca="false">J489*Resumo!$C$8</f>
        <v>2.098089</v>
      </c>
      <c r="Q489" s="39" t="n">
        <f aca="false">Resumo!$C$10*CEILING(I489/100,1)</f>
        <v>1.05</v>
      </c>
      <c r="R489" s="39" t="n">
        <f aca="false">Resumo!$C$9</f>
        <v>0</v>
      </c>
      <c r="S489" s="39" t="n">
        <f aca="false">Resumo!$C$13</f>
        <v>13.55</v>
      </c>
      <c r="T489" s="39" t="n">
        <f aca="false">Resumo!$C$14*CEILING(I489,1)</f>
        <v>27.45</v>
      </c>
      <c r="U489" s="39" t="n">
        <f aca="false">SUM(M489:T489)*Resumo!$C$11</f>
        <v>0</v>
      </c>
      <c r="V489" s="39" t="n">
        <f aca="false">SUM(M489:U489)</f>
        <v>109.456178</v>
      </c>
      <c r="W489" s="39" t="n">
        <f aca="false">V489/(1-Resumo!$C$5)</f>
        <v>124.382020454545</v>
      </c>
      <c r="X489" s="39" t="n">
        <v>131.02</v>
      </c>
      <c r="Y489" s="39" t="n">
        <f aca="false">J489*Resumo!$B$6</f>
        <v>0.99909</v>
      </c>
      <c r="Z489" s="39" t="n">
        <f aca="false">J489*Resumo!$B$7</f>
        <v>1.99818</v>
      </c>
      <c r="AA489" s="39" t="n">
        <f aca="false">Resumo!$B$9</f>
        <v>1</v>
      </c>
      <c r="AB489" s="39" t="n">
        <f aca="false">Resumo!$B$10*CEILING(I489/100,1)</f>
        <v>4.5</v>
      </c>
      <c r="AC489" s="39" t="n">
        <f aca="false">Resumo!$B$12*CEILING(I489,1)</f>
        <v>3.66</v>
      </c>
      <c r="AD489" s="39" t="n">
        <f aca="false">Resumo!$B$14*CEILING(I489,1)</f>
        <v>27.45</v>
      </c>
      <c r="AE489" s="39" t="n">
        <f aca="false">SUM(X489:AD489)</f>
        <v>170.62727</v>
      </c>
      <c r="AF489" s="39" t="n">
        <f aca="false">AE489/(1-Resumo!$B$5)</f>
        <v>193.894625</v>
      </c>
      <c r="AG489" s="39" t="n">
        <f aca="false">AF489-W489</f>
        <v>69.5126045454546</v>
      </c>
      <c r="AH489" s="40" t="n">
        <f aca="false">AF489/W489-1</f>
        <v>0.558863767379124</v>
      </c>
      <c r="AI489" s="37" t="str">
        <f aca="false">IF(AF489&lt;W489,"SIM","NÃO")</f>
        <v>NÃO</v>
      </c>
      <c r="AJ489" s="37" t="n">
        <v>2</v>
      </c>
      <c r="AK489" s="37" t="n">
        <v>5</v>
      </c>
      <c r="AL489" s="37" t="s">
        <v>343</v>
      </c>
      <c r="AM489" s="39" t="n">
        <v>126</v>
      </c>
    </row>
    <row r="490" customFormat="false" ht="15" hidden="false" customHeight="false" outlineLevel="0" collapsed="false">
      <c r="A490" s="37" t="n">
        <v>370495359</v>
      </c>
      <c r="B490" s="38" t="n">
        <v>46236.6143518519</v>
      </c>
      <c r="C490" s="37" t="s">
        <v>340</v>
      </c>
      <c r="D490" s="37" t="s">
        <v>826</v>
      </c>
      <c r="E490" s="37" t="n">
        <v>23076410</v>
      </c>
      <c r="F490" s="37" t="s">
        <v>159</v>
      </c>
      <c r="G490" s="37" t="s">
        <v>196</v>
      </c>
      <c r="H490" s="37" t="s">
        <v>187</v>
      </c>
      <c r="I490" s="37" t="n">
        <v>58.6</v>
      </c>
      <c r="J490" s="39" t="n">
        <v>669.99</v>
      </c>
      <c r="K490" s="37" t="s">
        <v>518</v>
      </c>
      <c r="L490" s="39" t="n">
        <v>116.56</v>
      </c>
      <c r="M490" s="39" t="n">
        <v>58.6</v>
      </c>
      <c r="N490" s="39" t="n">
        <f aca="false">J490*Resumo!$C$6</f>
        <v>0</v>
      </c>
      <c r="O490" s="39" t="n">
        <f aca="false">J490*Resumo!$C$7</f>
        <v>1.406979</v>
      </c>
      <c r="P490" s="39" t="n">
        <f aca="false">J490*Resumo!$C$8</f>
        <v>1.406979</v>
      </c>
      <c r="Q490" s="39" t="n">
        <f aca="false">Resumo!$C$10*CEILING(I490/100,1)</f>
        <v>1.05</v>
      </c>
      <c r="R490" s="39" t="n">
        <f aca="false">Resumo!$C$9</f>
        <v>0</v>
      </c>
      <c r="S490" s="39" t="n">
        <f aca="false">Resumo!$C$13</f>
        <v>13.55</v>
      </c>
      <c r="T490" s="39" t="n">
        <f aca="false">Resumo!$C$14*CEILING(I490,1)</f>
        <v>26.55</v>
      </c>
      <c r="U490" s="39" t="n">
        <f aca="false">SUM(M490:T490)*Resumo!$C$11</f>
        <v>0</v>
      </c>
      <c r="V490" s="39" t="n">
        <f aca="false">SUM(M490:U490)</f>
        <v>102.563958</v>
      </c>
      <c r="W490" s="39" t="n">
        <f aca="false">V490/(1-Resumo!$C$5)</f>
        <v>116.549952272727</v>
      </c>
      <c r="X490" s="39" t="n">
        <v>112.3</v>
      </c>
      <c r="Y490" s="39" t="n">
        <f aca="false">J490*Resumo!$B$6</f>
        <v>0.66999</v>
      </c>
      <c r="Z490" s="39" t="n">
        <f aca="false">J490*Resumo!$B$7</f>
        <v>1.33998</v>
      </c>
      <c r="AA490" s="39" t="n">
        <f aca="false">Resumo!$B$9</f>
        <v>1</v>
      </c>
      <c r="AB490" s="39" t="n">
        <f aca="false">Resumo!$B$10*CEILING(I490/100,1)</f>
        <v>4.5</v>
      </c>
      <c r="AC490" s="39" t="n">
        <f aca="false">Resumo!$B$12*CEILING(I490,1)</f>
        <v>3.54</v>
      </c>
      <c r="AD490" s="39" t="n">
        <f aca="false">Resumo!$B$14*CEILING(I490,1)</f>
        <v>26.55</v>
      </c>
      <c r="AE490" s="39" t="n">
        <f aca="false">SUM(X490:AD490)</f>
        <v>149.89997</v>
      </c>
      <c r="AF490" s="39" t="n">
        <f aca="false">AE490/(1-Resumo!$B$5)</f>
        <v>170.340875</v>
      </c>
      <c r="AG490" s="39" t="n">
        <f aca="false">AF490-W490</f>
        <v>53.7909227272727</v>
      </c>
      <c r="AH490" s="40" t="n">
        <f aca="false">AF490/W490-1</f>
        <v>0.461526767521979</v>
      </c>
      <c r="AI490" s="37" t="str">
        <f aca="false">IF(AF490&lt;W490,"SIM","NÃO")</f>
        <v>NÃO</v>
      </c>
      <c r="AJ490" s="37" t="n">
        <v>2</v>
      </c>
      <c r="AK490" s="37" t="n">
        <v>5</v>
      </c>
      <c r="AL490" s="37" t="s">
        <v>343</v>
      </c>
      <c r="AM490" s="39" t="n">
        <v>114.36</v>
      </c>
    </row>
    <row r="491" customFormat="false" ht="15" hidden="false" customHeight="false" outlineLevel="0" collapsed="false">
      <c r="A491" s="37" t="n">
        <v>370498415</v>
      </c>
      <c r="B491" s="38" t="n">
        <v>46236.6175115741</v>
      </c>
      <c r="C491" s="37" t="s">
        <v>340</v>
      </c>
      <c r="D491" s="37" t="s">
        <v>827</v>
      </c>
      <c r="E491" s="37" t="n">
        <v>26062320</v>
      </c>
      <c r="F491" s="37" t="s">
        <v>162</v>
      </c>
      <c r="G491" s="37" t="s">
        <v>197</v>
      </c>
      <c r="H491" s="37" t="s">
        <v>191</v>
      </c>
      <c r="I491" s="37" t="n">
        <v>106.5</v>
      </c>
      <c r="J491" s="39" t="n">
        <v>1199.99</v>
      </c>
      <c r="K491" s="37" t="s">
        <v>342</v>
      </c>
      <c r="L491" s="39" t="n">
        <v>195.58</v>
      </c>
      <c r="M491" s="39" t="n">
        <v>101.26</v>
      </c>
      <c r="N491" s="39" t="n">
        <f aca="false">J491*Resumo!$C$6</f>
        <v>0</v>
      </c>
      <c r="O491" s="39" t="n">
        <f aca="false">J491*Resumo!$C$7</f>
        <v>2.519979</v>
      </c>
      <c r="P491" s="39" t="n">
        <f aca="false">J491*Resumo!$C$8</f>
        <v>2.519979</v>
      </c>
      <c r="Q491" s="39" t="n">
        <f aca="false">Resumo!$C$10*CEILING(I491/100,1)</f>
        <v>2.1</v>
      </c>
      <c r="R491" s="39" t="n">
        <f aca="false">Resumo!$C$9</f>
        <v>0</v>
      </c>
      <c r="S491" s="39" t="n">
        <f aca="false">Resumo!$C$13</f>
        <v>13.55</v>
      </c>
      <c r="T491" s="39" t="n">
        <f aca="false">Resumo!$C$14*CEILING(I491,1)</f>
        <v>48.15</v>
      </c>
      <c r="U491" s="39" t="n">
        <f aca="false">SUM(M491:T491)*Resumo!$C$11</f>
        <v>0</v>
      </c>
      <c r="V491" s="39" t="n">
        <f aca="false">SUM(M491:U491)</f>
        <v>170.099958</v>
      </c>
      <c r="W491" s="39" t="n">
        <f aca="false">V491/(1-Resumo!$C$5)</f>
        <v>193.295406818182</v>
      </c>
      <c r="X491" s="39" t="n">
        <v>201.59</v>
      </c>
      <c r="Y491" s="39" t="n">
        <f aca="false">J491*Resumo!$B$6</f>
        <v>1.19999</v>
      </c>
      <c r="Z491" s="39" t="n">
        <f aca="false">J491*Resumo!$B$7</f>
        <v>2.39998</v>
      </c>
      <c r="AA491" s="39" t="n">
        <f aca="false">Resumo!$B$9</f>
        <v>1</v>
      </c>
      <c r="AB491" s="39" t="n">
        <f aca="false">Resumo!$B$10*CEILING(I491/100,1)</f>
        <v>9</v>
      </c>
      <c r="AC491" s="39" t="n">
        <f aca="false">Resumo!$B$12*CEILING(I491,1)</f>
        <v>6.42</v>
      </c>
      <c r="AD491" s="39" t="n">
        <f aca="false">Resumo!$B$14*CEILING(I491,1)</f>
        <v>48.15</v>
      </c>
      <c r="AE491" s="39" t="n">
        <f aca="false">SUM(X491:AD491)</f>
        <v>269.75997</v>
      </c>
      <c r="AF491" s="39" t="n">
        <f aca="false">AE491/(1-Resumo!$B$5)</f>
        <v>306.545420454546</v>
      </c>
      <c r="AG491" s="39" t="n">
        <f aca="false">AF491-W491</f>
        <v>113.250013636364</v>
      </c>
      <c r="AH491" s="40" t="n">
        <f aca="false">AF491/W491-1</f>
        <v>0.585890867768468</v>
      </c>
      <c r="AI491" s="37" t="str">
        <f aca="false">IF(AF491&lt;W491,"SIM","NÃO")</f>
        <v>NÃO</v>
      </c>
      <c r="AJ491" s="37" t="n">
        <v>2</v>
      </c>
      <c r="AK491" s="37" t="n">
        <v>5</v>
      </c>
      <c r="AL491" s="37" t="s">
        <v>343</v>
      </c>
      <c r="AM491" s="39" t="n">
        <v>195.58</v>
      </c>
    </row>
    <row r="492" customFormat="false" ht="15" hidden="false" customHeight="false" outlineLevel="0" collapsed="false">
      <c r="A492" s="37" t="n">
        <v>370500000</v>
      </c>
      <c r="B492" s="38" t="n">
        <v>46236.6192476852</v>
      </c>
      <c r="C492" s="37" t="s">
        <v>340</v>
      </c>
      <c r="D492" s="37" t="s">
        <v>828</v>
      </c>
      <c r="E492" s="37" t="n">
        <v>21040005</v>
      </c>
      <c r="F492" s="37" t="s">
        <v>159</v>
      </c>
      <c r="G492" s="37" t="s">
        <v>196</v>
      </c>
      <c r="H492" s="37" t="s">
        <v>184</v>
      </c>
      <c r="I492" s="37" t="n">
        <v>20.9</v>
      </c>
      <c r="J492" s="39" t="n">
        <v>449.99</v>
      </c>
      <c r="K492" s="37" t="s">
        <v>342</v>
      </c>
      <c r="L492" s="39" t="n">
        <v>82.48</v>
      </c>
      <c r="M492" s="39" t="n">
        <v>42.11</v>
      </c>
      <c r="N492" s="39" t="n">
        <f aca="false">J492*Resumo!$C$6</f>
        <v>0</v>
      </c>
      <c r="O492" s="39" t="n">
        <f aca="false">J492*Resumo!$C$7</f>
        <v>0.944979</v>
      </c>
      <c r="P492" s="39" t="n">
        <f aca="false">J492*Resumo!$C$8</f>
        <v>0.944979</v>
      </c>
      <c r="Q492" s="39" t="n">
        <f aca="false">Resumo!$C$10*CEILING(I492/100,1)</f>
        <v>1.05</v>
      </c>
      <c r="R492" s="39" t="n">
        <f aca="false">Resumo!$C$9</f>
        <v>0</v>
      </c>
      <c r="S492" s="39" t="n">
        <f aca="false">Resumo!$C$13</f>
        <v>13.55</v>
      </c>
      <c r="T492" s="39" t="n">
        <f aca="false">Resumo!$C$14*CEILING(I492,1)</f>
        <v>9.45</v>
      </c>
      <c r="U492" s="39" t="n">
        <f aca="false">SUM(M492:T492)*Resumo!$C$11</f>
        <v>0</v>
      </c>
      <c r="V492" s="39" t="n">
        <f aca="false">SUM(M492:U492)</f>
        <v>68.049958</v>
      </c>
      <c r="W492" s="39" t="n">
        <f aca="false">V492/(1-Resumo!$C$5)</f>
        <v>77.3294977272727</v>
      </c>
      <c r="X492" s="39" t="n">
        <v>82.21</v>
      </c>
      <c r="Y492" s="39" t="n">
        <f aca="false">J492*Resumo!$B$6</f>
        <v>0.44999</v>
      </c>
      <c r="Z492" s="39" t="n">
        <f aca="false">J492*Resumo!$B$7</f>
        <v>0.89998</v>
      </c>
      <c r="AA492" s="39" t="n">
        <f aca="false">Resumo!$B$9</f>
        <v>1</v>
      </c>
      <c r="AB492" s="39" t="n">
        <f aca="false">Resumo!$B$10*CEILING(I492/100,1)</f>
        <v>4.5</v>
      </c>
      <c r="AC492" s="39" t="n">
        <f aca="false">Resumo!$B$12*CEILING(I492,1)</f>
        <v>1.26</v>
      </c>
      <c r="AD492" s="39" t="n">
        <f aca="false">Resumo!$B$14*CEILING(I492,1)</f>
        <v>9.45</v>
      </c>
      <c r="AE492" s="39" t="n">
        <f aca="false">SUM(X492:AD492)</f>
        <v>99.76997</v>
      </c>
      <c r="AF492" s="39" t="n">
        <f aca="false">AE492/(1-Resumo!$B$5)</f>
        <v>113.374965909091</v>
      </c>
      <c r="AG492" s="39" t="n">
        <f aca="false">AF492-W492</f>
        <v>36.0454681818182</v>
      </c>
      <c r="AH492" s="40" t="n">
        <f aca="false">AF492/W492-1</f>
        <v>0.466128311203366</v>
      </c>
      <c r="AI492" s="37" t="str">
        <f aca="false">IF(AF492&lt;W492,"SIM","NÃO")</f>
        <v>NÃO</v>
      </c>
      <c r="AJ492" s="37" t="n">
        <v>2</v>
      </c>
      <c r="AK492" s="37" t="n">
        <v>5</v>
      </c>
      <c r="AL492" s="37" t="s">
        <v>343</v>
      </c>
      <c r="AM492" s="39" t="n">
        <v>82.48</v>
      </c>
    </row>
    <row r="493" customFormat="false" ht="15" hidden="false" customHeight="false" outlineLevel="0" collapsed="false">
      <c r="A493" s="37" t="n">
        <v>370517917</v>
      </c>
      <c r="B493" s="38" t="n">
        <v>46236.6412731482</v>
      </c>
      <c r="C493" s="37" t="s">
        <v>340</v>
      </c>
      <c r="D493" s="37" t="s">
        <v>829</v>
      </c>
      <c r="E493" s="37" t="n">
        <v>24340100</v>
      </c>
      <c r="F493" s="37" t="s">
        <v>163</v>
      </c>
      <c r="G493" s="37" t="s">
        <v>197</v>
      </c>
      <c r="H493" s="37" t="s">
        <v>187</v>
      </c>
      <c r="I493" s="37" t="n">
        <v>52.3</v>
      </c>
      <c r="J493" s="39" t="n">
        <v>685.85</v>
      </c>
      <c r="K493" s="37" t="s">
        <v>518</v>
      </c>
      <c r="L493" s="39" t="n">
        <v>127.62</v>
      </c>
      <c r="M493" s="39" t="n">
        <v>70.98</v>
      </c>
      <c r="N493" s="39" t="n">
        <f aca="false">J493*Resumo!$C$6</f>
        <v>0</v>
      </c>
      <c r="O493" s="39" t="n">
        <f aca="false">J493*Resumo!$C$7</f>
        <v>1.440285</v>
      </c>
      <c r="P493" s="39" t="n">
        <f aca="false">J493*Resumo!$C$8</f>
        <v>1.440285</v>
      </c>
      <c r="Q493" s="39" t="n">
        <f aca="false">Resumo!$C$10*CEILING(I493/100,1)</f>
        <v>1.05</v>
      </c>
      <c r="R493" s="39" t="n">
        <f aca="false">Resumo!$C$9</f>
        <v>0</v>
      </c>
      <c r="S493" s="39" t="n">
        <f aca="false">Resumo!$C$13</f>
        <v>13.55</v>
      </c>
      <c r="T493" s="39" t="n">
        <f aca="false">Resumo!$C$14*CEILING(I493,1)</f>
        <v>23.85</v>
      </c>
      <c r="U493" s="39" t="n">
        <f aca="false">SUM(M493:T493)*Resumo!$C$11</f>
        <v>0</v>
      </c>
      <c r="V493" s="39" t="n">
        <f aca="false">SUM(M493:U493)</f>
        <v>112.31057</v>
      </c>
      <c r="W493" s="39" t="n">
        <f aca="false">V493/(1-Resumo!$C$5)</f>
        <v>127.625647727273</v>
      </c>
      <c r="X493" s="39" t="n">
        <v>128.14</v>
      </c>
      <c r="Y493" s="39" t="n">
        <f aca="false">J493*Resumo!$B$6</f>
        <v>0.68585</v>
      </c>
      <c r="Z493" s="39" t="n">
        <f aca="false">J493*Resumo!$B$7</f>
        <v>1.3717</v>
      </c>
      <c r="AA493" s="39" t="n">
        <f aca="false">Resumo!$B$9</f>
        <v>1</v>
      </c>
      <c r="AB493" s="39" t="n">
        <f aca="false">Resumo!$B$10*CEILING(I493/100,1)</f>
        <v>4.5</v>
      </c>
      <c r="AC493" s="39" t="n">
        <f aca="false">Resumo!$B$12*CEILING(I493,1)</f>
        <v>3.18</v>
      </c>
      <c r="AD493" s="39" t="n">
        <f aca="false">Resumo!$B$14*CEILING(I493,1)</f>
        <v>23.85</v>
      </c>
      <c r="AE493" s="39" t="n">
        <f aca="false">SUM(X493:AD493)</f>
        <v>162.72755</v>
      </c>
      <c r="AF493" s="39" t="n">
        <f aca="false">AE493/(1-Resumo!$B$5)</f>
        <v>184.917670454545</v>
      </c>
      <c r="AG493" s="39" t="n">
        <f aca="false">AF493-W493</f>
        <v>57.2920227272727</v>
      </c>
      <c r="AH493" s="40" t="n">
        <f aca="false">AF493/W493-1</f>
        <v>0.448906812600096</v>
      </c>
      <c r="AI493" s="37" t="str">
        <f aca="false">IF(AF493&lt;W493,"SIM","NÃO")</f>
        <v>NÃO</v>
      </c>
      <c r="AJ493" s="37" t="n">
        <v>2</v>
      </c>
      <c r="AK493" s="37" t="n">
        <v>7</v>
      </c>
      <c r="AL493" s="37" t="s">
        <v>343</v>
      </c>
      <c r="AM493" s="39" t="n">
        <v>128.57</v>
      </c>
    </row>
    <row r="494" customFormat="false" ht="15" hidden="false" customHeight="false" outlineLevel="0" collapsed="false">
      <c r="A494" s="37" t="n">
        <v>370579255</v>
      </c>
      <c r="B494" s="38" t="n">
        <v>46236.7131712963</v>
      </c>
      <c r="C494" s="37" t="s">
        <v>340</v>
      </c>
      <c r="D494" s="37" t="s">
        <v>830</v>
      </c>
      <c r="E494" s="37" t="n">
        <v>20750040</v>
      </c>
      <c r="F494" s="37" t="s">
        <v>159</v>
      </c>
      <c r="G494" s="37" t="s">
        <v>196</v>
      </c>
      <c r="H494" s="37" t="s">
        <v>186</v>
      </c>
      <c r="I494" s="37" t="n">
        <v>49.6</v>
      </c>
      <c r="J494" s="39" t="n">
        <v>769.99</v>
      </c>
      <c r="K494" s="37" t="s">
        <v>342</v>
      </c>
      <c r="L494" s="39" t="n">
        <v>104.27</v>
      </c>
      <c r="M494" s="39" t="n">
        <v>53.55</v>
      </c>
      <c r="N494" s="39" t="n">
        <f aca="false">J494*Resumo!$C$6</f>
        <v>0</v>
      </c>
      <c r="O494" s="39" t="n">
        <f aca="false">J494*Resumo!$C$7</f>
        <v>1.616979</v>
      </c>
      <c r="P494" s="39" t="n">
        <f aca="false">J494*Resumo!$C$8</f>
        <v>1.616979</v>
      </c>
      <c r="Q494" s="39" t="n">
        <f aca="false">Resumo!$C$10*CEILING(I494/100,1)</f>
        <v>1.05</v>
      </c>
      <c r="R494" s="39" t="n">
        <f aca="false">Resumo!$C$9</f>
        <v>0</v>
      </c>
      <c r="S494" s="39" t="n">
        <f aca="false">Resumo!$C$13</f>
        <v>13.55</v>
      </c>
      <c r="T494" s="39" t="n">
        <f aca="false">Resumo!$C$14*CEILING(I494,1)</f>
        <v>22.5</v>
      </c>
      <c r="U494" s="39" t="n">
        <f aca="false">SUM(M494:T494)*Resumo!$C$11</f>
        <v>0</v>
      </c>
      <c r="V494" s="39" t="n">
        <f aca="false">SUM(M494:U494)</f>
        <v>93.883958</v>
      </c>
      <c r="W494" s="39" t="n">
        <f aca="false">V494/(1-Resumo!$C$5)</f>
        <v>106.686315909091</v>
      </c>
      <c r="X494" s="39" t="n">
        <v>93.97</v>
      </c>
      <c r="Y494" s="39" t="n">
        <f aca="false">J494*Resumo!$B$6</f>
        <v>0.76999</v>
      </c>
      <c r="Z494" s="39" t="n">
        <f aca="false">J494*Resumo!$B$7</f>
        <v>1.53998</v>
      </c>
      <c r="AA494" s="39" t="n">
        <f aca="false">Resumo!$B$9</f>
        <v>1</v>
      </c>
      <c r="AB494" s="39" t="n">
        <f aca="false">Resumo!$B$10*CEILING(I494/100,1)</f>
        <v>4.5</v>
      </c>
      <c r="AC494" s="39" t="n">
        <f aca="false">Resumo!$B$12*CEILING(I494,1)</f>
        <v>3</v>
      </c>
      <c r="AD494" s="39" t="n">
        <f aca="false">Resumo!$B$14*CEILING(I494,1)</f>
        <v>22.5</v>
      </c>
      <c r="AE494" s="39" t="n">
        <f aca="false">SUM(X494:AD494)</f>
        <v>127.27997</v>
      </c>
      <c r="AF494" s="39" t="n">
        <f aca="false">AE494/(1-Resumo!$B$5)</f>
        <v>144.636329545455</v>
      </c>
      <c r="AG494" s="39" t="n">
        <f aca="false">AF494-W494</f>
        <v>37.9500136363637</v>
      </c>
      <c r="AH494" s="40" t="n">
        <f aca="false">AF494/W494-1</f>
        <v>0.355715850837904</v>
      </c>
      <c r="AI494" s="37" t="str">
        <f aca="false">IF(AF494&lt;W494,"SIM","NÃO")</f>
        <v>NÃO</v>
      </c>
      <c r="AJ494" s="37" t="n">
        <v>2</v>
      </c>
      <c r="AK494" s="37" t="n">
        <v>5</v>
      </c>
      <c r="AL494" s="37" t="s">
        <v>343</v>
      </c>
      <c r="AM494" s="39" t="n">
        <v>104.28</v>
      </c>
    </row>
    <row r="495" customFormat="false" ht="15" hidden="false" customHeight="false" outlineLevel="0" collapsed="false">
      <c r="A495" s="37" t="n">
        <v>370585604</v>
      </c>
      <c r="B495" s="38" t="n">
        <v>46236.7215277778</v>
      </c>
      <c r="C495" s="37" t="s">
        <v>340</v>
      </c>
      <c r="D495" s="37" t="s">
        <v>831</v>
      </c>
      <c r="E495" s="37" t="n">
        <v>25957025</v>
      </c>
      <c r="F495" s="37" t="s">
        <v>235</v>
      </c>
      <c r="G495" s="37" t="s">
        <v>198</v>
      </c>
      <c r="H495" s="37" t="s">
        <v>192</v>
      </c>
      <c r="I495" s="37" t="n">
        <v>124</v>
      </c>
      <c r="J495" s="39" t="n">
        <v>1668.38</v>
      </c>
      <c r="K495" s="37" t="s">
        <v>518</v>
      </c>
      <c r="L495" s="39" t="n">
        <v>253.06</v>
      </c>
      <c r="M495" s="39" t="n">
        <v>144.24</v>
      </c>
      <c r="N495" s="39" t="n">
        <f aca="false">J495*Resumo!$C$6</f>
        <v>0</v>
      </c>
      <c r="O495" s="39" t="n">
        <f aca="false">J495*Resumo!$C$7</f>
        <v>3.503598</v>
      </c>
      <c r="P495" s="39" t="n">
        <f aca="false">J495*Resumo!$C$8</f>
        <v>3.503598</v>
      </c>
      <c r="Q495" s="39" t="n">
        <f aca="false">Resumo!$C$10*CEILING(I495/100,1)</f>
        <v>2.1</v>
      </c>
      <c r="R495" s="39" t="n">
        <f aca="false">Resumo!$C$9</f>
        <v>0</v>
      </c>
      <c r="S495" s="39" t="n">
        <f aca="false">Resumo!$C$13</f>
        <v>13.55</v>
      </c>
      <c r="T495" s="39" t="n">
        <f aca="false">Resumo!$C$14*CEILING(I495,1)</f>
        <v>55.8</v>
      </c>
      <c r="U495" s="39" t="n">
        <f aca="false">SUM(M495:T495)*Resumo!$C$11</f>
        <v>0</v>
      </c>
      <c r="V495" s="39" t="n">
        <f aca="false">SUM(M495:U495)</f>
        <v>222.697196</v>
      </c>
      <c r="W495" s="39" t="n">
        <f aca="false">V495/(1-Resumo!$C$5)</f>
        <v>253.064995454545</v>
      </c>
      <c r="X495" s="39" t="n">
        <v>264.84</v>
      </c>
      <c r="Y495" s="39" t="n">
        <f aca="false">J495*Resumo!$B$6</f>
        <v>1.66838</v>
      </c>
      <c r="Z495" s="39" t="n">
        <f aca="false">J495*Resumo!$B$7</f>
        <v>3.33676</v>
      </c>
      <c r="AA495" s="39" t="n">
        <f aca="false">Resumo!$B$9</f>
        <v>1</v>
      </c>
      <c r="AB495" s="39" t="n">
        <f aca="false">Resumo!$B$10*CEILING(I495/100,1)</f>
        <v>9</v>
      </c>
      <c r="AC495" s="39" t="n">
        <f aca="false">Resumo!$B$12*CEILING(I495,1)</f>
        <v>7.44</v>
      </c>
      <c r="AD495" s="39" t="n">
        <f aca="false">Resumo!$B$14*CEILING(I495,1)</f>
        <v>55.8</v>
      </c>
      <c r="AE495" s="39" t="n">
        <f aca="false">SUM(X495:AD495)</f>
        <v>343.08514</v>
      </c>
      <c r="AF495" s="39" t="n">
        <f aca="false">AE495/(1-Resumo!$B$5)</f>
        <v>389.869477272727</v>
      </c>
      <c r="AG495" s="39" t="n">
        <f aca="false">AF495-W495</f>
        <v>136.804481818182</v>
      </c>
      <c r="AH495" s="40" t="n">
        <f aca="false">AF495/W495-1</f>
        <v>0.540590300023355</v>
      </c>
      <c r="AI495" s="37" t="str">
        <f aca="false">IF(AF495&lt;W495,"SIM","NÃO")</f>
        <v>NÃO</v>
      </c>
      <c r="AJ495" s="37" t="n">
        <v>13</v>
      </c>
      <c r="AK495" s="37" t="n">
        <v>10</v>
      </c>
      <c r="AL495" s="37" t="s">
        <v>347</v>
      </c>
      <c r="AM495" s="39" t="n">
        <v>261.28</v>
      </c>
    </row>
    <row r="496" customFormat="false" ht="15" hidden="false" customHeight="false" outlineLevel="0" collapsed="false">
      <c r="A496" s="37" t="n">
        <v>370585715</v>
      </c>
      <c r="B496" s="38" t="n">
        <v>46236.7274768519</v>
      </c>
      <c r="C496" s="37" t="s">
        <v>361</v>
      </c>
      <c r="D496" s="37" t="s">
        <v>832</v>
      </c>
      <c r="E496" s="37" t="n">
        <v>26900000</v>
      </c>
      <c r="F496" s="37" t="s">
        <v>242</v>
      </c>
      <c r="G496" s="37" t="s">
        <v>198</v>
      </c>
      <c r="H496" s="37" t="s">
        <v>195</v>
      </c>
      <c r="I496" s="37" t="n">
        <v>200.3</v>
      </c>
      <c r="J496" s="39" t="n">
        <v>2124.99</v>
      </c>
      <c r="K496" s="37" t="s">
        <v>518</v>
      </c>
      <c r="L496" s="39" t="n">
        <v>376.08</v>
      </c>
      <c r="M496" s="39" t="n">
        <v>214.88</v>
      </c>
      <c r="N496" s="39" t="n">
        <f aca="false">J496*Resumo!$C$6</f>
        <v>0</v>
      </c>
      <c r="O496" s="39" t="n">
        <f aca="false">J496*Resumo!$C$7</f>
        <v>4.462479</v>
      </c>
      <c r="P496" s="39" t="n">
        <f aca="false">J496*Resumo!$C$8</f>
        <v>4.462479</v>
      </c>
      <c r="Q496" s="39" t="n">
        <f aca="false">Resumo!$C$10*CEILING(I496/100,1)</f>
        <v>3.15</v>
      </c>
      <c r="R496" s="39" t="n">
        <f aca="false">Resumo!$C$9</f>
        <v>0</v>
      </c>
      <c r="S496" s="39" t="n">
        <f aca="false">Resumo!$C$13</f>
        <v>13.55</v>
      </c>
      <c r="T496" s="39" t="n">
        <f aca="false">Resumo!$C$14*CEILING(I496,1)</f>
        <v>90.45</v>
      </c>
      <c r="U496" s="39" t="n">
        <f aca="false">SUM(M496:T496)*Resumo!$C$11</f>
        <v>0</v>
      </c>
      <c r="V496" s="39" t="n">
        <f aca="false">SUM(M496:U496)</f>
        <v>330.954958</v>
      </c>
      <c r="W496" s="39" t="n">
        <f aca="false">V496/(1-Resumo!$C$5)</f>
        <v>376.085179545455</v>
      </c>
      <c r="X496" s="39" t="n">
        <v>441.4</v>
      </c>
      <c r="Y496" s="39" t="n">
        <f aca="false">J496*Resumo!$B$6</f>
        <v>2.12499</v>
      </c>
      <c r="Z496" s="39" t="n">
        <f aca="false">J496*Resumo!$B$7</f>
        <v>4.24998</v>
      </c>
      <c r="AA496" s="39" t="n">
        <f aca="false">Resumo!$B$9</f>
        <v>1</v>
      </c>
      <c r="AB496" s="39" t="n">
        <f aca="false">Resumo!$B$10*CEILING(I496/100,1)</f>
        <v>13.5</v>
      </c>
      <c r="AC496" s="39" t="n">
        <f aca="false">Resumo!$B$12*CEILING(I496,1)</f>
        <v>12.06</v>
      </c>
      <c r="AD496" s="39" t="n">
        <f aca="false">Resumo!$B$14*CEILING(I496,1)</f>
        <v>90.45</v>
      </c>
      <c r="AE496" s="39" t="n">
        <f aca="false">SUM(X496:AD496)</f>
        <v>564.78497</v>
      </c>
      <c r="AF496" s="39" t="n">
        <f aca="false">AE496/(1-Resumo!$B$5)</f>
        <v>641.801102272727</v>
      </c>
      <c r="AG496" s="39" t="n">
        <f aca="false">AF496-W496</f>
        <v>265.715922727273</v>
      </c>
      <c r="AH496" s="40" t="n">
        <f aca="false">AF496/W496-1</f>
        <v>0.706531225315561</v>
      </c>
      <c r="AI496" s="37" t="str">
        <f aca="false">IF(AF496&lt;W496,"SIM","NÃO")</f>
        <v>NÃO</v>
      </c>
      <c r="AJ496" s="37" t="n">
        <v>13</v>
      </c>
      <c r="AK496" s="37" t="n">
        <v>10</v>
      </c>
      <c r="AL496" s="37" t="s">
        <v>347</v>
      </c>
      <c r="AM496" s="39" t="n">
        <v>393.29</v>
      </c>
    </row>
    <row r="497" customFormat="false" ht="15" hidden="false" customHeight="false" outlineLevel="0" collapsed="false">
      <c r="A497" s="37" t="n">
        <v>370591401</v>
      </c>
      <c r="B497" s="38" t="n">
        <v>46236.7290972222</v>
      </c>
      <c r="C497" s="37" t="s">
        <v>340</v>
      </c>
      <c r="D497" s="37" t="s">
        <v>833</v>
      </c>
      <c r="E497" s="37" t="n">
        <v>25015280</v>
      </c>
      <c r="F497" s="37" t="s">
        <v>161</v>
      </c>
      <c r="G497" s="37" t="s">
        <v>197</v>
      </c>
      <c r="H497" s="37" t="s">
        <v>187</v>
      </c>
      <c r="I497" s="37" t="n">
        <v>52.3</v>
      </c>
      <c r="J497" s="39" t="n">
        <v>685.85</v>
      </c>
      <c r="K497" s="37" t="s">
        <v>518</v>
      </c>
      <c r="L497" s="39" t="n">
        <v>127.62</v>
      </c>
      <c r="M497" s="39" t="n">
        <v>70.98</v>
      </c>
      <c r="N497" s="39" t="n">
        <f aca="false">J497*Resumo!$C$6</f>
        <v>0</v>
      </c>
      <c r="O497" s="39" t="n">
        <f aca="false">J497*Resumo!$C$7</f>
        <v>1.440285</v>
      </c>
      <c r="P497" s="39" t="n">
        <f aca="false">J497*Resumo!$C$8</f>
        <v>1.440285</v>
      </c>
      <c r="Q497" s="39" t="n">
        <f aca="false">Resumo!$C$10*CEILING(I497/100,1)</f>
        <v>1.05</v>
      </c>
      <c r="R497" s="39" t="n">
        <f aca="false">Resumo!$C$9</f>
        <v>0</v>
      </c>
      <c r="S497" s="39" t="n">
        <f aca="false">Resumo!$C$13</f>
        <v>13.55</v>
      </c>
      <c r="T497" s="39" t="n">
        <f aca="false">Resumo!$C$14*CEILING(I497,1)</f>
        <v>23.85</v>
      </c>
      <c r="U497" s="39" t="n">
        <f aca="false">SUM(M497:T497)*Resumo!$C$11</f>
        <v>0</v>
      </c>
      <c r="V497" s="39" t="n">
        <f aca="false">SUM(M497:U497)</f>
        <v>112.31057</v>
      </c>
      <c r="W497" s="39" t="n">
        <f aca="false">V497/(1-Resumo!$C$5)</f>
        <v>127.625647727273</v>
      </c>
      <c r="X497" s="39" t="n">
        <v>112.3</v>
      </c>
      <c r="Y497" s="39" t="n">
        <f aca="false">J497*Resumo!$B$6</f>
        <v>0.68585</v>
      </c>
      <c r="Z497" s="39" t="n">
        <f aca="false">J497*Resumo!$B$7</f>
        <v>1.3717</v>
      </c>
      <c r="AA497" s="39" t="n">
        <f aca="false">Resumo!$B$9</f>
        <v>1</v>
      </c>
      <c r="AB497" s="39" t="n">
        <f aca="false">Resumo!$B$10*CEILING(I497/100,1)</f>
        <v>4.5</v>
      </c>
      <c r="AC497" s="39" t="n">
        <f aca="false">Resumo!$B$12*CEILING(I497,1)</f>
        <v>3.18</v>
      </c>
      <c r="AD497" s="39" t="n">
        <f aca="false">Resumo!$B$14*CEILING(I497,1)</f>
        <v>23.85</v>
      </c>
      <c r="AE497" s="39" t="n">
        <f aca="false">SUM(X497:AD497)</f>
        <v>146.88755</v>
      </c>
      <c r="AF497" s="39" t="n">
        <f aca="false">AE497/(1-Resumo!$B$5)</f>
        <v>166.917670454545</v>
      </c>
      <c r="AG497" s="39" t="n">
        <f aca="false">AF497-W497</f>
        <v>39.2920227272727</v>
      </c>
      <c r="AH497" s="40" t="n">
        <f aca="false">AF497/W497-1</f>
        <v>0.30786933055366</v>
      </c>
      <c r="AI497" s="37" t="str">
        <f aca="false">IF(AF497&lt;W497,"SIM","NÃO")</f>
        <v>NÃO</v>
      </c>
      <c r="AJ497" s="37" t="n">
        <v>2</v>
      </c>
      <c r="AK497" s="37" t="n">
        <v>5</v>
      </c>
      <c r="AL497" s="37" t="s">
        <v>343</v>
      </c>
      <c r="AM497" s="39" t="n">
        <v>128.57</v>
      </c>
    </row>
    <row r="498" customFormat="false" ht="15" hidden="false" customHeight="false" outlineLevel="0" collapsed="false">
      <c r="A498" s="37" t="n">
        <v>370613921</v>
      </c>
      <c r="B498" s="38" t="n">
        <v>46236.7524074074</v>
      </c>
      <c r="C498" s="37" t="s">
        <v>345</v>
      </c>
      <c r="D498" s="37" t="s">
        <v>834</v>
      </c>
      <c r="E498" s="37" t="n">
        <v>20720010</v>
      </c>
      <c r="F498" s="37" t="s">
        <v>159</v>
      </c>
      <c r="G498" s="37" t="s">
        <v>196</v>
      </c>
      <c r="H498" s="37" t="s">
        <v>187</v>
      </c>
      <c r="I498" s="37" t="n">
        <v>52.3</v>
      </c>
      <c r="J498" s="39" t="n">
        <v>642.07</v>
      </c>
      <c r="K498" s="37" t="s">
        <v>518</v>
      </c>
      <c r="L498" s="39" t="n">
        <v>113.35</v>
      </c>
      <c r="M498" s="39" t="n">
        <v>58.6</v>
      </c>
      <c r="N498" s="39" t="n">
        <f aca="false">J498*Resumo!$C$6</f>
        <v>0</v>
      </c>
      <c r="O498" s="39" t="n">
        <f aca="false">J498*Resumo!$C$7</f>
        <v>1.348347</v>
      </c>
      <c r="P498" s="39" t="n">
        <f aca="false">J498*Resumo!$C$8</f>
        <v>1.348347</v>
      </c>
      <c r="Q498" s="39" t="n">
        <f aca="false">Resumo!$C$10*CEILING(I498/100,1)</f>
        <v>1.05</v>
      </c>
      <c r="R498" s="39" t="n">
        <f aca="false">Resumo!$C$9</f>
        <v>0</v>
      </c>
      <c r="S498" s="39" t="n">
        <f aca="false">Resumo!$C$13</f>
        <v>13.55</v>
      </c>
      <c r="T498" s="39" t="n">
        <f aca="false">Resumo!$C$14*CEILING(I498,1)</f>
        <v>23.85</v>
      </c>
      <c r="U498" s="39" t="n">
        <f aca="false">SUM(M498:T498)*Resumo!$C$11</f>
        <v>0</v>
      </c>
      <c r="V498" s="39" t="n">
        <f aca="false">SUM(M498:U498)</f>
        <v>99.746694</v>
      </c>
      <c r="W498" s="39" t="n">
        <f aca="false">V498/(1-Resumo!$C$5)</f>
        <v>113.348515909091</v>
      </c>
      <c r="X498" s="39" t="n">
        <v>112.3</v>
      </c>
      <c r="Y498" s="39" t="n">
        <f aca="false">J498*Resumo!$B$6</f>
        <v>0.64207</v>
      </c>
      <c r="Z498" s="39" t="n">
        <f aca="false">J498*Resumo!$B$7</f>
        <v>1.28414</v>
      </c>
      <c r="AA498" s="39" t="n">
        <f aca="false">Resumo!$B$9</f>
        <v>1</v>
      </c>
      <c r="AB498" s="39" t="n">
        <f aca="false">Resumo!$B$10*CEILING(I498/100,1)</f>
        <v>4.5</v>
      </c>
      <c r="AC498" s="39" t="n">
        <f aca="false">Resumo!$B$12*CEILING(I498,1)</f>
        <v>3.18</v>
      </c>
      <c r="AD498" s="39" t="n">
        <f aca="false">Resumo!$B$14*CEILING(I498,1)</f>
        <v>23.85</v>
      </c>
      <c r="AE498" s="39" t="n">
        <f aca="false">SUM(X498:AD498)</f>
        <v>146.75621</v>
      </c>
      <c r="AF498" s="39" t="n">
        <f aca="false">AE498/(1-Resumo!$B$5)</f>
        <v>166.768420454545</v>
      </c>
      <c r="AG498" s="39" t="n">
        <f aca="false">AF498-W498</f>
        <v>53.4199045454546</v>
      </c>
      <c r="AH498" s="40" t="n">
        <f aca="false">AF498/W498-1</f>
        <v>0.471288963221177</v>
      </c>
      <c r="AI498" s="37" t="str">
        <f aca="false">IF(AF498&lt;W498,"SIM","NÃO")</f>
        <v>NÃO</v>
      </c>
      <c r="AJ498" s="37" t="n">
        <v>2</v>
      </c>
      <c r="AK498" s="37" t="n">
        <v>5</v>
      </c>
      <c r="AL498" s="37" t="s">
        <v>343</v>
      </c>
      <c r="AM498" s="39" t="n">
        <v>114.23</v>
      </c>
    </row>
    <row r="499" customFormat="false" ht="15" hidden="false" customHeight="false" outlineLevel="0" collapsed="false">
      <c r="A499" s="37" t="n">
        <v>370644127</v>
      </c>
      <c r="B499" s="38" t="n">
        <v>46236.7899652778</v>
      </c>
      <c r="C499" s="37" t="s">
        <v>340</v>
      </c>
      <c r="D499" s="37" t="s">
        <v>835</v>
      </c>
      <c r="E499" s="37" t="n">
        <v>25240170</v>
      </c>
      <c r="F499" s="37" t="s">
        <v>161</v>
      </c>
      <c r="G499" s="37" t="s">
        <v>197</v>
      </c>
      <c r="H499" s="37" t="s">
        <v>184</v>
      </c>
      <c r="I499" s="37" t="n">
        <v>27.5</v>
      </c>
      <c r="J499" s="39" t="n">
        <v>379.99</v>
      </c>
      <c r="K499" s="37" t="s">
        <v>342</v>
      </c>
      <c r="L499" s="39" t="n">
        <v>101.2</v>
      </c>
      <c r="M499" s="39" t="n">
        <v>58.8</v>
      </c>
      <c r="N499" s="39" t="n">
        <f aca="false">J499*Resumo!$C$6</f>
        <v>0</v>
      </c>
      <c r="O499" s="39" t="n">
        <f aca="false">J499*Resumo!$C$7</f>
        <v>0.797979</v>
      </c>
      <c r="P499" s="39" t="n">
        <f aca="false">J499*Resumo!$C$8</f>
        <v>0.797979</v>
      </c>
      <c r="Q499" s="39" t="n">
        <f aca="false">Resumo!$C$10*CEILING(I499/100,1)</f>
        <v>1.05</v>
      </c>
      <c r="R499" s="39" t="n">
        <f aca="false">Resumo!$C$9</f>
        <v>0</v>
      </c>
      <c r="S499" s="39" t="n">
        <f aca="false">Resumo!$C$13</f>
        <v>13.55</v>
      </c>
      <c r="T499" s="39" t="n">
        <f aca="false">Resumo!$C$14*CEILING(I499,1)</f>
        <v>12.6</v>
      </c>
      <c r="U499" s="39" t="n">
        <f aca="false">SUM(M499:T499)*Resumo!$C$11</f>
        <v>0</v>
      </c>
      <c r="V499" s="39" t="n">
        <f aca="false">SUM(M499:U499)</f>
        <v>87.595958</v>
      </c>
      <c r="W499" s="39" t="n">
        <f aca="false">V499/(1-Resumo!$C$5)</f>
        <v>99.5408613636364</v>
      </c>
      <c r="X499" s="39" t="n">
        <v>82.21</v>
      </c>
      <c r="Y499" s="39" t="n">
        <f aca="false">J499*Resumo!$B$6</f>
        <v>0.37999</v>
      </c>
      <c r="Z499" s="39" t="n">
        <f aca="false">J499*Resumo!$B$7</f>
        <v>0.75998</v>
      </c>
      <c r="AA499" s="39" t="n">
        <f aca="false">Resumo!$B$9</f>
        <v>1</v>
      </c>
      <c r="AB499" s="39" t="n">
        <f aca="false">Resumo!$B$10*CEILING(I499/100,1)</f>
        <v>4.5</v>
      </c>
      <c r="AC499" s="39" t="n">
        <f aca="false">Resumo!$B$12*CEILING(I499,1)</f>
        <v>1.68</v>
      </c>
      <c r="AD499" s="39" t="n">
        <f aca="false">Resumo!$B$14*CEILING(I499,1)</f>
        <v>12.6</v>
      </c>
      <c r="AE499" s="39" t="n">
        <f aca="false">SUM(X499:AD499)</f>
        <v>103.12997</v>
      </c>
      <c r="AF499" s="39" t="n">
        <f aca="false">AE499/(1-Resumo!$B$5)</f>
        <v>117.193147727273</v>
      </c>
      <c r="AG499" s="39" t="n">
        <f aca="false">AF499-W499</f>
        <v>17.6522863636364</v>
      </c>
      <c r="AH499" s="40" t="n">
        <f aca="false">AF499/W499-1</f>
        <v>0.177337086718088</v>
      </c>
      <c r="AI499" s="37" t="str">
        <f aca="false">IF(AF499&lt;W499,"SIM","NÃO")</f>
        <v>NÃO</v>
      </c>
      <c r="AJ499" s="37" t="n">
        <v>2</v>
      </c>
      <c r="AK499" s="37" t="n">
        <v>5</v>
      </c>
      <c r="AL499" s="37" t="s">
        <v>343</v>
      </c>
      <c r="AM499" s="39" t="n">
        <v>101.21</v>
      </c>
    </row>
    <row r="500" customFormat="false" ht="15" hidden="false" customHeight="false" outlineLevel="0" collapsed="false">
      <c r="A500" s="37" t="n">
        <v>370690657</v>
      </c>
      <c r="B500" s="38" t="n">
        <v>46236.8362384259</v>
      </c>
      <c r="C500" s="37" t="s">
        <v>537</v>
      </c>
      <c r="D500" s="37" t="s">
        <v>836</v>
      </c>
      <c r="E500" s="37" t="n">
        <v>24241085</v>
      </c>
      <c r="F500" s="37" t="s">
        <v>163</v>
      </c>
      <c r="G500" s="37" t="s">
        <v>197</v>
      </c>
      <c r="H500" s="37" t="s">
        <v>187</v>
      </c>
      <c r="I500" s="37" t="n">
        <v>52.3</v>
      </c>
      <c r="J500" s="39" t="n">
        <v>566.71</v>
      </c>
      <c r="K500" s="37" t="s">
        <v>342</v>
      </c>
      <c r="L500" s="39" t="n">
        <v>127.99</v>
      </c>
      <c r="M500" s="39" t="n">
        <v>70.98</v>
      </c>
      <c r="N500" s="39" t="n">
        <f aca="false">J500*Resumo!$C$6</f>
        <v>0</v>
      </c>
      <c r="O500" s="39" t="n">
        <f aca="false">J500*Resumo!$C$7</f>
        <v>1.190091</v>
      </c>
      <c r="P500" s="39" t="n">
        <f aca="false">J500*Resumo!$C$8</f>
        <v>1.190091</v>
      </c>
      <c r="Q500" s="39" t="n">
        <f aca="false">Resumo!$C$10*CEILING(I500/100,1)</f>
        <v>1.05</v>
      </c>
      <c r="R500" s="39" t="n">
        <f aca="false">Resumo!$C$9</f>
        <v>0</v>
      </c>
      <c r="S500" s="39" t="n">
        <f aca="false">Resumo!$C$13</f>
        <v>13.55</v>
      </c>
      <c r="T500" s="39" t="n">
        <f aca="false">Resumo!$C$14*CEILING(I500,1)</f>
        <v>23.85</v>
      </c>
      <c r="U500" s="39" t="n">
        <f aca="false">SUM(M500:T500)*Resumo!$C$11</f>
        <v>0</v>
      </c>
      <c r="V500" s="39" t="n">
        <f aca="false">SUM(M500:U500)</f>
        <v>111.810182</v>
      </c>
      <c r="W500" s="39" t="n">
        <f aca="false">V500/(1-Resumo!$C$5)</f>
        <v>127.057025</v>
      </c>
      <c r="X500" s="39" t="n">
        <v>128.14</v>
      </c>
      <c r="Y500" s="39" t="n">
        <f aca="false">J500*Resumo!$B$6</f>
        <v>0.56671</v>
      </c>
      <c r="Z500" s="39" t="n">
        <f aca="false">J500*Resumo!$B$7</f>
        <v>1.13342</v>
      </c>
      <c r="AA500" s="39" t="n">
        <f aca="false">Resumo!$B$9</f>
        <v>1</v>
      </c>
      <c r="AB500" s="39" t="n">
        <f aca="false">Resumo!$B$10*CEILING(I500/100,1)</f>
        <v>4.5</v>
      </c>
      <c r="AC500" s="39" t="n">
        <f aca="false">Resumo!$B$12*CEILING(I500,1)</f>
        <v>3.18</v>
      </c>
      <c r="AD500" s="39" t="n">
        <f aca="false">Resumo!$B$14*CEILING(I500,1)</f>
        <v>23.85</v>
      </c>
      <c r="AE500" s="39" t="n">
        <f aca="false">SUM(X500:AD500)</f>
        <v>162.37013</v>
      </c>
      <c r="AF500" s="39" t="n">
        <f aca="false">AE500/(1-Resumo!$B$5)</f>
        <v>184.511511363636</v>
      </c>
      <c r="AG500" s="39" t="n">
        <f aca="false">AF500-W500</f>
        <v>57.4544863636364</v>
      </c>
      <c r="AH500" s="40" t="n">
        <f aca="false">AF500/W500-1</f>
        <v>0.452194487976059</v>
      </c>
      <c r="AI500" s="37" t="str">
        <f aca="false">IF(AF500&lt;W500,"SIM","NÃO")</f>
        <v>NÃO</v>
      </c>
      <c r="AJ500" s="37" t="n">
        <v>2</v>
      </c>
      <c r="AK500" s="37" t="n">
        <v>7</v>
      </c>
      <c r="AL500" s="37" t="s">
        <v>343</v>
      </c>
      <c r="AM500" s="39" t="n">
        <v>128</v>
      </c>
    </row>
    <row r="501" customFormat="false" ht="15" hidden="false" customHeight="false" outlineLevel="0" collapsed="false">
      <c r="A501" s="37" t="n">
        <v>370736316</v>
      </c>
      <c r="B501" s="38" t="n">
        <v>46236.903587963</v>
      </c>
      <c r="C501" s="37" t="s">
        <v>340</v>
      </c>
      <c r="D501" s="37" t="s">
        <v>837</v>
      </c>
      <c r="E501" s="37" t="n">
        <v>21370500</v>
      </c>
      <c r="F501" s="37" t="s">
        <v>159</v>
      </c>
      <c r="G501" s="37" t="s">
        <v>196</v>
      </c>
      <c r="H501" s="37" t="s">
        <v>184</v>
      </c>
      <c r="I501" s="37" t="n">
        <v>34.4</v>
      </c>
      <c r="J501" s="39" t="n">
        <v>440.88</v>
      </c>
      <c r="K501" s="37" t="s">
        <v>342</v>
      </c>
      <c r="L501" s="39" t="n">
        <v>82.43</v>
      </c>
      <c r="M501" s="39" t="n">
        <v>42.11</v>
      </c>
      <c r="N501" s="39" t="n">
        <f aca="false">J501*Resumo!$C$6</f>
        <v>0</v>
      </c>
      <c r="O501" s="39" t="n">
        <f aca="false">J501*Resumo!$C$7</f>
        <v>0.925848</v>
      </c>
      <c r="P501" s="39" t="n">
        <f aca="false">J501*Resumo!$C$8</f>
        <v>0.925848</v>
      </c>
      <c r="Q501" s="39" t="n">
        <f aca="false">Resumo!$C$10*CEILING(I501/100,1)</f>
        <v>1.05</v>
      </c>
      <c r="R501" s="39" t="n">
        <f aca="false">Resumo!$C$9</f>
        <v>0</v>
      </c>
      <c r="S501" s="39" t="n">
        <f aca="false">Resumo!$C$13</f>
        <v>13.55</v>
      </c>
      <c r="T501" s="39" t="n">
        <f aca="false">Resumo!$C$14*CEILING(I501,1)</f>
        <v>15.75</v>
      </c>
      <c r="U501" s="39" t="n">
        <f aca="false">SUM(M501:T501)*Resumo!$C$11</f>
        <v>0</v>
      </c>
      <c r="V501" s="39" t="n">
        <f aca="false">SUM(M501:U501)</f>
        <v>74.311696</v>
      </c>
      <c r="W501" s="39" t="n">
        <f aca="false">V501/(1-Resumo!$C$5)</f>
        <v>84.4451090909091</v>
      </c>
      <c r="X501" s="39" t="n">
        <v>82.21</v>
      </c>
      <c r="Y501" s="39" t="n">
        <f aca="false">J501*Resumo!$B$6</f>
        <v>0.44088</v>
      </c>
      <c r="Z501" s="39" t="n">
        <f aca="false">J501*Resumo!$B$7</f>
        <v>0.88176</v>
      </c>
      <c r="AA501" s="39" t="n">
        <f aca="false">Resumo!$B$9</f>
        <v>1</v>
      </c>
      <c r="AB501" s="39" t="n">
        <f aca="false">Resumo!$B$10*CEILING(I501/100,1)</f>
        <v>4.5</v>
      </c>
      <c r="AC501" s="39" t="n">
        <f aca="false">Resumo!$B$12*CEILING(I501,1)</f>
        <v>2.1</v>
      </c>
      <c r="AD501" s="39" t="n">
        <f aca="false">Resumo!$B$14*CEILING(I501,1)</f>
        <v>15.75</v>
      </c>
      <c r="AE501" s="39" t="n">
        <f aca="false">SUM(X501:AD501)</f>
        <v>106.88264</v>
      </c>
      <c r="AF501" s="39" t="n">
        <f aca="false">AE501/(1-Resumo!$B$5)</f>
        <v>121.457545454545</v>
      </c>
      <c r="AG501" s="39" t="n">
        <f aca="false">AF501-W501</f>
        <v>37.0124363636364</v>
      </c>
      <c r="AH501" s="40" t="n">
        <f aca="false">AF501/W501-1</f>
        <v>0.438301717673083</v>
      </c>
      <c r="AI501" s="37" t="str">
        <f aca="false">IF(AF501&lt;W501,"SIM","NÃO")</f>
        <v>NÃO</v>
      </c>
      <c r="AJ501" s="37" t="n">
        <v>2</v>
      </c>
      <c r="AK501" s="37" t="n">
        <v>5</v>
      </c>
      <c r="AL501" s="37" t="s">
        <v>343</v>
      </c>
      <c r="AM501" s="39" t="n">
        <v>82.44</v>
      </c>
    </row>
    <row r="502" customFormat="false" ht="15" hidden="false" customHeight="false" outlineLevel="0" collapsed="false">
      <c r="A502" s="37" t="n">
        <v>370757217</v>
      </c>
      <c r="B502" s="38" t="n">
        <v>46236.9272453704</v>
      </c>
      <c r="C502" s="37" t="s">
        <v>340</v>
      </c>
      <c r="D502" s="37" t="s">
        <v>838</v>
      </c>
      <c r="E502" s="37" t="n">
        <v>22785085</v>
      </c>
      <c r="F502" s="37" t="s">
        <v>159</v>
      </c>
      <c r="G502" s="37" t="s">
        <v>196</v>
      </c>
      <c r="H502" s="37" t="s">
        <v>185</v>
      </c>
      <c r="I502" s="37" t="n">
        <v>37.6</v>
      </c>
      <c r="J502" s="39" t="n">
        <v>391.05</v>
      </c>
      <c r="K502" s="37" t="s">
        <v>342</v>
      </c>
      <c r="L502" s="39" t="n">
        <v>91.73</v>
      </c>
      <c r="M502" s="39" t="n">
        <v>48.35</v>
      </c>
      <c r="N502" s="39" t="n">
        <f aca="false">J502*Resumo!$C$6</f>
        <v>0</v>
      </c>
      <c r="O502" s="39" t="n">
        <f aca="false">J502*Resumo!$C$7</f>
        <v>0.821205</v>
      </c>
      <c r="P502" s="39" t="n">
        <f aca="false">J502*Resumo!$C$8</f>
        <v>0.821205</v>
      </c>
      <c r="Q502" s="39" t="n">
        <f aca="false">Resumo!$C$10*CEILING(I502/100,1)</f>
        <v>1.05</v>
      </c>
      <c r="R502" s="39" t="n">
        <f aca="false">Resumo!$C$9</f>
        <v>0</v>
      </c>
      <c r="S502" s="39" t="n">
        <f aca="false">Resumo!$C$13</f>
        <v>13.55</v>
      </c>
      <c r="T502" s="39" t="n">
        <f aca="false">Resumo!$C$14*CEILING(I502,1)</f>
        <v>17.1</v>
      </c>
      <c r="U502" s="39" t="n">
        <f aca="false">SUM(M502:T502)*Resumo!$C$11</f>
        <v>0</v>
      </c>
      <c r="V502" s="39" t="n">
        <f aca="false">SUM(M502:U502)</f>
        <v>81.69241</v>
      </c>
      <c r="W502" s="39" t="n">
        <f aca="false">V502/(1-Resumo!$C$5)</f>
        <v>92.8322840909091</v>
      </c>
      <c r="X502" s="39" t="n">
        <v>93.97</v>
      </c>
      <c r="Y502" s="39" t="n">
        <f aca="false">J502*Resumo!$B$6</f>
        <v>0.39105</v>
      </c>
      <c r="Z502" s="39" t="n">
        <f aca="false">J502*Resumo!$B$7</f>
        <v>0.7821</v>
      </c>
      <c r="AA502" s="39" t="n">
        <f aca="false">Resumo!$B$9</f>
        <v>1</v>
      </c>
      <c r="AB502" s="39" t="n">
        <f aca="false">Resumo!$B$10*CEILING(I502/100,1)</f>
        <v>4.5</v>
      </c>
      <c r="AC502" s="39" t="n">
        <f aca="false">Resumo!$B$12*CEILING(I502,1)</f>
        <v>2.28</v>
      </c>
      <c r="AD502" s="39" t="n">
        <f aca="false">Resumo!$B$14*CEILING(I502,1)</f>
        <v>17.1</v>
      </c>
      <c r="AE502" s="39" t="n">
        <f aca="false">SUM(X502:AD502)</f>
        <v>120.02315</v>
      </c>
      <c r="AF502" s="39" t="n">
        <f aca="false">AE502/(1-Resumo!$B$5)</f>
        <v>136.389943181818</v>
      </c>
      <c r="AG502" s="39" t="n">
        <f aca="false">AF502-W502</f>
        <v>43.5576590909091</v>
      </c>
      <c r="AH502" s="40" t="n">
        <f aca="false">AF502/W502-1</f>
        <v>0.469208094117923</v>
      </c>
      <c r="AI502" s="37" t="str">
        <f aca="false">IF(AF502&lt;W502,"SIM","NÃO")</f>
        <v>NÃO</v>
      </c>
      <c r="AJ502" s="37" t="n">
        <v>2</v>
      </c>
      <c r="AK502" s="37" t="n">
        <v>5</v>
      </c>
      <c r="AL502" s="37" t="s">
        <v>343</v>
      </c>
      <c r="AM502" s="39" t="n">
        <v>91.73</v>
      </c>
    </row>
    <row r="503" customFormat="false" ht="15" hidden="false" customHeight="false" outlineLevel="0" collapsed="false">
      <c r="A503" s="37" t="n">
        <v>370791369</v>
      </c>
      <c r="B503" s="38" t="n">
        <v>46236.972962963</v>
      </c>
      <c r="C503" s="37" t="s">
        <v>340</v>
      </c>
      <c r="D503" s="37" t="s">
        <v>839</v>
      </c>
      <c r="E503" s="37" t="n">
        <v>23098006</v>
      </c>
      <c r="F503" s="37" t="s">
        <v>159</v>
      </c>
      <c r="G503" s="37" t="s">
        <v>196</v>
      </c>
      <c r="H503" s="37" t="s">
        <v>183</v>
      </c>
      <c r="I503" s="37" t="n">
        <v>19.5</v>
      </c>
      <c r="J503" s="39" t="n">
        <v>359.99</v>
      </c>
      <c r="K503" s="37" t="s">
        <v>518</v>
      </c>
      <c r="L503" s="39" t="n">
        <v>66.52</v>
      </c>
      <c r="M503" s="39" t="n">
        <v>33.42</v>
      </c>
      <c r="N503" s="39" t="n">
        <f aca="false">J503*Resumo!$C$6</f>
        <v>0</v>
      </c>
      <c r="O503" s="39" t="n">
        <f aca="false">J503*Resumo!$C$7</f>
        <v>0.755979</v>
      </c>
      <c r="P503" s="39" t="n">
        <f aca="false">J503*Resumo!$C$8</f>
        <v>0.755979</v>
      </c>
      <c r="Q503" s="39" t="n">
        <f aca="false">Resumo!$C$10*CEILING(I503/100,1)</f>
        <v>1.05</v>
      </c>
      <c r="R503" s="39" t="n">
        <f aca="false">Resumo!$C$9</f>
        <v>0</v>
      </c>
      <c r="S503" s="39" t="n">
        <f aca="false">Resumo!$C$13</f>
        <v>13.55</v>
      </c>
      <c r="T503" s="39" t="n">
        <f aca="false">Resumo!$C$14*CEILING(I503,1)</f>
        <v>9</v>
      </c>
      <c r="U503" s="39" t="n">
        <f aca="false">SUM(M503:T503)*Resumo!$C$11</f>
        <v>0</v>
      </c>
      <c r="V503" s="39" t="n">
        <f aca="false">SUM(M503:U503)</f>
        <v>58.531958</v>
      </c>
      <c r="W503" s="39" t="n">
        <f aca="false">V503/(1-Resumo!$C$5)</f>
        <v>66.5135886363636</v>
      </c>
      <c r="X503" s="39" t="n">
        <v>46.98</v>
      </c>
      <c r="Y503" s="39" t="n">
        <f aca="false">J503*Resumo!$B$6</f>
        <v>0.35999</v>
      </c>
      <c r="Z503" s="39" t="n">
        <f aca="false">J503*Resumo!$B$7</f>
        <v>0.71998</v>
      </c>
      <c r="AA503" s="39" t="n">
        <f aca="false">Resumo!$B$9</f>
        <v>1</v>
      </c>
      <c r="AB503" s="39" t="n">
        <f aca="false">Resumo!$B$10*CEILING(I503/100,1)</f>
        <v>4.5</v>
      </c>
      <c r="AC503" s="39" t="n">
        <f aca="false">Resumo!$B$12*CEILING(I503,1)</f>
        <v>1.2</v>
      </c>
      <c r="AD503" s="39" t="n">
        <f aca="false">Resumo!$B$14*CEILING(I503,1)</f>
        <v>9</v>
      </c>
      <c r="AE503" s="39" t="n">
        <f aca="false">SUM(X503:AD503)</f>
        <v>63.75997</v>
      </c>
      <c r="AF503" s="39" t="n">
        <f aca="false">AE503/(1-Resumo!$B$5)</f>
        <v>72.4545113636364</v>
      </c>
      <c r="AG503" s="39" t="n">
        <f aca="false">AF503-W503</f>
        <v>5.94092272727272</v>
      </c>
      <c r="AH503" s="40" t="n">
        <f aca="false">AF503/W503-1</f>
        <v>0.0893189324027055</v>
      </c>
      <c r="AI503" s="37" t="str">
        <f aca="false">IF(AF503&lt;W503,"SIM","NÃO")</f>
        <v>NÃO</v>
      </c>
      <c r="AJ503" s="37" t="n">
        <v>2</v>
      </c>
      <c r="AK503" s="37" t="n">
        <v>5</v>
      </c>
      <c r="AL503" s="37" t="s">
        <v>343</v>
      </c>
      <c r="AM503" s="39" t="n">
        <v>64.94</v>
      </c>
    </row>
    <row r="504" customFormat="false" ht="15" hidden="false" customHeight="false" outlineLevel="0" collapsed="false">
      <c r="A504" s="37" t="n">
        <v>370815184</v>
      </c>
      <c r="B504" s="38" t="n">
        <v>46237.008125</v>
      </c>
      <c r="C504" s="37" t="s">
        <v>340</v>
      </c>
      <c r="D504" s="37" t="s">
        <v>840</v>
      </c>
      <c r="E504" s="37" t="n">
        <v>28050270</v>
      </c>
      <c r="F504" s="37" t="s">
        <v>164</v>
      </c>
      <c r="G504" s="37" t="s">
        <v>198</v>
      </c>
      <c r="H504" s="37" t="s">
        <v>185</v>
      </c>
      <c r="I504" s="37" t="n">
        <v>40</v>
      </c>
      <c r="J504" s="39" t="n">
        <v>569.99</v>
      </c>
      <c r="K504" s="37" t="s">
        <v>518</v>
      </c>
      <c r="L504" s="39" t="n">
        <v>124.97</v>
      </c>
      <c r="M504" s="39" t="n">
        <v>74.97</v>
      </c>
      <c r="N504" s="39" t="n">
        <f aca="false">J504*Resumo!$C$6</f>
        <v>0</v>
      </c>
      <c r="O504" s="39" t="n">
        <f aca="false">J504*Resumo!$C$7</f>
        <v>1.196979</v>
      </c>
      <c r="P504" s="39" t="n">
        <f aca="false">J504*Resumo!$C$8</f>
        <v>1.196979</v>
      </c>
      <c r="Q504" s="39" t="n">
        <f aca="false">Resumo!$C$10*CEILING(I504/100,1)</f>
        <v>1.05</v>
      </c>
      <c r="R504" s="39" t="n">
        <f aca="false">Resumo!$C$9</f>
        <v>0</v>
      </c>
      <c r="S504" s="39" t="n">
        <f aca="false">Resumo!$C$13</f>
        <v>13.55</v>
      </c>
      <c r="T504" s="39" t="n">
        <f aca="false">Resumo!$C$14*CEILING(I504,1)</f>
        <v>18</v>
      </c>
      <c r="U504" s="39" t="n">
        <f aca="false">SUM(M504:T504)*Resumo!$C$11</f>
        <v>0</v>
      </c>
      <c r="V504" s="39" t="n">
        <f aca="false">SUM(M504:U504)</f>
        <v>109.963958</v>
      </c>
      <c r="W504" s="39" t="n">
        <f aca="false">V504/(1-Resumo!$C$5)</f>
        <v>124.959043181818</v>
      </c>
      <c r="X504" s="39" t="n">
        <v>143.04</v>
      </c>
      <c r="Y504" s="39" t="n">
        <f aca="false">J504*Resumo!$B$6</f>
        <v>0.56999</v>
      </c>
      <c r="Z504" s="39" t="n">
        <f aca="false">J504*Resumo!$B$7</f>
        <v>1.13998</v>
      </c>
      <c r="AA504" s="39" t="n">
        <f aca="false">Resumo!$B$9</f>
        <v>1</v>
      </c>
      <c r="AB504" s="39" t="n">
        <f aca="false">Resumo!$B$10*CEILING(I504/100,1)</f>
        <v>4.5</v>
      </c>
      <c r="AC504" s="39" t="n">
        <f aca="false">Resumo!$B$12*CEILING(I504,1)</f>
        <v>2.4</v>
      </c>
      <c r="AD504" s="39" t="n">
        <f aca="false">Resumo!$B$14*CEILING(I504,1)</f>
        <v>18</v>
      </c>
      <c r="AE504" s="39" t="n">
        <f aca="false">SUM(X504:AD504)</f>
        <v>170.64997</v>
      </c>
      <c r="AF504" s="39" t="n">
        <f aca="false">AE504/(1-Resumo!$B$5)</f>
        <v>193.920420454545</v>
      </c>
      <c r="AG504" s="39" t="n">
        <f aca="false">AF504-W504</f>
        <v>68.9613772727273</v>
      </c>
      <c r="AH504" s="40" t="n">
        <f aca="false">AF504/W504-1</f>
        <v>0.551871841499194</v>
      </c>
      <c r="AI504" s="37" t="str">
        <f aca="false">IF(AF504&lt;W504,"SIM","NÃO")</f>
        <v>NÃO</v>
      </c>
      <c r="AJ504" s="37" t="n">
        <v>13</v>
      </c>
      <c r="AK504" s="37" t="n">
        <v>11</v>
      </c>
      <c r="AL504" s="37" t="s">
        <v>343</v>
      </c>
      <c r="AM504" s="39" t="n">
        <v>122.98</v>
      </c>
    </row>
    <row r="505" customFormat="false" ht="15" hidden="false" customHeight="false" outlineLevel="0" collapsed="false">
      <c r="A505" s="37" t="n">
        <v>370946925</v>
      </c>
      <c r="B505" s="38" t="n">
        <v>46237.2941550926</v>
      </c>
      <c r="C505" s="37" t="s">
        <v>340</v>
      </c>
      <c r="D505" s="37" t="s">
        <v>841</v>
      </c>
      <c r="E505" s="37" t="n">
        <v>26297222</v>
      </c>
      <c r="F505" s="37" t="s">
        <v>162</v>
      </c>
      <c r="G505" s="37" t="s">
        <v>197</v>
      </c>
      <c r="H505" s="37" t="s">
        <v>185</v>
      </c>
      <c r="I505" s="37" t="n">
        <v>36.8</v>
      </c>
      <c r="J505" s="39" t="n">
        <v>469.99</v>
      </c>
      <c r="K505" s="37" t="s">
        <v>342</v>
      </c>
      <c r="L505" s="39" t="n">
        <v>113.2</v>
      </c>
      <c r="M505" s="39" t="n">
        <v>66.83</v>
      </c>
      <c r="N505" s="39" t="n">
        <f aca="false">J505*Resumo!$C$6</f>
        <v>0</v>
      </c>
      <c r="O505" s="39" t="n">
        <f aca="false">J505*Resumo!$C$7</f>
        <v>0.986979</v>
      </c>
      <c r="P505" s="39" t="n">
        <f aca="false">J505*Resumo!$C$8</f>
        <v>0.986979</v>
      </c>
      <c r="Q505" s="39" t="n">
        <f aca="false">Resumo!$C$10*CEILING(I505/100,1)</f>
        <v>1.05</v>
      </c>
      <c r="R505" s="39" t="n">
        <f aca="false">Resumo!$C$9</f>
        <v>0</v>
      </c>
      <c r="S505" s="39" t="n">
        <f aca="false">Resumo!$C$13</f>
        <v>13.55</v>
      </c>
      <c r="T505" s="39" t="n">
        <f aca="false">Resumo!$C$14*CEILING(I505,1)</f>
        <v>16.65</v>
      </c>
      <c r="U505" s="39" t="n">
        <f aca="false">SUM(M505:T505)*Resumo!$C$11</f>
        <v>0</v>
      </c>
      <c r="V505" s="39" t="n">
        <f aca="false">SUM(M505:U505)</f>
        <v>100.053958</v>
      </c>
      <c r="W505" s="39" t="n">
        <f aca="false">V505/(1-Resumo!$C$5)</f>
        <v>113.697679545455</v>
      </c>
      <c r="X505" s="39" t="n">
        <v>93.97</v>
      </c>
      <c r="Y505" s="39" t="n">
        <f aca="false">J505*Resumo!$B$6</f>
        <v>0.46999</v>
      </c>
      <c r="Z505" s="39" t="n">
        <f aca="false">J505*Resumo!$B$7</f>
        <v>0.93998</v>
      </c>
      <c r="AA505" s="39" t="n">
        <f aca="false">Resumo!$B$9</f>
        <v>1</v>
      </c>
      <c r="AB505" s="39" t="n">
        <f aca="false">Resumo!$B$10*CEILING(I505/100,1)</f>
        <v>4.5</v>
      </c>
      <c r="AC505" s="39" t="n">
        <f aca="false">Resumo!$B$12*CEILING(I505,1)</f>
        <v>2.22</v>
      </c>
      <c r="AD505" s="39" t="n">
        <f aca="false">Resumo!$B$14*CEILING(I505,1)</f>
        <v>16.65</v>
      </c>
      <c r="AE505" s="39" t="n">
        <f aca="false">SUM(X505:AD505)</f>
        <v>119.74997</v>
      </c>
      <c r="AF505" s="39" t="n">
        <f aca="false">AE505/(1-Resumo!$B$5)</f>
        <v>136.079511363636</v>
      </c>
      <c r="AG505" s="39" t="n">
        <f aca="false">AF505-W505</f>
        <v>22.3818318181818</v>
      </c>
      <c r="AH505" s="40" t="n">
        <f aca="false">AF505/W505-1</f>
        <v>0.19685390157179</v>
      </c>
      <c r="AI505" s="37" t="str">
        <f aca="false">IF(AF505&lt;W505,"SIM","NÃO")</f>
        <v>NÃO</v>
      </c>
      <c r="AJ505" s="37" t="n">
        <v>2</v>
      </c>
      <c r="AK505" s="37" t="n">
        <v>5</v>
      </c>
      <c r="AL505" s="37" t="s">
        <v>343</v>
      </c>
      <c r="AM505" s="39" t="n">
        <v>113.21</v>
      </c>
    </row>
    <row r="506" customFormat="false" ht="15" hidden="false" customHeight="false" outlineLevel="0" collapsed="false">
      <c r="A506" s="37" t="n">
        <v>370971902</v>
      </c>
      <c r="B506" s="38" t="n">
        <v>46237.341412037</v>
      </c>
      <c r="C506" s="37" t="s">
        <v>345</v>
      </c>
      <c r="D506" s="37" t="s">
        <v>842</v>
      </c>
      <c r="E506" s="37" t="n">
        <v>22620171</v>
      </c>
      <c r="F506" s="37" t="s">
        <v>159</v>
      </c>
      <c r="G506" s="37" t="s">
        <v>196</v>
      </c>
      <c r="H506" s="37" t="s">
        <v>185</v>
      </c>
      <c r="I506" s="37" t="n">
        <v>35.3</v>
      </c>
      <c r="J506" s="39" t="n">
        <v>458.15</v>
      </c>
      <c r="K506" s="37" t="s">
        <v>342</v>
      </c>
      <c r="L506" s="39" t="n">
        <v>92.06</v>
      </c>
      <c r="M506" s="39" t="n">
        <v>48.35</v>
      </c>
      <c r="N506" s="39" t="n">
        <f aca="false">J506*Resumo!$C$6</f>
        <v>0</v>
      </c>
      <c r="O506" s="39" t="n">
        <f aca="false">J506*Resumo!$C$7</f>
        <v>0.962115</v>
      </c>
      <c r="P506" s="39" t="n">
        <f aca="false">J506*Resumo!$C$8</f>
        <v>0.962115</v>
      </c>
      <c r="Q506" s="39" t="n">
        <f aca="false">Resumo!$C$10*CEILING(I506/100,1)</f>
        <v>1.05</v>
      </c>
      <c r="R506" s="39" t="n">
        <f aca="false">Resumo!$C$9</f>
        <v>0</v>
      </c>
      <c r="S506" s="39" t="n">
        <f aca="false">Resumo!$C$13</f>
        <v>13.55</v>
      </c>
      <c r="T506" s="39" t="n">
        <f aca="false">Resumo!$C$14*CEILING(I506,1)</f>
        <v>16.2</v>
      </c>
      <c r="U506" s="39" t="n">
        <f aca="false">SUM(M506:T506)*Resumo!$C$11</f>
        <v>0</v>
      </c>
      <c r="V506" s="39" t="n">
        <f aca="false">SUM(M506:U506)</f>
        <v>81.07423</v>
      </c>
      <c r="W506" s="39" t="n">
        <f aca="false">V506/(1-Resumo!$C$5)</f>
        <v>92.1298068181818</v>
      </c>
      <c r="X506" s="39" t="n">
        <v>93.97</v>
      </c>
      <c r="Y506" s="39" t="n">
        <f aca="false">J506*Resumo!$B$6</f>
        <v>0.45815</v>
      </c>
      <c r="Z506" s="39" t="n">
        <f aca="false">J506*Resumo!$B$7</f>
        <v>0.9163</v>
      </c>
      <c r="AA506" s="39" t="n">
        <f aca="false">Resumo!$B$9</f>
        <v>1</v>
      </c>
      <c r="AB506" s="39" t="n">
        <f aca="false">Resumo!$B$10*CEILING(I506/100,1)</f>
        <v>4.5</v>
      </c>
      <c r="AC506" s="39" t="n">
        <f aca="false">Resumo!$B$12*CEILING(I506,1)</f>
        <v>2.16</v>
      </c>
      <c r="AD506" s="39" t="n">
        <f aca="false">Resumo!$B$14*CEILING(I506,1)</f>
        <v>16.2</v>
      </c>
      <c r="AE506" s="39" t="n">
        <f aca="false">SUM(X506:AD506)</f>
        <v>119.20445</v>
      </c>
      <c r="AF506" s="39" t="n">
        <f aca="false">AE506/(1-Resumo!$B$5)</f>
        <v>135.459602272727</v>
      </c>
      <c r="AG506" s="39" t="n">
        <f aca="false">AF506-W506</f>
        <v>43.3297954545455</v>
      </c>
      <c r="AH506" s="40" t="n">
        <f aca="false">AF506/W506-1</f>
        <v>0.470312453167918</v>
      </c>
      <c r="AI506" s="37" t="str">
        <f aca="false">IF(AF506&lt;W506,"SIM","NÃO")</f>
        <v>NÃO</v>
      </c>
      <c r="AJ506" s="37" t="n">
        <v>2</v>
      </c>
      <c r="AK506" s="37" t="n">
        <v>5</v>
      </c>
      <c r="AL506" s="37" t="s">
        <v>343</v>
      </c>
      <c r="AM506" s="39" t="n">
        <v>92.05</v>
      </c>
    </row>
    <row r="507" customFormat="false" ht="15" hidden="false" customHeight="false" outlineLevel="0" collapsed="false">
      <c r="A507" s="37" t="n">
        <v>371000799</v>
      </c>
      <c r="B507" s="38" t="n">
        <v>46237.3859027778</v>
      </c>
      <c r="C507" s="37" t="s">
        <v>340</v>
      </c>
      <c r="D507" s="37" t="s">
        <v>843</v>
      </c>
      <c r="E507" s="37" t="n">
        <v>27961068</v>
      </c>
      <c r="F507" s="37" t="s">
        <v>166</v>
      </c>
      <c r="G507" s="37" t="s">
        <v>198</v>
      </c>
      <c r="H507" s="37" t="s">
        <v>185</v>
      </c>
      <c r="I507" s="37" t="n">
        <v>36.9</v>
      </c>
      <c r="J507" s="39" t="n">
        <v>429.99</v>
      </c>
      <c r="K507" s="37" t="s">
        <v>518</v>
      </c>
      <c r="L507" s="39" t="n">
        <v>122.75</v>
      </c>
      <c r="M507" s="39" t="n">
        <v>74.97</v>
      </c>
      <c r="N507" s="39" t="n">
        <f aca="false">J507*Resumo!$C$6</f>
        <v>0</v>
      </c>
      <c r="O507" s="39" t="n">
        <f aca="false">J507*Resumo!$C$7</f>
        <v>0.902979</v>
      </c>
      <c r="P507" s="39" t="n">
        <f aca="false">J507*Resumo!$C$8</f>
        <v>0.902979</v>
      </c>
      <c r="Q507" s="39" t="n">
        <f aca="false">Resumo!$C$10*CEILING(I507/100,1)</f>
        <v>1.05</v>
      </c>
      <c r="R507" s="39" t="n">
        <f aca="false">Resumo!$C$9</f>
        <v>0</v>
      </c>
      <c r="S507" s="39" t="n">
        <f aca="false">Resumo!$C$13</f>
        <v>13.55</v>
      </c>
      <c r="T507" s="39" t="n">
        <f aca="false">Resumo!$C$14*CEILING(I507,1)</f>
        <v>16.65</v>
      </c>
      <c r="U507" s="39" t="n">
        <f aca="false">SUM(M507:T507)*Resumo!$C$11</f>
        <v>0</v>
      </c>
      <c r="V507" s="39" t="n">
        <f aca="false">SUM(M507:U507)</f>
        <v>108.025958</v>
      </c>
      <c r="W507" s="39" t="n">
        <f aca="false">V507/(1-Resumo!$C$5)</f>
        <v>122.756770454545</v>
      </c>
      <c r="X507" s="39" t="n">
        <v>143.04</v>
      </c>
      <c r="Y507" s="39" t="n">
        <f aca="false">J507*Resumo!$B$6</f>
        <v>0.42999</v>
      </c>
      <c r="Z507" s="39" t="n">
        <f aca="false">J507*Resumo!$B$7</f>
        <v>0.85998</v>
      </c>
      <c r="AA507" s="39" t="n">
        <f aca="false">Resumo!$B$9</f>
        <v>1</v>
      </c>
      <c r="AB507" s="39" t="n">
        <f aca="false">Resumo!$B$10*CEILING(I507/100,1)</f>
        <v>4.5</v>
      </c>
      <c r="AC507" s="39" t="n">
        <f aca="false">Resumo!$B$12*CEILING(I507,1)</f>
        <v>2.22</v>
      </c>
      <c r="AD507" s="39" t="n">
        <f aca="false">Resumo!$B$14*CEILING(I507,1)</f>
        <v>16.65</v>
      </c>
      <c r="AE507" s="39" t="n">
        <f aca="false">SUM(X507:AD507)</f>
        <v>168.69997</v>
      </c>
      <c r="AF507" s="39" t="n">
        <f aca="false">AE507/(1-Resumo!$B$5)</f>
        <v>191.704511363636</v>
      </c>
      <c r="AG507" s="39" t="n">
        <f aca="false">AF507-W507</f>
        <v>68.9477409090909</v>
      </c>
      <c r="AH507" s="40" t="n">
        <f aca="false">AF507/W507-1</f>
        <v>0.561661411047149</v>
      </c>
      <c r="AI507" s="37" t="str">
        <f aca="false">IF(AF507&lt;W507,"SIM","NÃO")</f>
        <v>NÃO</v>
      </c>
      <c r="AJ507" s="37" t="n">
        <v>13</v>
      </c>
      <c r="AK507" s="37" t="n">
        <v>11</v>
      </c>
      <c r="AL507" s="37" t="s">
        <v>343</v>
      </c>
      <c r="AM507" s="39" t="n">
        <v>122.31</v>
      </c>
    </row>
    <row r="508" customFormat="false" ht="15" hidden="false" customHeight="false" outlineLevel="0" collapsed="false">
      <c r="A508" s="37" t="n">
        <v>371009134</v>
      </c>
      <c r="B508" s="38" t="n">
        <v>46237.3982638889</v>
      </c>
      <c r="C508" s="37" t="s">
        <v>372</v>
      </c>
      <c r="D508" s="37" t="s">
        <v>844</v>
      </c>
      <c r="E508" s="37" t="n">
        <v>25035230</v>
      </c>
      <c r="F508" s="37" t="s">
        <v>161</v>
      </c>
      <c r="G508" s="37" t="s">
        <v>197</v>
      </c>
      <c r="H508" s="37" t="s">
        <v>191</v>
      </c>
      <c r="I508" s="37" t="n">
        <v>109.7</v>
      </c>
      <c r="J508" s="39" t="n">
        <v>1389.99</v>
      </c>
      <c r="K508" s="37" t="s">
        <v>342</v>
      </c>
      <c r="L508" s="39" t="n">
        <v>196.49</v>
      </c>
      <c r="M508" s="39" t="n">
        <v>101.26</v>
      </c>
      <c r="N508" s="39" t="n">
        <f aca="false">J508*Resumo!$C$6</f>
        <v>0</v>
      </c>
      <c r="O508" s="39" t="n">
        <f aca="false">J508*Resumo!$C$7</f>
        <v>2.918979</v>
      </c>
      <c r="P508" s="39" t="n">
        <f aca="false">J508*Resumo!$C$8</f>
        <v>2.918979</v>
      </c>
      <c r="Q508" s="39" t="n">
        <f aca="false">Resumo!$C$10*CEILING(I508/100,1)</f>
        <v>2.1</v>
      </c>
      <c r="R508" s="39" t="n">
        <f aca="false">Resumo!$C$9</f>
        <v>0</v>
      </c>
      <c r="S508" s="39" t="n">
        <f aca="false">Resumo!$C$13</f>
        <v>13.55</v>
      </c>
      <c r="T508" s="39" t="n">
        <f aca="false">Resumo!$C$14*CEILING(I508,1)</f>
        <v>49.5</v>
      </c>
      <c r="U508" s="39" t="n">
        <f aca="false">SUM(M508:T508)*Resumo!$C$11</f>
        <v>0</v>
      </c>
      <c r="V508" s="39" t="n">
        <f aca="false">SUM(M508:U508)</f>
        <v>172.247958</v>
      </c>
      <c r="W508" s="39" t="n">
        <f aca="false">V508/(1-Resumo!$C$5)</f>
        <v>195.736315909091</v>
      </c>
      <c r="X508" s="39" t="n">
        <v>201.59</v>
      </c>
      <c r="Y508" s="39" t="n">
        <f aca="false">J508*Resumo!$B$6</f>
        <v>1.38999</v>
      </c>
      <c r="Z508" s="39" t="n">
        <f aca="false">J508*Resumo!$B$7</f>
        <v>2.77998</v>
      </c>
      <c r="AA508" s="39" t="n">
        <f aca="false">Resumo!$B$9</f>
        <v>1</v>
      </c>
      <c r="AB508" s="39" t="n">
        <f aca="false">Resumo!$B$10*CEILING(I508/100,1)</f>
        <v>9</v>
      </c>
      <c r="AC508" s="39" t="n">
        <f aca="false">Resumo!$B$12*CEILING(I508,1)</f>
        <v>6.6</v>
      </c>
      <c r="AD508" s="39" t="n">
        <f aca="false">Resumo!$B$14*CEILING(I508,1)</f>
        <v>49.5</v>
      </c>
      <c r="AE508" s="39" t="n">
        <f aca="false">SUM(X508:AD508)</f>
        <v>271.85997</v>
      </c>
      <c r="AF508" s="39" t="n">
        <f aca="false">AE508/(1-Resumo!$B$5)</f>
        <v>308.931784090909</v>
      </c>
      <c r="AG508" s="39" t="n">
        <f aca="false">AF508-W508</f>
        <v>113.195468181818</v>
      </c>
      <c r="AH508" s="40" t="n">
        <f aca="false">AF508/W508-1</f>
        <v>0.578305909437834</v>
      </c>
      <c r="AI508" s="37" t="str">
        <f aca="false">IF(AF508&lt;W508,"SIM","NÃO")</f>
        <v>NÃO</v>
      </c>
      <c r="AJ508" s="37" t="n">
        <v>2</v>
      </c>
      <c r="AK508" s="37" t="n">
        <v>5</v>
      </c>
      <c r="AL508" s="37" t="s">
        <v>343</v>
      </c>
      <c r="AM508" s="39" t="n">
        <v>196.49</v>
      </c>
    </row>
    <row r="509" customFormat="false" ht="15" hidden="false" customHeight="false" outlineLevel="0" collapsed="false">
      <c r="A509" s="37" t="n">
        <v>371042773</v>
      </c>
      <c r="B509" s="38" t="n">
        <v>46237.4429282407</v>
      </c>
      <c r="C509" s="37" t="s">
        <v>340</v>
      </c>
      <c r="D509" s="37" t="s">
        <v>845</v>
      </c>
      <c r="E509" s="37" t="n">
        <v>23520131</v>
      </c>
      <c r="F509" s="37" t="s">
        <v>159</v>
      </c>
      <c r="G509" s="37" t="s">
        <v>196</v>
      </c>
      <c r="H509" s="37" t="s">
        <v>187</v>
      </c>
      <c r="I509" s="37" t="n">
        <v>52.3</v>
      </c>
      <c r="J509" s="39" t="n">
        <v>643.99</v>
      </c>
      <c r="K509" s="37" t="s">
        <v>518</v>
      </c>
      <c r="L509" s="39" t="n">
        <v>113.35</v>
      </c>
      <c r="M509" s="39" t="n">
        <v>58.6</v>
      </c>
      <c r="N509" s="39" t="n">
        <f aca="false">J509*Resumo!$C$6</f>
        <v>0</v>
      </c>
      <c r="O509" s="39" t="n">
        <f aca="false">J509*Resumo!$C$7</f>
        <v>1.352379</v>
      </c>
      <c r="P509" s="39" t="n">
        <f aca="false">J509*Resumo!$C$8</f>
        <v>1.352379</v>
      </c>
      <c r="Q509" s="39" t="n">
        <f aca="false">Resumo!$C$10*CEILING(I509/100,1)</f>
        <v>1.05</v>
      </c>
      <c r="R509" s="39" t="n">
        <f aca="false">Resumo!$C$9</f>
        <v>0</v>
      </c>
      <c r="S509" s="39" t="n">
        <f aca="false">Resumo!$C$13</f>
        <v>13.55</v>
      </c>
      <c r="T509" s="39" t="n">
        <f aca="false">Resumo!$C$14*CEILING(I509,1)</f>
        <v>23.85</v>
      </c>
      <c r="U509" s="39" t="n">
        <f aca="false">SUM(M509:T509)*Resumo!$C$11</f>
        <v>0</v>
      </c>
      <c r="V509" s="39" t="n">
        <f aca="false">SUM(M509:U509)</f>
        <v>99.754758</v>
      </c>
      <c r="W509" s="39" t="n">
        <f aca="false">V509/(1-Resumo!$C$5)</f>
        <v>113.357679545455</v>
      </c>
      <c r="X509" s="39" t="n">
        <v>112.3</v>
      </c>
      <c r="Y509" s="39" t="n">
        <f aca="false">J509*Resumo!$B$6</f>
        <v>0.64399</v>
      </c>
      <c r="Z509" s="39" t="n">
        <f aca="false">J509*Resumo!$B$7</f>
        <v>1.28798</v>
      </c>
      <c r="AA509" s="39" t="n">
        <f aca="false">Resumo!$B$9</f>
        <v>1</v>
      </c>
      <c r="AB509" s="39" t="n">
        <f aca="false">Resumo!$B$10*CEILING(I509/100,1)</f>
        <v>4.5</v>
      </c>
      <c r="AC509" s="39" t="n">
        <f aca="false">Resumo!$B$12*CEILING(I509,1)</f>
        <v>3.18</v>
      </c>
      <c r="AD509" s="39" t="n">
        <f aca="false">Resumo!$B$14*CEILING(I509,1)</f>
        <v>23.85</v>
      </c>
      <c r="AE509" s="39" t="n">
        <f aca="false">SUM(X509:AD509)</f>
        <v>146.76197</v>
      </c>
      <c r="AF509" s="39" t="n">
        <f aca="false">AE509/(1-Resumo!$B$5)</f>
        <v>166.774965909091</v>
      </c>
      <c r="AG509" s="39" t="n">
        <f aca="false">AF509-W509</f>
        <v>53.4172863636363</v>
      </c>
      <c r="AH509" s="40" t="n">
        <f aca="false">AF509/W509-1</f>
        <v>0.471227768403788</v>
      </c>
      <c r="AI509" s="37" t="str">
        <f aca="false">IF(AF509&lt;W509,"SIM","NÃO")</f>
        <v>NÃO</v>
      </c>
      <c r="AJ509" s="37" t="n">
        <v>2</v>
      </c>
      <c r="AK509" s="37" t="n">
        <v>5</v>
      </c>
      <c r="AL509" s="37" t="s">
        <v>343</v>
      </c>
      <c r="AM509" s="39" t="n">
        <v>114.23</v>
      </c>
    </row>
    <row r="510" customFormat="false" ht="15" hidden="false" customHeight="false" outlineLevel="0" collapsed="false">
      <c r="A510" s="37" t="n">
        <v>371084766</v>
      </c>
      <c r="B510" s="38" t="n">
        <v>46237.4879050926</v>
      </c>
      <c r="C510" s="37" t="s">
        <v>340</v>
      </c>
      <c r="D510" s="37" t="s">
        <v>846</v>
      </c>
      <c r="E510" s="37" t="n">
        <v>26265580</v>
      </c>
      <c r="F510" s="37" t="s">
        <v>162</v>
      </c>
      <c r="G510" s="37" t="s">
        <v>197</v>
      </c>
      <c r="H510" s="37" t="s">
        <v>188</v>
      </c>
      <c r="I510" s="37" t="n">
        <v>69.75</v>
      </c>
      <c r="J510" s="39" t="n">
        <v>859.99</v>
      </c>
      <c r="K510" s="37" t="s">
        <v>342</v>
      </c>
      <c r="L510" s="39" t="n">
        <v>140.56</v>
      </c>
      <c r="M510" s="39" t="n">
        <v>76.55</v>
      </c>
      <c r="N510" s="39" t="n">
        <f aca="false">J510*Resumo!$C$6</f>
        <v>0</v>
      </c>
      <c r="O510" s="39" t="n">
        <f aca="false">J510*Resumo!$C$7</f>
        <v>1.805979</v>
      </c>
      <c r="P510" s="39" t="n">
        <f aca="false">J510*Resumo!$C$8</f>
        <v>1.805979</v>
      </c>
      <c r="Q510" s="39" t="n">
        <f aca="false">Resumo!$C$10*CEILING(I510/100,1)</f>
        <v>1.05</v>
      </c>
      <c r="R510" s="39" t="n">
        <f aca="false">Resumo!$C$9</f>
        <v>0</v>
      </c>
      <c r="S510" s="39" t="n">
        <f aca="false">Resumo!$C$13</f>
        <v>13.55</v>
      </c>
      <c r="T510" s="39" t="n">
        <f aca="false">Resumo!$C$14*CEILING(I510,1)</f>
        <v>31.5</v>
      </c>
      <c r="U510" s="39" t="n">
        <f aca="false">SUM(M510:T510)*Resumo!$C$11</f>
        <v>0</v>
      </c>
      <c r="V510" s="39" t="n">
        <f aca="false">SUM(M510:U510)</f>
        <v>126.261958</v>
      </c>
      <c r="W510" s="39" t="n">
        <f aca="false">V510/(1-Resumo!$C$5)</f>
        <v>143.479497727273</v>
      </c>
      <c r="X510" s="39" t="n">
        <v>131.02</v>
      </c>
      <c r="Y510" s="39" t="n">
        <f aca="false">J510*Resumo!$B$6</f>
        <v>0.85999</v>
      </c>
      <c r="Z510" s="39" t="n">
        <f aca="false">J510*Resumo!$B$7</f>
        <v>1.71998</v>
      </c>
      <c r="AA510" s="39" t="n">
        <f aca="false">Resumo!$B$9</f>
        <v>1</v>
      </c>
      <c r="AB510" s="39" t="n">
        <f aca="false">Resumo!$B$10*CEILING(I510/100,1)</f>
        <v>4.5</v>
      </c>
      <c r="AC510" s="39" t="n">
        <f aca="false">Resumo!$B$12*CEILING(I510,1)</f>
        <v>4.2</v>
      </c>
      <c r="AD510" s="39" t="n">
        <f aca="false">Resumo!$B$14*CEILING(I510,1)</f>
        <v>31.5</v>
      </c>
      <c r="AE510" s="39" t="n">
        <f aca="false">SUM(X510:AD510)</f>
        <v>174.79997</v>
      </c>
      <c r="AF510" s="39" t="n">
        <f aca="false">AE510/(1-Resumo!$B$5)</f>
        <v>198.636329545455</v>
      </c>
      <c r="AG510" s="39" t="n">
        <f aca="false">AF510-W510</f>
        <v>55.1568318181818</v>
      </c>
      <c r="AH510" s="40" t="n">
        <f aca="false">AF510/W510-1</f>
        <v>0.384423089653021</v>
      </c>
      <c r="AI510" s="37" t="str">
        <f aca="false">IF(AF510&lt;W510,"SIM","NÃO")</f>
        <v>NÃO</v>
      </c>
      <c r="AJ510" s="37" t="n">
        <v>2</v>
      </c>
      <c r="AK510" s="37" t="n">
        <v>5</v>
      </c>
      <c r="AL510" s="37" t="s">
        <v>343</v>
      </c>
      <c r="AM510" s="39" t="n">
        <v>140.55</v>
      </c>
    </row>
    <row r="511" customFormat="false" ht="15" hidden="false" customHeight="false" outlineLevel="0" collapsed="false">
      <c r="A511" s="37" t="n">
        <v>371091137</v>
      </c>
      <c r="B511" s="38" t="n">
        <v>46237.4953125</v>
      </c>
      <c r="C511" s="37" t="s">
        <v>340</v>
      </c>
      <c r="D511" s="37" t="s">
        <v>847</v>
      </c>
      <c r="E511" s="37" t="n">
        <v>21070590</v>
      </c>
      <c r="F511" s="37" t="s">
        <v>159</v>
      </c>
      <c r="G511" s="37" t="s">
        <v>196</v>
      </c>
      <c r="H511" s="37" t="s">
        <v>186</v>
      </c>
      <c r="I511" s="37" t="n">
        <v>46.8</v>
      </c>
      <c r="J511" s="39" t="n">
        <v>599.99</v>
      </c>
      <c r="K511" s="37" t="s">
        <v>342</v>
      </c>
      <c r="L511" s="39" t="n">
        <v>103.47</v>
      </c>
      <c r="M511" s="39" t="n">
        <v>53.55</v>
      </c>
      <c r="N511" s="39" t="n">
        <f aca="false">J511*Resumo!$C$6</f>
        <v>0</v>
      </c>
      <c r="O511" s="39" t="n">
        <f aca="false">J511*Resumo!$C$7</f>
        <v>1.259979</v>
      </c>
      <c r="P511" s="39" t="n">
        <f aca="false">J511*Resumo!$C$8</f>
        <v>1.259979</v>
      </c>
      <c r="Q511" s="39" t="n">
        <f aca="false">Resumo!$C$10*CEILING(I511/100,1)</f>
        <v>1.05</v>
      </c>
      <c r="R511" s="39" t="n">
        <f aca="false">Resumo!$C$9</f>
        <v>0</v>
      </c>
      <c r="S511" s="39" t="n">
        <f aca="false">Resumo!$C$13</f>
        <v>13.55</v>
      </c>
      <c r="T511" s="39" t="n">
        <f aca="false">Resumo!$C$14*CEILING(I511,1)</f>
        <v>21.15</v>
      </c>
      <c r="U511" s="39" t="n">
        <f aca="false">SUM(M511:T511)*Resumo!$C$11</f>
        <v>0</v>
      </c>
      <c r="V511" s="39" t="n">
        <f aca="false">SUM(M511:U511)</f>
        <v>91.819958</v>
      </c>
      <c r="W511" s="39" t="n">
        <f aca="false">V511/(1-Resumo!$C$5)</f>
        <v>104.340861363636</v>
      </c>
      <c r="X511" s="39" t="n">
        <v>93.97</v>
      </c>
      <c r="Y511" s="39" t="n">
        <f aca="false">J511*Resumo!$B$6</f>
        <v>0.59999</v>
      </c>
      <c r="Z511" s="39" t="n">
        <f aca="false">J511*Resumo!$B$7</f>
        <v>1.19998</v>
      </c>
      <c r="AA511" s="39" t="n">
        <f aca="false">Resumo!$B$9</f>
        <v>1</v>
      </c>
      <c r="AB511" s="39" t="n">
        <f aca="false">Resumo!$B$10*CEILING(I511/100,1)</f>
        <v>4.5</v>
      </c>
      <c r="AC511" s="39" t="n">
        <f aca="false">Resumo!$B$12*CEILING(I511,1)</f>
        <v>2.82</v>
      </c>
      <c r="AD511" s="39" t="n">
        <f aca="false">Resumo!$B$14*CEILING(I511,1)</f>
        <v>21.15</v>
      </c>
      <c r="AE511" s="39" t="n">
        <f aca="false">SUM(X511:AD511)</f>
        <v>125.23997</v>
      </c>
      <c r="AF511" s="39" t="n">
        <f aca="false">AE511/(1-Resumo!$B$5)</f>
        <v>142.318147727273</v>
      </c>
      <c r="AG511" s="39" t="n">
        <f aca="false">AF511-W511</f>
        <v>37.9772863636364</v>
      </c>
      <c r="AH511" s="40" t="n">
        <f aca="false">AF511/W511-1</f>
        <v>0.363973287811785</v>
      </c>
      <c r="AI511" s="37" t="str">
        <f aca="false">IF(AF511&lt;W511,"SIM","NÃO")</f>
        <v>NÃO</v>
      </c>
      <c r="AJ511" s="37" t="n">
        <v>2</v>
      </c>
      <c r="AK511" s="37" t="n">
        <v>5</v>
      </c>
      <c r="AL511" s="37" t="s">
        <v>343</v>
      </c>
      <c r="AM511" s="39" t="n">
        <v>103.46</v>
      </c>
    </row>
    <row r="512" customFormat="false" ht="15" hidden="false" customHeight="false" outlineLevel="0" collapsed="false">
      <c r="A512" s="37" t="n">
        <v>371093976</v>
      </c>
      <c r="B512" s="38" t="n">
        <v>46237.4985069444</v>
      </c>
      <c r="C512" s="37" t="s">
        <v>340</v>
      </c>
      <c r="D512" s="37" t="s">
        <v>848</v>
      </c>
      <c r="E512" s="37" t="n">
        <v>24735075</v>
      </c>
      <c r="F512" s="37" t="s">
        <v>160</v>
      </c>
      <c r="G512" s="37" t="s">
        <v>197</v>
      </c>
      <c r="H512" s="37" t="s">
        <v>187</v>
      </c>
      <c r="I512" s="37" t="n">
        <v>52.3</v>
      </c>
      <c r="J512" s="39" t="n">
        <v>643.99</v>
      </c>
      <c r="K512" s="37" t="s">
        <v>518</v>
      </c>
      <c r="L512" s="39" t="n">
        <v>127.42</v>
      </c>
      <c r="M512" s="39" t="n">
        <v>70.98</v>
      </c>
      <c r="N512" s="39" t="n">
        <f aca="false">J512*Resumo!$C$6</f>
        <v>0</v>
      </c>
      <c r="O512" s="39" t="n">
        <f aca="false">J512*Resumo!$C$7</f>
        <v>1.352379</v>
      </c>
      <c r="P512" s="39" t="n">
        <f aca="false">J512*Resumo!$C$8</f>
        <v>1.352379</v>
      </c>
      <c r="Q512" s="39" t="n">
        <f aca="false">Resumo!$C$10*CEILING(I512/100,1)</f>
        <v>1.05</v>
      </c>
      <c r="R512" s="39" t="n">
        <f aca="false">Resumo!$C$9</f>
        <v>0</v>
      </c>
      <c r="S512" s="39" t="n">
        <f aca="false">Resumo!$C$13</f>
        <v>13.55</v>
      </c>
      <c r="T512" s="39" t="n">
        <f aca="false">Resumo!$C$14*CEILING(I512,1)</f>
        <v>23.85</v>
      </c>
      <c r="U512" s="39" t="n">
        <f aca="false">SUM(M512:T512)*Resumo!$C$11</f>
        <v>0</v>
      </c>
      <c r="V512" s="39" t="n">
        <f aca="false">SUM(M512:U512)</f>
        <v>112.134758</v>
      </c>
      <c r="W512" s="39" t="n">
        <f aca="false">V512/(1-Resumo!$C$5)</f>
        <v>127.425861363636</v>
      </c>
      <c r="X512" s="39" t="n">
        <v>128.14</v>
      </c>
      <c r="Y512" s="39" t="n">
        <f aca="false">J512*Resumo!$B$6</f>
        <v>0.64399</v>
      </c>
      <c r="Z512" s="39" t="n">
        <f aca="false">J512*Resumo!$B$7</f>
        <v>1.28798</v>
      </c>
      <c r="AA512" s="39" t="n">
        <f aca="false">Resumo!$B$9</f>
        <v>1</v>
      </c>
      <c r="AB512" s="39" t="n">
        <f aca="false">Resumo!$B$10*CEILING(I512/100,1)</f>
        <v>4.5</v>
      </c>
      <c r="AC512" s="39" t="n">
        <f aca="false">Resumo!$B$12*CEILING(I512,1)</f>
        <v>3.18</v>
      </c>
      <c r="AD512" s="39" t="n">
        <f aca="false">Resumo!$B$14*CEILING(I512,1)</f>
        <v>23.85</v>
      </c>
      <c r="AE512" s="39" t="n">
        <f aca="false">SUM(X512:AD512)</f>
        <v>162.60197</v>
      </c>
      <c r="AF512" s="39" t="n">
        <f aca="false">AE512/(1-Resumo!$B$5)</f>
        <v>184.774965909091</v>
      </c>
      <c r="AG512" s="39" t="n">
        <f aca="false">AF512-W512</f>
        <v>57.3491045454545</v>
      </c>
      <c r="AH512" s="40" t="n">
        <f aca="false">AF512/W512-1</f>
        <v>0.450058598244801</v>
      </c>
      <c r="AI512" s="37" t="str">
        <f aca="false">IF(AF512&lt;W512,"SIM","NÃO")</f>
        <v>NÃO</v>
      </c>
      <c r="AJ512" s="37" t="n">
        <v>2</v>
      </c>
      <c r="AK512" s="37" t="n">
        <v>7</v>
      </c>
      <c r="AL512" s="37" t="s">
        <v>343</v>
      </c>
      <c r="AM512" s="39" t="n">
        <v>128.37</v>
      </c>
    </row>
    <row r="513" customFormat="false" ht="15" hidden="false" customHeight="false" outlineLevel="0" collapsed="false">
      <c r="A513" s="37" t="n">
        <v>371095176</v>
      </c>
      <c r="B513" s="38" t="n">
        <v>46237.4996759259</v>
      </c>
      <c r="C513" s="37" t="s">
        <v>340</v>
      </c>
      <c r="D513" s="37" t="s">
        <v>849</v>
      </c>
      <c r="E513" s="37" t="n">
        <v>26125450</v>
      </c>
      <c r="F513" s="37" t="s">
        <v>165</v>
      </c>
      <c r="G513" s="37" t="s">
        <v>197</v>
      </c>
      <c r="H513" s="37" t="s">
        <v>188</v>
      </c>
      <c r="I513" s="37" t="n">
        <v>63</v>
      </c>
      <c r="J513" s="39" t="n">
        <v>789.99</v>
      </c>
      <c r="K513" s="37" t="s">
        <v>518</v>
      </c>
      <c r="L513" s="39" t="n">
        <v>139.57</v>
      </c>
      <c r="M513" s="39" t="n">
        <v>76.55</v>
      </c>
      <c r="N513" s="39" t="n">
        <f aca="false">J513*Resumo!$C$6</f>
        <v>0</v>
      </c>
      <c r="O513" s="39" t="n">
        <f aca="false">J513*Resumo!$C$7</f>
        <v>1.658979</v>
      </c>
      <c r="P513" s="39" t="n">
        <f aca="false">J513*Resumo!$C$8</f>
        <v>1.658979</v>
      </c>
      <c r="Q513" s="39" t="n">
        <f aca="false">Resumo!$C$10*CEILING(I513/100,1)</f>
        <v>1.05</v>
      </c>
      <c r="R513" s="39" t="n">
        <f aca="false">Resumo!$C$9</f>
        <v>0</v>
      </c>
      <c r="S513" s="39" t="n">
        <f aca="false">Resumo!$C$13</f>
        <v>13.55</v>
      </c>
      <c r="T513" s="39" t="n">
        <f aca="false">Resumo!$C$14*CEILING(I513,1)</f>
        <v>28.35</v>
      </c>
      <c r="U513" s="39" t="n">
        <f aca="false">SUM(M513:T513)*Resumo!$C$11</f>
        <v>0</v>
      </c>
      <c r="V513" s="39" t="n">
        <f aca="false">SUM(M513:U513)</f>
        <v>122.817958</v>
      </c>
      <c r="W513" s="39" t="n">
        <f aca="false">V513/(1-Resumo!$C$5)</f>
        <v>139.565861363636</v>
      </c>
      <c r="X513" s="39" t="n">
        <v>131.02</v>
      </c>
      <c r="Y513" s="39" t="n">
        <f aca="false">J513*Resumo!$B$6</f>
        <v>0.78999</v>
      </c>
      <c r="Z513" s="39" t="n">
        <f aca="false">J513*Resumo!$B$7</f>
        <v>1.57998</v>
      </c>
      <c r="AA513" s="39" t="n">
        <f aca="false">Resumo!$B$9</f>
        <v>1</v>
      </c>
      <c r="AB513" s="39" t="n">
        <f aca="false">Resumo!$B$10*CEILING(I513/100,1)</f>
        <v>4.5</v>
      </c>
      <c r="AC513" s="39" t="n">
        <f aca="false">Resumo!$B$12*CEILING(I513,1)</f>
        <v>3.78</v>
      </c>
      <c r="AD513" s="39" t="n">
        <f aca="false">Resumo!$B$14*CEILING(I513,1)</f>
        <v>28.35</v>
      </c>
      <c r="AE513" s="39" t="n">
        <f aca="false">SUM(X513:AD513)</f>
        <v>171.01997</v>
      </c>
      <c r="AF513" s="39" t="n">
        <f aca="false">AE513/(1-Resumo!$B$5)</f>
        <v>194.340875</v>
      </c>
      <c r="AG513" s="39" t="n">
        <f aca="false">AF513-W513</f>
        <v>54.7750136363636</v>
      </c>
      <c r="AH513" s="40" t="n">
        <f aca="false">AF513/W513-1</f>
        <v>0.392467134162905</v>
      </c>
      <c r="AI513" s="37" t="str">
        <f aca="false">IF(AF513&lt;W513,"SIM","NÃO")</f>
        <v>NÃO</v>
      </c>
      <c r="AJ513" s="37" t="n">
        <v>2</v>
      </c>
      <c r="AK513" s="37" t="n">
        <v>5</v>
      </c>
      <c r="AL513" s="37" t="s">
        <v>343</v>
      </c>
      <c r="AM513" s="39" t="n">
        <v>140.22</v>
      </c>
    </row>
    <row r="514" customFormat="false" ht="15" hidden="false" customHeight="false" outlineLevel="0" collapsed="false">
      <c r="A514" s="37" t="n">
        <v>371109397</v>
      </c>
      <c r="B514" s="38" t="n">
        <v>46237.5190393519</v>
      </c>
      <c r="C514" s="37" t="s">
        <v>340</v>
      </c>
      <c r="D514" s="37" t="s">
        <v>850</v>
      </c>
      <c r="E514" s="37" t="n">
        <v>26515035</v>
      </c>
      <c r="F514" s="37" t="s">
        <v>238</v>
      </c>
      <c r="G514" s="37" t="s">
        <v>197</v>
      </c>
      <c r="H514" s="37" t="s">
        <v>187</v>
      </c>
      <c r="I514" s="37" t="n">
        <v>58.6</v>
      </c>
      <c r="J514" s="39" t="n">
        <v>769.99</v>
      </c>
      <c r="K514" s="37" t="s">
        <v>518</v>
      </c>
      <c r="L514" s="39" t="n">
        <v>131.1</v>
      </c>
      <c r="M514" s="39" t="n">
        <v>70.98</v>
      </c>
      <c r="N514" s="39" t="n">
        <f aca="false">J514*Resumo!$C$6</f>
        <v>0</v>
      </c>
      <c r="O514" s="39" t="n">
        <f aca="false">J514*Resumo!$C$7</f>
        <v>1.616979</v>
      </c>
      <c r="P514" s="39" t="n">
        <f aca="false">J514*Resumo!$C$8</f>
        <v>1.616979</v>
      </c>
      <c r="Q514" s="39" t="n">
        <f aca="false">Resumo!$C$10*CEILING(I514/100,1)</f>
        <v>1.05</v>
      </c>
      <c r="R514" s="39" t="n">
        <f aca="false">Resumo!$C$9</f>
        <v>0</v>
      </c>
      <c r="S514" s="39" t="n">
        <f aca="false">Resumo!$C$13</f>
        <v>13.55</v>
      </c>
      <c r="T514" s="39" t="n">
        <f aca="false">Resumo!$C$14*CEILING(I514,1)</f>
        <v>26.55</v>
      </c>
      <c r="U514" s="39" t="n">
        <f aca="false">SUM(M514:T514)*Resumo!$C$11</f>
        <v>0</v>
      </c>
      <c r="V514" s="39" t="n">
        <f aca="false">SUM(M514:U514)</f>
        <v>115.363958</v>
      </c>
      <c r="W514" s="39" t="n">
        <f aca="false">V514/(1-Resumo!$C$5)</f>
        <v>131.095406818182</v>
      </c>
      <c r="X514" s="39" t="n">
        <v>112.3</v>
      </c>
      <c r="Y514" s="39" t="n">
        <f aca="false">J514*Resumo!$B$6</f>
        <v>0.76999</v>
      </c>
      <c r="Z514" s="39" t="n">
        <f aca="false">J514*Resumo!$B$7</f>
        <v>1.53998</v>
      </c>
      <c r="AA514" s="39" t="n">
        <f aca="false">Resumo!$B$9</f>
        <v>1</v>
      </c>
      <c r="AB514" s="39" t="n">
        <f aca="false">Resumo!$B$10*CEILING(I514/100,1)</f>
        <v>4.5</v>
      </c>
      <c r="AC514" s="39" t="n">
        <f aca="false">Resumo!$B$12*CEILING(I514,1)</f>
        <v>3.54</v>
      </c>
      <c r="AD514" s="39" t="n">
        <f aca="false">Resumo!$B$14*CEILING(I514,1)</f>
        <v>26.55</v>
      </c>
      <c r="AE514" s="39" t="n">
        <f aca="false">SUM(X514:AD514)</f>
        <v>150.19997</v>
      </c>
      <c r="AF514" s="39" t="n">
        <f aca="false">AE514/(1-Resumo!$B$5)</f>
        <v>170.681784090909</v>
      </c>
      <c r="AG514" s="39" t="n">
        <f aca="false">AF514-W514</f>
        <v>39.5863772727273</v>
      </c>
      <c r="AH514" s="40" t="n">
        <f aca="false">AF514/W514-1</f>
        <v>0.301966165203867</v>
      </c>
      <c r="AI514" s="37" t="str">
        <f aca="false">IF(AF514&lt;W514,"SIM","NÃO")</f>
        <v>NÃO</v>
      </c>
      <c r="AJ514" s="37" t="n">
        <v>2</v>
      </c>
      <c r="AK514" s="37" t="n">
        <v>5</v>
      </c>
      <c r="AL514" s="37" t="s">
        <v>347</v>
      </c>
      <c r="AM514" s="39" t="n">
        <v>128.97</v>
      </c>
    </row>
    <row r="515" customFormat="false" ht="15" hidden="false" customHeight="false" outlineLevel="0" collapsed="false">
      <c r="A515" s="37" t="n">
        <v>371120484</v>
      </c>
      <c r="B515" s="38" t="n">
        <v>46237.5364236111</v>
      </c>
      <c r="C515" s="37" t="s">
        <v>345</v>
      </c>
      <c r="D515" s="37" t="s">
        <v>851</v>
      </c>
      <c r="E515" s="37" t="n">
        <v>23550265</v>
      </c>
      <c r="F515" s="37" t="s">
        <v>159</v>
      </c>
      <c r="G515" s="37" t="s">
        <v>196</v>
      </c>
      <c r="H515" s="37" t="s">
        <v>192</v>
      </c>
      <c r="I515" s="37" t="n">
        <v>124.2</v>
      </c>
      <c r="J515" s="39" t="n">
        <v>1630.39</v>
      </c>
      <c r="K515" s="37" t="s">
        <v>518</v>
      </c>
      <c r="L515" s="39" t="n">
        <v>226.51</v>
      </c>
      <c r="M515" s="39" t="n">
        <v>120.59</v>
      </c>
      <c r="N515" s="39" t="n">
        <f aca="false">J515*Resumo!$C$6</f>
        <v>0</v>
      </c>
      <c r="O515" s="39" t="n">
        <f aca="false">J515*Resumo!$C$7</f>
        <v>3.423819</v>
      </c>
      <c r="P515" s="39" t="n">
        <f aca="false">J515*Resumo!$C$8</f>
        <v>3.423819</v>
      </c>
      <c r="Q515" s="39" t="n">
        <f aca="false">Resumo!$C$10*CEILING(I515/100,1)</f>
        <v>2.1</v>
      </c>
      <c r="R515" s="39" t="n">
        <f aca="false">Resumo!$C$9</f>
        <v>0</v>
      </c>
      <c r="S515" s="39" t="n">
        <f aca="false">Resumo!$C$13</f>
        <v>13.55</v>
      </c>
      <c r="T515" s="39" t="n">
        <f aca="false">Resumo!$C$14*CEILING(I515,1)</f>
        <v>56.25</v>
      </c>
      <c r="U515" s="39" t="n">
        <f aca="false">SUM(M515:T515)*Resumo!$C$11</f>
        <v>0</v>
      </c>
      <c r="V515" s="39" t="n">
        <f aca="false">SUM(M515:U515)</f>
        <v>199.337638</v>
      </c>
      <c r="W515" s="39" t="n">
        <f aca="false">V515/(1-Resumo!$C$5)</f>
        <v>226.520043181818</v>
      </c>
      <c r="X515" s="39" t="n">
        <v>239.25</v>
      </c>
      <c r="Y515" s="39" t="n">
        <f aca="false">J515*Resumo!$B$6</f>
        <v>1.63039</v>
      </c>
      <c r="Z515" s="39" t="n">
        <f aca="false">J515*Resumo!$B$7</f>
        <v>3.26078</v>
      </c>
      <c r="AA515" s="39" t="n">
        <f aca="false">Resumo!$B$9</f>
        <v>1</v>
      </c>
      <c r="AB515" s="39" t="n">
        <f aca="false">Resumo!$B$10*CEILING(I515/100,1)</f>
        <v>9</v>
      </c>
      <c r="AC515" s="39" t="n">
        <f aca="false">Resumo!$B$12*CEILING(I515,1)</f>
        <v>7.5</v>
      </c>
      <c r="AD515" s="39" t="n">
        <f aca="false">Resumo!$B$14*CEILING(I515,1)</f>
        <v>56.25</v>
      </c>
      <c r="AE515" s="39" t="n">
        <f aca="false">SUM(X515:AD515)</f>
        <v>317.89117</v>
      </c>
      <c r="AF515" s="39" t="n">
        <f aca="false">AE515/(1-Resumo!$B$5)</f>
        <v>361.239965909091</v>
      </c>
      <c r="AG515" s="39" t="n">
        <f aca="false">AF515-W515</f>
        <v>134.719922727273</v>
      </c>
      <c r="AH515" s="40" t="n">
        <f aca="false">AF515/W515-1</f>
        <v>0.594737316993793</v>
      </c>
      <c r="AI515" s="37" t="str">
        <f aca="false">IF(AF515&lt;W515,"SIM","NÃO")</f>
        <v>NÃO</v>
      </c>
      <c r="AJ515" s="37" t="n">
        <v>2</v>
      </c>
      <c r="AK515" s="37" t="n">
        <v>5</v>
      </c>
      <c r="AL515" s="37" t="s">
        <v>343</v>
      </c>
      <c r="AM515" s="39" t="n">
        <v>234.1</v>
      </c>
    </row>
    <row r="516" customFormat="false" ht="15" hidden="false" customHeight="false" outlineLevel="0" collapsed="false">
      <c r="A516" s="37" t="n">
        <v>371121040</v>
      </c>
      <c r="B516" s="38" t="n">
        <v>46237.5377777778</v>
      </c>
      <c r="C516" s="37" t="s">
        <v>340</v>
      </c>
      <c r="D516" s="37" t="s">
        <v>852</v>
      </c>
      <c r="E516" s="37" t="n">
        <v>24940505</v>
      </c>
      <c r="F516" s="37" t="s">
        <v>171</v>
      </c>
      <c r="G516" s="37" t="s">
        <v>198</v>
      </c>
      <c r="H516" s="37" t="s">
        <v>186</v>
      </c>
      <c r="I516" s="37" t="n">
        <v>48</v>
      </c>
      <c r="J516" s="39" t="n">
        <v>899.99</v>
      </c>
      <c r="K516" s="37" t="s">
        <v>518</v>
      </c>
      <c r="L516" s="39" t="n">
        <v>133.73</v>
      </c>
      <c r="M516" s="39" t="n">
        <v>77.7</v>
      </c>
      <c r="N516" s="39" t="n">
        <f aca="false">J516*Resumo!$C$6</f>
        <v>0</v>
      </c>
      <c r="O516" s="39" t="n">
        <f aca="false">J516*Resumo!$C$7</f>
        <v>1.889979</v>
      </c>
      <c r="P516" s="39" t="n">
        <f aca="false">J516*Resumo!$C$8</f>
        <v>1.889979</v>
      </c>
      <c r="Q516" s="39" t="n">
        <f aca="false">Resumo!$C$10*CEILING(I516/100,1)</f>
        <v>1.05</v>
      </c>
      <c r="R516" s="39" t="n">
        <f aca="false">Resumo!$C$9</f>
        <v>0</v>
      </c>
      <c r="S516" s="39" t="n">
        <f aca="false">Resumo!$C$13</f>
        <v>13.55</v>
      </c>
      <c r="T516" s="39" t="n">
        <f aca="false">Resumo!$C$14*CEILING(I516,1)</f>
        <v>21.6</v>
      </c>
      <c r="U516" s="39" t="n">
        <f aca="false">SUM(M516:T516)*Resumo!$C$11</f>
        <v>0</v>
      </c>
      <c r="V516" s="39" t="n">
        <f aca="false">SUM(M516:U516)</f>
        <v>117.679958</v>
      </c>
      <c r="W516" s="39" t="n">
        <f aca="false">V516/(1-Resumo!$C$5)</f>
        <v>133.727225</v>
      </c>
      <c r="X516" s="39" t="n">
        <v>114.95</v>
      </c>
      <c r="Y516" s="39" t="n">
        <f aca="false">J516*Resumo!$B$6</f>
        <v>0.89999</v>
      </c>
      <c r="Z516" s="39" t="n">
        <f aca="false">J516*Resumo!$B$7</f>
        <v>1.79998</v>
      </c>
      <c r="AA516" s="39" t="n">
        <f aca="false">Resumo!$B$9</f>
        <v>1</v>
      </c>
      <c r="AB516" s="39" t="n">
        <f aca="false">Resumo!$B$10*CEILING(I516/100,1)</f>
        <v>4.5</v>
      </c>
      <c r="AC516" s="39" t="n">
        <f aca="false">Resumo!$B$12*CEILING(I516,1)</f>
        <v>2.88</v>
      </c>
      <c r="AD516" s="39" t="n">
        <f aca="false">Resumo!$B$14*CEILING(I516,1)</f>
        <v>21.6</v>
      </c>
      <c r="AE516" s="39" t="n">
        <f aca="false">SUM(X516:AD516)</f>
        <v>147.62997</v>
      </c>
      <c r="AF516" s="39" t="n">
        <f aca="false">AE516/(1-Resumo!$B$5)</f>
        <v>167.761329545455</v>
      </c>
      <c r="AG516" s="39" t="n">
        <f aca="false">AF516-W516</f>
        <v>34.0341045454546</v>
      </c>
      <c r="AH516" s="40" t="n">
        <f aca="false">AF516/W516-1</f>
        <v>0.254503931757012</v>
      </c>
      <c r="AI516" s="37" t="str">
        <f aca="false">IF(AF516&lt;W516,"SIM","NÃO")</f>
        <v>NÃO</v>
      </c>
      <c r="AJ516" s="37" t="n">
        <v>13</v>
      </c>
      <c r="AK516" s="37" t="n">
        <v>7</v>
      </c>
      <c r="AL516" s="37" t="s">
        <v>343</v>
      </c>
      <c r="AM516" s="39" t="n">
        <v>132.47</v>
      </c>
    </row>
    <row r="517" customFormat="false" ht="15" hidden="false" customHeight="false" outlineLevel="0" collapsed="false">
      <c r="A517" s="37" t="n">
        <v>371125582</v>
      </c>
      <c r="B517" s="38" t="n">
        <v>46237.5475</v>
      </c>
      <c r="C517" s="37" t="s">
        <v>340</v>
      </c>
      <c r="D517" s="37" t="s">
        <v>494</v>
      </c>
      <c r="E517" s="37" t="n">
        <v>23520132</v>
      </c>
      <c r="F517" s="37" t="s">
        <v>159</v>
      </c>
      <c r="G517" s="37" t="s">
        <v>196</v>
      </c>
      <c r="H517" s="37" t="s">
        <v>184</v>
      </c>
      <c r="I517" s="37" t="n">
        <v>27.5</v>
      </c>
      <c r="J517" s="39" t="n">
        <v>379.99</v>
      </c>
      <c r="K517" s="37" t="s">
        <v>518</v>
      </c>
      <c r="L517" s="39" t="n">
        <v>80.58</v>
      </c>
      <c r="M517" s="39" t="n">
        <v>42.11</v>
      </c>
      <c r="N517" s="39" t="n">
        <f aca="false">J517*Resumo!$C$6</f>
        <v>0</v>
      </c>
      <c r="O517" s="39" t="n">
        <f aca="false">J517*Resumo!$C$7</f>
        <v>0.797979</v>
      </c>
      <c r="P517" s="39" t="n">
        <f aca="false">J517*Resumo!$C$8</f>
        <v>0.797979</v>
      </c>
      <c r="Q517" s="39" t="n">
        <f aca="false">Resumo!$C$10*CEILING(I517/100,1)</f>
        <v>1.05</v>
      </c>
      <c r="R517" s="39" t="n">
        <f aca="false">Resumo!$C$9</f>
        <v>0</v>
      </c>
      <c r="S517" s="39" t="n">
        <f aca="false">Resumo!$C$13</f>
        <v>13.55</v>
      </c>
      <c r="T517" s="39" t="n">
        <f aca="false">Resumo!$C$14*CEILING(I517,1)</f>
        <v>12.6</v>
      </c>
      <c r="U517" s="39" t="n">
        <f aca="false">SUM(M517:T517)*Resumo!$C$11</f>
        <v>0</v>
      </c>
      <c r="V517" s="39" t="n">
        <f aca="false">SUM(M517:U517)</f>
        <v>70.905958</v>
      </c>
      <c r="W517" s="39" t="n">
        <f aca="false">V517/(1-Resumo!$C$5)</f>
        <v>80.5749522727273</v>
      </c>
      <c r="X517" s="39" t="n">
        <v>82.21</v>
      </c>
      <c r="Y517" s="39" t="n">
        <f aca="false">J517*Resumo!$B$6</f>
        <v>0.37999</v>
      </c>
      <c r="Z517" s="39" t="n">
        <f aca="false">J517*Resumo!$B$7</f>
        <v>0.75998</v>
      </c>
      <c r="AA517" s="39" t="n">
        <f aca="false">Resumo!$B$9</f>
        <v>1</v>
      </c>
      <c r="AB517" s="39" t="n">
        <f aca="false">Resumo!$B$10*CEILING(I517/100,1)</f>
        <v>4.5</v>
      </c>
      <c r="AC517" s="39" t="n">
        <f aca="false">Resumo!$B$12*CEILING(I517,1)</f>
        <v>1.68</v>
      </c>
      <c r="AD517" s="39" t="n">
        <f aca="false">Resumo!$B$14*CEILING(I517,1)</f>
        <v>12.6</v>
      </c>
      <c r="AE517" s="39" t="n">
        <f aca="false">SUM(X517:AD517)</f>
        <v>103.12997</v>
      </c>
      <c r="AF517" s="39" t="n">
        <f aca="false">AE517/(1-Resumo!$B$5)</f>
        <v>117.193147727273</v>
      </c>
      <c r="AG517" s="39" t="n">
        <f aca="false">AF517-W517</f>
        <v>36.6181954545454</v>
      </c>
      <c r="AH517" s="40" t="n">
        <f aca="false">AF517/W517-1</f>
        <v>0.454461273903104</v>
      </c>
      <c r="AI517" s="37" t="str">
        <f aca="false">IF(AF517&lt;W517,"SIM","NÃO")</f>
        <v>NÃO</v>
      </c>
      <c r="AJ517" s="37" t="n">
        <v>2</v>
      </c>
      <c r="AK517" s="37" t="n">
        <v>5</v>
      </c>
      <c r="AL517" s="37" t="s">
        <v>343</v>
      </c>
      <c r="AM517" s="39" t="n">
        <v>82.15</v>
      </c>
    </row>
    <row r="518" customFormat="false" ht="15" hidden="false" customHeight="false" outlineLevel="0" collapsed="false">
      <c r="A518" s="37" t="n">
        <v>371141748</v>
      </c>
      <c r="B518" s="38" t="n">
        <v>46237.5855555556</v>
      </c>
      <c r="C518" s="37" t="s">
        <v>372</v>
      </c>
      <c r="D518" s="37" t="s">
        <v>853</v>
      </c>
      <c r="E518" s="37" t="n">
        <v>23050180</v>
      </c>
      <c r="F518" s="37" t="s">
        <v>159</v>
      </c>
      <c r="G518" s="37" t="s">
        <v>196</v>
      </c>
      <c r="H518" s="37" t="s">
        <v>184</v>
      </c>
      <c r="I518" s="37" t="n">
        <v>22.4</v>
      </c>
      <c r="J518" s="39" t="n">
        <v>479.99</v>
      </c>
      <c r="K518" s="37" t="s">
        <v>518</v>
      </c>
      <c r="L518" s="39" t="n">
        <v>78.5</v>
      </c>
      <c r="M518" s="39" t="n">
        <v>42.11</v>
      </c>
      <c r="N518" s="39" t="n">
        <f aca="false">J518*Resumo!$C$6</f>
        <v>0</v>
      </c>
      <c r="O518" s="39" t="n">
        <f aca="false">J518*Resumo!$C$7</f>
        <v>1.007979</v>
      </c>
      <c r="P518" s="39" t="n">
        <f aca="false">J518*Resumo!$C$8</f>
        <v>1.007979</v>
      </c>
      <c r="Q518" s="39" t="n">
        <f aca="false">Resumo!$C$10*CEILING(I518/100,1)</f>
        <v>1.05</v>
      </c>
      <c r="R518" s="39" t="n">
        <f aca="false">Resumo!$C$9</f>
        <v>0</v>
      </c>
      <c r="S518" s="39" t="n">
        <f aca="false">Resumo!$C$13</f>
        <v>13.55</v>
      </c>
      <c r="T518" s="39" t="n">
        <f aca="false">Resumo!$C$14*CEILING(I518,1)</f>
        <v>10.35</v>
      </c>
      <c r="U518" s="39" t="n">
        <f aca="false">SUM(M518:T518)*Resumo!$C$11</f>
        <v>0</v>
      </c>
      <c r="V518" s="39" t="n">
        <f aca="false">SUM(M518:U518)</f>
        <v>69.075958</v>
      </c>
      <c r="W518" s="39" t="n">
        <f aca="false">V518/(1-Resumo!$C$5)</f>
        <v>78.4954068181818</v>
      </c>
      <c r="X518" s="39" t="n">
        <v>82.21</v>
      </c>
      <c r="Y518" s="39" t="n">
        <f aca="false">J518*Resumo!$B$6</f>
        <v>0.47999</v>
      </c>
      <c r="Z518" s="39" t="n">
        <f aca="false">J518*Resumo!$B$7</f>
        <v>0.95998</v>
      </c>
      <c r="AA518" s="39" t="n">
        <f aca="false">Resumo!$B$9</f>
        <v>1</v>
      </c>
      <c r="AB518" s="39" t="n">
        <f aca="false">Resumo!$B$10*CEILING(I518/100,1)</f>
        <v>4.5</v>
      </c>
      <c r="AC518" s="39" t="n">
        <f aca="false">Resumo!$B$12*CEILING(I518,1)</f>
        <v>1.38</v>
      </c>
      <c r="AD518" s="39" t="n">
        <f aca="false">Resumo!$B$14*CEILING(I518,1)</f>
        <v>10.35</v>
      </c>
      <c r="AE518" s="39" t="n">
        <f aca="false">SUM(X518:AD518)</f>
        <v>100.87997</v>
      </c>
      <c r="AF518" s="39" t="n">
        <f aca="false">AE518/(1-Resumo!$B$5)</f>
        <v>114.636329545455</v>
      </c>
      <c r="AG518" s="39" t="n">
        <f aca="false">AF518-W518</f>
        <v>36.1409227272727</v>
      </c>
      <c r="AH518" s="40" t="n">
        <f aca="false">AF518/W518-1</f>
        <v>0.460420860178298</v>
      </c>
      <c r="AI518" s="37" t="str">
        <f aca="false">IF(AF518&lt;W518,"SIM","NÃO")</f>
        <v>NÃO</v>
      </c>
      <c r="AJ518" s="37" t="n">
        <v>2</v>
      </c>
      <c r="AK518" s="37" t="n">
        <v>5</v>
      </c>
      <c r="AL518" s="37" t="s">
        <v>343</v>
      </c>
      <c r="AM518" s="39" t="n">
        <v>82.63</v>
      </c>
    </row>
    <row r="519" customFormat="false" ht="15" hidden="false" customHeight="false" outlineLevel="0" collapsed="false">
      <c r="A519" s="37" t="n">
        <v>371158401</v>
      </c>
      <c r="B519" s="38" t="n">
        <v>46237.6138657407</v>
      </c>
      <c r="C519" s="37" t="s">
        <v>340</v>
      </c>
      <c r="D519" s="37" t="s">
        <v>854</v>
      </c>
      <c r="E519" s="37" t="n">
        <v>21050690</v>
      </c>
      <c r="F519" s="37" t="s">
        <v>159</v>
      </c>
      <c r="G519" s="37" t="s">
        <v>196</v>
      </c>
      <c r="H519" s="37" t="s">
        <v>184</v>
      </c>
      <c r="I519" s="37" t="n">
        <v>27</v>
      </c>
      <c r="J519" s="39" t="n">
        <v>349.99</v>
      </c>
      <c r="K519" s="37" t="s">
        <v>342</v>
      </c>
      <c r="L519" s="39" t="n">
        <v>82</v>
      </c>
      <c r="M519" s="39" t="n">
        <v>42.11</v>
      </c>
      <c r="N519" s="39" t="n">
        <f aca="false">J519*Resumo!$C$6</f>
        <v>0</v>
      </c>
      <c r="O519" s="39" t="n">
        <f aca="false">J519*Resumo!$C$7</f>
        <v>0.734979</v>
      </c>
      <c r="P519" s="39" t="n">
        <f aca="false">J519*Resumo!$C$8</f>
        <v>0.734979</v>
      </c>
      <c r="Q519" s="39" t="n">
        <f aca="false">Resumo!$C$10*CEILING(I519/100,1)</f>
        <v>1.05</v>
      </c>
      <c r="R519" s="39" t="n">
        <f aca="false">Resumo!$C$9</f>
        <v>0</v>
      </c>
      <c r="S519" s="39" t="n">
        <f aca="false">Resumo!$C$13</f>
        <v>13.55</v>
      </c>
      <c r="T519" s="39" t="n">
        <f aca="false">Resumo!$C$14*CEILING(I519,1)</f>
        <v>12.15</v>
      </c>
      <c r="U519" s="39" t="n">
        <f aca="false">SUM(M519:T519)*Resumo!$C$11</f>
        <v>0</v>
      </c>
      <c r="V519" s="39" t="n">
        <f aca="false">SUM(M519:U519)</f>
        <v>70.329958</v>
      </c>
      <c r="W519" s="39" t="n">
        <f aca="false">V519/(1-Resumo!$C$5)</f>
        <v>79.9204068181818</v>
      </c>
      <c r="X519" s="39" t="n">
        <v>82.21</v>
      </c>
      <c r="Y519" s="39" t="n">
        <f aca="false">J519*Resumo!$B$6</f>
        <v>0.34999</v>
      </c>
      <c r="Z519" s="39" t="n">
        <f aca="false">J519*Resumo!$B$7</f>
        <v>0.69998</v>
      </c>
      <c r="AA519" s="39" t="n">
        <f aca="false">Resumo!$B$9</f>
        <v>1</v>
      </c>
      <c r="AB519" s="39" t="n">
        <f aca="false">Resumo!$B$10*CEILING(I519/100,1)</f>
        <v>4.5</v>
      </c>
      <c r="AC519" s="39" t="n">
        <f aca="false">Resumo!$B$12*CEILING(I519,1)</f>
        <v>1.62</v>
      </c>
      <c r="AD519" s="39" t="n">
        <f aca="false">Resumo!$B$14*CEILING(I519,1)</f>
        <v>12.15</v>
      </c>
      <c r="AE519" s="39" t="n">
        <f aca="false">SUM(X519:AD519)</f>
        <v>102.52997</v>
      </c>
      <c r="AF519" s="39" t="n">
        <f aca="false">AE519/(1-Resumo!$B$5)</f>
        <v>116.511329545455</v>
      </c>
      <c r="AG519" s="39" t="n">
        <f aca="false">AF519-W519</f>
        <v>36.5909227272727</v>
      </c>
      <c r="AH519" s="40" t="n">
        <f aca="false">AF519/W519-1</f>
        <v>0.457842047907949</v>
      </c>
      <c r="AI519" s="37" t="str">
        <f aca="false">IF(AF519&lt;W519,"SIM","NÃO")</f>
        <v>NÃO</v>
      </c>
      <c r="AJ519" s="37" t="n">
        <v>2</v>
      </c>
      <c r="AK519" s="37" t="n">
        <v>5</v>
      </c>
      <c r="AL519" s="37" t="s">
        <v>343</v>
      </c>
      <c r="AM519" s="39" t="n">
        <v>82</v>
      </c>
    </row>
    <row r="520" customFormat="false" ht="15" hidden="false" customHeight="false" outlineLevel="0" collapsed="false">
      <c r="A520" s="37" t="n">
        <v>371175082</v>
      </c>
      <c r="B520" s="38" t="n">
        <v>46237.6431365741</v>
      </c>
      <c r="C520" s="37" t="s">
        <v>345</v>
      </c>
      <c r="D520" s="37" t="s">
        <v>855</v>
      </c>
      <c r="E520" s="37" t="n">
        <v>21340510</v>
      </c>
      <c r="F520" s="37" t="s">
        <v>159</v>
      </c>
      <c r="G520" s="37" t="s">
        <v>196</v>
      </c>
      <c r="H520" s="37" t="s">
        <v>188</v>
      </c>
      <c r="I520" s="37" t="n">
        <v>69.15</v>
      </c>
      <c r="J520" s="39" t="n">
        <v>717.6</v>
      </c>
      <c r="K520" s="37" t="s">
        <v>342</v>
      </c>
      <c r="L520" s="39" t="n">
        <v>124.66</v>
      </c>
      <c r="M520" s="39" t="n">
        <v>63.21</v>
      </c>
      <c r="N520" s="39" t="n">
        <f aca="false">J520*Resumo!$C$6</f>
        <v>0</v>
      </c>
      <c r="O520" s="39" t="n">
        <f aca="false">J520*Resumo!$C$7</f>
        <v>1.50696</v>
      </c>
      <c r="P520" s="39" t="n">
        <f aca="false">J520*Resumo!$C$8</f>
        <v>1.50696</v>
      </c>
      <c r="Q520" s="39" t="n">
        <f aca="false">Resumo!$C$10*CEILING(I520/100,1)</f>
        <v>1.05</v>
      </c>
      <c r="R520" s="39" t="n">
        <f aca="false">Resumo!$C$9</f>
        <v>0</v>
      </c>
      <c r="S520" s="39" t="n">
        <f aca="false">Resumo!$C$13</f>
        <v>13.55</v>
      </c>
      <c r="T520" s="39" t="n">
        <f aca="false">Resumo!$C$14*CEILING(I520,1)</f>
        <v>31.5</v>
      </c>
      <c r="U520" s="39" t="n">
        <f aca="false">SUM(M520:T520)*Resumo!$C$11</f>
        <v>0</v>
      </c>
      <c r="V520" s="39" t="n">
        <f aca="false">SUM(M520:U520)</f>
        <v>112.32392</v>
      </c>
      <c r="W520" s="39" t="n">
        <f aca="false">V520/(1-Resumo!$C$5)</f>
        <v>127.640818181818</v>
      </c>
      <c r="X520" s="39" t="n">
        <v>131.02</v>
      </c>
      <c r="Y520" s="39" t="n">
        <f aca="false">J520*Resumo!$B$6</f>
        <v>0.7176</v>
      </c>
      <c r="Z520" s="39" t="n">
        <f aca="false">J520*Resumo!$B$7</f>
        <v>1.4352</v>
      </c>
      <c r="AA520" s="39" t="n">
        <f aca="false">Resumo!$B$9</f>
        <v>1</v>
      </c>
      <c r="AB520" s="39" t="n">
        <f aca="false">Resumo!$B$10*CEILING(I520/100,1)</f>
        <v>4.5</v>
      </c>
      <c r="AC520" s="39" t="n">
        <f aca="false">Resumo!$B$12*CEILING(I520,1)</f>
        <v>4.2</v>
      </c>
      <c r="AD520" s="39" t="n">
        <f aca="false">Resumo!$B$14*CEILING(I520,1)</f>
        <v>31.5</v>
      </c>
      <c r="AE520" s="39" t="n">
        <f aca="false">SUM(X520:AD520)</f>
        <v>174.3728</v>
      </c>
      <c r="AF520" s="39" t="n">
        <f aca="false">AE520/(1-Resumo!$B$5)</f>
        <v>198.150909090909</v>
      </c>
      <c r="AG520" s="39" t="n">
        <f aca="false">AF520-W520</f>
        <v>70.5100909090909</v>
      </c>
      <c r="AH520" s="40" t="n">
        <f aca="false">AF520/W520-1</f>
        <v>0.55241020790585</v>
      </c>
      <c r="AI520" s="37" t="str">
        <f aca="false">IF(AF520&lt;W520,"SIM","NÃO")</f>
        <v>NÃO</v>
      </c>
      <c r="AJ520" s="37" t="n">
        <v>2</v>
      </c>
      <c r="AK520" s="37" t="n">
        <v>5</v>
      </c>
      <c r="AL520" s="37" t="s">
        <v>343</v>
      </c>
      <c r="AM520" s="39" t="n">
        <v>124.65</v>
      </c>
    </row>
    <row r="521" customFormat="false" ht="15" hidden="false" customHeight="false" outlineLevel="0" collapsed="false">
      <c r="A521" s="37" t="n">
        <v>371174202</v>
      </c>
      <c r="B521" s="38" t="n">
        <v>46237.6435069444</v>
      </c>
      <c r="C521" s="37" t="s">
        <v>361</v>
      </c>
      <c r="D521" s="37" t="s">
        <v>856</v>
      </c>
      <c r="E521" s="37" t="n">
        <v>21650002</v>
      </c>
      <c r="F521" s="37" t="s">
        <v>159</v>
      </c>
      <c r="G521" s="37" t="s">
        <v>196</v>
      </c>
      <c r="H521" s="37" t="s">
        <v>183</v>
      </c>
      <c r="I521" s="37" t="n">
        <v>19.5</v>
      </c>
      <c r="J521" s="39" t="n">
        <v>399.99</v>
      </c>
      <c r="K521" s="37" t="s">
        <v>342</v>
      </c>
      <c r="L521" s="39" t="n">
        <v>65.14</v>
      </c>
      <c r="M521" s="39" t="n">
        <v>33.42</v>
      </c>
      <c r="N521" s="39" t="n">
        <f aca="false">J521*Resumo!$C$6</f>
        <v>0</v>
      </c>
      <c r="O521" s="39" t="n">
        <f aca="false">J521*Resumo!$C$7</f>
        <v>0.839979</v>
      </c>
      <c r="P521" s="39" t="n">
        <f aca="false">J521*Resumo!$C$8</f>
        <v>0.839979</v>
      </c>
      <c r="Q521" s="39" t="n">
        <f aca="false">Resumo!$C$10*CEILING(I521/100,1)</f>
        <v>1.05</v>
      </c>
      <c r="R521" s="39" t="n">
        <f aca="false">Resumo!$C$9</f>
        <v>0</v>
      </c>
      <c r="S521" s="39" t="n">
        <f aca="false">Resumo!$C$13</f>
        <v>13.55</v>
      </c>
      <c r="T521" s="39" t="n">
        <f aca="false">Resumo!$C$14*CEILING(I521,1)</f>
        <v>9</v>
      </c>
      <c r="U521" s="39" t="n">
        <f aca="false">SUM(M521:T521)*Resumo!$C$11</f>
        <v>0</v>
      </c>
      <c r="V521" s="39" t="n">
        <f aca="false">SUM(M521:U521)</f>
        <v>58.699958</v>
      </c>
      <c r="W521" s="39" t="n">
        <f aca="false">V521/(1-Resumo!$C$5)</f>
        <v>66.7044977272727</v>
      </c>
      <c r="X521" s="39" t="n">
        <v>46.98</v>
      </c>
      <c r="Y521" s="39" t="n">
        <f aca="false">J521*Resumo!$B$6</f>
        <v>0.39999</v>
      </c>
      <c r="Z521" s="39" t="n">
        <f aca="false">J521*Resumo!$B$7</f>
        <v>0.79998</v>
      </c>
      <c r="AA521" s="39" t="n">
        <f aca="false">Resumo!$B$9</f>
        <v>1</v>
      </c>
      <c r="AB521" s="39" t="n">
        <f aca="false">Resumo!$B$10*CEILING(I521/100,1)</f>
        <v>4.5</v>
      </c>
      <c r="AC521" s="39" t="n">
        <f aca="false">Resumo!$B$12*CEILING(I521,1)</f>
        <v>1.2</v>
      </c>
      <c r="AD521" s="39" t="n">
        <f aca="false">Resumo!$B$14*CEILING(I521,1)</f>
        <v>9</v>
      </c>
      <c r="AE521" s="39" t="n">
        <f aca="false">SUM(X521:AD521)</f>
        <v>63.87997</v>
      </c>
      <c r="AF521" s="39" t="n">
        <f aca="false">AE521/(1-Resumo!$B$5)</f>
        <v>72.590875</v>
      </c>
      <c r="AG521" s="39" t="n">
        <f aca="false">AF521-W521</f>
        <v>5.88637727272727</v>
      </c>
      <c r="AH521" s="40" t="n">
        <f aca="false">AF521/W521-1</f>
        <v>0.0882455827310813</v>
      </c>
      <c r="AI521" s="37" t="str">
        <f aca="false">IF(AF521&lt;W521,"SIM","NÃO")</f>
        <v>NÃO</v>
      </c>
      <c r="AJ521" s="37" t="n">
        <v>2</v>
      </c>
      <c r="AK521" s="37" t="n">
        <v>5</v>
      </c>
      <c r="AL521" s="37" t="s">
        <v>343</v>
      </c>
      <c r="AM521" s="39" t="n">
        <v>65.13</v>
      </c>
    </row>
    <row r="522" customFormat="false" ht="15" hidden="false" customHeight="false" outlineLevel="0" collapsed="false">
      <c r="A522" s="37" t="n">
        <v>371194892</v>
      </c>
      <c r="B522" s="38" t="n">
        <v>46237.6713425926</v>
      </c>
      <c r="C522" s="37" t="s">
        <v>340</v>
      </c>
      <c r="D522" s="37" t="s">
        <v>857</v>
      </c>
      <c r="E522" s="37" t="n">
        <v>21635350</v>
      </c>
      <c r="F522" s="37" t="s">
        <v>159</v>
      </c>
      <c r="G522" s="37" t="s">
        <v>196</v>
      </c>
      <c r="H522" s="37" t="s">
        <v>186</v>
      </c>
      <c r="I522" s="37" t="n">
        <v>48.3</v>
      </c>
      <c r="J522" s="39" t="n">
        <v>459.99</v>
      </c>
      <c r="K522" s="37" t="s">
        <v>342</v>
      </c>
      <c r="L522" s="39" t="n">
        <v>102.8</v>
      </c>
      <c r="M522" s="39" t="n">
        <v>53.55</v>
      </c>
      <c r="N522" s="39" t="n">
        <f aca="false">J522*Resumo!$C$6</f>
        <v>0</v>
      </c>
      <c r="O522" s="39" t="n">
        <f aca="false">J522*Resumo!$C$7</f>
        <v>0.965979</v>
      </c>
      <c r="P522" s="39" t="n">
        <f aca="false">J522*Resumo!$C$8</f>
        <v>0.965979</v>
      </c>
      <c r="Q522" s="39" t="n">
        <f aca="false">Resumo!$C$10*CEILING(I522/100,1)</f>
        <v>1.05</v>
      </c>
      <c r="R522" s="39" t="n">
        <f aca="false">Resumo!$C$9</f>
        <v>0</v>
      </c>
      <c r="S522" s="39" t="n">
        <f aca="false">Resumo!$C$13</f>
        <v>13.55</v>
      </c>
      <c r="T522" s="39" t="n">
        <f aca="false">Resumo!$C$14*CEILING(I522,1)</f>
        <v>22.05</v>
      </c>
      <c r="U522" s="39" t="n">
        <f aca="false">SUM(M522:T522)*Resumo!$C$11</f>
        <v>0</v>
      </c>
      <c r="V522" s="39" t="n">
        <f aca="false">SUM(M522:U522)</f>
        <v>92.131958</v>
      </c>
      <c r="W522" s="39" t="n">
        <f aca="false">V522/(1-Resumo!$C$5)</f>
        <v>104.695406818182</v>
      </c>
      <c r="X522" s="39" t="n">
        <v>93.97</v>
      </c>
      <c r="Y522" s="39" t="n">
        <f aca="false">J522*Resumo!$B$6</f>
        <v>0.45999</v>
      </c>
      <c r="Z522" s="39" t="n">
        <f aca="false">J522*Resumo!$B$7</f>
        <v>0.91998</v>
      </c>
      <c r="AA522" s="39" t="n">
        <f aca="false">Resumo!$B$9</f>
        <v>1</v>
      </c>
      <c r="AB522" s="39" t="n">
        <f aca="false">Resumo!$B$10*CEILING(I522/100,1)</f>
        <v>4.5</v>
      </c>
      <c r="AC522" s="39" t="n">
        <f aca="false">Resumo!$B$12*CEILING(I522,1)</f>
        <v>2.94</v>
      </c>
      <c r="AD522" s="39" t="n">
        <f aca="false">Resumo!$B$14*CEILING(I522,1)</f>
        <v>22.05</v>
      </c>
      <c r="AE522" s="39" t="n">
        <f aca="false">SUM(X522:AD522)</f>
        <v>125.83997</v>
      </c>
      <c r="AF522" s="39" t="n">
        <f aca="false">AE522/(1-Resumo!$B$5)</f>
        <v>142.999965909091</v>
      </c>
      <c r="AG522" s="39" t="n">
        <f aca="false">AF522-W522</f>
        <v>38.3045590909091</v>
      </c>
      <c r="AH522" s="40" t="n">
        <f aca="false">AF522/W522-1</f>
        <v>0.365866662683973</v>
      </c>
      <c r="AI522" s="37" t="str">
        <f aca="false">IF(AF522&lt;W522,"SIM","NÃO")</f>
        <v>NÃO</v>
      </c>
      <c r="AJ522" s="37" t="n">
        <v>2</v>
      </c>
      <c r="AK522" s="37" t="n">
        <v>5</v>
      </c>
      <c r="AL522" s="37" t="s">
        <v>343</v>
      </c>
      <c r="AM522" s="39" t="n">
        <v>102.79</v>
      </c>
    </row>
    <row r="523" customFormat="false" ht="15" hidden="false" customHeight="false" outlineLevel="0" collapsed="false">
      <c r="A523" s="37" t="n">
        <v>371206309</v>
      </c>
      <c r="B523" s="38" t="n">
        <v>46237.6923958333</v>
      </c>
      <c r="C523" s="37" t="s">
        <v>340</v>
      </c>
      <c r="D523" s="37" t="s">
        <v>380</v>
      </c>
      <c r="E523" s="37" t="n">
        <v>21741060</v>
      </c>
      <c r="F523" s="37" t="s">
        <v>159</v>
      </c>
      <c r="G523" s="37" t="s">
        <v>196</v>
      </c>
      <c r="H523" s="37" t="s">
        <v>187</v>
      </c>
      <c r="I523" s="37" t="n">
        <v>52.3</v>
      </c>
      <c r="J523" s="39" t="n">
        <v>643.99</v>
      </c>
      <c r="K523" s="37" t="s">
        <v>518</v>
      </c>
      <c r="L523" s="39" t="n">
        <v>113.35</v>
      </c>
      <c r="M523" s="39" t="n">
        <v>58.6</v>
      </c>
      <c r="N523" s="39" t="n">
        <f aca="false">J523*Resumo!$C$6</f>
        <v>0</v>
      </c>
      <c r="O523" s="39" t="n">
        <f aca="false">J523*Resumo!$C$7</f>
        <v>1.352379</v>
      </c>
      <c r="P523" s="39" t="n">
        <f aca="false">J523*Resumo!$C$8</f>
        <v>1.352379</v>
      </c>
      <c r="Q523" s="39" t="n">
        <f aca="false">Resumo!$C$10*CEILING(I523/100,1)</f>
        <v>1.05</v>
      </c>
      <c r="R523" s="39" t="n">
        <f aca="false">Resumo!$C$9</f>
        <v>0</v>
      </c>
      <c r="S523" s="39" t="n">
        <f aca="false">Resumo!$C$13</f>
        <v>13.55</v>
      </c>
      <c r="T523" s="39" t="n">
        <f aca="false">Resumo!$C$14*CEILING(I523,1)</f>
        <v>23.85</v>
      </c>
      <c r="U523" s="39" t="n">
        <f aca="false">SUM(M523:T523)*Resumo!$C$11</f>
        <v>0</v>
      </c>
      <c r="V523" s="39" t="n">
        <f aca="false">SUM(M523:U523)</f>
        <v>99.754758</v>
      </c>
      <c r="W523" s="39" t="n">
        <f aca="false">V523/(1-Resumo!$C$5)</f>
        <v>113.357679545455</v>
      </c>
      <c r="X523" s="39" t="n">
        <v>112.3</v>
      </c>
      <c r="Y523" s="39" t="n">
        <f aca="false">J523*Resumo!$B$6</f>
        <v>0.64399</v>
      </c>
      <c r="Z523" s="39" t="n">
        <f aca="false">J523*Resumo!$B$7</f>
        <v>1.28798</v>
      </c>
      <c r="AA523" s="39" t="n">
        <f aca="false">Resumo!$B$9</f>
        <v>1</v>
      </c>
      <c r="AB523" s="39" t="n">
        <f aca="false">Resumo!$B$10*CEILING(I523/100,1)</f>
        <v>4.5</v>
      </c>
      <c r="AC523" s="39" t="n">
        <f aca="false">Resumo!$B$12*CEILING(I523,1)</f>
        <v>3.18</v>
      </c>
      <c r="AD523" s="39" t="n">
        <f aca="false">Resumo!$B$14*CEILING(I523,1)</f>
        <v>23.85</v>
      </c>
      <c r="AE523" s="39" t="n">
        <f aca="false">SUM(X523:AD523)</f>
        <v>146.76197</v>
      </c>
      <c r="AF523" s="39" t="n">
        <f aca="false">AE523/(1-Resumo!$B$5)</f>
        <v>166.774965909091</v>
      </c>
      <c r="AG523" s="39" t="n">
        <f aca="false">AF523-W523</f>
        <v>53.4172863636363</v>
      </c>
      <c r="AH523" s="40" t="n">
        <f aca="false">AF523/W523-1</f>
        <v>0.471227768403788</v>
      </c>
      <c r="AI523" s="37" t="str">
        <f aca="false">IF(AF523&lt;W523,"SIM","NÃO")</f>
        <v>NÃO</v>
      </c>
      <c r="AJ523" s="37" t="n">
        <v>2</v>
      </c>
      <c r="AK523" s="37" t="n">
        <v>5</v>
      </c>
      <c r="AL523" s="37" t="s">
        <v>343</v>
      </c>
      <c r="AM523" s="39" t="n">
        <v>114.23</v>
      </c>
    </row>
    <row r="524" customFormat="false" ht="15" hidden="false" customHeight="false" outlineLevel="0" collapsed="false">
      <c r="A524" s="37" t="n">
        <v>371220929</v>
      </c>
      <c r="B524" s="38" t="n">
        <v>46237.7338541667</v>
      </c>
      <c r="C524" s="37" t="s">
        <v>361</v>
      </c>
      <c r="D524" s="37" t="s">
        <v>858</v>
      </c>
      <c r="E524" s="37" t="n">
        <v>21512040</v>
      </c>
      <c r="F524" s="37" t="s">
        <v>159</v>
      </c>
      <c r="G524" s="37" t="s">
        <v>196</v>
      </c>
      <c r="H524" s="37" t="s">
        <v>184</v>
      </c>
      <c r="I524" s="37" t="n">
        <v>22.4</v>
      </c>
      <c r="J524" s="39" t="n">
        <v>424.99</v>
      </c>
      <c r="K524" s="37" t="s">
        <v>342</v>
      </c>
      <c r="L524" s="39" t="n">
        <v>82.36</v>
      </c>
      <c r="M524" s="39" t="n">
        <v>42.11</v>
      </c>
      <c r="N524" s="39" t="n">
        <f aca="false">J524*Resumo!$C$6</f>
        <v>0</v>
      </c>
      <c r="O524" s="39" t="n">
        <f aca="false">J524*Resumo!$C$7</f>
        <v>0.892479</v>
      </c>
      <c r="P524" s="39" t="n">
        <f aca="false">J524*Resumo!$C$8</f>
        <v>0.892479</v>
      </c>
      <c r="Q524" s="39" t="n">
        <f aca="false">Resumo!$C$10*CEILING(I524/100,1)</f>
        <v>1.05</v>
      </c>
      <c r="R524" s="39" t="n">
        <f aca="false">Resumo!$C$9</f>
        <v>0</v>
      </c>
      <c r="S524" s="39" t="n">
        <f aca="false">Resumo!$C$13</f>
        <v>13.55</v>
      </c>
      <c r="T524" s="39" t="n">
        <f aca="false">Resumo!$C$14*CEILING(I524,1)</f>
        <v>10.35</v>
      </c>
      <c r="U524" s="39" t="n">
        <f aca="false">SUM(M524:T524)*Resumo!$C$11</f>
        <v>0</v>
      </c>
      <c r="V524" s="39" t="n">
        <f aca="false">SUM(M524:U524)</f>
        <v>68.844958</v>
      </c>
      <c r="W524" s="39" t="n">
        <f aca="false">V524/(1-Resumo!$C$5)</f>
        <v>78.2329068181818</v>
      </c>
      <c r="X524" s="39" t="n">
        <v>82.21</v>
      </c>
      <c r="Y524" s="39" t="n">
        <f aca="false">J524*Resumo!$B$6</f>
        <v>0.42499</v>
      </c>
      <c r="Z524" s="39" t="n">
        <f aca="false">J524*Resumo!$B$7</f>
        <v>0.84998</v>
      </c>
      <c r="AA524" s="39" t="n">
        <f aca="false">Resumo!$B$9</f>
        <v>1</v>
      </c>
      <c r="AB524" s="39" t="n">
        <f aca="false">Resumo!$B$10*CEILING(I524/100,1)</f>
        <v>4.5</v>
      </c>
      <c r="AC524" s="39" t="n">
        <f aca="false">Resumo!$B$12*CEILING(I524,1)</f>
        <v>1.38</v>
      </c>
      <c r="AD524" s="39" t="n">
        <f aca="false">Resumo!$B$14*CEILING(I524,1)</f>
        <v>10.35</v>
      </c>
      <c r="AE524" s="39" t="n">
        <f aca="false">SUM(X524:AD524)</f>
        <v>100.71497</v>
      </c>
      <c r="AF524" s="39" t="n">
        <f aca="false">AE524/(1-Resumo!$B$5)</f>
        <v>114.448829545455</v>
      </c>
      <c r="AG524" s="39" t="n">
        <f aca="false">AF524-W524</f>
        <v>36.2159227272727</v>
      </c>
      <c r="AH524" s="40" t="n">
        <f aca="false">AF524/W524-1</f>
        <v>0.462924416338521</v>
      </c>
      <c r="AI524" s="37" t="str">
        <f aca="false">IF(AF524&lt;W524,"SIM","NÃO")</f>
        <v>NÃO</v>
      </c>
      <c r="AJ524" s="37" t="n">
        <v>2</v>
      </c>
      <c r="AK524" s="37" t="n">
        <v>5</v>
      </c>
      <c r="AL524" s="37" t="s">
        <v>343</v>
      </c>
      <c r="AM524" s="39" t="n">
        <v>82.36</v>
      </c>
    </row>
    <row r="525" customFormat="false" ht="15" hidden="false" customHeight="false" outlineLevel="0" collapsed="false">
      <c r="A525" s="37" t="n">
        <v>371256422</v>
      </c>
      <c r="B525" s="38" t="n">
        <v>46237.7817476852</v>
      </c>
      <c r="C525" s="37" t="s">
        <v>340</v>
      </c>
      <c r="D525" s="37" t="s">
        <v>859</v>
      </c>
      <c r="E525" s="37" t="n">
        <v>22010050</v>
      </c>
      <c r="F525" s="37" t="s">
        <v>159</v>
      </c>
      <c r="G525" s="37" t="s">
        <v>196</v>
      </c>
      <c r="H525" s="37" t="s">
        <v>184</v>
      </c>
      <c r="I525" s="37" t="n">
        <v>27</v>
      </c>
      <c r="J525" s="39" t="n">
        <v>319.99</v>
      </c>
      <c r="K525" s="37" t="s">
        <v>342</v>
      </c>
      <c r="L525" s="39" t="n">
        <v>81.86</v>
      </c>
      <c r="M525" s="39" t="n">
        <v>42.11</v>
      </c>
      <c r="N525" s="39" t="n">
        <f aca="false">J525*Resumo!$C$6</f>
        <v>0</v>
      </c>
      <c r="O525" s="39" t="n">
        <f aca="false">J525*Resumo!$C$7</f>
        <v>0.671979</v>
      </c>
      <c r="P525" s="39" t="n">
        <f aca="false">J525*Resumo!$C$8</f>
        <v>0.671979</v>
      </c>
      <c r="Q525" s="39" t="n">
        <f aca="false">Resumo!$C$10*CEILING(I525/100,1)</f>
        <v>1.05</v>
      </c>
      <c r="R525" s="39" t="n">
        <f aca="false">Resumo!$C$9</f>
        <v>0</v>
      </c>
      <c r="S525" s="39" t="n">
        <f aca="false">Resumo!$C$13</f>
        <v>13.55</v>
      </c>
      <c r="T525" s="39" t="n">
        <f aca="false">Resumo!$C$14*CEILING(I525,1)</f>
        <v>12.15</v>
      </c>
      <c r="U525" s="39" t="n">
        <f aca="false">SUM(M525:T525)*Resumo!$C$11</f>
        <v>0</v>
      </c>
      <c r="V525" s="39" t="n">
        <f aca="false">SUM(M525:U525)</f>
        <v>70.203958</v>
      </c>
      <c r="W525" s="39" t="n">
        <f aca="false">V525/(1-Resumo!$C$5)</f>
        <v>79.777225</v>
      </c>
      <c r="X525" s="39" t="n">
        <v>82.21</v>
      </c>
      <c r="Y525" s="39" t="n">
        <f aca="false">J525*Resumo!$B$6</f>
        <v>0.31999</v>
      </c>
      <c r="Z525" s="39" t="n">
        <f aca="false">J525*Resumo!$B$7</f>
        <v>0.63998</v>
      </c>
      <c r="AA525" s="39" t="n">
        <f aca="false">Resumo!$B$9</f>
        <v>1</v>
      </c>
      <c r="AB525" s="39" t="n">
        <f aca="false">Resumo!$B$10*CEILING(I525/100,1)</f>
        <v>4.5</v>
      </c>
      <c r="AC525" s="39" t="n">
        <f aca="false">Resumo!$B$12*CEILING(I525,1)</f>
        <v>1.62</v>
      </c>
      <c r="AD525" s="39" t="n">
        <f aca="false">Resumo!$B$14*CEILING(I525,1)</f>
        <v>12.15</v>
      </c>
      <c r="AE525" s="39" t="n">
        <f aca="false">SUM(X525:AD525)</f>
        <v>102.43997</v>
      </c>
      <c r="AF525" s="39" t="n">
        <f aca="false">AE525/(1-Resumo!$B$5)</f>
        <v>116.409056818182</v>
      </c>
      <c r="AG525" s="39" t="n">
        <f aca="false">AF525-W525</f>
        <v>36.6318318181818</v>
      </c>
      <c r="AH525" s="40" t="n">
        <f aca="false">AF525/W525-1</f>
        <v>0.459176560956862</v>
      </c>
      <c r="AI525" s="37" t="str">
        <f aca="false">IF(AF525&lt;W525,"SIM","NÃO")</f>
        <v>NÃO</v>
      </c>
      <c r="AJ525" s="37" t="n">
        <v>2</v>
      </c>
      <c r="AK525" s="37" t="n">
        <v>5</v>
      </c>
      <c r="AL525" s="37" t="s">
        <v>343</v>
      </c>
      <c r="AM525" s="39" t="n">
        <v>81.86</v>
      </c>
    </row>
    <row r="526" customFormat="false" ht="15" hidden="false" customHeight="false" outlineLevel="0" collapsed="false">
      <c r="A526" s="37" t="n">
        <v>371249186</v>
      </c>
      <c r="B526" s="38" t="n">
        <v>46237.782650463</v>
      </c>
      <c r="C526" s="37" t="s">
        <v>361</v>
      </c>
      <c r="D526" s="37" t="s">
        <v>860</v>
      </c>
      <c r="E526" s="37" t="n">
        <v>20972010</v>
      </c>
      <c r="F526" s="37" t="s">
        <v>159</v>
      </c>
      <c r="G526" s="37" t="s">
        <v>196</v>
      </c>
      <c r="H526" s="37" t="s">
        <v>184</v>
      </c>
      <c r="I526" s="37" t="n">
        <v>22.4</v>
      </c>
      <c r="J526" s="39" t="n">
        <v>499.99</v>
      </c>
      <c r="K526" s="37" t="s">
        <v>342</v>
      </c>
      <c r="L526" s="39" t="n">
        <v>82.73</v>
      </c>
      <c r="M526" s="39" t="n">
        <v>42.11</v>
      </c>
      <c r="N526" s="39" t="n">
        <f aca="false">J526*Resumo!$C$6</f>
        <v>0</v>
      </c>
      <c r="O526" s="39" t="n">
        <f aca="false">J526*Resumo!$C$7</f>
        <v>1.049979</v>
      </c>
      <c r="P526" s="39" t="n">
        <f aca="false">J526*Resumo!$C$8</f>
        <v>1.049979</v>
      </c>
      <c r="Q526" s="39" t="n">
        <f aca="false">Resumo!$C$10*CEILING(I526/100,1)</f>
        <v>1.05</v>
      </c>
      <c r="R526" s="39" t="n">
        <f aca="false">Resumo!$C$9</f>
        <v>0</v>
      </c>
      <c r="S526" s="39" t="n">
        <f aca="false">Resumo!$C$13</f>
        <v>13.55</v>
      </c>
      <c r="T526" s="39" t="n">
        <f aca="false">Resumo!$C$14*CEILING(I526,1)</f>
        <v>10.35</v>
      </c>
      <c r="U526" s="39" t="n">
        <f aca="false">SUM(M526:T526)*Resumo!$C$11</f>
        <v>0</v>
      </c>
      <c r="V526" s="39" t="n">
        <f aca="false">SUM(M526:U526)</f>
        <v>69.159958</v>
      </c>
      <c r="W526" s="39" t="n">
        <f aca="false">V526/(1-Resumo!$C$5)</f>
        <v>78.5908613636364</v>
      </c>
      <c r="X526" s="39" t="n">
        <v>82.21</v>
      </c>
      <c r="Y526" s="39" t="n">
        <f aca="false">J526*Resumo!$B$6</f>
        <v>0.49999</v>
      </c>
      <c r="Z526" s="39" t="n">
        <f aca="false">J526*Resumo!$B$7</f>
        <v>0.99998</v>
      </c>
      <c r="AA526" s="39" t="n">
        <f aca="false">Resumo!$B$9</f>
        <v>1</v>
      </c>
      <c r="AB526" s="39" t="n">
        <f aca="false">Resumo!$B$10*CEILING(I526/100,1)</f>
        <v>4.5</v>
      </c>
      <c r="AC526" s="39" t="n">
        <f aca="false">Resumo!$B$12*CEILING(I526,1)</f>
        <v>1.38</v>
      </c>
      <c r="AD526" s="39" t="n">
        <f aca="false">Resumo!$B$14*CEILING(I526,1)</f>
        <v>10.35</v>
      </c>
      <c r="AE526" s="39" t="n">
        <f aca="false">SUM(X526:AD526)</f>
        <v>100.93997</v>
      </c>
      <c r="AF526" s="39" t="n">
        <f aca="false">AE526/(1-Resumo!$B$5)</f>
        <v>114.704511363636</v>
      </c>
      <c r="AG526" s="39" t="n">
        <f aca="false">AF526-W526</f>
        <v>36.11365</v>
      </c>
      <c r="AH526" s="40" t="n">
        <f aca="false">AF526/W526-1</f>
        <v>0.459514622608649</v>
      </c>
      <c r="AI526" s="37" t="str">
        <f aca="false">IF(AF526&lt;W526,"SIM","NÃO")</f>
        <v>NÃO</v>
      </c>
      <c r="AJ526" s="37" t="n">
        <v>2</v>
      </c>
      <c r="AK526" s="37" t="n">
        <v>5</v>
      </c>
      <c r="AL526" s="37" t="s">
        <v>343</v>
      </c>
      <c r="AM526" s="39" t="n">
        <v>82.72</v>
      </c>
    </row>
    <row r="527" customFormat="false" ht="15" hidden="false" customHeight="false" outlineLevel="0" collapsed="false">
      <c r="A527" s="37" t="n">
        <v>371258792</v>
      </c>
      <c r="B527" s="38" t="n">
        <v>46237.7850694444</v>
      </c>
      <c r="C527" s="37" t="s">
        <v>340</v>
      </c>
      <c r="D527" s="37" t="s">
        <v>861</v>
      </c>
      <c r="E527" s="37" t="n">
        <v>20930430</v>
      </c>
      <c r="F527" s="37" t="s">
        <v>159</v>
      </c>
      <c r="G527" s="37" t="s">
        <v>196</v>
      </c>
      <c r="H527" s="37" t="s">
        <v>187</v>
      </c>
      <c r="I527" s="37" t="n">
        <v>52.3</v>
      </c>
      <c r="J527" s="39" t="n">
        <v>699.99</v>
      </c>
      <c r="K527" s="37" t="s">
        <v>518</v>
      </c>
      <c r="L527" s="39" t="n">
        <v>113.63</v>
      </c>
      <c r="M527" s="39" t="n">
        <v>58.6</v>
      </c>
      <c r="N527" s="39" t="n">
        <f aca="false">J527*Resumo!$C$6</f>
        <v>0</v>
      </c>
      <c r="O527" s="39" t="n">
        <f aca="false">J527*Resumo!$C$7</f>
        <v>1.469979</v>
      </c>
      <c r="P527" s="39" t="n">
        <f aca="false">J527*Resumo!$C$8</f>
        <v>1.469979</v>
      </c>
      <c r="Q527" s="39" t="n">
        <f aca="false">Resumo!$C$10*CEILING(I527/100,1)</f>
        <v>1.05</v>
      </c>
      <c r="R527" s="39" t="n">
        <f aca="false">Resumo!$C$9</f>
        <v>0</v>
      </c>
      <c r="S527" s="39" t="n">
        <f aca="false">Resumo!$C$13</f>
        <v>13.55</v>
      </c>
      <c r="T527" s="39" t="n">
        <f aca="false">Resumo!$C$14*CEILING(I527,1)</f>
        <v>23.85</v>
      </c>
      <c r="U527" s="39" t="n">
        <f aca="false">SUM(M527:T527)*Resumo!$C$11</f>
        <v>0</v>
      </c>
      <c r="V527" s="39" t="n">
        <f aca="false">SUM(M527:U527)</f>
        <v>99.989958</v>
      </c>
      <c r="W527" s="39" t="n">
        <f aca="false">V527/(1-Resumo!$C$5)</f>
        <v>113.624952272727</v>
      </c>
      <c r="X527" s="39" t="n">
        <v>112.3</v>
      </c>
      <c r="Y527" s="39" t="n">
        <f aca="false">J527*Resumo!$B$6</f>
        <v>0.69999</v>
      </c>
      <c r="Z527" s="39" t="n">
        <f aca="false">J527*Resumo!$B$7</f>
        <v>1.39998</v>
      </c>
      <c r="AA527" s="39" t="n">
        <f aca="false">Resumo!$B$9</f>
        <v>1</v>
      </c>
      <c r="AB527" s="39" t="n">
        <f aca="false">Resumo!$B$10*CEILING(I527/100,1)</f>
        <v>4.5</v>
      </c>
      <c r="AC527" s="39" t="n">
        <f aca="false">Resumo!$B$12*CEILING(I527,1)</f>
        <v>3.18</v>
      </c>
      <c r="AD527" s="39" t="n">
        <f aca="false">Resumo!$B$14*CEILING(I527,1)</f>
        <v>23.85</v>
      </c>
      <c r="AE527" s="39" t="n">
        <f aca="false">SUM(X527:AD527)</f>
        <v>146.92997</v>
      </c>
      <c r="AF527" s="39" t="n">
        <f aca="false">AE527/(1-Resumo!$B$5)</f>
        <v>166.965875</v>
      </c>
      <c r="AG527" s="39" t="n">
        <f aca="false">AF527-W527</f>
        <v>53.3409227272727</v>
      </c>
      <c r="AH527" s="40" t="n">
        <f aca="false">AF527/W527-1</f>
        <v>0.469447261894039</v>
      </c>
      <c r="AI527" s="37" t="str">
        <f aca="false">IF(AF527&lt;W527,"SIM","NÃO")</f>
        <v>NÃO</v>
      </c>
      <c r="AJ527" s="37" t="n">
        <v>2</v>
      </c>
      <c r="AK527" s="37" t="n">
        <v>5</v>
      </c>
      <c r="AL527" s="37" t="s">
        <v>343</v>
      </c>
      <c r="AM527" s="39" t="n">
        <v>114.5</v>
      </c>
    </row>
    <row r="528" customFormat="false" ht="15" hidden="false" customHeight="false" outlineLevel="0" collapsed="false">
      <c r="A528" s="37" t="n">
        <v>371265344</v>
      </c>
      <c r="B528" s="38" t="n">
        <v>46237.7951967593</v>
      </c>
      <c r="C528" s="37" t="s">
        <v>345</v>
      </c>
      <c r="D528" s="37" t="s">
        <v>862</v>
      </c>
      <c r="E528" s="37" t="n">
        <v>21862170</v>
      </c>
      <c r="F528" s="37" t="s">
        <v>159</v>
      </c>
      <c r="G528" s="37" t="s">
        <v>196</v>
      </c>
      <c r="H528" s="37" t="s">
        <v>185</v>
      </c>
      <c r="I528" s="37" t="n">
        <v>36.8</v>
      </c>
      <c r="J528" s="39" t="n">
        <v>431.09</v>
      </c>
      <c r="K528" s="37" t="s">
        <v>342</v>
      </c>
      <c r="L528" s="39" t="n">
        <v>91.92</v>
      </c>
      <c r="M528" s="39" t="n">
        <v>48.35</v>
      </c>
      <c r="N528" s="39" t="n">
        <f aca="false">J528*Resumo!$C$6</f>
        <v>0</v>
      </c>
      <c r="O528" s="39" t="n">
        <f aca="false">J528*Resumo!$C$7</f>
        <v>0.905289</v>
      </c>
      <c r="P528" s="39" t="n">
        <f aca="false">J528*Resumo!$C$8</f>
        <v>0.905289</v>
      </c>
      <c r="Q528" s="39" t="n">
        <f aca="false">Resumo!$C$10*CEILING(I528/100,1)</f>
        <v>1.05</v>
      </c>
      <c r="R528" s="39" t="n">
        <f aca="false">Resumo!$C$9</f>
        <v>0</v>
      </c>
      <c r="S528" s="39" t="n">
        <f aca="false">Resumo!$C$13</f>
        <v>13.55</v>
      </c>
      <c r="T528" s="39" t="n">
        <f aca="false">Resumo!$C$14*CEILING(I528,1)</f>
        <v>16.65</v>
      </c>
      <c r="U528" s="39" t="n">
        <f aca="false">SUM(M528:T528)*Resumo!$C$11</f>
        <v>0</v>
      </c>
      <c r="V528" s="39" t="n">
        <f aca="false">SUM(M528:U528)</f>
        <v>81.410578</v>
      </c>
      <c r="W528" s="39" t="n">
        <f aca="false">V528/(1-Resumo!$C$5)</f>
        <v>92.5120204545455</v>
      </c>
      <c r="X528" s="39" t="n">
        <v>93.97</v>
      </c>
      <c r="Y528" s="39" t="n">
        <f aca="false">J528*Resumo!$B$6</f>
        <v>0.43109</v>
      </c>
      <c r="Z528" s="39" t="n">
        <f aca="false">J528*Resumo!$B$7</f>
        <v>0.86218</v>
      </c>
      <c r="AA528" s="39" t="n">
        <f aca="false">Resumo!$B$9</f>
        <v>1</v>
      </c>
      <c r="AB528" s="39" t="n">
        <f aca="false">Resumo!$B$10*CEILING(I528/100,1)</f>
        <v>4.5</v>
      </c>
      <c r="AC528" s="39" t="n">
        <f aca="false">Resumo!$B$12*CEILING(I528,1)</f>
        <v>2.22</v>
      </c>
      <c r="AD528" s="39" t="n">
        <f aca="false">Resumo!$B$14*CEILING(I528,1)</f>
        <v>16.65</v>
      </c>
      <c r="AE528" s="39" t="n">
        <f aca="false">SUM(X528:AD528)</f>
        <v>119.63327</v>
      </c>
      <c r="AF528" s="39" t="n">
        <f aca="false">AE528/(1-Resumo!$B$5)</f>
        <v>135.946897727273</v>
      </c>
      <c r="AG528" s="39" t="n">
        <f aca="false">AF528-W528</f>
        <v>43.4348772727273</v>
      </c>
      <c r="AH528" s="40" t="n">
        <f aca="false">AF528/W528-1</f>
        <v>0.469505228178088</v>
      </c>
      <c r="AI528" s="37" t="str">
        <f aca="false">IF(AF528&lt;W528,"SIM","NÃO")</f>
        <v>NÃO</v>
      </c>
      <c r="AJ528" s="37" t="n">
        <v>2</v>
      </c>
      <c r="AK528" s="37" t="n">
        <v>5</v>
      </c>
      <c r="AL528" s="37" t="s">
        <v>343</v>
      </c>
      <c r="AM528" s="39" t="n">
        <v>91.92</v>
      </c>
    </row>
    <row r="529" customFormat="false" ht="15" hidden="false" customHeight="false" outlineLevel="0" collapsed="false">
      <c r="A529" s="37" t="n">
        <v>371276117</v>
      </c>
      <c r="B529" s="38" t="n">
        <v>46237.81375</v>
      </c>
      <c r="C529" s="37" t="s">
        <v>340</v>
      </c>
      <c r="D529" s="37" t="s">
        <v>863</v>
      </c>
      <c r="E529" s="37" t="n">
        <v>21361470</v>
      </c>
      <c r="F529" s="37" t="s">
        <v>159</v>
      </c>
      <c r="G529" s="37" t="s">
        <v>196</v>
      </c>
      <c r="H529" s="37" t="s">
        <v>183</v>
      </c>
      <c r="I529" s="37" t="n">
        <v>11</v>
      </c>
      <c r="J529" s="39" t="n">
        <v>449.99</v>
      </c>
      <c r="K529" s="37" t="s">
        <v>342</v>
      </c>
      <c r="L529" s="39" t="n">
        <v>65.37</v>
      </c>
      <c r="M529" s="39" t="n">
        <v>33.42</v>
      </c>
      <c r="N529" s="39" t="n">
        <f aca="false">J529*Resumo!$C$6</f>
        <v>0</v>
      </c>
      <c r="O529" s="39" t="n">
        <f aca="false">J529*Resumo!$C$7</f>
        <v>0.944979</v>
      </c>
      <c r="P529" s="39" t="n">
        <f aca="false">J529*Resumo!$C$8</f>
        <v>0.944979</v>
      </c>
      <c r="Q529" s="39" t="n">
        <f aca="false">Resumo!$C$10*CEILING(I529/100,1)</f>
        <v>1.05</v>
      </c>
      <c r="R529" s="39" t="n">
        <f aca="false">Resumo!$C$9</f>
        <v>0</v>
      </c>
      <c r="S529" s="39" t="n">
        <f aca="false">Resumo!$C$13</f>
        <v>13.55</v>
      </c>
      <c r="T529" s="39" t="n">
        <f aca="false">Resumo!$C$14*CEILING(I529,1)</f>
        <v>4.95</v>
      </c>
      <c r="U529" s="39" t="n">
        <f aca="false">SUM(M529:T529)*Resumo!$C$11</f>
        <v>0</v>
      </c>
      <c r="V529" s="39" t="n">
        <f aca="false">SUM(M529:U529)</f>
        <v>54.859958</v>
      </c>
      <c r="W529" s="39" t="n">
        <f aca="false">V529/(1-Resumo!$C$5)</f>
        <v>62.3408613636364</v>
      </c>
      <c r="X529" s="39" t="n">
        <v>46.98</v>
      </c>
      <c r="Y529" s="39" t="n">
        <f aca="false">J529*Resumo!$B$6</f>
        <v>0.44999</v>
      </c>
      <c r="Z529" s="39" t="n">
        <f aca="false">J529*Resumo!$B$7</f>
        <v>0.89998</v>
      </c>
      <c r="AA529" s="39" t="n">
        <f aca="false">Resumo!$B$9</f>
        <v>1</v>
      </c>
      <c r="AB529" s="39" t="n">
        <f aca="false">Resumo!$B$10*CEILING(I529/100,1)</f>
        <v>4.5</v>
      </c>
      <c r="AC529" s="39" t="n">
        <f aca="false">Resumo!$B$12*CEILING(I529,1)</f>
        <v>0.66</v>
      </c>
      <c r="AD529" s="39" t="n">
        <f aca="false">Resumo!$B$14*CEILING(I529,1)</f>
        <v>4.95</v>
      </c>
      <c r="AE529" s="39" t="n">
        <f aca="false">SUM(X529:AD529)</f>
        <v>59.43997</v>
      </c>
      <c r="AF529" s="39" t="n">
        <f aca="false">AE529/(1-Resumo!$B$5)</f>
        <v>67.5454204545455</v>
      </c>
      <c r="AG529" s="39" t="n">
        <f aca="false">AF529-W529</f>
        <v>5.20455909090908</v>
      </c>
      <c r="AH529" s="40" t="n">
        <f aca="false">AF529/W529-1</f>
        <v>0.0834855177978808</v>
      </c>
      <c r="AI529" s="37" t="str">
        <f aca="false">IF(AF529&lt;W529,"SIM","NÃO")</f>
        <v>NÃO</v>
      </c>
      <c r="AJ529" s="37" t="n">
        <v>2</v>
      </c>
      <c r="AK529" s="37" t="n">
        <v>5</v>
      </c>
      <c r="AL529" s="37" t="s">
        <v>343</v>
      </c>
      <c r="AM529" s="39" t="n">
        <v>65.37</v>
      </c>
    </row>
    <row r="530" customFormat="false" ht="15" hidden="false" customHeight="false" outlineLevel="0" collapsed="false">
      <c r="A530" s="37" t="n">
        <v>371298446</v>
      </c>
      <c r="B530" s="38" t="n">
        <v>46237.8548148148</v>
      </c>
      <c r="C530" s="37" t="s">
        <v>345</v>
      </c>
      <c r="D530" s="37" t="s">
        <v>864</v>
      </c>
      <c r="E530" s="37" t="n">
        <v>24342805</v>
      </c>
      <c r="F530" s="37" t="s">
        <v>163</v>
      </c>
      <c r="G530" s="37" t="s">
        <v>197</v>
      </c>
      <c r="H530" s="37" t="s">
        <v>188</v>
      </c>
      <c r="I530" s="37" t="n">
        <v>62.8</v>
      </c>
      <c r="J530" s="39" t="n">
        <v>719.08</v>
      </c>
      <c r="K530" s="37" t="s">
        <v>342</v>
      </c>
      <c r="L530" s="39" t="n">
        <v>139.89</v>
      </c>
      <c r="M530" s="39" t="n">
        <v>76.55</v>
      </c>
      <c r="N530" s="39" t="n">
        <f aca="false">J530*Resumo!$C$6</f>
        <v>0</v>
      </c>
      <c r="O530" s="39" t="n">
        <f aca="false">J530*Resumo!$C$7</f>
        <v>1.510068</v>
      </c>
      <c r="P530" s="39" t="n">
        <f aca="false">J530*Resumo!$C$8</f>
        <v>1.510068</v>
      </c>
      <c r="Q530" s="39" t="n">
        <f aca="false">Resumo!$C$10*CEILING(I530/100,1)</f>
        <v>1.05</v>
      </c>
      <c r="R530" s="39" t="n">
        <f aca="false">Resumo!$C$9</f>
        <v>0</v>
      </c>
      <c r="S530" s="39" t="n">
        <f aca="false">Resumo!$C$13</f>
        <v>13.55</v>
      </c>
      <c r="T530" s="39" t="n">
        <f aca="false">Resumo!$C$14*CEILING(I530,1)</f>
        <v>28.35</v>
      </c>
      <c r="U530" s="39" t="n">
        <f aca="false">SUM(M530:T530)*Resumo!$C$11</f>
        <v>0</v>
      </c>
      <c r="V530" s="39" t="n">
        <f aca="false">SUM(M530:U530)</f>
        <v>122.520136</v>
      </c>
      <c r="W530" s="39" t="n">
        <f aca="false">V530/(1-Resumo!$C$5)</f>
        <v>139.227427272727</v>
      </c>
      <c r="X530" s="39" t="n">
        <v>149.5</v>
      </c>
      <c r="Y530" s="39" t="n">
        <f aca="false">J530*Resumo!$B$6</f>
        <v>0.71908</v>
      </c>
      <c r="Z530" s="39" t="n">
        <f aca="false">J530*Resumo!$B$7</f>
        <v>1.43816</v>
      </c>
      <c r="AA530" s="39" t="n">
        <f aca="false">Resumo!$B$9</f>
        <v>1</v>
      </c>
      <c r="AB530" s="39" t="n">
        <f aca="false">Resumo!$B$10*CEILING(I530/100,1)</f>
        <v>4.5</v>
      </c>
      <c r="AC530" s="39" t="n">
        <f aca="false">Resumo!$B$12*CEILING(I530,1)</f>
        <v>3.78</v>
      </c>
      <c r="AD530" s="39" t="n">
        <f aca="false">Resumo!$B$14*CEILING(I530,1)</f>
        <v>28.35</v>
      </c>
      <c r="AE530" s="39" t="n">
        <f aca="false">SUM(X530:AD530)</f>
        <v>189.28724</v>
      </c>
      <c r="AF530" s="39" t="n">
        <f aca="false">AE530/(1-Resumo!$B$5)</f>
        <v>215.099136363636</v>
      </c>
      <c r="AG530" s="39" t="n">
        <f aca="false">AF530-W530</f>
        <v>75.8717090909091</v>
      </c>
      <c r="AH530" s="40" t="n">
        <f aca="false">AF530/W530-1</f>
        <v>0.544948007566691</v>
      </c>
      <c r="AI530" s="37" t="str">
        <f aca="false">IF(AF530&lt;W530,"SIM","NÃO")</f>
        <v>NÃO</v>
      </c>
      <c r="AJ530" s="37" t="n">
        <v>2</v>
      </c>
      <c r="AK530" s="37" t="n">
        <v>7</v>
      </c>
      <c r="AL530" s="37" t="s">
        <v>343</v>
      </c>
      <c r="AM530" s="39" t="n">
        <v>139.88</v>
      </c>
    </row>
    <row r="531" customFormat="false" ht="15" hidden="false" customHeight="false" outlineLevel="0" collapsed="false">
      <c r="A531" s="37" t="n">
        <v>371300471</v>
      </c>
      <c r="B531" s="38" t="n">
        <v>46237.8583564815</v>
      </c>
      <c r="C531" s="37" t="s">
        <v>340</v>
      </c>
      <c r="D531" s="37" t="s">
        <v>865</v>
      </c>
      <c r="E531" s="37" t="n">
        <v>24802695</v>
      </c>
      <c r="F531" s="37" t="s">
        <v>174</v>
      </c>
      <c r="G531" s="37" t="s">
        <v>198</v>
      </c>
      <c r="H531" s="37" t="s">
        <v>187</v>
      </c>
      <c r="I531" s="37" t="n">
        <v>51.06</v>
      </c>
      <c r="J531" s="39" t="n">
        <v>749.99</v>
      </c>
      <c r="K531" s="37" t="s">
        <v>518</v>
      </c>
      <c r="L531" s="39" t="n">
        <v>141.73</v>
      </c>
      <c r="M531" s="39" t="n">
        <v>83.58</v>
      </c>
      <c r="N531" s="39" t="n">
        <f aca="false">J531*Resumo!$C$6</f>
        <v>0</v>
      </c>
      <c r="O531" s="39" t="n">
        <f aca="false">J531*Resumo!$C$7</f>
        <v>1.574979</v>
      </c>
      <c r="P531" s="39" t="n">
        <f aca="false">J531*Resumo!$C$8</f>
        <v>1.574979</v>
      </c>
      <c r="Q531" s="39" t="n">
        <f aca="false">Resumo!$C$10*CEILING(I531/100,1)</f>
        <v>1.05</v>
      </c>
      <c r="R531" s="39" t="n">
        <f aca="false">Resumo!$C$9</f>
        <v>0</v>
      </c>
      <c r="S531" s="39" t="n">
        <f aca="false">Resumo!$C$13</f>
        <v>13.55</v>
      </c>
      <c r="T531" s="39" t="n">
        <f aca="false">Resumo!$C$14*CEILING(I531,1)</f>
        <v>23.4</v>
      </c>
      <c r="U531" s="39" t="n">
        <f aca="false">SUM(M531:T531)*Resumo!$C$11</f>
        <v>0</v>
      </c>
      <c r="V531" s="39" t="n">
        <f aca="false">SUM(M531:U531)</f>
        <v>124.729958</v>
      </c>
      <c r="W531" s="39" t="n">
        <f aca="false">V531/(1-Resumo!$C$5)</f>
        <v>141.738588636364</v>
      </c>
      <c r="X531" s="39" t="n">
        <v>128.14</v>
      </c>
      <c r="Y531" s="39" t="n">
        <f aca="false">J531*Resumo!$B$6</f>
        <v>0.74999</v>
      </c>
      <c r="Z531" s="39" t="n">
        <f aca="false">J531*Resumo!$B$7</f>
        <v>1.49998</v>
      </c>
      <c r="AA531" s="39" t="n">
        <f aca="false">Resumo!$B$9</f>
        <v>1</v>
      </c>
      <c r="AB531" s="39" t="n">
        <f aca="false">Resumo!$B$10*CEILING(I531/100,1)</f>
        <v>4.5</v>
      </c>
      <c r="AC531" s="39" t="n">
        <f aca="false">Resumo!$B$12*CEILING(I531,1)</f>
        <v>3.12</v>
      </c>
      <c r="AD531" s="39" t="n">
        <f aca="false">Resumo!$B$14*CEILING(I531,1)</f>
        <v>23.4</v>
      </c>
      <c r="AE531" s="39" t="n">
        <f aca="false">SUM(X531:AD531)</f>
        <v>162.40997</v>
      </c>
      <c r="AF531" s="39" t="n">
        <f aca="false">AE531/(1-Resumo!$B$5)</f>
        <v>184.556784090909</v>
      </c>
      <c r="AG531" s="39" t="n">
        <f aca="false">AF531-W531</f>
        <v>42.8181954545454</v>
      </c>
      <c r="AH531" s="40" t="n">
        <f aca="false">AF531/W531-1</f>
        <v>0.302092717773544</v>
      </c>
      <c r="AI531" s="37" t="str">
        <f aca="false">IF(AF531&lt;W531,"SIM","NÃO")</f>
        <v>NÃO</v>
      </c>
      <c r="AJ531" s="37" t="n">
        <v>13</v>
      </c>
      <c r="AK531" s="37" t="n">
        <v>7</v>
      </c>
      <c r="AL531" s="37" t="s">
        <v>343</v>
      </c>
      <c r="AM531" s="39" t="n">
        <v>143.26</v>
      </c>
    </row>
    <row r="532" customFormat="false" ht="15" hidden="false" customHeight="false" outlineLevel="0" collapsed="false">
      <c r="A532" s="37" t="n">
        <v>371301922</v>
      </c>
      <c r="B532" s="38" t="n">
        <v>46237.8604976852</v>
      </c>
      <c r="C532" s="37" t="s">
        <v>340</v>
      </c>
      <c r="D532" s="37" t="s">
        <v>486</v>
      </c>
      <c r="E532" s="37" t="n">
        <v>22765240</v>
      </c>
      <c r="F532" s="37" t="s">
        <v>159</v>
      </c>
      <c r="G532" s="37" t="s">
        <v>196</v>
      </c>
      <c r="H532" s="37" t="s">
        <v>188</v>
      </c>
      <c r="I532" s="37" t="n">
        <v>67.2</v>
      </c>
      <c r="J532" s="39" t="n">
        <v>1469.97</v>
      </c>
      <c r="K532" s="37" t="s">
        <v>342</v>
      </c>
      <c r="L532" s="39" t="n">
        <v>128.25</v>
      </c>
      <c r="M532" s="39" t="n">
        <v>63.21</v>
      </c>
      <c r="N532" s="39" t="n">
        <f aca="false">J532*Resumo!$C$6</f>
        <v>0</v>
      </c>
      <c r="O532" s="39" t="n">
        <f aca="false">J532*Resumo!$C$7</f>
        <v>3.086937</v>
      </c>
      <c r="P532" s="39" t="n">
        <f aca="false">J532*Resumo!$C$8</f>
        <v>3.086937</v>
      </c>
      <c r="Q532" s="39" t="n">
        <f aca="false">Resumo!$C$10*CEILING(I532/100,1)</f>
        <v>1.05</v>
      </c>
      <c r="R532" s="39" t="n">
        <f aca="false">Resumo!$C$9</f>
        <v>0</v>
      </c>
      <c r="S532" s="39" t="n">
        <f aca="false">Resumo!$C$13</f>
        <v>13.55</v>
      </c>
      <c r="T532" s="39" t="n">
        <f aca="false">Resumo!$C$14*CEILING(I532,1)</f>
        <v>30.6</v>
      </c>
      <c r="U532" s="39" t="n">
        <f aca="false">SUM(M532:T532)*Resumo!$C$11</f>
        <v>0</v>
      </c>
      <c r="V532" s="39" t="n">
        <f aca="false">SUM(M532:U532)</f>
        <v>114.583874</v>
      </c>
      <c r="W532" s="39" t="n">
        <f aca="false">V532/(1-Resumo!$C$5)</f>
        <v>130.208947727273</v>
      </c>
      <c r="X532" s="39" t="n">
        <v>131.02</v>
      </c>
      <c r="Y532" s="39" t="n">
        <f aca="false">J532*Resumo!$B$6</f>
        <v>1.46997</v>
      </c>
      <c r="Z532" s="39" t="n">
        <f aca="false">J532*Resumo!$B$7</f>
        <v>2.93994</v>
      </c>
      <c r="AA532" s="39" t="n">
        <f aca="false">Resumo!$B$9</f>
        <v>1</v>
      </c>
      <c r="AB532" s="39" t="n">
        <f aca="false">Resumo!$B$10*CEILING(I532/100,1)</f>
        <v>4.5</v>
      </c>
      <c r="AC532" s="39" t="n">
        <f aca="false">Resumo!$B$12*CEILING(I532,1)</f>
        <v>4.08</v>
      </c>
      <c r="AD532" s="39" t="n">
        <f aca="false">Resumo!$B$14*CEILING(I532,1)</f>
        <v>30.6</v>
      </c>
      <c r="AE532" s="39" t="n">
        <f aca="false">SUM(X532:AD532)</f>
        <v>175.60991</v>
      </c>
      <c r="AF532" s="39" t="n">
        <f aca="false">AE532/(1-Resumo!$B$5)</f>
        <v>199.556715909091</v>
      </c>
      <c r="AG532" s="39" t="n">
        <f aca="false">AF532-W532</f>
        <v>69.3477681818182</v>
      </c>
      <c r="AH532" s="40" t="n">
        <f aca="false">AF532/W532-1</f>
        <v>0.532588346594042</v>
      </c>
      <c r="AI532" s="37" t="str">
        <f aca="false">IF(AF532&lt;W532,"SIM","NÃO")</f>
        <v>NÃO</v>
      </c>
      <c r="AJ532" s="37" t="n">
        <v>2</v>
      </c>
      <c r="AK532" s="37" t="n">
        <v>5</v>
      </c>
      <c r="AL532" s="37" t="s">
        <v>343</v>
      </c>
      <c r="AM532" s="39" t="n">
        <v>128.25</v>
      </c>
    </row>
    <row r="533" customFormat="false" ht="15" hidden="false" customHeight="false" outlineLevel="0" collapsed="false">
      <c r="A533" s="37" t="n">
        <v>371302709</v>
      </c>
      <c r="B533" s="38" t="n">
        <v>46237.8618287037</v>
      </c>
      <c r="C533" s="37" t="s">
        <v>345</v>
      </c>
      <c r="D533" s="37" t="s">
        <v>866</v>
      </c>
      <c r="E533" s="37" t="n">
        <v>23835005</v>
      </c>
      <c r="F533" s="37" t="s">
        <v>217</v>
      </c>
      <c r="G533" s="37" t="s">
        <v>198</v>
      </c>
      <c r="H533" s="37" t="s">
        <v>187</v>
      </c>
      <c r="I533" s="37" t="n">
        <v>52.3</v>
      </c>
      <c r="J533" s="39" t="n">
        <v>642.07</v>
      </c>
      <c r="K533" s="37" t="s">
        <v>518</v>
      </c>
      <c r="L533" s="39" t="n">
        <v>141.74</v>
      </c>
      <c r="M533" s="39" t="n">
        <v>83.58</v>
      </c>
      <c r="N533" s="39" t="n">
        <f aca="false">J533*Resumo!$C$6</f>
        <v>0</v>
      </c>
      <c r="O533" s="39" t="n">
        <f aca="false">J533*Resumo!$C$7</f>
        <v>1.348347</v>
      </c>
      <c r="P533" s="39" t="n">
        <f aca="false">J533*Resumo!$C$8</f>
        <v>1.348347</v>
      </c>
      <c r="Q533" s="39" t="n">
        <f aca="false">Resumo!$C$10*CEILING(I533/100,1)</f>
        <v>1.05</v>
      </c>
      <c r="R533" s="39" t="n">
        <f aca="false">Resumo!$C$9</f>
        <v>0</v>
      </c>
      <c r="S533" s="39" t="n">
        <f aca="false">Resumo!$C$13</f>
        <v>13.55</v>
      </c>
      <c r="T533" s="39" t="n">
        <f aca="false">Resumo!$C$14*CEILING(I533,1)</f>
        <v>23.85</v>
      </c>
      <c r="U533" s="39" t="n">
        <f aca="false">SUM(M533:T533)*Resumo!$C$11</f>
        <v>0</v>
      </c>
      <c r="V533" s="39" t="n">
        <f aca="false">SUM(M533:U533)</f>
        <v>124.726694</v>
      </c>
      <c r="W533" s="39" t="n">
        <f aca="false">V533/(1-Resumo!$C$5)</f>
        <v>141.734879545455</v>
      </c>
      <c r="X533" s="39" t="n">
        <v>122.3</v>
      </c>
      <c r="Y533" s="39" t="n">
        <f aca="false">J533*Resumo!$B$6</f>
        <v>0.64207</v>
      </c>
      <c r="Z533" s="39" t="n">
        <f aca="false">J533*Resumo!$B$7</f>
        <v>1.28414</v>
      </c>
      <c r="AA533" s="39" t="n">
        <f aca="false">Resumo!$B$9</f>
        <v>1</v>
      </c>
      <c r="AB533" s="39" t="n">
        <f aca="false">Resumo!$B$10*CEILING(I533/100,1)</f>
        <v>4.5</v>
      </c>
      <c r="AC533" s="39" t="n">
        <f aca="false">Resumo!$B$12*CEILING(I533,1)</f>
        <v>3.18</v>
      </c>
      <c r="AD533" s="39" t="n">
        <f aca="false">Resumo!$B$14*CEILING(I533,1)</f>
        <v>23.85</v>
      </c>
      <c r="AE533" s="39" t="n">
        <f aca="false">SUM(X533:AD533)</f>
        <v>156.75621</v>
      </c>
      <c r="AF533" s="39" t="n">
        <f aca="false">AE533/(1-Resumo!$B$5)</f>
        <v>178.132056818182</v>
      </c>
      <c r="AG533" s="39" t="n">
        <f aca="false">AF533-W533</f>
        <v>36.3971772727273</v>
      </c>
      <c r="AH533" s="40" t="n">
        <f aca="false">AF533/W533-1</f>
        <v>0.25679760260462</v>
      </c>
      <c r="AI533" s="37" t="str">
        <f aca="false">IF(AF533&lt;W533,"SIM","NÃO")</f>
        <v>NÃO</v>
      </c>
      <c r="AJ533" s="37" t="n">
        <v>13</v>
      </c>
      <c r="AK533" s="37" t="n">
        <v>5</v>
      </c>
      <c r="AL533" s="37" t="s">
        <v>347</v>
      </c>
      <c r="AM533" s="39" t="n">
        <v>142.75</v>
      </c>
    </row>
    <row r="534" customFormat="false" ht="15" hidden="false" customHeight="false" outlineLevel="0" collapsed="false">
      <c r="A534" s="37" t="n">
        <v>371324721</v>
      </c>
      <c r="B534" s="38" t="n">
        <v>46237.9004282407</v>
      </c>
      <c r="C534" s="37" t="s">
        <v>345</v>
      </c>
      <c r="D534" s="37" t="s">
        <v>867</v>
      </c>
      <c r="E534" s="37" t="n">
        <v>21832150</v>
      </c>
      <c r="F534" s="37" t="s">
        <v>159</v>
      </c>
      <c r="G534" s="37" t="s">
        <v>196</v>
      </c>
      <c r="H534" s="37" t="s">
        <v>184</v>
      </c>
      <c r="I534" s="37" t="n">
        <v>33</v>
      </c>
      <c r="J534" s="39" t="n">
        <v>468.7</v>
      </c>
      <c r="K534" s="37" t="s">
        <v>342</v>
      </c>
      <c r="L534" s="39" t="n">
        <v>82.58</v>
      </c>
      <c r="M534" s="39" t="n">
        <v>42.11</v>
      </c>
      <c r="N534" s="39" t="n">
        <f aca="false">J534*Resumo!$C$6</f>
        <v>0</v>
      </c>
      <c r="O534" s="39" t="n">
        <f aca="false">J534*Resumo!$C$7</f>
        <v>0.98427</v>
      </c>
      <c r="P534" s="39" t="n">
        <f aca="false">J534*Resumo!$C$8</f>
        <v>0.98427</v>
      </c>
      <c r="Q534" s="39" t="n">
        <f aca="false">Resumo!$C$10*CEILING(I534/100,1)</f>
        <v>1.05</v>
      </c>
      <c r="R534" s="39" t="n">
        <f aca="false">Resumo!$C$9</f>
        <v>0</v>
      </c>
      <c r="S534" s="39" t="n">
        <f aca="false">Resumo!$C$13</f>
        <v>13.55</v>
      </c>
      <c r="T534" s="39" t="n">
        <f aca="false">Resumo!$C$14*CEILING(I534,1)</f>
        <v>14.85</v>
      </c>
      <c r="U534" s="39" t="n">
        <f aca="false">SUM(M534:T534)*Resumo!$C$11</f>
        <v>0</v>
      </c>
      <c r="V534" s="39" t="n">
        <f aca="false">SUM(M534:U534)</f>
        <v>73.52854</v>
      </c>
      <c r="W534" s="39" t="n">
        <f aca="false">V534/(1-Resumo!$C$5)</f>
        <v>83.5551590909091</v>
      </c>
      <c r="X534" s="39" t="n">
        <v>82.21</v>
      </c>
      <c r="Y534" s="39" t="n">
        <f aca="false">J534*Resumo!$B$6</f>
        <v>0.4687</v>
      </c>
      <c r="Z534" s="39" t="n">
        <f aca="false">J534*Resumo!$B$7</f>
        <v>0.9374</v>
      </c>
      <c r="AA534" s="39" t="n">
        <f aca="false">Resumo!$B$9</f>
        <v>1</v>
      </c>
      <c r="AB534" s="39" t="n">
        <f aca="false">Resumo!$B$10*CEILING(I534/100,1)</f>
        <v>4.5</v>
      </c>
      <c r="AC534" s="39" t="n">
        <f aca="false">Resumo!$B$12*CEILING(I534,1)</f>
        <v>1.98</v>
      </c>
      <c r="AD534" s="39" t="n">
        <f aca="false">Resumo!$B$14*CEILING(I534,1)</f>
        <v>14.85</v>
      </c>
      <c r="AE534" s="39" t="n">
        <f aca="false">SUM(X534:AD534)</f>
        <v>105.9461</v>
      </c>
      <c r="AF534" s="39" t="n">
        <f aca="false">AE534/(1-Resumo!$B$5)</f>
        <v>120.393295454545</v>
      </c>
      <c r="AG534" s="39" t="n">
        <f aca="false">AF534-W534</f>
        <v>36.8381363636364</v>
      </c>
      <c r="AH534" s="40" t="n">
        <f aca="false">AF534/W534-1</f>
        <v>0.440884043121215</v>
      </c>
      <c r="AI534" s="37" t="str">
        <f aca="false">IF(AF534&lt;W534,"SIM","NÃO")</f>
        <v>NÃO</v>
      </c>
      <c r="AJ534" s="37" t="n">
        <v>2</v>
      </c>
      <c r="AK534" s="37" t="n">
        <v>5</v>
      </c>
      <c r="AL534" s="37" t="s">
        <v>343</v>
      </c>
      <c r="AM534" s="39" t="n">
        <v>82.57</v>
      </c>
    </row>
    <row r="535" customFormat="false" ht="15" hidden="false" customHeight="false" outlineLevel="0" collapsed="false">
      <c r="A535" s="37" t="n">
        <v>371329014</v>
      </c>
      <c r="B535" s="38" t="n">
        <v>46237.9092708333</v>
      </c>
      <c r="C535" s="37" t="s">
        <v>340</v>
      </c>
      <c r="D535" s="37" t="s">
        <v>868</v>
      </c>
      <c r="E535" s="37" t="n">
        <v>20770160</v>
      </c>
      <c r="F535" s="37" t="s">
        <v>159</v>
      </c>
      <c r="G535" s="37" t="s">
        <v>196</v>
      </c>
      <c r="H535" s="37" t="s">
        <v>187</v>
      </c>
      <c r="I535" s="37" t="n">
        <v>52.3</v>
      </c>
      <c r="J535" s="39" t="n">
        <v>699.99</v>
      </c>
      <c r="K535" s="37" t="s">
        <v>518</v>
      </c>
      <c r="L535" s="39" t="n">
        <v>113.63</v>
      </c>
      <c r="M535" s="39" t="n">
        <v>58.6</v>
      </c>
      <c r="N535" s="39" t="n">
        <f aca="false">J535*Resumo!$C$6</f>
        <v>0</v>
      </c>
      <c r="O535" s="39" t="n">
        <f aca="false">J535*Resumo!$C$7</f>
        <v>1.469979</v>
      </c>
      <c r="P535" s="39" t="n">
        <f aca="false">J535*Resumo!$C$8</f>
        <v>1.469979</v>
      </c>
      <c r="Q535" s="39" t="n">
        <f aca="false">Resumo!$C$10*CEILING(I535/100,1)</f>
        <v>1.05</v>
      </c>
      <c r="R535" s="39" t="n">
        <f aca="false">Resumo!$C$9</f>
        <v>0</v>
      </c>
      <c r="S535" s="39" t="n">
        <f aca="false">Resumo!$C$13</f>
        <v>13.55</v>
      </c>
      <c r="T535" s="39" t="n">
        <f aca="false">Resumo!$C$14*CEILING(I535,1)</f>
        <v>23.85</v>
      </c>
      <c r="U535" s="39" t="n">
        <f aca="false">SUM(M535:T535)*Resumo!$C$11</f>
        <v>0</v>
      </c>
      <c r="V535" s="39" t="n">
        <f aca="false">SUM(M535:U535)</f>
        <v>99.989958</v>
      </c>
      <c r="W535" s="39" t="n">
        <f aca="false">V535/(1-Resumo!$C$5)</f>
        <v>113.624952272727</v>
      </c>
      <c r="X535" s="39" t="n">
        <v>112.3</v>
      </c>
      <c r="Y535" s="39" t="n">
        <f aca="false">J535*Resumo!$B$6</f>
        <v>0.69999</v>
      </c>
      <c r="Z535" s="39" t="n">
        <f aca="false">J535*Resumo!$B$7</f>
        <v>1.39998</v>
      </c>
      <c r="AA535" s="39" t="n">
        <f aca="false">Resumo!$B$9</f>
        <v>1</v>
      </c>
      <c r="AB535" s="39" t="n">
        <f aca="false">Resumo!$B$10*CEILING(I535/100,1)</f>
        <v>4.5</v>
      </c>
      <c r="AC535" s="39" t="n">
        <f aca="false">Resumo!$B$12*CEILING(I535,1)</f>
        <v>3.18</v>
      </c>
      <c r="AD535" s="39" t="n">
        <f aca="false">Resumo!$B$14*CEILING(I535,1)</f>
        <v>23.85</v>
      </c>
      <c r="AE535" s="39" t="n">
        <f aca="false">SUM(X535:AD535)</f>
        <v>146.92997</v>
      </c>
      <c r="AF535" s="39" t="n">
        <f aca="false">AE535/(1-Resumo!$B$5)</f>
        <v>166.965875</v>
      </c>
      <c r="AG535" s="39" t="n">
        <f aca="false">AF535-W535</f>
        <v>53.3409227272727</v>
      </c>
      <c r="AH535" s="40" t="n">
        <f aca="false">AF535/W535-1</f>
        <v>0.469447261894039</v>
      </c>
      <c r="AI535" s="37" t="str">
        <f aca="false">IF(AF535&lt;W535,"SIM","NÃO")</f>
        <v>NÃO</v>
      </c>
      <c r="AJ535" s="37" t="n">
        <v>2</v>
      </c>
      <c r="AK535" s="37" t="n">
        <v>5</v>
      </c>
      <c r="AL535" s="37" t="s">
        <v>343</v>
      </c>
      <c r="AM535" s="39" t="n">
        <v>114.5</v>
      </c>
    </row>
    <row r="536" customFormat="false" ht="15" hidden="false" customHeight="false" outlineLevel="0" collapsed="false">
      <c r="A536" s="37" t="n">
        <v>371361784</v>
      </c>
      <c r="B536" s="38" t="n">
        <v>46237.9751388889</v>
      </c>
      <c r="C536" s="37" t="s">
        <v>340</v>
      </c>
      <c r="D536" s="37" t="s">
        <v>869</v>
      </c>
      <c r="E536" s="37" t="n">
        <v>24756151</v>
      </c>
      <c r="F536" s="37" t="s">
        <v>160</v>
      </c>
      <c r="G536" s="37" t="s">
        <v>197</v>
      </c>
      <c r="H536" s="37" t="s">
        <v>187</v>
      </c>
      <c r="I536" s="37" t="n">
        <v>52.3</v>
      </c>
      <c r="J536" s="39" t="n">
        <v>643.99</v>
      </c>
      <c r="K536" s="37" t="s">
        <v>518</v>
      </c>
      <c r="L536" s="39" t="n">
        <v>127.42</v>
      </c>
      <c r="M536" s="39" t="n">
        <v>70.98</v>
      </c>
      <c r="N536" s="39" t="n">
        <f aca="false">J536*Resumo!$C$6</f>
        <v>0</v>
      </c>
      <c r="O536" s="39" t="n">
        <f aca="false">J536*Resumo!$C$7</f>
        <v>1.352379</v>
      </c>
      <c r="P536" s="39" t="n">
        <f aca="false">J536*Resumo!$C$8</f>
        <v>1.352379</v>
      </c>
      <c r="Q536" s="39" t="n">
        <f aca="false">Resumo!$C$10*CEILING(I536/100,1)</f>
        <v>1.05</v>
      </c>
      <c r="R536" s="39" t="n">
        <f aca="false">Resumo!$C$9</f>
        <v>0</v>
      </c>
      <c r="S536" s="39" t="n">
        <f aca="false">Resumo!$C$13</f>
        <v>13.55</v>
      </c>
      <c r="T536" s="39" t="n">
        <f aca="false">Resumo!$C$14*CEILING(I536,1)</f>
        <v>23.85</v>
      </c>
      <c r="U536" s="39" t="n">
        <f aca="false">SUM(M536:T536)*Resumo!$C$11</f>
        <v>0</v>
      </c>
      <c r="V536" s="39" t="n">
        <f aca="false">SUM(M536:U536)</f>
        <v>112.134758</v>
      </c>
      <c r="W536" s="39" t="n">
        <f aca="false">V536/(1-Resumo!$C$5)</f>
        <v>127.425861363636</v>
      </c>
      <c r="X536" s="39" t="n">
        <v>128.14</v>
      </c>
      <c r="Y536" s="39" t="n">
        <f aca="false">J536*Resumo!$B$6</f>
        <v>0.64399</v>
      </c>
      <c r="Z536" s="39" t="n">
        <f aca="false">J536*Resumo!$B$7</f>
        <v>1.28798</v>
      </c>
      <c r="AA536" s="39" t="n">
        <f aca="false">Resumo!$B$9</f>
        <v>1</v>
      </c>
      <c r="AB536" s="39" t="n">
        <f aca="false">Resumo!$B$10*CEILING(I536/100,1)</f>
        <v>4.5</v>
      </c>
      <c r="AC536" s="39" t="n">
        <f aca="false">Resumo!$B$12*CEILING(I536,1)</f>
        <v>3.18</v>
      </c>
      <c r="AD536" s="39" t="n">
        <f aca="false">Resumo!$B$14*CEILING(I536,1)</f>
        <v>23.85</v>
      </c>
      <c r="AE536" s="39" t="n">
        <f aca="false">SUM(X536:AD536)</f>
        <v>162.60197</v>
      </c>
      <c r="AF536" s="39" t="n">
        <f aca="false">AE536/(1-Resumo!$B$5)</f>
        <v>184.774965909091</v>
      </c>
      <c r="AG536" s="39" t="n">
        <f aca="false">AF536-W536</f>
        <v>57.3491045454545</v>
      </c>
      <c r="AH536" s="40" t="n">
        <f aca="false">AF536/W536-1</f>
        <v>0.450058598244801</v>
      </c>
      <c r="AI536" s="37" t="str">
        <f aca="false">IF(AF536&lt;W536,"SIM","NÃO")</f>
        <v>NÃO</v>
      </c>
      <c r="AJ536" s="37" t="n">
        <v>2</v>
      </c>
      <c r="AK536" s="37" t="n">
        <v>7</v>
      </c>
      <c r="AL536" s="37" t="s">
        <v>343</v>
      </c>
      <c r="AM536" s="39" t="n">
        <v>128.37</v>
      </c>
    </row>
    <row r="537" customFormat="false" ht="15" hidden="false" customHeight="false" outlineLevel="0" collapsed="false">
      <c r="A537" s="37" t="n">
        <v>371474981</v>
      </c>
      <c r="B537" s="38" t="n">
        <v>46238.2448032407</v>
      </c>
      <c r="C537" s="37" t="s">
        <v>372</v>
      </c>
      <c r="D537" s="37" t="s">
        <v>870</v>
      </c>
      <c r="E537" s="37" t="n">
        <v>25271390</v>
      </c>
      <c r="F537" s="37" t="s">
        <v>161</v>
      </c>
      <c r="G537" s="37" t="s">
        <v>197</v>
      </c>
      <c r="H537" s="37" t="s">
        <v>187</v>
      </c>
      <c r="I537" s="37" t="n">
        <v>60</v>
      </c>
      <c r="J537" s="39" t="n">
        <v>735.99</v>
      </c>
      <c r="K537" s="37" t="s">
        <v>342</v>
      </c>
      <c r="L537" s="39" t="n">
        <v>128.81</v>
      </c>
      <c r="M537" s="39" t="n">
        <v>70.98</v>
      </c>
      <c r="N537" s="39" t="n">
        <f aca="false">J537*Resumo!$C$6</f>
        <v>0</v>
      </c>
      <c r="O537" s="39" t="n">
        <f aca="false">J537*Resumo!$C$7</f>
        <v>1.545579</v>
      </c>
      <c r="P537" s="39" t="n">
        <f aca="false">J537*Resumo!$C$8</f>
        <v>1.545579</v>
      </c>
      <c r="Q537" s="39" t="n">
        <f aca="false">Resumo!$C$10*CEILING(I537/100,1)</f>
        <v>1.05</v>
      </c>
      <c r="R537" s="39" t="n">
        <f aca="false">Resumo!$C$9</f>
        <v>0</v>
      </c>
      <c r="S537" s="39" t="n">
        <f aca="false">Resumo!$C$13</f>
        <v>13.55</v>
      </c>
      <c r="T537" s="39" t="n">
        <f aca="false">Resumo!$C$14*CEILING(I537,1)</f>
        <v>27</v>
      </c>
      <c r="U537" s="39" t="n">
        <f aca="false">SUM(M537:T537)*Resumo!$C$11</f>
        <v>0</v>
      </c>
      <c r="V537" s="39" t="n">
        <f aca="false">SUM(M537:U537)</f>
        <v>115.671158</v>
      </c>
      <c r="W537" s="39" t="n">
        <f aca="false">V537/(1-Resumo!$C$5)</f>
        <v>131.444497727273</v>
      </c>
      <c r="X537" s="39" t="n">
        <v>112.3</v>
      </c>
      <c r="Y537" s="39" t="n">
        <f aca="false">J537*Resumo!$B$6</f>
        <v>0.73599</v>
      </c>
      <c r="Z537" s="39" t="n">
        <f aca="false">J537*Resumo!$B$7</f>
        <v>1.47198</v>
      </c>
      <c r="AA537" s="39" t="n">
        <f aca="false">Resumo!$B$9</f>
        <v>1</v>
      </c>
      <c r="AB537" s="39" t="n">
        <f aca="false">Resumo!$B$10*CEILING(I537/100,1)</f>
        <v>4.5</v>
      </c>
      <c r="AC537" s="39" t="n">
        <f aca="false">Resumo!$B$12*CEILING(I537,1)</f>
        <v>3.6</v>
      </c>
      <c r="AD537" s="39" t="n">
        <f aca="false">Resumo!$B$14*CEILING(I537,1)</f>
        <v>27</v>
      </c>
      <c r="AE537" s="39" t="n">
        <f aca="false">SUM(X537:AD537)</f>
        <v>150.60797</v>
      </c>
      <c r="AF537" s="39" t="n">
        <f aca="false">AE537/(1-Resumo!$B$5)</f>
        <v>171.145420454545</v>
      </c>
      <c r="AG537" s="39" t="n">
        <f aca="false">AF537-W537</f>
        <v>39.7009227272727</v>
      </c>
      <c r="AH537" s="40" t="n">
        <f aca="false">AF537/W537-1</f>
        <v>0.302035637959119</v>
      </c>
      <c r="AI537" s="37" t="str">
        <f aca="false">IF(AF537&lt;W537,"SIM","NÃO")</f>
        <v>NÃO</v>
      </c>
      <c r="AJ537" s="37" t="n">
        <v>2</v>
      </c>
      <c r="AK537" s="37" t="n">
        <v>5</v>
      </c>
      <c r="AL537" s="37" t="s">
        <v>343</v>
      </c>
      <c r="AM537" s="39" t="n">
        <v>128.81</v>
      </c>
    </row>
    <row r="538" customFormat="false" ht="15" hidden="false" customHeight="false" outlineLevel="0" collapsed="false">
      <c r="A538" s="37" t="n">
        <v>371483802</v>
      </c>
      <c r="B538" s="38" t="n">
        <v>46238.2739814815</v>
      </c>
      <c r="C538" s="37" t="s">
        <v>345</v>
      </c>
      <c r="D538" s="37" t="s">
        <v>871</v>
      </c>
      <c r="E538" s="37" t="n">
        <v>21012190</v>
      </c>
      <c r="F538" s="37" t="s">
        <v>159</v>
      </c>
      <c r="G538" s="37" t="s">
        <v>196</v>
      </c>
      <c r="H538" s="37" t="s">
        <v>187</v>
      </c>
      <c r="I538" s="37" t="n">
        <v>52.3</v>
      </c>
      <c r="J538" s="39" t="n">
        <v>642.07</v>
      </c>
      <c r="K538" s="37" t="s">
        <v>518</v>
      </c>
      <c r="L538" s="39" t="n">
        <v>113.35</v>
      </c>
      <c r="M538" s="39" t="n">
        <v>58.6</v>
      </c>
      <c r="N538" s="39" t="n">
        <f aca="false">J538*Resumo!$C$6</f>
        <v>0</v>
      </c>
      <c r="O538" s="39" t="n">
        <f aca="false">J538*Resumo!$C$7</f>
        <v>1.348347</v>
      </c>
      <c r="P538" s="39" t="n">
        <f aca="false">J538*Resumo!$C$8</f>
        <v>1.348347</v>
      </c>
      <c r="Q538" s="39" t="n">
        <f aca="false">Resumo!$C$10*CEILING(I538/100,1)</f>
        <v>1.05</v>
      </c>
      <c r="R538" s="39" t="n">
        <f aca="false">Resumo!$C$9</f>
        <v>0</v>
      </c>
      <c r="S538" s="39" t="n">
        <f aca="false">Resumo!$C$13</f>
        <v>13.55</v>
      </c>
      <c r="T538" s="39" t="n">
        <f aca="false">Resumo!$C$14*CEILING(I538,1)</f>
        <v>23.85</v>
      </c>
      <c r="U538" s="39" t="n">
        <f aca="false">SUM(M538:T538)*Resumo!$C$11</f>
        <v>0</v>
      </c>
      <c r="V538" s="39" t="n">
        <f aca="false">SUM(M538:U538)</f>
        <v>99.746694</v>
      </c>
      <c r="W538" s="39" t="n">
        <f aca="false">V538/(1-Resumo!$C$5)</f>
        <v>113.348515909091</v>
      </c>
      <c r="X538" s="39" t="n">
        <v>112.3</v>
      </c>
      <c r="Y538" s="39" t="n">
        <f aca="false">J538*Resumo!$B$6</f>
        <v>0.64207</v>
      </c>
      <c r="Z538" s="39" t="n">
        <f aca="false">J538*Resumo!$B$7</f>
        <v>1.28414</v>
      </c>
      <c r="AA538" s="39" t="n">
        <f aca="false">Resumo!$B$9</f>
        <v>1</v>
      </c>
      <c r="AB538" s="39" t="n">
        <f aca="false">Resumo!$B$10*CEILING(I538/100,1)</f>
        <v>4.5</v>
      </c>
      <c r="AC538" s="39" t="n">
        <f aca="false">Resumo!$B$12*CEILING(I538,1)</f>
        <v>3.18</v>
      </c>
      <c r="AD538" s="39" t="n">
        <f aca="false">Resumo!$B$14*CEILING(I538,1)</f>
        <v>23.85</v>
      </c>
      <c r="AE538" s="39" t="n">
        <f aca="false">SUM(X538:AD538)</f>
        <v>146.75621</v>
      </c>
      <c r="AF538" s="39" t="n">
        <f aca="false">AE538/(1-Resumo!$B$5)</f>
        <v>166.768420454545</v>
      </c>
      <c r="AG538" s="39" t="n">
        <f aca="false">AF538-W538</f>
        <v>53.4199045454546</v>
      </c>
      <c r="AH538" s="40" t="n">
        <f aca="false">AF538/W538-1</f>
        <v>0.471288963221177</v>
      </c>
      <c r="AI538" s="37" t="str">
        <f aca="false">IF(AF538&lt;W538,"SIM","NÃO")</f>
        <v>NÃO</v>
      </c>
      <c r="AJ538" s="37" t="n">
        <v>2</v>
      </c>
      <c r="AK538" s="37" t="n">
        <v>5</v>
      </c>
      <c r="AL538" s="37" t="s">
        <v>343</v>
      </c>
      <c r="AM538" s="39" t="n">
        <v>114.23</v>
      </c>
    </row>
    <row r="539" customFormat="false" ht="15" hidden="false" customHeight="false" outlineLevel="0" collapsed="false">
      <c r="A539" s="37" t="n">
        <v>371498352</v>
      </c>
      <c r="B539" s="38" t="n">
        <v>46238.3229398148</v>
      </c>
      <c r="C539" s="37" t="s">
        <v>340</v>
      </c>
      <c r="D539" s="37" t="s">
        <v>872</v>
      </c>
      <c r="E539" s="37" t="n">
        <v>25585021</v>
      </c>
      <c r="F539" s="37" t="s">
        <v>167</v>
      </c>
      <c r="G539" s="37" t="s">
        <v>197</v>
      </c>
      <c r="H539" s="37" t="s">
        <v>184</v>
      </c>
      <c r="I539" s="37" t="n">
        <v>20.9</v>
      </c>
      <c r="J539" s="39" t="n">
        <v>449.99</v>
      </c>
      <c r="K539" s="37" t="s">
        <v>385</v>
      </c>
      <c r="L539" s="39" t="n">
        <v>86.32</v>
      </c>
      <c r="M539" s="39" t="n">
        <v>58.8</v>
      </c>
      <c r="N539" s="39" t="n">
        <f aca="false">J539*Resumo!$C$6</f>
        <v>0</v>
      </c>
      <c r="O539" s="39" t="n">
        <f aca="false">J539*Resumo!$C$7</f>
        <v>0.944979</v>
      </c>
      <c r="P539" s="39" t="n">
        <f aca="false">J539*Resumo!$C$8</f>
        <v>0.944979</v>
      </c>
      <c r="Q539" s="39" t="n">
        <f aca="false">Resumo!$C$10*CEILING(I539/100,1)</f>
        <v>1.05</v>
      </c>
      <c r="R539" s="39" t="n">
        <f aca="false">Resumo!$C$9</f>
        <v>0</v>
      </c>
      <c r="S539" s="39" t="n">
        <f aca="false">Resumo!$C$13</f>
        <v>13.55</v>
      </c>
      <c r="T539" s="39" t="n">
        <f aca="false">Resumo!$C$14*CEILING(I539,1)</f>
        <v>9.45</v>
      </c>
      <c r="U539" s="39" t="n">
        <f aca="false">SUM(M539:T539)*Resumo!$C$11</f>
        <v>0</v>
      </c>
      <c r="V539" s="39" t="n">
        <f aca="false">SUM(M539:U539)</f>
        <v>84.739958</v>
      </c>
      <c r="W539" s="39" t="n">
        <f aca="false">V539/(1-Resumo!$C$5)</f>
        <v>96.2954068181818</v>
      </c>
      <c r="X539" s="39" t="n">
        <v>82.21</v>
      </c>
      <c r="Y539" s="39" t="n">
        <f aca="false">J539*Resumo!$B$6</f>
        <v>0.44999</v>
      </c>
      <c r="Z539" s="39" t="n">
        <f aca="false">J539*Resumo!$B$7</f>
        <v>0.89998</v>
      </c>
      <c r="AA539" s="39" t="n">
        <f aca="false">Resumo!$B$9</f>
        <v>1</v>
      </c>
      <c r="AB539" s="39" t="n">
        <f aca="false">Resumo!$B$10*CEILING(I539/100,1)</f>
        <v>4.5</v>
      </c>
      <c r="AC539" s="39" t="n">
        <f aca="false">Resumo!$B$12*CEILING(I539,1)</f>
        <v>1.26</v>
      </c>
      <c r="AD539" s="39" t="n">
        <f aca="false">Resumo!$B$14*CEILING(I539,1)</f>
        <v>9.45</v>
      </c>
      <c r="AE539" s="39" t="n">
        <f aca="false">SUM(X539:AD539)</f>
        <v>99.76997</v>
      </c>
      <c r="AF539" s="39" t="n">
        <f aca="false">AE539/(1-Resumo!$B$5)</f>
        <v>113.374965909091</v>
      </c>
      <c r="AG539" s="39" t="n">
        <f aca="false">AF539-W539</f>
        <v>17.0795590909091</v>
      </c>
      <c r="AH539" s="40" t="n">
        <f aca="false">AF539/W539-1</f>
        <v>0.177366290410481</v>
      </c>
      <c r="AI539" s="37" t="str">
        <f aca="false">IF(AF539&lt;W539,"SIM","NÃO")</f>
        <v>NÃO</v>
      </c>
      <c r="AJ539" s="37" t="n">
        <v>2</v>
      </c>
      <c r="AK539" s="37" t="n">
        <v>5</v>
      </c>
      <c r="AL539" s="37" t="s">
        <v>343</v>
      </c>
      <c r="AM539" s="39" t="n">
        <v>101.54</v>
      </c>
    </row>
    <row r="540" customFormat="false" ht="15" hidden="false" customHeight="false" outlineLevel="0" collapsed="false">
      <c r="A540" s="37" t="n">
        <v>371506688</v>
      </c>
      <c r="B540" s="38" t="n">
        <v>46238.3471064815</v>
      </c>
      <c r="C540" s="37" t="s">
        <v>340</v>
      </c>
      <c r="D540" s="37" t="s">
        <v>873</v>
      </c>
      <c r="E540" s="37" t="n">
        <v>25561202</v>
      </c>
      <c r="F540" s="37" t="s">
        <v>167</v>
      </c>
      <c r="G540" s="37" t="s">
        <v>197</v>
      </c>
      <c r="H540" s="37" t="s">
        <v>184</v>
      </c>
      <c r="I540" s="37" t="n">
        <v>20.9</v>
      </c>
      <c r="J540" s="39" t="n">
        <v>487.59</v>
      </c>
      <c r="K540" s="37" t="s">
        <v>385</v>
      </c>
      <c r="L540" s="39" t="n">
        <v>87.51</v>
      </c>
      <c r="M540" s="39" t="n">
        <v>58.8</v>
      </c>
      <c r="N540" s="39" t="n">
        <f aca="false">J540*Resumo!$C$6</f>
        <v>0</v>
      </c>
      <c r="O540" s="39" t="n">
        <f aca="false">J540*Resumo!$C$7</f>
        <v>1.023939</v>
      </c>
      <c r="P540" s="39" t="n">
        <f aca="false">J540*Resumo!$C$8</f>
        <v>1.023939</v>
      </c>
      <c r="Q540" s="39" t="n">
        <f aca="false">Resumo!$C$10*CEILING(I540/100,1)</f>
        <v>1.05</v>
      </c>
      <c r="R540" s="39" t="n">
        <f aca="false">Resumo!$C$9</f>
        <v>0</v>
      </c>
      <c r="S540" s="39" t="n">
        <f aca="false">Resumo!$C$13</f>
        <v>13.55</v>
      </c>
      <c r="T540" s="39" t="n">
        <f aca="false">Resumo!$C$14*CEILING(I540,1)</f>
        <v>9.45</v>
      </c>
      <c r="U540" s="39" t="n">
        <f aca="false">SUM(M540:T540)*Resumo!$C$11</f>
        <v>0</v>
      </c>
      <c r="V540" s="39" t="n">
        <f aca="false">SUM(M540:U540)</f>
        <v>84.897878</v>
      </c>
      <c r="W540" s="39" t="n">
        <f aca="false">V540/(1-Resumo!$C$5)</f>
        <v>96.4748613636364</v>
      </c>
      <c r="X540" s="39" t="n">
        <v>82.21</v>
      </c>
      <c r="Y540" s="39" t="n">
        <f aca="false">J540*Resumo!$B$6</f>
        <v>0.48759</v>
      </c>
      <c r="Z540" s="39" t="n">
        <f aca="false">J540*Resumo!$B$7</f>
        <v>0.97518</v>
      </c>
      <c r="AA540" s="39" t="n">
        <f aca="false">Resumo!$B$9</f>
        <v>1</v>
      </c>
      <c r="AB540" s="39" t="n">
        <f aca="false">Resumo!$B$10*CEILING(I540/100,1)</f>
        <v>4.5</v>
      </c>
      <c r="AC540" s="39" t="n">
        <f aca="false">Resumo!$B$12*CEILING(I540,1)</f>
        <v>1.26</v>
      </c>
      <c r="AD540" s="39" t="n">
        <f aca="false">Resumo!$B$14*CEILING(I540,1)</f>
        <v>9.45</v>
      </c>
      <c r="AE540" s="39" t="n">
        <f aca="false">SUM(X540:AD540)</f>
        <v>99.88277</v>
      </c>
      <c r="AF540" s="39" t="n">
        <f aca="false">AE540/(1-Resumo!$B$5)</f>
        <v>113.503147727273</v>
      </c>
      <c r="AG540" s="39" t="n">
        <f aca="false">AF540-W540</f>
        <v>17.0282863636364</v>
      </c>
      <c r="AH540" s="40" t="n">
        <f aca="false">AF540/W540-1</f>
        <v>0.176504906282817</v>
      </c>
      <c r="AI540" s="37" t="str">
        <f aca="false">IF(AF540&lt;W540,"SIM","NÃO")</f>
        <v>NÃO</v>
      </c>
      <c r="AJ540" s="37" t="n">
        <v>2</v>
      </c>
      <c r="AK540" s="37" t="n">
        <v>5</v>
      </c>
      <c r="AL540" s="37" t="s">
        <v>343</v>
      </c>
      <c r="AM540" s="39" t="n">
        <v>101.72</v>
      </c>
    </row>
    <row r="541" customFormat="false" ht="15" hidden="false" customHeight="false" outlineLevel="0" collapsed="false">
      <c r="A541" s="37" t="n">
        <v>371531873</v>
      </c>
      <c r="B541" s="38" t="n">
        <v>46238.4060300926</v>
      </c>
      <c r="C541" s="37" t="s">
        <v>340</v>
      </c>
      <c r="D541" s="37" t="s">
        <v>874</v>
      </c>
      <c r="E541" s="37" t="n">
        <v>27353420</v>
      </c>
      <c r="F541" s="37" t="s">
        <v>247</v>
      </c>
      <c r="G541" s="37" t="s">
        <v>198</v>
      </c>
      <c r="H541" s="37" t="s">
        <v>185</v>
      </c>
      <c r="I541" s="37" t="n">
        <v>36.9</v>
      </c>
      <c r="J541" s="39" t="n">
        <v>419.99</v>
      </c>
      <c r="K541" s="37" t="s">
        <v>518</v>
      </c>
      <c r="L541" s="39" t="n">
        <v>122.7</v>
      </c>
      <c r="M541" s="39" t="n">
        <v>74.97</v>
      </c>
      <c r="N541" s="39" t="n">
        <f aca="false">J541*Resumo!$C$6</f>
        <v>0</v>
      </c>
      <c r="O541" s="39" t="n">
        <f aca="false">J541*Resumo!$C$7</f>
        <v>0.881979</v>
      </c>
      <c r="P541" s="39" t="n">
        <f aca="false">J541*Resumo!$C$8</f>
        <v>0.881979</v>
      </c>
      <c r="Q541" s="39" t="n">
        <f aca="false">Resumo!$C$10*CEILING(I541/100,1)</f>
        <v>1.05</v>
      </c>
      <c r="R541" s="39" t="n">
        <f aca="false">Resumo!$C$9</f>
        <v>0</v>
      </c>
      <c r="S541" s="39" t="n">
        <f aca="false">Resumo!$C$13</f>
        <v>13.55</v>
      </c>
      <c r="T541" s="39" t="n">
        <f aca="false">Resumo!$C$14*CEILING(I541,1)</f>
        <v>16.65</v>
      </c>
      <c r="U541" s="39" t="n">
        <f aca="false">SUM(M541:T541)*Resumo!$C$11</f>
        <v>0</v>
      </c>
      <c r="V541" s="39" t="n">
        <f aca="false">SUM(M541:U541)</f>
        <v>107.983958</v>
      </c>
      <c r="W541" s="39" t="n">
        <f aca="false">V541/(1-Resumo!$C$5)</f>
        <v>122.709043181818</v>
      </c>
      <c r="X541" s="39" t="n">
        <v>124.38</v>
      </c>
      <c r="Y541" s="39" t="n">
        <f aca="false">J541*Resumo!$B$6</f>
        <v>0.41999</v>
      </c>
      <c r="Z541" s="39" t="n">
        <f aca="false">J541*Resumo!$B$7</f>
        <v>0.83998</v>
      </c>
      <c r="AA541" s="39" t="n">
        <f aca="false">Resumo!$B$9</f>
        <v>1</v>
      </c>
      <c r="AB541" s="39" t="n">
        <f aca="false">Resumo!$B$10*CEILING(I541/100,1)</f>
        <v>4.5</v>
      </c>
      <c r="AC541" s="39" t="n">
        <f aca="false">Resumo!$B$12*CEILING(I541,1)</f>
        <v>2.22</v>
      </c>
      <c r="AD541" s="39" t="n">
        <f aca="false">Resumo!$B$14*CEILING(I541,1)</f>
        <v>16.65</v>
      </c>
      <c r="AE541" s="39" t="n">
        <f aca="false">SUM(X541:AD541)</f>
        <v>150.00997</v>
      </c>
      <c r="AF541" s="39" t="n">
        <f aca="false">AE541/(1-Resumo!$B$5)</f>
        <v>170.465875</v>
      </c>
      <c r="AG541" s="39" t="n">
        <f aca="false">AF541-W541</f>
        <v>47.7568318181818</v>
      </c>
      <c r="AH541" s="40" t="n">
        <f aca="false">AF541/W541-1</f>
        <v>0.389187549506196</v>
      </c>
      <c r="AI541" s="37" t="str">
        <f aca="false">IF(AF541&lt;W541,"SIM","NÃO")</f>
        <v>NÃO</v>
      </c>
      <c r="AJ541" s="37" t="n">
        <v>13</v>
      </c>
      <c r="AK541" s="37" t="n">
        <v>10</v>
      </c>
      <c r="AL541" s="37" t="s">
        <v>347</v>
      </c>
      <c r="AM541" s="39" t="n">
        <v>122.26</v>
      </c>
    </row>
    <row r="542" customFormat="false" ht="15" hidden="false" customHeight="false" outlineLevel="0" collapsed="false">
      <c r="A542" s="37" t="n">
        <v>371531925</v>
      </c>
      <c r="B542" s="38" t="n">
        <v>46238.4079398148</v>
      </c>
      <c r="C542" s="37" t="s">
        <v>372</v>
      </c>
      <c r="D542" s="37" t="s">
        <v>875</v>
      </c>
      <c r="E542" s="37" t="n">
        <v>25510170</v>
      </c>
      <c r="F542" s="37" t="s">
        <v>167</v>
      </c>
      <c r="G542" s="37" t="s">
        <v>197</v>
      </c>
      <c r="H542" s="37" t="s">
        <v>191</v>
      </c>
      <c r="I542" s="37" t="n">
        <v>117</v>
      </c>
      <c r="J542" s="39" t="n">
        <v>1147.49</v>
      </c>
      <c r="K542" s="37" t="s">
        <v>518</v>
      </c>
      <c r="L542" s="39" t="n">
        <v>198.16</v>
      </c>
      <c r="M542" s="39" t="n">
        <v>101.26</v>
      </c>
      <c r="N542" s="39" t="n">
        <f aca="false">J542*Resumo!$C$6</f>
        <v>0</v>
      </c>
      <c r="O542" s="39" t="n">
        <f aca="false">J542*Resumo!$C$7</f>
        <v>2.409729</v>
      </c>
      <c r="P542" s="39" t="n">
        <f aca="false">J542*Resumo!$C$8</f>
        <v>2.409729</v>
      </c>
      <c r="Q542" s="39" t="n">
        <f aca="false">Resumo!$C$10*CEILING(I542/100,1)</f>
        <v>2.1</v>
      </c>
      <c r="R542" s="39" t="n">
        <f aca="false">Resumo!$C$9</f>
        <v>0</v>
      </c>
      <c r="S542" s="39" t="n">
        <f aca="false">Resumo!$C$13</f>
        <v>13.55</v>
      </c>
      <c r="T542" s="39" t="n">
        <f aca="false">Resumo!$C$14*CEILING(I542,1)</f>
        <v>52.65</v>
      </c>
      <c r="U542" s="39" t="n">
        <f aca="false">SUM(M542:T542)*Resumo!$C$11</f>
        <v>0</v>
      </c>
      <c r="V542" s="39" t="n">
        <f aca="false">SUM(M542:U542)</f>
        <v>174.379458</v>
      </c>
      <c r="W542" s="39" t="n">
        <f aca="false">V542/(1-Resumo!$C$5)</f>
        <v>198.158475</v>
      </c>
      <c r="X542" s="39" t="n">
        <v>201.59</v>
      </c>
      <c r="Y542" s="39" t="n">
        <f aca="false">J542*Resumo!$B$6</f>
        <v>1.14749</v>
      </c>
      <c r="Z542" s="39" t="n">
        <f aca="false">J542*Resumo!$B$7</f>
        <v>2.29498</v>
      </c>
      <c r="AA542" s="39" t="n">
        <f aca="false">Resumo!$B$9</f>
        <v>1</v>
      </c>
      <c r="AB542" s="39" t="n">
        <f aca="false">Resumo!$B$10*CEILING(I542/100,1)</f>
        <v>9</v>
      </c>
      <c r="AC542" s="39" t="n">
        <f aca="false">Resumo!$B$12*CEILING(I542,1)</f>
        <v>7.02</v>
      </c>
      <c r="AD542" s="39" t="n">
        <f aca="false">Resumo!$B$14*CEILING(I542,1)</f>
        <v>52.65</v>
      </c>
      <c r="AE542" s="39" t="n">
        <f aca="false">SUM(X542:AD542)</f>
        <v>274.70247</v>
      </c>
      <c r="AF542" s="39" t="n">
        <f aca="false">AE542/(1-Resumo!$B$5)</f>
        <v>312.161897727273</v>
      </c>
      <c r="AG542" s="39" t="n">
        <f aca="false">AF542-W542</f>
        <v>114.003422727273</v>
      </c>
      <c r="AH542" s="40" t="n">
        <f aca="false">AF542/W542-1</f>
        <v>0.575314392822577</v>
      </c>
      <c r="AI542" s="37" t="str">
        <f aca="false">IF(AF542&lt;W542,"SIM","NÃO")</f>
        <v>NÃO</v>
      </c>
      <c r="AJ542" s="37" t="n">
        <v>2</v>
      </c>
      <c r="AK542" s="37" t="n">
        <v>5</v>
      </c>
      <c r="AL542" s="37" t="s">
        <v>343</v>
      </c>
      <c r="AM542" s="39" t="n">
        <v>195.33</v>
      </c>
    </row>
    <row r="543" customFormat="false" ht="15" hidden="false" customHeight="false" outlineLevel="0" collapsed="false">
      <c r="A543" s="37" t="n">
        <v>371535419</v>
      </c>
      <c r="B543" s="38" t="n">
        <v>46238.4137384259</v>
      </c>
      <c r="C543" s="37" t="s">
        <v>345</v>
      </c>
      <c r="D543" s="37" t="s">
        <v>876</v>
      </c>
      <c r="E543" s="37" t="n">
        <v>28915120</v>
      </c>
      <c r="F543" s="37" t="s">
        <v>172</v>
      </c>
      <c r="G543" s="37" t="s">
        <v>198</v>
      </c>
      <c r="H543" s="37" t="s">
        <v>187</v>
      </c>
      <c r="I543" s="37" t="n">
        <v>57</v>
      </c>
      <c r="J543" s="39" t="n">
        <v>1551.59</v>
      </c>
      <c r="K543" s="37" t="s">
        <v>518</v>
      </c>
      <c r="L543" s="39" t="n">
        <v>148.13</v>
      </c>
      <c r="M543" s="39" t="n">
        <v>83.58</v>
      </c>
      <c r="N543" s="39" t="n">
        <f aca="false">J543*Resumo!$C$6</f>
        <v>0</v>
      </c>
      <c r="O543" s="39" t="n">
        <f aca="false">J543*Resumo!$C$7</f>
        <v>3.258339</v>
      </c>
      <c r="P543" s="39" t="n">
        <f aca="false">J543*Resumo!$C$8</f>
        <v>3.258339</v>
      </c>
      <c r="Q543" s="39" t="n">
        <f aca="false">Resumo!$C$10*CEILING(I543/100,1)</f>
        <v>1.05</v>
      </c>
      <c r="R543" s="39" t="n">
        <f aca="false">Resumo!$C$9</f>
        <v>0</v>
      </c>
      <c r="S543" s="39" t="n">
        <f aca="false">Resumo!$C$13</f>
        <v>13.55</v>
      </c>
      <c r="T543" s="39" t="n">
        <f aca="false">Resumo!$C$14*CEILING(I543,1)</f>
        <v>25.65</v>
      </c>
      <c r="U543" s="39" t="n">
        <f aca="false">SUM(M543:T543)*Resumo!$C$11</f>
        <v>0</v>
      </c>
      <c r="V543" s="39" t="n">
        <f aca="false">SUM(M543:U543)</f>
        <v>130.346678</v>
      </c>
      <c r="W543" s="39" t="n">
        <f aca="false">V543/(1-Resumo!$C$5)</f>
        <v>148.121225</v>
      </c>
      <c r="X543" s="39" t="n">
        <v>142.32</v>
      </c>
      <c r="Y543" s="39" t="n">
        <f aca="false">J543*Resumo!$B$6</f>
        <v>1.55159</v>
      </c>
      <c r="Z543" s="39" t="n">
        <f aca="false">J543*Resumo!$B$7</f>
        <v>3.10318</v>
      </c>
      <c r="AA543" s="39" t="n">
        <f aca="false">Resumo!$B$9</f>
        <v>1</v>
      </c>
      <c r="AB543" s="39" t="n">
        <f aca="false">Resumo!$B$10*CEILING(I543/100,1)</f>
        <v>4.5</v>
      </c>
      <c r="AC543" s="39" t="n">
        <f aca="false">Resumo!$B$12*CEILING(I543,1)</f>
        <v>3.42</v>
      </c>
      <c r="AD543" s="39" t="n">
        <f aca="false">Resumo!$B$14*CEILING(I543,1)</f>
        <v>25.65</v>
      </c>
      <c r="AE543" s="39" t="n">
        <f aca="false">SUM(X543:AD543)</f>
        <v>181.54477</v>
      </c>
      <c r="AF543" s="39" t="n">
        <f aca="false">AE543/(1-Resumo!$B$5)</f>
        <v>206.300875</v>
      </c>
      <c r="AG543" s="39" t="n">
        <f aca="false">AF543-W543</f>
        <v>58.17965</v>
      </c>
      <c r="AH543" s="40" t="n">
        <f aca="false">AF543/W543-1</f>
        <v>0.392784018630686</v>
      </c>
      <c r="AI543" s="37" t="str">
        <f aca="false">IF(AF543&lt;W543,"SIM","NÃO")</f>
        <v>NÃO</v>
      </c>
      <c r="AJ543" s="37" t="n">
        <v>13</v>
      </c>
      <c r="AK543" s="37" t="n">
        <v>10</v>
      </c>
      <c r="AL543" s="37" t="s">
        <v>343</v>
      </c>
      <c r="AM543" s="39" t="n">
        <v>147.11</v>
      </c>
    </row>
    <row r="544" customFormat="false" ht="15" hidden="false" customHeight="false" outlineLevel="0" collapsed="false">
      <c r="A544" s="37" t="n">
        <v>371557433</v>
      </c>
      <c r="B544" s="38" t="n">
        <v>46238.4571527778</v>
      </c>
      <c r="C544" s="37" t="s">
        <v>340</v>
      </c>
      <c r="D544" s="37" t="s">
        <v>877</v>
      </c>
      <c r="E544" s="37" t="n">
        <v>26183250</v>
      </c>
      <c r="F544" s="37" t="s">
        <v>165</v>
      </c>
      <c r="G544" s="37" t="s">
        <v>197</v>
      </c>
      <c r="H544" s="37" t="s">
        <v>187</v>
      </c>
      <c r="I544" s="37" t="n">
        <v>51.3</v>
      </c>
      <c r="J544" s="39" t="n">
        <v>629.99</v>
      </c>
      <c r="K544" s="37" t="s">
        <v>518</v>
      </c>
      <c r="L544" s="39" t="n">
        <v>126.84</v>
      </c>
      <c r="M544" s="39" t="n">
        <v>70.98</v>
      </c>
      <c r="N544" s="39" t="n">
        <f aca="false">J544*Resumo!$C$6</f>
        <v>0</v>
      </c>
      <c r="O544" s="39" t="n">
        <f aca="false">J544*Resumo!$C$7</f>
        <v>1.322979</v>
      </c>
      <c r="P544" s="39" t="n">
        <f aca="false">J544*Resumo!$C$8</f>
        <v>1.322979</v>
      </c>
      <c r="Q544" s="39" t="n">
        <f aca="false">Resumo!$C$10*CEILING(I544/100,1)</f>
        <v>1.05</v>
      </c>
      <c r="R544" s="39" t="n">
        <f aca="false">Resumo!$C$9</f>
        <v>0</v>
      </c>
      <c r="S544" s="39" t="n">
        <f aca="false">Resumo!$C$13</f>
        <v>13.55</v>
      </c>
      <c r="T544" s="39" t="n">
        <f aca="false">Resumo!$C$14*CEILING(I544,1)</f>
        <v>23.4</v>
      </c>
      <c r="U544" s="39" t="n">
        <f aca="false">SUM(M544:T544)*Resumo!$C$11</f>
        <v>0</v>
      </c>
      <c r="V544" s="39" t="n">
        <f aca="false">SUM(M544:U544)</f>
        <v>111.625958</v>
      </c>
      <c r="W544" s="39" t="n">
        <f aca="false">V544/(1-Resumo!$C$5)</f>
        <v>126.847679545455</v>
      </c>
      <c r="X544" s="39" t="n">
        <v>112.3</v>
      </c>
      <c r="Y544" s="39" t="n">
        <f aca="false">J544*Resumo!$B$6</f>
        <v>0.62999</v>
      </c>
      <c r="Z544" s="39" t="n">
        <f aca="false">J544*Resumo!$B$7</f>
        <v>1.25998</v>
      </c>
      <c r="AA544" s="39" t="n">
        <f aca="false">Resumo!$B$9</f>
        <v>1</v>
      </c>
      <c r="AB544" s="39" t="n">
        <f aca="false">Resumo!$B$10*CEILING(I544/100,1)</f>
        <v>4.5</v>
      </c>
      <c r="AC544" s="39" t="n">
        <f aca="false">Resumo!$B$12*CEILING(I544,1)</f>
        <v>3.12</v>
      </c>
      <c r="AD544" s="39" t="n">
        <f aca="false">Resumo!$B$14*CEILING(I544,1)</f>
        <v>23.4</v>
      </c>
      <c r="AE544" s="39" t="n">
        <f aca="false">SUM(X544:AD544)</f>
        <v>146.20997</v>
      </c>
      <c r="AF544" s="39" t="n">
        <f aca="false">AE544/(1-Resumo!$B$5)</f>
        <v>166.147693181818</v>
      </c>
      <c r="AG544" s="39" t="n">
        <f aca="false">AF544-W544</f>
        <v>39.3000136363636</v>
      </c>
      <c r="AH544" s="40" t="n">
        <f aca="false">AF544/W544-1</f>
        <v>0.309820516837132</v>
      </c>
      <c r="AI544" s="37" t="str">
        <f aca="false">IF(AF544&lt;W544,"SIM","NÃO")</f>
        <v>NÃO</v>
      </c>
      <c r="AJ544" s="37" t="n">
        <v>2</v>
      </c>
      <c r="AK544" s="37" t="n">
        <v>5</v>
      </c>
      <c r="AL544" s="37" t="s">
        <v>343</v>
      </c>
      <c r="AM544" s="39" t="n">
        <v>128.3</v>
      </c>
    </row>
    <row r="545" customFormat="false" ht="15" hidden="false" customHeight="false" outlineLevel="0" collapsed="false">
      <c r="A545" s="37" t="n">
        <v>371568970</v>
      </c>
      <c r="B545" s="38" t="n">
        <v>46238.4801736111</v>
      </c>
      <c r="C545" s="37" t="s">
        <v>340</v>
      </c>
      <c r="D545" s="37" t="s">
        <v>878</v>
      </c>
      <c r="E545" s="37" t="n">
        <v>20960070</v>
      </c>
      <c r="F545" s="37" t="s">
        <v>159</v>
      </c>
      <c r="G545" s="37" t="s">
        <v>196</v>
      </c>
      <c r="H545" s="37" t="s">
        <v>183</v>
      </c>
      <c r="I545" s="37" t="n">
        <v>17</v>
      </c>
      <c r="J545" s="39" t="n">
        <v>225.99</v>
      </c>
      <c r="K545" s="37" t="s">
        <v>342</v>
      </c>
      <c r="L545" s="39" t="n">
        <v>64.3</v>
      </c>
      <c r="M545" s="39" t="n">
        <v>33.42</v>
      </c>
      <c r="N545" s="39" t="n">
        <f aca="false">J545*Resumo!$C$6</f>
        <v>0</v>
      </c>
      <c r="O545" s="39" t="n">
        <f aca="false">J545*Resumo!$C$7</f>
        <v>0.474579</v>
      </c>
      <c r="P545" s="39" t="n">
        <f aca="false">J545*Resumo!$C$8</f>
        <v>0.474579</v>
      </c>
      <c r="Q545" s="39" t="n">
        <f aca="false">Resumo!$C$10*CEILING(I545/100,1)</f>
        <v>1.05</v>
      </c>
      <c r="R545" s="39" t="n">
        <f aca="false">Resumo!$C$9</f>
        <v>0</v>
      </c>
      <c r="S545" s="39" t="n">
        <f aca="false">Resumo!$C$13</f>
        <v>13.55</v>
      </c>
      <c r="T545" s="39" t="n">
        <f aca="false">Resumo!$C$14*CEILING(I545,1)</f>
        <v>7.65</v>
      </c>
      <c r="U545" s="39" t="n">
        <f aca="false">SUM(M545:T545)*Resumo!$C$11</f>
        <v>0</v>
      </c>
      <c r="V545" s="39" t="n">
        <f aca="false">SUM(M545:U545)</f>
        <v>56.619158</v>
      </c>
      <c r="W545" s="39" t="n">
        <f aca="false">V545/(1-Resumo!$C$5)</f>
        <v>64.3399522727273</v>
      </c>
      <c r="X545" s="39" t="n">
        <v>46.98</v>
      </c>
      <c r="Y545" s="39" t="n">
        <f aca="false">J545*Resumo!$B$6</f>
        <v>0.22599</v>
      </c>
      <c r="Z545" s="39" t="n">
        <f aca="false">J545*Resumo!$B$7</f>
        <v>0.45198</v>
      </c>
      <c r="AA545" s="39" t="n">
        <f aca="false">Resumo!$B$9</f>
        <v>1</v>
      </c>
      <c r="AB545" s="39" t="n">
        <f aca="false">Resumo!$B$10*CEILING(I545/100,1)</f>
        <v>4.5</v>
      </c>
      <c r="AC545" s="39" t="n">
        <f aca="false">Resumo!$B$12*CEILING(I545,1)</f>
        <v>1.02</v>
      </c>
      <c r="AD545" s="39" t="n">
        <f aca="false">Resumo!$B$14*CEILING(I545,1)</f>
        <v>7.65</v>
      </c>
      <c r="AE545" s="39" t="n">
        <f aca="false">SUM(X545:AD545)</f>
        <v>61.82797</v>
      </c>
      <c r="AF545" s="39" t="n">
        <f aca="false">AE545/(1-Resumo!$B$5)</f>
        <v>70.2590568181818</v>
      </c>
      <c r="AG545" s="39" t="n">
        <f aca="false">AF545-W545</f>
        <v>5.91910454545453</v>
      </c>
      <c r="AH545" s="40" t="n">
        <f aca="false">AF545/W545-1</f>
        <v>0.0919973412532908</v>
      </c>
      <c r="AI545" s="37" t="str">
        <f aca="false">IF(AF545&lt;W545,"SIM","NÃO")</f>
        <v>NÃO</v>
      </c>
      <c r="AJ545" s="37" t="n">
        <v>2</v>
      </c>
      <c r="AK545" s="37" t="n">
        <v>5</v>
      </c>
      <c r="AL545" s="37" t="s">
        <v>343</v>
      </c>
      <c r="AM545" s="39" t="n">
        <v>64.3</v>
      </c>
    </row>
    <row r="546" customFormat="false" ht="15" hidden="false" customHeight="false" outlineLevel="0" collapsed="false">
      <c r="A546" s="37" t="n">
        <v>371576838</v>
      </c>
      <c r="B546" s="38" t="n">
        <v>46238.4969675926</v>
      </c>
      <c r="C546" s="37" t="s">
        <v>340</v>
      </c>
      <c r="D546" s="37" t="s">
        <v>879</v>
      </c>
      <c r="E546" s="37" t="n">
        <v>25635530</v>
      </c>
      <c r="F546" s="37" t="s">
        <v>170</v>
      </c>
      <c r="G546" s="37" t="s">
        <v>198</v>
      </c>
      <c r="H546" s="37" t="s">
        <v>187</v>
      </c>
      <c r="I546" s="37" t="n">
        <v>52.3</v>
      </c>
      <c r="J546" s="39" t="n">
        <v>669.99</v>
      </c>
      <c r="K546" s="37" t="s">
        <v>518</v>
      </c>
      <c r="L546" s="39" t="n">
        <v>141.88</v>
      </c>
      <c r="M546" s="39" t="n">
        <v>83.58</v>
      </c>
      <c r="N546" s="39" t="n">
        <f aca="false">J546*Resumo!$C$6</f>
        <v>0</v>
      </c>
      <c r="O546" s="39" t="n">
        <f aca="false">J546*Resumo!$C$7</f>
        <v>1.406979</v>
      </c>
      <c r="P546" s="39" t="n">
        <f aca="false">J546*Resumo!$C$8</f>
        <v>1.406979</v>
      </c>
      <c r="Q546" s="39" t="n">
        <f aca="false">Resumo!$C$10*CEILING(I546/100,1)</f>
        <v>1.05</v>
      </c>
      <c r="R546" s="39" t="n">
        <f aca="false">Resumo!$C$9</f>
        <v>0</v>
      </c>
      <c r="S546" s="39" t="n">
        <f aca="false">Resumo!$C$13</f>
        <v>13.55</v>
      </c>
      <c r="T546" s="39" t="n">
        <f aca="false">Resumo!$C$14*CEILING(I546,1)</f>
        <v>23.85</v>
      </c>
      <c r="U546" s="39" t="n">
        <f aca="false">SUM(M546:T546)*Resumo!$C$11</f>
        <v>0</v>
      </c>
      <c r="V546" s="39" t="n">
        <f aca="false">SUM(M546:U546)</f>
        <v>124.843958</v>
      </c>
      <c r="W546" s="39" t="n">
        <f aca="false">V546/(1-Resumo!$C$5)</f>
        <v>141.868134090909</v>
      </c>
      <c r="X546" s="39" t="n">
        <v>142.32</v>
      </c>
      <c r="Y546" s="39" t="n">
        <f aca="false">J546*Resumo!$B$6</f>
        <v>0.66999</v>
      </c>
      <c r="Z546" s="39" t="n">
        <f aca="false">J546*Resumo!$B$7</f>
        <v>1.33998</v>
      </c>
      <c r="AA546" s="39" t="n">
        <f aca="false">Resumo!$B$9</f>
        <v>1</v>
      </c>
      <c r="AB546" s="39" t="n">
        <f aca="false">Resumo!$B$10*CEILING(I546/100,1)</f>
        <v>4.5</v>
      </c>
      <c r="AC546" s="39" t="n">
        <f aca="false">Resumo!$B$12*CEILING(I546,1)</f>
        <v>3.18</v>
      </c>
      <c r="AD546" s="39" t="n">
        <f aca="false">Resumo!$B$14*CEILING(I546,1)</f>
        <v>23.85</v>
      </c>
      <c r="AE546" s="39" t="n">
        <f aca="false">SUM(X546:AD546)</f>
        <v>176.85997</v>
      </c>
      <c r="AF546" s="39" t="n">
        <f aca="false">AE546/(1-Resumo!$B$5)</f>
        <v>200.977238636364</v>
      </c>
      <c r="AG546" s="39" t="n">
        <f aca="false">AF546-W546</f>
        <v>59.1091045454545</v>
      </c>
      <c r="AH546" s="40" t="n">
        <f aca="false">AF546/W546-1</f>
        <v>0.416648212963578</v>
      </c>
      <c r="AI546" s="37" t="str">
        <f aca="false">IF(AF546&lt;W546,"SIM","NÃO")</f>
        <v>NÃO</v>
      </c>
      <c r="AJ546" s="37" t="n">
        <v>13</v>
      </c>
      <c r="AK546" s="37" t="n">
        <v>8</v>
      </c>
      <c r="AL546" s="37" t="s">
        <v>343</v>
      </c>
      <c r="AM546" s="39" t="n">
        <v>142.88</v>
      </c>
    </row>
    <row r="547" customFormat="false" ht="15" hidden="false" customHeight="false" outlineLevel="0" collapsed="false">
      <c r="A547" s="37" t="n">
        <v>371585940</v>
      </c>
      <c r="B547" s="38" t="n">
        <v>46238.5165625</v>
      </c>
      <c r="C547" s="37" t="s">
        <v>345</v>
      </c>
      <c r="D547" s="37" t="s">
        <v>880</v>
      </c>
      <c r="E547" s="37" t="n">
        <v>22291050</v>
      </c>
      <c r="F547" s="37" t="s">
        <v>159</v>
      </c>
      <c r="G547" s="37" t="s">
        <v>196</v>
      </c>
      <c r="H547" s="37" t="s">
        <v>186</v>
      </c>
      <c r="I547" s="37" t="n">
        <v>48.6</v>
      </c>
      <c r="J547" s="39" t="n">
        <v>629.99</v>
      </c>
      <c r="K547" s="37" t="s">
        <v>342</v>
      </c>
      <c r="L547" s="39" t="n">
        <v>103.6</v>
      </c>
      <c r="M547" s="39" t="n">
        <v>53.55</v>
      </c>
      <c r="N547" s="39" t="n">
        <f aca="false">J547*Resumo!$C$6</f>
        <v>0</v>
      </c>
      <c r="O547" s="39" t="n">
        <f aca="false">J547*Resumo!$C$7</f>
        <v>1.322979</v>
      </c>
      <c r="P547" s="39" t="n">
        <f aca="false">J547*Resumo!$C$8</f>
        <v>1.322979</v>
      </c>
      <c r="Q547" s="39" t="n">
        <f aca="false">Resumo!$C$10*CEILING(I547/100,1)</f>
        <v>1.05</v>
      </c>
      <c r="R547" s="39" t="n">
        <f aca="false">Resumo!$C$9</f>
        <v>0</v>
      </c>
      <c r="S547" s="39" t="n">
        <f aca="false">Resumo!$C$13</f>
        <v>13.55</v>
      </c>
      <c r="T547" s="39" t="n">
        <f aca="false">Resumo!$C$14*CEILING(I547,1)</f>
        <v>22.05</v>
      </c>
      <c r="U547" s="39" t="n">
        <f aca="false">SUM(M547:T547)*Resumo!$C$11</f>
        <v>0</v>
      </c>
      <c r="V547" s="39" t="n">
        <f aca="false">SUM(M547:U547)</f>
        <v>92.845958</v>
      </c>
      <c r="W547" s="39" t="n">
        <f aca="false">V547/(1-Resumo!$C$5)</f>
        <v>105.506770454545</v>
      </c>
      <c r="X547" s="39" t="n">
        <v>93.97</v>
      </c>
      <c r="Y547" s="39" t="n">
        <f aca="false">J547*Resumo!$B$6</f>
        <v>0.62999</v>
      </c>
      <c r="Z547" s="39" t="n">
        <f aca="false">J547*Resumo!$B$7</f>
        <v>1.25998</v>
      </c>
      <c r="AA547" s="39" t="n">
        <f aca="false">Resumo!$B$9</f>
        <v>1</v>
      </c>
      <c r="AB547" s="39" t="n">
        <f aca="false">Resumo!$B$10*CEILING(I547/100,1)</f>
        <v>4.5</v>
      </c>
      <c r="AC547" s="39" t="n">
        <f aca="false">Resumo!$B$12*CEILING(I547,1)</f>
        <v>2.94</v>
      </c>
      <c r="AD547" s="39" t="n">
        <f aca="false">Resumo!$B$14*CEILING(I547,1)</f>
        <v>22.05</v>
      </c>
      <c r="AE547" s="39" t="n">
        <f aca="false">SUM(X547:AD547)</f>
        <v>126.34997</v>
      </c>
      <c r="AF547" s="39" t="n">
        <f aca="false">AE547/(1-Resumo!$B$5)</f>
        <v>143.579511363636</v>
      </c>
      <c r="AG547" s="39" t="n">
        <f aca="false">AF547-W547</f>
        <v>38.0727409090909</v>
      </c>
      <c r="AH547" s="40" t="n">
        <f aca="false">AF547/W547-1</f>
        <v>0.360855902849319</v>
      </c>
      <c r="AI547" s="37" t="str">
        <f aca="false">IF(AF547&lt;W547,"SIM","NÃO")</f>
        <v>NÃO</v>
      </c>
      <c r="AJ547" s="37" t="n">
        <v>2</v>
      </c>
      <c r="AK547" s="37" t="n">
        <v>5</v>
      </c>
      <c r="AL547" s="37" t="s">
        <v>343</v>
      </c>
      <c r="AM547" s="39" t="n">
        <v>103.61</v>
      </c>
    </row>
    <row r="548" customFormat="false" ht="15" hidden="false" customHeight="false" outlineLevel="0" collapsed="false">
      <c r="A548" s="37" t="n">
        <v>371587193</v>
      </c>
      <c r="B548" s="38" t="n">
        <v>46238.5190393519</v>
      </c>
      <c r="C548" s="37" t="s">
        <v>340</v>
      </c>
      <c r="D548" s="37" t="s">
        <v>881</v>
      </c>
      <c r="E548" s="37" t="n">
        <v>25270438</v>
      </c>
      <c r="F548" s="37" t="s">
        <v>161</v>
      </c>
      <c r="G548" s="37" t="s">
        <v>197</v>
      </c>
      <c r="H548" s="37" t="s">
        <v>188</v>
      </c>
      <c r="I548" s="37" t="n">
        <v>63.9</v>
      </c>
      <c r="J548" s="39" t="n">
        <v>735.99</v>
      </c>
      <c r="K548" s="37" t="s">
        <v>342</v>
      </c>
      <c r="L548" s="39" t="n">
        <v>139.95</v>
      </c>
      <c r="M548" s="39" t="n">
        <v>76.55</v>
      </c>
      <c r="N548" s="39" t="n">
        <f aca="false">J548*Resumo!$C$6</f>
        <v>0</v>
      </c>
      <c r="O548" s="39" t="n">
        <f aca="false">J548*Resumo!$C$7</f>
        <v>1.545579</v>
      </c>
      <c r="P548" s="39" t="n">
        <f aca="false">J548*Resumo!$C$8</f>
        <v>1.545579</v>
      </c>
      <c r="Q548" s="39" t="n">
        <f aca="false">Resumo!$C$10*CEILING(I548/100,1)</f>
        <v>1.05</v>
      </c>
      <c r="R548" s="39" t="n">
        <f aca="false">Resumo!$C$9</f>
        <v>0</v>
      </c>
      <c r="S548" s="39" t="n">
        <f aca="false">Resumo!$C$13</f>
        <v>13.55</v>
      </c>
      <c r="T548" s="39" t="n">
        <f aca="false">Resumo!$C$14*CEILING(I548,1)</f>
        <v>28.8</v>
      </c>
      <c r="U548" s="39" t="n">
        <f aca="false">SUM(M548:T548)*Resumo!$C$11</f>
        <v>0</v>
      </c>
      <c r="V548" s="39" t="n">
        <f aca="false">SUM(M548:U548)</f>
        <v>123.041158</v>
      </c>
      <c r="W548" s="39" t="n">
        <f aca="false">V548/(1-Resumo!$C$5)</f>
        <v>139.819497727273</v>
      </c>
      <c r="X548" s="39" t="n">
        <v>131.02</v>
      </c>
      <c r="Y548" s="39" t="n">
        <f aca="false">J548*Resumo!$B$6</f>
        <v>0.73599</v>
      </c>
      <c r="Z548" s="39" t="n">
        <f aca="false">J548*Resumo!$B$7</f>
        <v>1.47198</v>
      </c>
      <c r="AA548" s="39" t="n">
        <f aca="false">Resumo!$B$9</f>
        <v>1</v>
      </c>
      <c r="AB548" s="39" t="n">
        <f aca="false">Resumo!$B$10*CEILING(I548/100,1)</f>
        <v>4.5</v>
      </c>
      <c r="AC548" s="39" t="n">
        <f aca="false">Resumo!$B$12*CEILING(I548,1)</f>
        <v>3.84</v>
      </c>
      <c r="AD548" s="39" t="n">
        <f aca="false">Resumo!$B$14*CEILING(I548,1)</f>
        <v>28.8</v>
      </c>
      <c r="AE548" s="39" t="n">
        <f aca="false">SUM(X548:AD548)</f>
        <v>171.36797</v>
      </c>
      <c r="AF548" s="39" t="n">
        <f aca="false">AE548/(1-Resumo!$B$5)</f>
        <v>194.736329545455</v>
      </c>
      <c r="AG548" s="39" t="n">
        <f aca="false">AF548-W548</f>
        <v>54.9168318181818</v>
      </c>
      <c r="AH548" s="40" t="n">
        <f aca="false">AF548/W548-1</f>
        <v>0.392769482874991</v>
      </c>
      <c r="AI548" s="37" t="str">
        <f aca="false">IF(AF548&lt;W548,"SIM","NÃO")</f>
        <v>NÃO</v>
      </c>
      <c r="AJ548" s="37" t="n">
        <v>2</v>
      </c>
      <c r="AK548" s="37" t="n">
        <v>5</v>
      </c>
      <c r="AL548" s="37" t="s">
        <v>343</v>
      </c>
      <c r="AM548" s="39" t="n">
        <v>139.96</v>
      </c>
    </row>
    <row r="549" customFormat="false" ht="15" hidden="false" customHeight="false" outlineLevel="0" collapsed="false">
      <c r="A549" s="37" t="n">
        <v>371588500</v>
      </c>
      <c r="B549" s="38" t="n">
        <v>46238.5222453704</v>
      </c>
      <c r="C549" s="37" t="s">
        <v>340</v>
      </c>
      <c r="D549" s="37" t="s">
        <v>882</v>
      </c>
      <c r="E549" s="37" t="n">
        <v>23812040</v>
      </c>
      <c r="F549" s="37" t="s">
        <v>217</v>
      </c>
      <c r="G549" s="37" t="s">
        <v>198</v>
      </c>
      <c r="H549" s="37" t="s">
        <v>187</v>
      </c>
      <c r="I549" s="37" t="n">
        <v>58.05</v>
      </c>
      <c r="J549" s="39" t="n">
        <v>799.99</v>
      </c>
      <c r="K549" s="37" t="s">
        <v>518</v>
      </c>
      <c r="L549" s="39" t="n">
        <v>145.56</v>
      </c>
      <c r="M549" s="39" t="n">
        <v>83.58</v>
      </c>
      <c r="N549" s="39" t="n">
        <f aca="false">J549*Resumo!$C$6</f>
        <v>0</v>
      </c>
      <c r="O549" s="39" t="n">
        <f aca="false">J549*Resumo!$C$7</f>
        <v>1.679979</v>
      </c>
      <c r="P549" s="39" t="n">
        <f aca="false">J549*Resumo!$C$8</f>
        <v>1.679979</v>
      </c>
      <c r="Q549" s="39" t="n">
        <f aca="false">Resumo!$C$10*CEILING(I549/100,1)</f>
        <v>1.05</v>
      </c>
      <c r="R549" s="39" t="n">
        <f aca="false">Resumo!$C$9</f>
        <v>0</v>
      </c>
      <c r="S549" s="39" t="n">
        <f aca="false">Resumo!$C$13</f>
        <v>13.55</v>
      </c>
      <c r="T549" s="39" t="n">
        <f aca="false">Resumo!$C$14*CEILING(I549,1)</f>
        <v>26.55</v>
      </c>
      <c r="U549" s="39" t="n">
        <f aca="false">SUM(M549:T549)*Resumo!$C$11</f>
        <v>0</v>
      </c>
      <c r="V549" s="39" t="n">
        <f aca="false">SUM(M549:U549)</f>
        <v>128.089958</v>
      </c>
      <c r="W549" s="39" t="n">
        <f aca="false">V549/(1-Resumo!$C$5)</f>
        <v>145.556770454545</v>
      </c>
      <c r="X549" s="39" t="n">
        <v>122.3</v>
      </c>
      <c r="Y549" s="39" t="n">
        <f aca="false">J549*Resumo!$B$6</f>
        <v>0.79999</v>
      </c>
      <c r="Z549" s="39" t="n">
        <f aca="false">J549*Resumo!$B$7</f>
        <v>1.59998</v>
      </c>
      <c r="AA549" s="39" t="n">
        <f aca="false">Resumo!$B$9</f>
        <v>1</v>
      </c>
      <c r="AB549" s="39" t="n">
        <f aca="false">Resumo!$B$10*CEILING(I549/100,1)</f>
        <v>4.5</v>
      </c>
      <c r="AC549" s="39" t="n">
        <f aca="false">Resumo!$B$12*CEILING(I549,1)</f>
        <v>3.54</v>
      </c>
      <c r="AD549" s="39" t="n">
        <f aca="false">Resumo!$B$14*CEILING(I549,1)</f>
        <v>26.55</v>
      </c>
      <c r="AE549" s="39" t="n">
        <f aca="false">SUM(X549:AD549)</f>
        <v>160.28997</v>
      </c>
      <c r="AF549" s="39" t="n">
        <f aca="false">AE549/(1-Resumo!$B$5)</f>
        <v>182.147693181818</v>
      </c>
      <c r="AG549" s="39" t="n">
        <f aca="false">AF549-W549</f>
        <v>36.5909227272728</v>
      </c>
      <c r="AH549" s="40" t="n">
        <f aca="false">AF549/W549-1</f>
        <v>0.251385920510646</v>
      </c>
      <c r="AI549" s="37" t="str">
        <f aca="false">IF(AF549&lt;W549,"SIM","NÃO")</f>
        <v>NÃO</v>
      </c>
      <c r="AJ549" s="37" t="n">
        <v>13</v>
      </c>
      <c r="AK549" s="37" t="n">
        <v>5</v>
      </c>
      <c r="AL549" s="37" t="s">
        <v>347</v>
      </c>
      <c r="AM549" s="39" t="n">
        <v>143.5</v>
      </c>
    </row>
    <row r="550" customFormat="false" ht="15" hidden="false" customHeight="false" outlineLevel="0" collapsed="false">
      <c r="A550" s="37" t="n">
        <v>371589090</v>
      </c>
      <c r="B550" s="38" t="n">
        <v>46238.5233796296</v>
      </c>
      <c r="C550" s="37" t="s">
        <v>340</v>
      </c>
      <c r="D550" s="37" t="s">
        <v>560</v>
      </c>
      <c r="E550" s="37" t="n">
        <v>25985010</v>
      </c>
      <c r="F550" s="37" t="s">
        <v>235</v>
      </c>
      <c r="G550" s="37" t="s">
        <v>198</v>
      </c>
      <c r="H550" s="37" t="s">
        <v>184</v>
      </c>
      <c r="I550" s="37" t="n">
        <v>20.9</v>
      </c>
      <c r="J550" s="39" t="n">
        <v>487.59</v>
      </c>
      <c r="K550" s="37" t="s">
        <v>518</v>
      </c>
      <c r="L550" s="39" t="n">
        <v>104.23</v>
      </c>
      <c r="M550" s="39" t="n">
        <v>65.63</v>
      </c>
      <c r="N550" s="39" t="n">
        <f aca="false">J550*Resumo!$C$6</f>
        <v>0</v>
      </c>
      <c r="O550" s="39" t="n">
        <f aca="false">J550*Resumo!$C$7</f>
        <v>1.023939</v>
      </c>
      <c r="P550" s="39" t="n">
        <f aca="false">J550*Resumo!$C$8</f>
        <v>1.023939</v>
      </c>
      <c r="Q550" s="39" t="n">
        <f aca="false">Resumo!$C$10*CEILING(I550/100,1)</f>
        <v>1.05</v>
      </c>
      <c r="R550" s="39" t="n">
        <f aca="false">Resumo!$C$9</f>
        <v>0</v>
      </c>
      <c r="S550" s="39" t="n">
        <f aca="false">Resumo!$C$13</f>
        <v>13.55</v>
      </c>
      <c r="T550" s="39" t="n">
        <f aca="false">Resumo!$C$14*CEILING(I550,1)</f>
        <v>9.45</v>
      </c>
      <c r="U550" s="39" t="n">
        <f aca="false">SUM(M550:T550)*Resumo!$C$11</f>
        <v>0</v>
      </c>
      <c r="V550" s="39" t="n">
        <f aca="false">SUM(M550:U550)</f>
        <v>91.727878</v>
      </c>
      <c r="W550" s="39" t="n">
        <f aca="false">V550/(1-Resumo!$C$5)</f>
        <v>104.236225</v>
      </c>
      <c r="X550" s="39" t="n">
        <v>120.78</v>
      </c>
      <c r="Y550" s="39" t="n">
        <f aca="false">J550*Resumo!$B$6</f>
        <v>0.48759</v>
      </c>
      <c r="Z550" s="39" t="n">
        <f aca="false">J550*Resumo!$B$7</f>
        <v>0.97518</v>
      </c>
      <c r="AA550" s="39" t="n">
        <f aca="false">Resumo!$B$9</f>
        <v>1</v>
      </c>
      <c r="AB550" s="39" t="n">
        <f aca="false">Resumo!$B$10*CEILING(I550/100,1)</f>
        <v>4.5</v>
      </c>
      <c r="AC550" s="39" t="n">
        <f aca="false">Resumo!$B$12*CEILING(I550,1)</f>
        <v>1.26</v>
      </c>
      <c r="AD550" s="39" t="n">
        <f aca="false">Resumo!$B$14*CEILING(I550,1)</f>
        <v>9.45</v>
      </c>
      <c r="AE550" s="39" t="n">
        <f aca="false">SUM(X550:AD550)</f>
        <v>138.45277</v>
      </c>
      <c r="AF550" s="39" t="n">
        <f aca="false">AE550/(1-Resumo!$B$5)</f>
        <v>157.332693181818</v>
      </c>
      <c r="AG550" s="39" t="n">
        <f aca="false">AF550-W550</f>
        <v>53.0964681818182</v>
      </c>
      <c r="AH550" s="40" t="n">
        <f aca="false">AF550/W550-1</f>
        <v>0.509385946985495</v>
      </c>
      <c r="AI550" s="37" t="str">
        <f aca="false">IF(AF550&lt;W550,"SIM","NÃO")</f>
        <v>NÃO</v>
      </c>
      <c r="AJ550" s="37" t="n">
        <v>13</v>
      </c>
      <c r="AK550" s="37" t="n">
        <v>10</v>
      </c>
      <c r="AL550" s="37" t="s">
        <v>347</v>
      </c>
      <c r="AM550" s="39" t="n">
        <v>109.52</v>
      </c>
    </row>
    <row r="551" customFormat="false" ht="15" hidden="false" customHeight="false" outlineLevel="0" collapsed="false">
      <c r="A551" s="37" t="n">
        <v>371599243</v>
      </c>
      <c r="B551" s="38" t="n">
        <v>46238.5464351852</v>
      </c>
      <c r="C551" s="37" t="s">
        <v>372</v>
      </c>
      <c r="D551" s="37" t="s">
        <v>883</v>
      </c>
      <c r="E551" s="37" t="n">
        <v>24466540</v>
      </c>
      <c r="F551" s="37" t="s">
        <v>160</v>
      </c>
      <c r="G551" s="37" t="s">
        <v>197</v>
      </c>
      <c r="H551" s="37" t="s">
        <v>189</v>
      </c>
      <c r="I551" s="37" t="n">
        <v>79.55</v>
      </c>
      <c r="J551" s="39" t="n">
        <v>1069.99</v>
      </c>
      <c r="K551" s="37" t="s">
        <v>518</v>
      </c>
      <c r="L551" s="39" t="n">
        <v>156.34</v>
      </c>
      <c r="M551" s="39" t="n">
        <v>82.48</v>
      </c>
      <c r="N551" s="39" t="n">
        <f aca="false">J551*Resumo!$C$6</f>
        <v>0</v>
      </c>
      <c r="O551" s="39" t="n">
        <f aca="false">J551*Resumo!$C$7</f>
        <v>2.246979</v>
      </c>
      <c r="P551" s="39" t="n">
        <f aca="false">J551*Resumo!$C$8</f>
        <v>2.246979</v>
      </c>
      <c r="Q551" s="39" t="n">
        <f aca="false">Resumo!$C$10*CEILING(I551/100,1)</f>
        <v>1.05</v>
      </c>
      <c r="R551" s="39" t="n">
        <f aca="false">Resumo!$C$9</f>
        <v>0</v>
      </c>
      <c r="S551" s="39" t="n">
        <f aca="false">Resumo!$C$13</f>
        <v>13.55</v>
      </c>
      <c r="T551" s="39" t="n">
        <f aca="false">Resumo!$C$14*CEILING(I551,1)</f>
        <v>36</v>
      </c>
      <c r="U551" s="39" t="n">
        <f aca="false">SUM(M551:T551)*Resumo!$C$11</f>
        <v>0</v>
      </c>
      <c r="V551" s="39" t="n">
        <f aca="false">SUM(M551:U551)</f>
        <v>137.573958</v>
      </c>
      <c r="W551" s="39" t="n">
        <f aca="false">V551/(1-Resumo!$C$5)</f>
        <v>156.334043181818</v>
      </c>
      <c r="X551" s="39" t="n">
        <v>142.74</v>
      </c>
      <c r="Y551" s="39" t="n">
        <f aca="false">J551*Resumo!$B$6</f>
        <v>1.06999</v>
      </c>
      <c r="Z551" s="39" t="n">
        <f aca="false">J551*Resumo!$B$7</f>
        <v>2.13998</v>
      </c>
      <c r="AA551" s="39" t="n">
        <f aca="false">Resumo!$B$9</f>
        <v>1</v>
      </c>
      <c r="AB551" s="39" t="n">
        <f aca="false">Resumo!$B$10*CEILING(I551/100,1)</f>
        <v>4.5</v>
      </c>
      <c r="AC551" s="39" t="n">
        <f aca="false">Resumo!$B$12*CEILING(I551,1)</f>
        <v>4.8</v>
      </c>
      <c r="AD551" s="39" t="n">
        <f aca="false">Resumo!$B$14*CEILING(I551,1)</f>
        <v>36</v>
      </c>
      <c r="AE551" s="39" t="n">
        <f aca="false">SUM(X551:AD551)</f>
        <v>192.24997</v>
      </c>
      <c r="AF551" s="39" t="n">
        <f aca="false">AE551/(1-Resumo!$B$5)</f>
        <v>218.465875</v>
      </c>
      <c r="AG551" s="39" t="n">
        <f aca="false">AF551-W551</f>
        <v>62.1318318181818</v>
      </c>
      <c r="AH551" s="40" t="n">
        <f aca="false">AF551/W551-1</f>
        <v>0.397429955457122</v>
      </c>
      <c r="AI551" s="37" t="str">
        <f aca="false">IF(AF551&lt;W551,"SIM","NÃO")</f>
        <v>NÃO</v>
      </c>
      <c r="AJ551" s="37" t="n">
        <v>2</v>
      </c>
      <c r="AK551" s="37" t="n">
        <v>7</v>
      </c>
      <c r="AL551" s="37" t="s">
        <v>343</v>
      </c>
      <c r="AM551" s="39" t="n">
        <v>153.13</v>
      </c>
    </row>
    <row r="552" customFormat="false" ht="15" hidden="false" customHeight="false" outlineLevel="0" collapsed="false">
      <c r="A552" s="37" t="n">
        <v>371602758</v>
      </c>
      <c r="B552" s="38" t="n">
        <v>46238.5513773148</v>
      </c>
      <c r="C552" s="37" t="s">
        <v>340</v>
      </c>
      <c r="D552" s="37" t="s">
        <v>884</v>
      </c>
      <c r="E552" s="37" t="n">
        <v>25251039</v>
      </c>
      <c r="F552" s="37" t="s">
        <v>161</v>
      </c>
      <c r="G552" s="37" t="s">
        <v>197</v>
      </c>
      <c r="H552" s="37" t="s">
        <v>185</v>
      </c>
      <c r="I552" s="37" t="n">
        <v>39</v>
      </c>
      <c r="J552" s="39" t="n">
        <v>496.79</v>
      </c>
      <c r="K552" s="37" t="s">
        <v>342</v>
      </c>
      <c r="L552" s="39" t="n">
        <v>113.33</v>
      </c>
      <c r="M552" s="39" t="n">
        <v>66.83</v>
      </c>
      <c r="N552" s="39" t="n">
        <f aca="false">J552*Resumo!$C$6</f>
        <v>0</v>
      </c>
      <c r="O552" s="39" t="n">
        <f aca="false">J552*Resumo!$C$7</f>
        <v>1.043259</v>
      </c>
      <c r="P552" s="39" t="n">
        <f aca="false">J552*Resumo!$C$8</f>
        <v>1.043259</v>
      </c>
      <c r="Q552" s="39" t="n">
        <f aca="false">Resumo!$C$10*CEILING(I552/100,1)</f>
        <v>1.05</v>
      </c>
      <c r="R552" s="39" t="n">
        <f aca="false">Resumo!$C$9</f>
        <v>0</v>
      </c>
      <c r="S552" s="39" t="n">
        <f aca="false">Resumo!$C$13</f>
        <v>13.55</v>
      </c>
      <c r="T552" s="39" t="n">
        <f aca="false">Resumo!$C$14*CEILING(I552,1)</f>
        <v>17.55</v>
      </c>
      <c r="U552" s="39" t="n">
        <f aca="false">SUM(M552:T552)*Resumo!$C$11</f>
        <v>0</v>
      </c>
      <c r="V552" s="39" t="n">
        <f aca="false">SUM(M552:U552)</f>
        <v>101.066518</v>
      </c>
      <c r="W552" s="39" t="n">
        <f aca="false">V552/(1-Resumo!$C$5)</f>
        <v>114.848315909091</v>
      </c>
      <c r="X552" s="39" t="n">
        <v>93.97</v>
      </c>
      <c r="Y552" s="39" t="n">
        <f aca="false">J552*Resumo!$B$6</f>
        <v>0.49679</v>
      </c>
      <c r="Z552" s="39" t="n">
        <f aca="false">J552*Resumo!$B$7</f>
        <v>0.99358</v>
      </c>
      <c r="AA552" s="39" t="n">
        <f aca="false">Resumo!$B$9</f>
        <v>1</v>
      </c>
      <c r="AB552" s="39" t="n">
        <f aca="false">Resumo!$B$10*CEILING(I552/100,1)</f>
        <v>4.5</v>
      </c>
      <c r="AC552" s="39" t="n">
        <f aca="false">Resumo!$B$12*CEILING(I552,1)</f>
        <v>2.34</v>
      </c>
      <c r="AD552" s="39" t="n">
        <f aca="false">Resumo!$B$14*CEILING(I552,1)</f>
        <v>17.55</v>
      </c>
      <c r="AE552" s="39" t="n">
        <f aca="false">SUM(X552:AD552)</f>
        <v>120.85037</v>
      </c>
      <c r="AF552" s="39" t="n">
        <f aca="false">AE552/(1-Resumo!$B$5)</f>
        <v>137.329965909091</v>
      </c>
      <c r="AG552" s="39" t="n">
        <f aca="false">AF552-W552</f>
        <v>22.48165</v>
      </c>
      <c r="AH552" s="40" t="n">
        <f aca="false">AF552/W552-1</f>
        <v>0.195750802456655</v>
      </c>
      <c r="AI552" s="37" t="str">
        <f aca="false">IF(AF552&lt;W552,"SIM","NÃO")</f>
        <v>NÃO</v>
      </c>
      <c r="AJ552" s="37" t="n">
        <v>2</v>
      </c>
      <c r="AK552" s="37" t="n">
        <v>5</v>
      </c>
      <c r="AL552" s="37" t="s">
        <v>343</v>
      </c>
      <c r="AM552" s="39" t="n">
        <v>113.34</v>
      </c>
    </row>
    <row r="553" customFormat="false" ht="15" hidden="false" customHeight="false" outlineLevel="0" collapsed="false">
      <c r="A553" s="37" t="n">
        <v>371607194</v>
      </c>
      <c r="B553" s="38" t="n">
        <v>46238.5598032407</v>
      </c>
      <c r="C553" s="37" t="s">
        <v>340</v>
      </c>
      <c r="D553" s="37" t="s">
        <v>885</v>
      </c>
      <c r="E553" s="37" t="n">
        <v>21341180</v>
      </c>
      <c r="F553" s="37" t="s">
        <v>159</v>
      </c>
      <c r="G553" s="37" t="s">
        <v>196</v>
      </c>
      <c r="H553" s="37" t="s">
        <v>184</v>
      </c>
      <c r="I553" s="37" t="n">
        <v>20.9</v>
      </c>
      <c r="J553" s="39" t="n">
        <v>449.99</v>
      </c>
      <c r="K553" s="37" t="s">
        <v>342</v>
      </c>
      <c r="L553" s="39" t="n">
        <v>82.48</v>
      </c>
      <c r="M553" s="39" t="n">
        <v>42.11</v>
      </c>
      <c r="N553" s="39" t="n">
        <f aca="false">J553*Resumo!$C$6</f>
        <v>0</v>
      </c>
      <c r="O553" s="39" t="n">
        <f aca="false">J553*Resumo!$C$7</f>
        <v>0.944979</v>
      </c>
      <c r="P553" s="39" t="n">
        <f aca="false">J553*Resumo!$C$8</f>
        <v>0.944979</v>
      </c>
      <c r="Q553" s="39" t="n">
        <f aca="false">Resumo!$C$10*CEILING(I553/100,1)</f>
        <v>1.05</v>
      </c>
      <c r="R553" s="39" t="n">
        <f aca="false">Resumo!$C$9</f>
        <v>0</v>
      </c>
      <c r="S553" s="39" t="n">
        <f aca="false">Resumo!$C$13</f>
        <v>13.55</v>
      </c>
      <c r="T553" s="39" t="n">
        <f aca="false">Resumo!$C$14*CEILING(I553,1)</f>
        <v>9.45</v>
      </c>
      <c r="U553" s="39" t="n">
        <f aca="false">SUM(M553:T553)*Resumo!$C$11</f>
        <v>0</v>
      </c>
      <c r="V553" s="39" t="n">
        <f aca="false">SUM(M553:U553)</f>
        <v>68.049958</v>
      </c>
      <c r="W553" s="39" t="n">
        <f aca="false">V553/(1-Resumo!$C$5)</f>
        <v>77.3294977272727</v>
      </c>
      <c r="X553" s="39" t="n">
        <v>82.21</v>
      </c>
      <c r="Y553" s="39" t="n">
        <f aca="false">J553*Resumo!$B$6</f>
        <v>0.44999</v>
      </c>
      <c r="Z553" s="39" t="n">
        <f aca="false">J553*Resumo!$B$7</f>
        <v>0.89998</v>
      </c>
      <c r="AA553" s="39" t="n">
        <f aca="false">Resumo!$B$9</f>
        <v>1</v>
      </c>
      <c r="AB553" s="39" t="n">
        <f aca="false">Resumo!$B$10*CEILING(I553/100,1)</f>
        <v>4.5</v>
      </c>
      <c r="AC553" s="39" t="n">
        <f aca="false">Resumo!$B$12*CEILING(I553,1)</f>
        <v>1.26</v>
      </c>
      <c r="AD553" s="39" t="n">
        <f aca="false">Resumo!$B$14*CEILING(I553,1)</f>
        <v>9.45</v>
      </c>
      <c r="AE553" s="39" t="n">
        <f aca="false">SUM(X553:AD553)</f>
        <v>99.76997</v>
      </c>
      <c r="AF553" s="39" t="n">
        <f aca="false">AE553/(1-Resumo!$B$5)</f>
        <v>113.374965909091</v>
      </c>
      <c r="AG553" s="39" t="n">
        <f aca="false">AF553-W553</f>
        <v>36.0454681818182</v>
      </c>
      <c r="AH553" s="40" t="n">
        <f aca="false">AF553/W553-1</f>
        <v>0.466128311203366</v>
      </c>
      <c r="AI553" s="37" t="str">
        <f aca="false">IF(AF553&lt;W553,"SIM","NÃO")</f>
        <v>NÃO</v>
      </c>
      <c r="AJ553" s="37" t="n">
        <v>2</v>
      </c>
      <c r="AK553" s="37" t="n">
        <v>5</v>
      </c>
      <c r="AL553" s="37" t="s">
        <v>343</v>
      </c>
      <c r="AM553" s="39" t="n">
        <v>82.48</v>
      </c>
    </row>
    <row r="554" customFormat="false" ht="15" hidden="false" customHeight="false" outlineLevel="0" collapsed="false">
      <c r="A554" s="37" t="n">
        <v>371609222</v>
      </c>
      <c r="B554" s="38" t="n">
        <v>46238.5635532407</v>
      </c>
      <c r="C554" s="37" t="s">
        <v>340</v>
      </c>
      <c r="D554" s="37" t="s">
        <v>886</v>
      </c>
      <c r="E554" s="37" t="n">
        <v>21240270</v>
      </c>
      <c r="F554" s="37" t="s">
        <v>159</v>
      </c>
      <c r="G554" s="37" t="s">
        <v>196</v>
      </c>
      <c r="H554" s="37" t="s">
        <v>187</v>
      </c>
      <c r="I554" s="37" t="n">
        <v>52.3</v>
      </c>
      <c r="J554" s="39" t="n">
        <v>669.99</v>
      </c>
      <c r="K554" s="37" t="s">
        <v>518</v>
      </c>
      <c r="L554" s="39" t="n">
        <v>113.49</v>
      </c>
      <c r="M554" s="39" t="n">
        <v>58.6</v>
      </c>
      <c r="N554" s="39" t="n">
        <f aca="false">J554*Resumo!$C$6</f>
        <v>0</v>
      </c>
      <c r="O554" s="39" t="n">
        <f aca="false">J554*Resumo!$C$7</f>
        <v>1.406979</v>
      </c>
      <c r="P554" s="39" t="n">
        <f aca="false">J554*Resumo!$C$8</f>
        <v>1.406979</v>
      </c>
      <c r="Q554" s="39" t="n">
        <f aca="false">Resumo!$C$10*CEILING(I554/100,1)</f>
        <v>1.05</v>
      </c>
      <c r="R554" s="39" t="n">
        <f aca="false">Resumo!$C$9</f>
        <v>0</v>
      </c>
      <c r="S554" s="39" t="n">
        <f aca="false">Resumo!$C$13</f>
        <v>13.55</v>
      </c>
      <c r="T554" s="39" t="n">
        <f aca="false">Resumo!$C$14*CEILING(I554,1)</f>
        <v>23.85</v>
      </c>
      <c r="U554" s="39" t="n">
        <f aca="false">SUM(M554:T554)*Resumo!$C$11</f>
        <v>0</v>
      </c>
      <c r="V554" s="39" t="n">
        <f aca="false">SUM(M554:U554)</f>
        <v>99.863958</v>
      </c>
      <c r="W554" s="39" t="n">
        <f aca="false">V554/(1-Resumo!$C$5)</f>
        <v>113.481770454545</v>
      </c>
      <c r="X554" s="39" t="n">
        <v>112.3</v>
      </c>
      <c r="Y554" s="39" t="n">
        <f aca="false">J554*Resumo!$B$6</f>
        <v>0.66999</v>
      </c>
      <c r="Z554" s="39" t="n">
        <f aca="false">J554*Resumo!$B$7</f>
        <v>1.33998</v>
      </c>
      <c r="AA554" s="39" t="n">
        <f aca="false">Resumo!$B$9</f>
        <v>1</v>
      </c>
      <c r="AB554" s="39" t="n">
        <f aca="false">Resumo!$B$10*CEILING(I554/100,1)</f>
        <v>4.5</v>
      </c>
      <c r="AC554" s="39" t="n">
        <f aca="false">Resumo!$B$12*CEILING(I554,1)</f>
        <v>3.18</v>
      </c>
      <c r="AD554" s="39" t="n">
        <f aca="false">Resumo!$B$14*CEILING(I554,1)</f>
        <v>23.85</v>
      </c>
      <c r="AE554" s="39" t="n">
        <f aca="false">SUM(X554:AD554)</f>
        <v>146.83997</v>
      </c>
      <c r="AF554" s="39" t="n">
        <f aca="false">AE554/(1-Resumo!$B$5)</f>
        <v>166.863602272727</v>
      </c>
      <c r="AG554" s="39" t="n">
        <f aca="false">AF554-W554</f>
        <v>53.3818318181818</v>
      </c>
      <c r="AH554" s="40" t="n">
        <f aca="false">AF554/W554-1</f>
        <v>0.470400061651872</v>
      </c>
      <c r="AI554" s="37" t="str">
        <f aca="false">IF(AF554&lt;W554,"SIM","NÃO")</f>
        <v>NÃO</v>
      </c>
      <c r="AJ554" s="37" t="n">
        <v>2</v>
      </c>
      <c r="AK554" s="37" t="n">
        <v>5</v>
      </c>
      <c r="AL554" s="37" t="s">
        <v>343</v>
      </c>
      <c r="AM554" s="39" t="n">
        <v>114.36</v>
      </c>
    </row>
    <row r="555" customFormat="false" ht="15" hidden="false" customHeight="false" outlineLevel="0" collapsed="false">
      <c r="A555" s="37" t="n">
        <v>371613006</v>
      </c>
      <c r="B555" s="38" t="n">
        <v>46238.5708101852</v>
      </c>
      <c r="C555" s="37" t="s">
        <v>340</v>
      </c>
      <c r="D555" s="37" t="s">
        <v>887</v>
      </c>
      <c r="E555" s="37" t="n">
        <v>25916060</v>
      </c>
      <c r="F555" s="37" t="s">
        <v>176</v>
      </c>
      <c r="G555" s="37" t="s">
        <v>198</v>
      </c>
      <c r="H555" s="37" t="s">
        <v>187</v>
      </c>
      <c r="I555" s="37" t="n">
        <v>52.3</v>
      </c>
      <c r="J555" s="39" t="n">
        <v>669.99</v>
      </c>
      <c r="K555" s="37" t="s">
        <v>518</v>
      </c>
      <c r="L555" s="39" t="n">
        <v>141.88</v>
      </c>
      <c r="M555" s="39" t="n">
        <v>83.58</v>
      </c>
      <c r="N555" s="39" t="n">
        <f aca="false">J555*Resumo!$C$6</f>
        <v>0</v>
      </c>
      <c r="O555" s="39" t="n">
        <f aca="false">J555*Resumo!$C$7</f>
        <v>1.406979</v>
      </c>
      <c r="P555" s="39" t="n">
        <f aca="false">J555*Resumo!$C$8</f>
        <v>1.406979</v>
      </c>
      <c r="Q555" s="39" t="n">
        <f aca="false">Resumo!$C$10*CEILING(I555/100,1)</f>
        <v>1.05</v>
      </c>
      <c r="R555" s="39" t="n">
        <f aca="false">Resumo!$C$9</f>
        <v>0</v>
      </c>
      <c r="S555" s="39" t="n">
        <f aca="false">Resumo!$C$13</f>
        <v>13.55</v>
      </c>
      <c r="T555" s="39" t="n">
        <f aca="false">Resumo!$C$14*CEILING(I555,1)</f>
        <v>23.85</v>
      </c>
      <c r="U555" s="39" t="n">
        <f aca="false">SUM(M555:T555)*Resumo!$C$11</f>
        <v>0</v>
      </c>
      <c r="V555" s="39" t="n">
        <f aca="false">SUM(M555:U555)</f>
        <v>124.843958</v>
      </c>
      <c r="W555" s="39" t="n">
        <f aca="false">V555/(1-Resumo!$C$5)</f>
        <v>141.868134090909</v>
      </c>
      <c r="X555" s="39" t="n">
        <v>127.03</v>
      </c>
      <c r="Y555" s="39" t="n">
        <f aca="false">J555*Resumo!$B$6</f>
        <v>0.66999</v>
      </c>
      <c r="Z555" s="39" t="n">
        <f aca="false">J555*Resumo!$B$7</f>
        <v>1.33998</v>
      </c>
      <c r="AA555" s="39" t="n">
        <f aca="false">Resumo!$B$9</f>
        <v>1</v>
      </c>
      <c r="AB555" s="39" t="n">
        <f aca="false">Resumo!$B$10*CEILING(I555/100,1)</f>
        <v>4.5</v>
      </c>
      <c r="AC555" s="39" t="n">
        <f aca="false">Resumo!$B$12*CEILING(I555,1)</f>
        <v>3.18</v>
      </c>
      <c r="AD555" s="39" t="n">
        <f aca="false">Resumo!$B$14*CEILING(I555,1)</f>
        <v>23.85</v>
      </c>
      <c r="AE555" s="39" t="n">
        <f aca="false">SUM(X555:AD555)</f>
        <v>161.56997</v>
      </c>
      <c r="AF555" s="39" t="n">
        <f aca="false">AE555/(1-Resumo!$B$5)</f>
        <v>183.602238636364</v>
      </c>
      <c r="AG555" s="39" t="n">
        <f aca="false">AF555-W555</f>
        <v>41.7341045454545</v>
      </c>
      <c r="AH555" s="40" t="n">
        <f aca="false">AF555/W555-1</f>
        <v>0.29417532564932</v>
      </c>
      <c r="AI555" s="37" t="str">
        <f aca="false">IF(AF555&lt;W555,"SIM","NÃO")</f>
        <v>NÃO</v>
      </c>
      <c r="AJ555" s="37" t="n">
        <v>13</v>
      </c>
      <c r="AK555" s="37" t="n">
        <v>6</v>
      </c>
      <c r="AL555" s="37" t="s">
        <v>343</v>
      </c>
      <c r="AM555" s="39" t="n">
        <v>142.88</v>
      </c>
    </row>
    <row r="556" customFormat="false" ht="15" hidden="false" customHeight="false" outlineLevel="0" collapsed="false">
      <c r="A556" s="37" t="n">
        <v>371613326</v>
      </c>
      <c r="B556" s="38" t="n">
        <v>46238.5716550926</v>
      </c>
      <c r="C556" s="37" t="s">
        <v>340</v>
      </c>
      <c r="D556" s="37" t="s">
        <v>888</v>
      </c>
      <c r="E556" s="37" t="n">
        <v>28360000</v>
      </c>
      <c r="F556" s="37" t="s">
        <v>264</v>
      </c>
      <c r="G556" s="37" t="s">
        <v>198</v>
      </c>
      <c r="H556" s="37" t="s">
        <v>188</v>
      </c>
      <c r="I556" s="37" t="n">
        <v>63.9</v>
      </c>
      <c r="J556" s="39" t="n">
        <v>735.99</v>
      </c>
      <c r="K556" s="37" t="s">
        <v>518</v>
      </c>
      <c r="L556" s="39" t="n">
        <v>155.34</v>
      </c>
      <c r="M556" s="39" t="n">
        <v>90.2</v>
      </c>
      <c r="N556" s="39" t="n">
        <f aca="false">J556*Resumo!$C$6</f>
        <v>0</v>
      </c>
      <c r="O556" s="39" t="n">
        <f aca="false">J556*Resumo!$C$7</f>
        <v>1.545579</v>
      </c>
      <c r="P556" s="39" t="n">
        <f aca="false">J556*Resumo!$C$8</f>
        <v>1.545579</v>
      </c>
      <c r="Q556" s="39" t="n">
        <f aca="false">Resumo!$C$10*CEILING(I556/100,1)</f>
        <v>1.05</v>
      </c>
      <c r="R556" s="39" t="n">
        <f aca="false">Resumo!$C$9</f>
        <v>0</v>
      </c>
      <c r="S556" s="39" t="n">
        <f aca="false">Resumo!$C$13</f>
        <v>13.55</v>
      </c>
      <c r="T556" s="39" t="n">
        <f aca="false">Resumo!$C$14*CEILING(I556,1)</f>
        <v>28.8</v>
      </c>
      <c r="U556" s="39" t="n">
        <f aca="false">SUM(M556:T556)*Resumo!$C$11</f>
        <v>0</v>
      </c>
      <c r="V556" s="39" t="n">
        <f aca="false">SUM(M556:U556)</f>
        <v>136.691158</v>
      </c>
      <c r="W556" s="39" t="n">
        <f aca="false">V556/(1-Resumo!$C$5)</f>
        <v>155.330861363636</v>
      </c>
      <c r="X556" s="39" t="n">
        <v>171.54</v>
      </c>
      <c r="Y556" s="39" t="n">
        <f aca="false">J556*Resumo!$B$6</f>
        <v>0.73599</v>
      </c>
      <c r="Z556" s="39" t="n">
        <f aca="false">J556*Resumo!$B$7</f>
        <v>1.47198</v>
      </c>
      <c r="AA556" s="39" t="n">
        <f aca="false">Resumo!$B$9</f>
        <v>1</v>
      </c>
      <c r="AB556" s="39" t="n">
        <f aca="false">Resumo!$B$10*CEILING(I556/100,1)</f>
        <v>4.5</v>
      </c>
      <c r="AC556" s="39" t="n">
        <f aca="false">Resumo!$B$12*CEILING(I556,1)</f>
        <v>3.84</v>
      </c>
      <c r="AD556" s="39" t="n">
        <f aca="false">Resumo!$B$14*CEILING(I556,1)</f>
        <v>28.8</v>
      </c>
      <c r="AE556" s="39" t="n">
        <f aca="false">SUM(X556:AD556)</f>
        <v>211.88797</v>
      </c>
      <c r="AF556" s="39" t="n">
        <f aca="false">AE556/(1-Resumo!$B$5)</f>
        <v>240.781784090909</v>
      </c>
      <c r="AG556" s="39" t="n">
        <f aca="false">AF556-W556</f>
        <v>85.4509227272727</v>
      </c>
      <c r="AH556" s="40" t="n">
        <f aca="false">AF556/W556-1</f>
        <v>0.550121991065435</v>
      </c>
      <c r="AI556" s="37" t="str">
        <f aca="false">IF(AF556&lt;W556,"SIM","NÃO")</f>
        <v>NÃO</v>
      </c>
      <c r="AJ556" s="37" t="n">
        <v>13</v>
      </c>
      <c r="AK556" s="37" t="n">
        <v>11</v>
      </c>
      <c r="AL556" s="37" t="s">
        <v>347</v>
      </c>
      <c r="AM556" s="39" t="n">
        <v>155.55</v>
      </c>
    </row>
    <row r="557" customFormat="false" ht="15" hidden="false" customHeight="false" outlineLevel="0" collapsed="false">
      <c r="A557" s="37" t="n">
        <v>371622000</v>
      </c>
      <c r="B557" s="38" t="n">
        <v>46238.5886805556</v>
      </c>
      <c r="C557" s="37" t="s">
        <v>340</v>
      </c>
      <c r="D557" s="37" t="s">
        <v>889</v>
      </c>
      <c r="E557" s="37" t="n">
        <v>23946105</v>
      </c>
      <c r="F557" s="37" t="s">
        <v>169</v>
      </c>
      <c r="G557" s="37" t="s">
        <v>198</v>
      </c>
      <c r="H557" s="37" t="s">
        <v>187</v>
      </c>
      <c r="I557" s="37" t="n">
        <v>52.3</v>
      </c>
      <c r="J557" s="39" t="n">
        <v>669.99</v>
      </c>
      <c r="K557" s="37" t="s">
        <v>518</v>
      </c>
      <c r="L557" s="39" t="n">
        <v>141.88</v>
      </c>
      <c r="M557" s="39" t="n">
        <v>83.58</v>
      </c>
      <c r="N557" s="39" t="n">
        <f aca="false">J557*Resumo!$C$6</f>
        <v>0</v>
      </c>
      <c r="O557" s="39" t="n">
        <f aca="false">J557*Resumo!$C$7</f>
        <v>1.406979</v>
      </c>
      <c r="P557" s="39" t="n">
        <f aca="false">J557*Resumo!$C$8</f>
        <v>1.406979</v>
      </c>
      <c r="Q557" s="39" t="n">
        <f aca="false">Resumo!$C$10*CEILING(I557/100,1)</f>
        <v>1.05</v>
      </c>
      <c r="R557" s="39" t="n">
        <f aca="false">Resumo!$C$9</f>
        <v>0</v>
      </c>
      <c r="S557" s="39" t="n">
        <f aca="false">Resumo!$C$13</f>
        <v>13.55</v>
      </c>
      <c r="T557" s="39" t="n">
        <f aca="false">Resumo!$C$14*CEILING(I557,1)</f>
        <v>23.85</v>
      </c>
      <c r="U557" s="39" t="n">
        <f aca="false">SUM(M557:T557)*Resumo!$C$11</f>
        <v>0</v>
      </c>
      <c r="V557" s="39" t="n">
        <f aca="false">SUM(M557:U557)</f>
        <v>124.843958</v>
      </c>
      <c r="W557" s="39" t="n">
        <f aca="false">V557/(1-Resumo!$C$5)</f>
        <v>141.868134090909</v>
      </c>
      <c r="X557" s="39" t="n">
        <v>142.32</v>
      </c>
      <c r="Y557" s="39" t="n">
        <f aca="false">J557*Resumo!$B$6</f>
        <v>0.66999</v>
      </c>
      <c r="Z557" s="39" t="n">
        <f aca="false">J557*Resumo!$B$7</f>
        <v>1.33998</v>
      </c>
      <c r="AA557" s="39" t="n">
        <f aca="false">Resumo!$B$9</f>
        <v>1</v>
      </c>
      <c r="AB557" s="39" t="n">
        <f aca="false">Resumo!$B$10*CEILING(I557/100,1)</f>
        <v>4.5</v>
      </c>
      <c r="AC557" s="39" t="n">
        <f aca="false">Resumo!$B$12*CEILING(I557,1)</f>
        <v>3.18</v>
      </c>
      <c r="AD557" s="39" t="n">
        <f aca="false">Resumo!$B$14*CEILING(I557,1)</f>
        <v>23.85</v>
      </c>
      <c r="AE557" s="39" t="n">
        <f aca="false">SUM(X557:AD557)</f>
        <v>176.85997</v>
      </c>
      <c r="AF557" s="39" t="n">
        <f aca="false">AE557/(1-Resumo!$B$5)</f>
        <v>200.977238636364</v>
      </c>
      <c r="AG557" s="39" t="n">
        <f aca="false">AF557-W557</f>
        <v>59.1091045454545</v>
      </c>
      <c r="AH557" s="40" t="n">
        <f aca="false">AF557/W557-1</f>
        <v>0.416648212963578</v>
      </c>
      <c r="AI557" s="37" t="str">
        <f aca="false">IF(AF557&lt;W557,"SIM","NÃO")</f>
        <v>NÃO</v>
      </c>
      <c r="AJ557" s="37" t="n">
        <v>13</v>
      </c>
      <c r="AK557" s="37" t="n">
        <v>10</v>
      </c>
      <c r="AL557" s="37" t="s">
        <v>343</v>
      </c>
      <c r="AM557" s="39" t="n">
        <v>142.88</v>
      </c>
    </row>
    <row r="558" customFormat="false" ht="15" hidden="false" customHeight="false" outlineLevel="0" collapsed="false">
      <c r="A558" s="37" t="n">
        <v>371647370</v>
      </c>
      <c r="B558" s="38" t="n">
        <v>46238.6212847222</v>
      </c>
      <c r="C558" s="37" t="s">
        <v>340</v>
      </c>
      <c r="D558" s="37" t="s">
        <v>890</v>
      </c>
      <c r="E558" s="37" t="n">
        <v>24330325</v>
      </c>
      <c r="F558" s="37" t="s">
        <v>163</v>
      </c>
      <c r="G558" s="37" t="s">
        <v>197</v>
      </c>
      <c r="H558" s="37" t="s">
        <v>185</v>
      </c>
      <c r="I558" s="37" t="n">
        <v>39</v>
      </c>
      <c r="J558" s="39" t="n">
        <v>496.79</v>
      </c>
      <c r="K558" s="37" t="s">
        <v>342</v>
      </c>
      <c r="L558" s="39" t="n">
        <v>113.33</v>
      </c>
      <c r="M558" s="39" t="n">
        <v>66.83</v>
      </c>
      <c r="N558" s="39" t="n">
        <f aca="false">J558*Resumo!$C$6</f>
        <v>0</v>
      </c>
      <c r="O558" s="39" t="n">
        <f aca="false">J558*Resumo!$C$7</f>
        <v>1.043259</v>
      </c>
      <c r="P558" s="39" t="n">
        <f aca="false">J558*Resumo!$C$8</f>
        <v>1.043259</v>
      </c>
      <c r="Q558" s="39" t="n">
        <f aca="false">Resumo!$C$10*CEILING(I558/100,1)</f>
        <v>1.05</v>
      </c>
      <c r="R558" s="39" t="n">
        <f aca="false">Resumo!$C$9</f>
        <v>0</v>
      </c>
      <c r="S558" s="39" t="n">
        <f aca="false">Resumo!$C$13</f>
        <v>13.55</v>
      </c>
      <c r="T558" s="39" t="n">
        <f aca="false">Resumo!$C$14*CEILING(I558,1)</f>
        <v>17.55</v>
      </c>
      <c r="U558" s="39" t="n">
        <f aca="false">SUM(M558:T558)*Resumo!$C$11</f>
        <v>0</v>
      </c>
      <c r="V558" s="39" t="n">
        <f aca="false">SUM(M558:U558)</f>
        <v>101.066518</v>
      </c>
      <c r="W558" s="39" t="n">
        <f aca="false">V558/(1-Resumo!$C$5)</f>
        <v>114.848315909091</v>
      </c>
      <c r="X558" s="39" t="n">
        <v>114.95</v>
      </c>
      <c r="Y558" s="39" t="n">
        <f aca="false">J558*Resumo!$B$6</f>
        <v>0.49679</v>
      </c>
      <c r="Z558" s="39" t="n">
        <f aca="false">J558*Resumo!$B$7</f>
        <v>0.99358</v>
      </c>
      <c r="AA558" s="39" t="n">
        <f aca="false">Resumo!$B$9</f>
        <v>1</v>
      </c>
      <c r="AB558" s="39" t="n">
        <f aca="false">Resumo!$B$10*CEILING(I558/100,1)</f>
        <v>4.5</v>
      </c>
      <c r="AC558" s="39" t="n">
        <f aca="false">Resumo!$B$12*CEILING(I558,1)</f>
        <v>2.34</v>
      </c>
      <c r="AD558" s="39" t="n">
        <f aca="false">Resumo!$B$14*CEILING(I558,1)</f>
        <v>17.55</v>
      </c>
      <c r="AE558" s="39" t="n">
        <f aca="false">SUM(X558:AD558)</f>
        <v>141.83037</v>
      </c>
      <c r="AF558" s="39" t="n">
        <f aca="false">AE558/(1-Resumo!$B$5)</f>
        <v>161.170875</v>
      </c>
      <c r="AG558" s="39" t="n">
        <f aca="false">AF558-W558</f>
        <v>46.3225590909091</v>
      </c>
      <c r="AH558" s="40" t="n">
        <f aca="false">AF558/W558-1</f>
        <v>0.403336859789708</v>
      </c>
      <c r="AI558" s="37" t="str">
        <f aca="false">IF(AF558&lt;W558,"SIM","NÃO")</f>
        <v>NÃO</v>
      </c>
      <c r="AJ558" s="37" t="n">
        <v>2</v>
      </c>
      <c r="AK558" s="37" t="n">
        <v>7</v>
      </c>
      <c r="AL558" s="37" t="s">
        <v>343</v>
      </c>
      <c r="AM558" s="39" t="n">
        <v>113.34</v>
      </c>
    </row>
    <row r="559" customFormat="false" ht="15" hidden="false" customHeight="false" outlineLevel="0" collapsed="false">
      <c r="A559" s="37" t="n">
        <v>371652870</v>
      </c>
      <c r="B559" s="38" t="n">
        <v>46238.6306365741</v>
      </c>
      <c r="C559" s="37" t="s">
        <v>340</v>
      </c>
      <c r="D559" s="37" t="s">
        <v>891</v>
      </c>
      <c r="E559" s="37" t="n">
        <v>26112250</v>
      </c>
      <c r="F559" s="37" t="s">
        <v>165</v>
      </c>
      <c r="G559" s="37" t="s">
        <v>197</v>
      </c>
      <c r="H559" s="37" t="s">
        <v>184</v>
      </c>
      <c r="I559" s="37" t="n">
        <v>22.4</v>
      </c>
      <c r="J559" s="39" t="n">
        <v>440.99</v>
      </c>
      <c r="K559" s="37" t="s">
        <v>385</v>
      </c>
      <c r="L559" s="39" t="n">
        <v>86.03</v>
      </c>
      <c r="M559" s="39" t="n">
        <v>58.8</v>
      </c>
      <c r="N559" s="39" t="n">
        <f aca="false">J559*Resumo!$C$6</f>
        <v>0</v>
      </c>
      <c r="O559" s="39" t="n">
        <f aca="false">J559*Resumo!$C$7</f>
        <v>0.926079</v>
      </c>
      <c r="P559" s="39" t="n">
        <f aca="false">J559*Resumo!$C$8</f>
        <v>0.926079</v>
      </c>
      <c r="Q559" s="39" t="n">
        <f aca="false">Resumo!$C$10*CEILING(I559/100,1)</f>
        <v>1.05</v>
      </c>
      <c r="R559" s="39" t="n">
        <f aca="false">Resumo!$C$9</f>
        <v>0</v>
      </c>
      <c r="S559" s="39" t="n">
        <f aca="false">Resumo!$C$13</f>
        <v>13.55</v>
      </c>
      <c r="T559" s="39" t="n">
        <f aca="false">Resumo!$C$14*CEILING(I559,1)</f>
        <v>10.35</v>
      </c>
      <c r="U559" s="39" t="n">
        <f aca="false">SUM(M559:T559)*Resumo!$C$11</f>
        <v>0</v>
      </c>
      <c r="V559" s="39" t="n">
        <f aca="false">SUM(M559:U559)</f>
        <v>85.602158</v>
      </c>
      <c r="W559" s="39" t="n">
        <f aca="false">V559/(1-Resumo!$C$5)</f>
        <v>97.2751795454545</v>
      </c>
      <c r="X559" s="39" t="n">
        <v>82.21</v>
      </c>
      <c r="Y559" s="39" t="n">
        <f aca="false">J559*Resumo!$B$6</f>
        <v>0.44099</v>
      </c>
      <c r="Z559" s="39" t="n">
        <f aca="false">J559*Resumo!$B$7</f>
        <v>0.88198</v>
      </c>
      <c r="AA559" s="39" t="n">
        <f aca="false">Resumo!$B$9</f>
        <v>1</v>
      </c>
      <c r="AB559" s="39" t="n">
        <f aca="false">Resumo!$B$10*CEILING(I559/100,1)</f>
        <v>4.5</v>
      </c>
      <c r="AC559" s="39" t="n">
        <f aca="false">Resumo!$B$12*CEILING(I559,1)</f>
        <v>1.38</v>
      </c>
      <c r="AD559" s="39" t="n">
        <f aca="false">Resumo!$B$14*CEILING(I559,1)</f>
        <v>10.35</v>
      </c>
      <c r="AE559" s="39" t="n">
        <f aca="false">SUM(X559:AD559)</f>
        <v>100.76297</v>
      </c>
      <c r="AF559" s="39" t="n">
        <f aca="false">AE559/(1-Resumo!$B$5)</f>
        <v>114.503375</v>
      </c>
      <c r="AG559" s="39" t="n">
        <f aca="false">AF559-W559</f>
        <v>17.2281954545454</v>
      </c>
      <c r="AH559" s="40" t="n">
        <f aca="false">AF559/W559-1</f>
        <v>0.177107824781707</v>
      </c>
      <c r="AI559" s="37" t="str">
        <f aca="false">IF(AF559&lt;W559,"SIM","NÃO")</f>
        <v>NÃO</v>
      </c>
      <c r="AJ559" s="37" t="n">
        <v>2</v>
      </c>
      <c r="AK559" s="37" t="n">
        <v>5</v>
      </c>
      <c r="AL559" s="37" t="s">
        <v>343</v>
      </c>
      <c r="AM559" s="39" t="n">
        <v>101.5</v>
      </c>
    </row>
    <row r="560" customFormat="false" ht="15" hidden="false" customHeight="false" outlineLevel="0" collapsed="false">
      <c r="A560" s="37" t="n">
        <v>371659358</v>
      </c>
      <c r="B560" s="38" t="n">
        <v>46238.6421412037</v>
      </c>
      <c r="C560" s="37" t="s">
        <v>345</v>
      </c>
      <c r="D560" s="37" t="s">
        <v>892</v>
      </c>
      <c r="E560" s="37" t="n">
        <v>23525180</v>
      </c>
      <c r="F560" s="37" t="s">
        <v>159</v>
      </c>
      <c r="G560" s="37" t="s">
        <v>196</v>
      </c>
      <c r="H560" s="37" t="s">
        <v>189</v>
      </c>
      <c r="I560" s="37" t="n">
        <v>79.55</v>
      </c>
      <c r="J560" s="39" t="n">
        <v>936.56</v>
      </c>
      <c r="K560" s="37" t="s">
        <v>518</v>
      </c>
      <c r="L560" s="39" t="n">
        <v>140.25</v>
      </c>
      <c r="M560" s="39" t="n">
        <v>68.88</v>
      </c>
      <c r="N560" s="39" t="n">
        <f aca="false">J560*Resumo!$C$6</f>
        <v>0</v>
      </c>
      <c r="O560" s="39" t="n">
        <f aca="false">J560*Resumo!$C$7</f>
        <v>1.966776</v>
      </c>
      <c r="P560" s="39" t="n">
        <f aca="false">J560*Resumo!$C$8</f>
        <v>1.966776</v>
      </c>
      <c r="Q560" s="39" t="n">
        <f aca="false">Resumo!$C$10*CEILING(I560/100,1)</f>
        <v>1.05</v>
      </c>
      <c r="R560" s="39" t="n">
        <f aca="false">Resumo!$C$9</f>
        <v>0</v>
      </c>
      <c r="S560" s="39" t="n">
        <f aca="false">Resumo!$C$13</f>
        <v>13.55</v>
      </c>
      <c r="T560" s="39" t="n">
        <f aca="false">Resumo!$C$14*CEILING(I560,1)</f>
        <v>36</v>
      </c>
      <c r="U560" s="39" t="n">
        <f aca="false">SUM(M560:T560)*Resumo!$C$11</f>
        <v>0</v>
      </c>
      <c r="V560" s="39" t="n">
        <f aca="false">SUM(M560:U560)</f>
        <v>123.413552</v>
      </c>
      <c r="W560" s="39" t="n">
        <f aca="false">V560/(1-Resumo!$C$5)</f>
        <v>140.242672727273</v>
      </c>
      <c r="X560" s="39" t="n">
        <v>134.39</v>
      </c>
      <c r="Y560" s="39" t="n">
        <f aca="false">J560*Resumo!$B$6</f>
        <v>0.93656</v>
      </c>
      <c r="Z560" s="39" t="n">
        <f aca="false">J560*Resumo!$B$7</f>
        <v>1.87312</v>
      </c>
      <c r="AA560" s="39" t="n">
        <f aca="false">Resumo!$B$9</f>
        <v>1</v>
      </c>
      <c r="AB560" s="39" t="n">
        <f aca="false">Resumo!$B$10*CEILING(I560/100,1)</f>
        <v>4.5</v>
      </c>
      <c r="AC560" s="39" t="n">
        <f aca="false">Resumo!$B$12*CEILING(I560,1)</f>
        <v>4.8</v>
      </c>
      <c r="AD560" s="39" t="n">
        <f aca="false">Resumo!$B$14*CEILING(I560,1)</f>
        <v>36</v>
      </c>
      <c r="AE560" s="39" t="n">
        <f aca="false">SUM(X560:AD560)</f>
        <v>183.49968</v>
      </c>
      <c r="AF560" s="39" t="n">
        <f aca="false">AE560/(1-Resumo!$B$5)</f>
        <v>208.522363636364</v>
      </c>
      <c r="AG560" s="39" t="n">
        <f aca="false">AF560-W560</f>
        <v>68.2796909090909</v>
      </c>
      <c r="AH560" s="40" t="n">
        <f aca="false">AF560/W560-1</f>
        <v>0.48686815204865</v>
      </c>
      <c r="AI560" s="37" t="str">
        <f aca="false">IF(AF560&lt;W560,"SIM","NÃO")</f>
        <v>NÃO</v>
      </c>
      <c r="AJ560" s="37" t="n">
        <v>2</v>
      </c>
      <c r="AK560" s="37" t="n">
        <v>5</v>
      </c>
      <c r="AL560" s="37" t="s">
        <v>343</v>
      </c>
      <c r="AM560" s="39" t="n">
        <v>136.97</v>
      </c>
    </row>
    <row r="561" customFormat="false" ht="15" hidden="false" customHeight="false" outlineLevel="0" collapsed="false">
      <c r="A561" s="37" t="n">
        <v>371660466</v>
      </c>
      <c r="B561" s="38" t="n">
        <v>46238.6444212963</v>
      </c>
      <c r="C561" s="37" t="s">
        <v>340</v>
      </c>
      <c r="D561" s="37" t="s">
        <v>893</v>
      </c>
      <c r="E561" s="37" t="n">
        <v>26600000</v>
      </c>
      <c r="F561" s="37" t="s">
        <v>239</v>
      </c>
      <c r="G561" s="37" t="s">
        <v>198</v>
      </c>
      <c r="H561" s="37" t="s">
        <v>184</v>
      </c>
      <c r="I561" s="37" t="n">
        <v>33</v>
      </c>
      <c r="J561" s="39" t="n">
        <v>378.99</v>
      </c>
      <c r="K561" s="37" t="s">
        <v>518</v>
      </c>
      <c r="L561" s="39" t="n">
        <v>109.86</v>
      </c>
      <c r="M561" s="39" t="n">
        <v>65.63</v>
      </c>
      <c r="N561" s="39" t="n">
        <f aca="false">J561*Resumo!$C$6</f>
        <v>0</v>
      </c>
      <c r="O561" s="39" t="n">
        <f aca="false">J561*Resumo!$C$7</f>
        <v>0.795879</v>
      </c>
      <c r="P561" s="39" t="n">
        <f aca="false">J561*Resumo!$C$8</f>
        <v>0.795879</v>
      </c>
      <c r="Q561" s="39" t="n">
        <f aca="false">Resumo!$C$10*CEILING(I561/100,1)</f>
        <v>1.05</v>
      </c>
      <c r="R561" s="39" t="n">
        <f aca="false">Resumo!$C$9</f>
        <v>0</v>
      </c>
      <c r="S561" s="39" t="n">
        <f aca="false">Resumo!$C$13</f>
        <v>13.55</v>
      </c>
      <c r="T561" s="39" t="n">
        <f aca="false">Resumo!$C$14*CEILING(I561,1)</f>
        <v>14.85</v>
      </c>
      <c r="U561" s="39" t="n">
        <f aca="false">SUM(M561:T561)*Resumo!$C$11</f>
        <v>0</v>
      </c>
      <c r="V561" s="39" t="n">
        <f aca="false">SUM(M561:U561)</f>
        <v>96.671758</v>
      </c>
      <c r="W561" s="39" t="n">
        <f aca="false">V561/(1-Resumo!$C$5)</f>
        <v>109.854270454545</v>
      </c>
      <c r="X561" s="39" t="n">
        <v>108.83</v>
      </c>
      <c r="Y561" s="39" t="n">
        <f aca="false">J561*Resumo!$B$6</f>
        <v>0.37899</v>
      </c>
      <c r="Z561" s="39" t="n">
        <f aca="false">J561*Resumo!$B$7</f>
        <v>0.75798</v>
      </c>
      <c r="AA561" s="39" t="n">
        <f aca="false">Resumo!$B$9</f>
        <v>1</v>
      </c>
      <c r="AB561" s="39" t="n">
        <f aca="false">Resumo!$B$10*CEILING(I561/100,1)</f>
        <v>4.5</v>
      </c>
      <c r="AC561" s="39" t="n">
        <f aca="false">Resumo!$B$12*CEILING(I561,1)</f>
        <v>1.98</v>
      </c>
      <c r="AD561" s="39" t="n">
        <f aca="false">Resumo!$B$14*CEILING(I561,1)</f>
        <v>14.85</v>
      </c>
      <c r="AE561" s="39" t="n">
        <f aca="false">SUM(X561:AD561)</f>
        <v>132.29697</v>
      </c>
      <c r="AF561" s="39" t="n">
        <f aca="false">AE561/(1-Resumo!$B$5)</f>
        <v>150.337465909091</v>
      </c>
      <c r="AG561" s="39" t="n">
        <f aca="false">AF561-W561</f>
        <v>40.4831954545454</v>
      </c>
      <c r="AH561" s="40" t="n">
        <f aca="false">AF561/W561-1</f>
        <v>0.36851726643887</v>
      </c>
      <c r="AI561" s="37" t="str">
        <f aca="false">IF(AF561&lt;W561,"SIM","NÃO")</f>
        <v>NÃO</v>
      </c>
      <c r="AJ561" s="37" t="n">
        <v>13</v>
      </c>
      <c r="AK561" s="37" t="n">
        <v>10</v>
      </c>
      <c r="AL561" s="37" t="s">
        <v>347</v>
      </c>
      <c r="AM561" s="39" t="n">
        <v>109</v>
      </c>
    </row>
    <row r="562" customFormat="false" ht="15" hidden="false" customHeight="false" outlineLevel="0" collapsed="false">
      <c r="A562" s="37" t="n">
        <v>371664573</v>
      </c>
      <c r="B562" s="38" t="n">
        <v>46238.6514467593</v>
      </c>
      <c r="C562" s="37" t="s">
        <v>340</v>
      </c>
      <c r="D562" s="37" t="s">
        <v>894</v>
      </c>
      <c r="E562" s="37" t="n">
        <v>26291320</v>
      </c>
      <c r="F562" s="37" t="s">
        <v>162</v>
      </c>
      <c r="G562" s="37" t="s">
        <v>197</v>
      </c>
      <c r="H562" s="37" t="s">
        <v>187</v>
      </c>
      <c r="I562" s="37" t="n">
        <v>52.3</v>
      </c>
      <c r="J562" s="39" t="n">
        <v>669.99</v>
      </c>
      <c r="K562" s="37" t="s">
        <v>518</v>
      </c>
      <c r="L562" s="39" t="n">
        <v>127.56</v>
      </c>
      <c r="M562" s="39" t="n">
        <v>70.98</v>
      </c>
      <c r="N562" s="39" t="n">
        <f aca="false">J562*Resumo!$C$6</f>
        <v>0</v>
      </c>
      <c r="O562" s="39" t="n">
        <f aca="false">J562*Resumo!$C$7</f>
        <v>1.406979</v>
      </c>
      <c r="P562" s="39" t="n">
        <f aca="false">J562*Resumo!$C$8</f>
        <v>1.406979</v>
      </c>
      <c r="Q562" s="39" t="n">
        <f aca="false">Resumo!$C$10*CEILING(I562/100,1)</f>
        <v>1.05</v>
      </c>
      <c r="R562" s="39" t="n">
        <f aca="false">Resumo!$C$9</f>
        <v>0</v>
      </c>
      <c r="S562" s="39" t="n">
        <f aca="false">Resumo!$C$13</f>
        <v>13.55</v>
      </c>
      <c r="T562" s="39" t="n">
        <f aca="false">Resumo!$C$14*CEILING(I562,1)</f>
        <v>23.85</v>
      </c>
      <c r="U562" s="39" t="n">
        <f aca="false">SUM(M562:T562)*Resumo!$C$11</f>
        <v>0</v>
      </c>
      <c r="V562" s="39" t="n">
        <f aca="false">SUM(M562:U562)</f>
        <v>112.243958</v>
      </c>
      <c r="W562" s="39" t="n">
        <f aca="false">V562/(1-Resumo!$C$5)</f>
        <v>127.549952272727</v>
      </c>
      <c r="X562" s="39" t="n">
        <v>112.3</v>
      </c>
      <c r="Y562" s="39" t="n">
        <f aca="false">J562*Resumo!$B$6</f>
        <v>0.66999</v>
      </c>
      <c r="Z562" s="39" t="n">
        <f aca="false">J562*Resumo!$B$7</f>
        <v>1.33998</v>
      </c>
      <c r="AA562" s="39" t="n">
        <f aca="false">Resumo!$B$9</f>
        <v>1</v>
      </c>
      <c r="AB562" s="39" t="n">
        <f aca="false">Resumo!$B$10*CEILING(I562/100,1)</f>
        <v>4.5</v>
      </c>
      <c r="AC562" s="39" t="n">
        <f aca="false">Resumo!$B$12*CEILING(I562,1)</f>
        <v>3.18</v>
      </c>
      <c r="AD562" s="39" t="n">
        <f aca="false">Resumo!$B$14*CEILING(I562,1)</f>
        <v>23.85</v>
      </c>
      <c r="AE562" s="39" t="n">
        <f aca="false">SUM(X562:AD562)</f>
        <v>146.83997</v>
      </c>
      <c r="AF562" s="39" t="n">
        <f aca="false">AE562/(1-Resumo!$B$5)</f>
        <v>166.863602272727</v>
      </c>
      <c r="AG562" s="39" t="n">
        <f aca="false">AF562-W562</f>
        <v>39.31365</v>
      </c>
      <c r="AH562" s="40" t="n">
        <f aca="false">AF562/W562-1</f>
        <v>0.308221597103694</v>
      </c>
      <c r="AI562" s="37" t="str">
        <f aca="false">IF(AF562&lt;W562,"SIM","NÃO")</f>
        <v>NÃO</v>
      </c>
      <c r="AJ562" s="37" t="n">
        <v>2</v>
      </c>
      <c r="AK562" s="37" t="n">
        <v>5</v>
      </c>
      <c r="AL562" s="37" t="s">
        <v>343</v>
      </c>
      <c r="AM562" s="39" t="n">
        <v>128.49</v>
      </c>
    </row>
    <row r="563" customFormat="false" ht="15" hidden="false" customHeight="false" outlineLevel="0" collapsed="false">
      <c r="A563" s="37" t="n">
        <v>371667551</v>
      </c>
      <c r="B563" s="38" t="n">
        <v>46238.6570601852</v>
      </c>
      <c r="C563" s="37" t="s">
        <v>340</v>
      </c>
      <c r="D563" s="37" t="s">
        <v>895</v>
      </c>
      <c r="E563" s="37" t="n">
        <v>26265090</v>
      </c>
      <c r="F563" s="37" t="s">
        <v>162</v>
      </c>
      <c r="G563" s="37" t="s">
        <v>197</v>
      </c>
      <c r="H563" s="37" t="s">
        <v>187</v>
      </c>
      <c r="I563" s="37" t="n">
        <v>52.3</v>
      </c>
      <c r="J563" s="39" t="n">
        <v>669.99</v>
      </c>
      <c r="K563" s="37" t="s">
        <v>518</v>
      </c>
      <c r="L563" s="39" t="n">
        <v>127.56</v>
      </c>
      <c r="M563" s="39" t="n">
        <v>70.98</v>
      </c>
      <c r="N563" s="39" t="n">
        <f aca="false">J563*Resumo!$C$6</f>
        <v>0</v>
      </c>
      <c r="O563" s="39" t="n">
        <f aca="false">J563*Resumo!$C$7</f>
        <v>1.406979</v>
      </c>
      <c r="P563" s="39" t="n">
        <f aca="false">J563*Resumo!$C$8</f>
        <v>1.406979</v>
      </c>
      <c r="Q563" s="39" t="n">
        <f aca="false">Resumo!$C$10*CEILING(I563/100,1)</f>
        <v>1.05</v>
      </c>
      <c r="R563" s="39" t="n">
        <f aca="false">Resumo!$C$9</f>
        <v>0</v>
      </c>
      <c r="S563" s="39" t="n">
        <f aca="false">Resumo!$C$13</f>
        <v>13.55</v>
      </c>
      <c r="T563" s="39" t="n">
        <f aca="false">Resumo!$C$14*CEILING(I563,1)</f>
        <v>23.85</v>
      </c>
      <c r="U563" s="39" t="n">
        <f aca="false">SUM(M563:T563)*Resumo!$C$11</f>
        <v>0</v>
      </c>
      <c r="V563" s="39" t="n">
        <f aca="false">SUM(M563:U563)</f>
        <v>112.243958</v>
      </c>
      <c r="W563" s="39" t="n">
        <f aca="false">V563/(1-Resumo!$C$5)</f>
        <v>127.549952272727</v>
      </c>
      <c r="X563" s="39" t="n">
        <v>112.3</v>
      </c>
      <c r="Y563" s="39" t="n">
        <f aca="false">J563*Resumo!$B$6</f>
        <v>0.66999</v>
      </c>
      <c r="Z563" s="39" t="n">
        <f aca="false">J563*Resumo!$B$7</f>
        <v>1.33998</v>
      </c>
      <c r="AA563" s="39" t="n">
        <f aca="false">Resumo!$B$9</f>
        <v>1</v>
      </c>
      <c r="AB563" s="39" t="n">
        <f aca="false">Resumo!$B$10*CEILING(I563/100,1)</f>
        <v>4.5</v>
      </c>
      <c r="AC563" s="39" t="n">
        <f aca="false">Resumo!$B$12*CEILING(I563,1)</f>
        <v>3.18</v>
      </c>
      <c r="AD563" s="39" t="n">
        <f aca="false">Resumo!$B$14*CEILING(I563,1)</f>
        <v>23.85</v>
      </c>
      <c r="AE563" s="39" t="n">
        <f aca="false">SUM(X563:AD563)</f>
        <v>146.83997</v>
      </c>
      <c r="AF563" s="39" t="n">
        <f aca="false">AE563/(1-Resumo!$B$5)</f>
        <v>166.863602272727</v>
      </c>
      <c r="AG563" s="39" t="n">
        <f aca="false">AF563-W563</f>
        <v>39.31365</v>
      </c>
      <c r="AH563" s="40" t="n">
        <f aca="false">AF563/W563-1</f>
        <v>0.308221597103694</v>
      </c>
      <c r="AI563" s="37" t="str">
        <f aca="false">IF(AF563&lt;W563,"SIM","NÃO")</f>
        <v>NÃO</v>
      </c>
      <c r="AJ563" s="37" t="n">
        <v>2</v>
      </c>
      <c r="AK563" s="37" t="n">
        <v>5</v>
      </c>
      <c r="AL563" s="37" t="s">
        <v>343</v>
      </c>
      <c r="AM563" s="39" t="n">
        <v>128.49</v>
      </c>
    </row>
    <row r="564" customFormat="false" ht="15" hidden="false" customHeight="false" outlineLevel="0" collapsed="false">
      <c r="A564" s="37" t="n">
        <v>371668342</v>
      </c>
      <c r="B564" s="38" t="n">
        <v>46238.6578819445</v>
      </c>
      <c r="C564" s="37" t="s">
        <v>340</v>
      </c>
      <c r="D564" s="37" t="s">
        <v>893</v>
      </c>
      <c r="E564" s="37" t="n">
        <v>26600000</v>
      </c>
      <c r="F564" s="37" t="s">
        <v>239</v>
      </c>
      <c r="G564" s="37" t="s">
        <v>198</v>
      </c>
      <c r="H564" s="37" t="s">
        <v>183</v>
      </c>
      <c r="I564" s="37" t="n">
        <v>19.5</v>
      </c>
      <c r="J564" s="39" t="n">
        <v>359.99</v>
      </c>
      <c r="K564" s="37" t="s">
        <v>518</v>
      </c>
      <c r="L564" s="39" t="n">
        <v>81.9</v>
      </c>
      <c r="M564" s="39" t="n">
        <v>46.95</v>
      </c>
      <c r="N564" s="39" t="n">
        <f aca="false">J564*Resumo!$C$6</f>
        <v>0</v>
      </c>
      <c r="O564" s="39" t="n">
        <f aca="false">J564*Resumo!$C$7</f>
        <v>0.755979</v>
      </c>
      <c r="P564" s="39" t="n">
        <f aca="false">J564*Resumo!$C$8</f>
        <v>0.755979</v>
      </c>
      <c r="Q564" s="39" t="n">
        <f aca="false">Resumo!$C$10*CEILING(I564/100,1)</f>
        <v>1.05</v>
      </c>
      <c r="R564" s="39" t="n">
        <f aca="false">Resumo!$C$9</f>
        <v>0</v>
      </c>
      <c r="S564" s="39" t="n">
        <f aca="false">Resumo!$C$13</f>
        <v>13.55</v>
      </c>
      <c r="T564" s="39" t="n">
        <f aca="false">Resumo!$C$14*CEILING(I564,1)</f>
        <v>9</v>
      </c>
      <c r="U564" s="39" t="n">
        <f aca="false">SUM(M564:T564)*Resumo!$C$11</f>
        <v>0</v>
      </c>
      <c r="V564" s="39" t="n">
        <f aca="false">SUM(M564:U564)</f>
        <v>72.061958</v>
      </c>
      <c r="W564" s="39" t="n">
        <f aca="false">V564/(1-Resumo!$C$5)</f>
        <v>81.8885886363636</v>
      </c>
      <c r="X564" s="39" t="n">
        <v>77.35</v>
      </c>
      <c r="Y564" s="39" t="n">
        <f aca="false">J564*Resumo!$B$6</f>
        <v>0.35999</v>
      </c>
      <c r="Z564" s="39" t="n">
        <f aca="false">J564*Resumo!$B$7</f>
        <v>0.71998</v>
      </c>
      <c r="AA564" s="39" t="n">
        <f aca="false">Resumo!$B$9</f>
        <v>1</v>
      </c>
      <c r="AB564" s="39" t="n">
        <f aca="false">Resumo!$B$10*CEILING(I564/100,1)</f>
        <v>4.5</v>
      </c>
      <c r="AC564" s="39" t="n">
        <f aca="false">Resumo!$B$12*CEILING(I564,1)</f>
        <v>1.2</v>
      </c>
      <c r="AD564" s="39" t="n">
        <f aca="false">Resumo!$B$14*CEILING(I564,1)</f>
        <v>9</v>
      </c>
      <c r="AE564" s="39" t="n">
        <f aca="false">SUM(X564:AD564)</f>
        <v>94.12997</v>
      </c>
      <c r="AF564" s="39" t="n">
        <f aca="false">AE564/(1-Resumo!$B$5)</f>
        <v>106.965875</v>
      </c>
      <c r="AG564" s="39" t="n">
        <f aca="false">AF564-W564</f>
        <v>25.0772863636364</v>
      </c>
      <c r="AH564" s="40" t="n">
        <f aca="false">AF564/W564-1</f>
        <v>0.306236641530057</v>
      </c>
      <c r="AI564" s="37" t="str">
        <f aca="false">IF(AF564&lt;W564,"SIM","NÃO")</f>
        <v>NÃO</v>
      </c>
      <c r="AJ564" s="37" t="n">
        <v>13</v>
      </c>
      <c r="AK564" s="37" t="n">
        <v>10</v>
      </c>
      <c r="AL564" s="37" t="s">
        <v>347</v>
      </c>
      <c r="AM564" s="39" t="n">
        <v>80.38</v>
      </c>
    </row>
    <row r="565" customFormat="false" ht="15" hidden="false" customHeight="false" outlineLevel="0" collapsed="false">
      <c r="A565" s="37" t="n">
        <v>371675190</v>
      </c>
      <c r="B565" s="38" t="n">
        <v>46238.6725462963</v>
      </c>
      <c r="C565" s="37" t="s">
        <v>340</v>
      </c>
      <c r="D565" s="37" t="s">
        <v>896</v>
      </c>
      <c r="E565" s="37" t="n">
        <v>20710350</v>
      </c>
      <c r="F565" s="37" t="s">
        <v>159</v>
      </c>
      <c r="G565" s="37" t="s">
        <v>196</v>
      </c>
      <c r="H565" s="37" t="s">
        <v>186</v>
      </c>
      <c r="I565" s="37" t="n">
        <v>41</v>
      </c>
      <c r="J565" s="39" t="n">
        <v>498.19</v>
      </c>
      <c r="K565" s="37" t="s">
        <v>518</v>
      </c>
      <c r="L565" s="39" t="n">
        <v>100.8</v>
      </c>
      <c r="M565" s="39" t="n">
        <v>53.55</v>
      </c>
      <c r="N565" s="39" t="n">
        <f aca="false">J565*Resumo!$C$6</f>
        <v>0</v>
      </c>
      <c r="O565" s="39" t="n">
        <f aca="false">J565*Resumo!$C$7</f>
        <v>1.046199</v>
      </c>
      <c r="P565" s="39" t="n">
        <f aca="false">J565*Resumo!$C$8</f>
        <v>1.046199</v>
      </c>
      <c r="Q565" s="39" t="n">
        <f aca="false">Resumo!$C$10*CEILING(I565/100,1)</f>
        <v>1.05</v>
      </c>
      <c r="R565" s="39" t="n">
        <f aca="false">Resumo!$C$9</f>
        <v>0</v>
      </c>
      <c r="S565" s="39" t="n">
        <f aca="false">Resumo!$C$13</f>
        <v>13.55</v>
      </c>
      <c r="T565" s="39" t="n">
        <f aca="false">Resumo!$C$14*CEILING(I565,1)</f>
        <v>18.45</v>
      </c>
      <c r="U565" s="39" t="n">
        <f aca="false">SUM(M565:T565)*Resumo!$C$11</f>
        <v>0</v>
      </c>
      <c r="V565" s="39" t="n">
        <f aca="false">SUM(M565:U565)</f>
        <v>88.692398</v>
      </c>
      <c r="W565" s="39" t="n">
        <f aca="false">V565/(1-Resumo!$C$5)</f>
        <v>100.786815909091</v>
      </c>
      <c r="X565" s="39" t="n">
        <v>93.97</v>
      </c>
      <c r="Y565" s="39" t="n">
        <f aca="false">J565*Resumo!$B$6</f>
        <v>0.49819</v>
      </c>
      <c r="Z565" s="39" t="n">
        <f aca="false">J565*Resumo!$B$7</f>
        <v>0.99638</v>
      </c>
      <c r="AA565" s="39" t="n">
        <f aca="false">Resumo!$B$9</f>
        <v>1</v>
      </c>
      <c r="AB565" s="39" t="n">
        <f aca="false">Resumo!$B$10*CEILING(I565/100,1)</f>
        <v>4.5</v>
      </c>
      <c r="AC565" s="39" t="n">
        <f aca="false">Resumo!$B$12*CEILING(I565,1)</f>
        <v>2.46</v>
      </c>
      <c r="AD565" s="39" t="n">
        <f aca="false">Resumo!$B$14*CEILING(I565,1)</f>
        <v>18.45</v>
      </c>
      <c r="AE565" s="39" t="n">
        <f aca="false">SUM(X565:AD565)</f>
        <v>121.87457</v>
      </c>
      <c r="AF565" s="39" t="n">
        <f aca="false">AE565/(1-Resumo!$B$5)</f>
        <v>138.493829545455</v>
      </c>
      <c r="AG565" s="39" t="n">
        <f aca="false">AF565-W565</f>
        <v>37.7070136363637</v>
      </c>
      <c r="AH565" s="40" t="n">
        <f aca="false">AF565/W565-1</f>
        <v>0.374126449935428</v>
      </c>
      <c r="AI565" s="37" t="str">
        <f aca="false">IF(AF565&lt;W565,"SIM","NÃO")</f>
        <v>NÃO</v>
      </c>
      <c r="AJ565" s="37" t="n">
        <v>2</v>
      </c>
      <c r="AK565" s="37" t="n">
        <v>5</v>
      </c>
      <c r="AL565" s="37" t="s">
        <v>343</v>
      </c>
      <c r="AM565" s="39" t="n">
        <v>102.97</v>
      </c>
    </row>
    <row r="566" customFormat="false" ht="15" hidden="false" customHeight="false" outlineLevel="0" collapsed="false">
      <c r="A566" s="37" t="n">
        <v>371676262</v>
      </c>
      <c r="B566" s="38" t="n">
        <v>46238.6750925926</v>
      </c>
      <c r="C566" s="37" t="s">
        <v>340</v>
      </c>
      <c r="D566" s="37" t="s">
        <v>897</v>
      </c>
      <c r="E566" s="37" t="n">
        <v>21862390</v>
      </c>
      <c r="F566" s="37" t="s">
        <v>159</v>
      </c>
      <c r="G566" s="37" t="s">
        <v>196</v>
      </c>
      <c r="H566" s="37" t="s">
        <v>188</v>
      </c>
      <c r="I566" s="37" t="n">
        <v>61.4</v>
      </c>
      <c r="J566" s="39" t="n">
        <v>919.99</v>
      </c>
      <c r="K566" s="37" t="s">
        <v>342</v>
      </c>
      <c r="L566" s="39" t="n">
        <v>125.61</v>
      </c>
      <c r="M566" s="39" t="n">
        <v>63.21</v>
      </c>
      <c r="N566" s="39" t="n">
        <f aca="false">J566*Resumo!$C$6</f>
        <v>0</v>
      </c>
      <c r="O566" s="39" t="n">
        <f aca="false">J566*Resumo!$C$7</f>
        <v>1.931979</v>
      </c>
      <c r="P566" s="39" t="n">
        <f aca="false">J566*Resumo!$C$8</f>
        <v>1.931979</v>
      </c>
      <c r="Q566" s="39" t="n">
        <f aca="false">Resumo!$C$10*CEILING(I566/100,1)</f>
        <v>1.05</v>
      </c>
      <c r="R566" s="39" t="n">
        <f aca="false">Resumo!$C$9</f>
        <v>0</v>
      </c>
      <c r="S566" s="39" t="n">
        <f aca="false">Resumo!$C$13</f>
        <v>13.55</v>
      </c>
      <c r="T566" s="39" t="n">
        <f aca="false">Resumo!$C$14*CEILING(I566,1)</f>
        <v>27.9</v>
      </c>
      <c r="U566" s="39" t="n">
        <f aca="false">SUM(M566:T566)*Resumo!$C$11</f>
        <v>0</v>
      </c>
      <c r="V566" s="39" t="n">
        <f aca="false">SUM(M566:U566)</f>
        <v>109.573958</v>
      </c>
      <c r="W566" s="39" t="n">
        <f aca="false">V566/(1-Resumo!$C$5)</f>
        <v>124.515861363636</v>
      </c>
      <c r="X566" s="39" t="n">
        <v>131.02</v>
      </c>
      <c r="Y566" s="39" t="n">
        <f aca="false">J566*Resumo!$B$6</f>
        <v>0.91999</v>
      </c>
      <c r="Z566" s="39" t="n">
        <f aca="false">J566*Resumo!$B$7</f>
        <v>1.83998</v>
      </c>
      <c r="AA566" s="39" t="n">
        <f aca="false">Resumo!$B$9</f>
        <v>1</v>
      </c>
      <c r="AB566" s="39" t="n">
        <f aca="false">Resumo!$B$10*CEILING(I566/100,1)</f>
        <v>4.5</v>
      </c>
      <c r="AC566" s="39" t="n">
        <f aca="false">Resumo!$B$12*CEILING(I566,1)</f>
        <v>3.72</v>
      </c>
      <c r="AD566" s="39" t="n">
        <f aca="false">Resumo!$B$14*CEILING(I566,1)</f>
        <v>27.9</v>
      </c>
      <c r="AE566" s="39" t="n">
        <f aca="false">SUM(X566:AD566)</f>
        <v>170.89997</v>
      </c>
      <c r="AF566" s="39" t="n">
        <f aca="false">AE566/(1-Resumo!$B$5)</f>
        <v>194.204511363636</v>
      </c>
      <c r="AG566" s="39" t="n">
        <f aca="false">AF566-W566</f>
        <v>69.68865</v>
      </c>
      <c r="AH566" s="40" t="n">
        <f aca="false">AF566/W566-1</f>
        <v>0.559676889649272</v>
      </c>
      <c r="AI566" s="37" t="str">
        <f aca="false">IF(AF566&lt;W566,"SIM","NÃO")</f>
        <v>NÃO</v>
      </c>
      <c r="AJ566" s="37" t="n">
        <v>2</v>
      </c>
      <c r="AK566" s="37" t="n">
        <v>5</v>
      </c>
      <c r="AL566" s="37" t="s">
        <v>343</v>
      </c>
      <c r="AM566" s="39" t="n">
        <v>125.62</v>
      </c>
    </row>
    <row r="567" customFormat="false" ht="15" hidden="false" customHeight="false" outlineLevel="0" collapsed="false">
      <c r="A567" s="37" t="n">
        <v>371678849</v>
      </c>
      <c r="B567" s="38" t="n">
        <v>46238.6809375</v>
      </c>
      <c r="C567" s="37" t="s">
        <v>340</v>
      </c>
      <c r="D567" s="37" t="s">
        <v>898</v>
      </c>
      <c r="E567" s="37" t="n">
        <v>28941013</v>
      </c>
      <c r="F567" s="37" t="s">
        <v>292</v>
      </c>
      <c r="G567" s="37" t="s">
        <v>198</v>
      </c>
      <c r="H567" s="37" t="s">
        <v>185</v>
      </c>
      <c r="I567" s="37" t="n">
        <v>40</v>
      </c>
      <c r="J567" s="39" t="n">
        <v>569.99</v>
      </c>
      <c r="K567" s="37" t="s">
        <v>518</v>
      </c>
      <c r="L567" s="39" t="n">
        <v>124.97</v>
      </c>
      <c r="M567" s="39" t="n">
        <v>74.97</v>
      </c>
      <c r="N567" s="39" t="n">
        <f aca="false">J567*Resumo!$C$6</f>
        <v>0</v>
      </c>
      <c r="O567" s="39" t="n">
        <f aca="false">J567*Resumo!$C$7</f>
        <v>1.196979</v>
      </c>
      <c r="P567" s="39" t="n">
        <f aca="false">J567*Resumo!$C$8</f>
        <v>1.196979</v>
      </c>
      <c r="Q567" s="39" t="n">
        <f aca="false">Resumo!$C$10*CEILING(I567/100,1)</f>
        <v>1.05</v>
      </c>
      <c r="R567" s="39" t="n">
        <f aca="false">Resumo!$C$9</f>
        <v>0</v>
      </c>
      <c r="S567" s="39" t="n">
        <f aca="false">Resumo!$C$13</f>
        <v>13.55</v>
      </c>
      <c r="T567" s="39" t="n">
        <f aca="false">Resumo!$C$14*CEILING(I567,1)</f>
        <v>18</v>
      </c>
      <c r="U567" s="39" t="n">
        <f aca="false">SUM(M567:T567)*Resumo!$C$11</f>
        <v>0</v>
      </c>
      <c r="V567" s="39" t="n">
        <f aca="false">SUM(M567:U567)</f>
        <v>109.963958</v>
      </c>
      <c r="W567" s="39" t="n">
        <f aca="false">V567/(1-Resumo!$C$5)</f>
        <v>124.959043181818</v>
      </c>
      <c r="X567" s="39" t="n">
        <v>124.38</v>
      </c>
      <c r="Y567" s="39" t="n">
        <f aca="false">J567*Resumo!$B$6</f>
        <v>0.56999</v>
      </c>
      <c r="Z567" s="39" t="n">
        <f aca="false">J567*Resumo!$B$7</f>
        <v>1.13998</v>
      </c>
      <c r="AA567" s="39" t="n">
        <f aca="false">Resumo!$B$9</f>
        <v>1</v>
      </c>
      <c r="AB567" s="39" t="n">
        <f aca="false">Resumo!$B$10*CEILING(I567/100,1)</f>
        <v>4.5</v>
      </c>
      <c r="AC567" s="39" t="n">
        <f aca="false">Resumo!$B$12*CEILING(I567,1)</f>
        <v>2.4</v>
      </c>
      <c r="AD567" s="39" t="n">
        <f aca="false">Resumo!$B$14*CEILING(I567,1)</f>
        <v>18</v>
      </c>
      <c r="AE567" s="39" t="n">
        <f aca="false">SUM(X567:AD567)</f>
        <v>151.98997</v>
      </c>
      <c r="AF567" s="39" t="n">
        <f aca="false">AE567/(1-Resumo!$B$5)</f>
        <v>172.715875</v>
      </c>
      <c r="AG567" s="39" t="n">
        <f aca="false">AF567-W567</f>
        <v>47.7568318181818</v>
      </c>
      <c r="AH567" s="40" t="n">
        <f aca="false">AF567/W567-1</f>
        <v>0.382179877519505</v>
      </c>
      <c r="AI567" s="37" t="str">
        <f aca="false">IF(AF567&lt;W567,"SIM","NÃO")</f>
        <v>NÃO</v>
      </c>
      <c r="AJ567" s="37" t="n">
        <v>13</v>
      </c>
      <c r="AK567" s="37" t="n">
        <v>10</v>
      </c>
      <c r="AL567" s="37" t="s">
        <v>347</v>
      </c>
      <c r="AM567" s="39" t="n">
        <v>122.98</v>
      </c>
    </row>
    <row r="568" customFormat="false" ht="15" hidden="false" customHeight="false" outlineLevel="0" collapsed="false">
      <c r="A568" s="37" t="n">
        <v>371686838</v>
      </c>
      <c r="B568" s="38" t="n">
        <v>46238.7012962963</v>
      </c>
      <c r="C568" s="37" t="s">
        <v>379</v>
      </c>
      <c r="D568" s="37" t="s">
        <v>899</v>
      </c>
      <c r="E568" s="37" t="n">
        <v>27325110</v>
      </c>
      <c r="F568" s="37" t="s">
        <v>247</v>
      </c>
      <c r="G568" s="37" t="s">
        <v>198</v>
      </c>
      <c r="H568" s="37" t="s">
        <v>190</v>
      </c>
      <c r="I568" s="37" t="n">
        <v>93.8</v>
      </c>
      <c r="J568" s="39" t="n">
        <v>899.99</v>
      </c>
      <c r="K568" s="37" t="s">
        <v>518</v>
      </c>
      <c r="L568" s="39" t="n">
        <v>193.53</v>
      </c>
      <c r="M568" s="39" t="n">
        <v>109.63</v>
      </c>
      <c r="N568" s="39" t="n">
        <f aca="false">J568*Resumo!$C$6</f>
        <v>0</v>
      </c>
      <c r="O568" s="39" t="n">
        <f aca="false">J568*Resumo!$C$7</f>
        <v>1.889979</v>
      </c>
      <c r="P568" s="39" t="n">
        <f aca="false">J568*Resumo!$C$8</f>
        <v>1.889979</v>
      </c>
      <c r="Q568" s="39" t="n">
        <f aca="false">Resumo!$C$10*CEILING(I568/100,1)</f>
        <v>1.05</v>
      </c>
      <c r="R568" s="39" t="n">
        <f aca="false">Resumo!$C$9</f>
        <v>0</v>
      </c>
      <c r="S568" s="39" t="n">
        <f aca="false">Resumo!$C$13</f>
        <v>13.55</v>
      </c>
      <c r="T568" s="39" t="n">
        <f aca="false">Resumo!$C$14*CEILING(I568,1)</f>
        <v>42.3</v>
      </c>
      <c r="U568" s="39" t="n">
        <f aca="false">SUM(M568:T568)*Resumo!$C$11</f>
        <v>0</v>
      </c>
      <c r="V568" s="39" t="n">
        <f aca="false">SUM(M568:U568)</f>
        <v>170.309958</v>
      </c>
      <c r="W568" s="39" t="n">
        <f aca="false">V568/(1-Resumo!$C$5)</f>
        <v>193.534043181818</v>
      </c>
      <c r="X568" s="39" t="n">
        <v>197.35</v>
      </c>
      <c r="Y568" s="39" t="n">
        <f aca="false">J568*Resumo!$B$6</f>
        <v>0.89999</v>
      </c>
      <c r="Z568" s="39" t="n">
        <f aca="false">J568*Resumo!$B$7</f>
        <v>1.79998</v>
      </c>
      <c r="AA568" s="39" t="n">
        <f aca="false">Resumo!$B$9</f>
        <v>1</v>
      </c>
      <c r="AB568" s="39" t="n">
        <f aca="false">Resumo!$B$10*CEILING(I568/100,1)</f>
        <v>4.5</v>
      </c>
      <c r="AC568" s="39" t="n">
        <f aca="false">Resumo!$B$12*CEILING(I568,1)</f>
        <v>5.64</v>
      </c>
      <c r="AD568" s="39" t="n">
        <f aca="false">Resumo!$B$14*CEILING(I568,1)</f>
        <v>42.3</v>
      </c>
      <c r="AE568" s="39" t="n">
        <f aca="false">SUM(X568:AD568)</f>
        <v>253.48997</v>
      </c>
      <c r="AF568" s="39" t="n">
        <f aca="false">AE568/(1-Resumo!$B$5)</f>
        <v>288.056784090909</v>
      </c>
      <c r="AG568" s="39" t="n">
        <f aca="false">AF568-W568</f>
        <v>94.5227409090909</v>
      </c>
      <c r="AH568" s="40" t="n">
        <f aca="false">AF568/W568-1</f>
        <v>0.488403690405467</v>
      </c>
      <c r="AI568" s="37" t="str">
        <f aca="false">IF(AF568&lt;W568,"SIM","NÃO")</f>
        <v>NÃO</v>
      </c>
      <c r="AJ568" s="37" t="n">
        <v>13</v>
      </c>
      <c r="AK568" s="37" t="n">
        <v>10</v>
      </c>
      <c r="AL568" s="37" t="s">
        <v>347</v>
      </c>
      <c r="AM568" s="39" t="n">
        <v>192.91</v>
      </c>
    </row>
    <row r="569" customFormat="false" ht="15" hidden="false" customHeight="false" outlineLevel="0" collapsed="false">
      <c r="A569" s="37" t="n">
        <v>371702134</v>
      </c>
      <c r="B569" s="38" t="n">
        <v>46238.7328819444</v>
      </c>
      <c r="C569" s="37" t="s">
        <v>345</v>
      </c>
      <c r="D569" s="37" t="s">
        <v>900</v>
      </c>
      <c r="E569" s="37" t="n">
        <v>25964005</v>
      </c>
      <c r="F569" s="37" t="s">
        <v>235</v>
      </c>
      <c r="G569" s="37" t="s">
        <v>198</v>
      </c>
      <c r="H569" s="37" t="s">
        <v>186</v>
      </c>
      <c r="I569" s="37" t="n">
        <v>48</v>
      </c>
      <c r="J569" s="39" t="n">
        <v>815.51</v>
      </c>
      <c r="K569" s="37" t="s">
        <v>518</v>
      </c>
      <c r="L569" s="39" t="n">
        <v>133.32</v>
      </c>
      <c r="M569" s="39" t="n">
        <v>77.7</v>
      </c>
      <c r="N569" s="39" t="n">
        <f aca="false">J569*Resumo!$C$6</f>
        <v>0</v>
      </c>
      <c r="O569" s="39" t="n">
        <f aca="false">J569*Resumo!$C$7</f>
        <v>1.712571</v>
      </c>
      <c r="P569" s="39" t="n">
        <f aca="false">J569*Resumo!$C$8</f>
        <v>1.712571</v>
      </c>
      <c r="Q569" s="39" t="n">
        <f aca="false">Resumo!$C$10*CEILING(I569/100,1)</f>
        <v>1.05</v>
      </c>
      <c r="R569" s="39" t="n">
        <f aca="false">Resumo!$C$9</f>
        <v>0</v>
      </c>
      <c r="S569" s="39" t="n">
        <f aca="false">Resumo!$C$13</f>
        <v>13.55</v>
      </c>
      <c r="T569" s="39" t="n">
        <f aca="false">Resumo!$C$14*CEILING(I569,1)</f>
        <v>21.6</v>
      </c>
      <c r="U569" s="39" t="n">
        <f aca="false">SUM(M569:T569)*Resumo!$C$11</f>
        <v>0</v>
      </c>
      <c r="V569" s="39" t="n">
        <f aca="false">SUM(M569:U569)</f>
        <v>117.325142</v>
      </c>
      <c r="W569" s="39" t="n">
        <f aca="false">V569/(1-Resumo!$C$5)</f>
        <v>133.324025</v>
      </c>
      <c r="X569" s="39" t="n">
        <v>135.03</v>
      </c>
      <c r="Y569" s="39" t="n">
        <f aca="false">J569*Resumo!$B$6</f>
        <v>0.81551</v>
      </c>
      <c r="Z569" s="39" t="n">
        <f aca="false">J569*Resumo!$B$7</f>
        <v>1.63102</v>
      </c>
      <c r="AA569" s="39" t="n">
        <f aca="false">Resumo!$B$9</f>
        <v>1</v>
      </c>
      <c r="AB569" s="39" t="n">
        <f aca="false">Resumo!$B$10*CEILING(I569/100,1)</f>
        <v>4.5</v>
      </c>
      <c r="AC569" s="39" t="n">
        <f aca="false">Resumo!$B$12*CEILING(I569,1)</f>
        <v>2.88</v>
      </c>
      <c r="AD569" s="39" t="n">
        <f aca="false">Resumo!$B$14*CEILING(I569,1)</f>
        <v>21.6</v>
      </c>
      <c r="AE569" s="39" t="n">
        <f aca="false">SUM(X569:AD569)</f>
        <v>167.45653</v>
      </c>
      <c r="AF569" s="39" t="n">
        <f aca="false">AE569/(1-Resumo!$B$5)</f>
        <v>190.291511363636</v>
      </c>
      <c r="AG569" s="39" t="n">
        <f aca="false">AF569-W569</f>
        <v>56.9674863636363</v>
      </c>
      <c r="AH569" s="40" t="n">
        <f aca="false">AF569/W569-1</f>
        <v>0.427285977629586</v>
      </c>
      <c r="AI569" s="37" t="str">
        <f aca="false">IF(AF569&lt;W569,"SIM","NÃO")</f>
        <v>NÃO</v>
      </c>
      <c r="AJ569" s="37" t="n">
        <v>13</v>
      </c>
      <c r="AK569" s="37" t="n">
        <v>10</v>
      </c>
      <c r="AL569" s="37" t="s">
        <v>347</v>
      </c>
      <c r="AM569" s="39" t="n">
        <v>132.07</v>
      </c>
    </row>
    <row r="570" customFormat="false" ht="15" hidden="false" customHeight="false" outlineLevel="0" collapsed="false">
      <c r="A570" s="37" t="n">
        <v>371702774</v>
      </c>
      <c r="B570" s="38" t="n">
        <v>46238.7338888889</v>
      </c>
      <c r="C570" s="37" t="s">
        <v>340</v>
      </c>
      <c r="D570" s="37" t="s">
        <v>901</v>
      </c>
      <c r="E570" s="37" t="n">
        <v>28920030</v>
      </c>
      <c r="F570" s="37" t="s">
        <v>172</v>
      </c>
      <c r="G570" s="37" t="s">
        <v>198</v>
      </c>
      <c r="H570" s="37" t="s">
        <v>185</v>
      </c>
      <c r="I570" s="37" t="n">
        <v>37.2</v>
      </c>
      <c r="J570" s="39" t="n">
        <v>399.99</v>
      </c>
      <c r="K570" s="37" t="s">
        <v>518</v>
      </c>
      <c r="L570" s="39" t="n">
        <v>123.13</v>
      </c>
      <c r="M570" s="39" t="n">
        <v>74.97</v>
      </c>
      <c r="N570" s="39" t="n">
        <f aca="false">J570*Resumo!$C$6</f>
        <v>0</v>
      </c>
      <c r="O570" s="39" t="n">
        <f aca="false">J570*Resumo!$C$7</f>
        <v>0.839979</v>
      </c>
      <c r="P570" s="39" t="n">
        <f aca="false">J570*Resumo!$C$8</f>
        <v>0.839979</v>
      </c>
      <c r="Q570" s="39" t="n">
        <f aca="false">Resumo!$C$10*CEILING(I570/100,1)</f>
        <v>1.05</v>
      </c>
      <c r="R570" s="39" t="n">
        <f aca="false">Resumo!$C$9</f>
        <v>0</v>
      </c>
      <c r="S570" s="39" t="n">
        <f aca="false">Resumo!$C$13</f>
        <v>13.55</v>
      </c>
      <c r="T570" s="39" t="n">
        <f aca="false">Resumo!$C$14*CEILING(I570,1)</f>
        <v>17.1</v>
      </c>
      <c r="U570" s="39" t="n">
        <f aca="false">SUM(M570:T570)*Resumo!$C$11</f>
        <v>0</v>
      </c>
      <c r="V570" s="39" t="n">
        <f aca="false">SUM(M570:U570)</f>
        <v>108.349958</v>
      </c>
      <c r="W570" s="39" t="n">
        <f aca="false">V570/(1-Resumo!$C$5)</f>
        <v>123.124952272727</v>
      </c>
      <c r="X570" s="39" t="n">
        <v>124.38</v>
      </c>
      <c r="Y570" s="39" t="n">
        <f aca="false">J570*Resumo!$B$6</f>
        <v>0.39999</v>
      </c>
      <c r="Z570" s="39" t="n">
        <f aca="false">J570*Resumo!$B$7</f>
        <v>0.79998</v>
      </c>
      <c r="AA570" s="39" t="n">
        <f aca="false">Resumo!$B$9</f>
        <v>1</v>
      </c>
      <c r="AB570" s="39" t="n">
        <f aca="false">Resumo!$B$10*CEILING(I570/100,1)</f>
        <v>4.5</v>
      </c>
      <c r="AC570" s="39" t="n">
        <f aca="false">Resumo!$B$12*CEILING(I570,1)</f>
        <v>2.28</v>
      </c>
      <c r="AD570" s="39" t="n">
        <f aca="false">Resumo!$B$14*CEILING(I570,1)</f>
        <v>17.1</v>
      </c>
      <c r="AE570" s="39" t="n">
        <f aca="false">SUM(X570:AD570)</f>
        <v>150.45997</v>
      </c>
      <c r="AF570" s="39" t="n">
        <f aca="false">AE570/(1-Resumo!$B$5)</f>
        <v>170.977238636364</v>
      </c>
      <c r="AG570" s="39" t="n">
        <f aca="false">AF570-W570</f>
        <v>47.8522863636364</v>
      </c>
      <c r="AH570" s="40" t="n">
        <f aca="false">AF570/W570-1</f>
        <v>0.388648161727945</v>
      </c>
      <c r="AI570" s="37" t="str">
        <f aca="false">IF(AF570&lt;W570,"SIM","NÃO")</f>
        <v>NÃO</v>
      </c>
      <c r="AJ570" s="37" t="n">
        <v>13</v>
      </c>
      <c r="AK570" s="37" t="n">
        <v>10</v>
      </c>
      <c r="AL570" s="37" t="s">
        <v>343</v>
      </c>
      <c r="AM570" s="39" t="n">
        <v>122.16</v>
      </c>
    </row>
    <row r="571" customFormat="false" ht="15" hidden="false" customHeight="false" outlineLevel="0" collapsed="false">
      <c r="A571" s="37" t="n">
        <v>371714166</v>
      </c>
      <c r="B571" s="38" t="n">
        <v>46238.7575</v>
      </c>
      <c r="C571" s="37" t="s">
        <v>372</v>
      </c>
      <c r="D571" s="37" t="s">
        <v>902</v>
      </c>
      <c r="E571" s="37" t="n">
        <v>28930000</v>
      </c>
      <c r="F571" s="37" t="s">
        <v>291</v>
      </c>
      <c r="G571" s="37" t="s">
        <v>198</v>
      </c>
      <c r="H571" s="37" t="s">
        <v>185</v>
      </c>
      <c r="I571" s="37" t="n">
        <v>40</v>
      </c>
      <c r="J571" s="39" t="n">
        <v>479.99</v>
      </c>
      <c r="K571" s="37" t="s">
        <v>518</v>
      </c>
      <c r="L571" s="39" t="n">
        <v>124.53</v>
      </c>
      <c r="M571" s="39" t="n">
        <v>74.97</v>
      </c>
      <c r="N571" s="39" t="n">
        <f aca="false">J571*Resumo!$C$6</f>
        <v>0</v>
      </c>
      <c r="O571" s="39" t="n">
        <f aca="false">J571*Resumo!$C$7</f>
        <v>1.007979</v>
      </c>
      <c r="P571" s="39" t="n">
        <f aca="false">J571*Resumo!$C$8</f>
        <v>1.007979</v>
      </c>
      <c r="Q571" s="39" t="n">
        <f aca="false">Resumo!$C$10*CEILING(I571/100,1)</f>
        <v>1.05</v>
      </c>
      <c r="R571" s="39" t="n">
        <f aca="false">Resumo!$C$9</f>
        <v>0</v>
      </c>
      <c r="S571" s="39" t="n">
        <f aca="false">Resumo!$C$13</f>
        <v>13.55</v>
      </c>
      <c r="T571" s="39" t="n">
        <f aca="false">Resumo!$C$14*CEILING(I571,1)</f>
        <v>18</v>
      </c>
      <c r="U571" s="39" t="n">
        <f aca="false">SUM(M571:T571)*Resumo!$C$11</f>
        <v>0</v>
      </c>
      <c r="V571" s="39" t="n">
        <f aca="false">SUM(M571:U571)</f>
        <v>109.585958</v>
      </c>
      <c r="W571" s="39" t="n">
        <f aca="false">V571/(1-Resumo!$C$5)</f>
        <v>124.529497727273</v>
      </c>
      <c r="X571" s="39" t="n">
        <v>124.38</v>
      </c>
      <c r="Y571" s="39" t="n">
        <f aca="false">J571*Resumo!$B$6</f>
        <v>0.47999</v>
      </c>
      <c r="Z571" s="39" t="n">
        <f aca="false">J571*Resumo!$B$7</f>
        <v>0.95998</v>
      </c>
      <c r="AA571" s="39" t="n">
        <f aca="false">Resumo!$B$9</f>
        <v>1</v>
      </c>
      <c r="AB571" s="39" t="n">
        <f aca="false">Resumo!$B$10*CEILING(I571/100,1)</f>
        <v>4.5</v>
      </c>
      <c r="AC571" s="39" t="n">
        <f aca="false">Resumo!$B$12*CEILING(I571,1)</f>
        <v>2.4</v>
      </c>
      <c r="AD571" s="39" t="n">
        <f aca="false">Resumo!$B$14*CEILING(I571,1)</f>
        <v>18</v>
      </c>
      <c r="AE571" s="39" t="n">
        <f aca="false">SUM(X571:AD571)</f>
        <v>151.71997</v>
      </c>
      <c r="AF571" s="39" t="n">
        <f aca="false">AE571/(1-Resumo!$B$5)</f>
        <v>172.409056818182</v>
      </c>
      <c r="AG571" s="39" t="n">
        <f aca="false">AF571-W571</f>
        <v>47.8795590909091</v>
      </c>
      <c r="AH571" s="40" t="n">
        <f aca="false">AF571/W571-1</f>
        <v>0.384483676275385</v>
      </c>
      <c r="AI571" s="37" t="str">
        <f aca="false">IF(AF571&lt;W571,"SIM","NÃO")</f>
        <v>NÃO</v>
      </c>
      <c r="AJ571" s="37" t="n">
        <v>13</v>
      </c>
      <c r="AK571" s="37" t="n">
        <v>10</v>
      </c>
      <c r="AL571" s="37" t="s">
        <v>347</v>
      </c>
      <c r="AM571" s="39" t="n">
        <v>122.55</v>
      </c>
    </row>
    <row r="572" customFormat="false" ht="15" hidden="false" customHeight="false" outlineLevel="0" collapsed="false">
      <c r="A572" s="37" t="n">
        <v>371716806</v>
      </c>
      <c r="B572" s="38" t="n">
        <v>46238.7674421296</v>
      </c>
      <c r="C572" s="37" t="s">
        <v>372</v>
      </c>
      <c r="D572" s="37" t="s">
        <v>903</v>
      </c>
      <c r="E572" s="37" t="n">
        <v>26032060</v>
      </c>
      <c r="F572" s="37" t="s">
        <v>162</v>
      </c>
      <c r="G572" s="37" t="s">
        <v>197</v>
      </c>
      <c r="H572" s="37" t="s">
        <v>186</v>
      </c>
      <c r="I572" s="37" t="n">
        <v>46.8</v>
      </c>
      <c r="J572" s="39" t="n">
        <v>549.99</v>
      </c>
      <c r="K572" s="37" t="s">
        <v>342</v>
      </c>
      <c r="L572" s="39" t="n">
        <v>116.7</v>
      </c>
      <c r="M572" s="39" t="n">
        <v>65.36</v>
      </c>
      <c r="N572" s="39" t="n">
        <f aca="false">J572*Resumo!$C$6</f>
        <v>0</v>
      </c>
      <c r="O572" s="39" t="n">
        <f aca="false">J572*Resumo!$C$7</f>
        <v>1.154979</v>
      </c>
      <c r="P572" s="39" t="n">
        <f aca="false">J572*Resumo!$C$8</f>
        <v>1.154979</v>
      </c>
      <c r="Q572" s="39" t="n">
        <f aca="false">Resumo!$C$10*CEILING(I572/100,1)</f>
        <v>1.05</v>
      </c>
      <c r="R572" s="39" t="n">
        <f aca="false">Resumo!$C$9</f>
        <v>0</v>
      </c>
      <c r="S572" s="39" t="n">
        <f aca="false">Resumo!$C$13</f>
        <v>13.55</v>
      </c>
      <c r="T572" s="39" t="n">
        <f aca="false">Resumo!$C$14*CEILING(I572,1)</f>
        <v>21.15</v>
      </c>
      <c r="U572" s="39" t="n">
        <f aca="false">SUM(M572:T572)*Resumo!$C$11</f>
        <v>0</v>
      </c>
      <c r="V572" s="39" t="n">
        <f aca="false">SUM(M572:U572)</f>
        <v>103.419958</v>
      </c>
      <c r="W572" s="39" t="n">
        <f aca="false">V572/(1-Resumo!$C$5)</f>
        <v>117.522679545455</v>
      </c>
      <c r="X572" s="39" t="n">
        <v>93.97</v>
      </c>
      <c r="Y572" s="39" t="n">
        <f aca="false">J572*Resumo!$B$6</f>
        <v>0.54999</v>
      </c>
      <c r="Z572" s="39" t="n">
        <f aca="false">J572*Resumo!$B$7</f>
        <v>1.09998</v>
      </c>
      <c r="AA572" s="39" t="n">
        <f aca="false">Resumo!$B$9</f>
        <v>1</v>
      </c>
      <c r="AB572" s="39" t="n">
        <f aca="false">Resumo!$B$10*CEILING(I572/100,1)</f>
        <v>4.5</v>
      </c>
      <c r="AC572" s="39" t="n">
        <f aca="false">Resumo!$B$12*CEILING(I572,1)</f>
        <v>2.82</v>
      </c>
      <c r="AD572" s="39" t="n">
        <f aca="false">Resumo!$B$14*CEILING(I572,1)</f>
        <v>21.15</v>
      </c>
      <c r="AE572" s="39" t="n">
        <f aca="false">SUM(X572:AD572)</f>
        <v>125.08997</v>
      </c>
      <c r="AF572" s="39" t="n">
        <f aca="false">AE572/(1-Resumo!$B$5)</f>
        <v>142.147693181818</v>
      </c>
      <c r="AG572" s="39" t="n">
        <f aca="false">AF572-W572</f>
        <v>24.6250136363636</v>
      </c>
      <c r="AH572" s="40" t="n">
        <f aca="false">AF572/W572-1</f>
        <v>0.209534140402571</v>
      </c>
      <c r="AI572" s="37" t="str">
        <f aca="false">IF(AF572&lt;W572,"SIM","NÃO")</f>
        <v>NÃO</v>
      </c>
      <c r="AJ572" s="37" t="n">
        <v>2</v>
      </c>
      <c r="AK572" s="37" t="n">
        <v>5</v>
      </c>
      <c r="AL572" s="37" t="s">
        <v>343</v>
      </c>
      <c r="AM572" s="39" t="n">
        <v>116.71</v>
      </c>
    </row>
    <row r="573" customFormat="false" ht="15" hidden="false" customHeight="false" outlineLevel="0" collapsed="false">
      <c r="A573" s="37" t="n">
        <v>371728852</v>
      </c>
      <c r="B573" s="38" t="n">
        <v>46238.7794791667</v>
      </c>
      <c r="C573" s="37" t="s">
        <v>340</v>
      </c>
      <c r="D573" s="37" t="s">
        <v>904</v>
      </c>
      <c r="E573" s="37" t="n">
        <v>23010095</v>
      </c>
      <c r="F573" s="37" t="s">
        <v>159</v>
      </c>
      <c r="G573" s="37" t="s">
        <v>196</v>
      </c>
      <c r="H573" s="37" t="s">
        <v>188</v>
      </c>
      <c r="I573" s="37" t="n">
        <v>63.9</v>
      </c>
      <c r="J573" s="39" t="n">
        <v>735.99</v>
      </c>
      <c r="K573" s="37" t="s">
        <v>518</v>
      </c>
      <c r="L573" s="39" t="n">
        <v>124.67</v>
      </c>
      <c r="M573" s="39" t="n">
        <v>63.21</v>
      </c>
      <c r="N573" s="39" t="n">
        <f aca="false">J573*Resumo!$C$6</f>
        <v>0</v>
      </c>
      <c r="O573" s="39" t="n">
        <f aca="false">J573*Resumo!$C$7</f>
        <v>1.545579</v>
      </c>
      <c r="P573" s="39" t="n">
        <f aca="false">J573*Resumo!$C$8</f>
        <v>1.545579</v>
      </c>
      <c r="Q573" s="39" t="n">
        <f aca="false">Resumo!$C$10*CEILING(I573/100,1)</f>
        <v>1.05</v>
      </c>
      <c r="R573" s="39" t="n">
        <f aca="false">Resumo!$C$9</f>
        <v>0</v>
      </c>
      <c r="S573" s="39" t="n">
        <f aca="false">Resumo!$C$13</f>
        <v>13.55</v>
      </c>
      <c r="T573" s="39" t="n">
        <f aca="false">Resumo!$C$14*CEILING(I573,1)</f>
        <v>28.8</v>
      </c>
      <c r="U573" s="39" t="n">
        <f aca="false">SUM(M573:T573)*Resumo!$C$11</f>
        <v>0</v>
      </c>
      <c r="V573" s="39" t="n">
        <f aca="false">SUM(M573:U573)</f>
        <v>109.701158</v>
      </c>
      <c r="W573" s="39" t="n">
        <f aca="false">V573/(1-Resumo!$C$5)</f>
        <v>124.660406818182</v>
      </c>
      <c r="X573" s="39" t="n">
        <v>131.02</v>
      </c>
      <c r="Y573" s="39" t="n">
        <f aca="false">J573*Resumo!$B$6</f>
        <v>0.73599</v>
      </c>
      <c r="Z573" s="39" t="n">
        <f aca="false">J573*Resumo!$B$7</f>
        <v>1.47198</v>
      </c>
      <c r="AA573" s="39" t="n">
        <f aca="false">Resumo!$B$9</f>
        <v>1</v>
      </c>
      <c r="AB573" s="39" t="n">
        <f aca="false">Resumo!$B$10*CEILING(I573/100,1)</f>
        <v>4.5</v>
      </c>
      <c r="AC573" s="39" t="n">
        <f aca="false">Resumo!$B$12*CEILING(I573,1)</f>
        <v>3.84</v>
      </c>
      <c r="AD573" s="39" t="n">
        <f aca="false">Resumo!$B$14*CEILING(I573,1)</f>
        <v>28.8</v>
      </c>
      <c r="AE573" s="39" t="n">
        <f aca="false">SUM(X573:AD573)</f>
        <v>171.36797</v>
      </c>
      <c r="AF573" s="39" t="n">
        <f aca="false">AE573/(1-Resumo!$B$5)</f>
        <v>194.736329545455</v>
      </c>
      <c r="AG573" s="39" t="n">
        <f aca="false">AF573-W573</f>
        <v>70.0759227272728</v>
      </c>
      <c r="AH573" s="40" t="n">
        <f aca="false">AF573/W573-1</f>
        <v>0.562134558324353</v>
      </c>
      <c r="AI573" s="37" t="str">
        <f aca="false">IF(AF573&lt;W573,"SIM","NÃO")</f>
        <v>NÃO</v>
      </c>
      <c r="AJ573" s="37" t="n">
        <v>2</v>
      </c>
      <c r="AK573" s="37" t="n">
        <v>5</v>
      </c>
      <c r="AL573" s="37" t="s">
        <v>343</v>
      </c>
      <c r="AM573" s="39" t="n">
        <v>124.73</v>
      </c>
    </row>
    <row r="574" customFormat="false" ht="15" hidden="false" customHeight="false" outlineLevel="0" collapsed="false">
      <c r="A574" s="37" t="n">
        <v>371743448</v>
      </c>
      <c r="B574" s="38" t="n">
        <v>46238.8002430556</v>
      </c>
      <c r="C574" s="37" t="s">
        <v>340</v>
      </c>
      <c r="D574" s="37" t="s">
        <v>905</v>
      </c>
      <c r="E574" s="37" t="n">
        <v>21920370</v>
      </c>
      <c r="F574" s="37" t="s">
        <v>159</v>
      </c>
      <c r="G574" s="37" t="s">
        <v>196</v>
      </c>
      <c r="H574" s="37" t="s">
        <v>184</v>
      </c>
      <c r="I574" s="37" t="n">
        <v>31.9</v>
      </c>
      <c r="J574" s="39" t="n">
        <v>551.99</v>
      </c>
      <c r="K574" s="37" t="s">
        <v>342</v>
      </c>
      <c r="L574" s="39" t="n">
        <v>82.97</v>
      </c>
      <c r="M574" s="39" t="n">
        <v>42.11</v>
      </c>
      <c r="N574" s="39" t="n">
        <f aca="false">J574*Resumo!$C$6</f>
        <v>0</v>
      </c>
      <c r="O574" s="39" t="n">
        <f aca="false">J574*Resumo!$C$7</f>
        <v>1.159179</v>
      </c>
      <c r="P574" s="39" t="n">
        <f aca="false">J574*Resumo!$C$8</f>
        <v>1.159179</v>
      </c>
      <c r="Q574" s="39" t="n">
        <f aca="false">Resumo!$C$10*CEILING(I574/100,1)</f>
        <v>1.05</v>
      </c>
      <c r="R574" s="39" t="n">
        <f aca="false">Resumo!$C$9</f>
        <v>0</v>
      </c>
      <c r="S574" s="39" t="n">
        <f aca="false">Resumo!$C$13</f>
        <v>13.55</v>
      </c>
      <c r="T574" s="39" t="n">
        <f aca="false">Resumo!$C$14*CEILING(I574,1)</f>
        <v>14.4</v>
      </c>
      <c r="U574" s="39" t="n">
        <f aca="false">SUM(M574:T574)*Resumo!$C$11</f>
        <v>0</v>
      </c>
      <c r="V574" s="39" t="n">
        <f aca="false">SUM(M574:U574)</f>
        <v>73.428358</v>
      </c>
      <c r="W574" s="39" t="n">
        <f aca="false">V574/(1-Resumo!$C$5)</f>
        <v>83.4413159090909</v>
      </c>
      <c r="X574" s="39" t="n">
        <v>82.21</v>
      </c>
      <c r="Y574" s="39" t="n">
        <f aca="false">J574*Resumo!$B$6</f>
        <v>0.55199</v>
      </c>
      <c r="Z574" s="39" t="n">
        <f aca="false">J574*Resumo!$B$7</f>
        <v>1.10398</v>
      </c>
      <c r="AA574" s="39" t="n">
        <f aca="false">Resumo!$B$9</f>
        <v>1</v>
      </c>
      <c r="AB574" s="39" t="n">
        <f aca="false">Resumo!$B$10*CEILING(I574/100,1)</f>
        <v>4.5</v>
      </c>
      <c r="AC574" s="39" t="n">
        <f aca="false">Resumo!$B$12*CEILING(I574,1)</f>
        <v>1.92</v>
      </c>
      <c r="AD574" s="39" t="n">
        <f aca="false">Resumo!$B$14*CEILING(I574,1)</f>
        <v>14.4</v>
      </c>
      <c r="AE574" s="39" t="n">
        <f aca="false">SUM(X574:AD574)</f>
        <v>105.68597</v>
      </c>
      <c r="AF574" s="39" t="n">
        <f aca="false">AE574/(1-Resumo!$B$5)</f>
        <v>120.097693181818</v>
      </c>
      <c r="AG574" s="39" t="n">
        <f aca="false">AF574-W574</f>
        <v>36.6563772727273</v>
      </c>
      <c r="AH574" s="40" t="n">
        <f aca="false">AF574/W574-1</f>
        <v>0.439307276897026</v>
      </c>
      <c r="AI574" s="37" t="str">
        <f aca="false">IF(AF574&lt;W574,"SIM","NÃO")</f>
        <v>NÃO</v>
      </c>
      <c r="AJ574" s="37" t="n">
        <v>2</v>
      </c>
      <c r="AK574" s="37" t="n">
        <v>5</v>
      </c>
      <c r="AL574" s="37" t="s">
        <v>343</v>
      </c>
      <c r="AM574" s="39" t="n">
        <v>82.97</v>
      </c>
    </row>
    <row r="575" customFormat="false" ht="15" hidden="false" customHeight="false" outlineLevel="0" collapsed="false">
      <c r="A575" s="37" t="n">
        <v>371743872</v>
      </c>
      <c r="B575" s="38" t="n">
        <v>46238.8008564815</v>
      </c>
      <c r="C575" s="37" t="s">
        <v>340</v>
      </c>
      <c r="D575" s="37" t="s">
        <v>906</v>
      </c>
      <c r="E575" s="37" t="n">
        <v>25635340</v>
      </c>
      <c r="F575" s="37" t="s">
        <v>170</v>
      </c>
      <c r="G575" s="37" t="s">
        <v>198</v>
      </c>
      <c r="H575" s="37" t="s">
        <v>191</v>
      </c>
      <c r="I575" s="37" t="n">
        <v>106.5</v>
      </c>
      <c r="J575" s="39" t="n">
        <v>1163.99</v>
      </c>
      <c r="K575" s="37" t="s">
        <v>518</v>
      </c>
      <c r="L575" s="39" t="n">
        <v>213.84</v>
      </c>
      <c r="M575" s="39" t="n">
        <v>119.5</v>
      </c>
      <c r="N575" s="39" t="n">
        <f aca="false">J575*Resumo!$C$6</f>
        <v>0</v>
      </c>
      <c r="O575" s="39" t="n">
        <f aca="false">J575*Resumo!$C$7</f>
        <v>2.444379</v>
      </c>
      <c r="P575" s="39" t="n">
        <f aca="false">J575*Resumo!$C$8</f>
        <v>2.444379</v>
      </c>
      <c r="Q575" s="39" t="n">
        <f aca="false">Resumo!$C$10*CEILING(I575/100,1)</f>
        <v>2.1</v>
      </c>
      <c r="R575" s="39" t="n">
        <f aca="false">Resumo!$C$9</f>
        <v>0</v>
      </c>
      <c r="S575" s="39" t="n">
        <f aca="false">Resumo!$C$13</f>
        <v>13.55</v>
      </c>
      <c r="T575" s="39" t="n">
        <f aca="false">Resumo!$C$14*CEILING(I575,1)</f>
        <v>48.15</v>
      </c>
      <c r="U575" s="39" t="n">
        <f aca="false">SUM(M575:T575)*Resumo!$C$11</f>
        <v>0</v>
      </c>
      <c r="V575" s="39" t="n">
        <f aca="false">SUM(M575:U575)</f>
        <v>188.188758</v>
      </c>
      <c r="W575" s="39" t="n">
        <f aca="false">V575/(1-Resumo!$C$5)</f>
        <v>213.850861363636</v>
      </c>
      <c r="X575" s="39" t="n">
        <v>236.82</v>
      </c>
      <c r="Y575" s="39" t="n">
        <f aca="false">J575*Resumo!$B$6</f>
        <v>1.16399</v>
      </c>
      <c r="Z575" s="39" t="n">
        <f aca="false">J575*Resumo!$B$7</f>
        <v>2.32798</v>
      </c>
      <c r="AA575" s="39" t="n">
        <f aca="false">Resumo!$B$9</f>
        <v>1</v>
      </c>
      <c r="AB575" s="39" t="n">
        <f aca="false">Resumo!$B$10*CEILING(I575/100,1)</f>
        <v>9</v>
      </c>
      <c r="AC575" s="39" t="n">
        <f aca="false">Resumo!$B$12*CEILING(I575,1)</f>
        <v>6.42</v>
      </c>
      <c r="AD575" s="39" t="n">
        <f aca="false">Resumo!$B$14*CEILING(I575,1)</f>
        <v>48.15</v>
      </c>
      <c r="AE575" s="39" t="n">
        <f aca="false">SUM(X575:AD575)</f>
        <v>304.88197</v>
      </c>
      <c r="AF575" s="39" t="n">
        <f aca="false">AE575/(1-Resumo!$B$5)</f>
        <v>346.456784090909</v>
      </c>
      <c r="AG575" s="39" t="n">
        <f aca="false">AF575-W575</f>
        <v>132.605922727273</v>
      </c>
      <c r="AH575" s="40" t="n">
        <f aca="false">AF575/W575-1</f>
        <v>0.620085988345807</v>
      </c>
      <c r="AI575" s="37" t="str">
        <f aca="false">IF(AF575&lt;W575,"SIM","NÃO")</f>
        <v>NÃO</v>
      </c>
      <c r="AJ575" s="37" t="n">
        <v>13</v>
      </c>
      <c r="AK575" s="37" t="n">
        <v>8</v>
      </c>
      <c r="AL575" s="37" t="s">
        <v>343</v>
      </c>
      <c r="AM575" s="39" t="n">
        <v>216.23</v>
      </c>
    </row>
    <row r="576" customFormat="false" ht="15" hidden="false" customHeight="false" outlineLevel="0" collapsed="false">
      <c r="A576" s="37" t="n">
        <v>371750895</v>
      </c>
      <c r="B576" s="38" t="n">
        <v>46238.8121296296</v>
      </c>
      <c r="C576" s="37" t="s">
        <v>372</v>
      </c>
      <c r="D576" s="37" t="s">
        <v>907</v>
      </c>
      <c r="E576" s="37" t="n">
        <v>22740362</v>
      </c>
      <c r="F576" s="37" t="s">
        <v>159</v>
      </c>
      <c r="G576" s="37" t="s">
        <v>196</v>
      </c>
      <c r="H576" s="37" t="s">
        <v>187</v>
      </c>
      <c r="I576" s="37" t="n">
        <v>56.6</v>
      </c>
      <c r="J576" s="39" t="n">
        <v>959.99</v>
      </c>
      <c r="K576" s="37" t="s">
        <v>342</v>
      </c>
      <c r="L576" s="39" t="n">
        <v>115.75</v>
      </c>
      <c r="M576" s="39" t="n">
        <v>58.6</v>
      </c>
      <c r="N576" s="39" t="n">
        <f aca="false">J576*Resumo!$C$6</f>
        <v>0</v>
      </c>
      <c r="O576" s="39" t="n">
        <f aca="false">J576*Resumo!$C$7</f>
        <v>2.015979</v>
      </c>
      <c r="P576" s="39" t="n">
        <f aca="false">J576*Resumo!$C$8</f>
        <v>2.015979</v>
      </c>
      <c r="Q576" s="39" t="n">
        <f aca="false">Resumo!$C$10*CEILING(I576/100,1)</f>
        <v>1.05</v>
      </c>
      <c r="R576" s="39" t="n">
        <f aca="false">Resumo!$C$9</f>
        <v>0</v>
      </c>
      <c r="S576" s="39" t="n">
        <f aca="false">Resumo!$C$13</f>
        <v>13.55</v>
      </c>
      <c r="T576" s="39" t="n">
        <f aca="false">Resumo!$C$14*CEILING(I576,1)</f>
        <v>25.65</v>
      </c>
      <c r="U576" s="39" t="n">
        <f aca="false">SUM(M576:T576)*Resumo!$C$11</f>
        <v>0</v>
      </c>
      <c r="V576" s="39" t="n">
        <f aca="false">SUM(M576:U576)</f>
        <v>102.881958</v>
      </c>
      <c r="W576" s="39" t="n">
        <f aca="false">V576/(1-Resumo!$C$5)</f>
        <v>116.911315909091</v>
      </c>
      <c r="X576" s="39" t="n">
        <v>112.3</v>
      </c>
      <c r="Y576" s="39" t="n">
        <f aca="false">J576*Resumo!$B$6</f>
        <v>0.95999</v>
      </c>
      <c r="Z576" s="39" t="n">
        <f aca="false">J576*Resumo!$B$7</f>
        <v>1.91998</v>
      </c>
      <c r="AA576" s="39" t="n">
        <f aca="false">Resumo!$B$9</f>
        <v>1</v>
      </c>
      <c r="AB576" s="39" t="n">
        <f aca="false">Resumo!$B$10*CEILING(I576/100,1)</f>
        <v>4.5</v>
      </c>
      <c r="AC576" s="39" t="n">
        <f aca="false">Resumo!$B$12*CEILING(I576,1)</f>
        <v>3.42</v>
      </c>
      <c r="AD576" s="39" t="n">
        <f aca="false">Resumo!$B$14*CEILING(I576,1)</f>
        <v>25.65</v>
      </c>
      <c r="AE576" s="39" t="n">
        <f aca="false">SUM(X576:AD576)</f>
        <v>149.74997</v>
      </c>
      <c r="AF576" s="39" t="n">
        <f aca="false">AE576/(1-Resumo!$B$5)</f>
        <v>170.170420454545</v>
      </c>
      <c r="AG576" s="39" t="n">
        <f aca="false">AF576-W576</f>
        <v>53.2591045454545</v>
      </c>
      <c r="AH576" s="40" t="n">
        <f aca="false">AF576/W576-1</f>
        <v>0.45555132222503</v>
      </c>
      <c r="AI576" s="37" t="str">
        <f aca="false">IF(AF576&lt;W576,"SIM","NÃO")</f>
        <v>NÃO</v>
      </c>
      <c r="AJ576" s="37" t="n">
        <v>2</v>
      </c>
      <c r="AK576" s="37" t="n">
        <v>5</v>
      </c>
      <c r="AL576" s="37" t="s">
        <v>343</v>
      </c>
      <c r="AM576" s="39" t="n">
        <v>115.75</v>
      </c>
    </row>
    <row r="577" customFormat="false" ht="15" hidden="false" customHeight="false" outlineLevel="0" collapsed="false">
      <c r="A577" s="37" t="n">
        <v>371756253</v>
      </c>
      <c r="B577" s="38" t="n">
        <v>46238.8204050926</v>
      </c>
      <c r="C577" s="37" t="s">
        <v>340</v>
      </c>
      <c r="D577" s="37" t="s">
        <v>908</v>
      </c>
      <c r="E577" s="37" t="n">
        <v>26278535</v>
      </c>
      <c r="F577" s="37" t="s">
        <v>162</v>
      </c>
      <c r="G577" s="37" t="s">
        <v>197</v>
      </c>
      <c r="H577" s="37" t="s">
        <v>188</v>
      </c>
      <c r="I577" s="37" t="n">
        <v>69.45</v>
      </c>
      <c r="J577" s="39" t="n">
        <v>859.99</v>
      </c>
      <c r="K577" s="37" t="s">
        <v>342</v>
      </c>
      <c r="L577" s="39" t="n">
        <v>140.56</v>
      </c>
      <c r="M577" s="39" t="n">
        <v>76.55</v>
      </c>
      <c r="N577" s="39" t="n">
        <f aca="false">J577*Resumo!$C$6</f>
        <v>0</v>
      </c>
      <c r="O577" s="39" t="n">
        <f aca="false">J577*Resumo!$C$7</f>
        <v>1.805979</v>
      </c>
      <c r="P577" s="39" t="n">
        <f aca="false">J577*Resumo!$C$8</f>
        <v>1.805979</v>
      </c>
      <c r="Q577" s="39" t="n">
        <f aca="false">Resumo!$C$10*CEILING(I577/100,1)</f>
        <v>1.05</v>
      </c>
      <c r="R577" s="39" t="n">
        <f aca="false">Resumo!$C$9</f>
        <v>0</v>
      </c>
      <c r="S577" s="39" t="n">
        <f aca="false">Resumo!$C$13</f>
        <v>13.55</v>
      </c>
      <c r="T577" s="39" t="n">
        <f aca="false">Resumo!$C$14*CEILING(I577,1)</f>
        <v>31.5</v>
      </c>
      <c r="U577" s="39" t="n">
        <f aca="false">SUM(M577:T577)*Resumo!$C$11</f>
        <v>0</v>
      </c>
      <c r="V577" s="39" t="n">
        <f aca="false">SUM(M577:U577)</f>
        <v>126.261958</v>
      </c>
      <c r="W577" s="39" t="n">
        <f aca="false">V577/(1-Resumo!$C$5)</f>
        <v>143.479497727273</v>
      </c>
      <c r="X577" s="39" t="n">
        <v>131.02</v>
      </c>
      <c r="Y577" s="39" t="n">
        <f aca="false">J577*Resumo!$B$6</f>
        <v>0.85999</v>
      </c>
      <c r="Z577" s="39" t="n">
        <f aca="false">J577*Resumo!$B$7</f>
        <v>1.71998</v>
      </c>
      <c r="AA577" s="39" t="n">
        <f aca="false">Resumo!$B$9</f>
        <v>1</v>
      </c>
      <c r="AB577" s="39" t="n">
        <f aca="false">Resumo!$B$10*CEILING(I577/100,1)</f>
        <v>4.5</v>
      </c>
      <c r="AC577" s="39" t="n">
        <f aca="false">Resumo!$B$12*CEILING(I577,1)</f>
        <v>4.2</v>
      </c>
      <c r="AD577" s="39" t="n">
        <f aca="false">Resumo!$B$14*CEILING(I577,1)</f>
        <v>31.5</v>
      </c>
      <c r="AE577" s="39" t="n">
        <f aca="false">SUM(X577:AD577)</f>
        <v>174.79997</v>
      </c>
      <c r="AF577" s="39" t="n">
        <f aca="false">AE577/(1-Resumo!$B$5)</f>
        <v>198.636329545455</v>
      </c>
      <c r="AG577" s="39" t="n">
        <f aca="false">AF577-W577</f>
        <v>55.1568318181818</v>
      </c>
      <c r="AH577" s="40" t="n">
        <f aca="false">AF577/W577-1</f>
        <v>0.384423089653021</v>
      </c>
      <c r="AI577" s="37" t="str">
        <f aca="false">IF(AF577&lt;W577,"SIM","NÃO")</f>
        <v>NÃO</v>
      </c>
      <c r="AJ577" s="37" t="n">
        <v>2</v>
      </c>
      <c r="AK577" s="37" t="n">
        <v>5</v>
      </c>
      <c r="AL577" s="37" t="s">
        <v>343</v>
      </c>
      <c r="AM577" s="39" t="n">
        <v>140.55</v>
      </c>
    </row>
    <row r="578" customFormat="false" ht="15" hidden="false" customHeight="false" outlineLevel="0" collapsed="false">
      <c r="A578" s="37" t="n">
        <v>371764039</v>
      </c>
      <c r="B578" s="38" t="n">
        <v>46238.8345717593</v>
      </c>
      <c r="C578" s="37" t="s">
        <v>345</v>
      </c>
      <c r="D578" s="37" t="s">
        <v>909</v>
      </c>
      <c r="E578" s="37" t="n">
        <v>28926596</v>
      </c>
      <c r="F578" s="37" t="s">
        <v>172</v>
      </c>
      <c r="G578" s="37" t="s">
        <v>198</v>
      </c>
      <c r="H578" s="37" t="s">
        <v>188</v>
      </c>
      <c r="I578" s="37" t="n">
        <v>63.9</v>
      </c>
      <c r="J578" s="39" t="n">
        <v>735.99</v>
      </c>
      <c r="K578" s="37" t="s">
        <v>518</v>
      </c>
      <c r="L578" s="39" t="n">
        <v>155.34</v>
      </c>
      <c r="M578" s="39" t="n">
        <v>90.2</v>
      </c>
      <c r="N578" s="39" t="n">
        <f aca="false">J578*Resumo!$C$6</f>
        <v>0</v>
      </c>
      <c r="O578" s="39" t="n">
        <f aca="false">J578*Resumo!$C$7</f>
        <v>1.545579</v>
      </c>
      <c r="P578" s="39" t="n">
        <f aca="false">J578*Resumo!$C$8</f>
        <v>1.545579</v>
      </c>
      <c r="Q578" s="39" t="n">
        <f aca="false">Resumo!$C$10*CEILING(I578/100,1)</f>
        <v>1.05</v>
      </c>
      <c r="R578" s="39" t="n">
        <f aca="false">Resumo!$C$9</f>
        <v>0</v>
      </c>
      <c r="S578" s="39" t="n">
        <f aca="false">Resumo!$C$13</f>
        <v>13.55</v>
      </c>
      <c r="T578" s="39" t="n">
        <f aca="false">Resumo!$C$14*CEILING(I578,1)</f>
        <v>28.8</v>
      </c>
      <c r="U578" s="39" t="n">
        <f aca="false">SUM(M578:T578)*Resumo!$C$11</f>
        <v>0</v>
      </c>
      <c r="V578" s="39" t="n">
        <f aca="false">SUM(M578:U578)</f>
        <v>136.691158</v>
      </c>
      <c r="W578" s="39" t="n">
        <f aca="false">V578/(1-Resumo!$C$5)</f>
        <v>155.330861363636</v>
      </c>
      <c r="X578" s="39" t="n">
        <v>166.05</v>
      </c>
      <c r="Y578" s="39" t="n">
        <f aca="false">J578*Resumo!$B$6</f>
        <v>0.73599</v>
      </c>
      <c r="Z578" s="39" t="n">
        <f aca="false">J578*Resumo!$B$7</f>
        <v>1.47198</v>
      </c>
      <c r="AA578" s="39" t="n">
        <f aca="false">Resumo!$B$9</f>
        <v>1</v>
      </c>
      <c r="AB578" s="39" t="n">
        <f aca="false">Resumo!$B$10*CEILING(I578/100,1)</f>
        <v>4.5</v>
      </c>
      <c r="AC578" s="39" t="n">
        <f aca="false">Resumo!$B$12*CEILING(I578,1)</f>
        <v>3.84</v>
      </c>
      <c r="AD578" s="39" t="n">
        <f aca="false">Resumo!$B$14*CEILING(I578,1)</f>
        <v>28.8</v>
      </c>
      <c r="AE578" s="39" t="n">
        <f aca="false">SUM(X578:AD578)</f>
        <v>206.39797</v>
      </c>
      <c r="AF578" s="39" t="n">
        <f aca="false">AE578/(1-Resumo!$B$5)</f>
        <v>234.543147727273</v>
      </c>
      <c r="AG578" s="39" t="n">
        <f aca="false">AF578-W578</f>
        <v>79.2122863636364</v>
      </c>
      <c r="AH578" s="40" t="n">
        <f aca="false">AF578/W578-1</f>
        <v>0.509958456859368</v>
      </c>
      <c r="AI578" s="37" t="str">
        <f aca="false">IF(AF578&lt;W578,"SIM","NÃO")</f>
        <v>NÃO</v>
      </c>
      <c r="AJ578" s="37" t="n">
        <v>13</v>
      </c>
      <c r="AK578" s="37" t="n">
        <v>10</v>
      </c>
      <c r="AL578" s="37" t="s">
        <v>343</v>
      </c>
      <c r="AM578" s="39" t="n">
        <v>155.55</v>
      </c>
    </row>
    <row r="579" customFormat="false" ht="15" hidden="false" customHeight="false" outlineLevel="0" collapsed="false">
      <c r="A579" s="37" t="n">
        <v>371780366</v>
      </c>
      <c r="B579" s="38" t="n">
        <v>46238.8631712963</v>
      </c>
      <c r="C579" s="37" t="s">
        <v>340</v>
      </c>
      <c r="D579" s="37" t="s">
        <v>910</v>
      </c>
      <c r="E579" s="37" t="n">
        <v>25946148</v>
      </c>
      <c r="F579" s="37" t="s">
        <v>234</v>
      </c>
      <c r="G579" s="37" t="s">
        <v>198</v>
      </c>
      <c r="H579" s="37" t="s">
        <v>188</v>
      </c>
      <c r="I579" s="37" t="n">
        <v>63.9</v>
      </c>
      <c r="J579" s="39" t="n">
        <v>735.99</v>
      </c>
      <c r="K579" s="37" t="s">
        <v>518</v>
      </c>
      <c r="L579" s="39" t="n">
        <v>155.34</v>
      </c>
      <c r="M579" s="39" t="n">
        <v>90.2</v>
      </c>
      <c r="N579" s="39" t="n">
        <f aca="false">J579*Resumo!$C$6</f>
        <v>0</v>
      </c>
      <c r="O579" s="39" t="n">
        <f aca="false">J579*Resumo!$C$7</f>
        <v>1.545579</v>
      </c>
      <c r="P579" s="39" t="n">
        <f aca="false">J579*Resumo!$C$8</f>
        <v>1.545579</v>
      </c>
      <c r="Q579" s="39" t="n">
        <f aca="false">Resumo!$C$10*CEILING(I579/100,1)</f>
        <v>1.05</v>
      </c>
      <c r="R579" s="39" t="n">
        <f aca="false">Resumo!$C$9</f>
        <v>0</v>
      </c>
      <c r="S579" s="39" t="n">
        <f aca="false">Resumo!$C$13</f>
        <v>13.55</v>
      </c>
      <c r="T579" s="39" t="n">
        <f aca="false">Resumo!$C$14*CEILING(I579,1)</f>
        <v>28.8</v>
      </c>
      <c r="U579" s="39" t="n">
        <f aca="false">SUM(M579:T579)*Resumo!$C$11</f>
        <v>0</v>
      </c>
      <c r="V579" s="39" t="n">
        <f aca="false">SUM(M579:U579)</f>
        <v>136.691158</v>
      </c>
      <c r="W579" s="39" t="n">
        <f aca="false">V579/(1-Resumo!$C$5)</f>
        <v>155.330861363636</v>
      </c>
      <c r="X579" s="39" t="n">
        <v>136.53</v>
      </c>
      <c r="Y579" s="39" t="n">
        <f aca="false">J579*Resumo!$B$6</f>
        <v>0.73599</v>
      </c>
      <c r="Z579" s="39" t="n">
        <f aca="false">J579*Resumo!$B$7</f>
        <v>1.47198</v>
      </c>
      <c r="AA579" s="39" t="n">
        <f aca="false">Resumo!$B$9</f>
        <v>1</v>
      </c>
      <c r="AB579" s="39" t="n">
        <f aca="false">Resumo!$B$10*CEILING(I579/100,1)</f>
        <v>4.5</v>
      </c>
      <c r="AC579" s="39" t="n">
        <f aca="false">Resumo!$B$12*CEILING(I579,1)</f>
        <v>3.84</v>
      </c>
      <c r="AD579" s="39" t="n">
        <f aca="false">Resumo!$B$14*CEILING(I579,1)</f>
        <v>28.8</v>
      </c>
      <c r="AE579" s="39" t="n">
        <f aca="false">SUM(X579:AD579)</f>
        <v>176.87797</v>
      </c>
      <c r="AF579" s="39" t="n">
        <f aca="false">AE579/(1-Resumo!$B$5)</f>
        <v>200.997693181818</v>
      </c>
      <c r="AG579" s="39" t="n">
        <f aca="false">AF579-W579</f>
        <v>45.6668318181818</v>
      </c>
      <c r="AH579" s="40" t="n">
        <f aca="false">AF579/W579-1</f>
        <v>0.293997158177561</v>
      </c>
      <c r="AI579" s="37" t="str">
        <f aca="false">IF(AF579&lt;W579,"SIM","NÃO")</f>
        <v>NÃO</v>
      </c>
      <c r="AJ579" s="37" t="n">
        <v>13</v>
      </c>
      <c r="AK579" s="37" t="n">
        <v>6</v>
      </c>
      <c r="AL579" s="37" t="s">
        <v>347</v>
      </c>
      <c r="AM579" s="39" t="n">
        <v>155.55</v>
      </c>
    </row>
    <row r="580" customFormat="false" ht="15" hidden="false" customHeight="false" outlineLevel="0" collapsed="false">
      <c r="A580" s="37" t="n">
        <v>371777579</v>
      </c>
      <c r="B580" s="38" t="n">
        <v>46238.8660648148</v>
      </c>
      <c r="C580" s="37" t="s">
        <v>495</v>
      </c>
      <c r="D580" s="37" t="s">
        <v>911</v>
      </c>
      <c r="E580" s="37" t="n">
        <v>26562421</v>
      </c>
      <c r="F580" s="37" t="s">
        <v>175</v>
      </c>
      <c r="G580" s="37" t="s">
        <v>197</v>
      </c>
      <c r="H580" s="37" t="s">
        <v>185</v>
      </c>
      <c r="I580" s="37" t="n">
        <v>40</v>
      </c>
      <c r="J580" s="39" t="n">
        <v>599.99</v>
      </c>
      <c r="K580" s="37" t="s">
        <v>518</v>
      </c>
      <c r="L580" s="39" t="n">
        <v>115.85</v>
      </c>
      <c r="M580" s="39" t="n">
        <v>66.83</v>
      </c>
      <c r="N580" s="39" t="n">
        <f aca="false">J580*Resumo!$C$6</f>
        <v>0</v>
      </c>
      <c r="O580" s="39" t="n">
        <f aca="false">J580*Resumo!$C$7</f>
        <v>1.259979</v>
      </c>
      <c r="P580" s="39" t="n">
        <f aca="false">J580*Resumo!$C$8</f>
        <v>1.259979</v>
      </c>
      <c r="Q580" s="39" t="n">
        <f aca="false">Resumo!$C$10*CEILING(I580/100,1)</f>
        <v>1.05</v>
      </c>
      <c r="R580" s="39" t="n">
        <f aca="false">Resumo!$C$9</f>
        <v>0</v>
      </c>
      <c r="S580" s="39" t="n">
        <f aca="false">Resumo!$C$13</f>
        <v>13.55</v>
      </c>
      <c r="T580" s="39" t="n">
        <f aca="false">Resumo!$C$14*CEILING(I580,1)</f>
        <v>18</v>
      </c>
      <c r="U580" s="39" t="n">
        <f aca="false">SUM(M580:T580)*Resumo!$C$11</f>
        <v>0</v>
      </c>
      <c r="V580" s="39" t="n">
        <f aca="false">SUM(M580:U580)</f>
        <v>101.949958</v>
      </c>
      <c r="W580" s="39" t="n">
        <f aca="false">V580/(1-Resumo!$C$5)</f>
        <v>115.852225</v>
      </c>
      <c r="X580" s="39" t="n">
        <v>93.97</v>
      </c>
      <c r="Y580" s="39" t="n">
        <f aca="false">J580*Resumo!$B$6</f>
        <v>0.59999</v>
      </c>
      <c r="Z580" s="39" t="n">
        <f aca="false">J580*Resumo!$B$7</f>
        <v>1.19998</v>
      </c>
      <c r="AA580" s="39" t="n">
        <f aca="false">Resumo!$B$9</f>
        <v>1</v>
      </c>
      <c r="AB580" s="39" t="n">
        <f aca="false">Resumo!$B$10*CEILING(I580/100,1)</f>
        <v>4.5</v>
      </c>
      <c r="AC580" s="39" t="n">
        <f aca="false">Resumo!$B$12*CEILING(I580,1)</f>
        <v>2.4</v>
      </c>
      <c r="AD580" s="39" t="n">
        <f aca="false">Resumo!$B$14*CEILING(I580,1)</f>
        <v>18</v>
      </c>
      <c r="AE580" s="39" t="n">
        <f aca="false">SUM(X580:AD580)</f>
        <v>121.66997</v>
      </c>
      <c r="AF580" s="39" t="n">
        <f aca="false">AE580/(1-Resumo!$B$5)</f>
        <v>138.261329545455</v>
      </c>
      <c r="AG580" s="39" t="n">
        <f aca="false">AF580-W580</f>
        <v>22.4091045454546</v>
      </c>
      <c r="AH580" s="40" t="n">
        <f aca="false">AF580/W580-1</f>
        <v>0.193428348445225</v>
      </c>
      <c r="AI580" s="37" t="str">
        <f aca="false">IF(AF580&lt;W580,"SIM","NÃO")</f>
        <v>NÃO</v>
      </c>
      <c r="AJ580" s="37" t="n">
        <v>2</v>
      </c>
      <c r="AK580" s="37" t="n">
        <v>5</v>
      </c>
      <c r="AL580" s="37" t="s">
        <v>343</v>
      </c>
      <c r="AM580" s="39" t="n">
        <v>113.83</v>
      </c>
    </row>
    <row r="581" customFormat="false" ht="15" hidden="false" customHeight="false" outlineLevel="0" collapsed="false">
      <c r="A581" s="37" t="n">
        <v>371796068</v>
      </c>
      <c r="B581" s="38" t="n">
        <v>46238.8905902778</v>
      </c>
      <c r="C581" s="37" t="s">
        <v>340</v>
      </c>
      <c r="D581" s="37" t="s">
        <v>912</v>
      </c>
      <c r="E581" s="37" t="n">
        <v>26582220</v>
      </c>
      <c r="F581" s="37" t="s">
        <v>175</v>
      </c>
      <c r="G581" s="37" t="s">
        <v>197</v>
      </c>
      <c r="H581" s="37" t="s">
        <v>191</v>
      </c>
      <c r="I581" s="37" t="n">
        <v>106.5</v>
      </c>
      <c r="J581" s="39" t="n">
        <v>1163.99</v>
      </c>
      <c r="K581" s="37" t="s">
        <v>518</v>
      </c>
      <c r="L581" s="39" t="n">
        <v>193.11</v>
      </c>
      <c r="M581" s="39" t="n">
        <v>101.26</v>
      </c>
      <c r="N581" s="39" t="n">
        <f aca="false">J581*Resumo!$C$6</f>
        <v>0</v>
      </c>
      <c r="O581" s="39" t="n">
        <f aca="false">J581*Resumo!$C$7</f>
        <v>2.444379</v>
      </c>
      <c r="P581" s="39" t="n">
        <f aca="false">J581*Resumo!$C$8</f>
        <v>2.444379</v>
      </c>
      <c r="Q581" s="39" t="n">
        <f aca="false">Resumo!$C$10*CEILING(I581/100,1)</f>
        <v>2.1</v>
      </c>
      <c r="R581" s="39" t="n">
        <f aca="false">Resumo!$C$9</f>
        <v>0</v>
      </c>
      <c r="S581" s="39" t="n">
        <f aca="false">Resumo!$C$13</f>
        <v>13.55</v>
      </c>
      <c r="T581" s="39" t="n">
        <f aca="false">Resumo!$C$14*CEILING(I581,1)</f>
        <v>48.15</v>
      </c>
      <c r="U581" s="39" t="n">
        <f aca="false">SUM(M581:T581)*Resumo!$C$11</f>
        <v>0</v>
      </c>
      <c r="V581" s="39" t="n">
        <f aca="false">SUM(M581:U581)</f>
        <v>169.948758</v>
      </c>
      <c r="W581" s="39" t="n">
        <f aca="false">V581/(1-Resumo!$C$5)</f>
        <v>193.123588636364</v>
      </c>
      <c r="X581" s="39" t="n">
        <v>201.59</v>
      </c>
      <c r="Y581" s="39" t="n">
        <f aca="false">J581*Resumo!$B$6</f>
        <v>1.16399</v>
      </c>
      <c r="Z581" s="39" t="n">
        <f aca="false">J581*Resumo!$B$7</f>
        <v>2.32798</v>
      </c>
      <c r="AA581" s="39" t="n">
        <f aca="false">Resumo!$B$9</f>
        <v>1</v>
      </c>
      <c r="AB581" s="39" t="n">
        <f aca="false">Resumo!$B$10*CEILING(I581/100,1)</f>
        <v>9</v>
      </c>
      <c r="AC581" s="39" t="n">
        <f aca="false">Resumo!$B$12*CEILING(I581,1)</f>
        <v>6.42</v>
      </c>
      <c r="AD581" s="39" t="n">
        <f aca="false">Resumo!$B$14*CEILING(I581,1)</f>
        <v>48.15</v>
      </c>
      <c r="AE581" s="39" t="n">
        <f aca="false">SUM(X581:AD581)</f>
        <v>269.65197</v>
      </c>
      <c r="AF581" s="39" t="n">
        <f aca="false">AE581/(1-Resumo!$B$5)</f>
        <v>306.422693181818</v>
      </c>
      <c r="AG581" s="39" t="n">
        <f aca="false">AF581-W581</f>
        <v>113.299104545455</v>
      </c>
      <c r="AH581" s="40" t="n">
        <f aca="false">AF581/W581-1</f>
        <v>0.586666317384915</v>
      </c>
      <c r="AI581" s="37" t="str">
        <f aca="false">IF(AF581&lt;W581,"SIM","NÃO")</f>
        <v>NÃO</v>
      </c>
      <c r="AJ581" s="37" t="n">
        <v>2</v>
      </c>
      <c r="AK581" s="37" t="n">
        <v>5</v>
      </c>
      <c r="AL581" s="37" t="s">
        <v>343</v>
      </c>
      <c r="AM581" s="39" t="n">
        <v>195.41</v>
      </c>
    </row>
    <row r="582" customFormat="false" ht="15" hidden="false" customHeight="false" outlineLevel="0" collapsed="false">
      <c r="A582" s="37" t="n">
        <v>371797042</v>
      </c>
      <c r="B582" s="38" t="n">
        <v>46238.8923958333</v>
      </c>
      <c r="C582" s="37" t="s">
        <v>340</v>
      </c>
      <c r="D582" s="37" t="s">
        <v>913</v>
      </c>
      <c r="E582" s="37" t="n">
        <v>24812280</v>
      </c>
      <c r="F582" s="37" t="s">
        <v>174</v>
      </c>
      <c r="G582" s="37" t="s">
        <v>198</v>
      </c>
      <c r="H582" s="37" t="s">
        <v>185</v>
      </c>
      <c r="I582" s="37" t="n">
        <v>37.2</v>
      </c>
      <c r="J582" s="39" t="n">
        <v>399.99</v>
      </c>
      <c r="K582" s="37" t="s">
        <v>518</v>
      </c>
      <c r="L582" s="39" t="n">
        <v>123.13</v>
      </c>
      <c r="M582" s="39" t="n">
        <v>74.97</v>
      </c>
      <c r="N582" s="39" t="n">
        <f aca="false">J582*Resumo!$C$6</f>
        <v>0</v>
      </c>
      <c r="O582" s="39" t="n">
        <f aca="false">J582*Resumo!$C$7</f>
        <v>0.839979</v>
      </c>
      <c r="P582" s="39" t="n">
        <f aca="false">J582*Resumo!$C$8</f>
        <v>0.839979</v>
      </c>
      <c r="Q582" s="39" t="n">
        <f aca="false">Resumo!$C$10*CEILING(I582/100,1)</f>
        <v>1.05</v>
      </c>
      <c r="R582" s="39" t="n">
        <f aca="false">Resumo!$C$9</f>
        <v>0</v>
      </c>
      <c r="S582" s="39" t="n">
        <f aca="false">Resumo!$C$13</f>
        <v>13.55</v>
      </c>
      <c r="T582" s="39" t="n">
        <f aca="false">Resumo!$C$14*CEILING(I582,1)</f>
        <v>17.1</v>
      </c>
      <c r="U582" s="39" t="n">
        <f aca="false">SUM(M582:T582)*Resumo!$C$11</f>
        <v>0</v>
      </c>
      <c r="V582" s="39" t="n">
        <f aca="false">SUM(M582:U582)</f>
        <v>108.349958</v>
      </c>
      <c r="W582" s="39" t="n">
        <f aca="false">V582/(1-Resumo!$C$5)</f>
        <v>123.124952272727</v>
      </c>
      <c r="X582" s="39" t="n">
        <v>114.95</v>
      </c>
      <c r="Y582" s="39" t="n">
        <f aca="false">J582*Resumo!$B$6</f>
        <v>0.39999</v>
      </c>
      <c r="Z582" s="39" t="n">
        <f aca="false">J582*Resumo!$B$7</f>
        <v>0.79998</v>
      </c>
      <c r="AA582" s="39" t="n">
        <f aca="false">Resumo!$B$9</f>
        <v>1</v>
      </c>
      <c r="AB582" s="39" t="n">
        <f aca="false">Resumo!$B$10*CEILING(I582/100,1)</f>
        <v>4.5</v>
      </c>
      <c r="AC582" s="39" t="n">
        <f aca="false">Resumo!$B$12*CEILING(I582,1)</f>
        <v>2.28</v>
      </c>
      <c r="AD582" s="39" t="n">
        <f aca="false">Resumo!$B$14*CEILING(I582,1)</f>
        <v>17.1</v>
      </c>
      <c r="AE582" s="39" t="n">
        <f aca="false">SUM(X582:AD582)</f>
        <v>141.02997</v>
      </c>
      <c r="AF582" s="39" t="n">
        <f aca="false">AE582/(1-Resumo!$B$5)</f>
        <v>160.261329545455</v>
      </c>
      <c r="AG582" s="39" t="n">
        <f aca="false">AF582-W582</f>
        <v>37.1363772727273</v>
      </c>
      <c r="AH582" s="40" t="n">
        <f aca="false">AF582/W582-1</f>
        <v>0.301615363801064</v>
      </c>
      <c r="AI582" s="37" t="str">
        <f aca="false">IF(AF582&lt;W582,"SIM","NÃO")</f>
        <v>NÃO</v>
      </c>
      <c r="AJ582" s="37" t="n">
        <v>13</v>
      </c>
      <c r="AK582" s="37" t="n">
        <v>7</v>
      </c>
      <c r="AL582" s="37" t="s">
        <v>343</v>
      </c>
      <c r="AM582" s="39" t="n">
        <v>122.16</v>
      </c>
    </row>
    <row r="583" customFormat="false" ht="15" hidden="false" customHeight="false" outlineLevel="0" collapsed="false">
      <c r="A583" s="37" t="n">
        <v>371799263</v>
      </c>
      <c r="B583" s="38" t="n">
        <v>46238.8963310185</v>
      </c>
      <c r="C583" s="37" t="s">
        <v>340</v>
      </c>
      <c r="D583" s="37" t="s">
        <v>914</v>
      </c>
      <c r="E583" s="37" t="n">
        <v>20550210</v>
      </c>
      <c r="F583" s="37" t="s">
        <v>159</v>
      </c>
      <c r="G583" s="37" t="s">
        <v>196</v>
      </c>
      <c r="H583" s="37" t="s">
        <v>183</v>
      </c>
      <c r="I583" s="37" t="n">
        <v>19.5</v>
      </c>
      <c r="J583" s="39" t="n">
        <v>379.99</v>
      </c>
      <c r="K583" s="37" t="s">
        <v>342</v>
      </c>
      <c r="L583" s="39" t="n">
        <v>65.03</v>
      </c>
      <c r="M583" s="39" t="n">
        <v>33.42</v>
      </c>
      <c r="N583" s="39" t="n">
        <f aca="false">J583*Resumo!$C$6</f>
        <v>0</v>
      </c>
      <c r="O583" s="39" t="n">
        <f aca="false">J583*Resumo!$C$7</f>
        <v>0.797979</v>
      </c>
      <c r="P583" s="39" t="n">
        <f aca="false">J583*Resumo!$C$8</f>
        <v>0.797979</v>
      </c>
      <c r="Q583" s="39" t="n">
        <f aca="false">Resumo!$C$10*CEILING(I583/100,1)</f>
        <v>1.05</v>
      </c>
      <c r="R583" s="39" t="n">
        <f aca="false">Resumo!$C$9</f>
        <v>0</v>
      </c>
      <c r="S583" s="39" t="n">
        <f aca="false">Resumo!$C$13</f>
        <v>13.55</v>
      </c>
      <c r="T583" s="39" t="n">
        <f aca="false">Resumo!$C$14*CEILING(I583,1)</f>
        <v>9</v>
      </c>
      <c r="U583" s="39" t="n">
        <f aca="false">SUM(M583:T583)*Resumo!$C$11</f>
        <v>0</v>
      </c>
      <c r="V583" s="39" t="n">
        <f aca="false">SUM(M583:U583)</f>
        <v>58.615958</v>
      </c>
      <c r="W583" s="39" t="n">
        <f aca="false">V583/(1-Resumo!$C$5)</f>
        <v>66.6090431818182</v>
      </c>
      <c r="X583" s="39" t="n">
        <v>46.98</v>
      </c>
      <c r="Y583" s="39" t="n">
        <f aca="false">J583*Resumo!$B$6</f>
        <v>0.37999</v>
      </c>
      <c r="Z583" s="39" t="n">
        <f aca="false">J583*Resumo!$B$7</f>
        <v>0.75998</v>
      </c>
      <c r="AA583" s="39" t="n">
        <f aca="false">Resumo!$B$9</f>
        <v>1</v>
      </c>
      <c r="AB583" s="39" t="n">
        <f aca="false">Resumo!$B$10*CEILING(I583/100,1)</f>
        <v>4.5</v>
      </c>
      <c r="AC583" s="39" t="n">
        <f aca="false">Resumo!$B$12*CEILING(I583,1)</f>
        <v>1.2</v>
      </c>
      <c r="AD583" s="39" t="n">
        <f aca="false">Resumo!$B$14*CEILING(I583,1)</f>
        <v>9</v>
      </c>
      <c r="AE583" s="39" t="n">
        <f aca="false">SUM(X583:AD583)</f>
        <v>63.81997</v>
      </c>
      <c r="AF583" s="39" t="n">
        <f aca="false">AE583/(1-Resumo!$B$5)</f>
        <v>72.5226931818182</v>
      </c>
      <c r="AG583" s="39" t="n">
        <f aca="false">AF583-W583</f>
        <v>5.91365</v>
      </c>
      <c r="AH583" s="40" t="n">
        <f aca="false">AF583/W583-1</f>
        <v>0.0887814884813449</v>
      </c>
      <c r="AI583" s="37" t="str">
        <f aca="false">IF(AF583&lt;W583,"SIM","NÃO")</f>
        <v>NÃO</v>
      </c>
      <c r="AJ583" s="37" t="n">
        <v>2</v>
      </c>
      <c r="AK583" s="37" t="n">
        <v>5</v>
      </c>
      <c r="AL583" s="37" t="s">
        <v>343</v>
      </c>
      <c r="AM583" s="39" t="n">
        <v>65.04</v>
      </c>
    </row>
    <row r="584" customFormat="false" ht="15" hidden="false" customHeight="false" outlineLevel="0" collapsed="false">
      <c r="A584" s="37" t="n">
        <v>371818560</v>
      </c>
      <c r="B584" s="38" t="n">
        <v>46238.9312847222</v>
      </c>
      <c r="C584" s="37" t="s">
        <v>340</v>
      </c>
      <c r="D584" s="37" t="s">
        <v>915</v>
      </c>
      <c r="E584" s="37" t="n">
        <v>25214415</v>
      </c>
      <c r="F584" s="37" t="s">
        <v>161</v>
      </c>
      <c r="G584" s="37" t="s">
        <v>197</v>
      </c>
      <c r="H584" s="37" t="s">
        <v>183</v>
      </c>
      <c r="I584" s="37" t="n">
        <v>19.8</v>
      </c>
      <c r="J584" s="39" t="n">
        <v>329.99</v>
      </c>
      <c r="K584" s="37" t="s">
        <v>342</v>
      </c>
      <c r="L584" s="39" t="n">
        <v>75.42</v>
      </c>
      <c r="M584" s="39" t="n">
        <v>42.72</v>
      </c>
      <c r="N584" s="39" t="n">
        <f aca="false">J584*Resumo!$C$6</f>
        <v>0</v>
      </c>
      <c r="O584" s="39" t="n">
        <f aca="false">J584*Resumo!$C$7</f>
        <v>0.692979</v>
      </c>
      <c r="P584" s="39" t="n">
        <f aca="false">J584*Resumo!$C$8</f>
        <v>0.692979</v>
      </c>
      <c r="Q584" s="39" t="n">
        <f aca="false">Resumo!$C$10*CEILING(I584/100,1)</f>
        <v>1.05</v>
      </c>
      <c r="R584" s="39" t="n">
        <f aca="false">Resumo!$C$9</f>
        <v>0</v>
      </c>
      <c r="S584" s="39" t="n">
        <f aca="false">Resumo!$C$13</f>
        <v>13.55</v>
      </c>
      <c r="T584" s="39" t="n">
        <f aca="false">Resumo!$C$14*CEILING(I584,1)</f>
        <v>9</v>
      </c>
      <c r="U584" s="39" t="n">
        <f aca="false">SUM(M584:T584)*Resumo!$C$11</f>
        <v>0</v>
      </c>
      <c r="V584" s="39" t="n">
        <f aca="false">SUM(M584:U584)</f>
        <v>67.705958</v>
      </c>
      <c r="W584" s="39" t="n">
        <f aca="false">V584/(1-Resumo!$C$5)</f>
        <v>76.9385886363637</v>
      </c>
      <c r="X584" s="39" t="n">
        <v>46.98</v>
      </c>
      <c r="Y584" s="39" t="n">
        <f aca="false">J584*Resumo!$B$6</f>
        <v>0.32999</v>
      </c>
      <c r="Z584" s="39" t="n">
        <f aca="false">J584*Resumo!$B$7</f>
        <v>0.65998</v>
      </c>
      <c r="AA584" s="39" t="n">
        <f aca="false">Resumo!$B$9</f>
        <v>1</v>
      </c>
      <c r="AB584" s="39" t="n">
        <f aca="false">Resumo!$B$10*CEILING(I584/100,1)</f>
        <v>4.5</v>
      </c>
      <c r="AC584" s="39" t="n">
        <f aca="false">Resumo!$B$12*CEILING(I584,1)</f>
        <v>1.2</v>
      </c>
      <c r="AD584" s="39" t="n">
        <f aca="false">Resumo!$B$14*CEILING(I584,1)</f>
        <v>9</v>
      </c>
      <c r="AE584" s="39" t="n">
        <f aca="false">SUM(X584:AD584)</f>
        <v>63.66997</v>
      </c>
      <c r="AF584" s="39" t="n">
        <f aca="false">AE584/(1-Resumo!$B$5)</f>
        <v>72.3522386363636</v>
      </c>
      <c r="AG584" s="39" t="n">
        <f aca="false">AF584-W584</f>
        <v>-4.58635000000001</v>
      </c>
      <c r="AH584" s="40" t="n">
        <f aca="false">AF584/W584-1</f>
        <v>-0.0596105294012679</v>
      </c>
      <c r="AI584" s="37" t="str">
        <f aca="false">IF(AF584&lt;W584,"SIM","NÃO")</f>
        <v>SIM</v>
      </c>
      <c r="AJ584" s="37" t="n">
        <v>2</v>
      </c>
      <c r="AK584" s="37" t="n">
        <v>5</v>
      </c>
      <c r="AL584" s="37" t="s">
        <v>343</v>
      </c>
      <c r="AM584" s="39" t="n">
        <v>75.42</v>
      </c>
    </row>
    <row r="585" customFormat="false" ht="15" hidden="false" customHeight="false" outlineLevel="0" collapsed="false">
      <c r="A585" s="37" t="n">
        <v>371819208</v>
      </c>
      <c r="B585" s="38" t="n">
        <v>46238.9324652778</v>
      </c>
      <c r="C585" s="37" t="s">
        <v>340</v>
      </c>
      <c r="D585" s="37" t="s">
        <v>916</v>
      </c>
      <c r="E585" s="37" t="n">
        <v>21341270</v>
      </c>
      <c r="F585" s="37" t="s">
        <v>159</v>
      </c>
      <c r="G585" s="37" t="s">
        <v>196</v>
      </c>
      <c r="H585" s="37" t="s">
        <v>188</v>
      </c>
      <c r="I585" s="37" t="n">
        <v>69.75</v>
      </c>
      <c r="J585" s="39" t="n">
        <v>859.99</v>
      </c>
      <c r="K585" s="37" t="s">
        <v>342</v>
      </c>
      <c r="L585" s="39" t="n">
        <v>125.33</v>
      </c>
      <c r="M585" s="39" t="n">
        <v>63.21</v>
      </c>
      <c r="N585" s="39" t="n">
        <f aca="false">J585*Resumo!$C$6</f>
        <v>0</v>
      </c>
      <c r="O585" s="39" t="n">
        <f aca="false">J585*Resumo!$C$7</f>
        <v>1.805979</v>
      </c>
      <c r="P585" s="39" t="n">
        <f aca="false">J585*Resumo!$C$8</f>
        <v>1.805979</v>
      </c>
      <c r="Q585" s="39" t="n">
        <f aca="false">Resumo!$C$10*CEILING(I585/100,1)</f>
        <v>1.05</v>
      </c>
      <c r="R585" s="39" t="n">
        <f aca="false">Resumo!$C$9</f>
        <v>0</v>
      </c>
      <c r="S585" s="39" t="n">
        <f aca="false">Resumo!$C$13</f>
        <v>13.55</v>
      </c>
      <c r="T585" s="39" t="n">
        <f aca="false">Resumo!$C$14*CEILING(I585,1)</f>
        <v>31.5</v>
      </c>
      <c r="U585" s="39" t="n">
        <f aca="false">SUM(M585:T585)*Resumo!$C$11</f>
        <v>0</v>
      </c>
      <c r="V585" s="39" t="n">
        <f aca="false">SUM(M585:U585)</f>
        <v>112.921958</v>
      </c>
      <c r="W585" s="39" t="n">
        <f aca="false">V585/(1-Resumo!$C$5)</f>
        <v>128.320406818182</v>
      </c>
      <c r="X585" s="39" t="n">
        <v>131.02</v>
      </c>
      <c r="Y585" s="39" t="n">
        <f aca="false">J585*Resumo!$B$6</f>
        <v>0.85999</v>
      </c>
      <c r="Z585" s="39" t="n">
        <f aca="false">J585*Resumo!$B$7</f>
        <v>1.71998</v>
      </c>
      <c r="AA585" s="39" t="n">
        <f aca="false">Resumo!$B$9</f>
        <v>1</v>
      </c>
      <c r="AB585" s="39" t="n">
        <f aca="false">Resumo!$B$10*CEILING(I585/100,1)</f>
        <v>4.5</v>
      </c>
      <c r="AC585" s="39" t="n">
        <f aca="false">Resumo!$B$12*CEILING(I585,1)</f>
        <v>4.2</v>
      </c>
      <c r="AD585" s="39" t="n">
        <f aca="false">Resumo!$B$14*CEILING(I585,1)</f>
        <v>31.5</v>
      </c>
      <c r="AE585" s="39" t="n">
        <f aca="false">SUM(X585:AD585)</f>
        <v>174.79997</v>
      </c>
      <c r="AF585" s="39" t="n">
        <f aca="false">AE585/(1-Resumo!$B$5)</f>
        <v>198.636329545455</v>
      </c>
      <c r="AG585" s="39" t="n">
        <f aca="false">AF585-W585</f>
        <v>70.3159227272727</v>
      </c>
      <c r="AH585" s="40" t="n">
        <f aca="false">AF585/W585-1</f>
        <v>0.547971476017091</v>
      </c>
      <c r="AI585" s="37" t="str">
        <f aca="false">IF(AF585&lt;W585,"SIM","NÃO")</f>
        <v>NÃO</v>
      </c>
      <c r="AJ585" s="37" t="n">
        <v>2</v>
      </c>
      <c r="AK585" s="37" t="n">
        <v>5</v>
      </c>
      <c r="AL585" s="37" t="s">
        <v>343</v>
      </c>
      <c r="AM585" s="39" t="n">
        <v>125.33</v>
      </c>
    </row>
    <row r="586" customFormat="false" ht="15" hidden="false" customHeight="false" outlineLevel="0" collapsed="false">
      <c r="A586" s="37" t="n">
        <v>371852885</v>
      </c>
      <c r="B586" s="38" t="n">
        <v>46239.0077662037</v>
      </c>
      <c r="C586" s="37" t="s">
        <v>340</v>
      </c>
      <c r="D586" s="37" t="s">
        <v>917</v>
      </c>
      <c r="E586" s="37" t="n">
        <v>21853054</v>
      </c>
      <c r="F586" s="37" t="s">
        <v>159</v>
      </c>
      <c r="G586" s="37" t="s">
        <v>196</v>
      </c>
      <c r="H586" s="37" t="s">
        <v>184</v>
      </c>
      <c r="I586" s="37" t="n">
        <v>33</v>
      </c>
      <c r="J586" s="39" t="n">
        <v>519.99</v>
      </c>
      <c r="K586" s="37" t="s">
        <v>342</v>
      </c>
      <c r="L586" s="39" t="n">
        <v>82.82</v>
      </c>
      <c r="M586" s="39" t="n">
        <v>42.11</v>
      </c>
      <c r="N586" s="39" t="n">
        <f aca="false">J586*Resumo!$C$6</f>
        <v>0</v>
      </c>
      <c r="O586" s="39" t="n">
        <f aca="false">J586*Resumo!$C$7</f>
        <v>1.091979</v>
      </c>
      <c r="P586" s="39" t="n">
        <f aca="false">J586*Resumo!$C$8</f>
        <v>1.091979</v>
      </c>
      <c r="Q586" s="39" t="n">
        <f aca="false">Resumo!$C$10*CEILING(I586/100,1)</f>
        <v>1.05</v>
      </c>
      <c r="R586" s="39" t="n">
        <f aca="false">Resumo!$C$9</f>
        <v>0</v>
      </c>
      <c r="S586" s="39" t="n">
        <f aca="false">Resumo!$C$13</f>
        <v>13.55</v>
      </c>
      <c r="T586" s="39" t="n">
        <f aca="false">Resumo!$C$14*CEILING(I586,1)</f>
        <v>14.85</v>
      </c>
      <c r="U586" s="39" t="n">
        <f aca="false">SUM(M586:T586)*Resumo!$C$11</f>
        <v>0</v>
      </c>
      <c r="V586" s="39" t="n">
        <f aca="false">SUM(M586:U586)</f>
        <v>73.743958</v>
      </c>
      <c r="W586" s="39" t="n">
        <f aca="false">V586/(1-Resumo!$C$5)</f>
        <v>83.7999522727273</v>
      </c>
      <c r="X586" s="39" t="n">
        <v>82.21</v>
      </c>
      <c r="Y586" s="39" t="n">
        <f aca="false">J586*Resumo!$B$6</f>
        <v>0.51999</v>
      </c>
      <c r="Z586" s="39" t="n">
        <f aca="false">J586*Resumo!$B$7</f>
        <v>1.03998</v>
      </c>
      <c r="AA586" s="39" t="n">
        <f aca="false">Resumo!$B$9</f>
        <v>1</v>
      </c>
      <c r="AB586" s="39" t="n">
        <f aca="false">Resumo!$B$10*CEILING(I586/100,1)</f>
        <v>4.5</v>
      </c>
      <c r="AC586" s="39" t="n">
        <f aca="false">Resumo!$B$12*CEILING(I586,1)</f>
        <v>1.98</v>
      </c>
      <c r="AD586" s="39" t="n">
        <f aca="false">Resumo!$B$14*CEILING(I586,1)</f>
        <v>14.85</v>
      </c>
      <c r="AE586" s="39" t="n">
        <f aca="false">SUM(X586:AD586)</f>
        <v>106.09997</v>
      </c>
      <c r="AF586" s="39" t="n">
        <f aca="false">AE586/(1-Resumo!$B$5)</f>
        <v>120.568147727273</v>
      </c>
      <c r="AG586" s="39" t="n">
        <f aca="false">AF586-W586</f>
        <v>36.7681954545455</v>
      </c>
      <c r="AH586" s="40" t="n">
        <f aca="false">AF586/W586-1</f>
        <v>0.438761532165116</v>
      </c>
      <c r="AI586" s="37" t="str">
        <f aca="false">IF(AF586&lt;W586,"SIM","NÃO")</f>
        <v>NÃO</v>
      </c>
      <c r="AJ586" s="37" t="n">
        <v>2</v>
      </c>
      <c r="AK586" s="37" t="n">
        <v>5</v>
      </c>
      <c r="AL586" s="37" t="s">
        <v>343</v>
      </c>
      <c r="AM586" s="39" t="n">
        <v>82.82</v>
      </c>
    </row>
    <row r="587" customFormat="false" ht="15" hidden="false" customHeight="false" outlineLevel="0" collapsed="false">
      <c r="A587" s="37" t="n">
        <v>371937205</v>
      </c>
      <c r="B587" s="38" t="n">
        <v>46239.3051851852</v>
      </c>
      <c r="C587" s="37" t="s">
        <v>340</v>
      </c>
      <c r="D587" s="37" t="s">
        <v>918</v>
      </c>
      <c r="E587" s="37" t="n">
        <v>25215285</v>
      </c>
      <c r="F587" s="37" t="s">
        <v>161</v>
      </c>
      <c r="G587" s="37" t="s">
        <v>197</v>
      </c>
      <c r="H587" s="37" t="s">
        <v>187</v>
      </c>
      <c r="I587" s="37" t="n">
        <v>52.3</v>
      </c>
      <c r="J587" s="39" t="n">
        <v>685.85</v>
      </c>
      <c r="K587" s="37" t="s">
        <v>518</v>
      </c>
      <c r="L587" s="39" t="n">
        <v>127.62</v>
      </c>
      <c r="M587" s="39" t="n">
        <v>70.98</v>
      </c>
      <c r="N587" s="39" t="n">
        <f aca="false">J587*Resumo!$C$6</f>
        <v>0</v>
      </c>
      <c r="O587" s="39" t="n">
        <f aca="false">J587*Resumo!$C$7</f>
        <v>1.440285</v>
      </c>
      <c r="P587" s="39" t="n">
        <f aca="false">J587*Resumo!$C$8</f>
        <v>1.440285</v>
      </c>
      <c r="Q587" s="39" t="n">
        <f aca="false">Resumo!$C$10*CEILING(I587/100,1)</f>
        <v>1.05</v>
      </c>
      <c r="R587" s="39" t="n">
        <f aca="false">Resumo!$C$9</f>
        <v>0</v>
      </c>
      <c r="S587" s="39" t="n">
        <f aca="false">Resumo!$C$13</f>
        <v>13.55</v>
      </c>
      <c r="T587" s="39" t="n">
        <f aca="false">Resumo!$C$14*CEILING(I587,1)</f>
        <v>23.85</v>
      </c>
      <c r="U587" s="39" t="n">
        <f aca="false">SUM(M587:T587)*Resumo!$C$11</f>
        <v>0</v>
      </c>
      <c r="V587" s="39" t="n">
        <f aca="false">SUM(M587:U587)</f>
        <v>112.31057</v>
      </c>
      <c r="W587" s="39" t="n">
        <f aca="false">V587/(1-Resumo!$C$5)</f>
        <v>127.625647727273</v>
      </c>
      <c r="X587" s="39" t="n">
        <v>112.3</v>
      </c>
      <c r="Y587" s="39" t="n">
        <f aca="false">J587*Resumo!$B$6</f>
        <v>0.68585</v>
      </c>
      <c r="Z587" s="39" t="n">
        <f aca="false">J587*Resumo!$B$7</f>
        <v>1.3717</v>
      </c>
      <c r="AA587" s="39" t="n">
        <f aca="false">Resumo!$B$9</f>
        <v>1</v>
      </c>
      <c r="AB587" s="39" t="n">
        <f aca="false">Resumo!$B$10*CEILING(I587/100,1)</f>
        <v>4.5</v>
      </c>
      <c r="AC587" s="39" t="n">
        <f aca="false">Resumo!$B$12*CEILING(I587,1)</f>
        <v>3.18</v>
      </c>
      <c r="AD587" s="39" t="n">
        <f aca="false">Resumo!$B$14*CEILING(I587,1)</f>
        <v>23.85</v>
      </c>
      <c r="AE587" s="39" t="n">
        <f aca="false">SUM(X587:AD587)</f>
        <v>146.88755</v>
      </c>
      <c r="AF587" s="39" t="n">
        <f aca="false">AE587/(1-Resumo!$B$5)</f>
        <v>166.917670454545</v>
      </c>
      <c r="AG587" s="39" t="n">
        <f aca="false">AF587-W587</f>
        <v>39.2920227272727</v>
      </c>
      <c r="AH587" s="40" t="n">
        <f aca="false">AF587/W587-1</f>
        <v>0.30786933055366</v>
      </c>
      <c r="AI587" s="37" t="str">
        <f aca="false">IF(AF587&lt;W587,"SIM","NÃO")</f>
        <v>NÃO</v>
      </c>
      <c r="AJ587" s="37" t="n">
        <v>2</v>
      </c>
      <c r="AK587" s="37" t="n">
        <v>5</v>
      </c>
      <c r="AL587" s="37" t="s">
        <v>343</v>
      </c>
      <c r="AM587" s="39" t="n">
        <v>128.57</v>
      </c>
    </row>
    <row r="588" customFormat="false" ht="15" hidden="false" customHeight="false" outlineLevel="0" collapsed="false">
      <c r="A588" s="37" t="n">
        <v>371950939</v>
      </c>
      <c r="B588" s="38" t="n">
        <v>46239.3425578704</v>
      </c>
      <c r="C588" s="37" t="s">
        <v>340</v>
      </c>
      <c r="D588" s="37" t="s">
        <v>919</v>
      </c>
      <c r="E588" s="37" t="n">
        <v>23570490</v>
      </c>
      <c r="F588" s="37" t="s">
        <v>159</v>
      </c>
      <c r="G588" s="37" t="s">
        <v>196</v>
      </c>
      <c r="H588" s="37" t="s">
        <v>188</v>
      </c>
      <c r="I588" s="37" t="n">
        <v>66.8</v>
      </c>
      <c r="J588" s="39" t="n">
        <v>719.99</v>
      </c>
      <c r="K588" s="37" t="s">
        <v>518</v>
      </c>
      <c r="L588" s="39" t="n">
        <v>126.11</v>
      </c>
      <c r="M588" s="39" t="n">
        <v>63.21</v>
      </c>
      <c r="N588" s="39" t="n">
        <f aca="false">J588*Resumo!$C$6</f>
        <v>0</v>
      </c>
      <c r="O588" s="39" t="n">
        <f aca="false">J588*Resumo!$C$7</f>
        <v>1.511979</v>
      </c>
      <c r="P588" s="39" t="n">
        <f aca="false">J588*Resumo!$C$8</f>
        <v>1.511979</v>
      </c>
      <c r="Q588" s="39" t="n">
        <f aca="false">Resumo!$C$10*CEILING(I588/100,1)</f>
        <v>1.05</v>
      </c>
      <c r="R588" s="39" t="n">
        <f aca="false">Resumo!$C$9</f>
        <v>0</v>
      </c>
      <c r="S588" s="39" t="n">
        <f aca="false">Resumo!$C$13</f>
        <v>13.55</v>
      </c>
      <c r="T588" s="39" t="n">
        <f aca="false">Resumo!$C$14*CEILING(I588,1)</f>
        <v>30.15</v>
      </c>
      <c r="U588" s="39" t="n">
        <f aca="false">SUM(M588:T588)*Resumo!$C$11</f>
        <v>0</v>
      </c>
      <c r="V588" s="39" t="n">
        <f aca="false">SUM(M588:U588)</f>
        <v>110.983958</v>
      </c>
      <c r="W588" s="39" t="n">
        <f aca="false">V588/(1-Resumo!$C$5)</f>
        <v>126.118134090909</v>
      </c>
      <c r="X588" s="39" t="n">
        <v>131.02</v>
      </c>
      <c r="Y588" s="39" t="n">
        <f aca="false">J588*Resumo!$B$6</f>
        <v>0.71999</v>
      </c>
      <c r="Z588" s="39" t="n">
        <f aca="false">J588*Resumo!$B$7</f>
        <v>1.43998</v>
      </c>
      <c r="AA588" s="39" t="n">
        <f aca="false">Resumo!$B$9</f>
        <v>1</v>
      </c>
      <c r="AB588" s="39" t="n">
        <f aca="false">Resumo!$B$10*CEILING(I588/100,1)</f>
        <v>4.5</v>
      </c>
      <c r="AC588" s="39" t="n">
        <f aca="false">Resumo!$B$12*CEILING(I588,1)</f>
        <v>4.02</v>
      </c>
      <c r="AD588" s="39" t="n">
        <f aca="false">Resumo!$B$14*CEILING(I588,1)</f>
        <v>30.15</v>
      </c>
      <c r="AE588" s="39" t="n">
        <f aca="false">SUM(X588:AD588)</f>
        <v>172.84997</v>
      </c>
      <c r="AF588" s="39" t="n">
        <f aca="false">AE588/(1-Resumo!$B$5)</f>
        <v>196.420420454545</v>
      </c>
      <c r="AG588" s="39" t="n">
        <f aca="false">AF588-W588</f>
        <v>70.3022863636364</v>
      </c>
      <c r="AH588" s="40" t="n">
        <f aca="false">AF588/W588-1</f>
        <v>0.557432020941261</v>
      </c>
      <c r="AI588" s="37" t="str">
        <f aca="false">IF(AF588&lt;W588,"SIM","NÃO")</f>
        <v>NÃO</v>
      </c>
      <c r="AJ588" s="37" t="n">
        <v>2</v>
      </c>
      <c r="AK588" s="37" t="n">
        <v>5</v>
      </c>
      <c r="AL588" s="37" t="s">
        <v>343</v>
      </c>
      <c r="AM588" s="39" t="n">
        <v>124.66</v>
      </c>
    </row>
    <row r="589" customFormat="false" ht="15" hidden="false" customHeight="false" outlineLevel="0" collapsed="false">
      <c r="A589" s="37" t="n">
        <v>371966635</v>
      </c>
      <c r="B589" s="38" t="n">
        <v>46239.3798611111</v>
      </c>
      <c r="C589" s="37" t="s">
        <v>340</v>
      </c>
      <c r="D589" s="37" t="s">
        <v>920</v>
      </c>
      <c r="E589" s="37" t="n">
        <v>25850000</v>
      </c>
      <c r="F589" s="37" t="s">
        <v>230</v>
      </c>
      <c r="G589" s="37" t="s">
        <v>198</v>
      </c>
      <c r="H589" s="37" t="s">
        <v>192</v>
      </c>
      <c r="I589" s="37" t="n">
        <v>124.2</v>
      </c>
      <c r="J589" s="39" t="n">
        <v>1558.09</v>
      </c>
      <c r="K589" s="37" t="s">
        <v>518</v>
      </c>
      <c r="L589" s="39" t="n">
        <v>253.05</v>
      </c>
      <c r="M589" s="39" t="n">
        <v>144.24</v>
      </c>
      <c r="N589" s="39" t="n">
        <f aca="false">J589*Resumo!$C$6</f>
        <v>0</v>
      </c>
      <c r="O589" s="39" t="n">
        <f aca="false">J589*Resumo!$C$7</f>
        <v>3.271989</v>
      </c>
      <c r="P589" s="39" t="n">
        <f aca="false">J589*Resumo!$C$8</f>
        <v>3.271989</v>
      </c>
      <c r="Q589" s="39" t="n">
        <f aca="false">Resumo!$C$10*CEILING(I589/100,1)</f>
        <v>2.1</v>
      </c>
      <c r="R589" s="39" t="n">
        <f aca="false">Resumo!$C$9</f>
        <v>0</v>
      </c>
      <c r="S589" s="39" t="n">
        <f aca="false">Resumo!$C$13</f>
        <v>13.55</v>
      </c>
      <c r="T589" s="39" t="n">
        <f aca="false">Resumo!$C$14*CEILING(I589,1)</f>
        <v>56.25</v>
      </c>
      <c r="U589" s="39" t="n">
        <f aca="false">SUM(M589:T589)*Resumo!$C$11</f>
        <v>0</v>
      </c>
      <c r="V589" s="39" t="n">
        <f aca="false">SUM(M589:U589)</f>
        <v>222.683978</v>
      </c>
      <c r="W589" s="39" t="n">
        <f aca="false">V589/(1-Resumo!$C$5)</f>
        <v>253.049975</v>
      </c>
      <c r="X589" s="39" t="n">
        <v>264.84</v>
      </c>
      <c r="Y589" s="39" t="n">
        <f aca="false">J589*Resumo!$B$6</f>
        <v>1.55809</v>
      </c>
      <c r="Z589" s="39" t="n">
        <f aca="false">J589*Resumo!$B$7</f>
        <v>3.11618</v>
      </c>
      <c r="AA589" s="39" t="n">
        <f aca="false">Resumo!$B$9</f>
        <v>1</v>
      </c>
      <c r="AB589" s="39" t="n">
        <f aca="false">Resumo!$B$10*CEILING(I589/100,1)</f>
        <v>9</v>
      </c>
      <c r="AC589" s="39" t="n">
        <f aca="false">Resumo!$B$12*CEILING(I589,1)</f>
        <v>7.5</v>
      </c>
      <c r="AD589" s="39" t="n">
        <f aca="false">Resumo!$B$14*CEILING(I589,1)</f>
        <v>56.25</v>
      </c>
      <c r="AE589" s="39" t="n">
        <f aca="false">SUM(X589:AD589)</f>
        <v>343.26427</v>
      </c>
      <c r="AF589" s="39" t="n">
        <f aca="false">AE589/(1-Resumo!$B$5)</f>
        <v>390.073034090909</v>
      </c>
      <c r="AG589" s="39" t="n">
        <f aca="false">AF589-W589</f>
        <v>137.023059090909</v>
      </c>
      <c r="AH589" s="40" t="n">
        <f aca="false">AF589/W589-1</f>
        <v>0.541486159367963</v>
      </c>
      <c r="AI589" s="37" t="str">
        <f aca="false">IF(AF589&lt;W589,"SIM","NÃO")</f>
        <v>NÃO</v>
      </c>
      <c r="AJ589" s="37" t="n">
        <v>13</v>
      </c>
      <c r="AK589" s="37" t="n">
        <v>10</v>
      </c>
      <c r="AL589" s="37" t="s">
        <v>347</v>
      </c>
      <c r="AM589" s="39" t="n">
        <v>260.76</v>
      </c>
    </row>
    <row r="590" customFormat="false" ht="15" hidden="false" customHeight="false" outlineLevel="0" collapsed="false">
      <c r="A590" s="37" t="n">
        <v>371965361</v>
      </c>
      <c r="B590" s="38" t="n">
        <v>46239.3831944445</v>
      </c>
      <c r="C590" s="37" t="s">
        <v>361</v>
      </c>
      <c r="D590" s="37" t="s">
        <v>921</v>
      </c>
      <c r="E590" s="37" t="n">
        <v>26293384</v>
      </c>
      <c r="F590" s="37" t="s">
        <v>162</v>
      </c>
      <c r="G590" s="37" t="s">
        <v>197</v>
      </c>
      <c r="H590" s="37" t="s">
        <v>188</v>
      </c>
      <c r="I590" s="37" t="n">
        <v>69</v>
      </c>
      <c r="J590" s="39" t="n">
        <v>730.99</v>
      </c>
      <c r="K590" s="37" t="s">
        <v>342</v>
      </c>
      <c r="L590" s="39" t="n">
        <v>139.93</v>
      </c>
      <c r="M590" s="39" t="n">
        <v>76.55</v>
      </c>
      <c r="N590" s="39" t="n">
        <f aca="false">J590*Resumo!$C$6</f>
        <v>0</v>
      </c>
      <c r="O590" s="39" t="n">
        <f aca="false">J590*Resumo!$C$7</f>
        <v>1.535079</v>
      </c>
      <c r="P590" s="39" t="n">
        <f aca="false">J590*Resumo!$C$8</f>
        <v>1.535079</v>
      </c>
      <c r="Q590" s="39" t="n">
        <f aca="false">Resumo!$C$10*CEILING(I590/100,1)</f>
        <v>1.05</v>
      </c>
      <c r="R590" s="39" t="n">
        <f aca="false">Resumo!$C$9</f>
        <v>0</v>
      </c>
      <c r="S590" s="39" t="n">
        <f aca="false">Resumo!$C$13</f>
        <v>13.55</v>
      </c>
      <c r="T590" s="39" t="n">
        <f aca="false">Resumo!$C$14*CEILING(I590,1)</f>
        <v>31.05</v>
      </c>
      <c r="U590" s="39" t="n">
        <f aca="false">SUM(M590:T590)*Resumo!$C$11</f>
        <v>0</v>
      </c>
      <c r="V590" s="39" t="n">
        <f aca="false">SUM(M590:U590)</f>
        <v>125.270158</v>
      </c>
      <c r="W590" s="39" t="n">
        <f aca="false">V590/(1-Resumo!$C$5)</f>
        <v>142.352452272727</v>
      </c>
      <c r="X590" s="39" t="n">
        <v>131.02</v>
      </c>
      <c r="Y590" s="39" t="n">
        <f aca="false">J590*Resumo!$B$6</f>
        <v>0.73099</v>
      </c>
      <c r="Z590" s="39" t="n">
        <f aca="false">J590*Resumo!$B$7</f>
        <v>1.46198</v>
      </c>
      <c r="AA590" s="39" t="n">
        <f aca="false">Resumo!$B$9</f>
        <v>1</v>
      </c>
      <c r="AB590" s="39" t="n">
        <f aca="false">Resumo!$B$10*CEILING(I590/100,1)</f>
        <v>4.5</v>
      </c>
      <c r="AC590" s="39" t="n">
        <f aca="false">Resumo!$B$12*CEILING(I590,1)</f>
        <v>4.14</v>
      </c>
      <c r="AD590" s="39" t="n">
        <f aca="false">Resumo!$B$14*CEILING(I590,1)</f>
        <v>31.05</v>
      </c>
      <c r="AE590" s="39" t="n">
        <f aca="false">SUM(X590:AD590)</f>
        <v>173.90297</v>
      </c>
      <c r="AF590" s="39" t="n">
        <f aca="false">AE590/(1-Resumo!$B$5)</f>
        <v>197.617011363636</v>
      </c>
      <c r="AG590" s="39" t="n">
        <f aca="false">AF590-W590</f>
        <v>55.2645590909091</v>
      </c>
      <c r="AH590" s="40" t="n">
        <f aca="false">AF590/W590-1</f>
        <v>0.388223442649446</v>
      </c>
      <c r="AI590" s="37" t="str">
        <f aca="false">IF(AF590&lt;W590,"SIM","NÃO")</f>
        <v>NÃO</v>
      </c>
      <c r="AJ590" s="37" t="n">
        <v>2</v>
      </c>
      <c r="AK590" s="37" t="n">
        <v>5</v>
      </c>
      <c r="AL590" s="37" t="s">
        <v>343</v>
      </c>
      <c r="AM590" s="39" t="n">
        <v>139.94</v>
      </c>
    </row>
    <row r="591" customFormat="false" ht="15" hidden="false" customHeight="false" outlineLevel="0" collapsed="false">
      <c r="A591" s="37" t="n">
        <v>371979596</v>
      </c>
      <c r="B591" s="38" t="n">
        <v>46239.4048842593</v>
      </c>
      <c r="C591" s="37" t="s">
        <v>340</v>
      </c>
      <c r="D591" s="37" t="s">
        <v>922</v>
      </c>
      <c r="E591" s="37" t="n">
        <v>26082005</v>
      </c>
      <c r="F591" s="37" t="s">
        <v>162</v>
      </c>
      <c r="G591" s="37" t="s">
        <v>197</v>
      </c>
      <c r="H591" s="37" t="s">
        <v>184</v>
      </c>
      <c r="I591" s="37" t="n">
        <v>31.9</v>
      </c>
      <c r="J591" s="39" t="n">
        <v>551.99</v>
      </c>
      <c r="K591" s="37" t="s">
        <v>342</v>
      </c>
      <c r="L591" s="39" t="n">
        <v>102.02</v>
      </c>
      <c r="M591" s="39" t="n">
        <v>58.8</v>
      </c>
      <c r="N591" s="39" t="n">
        <f aca="false">J591*Resumo!$C$6</f>
        <v>0</v>
      </c>
      <c r="O591" s="39" t="n">
        <f aca="false">J591*Resumo!$C$7</f>
        <v>1.159179</v>
      </c>
      <c r="P591" s="39" t="n">
        <f aca="false">J591*Resumo!$C$8</f>
        <v>1.159179</v>
      </c>
      <c r="Q591" s="39" t="n">
        <f aca="false">Resumo!$C$10*CEILING(I591/100,1)</f>
        <v>1.05</v>
      </c>
      <c r="R591" s="39" t="n">
        <f aca="false">Resumo!$C$9</f>
        <v>0</v>
      </c>
      <c r="S591" s="39" t="n">
        <f aca="false">Resumo!$C$13</f>
        <v>13.55</v>
      </c>
      <c r="T591" s="39" t="n">
        <f aca="false">Resumo!$C$14*CEILING(I591,1)</f>
        <v>14.4</v>
      </c>
      <c r="U591" s="39" t="n">
        <f aca="false">SUM(M591:T591)*Resumo!$C$11</f>
        <v>0</v>
      </c>
      <c r="V591" s="39" t="n">
        <f aca="false">SUM(M591:U591)</f>
        <v>90.118358</v>
      </c>
      <c r="W591" s="39" t="n">
        <f aca="false">V591/(1-Resumo!$C$5)</f>
        <v>102.407225</v>
      </c>
      <c r="X591" s="39" t="n">
        <v>82.21</v>
      </c>
      <c r="Y591" s="39" t="n">
        <f aca="false">J591*Resumo!$B$6</f>
        <v>0.55199</v>
      </c>
      <c r="Z591" s="39" t="n">
        <f aca="false">J591*Resumo!$B$7</f>
        <v>1.10398</v>
      </c>
      <c r="AA591" s="39" t="n">
        <f aca="false">Resumo!$B$9</f>
        <v>1</v>
      </c>
      <c r="AB591" s="39" t="n">
        <f aca="false">Resumo!$B$10*CEILING(I591/100,1)</f>
        <v>4.5</v>
      </c>
      <c r="AC591" s="39" t="n">
        <f aca="false">Resumo!$B$12*CEILING(I591,1)</f>
        <v>1.92</v>
      </c>
      <c r="AD591" s="39" t="n">
        <f aca="false">Resumo!$B$14*CEILING(I591,1)</f>
        <v>14.4</v>
      </c>
      <c r="AE591" s="39" t="n">
        <f aca="false">SUM(X591:AD591)</f>
        <v>105.68597</v>
      </c>
      <c r="AF591" s="39" t="n">
        <f aca="false">AE591/(1-Resumo!$B$5)</f>
        <v>120.097693181818</v>
      </c>
      <c r="AG591" s="39" t="n">
        <f aca="false">AF591-W591</f>
        <v>17.6904681818182</v>
      </c>
      <c r="AH591" s="40" t="n">
        <f aca="false">AF591/W591-1</f>
        <v>0.17274628994017</v>
      </c>
      <c r="AI591" s="37" t="str">
        <f aca="false">IF(AF591&lt;W591,"SIM","NÃO")</f>
        <v>NÃO</v>
      </c>
      <c r="AJ591" s="37" t="n">
        <v>2</v>
      </c>
      <c r="AK591" s="37" t="n">
        <v>5</v>
      </c>
      <c r="AL591" s="37" t="s">
        <v>343</v>
      </c>
      <c r="AM591" s="39" t="n">
        <v>102.03</v>
      </c>
    </row>
    <row r="592" customFormat="false" ht="15" hidden="false" customHeight="false" outlineLevel="0" collapsed="false">
      <c r="A592" s="37" t="n">
        <v>371985104</v>
      </c>
      <c r="B592" s="38" t="n">
        <v>46239.4156018519</v>
      </c>
      <c r="C592" s="37" t="s">
        <v>340</v>
      </c>
      <c r="D592" s="37" t="s">
        <v>923</v>
      </c>
      <c r="E592" s="37" t="n">
        <v>26110323</v>
      </c>
      <c r="F592" s="37" t="s">
        <v>165</v>
      </c>
      <c r="G592" s="37" t="s">
        <v>197</v>
      </c>
      <c r="H592" s="37" t="s">
        <v>187</v>
      </c>
      <c r="I592" s="37" t="n">
        <v>52.3</v>
      </c>
      <c r="J592" s="39" t="n">
        <v>699.99</v>
      </c>
      <c r="K592" s="37" t="s">
        <v>518</v>
      </c>
      <c r="L592" s="39" t="n">
        <v>127.69</v>
      </c>
      <c r="M592" s="39" t="n">
        <v>70.98</v>
      </c>
      <c r="N592" s="39" t="n">
        <f aca="false">J592*Resumo!$C$6</f>
        <v>0</v>
      </c>
      <c r="O592" s="39" t="n">
        <f aca="false">J592*Resumo!$C$7</f>
        <v>1.469979</v>
      </c>
      <c r="P592" s="39" t="n">
        <f aca="false">J592*Resumo!$C$8</f>
        <v>1.469979</v>
      </c>
      <c r="Q592" s="39" t="n">
        <f aca="false">Resumo!$C$10*CEILING(I592/100,1)</f>
        <v>1.05</v>
      </c>
      <c r="R592" s="39" t="n">
        <f aca="false">Resumo!$C$9</f>
        <v>0</v>
      </c>
      <c r="S592" s="39" t="n">
        <f aca="false">Resumo!$C$13</f>
        <v>13.55</v>
      </c>
      <c r="T592" s="39" t="n">
        <f aca="false">Resumo!$C$14*CEILING(I592,1)</f>
        <v>23.85</v>
      </c>
      <c r="U592" s="39" t="n">
        <f aca="false">SUM(M592:T592)*Resumo!$C$11</f>
        <v>0</v>
      </c>
      <c r="V592" s="39" t="n">
        <f aca="false">SUM(M592:U592)</f>
        <v>112.369958</v>
      </c>
      <c r="W592" s="39" t="n">
        <f aca="false">V592/(1-Resumo!$C$5)</f>
        <v>127.693134090909</v>
      </c>
      <c r="X592" s="39" t="n">
        <v>112.3</v>
      </c>
      <c r="Y592" s="39" t="n">
        <f aca="false">J592*Resumo!$B$6</f>
        <v>0.69999</v>
      </c>
      <c r="Z592" s="39" t="n">
        <f aca="false">J592*Resumo!$B$7</f>
        <v>1.39998</v>
      </c>
      <c r="AA592" s="39" t="n">
        <f aca="false">Resumo!$B$9</f>
        <v>1</v>
      </c>
      <c r="AB592" s="39" t="n">
        <f aca="false">Resumo!$B$10*CEILING(I592/100,1)</f>
        <v>4.5</v>
      </c>
      <c r="AC592" s="39" t="n">
        <f aca="false">Resumo!$B$12*CEILING(I592,1)</f>
        <v>3.18</v>
      </c>
      <c r="AD592" s="39" t="n">
        <f aca="false">Resumo!$B$14*CEILING(I592,1)</f>
        <v>23.85</v>
      </c>
      <c r="AE592" s="39" t="n">
        <f aca="false">SUM(X592:AD592)</f>
        <v>146.92997</v>
      </c>
      <c r="AF592" s="39" t="n">
        <f aca="false">AE592/(1-Resumo!$B$5)</f>
        <v>166.965875</v>
      </c>
      <c r="AG592" s="39" t="n">
        <f aca="false">AF592-W592</f>
        <v>39.2727409090909</v>
      </c>
      <c r="AH592" s="40" t="n">
        <f aca="false">AF592/W592-1</f>
        <v>0.307555619091715</v>
      </c>
      <c r="AI592" s="37" t="str">
        <f aca="false">IF(AF592&lt;W592,"SIM","NÃO")</f>
        <v>NÃO</v>
      </c>
      <c r="AJ592" s="37" t="n">
        <v>2</v>
      </c>
      <c r="AK592" s="37" t="n">
        <v>5</v>
      </c>
      <c r="AL592" s="37" t="s">
        <v>343</v>
      </c>
      <c r="AM592" s="39" t="n">
        <v>128.64</v>
      </c>
    </row>
    <row r="593" customFormat="false" ht="15" hidden="false" customHeight="false" outlineLevel="0" collapsed="false">
      <c r="A593" s="37" t="n">
        <v>371986906</v>
      </c>
      <c r="B593" s="38" t="n">
        <v>46239.4173611111</v>
      </c>
      <c r="C593" s="37" t="s">
        <v>345</v>
      </c>
      <c r="D593" s="37" t="s">
        <v>924</v>
      </c>
      <c r="E593" s="37" t="n">
        <v>22753053</v>
      </c>
      <c r="F593" s="37" t="s">
        <v>159</v>
      </c>
      <c r="G593" s="37" t="s">
        <v>196</v>
      </c>
      <c r="H593" s="37" t="s">
        <v>187</v>
      </c>
      <c r="I593" s="37" t="n">
        <v>52.3</v>
      </c>
      <c r="J593" s="39" t="n">
        <v>642.07</v>
      </c>
      <c r="K593" s="37" t="s">
        <v>518</v>
      </c>
      <c r="L593" s="39" t="n">
        <v>113.35</v>
      </c>
      <c r="M593" s="39" t="n">
        <v>58.6</v>
      </c>
      <c r="N593" s="39" t="n">
        <f aca="false">J593*Resumo!$C$6</f>
        <v>0</v>
      </c>
      <c r="O593" s="39" t="n">
        <f aca="false">J593*Resumo!$C$7</f>
        <v>1.348347</v>
      </c>
      <c r="P593" s="39" t="n">
        <f aca="false">J593*Resumo!$C$8</f>
        <v>1.348347</v>
      </c>
      <c r="Q593" s="39" t="n">
        <f aca="false">Resumo!$C$10*CEILING(I593/100,1)</f>
        <v>1.05</v>
      </c>
      <c r="R593" s="39" t="n">
        <f aca="false">Resumo!$C$9</f>
        <v>0</v>
      </c>
      <c r="S593" s="39" t="n">
        <f aca="false">Resumo!$C$13</f>
        <v>13.55</v>
      </c>
      <c r="T593" s="39" t="n">
        <f aca="false">Resumo!$C$14*CEILING(I593,1)</f>
        <v>23.85</v>
      </c>
      <c r="U593" s="39" t="n">
        <f aca="false">SUM(M593:T593)*Resumo!$C$11</f>
        <v>0</v>
      </c>
      <c r="V593" s="39" t="n">
        <f aca="false">SUM(M593:U593)</f>
        <v>99.746694</v>
      </c>
      <c r="W593" s="39" t="n">
        <f aca="false">V593/(1-Resumo!$C$5)</f>
        <v>113.348515909091</v>
      </c>
      <c r="X593" s="39" t="n">
        <v>112.3</v>
      </c>
      <c r="Y593" s="39" t="n">
        <f aca="false">J593*Resumo!$B$6</f>
        <v>0.64207</v>
      </c>
      <c r="Z593" s="39" t="n">
        <f aca="false">J593*Resumo!$B$7</f>
        <v>1.28414</v>
      </c>
      <c r="AA593" s="39" t="n">
        <f aca="false">Resumo!$B$9</f>
        <v>1</v>
      </c>
      <c r="AB593" s="39" t="n">
        <f aca="false">Resumo!$B$10*CEILING(I593/100,1)</f>
        <v>4.5</v>
      </c>
      <c r="AC593" s="39" t="n">
        <f aca="false">Resumo!$B$12*CEILING(I593,1)</f>
        <v>3.18</v>
      </c>
      <c r="AD593" s="39" t="n">
        <f aca="false">Resumo!$B$14*CEILING(I593,1)</f>
        <v>23.85</v>
      </c>
      <c r="AE593" s="39" t="n">
        <f aca="false">SUM(X593:AD593)</f>
        <v>146.75621</v>
      </c>
      <c r="AF593" s="39" t="n">
        <f aca="false">AE593/(1-Resumo!$B$5)</f>
        <v>166.768420454545</v>
      </c>
      <c r="AG593" s="39" t="n">
        <f aca="false">AF593-W593</f>
        <v>53.4199045454546</v>
      </c>
      <c r="AH593" s="40" t="n">
        <f aca="false">AF593/W593-1</f>
        <v>0.471288963221177</v>
      </c>
      <c r="AI593" s="37" t="str">
        <f aca="false">IF(AF593&lt;W593,"SIM","NÃO")</f>
        <v>NÃO</v>
      </c>
      <c r="AJ593" s="37" t="n">
        <v>2</v>
      </c>
      <c r="AK593" s="37" t="n">
        <v>5</v>
      </c>
      <c r="AL593" s="37" t="s">
        <v>343</v>
      </c>
      <c r="AM593" s="39" t="n">
        <v>114.23</v>
      </c>
    </row>
    <row r="594" customFormat="false" ht="15" hidden="false" customHeight="false" outlineLevel="0" collapsed="false">
      <c r="A594" s="37" t="n">
        <v>372014622</v>
      </c>
      <c r="B594" s="38" t="n">
        <v>46239.4725115741</v>
      </c>
      <c r="C594" s="37" t="s">
        <v>340</v>
      </c>
      <c r="D594" s="37" t="s">
        <v>925</v>
      </c>
      <c r="E594" s="37" t="n">
        <v>22070011</v>
      </c>
      <c r="F594" s="37" t="s">
        <v>159</v>
      </c>
      <c r="G594" s="37" t="s">
        <v>196</v>
      </c>
      <c r="H594" s="37" t="s">
        <v>183</v>
      </c>
      <c r="I594" s="37" t="n">
        <v>17.2</v>
      </c>
      <c r="J594" s="39" t="n">
        <v>269.99</v>
      </c>
      <c r="K594" s="37" t="s">
        <v>342</v>
      </c>
      <c r="L594" s="39" t="n">
        <v>64.51</v>
      </c>
      <c r="M594" s="39" t="n">
        <v>33.42</v>
      </c>
      <c r="N594" s="39" t="n">
        <f aca="false">J594*Resumo!$C$6</f>
        <v>0</v>
      </c>
      <c r="O594" s="39" t="n">
        <f aca="false">J594*Resumo!$C$7</f>
        <v>0.566979</v>
      </c>
      <c r="P594" s="39" t="n">
        <f aca="false">J594*Resumo!$C$8</f>
        <v>0.566979</v>
      </c>
      <c r="Q594" s="39" t="n">
        <f aca="false">Resumo!$C$10*CEILING(I594/100,1)</f>
        <v>1.05</v>
      </c>
      <c r="R594" s="39" t="n">
        <f aca="false">Resumo!$C$9</f>
        <v>0</v>
      </c>
      <c r="S594" s="39" t="n">
        <f aca="false">Resumo!$C$13</f>
        <v>13.55</v>
      </c>
      <c r="T594" s="39" t="n">
        <f aca="false">Resumo!$C$14*CEILING(I594,1)</f>
        <v>8.1</v>
      </c>
      <c r="U594" s="39" t="n">
        <f aca="false">SUM(M594:T594)*Resumo!$C$11</f>
        <v>0</v>
      </c>
      <c r="V594" s="39" t="n">
        <f aca="false">SUM(M594:U594)</f>
        <v>57.253958</v>
      </c>
      <c r="W594" s="39" t="n">
        <f aca="false">V594/(1-Resumo!$C$5)</f>
        <v>65.0613159090909</v>
      </c>
      <c r="X594" s="39" t="n">
        <v>46.98</v>
      </c>
      <c r="Y594" s="39" t="n">
        <f aca="false">J594*Resumo!$B$6</f>
        <v>0.26999</v>
      </c>
      <c r="Z594" s="39" t="n">
        <f aca="false">J594*Resumo!$B$7</f>
        <v>0.53998</v>
      </c>
      <c r="AA594" s="39" t="n">
        <f aca="false">Resumo!$B$9</f>
        <v>1</v>
      </c>
      <c r="AB594" s="39" t="n">
        <f aca="false">Resumo!$B$10*CEILING(I594/100,1)</f>
        <v>4.5</v>
      </c>
      <c r="AC594" s="39" t="n">
        <f aca="false">Resumo!$B$12*CEILING(I594,1)</f>
        <v>1.08</v>
      </c>
      <c r="AD594" s="39" t="n">
        <f aca="false">Resumo!$B$14*CEILING(I594,1)</f>
        <v>8.1</v>
      </c>
      <c r="AE594" s="39" t="n">
        <f aca="false">SUM(X594:AD594)</f>
        <v>62.46997</v>
      </c>
      <c r="AF594" s="39" t="n">
        <f aca="false">AE594/(1-Resumo!$B$5)</f>
        <v>70.9886022727273</v>
      </c>
      <c r="AG594" s="39" t="n">
        <f aca="false">AF594-W594</f>
        <v>5.92728636363636</v>
      </c>
      <c r="AH594" s="40" t="n">
        <f aca="false">AF594/W594-1</f>
        <v>0.0911030814673108</v>
      </c>
      <c r="AI594" s="37" t="str">
        <f aca="false">IF(AF594&lt;W594,"SIM","NÃO")</f>
        <v>NÃO</v>
      </c>
      <c r="AJ594" s="37" t="n">
        <v>2</v>
      </c>
      <c r="AK594" s="37" t="n">
        <v>5</v>
      </c>
      <c r="AL594" s="37" t="s">
        <v>343</v>
      </c>
      <c r="AM594" s="39" t="n">
        <v>64.51</v>
      </c>
    </row>
    <row r="595" customFormat="false" ht="15" hidden="false" customHeight="false" outlineLevel="0" collapsed="false">
      <c r="A595" s="37" t="n">
        <v>372015753</v>
      </c>
      <c r="B595" s="38" t="n">
        <v>46239.4746875</v>
      </c>
      <c r="C595" s="37" t="s">
        <v>340</v>
      </c>
      <c r="D595" s="37" t="s">
        <v>926</v>
      </c>
      <c r="E595" s="37" t="n">
        <v>25270270</v>
      </c>
      <c r="F595" s="37" t="s">
        <v>161</v>
      </c>
      <c r="G595" s="37" t="s">
        <v>197</v>
      </c>
      <c r="H595" s="37" t="s">
        <v>190</v>
      </c>
      <c r="I595" s="37" t="n">
        <v>93.8</v>
      </c>
      <c r="J595" s="39" t="n">
        <v>999.99</v>
      </c>
      <c r="K595" s="37" t="s">
        <v>342</v>
      </c>
      <c r="L595" s="39" t="n">
        <v>173.63</v>
      </c>
      <c r="M595" s="39" t="n">
        <v>92.32</v>
      </c>
      <c r="N595" s="39" t="n">
        <f aca="false">J595*Resumo!$C$6</f>
        <v>0</v>
      </c>
      <c r="O595" s="39" t="n">
        <f aca="false">J595*Resumo!$C$7</f>
        <v>2.099979</v>
      </c>
      <c r="P595" s="39" t="n">
        <f aca="false">J595*Resumo!$C$8</f>
        <v>2.099979</v>
      </c>
      <c r="Q595" s="39" t="n">
        <f aca="false">Resumo!$C$10*CEILING(I595/100,1)</f>
        <v>1.05</v>
      </c>
      <c r="R595" s="39" t="n">
        <f aca="false">Resumo!$C$9</f>
        <v>0</v>
      </c>
      <c r="S595" s="39" t="n">
        <f aca="false">Resumo!$C$13</f>
        <v>13.55</v>
      </c>
      <c r="T595" s="39" t="n">
        <f aca="false">Resumo!$C$14*CEILING(I595,1)</f>
        <v>42.3</v>
      </c>
      <c r="U595" s="39" t="n">
        <f aca="false">SUM(M595:T595)*Resumo!$C$11</f>
        <v>0</v>
      </c>
      <c r="V595" s="39" t="n">
        <f aca="false">SUM(M595:U595)</f>
        <v>153.419958</v>
      </c>
      <c r="W595" s="39" t="n">
        <f aca="false">V595/(1-Resumo!$C$5)</f>
        <v>174.340861363636</v>
      </c>
      <c r="X595" s="39" t="n">
        <v>167.99</v>
      </c>
      <c r="Y595" s="39" t="n">
        <f aca="false">J595*Resumo!$B$6</f>
        <v>0.99999</v>
      </c>
      <c r="Z595" s="39" t="n">
        <f aca="false">J595*Resumo!$B$7</f>
        <v>1.99998</v>
      </c>
      <c r="AA595" s="39" t="n">
        <f aca="false">Resumo!$B$9</f>
        <v>1</v>
      </c>
      <c r="AB595" s="39" t="n">
        <f aca="false">Resumo!$B$10*CEILING(I595/100,1)</f>
        <v>4.5</v>
      </c>
      <c r="AC595" s="39" t="n">
        <f aca="false">Resumo!$B$12*CEILING(I595,1)</f>
        <v>5.64</v>
      </c>
      <c r="AD595" s="39" t="n">
        <f aca="false">Resumo!$B$14*CEILING(I595,1)</f>
        <v>42.3</v>
      </c>
      <c r="AE595" s="39" t="n">
        <f aca="false">SUM(X595:AD595)</f>
        <v>224.42997</v>
      </c>
      <c r="AF595" s="39" t="n">
        <f aca="false">AE595/(1-Resumo!$B$5)</f>
        <v>255.034056818182</v>
      </c>
      <c r="AG595" s="39" t="n">
        <f aca="false">AF595-W595</f>
        <v>80.6931954545455</v>
      </c>
      <c r="AH595" s="40" t="n">
        <f aca="false">AF595/W595-1</f>
        <v>0.462847291354362</v>
      </c>
      <c r="AI595" s="37" t="str">
        <f aca="false">IF(AF595&lt;W595,"SIM","NÃO")</f>
        <v>NÃO</v>
      </c>
      <c r="AJ595" s="37" t="n">
        <v>2</v>
      </c>
      <c r="AK595" s="37" t="n">
        <v>5</v>
      </c>
      <c r="AL595" s="37" t="s">
        <v>343</v>
      </c>
      <c r="AM595" s="39" t="n">
        <v>173.62</v>
      </c>
    </row>
    <row r="596" customFormat="false" ht="15" hidden="false" customHeight="false" outlineLevel="0" collapsed="false">
      <c r="A596" s="37" t="n">
        <v>372022030</v>
      </c>
      <c r="B596" s="38" t="n">
        <v>46239.4860416667</v>
      </c>
      <c r="C596" s="37" t="s">
        <v>345</v>
      </c>
      <c r="D596" s="37" t="s">
        <v>927</v>
      </c>
      <c r="E596" s="37" t="n">
        <v>22753501</v>
      </c>
      <c r="F596" s="37" t="s">
        <v>159</v>
      </c>
      <c r="G596" s="37" t="s">
        <v>196</v>
      </c>
      <c r="H596" s="37" t="s">
        <v>192</v>
      </c>
      <c r="I596" s="37" t="n">
        <v>128</v>
      </c>
      <c r="J596" s="39" t="n">
        <v>1503.01</v>
      </c>
      <c r="K596" s="37" t="s">
        <v>342</v>
      </c>
      <c r="L596" s="39" t="n">
        <v>233.5</v>
      </c>
      <c r="M596" s="39" t="n">
        <v>120.59</v>
      </c>
      <c r="N596" s="39" t="n">
        <f aca="false">J596*Resumo!$C$6</f>
        <v>0</v>
      </c>
      <c r="O596" s="39" t="n">
        <f aca="false">J596*Resumo!$C$7</f>
        <v>3.156321</v>
      </c>
      <c r="P596" s="39" t="n">
        <f aca="false">J596*Resumo!$C$8</f>
        <v>3.156321</v>
      </c>
      <c r="Q596" s="39" t="n">
        <f aca="false">Resumo!$C$10*CEILING(I596/100,1)</f>
        <v>2.1</v>
      </c>
      <c r="R596" s="39" t="n">
        <f aca="false">Resumo!$C$9</f>
        <v>0</v>
      </c>
      <c r="S596" s="39" t="n">
        <f aca="false">Resumo!$C$13</f>
        <v>13.55</v>
      </c>
      <c r="T596" s="39" t="n">
        <f aca="false">Resumo!$C$14*CEILING(I596,1)</f>
        <v>57.6</v>
      </c>
      <c r="U596" s="39" t="n">
        <f aca="false">SUM(M596:T596)*Resumo!$C$11</f>
        <v>0</v>
      </c>
      <c r="V596" s="39" t="n">
        <f aca="false">SUM(M596:U596)</f>
        <v>200.152642</v>
      </c>
      <c r="W596" s="39" t="n">
        <f aca="false">V596/(1-Resumo!$C$5)</f>
        <v>227.446184090909</v>
      </c>
      <c r="X596" s="39" t="n">
        <v>239.25</v>
      </c>
      <c r="Y596" s="39" t="n">
        <f aca="false">J596*Resumo!$B$6</f>
        <v>1.50301</v>
      </c>
      <c r="Z596" s="39" t="n">
        <f aca="false">J596*Resumo!$B$7</f>
        <v>3.00602</v>
      </c>
      <c r="AA596" s="39" t="n">
        <f aca="false">Resumo!$B$9</f>
        <v>1</v>
      </c>
      <c r="AB596" s="39" t="n">
        <f aca="false">Resumo!$B$10*CEILING(I596/100,1)</f>
        <v>9</v>
      </c>
      <c r="AC596" s="39" t="n">
        <f aca="false">Resumo!$B$12*CEILING(I596,1)</f>
        <v>7.68</v>
      </c>
      <c r="AD596" s="39" t="n">
        <f aca="false">Resumo!$B$14*CEILING(I596,1)</f>
        <v>57.6</v>
      </c>
      <c r="AE596" s="39" t="n">
        <f aca="false">SUM(X596:AD596)</f>
        <v>319.03903</v>
      </c>
      <c r="AF596" s="39" t="n">
        <f aca="false">AE596/(1-Resumo!$B$5)</f>
        <v>362.544352272727</v>
      </c>
      <c r="AG596" s="39" t="n">
        <f aca="false">AF596-W596</f>
        <v>135.098168181818</v>
      </c>
      <c r="AH596" s="40" t="n">
        <f aca="false">AF596/W596-1</f>
        <v>0.593978609585379</v>
      </c>
      <c r="AI596" s="37" t="str">
        <f aca="false">IF(AF596&lt;W596,"SIM","NÃO")</f>
        <v>NÃO</v>
      </c>
      <c r="AJ596" s="37" t="n">
        <v>2</v>
      </c>
      <c r="AK596" s="37" t="n">
        <v>5</v>
      </c>
      <c r="AL596" s="37" t="s">
        <v>343</v>
      </c>
      <c r="AM596" s="39" t="n">
        <v>233.49</v>
      </c>
    </row>
    <row r="597" customFormat="false" ht="15" hidden="false" customHeight="false" outlineLevel="0" collapsed="false">
      <c r="A597" s="37" t="n">
        <v>372023472</v>
      </c>
      <c r="B597" s="38" t="n">
        <v>46239.4887615741</v>
      </c>
      <c r="C597" s="37" t="s">
        <v>340</v>
      </c>
      <c r="D597" s="37" t="s">
        <v>928</v>
      </c>
      <c r="E597" s="37" t="n">
        <v>25267320</v>
      </c>
      <c r="F597" s="37" t="s">
        <v>161</v>
      </c>
      <c r="G597" s="37" t="s">
        <v>197</v>
      </c>
      <c r="H597" s="37" t="s">
        <v>187</v>
      </c>
      <c r="I597" s="37" t="n">
        <v>59.9</v>
      </c>
      <c r="J597" s="39" t="n">
        <v>919.99</v>
      </c>
      <c r="K597" s="37" t="s">
        <v>342</v>
      </c>
      <c r="L597" s="39" t="n">
        <v>129.69</v>
      </c>
      <c r="M597" s="39" t="n">
        <v>70.98</v>
      </c>
      <c r="N597" s="39" t="n">
        <f aca="false">J597*Resumo!$C$6</f>
        <v>0</v>
      </c>
      <c r="O597" s="39" t="n">
        <f aca="false">J597*Resumo!$C$7</f>
        <v>1.931979</v>
      </c>
      <c r="P597" s="39" t="n">
        <f aca="false">J597*Resumo!$C$8</f>
        <v>1.931979</v>
      </c>
      <c r="Q597" s="39" t="n">
        <f aca="false">Resumo!$C$10*CEILING(I597/100,1)</f>
        <v>1.05</v>
      </c>
      <c r="R597" s="39" t="n">
        <f aca="false">Resumo!$C$9</f>
        <v>0</v>
      </c>
      <c r="S597" s="39" t="n">
        <f aca="false">Resumo!$C$13</f>
        <v>13.55</v>
      </c>
      <c r="T597" s="39" t="n">
        <f aca="false">Resumo!$C$14*CEILING(I597,1)</f>
        <v>27</v>
      </c>
      <c r="U597" s="39" t="n">
        <f aca="false">SUM(M597:T597)*Resumo!$C$11</f>
        <v>0</v>
      </c>
      <c r="V597" s="39" t="n">
        <f aca="false">SUM(M597:U597)</f>
        <v>116.443958</v>
      </c>
      <c r="W597" s="39" t="n">
        <f aca="false">V597/(1-Resumo!$C$5)</f>
        <v>132.322679545455</v>
      </c>
      <c r="X597" s="39" t="n">
        <v>112.3</v>
      </c>
      <c r="Y597" s="39" t="n">
        <f aca="false">J597*Resumo!$B$6</f>
        <v>0.91999</v>
      </c>
      <c r="Z597" s="39" t="n">
        <f aca="false">J597*Resumo!$B$7</f>
        <v>1.83998</v>
      </c>
      <c r="AA597" s="39" t="n">
        <f aca="false">Resumo!$B$9</f>
        <v>1</v>
      </c>
      <c r="AB597" s="39" t="n">
        <f aca="false">Resumo!$B$10*CEILING(I597/100,1)</f>
        <v>4.5</v>
      </c>
      <c r="AC597" s="39" t="n">
        <f aca="false">Resumo!$B$12*CEILING(I597,1)</f>
        <v>3.6</v>
      </c>
      <c r="AD597" s="39" t="n">
        <f aca="false">Resumo!$B$14*CEILING(I597,1)</f>
        <v>27</v>
      </c>
      <c r="AE597" s="39" t="n">
        <f aca="false">SUM(X597:AD597)</f>
        <v>151.15997</v>
      </c>
      <c r="AF597" s="39" t="n">
        <f aca="false">AE597/(1-Resumo!$B$5)</f>
        <v>171.772693181818</v>
      </c>
      <c r="AG597" s="39" t="n">
        <f aca="false">AF597-W597</f>
        <v>39.4500136363636</v>
      </c>
      <c r="AH597" s="40" t="n">
        <f aca="false">AF597/W597-1</f>
        <v>0.298134936292701</v>
      </c>
      <c r="AI597" s="37" t="str">
        <f aca="false">IF(AF597&lt;W597,"SIM","NÃO")</f>
        <v>NÃO</v>
      </c>
      <c r="AJ597" s="37" t="n">
        <v>2</v>
      </c>
      <c r="AK597" s="37" t="n">
        <v>5</v>
      </c>
      <c r="AL597" s="37" t="s">
        <v>343</v>
      </c>
      <c r="AM597" s="39" t="n">
        <v>129.69</v>
      </c>
    </row>
    <row r="598" customFormat="false" ht="15" hidden="false" customHeight="false" outlineLevel="0" collapsed="false">
      <c r="A598" s="37" t="n">
        <v>372029006</v>
      </c>
      <c r="B598" s="38" t="n">
        <v>46239.4996875</v>
      </c>
      <c r="C598" s="37" t="s">
        <v>340</v>
      </c>
      <c r="D598" s="37" t="s">
        <v>929</v>
      </c>
      <c r="E598" s="37" t="n">
        <v>28027150</v>
      </c>
      <c r="F598" s="37" t="s">
        <v>164</v>
      </c>
      <c r="G598" s="37" t="s">
        <v>198</v>
      </c>
      <c r="H598" s="37" t="s">
        <v>185</v>
      </c>
      <c r="I598" s="37" t="n">
        <v>35.3</v>
      </c>
      <c r="J598" s="39" t="n">
        <v>479.8</v>
      </c>
      <c r="K598" s="37" t="s">
        <v>518</v>
      </c>
      <c r="L598" s="39" t="n">
        <v>122.49</v>
      </c>
      <c r="M598" s="39" t="n">
        <v>74.97</v>
      </c>
      <c r="N598" s="39" t="n">
        <f aca="false">J598*Resumo!$C$6</f>
        <v>0</v>
      </c>
      <c r="O598" s="39" t="n">
        <f aca="false">J598*Resumo!$C$7</f>
        <v>1.00758</v>
      </c>
      <c r="P598" s="39" t="n">
        <f aca="false">J598*Resumo!$C$8</f>
        <v>1.00758</v>
      </c>
      <c r="Q598" s="39" t="n">
        <f aca="false">Resumo!$C$10*CEILING(I598/100,1)</f>
        <v>1.05</v>
      </c>
      <c r="R598" s="39" t="n">
        <f aca="false">Resumo!$C$9</f>
        <v>0</v>
      </c>
      <c r="S598" s="39" t="n">
        <f aca="false">Resumo!$C$13</f>
        <v>13.55</v>
      </c>
      <c r="T598" s="39" t="n">
        <f aca="false">Resumo!$C$14*CEILING(I598,1)</f>
        <v>16.2</v>
      </c>
      <c r="U598" s="39" t="n">
        <f aca="false">SUM(M598:T598)*Resumo!$C$11</f>
        <v>0</v>
      </c>
      <c r="V598" s="39" t="n">
        <f aca="false">SUM(M598:U598)</f>
        <v>107.78516</v>
      </c>
      <c r="W598" s="39" t="n">
        <f aca="false">V598/(1-Resumo!$C$5)</f>
        <v>122.483136363636</v>
      </c>
      <c r="X598" s="39" t="n">
        <v>143.04</v>
      </c>
      <c r="Y598" s="39" t="n">
        <f aca="false">J598*Resumo!$B$6</f>
        <v>0.4798</v>
      </c>
      <c r="Z598" s="39" t="n">
        <f aca="false">J598*Resumo!$B$7</f>
        <v>0.9596</v>
      </c>
      <c r="AA598" s="39" t="n">
        <f aca="false">Resumo!$B$9</f>
        <v>1</v>
      </c>
      <c r="AB598" s="39" t="n">
        <f aca="false">Resumo!$B$10*CEILING(I598/100,1)</f>
        <v>4.5</v>
      </c>
      <c r="AC598" s="39" t="n">
        <f aca="false">Resumo!$B$12*CEILING(I598,1)</f>
        <v>2.16</v>
      </c>
      <c r="AD598" s="39" t="n">
        <f aca="false">Resumo!$B$14*CEILING(I598,1)</f>
        <v>16.2</v>
      </c>
      <c r="AE598" s="39" t="n">
        <f aca="false">SUM(X598:AD598)</f>
        <v>168.3394</v>
      </c>
      <c r="AF598" s="39" t="n">
        <f aca="false">AE598/(1-Resumo!$B$5)</f>
        <v>191.294772727273</v>
      </c>
      <c r="AG598" s="39" t="n">
        <f aca="false">AF598-W598</f>
        <v>68.8116363636364</v>
      </c>
      <c r="AH598" s="40" t="n">
        <f aca="false">AF598/W598-1</f>
        <v>0.56180498317208</v>
      </c>
      <c r="AI598" s="37" t="str">
        <f aca="false">IF(AF598&lt;W598,"SIM","NÃO")</f>
        <v>NÃO</v>
      </c>
      <c r="AJ598" s="37" t="n">
        <v>13</v>
      </c>
      <c r="AK598" s="37" t="n">
        <v>11</v>
      </c>
      <c r="AL598" s="37" t="s">
        <v>343</v>
      </c>
      <c r="AM598" s="39" t="n">
        <v>122.55</v>
      </c>
    </row>
    <row r="599" customFormat="false" ht="15" hidden="false" customHeight="false" outlineLevel="0" collapsed="false">
      <c r="A599" s="37" t="n">
        <v>372040152</v>
      </c>
      <c r="B599" s="38" t="n">
        <v>46239.5210416667</v>
      </c>
      <c r="C599" s="37" t="s">
        <v>340</v>
      </c>
      <c r="D599" s="37" t="s">
        <v>930</v>
      </c>
      <c r="E599" s="37" t="n">
        <v>25545201</v>
      </c>
      <c r="F599" s="37" t="s">
        <v>167</v>
      </c>
      <c r="G599" s="37" t="s">
        <v>197</v>
      </c>
      <c r="H599" s="37" t="s">
        <v>184</v>
      </c>
      <c r="I599" s="37" t="n">
        <v>29.2</v>
      </c>
      <c r="J599" s="39" t="n">
        <v>449.99</v>
      </c>
      <c r="K599" s="37" t="s">
        <v>518</v>
      </c>
      <c r="L599" s="39" t="n">
        <v>100.89</v>
      </c>
      <c r="M599" s="39" t="n">
        <v>58.8</v>
      </c>
      <c r="N599" s="39" t="n">
        <f aca="false">J599*Resumo!$C$6</f>
        <v>0</v>
      </c>
      <c r="O599" s="39" t="n">
        <f aca="false">J599*Resumo!$C$7</f>
        <v>0.944979</v>
      </c>
      <c r="P599" s="39" t="n">
        <f aca="false">J599*Resumo!$C$8</f>
        <v>0.944979</v>
      </c>
      <c r="Q599" s="39" t="n">
        <f aca="false">Resumo!$C$10*CEILING(I599/100,1)</f>
        <v>1.05</v>
      </c>
      <c r="R599" s="39" t="n">
        <f aca="false">Resumo!$C$9</f>
        <v>0</v>
      </c>
      <c r="S599" s="39" t="n">
        <f aca="false">Resumo!$C$13</f>
        <v>13.55</v>
      </c>
      <c r="T599" s="39" t="n">
        <f aca="false">Resumo!$C$14*CEILING(I599,1)</f>
        <v>13.5</v>
      </c>
      <c r="U599" s="39" t="n">
        <f aca="false">SUM(M599:T599)*Resumo!$C$11</f>
        <v>0</v>
      </c>
      <c r="V599" s="39" t="n">
        <f aca="false">SUM(M599:U599)</f>
        <v>88.789958</v>
      </c>
      <c r="W599" s="39" t="n">
        <f aca="false">V599/(1-Resumo!$C$5)</f>
        <v>100.897679545455</v>
      </c>
      <c r="X599" s="39" t="n">
        <v>82.21</v>
      </c>
      <c r="Y599" s="39" t="n">
        <f aca="false">J599*Resumo!$B$6</f>
        <v>0.44999</v>
      </c>
      <c r="Z599" s="39" t="n">
        <f aca="false">J599*Resumo!$B$7</f>
        <v>0.89998</v>
      </c>
      <c r="AA599" s="39" t="n">
        <f aca="false">Resumo!$B$9</f>
        <v>1</v>
      </c>
      <c r="AB599" s="39" t="n">
        <f aca="false">Resumo!$B$10*CEILING(I599/100,1)</f>
        <v>4.5</v>
      </c>
      <c r="AC599" s="39" t="n">
        <f aca="false">Resumo!$B$12*CEILING(I599,1)</f>
        <v>1.8</v>
      </c>
      <c r="AD599" s="39" t="n">
        <f aca="false">Resumo!$B$14*CEILING(I599,1)</f>
        <v>13.5</v>
      </c>
      <c r="AE599" s="39" t="n">
        <f aca="false">SUM(X599:AD599)</f>
        <v>104.35997</v>
      </c>
      <c r="AF599" s="39" t="n">
        <f aca="false">AE599/(1-Resumo!$B$5)</f>
        <v>118.590875</v>
      </c>
      <c r="AG599" s="39" t="n">
        <f aca="false">AF599-W599</f>
        <v>17.6931954545454</v>
      </c>
      <c r="AH599" s="40" t="n">
        <f aca="false">AF599/W599-1</f>
        <v>0.175357803412859</v>
      </c>
      <c r="AI599" s="37" t="str">
        <f aca="false">IF(AF599&lt;W599,"SIM","NÃO")</f>
        <v>NÃO</v>
      </c>
      <c r="AJ599" s="37" t="n">
        <v>2</v>
      </c>
      <c r="AK599" s="37" t="n">
        <v>5</v>
      </c>
      <c r="AL599" s="37" t="s">
        <v>343</v>
      </c>
      <c r="AM599" s="39" t="n">
        <v>101.54</v>
      </c>
    </row>
    <row r="600" customFormat="false" ht="15" hidden="false" customHeight="false" outlineLevel="0" collapsed="false">
      <c r="A600" s="37" t="n">
        <v>372049200</v>
      </c>
      <c r="B600" s="38" t="n">
        <v>46239.5375810185</v>
      </c>
      <c r="C600" s="37" t="s">
        <v>340</v>
      </c>
      <c r="D600" s="37" t="s">
        <v>931</v>
      </c>
      <c r="E600" s="37" t="n">
        <v>21715190</v>
      </c>
      <c r="F600" s="37" t="s">
        <v>159</v>
      </c>
      <c r="G600" s="37" t="s">
        <v>196</v>
      </c>
      <c r="H600" s="37" t="s">
        <v>188</v>
      </c>
      <c r="I600" s="37" t="n">
        <v>69</v>
      </c>
      <c r="J600" s="39" t="n">
        <v>721.82</v>
      </c>
      <c r="K600" s="37" t="s">
        <v>342</v>
      </c>
      <c r="L600" s="39" t="n">
        <v>124.66</v>
      </c>
      <c r="M600" s="39" t="n">
        <v>63.21</v>
      </c>
      <c r="N600" s="39" t="n">
        <f aca="false">J600*Resumo!$C$6</f>
        <v>0</v>
      </c>
      <c r="O600" s="39" t="n">
        <f aca="false">J600*Resumo!$C$7</f>
        <v>1.515822</v>
      </c>
      <c r="P600" s="39" t="n">
        <f aca="false">J600*Resumo!$C$8</f>
        <v>1.515822</v>
      </c>
      <c r="Q600" s="39" t="n">
        <f aca="false">Resumo!$C$10*CEILING(I600/100,1)</f>
        <v>1.05</v>
      </c>
      <c r="R600" s="39" t="n">
        <f aca="false">Resumo!$C$9</f>
        <v>0</v>
      </c>
      <c r="S600" s="39" t="n">
        <f aca="false">Resumo!$C$13</f>
        <v>13.55</v>
      </c>
      <c r="T600" s="39" t="n">
        <f aca="false">Resumo!$C$14*CEILING(I600,1)</f>
        <v>31.05</v>
      </c>
      <c r="U600" s="39" t="n">
        <f aca="false">SUM(M600:T600)*Resumo!$C$11</f>
        <v>0</v>
      </c>
      <c r="V600" s="39" t="n">
        <f aca="false">SUM(M600:U600)</f>
        <v>111.891644</v>
      </c>
      <c r="W600" s="39" t="n">
        <f aca="false">V600/(1-Resumo!$C$5)</f>
        <v>127.149595454545</v>
      </c>
      <c r="X600" s="39" t="n">
        <v>131.02</v>
      </c>
      <c r="Y600" s="39" t="n">
        <f aca="false">J600*Resumo!$B$6</f>
        <v>0.72182</v>
      </c>
      <c r="Z600" s="39" t="n">
        <f aca="false">J600*Resumo!$B$7</f>
        <v>1.44364</v>
      </c>
      <c r="AA600" s="39" t="n">
        <f aca="false">Resumo!$B$9</f>
        <v>1</v>
      </c>
      <c r="AB600" s="39" t="n">
        <f aca="false">Resumo!$B$10*CEILING(I600/100,1)</f>
        <v>4.5</v>
      </c>
      <c r="AC600" s="39" t="n">
        <f aca="false">Resumo!$B$12*CEILING(I600,1)</f>
        <v>4.14</v>
      </c>
      <c r="AD600" s="39" t="n">
        <f aca="false">Resumo!$B$14*CEILING(I600,1)</f>
        <v>31.05</v>
      </c>
      <c r="AE600" s="39" t="n">
        <f aca="false">SUM(X600:AD600)</f>
        <v>173.87546</v>
      </c>
      <c r="AF600" s="39" t="n">
        <f aca="false">AE600/(1-Resumo!$B$5)</f>
        <v>197.58575</v>
      </c>
      <c r="AG600" s="39" t="n">
        <f aca="false">AF600-W600</f>
        <v>70.4361545454546</v>
      </c>
      <c r="AH600" s="40" t="n">
        <f aca="false">AF600/W600-1</f>
        <v>0.553962867861697</v>
      </c>
      <c r="AI600" s="37" t="str">
        <f aca="false">IF(AF600&lt;W600,"SIM","NÃO")</f>
        <v>NÃO</v>
      </c>
      <c r="AJ600" s="37" t="n">
        <v>2</v>
      </c>
      <c r="AK600" s="37" t="n">
        <v>5</v>
      </c>
      <c r="AL600" s="37" t="s">
        <v>343</v>
      </c>
      <c r="AM600" s="39" t="n">
        <v>124.67</v>
      </c>
    </row>
    <row r="601" customFormat="false" ht="15" hidden="false" customHeight="false" outlineLevel="0" collapsed="false">
      <c r="A601" s="37" t="n">
        <v>372049805</v>
      </c>
      <c r="B601" s="38" t="n">
        <v>46239.5390277778</v>
      </c>
      <c r="C601" s="37" t="s">
        <v>340</v>
      </c>
      <c r="D601" s="37" t="s">
        <v>932</v>
      </c>
      <c r="E601" s="37" t="n">
        <v>26515401</v>
      </c>
      <c r="F601" s="37" t="s">
        <v>238</v>
      </c>
      <c r="G601" s="37" t="s">
        <v>197</v>
      </c>
      <c r="H601" s="37" t="s">
        <v>184</v>
      </c>
      <c r="I601" s="37" t="n">
        <v>29.2</v>
      </c>
      <c r="J601" s="39" t="n">
        <v>426.78</v>
      </c>
      <c r="K601" s="37" t="s">
        <v>518</v>
      </c>
      <c r="L601" s="39" t="n">
        <v>100.8</v>
      </c>
      <c r="M601" s="39" t="n">
        <v>58.8</v>
      </c>
      <c r="N601" s="39" t="n">
        <f aca="false">J601*Resumo!$C$6</f>
        <v>0</v>
      </c>
      <c r="O601" s="39" t="n">
        <f aca="false">J601*Resumo!$C$7</f>
        <v>0.896238</v>
      </c>
      <c r="P601" s="39" t="n">
        <f aca="false">J601*Resumo!$C$8</f>
        <v>0.896238</v>
      </c>
      <c r="Q601" s="39" t="n">
        <f aca="false">Resumo!$C$10*CEILING(I601/100,1)</f>
        <v>1.05</v>
      </c>
      <c r="R601" s="39" t="n">
        <f aca="false">Resumo!$C$9</f>
        <v>0</v>
      </c>
      <c r="S601" s="39" t="n">
        <f aca="false">Resumo!$C$13</f>
        <v>13.55</v>
      </c>
      <c r="T601" s="39" t="n">
        <f aca="false">Resumo!$C$14*CEILING(I601,1)</f>
        <v>13.5</v>
      </c>
      <c r="U601" s="39" t="n">
        <f aca="false">SUM(M601:T601)*Resumo!$C$11</f>
        <v>0</v>
      </c>
      <c r="V601" s="39" t="n">
        <f aca="false">SUM(M601:U601)</f>
        <v>88.692476</v>
      </c>
      <c r="W601" s="39" t="n">
        <f aca="false">V601/(1-Resumo!$C$5)</f>
        <v>100.786904545455</v>
      </c>
      <c r="X601" s="39" t="n">
        <v>82.21</v>
      </c>
      <c r="Y601" s="39" t="n">
        <f aca="false">J601*Resumo!$B$6</f>
        <v>0.42678</v>
      </c>
      <c r="Z601" s="39" t="n">
        <f aca="false">J601*Resumo!$B$7</f>
        <v>0.85356</v>
      </c>
      <c r="AA601" s="39" t="n">
        <f aca="false">Resumo!$B$9</f>
        <v>1</v>
      </c>
      <c r="AB601" s="39" t="n">
        <f aca="false">Resumo!$B$10*CEILING(I601/100,1)</f>
        <v>4.5</v>
      </c>
      <c r="AC601" s="39" t="n">
        <f aca="false">Resumo!$B$12*CEILING(I601,1)</f>
        <v>1.8</v>
      </c>
      <c r="AD601" s="39" t="n">
        <f aca="false">Resumo!$B$14*CEILING(I601,1)</f>
        <v>13.5</v>
      </c>
      <c r="AE601" s="39" t="n">
        <f aca="false">SUM(X601:AD601)</f>
        <v>104.29034</v>
      </c>
      <c r="AF601" s="39" t="n">
        <f aca="false">AE601/(1-Resumo!$B$5)</f>
        <v>118.51175</v>
      </c>
      <c r="AG601" s="39" t="n">
        <f aca="false">AF601-W601</f>
        <v>17.7248454545455</v>
      </c>
      <c r="AH601" s="40" t="n">
        <f aca="false">AF601/W601-1</f>
        <v>0.175864568263942</v>
      </c>
      <c r="AI601" s="37" t="str">
        <f aca="false">IF(AF601&lt;W601,"SIM","NÃO")</f>
        <v>NÃO</v>
      </c>
      <c r="AJ601" s="37" t="n">
        <v>2</v>
      </c>
      <c r="AK601" s="37" t="n">
        <v>5</v>
      </c>
      <c r="AL601" s="37" t="s">
        <v>347</v>
      </c>
      <c r="AM601" s="39" t="n">
        <v>101.43</v>
      </c>
    </row>
    <row r="602" customFormat="false" ht="15" hidden="false" customHeight="false" outlineLevel="0" collapsed="false">
      <c r="A602" s="37" t="n">
        <v>372069194</v>
      </c>
      <c r="B602" s="38" t="n">
        <v>46239.5740393519</v>
      </c>
      <c r="C602" s="37" t="s">
        <v>340</v>
      </c>
      <c r="D602" s="37" t="s">
        <v>933</v>
      </c>
      <c r="E602" s="37" t="n">
        <v>22061020</v>
      </c>
      <c r="F602" s="37" t="s">
        <v>159</v>
      </c>
      <c r="G602" s="37" t="s">
        <v>196</v>
      </c>
      <c r="H602" s="37" t="s">
        <v>187</v>
      </c>
      <c r="I602" s="37" t="n">
        <v>52.3</v>
      </c>
      <c r="J602" s="39" t="n">
        <v>685.85</v>
      </c>
      <c r="K602" s="37" t="s">
        <v>518</v>
      </c>
      <c r="L602" s="39" t="n">
        <v>113.56</v>
      </c>
      <c r="M602" s="39" t="n">
        <v>58.6</v>
      </c>
      <c r="N602" s="39" t="n">
        <f aca="false">J602*Resumo!$C$6</f>
        <v>0</v>
      </c>
      <c r="O602" s="39" t="n">
        <f aca="false">J602*Resumo!$C$7</f>
        <v>1.440285</v>
      </c>
      <c r="P602" s="39" t="n">
        <f aca="false">J602*Resumo!$C$8</f>
        <v>1.440285</v>
      </c>
      <c r="Q602" s="39" t="n">
        <f aca="false">Resumo!$C$10*CEILING(I602/100,1)</f>
        <v>1.05</v>
      </c>
      <c r="R602" s="39" t="n">
        <f aca="false">Resumo!$C$9</f>
        <v>0</v>
      </c>
      <c r="S602" s="39" t="n">
        <f aca="false">Resumo!$C$13</f>
        <v>13.55</v>
      </c>
      <c r="T602" s="39" t="n">
        <f aca="false">Resumo!$C$14*CEILING(I602,1)</f>
        <v>23.85</v>
      </c>
      <c r="U602" s="39" t="n">
        <f aca="false">SUM(M602:T602)*Resumo!$C$11</f>
        <v>0</v>
      </c>
      <c r="V602" s="39" t="n">
        <f aca="false">SUM(M602:U602)</f>
        <v>99.93057</v>
      </c>
      <c r="W602" s="39" t="n">
        <f aca="false">V602/(1-Resumo!$C$5)</f>
        <v>113.557465909091</v>
      </c>
      <c r="X602" s="39" t="n">
        <v>112.3</v>
      </c>
      <c r="Y602" s="39" t="n">
        <f aca="false">J602*Resumo!$B$6</f>
        <v>0.68585</v>
      </c>
      <c r="Z602" s="39" t="n">
        <f aca="false">J602*Resumo!$B$7</f>
        <v>1.3717</v>
      </c>
      <c r="AA602" s="39" t="n">
        <f aca="false">Resumo!$B$9</f>
        <v>1</v>
      </c>
      <c r="AB602" s="39" t="n">
        <f aca="false">Resumo!$B$10*CEILING(I602/100,1)</f>
        <v>4.5</v>
      </c>
      <c r="AC602" s="39" t="n">
        <f aca="false">Resumo!$B$12*CEILING(I602,1)</f>
        <v>3.18</v>
      </c>
      <c r="AD602" s="39" t="n">
        <f aca="false">Resumo!$B$14*CEILING(I602,1)</f>
        <v>23.85</v>
      </c>
      <c r="AE602" s="39" t="n">
        <f aca="false">SUM(X602:AD602)</f>
        <v>146.88755</v>
      </c>
      <c r="AF602" s="39" t="n">
        <f aca="false">AE602/(1-Resumo!$B$5)</f>
        <v>166.917670454545</v>
      </c>
      <c r="AG602" s="39" t="n">
        <f aca="false">AF602-W602</f>
        <v>53.3602045454545</v>
      </c>
      <c r="AH602" s="40" t="n">
        <f aca="false">AF602/W602-1</f>
        <v>0.4698960488267</v>
      </c>
      <c r="AI602" s="37" t="str">
        <f aca="false">IF(AF602&lt;W602,"SIM","NÃO")</f>
        <v>NÃO</v>
      </c>
      <c r="AJ602" s="37" t="n">
        <v>2</v>
      </c>
      <c r="AK602" s="37" t="n">
        <v>5</v>
      </c>
      <c r="AL602" s="37" t="s">
        <v>343</v>
      </c>
      <c r="AM602" s="39" t="n">
        <v>114.44</v>
      </c>
    </row>
    <row r="603" customFormat="false" ht="15" hidden="false" customHeight="false" outlineLevel="0" collapsed="false">
      <c r="A603" s="37" t="n">
        <v>372071497</v>
      </c>
      <c r="B603" s="38" t="n">
        <v>46239.578599537</v>
      </c>
      <c r="C603" s="37" t="s">
        <v>340</v>
      </c>
      <c r="D603" s="37" t="s">
        <v>934</v>
      </c>
      <c r="E603" s="37" t="n">
        <v>27935170</v>
      </c>
      <c r="F603" s="37" t="s">
        <v>166</v>
      </c>
      <c r="G603" s="37" t="s">
        <v>198</v>
      </c>
      <c r="H603" s="37" t="s">
        <v>187</v>
      </c>
      <c r="I603" s="37" t="n">
        <v>52.3</v>
      </c>
      <c r="J603" s="39" t="n">
        <v>699.99</v>
      </c>
      <c r="K603" s="37" t="s">
        <v>518</v>
      </c>
      <c r="L603" s="39" t="n">
        <v>142.01</v>
      </c>
      <c r="M603" s="39" t="n">
        <v>83.58</v>
      </c>
      <c r="N603" s="39" t="n">
        <f aca="false">J603*Resumo!$C$6</f>
        <v>0</v>
      </c>
      <c r="O603" s="39" t="n">
        <f aca="false">J603*Resumo!$C$7</f>
        <v>1.469979</v>
      </c>
      <c r="P603" s="39" t="n">
        <f aca="false">J603*Resumo!$C$8</f>
        <v>1.469979</v>
      </c>
      <c r="Q603" s="39" t="n">
        <f aca="false">Resumo!$C$10*CEILING(I603/100,1)</f>
        <v>1.05</v>
      </c>
      <c r="R603" s="39" t="n">
        <f aca="false">Resumo!$C$9</f>
        <v>0</v>
      </c>
      <c r="S603" s="39" t="n">
        <f aca="false">Resumo!$C$13</f>
        <v>13.55</v>
      </c>
      <c r="T603" s="39" t="n">
        <f aca="false">Resumo!$C$14*CEILING(I603,1)</f>
        <v>23.85</v>
      </c>
      <c r="U603" s="39" t="n">
        <f aca="false">SUM(M603:T603)*Resumo!$C$11</f>
        <v>0</v>
      </c>
      <c r="V603" s="39" t="n">
        <f aca="false">SUM(M603:U603)</f>
        <v>124.969958</v>
      </c>
      <c r="W603" s="39" t="n">
        <f aca="false">V603/(1-Resumo!$C$5)</f>
        <v>142.011315909091</v>
      </c>
      <c r="X603" s="39" t="n">
        <v>162.04</v>
      </c>
      <c r="Y603" s="39" t="n">
        <f aca="false">J603*Resumo!$B$6</f>
        <v>0.69999</v>
      </c>
      <c r="Z603" s="39" t="n">
        <f aca="false">J603*Resumo!$B$7</f>
        <v>1.39998</v>
      </c>
      <c r="AA603" s="39" t="n">
        <f aca="false">Resumo!$B$9</f>
        <v>1</v>
      </c>
      <c r="AB603" s="39" t="n">
        <f aca="false">Resumo!$B$10*CEILING(I603/100,1)</f>
        <v>4.5</v>
      </c>
      <c r="AC603" s="39" t="n">
        <f aca="false">Resumo!$B$12*CEILING(I603,1)</f>
        <v>3.18</v>
      </c>
      <c r="AD603" s="39" t="n">
        <f aca="false">Resumo!$B$14*CEILING(I603,1)</f>
        <v>23.85</v>
      </c>
      <c r="AE603" s="39" t="n">
        <f aca="false">SUM(X603:AD603)</f>
        <v>196.66997</v>
      </c>
      <c r="AF603" s="39" t="n">
        <f aca="false">AE603/(1-Resumo!$B$5)</f>
        <v>223.488602272727</v>
      </c>
      <c r="AG603" s="39" t="n">
        <f aca="false">AF603-W603</f>
        <v>81.4772863636363</v>
      </c>
      <c r="AH603" s="40" t="n">
        <f aca="false">AF603/W603-1</f>
        <v>0.573737985892577</v>
      </c>
      <c r="AI603" s="37" t="str">
        <f aca="false">IF(AF603&lt;W603,"SIM","NÃO")</f>
        <v>NÃO</v>
      </c>
      <c r="AJ603" s="37" t="n">
        <v>13</v>
      </c>
      <c r="AK603" s="37" t="n">
        <v>11</v>
      </c>
      <c r="AL603" s="37" t="s">
        <v>343</v>
      </c>
      <c r="AM603" s="39" t="n">
        <v>143.02</v>
      </c>
    </row>
    <row r="604" customFormat="false" ht="15" hidden="false" customHeight="false" outlineLevel="0" collapsed="false">
      <c r="A604" s="37" t="n">
        <v>372077176</v>
      </c>
      <c r="B604" s="38" t="n">
        <v>46239.5894791667</v>
      </c>
      <c r="C604" s="37" t="s">
        <v>340</v>
      </c>
      <c r="D604" s="37" t="s">
        <v>935</v>
      </c>
      <c r="E604" s="37" t="n">
        <v>27330660</v>
      </c>
      <c r="F604" s="37" t="s">
        <v>247</v>
      </c>
      <c r="G604" s="37" t="s">
        <v>198</v>
      </c>
      <c r="H604" s="37" t="s">
        <v>185</v>
      </c>
      <c r="I604" s="37" t="n">
        <v>40</v>
      </c>
      <c r="J604" s="39" t="n">
        <v>569.99</v>
      </c>
      <c r="K604" s="37" t="s">
        <v>518</v>
      </c>
      <c r="L604" s="39" t="n">
        <v>124.97</v>
      </c>
      <c r="M604" s="39" t="n">
        <v>74.97</v>
      </c>
      <c r="N604" s="39" t="n">
        <f aca="false">J604*Resumo!$C$6</f>
        <v>0</v>
      </c>
      <c r="O604" s="39" t="n">
        <f aca="false">J604*Resumo!$C$7</f>
        <v>1.196979</v>
      </c>
      <c r="P604" s="39" t="n">
        <f aca="false">J604*Resumo!$C$8</f>
        <v>1.196979</v>
      </c>
      <c r="Q604" s="39" t="n">
        <f aca="false">Resumo!$C$10*CEILING(I604/100,1)</f>
        <v>1.05</v>
      </c>
      <c r="R604" s="39" t="n">
        <f aca="false">Resumo!$C$9</f>
        <v>0</v>
      </c>
      <c r="S604" s="39" t="n">
        <f aca="false">Resumo!$C$13</f>
        <v>13.55</v>
      </c>
      <c r="T604" s="39" t="n">
        <f aca="false">Resumo!$C$14*CEILING(I604,1)</f>
        <v>18</v>
      </c>
      <c r="U604" s="39" t="n">
        <f aca="false">SUM(M604:T604)*Resumo!$C$11</f>
        <v>0</v>
      </c>
      <c r="V604" s="39" t="n">
        <f aca="false">SUM(M604:U604)</f>
        <v>109.963958</v>
      </c>
      <c r="W604" s="39" t="n">
        <f aca="false">V604/(1-Resumo!$C$5)</f>
        <v>124.959043181818</v>
      </c>
      <c r="X604" s="39" t="n">
        <v>124.38</v>
      </c>
      <c r="Y604" s="39" t="n">
        <f aca="false">J604*Resumo!$B$6</f>
        <v>0.56999</v>
      </c>
      <c r="Z604" s="39" t="n">
        <f aca="false">J604*Resumo!$B$7</f>
        <v>1.13998</v>
      </c>
      <c r="AA604" s="39" t="n">
        <f aca="false">Resumo!$B$9</f>
        <v>1</v>
      </c>
      <c r="AB604" s="39" t="n">
        <f aca="false">Resumo!$B$10*CEILING(I604/100,1)</f>
        <v>4.5</v>
      </c>
      <c r="AC604" s="39" t="n">
        <f aca="false">Resumo!$B$12*CEILING(I604,1)</f>
        <v>2.4</v>
      </c>
      <c r="AD604" s="39" t="n">
        <f aca="false">Resumo!$B$14*CEILING(I604,1)</f>
        <v>18</v>
      </c>
      <c r="AE604" s="39" t="n">
        <f aca="false">SUM(X604:AD604)</f>
        <v>151.98997</v>
      </c>
      <c r="AF604" s="39" t="n">
        <f aca="false">AE604/(1-Resumo!$B$5)</f>
        <v>172.715875</v>
      </c>
      <c r="AG604" s="39" t="n">
        <f aca="false">AF604-W604</f>
        <v>47.7568318181818</v>
      </c>
      <c r="AH604" s="40" t="n">
        <f aca="false">AF604/W604-1</f>
        <v>0.382179877519505</v>
      </c>
      <c r="AI604" s="37" t="str">
        <f aca="false">IF(AF604&lt;W604,"SIM","NÃO")</f>
        <v>NÃO</v>
      </c>
      <c r="AJ604" s="37" t="n">
        <v>13</v>
      </c>
      <c r="AK604" s="37" t="n">
        <v>10</v>
      </c>
      <c r="AL604" s="37" t="s">
        <v>347</v>
      </c>
      <c r="AM604" s="39" t="n">
        <v>122.98</v>
      </c>
    </row>
    <row r="605" customFormat="false" ht="15" hidden="false" customHeight="false" outlineLevel="0" collapsed="false">
      <c r="A605" s="37" t="n">
        <v>372084797</v>
      </c>
      <c r="B605" s="38" t="n">
        <v>46239.6053703704</v>
      </c>
      <c r="C605" s="37" t="s">
        <v>361</v>
      </c>
      <c r="D605" s="37" t="s">
        <v>936</v>
      </c>
      <c r="E605" s="37" t="n">
        <v>26383560</v>
      </c>
      <c r="F605" s="37" t="s">
        <v>236</v>
      </c>
      <c r="G605" s="37" t="s">
        <v>197</v>
      </c>
      <c r="H605" s="37" t="s">
        <v>185</v>
      </c>
      <c r="I605" s="37" t="n">
        <v>37.2</v>
      </c>
      <c r="J605" s="39" t="n">
        <v>459.99</v>
      </c>
      <c r="K605" s="37" t="s">
        <v>518</v>
      </c>
      <c r="L605" s="39" t="n">
        <v>114.17</v>
      </c>
      <c r="M605" s="39" t="n">
        <v>66.83</v>
      </c>
      <c r="N605" s="39" t="n">
        <f aca="false">J605*Resumo!$C$6</f>
        <v>0</v>
      </c>
      <c r="O605" s="39" t="n">
        <f aca="false">J605*Resumo!$C$7</f>
        <v>0.965979</v>
      </c>
      <c r="P605" s="39" t="n">
        <f aca="false">J605*Resumo!$C$8</f>
        <v>0.965979</v>
      </c>
      <c r="Q605" s="39" t="n">
        <f aca="false">Resumo!$C$10*CEILING(I605/100,1)</f>
        <v>1.05</v>
      </c>
      <c r="R605" s="39" t="n">
        <f aca="false">Resumo!$C$9</f>
        <v>0</v>
      </c>
      <c r="S605" s="39" t="n">
        <f aca="false">Resumo!$C$13</f>
        <v>13.55</v>
      </c>
      <c r="T605" s="39" t="n">
        <f aca="false">Resumo!$C$14*CEILING(I605,1)</f>
        <v>17.1</v>
      </c>
      <c r="U605" s="39" t="n">
        <f aca="false">SUM(M605:T605)*Resumo!$C$11</f>
        <v>0</v>
      </c>
      <c r="V605" s="39" t="n">
        <f aca="false">SUM(M605:U605)</f>
        <v>100.461958</v>
      </c>
      <c r="W605" s="39" t="n">
        <f aca="false">V605/(1-Resumo!$C$5)</f>
        <v>114.161315909091</v>
      </c>
      <c r="X605" s="39" t="n">
        <v>93.97</v>
      </c>
      <c r="Y605" s="39" t="n">
        <f aca="false">J605*Resumo!$B$6</f>
        <v>0.45999</v>
      </c>
      <c r="Z605" s="39" t="n">
        <f aca="false">J605*Resumo!$B$7</f>
        <v>0.91998</v>
      </c>
      <c r="AA605" s="39" t="n">
        <f aca="false">Resumo!$B$9</f>
        <v>1</v>
      </c>
      <c r="AB605" s="39" t="n">
        <f aca="false">Resumo!$B$10*CEILING(I605/100,1)</f>
        <v>4.5</v>
      </c>
      <c r="AC605" s="39" t="n">
        <f aca="false">Resumo!$B$12*CEILING(I605,1)</f>
        <v>2.28</v>
      </c>
      <c r="AD605" s="39" t="n">
        <f aca="false">Resumo!$B$14*CEILING(I605,1)</f>
        <v>17.1</v>
      </c>
      <c r="AE605" s="39" t="n">
        <f aca="false">SUM(X605:AD605)</f>
        <v>120.22997</v>
      </c>
      <c r="AF605" s="39" t="n">
        <f aca="false">AE605/(1-Resumo!$B$5)</f>
        <v>136.624965909091</v>
      </c>
      <c r="AG605" s="39" t="n">
        <f aca="false">AF605-W605</f>
        <v>22.46365</v>
      </c>
      <c r="AH605" s="40" t="n">
        <f aca="false">AF605/W605-1</f>
        <v>0.196771120069151</v>
      </c>
      <c r="AI605" s="37" t="str">
        <f aca="false">IF(AF605&lt;W605,"SIM","NÃO")</f>
        <v>NÃO</v>
      </c>
      <c r="AJ605" s="37" t="n">
        <v>2</v>
      </c>
      <c r="AK605" s="37" t="n">
        <v>5</v>
      </c>
      <c r="AL605" s="37" t="s">
        <v>347</v>
      </c>
      <c r="AM605" s="39" t="n">
        <v>113.16</v>
      </c>
    </row>
    <row r="606" customFormat="false" ht="15" hidden="false" customHeight="false" outlineLevel="0" collapsed="false">
      <c r="A606" s="37" t="n">
        <v>372090006</v>
      </c>
      <c r="B606" s="38" t="n">
        <v>46239.6148148148</v>
      </c>
      <c r="C606" s="37" t="s">
        <v>340</v>
      </c>
      <c r="D606" s="37" t="s">
        <v>937</v>
      </c>
      <c r="E606" s="37" t="n">
        <v>22770360</v>
      </c>
      <c r="F606" s="37" t="s">
        <v>159</v>
      </c>
      <c r="G606" s="37" t="s">
        <v>196</v>
      </c>
      <c r="H606" s="37" t="s">
        <v>187</v>
      </c>
      <c r="I606" s="37" t="n">
        <v>52.3</v>
      </c>
      <c r="J606" s="39" t="n">
        <v>685.85</v>
      </c>
      <c r="K606" s="37" t="s">
        <v>518</v>
      </c>
      <c r="L606" s="39" t="n">
        <v>113.56</v>
      </c>
      <c r="M606" s="39" t="n">
        <v>58.6</v>
      </c>
      <c r="N606" s="39" t="n">
        <f aca="false">J606*Resumo!$C$6</f>
        <v>0</v>
      </c>
      <c r="O606" s="39" t="n">
        <f aca="false">J606*Resumo!$C$7</f>
        <v>1.440285</v>
      </c>
      <c r="P606" s="39" t="n">
        <f aca="false">J606*Resumo!$C$8</f>
        <v>1.440285</v>
      </c>
      <c r="Q606" s="39" t="n">
        <f aca="false">Resumo!$C$10*CEILING(I606/100,1)</f>
        <v>1.05</v>
      </c>
      <c r="R606" s="39" t="n">
        <f aca="false">Resumo!$C$9</f>
        <v>0</v>
      </c>
      <c r="S606" s="39" t="n">
        <f aca="false">Resumo!$C$13</f>
        <v>13.55</v>
      </c>
      <c r="T606" s="39" t="n">
        <f aca="false">Resumo!$C$14*CEILING(I606,1)</f>
        <v>23.85</v>
      </c>
      <c r="U606" s="39" t="n">
        <f aca="false">SUM(M606:T606)*Resumo!$C$11</f>
        <v>0</v>
      </c>
      <c r="V606" s="39" t="n">
        <f aca="false">SUM(M606:U606)</f>
        <v>99.93057</v>
      </c>
      <c r="W606" s="39" t="n">
        <f aca="false">V606/(1-Resumo!$C$5)</f>
        <v>113.557465909091</v>
      </c>
      <c r="X606" s="39" t="n">
        <v>112.3</v>
      </c>
      <c r="Y606" s="39" t="n">
        <f aca="false">J606*Resumo!$B$6</f>
        <v>0.68585</v>
      </c>
      <c r="Z606" s="39" t="n">
        <f aca="false">J606*Resumo!$B$7</f>
        <v>1.3717</v>
      </c>
      <c r="AA606" s="39" t="n">
        <f aca="false">Resumo!$B$9</f>
        <v>1</v>
      </c>
      <c r="AB606" s="39" t="n">
        <f aca="false">Resumo!$B$10*CEILING(I606/100,1)</f>
        <v>4.5</v>
      </c>
      <c r="AC606" s="39" t="n">
        <f aca="false">Resumo!$B$12*CEILING(I606,1)</f>
        <v>3.18</v>
      </c>
      <c r="AD606" s="39" t="n">
        <f aca="false">Resumo!$B$14*CEILING(I606,1)</f>
        <v>23.85</v>
      </c>
      <c r="AE606" s="39" t="n">
        <f aca="false">SUM(X606:AD606)</f>
        <v>146.88755</v>
      </c>
      <c r="AF606" s="39" t="n">
        <f aca="false">AE606/(1-Resumo!$B$5)</f>
        <v>166.917670454545</v>
      </c>
      <c r="AG606" s="39" t="n">
        <f aca="false">AF606-W606</f>
        <v>53.3602045454545</v>
      </c>
      <c r="AH606" s="40" t="n">
        <f aca="false">AF606/W606-1</f>
        <v>0.4698960488267</v>
      </c>
      <c r="AI606" s="37" t="str">
        <f aca="false">IF(AF606&lt;W606,"SIM","NÃO")</f>
        <v>NÃO</v>
      </c>
      <c r="AJ606" s="37" t="n">
        <v>2</v>
      </c>
      <c r="AK606" s="37" t="n">
        <v>5</v>
      </c>
      <c r="AL606" s="37" t="s">
        <v>343</v>
      </c>
      <c r="AM606" s="39" t="n">
        <v>114.44</v>
      </c>
    </row>
    <row r="607" customFormat="false" ht="15" hidden="false" customHeight="false" outlineLevel="0" collapsed="false">
      <c r="A607" s="37" t="n">
        <v>372092908</v>
      </c>
      <c r="B607" s="38" t="n">
        <v>46239.6216666667</v>
      </c>
      <c r="C607" s="37" t="s">
        <v>340</v>
      </c>
      <c r="D607" s="37" t="s">
        <v>938</v>
      </c>
      <c r="E607" s="37" t="n">
        <v>24738834</v>
      </c>
      <c r="F607" s="37" t="s">
        <v>160</v>
      </c>
      <c r="G607" s="37" t="s">
        <v>197</v>
      </c>
      <c r="H607" s="37" t="s">
        <v>187</v>
      </c>
      <c r="I607" s="37" t="n">
        <v>52.3</v>
      </c>
      <c r="J607" s="39" t="n">
        <v>699.99</v>
      </c>
      <c r="K607" s="37" t="s">
        <v>518</v>
      </c>
      <c r="L607" s="39" t="n">
        <v>127.69</v>
      </c>
      <c r="M607" s="39" t="n">
        <v>70.98</v>
      </c>
      <c r="N607" s="39" t="n">
        <f aca="false">J607*Resumo!$C$6</f>
        <v>0</v>
      </c>
      <c r="O607" s="39" t="n">
        <f aca="false">J607*Resumo!$C$7</f>
        <v>1.469979</v>
      </c>
      <c r="P607" s="39" t="n">
        <f aca="false">J607*Resumo!$C$8</f>
        <v>1.469979</v>
      </c>
      <c r="Q607" s="39" t="n">
        <f aca="false">Resumo!$C$10*CEILING(I607/100,1)</f>
        <v>1.05</v>
      </c>
      <c r="R607" s="39" t="n">
        <f aca="false">Resumo!$C$9</f>
        <v>0</v>
      </c>
      <c r="S607" s="39" t="n">
        <f aca="false">Resumo!$C$13</f>
        <v>13.55</v>
      </c>
      <c r="T607" s="39" t="n">
        <f aca="false">Resumo!$C$14*CEILING(I607,1)</f>
        <v>23.85</v>
      </c>
      <c r="U607" s="39" t="n">
        <f aca="false">SUM(M607:T607)*Resumo!$C$11</f>
        <v>0</v>
      </c>
      <c r="V607" s="39" t="n">
        <f aca="false">SUM(M607:U607)</f>
        <v>112.369958</v>
      </c>
      <c r="W607" s="39" t="n">
        <f aca="false">V607/(1-Resumo!$C$5)</f>
        <v>127.693134090909</v>
      </c>
      <c r="X607" s="39" t="n">
        <v>128.14</v>
      </c>
      <c r="Y607" s="39" t="n">
        <f aca="false">J607*Resumo!$B$6</f>
        <v>0.69999</v>
      </c>
      <c r="Z607" s="39" t="n">
        <f aca="false">J607*Resumo!$B$7</f>
        <v>1.39998</v>
      </c>
      <c r="AA607" s="39" t="n">
        <f aca="false">Resumo!$B$9</f>
        <v>1</v>
      </c>
      <c r="AB607" s="39" t="n">
        <f aca="false">Resumo!$B$10*CEILING(I607/100,1)</f>
        <v>4.5</v>
      </c>
      <c r="AC607" s="39" t="n">
        <f aca="false">Resumo!$B$12*CEILING(I607,1)</f>
        <v>3.18</v>
      </c>
      <c r="AD607" s="39" t="n">
        <f aca="false">Resumo!$B$14*CEILING(I607,1)</f>
        <v>23.85</v>
      </c>
      <c r="AE607" s="39" t="n">
        <f aca="false">SUM(X607:AD607)</f>
        <v>162.76997</v>
      </c>
      <c r="AF607" s="39" t="n">
        <f aca="false">AE607/(1-Resumo!$B$5)</f>
        <v>184.965875</v>
      </c>
      <c r="AG607" s="39" t="n">
        <f aca="false">AF607-W607</f>
        <v>57.2727409090909</v>
      </c>
      <c r="AH607" s="40" t="n">
        <f aca="false">AF607/W607-1</f>
        <v>0.448518562229951</v>
      </c>
      <c r="AI607" s="37" t="str">
        <f aca="false">IF(AF607&lt;W607,"SIM","NÃO")</f>
        <v>NÃO</v>
      </c>
      <c r="AJ607" s="37" t="n">
        <v>2</v>
      </c>
      <c r="AK607" s="37" t="n">
        <v>7</v>
      </c>
      <c r="AL607" s="37" t="s">
        <v>343</v>
      </c>
      <c r="AM607" s="39" t="n">
        <v>128.64</v>
      </c>
    </row>
    <row r="608" customFormat="false" ht="15" hidden="false" customHeight="false" outlineLevel="0" collapsed="false">
      <c r="A608" s="37" t="n">
        <v>372095310</v>
      </c>
      <c r="B608" s="38" t="n">
        <v>46239.6224305556</v>
      </c>
      <c r="C608" s="37" t="s">
        <v>345</v>
      </c>
      <c r="D608" s="37" t="s">
        <v>939</v>
      </c>
      <c r="E608" s="37" t="n">
        <v>21031752</v>
      </c>
      <c r="F608" s="37" t="s">
        <v>159</v>
      </c>
      <c r="G608" s="37" t="s">
        <v>196</v>
      </c>
      <c r="H608" s="37" t="s">
        <v>192</v>
      </c>
      <c r="I608" s="37" t="n">
        <v>124.2</v>
      </c>
      <c r="J608" s="39" t="n">
        <v>1699.99</v>
      </c>
      <c r="K608" s="37" t="s">
        <v>342</v>
      </c>
      <c r="L608" s="39" t="n">
        <v>234.44</v>
      </c>
      <c r="M608" s="39" t="n">
        <v>120.59</v>
      </c>
      <c r="N608" s="39" t="n">
        <f aca="false">J608*Resumo!$C$6</f>
        <v>0</v>
      </c>
      <c r="O608" s="39" t="n">
        <f aca="false">J608*Resumo!$C$7</f>
        <v>3.569979</v>
      </c>
      <c r="P608" s="39" t="n">
        <f aca="false">J608*Resumo!$C$8</f>
        <v>3.569979</v>
      </c>
      <c r="Q608" s="39" t="n">
        <f aca="false">Resumo!$C$10*CEILING(I608/100,1)</f>
        <v>2.1</v>
      </c>
      <c r="R608" s="39" t="n">
        <f aca="false">Resumo!$C$9</f>
        <v>0</v>
      </c>
      <c r="S608" s="39" t="n">
        <f aca="false">Resumo!$C$13</f>
        <v>13.55</v>
      </c>
      <c r="T608" s="39" t="n">
        <f aca="false">Resumo!$C$14*CEILING(I608,1)</f>
        <v>56.25</v>
      </c>
      <c r="U608" s="39" t="n">
        <f aca="false">SUM(M608:T608)*Resumo!$C$11</f>
        <v>0</v>
      </c>
      <c r="V608" s="39" t="n">
        <f aca="false">SUM(M608:U608)</f>
        <v>199.629958</v>
      </c>
      <c r="W608" s="39" t="n">
        <f aca="false">V608/(1-Resumo!$C$5)</f>
        <v>226.852225</v>
      </c>
      <c r="X608" s="39" t="n">
        <v>239.25</v>
      </c>
      <c r="Y608" s="39" t="n">
        <f aca="false">J608*Resumo!$B$6</f>
        <v>1.69999</v>
      </c>
      <c r="Z608" s="39" t="n">
        <f aca="false">J608*Resumo!$B$7</f>
        <v>3.39998</v>
      </c>
      <c r="AA608" s="39" t="n">
        <f aca="false">Resumo!$B$9</f>
        <v>1</v>
      </c>
      <c r="AB608" s="39" t="n">
        <f aca="false">Resumo!$B$10*CEILING(I608/100,1)</f>
        <v>9</v>
      </c>
      <c r="AC608" s="39" t="n">
        <f aca="false">Resumo!$B$12*CEILING(I608,1)</f>
        <v>7.5</v>
      </c>
      <c r="AD608" s="39" t="n">
        <f aca="false">Resumo!$B$14*CEILING(I608,1)</f>
        <v>56.25</v>
      </c>
      <c r="AE608" s="39" t="n">
        <f aca="false">SUM(X608:AD608)</f>
        <v>318.09997</v>
      </c>
      <c r="AF608" s="39" t="n">
        <f aca="false">AE608/(1-Resumo!$B$5)</f>
        <v>361.477238636364</v>
      </c>
      <c r="AG608" s="39" t="n">
        <f aca="false">AF608-W608</f>
        <v>134.625013636364</v>
      </c>
      <c r="AH608" s="40" t="n">
        <f aca="false">AF608/W608-1</f>
        <v>0.593448063541645</v>
      </c>
      <c r="AI608" s="37" t="str">
        <f aca="false">IF(AF608&lt;W608,"SIM","NÃO")</f>
        <v>NÃO</v>
      </c>
      <c r="AJ608" s="37" t="n">
        <v>2</v>
      </c>
      <c r="AK608" s="37" t="n">
        <v>5</v>
      </c>
      <c r="AL608" s="37" t="s">
        <v>343</v>
      </c>
      <c r="AM608" s="39" t="n">
        <v>234.44</v>
      </c>
    </row>
    <row r="609" customFormat="false" ht="15" hidden="false" customHeight="false" outlineLevel="0" collapsed="false">
      <c r="A609" s="37" t="n">
        <v>372095799</v>
      </c>
      <c r="B609" s="38" t="n">
        <v>46239.6275578704</v>
      </c>
      <c r="C609" s="37" t="s">
        <v>340</v>
      </c>
      <c r="D609" s="37" t="s">
        <v>940</v>
      </c>
      <c r="E609" s="37" t="n">
        <v>22753050</v>
      </c>
      <c r="F609" s="37" t="s">
        <v>159</v>
      </c>
      <c r="G609" s="37" t="s">
        <v>196</v>
      </c>
      <c r="H609" s="37" t="s">
        <v>188</v>
      </c>
      <c r="I609" s="37" t="n">
        <v>66.8</v>
      </c>
      <c r="J609" s="39" t="n">
        <v>719.99</v>
      </c>
      <c r="K609" s="37" t="s">
        <v>342</v>
      </c>
      <c r="L609" s="39" t="n">
        <v>124.66</v>
      </c>
      <c r="M609" s="39" t="n">
        <v>63.21</v>
      </c>
      <c r="N609" s="39" t="n">
        <f aca="false">J609*Resumo!$C$6</f>
        <v>0</v>
      </c>
      <c r="O609" s="39" t="n">
        <f aca="false">J609*Resumo!$C$7</f>
        <v>1.511979</v>
      </c>
      <c r="P609" s="39" t="n">
        <f aca="false">J609*Resumo!$C$8</f>
        <v>1.511979</v>
      </c>
      <c r="Q609" s="39" t="n">
        <f aca="false">Resumo!$C$10*CEILING(I609/100,1)</f>
        <v>1.05</v>
      </c>
      <c r="R609" s="39" t="n">
        <f aca="false">Resumo!$C$9</f>
        <v>0</v>
      </c>
      <c r="S609" s="39" t="n">
        <f aca="false">Resumo!$C$13</f>
        <v>13.55</v>
      </c>
      <c r="T609" s="39" t="n">
        <f aca="false">Resumo!$C$14*CEILING(I609,1)</f>
        <v>30.15</v>
      </c>
      <c r="U609" s="39" t="n">
        <f aca="false">SUM(M609:T609)*Resumo!$C$11</f>
        <v>0</v>
      </c>
      <c r="V609" s="39" t="n">
        <f aca="false">SUM(M609:U609)</f>
        <v>110.983958</v>
      </c>
      <c r="W609" s="39" t="n">
        <f aca="false">V609/(1-Resumo!$C$5)</f>
        <v>126.118134090909</v>
      </c>
      <c r="X609" s="39" t="n">
        <v>131.02</v>
      </c>
      <c r="Y609" s="39" t="n">
        <f aca="false">J609*Resumo!$B$6</f>
        <v>0.71999</v>
      </c>
      <c r="Z609" s="39" t="n">
        <f aca="false">J609*Resumo!$B$7</f>
        <v>1.43998</v>
      </c>
      <c r="AA609" s="39" t="n">
        <f aca="false">Resumo!$B$9</f>
        <v>1</v>
      </c>
      <c r="AB609" s="39" t="n">
        <f aca="false">Resumo!$B$10*CEILING(I609/100,1)</f>
        <v>4.5</v>
      </c>
      <c r="AC609" s="39" t="n">
        <f aca="false">Resumo!$B$12*CEILING(I609,1)</f>
        <v>4.02</v>
      </c>
      <c r="AD609" s="39" t="n">
        <f aca="false">Resumo!$B$14*CEILING(I609,1)</f>
        <v>30.15</v>
      </c>
      <c r="AE609" s="39" t="n">
        <f aca="false">SUM(X609:AD609)</f>
        <v>172.84997</v>
      </c>
      <c r="AF609" s="39" t="n">
        <f aca="false">AE609/(1-Resumo!$B$5)</f>
        <v>196.420420454545</v>
      </c>
      <c r="AG609" s="39" t="n">
        <f aca="false">AF609-W609</f>
        <v>70.3022863636364</v>
      </c>
      <c r="AH609" s="40" t="n">
        <f aca="false">AF609/W609-1</f>
        <v>0.557432020941261</v>
      </c>
      <c r="AI609" s="37" t="str">
        <f aca="false">IF(AF609&lt;W609,"SIM","NÃO")</f>
        <v>NÃO</v>
      </c>
      <c r="AJ609" s="37" t="n">
        <v>2</v>
      </c>
      <c r="AK609" s="37" t="n">
        <v>5</v>
      </c>
      <c r="AL609" s="37" t="s">
        <v>343</v>
      </c>
      <c r="AM609" s="39" t="n">
        <v>124.66</v>
      </c>
    </row>
    <row r="610" customFormat="false" ht="15" hidden="false" customHeight="false" outlineLevel="0" collapsed="false">
      <c r="A610" s="37" t="n">
        <v>372098408</v>
      </c>
      <c r="B610" s="38" t="n">
        <v>46239.6306712963</v>
      </c>
      <c r="C610" s="37" t="s">
        <v>345</v>
      </c>
      <c r="D610" s="37" t="s">
        <v>941</v>
      </c>
      <c r="E610" s="37" t="n">
        <v>28944042</v>
      </c>
      <c r="F610" s="37" t="s">
        <v>292</v>
      </c>
      <c r="G610" s="37" t="s">
        <v>198</v>
      </c>
      <c r="H610" s="37" t="s">
        <v>187</v>
      </c>
      <c r="I610" s="37" t="n">
        <v>59.9</v>
      </c>
      <c r="J610" s="39" t="n">
        <v>945.99</v>
      </c>
      <c r="K610" s="37" t="s">
        <v>518</v>
      </c>
      <c r="L610" s="39" t="n">
        <v>146.77</v>
      </c>
      <c r="M610" s="39" t="n">
        <v>83.58</v>
      </c>
      <c r="N610" s="39" t="n">
        <f aca="false">J610*Resumo!$C$6</f>
        <v>0</v>
      </c>
      <c r="O610" s="39" t="n">
        <f aca="false">J610*Resumo!$C$7</f>
        <v>1.986579</v>
      </c>
      <c r="P610" s="39" t="n">
        <f aca="false">J610*Resumo!$C$8</f>
        <v>1.986579</v>
      </c>
      <c r="Q610" s="39" t="n">
        <f aca="false">Resumo!$C$10*CEILING(I610/100,1)</f>
        <v>1.05</v>
      </c>
      <c r="R610" s="39" t="n">
        <f aca="false">Resumo!$C$9</f>
        <v>0</v>
      </c>
      <c r="S610" s="39" t="n">
        <f aca="false">Resumo!$C$13</f>
        <v>13.55</v>
      </c>
      <c r="T610" s="39" t="n">
        <f aca="false">Resumo!$C$14*CEILING(I610,1)</f>
        <v>27</v>
      </c>
      <c r="U610" s="39" t="n">
        <f aca="false">SUM(M610:T610)*Resumo!$C$11</f>
        <v>0</v>
      </c>
      <c r="V610" s="39" t="n">
        <f aca="false">SUM(M610:U610)</f>
        <v>129.153158</v>
      </c>
      <c r="W610" s="39" t="n">
        <f aca="false">V610/(1-Resumo!$C$5)</f>
        <v>146.764952272727</v>
      </c>
      <c r="X610" s="39" t="n">
        <v>142.32</v>
      </c>
      <c r="Y610" s="39" t="n">
        <f aca="false">J610*Resumo!$B$6</f>
        <v>0.94599</v>
      </c>
      <c r="Z610" s="39" t="n">
        <f aca="false">J610*Resumo!$B$7</f>
        <v>1.89198</v>
      </c>
      <c r="AA610" s="39" t="n">
        <f aca="false">Resumo!$B$9</f>
        <v>1</v>
      </c>
      <c r="AB610" s="39" t="n">
        <f aca="false">Resumo!$B$10*CEILING(I610/100,1)</f>
        <v>4.5</v>
      </c>
      <c r="AC610" s="39" t="n">
        <f aca="false">Resumo!$B$12*CEILING(I610,1)</f>
        <v>3.6</v>
      </c>
      <c r="AD610" s="39" t="n">
        <f aca="false">Resumo!$B$14*CEILING(I610,1)</f>
        <v>27</v>
      </c>
      <c r="AE610" s="39" t="n">
        <f aca="false">SUM(X610:AD610)</f>
        <v>181.25797</v>
      </c>
      <c r="AF610" s="39" t="n">
        <f aca="false">AE610/(1-Resumo!$B$5)</f>
        <v>205.974965909091</v>
      </c>
      <c r="AG610" s="39" t="n">
        <f aca="false">AF610-W610</f>
        <v>59.2100136363636</v>
      </c>
      <c r="AH610" s="40" t="n">
        <f aca="false">AF610/W610-1</f>
        <v>0.40343428536219</v>
      </c>
      <c r="AI610" s="37" t="str">
        <f aca="false">IF(AF610&lt;W610,"SIM","NÃO")</f>
        <v>NÃO</v>
      </c>
      <c r="AJ610" s="37" t="n">
        <v>13</v>
      </c>
      <c r="AK610" s="37" t="n">
        <v>10</v>
      </c>
      <c r="AL610" s="37" t="s">
        <v>347</v>
      </c>
      <c r="AM610" s="39" t="n">
        <v>144.2</v>
      </c>
    </row>
    <row r="611" customFormat="false" ht="15" hidden="false" customHeight="false" outlineLevel="0" collapsed="false">
      <c r="A611" s="37" t="n">
        <v>372100077</v>
      </c>
      <c r="B611" s="38" t="n">
        <v>46239.6368981482</v>
      </c>
      <c r="C611" s="37" t="s">
        <v>375</v>
      </c>
      <c r="D611" s="37" t="s">
        <v>382</v>
      </c>
      <c r="E611" s="37" t="n">
        <v>26143290</v>
      </c>
      <c r="F611" s="37" t="s">
        <v>165</v>
      </c>
      <c r="G611" s="37" t="s">
        <v>197</v>
      </c>
      <c r="H611" s="37" t="s">
        <v>189</v>
      </c>
      <c r="I611" s="37" t="n">
        <v>71.9</v>
      </c>
      <c r="J611" s="39" t="n">
        <v>719.47</v>
      </c>
      <c r="K611" s="37" t="s">
        <v>518</v>
      </c>
      <c r="L611" s="39" t="n">
        <v>150.57</v>
      </c>
      <c r="M611" s="39" t="n">
        <v>82.48</v>
      </c>
      <c r="N611" s="39" t="n">
        <f aca="false">J611*Resumo!$C$6</f>
        <v>0</v>
      </c>
      <c r="O611" s="39" t="n">
        <f aca="false">J611*Resumo!$C$7</f>
        <v>1.510887</v>
      </c>
      <c r="P611" s="39" t="n">
        <f aca="false">J611*Resumo!$C$8</f>
        <v>1.510887</v>
      </c>
      <c r="Q611" s="39" t="n">
        <f aca="false">Resumo!$C$10*CEILING(I611/100,1)</f>
        <v>1.05</v>
      </c>
      <c r="R611" s="39" t="n">
        <f aca="false">Resumo!$C$9</f>
        <v>0</v>
      </c>
      <c r="S611" s="39" t="n">
        <f aca="false">Resumo!$C$13</f>
        <v>13.55</v>
      </c>
      <c r="T611" s="39" t="n">
        <f aca="false">Resumo!$C$14*CEILING(I611,1)</f>
        <v>32.4</v>
      </c>
      <c r="U611" s="39" t="n">
        <f aca="false">SUM(M611:T611)*Resumo!$C$11</f>
        <v>0</v>
      </c>
      <c r="V611" s="39" t="n">
        <f aca="false">SUM(M611:U611)</f>
        <v>132.501774</v>
      </c>
      <c r="W611" s="39" t="n">
        <f aca="false">V611/(1-Resumo!$C$5)</f>
        <v>150.570197727273</v>
      </c>
      <c r="X611" s="39" t="n">
        <v>134.39</v>
      </c>
      <c r="Y611" s="39" t="n">
        <f aca="false">J611*Resumo!$B$6</f>
        <v>0.71947</v>
      </c>
      <c r="Z611" s="39" t="n">
        <f aca="false">J611*Resumo!$B$7</f>
        <v>1.43894</v>
      </c>
      <c r="AA611" s="39" t="n">
        <f aca="false">Resumo!$B$9</f>
        <v>1</v>
      </c>
      <c r="AB611" s="39" t="n">
        <f aca="false">Resumo!$B$10*CEILING(I611/100,1)</f>
        <v>4.5</v>
      </c>
      <c r="AC611" s="39" t="n">
        <f aca="false">Resumo!$B$12*CEILING(I611,1)</f>
        <v>4.32</v>
      </c>
      <c r="AD611" s="39" t="n">
        <f aca="false">Resumo!$B$14*CEILING(I611,1)</f>
        <v>32.4</v>
      </c>
      <c r="AE611" s="39" t="n">
        <f aca="false">SUM(X611:AD611)</f>
        <v>178.76841</v>
      </c>
      <c r="AF611" s="39" t="n">
        <f aca="false">AE611/(1-Resumo!$B$5)</f>
        <v>203.145920454545</v>
      </c>
      <c r="AG611" s="39" t="n">
        <f aca="false">AF611-W611</f>
        <v>52.5757227272727</v>
      </c>
      <c r="AH611" s="40" t="n">
        <f aca="false">AF611/W611-1</f>
        <v>0.34917748346524</v>
      </c>
      <c r="AI611" s="37" t="str">
        <f aca="false">IF(AF611&lt;W611,"SIM","NÃO")</f>
        <v>NÃO</v>
      </c>
      <c r="AJ611" s="37" t="n">
        <v>2</v>
      </c>
      <c r="AK611" s="37" t="n">
        <v>5</v>
      </c>
      <c r="AL611" s="37" t="s">
        <v>343</v>
      </c>
      <c r="AM611" s="39" t="n">
        <v>151.45</v>
      </c>
    </row>
    <row r="612" customFormat="false" ht="15" hidden="false" customHeight="false" outlineLevel="0" collapsed="false">
      <c r="A612" s="37" t="n">
        <v>372111796</v>
      </c>
      <c r="B612" s="38" t="n">
        <v>46239.6611689815</v>
      </c>
      <c r="C612" s="37" t="s">
        <v>361</v>
      </c>
      <c r="D612" s="37" t="s">
        <v>564</v>
      </c>
      <c r="E612" s="37" t="n">
        <v>22451265</v>
      </c>
      <c r="F612" s="37" t="s">
        <v>159</v>
      </c>
      <c r="G612" s="37" t="s">
        <v>196</v>
      </c>
      <c r="H612" s="37" t="s">
        <v>186</v>
      </c>
      <c r="I612" s="37" t="n">
        <v>43.5</v>
      </c>
      <c r="J612" s="39" t="n">
        <v>799.99</v>
      </c>
      <c r="K612" s="37" t="s">
        <v>518</v>
      </c>
      <c r="L612" s="39" t="n">
        <v>103.76</v>
      </c>
      <c r="M612" s="39" t="n">
        <v>53.55</v>
      </c>
      <c r="N612" s="39" t="n">
        <f aca="false">J612*Resumo!$C$6</f>
        <v>0</v>
      </c>
      <c r="O612" s="39" t="n">
        <f aca="false">J612*Resumo!$C$7</f>
        <v>1.679979</v>
      </c>
      <c r="P612" s="39" t="n">
        <f aca="false">J612*Resumo!$C$8</f>
        <v>1.679979</v>
      </c>
      <c r="Q612" s="39" t="n">
        <f aca="false">Resumo!$C$10*CEILING(I612/100,1)</f>
        <v>1.05</v>
      </c>
      <c r="R612" s="39" t="n">
        <f aca="false">Resumo!$C$9</f>
        <v>0</v>
      </c>
      <c r="S612" s="39" t="n">
        <f aca="false">Resumo!$C$13</f>
        <v>13.55</v>
      </c>
      <c r="T612" s="39" t="n">
        <f aca="false">Resumo!$C$14*CEILING(I612,1)</f>
        <v>19.8</v>
      </c>
      <c r="U612" s="39" t="n">
        <f aca="false">SUM(M612:T612)*Resumo!$C$11</f>
        <v>0</v>
      </c>
      <c r="V612" s="39" t="n">
        <f aca="false">SUM(M612:U612)</f>
        <v>91.309958</v>
      </c>
      <c r="W612" s="39" t="n">
        <f aca="false">V612/(1-Resumo!$C$5)</f>
        <v>103.761315909091</v>
      </c>
      <c r="X612" s="39" t="n">
        <v>93.97</v>
      </c>
      <c r="Y612" s="39" t="n">
        <f aca="false">J612*Resumo!$B$6</f>
        <v>0.79999</v>
      </c>
      <c r="Z612" s="39" t="n">
        <f aca="false">J612*Resumo!$B$7</f>
        <v>1.59998</v>
      </c>
      <c r="AA612" s="39" t="n">
        <f aca="false">Resumo!$B$9</f>
        <v>1</v>
      </c>
      <c r="AB612" s="39" t="n">
        <f aca="false">Resumo!$B$10*CEILING(I612/100,1)</f>
        <v>4.5</v>
      </c>
      <c r="AC612" s="39" t="n">
        <f aca="false">Resumo!$B$12*CEILING(I612,1)</f>
        <v>2.64</v>
      </c>
      <c r="AD612" s="39" t="n">
        <f aca="false">Resumo!$B$14*CEILING(I612,1)</f>
        <v>19.8</v>
      </c>
      <c r="AE612" s="39" t="n">
        <f aca="false">SUM(X612:AD612)</f>
        <v>124.30997</v>
      </c>
      <c r="AF612" s="39" t="n">
        <f aca="false">AE612/(1-Resumo!$B$5)</f>
        <v>141.261329545455</v>
      </c>
      <c r="AG612" s="39" t="n">
        <f aca="false">AF612-W612</f>
        <v>37.5000136363637</v>
      </c>
      <c r="AH612" s="40" t="n">
        <f aca="false">AF612/W612-1</f>
        <v>0.361406496321026</v>
      </c>
      <c r="AI612" s="37" t="str">
        <f aca="false">IF(AF612&lt;W612,"SIM","NÃO")</f>
        <v>NÃO</v>
      </c>
      <c r="AJ612" s="37" t="n">
        <v>2</v>
      </c>
      <c r="AK612" s="37" t="n">
        <v>5</v>
      </c>
      <c r="AL612" s="37" t="s">
        <v>343</v>
      </c>
      <c r="AM612" s="39" t="n">
        <v>104.42</v>
      </c>
    </row>
    <row r="613" customFormat="false" ht="15" hidden="false" customHeight="false" outlineLevel="0" collapsed="false">
      <c r="A613" s="37" t="n">
        <v>372121475</v>
      </c>
      <c r="B613" s="38" t="n">
        <v>46239.6754166667</v>
      </c>
      <c r="C613" s="37" t="s">
        <v>340</v>
      </c>
      <c r="D613" s="37" t="s">
        <v>942</v>
      </c>
      <c r="E613" s="37" t="n">
        <v>25025086</v>
      </c>
      <c r="F613" s="37" t="s">
        <v>161</v>
      </c>
      <c r="G613" s="37" t="s">
        <v>197</v>
      </c>
      <c r="H613" s="37" t="s">
        <v>187</v>
      </c>
      <c r="I613" s="37" t="n">
        <v>52.3</v>
      </c>
      <c r="J613" s="39" t="n">
        <v>685.85</v>
      </c>
      <c r="K613" s="37" t="s">
        <v>342</v>
      </c>
      <c r="L613" s="39" t="n">
        <v>128.57</v>
      </c>
      <c r="M613" s="39" t="n">
        <v>70.98</v>
      </c>
      <c r="N613" s="39" t="n">
        <f aca="false">J613*Resumo!$C$6</f>
        <v>0</v>
      </c>
      <c r="O613" s="39" t="n">
        <f aca="false">J613*Resumo!$C$7</f>
        <v>1.440285</v>
      </c>
      <c r="P613" s="39" t="n">
        <f aca="false">J613*Resumo!$C$8</f>
        <v>1.440285</v>
      </c>
      <c r="Q613" s="39" t="n">
        <f aca="false">Resumo!$C$10*CEILING(I613/100,1)</f>
        <v>1.05</v>
      </c>
      <c r="R613" s="39" t="n">
        <f aca="false">Resumo!$C$9</f>
        <v>0</v>
      </c>
      <c r="S613" s="39" t="n">
        <f aca="false">Resumo!$C$13</f>
        <v>13.55</v>
      </c>
      <c r="T613" s="39" t="n">
        <f aca="false">Resumo!$C$14*CEILING(I613,1)</f>
        <v>23.85</v>
      </c>
      <c r="U613" s="39" t="n">
        <f aca="false">SUM(M613:T613)*Resumo!$C$11</f>
        <v>0</v>
      </c>
      <c r="V613" s="39" t="n">
        <f aca="false">SUM(M613:U613)</f>
        <v>112.31057</v>
      </c>
      <c r="W613" s="39" t="n">
        <f aca="false">V613/(1-Resumo!$C$5)</f>
        <v>127.625647727273</v>
      </c>
      <c r="X613" s="39" t="n">
        <v>112.3</v>
      </c>
      <c r="Y613" s="39" t="n">
        <f aca="false">J613*Resumo!$B$6</f>
        <v>0.68585</v>
      </c>
      <c r="Z613" s="39" t="n">
        <f aca="false">J613*Resumo!$B$7</f>
        <v>1.3717</v>
      </c>
      <c r="AA613" s="39" t="n">
        <f aca="false">Resumo!$B$9</f>
        <v>1</v>
      </c>
      <c r="AB613" s="39" t="n">
        <f aca="false">Resumo!$B$10*CEILING(I613/100,1)</f>
        <v>4.5</v>
      </c>
      <c r="AC613" s="39" t="n">
        <f aca="false">Resumo!$B$12*CEILING(I613,1)</f>
        <v>3.18</v>
      </c>
      <c r="AD613" s="39" t="n">
        <f aca="false">Resumo!$B$14*CEILING(I613,1)</f>
        <v>23.85</v>
      </c>
      <c r="AE613" s="39" t="n">
        <f aca="false">SUM(X613:AD613)</f>
        <v>146.88755</v>
      </c>
      <c r="AF613" s="39" t="n">
        <f aca="false">AE613/(1-Resumo!$B$5)</f>
        <v>166.917670454545</v>
      </c>
      <c r="AG613" s="39" t="n">
        <f aca="false">AF613-W613</f>
        <v>39.2920227272727</v>
      </c>
      <c r="AH613" s="40" t="n">
        <f aca="false">AF613/W613-1</f>
        <v>0.30786933055366</v>
      </c>
      <c r="AI613" s="37" t="str">
        <f aca="false">IF(AF613&lt;W613,"SIM","NÃO")</f>
        <v>NÃO</v>
      </c>
      <c r="AJ613" s="37" t="n">
        <v>2</v>
      </c>
      <c r="AK613" s="37" t="n">
        <v>5</v>
      </c>
      <c r="AL613" s="37" t="s">
        <v>343</v>
      </c>
      <c r="AM613" s="39" t="n">
        <v>128.57</v>
      </c>
    </row>
    <row r="614" customFormat="false" ht="15" hidden="false" customHeight="false" outlineLevel="0" collapsed="false">
      <c r="A614" s="37" t="n">
        <v>372151352</v>
      </c>
      <c r="B614" s="38" t="n">
        <v>46239.7263773148</v>
      </c>
      <c r="C614" s="37" t="s">
        <v>340</v>
      </c>
      <c r="D614" s="37" t="s">
        <v>943</v>
      </c>
      <c r="E614" s="37" t="n">
        <v>23042500</v>
      </c>
      <c r="F614" s="37" t="s">
        <v>159</v>
      </c>
      <c r="G614" s="37" t="s">
        <v>196</v>
      </c>
      <c r="H614" s="37" t="s">
        <v>185</v>
      </c>
      <c r="I614" s="37" t="n">
        <v>40</v>
      </c>
      <c r="J614" s="39" t="n">
        <v>579.99</v>
      </c>
      <c r="K614" s="37" t="s">
        <v>518</v>
      </c>
      <c r="L614" s="39" t="n">
        <v>94.76</v>
      </c>
      <c r="M614" s="39" t="n">
        <v>48.35</v>
      </c>
      <c r="N614" s="39" t="n">
        <f aca="false">J614*Resumo!$C$6</f>
        <v>0</v>
      </c>
      <c r="O614" s="39" t="n">
        <f aca="false">J614*Resumo!$C$7</f>
        <v>1.217979</v>
      </c>
      <c r="P614" s="39" t="n">
        <f aca="false">J614*Resumo!$C$8</f>
        <v>1.217979</v>
      </c>
      <c r="Q614" s="39" t="n">
        <f aca="false">Resumo!$C$10*CEILING(I614/100,1)</f>
        <v>1.05</v>
      </c>
      <c r="R614" s="39" t="n">
        <f aca="false">Resumo!$C$9</f>
        <v>0</v>
      </c>
      <c r="S614" s="39" t="n">
        <f aca="false">Resumo!$C$13</f>
        <v>13.55</v>
      </c>
      <c r="T614" s="39" t="n">
        <f aca="false">Resumo!$C$14*CEILING(I614,1)</f>
        <v>18</v>
      </c>
      <c r="U614" s="39" t="n">
        <f aca="false">SUM(M614:T614)*Resumo!$C$11</f>
        <v>0</v>
      </c>
      <c r="V614" s="39" t="n">
        <f aca="false">SUM(M614:U614)</f>
        <v>83.385958</v>
      </c>
      <c r="W614" s="39" t="n">
        <f aca="false">V614/(1-Resumo!$C$5)</f>
        <v>94.7567704545455</v>
      </c>
      <c r="X614" s="39" t="n">
        <v>93.97</v>
      </c>
      <c r="Y614" s="39" t="n">
        <f aca="false">J614*Resumo!$B$6</f>
        <v>0.57999</v>
      </c>
      <c r="Z614" s="39" t="n">
        <f aca="false">J614*Resumo!$B$7</f>
        <v>1.15998</v>
      </c>
      <c r="AA614" s="39" t="n">
        <f aca="false">Resumo!$B$9</f>
        <v>1</v>
      </c>
      <c r="AB614" s="39" t="n">
        <f aca="false">Resumo!$B$10*CEILING(I614/100,1)</f>
        <v>4.5</v>
      </c>
      <c r="AC614" s="39" t="n">
        <f aca="false">Resumo!$B$12*CEILING(I614,1)</f>
        <v>2.4</v>
      </c>
      <c r="AD614" s="39" t="n">
        <f aca="false">Resumo!$B$14*CEILING(I614,1)</f>
        <v>18</v>
      </c>
      <c r="AE614" s="39" t="n">
        <f aca="false">SUM(X614:AD614)</f>
        <v>121.60997</v>
      </c>
      <c r="AF614" s="39" t="n">
        <f aca="false">AE614/(1-Resumo!$B$5)</f>
        <v>138.193147727273</v>
      </c>
      <c r="AG614" s="39" t="n">
        <f aca="false">AF614-W614</f>
        <v>43.4363772727273</v>
      </c>
      <c r="AH614" s="40" t="n">
        <f aca="false">AF614/W614-1</f>
        <v>0.458398667075337</v>
      </c>
      <c r="AI614" s="37" t="str">
        <f aca="false">IF(AF614&lt;W614,"SIM","NÃO")</f>
        <v>NÃO</v>
      </c>
      <c r="AJ614" s="37" t="n">
        <v>2</v>
      </c>
      <c r="AK614" s="37" t="n">
        <v>5</v>
      </c>
      <c r="AL614" s="37" t="s">
        <v>343</v>
      </c>
      <c r="AM614" s="39" t="n">
        <v>92.64</v>
      </c>
    </row>
    <row r="615" customFormat="false" ht="15" hidden="false" customHeight="false" outlineLevel="0" collapsed="false">
      <c r="A615" s="37" t="n">
        <v>372167812</v>
      </c>
      <c r="B615" s="38" t="n">
        <v>46239.7581712963</v>
      </c>
      <c r="C615" s="37" t="s">
        <v>340</v>
      </c>
      <c r="D615" s="37" t="s">
        <v>944</v>
      </c>
      <c r="E615" s="37" t="n">
        <v>22210050</v>
      </c>
      <c r="F615" s="37" t="s">
        <v>159</v>
      </c>
      <c r="G615" s="37" t="s">
        <v>196</v>
      </c>
      <c r="H615" s="37" t="s">
        <v>184</v>
      </c>
      <c r="I615" s="37" t="n">
        <v>27.5</v>
      </c>
      <c r="J615" s="39" t="n">
        <v>399.99</v>
      </c>
      <c r="K615" s="37" t="s">
        <v>342</v>
      </c>
      <c r="L615" s="39" t="n">
        <v>82.24</v>
      </c>
      <c r="M615" s="39" t="n">
        <v>42.11</v>
      </c>
      <c r="N615" s="39" t="n">
        <f aca="false">J615*Resumo!$C$6</f>
        <v>0</v>
      </c>
      <c r="O615" s="39" t="n">
        <f aca="false">J615*Resumo!$C$7</f>
        <v>0.839979</v>
      </c>
      <c r="P615" s="39" t="n">
        <f aca="false">J615*Resumo!$C$8</f>
        <v>0.839979</v>
      </c>
      <c r="Q615" s="39" t="n">
        <f aca="false">Resumo!$C$10*CEILING(I615/100,1)</f>
        <v>1.05</v>
      </c>
      <c r="R615" s="39" t="n">
        <f aca="false">Resumo!$C$9</f>
        <v>0</v>
      </c>
      <c r="S615" s="39" t="n">
        <f aca="false">Resumo!$C$13</f>
        <v>13.55</v>
      </c>
      <c r="T615" s="39" t="n">
        <f aca="false">Resumo!$C$14*CEILING(I615,1)</f>
        <v>12.6</v>
      </c>
      <c r="U615" s="39" t="n">
        <f aca="false">SUM(M615:T615)*Resumo!$C$11</f>
        <v>0</v>
      </c>
      <c r="V615" s="39" t="n">
        <f aca="false">SUM(M615:U615)</f>
        <v>70.989958</v>
      </c>
      <c r="W615" s="39" t="n">
        <f aca="false">V615/(1-Resumo!$C$5)</f>
        <v>80.6704068181818</v>
      </c>
      <c r="X615" s="39" t="n">
        <v>82.21</v>
      </c>
      <c r="Y615" s="39" t="n">
        <f aca="false">J615*Resumo!$B$6</f>
        <v>0.39999</v>
      </c>
      <c r="Z615" s="39" t="n">
        <f aca="false">J615*Resumo!$B$7</f>
        <v>0.79998</v>
      </c>
      <c r="AA615" s="39" t="n">
        <f aca="false">Resumo!$B$9</f>
        <v>1</v>
      </c>
      <c r="AB615" s="39" t="n">
        <f aca="false">Resumo!$B$10*CEILING(I615/100,1)</f>
        <v>4.5</v>
      </c>
      <c r="AC615" s="39" t="n">
        <f aca="false">Resumo!$B$12*CEILING(I615,1)</f>
        <v>1.68</v>
      </c>
      <c r="AD615" s="39" t="n">
        <f aca="false">Resumo!$B$14*CEILING(I615,1)</f>
        <v>12.6</v>
      </c>
      <c r="AE615" s="39" t="n">
        <f aca="false">SUM(X615:AD615)</f>
        <v>103.18997</v>
      </c>
      <c r="AF615" s="39" t="n">
        <f aca="false">AE615/(1-Resumo!$B$5)</f>
        <v>117.261329545455</v>
      </c>
      <c r="AG615" s="39" t="n">
        <f aca="false">AF615-W615</f>
        <v>36.5909227272727</v>
      </c>
      <c r="AH615" s="40" t="n">
        <f aca="false">AF615/W615-1</f>
        <v>0.45358544936736</v>
      </c>
      <c r="AI615" s="37" t="str">
        <f aca="false">IF(AF615&lt;W615,"SIM","NÃO")</f>
        <v>NÃO</v>
      </c>
      <c r="AJ615" s="37" t="n">
        <v>2</v>
      </c>
      <c r="AK615" s="37" t="n">
        <v>5</v>
      </c>
      <c r="AL615" s="37" t="s">
        <v>343</v>
      </c>
      <c r="AM615" s="39" t="n">
        <v>82.24</v>
      </c>
    </row>
    <row r="616" customFormat="false" ht="15" hidden="false" customHeight="false" outlineLevel="0" collapsed="false">
      <c r="A616" s="37" t="n">
        <v>372192510</v>
      </c>
      <c r="B616" s="38" t="n">
        <v>46239.8094675926</v>
      </c>
      <c r="C616" s="37" t="s">
        <v>345</v>
      </c>
      <c r="D616" s="37" t="s">
        <v>945</v>
      </c>
      <c r="E616" s="37" t="n">
        <v>27197249</v>
      </c>
      <c r="F616" s="37" t="s">
        <v>246</v>
      </c>
      <c r="G616" s="37" t="s">
        <v>198</v>
      </c>
      <c r="H616" s="37" t="s">
        <v>187</v>
      </c>
      <c r="I616" s="37" t="n">
        <v>52.3</v>
      </c>
      <c r="J616" s="39" t="n">
        <v>637.57</v>
      </c>
      <c r="K616" s="37" t="s">
        <v>518</v>
      </c>
      <c r="L616" s="39" t="n">
        <v>141.72</v>
      </c>
      <c r="M616" s="39" t="n">
        <v>83.58</v>
      </c>
      <c r="N616" s="39" t="n">
        <f aca="false">J616*Resumo!$C$6</f>
        <v>0</v>
      </c>
      <c r="O616" s="39" t="n">
        <f aca="false">J616*Resumo!$C$7</f>
        <v>1.338897</v>
      </c>
      <c r="P616" s="39" t="n">
        <f aca="false">J616*Resumo!$C$8</f>
        <v>1.338897</v>
      </c>
      <c r="Q616" s="39" t="n">
        <f aca="false">Resumo!$C$10*CEILING(I616/100,1)</f>
        <v>1.05</v>
      </c>
      <c r="R616" s="39" t="n">
        <f aca="false">Resumo!$C$9</f>
        <v>0</v>
      </c>
      <c r="S616" s="39" t="n">
        <f aca="false">Resumo!$C$13</f>
        <v>13.55</v>
      </c>
      <c r="T616" s="39" t="n">
        <f aca="false">Resumo!$C$14*CEILING(I616,1)</f>
        <v>23.85</v>
      </c>
      <c r="U616" s="39" t="n">
        <f aca="false">SUM(M616:T616)*Resumo!$C$11</f>
        <v>0</v>
      </c>
      <c r="V616" s="39" t="n">
        <f aca="false">SUM(M616:U616)</f>
        <v>124.707794</v>
      </c>
      <c r="W616" s="39" t="n">
        <f aca="false">V616/(1-Resumo!$C$5)</f>
        <v>141.713402272727</v>
      </c>
      <c r="X616" s="39" t="n">
        <v>142.32</v>
      </c>
      <c r="Y616" s="39" t="n">
        <f aca="false">J616*Resumo!$B$6</f>
        <v>0.63757</v>
      </c>
      <c r="Z616" s="39" t="n">
        <f aca="false">J616*Resumo!$B$7</f>
        <v>1.27514</v>
      </c>
      <c r="AA616" s="39" t="n">
        <f aca="false">Resumo!$B$9</f>
        <v>1</v>
      </c>
      <c r="AB616" s="39" t="n">
        <f aca="false">Resumo!$B$10*CEILING(I616/100,1)</f>
        <v>4.5</v>
      </c>
      <c r="AC616" s="39" t="n">
        <f aca="false">Resumo!$B$12*CEILING(I616,1)</f>
        <v>3.18</v>
      </c>
      <c r="AD616" s="39" t="n">
        <f aca="false">Resumo!$B$14*CEILING(I616,1)</f>
        <v>23.85</v>
      </c>
      <c r="AE616" s="39" t="n">
        <f aca="false">SUM(X616:AD616)</f>
        <v>176.76271</v>
      </c>
      <c r="AF616" s="39" t="n">
        <f aca="false">AE616/(1-Resumo!$B$5)</f>
        <v>200.866715909091</v>
      </c>
      <c r="AG616" s="39" t="n">
        <f aca="false">AF616-W616</f>
        <v>59.1533136363636</v>
      </c>
      <c r="AH616" s="40" t="n">
        <f aca="false">AF616/W616-1</f>
        <v>0.417415097568</v>
      </c>
      <c r="AI616" s="37" t="str">
        <f aca="false">IF(AF616&lt;W616,"SIM","NÃO")</f>
        <v>NÃO</v>
      </c>
      <c r="AJ616" s="37" t="n">
        <v>13</v>
      </c>
      <c r="AK616" s="37" t="n">
        <v>10</v>
      </c>
      <c r="AL616" s="37" t="s">
        <v>347</v>
      </c>
      <c r="AM616" s="39" t="n">
        <v>142.73</v>
      </c>
    </row>
    <row r="617" customFormat="false" ht="15" hidden="false" customHeight="false" outlineLevel="0" collapsed="false">
      <c r="A617" s="37" t="n">
        <v>372210500</v>
      </c>
      <c r="B617" s="38" t="n">
        <v>46239.8469328704</v>
      </c>
      <c r="C617" s="37" t="s">
        <v>375</v>
      </c>
      <c r="D617" s="37" t="s">
        <v>946</v>
      </c>
      <c r="E617" s="37" t="n">
        <v>25555091</v>
      </c>
      <c r="F617" s="37" t="s">
        <v>167</v>
      </c>
      <c r="G617" s="37" t="s">
        <v>197</v>
      </c>
      <c r="H617" s="37" t="s">
        <v>187</v>
      </c>
      <c r="I617" s="37" t="n">
        <v>52.3</v>
      </c>
      <c r="J617" s="39" t="n">
        <v>611.71</v>
      </c>
      <c r="K617" s="37" t="s">
        <v>518</v>
      </c>
      <c r="L617" s="39" t="n">
        <v>127.26</v>
      </c>
      <c r="M617" s="39" t="n">
        <v>70.98</v>
      </c>
      <c r="N617" s="39" t="n">
        <f aca="false">J617*Resumo!$C$6</f>
        <v>0</v>
      </c>
      <c r="O617" s="39" t="n">
        <f aca="false">J617*Resumo!$C$7</f>
        <v>1.284591</v>
      </c>
      <c r="P617" s="39" t="n">
        <f aca="false">J617*Resumo!$C$8</f>
        <v>1.284591</v>
      </c>
      <c r="Q617" s="39" t="n">
        <f aca="false">Resumo!$C$10*CEILING(I617/100,1)</f>
        <v>1.05</v>
      </c>
      <c r="R617" s="39" t="n">
        <f aca="false">Resumo!$C$9</f>
        <v>0</v>
      </c>
      <c r="S617" s="39" t="n">
        <f aca="false">Resumo!$C$13</f>
        <v>13.55</v>
      </c>
      <c r="T617" s="39" t="n">
        <f aca="false">Resumo!$C$14*CEILING(I617,1)</f>
        <v>23.85</v>
      </c>
      <c r="U617" s="39" t="n">
        <f aca="false">SUM(M617:T617)*Resumo!$C$11</f>
        <v>0</v>
      </c>
      <c r="V617" s="39" t="n">
        <f aca="false">SUM(M617:U617)</f>
        <v>111.999182</v>
      </c>
      <c r="W617" s="39" t="n">
        <f aca="false">V617/(1-Resumo!$C$5)</f>
        <v>127.271797727273</v>
      </c>
      <c r="X617" s="39" t="n">
        <v>112.3</v>
      </c>
      <c r="Y617" s="39" t="n">
        <f aca="false">J617*Resumo!$B$6</f>
        <v>0.61171</v>
      </c>
      <c r="Z617" s="39" t="n">
        <f aca="false">J617*Resumo!$B$7</f>
        <v>1.22342</v>
      </c>
      <c r="AA617" s="39" t="n">
        <f aca="false">Resumo!$B$9</f>
        <v>1</v>
      </c>
      <c r="AB617" s="39" t="n">
        <f aca="false">Resumo!$B$10*CEILING(I617/100,1)</f>
        <v>4.5</v>
      </c>
      <c r="AC617" s="39" t="n">
        <f aca="false">Resumo!$B$12*CEILING(I617,1)</f>
        <v>3.18</v>
      </c>
      <c r="AD617" s="39" t="n">
        <f aca="false">Resumo!$B$14*CEILING(I617,1)</f>
        <v>23.85</v>
      </c>
      <c r="AE617" s="39" t="n">
        <f aca="false">SUM(X617:AD617)</f>
        <v>146.66513</v>
      </c>
      <c r="AF617" s="39" t="n">
        <f aca="false">AE617/(1-Resumo!$B$5)</f>
        <v>166.664920454545</v>
      </c>
      <c r="AG617" s="39" t="n">
        <f aca="false">AF617-W617</f>
        <v>39.3931227272727</v>
      </c>
      <c r="AH617" s="40" t="n">
        <f aca="false">AF617/W617-1</f>
        <v>0.30951965345604</v>
      </c>
      <c r="AI617" s="37" t="str">
        <f aca="false">IF(AF617&lt;W617,"SIM","NÃO")</f>
        <v>NÃO</v>
      </c>
      <c r="AJ617" s="37" t="n">
        <v>2</v>
      </c>
      <c r="AK617" s="37" t="n">
        <v>5</v>
      </c>
      <c r="AL617" s="37" t="s">
        <v>343</v>
      </c>
      <c r="AM617" s="39" t="n">
        <v>128.21</v>
      </c>
    </row>
    <row r="618" customFormat="false" ht="15" hidden="false" customHeight="false" outlineLevel="0" collapsed="false">
      <c r="A618" s="37" t="n">
        <v>372223895</v>
      </c>
      <c r="B618" s="38" t="n">
        <v>46239.8708101852</v>
      </c>
      <c r="C618" s="37" t="s">
        <v>340</v>
      </c>
      <c r="D618" s="37" t="s">
        <v>947</v>
      </c>
      <c r="E618" s="37" t="n">
        <v>26083460</v>
      </c>
      <c r="F618" s="37" t="s">
        <v>162</v>
      </c>
      <c r="G618" s="37" t="s">
        <v>197</v>
      </c>
      <c r="H618" s="37" t="s">
        <v>188</v>
      </c>
      <c r="I618" s="37" t="n">
        <v>61.5</v>
      </c>
      <c r="J618" s="39" t="n">
        <v>726.79</v>
      </c>
      <c r="K618" s="37" t="s">
        <v>342</v>
      </c>
      <c r="L618" s="39" t="n">
        <v>139.91</v>
      </c>
      <c r="M618" s="39" t="n">
        <v>76.55</v>
      </c>
      <c r="N618" s="39" t="n">
        <f aca="false">J618*Resumo!$C$6</f>
        <v>0</v>
      </c>
      <c r="O618" s="39" t="n">
        <f aca="false">J618*Resumo!$C$7</f>
        <v>1.526259</v>
      </c>
      <c r="P618" s="39" t="n">
        <f aca="false">J618*Resumo!$C$8</f>
        <v>1.526259</v>
      </c>
      <c r="Q618" s="39" t="n">
        <f aca="false">Resumo!$C$10*CEILING(I618/100,1)</f>
        <v>1.05</v>
      </c>
      <c r="R618" s="39" t="n">
        <f aca="false">Resumo!$C$9</f>
        <v>0</v>
      </c>
      <c r="S618" s="39" t="n">
        <f aca="false">Resumo!$C$13</f>
        <v>13.55</v>
      </c>
      <c r="T618" s="39" t="n">
        <f aca="false">Resumo!$C$14*CEILING(I618,1)</f>
        <v>27.9</v>
      </c>
      <c r="U618" s="39" t="n">
        <f aca="false">SUM(M618:T618)*Resumo!$C$11</f>
        <v>0</v>
      </c>
      <c r="V618" s="39" t="n">
        <f aca="false">SUM(M618:U618)</f>
        <v>122.102518</v>
      </c>
      <c r="W618" s="39" t="n">
        <f aca="false">V618/(1-Resumo!$C$5)</f>
        <v>138.752861363636</v>
      </c>
      <c r="X618" s="39" t="n">
        <v>131.02</v>
      </c>
      <c r="Y618" s="39" t="n">
        <f aca="false">J618*Resumo!$B$6</f>
        <v>0.72679</v>
      </c>
      <c r="Z618" s="39" t="n">
        <f aca="false">J618*Resumo!$B$7</f>
        <v>1.45358</v>
      </c>
      <c r="AA618" s="39" t="n">
        <f aca="false">Resumo!$B$9</f>
        <v>1</v>
      </c>
      <c r="AB618" s="39" t="n">
        <f aca="false">Resumo!$B$10*CEILING(I618/100,1)</f>
        <v>4.5</v>
      </c>
      <c r="AC618" s="39" t="n">
        <f aca="false">Resumo!$B$12*CEILING(I618,1)</f>
        <v>3.72</v>
      </c>
      <c r="AD618" s="39" t="n">
        <f aca="false">Resumo!$B$14*CEILING(I618,1)</f>
        <v>27.9</v>
      </c>
      <c r="AE618" s="39" t="n">
        <f aca="false">SUM(X618:AD618)</f>
        <v>170.32037</v>
      </c>
      <c r="AF618" s="39" t="n">
        <f aca="false">AE618/(1-Resumo!$B$5)</f>
        <v>193.545875</v>
      </c>
      <c r="AG618" s="39" t="n">
        <f aca="false">AF618-W618</f>
        <v>54.7930136363637</v>
      </c>
      <c r="AH618" s="40" t="n">
        <f aca="false">AF618/W618-1</f>
        <v>0.394896459055824</v>
      </c>
      <c r="AI618" s="37" t="str">
        <f aca="false">IF(AF618&lt;W618,"SIM","NÃO")</f>
        <v>NÃO</v>
      </c>
      <c r="AJ618" s="37" t="n">
        <v>2</v>
      </c>
      <c r="AK618" s="37" t="n">
        <v>5</v>
      </c>
      <c r="AL618" s="37" t="s">
        <v>343</v>
      </c>
      <c r="AM618" s="39" t="n">
        <v>139.92</v>
      </c>
    </row>
    <row r="619" customFormat="false" ht="15" hidden="false" customHeight="false" outlineLevel="0" collapsed="false">
      <c r="A619" s="37" t="n">
        <v>372239165</v>
      </c>
      <c r="B619" s="38" t="n">
        <v>46239.8980787037</v>
      </c>
      <c r="C619" s="37" t="s">
        <v>340</v>
      </c>
      <c r="D619" s="37" t="s">
        <v>948</v>
      </c>
      <c r="E619" s="37" t="n">
        <v>24421021</v>
      </c>
      <c r="F619" s="37" t="s">
        <v>160</v>
      </c>
      <c r="G619" s="37" t="s">
        <v>197</v>
      </c>
      <c r="H619" s="37" t="s">
        <v>186</v>
      </c>
      <c r="I619" s="37" t="n">
        <v>45.3</v>
      </c>
      <c r="J619" s="39" t="n">
        <v>699.99</v>
      </c>
      <c r="K619" s="37" t="s">
        <v>518</v>
      </c>
      <c r="L619" s="39" t="n">
        <v>117.73</v>
      </c>
      <c r="M619" s="39" t="n">
        <v>65.36</v>
      </c>
      <c r="N619" s="39" t="n">
        <f aca="false">J619*Resumo!$C$6</f>
        <v>0</v>
      </c>
      <c r="O619" s="39" t="n">
        <f aca="false">J619*Resumo!$C$7</f>
        <v>1.469979</v>
      </c>
      <c r="P619" s="39" t="n">
        <f aca="false">J619*Resumo!$C$8</f>
        <v>1.469979</v>
      </c>
      <c r="Q619" s="39" t="n">
        <f aca="false">Resumo!$C$10*CEILING(I619/100,1)</f>
        <v>1.05</v>
      </c>
      <c r="R619" s="39" t="n">
        <f aca="false">Resumo!$C$9</f>
        <v>0</v>
      </c>
      <c r="S619" s="39" t="n">
        <f aca="false">Resumo!$C$13</f>
        <v>13.55</v>
      </c>
      <c r="T619" s="39" t="n">
        <f aca="false">Resumo!$C$14*CEILING(I619,1)</f>
        <v>20.7</v>
      </c>
      <c r="U619" s="39" t="n">
        <f aca="false">SUM(M619:T619)*Resumo!$C$11</f>
        <v>0</v>
      </c>
      <c r="V619" s="39" t="n">
        <f aca="false">SUM(M619:U619)</f>
        <v>103.599958</v>
      </c>
      <c r="W619" s="39" t="n">
        <f aca="false">V619/(1-Resumo!$C$5)</f>
        <v>117.727225</v>
      </c>
      <c r="X619" s="39" t="n">
        <v>114.95</v>
      </c>
      <c r="Y619" s="39" t="n">
        <f aca="false">J619*Resumo!$B$6</f>
        <v>0.69999</v>
      </c>
      <c r="Z619" s="39" t="n">
        <f aca="false">J619*Resumo!$B$7</f>
        <v>1.39998</v>
      </c>
      <c r="AA619" s="39" t="n">
        <f aca="false">Resumo!$B$9</f>
        <v>1</v>
      </c>
      <c r="AB619" s="39" t="n">
        <f aca="false">Resumo!$B$10*CEILING(I619/100,1)</f>
        <v>4.5</v>
      </c>
      <c r="AC619" s="39" t="n">
        <f aca="false">Resumo!$B$12*CEILING(I619,1)</f>
        <v>2.76</v>
      </c>
      <c r="AD619" s="39" t="n">
        <f aca="false">Resumo!$B$14*CEILING(I619,1)</f>
        <v>20.7</v>
      </c>
      <c r="AE619" s="39" t="n">
        <f aca="false">SUM(X619:AD619)</f>
        <v>146.00997</v>
      </c>
      <c r="AF619" s="39" t="n">
        <f aca="false">AE619/(1-Resumo!$B$5)</f>
        <v>165.920420454545</v>
      </c>
      <c r="AG619" s="39" t="n">
        <f aca="false">AF619-W619</f>
        <v>48.1931954545455</v>
      </c>
      <c r="AH619" s="40" t="n">
        <f aca="false">AF619/W619-1</f>
        <v>0.409363216151111</v>
      </c>
      <c r="AI619" s="37" t="str">
        <f aca="false">IF(AF619&lt;W619,"SIM","NÃO")</f>
        <v>NÃO</v>
      </c>
      <c r="AJ619" s="37" t="n">
        <v>2</v>
      </c>
      <c r="AK619" s="37" t="n">
        <v>7</v>
      </c>
      <c r="AL619" s="37" t="s">
        <v>343</v>
      </c>
      <c r="AM619" s="39" t="n">
        <v>117.43</v>
      </c>
    </row>
    <row r="620" customFormat="false" ht="15" hidden="false" customHeight="false" outlineLevel="0" collapsed="false">
      <c r="A620" s="37" t="n">
        <v>372260669</v>
      </c>
      <c r="B620" s="38" t="n">
        <v>46239.9427430556</v>
      </c>
      <c r="C620" s="37" t="s">
        <v>345</v>
      </c>
      <c r="D620" s="37" t="s">
        <v>949</v>
      </c>
      <c r="E620" s="37" t="n">
        <v>24804700</v>
      </c>
      <c r="F620" s="37" t="s">
        <v>174</v>
      </c>
      <c r="G620" s="37" t="s">
        <v>198</v>
      </c>
      <c r="H620" s="37" t="s">
        <v>187</v>
      </c>
      <c r="I620" s="37" t="n">
        <v>52.3</v>
      </c>
      <c r="J620" s="39" t="n">
        <v>833.32</v>
      </c>
      <c r="K620" s="37" t="s">
        <v>518</v>
      </c>
      <c r="L620" s="39" t="n">
        <v>142.65</v>
      </c>
      <c r="M620" s="39" t="n">
        <v>83.58</v>
      </c>
      <c r="N620" s="39" t="n">
        <f aca="false">J620*Resumo!$C$6</f>
        <v>0</v>
      </c>
      <c r="O620" s="39" t="n">
        <f aca="false">J620*Resumo!$C$7</f>
        <v>1.749972</v>
      </c>
      <c r="P620" s="39" t="n">
        <f aca="false">J620*Resumo!$C$8</f>
        <v>1.749972</v>
      </c>
      <c r="Q620" s="39" t="n">
        <f aca="false">Resumo!$C$10*CEILING(I620/100,1)</f>
        <v>1.05</v>
      </c>
      <c r="R620" s="39" t="n">
        <f aca="false">Resumo!$C$9</f>
        <v>0</v>
      </c>
      <c r="S620" s="39" t="n">
        <f aca="false">Resumo!$C$13</f>
        <v>13.55</v>
      </c>
      <c r="T620" s="39" t="n">
        <f aca="false">Resumo!$C$14*CEILING(I620,1)</f>
        <v>23.85</v>
      </c>
      <c r="U620" s="39" t="n">
        <f aca="false">SUM(M620:T620)*Resumo!$C$11</f>
        <v>0</v>
      </c>
      <c r="V620" s="39" t="n">
        <f aca="false">SUM(M620:U620)</f>
        <v>125.529944</v>
      </c>
      <c r="W620" s="39" t="n">
        <f aca="false">V620/(1-Resumo!$C$5)</f>
        <v>142.647663636364</v>
      </c>
      <c r="X620" s="39" t="n">
        <v>128.14</v>
      </c>
      <c r="Y620" s="39" t="n">
        <f aca="false">J620*Resumo!$B$6</f>
        <v>0.83332</v>
      </c>
      <c r="Z620" s="39" t="n">
        <f aca="false">J620*Resumo!$B$7</f>
        <v>1.66664</v>
      </c>
      <c r="AA620" s="39" t="n">
        <f aca="false">Resumo!$B$9</f>
        <v>1</v>
      </c>
      <c r="AB620" s="39" t="n">
        <f aca="false">Resumo!$B$10*CEILING(I620/100,1)</f>
        <v>4.5</v>
      </c>
      <c r="AC620" s="39" t="n">
        <f aca="false">Resumo!$B$12*CEILING(I620,1)</f>
        <v>3.18</v>
      </c>
      <c r="AD620" s="39" t="n">
        <f aca="false">Resumo!$B$14*CEILING(I620,1)</f>
        <v>23.85</v>
      </c>
      <c r="AE620" s="39" t="n">
        <f aca="false">SUM(X620:AD620)</f>
        <v>163.16996</v>
      </c>
      <c r="AF620" s="39" t="n">
        <f aca="false">AE620/(1-Resumo!$B$5)</f>
        <v>185.420409090909</v>
      </c>
      <c r="AG620" s="39" t="n">
        <f aca="false">AF620-W620</f>
        <v>42.7727454545454</v>
      </c>
      <c r="AH620" s="40" t="n">
        <f aca="false">AF620/W620-1</f>
        <v>0.299848902983658</v>
      </c>
      <c r="AI620" s="37" t="str">
        <f aca="false">IF(AF620&lt;W620,"SIM","NÃO")</f>
        <v>NÃO</v>
      </c>
      <c r="AJ620" s="37" t="n">
        <v>13</v>
      </c>
      <c r="AK620" s="37" t="n">
        <v>7</v>
      </c>
      <c r="AL620" s="37" t="s">
        <v>343</v>
      </c>
      <c r="AM620" s="39" t="n">
        <v>143.66</v>
      </c>
    </row>
    <row r="621" customFormat="false" ht="15" hidden="false" customHeight="false" outlineLevel="0" collapsed="false">
      <c r="A621" s="37" t="n">
        <v>372294226</v>
      </c>
      <c r="B621" s="38" t="n">
        <v>46240.0214699074</v>
      </c>
      <c r="C621" s="37" t="s">
        <v>345</v>
      </c>
      <c r="D621" s="37" t="s">
        <v>950</v>
      </c>
      <c r="E621" s="37" t="n">
        <v>21721480</v>
      </c>
      <c r="F621" s="37" t="s">
        <v>159</v>
      </c>
      <c r="G621" s="37" t="s">
        <v>196</v>
      </c>
      <c r="H621" s="37" t="s">
        <v>184</v>
      </c>
      <c r="I621" s="37" t="n">
        <v>31.4</v>
      </c>
      <c r="J621" s="39" t="n">
        <v>365.49</v>
      </c>
      <c r="K621" s="37" t="s">
        <v>342</v>
      </c>
      <c r="L621" s="39" t="n">
        <v>82.08</v>
      </c>
      <c r="M621" s="39" t="n">
        <v>42.11</v>
      </c>
      <c r="N621" s="39" t="n">
        <f aca="false">J621*Resumo!$C$6</f>
        <v>0</v>
      </c>
      <c r="O621" s="39" t="n">
        <f aca="false">J621*Resumo!$C$7</f>
        <v>0.767529</v>
      </c>
      <c r="P621" s="39" t="n">
        <f aca="false">J621*Resumo!$C$8</f>
        <v>0.767529</v>
      </c>
      <c r="Q621" s="39" t="n">
        <f aca="false">Resumo!$C$10*CEILING(I621/100,1)</f>
        <v>1.05</v>
      </c>
      <c r="R621" s="39" t="n">
        <f aca="false">Resumo!$C$9</f>
        <v>0</v>
      </c>
      <c r="S621" s="39" t="n">
        <f aca="false">Resumo!$C$13</f>
        <v>13.55</v>
      </c>
      <c r="T621" s="39" t="n">
        <f aca="false">Resumo!$C$14*CEILING(I621,1)</f>
        <v>14.4</v>
      </c>
      <c r="U621" s="39" t="n">
        <f aca="false">SUM(M621:T621)*Resumo!$C$11</f>
        <v>0</v>
      </c>
      <c r="V621" s="39" t="n">
        <f aca="false">SUM(M621:U621)</f>
        <v>72.645058</v>
      </c>
      <c r="W621" s="39" t="n">
        <f aca="false">V621/(1-Resumo!$C$5)</f>
        <v>82.5512022727273</v>
      </c>
      <c r="X621" s="39" t="n">
        <v>82.21</v>
      </c>
      <c r="Y621" s="39" t="n">
        <f aca="false">J621*Resumo!$B$6</f>
        <v>0.36549</v>
      </c>
      <c r="Z621" s="39" t="n">
        <f aca="false">J621*Resumo!$B$7</f>
        <v>0.73098</v>
      </c>
      <c r="AA621" s="39" t="n">
        <f aca="false">Resumo!$B$9</f>
        <v>1</v>
      </c>
      <c r="AB621" s="39" t="n">
        <f aca="false">Resumo!$B$10*CEILING(I621/100,1)</f>
        <v>4.5</v>
      </c>
      <c r="AC621" s="39" t="n">
        <f aca="false">Resumo!$B$12*CEILING(I621,1)</f>
        <v>1.92</v>
      </c>
      <c r="AD621" s="39" t="n">
        <f aca="false">Resumo!$B$14*CEILING(I621,1)</f>
        <v>14.4</v>
      </c>
      <c r="AE621" s="39" t="n">
        <f aca="false">SUM(X621:AD621)</f>
        <v>105.12647</v>
      </c>
      <c r="AF621" s="39" t="n">
        <f aca="false">AE621/(1-Resumo!$B$5)</f>
        <v>119.461897727273</v>
      </c>
      <c r="AG621" s="39" t="n">
        <f aca="false">AF621-W621</f>
        <v>36.9106954545455</v>
      </c>
      <c r="AH621" s="40" t="n">
        <f aca="false">AF621/W621-1</f>
        <v>0.447124868425324</v>
      </c>
      <c r="AI621" s="37" t="str">
        <f aca="false">IF(AF621&lt;W621,"SIM","NÃO")</f>
        <v>NÃO</v>
      </c>
      <c r="AJ621" s="37" t="n">
        <v>2</v>
      </c>
      <c r="AK621" s="37" t="n">
        <v>5</v>
      </c>
      <c r="AL621" s="37" t="s">
        <v>343</v>
      </c>
      <c r="AM621" s="39" t="n">
        <v>82.08</v>
      </c>
    </row>
    <row r="622" customFormat="false" ht="15" hidden="false" customHeight="false" outlineLevel="0" collapsed="false">
      <c r="A622" s="37" t="n">
        <v>372303222</v>
      </c>
      <c r="B622" s="38" t="n">
        <v>46240.0511226852</v>
      </c>
      <c r="C622" s="37" t="s">
        <v>345</v>
      </c>
      <c r="D622" s="37" t="s">
        <v>951</v>
      </c>
      <c r="E622" s="37" t="n">
        <v>20750120</v>
      </c>
      <c r="F622" s="37" t="s">
        <v>159</v>
      </c>
      <c r="G622" s="37" t="s">
        <v>196</v>
      </c>
      <c r="H622" s="37" t="s">
        <v>186</v>
      </c>
      <c r="I622" s="37" t="n">
        <v>43.5</v>
      </c>
      <c r="J622" s="39" t="n">
        <v>611.05</v>
      </c>
      <c r="K622" s="37" t="s">
        <v>342</v>
      </c>
      <c r="L622" s="39" t="n">
        <v>103.51</v>
      </c>
      <c r="M622" s="39" t="n">
        <v>53.55</v>
      </c>
      <c r="N622" s="39" t="n">
        <f aca="false">J622*Resumo!$C$6</f>
        <v>0</v>
      </c>
      <c r="O622" s="39" t="n">
        <f aca="false">J622*Resumo!$C$7</f>
        <v>1.283205</v>
      </c>
      <c r="P622" s="39" t="n">
        <f aca="false">J622*Resumo!$C$8</f>
        <v>1.283205</v>
      </c>
      <c r="Q622" s="39" t="n">
        <f aca="false">Resumo!$C$10*CEILING(I622/100,1)</f>
        <v>1.05</v>
      </c>
      <c r="R622" s="39" t="n">
        <f aca="false">Resumo!$C$9</f>
        <v>0</v>
      </c>
      <c r="S622" s="39" t="n">
        <f aca="false">Resumo!$C$13</f>
        <v>13.55</v>
      </c>
      <c r="T622" s="39" t="n">
        <f aca="false">Resumo!$C$14*CEILING(I622,1)</f>
        <v>19.8</v>
      </c>
      <c r="U622" s="39" t="n">
        <f aca="false">SUM(M622:T622)*Resumo!$C$11</f>
        <v>0</v>
      </c>
      <c r="V622" s="39" t="n">
        <f aca="false">SUM(M622:U622)</f>
        <v>90.51641</v>
      </c>
      <c r="W622" s="39" t="n">
        <f aca="false">V622/(1-Resumo!$C$5)</f>
        <v>102.859556818182</v>
      </c>
      <c r="X622" s="39" t="n">
        <v>93.97</v>
      </c>
      <c r="Y622" s="39" t="n">
        <f aca="false">J622*Resumo!$B$6</f>
        <v>0.61105</v>
      </c>
      <c r="Z622" s="39" t="n">
        <f aca="false">J622*Resumo!$B$7</f>
        <v>1.2221</v>
      </c>
      <c r="AA622" s="39" t="n">
        <f aca="false">Resumo!$B$9</f>
        <v>1</v>
      </c>
      <c r="AB622" s="39" t="n">
        <f aca="false">Resumo!$B$10*CEILING(I622/100,1)</f>
        <v>4.5</v>
      </c>
      <c r="AC622" s="39" t="n">
        <f aca="false">Resumo!$B$12*CEILING(I622,1)</f>
        <v>2.64</v>
      </c>
      <c r="AD622" s="39" t="n">
        <f aca="false">Resumo!$B$14*CEILING(I622,1)</f>
        <v>19.8</v>
      </c>
      <c r="AE622" s="39" t="n">
        <f aca="false">SUM(X622:AD622)</f>
        <v>123.74315</v>
      </c>
      <c r="AF622" s="39" t="n">
        <f aca="false">AE622/(1-Resumo!$B$5)</f>
        <v>140.617215909091</v>
      </c>
      <c r="AG622" s="39" t="n">
        <f aca="false">AF622-W622</f>
        <v>37.7576590909091</v>
      </c>
      <c r="AH622" s="40" t="n">
        <f aca="false">AF622/W622-1</f>
        <v>0.367079737254272</v>
      </c>
      <c r="AI622" s="37" t="str">
        <f aca="false">IF(AF622&lt;W622,"SIM","NÃO")</f>
        <v>NÃO</v>
      </c>
      <c r="AJ622" s="37" t="n">
        <v>2</v>
      </c>
      <c r="AK622" s="37" t="n">
        <v>5</v>
      </c>
      <c r="AL622" s="37" t="s">
        <v>343</v>
      </c>
      <c r="AM622" s="39" t="n">
        <v>103.51</v>
      </c>
    </row>
    <row r="623" customFormat="false" ht="15" hidden="false" customHeight="false" outlineLevel="0" collapsed="false">
      <c r="A623" s="37" t="n">
        <v>372392212</v>
      </c>
      <c r="B623" s="38" t="n">
        <v>46240.3696064815</v>
      </c>
      <c r="C623" s="37" t="s">
        <v>340</v>
      </c>
      <c r="D623" s="37" t="s">
        <v>952</v>
      </c>
      <c r="E623" s="37" t="n">
        <v>22783325</v>
      </c>
      <c r="F623" s="37" t="s">
        <v>159</v>
      </c>
      <c r="G623" s="37" t="s">
        <v>196</v>
      </c>
      <c r="H623" s="37" t="s">
        <v>187</v>
      </c>
      <c r="I623" s="37" t="n">
        <v>52.3</v>
      </c>
      <c r="J623" s="39" t="n">
        <v>685.85</v>
      </c>
      <c r="K623" s="37" t="s">
        <v>342</v>
      </c>
      <c r="L623" s="39" t="n">
        <v>114.43</v>
      </c>
      <c r="M623" s="39" t="n">
        <v>58.6</v>
      </c>
      <c r="N623" s="39" t="n">
        <f aca="false">J623*Resumo!$C$6</f>
        <v>0</v>
      </c>
      <c r="O623" s="39" t="n">
        <f aca="false">J623*Resumo!$C$7</f>
        <v>1.440285</v>
      </c>
      <c r="P623" s="39" t="n">
        <f aca="false">J623*Resumo!$C$8</f>
        <v>1.440285</v>
      </c>
      <c r="Q623" s="39" t="n">
        <f aca="false">Resumo!$C$10*CEILING(I623/100,1)</f>
        <v>1.05</v>
      </c>
      <c r="R623" s="39" t="n">
        <f aca="false">Resumo!$C$9</f>
        <v>0</v>
      </c>
      <c r="S623" s="39" t="n">
        <f aca="false">Resumo!$C$13</f>
        <v>13.55</v>
      </c>
      <c r="T623" s="39" t="n">
        <f aca="false">Resumo!$C$14*CEILING(I623,1)</f>
        <v>23.85</v>
      </c>
      <c r="U623" s="39" t="n">
        <f aca="false">SUM(M623:T623)*Resumo!$C$11</f>
        <v>0</v>
      </c>
      <c r="V623" s="39" t="n">
        <f aca="false">SUM(M623:U623)</f>
        <v>99.93057</v>
      </c>
      <c r="W623" s="39" t="n">
        <f aca="false">V623/(1-Resumo!$C$5)</f>
        <v>113.557465909091</v>
      </c>
      <c r="X623" s="39" t="n">
        <v>112.3</v>
      </c>
      <c r="Y623" s="39" t="n">
        <f aca="false">J623*Resumo!$B$6</f>
        <v>0.68585</v>
      </c>
      <c r="Z623" s="39" t="n">
        <f aca="false">J623*Resumo!$B$7</f>
        <v>1.3717</v>
      </c>
      <c r="AA623" s="39" t="n">
        <f aca="false">Resumo!$B$9</f>
        <v>1</v>
      </c>
      <c r="AB623" s="39" t="n">
        <f aca="false">Resumo!$B$10*CEILING(I623/100,1)</f>
        <v>4.5</v>
      </c>
      <c r="AC623" s="39" t="n">
        <f aca="false">Resumo!$B$12*CEILING(I623,1)</f>
        <v>3.18</v>
      </c>
      <c r="AD623" s="39" t="n">
        <f aca="false">Resumo!$B$14*CEILING(I623,1)</f>
        <v>23.85</v>
      </c>
      <c r="AE623" s="39" t="n">
        <f aca="false">SUM(X623:AD623)</f>
        <v>146.88755</v>
      </c>
      <c r="AF623" s="39" t="n">
        <f aca="false">AE623/(1-Resumo!$B$5)</f>
        <v>166.917670454545</v>
      </c>
      <c r="AG623" s="39" t="n">
        <f aca="false">AF623-W623</f>
        <v>53.3602045454545</v>
      </c>
      <c r="AH623" s="40" t="n">
        <f aca="false">AF623/W623-1</f>
        <v>0.4698960488267</v>
      </c>
      <c r="AI623" s="37" t="str">
        <f aca="false">IF(AF623&lt;W623,"SIM","NÃO")</f>
        <v>NÃO</v>
      </c>
      <c r="AJ623" s="37" t="n">
        <v>2</v>
      </c>
      <c r="AK623" s="37" t="n">
        <v>5</v>
      </c>
      <c r="AL623" s="37" t="s">
        <v>343</v>
      </c>
      <c r="AM623" s="39" t="n">
        <v>114.44</v>
      </c>
    </row>
    <row r="624" customFormat="false" ht="15" hidden="false" customHeight="false" outlineLevel="0" collapsed="false">
      <c r="A624" s="37" t="n">
        <v>372403120</v>
      </c>
      <c r="B624" s="38" t="n">
        <v>46240.3922916667</v>
      </c>
      <c r="C624" s="37" t="s">
        <v>340</v>
      </c>
      <c r="D624" s="37" t="s">
        <v>953</v>
      </c>
      <c r="E624" s="37" t="n">
        <v>24436000</v>
      </c>
      <c r="F624" s="37" t="s">
        <v>160</v>
      </c>
      <c r="G624" s="37" t="s">
        <v>197</v>
      </c>
      <c r="H624" s="37" t="s">
        <v>186</v>
      </c>
      <c r="I624" s="37" t="n">
        <v>45</v>
      </c>
      <c r="J624" s="39" t="n">
        <v>531.42</v>
      </c>
      <c r="K624" s="37" t="s">
        <v>518</v>
      </c>
      <c r="L624" s="39" t="n">
        <v>116.42</v>
      </c>
      <c r="M624" s="39" t="n">
        <v>65.36</v>
      </c>
      <c r="N624" s="39" t="n">
        <f aca="false">J624*Resumo!$C$6</f>
        <v>0</v>
      </c>
      <c r="O624" s="39" t="n">
        <f aca="false">J624*Resumo!$C$7</f>
        <v>1.115982</v>
      </c>
      <c r="P624" s="39" t="n">
        <f aca="false">J624*Resumo!$C$8</f>
        <v>1.115982</v>
      </c>
      <c r="Q624" s="39" t="n">
        <f aca="false">Resumo!$C$10*CEILING(I624/100,1)</f>
        <v>1.05</v>
      </c>
      <c r="R624" s="39" t="n">
        <f aca="false">Resumo!$C$9</f>
        <v>0</v>
      </c>
      <c r="S624" s="39" t="n">
        <f aca="false">Resumo!$C$13</f>
        <v>13.55</v>
      </c>
      <c r="T624" s="39" t="n">
        <f aca="false">Resumo!$C$14*CEILING(I624,1)</f>
        <v>20.25</v>
      </c>
      <c r="U624" s="39" t="n">
        <f aca="false">SUM(M624:T624)*Resumo!$C$11</f>
        <v>0</v>
      </c>
      <c r="V624" s="39" t="n">
        <f aca="false">SUM(M624:U624)</f>
        <v>102.441964</v>
      </c>
      <c r="W624" s="39" t="n">
        <f aca="false">V624/(1-Resumo!$C$5)</f>
        <v>116.411322727273</v>
      </c>
      <c r="X624" s="39" t="n">
        <v>114.95</v>
      </c>
      <c r="Y624" s="39" t="n">
        <f aca="false">J624*Resumo!$B$6</f>
        <v>0.53142</v>
      </c>
      <c r="Z624" s="39" t="n">
        <f aca="false">J624*Resumo!$B$7</f>
        <v>1.06284</v>
      </c>
      <c r="AA624" s="39" t="n">
        <f aca="false">Resumo!$B$9</f>
        <v>1</v>
      </c>
      <c r="AB624" s="39" t="n">
        <f aca="false">Resumo!$B$10*CEILING(I624/100,1)</f>
        <v>4.5</v>
      </c>
      <c r="AC624" s="39" t="n">
        <f aca="false">Resumo!$B$12*CEILING(I624,1)</f>
        <v>2.7</v>
      </c>
      <c r="AD624" s="39" t="n">
        <f aca="false">Resumo!$B$14*CEILING(I624,1)</f>
        <v>20.25</v>
      </c>
      <c r="AE624" s="39" t="n">
        <f aca="false">SUM(X624:AD624)</f>
        <v>144.99426</v>
      </c>
      <c r="AF624" s="39" t="n">
        <f aca="false">AE624/(1-Resumo!$B$5)</f>
        <v>164.766204545455</v>
      </c>
      <c r="AG624" s="39" t="n">
        <f aca="false">AF624-W624</f>
        <v>48.3548818181818</v>
      </c>
      <c r="AH624" s="40" t="n">
        <f aca="false">AF624/W624-1</f>
        <v>0.415379541141949</v>
      </c>
      <c r="AI624" s="37" t="str">
        <f aca="false">IF(AF624&lt;W624,"SIM","NÃO")</f>
        <v>NÃO</v>
      </c>
      <c r="AJ624" s="37" t="n">
        <v>2</v>
      </c>
      <c r="AK624" s="37" t="n">
        <v>7</v>
      </c>
      <c r="AL624" s="37" t="s">
        <v>343</v>
      </c>
      <c r="AM624" s="39" t="n">
        <v>116.62</v>
      </c>
    </row>
    <row r="625" customFormat="false" ht="15" hidden="false" customHeight="false" outlineLevel="0" collapsed="false">
      <c r="A625" s="37" t="n">
        <v>372404379</v>
      </c>
      <c r="B625" s="38" t="n">
        <v>46240.3943171296</v>
      </c>
      <c r="C625" s="37" t="s">
        <v>340</v>
      </c>
      <c r="D625" s="37" t="s">
        <v>954</v>
      </c>
      <c r="E625" s="37" t="n">
        <v>21640260</v>
      </c>
      <c r="F625" s="37" t="s">
        <v>159</v>
      </c>
      <c r="G625" s="37" t="s">
        <v>196</v>
      </c>
      <c r="H625" s="37" t="s">
        <v>185</v>
      </c>
      <c r="I625" s="37" t="n">
        <v>40</v>
      </c>
      <c r="J625" s="39" t="n">
        <v>569.99</v>
      </c>
      <c r="K625" s="37" t="s">
        <v>342</v>
      </c>
      <c r="L625" s="39" t="n">
        <v>92.59</v>
      </c>
      <c r="M625" s="39" t="n">
        <v>48.35</v>
      </c>
      <c r="N625" s="39" t="n">
        <f aca="false">J625*Resumo!$C$6</f>
        <v>0</v>
      </c>
      <c r="O625" s="39" t="n">
        <f aca="false">J625*Resumo!$C$7</f>
        <v>1.196979</v>
      </c>
      <c r="P625" s="39" t="n">
        <f aca="false">J625*Resumo!$C$8</f>
        <v>1.196979</v>
      </c>
      <c r="Q625" s="39" t="n">
        <f aca="false">Resumo!$C$10*CEILING(I625/100,1)</f>
        <v>1.05</v>
      </c>
      <c r="R625" s="39" t="n">
        <f aca="false">Resumo!$C$9</f>
        <v>0</v>
      </c>
      <c r="S625" s="39" t="n">
        <f aca="false">Resumo!$C$13</f>
        <v>13.55</v>
      </c>
      <c r="T625" s="39" t="n">
        <f aca="false">Resumo!$C$14*CEILING(I625,1)</f>
        <v>18</v>
      </c>
      <c r="U625" s="39" t="n">
        <f aca="false">SUM(M625:T625)*Resumo!$C$11</f>
        <v>0</v>
      </c>
      <c r="V625" s="39" t="n">
        <f aca="false">SUM(M625:U625)</f>
        <v>83.343958</v>
      </c>
      <c r="W625" s="39" t="n">
        <f aca="false">V625/(1-Resumo!$C$5)</f>
        <v>94.7090431818182</v>
      </c>
      <c r="X625" s="39" t="n">
        <v>93.97</v>
      </c>
      <c r="Y625" s="39" t="n">
        <f aca="false">J625*Resumo!$B$6</f>
        <v>0.56999</v>
      </c>
      <c r="Z625" s="39" t="n">
        <f aca="false">J625*Resumo!$B$7</f>
        <v>1.13998</v>
      </c>
      <c r="AA625" s="39" t="n">
        <f aca="false">Resumo!$B$9</f>
        <v>1</v>
      </c>
      <c r="AB625" s="39" t="n">
        <f aca="false">Resumo!$B$10*CEILING(I625/100,1)</f>
        <v>4.5</v>
      </c>
      <c r="AC625" s="39" t="n">
        <f aca="false">Resumo!$B$12*CEILING(I625,1)</f>
        <v>2.4</v>
      </c>
      <c r="AD625" s="39" t="n">
        <f aca="false">Resumo!$B$14*CEILING(I625,1)</f>
        <v>18</v>
      </c>
      <c r="AE625" s="39" t="n">
        <f aca="false">SUM(X625:AD625)</f>
        <v>121.57997</v>
      </c>
      <c r="AF625" s="39" t="n">
        <f aca="false">AE625/(1-Resumo!$B$5)</f>
        <v>138.159056818182</v>
      </c>
      <c r="AG625" s="39" t="n">
        <f aca="false">AF625-W625</f>
        <v>43.4500136363636</v>
      </c>
      <c r="AH625" s="40" t="n">
        <f aca="false">AF625/W625-1</f>
        <v>0.45877365219444</v>
      </c>
      <c r="AI625" s="37" t="str">
        <f aca="false">IF(AF625&lt;W625,"SIM","NÃO")</f>
        <v>NÃO</v>
      </c>
      <c r="AJ625" s="37" t="n">
        <v>2</v>
      </c>
      <c r="AK625" s="37" t="n">
        <v>5</v>
      </c>
      <c r="AL625" s="37" t="s">
        <v>343</v>
      </c>
      <c r="AM625" s="39" t="n">
        <v>92.59</v>
      </c>
    </row>
    <row r="626" customFormat="false" ht="15" hidden="false" customHeight="false" outlineLevel="0" collapsed="false">
      <c r="A626" s="37" t="n">
        <v>372411317</v>
      </c>
      <c r="B626" s="38" t="n">
        <v>46240.4075347222</v>
      </c>
      <c r="C626" s="37" t="s">
        <v>340</v>
      </c>
      <c r="D626" s="37" t="s">
        <v>955</v>
      </c>
      <c r="E626" s="37" t="n">
        <v>20765171</v>
      </c>
      <c r="F626" s="37" t="s">
        <v>159</v>
      </c>
      <c r="G626" s="37" t="s">
        <v>196</v>
      </c>
      <c r="H626" s="37" t="s">
        <v>187</v>
      </c>
      <c r="I626" s="37" t="n">
        <v>59.3</v>
      </c>
      <c r="J626" s="39" t="n">
        <v>819.7</v>
      </c>
      <c r="K626" s="37" t="s">
        <v>342</v>
      </c>
      <c r="L626" s="39" t="n">
        <v>115.08</v>
      </c>
      <c r="M626" s="39" t="n">
        <v>58.6</v>
      </c>
      <c r="N626" s="39" t="n">
        <f aca="false">J626*Resumo!$C$6</f>
        <v>0</v>
      </c>
      <c r="O626" s="39" t="n">
        <f aca="false">J626*Resumo!$C$7</f>
        <v>1.72137</v>
      </c>
      <c r="P626" s="39" t="n">
        <f aca="false">J626*Resumo!$C$8</f>
        <v>1.72137</v>
      </c>
      <c r="Q626" s="39" t="n">
        <f aca="false">Resumo!$C$10*CEILING(I626/100,1)</f>
        <v>1.05</v>
      </c>
      <c r="R626" s="39" t="n">
        <f aca="false">Resumo!$C$9</f>
        <v>0</v>
      </c>
      <c r="S626" s="39" t="n">
        <f aca="false">Resumo!$C$13</f>
        <v>13.55</v>
      </c>
      <c r="T626" s="39" t="n">
        <f aca="false">Resumo!$C$14*CEILING(I626,1)</f>
        <v>27</v>
      </c>
      <c r="U626" s="39" t="n">
        <f aca="false">SUM(M626:T626)*Resumo!$C$11</f>
        <v>0</v>
      </c>
      <c r="V626" s="39" t="n">
        <f aca="false">SUM(M626:U626)</f>
        <v>103.64274</v>
      </c>
      <c r="W626" s="39" t="n">
        <f aca="false">V626/(1-Resumo!$C$5)</f>
        <v>117.775840909091</v>
      </c>
      <c r="X626" s="39" t="n">
        <v>112.3</v>
      </c>
      <c r="Y626" s="39" t="n">
        <f aca="false">J626*Resumo!$B$6</f>
        <v>0.8197</v>
      </c>
      <c r="Z626" s="39" t="n">
        <f aca="false">J626*Resumo!$B$7</f>
        <v>1.6394</v>
      </c>
      <c r="AA626" s="39" t="n">
        <f aca="false">Resumo!$B$9</f>
        <v>1</v>
      </c>
      <c r="AB626" s="39" t="n">
        <f aca="false">Resumo!$B$10*CEILING(I626/100,1)</f>
        <v>4.5</v>
      </c>
      <c r="AC626" s="39" t="n">
        <f aca="false">Resumo!$B$12*CEILING(I626,1)</f>
        <v>3.6</v>
      </c>
      <c r="AD626" s="39" t="n">
        <f aca="false">Resumo!$B$14*CEILING(I626,1)</f>
        <v>27</v>
      </c>
      <c r="AE626" s="39" t="n">
        <f aca="false">SUM(X626:AD626)</f>
        <v>150.8591</v>
      </c>
      <c r="AF626" s="39" t="n">
        <f aca="false">AE626/(1-Resumo!$B$5)</f>
        <v>171.430795454545</v>
      </c>
      <c r="AG626" s="39" t="n">
        <f aca="false">AF626-W626</f>
        <v>53.6549545454545</v>
      </c>
      <c r="AH626" s="40" t="n">
        <f aca="false">AF626/W626-1</f>
        <v>0.455568426693466</v>
      </c>
      <c r="AI626" s="37" t="str">
        <f aca="false">IF(AF626&lt;W626,"SIM","NÃO")</f>
        <v>NÃO</v>
      </c>
      <c r="AJ626" s="37" t="n">
        <v>2</v>
      </c>
      <c r="AK626" s="37" t="n">
        <v>5</v>
      </c>
      <c r="AL626" s="37" t="s">
        <v>343</v>
      </c>
      <c r="AM626" s="39" t="n">
        <v>115.08</v>
      </c>
    </row>
    <row r="627" customFormat="false" ht="15" hidden="false" customHeight="false" outlineLevel="0" collapsed="false">
      <c r="A627" s="37" t="n">
        <v>372470470</v>
      </c>
      <c r="B627" s="38" t="n">
        <v>46240.5147222222</v>
      </c>
      <c r="C627" s="37" t="s">
        <v>345</v>
      </c>
      <c r="D627" s="37" t="s">
        <v>956</v>
      </c>
      <c r="E627" s="37" t="n">
        <v>24754007</v>
      </c>
      <c r="F627" s="37" t="s">
        <v>160</v>
      </c>
      <c r="G627" s="37" t="s">
        <v>197</v>
      </c>
      <c r="H627" s="37" t="s">
        <v>184</v>
      </c>
      <c r="I627" s="37" t="n">
        <v>27.5</v>
      </c>
      <c r="J627" s="39" t="n">
        <v>320</v>
      </c>
      <c r="K627" s="37" t="s">
        <v>518</v>
      </c>
      <c r="L627" s="39" t="n">
        <v>99.25</v>
      </c>
      <c r="M627" s="39" t="n">
        <v>58.8</v>
      </c>
      <c r="N627" s="39" t="n">
        <f aca="false">J627*Resumo!$C$6</f>
        <v>0</v>
      </c>
      <c r="O627" s="39" t="n">
        <f aca="false">J627*Resumo!$C$7</f>
        <v>0.672</v>
      </c>
      <c r="P627" s="39" t="n">
        <f aca="false">J627*Resumo!$C$8</f>
        <v>0.672</v>
      </c>
      <c r="Q627" s="39" t="n">
        <f aca="false">Resumo!$C$10*CEILING(I627/100,1)</f>
        <v>1.05</v>
      </c>
      <c r="R627" s="39" t="n">
        <f aca="false">Resumo!$C$9</f>
        <v>0</v>
      </c>
      <c r="S627" s="39" t="n">
        <f aca="false">Resumo!$C$13</f>
        <v>13.55</v>
      </c>
      <c r="T627" s="39" t="n">
        <f aca="false">Resumo!$C$14*CEILING(I627,1)</f>
        <v>12.6</v>
      </c>
      <c r="U627" s="39" t="n">
        <f aca="false">SUM(M627:T627)*Resumo!$C$11</f>
        <v>0</v>
      </c>
      <c r="V627" s="39" t="n">
        <f aca="false">SUM(M627:U627)</f>
        <v>87.344</v>
      </c>
      <c r="W627" s="39" t="n">
        <f aca="false">V627/(1-Resumo!$C$5)</f>
        <v>99.2545454545455</v>
      </c>
      <c r="X627" s="39" t="n">
        <v>100.58</v>
      </c>
      <c r="Y627" s="39" t="n">
        <f aca="false">J627*Resumo!$B$6</f>
        <v>0.32</v>
      </c>
      <c r="Z627" s="39" t="n">
        <f aca="false">J627*Resumo!$B$7</f>
        <v>0.64</v>
      </c>
      <c r="AA627" s="39" t="n">
        <f aca="false">Resumo!$B$9</f>
        <v>1</v>
      </c>
      <c r="AB627" s="39" t="n">
        <f aca="false">Resumo!$B$10*CEILING(I627/100,1)</f>
        <v>4.5</v>
      </c>
      <c r="AC627" s="39" t="n">
        <f aca="false">Resumo!$B$12*CEILING(I627,1)</f>
        <v>1.68</v>
      </c>
      <c r="AD627" s="39" t="n">
        <f aca="false">Resumo!$B$14*CEILING(I627,1)</f>
        <v>12.6</v>
      </c>
      <c r="AE627" s="39" t="n">
        <f aca="false">SUM(X627:AD627)</f>
        <v>121.32</v>
      </c>
      <c r="AF627" s="39" t="n">
        <f aca="false">AE627/(1-Resumo!$B$5)</f>
        <v>137.863636363636</v>
      </c>
      <c r="AG627" s="39" t="n">
        <f aca="false">AF627-W627</f>
        <v>38.6090909090909</v>
      </c>
      <c r="AH627" s="40" t="n">
        <f aca="false">AF627/W627-1</f>
        <v>0.388990657629602</v>
      </c>
      <c r="AI627" s="37" t="str">
        <f aca="false">IF(AF627&lt;W627,"SIM","NÃO")</f>
        <v>NÃO</v>
      </c>
      <c r="AJ627" s="37" t="n">
        <v>2</v>
      </c>
      <c r="AK627" s="37" t="n">
        <v>7</v>
      </c>
      <c r="AL627" s="37" t="s">
        <v>343</v>
      </c>
      <c r="AM627" s="39" t="n">
        <v>100.92</v>
      </c>
    </row>
    <row r="628" customFormat="false" ht="15" hidden="false" customHeight="false" outlineLevel="0" collapsed="false">
      <c r="A628" s="37" t="n">
        <v>372475510</v>
      </c>
      <c r="B628" s="38" t="n">
        <v>46240.5242592593</v>
      </c>
      <c r="C628" s="37" t="s">
        <v>340</v>
      </c>
      <c r="D628" s="37" t="s">
        <v>957</v>
      </c>
      <c r="E628" s="37" t="n">
        <v>28994500</v>
      </c>
      <c r="F628" s="37" t="s">
        <v>295</v>
      </c>
      <c r="G628" s="37" t="s">
        <v>198</v>
      </c>
      <c r="H628" s="37" t="s">
        <v>185</v>
      </c>
      <c r="I628" s="37" t="n">
        <v>37.2</v>
      </c>
      <c r="J628" s="39" t="n">
        <v>419.99</v>
      </c>
      <c r="K628" s="37" t="s">
        <v>518</v>
      </c>
      <c r="L628" s="39" t="n">
        <v>123.22</v>
      </c>
      <c r="M628" s="39" t="n">
        <v>74.97</v>
      </c>
      <c r="N628" s="39" t="n">
        <f aca="false">J628*Resumo!$C$6</f>
        <v>0</v>
      </c>
      <c r="O628" s="39" t="n">
        <f aca="false">J628*Resumo!$C$7</f>
        <v>0.881979</v>
      </c>
      <c r="P628" s="39" t="n">
        <f aca="false">J628*Resumo!$C$8</f>
        <v>0.881979</v>
      </c>
      <c r="Q628" s="39" t="n">
        <f aca="false">Resumo!$C$10*CEILING(I628/100,1)</f>
        <v>1.05</v>
      </c>
      <c r="R628" s="39" t="n">
        <f aca="false">Resumo!$C$9</f>
        <v>0</v>
      </c>
      <c r="S628" s="39" t="n">
        <f aca="false">Resumo!$C$13</f>
        <v>13.55</v>
      </c>
      <c r="T628" s="39" t="n">
        <f aca="false">Resumo!$C$14*CEILING(I628,1)</f>
        <v>17.1</v>
      </c>
      <c r="U628" s="39" t="n">
        <f aca="false">SUM(M628:T628)*Resumo!$C$11</f>
        <v>0</v>
      </c>
      <c r="V628" s="39" t="n">
        <f aca="false">SUM(M628:U628)</f>
        <v>108.433958</v>
      </c>
      <c r="W628" s="39" t="n">
        <f aca="false">V628/(1-Resumo!$C$5)</f>
        <v>123.220406818182</v>
      </c>
      <c r="X628" s="39" t="n">
        <v>124.38</v>
      </c>
      <c r="Y628" s="39" t="n">
        <f aca="false">J628*Resumo!$B$6</f>
        <v>0.41999</v>
      </c>
      <c r="Z628" s="39" t="n">
        <f aca="false">J628*Resumo!$B$7</f>
        <v>0.83998</v>
      </c>
      <c r="AA628" s="39" t="n">
        <f aca="false">Resumo!$B$9</f>
        <v>1</v>
      </c>
      <c r="AB628" s="39" t="n">
        <f aca="false">Resumo!$B$10*CEILING(I628/100,1)</f>
        <v>4.5</v>
      </c>
      <c r="AC628" s="39" t="n">
        <f aca="false">Resumo!$B$12*CEILING(I628,1)</f>
        <v>2.28</v>
      </c>
      <c r="AD628" s="39" t="n">
        <f aca="false">Resumo!$B$14*CEILING(I628,1)</f>
        <v>17.1</v>
      </c>
      <c r="AE628" s="39" t="n">
        <f aca="false">SUM(X628:AD628)</f>
        <v>150.51997</v>
      </c>
      <c r="AF628" s="39" t="n">
        <f aca="false">AE628/(1-Resumo!$B$5)</f>
        <v>171.045420454545</v>
      </c>
      <c r="AG628" s="39" t="n">
        <f aca="false">AF628-W628</f>
        <v>47.8250136363637</v>
      </c>
      <c r="AH628" s="40" t="n">
        <f aca="false">AF628/W628-1</f>
        <v>0.388125756693305</v>
      </c>
      <c r="AI628" s="37" t="str">
        <f aca="false">IF(AF628&lt;W628,"SIM","NÃO")</f>
        <v>NÃO</v>
      </c>
      <c r="AJ628" s="37" t="n">
        <v>13</v>
      </c>
      <c r="AK628" s="37" t="n">
        <v>10</v>
      </c>
      <c r="AL628" s="37" t="s">
        <v>347</v>
      </c>
      <c r="AM628" s="39" t="n">
        <v>122.26</v>
      </c>
    </row>
    <row r="629" customFormat="false" ht="15" hidden="false" customHeight="false" outlineLevel="0" collapsed="false">
      <c r="A629" s="37" t="n">
        <v>372479492</v>
      </c>
      <c r="B629" s="38" t="n">
        <v>46240.5316319445</v>
      </c>
      <c r="C629" s="37" t="s">
        <v>340</v>
      </c>
      <c r="D629" s="37" t="s">
        <v>958</v>
      </c>
      <c r="E629" s="37" t="n">
        <v>24436807</v>
      </c>
      <c r="F629" s="37" t="s">
        <v>160</v>
      </c>
      <c r="G629" s="37" t="s">
        <v>197</v>
      </c>
      <c r="H629" s="37" t="s">
        <v>183</v>
      </c>
      <c r="I629" s="37" t="n">
        <v>19.5</v>
      </c>
      <c r="J629" s="39" t="n">
        <v>359.99</v>
      </c>
      <c r="K629" s="37" t="s">
        <v>518</v>
      </c>
      <c r="L629" s="39" t="n">
        <v>77.09</v>
      </c>
      <c r="M629" s="39" t="n">
        <v>42.72</v>
      </c>
      <c r="N629" s="39" t="n">
        <f aca="false">J629*Resumo!$C$6</f>
        <v>0</v>
      </c>
      <c r="O629" s="39" t="n">
        <f aca="false">J629*Resumo!$C$7</f>
        <v>0.755979</v>
      </c>
      <c r="P629" s="39" t="n">
        <f aca="false">J629*Resumo!$C$8</f>
        <v>0.755979</v>
      </c>
      <c r="Q629" s="39" t="n">
        <f aca="false">Resumo!$C$10*CEILING(I629/100,1)</f>
        <v>1.05</v>
      </c>
      <c r="R629" s="39" t="n">
        <f aca="false">Resumo!$C$9</f>
        <v>0</v>
      </c>
      <c r="S629" s="39" t="n">
        <f aca="false">Resumo!$C$13</f>
        <v>13.55</v>
      </c>
      <c r="T629" s="39" t="n">
        <f aca="false">Resumo!$C$14*CEILING(I629,1)</f>
        <v>9</v>
      </c>
      <c r="U629" s="39" t="n">
        <f aca="false">SUM(M629:T629)*Resumo!$C$11</f>
        <v>0</v>
      </c>
      <c r="V629" s="39" t="n">
        <f aca="false">SUM(M629:U629)</f>
        <v>67.831958</v>
      </c>
      <c r="W629" s="39" t="n">
        <f aca="false">V629/(1-Resumo!$C$5)</f>
        <v>77.0817704545455</v>
      </c>
      <c r="X629" s="39" t="n">
        <v>57.47</v>
      </c>
      <c r="Y629" s="39" t="n">
        <f aca="false">J629*Resumo!$B$6</f>
        <v>0.35999</v>
      </c>
      <c r="Z629" s="39" t="n">
        <f aca="false">J629*Resumo!$B$7</f>
        <v>0.71998</v>
      </c>
      <c r="AA629" s="39" t="n">
        <f aca="false">Resumo!$B$9</f>
        <v>1</v>
      </c>
      <c r="AB629" s="39" t="n">
        <f aca="false">Resumo!$B$10*CEILING(I629/100,1)</f>
        <v>4.5</v>
      </c>
      <c r="AC629" s="39" t="n">
        <f aca="false">Resumo!$B$12*CEILING(I629,1)</f>
        <v>1.2</v>
      </c>
      <c r="AD629" s="39" t="n">
        <f aca="false">Resumo!$B$14*CEILING(I629,1)</f>
        <v>9</v>
      </c>
      <c r="AE629" s="39" t="n">
        <f aca="false">SUM(X629:AD629)</f>
        <v>74.24997</v>
      </c>
      <c r="AF629" s="39" t="n">
        <f aca="false">AE629/(1-Resumo!$B$5)</f>
        <v>84.3749659090909</v>
      </c>
      <c r="AG629" s="39" t="n">
        <f aca="false">AF629-W629</f>
        <v>7.29319545454547</v>
      </c>
      <c r="AH629" s="40" t="n">
        <f aca="false">AF629/W629-1</f>
        <v>0.094616345882276</v>
      </c>
      <c r="AI629" s="37" t="str">
        <f aca="false">IF(AF629&lt;W629,"SIM","NÃO")</f>
        <v>NÃO</v>
      </c>
      <c r="AJ629" s="37" t="n">
        <v>2</v>
      </c>
      <c r="AK629" s="37" t="n">
        <v>7</v>
      </c>
      <c r="AL629" s="37" t="s">
        <v>343</v>
      </c>
      <c r="AM629" s="39" t="n">
        <v>75.56</v>
      </c>
    </row>
    <row r="630" customFormat="false" ht="15" hidden="false" customHeight="false" outlineLevel="0" collapsed="false">
      <c r="A630" s="37" t="n">
        <v>372480676</v>
      </c>
      <c r="B630" s="38" t="n">
        <v>46240.5337384259</v>
      </c>
      <c r="C630" s="37" t="s">
        <v>340</v>
      </c>
      <c r="D630" s="37" t="s">
        <v>959</v>
      </c>
      <c r="E630" s="37" t="n">
        <v>21843110</v>
      </c>
      <c r="F630" s="37" t="s">
        <v>159</v>
      </c>
      <c r="G630" s="37" t="s">
        <v>196</v>
      </c>
      <c r="H630" s="37" t="s">
        <v>186</v>
      </c>
      <c r="I630" s="37" t="n">
        <v>45</v>
      </c>
      <c r="J630" s="39" t="n">
        <v>531.42</v>
      </c>
      <c r="K630" s="37" t="s">
        <v>342</v>
      </c>
      <c r="L630" s="39" t="n">
        <v>103.13</v>
      </c>
      <c r="M630" s="39" t="n">
        <v>53.55</v>
      </c>
      <c r="N630" s="39" t="n">
        <f aca="false">J630*Resumo!$C$6</f>
        <v>0</v>
      </c>
      <c r="O630" s="39" t="n">
        <f aca="false">J630*Resumo!$C$7</f>
        <v>1.115982</v>
      </c>
      <c r="P630" s="39" t="n">
        <f aca="false">J630*Resumo!$C$8</f>
        <v>1.115982</v>
      </c>
      <c r="Q630" s="39" t="n">
        <f aca="false">Resumo!$C$10*CEILING(I630/100,1)</f>
        <v>1.05</v>
      </c>
      <c r="R630" s="39" t="n">
        <f aca="false">Resumo!$C$9</f>
        <v>0</v>
      </c>
      <c r="S630" s="39" t="n">
        <f aca="false">Resumo!$C$13</f>
        <v>13.55</v>
      </c>
      <c r="T630" s="39" t="n">
        <f aca="false">Resumo!$C$14*CEILING(I630,1)</f>
        <v>20.25</v>
      </c>
      <c r="U630" s="39" t="n">
        <f aca="false">SUM(M630:T630)*Resumo!$C$11</f>
        <v>0</v>
      </c>
      <c r="V630" s="39" t="n">
        <f aca="false">SUM(M630:U630)</f>
        <v>90.631964</v>
      </c>
      <c r="W630" s="39" t="n">
        <f aca="false">V630/(1-Resumo!$C$5)</f>
        <v>102.990868181818</v>
      </c>
      <c r="X630" s="39" t="n">
        <v>93.97</v>
      </c>
      <c r="Y630" s="39" t="n">
        <f aca="false">J630*Resumo!$B$6</f>
        <v>0.53142</v>
      </c>
      <c r="Z630" s="39" t="n">
        <f aca="false">J630*Resumo!$B$7</f>
        <v>1.06284</v>
      </c>
      <c r="AA630" s="39" t="n">
        <f aca="false">Resumo!$B$9</f>
        <v>1</v>
      </c>
      <c r="AB630" s="39" t="n">
        <f aca="false">Resumo!$B$10*CEILING(I630/100,1)</f>
        <v>4.5</v>
      </c>
      <c r="AC630" s="39" t="n">
        <f aca="false">Resumo!$B$12*CEILING(I630,1)</f>
        <v>2.7</v>
      </c>
      <c r="AD630" s="39" t="n">
        <f aca="false">Resumo!$B$14*CEILING(I630,1)</f>
        <v>20.25</v>
      </c>
      <c r="AE630" s="39" t="n">
        <f aca="false">SUM(X630:AD630)</f>
        <v>124.01426</v>
      </c>
      <c r="AF630" s="39" t="n">
        <f aca="false">AE630/(1-Resumo!$B$5)</f>
        <v>140.925295454545</v>
      </c>
      <c r="AG630" s="39" t="n">
        <f aca="false">AF630-W630</f>
        <v>37.9344272727273</v>
      </c>
      <c r="AH630" s="40" t="n">
        <f aca="false">AF630/W630-1</f>
        <v>0.36832806580248</v>
      </c>
      <c r="AI630" s="37" t="str">
        <f aca="false">IF(AF630&lt;W630,"SIM","NÃO")</f>
        <v>NÃO</v>
      </c>
      <c r="AJ630" s="37" t="n">
        <v>2</v>
      </c>
      <c r="AK630" s="37" t="n">
        <v>5</v>
      </c>
      <c r="AL630" s="37" t="s">
        <v>343</v>
      </c>
      <c r="AM630" s="39" t="n">
        <v>103.13</v>
      </c>
    </row>
    <row r="631" customFormat="false" ht="15" hidden="false" customHeight="false" outlineLevel="0" collapsed="false">
      <c r="A631" s="37" t="n">
        <v>372487991</v>
      </c>
      <c r="B631" s="38" t="n">
        <v>46240.5474884259</v>
      </c>
      <c r="C631" s="37" t="s">
        <v>345</v>
      </c>
      <c r="D631" s="37" t="s">
        <v>960</v>
      </c>
      <c r="E631" s="37" t="n">
        <v>21920120</v>
      </c>
      <c r="F631" s="37" t="s">
        <v>159</v>
      </c>
      <c r="G631" s="37" t="s">
        <v>196</v>
      </c>
      <c r="H631" s="37" t="s">
        <v>184</v>
      </c>
      <c r="I631" s="37" t="n">
        <v>31.9</v>
      </c>
      <c r="J631" s="39" t="n">
        <v>466.39</v>
      </c>
      <c r="K631" s="37" t="s">
        <v>342</v>
      </c>
      <c r="L631" s="39" t="n">
        <v>82.56</v>
      </c>
      <c r="M631" s="39" t="n">
        <v>42.11</v>
      </c>
      <c r="N631" s="39" t="n">
        <f aca="false">J631*Resumo!$C$6</f>
        <v>0</v>
      </c>
      <c r="O631" s="39" t="n">
        <f aca="false">J631*Resumo!$C$7</f>
        <v>0.979419</v>
      </c>
      <c r="P631" s="39" t="n">
        <f aca="false">J631*Resumo!$C$8</f>
        <v>0.979419</v>
      </c>
      <c r="Q631" s="39" t="n">
        <f aca="false">Resumo!$C$10*CEILING(I631/100,1)</f>
        <v>1.05</v>
      </c>
      <c r="R631" s="39" t="n">
        <f aca="false">Resumo!$C$9</f>
        <v>0</v>
      </c>
      <c r="S631" s="39" t="n">
        <f aca="false">Resumo!$C$13</f>
        <v>13.55</v>
      </c>
      <c r="T631" s="39" t="n">
        <f aca="false">Resumo!$C$14*CEILING(I631,1)</f>
        <v>14.4</v>
      </c>
      <c r="U631" s="39" t="n">
        <f aca="false">SUM(M631:T631)*Resumo!$C$11</f>
        <v>0</v>
      </c>
      <c r="V631" s="39" t="n">
        <f aca="false">SUM(M631:U631)</f>
        <v>73.068838</v>
      </c>
      <c r="W631" s="39" t="n">
        <f aca="false">V631/(1-Resumo!$C$5)</f>
        <v>83.0327704545455</v>
      </c>
      <c r="X631" s="39" t="n">
        <v>82.21</v>
      </c>
      <c r="Y631" s="39" t="n">
        <f aca="false">J631*Resumo!$B$6</f>
        <v>0.46639</v>
      </c>
      <c r="Z631" s="39" t="n">
        <f aca="false">J631*Resumo!$B$7</f>
        <v>0.93278</v>
      </c>
      <c r="AA631" s="39" t="n">
        <f aca="false">Resumo!$B$9</f>
        <v>1</v>
      </c>
      <c r="AB631" s="39" t="n">
        <f aca="false">Resumo!$B$10*CEILING(I631/100,1)</f>
        <v>4.5</v>
      </c>
      <c r="AC631" s="39" t="n">
        <f aca="false">Resumo!$B$12*CEILING(I631,1)</f>
        <v>1.92</v>
      </c>
      <c r="AD631" s="39" t="n">
        <f aca="false">Resumo!$B$14*CEILING(I631,1)</f>
        <v>14.4</v>
      </c>
      <c r="AE631" s="39" t="n">
        <f aca="false">SUM(X631:AD631)</f>
        <v>105.42917</v>
      </c>
      <c r="AF631" s="39" t="n">
        <f aca="false">AE631/(1-Resumo!$B$5)</f>
        <v>119.805875</v>
      </c>
      <c r="AG631" s="39" t="n">
        <f aca="false">AF631-W631</f>
        <v>36.7731045454545</v>
      </c>
      <c r="AH631" s="40" t="n">
        <f aca="false">AF631/W631-1</f>
        <v>0.442874594502242</v>
      </c>
      <c r="AI631" s="37" t="str">
        <f aca="false">IF(AF631&lt;W631,"SIM","NÃO")</f>
        <v>NÃO</v>
      </c>
      <c r="AJ631" s="37" t="n">
        <v>2</v>
      </c>
      <c r="AK631" s="37" t="n">
        <v>5</v>
      </c>
      <c r="AL631" s="37" t="s">
        <v>343</v>
      </c>
      <c r="AM631" s="39" t="n">
        <v>82.56</v>
      </c>
    </row>
    <row r="632" customFormat="false" ht="15" hidden="false" customHeight="false" outlineLevel="0" collapsed="false">
      <c r="A632" s="37" t="n">
        <v>372489893</v>
      </c>
      <c r="B632" s="38" t="n">
        <v>46240.5514467593</v>
      </c>
      <c r="C632" s="37" t="s">
        <v>340</v>
      </c>
      <c r="D632" s="37" t="s">
        <v>961</v>
      </c>
      <c r="E632" s="37" t="n">
        <v>21230354</v>
      </c>
      <c r="F632" s="37" t="s">
        <v>159</v>
      </c>
      <c r="G632" s="37" t="s">
        <v>196</v>
      </c>
      <c r="H632" s="37" t="s">
        <v>184</v>
      </c>
      <c r="I632" s="37" t="n">
        <v>23.4</v>
      </c>
      <c r="J632" s="39" t="n">
        <v>379.99</v>
      </c>
      <c r="K632" s="37" t="s">
        <v>342</v>
      </c>
      <c r="L632" s="39" t="n">
        <v>82.15</v>
      </c>
      <c r="M632" s="39" t="n">
        <v>42.11</v>
      </c>
      <c r="N632" s="39" t="n">
        <f aca="false">J632*Resumo!$C$6</f>
        <v>0</v>
      </c>
      <c r="O632" s="39" t="n">
        <f aca="false">J632*Resumo!$C$7</f>
        <v>0.797979</v>
      </c>
      <c r="P632" s="39" t="n">
        <f aca="false">J632*Resumo!$C$8</f>
        <v>0.797979</v>
      </c>
      <c r="Q632" s="39" t="n">
        <f aca="false">Resumo!$C$10*CEILING(I632/100,1)</f>
        <v>1.05</v>
      </c>
      <c r="R632" s="39" t="n">
        <f aca="false">Resumo!$C$9</f>
        <v>0</v>
      </c>
      <c r="S632" s="39" t="n">
        <f aca="false">Resumo!$C$13</f>
        <v>13.55</v>
      </c>
      <c r="T632" s="39" t="n">
        <f aca="false">Resumo!$C$14*CEILING(I632,1)</f>
        <v>10.8</v>
      </c>
      <c r="U632" s="39" t="n">
        <f aca="false">SUM(M632:T632)*Resumo!$C$11</f>
        <v>0</v>
      </c>
      <c r="V632" s="39" t="n">
        <f aca="false">SUM(M632:U632)</f>
        <v>69.105958</v>
      </c>
      <c r="W632" s="39" t="n">
        <f aca="false">V632/(1-Resumo!$C$5)</f>
        <v>78.5294977272727</v>
      </c>
      <c r="X632" s="39" t="n">
        <v>82.21</v>
      </c>
      <c r="Y632" s="39" t="n">
        <f aca="false">J632*Resumo!$B$6</f>
        <v>0.37999</v>
      </c>
      <c r="Z632" s="39" t="n">
        <f aca="false">J632*Resumo!$B$7</f>
        <v>0.75998</v>
      </c>
      <c r="AA632" s="39" t="n">
        <f aca="false">Resumo!$B$9</f>
        <v>1</v>
      </c>
      <c r="AB632" s="39" t="n">
        <f aca="false">Resumo!$B$10*CEILING(I632/100,1)</f>
        <v>4.5</v>
      </c>
      <c r="AC632" s="39" t="n">
        <f aca="false">Resumo!$B$12*CEILING(I632,1)</f>
        <v>1.44</v>
      </c>
      <c r="AD632" s="39" t="n">
        <f aca="false">Resumo!$B$14*CEILING(I632,1)</f>
        <v>10.8</v>
      </c>
      <c r="AE632" s="39" t="n">
        <f aca="false">SUM(X632:AD632)</f>
        <v>101.08997</v>
      </c>
      <c r="AF632" s="39" t="n">
        <f aca="false">AE632/(1-Resumo!$B$5)</f>
        <v>114.874965909091</v>
      </c>
      <c r="AG632" s="39" t="n">
        <f aca="false">AF632-W632</f>
        <v>36.3454681818182</v>
      </c>
      <c r="AH632" s="40" t="n">
        <f aca="false">AF632/W632-1</f>
        <v>0.462825679950779</v>
      </c>
      <c r="AI632" s="37" t="str">
        <f aca="false">IF(AF632&lt;W632,"SIM","NÃO")</f>
        <v>NÃO</v>
      </c>
      <c r="AJ632" s="37" t="n">
        <v>2</v>
      </c>
      <c r="AK632" s="37" t="n">
        <v>5</v>
      </c>
      <c r="AL632" s="37" t="s">
        <v>343</v>
      </c>
      <c r="AM632" s="39" t="n">
        <v>82.15</v>
      </c>
    </row>
    <row r="633" customFormat="false" ht="15" hidden="false" customHeight="false" outlineLevel="0" collapsed="false">
      <c r="A633" s="37" t="n">
        <v>372491039</v>
      </c>
      <c r="B633" s="38" t="n">
        <v>46240.555150463</v>
      </c>
      <c r="C633" s="37" t="s">
        <v>375</v>
      </c>
      <c r="D633" s="37" t="s">
        <v>962</v>
      </c>
      <c r="E633" s="37" t="n">
        <v>20766721</v>
      </c>
      <c r="F633" s="37" t="s">
        <v>159</v>
      </c>
      <c r="G633" s="37" t="s">
        <v>196</v>
      </c>
      <c r="H633" s="37" t="s">
        <v>187</v>
      </c>
      <c r="I633" s="37" t="n">
        <v>52.3</v>
      </c>
      <c r="J633" s="39" t="n">
        <v>536.93</v>
      </c>
      <c r="K633" s="37" t="s">
        <v>342</v>
      </c>
      <c r="L633" s="39" t="n">
        <v>113.72</v>
      </c>
      <c r="M633" s="39" t="n">
        <v>58.6</v>
      </c>
      <c r="N633" s="39" t="n">
        <f aca="false">J633*Resumo!$C$6</f>
        <v>0</v>
      </c>
      <c r="O633" s="39" t="n">
        <f aca="false">J633*Resumo!$C$7</f>
        <v>1.127553</v>
      </c>
      <c r="P633" s="39" t="n">
        <f aca="false">J633*Resumo!$C$8</f>
        <v>1.127553</v>
      </c>
      <c r="Q633" s="39" t="n">
        <f aca="false">Resumo!$C$10*CEILING(I633/100,1)</f>
        <v>1.05</v>
      </c>
      <c r="R633" s="39" t="n">
        <f aca="false">Resumo!$C$9</f>
        <v>0</v>
      </c>
      <c r="S633" s="39" t="n">
        <f aca="false">Resumo!$C$13</f>
        <v>13.55</v>
      </c>
      <c r="T633" s="39" t="n">
        <f aca="false">Resumo!$C$14*CEILING(I633,1)</f>
        <v>23.85</v>
      </c>
      <c r="U633" s="39" t="n">
        <f aca="false">SUM(M633:T633)*Resumo!$C$11</f>
        <v>0</v>
      </c>
      <c r="V633" s="39" t="n">
        <f aca="false">SUM(M633:U633)</f>
        <v>99.305106</v>
      </c>
      <c r="W633" s="39" t="n">
        <f aca="false">V633/(1-Resumo!$C$5)</f>
        <v>112.846711363636</v>
      </c>
      <c r="X633" s="39" t="n">
        <v>112.3</v>
      </c>
      <c r="Y633" s="39" t="n">
        <f aca="false">J633*Resumo!$B$6</f>
        <v>0.53693</v>
      </c>
      <c r="Z633" s="39" t="n">
        <f aca="false">J633*Resumo!$B$7</f>
        <v>1.07386</v>
      </c>
      <c r="AA633" s="39" t="n">
        <f aca="false">Resumo!$B$9</f>
        <v>1</v>
      </c>
      <c r="AB633" s="39" t="n">
        <f aca="false">Resumo!$B$10*CEILING(I633/100,1)</f>
        <v>4.5</v>
      </c>
      <c r="AC633" s="39" t="n">
        <f aca="false">Resumo!$B$12*CEILING(I633,1)</f>
        <v>3.18</v>
      </c>
      <c r="AD633" s="39" t="n">
        <f aca="false">Resumo!$B$14*CEILING(I633,1)</f>
        <v>23.85</v>
      </c>
      <c r="AE633" s="39" t="n">
        <f aca="false">SUM(X633:AD633)</f>
        <v>146.44079</v>
      </c>
      <c r="AF633" s="39" t="n">
        <f aca="false">AE633/(1-Resumo!$B$5)</f>
        <v>166.409988636364</v>
      </c>
      <c r="AG633" s="39" t="n">
        <f aca="false">AF633-W633</f>
        <v>53.5632772727273</v>
      </c>
      <c r="AH633" s="40" t="n">
        <f aca="false">AF633/W633-1</f>
        <v>0.47465519043905</v>
      </c>
      <c r="AI633" s="37" t="str">
        <f aca="false">IF(AF633&lt;W633,"SIM","NÃO")</f>
        <v>NÃO</v>
      </c>
      <c r="AJ633" s="37" t="n">
        <v>2</v>
      </c>
      <c r="AK633" s="37" t="n">
        <v>5</v>
      </c>
      <c r="AL633" s="37" t="s">
        <v>343</v>
      </c>
      <c r="AM633" s="39" t="n">
        <v>113.72</v>
      </c>
    </row>
    <row r="634" customFormat="false" ht="15" hidden="false" customHeight="false" outlineLevel="0" collapsed="false">
      <c r="A634" s="37" t="n">
        <v>372499690</v>
      </c>
      <c r="B634" s="38" t="n">
        <v>46240.5702314815</v>
      </c>
      <c r="C634" s="37" t="s">
        <v>379</v>
      </c>
      <c r="D634" s="37" t="s">
        <v>963</v>
      </c>
      <c r="E634" s="37" t="n">
        <v>21775410</v>
      </c>
      <c r="F634" s="37" t="s">
        <v>159</v>
      </c>
      <c r="G634" s="37" t="s">
        <v>196</v>
      </c>
      <c r="H634" s="37" t="s">
        <v>183</v>
      </c>
      <c r="I634" s="37" t="n">
        <v>19.5</v>
      </c>
      <c r="J634" s="39" t="n">
        <v>335.99</v>
      </c>
      <c r="K634" s="37" t="s">
        <v>342</v>
      </c>
      <c r="L634" s="39" t="n">
        <v>64.82</v>
      </c>
      <c r="M634" s="39" t="n">
        <v>33.42</v>
      </c>
      <c r="N634" s="39" t="n">
        <f aca="false">J634*Resumo!$C$6</f>
        <v>0</v>
      </c>
      <c r="O634" s="39" t="n">
        <f aca="false">J634*Resumo!$C$7</f>
        <v>0.705579</v>
      </c>
      <c r="P634" s="39" t="n">
        <f aca="false">J634*Resumo!$C$8</f>
        <v>0.705579</v>
      </c>
      <c r="Q634" s="39" t="n">
        <f aca="false">Resumo!$C$10*CEILING(I634/100,1)</f>
        <v>1.05</v>
      </c>
      <c r="R634" s="39" t="n">
        <f aca="false">Resumo!$C$9</f>
        <v>0</v>
      </c>
      <c r="S634" s="39" t="n">
        <f aca="false">Resumo!$C$13</f>
        <v>13.55</v>
      </c>
      <c r="T634" s="39" t="n">
        <f aca="false">Resumo!$C$14*CEILING(I634,1)</f>
        <v>9</v>
      </c>
      <c r="U634" s="39" t="n">
        <f aca="false">SUM(M634:T634)*Resumo!$C$11</f>
        <v>0</v>
      </c>
      <c r="V634" s="39" t="n">
        <f aca="false">SUM(M634:U634)</f>
        <v>58.431158</v>
      </c>
      <c r="W634" s="39" t="n">
        <f aca="false">V634/(1-Resumo!$C$5)</f>
        <v>66.3990431818182</v>
      </c>
      <c r="X634" s="39" t="n">
        <v>46.98</v>
      </c>
      <c r="Y634" s="39" t="n">
        <f aca="false">J634*Resumo!$B$6</f>
        <v>0.33599</v>
      </c>
      <c r="Z634" s="39" t="n">
        <f aca="false">J634*Resumo!$B$7</f>
        <v>0.67198</v>
      </c>
      <c r="AA634" s="39" t="n">
        <f aca="false">Resumo!$B$9</f>
        <v>1</v>
      </c>
      <c r="AB634" s="39" t="n">
        <f aca="false">Resumo!$B$10*CEILING(I634/100,1)</f>
        <v>4.5</v>
      </c>
      <c r="AC634" s="39" t="n">
        <f aca="false">Resumo!$B$12*CEILING(I634,1)</f>
        <v>1.2</v>
      </c>
      <c r="AD634" s="39" t="n">
        <f aca="false">Resumo!$B$14*CEILING(I634,1)</f>
        <v>9</v>
      </c>
      <c r="AE634" s="39" t="n">
        <f aca="false">SUM(X634:AD634)</f>
        <v>63.68797</v>
      </c>
      <c r="AF634" s="39" t="n">
        <f aca="false">AE634/(1-Resumo!$B$5)</f>
        <v>72.3726931818182</v>
      </c>
      <c r="AG634" s="39" t="n">
        <f aca="false">AF634-W634</f>
        <v>5.97364999999999</v>
      </c>
      <c r="AH634" s="40" t="n">
        <f aca="false">AF634/W634-1</f>
        <v>0.0899659048345405</v>
      </c>
      <c r="AI634" s="37" t="str">
        <f aca="false">IF(AF634&lt;W634,"SIM","NÃO")</f>
        <v>NÃO</v>
      </c>
      <c r="AJ634" s="37" t="n">
        <v>2</v>
      </c>
      <c r="AK634" s="37" t="n">
        <v>5</v>
      </c>
      <c r="AL634" s="37" t="s">
        <v>343</v>
      </c>
      <c r="AM634" s="39" t="n">
        <v>64.83</v>
      </c>
    </row>
    <row r="635" customFormat="false" ht="15" hidden="false" customHeight="false" outlineLevel="0" collapsed="false">
      <c r="A635" s="37" t="n">
        <v>372499857</v>
      </c>
      <c r="B635" s="38" t="n">
        <v>46240.5704050926</v>
      </c>
      <c r="C635" s="37" t="s">
        <v>345</v>
      </c>
      <c r="D635" s="37" t="s">
        <v>964</v>
      </c>
      <c r="E635" s="37" t="n">
        <v>25261470</v>
      </c>
      <c r="F635" s="37" t="s">
        <v>161</v>
      </c>
      <c r="G635" s="37" t="s">
        <v>197</v>
      </c>
      <c r="H635" s="37" t="s">
        <v>187</v>
      </c>
      <c r="I635" s="37" t="n">
        <v>52.3</v>
      </c>
      <c r="J635" s="39" t="n">
        <v>630</v>
      </c>
      <c r="K635" s="37" t="s">
        <v>342</v>
      </c>
      <c r="L635" s="39" t="n">
        <v>128.31</v>
      </c>
      <c r="M635" s="39" t="n">
        <v>70.98</v>
      </c>
      <c r="N635" s="39" t="n">
        <f aca="false">J635*Resumo!$C$6</f>
        <v>0</v>
      </c>
      <c r="O635" s="39" t="n">
        <f aca="false">J635*Resumo!$C$7</f>
        <v>1.323</v>
      </c>
      <c r="P635" s="39" t="n">
        <f aca="false">J635*Resumo!$C$8</f>
        <v>1.323</v>
      </c>
      <c r="Q635" s="39" t="n">
        <f aca="false">Resumo!$C$10*CEILING(I635/100,1)</f>
        <v>1.05</v>
      </c>
      <c r="R635" s="39" t="n">
        <f aca="false">Resumo!$C$9</f>
        <v>0</v>
      </c>
      <c r="S635" s="39" t="n">
        <f aca="false">Resumo!$C$13</f>
        <v>13.55</v>
      </c>
      <c r="T635" s="39" t="n">
        <f aca="false">Resumo!$C$14*CEILING(I635,1)</f>
        <v>23.85</v>
      </c>
      <c r="U635" s="39" t="n">
        <f aca="false">SUM(M635:T635)*Resumo!$C$11</f>
        <v>0</v>
      </c>
      <c r="V635" s="39" t="n">
        <f aca="false">SUM(M635:U635)</f>
        <v>112.076</v>
      </c>
      <c r="W635" s="39" t="n">
        <f aca="false">V635/(1-Resumo!$C$5)</f>
        <v>127.359090909091</v>
      </c>
      <c r="X635" s="39" t="n">
        <v>112.3</v>
      </c>
      <c r="Y635" s="39" t="n">
        <f aca="false">J635*Resumo!$B$6</f>
        <v>0.63</v>
      </c>
      <c r="Z635" s="39" t="n">
        <f aca="false">J635*Resumo!$B$7</f>
        <v>1.26</v>
      </c>
      <c r="AA635" s="39" t="n">
        <f aca="false">Resumo!$B$9</f>
        <v>1</v>
      </c>
      <c r="AB635" s="39" t="n">
        <f aca="false">Resumo!$B$10*CEILING(I635/100,1)</f>
        <v>4.5</v>
      </c>
      <c r="AC635" s="39" t="n">
        <f aca="false">Resumo!$B$12*CEILING(I635,1)</f>
        <v>3.18</v>
      </c>
      <c r="AD635" s="39" t="n">
        <f aca="false">Resumo!$B$14*CEILING(I635,1)</f>
        <v>23.85</v>
      </c>
      <c r="AE635" s="39" t="n">
        <f aca="false">SUM(X635:AD635)</f>
        <v>146.72</v>
      </c>
      <c r="AF635" s="39" t="n">
        <f aca="false">AE635/(1-Resumo!$B$5)</f>
        <v>166.727272727273</v>
      </c>
      <c r="AG635" s="39" t="n">
        <f aca="false">AF635-W635</f>
        <v>39.3681818181818</v>
      </c>
      <c r="AH635" s="40" t="n">
        <f aca="false">AF635/W635-1</f>
        <v>0.309111674221064</v>
      </c>
      <c r="AI635" s="37" t="str">
        <f aca="false">IF(AF635&lt;W635,"SIM","NÃO")</f>
        <v>NÃO</v>
      </c>
      <c r="AJ635" s="37" t="n">
        <v>2</v>
      </c>
      <c r="AK635" s="37" t="n">
        <v>5</v>
      </c>
      <c r="AL635" s="37" t="s">
        <v>343</v>
      </c>
      <c r="AM635" s="39" t="n">
        <v>128.3</v>
      </c>
    </row>
    <row r="636" customFormat="false" ht="15" hidden="false" customHeight="false" outlineLevel="0" collapsed="false">
      <c r="A636" s="37" t="n">
        <v>372508302</v>
      </c>
      <c r="B636" s="38" t="n">
        <v>46240.5867476852</v>
      </c>
      <c r="C636" s="37" t="s">
        <v>340</v>
      </c>
      <c r="D636" s="37" t="s">
        <v>965</v>
      </c>
      <c r="E636" s="37" t="n">
        <v>21760001</v>
      </c>
      <c r="F636" s="37" t="s">
        <v>159</v>
      </c>
      <c r="G636" s="37" t="s">
        <v>196</v>
      </c>
      <c r="H636" s="37" t="s">
        <v>184</v>
      </c>
      <c r="I636" s="37" t="n">
        <v>27.4</v>
      </c>
      <c r="J636" s="39" t="n">
        <v>315.99</v>
      </c>
      <c r="K636" s="37" t="s">
        <v>342</v>
      </c>
      <c r="L636" s="39" t="n">
        <v>81.83</v>
      </c>
      <c r="M636" s="39" t="n">
        <v>42.11</v>
      </c>
      <c r="N636" s="39" t="n">
        <f aca="false">J636*Resumo!$C$6</f>
        <v>0</v>
      </c>
      <c r="O636" s="39" t="n">
        <f aca="false">J636*Resumo!$C$7</f>
        <v>0.663579</v>
      </c>
      <c r="P636" s="39" t="n">
        <f aca="false">J636*Resumo!$C$8</f>
        <v>0.663579</v>
      </c>
      <c r="Q636" s="39" t="n">
        <f aca="false">Resumo!$C$10*CEILING(I636/100,1)</f>
        <v>1.05</v>
      </c>
      <c r="R636" s="39" t="n">
        <f aca="false">Resumo!$C$9</f>
        <v>0</v>
      </c>
      <c r="S636" s="39" t="n">
        <f aca="false">Resumo!$C$13</f>
        <v>13.55</v>
      </c>
      <c r="T636" s="39" t="n">
        <f aca="false">Resumo!$C$14*CEILING(I636,1)</f>
        <v>12.6</v>
      </c>
      <c r="U636" s="39" t="n">
        <f aca="false">SUM(M636:T636)*Resumo!$C$11</f>
        <v>0</v>
      </c>
      <c r="V636" s="39" t="n">
        <f aca="false">SUM(M636:U636)</f>
        <v>70.637158</v>
      </c>
      <c r="W636" s="39" t="n">
        <f aca="false">V636/(1-Resumo!$C$5)</f>
        <v>80.2694977272727</v>
      </c>
      <c r="X636" s="39" t="n">
        <v>82.21</v>
      </c>
      <c r="Y636" s="39" t="n">
        <f aca="false">J636*Resumo!$B$6</f>
        <v>0.31599</v>
      </c>
      <c r="Z636" s="39" t="n">
        <f aca="false">J636*Resumo!$B$7</f>
        <v>0.63198</v>
      </c>
      <c r="AA636" s="39" t="n">
        <f aca="false">Resumo!$B$9</f>
        <v>1</v>
      </c>
      <c r="AB636" s="39" t="n">
        <f aca="false">Resumo!$B$10*CEILING(I636/100,1)</f>
        <v>4.5</v>
      </c>
      <c r="AC636" s="39" t="n">
        <f aca="false">Resumo!$B$12*CEILING(I636,1)</f>
        <v>1.68</v>
      </c>
      <c r="AD636" s="39" t="n">
        <f aca="false">Resumo!$B$14*CEILING(I636,1)</f>
        <v>12.6</v>
      </c>
      <c r="AE636" s="39" t="n">
        <f aca="false">SUM(X636:AD636)</f>
        <v>102.93797</v>
      </c>
      <c r="AF636" s="39" t="n">
        <f aca="false">AE636/(1-Resumo!$B$5)</f>
        <v>116.974965909091</v>
      </c>
      <c r="AG636" s="39" t="n">
        <f aca="false">AF636-W636</f>
        <v>36.7054681818182</v>
      </c>
      <c r="AH636" s="40" t="n">
        <f aca="false">AF636/W636-1</f>
        <v>0.457277910303243</v>
      </c>
      <c r="AI636" s="37" t="str">
        <f aca="false">IF(AF636&lt;W636,"SIM","NÃO")</f>
        <v>NÃO</v>
      </c>
      <c r="AJ636" s="37" t="n">
        <v>2</v>
      </c>
      <c r="AK636" s="37" t="n">
        <v>5</v>
      </c>
      <c r="AL636" s="37" t="s">
        <v>343</v>
      </c>
      <c r="AM636" s="39" t="n">
        <v>81.84</v>
      </c>
    </row>
    <row r="637" customFormat="false" ht="15" hidden="false" customHeight="false" outlineLevel="0" collapsed="false">
      <c r="A637" s="37" t="n">
        <v>372520156</v>
      </c>
      <c r="B637" s="38" t="n">
        <v>46240.6100115741</v>
      </c>
      <c r="C637" s="37" t="s">
        <v>340</v>
      </c>
      <c r="D637" s="37" t="s">
        <v>966</v>
      </c>
      <c r="E637" s="37" t="n">
        <v>26381411</v>
      </c>
      <c r="F637" s="37" t="s">
        <v>236</v>
      </c>
      <c r="G637" s="37" t="s">
        <v>197</v>
      </c>
      <c r="H637" s="37" t="s">
        <v>189</v>
      </c>
      <c r="I637" s="37" t="n">
        <v>73</v>
      </c>
      <c r="J637" s="39" t="n">
        <v>827.99</v>
      </c>
      <c r="K637" s="37" t="s">
        <v>518</v>
      </c>
      <c r="L637" s="39" t="n">
        <v>151.6</v>
      </c>
      <c r="M637" s="39" t="n">
        <v>82.48</v>
      </c>
      <c r="N637" s="39" t="n">
        <f aca="false">J637*Resumo!$C$6</f>
        <v>0</v>
      </c>
      <c r="O637" s="39" t="n">
        <f aca="false">J637*Resumo!$C$7</f>
        <v>1.738779</v>
      </c>
      <c r="P637" s="39" t="n">
        <f aca="false">J637*Resumo!$C$8</f>
        <v>1.738779</v>
      </c>
      <c r="Q637" s="39" t="n">
        <f aca="false">Resumo!$C$10*CEILING(I637/100,1)</f>
        <v>1.05</v>
      </c>
      <c r="R637" s="39" t="n">
        <f aca="false">Resumo!$C$9</f>
        <v>0</v>
      </c>
      <c r="S637" s="39" t="n">
        <f aca="false">Resumo!$C$13</f>
        <v>13.55</v>
      </c>
      <c r="T637" s="39" t="n">
        <f aca="false">Resumo!$C$14*CEILING(I637,1)</f>
        <v>32.85</v>
      </c>
      <c r="U637" s="39" t="n">
        <f aca="false">SUM(M637:T637)*Resumo!$C$11</f>
        <v>0</v>
      </c>
      <c r="V637" s="39" t="n">
        <f aca="false">SUM(M637:U637)</f>
        <v>133.407558</v>
      </c>
      <c r="W637" s="39" t="n">
        <f aca="false">V637/(1-Resumo!$C$5)</f>
        <v>151.599497727273</v>
      </c>
      <c r="X637" s="39" t="n">
        <v>134.39</v>
      </c>
      <c r="Y637" s="39" t="n">
        <f aca="false">J637*Resumo!$B$6</f>
        <v>0.82799</v>
      </c>
      <c r="Z637" s="39" t="n">
        <f aca="false">J637*Resumo!$B$7</f>
        <v>1.65598</v>
      </c>
      <c r="AA637" s="39" t="n">
        <f aca="false">Resumo!$B$9</f>
        <v>1</v>
      </c>
      <c r="AB637" s="39" t="n">
        <f aca="false">Resumo!$B$10*CEILING(I637/100,1)</f>
        <v>4.5</v>
      </c>
      <c r="AC637" s="39" t="n">
        <f aca="false">Resumo!$B$12*CEILING(I637,1)</f>
        <v>4.38</v>
      </c>
      <c r="AD637" s="39" t="n">
        <f aca="false">Resumo!$B$14*CEILING(I637,1)</f>
        <v>32.85</v>
      </c>
      <c r="AE637" s="39" t="n">
        <f aca="false">SUM(X637:AD637)</f>
        <v>179.60397</v>
      </c>
      <c r="AF637" s="39" t="n">
        <f aca="false">AE637/(1-Resumo!$B$5)</f>
        <v>204.095420454545</v>
      </c>
      <c r="AG637" s="39" t="n">
        <f aca="false">AF637-W637</f>
        <v>52.4959227272727</v>
      </c>
      <c r="AH637" s="40" t="n">
        <f aca="false">AF637/W637-1</f>
        <v>0.346280320939538</v>
      </c>
      <c r="AI637" s="37" t="str">
        <f aca="false">IF(AF637&lt;W637,"SIM","NÃO")</f>
        <v>NÃO</v>
      </c>
      <c r="AJ637" s="37" t="n">
        <v>2</v>
      </c>
      <c r="AK637" s="37" t="n">
        <v>5</v>
      </c>
      <c r="AL637" s="37" t="s">
        <v>347</v>
      </c>
      <c r="AM637" s="39" t="n">
        <v>151.97</v>
      </c>
    </row>
    <row r="638" customFormat="false" ht="15" hidden="false" customHeight="false" outlineLevel="0" collapsed="false">
      <c r="A638" s="37" t="n">
        <v>372530993</v>
      </c>
      <c r="B638" s="38" t="n">
        <v>46240.6322569445</v>
      </c>
      <c r="C638" s="37" t="s">
        <v>361</v>
      </c>
      <c r="D638" s="37" t="s">
        <v>967</v>
      </c>
      <c r="E638" s="37" t="n">
        <v>28990051</v>
      </c>
      <c r="F638" s="37" t="s">
        <v>295</v>
      </c>
      <c r="G638" s="37" t="s">
        <v>198</v>
      </c>
      <c r="H638" s="37" t="s">
        <v>184</v>
      </c>
      <c r="I638" s="37" t="n">
        <v>22.6</v>
      </c>
      <c r="J638" s="39" t="n">
        <v>475.99</v>
      </c>
      <c r="K638" s="37" t="s">
        <v>518</v>
      </c>
      <c r="L638" s="39" t="n">
        <v>105.2</v>
      </c>
      <c r="M638" s="39" t="n">
        <v>65.63</v>
      </c>
      <c r="N638" s="39" t="n">
        <f aca="false">J638*Resumo!$C$6</f>
        <v>0</v>
      </c>
      <c r="O638" s="39" t="n">
        <f aca="false">J638*Resumo!$C$7</f>
        <v>0.999579</v>
      </c>
      <c r="P638" s="39" t="n">
        <f aca="false">J638*Resumo!$C$8</f>
        <v>0.999579</v>
      </c>
      <c r="Q638" s="39" t="n">
        <f aca="false">Resumo!$C$10*CEILING(I638/100,1)</f>
        <v>1.05</v>
      </c>
      <c r="R638" s="39" t="n">
        <f aca="false">Resumo!$C$9</f>
        <v>0</v>
      </c>
      <c r="S638" s="39" t="n">
        <f aca="false">Resumo!$C$13</f>
        <v>13.55</v>
      </c>
      <c r="T638" s="39" t="n">
        <f aca="false">Resumo!$C$14*CEILING(I638,1)</f>
        <v>10.35</v>
      </c>
      <c r="U638" s="39" t="n">
        <f aca="false">SUM(M638:T638)*Resumo!$C$11</f>
        <v>0</v>
      </c>
      <c r="V638" s="39" t="n">
        <f aca="false">SUM(M638:U638)</f>
        <v>92.579158</v>
      </c>
      <c r="W638" s="39" t="n">
        <f aca="false">V638/(1-Resumo!$C$5)</f>
        <v>105.203588636364</v>
      </c>
      <c r="X638" s="39" t="n">
        <v>114.95</v>
      </c>
      <c r="Y638" s="39" t="n">
        <f aca="false">J638*Resumo!$B$6</f>
        <v>0.47599</v>
      </c>
      <c r="Z638" s="39" t="n">
        <f aca="false">J638*Resumo!$B$7</f>
        <v>0.95198</v>
      </c>
      <c r="AA638" s="39" t="n">
        <f aca="false">Resumo!$B$9</f>
        <v>1</v>
      </c>
      <c r="AB638" s="39" t="n">
        <f aca="false">Resumo!$B$10*CEILING(I638/100,1)</f>
        <v>4.5</v>
      </c>
      <c r="AC638" s="39" t="n">
        <f aca="false">Resumo!$B$12*CEILING(I638,1)</f>
        <v>1.38</v>
      </c>
      <c r="AD638" s="39" t="n">
        <f aca="false">Resumo!$B$14*CEILING(I638,1)</f>
        <v>10.35</v>
      </c>
      <c r="AE638" s="39" t="n">
        <f aca="false">SUM(X638:AD638)</f>
        <v>133.60797</v>
      </c>
      <c r="AF638" s="39" t="n">
        <f aca="false">AE638/(1-Resumo!$B$5)</f>
        <v>151.827238636364</v>
      </c>
      <c r="AG638" s="39" t="n">
        <f aca="false">AF638-W638</f>
        <v>46.62365</v>
      </c>
      <c r="AH638" s="40" t="n">
        <f aca="false">AF638/W638-1</f>
        <v>0.443175471524595</v>
      </c>
      <c r="AI638" s="37" t="str">
        <f aca="false">IF(AF638&lt;W638,"SIM","NÃO")</f>
        <v>NÃO</v>
      </c>
      <c r="AJ638" s="37" t="n">
        <v>13</v>
      </c>
      <c r="AK638" s="37" t="n">
        <v>10</v>
      </c>
      <c r="AL638" s="37" t="s">
        <v>347</v>
      </c>
      <c r="AM638" s="39" t="n">
        <v>109.46</v>
      </c>
    </row>
    <row r="639" customFormat="false" ht="15" hidden="false" customHeight="false" outlineLevel="0" collapsed="false">
      <c r="A639" s="37" t="n">
        <v>372539516</v>
      </c>
      <c r="B639" s="38" t="n">
        <v>46240.6406481482</v>
      </c>
      <c r="C639" s="37" t="s">
        <v>340</v>
      </c>
      <c r="D639" s="37" t="s">
        <v>968</v>
      </c>
      <c r="E639" s="37" t="n">
        <v>24325020</v>
      </c>
      <c r="F639" s="37" t="s">
        <v>163</v>
      </c>
      <c r="G639" s="37" t="s">
        <v>197</v>
      </c>
      <c r="H639" s="37" t="s">
        <v>192</v>
      </c>
      <c r="I639" s="37" t="n">
        <v>124.2</v>
      </c>
      <c r="J639" s="39" t="n">
        <v>1558.09</v>
      </c>
      <c r="K639" s="37" t="s">
        <v>342</v>
      </c>
      <c r="L639" s="39" t="n">
        <v>244.08</v>
      </c>
      <c r="M639" s="39" t="n">
        <v>129.62</v>
      </c>
      <c r="N639" s="39" t="n">
        <f aca="false">J639*Resumo!$C$6</f>
        <v>0</v>
      </c>
      <c r="O639" s="39" t="n">
        <f aca="false">J639*Resumo!$C$7</f>
        <v>3.271989</v>
      </c>
      <c r="P639" s="39" t="n">
        <f aca="false">J639*Resumo!$C$8</f>
        <v>3.271989</v>
      </c>
      <c r="Q639" s="39" t="n">
        <f aca="false">Resumo!$C$10*CEILING(I639/100,1)</f>
        <v>2.1</v>
      </c>
      <c r="R639" s="39" t="n">
        <f aca="false">Resumo!$C$9</f>
        <v>0</v>
      </c>
      <c r="S639" s="39" t="n">
        <f aca="false">Resumo!$C$13</f>
        <v>13.55</v>
      </c>
      <c r="T639" s="39" t="n">
        <f aca="false">Resumo!$C$14*CEILING(I639,1)</f>
        <v>56.25</v>
      </c>
      <c r="U639" s="39" t="n">
        <f aca="false">SUM(M639:T639)*Resumo!$C$11</f>
        <v>0</v>
      </c>
      <c r="V639" s="39" t="n">
        <f aca="false">SUM(M639:U639)</f>
        <v>208.063978</v>
      </c>
      <c r="W639" s="39" t="n">
        <f aca="false">V639/(1-Resumo!$C$5)</f>
        <v>236.436338636364</v>
      </c>
      <c r="X639" s="39" t="n">
        <v>249.03</v>
      </c>
      <c r="Y639" s="39" t="n">
        <f aca="false">J639*Resumo!$B$6</f>
        <v>1.55809</v>
      </c>
      <c r="Z639" s="39" t="n">
        <f aca="false">J639*Resumo!$B$7</f>
        <v>3.11618</v>
      </c>
      <c r="AA639" s="39" t="n">
        <f aca="false">Resumo!$B$9</f>
        <v>1</v>
      </c>
      <c r="AB639" s="39" t="n">
        <f aca="false">Resumo!$B$10*CEILING(I639/100,1)</f>
        <v>9</v>
      </c>
      <c r="AC639" s="39" t="n">
        <f aca="false">Resumo!$B$12*CEILING(I639,1)</f>
        <v>7.5</v>
      </c>
      <c r="AD639" s="39" t="n">
        <f aca="false">Resumo!$B$14*CEILING(I639,1)</f>
        <v>56.25</v>
      </c>
      <c r="AE639" s="39" t="n">
        <f aca="false">SUM(X639:AD639)</f>
        <v>327.45427</v>
      </c>
      <c r="AF639" s="39" t="n">
        <f aca="false">AE639/(1-Resumo!$B$5)</f>
        <v>372.107125</v>
      </c>
      <c r="AG639" s="39" t="n">
        <f aca="false">AF639-W639</f>
        <v>135.670786363636</v>
      </c>
      <c r="AH639" s="40" t="n">
        <f aca="false">AF639/W639-1</f>
        <v>0.573815290602586</v>
      </c>
      <c r="AI639" s="37" t="str">
        <f aca="false">IF(AF639&lt;W639,"SIM","NÃO")</f>
        <v>NÃO</v>
      </c>
      <c r="AJ639" s="37" t="n">
        <v>2</v>
      </c>
      <c r="AK639" s="37" t="n">
        <v>7</v>
      </c>
      <c r="AL639" s="37" t="s">
        <v>343</v>
      </c>
      <c r="AM639" s="39" t="n">
        <v>244.07</v>
      </c>
    </row>
    <row r="640" customFormat="false" ht="15" hidden="false" customHeight="false" outlineLevel="0" collapsed="false">
      <c r="A640" s="37" t="n">
        <v>372547265</v>
      </c>
      <c r="B640" s="38" t="n">
        <v>46240.655462963</v>
      </c>
      <c r="C640" s="37" t="s">
        <v>345</v>
      </c>
      <c r="D640" s="37" t="s">
        <v>969</v>
      </c>
      <c r="E640" s="37" t="n">
        <v>28972872</v>
      </c>
      <c r="F640" s="37" t="s">
        <v>173</v>
      </c>
      <c r="G640" s="37" t="s">
        <v>198</v>
      </c>
      <c r="H640" s="37" t="s">
        <v>185</v>
      </c>
      <c r="I640" s="37" t="n">
        <v>35.4</v>
      </c>
      <c r="J640" s="39" t="n">
        <v>466.06</v>
      </c>
      <c r="K640" s="37" t="s">
        <v>518</v>
      </c>
      <c r="L640" s="39" t="n">
        <v>122.42</v>
      </c>
      <c r="M640" s="39" t="n">
        <v>74.97</v>
      </c>
      <c r="N640" s="39" t="n">
        <f aca="false">J640*Resumo!$C$6</f>
        <v>0</v>
      </c>
      <c r="O640" s="39" t="n">
        <f aca="false">J640*Resumo!$C$7</f>
        <v>0.978726</v>
      </c>
      <c r="P640" s="39" t="n">
        <f aca="false">J640*Resumo!$C$8</f>
        <v>0.978726</v>
      </c>
      <c r="Q640" s="39" t="n">
        <f aca="false">Resumo!$C$10*CEILING(I640/100,1)</f>
        <v>1.05</v>
      </c>
      <c r="R640" s="39" t="n">
        <f aca="false">Resumo!$C$9</f>
        <v>0</v>
      </c>
      <c r="S640" s="39" t="n">
        <f aca="false">Resumo!$C$13</f>
        <v>13.55</v>
      </c>
      <c r="T640" s="39" t="n">
        <f aca="false">Resumo!$C$14*CEILING(I640,1)</f>
        <v>16.2</v>
      </c>
      <c r="U640" s="39" t="n">
        <f aca="false">SUM(M640:T640)*Resumo!$C$11</f>
        <v>0</v>
      </c>
      <c r="V640" s="39" t="n">
        <f aca="false">SUM(M640:U640)</f>
        <v>107.727452</v>
      </c>
      <c r="W640" s="39" t="n">
        <f aca="false">V640/(1-Resumo!$C$5)</f>
        <v>122.417559090909</v>
      </c>
      <c r="X640" s="39" t="n">
        <v>124.38</v>
      </c>
      <c r="Y640" s="39" t="n">
        <f aca="false">J640*Resumo!$B$6</f>
        <v>0.46606</v>
      </c>
      <c r="Z640" s="39" t="n">
        <f aca="false">J640*Resumo!$B$7</f>
        <v>0.93212</v>
      </c>
      <c r="AA640" s="39" t="n">
        <f aca="false">Resumo!$B$9</f>
        <v>1</v>
      </c>
      <c r="AB640" s="39" t="n">
        <f aca="false">Resumo!$B$10*CEILING(I640/100,1)</f>
        <v>4.5</v>
      </c>
      <c r="AC640" s="39" t="n">
        <f aca="false">Resumo!$B$12*CEILING(I640,1)</f>
        <v>2.16</v>
      </c>
      <c r="AD640" s="39" t="n">
        <f aca="false">Resumo!$B$14*CEILING(I640,1)</f>
        <v>16.2</v>
      </c>
      <c r="AE640" s="39" t="n">
        <f aca="false">SUM(X640:AD640)</f>
        <v>149.63818</v>
      </c>
      <c r="AF640" s="39" t="n">
        <f aca="false">AE640/(1-Resumo!$B$5)</f>
        <v>170.043386363636</v>
      </c>
      <c r="AG640" s="39" t="n">
        <f aca="false">AF640-W640</f>
        <v>47.6258272727272</v>
      </c>
      <c r="AH640" s="40" t="n">
        <f aca="false">AF640/W640-1</f>
        <v>0.389044085067565</v>
      </c>
      <c r="AI640" s="37" t="str">
        <f aca="false">IF(AF640&lt;W640,"SIM","NÃO")</f>
        <v>NÃO</v>
      </c>
      <c r="AJ640" s="37" t="n">
        <v>13</v>
      </c>
      <c r="AK640" s="37" t="n">
        <v>10</v>
      </c>
      <c r="AL640" s="37" t="s">
        <v>343</v>
      </c>
      <c r="AM640" s="39" t="n">
        <v>122.48</v>
      </c>
    </row>
    <row r="641" customFormat="false" ht="15" hidden="false" customHeight="false" outlineLevel="0" collapsed="false">
      <c r="A641" s="37" t="n">
        <v>372558534</v>
      </c>
      <c r="B641" s="38" t="n">
        <v>46240.6790393519</v>
      </c>
      <c r="C641" s="37" t="s">
        <v>361</v>
      </c>
      <c r="D641" s="37" t="s">
        <v>970</v>
      </c>
      <c r="E641" s="37" t="n">
        <v>25525720</v>
      </c>
      <c r="F641" s="37" t="s">
        <v>167</v>
      </c>
      <c r="G641" s="37" t="s">
        <v>197</v>
      </c>
      <c r="H641" s="37" t="s">
        <v>185</v>
      </c>
      <c r="I641" s="37" t="n">
        <v>37.2</v>
      </c>
      <c r="J641" s="39" t="n">
        <v>459.99</v>
      </c>
      <c r="K641" s="37" t="s">
        <v>518</v>
      </c>
      <c r="L641" s="39" t="n">
        <v>114.17</v>
      </c>
      <c r="M641" s="39" t="n">
        <v>66.83</v>
      </c>
      <c r="N641" s="39" t="n">
        <f aca="false">J641*Resumo!$C$6</f>
        <v>0</v>
      </c>
      <c r="O641" s="39" t="n">
        <f aca="false">J641*Resumo!$C$7</f>
        <v>0.965979</v>
      </c>
      <c r="P641" s="39" t="n">
        <f aca="false">J641*Resumo!$C$8</f>
        <v>0.965979</v>
      </c>
      <c r="Q641" s="39" t="n">
        <f aca="false">Resumo!$C$10*CEILING(I641/100,1)</f>
        <v>1.05</v>
      </c>
      <c r="R641" s="39" t="n">
        <f aca="false">Resumo!$C$9</f>
        <v>0</v>
      </c>
      <c r="S641" s="39" t="n">
        <f aca="false">Resumo!$C$13</f>
        <v>13.55</v>
      </c>
      <c r="T641" s="39" t="n">
        <f aca="false">Resumo!$C$14*CEILING(I641,1)</f>
        <v>17.1</v>
      </c>
      <c r="U641" s="39" t="n">
        <f aca="false">SUM(M641:T641)*Resumo!$C$11</f>
        <v>0</v>
      </c>
      <c r="V641" s="39" t="n">
        <f aca="false">SUM(M641:U641)</f>
        <v>100.461958</v>
      </c>
      <c r="W641" s="39" t="n">
        <f aca="false">V641/(1-Resumo!$C$5)</f>
        <v>114.161315909091</v>
      </c>
      <c r="X641" s="39" t="n">
        <v>93.97</v>
      </c>
      <c r="Y641" s="39" t="n">
        <f aca="false">J641*Resumo!$B$6</f>
        <v>0.45999</v>
      </c>
      <c r="Z641" s="39" t="n">
        <f aca="false">J641*Resumo!$B$7</f>
        <v>0.91998</v>
      </c>
      <c r="AA641" s="39" t="n">
        <f aca="false">Resumo!$B$9</f>
        <v>1</v>
      </c>
      <c r="AB641" s="39" t="n">
        <f aca="false">Resumo!$B$10*CEILING(I641/100,1)</f>
        <v>4.5</v>
      </c>
      <c r="AC641" s="39" t="n">
        <f aca="false">Resumo!$B$12*CEILING(I641,1)</f>
        <v>2.28</v>
      </c>
      <c r="AD641" s="39" t="n">
        <f aca="false">Resumo!$B$14*CEILING(I641,1)</f>
        <v>17.1</v>
      </c>
      <c r="AE641" s="39" t="n">
        <f aca="false">SUM(X641:AD641)</f>
        <v>120.22997</v>
      </c>
      <c r="AF641" s="39" t="n">
        <f aca="false">AE641/(1-Resumo!$B$5)</f>
        <v>136.624965909091</v>
      </c>
      <c r="AG641" s="39" t="n">
        <f aca="false">AF641-W641</f>
        <v>22.46365</v>
      </c>
      <c r="AH641" s="40" t="n">
        <f aca="false">AF641/W641-1</f>
        <v>0.196771120069151</v>
      </c>
      <c r="AI641" s="37" t="str">
        <f aca="false">IF(AF641&lt;W641,"SIM","NÃO")</f>
        <v>NÃO</v>
      </c>
      <c r="AJ641" s="37" t="n">
        <v>2</v>
      </c>
      <c r="AK641" s="37" t="n">
        <v>5</v>
      </c>
      <c r="AL641" s="37" t="s">
        <v>343</v>
      </c>
      <c r="AM641" s="39" t="n">
        <v>113.16</v>
      </c>
    </row>
    <row r="642" customFormat="false" ht="15" hidden="false" customHeight="false" outlineLevel="0" collapsed="false">
      <c r="A642" s="37" t="n">
        <v>372575121</v>
      </c>
      <c r="B642" s="38" t="n">
        <v>46240.7103703704</v>
      </c>
      <c r="C642" s="37" t="s">
        <v>345</v>
      </c>
      <c r="D642" s="37" t="s">
        <v>971</v>
      </c>
      <c r="E642" s="37" t="n">
        <v>23555220</v>
      </c>
      <c r="F642" s="37" t="s">
        <v>159</v>
      </c>
      <c r="G642" s="37" t="s">
        <v>196</v>
      </c>
      <c r="H642" s="37" t="s">
        <v>185</v>
      </c>
      <c r="I642" s="37" t="n">
        <v>36.8</v>
      </c>
      <c r="J642" s="39" t="n">
        <v>449.99</v>
      </c>
      <c r="K642" s="37" t="s">
        <v>518</v>
      </c>
      <c r="L642" s="39" t="n">
        <v>92.59</v>
      </c>
      <c r="M642" s="39" t="n">
        <v>48.35</v>
      </c>
      <c r="N642" s="39" t="n">
        <f aca="false">J642*Resumo!$C$6</f>
        <v>0</v>
      </c>
      <c r="O642" s="39" t="n">
        <f aca="false">J642*Resumo!$C$7</f>
        <v>0.944979</v>
      </c>
      <c r="P642" s="39" t="n">
        <f aca="false">J642*Resumo!$C$8</f>
        <v>0.944979</v>
      </c>
      <c r="Q642" s="39" t="n">
        <f aca="false">Resumo!$C$10*CEILING(I642/100,1)</f>
        <v>1.05</v>
      </c>
      <c r="R642" s="39" t="n">
        <f aca="false">Resumo!$C$9</f>
        <v>0</v>
      </c>
      <c r="S642" s="39" t="n">
        <f aca="false">Resumo!$C$13</f>
        <v>13.55</v>
      </c>
      <c r="T642" s="39" t="n">
        <f aca="false">Resumo!$C$14*CEILING(I642,1)</f>
        <v>16.65</v>
      </c>
      <c r="U642" s="39" t="n">
        <f aca="false">SUM(M642:T642)*Resumo!$C$11</f>
        <v>0</v>
      </c>
      <c r="V642" s="39" t="n">
        <f aca="false">SUM(M642:U642)</f>
        <v>81.489958</v>
      </c>
      <c r="W642" s="39" t="n">
        <f aca="false">V642/(1-Resumo!$C$5)</f>
        <v>92.602225</v>
      </c>
      <c r="X642" s="39" t="n">
        <v>93.97</v>
      </c>
      <c r="Y642" s="39" t="n">
        <f aca="false">J642*Resumo!$B$6</f>
        <v>0.44999</v>
      </c>
      <c r="Z642" s="39" t="n">
        <f aca="false">J642*Resumo!$B$7</f>
        <v>0.89998</v>
      </c>
      <c r="AA642" s="39" t="n">
        <f aca="false">Resumo!$B$9</f>
        <v>1</v>
      </c>
      <c r="AB642" s="39" t="n">
        <f aca="false">Resumo!$B$10*CEILING(I642/100,1)</f>
        <v>4.5</v>
      </c>
      <c r="AC642" s="39" t="n">
        <f aca="false">Resumo!$B$12*CEILING(I642,1)</f>
        <v>2.22</v>
      </c>
      <c r="AD642" s="39" t="n">
        <f aca="false">Resumo!$B$14*CEILING(I642,1)</f>
        <v>16.65</v>
      </c>
      <c r="AE642" s="39" t="n">
        <f aca="false">SUM(X642:AD642)</f>
        <v>119.68997</v>
      </c>
      <c r="AF642" s="39" t="n">
        <f aca="false">AE642/(1-Resumo!$B$5)</f>
        <v>136.011329545455</v>
      </c>
      <c r="AG642" s="39" t="n">
        <f aca="false">AF642-W642</f>
        <v>43.4091045454545</v>
      </c>
      <c r="AH642" s="40" t="n">
        <f aca="false">AF642/W642-1</f>
        <v>0.468769562993271</v>
      </c>
      <c r="AI642" s="37" t="str">
        <f aca="false">IF(AF642&lt;W642,"SIM","NÃO")</f>
        <v>NÃO</v>
      </c>
      <c r="AJ642" s="37" t="n">
        <v>2</v>
      </c>
      <c r="AK642" s="37" t="n">
        <v>5</v>
      </c>
      <c r="AL642" s="37" t="s">
        <v>343</v>
      </c>
      <c r="AM642" s="39" t="n">
        <v>92.01</v>
      </c>
    </row>
    <row r="643" customFormat="false" ht="15" hidden="false" customHeight="false" outlineLevel="0" collapsed="false">
      <c r="A643" s="37" t="n">
        <v>372585068</v>
      </c>
      <c r="B643" s="38" t="n">
        <v>46240.7307175926</v>
      </c>
      <c r="C643" s="37" t="s">
        <v>340</v>
      </c>
      <c r="D643" s="37" t="s">
        <v>972</v>
      </c>
      <c r="E643" s="37" t="n">
        <v>28985225</v>
      </c>
      <c r="F643" s="37" t="s">
        <v>173</v>
      </c>
      <c r="G643" s="37" t="s">
        <v>198</v>
      </c>
      <c r="H643" s="37" t="s">
        <v>188</v>
      </c>
      <c r="I643" s="37" t="n">
        <v>63.9</v>
      </c>
      <c r="J643" s="39" t="n">
        <v>735.99</v>
      </c>
      <c r="K643" s="37" t="s">
        <v>518</v>
      </c>
      <c r="L643" s="39" t="n">
        <v>155.34</v>
      </c>
      <c r="M643" s="39" t="n">
        <v>90.2</v>
      </c>
      <c r="N643" s="39" t="n">
        <f aca="false">J643*Resumo!$C$6</f>
        <v>0</v>
      </c>
      <c r="O643" s="39" t="n">
        <f aca="false">J643*Resumo!$C$7</f>
        <v>1.545579</v>
      </c>
      <c r="P643" s="39" t="n">
        <f aca="false">J643*Resumo!$C$8</f>
        <v>1.545579</v>
      </c>
      <c r="Q643" s="39" t="n">
        <f aca="false">Resumo!$C$10*CEILING(I643/100,1)</f>
        <v>1.05</v>
      </c>
      <c r="R643" s="39" t="n">
        <f aca="false">Resumo!$C$9</f>
        <v>0</v>
      </c>
      <c r="S643" s="39" t="n">
        <f aca="false">Resumo!$C$13</f>
        <v>13.55</v>
      </c>
      <c r="T643" s="39" t="n">
        <f aca="false">Resumo!$C$14*CEILING(I643,1)</f>
        <v>28.8</v>
      </c>
      <c r="U643" s="39" t="n">
        <f aca="false">SUM(M643:T643)*Resumo!$C$11</f>
        <v>0</v>
      </c>
      <c r="V643" s="39" t="n">
        <f aca="false">SUM(M643:U643)</f>
        <v>136.691158</v>
      </c>
      <c r="W643" s="39" t="n">
        <f aca="false">V643/(1-Resumo!$C$5)</f>
        <v>155.330861363636</v>
      </c>
      <c r="X643" s="39" t="n">
        <v>166.05</v>
      </c>
      <c r="Y643" s="39" t="n">
        <f aca="false">J643*Resumo!$B$6</f>
        <v>0.73599</v>
      </c>
      <c r="Z643" s="39" t="n">
        <f aca="false">J643*Resumo!$B$7</f>
        <v>1.47198</v>
      </c>
      <c r="AA643" s="39" t="n">
        <f aca="false">Resumo!$B$9</f>
        <v>1</v>
      </c>
      <c r="AB643" s="39" t="n">
        <f aca="false">Resumo!$B$10*CEILING(I643/100,1)</f>
        <v>4.5</v>
      </c>
      <c r="AC643" s="39" t="n">
        <f aca="false">Resumo!$B$12*CEILING(I643,1)</f>
        <v>3.84</v>
      </c>
      <c r="AD643" s="39" t="n">
        <f aca="false">Resumo!$B$14*CEILING(I643,1)</f>
        <v>28.8</v>
      </c>
      <c r="AE643" s="39" t="n">
        <f aca="false">SUM(X643:AD643)</f>
        <v>206.39797</v>
      </c>
      <c r="AF643" s="39" t="n">
        <f aca="false">AE643/(1-Resumo!$B$5)</f>
        <v>234.543147727273</v>
      </c>
      <c r="AG643" s="39" t="n">
        <f aca="false">AF643-W643</f>
        <v>79.2122863636364</v>
      </c>
      <c r="AH643" s="40" t="n">
        <f aca="false">AF643/W643-1</f>
        <v>0.509958456859368</v>
      </c>
      <c r="AI643" s="37" t="str">
        <f aca="false">IF(AF643&lt;W643,"SIM","NÃO")</f>
        <v>NÃO</v>
      </c>
      <c r="AJ643" s="37" t="n">
        <v>13</v>
      </c>
      <c r="AK643" s="37" t="n">
        <v>10</v>
      </c>
      <c r="AL643" s="37" t="s">
        <v>343</v>
      </c>
      <c r="AM643" s="39" t="n">
        <v>155.55</v>
      </c>
    </row>
    <row r="644" customFormat="false" ht="15" hidden="false" customHeight="false" outlineLevel="0" collapsed="false">
      <c r="A644" s="37" t="n">
        <v>372591144</v>
      </c>
      <c r="B644" s="38" t="n">
        <v>46240.7421527778</v>
      </c>
      <c r="C644" s="37" t="s">
        <v>345</v>
      </c>
      <c r="D644" s="37" t="s">
        <v>973</v>
      </c>
      <c r="E644" s="37" t="n">
        <v>21740030</v>
      </c>
      <c r="F644" s="37" t="s">
        <v>159</v>
      </c>
      <c r="G644" s="37" t="s">
        <v>196</v>
      </c>
      <c r="H644" s="37" t="s">
        <v>183</v>
      </c>
      <c r="I644" s="37" t="n">
        <v>8</v>
      </c>
      <c r="J644" s="39" t="n">
        <v>155.1</v>
      </c>
      <c r="K644" s="37" t="s">
        <v>342</v>
      </c>
      <c r="L644" s="39" t="n">
        <v>63.95</v>
      </c>
      <c r="M644" s="39" t="n">
        <v>33.42</v>
      </c>
      <c r="N644" s="39" t="n">
        <f aca="false">J644*Resumo!$C$6</f>
        <v>0</v>
      </c>
      <c r="O644" s="39" t="n">
        <f aca="false">J644*Resumo!$C$7</f>
        <v>0.32571</v>
      </c>
      <c r="P644" s="39" t="n">
        <f aca="false">J644*Resumo!$C$8</f>
        <v>0.32571</v>
      </c>
      <c r="Q644" s="39" t="n">
        <f aca="false">Resumo!$C$10*CEILING(I644/100,1)</f>
        <v>1.05</v>
      </c>
      <c r="R644" s="39" t="n">
        <f aca="false">Resumo!$C$9</f>
        <v>0</v>
      </c>
      <c r="S644" s="39" t="n">
        <f aca="false">Resumo!$C$13</f>
        <v>13.55</v>
      </c>
      <c r="T644" s="39" t="n">
        <f aca="false">Resumo!$C$14*CEILING(I644,1)</f>
        <v>3.6</v>
      </c>
      <c r="U644" s="39" t="n">
        <f aca="false">SUM(M644:T644)*Resumo!$C$11</f>
        <v>0</v>
      </c>
      <c r="V644" s="39" t="n">
        <f aca="false">SUM(M644:U644)</f>
        <v>52.27142</v>
      </c>
      <c r="W644" s="39" t="n">
        <f aca="false">V644/(1-Resumo!$C$5)</f>
        <v>59.3993409090909</v>
      </c>
      <c r="X644" s="39" t="n">
        <v>46.98</v>
      </c>
      <c r="Y644" s="39" t="n">
        <f aca="false">J644*Resumo!$B$6</f>
        <v>0.1551</v>
      </c>
      <c r="Z644" s="39" t="n">
        <f aca="false">J644*Resumo!$B$7</f>
        <v>0.3102</v>
      </c>
      <c r="AA644" s="39" t="n">
        <f aca="false">Resumo!$B$9</f>
        <v>1</v>
      </c>
      <c r="AB644" s="39" t="n">
        <f aca="false">Resumo!$B$10*CEILING(I644/100,1)</f>
        <v>4.5</v>
      </c>
      <c r="AC644" s="39" t="n">
        <f aca="false">Resumo!$B$12*CEILING(I644,1)</f>
        <v>0.48</v>
      </c>
      <c r="AD644" s="39" t="n">
        <f aca="false">Resumo!$B$14*CEILING(I644,1)</f>
        <v>3.6</v>
      </c>
      <c r="AE644" s="39" t="n">
        <f aca="false">SUM(X644:AD644)</f>
        <v>57.0253</v>
      </c>
      <c r="AF644" s="39" t="n">
        <f aca="false">AE644/(1-Resumo!$B$5)</f>
        <v>64.8014772727273</v>
      </c>
      <c r="AG644" s="39" t="n">
        <f aca="false">AF644-W644</f>
        <v>5.40213636363635</v>
      </c>
      <c r="AH644" s="40" t="n">
        <f aca="false">AF644/W644-1</f>
        <v>0.0909460657468266</v>
      </c>
      <c r="AI644" s="37" t="str">
        <f aca="false">IF(AF644&lt;W644,"SIM","NÃO")</f>
        <v>NÃO</v>
      </c>
      <c r="AJ644" s="37" t="n">
        <v>2</v>
      </c>
      <c r="AK644" s="37" t="n">
        <v>5</v>
      </c>
      <c r="AL644" s="37" t="s">
        <v>343</v>
      </c>
      <c r="AM644" s="39" t="n">
        <v>63.96</v>
      </c>
    </row>
    <row r="645" customFormat="false" ht="15" hidden="false" customHeight="false" outlineLevel="0" collapsed="false">
      <c r="A645" s="37" t="n">
        <v>372592842</v>
      </c>
      <c r="B645" s="38" t="n">
        <v>46240.7459027778</v>
      </c>
      <c r="C645" s="37" t="s">
        <v>340</v>
      </c>
      <c r="D645" s="37" t="s">
        <v>974</v>
      </c>
      <c r="E645" s="37" t="n">
        <v>23030300</v>
      </c>
      <c r="F645" s="37" t="s">
        <v>159</v>
      </c>
      <c r="G645" s="37" t="s">
        <v>196</v>
      </c>
      <c r="H645" s="37" t="s">
        <v>185</v>
      </c>
      <c r="I645" s="37" t="n">
        <v>37.2</v>
      </c>
      <c r="J645" s="39" t="n">
        <v>419.99</v>
      </c>
      <c r="K645" s="37" t="s">
        <v>518</v>
      </c>
      <c r="L645" s="39" t="n">
        <v>92.97</v>
      </c>
      <c r="M645" s="39" t="n">
        <v>48.35</v>
      </c>
      <c r="N645" s="39" t="n">
        <f aca="false">J645*Resumo!$C$6</f>
        <v>0</v>
      </c>
      <c r="O645" s="39" t="n">
        <f aca="false">J645*Resumo!$C$7</f>
        <v>0.881979</v>
      </c>
      <c r="P645" s="39" t="n">
        <f aca="false">J645*Resumo!$C$8</f>
        <v>0.881979</v>
      </c>
      <c r="Q645" s="39" t="n">
        <f aca="false">Resumo!$C$10*CEILING(I645/100,1)</f>
        <v>1.05</v>
      </c>
      <c r="R645" s="39" t="n">
        <f aca="false">Resumo!$C$9</f>
        <v>0</v>
      </c>
      <c r="S645" s="39" t="n">
        <f aca="false">Resumo!$C$13</f>
        <v>13.55</v>
      </c>
      <c r="T645" s="39" t="n">
        <f aca="false">Resumo!$C$14*CEILING(I645,1)</f>
        <v>17.1</v>
      </c>
      <c r="U645" s="39" t="n">
        <f aca="false">SUM(M645:T645)*Resumo!$C$11</f>
        <v>0</v>
      </c>
      <c r="V645" s="39" t="n">
        <f aca="false">SUM(M645:U645)</f>
        <v>81.813958</v>
      </c>
      <c r="W645" s="39" t="n">
        <f aca="false">V645/(1-Resumo!$C$5)</f>
        <v>92.9704068181818</v>
      </c>
      <c r="X645" s="39" t="n">
        <v>93.97</v>
      </c>
      <c r="Y645" s="39" t="n">
        <f aca="false">J645*Resumo!$B$6</f>
        <v>0.41999</v>
      </c>
      <c r="Z645" s="39" t="n">
        <f aca="false">J645*Resumo!$B$7</f>
        <v>0.83998</v>
      </c>
      <c r="AA645" s="39" t="n">
        <f aca="false">Resumo!$B$9</f>
        <v>1</v>
      </c>
      <c r="AB645" s="39" t="n">
        <f aca="false">Resumo!$B$10*CEILING(I645/100,1)</f>
        <v>4.5</v>
      </c>
      <c r="AC645" s="39" t="n">
        <f aca="false">Resumo!$B$12*CEILING(I645,1)</f>
        <v>2.28</v>
      </c>
      <c r="AD645" s="39" t="n">
        <f aca="false">Resumo!$B$14*CEILING(I645,1)</f>
        <v>17.1</v>
      </c>
      <c r="AE645" s="39" t="n">
        <f aca="false">SUM(X645:AD645)</f>
        <v>120.10997</v>
      </c>
      <c r="AF645" s="39" t="n">
        <f aca="false">AE645/(1-Resumo!$B$5)</f>
        <v>136.488602272727</v>
      </c>
      <c r="AG645" s="39" t="n">
        <f aca="false">AF645-W645</f>
        <v>43.5181954545454</v>
      </c>
      <c r="AH645" s="40" t="n">
        <f aca="false">AF645/W645-1</f>
        <v>0.468086533596138</v>
      </c>
      <c r="AI645" s="37" t="str">
        <f aca="false">IF(AF645&lt;W645,"SIM","NÃO")</f>
        <v>NÃO</v>
      </c>
      <c r="AJ645" s="37" t="n">
        <v>2</v>
      </c>
      <c r="AK645" s="37" t="n">
        <v>5</v>
      </c>
      <c r="AL645" s="37" t="s">
        <v>343</v>
      </c>
      <c r="AM645" s="39" t="n">
        <v>91.87</v>
      </c>
    </row>
    <row r="646" customFormat="false" ht="15" hidden="false" customHeight="false" outlineLevel="0" collapsed="false">
      <c r="A646" s="37" t="n">
        <v>372597501</v>
      </c>
      <c r="B646" s="38" t="n">
        <v>46240.7543518519</v>
      </c>
      <c r="C646" s="37" t="s">
        <v>345</v>
      </c>
      <c r="D646" s="37" t="s">
        <v>975</v>
      </c>
      <c r="E646" s="37" t="n">
        <v>26042450</v>
      </c>
      <c r="F646" s="37" t="s">
        <v>162</v>
      </c>
      <c r="G646" s="37" t="s">
        <v>197</v>
      </c>
      <c r="H646" s="37" t="s">
        <v>187</v>
      </c>
      <c r="I646" s="37" t="n">
        <v>60</v>
      </c>
      <c r="J646" s="39" t="n">
        <v>899.99</v>
      </c>
      <c r="K646" s="37" t="s">
        <v>342</v>
      </c>
      <c r="L646" s="39" t="n">
        <v>129.6</v>
      </c>
      <c r="M646" s="39" t="n">
        <v>70.98</v>
      </c>
      <c r="N646" s="39" t="n">
        <f aca="false">J646*Resumo!$C$6</f>
        <v>0</v>
      </c>
      <c r="O646" s="39" t="n">
        <f aca="false">J646*Resumo!$C$7</f>
        <v>1.889979</v>
      </c>
      <c r="P646" s="39" t="n">
        <f aca="false">J646*Resumo!$C$8</f>
        <v>1.889979</v>
      </c>
      <c r="Q646" s="39" t="n">
        <f aca="false">Resumo!$C$10*CEILING(I646/100,1)</f>
        <v>1.05</v>
      </c>
      <c r="R646" s="39" t="n">
        <f aca="false">Resumo!$C$9</f>
        <v>0</v>
      </c>
      <c r="S646" s="39" t="n">
        <f aca="false">Resumo!$C$13</f>
        <v>13.55</v>
      </c>
      <c r="T646" s="39" t="n">
        <f aca="false">Resumo!$C$14*CEILING(I646,1)</f>
        <v>27</v>
      </c>
      <c r="U646" s="39" t="n">
        <f aca="false">SUM(M646:T646)*Resumo!$C$11</f>
        <v>0</v>
      </c>
      <c r="V646" s="39" t="n">
        <f aca="false">SUM(M646:U646)</f>
        <v>116.359958</v>
      </c>
      <c r="W646" s="39" t="n">
        <f aca="false">V646/(1-Resumo!$C$5)</f>
        <v>132.227225</v>
      </c>
      <c r="X646" s="39" t="n">
        <v>112.3</v>
      </c>
      <c r="Y646" s="39" t="n">
        <f aca="false">J646*Resumo!$B$6</f>
        <v>0.89999</v>
      </c>
      <c r="Z646" s="39" t="n">
        <f aca="false">J646*Resumo!$B$7</f>
        <v>1.79998</v>
      </c>
      <c r="AA646" s="39" t="n">
        <f aca="false">Resumo!$B$9</f>
        <v>1</v>
      </c>
      <c r="AB646" s="39" t="n">
        <f aca="false">Resumo!$B$10*CEILING(I646/100,1)</f>
        <v>4.5</v>
      </c>
      <c r="AC646" s="39" t="n">
        <f aca="false">Resumo!$B$12*CEILING(I646,1)</f>
        <v>3.6</v>
      </c>
      <c r="AD646" s="39" t="n">
        <f aca="false">Resumo!$B$14*CEILING(I646,1)</f>
        <v>27</v>
      </c>
      <c r="AE646" s="39" t="n">
        <f aca="false">SUM(X646:AD646)</f>
        <v>151.09997</v>
      </c>
      <c r="AF646" s="39" t="n">
        <f aca="false">AE646/(1-Resumo!$B$5)</f>
        <v>171.704511363636</v>
      </c>
      <c r="AG646" s="39" t="n">
        <f aca="false">AF646-W646</f>
        <v>39.4772863636364</v>
      </c>
      <c r="AH646" s="40" t="n">
        <f aca="false">AF646/W646-1</f>
        <v>0.298556415773199</v>
      </c>
      <c r="AI646" s="37" t="str">
        <f aca="false">IF(AF646&lt;W646,"SIM","NÃO")</f>
        <v>NÃO</v>
      </c>
      <c r="AJ646" s="37" t="n">
        <v>2</v>
      </c>
      <c r="AK646" s="37" t="n">
        <v>5</v>
      </c>
      <c r="AL646" s="37" t="s">
        <v>343</v>
      </c>
      <c r="AM646" s="39" t="n">
        <v>129.6</v>
      </c>
    </row>
    <row r="647" customFormat="false" ht="15" hidden="false" customHeight="false" outlineLevel="0" collapsed="false">
      <c r="A647" s="37" t="n">
        <v>372608503</v>
      </c>
      <c r="B647" s="38" t="n">
        <v>46240.7763773148</v>
      </c>
      <c r="C647" s="37" t="s">
        <v>340</v>
      </c>
      <c r="D647" s="37" t="s">
        <v>976</v>
      </c>
      <c r="E647" s="37" t="n">
        <v>24440440</v>
      </c>
      <c r="F647" s="37" t="s">
        <v>160</v>
      </c>
      <c r="G647" s="37" t="s">
        <v>197</v>
      </c>
      <c r="H647" s="37" t="s">
        <v>183</v>
      </c>
      <c r="I647" s="37" t="n">
        <v>14.4</v>
      </c>
      <c r="J647" s="39" t="n">
        <v>459.99</v>
      </c>
      <c r="K647" s="37" t="s">
        <v>518</v>
      </c>
      <c r="L647" s="39" t="n">
        <v>75.01</v>
      </c>
      <c r="M647" s="39" t="n">
        <v>42.72</v>
      </c>
      <c r="N647" s="39" t="n">
        <f aca="false">J647*Resumo!$C$6</f>
        <v>0</v>
      </c>
      <c r="O647" s="39" t="n">
        <f aca="false">J647*Resumo!$C$7</f>
        <v>0.965979</v>
      </c>
      <c r="P647" s="39" t="n">
        <f aca="false">J647*Resumo!$C$8</f>
        <v>0.965979</v>
      </c>
      <c r="Q647" s="39" t="n">
        <f aca="false">Resumo!$C$10*CEILING(I647/100,1)</f>
        <v>1.05</v>
      </c>
      <c r="R647" s="39" t="n">
        <f aca="false">Resumo!$C$9</f>
        <v>0</v>
      </c>
      <c r="S647" s="39" t="n">
        <f aca="false">Resumo!$C$13</f>
        <v>13.55</v>
      </c>
      <c r="T647" s="39" t="n">
        <f aca="false">Resumo!$C$14*CEILING(I647,1)</f>
        <v>6.75</v>
      </c>
      <c r="U647" s="39" t="n">
        <f aca="false">SUM(M647:T647)*Resumo!$C$11</f>
        <v>0</v>
      </c>
      <c r="V647" s="39" t="n">
        <f aca="false">SUM(M647:U647)</f>
        <v>66.001958</v>
      </c>
      <c r="W647" s="39" t="n">
        <f aca="false">V647/(1-Resumo!$C$5)</f>
        <v>75.002225</v>
      </c>
      <c r="X647" s="39" t="n">
        <v>57.47</v>
      </c>
      <c r="Y647" s="39" t="n">
        <f aca="false">J647*Resumo!$B$6</f>
        <v>0.45999</v>
      </c>
      <c r="Z647" s="39" t="n">
        <f aca="false">J647*Resumo!$B$7</f>
        <v>0.91998</v>
      </c>
      <c r="AA647" s="39" t="n">
        <f aca="false">Resumo!$B$9</f>
        <v>1</v>
      </c>
      <c r="AB647" s="39" t="n">
        <f aca="false">Resumo!$B$10*CEILING(I647/100,1)</f>
        <v>4.5</v>
      </c>
      <c r="AC647" s="39" t="n">
        <f aca="false">Resumo!$B$12*CEILING(I647,1)</f>
        <v>0.9</v>
      </c>
      <c r="AD647" s="39" t="n">
        <f aca="false">Resumo!$B$14*CEILING(I647,1)</f>
        <v>6.75</v>
      </c>
      <c r="AE647" s="39" t="n">
        <f aca="false">SUM(X647:AD647)</f>
        <v>71.99997</v>
      </c>
      <c r="AF647" s="39" t="n">
        <f aca="false">AE647/(1-Resumo!$B$5)</f>
        <v>81.8181477272727</v>
      </c>
      <c r="AG647" s="39" t="n">
        <f aca="false">AF647-W647</f>
        <v>6.81592272727274</v>
      </c>
      <c r="AH647" s="40" t="n">
        <f aca="false">AF647/W647-1</f>
        <v>0.0908762737008499</v>
      </c>
      <c r="AI647" s="37" t="str">
        <f aca="false">IF(AF647&lt;W647,"SIM","NÃO")</f>
        <v>NÃO</v>
      </c>
      <c r="AJ647" s="37" t="n">
        <v>2</v>
      </c>
      <c r="AK647" s="37" t="n">
        <v>7</v>
      </c>
      <c r="AL647" s="37" t="s">
        <v>343</v>
      </c>
      <c r="AM647" s="39" t="n">
        <v>76.04</v>
      </c>
    </row>
    <row r="648" customFormat="false" ht="15" hidden="false" customHeight="false" outlineLevel="0" collapsed="false">
      <c r="A648" s="37" t="n">
        <v>372615480</v>
      </c>
      <c r="B648" s="38" t="n">
        <v>46240.7954513889</v>
      </c>
      <c r="C648" s="37" t="s">
        <v>375</v>
      </c>
      <c r="D648" s="37" t="s">
        <v>977</v>
      </c>
      <c r="E648" s="37" t="n">
        <v>23058150</v>
      </c>
      <c r="F648" s="37" t="s">
        <v>159</v>
      </c>
      <c r="G648" s="37" t="s">
        <v>196</v>
      </c>
      <c r="H648" s="37" t="s">
        <v>187</v>
      </c>
      <c r="I648" s="37" t="n">
        <v>52.3</v>
      </c>
      <c r="J648" s="39" t="n">
        <v>611.37</v>
      </c>
      <c r="K648" s="37" t="s">
        <v>518</v>
      </c>
      <c r="L648" s="39" t="n">
        <v>113.19</v>
      </c>
      <c r="M648" s="39" t="n">
        <v>58.6</v>
      </c>
      <c r="N648" s="39" t="n">
        <f aca="false">J648*Resumo!$C$6</f>
        <v>0</v>
      </c>
      <c r="O648" s="39" t="n">
        <f aca="false">J648*Resumo!$C$7</f>
        <v>1.283877</v>
      </c>
      <c r="P648" s="39" t="n">
        <f aca="false">J648*Resumo!$C$8</f>
        <v>1.283877</v>
      </c>
      <c r="Q648" s="39" t="n">
        <f aca="false">Resumo!$C$10*CEILING(I648/100,1)</f>
        <v>1.05</v>
      </c>
      <c r="R648" s="39" t="n">
        <f aca="false">Resumo!$C$9</f>
        <v>0</v>
      </c>
      <c r="S648" s="39" t="n">
        <f aca="false">Resumo!$C$13</f>
        <v>13.55</v>
      </c>
      <c r="T648" s="39" t="n">
        <f aca="false">Resumo!$C$14*CEILING(I648,1)</f>
        <v>23.85</v>
      </c>
      <c r="U648" s="39" t="n">
        <f aca="false">SUM(M648:T648)*Resumo!$C$11</f>
        <v>0</v>
      </c>
      <c r="V648" s="39" t="n">
        <f aca="false">SUM(M648:U648)</f>
        <v>99.617754</v>
      </c>
      <c r="W648" s="39" t="n">
        <f aca="false">V648/(1-Resumo!$C$5)</f>
        <v>113.201993181818</v>
      </c>
      <c r="X648" s="39" t="n">
        <v>112.3</v>
      </c>
      <c r="Y648" s="39" t="n">
        <f aca="false">J648*Resumo!$B$6</f>
        <v>0.61137</v>
      </c>
      <c r="Z648" s="39" t="n">
        <f aca="false">J648*Resumo!$B$7</f>
        <v>1.22274</v>
      </c>
      <c r="AA648" s="39" t="n">
        <f aca="false">Resumo!$B$9</f>
        <v>1</v>
      </c>
      <c r="AB648" s="39" t="n">
        <f aca="false">Resumo!$B$10*CEILING(I648/100,1)</f>
        <v>4.5</v>
      </c>
      <c r="AC648" s="39" t="n">
        <f aca="false">Resumo!$B$12*CEILING(I648,1)</f>
        <v>3.18</v>
      </c>
      <c r="AD648" s="39" t="n">
        <f aca="false">Resumo!$B$14*CEILING(I648,1)</f>
        <v>23.85</v>
      </c>
      <c r="AE648" s="39" t="n">
        <f aca="false">SUM(X648:AD648)</f>
        <v>146.66411</v>
      </c>
      <c r="AF648" s="39" t="n">
        <f aca="false">AE648/(1-Resumo!$B$5)</f>
        <v>166.663761363636</v>
      </c>
      <c r="AG648" s="39" t="n">
        <f aca="false">AF648-W648</f>
        <v>53.4617681818182</v>
      </c>
      <c r="AH648" s="40" t="n">
        <f aca="false">AF648/W648-1</f>
        <v>0.472268788553494</v>
      </c>
      <c r="AI648" s="37" t="str">
        <f aca="false">IF(AF648&lt;W648,"SIM","NÃO")</f>
        <v>NÃO</v>
      </c>
      <c r="AJ648" s="37" t="n">
        <v>2</v>
      </c>
      <c r="AK648" s="37" t="n">
        <v>5</v>
      </c>
      <c r="AL648" s="37" t="s">
        <v>343</v>
      </c>
      <c r="AM648" s="39" t="n">
        <v>114.08</v>
      </c>
    </row>
    <row r="649" customFormat="false" ht="15" hidden="false" customHeight="false" outlineLevel="0" collapsed="false">
      <c r="A649" s="37" t="n">
        <v>372624866</v>
      </c>
      <c r="B649" s="38" t="n">
        <v>46240.8080555556</v>
      </c>
      <c r="C649" s="37" t="s">
        <v>340</v>
      </c>
      <c r="D649" s="37" t="s">
        <v>564</v>
      </c>
      <c r="E649" s="37" t="n">
        <v>22451265</v>
      </c>
      <c r="F649" s="37" t="s">
        <v>159</v>
      </c>
      <c r="G649" s="37" t="s">
        <v>196</v>
      </c>
      <c r="H649" s="37" t="s">
        <v>186</v>
      </c>
      <c r="I649" s="37" t="n">
        <v>48.6</v>
      </c>
      <c r="J649" s="39" t="n">
        <v>679.99</v>
      </c>
      <c r="K649" s="37" t="s">
        <v>518</v>
      </c>
      <c r="L649" s="39" t="n">
        <v>105.75</v>
      </c>
      <c r="M649" s="39" t="n">
        <v>53.55</v>
      </c>
      <c r="N649" s="39" t="n">
        <f aca="false">J649*Resumo!$C$6</f>
        <v>0</v>
      </c>
      <c r="O649" s="39" t="n">
        <f aca="false">J649*Resumo!$C$7</f>
        <v>1.427979</v>
      </c>
      <c r="P649" s="39" t="n">
        <f aca="false">J649*Resumo!$C$8</f>
        <v>1.427979</v>
      </c>
      <c r="Q649" s="39" t="n">
        <f aca="false">Resumo!$C$10*CEILING(I649/100,1)</f>
        <v>1.05</v>
      </c>
      <c r="R649" s="39" t="n">
        <f aca="false">Resumo!$C$9</f>
        <v>0</v>
      </c>
      <c r="S649" s="39" t="n">
        <f aca="false">Resumo!$C$13</f>
        <v>13.55</v>
      </c>
      <c r="T649" s="39" t="n">
        <f aca="false">Resumo!$C$14*CEILING(I649,1)</f>
        <v>22.05</v>
      </c>
      <c r="U649" s="39" t="n">
        <f aca="false">SUM(M649:T649)*Resumo!$C$11</f>
        <v>0</v>
      </c>
      <c r="V649" s="39" t="n">
        <f aca="false">SUM(M649:U649)</f>
        <v>93.055958</v>
      </c>
      <c r="W649" s="39" t="n">
        <f aca="false">V649/(1-Resumo!$C$5)</f>
        <v>105.745406818182</v>
      </c>
      <c r="X649" s="39" t="n">
        <v>93.97</v>
      </c>
      <c r="Y649" s="39" t="n">
        <f aca="false">J649*Resumo!$B$6</f>
        <v>0.67999</v>
      </c>
      <c r="Z649" s="39" t="n">
        <f aca="false">J649*Resumo!$B$7</f>
        <v>1.35998</v>
      </c>
      <c r="AA649" s="39" t="n">
        <f aca="false">Resumo!$B$9</f>
        <v>1</v>
      </c>
      <c r="AB649" s="39" t="n">
        <f aca="false">Resumo!$B$10*CEILING(I649/100,1)</f>
        <v>4.5</v>
      </c>
      <c r="AC649" s="39" t="n">
        <f aca="false">Resumo!$B$12*CEILING(I649,1)</f>
        <v>2.94</v>
      </c>
      <c r="AD649" s="39" t="n">
        <f aca="false">Resumo!$B$14*CEILING(I649,1)</f>
        <v>22.05</v>
      </c>
      <c r="AE649" s="39" t="n">
        <f aca="false">SUM(X649:AD649)</f>
        <v>126.49997</v>
      </c>
      <c r="AF649" s="39" t="n">
        <f aca="false">AE649/(1-Resumo!$B$5)</f>
        <v>143.749965909091</v>
      </c>
      <c r="AG649" s="39" t="n">
        <f aca="false">AF649-W649</f>
        <v>38.0045590909091</v>
      </c>
      <c r="AH649" s="40" t="n">
        <f aca="false">AF649/W649-1</f>
        <v>0.359396783599821</v>
      </c>
      <c r="AI649" s="37" t="str">
        <f aca="false">IF(AF649&lt;W649,"SIM","NÃO")</f>
        <v>NÃO</v>
      </c>
      <c r="AJ649" s="37" t="n">
        <v>2</v>
      </c>
      <c r="AK649" s="37" t="n">
        <v>5</v>
      </c>
      <c r="AL649" s="37" t="s">
        <v>343</v>
      </c>
      <c r="AM649" s="39" t="n">
        <v>103.85</v>
      </c>
    </row>
    <row r="650" customFormat="false" ht="15" hidden="false" customHeight="false" outlineLevel="0" collapsed="false">
      <c r="A650" s="37" t="n">
        <v>372625190</v>
      </c>
      <c r="B650" s="38" t="n">
        <v>46240.8086921296</v>
      </c>
      <c r="C650" s="37" t="s">
        <v>340</v>
      </c>
      <c r="D650" s="37" t="s">
        <v>978</v>
      </c>
      <c r="E650" s="37" t="n">
        <v>21215060</v>
      </c>
      <c r="F650" s="37" t="s">
        <v>159</v>
      </c>
      <c r="G650" s="37" t="s">
        <v>196</v>
      </c>
      <c r="H650" s="37" t="s">
        <v>188</v>
      </c>
      <c r="I650" s="37" t="n">
        <v>66.8</v>
      </c>
      <c r="J650" s="39" t="n">
        <v>699.99</v>
      </c>
      <c r="K650" s="37" t="s">
        <v>342</v>
      </c>
      <c r="L650" s="39" t="n">
        <v>124.56</v>
      </c>
      <c r="M650" s="39" t="n">
        <v>63.21</v>
      </c>
      <c r="N650" s="39" t="n">
        <f aca="false">J650*Resumo!$C$6</f>
        <v>0</v>
      </c>
      <c r="O650" s="39" t="n">
        <f aca="false">J650*Resumo!$C$7</f>
        <v>1.469979</v>
      </c>
      <c r="P650" s="39" t="n">
        <f aca="false">J650*Resumo!$C$8</f>
        <v>1.469979</v>
      </c>
      <c r="Q650" s="39" t="n">
        <f aca="false">Resumo!$C$10*CEILING(I650/100,1)</f>
        <v>1.05</v>
      </c>
      <c r="R650" s="39" t="n">
        <f aca="false">Resumo!$C$9</f>
        <v>0</v>
      </c>
      <c r="S650" s="39" t="n">
        <f aca="false">Resumo!$C$13</f>
        <v>13.55</v>
      </c>
      <c r="T650" s="39" t="n">
        <f aca="false">Resumo!$C$14*CEILING(I650,1)</f>
        <v>30.15</v>
      </c>
      <c r="U650" s="39" t="n">
        <f aca="false">SUM(M650:T650)*Resumo!$C$11</f>
        <v>0</v>
      </c>
      <c r="V650" s="39" t="n">
        <f aca="false">SUM(M650:U650)</f>
        <v>110.899958</v>
      </c>
      <c r="W650" s="39" t="n">
        <f aca="false">V650/(1-Resumo!$C$5)</f>
        <v>126.022679545455</v>
      </c>
      <c r="X650" s="39" t="n">
        <v>131.02</v>
      </c>
      <c r="Y650" s="39" t="n">
        <f aca="false">J650*Resumo!$B$6</f>
        <v>0.69999</v>
      </c>
      <c r="Z650" s="39" t="n">
        <f aca="false">J650*Resumo!$B$7</f>
        <v>1.39998</v>
      </c>
      <c r="AA650" s="39" t="n">
        <f aca="false">Resumo!$B$9</f>
        <v>1</v>
      </c>
      <c r="AB650" s="39" t="n">
        <f aca="false">Resumo!$B$10*CEILING(I650/100,1)</f>
        <v>4.5</v>
      </c>
      <c r="AC650" s="39" t="n">
        <f aca="false">Resumo!$B$12*CEILING(I650,1)</f>
        <v>4.02</v>
      </c>
      <c r="AD650" s="39" t="n">
        <f aca="false">Resumo!$B$14*CEILING(I650,1)</f>
        <v>30.15</v>
      </c>
      <c r="AE650" s="39" t="n">
        <f aca="false">SUM(X650:AD650)</f>
        <v>172.78997</v>
      </c>
      <c r="AF650" s="39" t="n">
        <f aca="false">AE650/(1-Resumo!$B$5)</f>
        <v>196.352238636364</v>
      </c>
      <c r="AG650" s="39" t="n">
        <f aca="false">AF650-W650</f>
        <v>70.3295590909091</v>
      </c>
      <c r="AH650" s="40" t="n">
        <f aca="false">AF650/W650-1</f>
        <v>0.558070653191771</v>
      </c>
      <c r="AI650" s="37" t="str">
        <f aca="false">IF(AF650&lt;W650,"SIM","NÃO")</f>
        <v>NÃO</v>
      </c>
      <c r="AJ650" s="37" t="n">
        <v>2</v>
      </c>
      <c r="AK650" s="37" t="n">
        <v>5</v>
      </c>
      <c r="AL650" s="37" t="s">
        <v>343</v>
      </c>
      <c r="AM650" s="39" t="n">
        <v>124.56</v>
      </c>
    </row>
    <row r="651" customFormat="false" ht="15" hidden="false" customHeight="false" outlineLevel="0" collapsed="false">
      <c r="A651" s="37" t="n">
        <v>372637606</v>
      </c>
      <c r="B651" s="38" t="n">
        <v>46240.8312152778</v>
      </c>
      <c r="C651" s="37" t="s">
        <v>340</v>
      </c>
      <c r="D651" s="37" t="s">
        <v>979</v>
      </c>
      <c r="E651" s="37" t="n">
        <v>25264480</v>
      </c>
      <c r="F651" s="37" t="s">
        <v>161</v>
      </c>
      <c r="G651" s="37" t="s">
        <v>197</v>
      </c>
      <c r="H651" s="37" t="s">
        <v>187</v>
      </c>
      <c r="I651" s="37" t="n">
        <v>52.3</v>
      </c>
      <c r="J651" s="39" t="n">
        <v>685.85</v>
      </c>
      <c r="K651" s="37" t="s">
        <v>342</v>
      </c>
      <c r="L651" s="39" t="n">
        <v>128.57</v>
      </c>
      <c r="M651" s="39" t="n">
        <v>70.98</v>
      </c>
      <c r="N651" s="39" t="n">
        <f aca="false">J651*Resumo!$C$6</f>
        <v>0</v>
      </c>
      <c r="O651" s="39" t="n">
        <f aca="false">J651*Resumo!$C$7</f>
        <v>1.440285</v>
      </c>
      <c r="P651" s="39" t="n">
        <f aca="false">J651*Resumo!$C$8</f>
        <v>1.440285</v>
      </c>
      <c r="Q651" s="39" t="n">
        <f aca="false">Resumo!$C$10*CEILING(I651/100,1)</f>
        <v>1.05</v>
      </c>
      <c r="R651" s="39" t="n">
        <f aca="false">Resumo!$C$9</f>
        <v>0</v>
      </c>
      <c r="S651" s="39" t="n">
        <f aca="false">Resumo!$C$13</f>
        <v>13.55</v>
      </c>
      <c r="T651" s="39" t="n">
        <f aca="false">Resumo!$C$14*CEILING(I651,1)</f>
        <v>23.85</v>
      </c>
      <c r="U651" s="39" t="n">
        <f aca="false">SUM(M651:T651)*Resumo!$C$11</f>
        <v>0</v>
      </c>
      <c r="V651" s="39" t="n">
        <f aca="false">SUM(M651:U651)</f>
        <v>112.31057</v>
      </c>
      <c r="W651" s="39" t="n">
        <f aca="false">V651/(1-Resumo!$C$5)</f>
        <v>127.625647727273</v>
      </c>
      <c r="X651" s="39" t="n">
        <v>112.3</v>
      </c>
      <c r="Y651" s="39" t="n">
        <f aca="false">J651*Resumo!$B$6</f>
        <v>0.68585</v>
      </c>
      <c r="Z651" s="39" t="n">
        <f aca="false">J651*Resumo!$B$7</f>
        <v>1.3717</v>
      </c>
      <c r="AA651" s="39" t="n">
        <f aca="false">Resumo!$B$9</f>
        <v>1</v>
      </c>
      <c r="AB651" s="39" t="n">
        <f aca="false">Resumo!$B$10*CEILING(I651/100,1)</f>
        <v>4.5</v>
      </c>
      <c r="AC651" s="39" t="n">
        <f aca="false">Resumo!$B$12*CEILING(I651,1)</f>
        <v>3.18</v>
      </c>
      <c r="AD651" s="39" t="n">
        <f aca="false">Resumo!$B$14*CEILING(I651,1)</f>
        <v>23.85</v>
      </c>
      <c r="AE651" s="39" t="n">
        <f aca="false">SUM(X651:AD651)</f>
        <v>146.88755</v>
      </c>
      <c r="AF651" s="39" t="n">
        <f aca="false">AE651/(1-Resumo!$B$5)</f>
        <v>166.917670454545</v>
      </c>
      <c r="AG651" s="39" t="n">
        <f aca="false">AF651-W651</f>
        <v>39.2920227272727</v>
      </c>
      <c r="AH651" s="40" t="n">
        <f aca="false">AF651/W651-1</f>
        <v>0.30786933055366</v>
      </c>
      <c r="AI651" s="37" t="str">
        <f aca="false">IF(AF651&lt;W651,"SIM","NÃO")</f>
        <v>NÃO</v>
      </c>
      <c r="AJ651" s="37" t="n">
        <v>2</v>
      </c>
      <c r="AK651" s="37" t="n">
        <v>5</v>
      </c>
      <c r="AL651" s="37" t="s">
        <v>343</v>
      </c>
      <c r="AM651" s="39" t="n">
        <v>128.57</v>
      </c>
    </row>
    <row r="652" customFormat="false" ht="15" hidden="false" customHeight="false" outlineLevel="0" collapsed="false">
      <c r="A652" s="37" t="n">
        <v>372637630</v>
      </c>
      <c r="B652" s="38" t="n">
        <v>46240.8312731482</v>
      </c>
      <c r="C652" s="37" t="s">
        <v>340</v>
      </c>
      <c r="D652" s="37" t="s">
        <v>980</v>
      </c>
      <c r="E652" s="37" t="n">
        <v>22775598</v>
      </c>
      <c r="F652" s="37" t="s">
        <v>159</v>
      </c>
      <c r="G652" s="37" t="s">
        <v>196</v>
      </c>
      <c r="H652" s="37" t="s">
        <v>184</v>
      </c>
      <c r="I652" s="37" t="n">
        <v>22.4</v>
      </c>
      <c r="J652" s="39" t="n">
        <v>440.99</v>
      </c>
      <c r="K652" s="37" t="s">
        <v>342</v>
      </c>
      <c r="L652" s="39" t="n">
        <v>82.43</v>
      </c>
      <c r="M652" s="39" t="n">
        <v>42.11</v>
      </c>
      <c r="N652" s="39" t="n">
        <f aca="false">J652*Resumo!$C$6</f>
        <v>0</v>
      </c>
      <c r="O652" s="39" t="n">
        <f aca="false">J652*Resumo!$C$7</f>
        <v>0.926079</v>
      </c>
      <c r="P652" s="39" t="n">
        <f aca="false">J652*Resumo!$C$8</f>
        <v>0.926079</v>
      </c>
      <c r="Q652" s="39" t="n">
        <f aca="false">Resumo!$C$10*CEILING(I652/100,1)</f>
        <v>1.05</v>
      </c>
      <c r="R652" s="39" t="n">
        <f aca="false">Resumo!$C$9</f>
        <v>0</v>
      </c>
      <c r="S652" s="39" t="n">
        <f aca="false">Resumo!$C$13</f>
        <v>13.55</v>
      </c>
      <c r="T652" s="39" t="n">
        <f aca="false">Resumo!$C$14*CEILING(I652,1)</f>
        <v>10.35</v>
      </c>
      <c r="U652" s="39" t="n">
        <f aca="false">SUM(M652:T652)*Resumo!$C$11</f>
        <v>0</v>
      </c>
      <c r="V652" s="39" t="n">
        <f aca="false">SUM(M652:U652)</f>
        <v>68.912158</v>
      </c>
      <c r="W652" s="39" t="n">
        <f aca="false">V652/(1-Resumo!$C$5)</f>
        <v>78.3092704545454</v>
      </c>
      <c r="X652" s="39" t="n">
        <v>82.21</v>
      </c>
      <c r="Y652" s="39" t="n">
        <f aca="false">J652*Resumo!$B$6</f>
        <v>0.44099</v>
      </c>
      <c r="Z652" s="39" t="n">
        <f aca="false">J652*Resumo!$B$7</f>
        <v>0.88198</v>
      </c>
      <c r="AA652" s="39" t="n">
        <f aca="false">Resumo!$B$9</f>
        <v>1</v>
      </c>
      <c r="AB652" s="39" t="n">
        <f aca="false">Resumo!$B$10*CEILING(I652/100,1)</f>
        <v>4.5</v>
      </c>
      <c r="AC652" s="39" t="n">
        <f aca="false">Resumo!$B$12*CEILING(I652,1)</f>
        <v>1.38</v>
      </c>
      <c r="AD652" s="39" t="n">
        <f aca="false">Resumo!$B$14*CEILING(I652,1)</f>
        <v>10.35</v>
      </c>
      <c r="AE652" s="39" t="n">
        <f aca="false">SUM(X652:AD652)</f>
        <v>100.76297</v>
      </c>
      <c r="AF652" s="39" t="n">
        <f aca="false">AE652/(1-Resumo!$B$5)</f>
        <v>114.503375</v>
      </c>
      <c r="AG652" s="39" t="n">
        <f aca="false">AF652-W652</f>
        <v>36.1941045454545</v>
      </c>
      <c r="AH652" s="40" t="n">
        <f aca="false">AF652/W652-1</f>
        <v>0.462194377949969</v>
      </c>
      <c r="AI652" s="37" t="str">
        <f aca="false">IF(AF652&lt;W652,"SIM","NÃO")</f>
        <v>NÃO</v>
      </c>
      <c r="AJ652" s="37" t="n">
        <v>2</v>
      </c>
      <c r="AK652" s="37" t="n">
        <v>5</v>
      </c>
      <c r="AL652" s="37" t="s">
        <v>343</v>
      </c>
      <c r="AM652" s="39" t="n">
        <v>82.44</v>
      </c>
    </row>
    <row r="653" customFormat="false" ht="15" hidden="false" customHeight="false" outlineLevel="0" collapsed="false">
      <c r="A653" s="37" t="n">
        <v>372638730</v>
      </c>
      <c r="B653" s="38" t="n">
        <v>46240.8334259259</v>
      </c>
      <c r="C653" s="37" t="s">
        <v>340</v>
      </c>
      <c r="D653" s="37" t="s">
        <v>981</v>
      </c>
      <c r="E653" s="37" t="n">
        <v>24813093</v>
      </c>
      <c r="F653" s="37" t="s">
        <v>174</v>
      </c>
      <c r="G653" s="37" t="s">
        <v>198</v>
      </c>
      <c r="H653" s="37" t="s">
        <v>187</v>
      </c>
      <c r="I653" s="37" t="n">
        <v>51.7</v>
      </c>
      <c r="J653" s="39" t="n">
        <v>659.99</v>
      </c>
      <c r="K653" s="37" t="s">
        <v>518</v>
      </c>
      <c r="L653" s="39" t="n">
        <v>141.32</v>
      </c>
      <c r="M653" s="39" t="n">
        <v>83.58</v>
      </c>
      <c r="N653" s="39" t="n">
        <f aca="false">J653*Resumo!$C$6</f>
        <v>0</v>
      </c>
      <c r="O653" s="39" t="n">
        <f aca="false">J653*Resumo!$C$7</f>
        <v>1.385979</v>
      </c>
      <c r="P653" s="39" t="n">
        <f aca="false">J653*Resumo!$C$8</f>
        <v>1.385979</v>
      </c>
      <c r="Q653" s="39" t="n">
        <f aca="false">Resumo!$C$10*CEILING(I653/100,1)</f>
        <v>1.05</v>
      </c>
      <c r="R653" s="39" t="n">
        <f aca="false">Resumo!$C$9</f>
        <v>0</v>
      </c>
      <c r="S653" s="39" t="n">
        <f aca="false">Resumo!$C$13</f>
        <v>13.55</v>
      </c>
      <c r="T653" s="39" t="n">
        <f aca="false">Resumo!$C$14*CEILING(I653,1)</f>
        <v>23.4</v>
      </c>
      <c r="U653" s="39" t="n">
        <f aca="false">SUM(M653:T653)*Resumo!$C$11</f>
        <v>0</v>
      </c>
      <c r="V653" s="39" t="n">
        <f aca="false">SUM(M653:U653)</f>
        <v>124.351958</v>
      </c>
      <c r="W653" s="39" t="n">
        <f aca="false">V653/(1-Resumo!$C$5)</f>
        <v>141.309043181818</v>
      </c>
      <c r="X653" s="39" t="n">
        <v>128.14</v>
      </c>
      <c r="Y653" s="39" t="n">
        <f aca="false">J653*Resumo!$B$6</f>
        <v>0.65999</v>
      </c>
      <c r="Z653" s="39" t="n">
        <f aca="false">J653*Resumo!$B$7</f>
        <v>1.31998</v>
      </c>
      <c r="AA653" s="39" t="n">
        <f aca="false">Resumo!$B$9</f>
        <v>1</v>
      </c>
      <c r="AB653" s="39" t="n">
        <f aca="false">Resumo!$B$10*CEILING(I653/100,1)</f>
        <v>4.5</v>
      </c>
      <c r="AC653" s="39" t="n">
        <f aca="false">Resumo!$B$12*CEILING(I653,1)</f>
        <v>3.12</v>
      </c>
      <c r="AD653" s="39" t="n">
        <f aca="false">Resumo!$B$14*CEILING(I653,1)</f>
        <v>23.4</v>
      </c>
      <c r="AE653" s="39" t="n">
        <f aca="false">SUM(X653:AD653)</f>
        <v>162.13997</v>
      </c>
      <c r="AF653" s="39" t="n">
        <f aca="false">AE653/(1-Resumo!$B$5)</f>
        <v>184.249965909091</v>
      </c>
      <c r="AG653" s="39" t="n">
        <f aca="false">AF653-W653</f>
        <v>42.9409227272727</v>
      </c>
      <c r="AH653" s="40" t="n">
        <f aca="false">AF653/W653-1</f>
        <v>0.303879509480663</v>
      </c>
      <c r="AI653" s="37" t="str">
        <f aca="false">IF(AF653&lt;W653,"SIM","NÃO")</f>
        <v>NÃO</v>
      </c>
      <c r="AJ653" s="37" t="n">
        <v>13</v>
      </c>
      <c r="AK653" s="37" t="n">
        <v>7</v>
      </c>
      <c r="AL653" s="37" t="s">
        <v>343</v>
      </c>
      <c r="AM653" s="39" t="n">
        <v>142.83</v>
      </c>
    </row>
    <row r="654" customFormat="false" ht="15" hidden="false" customHeight="false" outlineLevel="0" collapsed="false">
      <c r="A654" s="37" t="n">
        <v>372647141</v>
      </c>
      <c r="B654" s="38" t="n">
        <v>46240.8490046296</v>
      </c>
      <c r="C654" s="37" t="s">
        <v>345</v>
      </c>
      <c r="D654" s="37" t="s">
        <v>982</v>
      </c>
      <c r="E654" s="37" t="n">
        <v>23520521</v>
      </c>
      <c r="F654" s="37" t="s">
        <v>159</v>
      </c>
      <c r="G654" s="37" t="s">
        <v>196</v>
      </c>
      <c r="H654" s="37" t="s">
        <v>195</v>
      </c>
      <c r="I654" s="37" t="n">
        <v>200.3</v>
      </c>
      <c r="J654" s="39" t="n">
        <v>2125.94</v>
      </c>
      <c r="K654" s="37" t="s">
        <v>518</v>
      </c>
      <c r="L654" s="39" t="n">
        <v>338.2</v>
      </c>
      <c r="M654" s="39" t="n">
        <v>181.55</v>
      </c>
      <c r="N654" s="39" t="n">
        <f aca="false">J654*Resumo!$C$6</f>
        <v>0</v>
      </c>
      <c r="O654" s="39" t="n">
        <f aca="false">J654*Resumo!$C$7</f>
        <v>4.464474</v>
      </c>
      <c r="P654" s="39" t="n">
        <f aca="false">J654*Resumo!$C$8</f>
        <v>4.464474</v>
      </c>
      <c r="Q654" s="39" t="n">
        <f aca="false">Resumo!$C$10*CEILING(I654/100,1)</f>
        <v>3.15</v>
      </c>
      <c r="R654" s="39" t="n">
        <f aca="false">Resumo!$C$9</f>
        <v>0</v>
      </c>
      <c r="S654" s="39" t="n">
        <f aca="false">Resumo!$C$13</f>
        <v>13.55</v>
      </c>
      <c r="T654" s="39" t="n">
        <f aca="false">Resumo!$C$14*CEILING(I654,1)</f>
        <v>90.45</v>
      </c>
      <c r="U654" s="39" t="n">
        <f aca="false">SUM(M654:T654)*Resumo!$C$11</f>
        <v>0</v>
      </c>
      <c r="V654" s="39" t="n">
        <f aca="false">SUM(M654:U654)</f>
        <v>297.628948</v>
      </c>
      <c r="W654" s="39" t="n">
        <f aca="false">V654/(1-Resumo!$C$5)</f>
        <v>338.214713636364</v>
      </c>
      <c r="X654" s="39" t="n">
        <v>398.74</v>
      </c>
      <c r="Y654" s="39" t="n">
        <f aca="false">J654*Resumo!$B$6</f>
        <v>2.12594</v>
      </c>
      <c r="Z654" s="39" t="n">
        <f aca="false">J654*Resumo!$B$7</f>
        <v>4.25188</v>
      </c>
      <c r="AA654" s="39" t="n">
        <f aca="false">Resumo!$B$9</f>
        <v>1</v>
      </c>
      <c r="AB654" s="39" t="n">
        <f aca="false">Resumo!$B$10*CEILING(I654/100,1)</f>
        <v>13.5</v>
      </c>
      <c r="AC654" s="39" t="n">
        <f aca="false">Resumo!$B$12*CEILING(I654,1)</f>
        <v>12.06</v>
      </c>
      <c r="AD654" s="39" t="n">
        <f aca="false">Resumo!$B$14*CEILING(I654,1)</f>
        <v>90.45</v>
      </c>
      <c r="AE654" s="39" t="n">
        <f aca="false">SUM(X654:AD654)</f>
        <v>522.12782</v>
      </c>
      <c r="AF654" s="39" t="n">
        <f aca="false">AE654/(1-Resumo!$B$5)</f>
        <v>593.327068181818</v>
      </c>
      <c r="AG654" s="39" t="n">
        <f aca="false">AF654-W654</f>
        <v>255.112354545455</v>
      </c>
      <c r="AH654" s="40" t="n">
        <f aca="false">AF654/W654-1</f>
        <v>0.754291118214751</v>
      </c>
      <c r="AI654" s="37" t="str">
        <f aca="false">IF(AF654&lt;W654,"SIM","NÃO")</f>
        <v>NÃO</v>
      </c>
      <c r="AJ654" s="37" t="n">
        <v>2</v>
      </c>
      <c r="AK654" s="37" t="n">
        <v>5</v>
      </c>
      <c r="AL654" s="37" t="s">
        <v>343</v>
      </c>
      <c r="AM654" s="39" t="n">
        <v>355.23</v>
      </c>
    </row>
    <row r="655" customFormat="false" ht="15" hidden="false" customHeight="false" outlineLevel="0" collapsed="false">
      <c r="A655" s="37" t="n">
        <v>372648369</v>
      </c>
      <c r="B655" s="38" t="n">
        <v>46240.8514930556</v>
      </c>
      <c r="C655" s="37" t="s">
        <v>340</v>
      </c>
      <c r="D655" s="37" t="s">
        <v>983</v>
      </c>
      <c r="E655" s="37" t="n">
        <v>20771631</v>
      </c>
      <c r="F655" s="37" t="s">
        <v>159</v>
      </c>
      <c r="G655" s="37" t="s">
        <v>196</v>
      </c>
      <c r="H655" s="37" t="s">
        <v>185</v>
      </c>
      <c r="I655" s="37" t="n">
        <v>36.8</v>
      </c>
      <c r="J655" s="39" t="n">
        <v>469.99</v>
      </c>
      <c r="K655" s="37" t="s">
        <v>342</v>
      </c>
      <c r="L655" s="39" t="n">
        <v>92.11</v>
      </c>
      <c r="M655" s="39" t="n">
        <v>48.35</v>
      </c>
      <c r="N655" s="39" t="n">
        <f aca="false">J655*Resumo!$C$6</f>
        <v>0</v>
      </c>
      <c r="O655" s="39" t="n">
        <f aca="false">J655*Resumo!$C$7</f>
        <v>0.986979</v>
      </c>
      <c r="P655" s="39" t="n">
        <f aca="false">J655*Resumo!$C$8</f>
        <v>0.986979</v>
      </c>
      <c r="Q655" s="39" t="n">
        <f aca="false">Resumo!$C$10*CEILING(I655/100,1)</f>
        <v>1.05</v>
      </c>
      <c r="R655" s="39" t="n">
        <f aca="false">Resumo!$C$9</f>
        <v>0</v>
      </c>
      <c r="S655" s="39" t="n">
        <f aca="false">Resumo!$C$13</f>
        <v>13.55</v>
      </c>
      <c r="T655" s="39" t="n">
        <f aca="false">Resumo!$C$14*CEILING(I655,1)</f>
        <v>16.65</v>
      </c>
      <c r="U655" s="39" t="n">
        <f aca="false">SUM(M655:T655)*Resumo!$C$11</f>
        <v>0</v>
      </c>
      <c r="V655" s="39" t="n">
        <f aca="false">SUM(M655:U655)</f>
        <v>81.573958</v>
      </c>
      <c r="W655" s="39" t="n">
        <f aca="false">V655/(1-Resumo!$C$5)</f>
        <v>92.6976795454546</v>
      </c>
      <c r="X655" s="39" t="n">
        <v>93.97</v>
      </c>
      <c r="Y655" s="39" t="n">
        <f aca="false">J655*Resumo!$B$6</f>
        <v>0.46999</v>
      </c>
      <c r="Z655" s="39" t="n">
        <f aca="false">J655*Resumo!$B$7</f>
        <v>0.93998</v>
      </c>
      <c r="AA655" s="39" t="n">
        <f aca="false">Resumo!$B$9</f>
        <v>1</v>
      </c>
      <c r="AB655" s="39" t="n">
        <f aca="false">Resumo!$B$10*CEILING(I655/100,1)</f>
        <v>4.5</v>
      </c>
      <c r="AC655" s="39" t="n">
        <f aca="false">Resumo!$B$12*CEILING(I655,1)</f>
        <v>2.22</v>
      </c>
      <c r="AD655" s="39" t="n">
        <f aca="false">Resumo!$B$14*CEILING(I655,1)</f>
        <v>16.65</v>
      </c>
      <c r="AE655" s="39" t="n">
        <f aca="false">SUM(X655:AD655)</f>
        <v>119.74997</v>
      </c>
      <c r="AF655" s="39" t="n">
        <f aca="false">AE655/(1-Resumo!$B$5)</f>
        <v>136.079511363636</v>
      </c>
      <c r="AG655" s="39" t="n">
        <f aca="false">AF655-W655</f>
        <v>43.3818318181818</v>
      </c>
      <c r="AH655" s="40" t="n">
        <f aca="false">AF655/W655-1</f>
        <v>0.467992640494409</v>
      </c>
      <c r="AI655" s="37" t="str">
        <f aca="false">IF(AF655&lt;W655,"SIM","NÃO")</f>
        <v>NÃO</v>
      </c>
      <c r="AJ655" s="37" t="n">
        <v>2</v>
      </c>
      <c r="AK655" s="37" t="n">
        <v>5</v>
      </c>
      <c r="AL655" s="37" t="s">
        <v>343</v>
      </c>
      <c r="AM655" s="39" t="n">
        <v>92.11</v>
      </c>
    </row>
    <row r="656" customFormat="false" ht="15" hidden="false" customHeight="false" outlineLevel="0" collapsed="false">
      <c r="A656" s="37" t="n">
        <v>372657683</v>
      </c>
      <c r="B656" s="38" t="n">
        <v>46240.8684143519</v>
      </c>
      <c r="C656" s="37" t="s">
        <v>340</v>
      </c>
      <c r="D656" s="37" t="s">
        <v>984</v>
      </c>
      <c r="E656" s="37" t="n">
        <v>24900155</v>
      </c>
      <c r="F656" s="37" t="s">
        <v>171</v>
      </c>
      <c r="G656" s="37" t="s">
        <v>198</v>
      </c>
      <c r="H656" s="37" t="s">
        <v>191</v>
      </c>
      <c r="I656" s="37" t="n">
        <v>106.5</v>
      </c>
      <c r="J656" s="39" t="n">
        <v>1199.99</v>
      </c>
      <c r="K656" s="37" t="s">
        <v>518</v>
      </c>
      <c r="L656" s="39" t="n">
        <v>214.02</v>
      </c>
      <c r="M656" s="39" t="n">
        <v>119.5</v>
      </c>
      <c r="N656" s="39" t="n">
        <f aca="false">J656*Resumo!$C$6</f>
        <v>0</v>
      </c>
      <c r="O656" s="39" t="n">
        <f aca="false">J656*Resumo!$C$7</f>
        <v>2.519979</v>
      </c>
      <c r="P656" s="39" t="n">
        <f aca="false">J656*Resumo!$C$8</f>
        <v>2.519979</v>
      </c>
      <c r="Q656" s="39" t="n">
        <f aca="false">Resumo!$C$10*CEILING(I656/100,1)</f>
        <v>2.1</v>
      </c>
      <c r="R656" s="39" t="n">
        <f aca="false">Resumo!$C$9</f>
        <v>0</v>
      </c>
      <c r="S656" s="39" t="n">
        <f aca="false">Resumo!$C$13</f>
        <v>13.55</v>
      </c>
      <c r="T656" s="39" t="n">
        <f aca="false">Resumo!$C$14*CEILING(I656,1)</f>
        <v>48.15</v>
      </c>
      <c r="U656" s="39" t="n">
        <f aca="false">SUM(M656:T656)*Resumo!$C$11</f>
        <v>0</v>
      </c>
      <c r="V656" s="39" t="n">
        <f aca="false">SUM(M656:U656)</f>
        <v>188.339958</v>
      </c>
      <c r="W656" s="39" t="n">
        <f aca="false">V656/(1-Resumo!$C$5)</f>
        <v>214.022679545455</v>
      </c>
      <c r="X656" s="39" t="n">
        <v>214.11</v>
      </c>
      <c r="Y656" s="39" t="n">
        <f aca="false">J656*Resumo!$B$6</f>
        <v>1.19999</v>
      </c>
      <c r="Z656" s="39" t="n">
        <f aca="false">J656*Resumo!$B$7</f>
        <v>2.39998</v>
      </c>
      <c r="AA656" s="39" t="n">
        <f aca="false">Resumo!$B$9</f>
        <v>1</v>
      </c>
      <c r="AB656" s="39" t="n">
        <f aca="false">Resumo!$B$10*CEILING(I656/100,1)</f>
        <v>9</v>
      </c>
      <c r="AC656" s="39" t="n">
        <f aca="false">Resumo!$B$12*CEILING(I656,1)</f>
        <v>6.42</v>
      </c>
      <c r="AD656" s="39" t="n">
        <f aca="false">Resumo!$B$14*CEILING(I656,1)</f>
        <v>48.15</v>
      </c>
      <c r="AE656" s="39" t="n">
        <f aca="false">SUM(X656:AD656)</f>
        <v>282.27997</v>
      </c>
      <c r="AF656" s="39" t="n">
        <f aca="false">AE656/(1-Resumo!$B$5)</f>
        <v>320.772693181818</v>
      </c>
      <c r="AG656" s="39" t="n">
        <f aca="false">AF656-W656</f>
        <v>106.750013636364</v>
      </c>
      <c r="AH656" s="40" t="n">
        <f aca="false">AF656/W656-1</f>
        <v>0.498778979232861</v>
      </c>
      <c r="AI656" s="37" t="str">
        <f aca="false">IF(AF656&lt;W656,"SIM","NÃO")</f>
        <v>NÃO</v>
      </c>
      <c r="AJ656" s="37" t="n">
        <v>13</v>
      </c>
      <c r="AK656" s="37" t="n">
        <v>7</v>
      </c>
      <c r="AL656" s="37" t="s">
        <v>343</v>
      </c>
      <c r="AM656" s="39" t="n">
        <v>216.41</v>
      </c>
    </row>
    <row r="657" customFormat="false" ht="15" hidden="false" customHeight="false" outlineLevel="0" collapsed="false">
      <c r="A657" s="37" t="n">
        <v>372662584</v>
      </c>
      <c r="B657" s="38" t="n">
        <v>46240.8778703704</v>
      </c>
      <c r="C657" s="37" t="s">
        <v>340</v>
      </c>
      <c r="D657" s="37" t="s">
        <v>985</v>
      </c>
      <c r="E657" s="37" t="n">
        <v>27255005</v>
      </c>
      <c r="F657" s="37" t="s">
        <v>168</v>
      </c>
      <c r="G657" s="37" t="s">
        <v>198</v>
      </c>
      <c r="H657" s="37" t="s">
        <v>187</v>
      </c>
      <c r="I657" s="37" t="n">
        <v>52.3</v>
      </c>
      <c r="J657" s="39" t="n">
        <v>685.85</v>
      </c>
      <c r="K657" s="37" t="s">
        <v>518</v>
      </c>
      <c r="L657" s="39" t="n">
        <v>141.94</v>
      </c>
      <c r="M657" s="39" t="n">
        <v>83.58</v>
      </c>
      <c r="N657" s="39" t="n">
        <f aca="false">J657*Resumo!$C$6</f>
        <v>0</v>
      </c>
      <c r="O657" s="39" t="n">
        <f aca="false">J657*Resumo!$C$7</f>
        <v>1.440285</v>
      </c>
      <c r="P657" s="39" t="n">
        <f aca="false">J657*Resumo!$C$8</f>
        <v>1.440285</v>
      </c>
      <c r="Q657" s="39" t="n">
        <f aca="false">Resumo!$C$10*CEILING(I657/100,1)</f>
        <v>1.05</v>
      </c>
      <c r="R657" s="39" t="n">
        <f aca="false">Resumo!$C$9</f>
        <v>0</v>
      </c>
      <c r="S657" s="39" t="n">
        <f aca="false">Resumo!$C$13</f>
        <v>13.55</v>
      </c>
      <c r="T657" s="39" t="n">
        <f aca="false">Resumo!$C$14*CEILING(I657,1)</f>
        <v>23.85</v>
      </c>
      <c r="U657" s="39" t="n">
        <f aca="false">SUM(M657:T657)*Resumo!$C$11</f>
        <v>0</v>
      </c>
      <c r="V657" s="39" t="n">
        <f aca="false">SUM(M657:U657)</f>
        <v>124.91057</v>
      </c>
      <c r="W657" s="39" t="n">
        <f aca="false">V657/(1-Resumo!$C$5)</f>
        <v>141.943829545455</v>
      </c>
      <c r="X657" s="39" t="n">
        <v>142.32</v>
      </c>
      <c r="Y657" s="39" t="n">
        <f aca="false">J657*Resumo!$B$6</f>
        <v>0.68585</v>
      </c>
      <c r="Z657" s="39" t="n">
        <f aca="false">J657*Resumo!$B$7</f>
        <v>1.3717</v>
      </c>
      <c r="AA657" s="39" t="n">
        <f aca="false">Resumo!$B$9</f>
        <v>1</v>
      </c>
      <c r="AB657" s="39" t="n">
        <f aca="false">Resumo!$B$10*CEILING(I657/100,1)</f>
        <v>4.5</v>
      </c>
      <c r="AC657" s="39" t="n">
        <f aca="false">Resumo!$B$12*CEILING(I657,1)</f>
        <v>3.18</v>
      </c>
      <c r="AD657" s="39" t="n">
        <f aca="false">Resumo!$B$14*CEILING(I657,1)</f>
        <v>23.85</v>
      </c>
      <c r="AE657" s="39" t="n">
        <f aca="false">SUM(X657:AD657)</f>
        <v>176.90755</v>
      </c>
      <c r="AF657" s="39" t="n">
        <f aca="false">AE657/(1-Resumo!$B$5)</f>
        <v>201.031306818182</v>
      </c>
      <c r="AG657" s="39" t="n">
        <f aca="false">AF657-W657</f>
        <v>59.0874772727273</v>
      </c>
      <c r="AH657" s="40" t="n">
        <f aca="false">AF657/W657-1</f>
        <v>0.416273658826471</v>
      </c>
      <c r="AI657" s="37" t="str">
        <f aca="false">IF(AF657&lt;W657,"SIM","NÃO")</f>
        <v>NÃO</v>
      </c>
      <c r="AJ657" s="37" t="n">
        <v>13</v>
      </c>
      <c r="AK657" s="37" t="n">
        <v>10</v>
      </c>
      <c r="AL657" s="37" t="s">
        <v>343</v>
      </c>
      <c r="AM657" s="39" t="n">
        <v>142.96</v>
      </c>
    </row>
    <row r="658" customFormat="false" ht="15" hidden="false" customHeight="false" outlineLevel="0" collapsed="false">
      <c r="A658" s="37" t="n">
        <v>372666225</v>
      </c>
      <c r="B658" s="38" t="n">
        <v>46240.8843865741</v>
      </c>
      <c r="C658" s="37" t="s">
        <v>340</v>
      </c>
      <c r="D658" s="37" t="s">
        <v>986</v>
      </c>
      <c r="E658" s="37" t="n">
        <v>23063152</v>
      </c>
      <c r="F658" s="37" t="s">
        <v>159</v>
      </c>
      <c r="G658" s="37" t="s">
        <v>196</v>
      </c>
      <c r="H658" s="37" t="s">
        <v>187</v>
      </c>
      <c r="I658" s="37" t="n">
        <v>52.3</v>
      </c>
      <c r="J658" s="39" t="n">
        <v>685.85</v>
      </c>
      <c r="K658" s="37" t="s">
        <v>518</v>
      </c>
      <c r="L658" s="39" t="n">
        <v>113.56</v>
      </c>
      <c r="M658" s="39" t="n">
        <v>58.6</v>
      </c>
      <c r="N658" s="39" t="n">
        <f aca="false">J658*Resumo!$C$6</f>
        <v>0</v>
      </c>
      <c r="O658" s="39" t="n">
        <f aca="false">J658*Resumo!$C$7</f>
        <v>1.440285</v>
      </c>
      <c r="P658" s="39" t="n">
        <f aca="false">J658*Resumo!$C$8</f>
        <v>1.440285</v>
      </c>
      <c r="Q658" s="39" t="n">
        <f aca="false">Resumo!$C$10*CEILING(I658/100,1)</f>
        <v>1.05</v>
      </c>
      <c r="R658" s="39" t="n">
        <f aca="false">Resumo!$C$9</f>
        <v>0</v>
      </c>
      <c r="S658" s="39" t="n">
        <f aca="false">Resumo!$C$13</f>
        <v>13.55</v>
      </c>
      <c r="T658" s="39" t="n">
        <f aca="false">Resumo!$C$14*CEILING(I658,1)</f>
        <v>23.85</v>
      </c>
      <c r="U658" s="39" t="n">
        <f aca="false">SUM(M658:T658)*Resumo!$C$11</f>
        <v>0</v>
      </c>
      <c r="V658" s="39" t="n">
        <f aca="false">SUM(M658:U658)</f>
        <v>99.93057</v>
      </c>
      <c r="W658" s="39" t="n">
        <f aca="false">V658/(1-Resumo!$C$5)</f>
        <v>113.557465909091</v>
      </c>
      <c r="X658" s="39" t="n">
        <v>112.3</v>
      </c>
      <c r="Y658" s="39" t="n">
        <f aca="false">J658*Resumo!$B$6</f>
        <v>0.68585</v>
      </c>
      <c r="Z658" s="39" t="n">
        <f aca="false">J658*Resumo!$B$7</f>
        <v>1.3717</v>
      </c>
      <c r="AA658" s="39" t="n">
        <f aca="false">Resumo!$B$9</f>
        <v>1</v>
      </c>
      <c r="AB658" s="39" t="n">
        <f aca="false">Resumo!$B$10*CEILING(I658/100,1)</f>
        <v>4.5</v>
      </c>
      <c r="AC658" s="39" t="n">
        <f aca="false">Resumo!$B$12*CEILING(I658,1)</f>
        <v>3.18</v>
      </c>
      <c r="AD658" s="39" t="n">
        <f aca="false">Resumo!$B$14*CEILING(I658,1)</f>
        <v>23.85</v>
      </c>
      <c r="AE658" s="39" t="n">
        <f aca="false">SUM(X658:AD658)</f>
        <v>146.88755</v>
      </c>
      <c r="AF658" s="39" t="n">
        <f aca="false">AE658/(1-Resumo!$B$5)</f>
        <v>166.917670454545</v>
      </c>
      <c r="AG658" s="39" t="n">
        <f aca="false">AF658-W658</f>
        <v>53.3602045454545</v>
      </c>
      <c r="AH658" s="40" t="n">
        <f aca="false">AF658/W658-1</f>
        <v>0.4698960488267</v>
      </c>
      <c r="AI658" s="37" t="str">
        <f aca="false">IF(AF658&lt;W658,"SIM","NÃO")</f>
        <v>NÃO</v>
      </c>
      <c r="AJ658" s="37" t="n">
        <v>2</v>
      </c>
      <c r="AK658" s="37" t="n">
        <v>5</v>
      </c>
      <c r="AL658" s="37" t="s">
        <v>343</v>
      </c>
      <c r="AM658" s="39" t="n">
        <v>114.44</v>
      </c>
    </row>
    <row r="659" customFormat="false" ht="15" hidden="false" customHeight="false" outlineLevel="0" collapsed="false">
      <c r="A659" s="37" t="n">
        <v>372674713</v>
      </c>
      <c r="B659" s="38" t="n">
        <v>46240.9035532407</v>
      </c>
      <c r="C659" s="37" t="s">
        <v>375</v>
      </c>
      <c r="D659" s="37" t="s">
        <v>987</v>
      </c>
      <c r="E659" s="37" t="n">
        <v>21042070</v>
      </c>
      <c r="F659" s="37" t="s">
        <v>159</v>
      </c>
      <c r="G659" s="37" t="s">
        <v>196</v>
      </c>
      <c r="H659" s="37" t="s">
        <v>184</v>
      </c>
      <c r="I659" s="37" t="n">
        <v>22.4</v>
      </c>
      <c r="J659" s="39" t="n">
        <v>466.39</v>
      </c>
      <c r="K659" s="37" t="s">
        <v>342</v>
      </c>
      <c r="L659" s="39" t="n">
        <v>82.56</v>
      </c>
      <c r="M659" s="39" t="n">
        <v>42.11</v>
      </c>
      <c r="N659" s="39" t="n">
        <f aca="false">J659*Resumo!$C$6</f>
        <v>0</v>
      </c>
      <c r="O659" s="39" t="n">
        <f aca="false">J659*Resumo!$C$7</f>
        <v>0.979419</v>
      </c>
      <c r="P659" s="39" t="n">
        <f aca="false">J659*Resumo!$C$8</f>
        <v>0.979419</v>
      </c>
      <c r="Q659" s="39" t="n">
        <f aca="false">Resumo!$C$10*CEILING(I659/100,1)</f>
        <v>1.05</v>
      </c>
      <c r="R659" s="39" t="n">
        <f aca="false">Resumo!$C$9</f>
        <v>0</v>
      </c>
      <c r="S659" s="39" t="n">
        <f aca="false">Resumo!$C$13</f>
        <v>13.55</v>
      </c>
      <c r="T659" s="39" t="n">
        <f aca="false">Resumo!$C$14*CEILING(I659,1)</f>
        <v>10.35</v>
      </c>
      <c r="U659" s="39" t="n">
        <f aca="false">SUM(M659:T659)*Resumo!$C$11</f>
        <v>0</v>
      </c>
      <c r="V659" s="39" t="n">
        <f aca="false">SUM(M659:U659)</f>
        <v>69.018838</v>
      </c>
      <c r="W659" s="39" t="n">
        <f aca="false">V659/(1-Resumo!$C$5)</f>
        <v>78.4304977272727</v>
      </c>
      <c r="X659" s="39" t="n">
        <v>82.21</v>
      </c>
      <c r="Y659" s="39" t="n">
        <f aca="false">J659*Resumo!$B$6</f>
        <v>0.46639</v>
      </c>
      <c r="Z659" s="39" t="n">
        <f aca="false">J659*Resumo!$B$7</f>
        <v>0.93278</v>
      </c>
      <c r="AA659" s="39" t="n">
        <f aca="false">Resumo!$B$9</f>
        <v>1</v>
      </c>
      <c r="AB659" s="39" t="n">
        <f aca="false">Resumo!$B$10*CEILING(I659/100,1)</f>
        <v>4.5</v>
      </c>
      <c r="AC659" s="39" t="n">
        <f aca="false">Resumo!$B$12*CEILING(I659,1)</f>
        <v>1.38</v>
      </c>
      <c r="AD659" s="39" t="n">
        <f aca="false">Resumo!$B$14*CEILING(I659,1)</f>
        <v>10.35</v>
      </c>
      <c r="AE659" s="39" t="n">
        <f aca="false">SUM(X659:AD659)</f>
        <v>100.83917</v>
      </c>
      <c r="AF659" s="39" t="n">
        <f aca="false">AE659/(1-Resumo!$B$5)</f>
        <v>114.589965909091</v>
      </c>
      <c r="AG659" s="39" t="n">
        <f aca="false">AF659-W659</f>
        <v>36.1594681818182</v>
      </c>
      <c r="AH659" s="40" t="n">
        <f aca="false">AF659/W659-1</f>
        <v>0.46103836172959</v>
      </c>
      <c r="AI659" s="37" t="str">
        <f aca="false">IF(AF659&lt;W659,"SIM","NÃO")</f>
        <v>NÃO</v>
      </c>
      <c r="AJ659" s="37" t="n">
        <v>2</v>
      </c>
      <c r="AK659" s="37" t="n">
        <v>5</v>
      </c>
      <c r="AL659" s="37" t="s">
        <v>343</v>
      </c>
      <c r="AM659" s="39" t="n">
        <v>82.56</v>
      </c>
    </row>
    <row r="660" customFormat="false" ht="15" hidden="false" customHeight="false" outlineLevel="0" collapsed="false">
      <c r="A660" s="37" t="n">
        <v>372671752</v>
      </c>
      <c r="B660" s="38" t="n">
        <v>46240.9112268519</v>
      </c>
      <c r="C660" s="37" t="s">
        <v>372</v>
      </c>
      <c r="D660" s="37" t="s">
        <v>988</v>
      </c>
      <c r="E660" s="37" t="n">
        <v>23914215</v>
      </c>
      <c r="F660" s="37" t="s">
        <v>169</v>
      </c>
      <c r="G660" s="37" t="s">
        <v>198</v>
      </c>
      <c r="H660" s="37" t="s">
        <v>185</v>
      </c>
      <c r="I660" s="37" t="n">
        <v>40</v>
      </c>
      <c r="J660" s="39" t="n">
        <v>599.99</v>
      </c>
      <c r="K660" s="37" t="s">
        <v>518</v>
      </c>
      <c r="L660" s="39" t="n">
        <v>125.1</v>
      </c>
      <c r="M660" s="39" t="n">
        <v>74.97</v>
      </c>
      <c r="N660" s="39" t="n">
        <f aca="false">J660*Resumo!$C$6</f>
        <v>0</v>
      </c>
      <c r="O660" s="39" t="n">
        <f aca="false">J660*Resumo!$C$7</f>
        <v>1.259979</v>
      </c>
      <c r="P660" s="39" t="n">
        <f aca="false">J660*Resumo!$C$8</f>
        <v>1.259979</v>
      </c>
      <c r="Q660" s="39" t="n">
        <f aca="false">Resumo!$C$10*CEILING(I660/100,1)</f>
        <v>1.05</v>
      </c>
      <c r="R660" s="39" t="n">
        <f aca="false">Resumo!$C$9</f>
        <v>0</v>
      </c>
      <c r="S660" s="39" t="n">
        <f aca="false">Resumo!$C$13</f>
        <v>13.55</v>
      </c>
      <c r="T660" s="39" t="n">
        <f aca="false">Resumo!$C$14*CEILING(I660,1)</f>
        <v>18</v>
      </c>
      <c r="U660" s="39" t="n">
        <f aca="false">SUM(M660:T660)*Resumo!$C$11</f>
        <v>0</v>
      </c>
      <c r="V660" s="39" t="n">
        <f aca="false">SUM(M660:U660)</f>
        <v>110.089958</v>
      </c>
      <c r="W660" s="39" t="n">
        <f aca="false">V660/(1-Resumo!$C$5)</f>
        <v>125.102225</v>
      </c>
      <c r="X660" s="39" t="n">
        <v>124.38</v>
      </c>
      <c r="Y660" s="39" t="n">
        <f aca="false">J660*Resumo!$B$6</f>
        <v>0.59999</v>
      </c>
      <c r="Z660" s="39" t="n">
        <f aca="false">J660*Resumo!$B$7</f>
        <v>1.19998</v>
      </c>
      <c r="AA660" s="39" t="n">
        <f aca="false">Resumo!$B$9</f>
        <v>1</v>
      </c>
      <c r="AB660" s="39" t="n">
        <f aca="false">Resumo!$B$10*CEILING(I660/100,1)</f>
        <v>4.5</v>
      </c>
      <c r="AC660" s="39" t="n">
        <f aca="false">Resumo!$B$12*CEILING(I660,1)</f>
        <v>2.4</v>
      </c>
      <c r="AD660" s="39" t="n">
        <f aca="false">Resumo!$B$14*CEILING(I660,1)</f>
        <v>18</v>
      </c>
      <c r="AE660" s="39" t="n">
        <f aca="false">SUM(X660:AD660)</f>
        <v>152.07997</v>
      </c>
      <c r="AF660" s="39" t="n">
        <f aca="false">AE660/(1-Resumo!$B$5)</f>
        <v>172.818147727273</v>
      </c>
      <c r="AG660" s="39" t="n">
        <f aca="false">AF660-W660</f>
        <v>47.7159227272727</v>
      </c>
      <c r="AH660" s="40" t="n">
        <f aca="false">AF660/W660-1</f>
        <v>0.381415460254786</v>
      </c>
      <c r="AI660" s="37" t="str">
        <f aca="false">IF(AF660&lt;W660,"SIM","NÃO")</f>
        <v>NÃO</v>
      </c>
      <c r="AJ660" s="37" t="n">
        <v>13</v>
      </c>
      <c r="AK660" s="37" t="n">
        <v>10</v>
      </c>
      <c r="AL660" s="37" t="s">
        <v>343</v>
      </c>
      <c r="AM660" s="39" t="n">
        <v>123.12</v>
      </c>
    </row>
    <row r="661" customFormat="false" ht="15" hidden="false" customHeight="false" outlineLevel="0" collapsed="false">
      <c r="A661" s="37" t="n">
        <v>372687901</v>
      </c>
      <c r="B661" s="38" t="n">
        <v>46240.9252430556</v>
      </c>
      <c r="C661" s="37" t="s">
        <v>340</v>
      </c>
      <c r="D661" s="37" t="s">
        <v>989</v>
      </c>
      <c r="E661" s="37" t="n">
        <v>24725229</v>
      </c>
      <c r="F661" s="37" t="s">
        <v>160</v>
      </c>
      <c r="G661" s="37" t="s">
        <v>197</v>
      </c>
      <c r="H661" s="37" t="s">
        <v>184</v>
      </c>
      <c r="I661" s="37" t="n">
        <v>20.9</v>
      </c>
      <c r="J661" s="39" t="n">
        <v>487.59</v>
      </c>
      <c r="K661" s="37" t="s">
        <v>518</v>
      </c>
      <c r="L661" s="39" t="n">
        <v>96.47</v>
      </c>
      <c r="M661" s="39" t="n">
        <v>58.8</v>
      </c>
      <c r="N661" s="39" t="n">
        <f aca="false">J661*Resumo!$C$6</f>
        <v>0</v>
      </c>
      <c r="O661" s="39" t="n">
        <f aca="false">J661*Resumo!$C$7</f>
        <v>1.023939</v>
      </c>
      <c r="P661" s="39" t="n">
        <f aca="false">J661*Resumo!$C$8</f>
        <v>1.023939</v>
      </c>
      <c r="Q661" s="39" t="n">
        <f aca="false">Resumo!$C$10*CEILING(I661/100,1)</f>
        <v>1.05</v>
      </c>
      <c r="R661" s="39" t="n">
        <f aca="false">Resumo!$C$9</f>
        <v>0</v>
      </c>
      <c r="S661" s="39" t="n">
        <f aca="false">Resumo!$C$13</f>
        <v>13.55</v>
      </c>
      <c r="T661" s="39" t="n">
        <f aca="false">Resumo!$C$14*CEILING(I661,1)</f>
        <v>9.45</v>
      </c>
      <c r="U661" s="39" t="n">
        <f aca="false">SUM(M661:T661)*Resumo!$C$11</f>
        <v>0</v>
      </c>
      <c r="V661" s="39" t="n">
        <f aca="false">SUM(M661:U661)</f>
        <v>84.897878</v>
      </c>
      <c r="W661" s="39" t="n">
        <f aca="false">V661/(1-Resumo!$C$5)</f>
        <v>96.4748613636364</v>
      </c>
      <c r="X661" s="39" t="n">
        <v>100.58</v>
      </c>
      <c r="Y661" s="39" t="n">
        <f aca="false">J661*Resumo!$B$6</f>
        <v>0.48759</v>
      </c>
      <c r="Z661" s="39" t="n">
        <f aca="false">J661*Resumo!$B$7</f>
        <v>0.97518</v>
      </c>
      <c r="AA661" s="39" t="n">
        <f aca="false">Resumo!$B$9</f>
        <v>1</v>
      </c>
      <c r="AB661" s="39" t="n">
        <f aca="false">Resumo!$B$10*CEILING(I661/100,1)</f>
        <v>4.5</v>
      </c>
      <c r="AC661" s="39" t="n">
        <f aca="false">Resumo!$B$12*CEILING(I661,1)</f>
        <v>1.26</v>
      </c>
      <c r="AD661" s="39" t="n">
        <f aca="false">Resumo!$B$14*CEILING(I661,1)</f>
        <v>9.45</v>
      </c>
      <c r="AE661" s="39" t="n">
        <f aca="false">SUM(X661:AD661)</f>
        <v>118.25277</v>
      </c>
      <c r="AF661" s="39" t="n">
        <f aca="false">AE661/(1-Resumo!$B$5)</f>
        <v>134.378147727273</v>
      </c>
      <c r="AG661" s="39" t="n">
        <f aca="false">AF661-W661</f>
        <v>37.9032863636364</v>
      </c>
      <c r="AH661" s="40" t="n">
        <f aca="false">AF661/W661-1</f>
        <v>0.392882517040061</v>
      </c>
      <c r="AI661" s="37" t="str">
        <f aca="false">IF(AF661&lt;W661,"SIM","NÃO")</f>
        <v>NÃO</v>
      </c>
      <c r="AJ661" s="37" t="n">
        <v>2</v>
      </c>
      <c r="AK661" s="37" t="n">
        <v>7</v>
      </c>
      <c r="AL661" s="37" t="s">
        <v>343</v>
      </c>
      <c r="AM661" s="39" t="n">
        <v>101.72</v>
      </c>
    </row>
    <row r="662" customFormat="false" ht="15" hidden="false" customHeight="false" outlineLevel="0" collapsed="false">
      <c r="A662" s="37" t="n">
        <v>372688345</v>
      </c>
      <c r="B662" s="38" t="n">
        <v>46240.9266319444</v>
      </c>
      <c r="C662" s="37" t="s">
        <v>340</v>
      </c>
      <c r="D662" s="37" t="s">
        <v>990</v>
      </c>
      <c r="E662" s="37" t="n">
        <v>25213152</v>
      </c>
      <c r="F662" s="37" t="s">
        <v>161</v>
      </c>
      <c r="G662" s="37" t="s">
        <v>197</v>
      </c>
      <c r="H662" s="37" t="s">
        <v>188</v>
      </c>
      <c r="I662" s="37" t="n">
        <v>63.9</v>
      </c>
      <c r="J662" s="39" t="n">
        <v>735.99</v>
      </c>
      <c r="K662" s="37" t="s">
        <v>342</v>
      </c>
      <c r="L662" s="39" t="n">
        <v>139.95</v>
      </c>
      <c r="M662" s="39" t="n">
        <v>76.55</v>
      </c>
      <c r="N662" s="39" t="n">
        <f aca="false">J662*Resumo!$C$6</f>
        <v>0</v>
      </c>
      <c r="O662" s="39" t="n">
        <f aca="false">J662*Resumo!$C$7</f>
        <v>1.545579</v>
      </c>
      <c r="P662" s="39" t="n">
        <f aca="false">J662*Resumo!$C$8</f>
        <v>1.545579</v>
      </c>
      <c r="Q662" s="39" t="n">
        <f aca="false">Resumo!$C$10*CEILING(I662/100,1)</f>
        <v>1.05</v>
      </c>
      <c r="R662" s="39" t="n">
        <f aca="false">Resumo!$C$9</f>
        <v>0</v>
      </c>
      <c r="S662" s="39" t="n">
        <f aca="false">Resumo!$C$13</f>
        <v>13.55</v>
      </c>
      <c r="T662" s="39" t="n">
        <f aca="false">Resumo!$C$14*CEILING(I662,1)</f>
        <v>28.8</v>
      </c>
      <c r="U662" s="39" t="n">
        <f aca="false">SUM(M662:T662)*Resumo!$C$11</f>
        <v>0</v>
      </c>
      <c r="V662" s="39" t="n">
        <f aca="false">SUM(M662:U662)</f>
        <v>123.041158</v>
      </c>
      <c r="W662" s="39" t="n">
        <f aca="false">V662/(1-Resumo!$C$5)</f>
        <v>139.819497727273</v>
      </c>
      <c r="X662" s="39" t="n">
        <v>131.02</v>
      </c>
      <c r="Y662" s="39" t="n">
        <f aca="false">J662*Resumo!$B$6</f>
        <v>0.73599</v>
      </c>
      <c r="Z662" s="39" t="n">
        <f aca="false">J662*Resumo!$B$7</f>
        <v>1.47198</v>
      </c>
      <c r="AA662" s="39" t="n">
        <f aca="false">Resumo!$B$9</f>
        <v>1</v>
      </c>
      <c r="AB662" s="39" t="n">
        <f aca="false">Resumo!$B$10*CEILING(I662/100,1)</f>
        <v>4.5</v>
      </c>
      <c r="AC662" s="39" t="n">
        <f aca="false">Resumo!$B$12*CEILING(I662,1)</f>
        <v>3.84</v>
      </c>
      <c r="AD662" s="39" t="n">
        <f aca="false">Resumo!$B$14*CEILING(I662,1)</f>
        <v>28.8</v>
      </c>
      <c r="AE662" s="39" t="n">
        <f aca="false">SUM(X662:AD662)</f>
        <v>171.36797</v>
      </c>
      <c r="AF662" s="39" t="n">
        <f aca="false">AE662/(1-Resumo!$B$5)</f>
        <v>194.736329545455</v>
      </c>
      <c r="AG662" s="39" t="n">
        <f aca="false">AF662-W662</f>
        <v>54.9168318181818</v>
      </c>
      <c r="AH662" s="40" t="n">
        <f aca="false">AF662/W662-1</f>
        <v>0.392769482874991</v>
      </c>
      <c r="AI662" s="37" t="str">
        <f aca="false">IF(AF662&lt;W662,"SIM","NÃO")</f>
        <v>NÃO</v>
      </c>
      <c r="AJ662" s="37" t="n">
        <v>2</v>
      </c>
      <c r="AK662" s="37" t="n">
        <v>5</v>
      </c>
      <c r="AL662" s="37" t="s">
        <v>343</v>
      </c>
      <c r="AM662" s="39" t="n">
        <v>139.96</v>
      </c>
    </row>
    <row r="663" customFormat="false" ht="15" hidden="false" customHeight="false" outlineLevel="0" collapsed="false">
      <c r="A663" s="37" t="n">
        <v>372690858</v>
      </c>
      <c r="B663" s="38" t="n">
        <v>46240.9313888889</v>
      </c>
      <c r="C663" s="37" t="s">
        <v>340</v>
      </c>
      <c r="D663" s="37" t="s">
        <v>991</v>
      </c>
      <c r="E663" s="37" t="n">
        <v>27262470</v>
      </c>
      <c r="F663" s="37" t="s">
        <v>168</v>
      </c>
      <c r="G663" s="37" t="s">
        <v>198</v>
      </c>
      <c r="H663" s="37" t="s">
        <v>185</v>
      </c>
      <c r="I663" s="37" t="n">
        <v>36</v>
      </c>
      <c r="J663" s="39" t="n">
        <v>449.99</v>
      </c>
      <c r="K663" s="37" t="s">
        <v>518</v>
      </c>
      <c r="L663" s="39" t="n">
        <v>122.33</v>
      </c>
      <c r="M663" s="39" t="n">
        <v>74.97</v>
      </c>
      <c r="N663" s="39" t="n">
        <f aca="false">J663*Resumo!$C$6</f>
        <v>0</v>
      </c>
      <c r="O663" s="39" t="n">
        <f aca="false">J663*Resumo!$C$7</f>
        <v>0.944979</v>
      </c>
      <c r="P663" s="39" t="n">
        <f aca="false">J663*Resumo!$C$8</f>
        <v>0.944979</v>
      </c>
      <c r="Q663" s="39" t="n">
        <f aca="false">Resumo!$C$10*CEILING(I663/100,1)</f>
        <v>1.05</v>
      </c>
      <c r="R663" s="39" t="n">
        <f aca="false">Resumo!$C$9</f>
        <v>0</v>
      </c>
      <c r="S663" s="39" t="n">
        <f aca="false">Resumo!$C$13</f>
        <v>13.55</v>
      </c>
      <c r="T663" s="39" t="n">
        <f aca="false">Resumo!$C$14*CEILING(I663,1)</f>
        <v>16.2</v>
      </c>
      <c r="U663" s="39" t="n">
        <f aca="false">SUM(M663:T663)*Resumo!$C$11</f>
        <v>0</v>
      </c>
      <c r="V663" s="39" t="n">
        <f aca="false">SUM(M663:U663)</f>
        <v>107.659958</v>
      </c>
      <c r="W663" s="39" t="n">
        <f aca="false">V663/(1-Resumo!$C$5)</f>
        <v>122.340861363636</v>
      </c>
      <c r="X663" s="39" t="n">
        <v>124.38</v>
      </c>
      <c r="Y663" s="39" t="n">
        <f aca="false">J663*Resumo!$B$6</f>
        <v>0.44999</v>
      </c>
      <c r="Z663" s="39" t="n">
        <f aca="false">J663*Resumo!$B$7</f>
        <v>0.89998</v>
      </c>
      <c r="AA663" s="39" t="n">
        <f aca="false">Resumo!$B$9</f>
        <v>1</v>
      </c>
      <c r="AB663" s="39" t="n">
        <f aca="false">Resumo!$B$10*CEILING(I663/100,1)</f>
        <v>4.5</v>
      </c>
      <c r="AC663" s="39" t="n">
        <f aca="false">Resumo!$B$12*CEILING(I663,1)</f>
        <v>2.16</v>
      </c>
      <c r="AD663" s="39" t="n">
        <f aca="false">Resumo!$B$14*CEILING(I663,1)</f>
        <v>16.2</v>
      </c>
      <c r="AE663" s="39" t="n">
        <f aca="false">SUM(X663:AD663)</f>
        <v>149.58997</v>
      </c>
      <c r="AF663" s="39" t="n">
        <f aca="false">AE663/(1-Resumo!$B$5)</f>
        <v>169.988602272727</v>
      </c>
      <c r="AG663" s="39" t="n">
        <f aca="false">AF663-W663</f>
        <v>47.6477409090909</v>
      </c>
      <c r="AH663" s="40" t="n">
        <f aca="false">AF663/W663-1</f>
        <v>0.389467103451777</v>
      </c>
      <c r="AI663" s="37" t="str">
        <f aca="false">IF(AF663&lt;W663,"SIM","NÃO")</f>
        <v>NÃO</v>
      </c>
      <c r="AJ663" s="37" t="n">
        <v>13</v>
      </c>
      <c r="AK663" s="37" t="n">
        <v>10</v>
      </c>
      <c r="AL663" s="37" t="s">
        <v>343</v>
      </c>
      <c r="AM663" s="39" t="n">
        <v>122.4</v>
      </c>
    </row>
    <row r="664" customFormat="false" ht="15" hidden="false" customHeight="false" outlineLevel="0" collapsed="false">
      <c r="A664" s="37" t="n">
        <v>372691995</v>
      </c>
      <c r="B664" s="38" t="n">
        <v>46240.9336805556</v>
      </c>
      <c r="C664" s="37" t="s">
        <v>345</v>
      </c>
      <c r="D664" s="37" t="s">
        <v>992</v>
      </c>
      <c r="E664" s="37" t="n">
        <v>21211740</v>
      </c>
      <c r="F664" s="37" t="s">
        <v>159</v>
      </c>
      <c r="G664" s="37" t="s">
        <v>196</v>
      </c>
      <c r="H664" s="37" t="s">
        <v>188</v>
      </c>
      <c r="I664" s="37" t="n">
        <v>69.15</v>
      </c>
      <c r="J664" s="39" t="n">
        <v>707</v>
      </c>
      <c r="K664" s="37" t="s">
        <v>342</v>
      </c>
      <c r="L664" s="39" t="n">
        <v>124.59</v>
      </c>
      <c r="M664" s="39" t="n">
        <v>63.21</v>
      </c>
      <c r="N664" s="39" t="n">
        <f aca="false">J664*Resumo!$C$6</f>
        <v>0</v>
      </c>
      <c r="O664" s="39" t="n">
        <f aca="false">J664*Resumo!$C$7</f>
        <v>1.4847</v>
      </c>
      <c r="P664" s="39" t="n">
        <f aca="false">J664*Resumo!$C$8</f>
        <v>1.4847</v>
      </c>
      <c r="Q664" s="39" t="n">
        <f aca="false">Resumo!$C$10*CEILING(I664/100,1)</f>
        <v>1.05</v>
      </c>
      <c r="R664" s="39" t="n">
        <f aca="false">Resumo!$C$9</f>
        <v>0</v>
      </c>
      <c r="S664" s="39" t="n">
        <f aca="false">Resumo!$C$13</f>
        <v>13.55</v>
      </c>
      <c r="T664" s="39" t="n">
        <f aca="false">Resumo!$C$14*CEILING(I664,1)</f>
        <v>31.5</v>
      </c>
      <c r="U664" s="39" t="n">
        <f aca="false">SUM(M664:T664)*Resumo!$C$11</f>
        <v>0</v>
      </c>
      <c r="V664" s="39" t="n">
        <f aca="false">SUM(M664:U664)</f>
        <v>112.2794</v>
      </c>
      <c r="W664" s="39" t="n">
        <f aca="false">V664/(1-Resumo!$C$5)</f>
        <v>127.590227272727</v>
      </c>
      <c r="X664" s="39" t="n">
        <v>131.02</v>
      </c>
      <c r="Y664" s="39" t="n">
        <f aca="false">J664*Resumo!$B$6</f>
        <v>0.707</v>
      </c>
      <c r="Z664" s="39" t="n">
        <f aca="false">J664*Resumo!$B$7</f>
        <v>1.414</v>
      </c>
      <c r="AA664" s="39" t="n">
        <f aca="false">Resumo!$B$9</f>
        <v>1</v>
      </c>
      <c r="AB664" s="39" t="n">
        <f aca="false">Resumo!$B$10*CEILING(I664/100,1)</f>
        <v>4.5</v>
      </c>
      <c r="AC664" s="39" t="n">
        <f aca="false">Resumo!$B$12*CEILING(I664,1)</f>
        <v>4.2</v>
      </c>
      <c r="AD664" s="39" t="n">
        <f aca="false">Resumo!$B$14*CEILING(I664,1)</f>
        <v>31.5</v>
      </c>
      <c r="AE664" s="39" t="n">
        <f aca="false">SUM(X664:AD664)</f>
        <v>174.341</v>
      </c>
      <c r="AF664" s="39" t="n">
        <f aca="false">AE664/(1-Resumo!$B$5)</f>
        <v>198.114772727273</v>
      </c>
      <c r="AG664" s="39" t="n">
        <f aca="false">AF664-W664</f>
        <v>70.5245454545455</v>
      </c>
      <c r="AH664" s="40" t="n">
        <f aca="false">AF664/W664-1</f>
        <v>0.552742533358746</v>
      </c>
      <c r="AI664" s="37" t="str">
        <f aca="false">IF(AF664&lt;W664,"SIM","NÃO")</f>
        <v>NÃO</v>
      </c>
      <c r="AJ664" s="37" t="n">
        <v>2</v>
      </c>
      <c r="AK664" s="37" t="n">
        <v>5</v>
      </c>
      <c r="AL664" s="37" t="s">
        <v>343</v>
      </c>
      <c r="AM664" s="39" t="n">
        <v>124.6</v>
      </c>
    </row>
    <row r="665" customFormat="false" ht="15" hidden="false" customHeight="false" outlineLevel="0" collapsed="false">
      <c r="A665" s="37" t="n">
        <v>372704119</v>
      </c>
      <c r="B665" s="38" t="n">
        <v>46240.9584953704</v>
      </c>
      <c r="C665" s="37" t="s">
        <v>340</v>
      </c>
      <c r="D665" s="37" t="s">
        <v>993</v>
      </c>
      <c r="E665" s="37" t="n">
        <v>28030350</v>
      </c>
      <c r="F665" s="37" t="s">
        <v>164</v>
      </c>
      <c r="G665" s="37" t="s">
        <v>198</v>
      </c>
      <c r="H665" s="37" t="s">
        <v>191</v>
      </c>
      <c r="I665" s="37" t="n">
        <v>106.5</v>
      </c>
      <c r="J665" s="39" t="n">
        <v>1199.99</v>
      </c>
      <c r="K665" s="37" t="s">
        <v>518</v>
      </c>
      <c r="L665" s="39" t="n">
        <v>214.02</v>
      </c>
      <c r="M665" s="39" t="n">
        <v>119.5</v>
      </c>
      <c r="N665" s="39" t="n">
        <f aca="false">J665*Resumo!$C$6</f>
        <v>0</v>
      </c>
      <c r="O665" s="39" t="n">
        <f aca="false">J665*Resumo!$C$7</f>
        <v>2.519979</v>
      </c>
      <c r="P665" s="39" t="n">
        <f aca="false">J665*Resumo!$C$8</f>
        <v>2.519979</v>
      </c>
      <c r="Q665" s="39" t="n">
        <f aca="false">Resumo!$C$10*CEILING(I665/100,1)</f>
        <v>2.1</v>
      </c>
      <c r="R665" s="39" t="n">
        <f aca="false">Resumo!$C$9</f>
        <v>0</v>
      </c>
      <c r="S665" s="39" t="n">
        <f aca="false">Resumo!$C$13</f>
        <v>13.55</v>
      </c>
      <c r="T665" s="39" t="n">
        <f aca="false">Resumo!$C$14*CEILING(I665,1)</f>
        <v>48.15</v>
      </c>
      <c r="U665" s="39" t="n">
        <f aca="false">SUM(M665:T665)*Resumo!$C$11</f>
        <v>0</v>
      </c>
      <c r="V665" s="39" t="n">
        <f aca="false">SUM(M665:U665)</f>
        <v>188.339958</v>
      </c>
      <c r="W665" s="39" t="n">
        <f aca="false">V665/(1-Resumo!$C$5)</f>
        <v>214.022679545455</v>
      </c>
      <c r="X665" s="39" t="n">
        <v>236.82</v>
      </c>
      <c r="Y665" s="39" t="n">
        <f aca="false">J665*Resumo!$B$6</f>
        <v>1.19999</v>
      </c>
      <c r="Z665" s="39" t="n">
        <f aca="false">J665*Resumo!$B$7</f>
        <v>2.39998</v>
      </c>
      <c r="AA665" s="39" t="n">
        <f aca="false">Resumo!$B$9</f>
        <v>1</v>
      </c>
      <c r="AB665" s="39" t="n">
        <f aca="false">Resumo!$B$10*CEILING(I665/100,1)</f>
        <v>9</v>
      </c>
      <c r="AC665" s="39" t="n">
        <f aca="false">Resumo!$B$12*CEILING(I665,1)</f>
        <v>6.42</v>
      </c>
      <c r="AD665" s="39" t="n">
        <f aca="false">Resumo!$B$14*CEILING(I665,1)</f>
        <v>48.15</v>
      </c>
      <c r="AE665" s="39" t="n">
        <f aca="false">SUM(X665:AD665)</f>
        <v>304.98997</v>
      </c>
      <c r="AF665" s="39" t="n">
        <f aca="false">AE665/(1-Resumo!$B$5)</f>
        <v>346.579511363636</v>
      </c>
      <c r="AG665" s="39" t="n">
        <f aca="false">AF665-W665</f>
        <v>132.556831818182</v>
      </c>
      <c r="AH665" s="40" t="n">
        <f aca="false">AF665/W665-1</f>
        <v>0.619358808607146</v>
      </c>
      <c r="AI665" s="37" t="str">
        <f aca="false">IF(AF665&lt;W665,"SIM","NÃO")</f>
        <v>NÃO</v>
      </c>
      <c r="AJ665" s="37" t="n">
        <v>13</v>
      </c>
      <c r="AK665" s="37" t="n">
        <v>11</v>
      </c>
      <c r="AL665" s="37" t="s">
        <v>343</v>
      </c>
      <c r="AM665" s="39" t="n">
        <v>216.41</v>
      </c>
    </row>
    <row r="666" customFormat="false" ht="15" hidden="false" customHeight="false" outlineLevel="0" collapsed="false">
      <c r="A666" s="37" t="n">
        <v>372750324</v>
      </c>
      <c r="B666" s="38" t="n">
        <v>46241.0879513889</v>
      </c>
      <c r="C666" s="37" t="s">
        <v>340</v>
      </c>
      <c r="D666" s="37" t="s">
        <v>994</v>
      </c>
      <c r="E666" s="37" t="n">
        <v>24472160</v>
      </c>
      <c r="F666" s="37" t="s">
        <v>160</v>
      </c>
      <c r="G666" s="37" t="s">
        <v>197</v>
      </c>
      <c r="H666" s="37" t="s">
        <v>188</v>
      </c>
      <c r="I666" s="37" t="n">
        <v>61.5</v>
      </c>
      <c r="J666" s="39" t="n">
        <v>726.79</v>
      </c>
      <c r="K666" s="37" t="s">
        <v>518</v>
      </c>
      <c r="L666" s="39" t="n">
        <v>138.76</v>
      </c>
      <c r="M666" s="39" t="n">
        <v>76.55</v>
      </c>
      <c r="N666" s="39" t="n">
        <f aca="false">J666*Resumo!$C$6</f>
        <v>0</v>
      </c>
      <c r="O666" s="39" t="n">
        <f aca="false">J666*Resumo!$C$7</f>
        <v>1.526259</v>
      </c>
      <c r="P666" s="39" t="n">
        <f aca="false">J666*Resumo!$C$8</f>
        <v>1.526259</v>
      </c>
      <c r="Q666" s="39" t="n">
        <f aca="false">Resumo!$C$10*CEILING(I666/100,1)</f>
        <v>1.05</v>
      </c>
      <c r="R666" s="39" t="n">
        <f aca="false">Resumo!$C$9</f>
        <v>0</v>
      </c>
      <c r="S666" s="39" t="n">
        <f aca="false">Resumo!$C$13</f>
        <v>13.55</v>
      </c>
      <c r="T666" s="39" t="n">
        <f aca="false">Resumo!$C$14*CEILING(I666,1)</f>
        <v>27.9</v>
      </c>
      <c r="U666" s="39" t="n">
        <f aca="false">SUM(M666:T666)*Resumo!$C$11</f>
        <v>0</v>
      </c>
      <c r="V666" s="39" t="n">
        <f aca="false">SUM(M666:U666)</f>
        <v>122.102518</v>
      </c>
      <c r="W666" s="39" t="n">
        <f aca="false">V666/(1-Resumo!$C$5)</f>
        <v>138.752861363636</v>
      </c>
      <c r="X666" s="39" t="n">
        <v>149.5</v>
      </c>
      <c r="Y666" s="39" t="n">
        <f aca="false">J666*Resumo!$B$6</f>
        <v>0.72679</v>
      </c>
      <c r="Z666" s="39" t="n">
        <f aca="false">J666*Resumo!$B$7</f>
        <v>1.45358</v>
      </c>
      <c r="AA666" s="39" t="n">
        <f aca="false">Resumo!$B$9</f>
        <v>1</v>
      </c>
      <c r="AB666" s="39" t="n">
        <f aca="false">Resumo!$B$10*CEILING(I666/100,1)</f>
        <v>4.5</v>
      </c>
      <c r="AC666" s="39" t="n">
        <f aca="false">Resumo!$B$12*CEILING(I666,1)</f>
        <v>3.72</v>
      </c>
      <c r="AD666" s="39" t="n">
        <f aca="false">Resumo!$B$14*CEILING(I666,1)</f>
        <v>27.9</v>
      </c>
      <c r="AE666" s="39" t="n">
        <f aca="false">SUM(X666:AD666)</f>
        <v>188.80037</v>
      </c>
      <c r="AF666" s="39" t="n">
        <f aca="false">AE666/(1-Resumo!$B$5)</f>
        <v>214.545875</v>
      </c>
      <c r="AG666" s="39" t="n">
        <f aca="false">AF666-W666</f>
        <v>75.7930136363637</v>
      </c>
      <c r="AH666" s="40" t="n">
        <f aca="false">AF666/W666-1</f>
        <v>0.546244689237285</v>
      </c>
      <c r="AI666" s="37" t="str">
        <f aca="false">IF(AF666&lt;W666,"SIM","NÃO")</f>
        <v>NÃO</v>
      </c>
      <c r="AJ666" s="37" t="n">
        <v>2</v>
      </c>
      <c r="AK666" s="37" t="n">
        <v>7</v>
      </c>
      <c r="AL666" s="37" t="s">
        <v>343</v>
      </c>
      <c r="AM666" s="39" t="n">
        <v>139.92</v>
      </c>
    </row>
    <row r="667" customFormat="false" ht="15" hidden="false" customHeight="false" outlineLevel="0" collapsed="false">
      <c r="A667" s="37" t="n">
        <v>372808444</v>
      </c>
      <c r="B667" s="38" t="n">
        <v>46241.3121527778</v>
      </c>
      <c r="C667" s="37" t="s">
        <v>372</v>
      </c>
      <c r="D667" s="37" t="s">
        <v>995</v>
      </c>
      <c r="E667" s="37" t="n">
        <v>25015005</v>
      </c>
      <c r="F667" s="37" t="s">
        <v>161</v>
      </c>
      <c r="G667" s="37" t="s">
        <v>197</v>
      </c>
      <c r="H667" s="37" t="s">
        <v>192</v>
      </c>
      <c r="I667" s="37" t="n">
        <v>145.8</v>
      </c>
      <c r="J667" s="39" t="n">
        <v>1559.99</v>
      </c>
      <c r="K667" s="37" t="s">
        <v>342</v>
      </c>
      <c r="L667" s="39" t="n">
        <v>244.08</v>
      </c>
      <c r="M667" s="39" t="n">
        <v>129.62</v>
      </c>
      <c r="N667" s="39" t="n">
        <f aca="false">J667*Resumo!$C$6</f>
        <v>0</v>
      </c>
      <c r="O667" s="39" t="n">
        <f aca="false">J667*Resumo!$C$7</f>
        <v>3.275979</v>
      </c>
      <c r="P667" s="39" t="n">
        <f aca="false">J667*Resumo!$C$8</f>
        <v>3.275979</v>
      </c>
      <c r="Q667" s="39" t="n">
        <f aca="false">Resumo!$C$10*CEILING(I667/100,1)</f>
        <v>2.1</v>
      </c>
      <c r="R667" s="39" t="n">
        <f aca="false">Resumo!$C$9</f>
        <v>0</v>
      </c>
      <c r="S667" s="39" t="n">
        <f aca="false">Resumo!$C$13</f>
        <v>13.55</v>
      </c>
      <c r="T667" s="39" t="n">
        <f aca="false">Resumo!$C$14*CEILING(I667,1)</f>
        <v>65.7</v>
      </c>
      <c r="U667" s="39" t="n">
        <f aca="false">SUM(M667:T667)*Resumo!$C$11</f>
        <v>0</v>
      </c>
      <c r="V667" s="39" t="n">
        <f aca="false">SUM(M667:U667)</f>
        <v>217.521958</v>
      </c>
      <c r="W667" s="39" t="n">
        <f aca="false">V667/(1-Resumo!$C$5)</f>
        <v>247.184043181818</v>
      </c>
      <c r="X667" s="39" t="n">
        <v>239.25</v>
      </c>
      <c r="Y667" s="39" t="n">
        <f aca="false">J667*Resumo!$B$6</f>
        <v>1.55999</v>
      </c>
      <c r="Z667" s="39" t="n">
        <f aca="false">J667*Resumo!$B$7</f>
        <v>3.11998</v>
      </c>
      <c r="AA667" s="39" t="n">
        <f aca="false">Resumo!$B$9</f>
        <v>1</v>
      </c>
      <c r="AB667" s="39" t="n">
        <f aca="false">Resumo!$B$10*CEILING(I667/100,1)</f>
        <v>9</v>
      </c>
      <c r="AC667" s="39" t="n">
        <f aca="false">Resumo!$B$12*CEILING(I667,1)</f>
        <v>8.76</v>
      </c>
      <c r="AD667" s="39" t="n">
        <f aca="false">Resumo!$B$14*CEILING(I667,1)</f>
        <v>65.7</v>
      </c>
      <c r="AE667" s="39" t="n">
        <f aca="false">SUM(X667:AD667)</f>
        <v>328.38997</v>
      </c>
      <c r="AF667" s="39" t="n">
        <f aca="false">AE667/(1-Resumo!$B$5)</f>
        <v>373.170420454546</v>
      </c>
      <c r="AG667" s="39" t="n">
        <f aca="false">AF667-W667</f>
        <v>125.986377272727</v>
      </c>
      <c r="AH667" s="40" t="n">
        <f aca="false">AF667/W667-1</f>
        <v>0.509686530129524</v>
      </c>
      <c r="AI667" s="37" t="str">
        <f aca="false">IF(AF667&lt;W667,"SIM","NÃO")</f>
        <v>NÃO</v>
      </c>
      <c r="AJ667" s="37" t="n">
        <v>2</v>
      </c>
      <c r="AK667" s="37" t="n">
        <v>5</v>
      </c>
      <c r="AL667" s="37" t="s">
        <v>343</v>
      </c>
      <c r="AM667" s="39" t="n">
        <v>244.08</v>
      </c>
    </row>
    <row r="668" customFormat="false" ht="15" hidden="false" customHeight="false" outlineLevel="0" collapsed="false">
      <c r="A668" s="37" t="n">
        <v>372844125</v>
      </c>
      <c r="B668" s="38" t="n">
        <v>46241.3949305556</v>
      </c>
      <c r="C668" s="37" t="s">
        <v>340</v>
      </c>
      <c r="D668" s="37" t="s">
        <v>996</v>
      </c>
      <c r="E668" s="37" t="n">
        <v>21555150</v>
      </c>
      <c r="F668" s="37" t="s">
        <v>159</v>
      </c>
      <c r="G668" s="37" t="s">
        <v>196</v>
      </c>
      <c r="H668" s="37" t="s">
        <v>183</v>
      </c>
      <c r="I668" s="37" t="n">
        <v>19.5</v>
      </c>
      <c r="J668" s="39" t="n">
        <v>459.99</v>
      </c>
      <c r="K668" s="37" t="s">
        <v>342</v>
      </c>
      <c r="L668" s="39" t="n">
        <v>65.42</v>
      </c>
      <c r="M668" s="39" t="n">
        <v>33.42</v>
      </c>
      <c r="N668" s="39" t="n">
        <f aca="false">J668*Resumo!$C$6</f>
        <v>0</v>
      </c>
      <c r="O668" s="39" t="n">
        <f aca="false">J668*Resumo!$C$7</f>
        <v>0.965979</v>
      </c>
      <c r="P668" s="39" t="n">
        <f aca="false">J668*Resumo!$C$8</f>
        <v>0.965979</v>
      </c>
      <c r="Q668" s="39" t="n">
        <f aca="false">Resumo!$C$10*CEILING(I668/100,1)</f>
        <v>1.05</v>
      </c>
      <c r="R668" s="39" t="n">
        <f aca="false">Resumo!$C$9</f>
        <v>0</v>
      </c>
      <c r="S668" s="39" t="n">
        <f aca="false">Resumo!$C$13</f>
        <v>13.55</v>
      </c>
      <c r="T668" s="39" t="n">
        <f aca="false">Resumo!$C$14*CEILING(I668,1)</f>
        <v>9</v>
      </c>
      <c r="U668" s="39" t="n">
        <f aca="false">SUM(M668:T668)*Resumo!$C$11</f>
        <v>0</v>
      </c>
      <c r="V668" s="39" t="n">
        <f aca="false">SUM(M668:U668)</f>
        <v>58.951958</v>
      </c>
      <c r="W668" s="39" t="n">
        <f aca="false">V668/(1-Resumo!$C$5)</f>
        <v>66.9908613636364</v>
      </c>
      <c r="X668" s="39" t="n">
        <v>46.98</v>
      </c>
      <c r="Y668" s="39" t="n">
        <f aca="false">J668*Resumo!$B$6</f>
        <v>0.45999</v>
      </c>
      <c r="Z668" s="39" t="n">
        <f aca="false">J668*Resumo!$B$7</f>
        <v>0.91998</v>
      </c>
      <c r="AA668" s="39" t="n">
        <f aca="false">Resumo!$B$9</f>
        <v>1</v>
      </c>
      <c r="AB668" s="39" t="n">
        <f aca="false">Resumo!$B$10*CEILING(I668/100,1)</f>
        <v>4.5</v>
      </c>
      <c r="AC668" s="39" t="n">
        <f aca="false">Resumo!$B$12*CEILING(I668,1)</f>
        <v>1.2</v>
      </c>
      <c r="AD668" s="39" t="n">
        <f aca="false">Resumo!$B$14*CEILING(I668,1)</f>
        <v>9</v>
      </c>
      <c r="AE668" s="39" t="n">
        <f aca="false">SUM(X668:AD668)</f>
        <v>64.05997</v>
      </c>
      <c r="AF668" s="39" t="n">
        <f aca="false">AE668/(1-Resumo!$B$5)</f>
        <v>72.7954204545455</v>
      </c>
      <c r="AG668" s="39" t="n">
        <f aca="false">AF668-W668</f>
        <v>5.80455909090908</v>
      </c>
      <c r="AH668" s="40" t="n">
        <f aca="false">AF668/W668-1</f>
        <v>0.0866470287551771</v>
      </c>
      <c r="AI668" s="37" t="str">
        <f aca="false">IF(AF668&lt;W668,"SIM","NÃO")</f>
        <v>NÃO</v>
      </c>
      <c r="AJ668" s="37" t="n">
        <v>2</v>
      </c>
      <c r="AK668" s="37" t="n">
        <v>5</v>
      </c>
      <c r="AL668" s="37" t="s">
        <v>343</v>
      </c>
      <c r="AM668" s="39" t="n">
        <v>65.42</v>
      </c>
    </row>
    <row r="669" customFormat="false" ht="15" hidden="false" customHeight="false" outlineLevel="0" collapsed="false">
      <c r="A669" s="37" t="n">
        <v>372855905</v>
      </c>
      <c r="B669" s="38" t="n">
        <v>46241.4174189815</v>
      </c>
      <c r="C669" s="37" t="s">
        <v>372</v>
      </c>
      <c r="D669" s="37" t="s">
        <v>997</v>
      </c>
      <c r="E669" s="37" t="n">
        <v>23061200</v>
      </c>
      <c r="F669" s="37" t="s">
        <v>159</v>
      </c>
      <c r="G669" s="37" t="s">
        <v>196</v>
      </c>
      <c r="H669" s="37" t="s">
        <v>183</v>
      </c>
      <c r="I669" s="37" t="n">
        <v>15.15</v>
      </c>
      <c r="J669" s="39" t="n">
        <v>284.99</v>
      </c>
      <c r="K669" s="37" t="s">
        <v>518</v>
      </c>
      <c r="L669" s="39" t="n">
        <v>64.11</v>
      </c>
      <c r="M669" s="39" t="n">
        <v>33.42</v>
      </c>
      <c r="N669" s="39" t="n">
        <f aca="false">J669*Resumo!$C$6</f>
        <v>0</v>
      </c>
      <c r="O669" s="39" t="n">
        <f aca="false">J669*Resumo!$C$7</f>
        <v>0.598479</v>
      </c>
      <c r="P669" s="39" t="n">
        <f aca="false">J669*Resumo!$C$8</f>
        <v>0.598479</v>
      </c>
      <c r="Q669" s="39" t="n">
        <f aca="false">Resumo!$C$10*CEILING(I669/100,1)</f>
        <v>1.05</v>
      </c>
      <c r="R669" s="39" t="n">
        <f aca="false">Resumo!$C$9</f>
        <v>0</v>
      </c>
      <c r="S669" s="39" t="n">
        <f aca="false">Resumo!$C$13</f>
        <v>13.55</v>
      </c>
      <c r="T669" s="39" t="n">
        <f aca="false">Resumo!$C$14*CEILING(I669,1)</f>
        <v>7.2</v>
      </c>
      <c r="U669" s="39" t="n">
        <f aca="false">SUM(M669:T669)*Resumo!$C$11</f>
        <v>0</v>
      </c>
      <c r="V669" s="39" t="n">
        <f aca="false">SUM(M669:U669)</f>
        <v>56.416958</v>
      </c>
      <c r="W669" s="39" t="n">
        <f aca="false">V669/(1-Resumo!$C$5)</f>
        <v>64.1101795454546</v>
      </c>
      <c r="X669" s="39" t="n">
        <v>46.98</v>
      </c>
      <c r="Y669" s="39" t="n">
        <f aca="false">J669*Resumo!$B$6</f>
        <v>0.28499</v>
      </c>
      <c r="Z669" s="39" t="n">
        <f aca="false">J669*Resumo!$B$7</f>
        <v>0.56998</v>
      </c>
      <c r="AA669" s="39" t="n">
        <f aca="false">Resumo!$B$9</f>
        <v>1</v>
      </c>
      <c r="AB669" s="39" t="n">
        <f aca="false">Resumo!$B$10*CEILING(I669/100,1)</f>
        <v>4.5</v>
      </c>
      <c r="AC669" s="39" t="n">
        <f aca="false">Resumo!$B$12*CEILING(I669,1)</f>
        <v>0.96</v>
      </c>
      <c r="AD669" s="39" t="n">
        <f aca="false">Resumo!$B$14*CEILING(I669,1)</f>
        <v>7.2</v>
      </c>
      <c r="AE669" s="39" t="n">
        <f aca="false">SUM(X669:AD669)</f>
        <v>61.49497</v>
      </c>
      <c r="AF669" s="39" t="n">
        <f aca="false">AE669/(1-Resumo!$B$5)</f>
        <v>69.8806477272727</v>
      </c>
      <c r="AG669" s="39" t="n">
        <f aca="false">AF669-W669</f>
        <v>5.77046818181817</v>
      </c>
      <c r="AH669" s="40" t="n">
        <f aca="false">AF669/W669-1</f>
        <v>0.0900086105316063</v>
      </c>
      <c r="AI669" s="37" t="str">
        <f aca="false">IF(AF669&lt;W669,"SIM","NÃO")</f>
        <v>NÃO</v>
      </c>
      <c r="AJ669" s="37" t="n">
        <v>2</v>
      </c>
      <c r="AK669" s="37" t="n">
        <v>5</v>
      </c>
      <c r="AL669" s="37" t="s">
        <v>343</v>
      </c>
      <c r="AM669" s="39" t="n">
        <v>64.58</v>
      </c>
    </row>
    <row r="670" customFormat="false" ht="15" hidden="false" customHeight="false" outlineLevel="0" collapsed="false">
      <c r="A670" s="37" t="n">
        <v>372876962</v>
      </c>
      <c r="B670" s="38" t="n">
        <v>46241.4553703704</v>
      </c>
      <c r="C670" s="37" t="s">
        <v>340</v>
      </c>
      <c r="D670" s="37" t="s">
        <v>998</v>
      </c>
      <c r="E670" s="37" t="n">
        <v>22790873</v>
      </c>
      <c r="F670" s="37" t="s">
        <v>159</v>
      </c>
      <c r="G670" s="37" t="s">
        <v>196</v>
      </c>
      <c r="H670" s="37" t="s">
        <v>191</v>
      </c>
      <c r="I670" s="37" t="n">
        <v>106.5</v>
      </c>
      <c r="J670" s="39" t="n">
        <v>1199.99</v>
      </c>
      <c r="K670" s="37" t="s">
        <v>342</v>
      </c>
      <c r="L670" s="39" t="n">
        <v>185.4</v>
      </c>
      <c r="M670" s="39" t="n">
        <v>92.34</v>
      </c>
      <c r="N670" s="39" t="n">
        <f aca="false">J670*Resumo!$C$6</f>
        <v>0</v>
      </c>
      <c r="O670" s="39" t="n">
        <f aca="false">J670*Resumo!$C$7</f>
        <v>2.519979</v>
      </c>
      <c r="P670" s="39" t="n">
        <f aca="false">J670*Resumo!$C$8</f>
        <v>2.519979</v>
      </c>
      <c r="Q670" s="39" t="n">
        <f aca="false">Resumo!$C$10*CEILING(I670/100,1)</f>
        <v>2.1</v>
      </c>
      <c r="R670" s="39" t="n">
        <f aca="false">Resumo!$C$9</f>
        <v>0</v>
      </c>
      <c r="S670" s="39" t="n">
        <f aca="false">Resumo!$C$13</f>
        <v>13.55</v>
      </c>
      <c r="T670" s="39" t="n">
        <f aca="false">Resumo!$C$14*CEILING(I670,1)</f>
        <v>48.15</v>
      </c>
      <c r="U670" s="39" t="n">
        <f aca="false">SUM(M670:T670)*Resumo!$C$11</f>
        <v>0</v>
      </c>
      <c r="V670" s="39" t="n">
        <f aca="false">SUM(M670:U670)</f>
        <v>161.179958</v>
      </c>
      <c r="W670" s="39" t="n">
        <f aca="false">V670/(1-Resumo!$C$5)</f>
        <v>183.159043181818</v>
      </c>
      <c r="X670" s="39" t="n">
        <v>201.59</v>
      </c>
      <c r="Y670" s="39" t="n">
        <f aca="false">J670*Resumo!$B$6</f>
        <v>1.19999</v>
      </c>
      <c r="Z670" s="39" t="n">
        <f aca="false">J670*Resumo!$B$7</f>
        <v>2.39998</v>
      </c>
      <c r="AA670" s="39" t="n">
        <f aca="false">Resumo!$B$9</f>
        <v>1</v>
      </c>
      <c r="AB670" s="39" t="n">
        <f aca="false">Resumo!$B$10*CEILING(I670/100,1)</f>
        <v>9</v>
      </c>
      <c r="AC670" s="39" t="n">
        <f aca="false">Resumo!$B$12*CEILING(I670,1)</f>
        <v>6.42</v>
      </c>
      <c r="AD670" s="39" t="n">
        <f aca="false">Resumo!$B$14*CEILING(I670,1)</f>
        <v>48.15</v>
      </c>
      <c r="AE670" s="39" t="n">
        <f aca="false">SUM(X670:AD670)</f>
        <v>269.75997</v>
      </c>
      <c r="AF670" s="39" t="n">
        <f aca="false">AE670/(1-Resumo!$B$5)</f>
        <v>306.545420454546</v>
      </c>
      <c r="AG670" s="39" t="n">
        <f aca="false">AF670-W670</f>
        <v>123.386377272727</v>
      </c>
      <c r="AH670" s="40" t="n">
        <f aca="false">AF670/W670-1</f>
        <v>0.673657031229652</v>
      </c>
      <c r="AI670" s="37" t="str">
        <f aca="false">IF(AF670&lt;W670,"SIM","NÃO")</f>
        <v>NÃO</v>
      </c>
      <c r="AJ670" s="37" t="n">
        <v>2</v>
      </c>
      <c r="AK670" s="37" t="n">
        <v>5</v>
      </c>
      <c r="AL670" s="37" t="s">
        <v>343</v>
      </c>
      <c r="AM670" s="39" t="n">
        <v>185.39</v>
      </c>
    </row>
    <row r="671" customFormat="false" ht="15" hidden="false" customHeight="false" outlineLevel="0" collapsed="false">
      <c r="A671" s="37" t="n">
        <v>372884217</v>
      </c>
      <c r="B671" s="38" t="n">
        <v>46241.4620486111</v>
      </c>
      <c r="C671" s="37" t="s">
        <v>537</v>
      </c>
      <c r="D671" s="37" t="s">
        <v>999</v>
      </c>
      <c r="E671" s="37" t="n">
        <v>24230090</v>
      </c>
      <c r="F671" s="37" t="s">
        <v>163</v>
      </c>
      <c r="G671" s="37" t="s">
        <v>197</v>
      </c>
      <c r="H671" s="37" t="s">
        <v>187</v>
      </c>
      <c r="I671" s="37" t="n">
        <v>52.3</v>
      </c>
      <c r="J671" s="39" t="n">
        <v>643.99</v>
      </c>
      <c r="K671" s="37" t="s">
        <v>342</v>
      </c>
      <c r="L671" s="39" t="n">
        <v>128.38</v>
      </c>
      <c r="M671" s="39" t="n">
        <v>70.98</v>
      </c>
      <c r="N671" s="39" t="n">
        <f aca="false">J671*Resumo!$C$6</f>
        <v>0</v>
      </c>
      <c r="O671" s="39" t="n">
        <f aca="false">J671*Resumo!$C$7</f>
        <v>1.352379</v>
      </c>
      <c r="P671" s="39" t="n">
        <f aca="false">J671*Resumo!$C$8</f>
        <v>1.352379</v>
      </c>
      <c r="Q671" s="39" t="n">
        <f aca="false">Resumo!$C$10*CEILING(I671/100,1)</f>
        <v>1.05</v>
      </c>
      <c r="R671" s="39" t="n">
        <f aca="false">Resumo!$C$9</f>
        <v>0</v>
      </c>
      <c r="S671" s="39" t="n">
        <f aca="false">Resumo!$C$13</f>
        <v>13.55</v>
      </c>
      <c r="T671" s="39" t="n">
        <f aca="false">Resumo!$C$14*CEILING(I671,1)</f>
        <v>23.85</v>
      </c>
      <c r="U671" s="39" t="n">
        <f aca="false">SUM(M671:T671)*Resumo!$C$11</f>
        <v>0</v>
      </c>
      <c r="V671" s="39" t="n">
        <f aca="false">SUM(M671:U671)</f>
        <v>112.134758</v>
      </c>
      <c r="W671" s="39" t="n">
        <f aca="false">V671/(1-Resumo!$C$5)</f>
        <v>127.425861363636</v>
      </c>
      <c r="X671" s="39" t="n">
        <v>128.14</v>
      </c>
      <c r="Y671" s="39" t="n">
        <f aca="false">J671*Resumo!$B$6</f>
        <v>0.64399</v>
      </c>
      <c r="Z671" s="39" t="n">
        <f aca="false">J671*Resumo!$B$7</f>
        <v>1.28798</v>
      </c>
      <c r="AA671" s="39" t="n">
        <f aca="false">Resumo!$B$9</f>
        <v>1</v>
      </c>
      <c r="AB671" s="39" t="n">
        <f aca="false">Resumo!$B$10*CEILING(I671/100,1)</f>
        <v>4.5</v>
      </c>
      <c r="AC671" s="39" t="n">
        <f aca="false">Resumo!$B$12*CEILING(I671,1)</f>
        <v>3.18</v>
      </c>
      <c r="AD671" s="39" t="n">
        <f aca="false">Resumo!$B$14*CEILING(I671,1)</f>
        <v>23.85</v>
      </c>
      <c r="AE671" s="39" t="n">
        <f aca="false">SUM(X671:AD671)</f>
        <v>162.60197</v>
      </c>
      <c r="AF671" s="39" t="n">
        <f aca="false">AE671/(1-Resumo!$B$5)</f>
        <v>184.774965909091</v>
      </c>
      <c r="AG671" s="39" t="n">
        <f aca="false">AF671-W671</f>
        <v>57.3491045454545</v>
      </c>
      <c r="AH671" s="40" t="n">
        <f aca="false">AF671/W671-1</f>
        <v>0.450058598244801</v>
      </c>
      <c r="AI671" s="37" t="str">
        <f aca="false">IF(AF671&lt;W671,"SIM","NÃO")</f>
        <v>NÃO</v>
      </c>
      <c r="AJ671" s="37" t="n">
        <v>2</v>
      </c>
      <c r="AK671" s="37" t="n">
        <v>7</v>
      </c>
      <c r="AL671" s="37" t="s">
        <v>343</v>
      </c>
      <c r="AM671" s="39" t="n">
        <v>128.37</v>
      </c>
    </row>
    <row r="672" customFormat="false" ht="15" hidden="false" customHeight="false" outlineLevel="0" collapsed="false">
      <c r="A672" s="37" t="n">
        <v>372894382</v>
      </c>
      <c r="B672" s="38" t="n">
        <v>46241.5012152778</v>
      </c>
      <c r="C672" s="37" t="s">
        <v>361</v>
      </c>
      <c r="D672" s="37" t="s">
        <v>1000</v>
      </c>
      <c r="E672" s="37" t="n">
        <v>28989520</v>
      </c>
      <c r="F672" s="37" t="s">
        <v>173</v>
      </c>
      <c r="G672" s="37" t="s">
        <v>198</v>
      </c>
      <c r="H672" s="37" t="s">
        <v>184</v>
      </c>
      <c r="I672" s="37" t="n">
        <v>30.5</v>
      </c>
      <c r="J672" s="39" t="n">
        <v>424.99</v>
      </c>
      <c r="K672" s="37" t="s">
        <v>518</v>
      </c>
      <c r="L672" s="39" t="n">
        <v>109.05</v>
      </c>
      <c r="M672" s="39" t="n">
        <v>65.63</v>
      </c>
      <c r="N672" s="39" t="n">
        <f aca="false">J672*Resumo!$C$6</f>
        <v>0</v>
      </c>
      <c r="O672" s="39" t="n">
        <f aca="false">J672*Resumo!$C$7</f>
        <v>0.892479</v>
      </c>
      <c r="P672" s="39" t="n">
        <f aca="false">J672*Resumo!$C$8</f>
        <v>0.892479</v>
      </c>
      <c r="Q672" s="39" t="n">
        <f aca="false">Resumo!$C$10*CEILING(I672/100,1)</f>
        <v>1.05</v>
      </c>
      <c r="R672" s="39" t="n">
        <f aca="false">Resumo!$C$9</f>
        <v>0</v>
      </c>
      <c r="S672" s="39" t="n">
        <f aca="false">Resumo!$C$13</f>
        <v>13.55</v>
      </c>
      <c r="T672" s="39" t="n">
        <f aca="false">Resumo!$C$14*CEILING(I672,1)</f>
        <v>13.95</v>
      </c>
      <c r="U672" s="39" t="n">
        <f aca="false">SUM(M672:T672)*Resumo!$C$11</f>
        <v>0</v>
      </c>
      <c r="V672" s="39" t="n">
        <f aca="false">SUM(M672:U672)</f>
        <v>95.964958</v>
      </c>
      <c r="W672" s="39" t="n">
        <f aca="false">V672/(1-Resumo!$C$5)</f>
        <v>109.051088636364</v>
      </c>
      <c r="X672" s="39" t="n">
        <v>114.95</v>
      </c>
      <c r="Y672" s="39" t="n">
        <f aca="false">J672*Resumo!$B$6</f>
        <v>0.42499</v>
      </c>
      <c r="Z672" s="39" t="n">
        <f aca="false">J672*Resumo!$B$7</f>
        <v>0.84998</v>
      </c>
      <c r="AA672" s="39" t="n">
        <f aca="false">Resumo!$B$9</f>
        <v>1</v>
      </c>
      <c r="AB672" s="39" t="n">
        <f aca="false">Resumo!$B$10*CEILING(I672/100,1)</f>
        <v>4.5</v>
      </c>
      <c r="AC672" s="39" t="n">
        <f aca="false">Resumo!$B$12*CEILING(I672,1)</f>
        <v>1.86</v>
      </c>
      <c r="AD672" s="39" t="n">
        <f aca="false">Resumo!$B$14*CEILING(I672,1)</f>
        <v>13.95</v>
      </c>
      <c r="AE672" s="39" t="n">
        <f aca="false">SUM(X672:AD672)</f>
        <v>137.53497</v>
      </c>
      <c r="AF672" s="39" t="n">
        <f aca="false">AE672/(1-Resumo!$B$5)</f>
        <v>156.289738636364</v>
      </c>
      <c r="AG672" s="39" t="n">
        <f aca="false">AF672-W672</f>
        <v>47.23865</v>
      </c>
      <c r="AH672" s="40" t="n">
        <f aca="false">AF672/W672-1</f>
        <v>0.433179077721266</v>
      </c>
      <c r="AI672" s="37" t="str">
        <f aca="false">IF(AF672&lt;W672,"SIM","NÃO")</f>
        <v>NÃO</v>
      </c>
      <c r="AJ672" s="37" t="n">
        <v>13</v>
      </c>
      <c r="AK672" s="37" t="n">
        <v>10</v>
      </c>
      <c r="AL672" s="37" t="s">
        <v>343</v>
      </c>
      <c r="AM672" s="39" t="n">
        <v>109.22</v>
      </c>
    </row>
    <row r="673" customFormat="false" ht="15" hidden="false" customHeight="false" outlineLevel="0" collapsed="false">
      <c r="A673" s="37" t="n">
        <v>372911533</v>
      </c>
      <c r="B673" s="38" t="n">
        <v>46241.5196064815</v>
      </c>
      <c r="C673" s="37" t="s">
        <v>340</v>
      </c>
      <c r="D673" s="37" t="s">
        <v>1001</v>
      </c>
      <c r="E673" s="37" t="n">
        <v>26033310</v>
      </c>
      <c r="F673" s="37" t="s">
        <v>162</v>
      </c>
      <c r="G673" s="37" t="s">
        <v>197</v>
      </c>
      <c r="H673" s="37" t="s">
        <v>187</v>
      </c>
      <c r="I673" s="37" t="n">
        <v>52.3</v>
      </c>
      <c r="J673" s="39" t="n">
        <v>685.85</v>
      </c>
      <c r="K673" s="37" t="s">
        <v>342</v>
      </c>
      <c r="L673" s="39" t="n">
        <v>128.57</v>
      </c>
      <c r="M673" s="39" t="n">
        <v>70.98</v>
      </c>
      <c r="N673" s="39" t="n">
        <f aca="false">J673*Resumo!$C$6</f>
        <v>0</v>
      </c>
      <c r="O673" s="39" t="n">
        <f aca="false">J673*Resumo!$C$7</f>
        <v>1.440285</v>
      </c>
      <c r="P673" s="39" t="n">
        <f aca="false">J673*Resumo!$C$8</f>
        <v>1.440285</v>
      </c>
      <c r="Q673" s="39" t="n">
        <f aca="false">Resumo!$C$10*CEILING(I673/100,1)</f>
        <v>1.05</v>
      </c>
      <c r="R673" s="39" t="n">
        <f aca="false">Resumo!$C$9</f>
        <v>0</v>
      </c>
      <c r="S673" s="39" t="n">
        <f aca="false">Resumo!$C$13</f>
        <v>13.55</v>
      </c>
      <c r="T673" s="39" t="n">
        <f aca="false">Resumo!$C$14*CEILING(I673,1)</f>
        <v>23.85</v>
      </c>
      <c r="U673" s="39" t="n">
        <f aca="false">SUM(M673:T673)*Resumo!$C$11</f>
        <v>0</v>
      </c>
      <c r="V673" s="39" t="n">
        <f aca="false">SUM(M673:U673)</f>
        <v>112.31057</v>
      </c>
      <c r="W673" s="39" t="n">
        <f aca="false">V673/(1-Resumo!$C$5)</f>
        <v>127.625647727273</v>
      </c>
      <c r="X673" s="39" t="n">
        <v>112.3</v>
      </c>
      <c r="Y673" s="39" t="n">
        <f aca="false">J673*Resumo!$B$6</f>
        <v>0.68585</v>
      </c>
      <c r="Z673" s="39" t="n">
        <f aca="false">J673*Resumo!$B$7</f>
        <v>1.3717</v>
      </c>
      <c r="AA673" s="39" t="n">
        <f aca="false">Resumo!$B$9</f>
        <v>1</v>
      </c>
      <c r="AB673" s="39" t="n">
        <f aca="false">Resumo!$B$10*CEILING(I673/100,1)</f>
        <v>4.5</v>
      </c>
      <c r="AC673" s="39" t="n">
        <f aca="false">Resumo!$B$12*CEILING(I673,1)</f>
        <v>3.18</v>
      </c>
      <c r="AD673" s="39" t="n">
        <f aca="false">Resumo!$B$14*CEILING(I673,1)</f>
        <v>23.85</v>
      </c>
      <c r="AE673" s="39" t="n">
        <f aca="false">SUM(X673:AD673)</f>
        <v>146.88755</v>
      </c>
      <c r="AF673" s="39" t="n">
        <f aca="false">AE673/(1-Resumo!$B$5)</f>
        <v>166.917670454545</v>
      </c>
      <c r="AG673" s="39" t="n">
        <f aca="false">AF673-W673</f>
        <v>39.2920227272727</v>
      </c>
      <c r="AH673" s="40" t="n">
        <f aca="false">AF673/W673-1</f>
        <v>0.30786933055366</v>
      </c>
      <c r="AI673" s="37" t="str">
        <f aca="false">IF(AF673&lt;W673,"SIM","NÃO")</f>
        <v>NÃO</v>
      </c>
      <c r="AJ673" s="37" t="n">
        <v>2</v>
      </c>
      <c r="AK673" s="37" t="n">
        <v>5</v>
      </c>
      <c r="AL673" s="37" t="s">
        <v>343</v>
      </c>
      <c r="AM673" s="39" t="n">
        <v>128.57</v>
      </c>
    </row>
    <row r="674" customFormat="false" ht="15" hidden="false" customHeight="false" outlineLevel="0" collapsed="false">
      <c r="A674" s="37" t="n">
        <v>372941922</v>
      </c>
      <c r="B674" s="38" t="n">
        <v>46241.5785763889</v>
      </c>
      <c r="C674" s="37" t="s">
        <v>372</v>
      </c>
      <c r="D674" s="37" t="s">
        <v>1002</v>
      </c>
      <c r="E674" s="37" t="n">
        <v>27935365</v>
      </c>
      <c r="F674" s="37" t="s">
        <v>166</v>
      </c>
      <c r="G674" s="37" t="s">
        <v>198</v>
      </c>
      <c r="H674" s="37" t="s">
        <v>188</v>
      </c>
      <c r="I674" s="37" t="n">
        <v>61.4</v>
      </c>
      <c r="J674" s="39" t="n">
        <v>1119.99</v>
      </c>
      <c r="K674" s="37" t="s">
        <v>518</v>
      </c>
      <c r="L674" s="39" t="n">
        <v>156.14</v>
      </c>
      <c r="M674" s="39" t="n">
        <v>90.2</v>
      </c>
      <c r="N674" s="39" t="n">
        <f aca="false">J674*Resumo!$C$6</f>
        <v>0</v>
      </c>
      <c r="O674" s="39" t="n">
        <f aca="false">J674*Resumo!$C$7</f>
        <v>2.351979</v>
      </c>
      <c r="P674" s="39" t="n">
        <f aca="false">J674*Resumo!$C$8</f>
        <v>2.351979</v>
      </c>
      <c r="Q674" s="39" t="n">
        <f aca="false">Resumo!$C$10*CEILING(I674/100,1)</f>
        <v>1.05</v>
      </c>
      <c r="R674" s="39" t="n">
        <f aca="false">Resumo!$C$9</f>
        <v>0</v>
      </c>
      <c r="S674" s="39" t="n">
        <f aca="false">Resumo!$C$13</f>
        <v>13.55</v>
      </c>
      <c r="T674" s="39" t="n">
        <f aca="false">Resumo!$C$14*CEILING(I674,1)</f>
        <v>27.9</v>
      </c>
      <c r="U674" s="39" t="n">
        <f aca="false">SUM(M674:T674)*Resumo!$C$11</f>
        <v>0</v>
      </c>
      <c r="V674" s="39" t="n">
        <f aca="false">SUM(M674:U674)</f>
        <v>137.403958</v>
      </c>
      <c r="W674" s="39" t="n">
        <f aca="false">V674/(1-Resumo!$C$5)</f>
        <v>156.140861363636</v>
      </c>
      <c r="X674" s="39" t="n">
        <v>171.54</v>
      </c>
      <c r="Y674" s="39" t="n">
        <f aca="false">J674*Resumo!$B$6</f>
        <v>1.11999</v>
      </c>
      <c r="Z674" s="39" t="n">
        <f aca="false">J674*Resumo!$B$7</f>
        <v>2.23998</v>
      </c>
      <c r="AA674" s="39" t="n">
        <f aca="false">Resumo!$B$9</f>
        <v>1</v>
      </c>
      <c r="AB674" s="39" t="n">
        <f aca="false">Resumo!$B$10*CEILING(I674/100,1)</f>
        <v>4.5</v>
      </c>
      <c r="AC674" s="39" t="n">
        <f aca="false">Resumo!$B$12*CEILING(I674,1)</f>
        <v>3.72</v>
      </c>
      <c r="AD674" s="39" t="n">
        <f aca="false">Resumo!$B$14*CEILING(I674,1)</f>
        <v>27.9</v>
      </c>
      <c r="AE674" s="39" t="n">
        <f aca="false">SUM(X674:AD674)</f>
        <v>212.01997</v>
      </c>
      <c r="AF674" s="39" t="n">
        <f aca="false">AE674/(1-Resumo!$B$5)</f>
        <v>240.931784090909</v>
      </c>
      <c r="AG674" s="39" t="n">
        <f aca="false">AF674-W674</f>
        <v>84.7909227272727</v>
      </c>
      <c r="AH674" s="40" t="n">
        <f aca="false">AF674/W674-1</f>
        <v>0.543041212830274</v>
      </c>
      <c r="AI674" s="37" t="str">
        <f aca="false">IF(AF674&lt;W674,"SIM","NÃO")</f>
        <v>NÃO</v>
      </c>
      <c r="AJ674" s="37" t="n">
        <v>13</v>
      </c>
      <c r="AK674" s="37" t="n">
        <v>11</v>
      </c>
      <c r="AL674" s="37" t="s">
        <v>343</v>
      </c>
      <c r="AM674" s="39" t="n">
        <v>157.39</v>
      </c>
    </row>
    <row r="675" customFormat="false" ht="15" hidden="false" customHeight="false" outlineLevel="0" collapsed="false">
      <c r="A675" s="37" t="n">
        <v>372945144</v>
      </c>
      <c r="B675" s="38" t="n">
        <v>46241.587025463</v>
      </c>
      <c r="C675" s="37" t="s">
        <v>375</v>
      </c>
      <c r="D675" s="37" t="s">
        <v>1003</v>
      </c>
      <c r="E675" s="37" t="n">
        <v>23587076</v>
      </c>
      <c r="F675" s="37" t="s">
        <v>159</v>
      </c>
      <c r="G675" s="37" t="s">
        <v>196</v>
      </c>
      <c r="H675" s="37" t="s">
        <v>187</v>
      </c>
      <c r="I675" s="37" t="n">
        <v>52.3</v>
      </c>
      <c r="J675" s="39" t="n">
        <v>677.59</v>
      </c>
      <c r="K675" s="37" t="s">
        <v>518</v>
      </c>
      <c r="L675" s="39" t="n">
        <v>113.51</v>
      </c>
      <c r="M675" s="39" t="n">
        <v>58.6</v>
      </c>
      <c r="N675" s="39" t="n">
        <f aca="false">J675*Resumo!$C$6</f>
        <v>0</v>
      </c>
      <c r="O675" s="39" t="n">
        <f aca="false">J675*Resumo!$C$7</f>
        <v>1.422939</v>
      </c>
      <c r="P675" s="39" t="n">
        <f aca="false">J675*Resumo!$C$8</f>
        <v>1.422939</v>
      </c>
      <c r="Q675" s="39" t="n">
        <f aca="false">Resumo!$C$10*CEILING(I675/100,1)</f>
        <v>1.05</v>
      </c>
      <c r="R675" s="39" t="n">
        <f aca="false">Resumo!$C$9</f>
        <v>0</v>
      </c>
      <c r="S675" s="39" t="n">
        <f aca="false">Resumo!$C$13</f>
        <v>13.55</v>
      </c>
      <c r="T675" s="39" t="n">
        <f aca="false">Resumo!$C$14*CEILING(I675,1)</f>
        <v>23.85</v>
      </c>
      <c r="U675" s="39" t="n">
        <f aca="false">SUM(M675:T675)*Resumo!$C$11</f>
        <v>0</v>
      </c>
      <c r="V675" s="39" t="n">
        <f aca="false">SUM(M675:U675)</f>
        <v>99.895878</v>
      </c>
      <c r="W675" s="39" t="n">
        <f aca="false">V675/(1-Resumo!$C$5)</f>
        <v>113.518043181818</v>
      </c>
      <c r="X675" s="39" t="n">
        <v>112.3</v>
      </c>
      <c r="Y675" s="39" t="n">
        <f aca="false">J675*Resumo!$B$6</f>
        <v>0.67759</v>
      </c>
      <c r="Z675" s="39" t="n">
        <f aca="false">J675*Resumo!$B$7</f>
        <v>1.35518</v>
      </c>
      <c r="AA675" s="39" t="n">
        <f aca="false">Resumo!$B$9</f>
        <v>1</v>
      </c>
      <c r="AB675" s="39" t="n">
        <f aca="false">Resumo!$B$10*CEILING(I675/100,1)</f>
        <v>4.5</v>
      </c>
      <c r="AC675" s="39" t="n">
        <f aca="false">Resumo!$B$12*CEILING(I675,1)</f>
        <v>3.18</v>
      </c>
      <c r="AD675" s="39" t="n">
        <f aca="false">Resumo!$B$14*CEILING(I675,1)</f>
        <v>23.85</v>
      </c>
      <c r="AE675" s="39" t="n">
        <f aca="false">SUM(X675:AD675)</f>
        <v>146.86277</v>
      </c>
      <c r="AF675" s="39" t="n">
        <f aca="false">AE675/(1-Resumo!$B$5)</f>
        <v>166.889511363636</v>
      </c>
      <c r="AG675" s="39" t="n">
        <f aca="false">AF675-W675</f>
        <v>53.3714681818182</v>
      </c>
      <c r="AH675" s="40" t="n">
        <f aca="false">AF675/W675-1</f>
        <v>0.470158458390045</v>
      </c>
      <c r="AI675" s="37" t="str">
        <f aca="false">IF(AF675&lt;W675,"SIM","NÃO")</f>
        <v>NÃO</v>
      </c>
      <c r="AJ675" s="37" t="n">
        <v>2</v>
      </c>
      <c r="AK675" s="37" t="n">
        <v>5</v>
      </c>
      <c r="AL675" s="37" t="s">
        <v>343</v>
      </c>
      <c r="AM675" s="39" t="n">
        <v>114.4</v>
      </c>
    </row>
    <row r="676" customFormat="false" ht="15" hidden="false" customHeight="false" outlineLevel="0" collapsed="false">
      <c r="A676" s="37" t="n">
        <v>372962915</v>
      </c>
      <c r="B676" s="38" t="n">
        <v>46241.6154166667</v>
      </c>
      <c r="C676" s="37" t="s">
        <v>340</v>
      </c>
      <c r="D676" s="37" t="s">
        <v>1004</v>
      </c>
      <c r="E676" s="37" t="n">
        <v>25220340</v>
      </c>
      <c r="F676" s="37" t="s">
        <v>161</v>
      </c>
      <c r="G676" s="37" t="s">
        <v>197</v>
      </c>
      <c r="H676" s="37" t="s">
        <v>187</v>
      </c>
      <c r="I676" s="37" t="n">
        <v>56.7</v>
      </c>
      <c r="J676" s="39" t="n">
        <v>799.99</v>
      </c>
      <c r="K676" s="37" t="s">
        <v>342</v>
      </c>
      <c r="L676" s="39" t="n">
        <v>129.11</v>
      </c>
      <c r="M676" s="39" t="n">
        <v>70.98</v>
      </c>
      <c r="N676" s="39" t="n">
        <f aca="false">J676*Resumo!$C$6</f>
        <v>0</v>
      </c>
      <c r="O676" s="39" t="n">
        <f aca="false">J676*Resumo!$C$7</f>
        <v>1.679979</v>
      </c>
      <c r="P676" s="39" t="n">
        <f aca="false">J676*Resumo!$C$8</f>
        <v>1.679979</v>
      </c>
      <c r="Q676" s="39" t="n">
        <f aca="false">Resumo!$C$10*CEILING(I676/100,1)</f>
        <v>1.05</v>
      </c>
      <c r="R676" s="39" t="n">
        <f aca="false">Resumo!$C$9</f>
        <v>0</v>
      </c>
      <c r="S676" s="39" t="n">
        <f aca="false">Resumo!$C$13</f>
        <v>13.55</v>
      </c>
      <c r="T676" s="39" t="n">
        <f aca="false">Resumo!$C$14*CEILING(I676,1)</f>
        <v>25.65</v>
      </c>
      <c r="U676" s="39" t="n">
        <f aca="false">SUM(M676:T676)*Resumo!$C$11</f>
        <v>0</v>
      </c>
      <c r="V676" s="39" t="n">
        <f aca="false">SUM(M676:U676)</f>
        <v>114.589958</v>
      </c>
      <c r="W676" s="39" t="n">
        <f aca="false">V676/(1-Resumo!$C$5)</f>
        <v>130.215861363636</v>
      </c>
      <c r="X676" s="39" t="n">
        <v>112.3</v>
      </c>
      <c r="Y676" s="39" t="n">
        <f aca="false">J676*Resumo!$B$6</f>
        <v>0.79999</v>
      </c>
      <c r="Z676" s="39" t="n">
        <f aca="false">J676*Resumo!$B$7</f>
        <v>1.59998</v>
      </c>
      <c r="AA676" s="39" t="n">
        <f aca="false">Resumo!$B$9</f>
        <v>1</v>
      </c>
      <c r="AB676" s="39" t="n">
        <f aca="false">Resumo!$B$10*CEILING(I676/100,1)</f>
        <v>4.5</v>
      </c>
      <c r="AC676" s="39" t="n">
        <f aca="false">Resumo!$B$12*CEILING(I676,1)</f>
        <v>3.42</v>
      </c>
      <c r="AD676" s="39" t="n">
        <f aca="false">Resumo!$B$14*CEILING(I676,1)</f>
        <v>25.65</v>
      </c>
      <c r="AE676" s="39" t="n">
        <f aca="false">SUM(X676:AD676)</f>
        <v>149.26997</v>
      </c>
      <c r="AF676" s="39" t="n">
        <f aca="false">AE676/(1-Resumo!$B$5)</f>
        <v>169.624965909091</v>
      </c>
      <c r="AG676" s="39" t="n">
        <f aca="false">AF676-W676</f>
        <v>39.4091045454545</v>
      </c>
      <c r="AH676" s="40" t="n">
        <f aca="false">AF676/W676-1</f>
        <v>0.302644425439095</v>
      </c>
      <c r="AI676" s="37" t="str">
        <f aca="false">IF(AF676&lt;W676,"SIM","NÃO")</f>
        <v>NÃO</v>
      </c>
      <c r="AJ676" s="37" t="n">
        <v>2</v>
      </c>
      <c r="AK676" s="37" t="n">
        <v>5</v>
      </c>
      <c r="AL676" s="37" t="s">
        <v>343</v>
      </c>
      <c r="AM676" s="39" t="n">
        <v>129.12</v>
      </c>
    </row>
    <row r="677" customFormat="false" ht="15" hidden="false" customHeight="false" outlineLevel="0" collapsed="false">
      <c r="A677" s="37" t="n">
        <v>372963562</v>
      </c>
      <c r="B677" s="38" t="n">
        <v>46241.616712963</v>
      </c>
      <c r="C677" s="37" t="s">
        <v>340</v>
      </c>
      <c r="D677" s="37" t="s">
        <v>454</v>
      </c>
      <c r="E677" s="37" t="n">
        <v>28200000</v>
      </c>
      <c r="F677" s="37" t="s">
        <v>259</v>
      </c>
      <c r="G677" s="37" t="s">
        <v>198</v>
      </c>
      <c r="H677" s="37" t="s">
        <v>186</v>
      </c>
      <c r="I677" s="37" t="n">
        <v>46.8</v>
      </c>
      <c r="J677" s="39" t="n">
        <v>599.99</v>
      </c>
      <c r="K677" s="37" t="s">
        <v>518</v>
      </c>
      <c r="L677" s="39" t="n">
        <v>131.78</v>
      </c>
      <c r="M677" s="39" t="n">
        <v>77.7</v>
      </c>
      <c r="N677" s="39" t="n">
        <f aca="false">J677*Resumo!$C$6</f>
        <v>0</v>
      </c>
      <c r="O677" s="39" t="n">
        <f aca="false">J677*Resumo!$C$7</f>
        <v>1.259979</v>
      </c>
      <c r="P677" s="39" t="n">
        <f aca="false">J677*Resumo!$C$8</f>
        <v>1.259979</v>
      </c>
      <c r="Q677" s="39" t="n">
        <f aca="false">Resumo!$C$10*CEILING(I677/100,1)</f>
        <v>1.05</v>
      </c>
      <c r="R677" s="39" t="n">
        <f aca="false">Resumo!$C$9</f>
        <v>0</v>
      </c>
      <c r="S677" s="39" t="n">
        <f aca="false">Resumo!$C$13</f>
        <v>13.55</v>
      </c>
      <c r="T677" s="39" t="n">
        <f aca="false">Resumo!$C$14*CEILING(I677,1)</f>
        <v>21.15</v>
      </c>
      <c r="U677" s="39" t="n">
        <f aca="false">SUM(M677:T677)*Resumo!$C$11</f>
        <v>0</v>
      </c>
      <c r="V677" s="39" t="n">
        <f aca="false">SUM(M677:U677)</f>
        <v>115.969958</v>
      </c>
      <c r="W677" s="39" t="n">
        <f aca="false">V677/(1-Resumo!$C$5)</f>
        <v>131.784043181818</v>
      </c>
      <c r="X677" s="39" t="n">
        <v>152.54</v>
      </c>
      <c r="Y677" s="39" t="n">
        <f aca="false">J677*Resumo!$B$6</f>
        <v>0.59999</v>
      </c>
      <c r="Z677" s="39" t="n">
        <f aca="false">J677*Resumo!$B$7</f>
        <v>1.19998</v>
      </c>
      <c r="AA677" s="39" t="n">
        <f aca="false">Resumo!$B$9</f>
        <v>1</v>
      </c>
      <c r="AB677" s="39" t="n">
        <f aca="false">Resumo!$B$10*CEILING(I677/100,1)</f>
        <v>4.5</v>
      </c>
      <c r="AC677" s="39" t="n">
        <f aca="false">Resumo!$B$12*CEILING(I677,1)</f>
        <v>2.82</v>
      </c>
      <c r="AD677" s="39" t="n">
        <f aca="false">Resumo!$B$14*CEILING(I677,1)</f>
        <v>21.15</v>
      </c>
      <c r="AE677" s="39" t="n">
        <f aca="false">SUM(X677:AD677)</f>
        <v>183.80997</v>
      </c>
      <c r="AF677" s="39" t="n">
        <f aca="false">AE677/(1-Resumo!$B$5)</f>
        <v>208.874965909091</v>
      </c>
      <c r="AG677" s="39" t="n">
        <f aca="false">AF677-W677</f>
        <v>77.0909227272727</v>
      </c>
      <c r="AH677" s="40" t="n">
        <f aca="false">AF677/W677-1</f>
        <v>0.584979189179322</v>
      </c>
      <c r="AI677" s="37" t="str">
        <f aca="false">IF(AF677&lt;W677,"SIM","NÃO")</f>
        <v>NÃO</v>
      </c>
      <c r="AJ677" s="37" t="n">
        <v>13</v>
      </c>
      <c r="AK677" s="37" t="n">
        <v>11</v>
      </c>
      <c r="AL677" s="37" t="s">
        <v>347</v>
      </c>
      <c r="AM677" s="39" t="n">
        <v>131.04</v>
      </c>
    </row>
    <row r="678" customFormat="false" ht="15" hidden="false" customHeight="false" outlineLevel="0" collapsed="false">
      <c r="A678" s="37" t="n">
        <v>372962608</v>
      </c>
      <c r="B678" s="38" t="n">
        <v>46241.6208101852</v>
      </c>
      <c r="C678" s="37" t="s">
        <v>372</v>
      </c>
      <c r="D678" s="37" t="s">
        <v>1005</v>
      </c>
      <c r="E678" s="37" t="n">
        <v>24425290</v>
      </c>
      <c r="F678" s="37" t="s">
        <v>160</v>
      </c>
      <c r="G678" s="37" t="s">
        <v>197</v>
      </c>
      <c r="H678" s="37" t="s">
        <v>184</v>
      </c>
      <c r="I678" s="37" t="n">
        <v>35</v>
      </c>
      <c r="J678" s="39" t="n">
        <v>383.99</v>
      </c>
      <c r="K678" s="37" t="s">
        <v>518</v>
      </c>
      <c r="L678" s="39" t="n">
        <v>103.15</v>
      </c>
      <c r="M678" s="39" t="n">
        <v>58.8</v>
      </c>
      <c r="N678" s="39" t="n">
        <f aca="false">J678*Resumo!$C$6</f>
        <v>0</v>
      </c>
      <c r="O678" s="39" t="n">
        <f aca="false">J678*Resumo!$C$7</f>
        <v>0.806379</v>
      </c>
      <c r="P678" s="39" t="n">
        <f aca="false">J678*Resumo!$C$8</f>
        <v>0.806379</v>
      </c>
      <c r="Q678" s="39" t="n">
        <f aca="false">Resumo!$C$10*CEILING(I678/100,1)</f>
        <v>1.05</v>
      </c>
      <c r="R678" s="39" t="n">
        <f aca="false">Resumo!$C$9</f>
        <v>0</v>
      </c>
      <c r="S678" s="39" t="n">
        <f aca="false">Resumo!$C$13</f>
        <v>13.55</v>
      </c>
      <c r="T678" s="39" t="n">
        <f aca="false">Resumo!$C$14*CEILING(I678,1)</f>
        <v>15.75</v>
      </c>
      <c r="U678" s="39" t="n">
        <f aca="false">SUM(M678:T678)*Resumo!$C$11</f>
        <v>0</v>
      </c>
      <c r="V678" s="39" t="n">
        <f aca="false">SUM(M678:U678)</f>
        <v>90.762758</v>
      </c>
      <c r="W678" s="39" t="n">
        <f aca="false">V678/(1-Resumo!$C$5)</f>
        <v>103.139497727273</v>
      </c>
      <c r="X678" s="39" t="n">
        <v>100.58</v>
      </c>
      <c r="Y678" s="39" t="n">
        <f aca="false">J678*Resumo!$B$6</f>
        <v>0.38399</v>
      </c>
      <c r="Z678" s="39" t="n">
        <f aca="false">J678*Resumo!$B$7</f>
        <v>0.76798</v>
      </c>
      <c r="AA678" s="39" t="n">
        <f aca="false">Resumo!$B$9</f>
        <v>1</v>
      </c>
      <c r="AB678" s="39" t="n">
        <f aca="false">Resumo!$B$10*CEILING(I678/100,1)</f>
        <v>4.5</v>
      </c>
      <c r="AC678" s="39" t="n">
        <f aca="false">Resumo!$B$12*CEILING(I678,1)</f>
        <v>2.1</v>
      </c>
      <c r="AD678" s="39" t="n">
        <f aca="false">Resumo!$B$14*CEILING(I678,1)</f>
        <v>15.75</v>
      </c>
      <c r="AE678" s="39" t="n">
        <f aca="false">SUM(X678:AD678)</f>
        <v>125.08197</v>
      </c>
      <c r="AF678" s="39" t="n">
        <f aca="false">AE678/(1-Resumo!$B$5)</f>
        <v>142.138602272727</v>
      </c>
      <c r="AG678" s="39" t="n">
        <f aca="false">AF678-W678</f>
        <v>38.9991045454546</v>
      </c>
      <c r="AH678" s="40" t="n">
        <f aca="false">AF678/W678-1</f>
        <v>0.378119977358996</v>
      </c>
      <c r="AI678" s="37" t="str">
        <f aca="false">IF(AF678&lt;W678,"SIM","NÃO")</f>
        <v>NÃO</v>
      </c>
      <c r="AJ678" s="37" t="n">
        <v>2</v>
      </c>
      <c r="AK678" s="37" t="n">
        <v>7</v>
      </c>
      <c r="AL678" s="37" t="s">
        <v>343</v>
      </c>
      <c r="AM678" s="39" t="n">
        <v>101.23</v>
      </c>
    </row>
    <row r="679" customFormat="false" ht="15" hidden="false" customHeight="false" outlineLevel="0" collapsed="false">
      <c r="A679" s="37" t="n">
        <v>373024060</v>
      </c>
      <c r="B679" s="38" t="n">
        <v>46241.733900463</v>
      </c>
      <c r="C679" s="37" t="s">
        <v>361</v>
      </c>
      <c r="D679" s="37" t="s">
        <v>940</v>
      </c>
      <c r="E679" s="37" t="n">
        <v>22753050</v>
      </c>
      <c r="F679" s="37" t="s">
        <v>159</v>
      </c>
      <c r="G679" s="37" t="s">
        <v>196</v>
      </c>
      <c r="H679" s="37" t="s">
        <v>184</v>
      </c>
      <c r="I679" s="37" t="n">
        <v>31.9</v>
      </c>
      <c r="J679" s="39" t="n">
        <v>659.99</v>
      </c>
      <c r="K679" s="37" t="s">
        <v>342</v>
      </c>
      <c r="L679" s="39" t="n">
        <v>83.49</v>
      </c>
      <c r="M679" s="39" t="n">
        <v>42.11</v>
      </c>
      <c r="N679" s="39" t="n">
        <f aca="false">J679*Resumo!$C$6</f>
        <v>0</v>
      </c>
      <c r="O679" s="39" t="n">
        <f aca="false">J679*Resumo!$C$7</f>
        <v>1.385979</v>
      </c>
      <c r="P679" s="39" t="n">
        <f aca="false">J679*Resumo!$C$8</f>
        <v>1.385979</v>
      </c>
      <c r="Q679" s="39" t="n">
        <f aca="false">Resumo!$C$10*CEILING(I679/100,1)</f>
        <v>1.05</v>
      </c>
      <c r="R679" s="39" t="n">
        <f aca="false">Resumo!$C$9</f>
        <v>0</v>
      </c>
      <c r="S679" s="39" t="n">
        <f aca="false">Resumo!$C$13</f>
        <v>13.55</v>
      </c>
      <c r="T679" s="39" t="n">
        <f aca="false">Resumo!$C$14*CEILING(I679,1)</f>
        <v>14.4</v>
      </c>
      <c r="U679" s="39" t="n">
        <f aca="false">SUM(M679:T679)*Resumo!$C$11</f>
        <v>0</v>
      </c>
      <c r="V679" s="39" t="n">
        <f aca="false">SUM(M679:U679)</f>
        <v>73.881958</v>
      </c>
      <c r="W679" s="39" t="n">
        <f aca="false">V679/(1-Resumo!$C$5)</f>
        <v>83.9567704545455</v>
      </c>
      <c r="X679" s="39" t="n">
        <v>82.21</v>
      </c>
      <c r="Y679" s="39" t="n">
        <f aca="false">J679*Resumo!$B$6</f>
        <v>0.65999</v>
      </c>
      <c r="Z679" s="39" t="n">
        <f aca="false">J679*Resumo!$B$7</f>
        <v>1.31998</v>
      </c>
      <c r="AA679" s="39" t="n">
        <f aca="false">Resumo!$B$9</f>
        <v>1</v>
      </c>
      <c r="AB679" s="39" t="n">
        <f aca="false">Resumo!$B$10*CEILING(I679/100,1)</f>
        <v>4.5</v>
      </c>
      <c r="AC679" s="39" t="n">
        <f aca="false">Resumo!$B$12*CEILING(I679,1)</f>
        <v>1.92</v>
      </c>
      <c r="AD679" s="39" t="n">
        <f aca="false">Resumo!$B$14*CEILING(I679,1)</f>
        <v>14.4</v>
      </c>
      <c r="AE679" s="39" t="n">
        <f aca="false">SUM(X679:AD679)</f>
        <v>106.00997</v>
      </c>
      <c r="AF679" s="39" t="n">
        <f aca="false">AE679/(1-Resumo!$B$5)</f>
        <v>120.465875</v>
      </c>
      <c r="AG679" s="39" t="n">
        <f aca="false">AF679-W679</f>
        <v>36.5091045454546</v>
      </c>
      <c r="AH679" s="40" t="n">
        <f aca="false">AF679/W679-1</f>
        <v>0.434855990145794</v>
      </c>
      <c r="AI679" s="37" t="str">
        <f aca="false">IF(AF679&lt;W679,"SIM","NÃO")</f>
        <v>NÃO</v>
      </c>
      <c r="AJ679" s="37" t="n">
        <v>2</v>
      </c>
      <c r="AK679" s="37" t="n">
        <v>5</v>
      </c>
      <c r="AL679" s="37" t="s">
        <v>343</v>
      </c>
      <c r="AM679" s="39" t="n">
        <v>83.49</v>
      </c>
    </row>
    <row r="680" customFormat="false" ht="15" hidden="false" customHeight="false" outlineLevel="0" collapsed="false">
      <c r="A680" s="37" t="n">
        <v>373031745</v>
      </c>
      <c r="B680" s="38" t="n">
        <v>46241.7476967593</v>
      </c>
      <c r="C680" s="37" t="s">
        <v>375</v>
      </c>
      <c r="D680" s="37" t="s">
        <v>955</v>
      </c>
      <c r="E680" s="37" t="n">
        <v>20765171</v>
      </c>
      <c r="F680" s="37" t="s">
        <v>159</v>
      </c>
      <c r="G680" s="37" t="s">
        <v>196</v>
      </c>
      <c r="H680" s="37" t="s">
        <v>184</v>
      </c>
      <c r="I680" s="37" t="n">
        <v>33.4</v>
      </c>
      <c r="J680" s="39" t="n">
        <v>373.27</v>
      </c>
      <c r="K680" s="37" t="s">
        <v>342</v>
      </c>
      <c r="L680" s="39" t="n">
        <v>82.13</v>
      </c>
      <c r="M680" s="39" t="n">
        <v>42.11</v>
      </c>
      <c r="N680" s="39" t="n">
        <f aca="false">J680*Resumo!$C$6</f>
        <v>0</v>
      </c>
      <c r="O680" s="39" t="n">
        <f aca="false">J680*Resumo!$C$7</f>
        <v>0.783867</v>
      </c>
      <c r="P680" s="39" t="n">
        <f aca="false">J680*Resumo!$C$8</f>
        <v>0.783867</v>
      </c>
      <c r="Q680" s="39" t="n">
        <f aca="false">Resumo!$C$10*CEILING(I680/100,1)</f>
        <v>1.05</v>
      </c>
      <c r="R680" s="39" t="n">
        <f aca="false">Resumo!$C$9</f>
        <v>0</v>
      </c>
      <c r="S680" s="39" t="n">
        <f aca="false">Resumo!$C$13</f>
        <v>13.55</v>
      </c>
      <c r="T680" s="39" t="n">
        <f aca="false">Resumo!$C$14*CEILING(I680,1)</f>
        <v>15.3</v>
      </c>
      <c r="U680" s="39" t="n">
        <f aca="false">SUM(M680:T680)*Resumo!$C$11</f>
        <v>0</v>
      </c>
      <c r="V680" s="39" t="n">
        <f aca="false">SUM(M680:U680)</f>
        <v>73.577734</v>
      </c>
      <c r="W680" s="39" t="n">
        <f aca="false">V680/(1-Resumo!$C$5)</f>
        <v>83.6110613636364</v>
      </c>
      <c r="X680" s="39" t="n">
        <v>82.21</v>
      </c>
      <c r="Y680" s="39" t="n">
        <f aca="false">J680*Resumo!$B$6</f>
        <v>0.37327</v>
      </c>
      <c r="Z680" s="39" t="n">
        <f aca="false">J680*Resumo!$B$7</f>
        <v>0.74654</v>
      </c>
      <c r="AA680" s="39" t="n">
        <f aca="false">Resumo!$B$9</f>
        <v>1</v>
      </c>
      <c r="AB680" s="39" t="n">
        <f aca="false">Resumo!$B$10*CEILING(I680/100,1)</f>
        <v>4.5</v>
      </c>
      <c r="AC680" s="39" t="n">
        <f aca="false">Resumo!$B$12*CEILING(I680,1)</f>
        <v>2.04</v>
      </c>
      <c r="AD680" s="39" t="n">
        <f aca="false">Resumo!$B$14*CEILING(I680,1)</f>
        <v>15.3</v>
      </c>
      <c r="AE680" s="39" t="n">
        <f aca="false">SUM(X680:AD680)</f>
        <v>106.16981</v>
      </c>
      <c r="AF680" s="39" t="n">
        <f aca="false">AE680/(1-Resumo!$B$5)</f>
        <v>120.647511363636</v>
      </c>
      <c r="AG680" s="39" t="n">
        <f aca="false">AF680-W680</f>
        <v>37.03645</v>
      </c>
      <c r="AH680" s="40" t="n">
        <f aca="false">AF680/W680-1</f>
        <v>0.442961127343225</v>
      </c>
      <c r="AI680" s="37" t="str">
        <f aca="false">IF(AF680&lt;W680,"SIM","NÃO")</f>
        <v>NÃO</v>
      </c>
      <c r="AJ680" s="37" t="n">
        <v>2</v>
      </c>
      <c r="AK680" s="37" t="n">
        <v>5</v>
      </c>
      <c r="AL680" s="37" t="s">
        <v>343</v>
      </c>
      <c r="AM680" s="39" t="n">
        <v>82.11</v>
      </c>
    </row>
    <row r="681" customFormat="false" ht="15" hidden="false" customHeight="false" outlineLevel="0" collapsed="false">
      <c r="A681" s="37" t="n">
        <v>373039675</v>
      </c>
      <c r="B681" s="38" t="n">
        <v>46241.7621875</v>
      </c>
      <c r="C681" s="37" t="s">
        <v>345</v>
      </c>
      <c r="D681" s="37" t="s">
        <v>1006</v>
      </c>
      <c r="E681" s="37" t="n">
        <v>21770100</v>
      </c>
      <c r="F681" s="37" t="s">
        <v>159</v>
      </c>
      <c r="G681" s="37" t="s">
        <v>196</v>
      </c>
      <c r="H681" s="37" t="s">
        <v>187</v>
      </c>
      <c r="I681" s="37" t="n">
        <v>51.3</v>
      </c>
      <c r="J681" s="39" t="n">
        <v>570</v>
      </c>
      <c r="K681" s="37" t="s">
        <v>342</v>
      </c>
      <c r="L681" s="39" t="n">
        <v>113.87</v>
      </c>
      <c r="M681" s="39" t="n">
        <v>58.6</v>
      </c>
      <c r="N681" s="39" t="n">
        <f aca="false">J681*Resumo!$C$6</f>
        <v>0</v>
      </c>
      <c r="O681" s="39" t="n">
        <f aca="false">J681*Resumo!$C$7</f>
        <v>1.197</v>
      </c>
      <c r="P681" s="39" t="n">
        <f aca="false">J681*Resumo!$C$8</f>
        <v>1.197</v>
      </c>
      <c r="Q681" s="39" t="n">
        <f aca="false">Resumo!$C$10*CEILING(I681/100,1)</f>
        <v>1.05</v>
      </c>
      <c r="R681" s="39" t="n">
        <f aca="false">Resumo!$C$9</f>
        <v>0</v>
      </c>
      <c r="S681" s="39" t="n">
        <f aca="false">Resumo!$C$13</f>
        <v>13.55</v>
      </c>
      <c r="T681" s="39" t="n">
        <f aca="false">Resumo!$C$14*CEILING(I681,1)</f>
        <v>23.4</v>
      </c>
      <c r="U681" s="39" t="n">
        <f aca="false">SUM(M681:T681)*Resumo!$C$11</f>
        <v>0</v>
      </c>
      <c r="V681" s="39" t="n">
        <f aca="false">SUM(M681:U681)</f>
        <v>98.994</v>
      </c>
      <c r="W681" s="39" t="n">
        <f aca="false">V681/(1-Resumo!$C$5)</f>
        <v>112.493181818182</v>
      </c>
      <c r="X681" s="39" t="n">
        <v>112.3</v>
      </c>
      <c r="Y681" s="39" t="n">
        <f aca="false">J681*Resumo!$B$6</f>
        <v>0.57</v>
      </c>
      <c r="Z681" s="39" t="n">
        <f aca="false">J681*Resumo!$B$7</f>
        <v>1.14</v>
      </c>
      <c r="AA681" s="39" t="n">
        <f aca="false">Resumo!$B$9</f>
        <v>1</v>
      </c>
      <c r="AB681" s="39" t="n">
        <f aca="false">Resumo!$B$10*CEILING(I681/100,1)</f>
        <v>4.5</v>
      </c>
      <c r="AC681" s="39" t="n">
        <f aca="false">Resumo!$B$12*CEILING(I681,1)</f>
        <v>3.12</v>
      </c>
      <c r="AD681" s="39" t="n">
        <f aca="false">Resumo!$B$14*CEILING(I681,1)</f>
        <v>23.4</v>
      </c>
      <c r="AE681" s="39" t="n">
        <f aca="false">SUM(X681:AD681)</f>
        <v>146.03</v>
      </c>
      <c r="AF681" s="39" t="n">
        <f aca="false">AE681/(1-Resumo!$B$5)</f>
        <v>165.943181818182</v>
      </c>
      <c r="AG681" s="39" t="n">
        <f aca="false">AF681-W681</f>
        <v>53.45</v>
      </c>
      <c r="AH681" s="40" t="n">
        <f aca="false">AF681/W681-1</f>
        <v>0.475139907469139</v>
      </c>
      <c r="AI681" s="37" t="str">
        <f aca="false">IF(AF681&lt;W681,"SIM","NÃO")</f>
        <v>NÃO</v>
      </c>
      <c r="AJ681" s="37" t="n">
        <v>2</v>
      </c>
      <c r="AK681" s="37" t="n">
        <v>5</v>
      </c>
      <c r="AL681" s="37" t="s">
        <v>343</v>
      </c>
      <c r="AM681" s="39" t="n">
        <v>113.88</v>
      </c>
    </row>
    <row r="682" customFormat="false" ht="15" hidden="false" customHeight="false" outlineLevel="0" collapsed="false">
      <c r="A682" s="37" t="n">
        <v>373053770</v>
      </c>
      <c r="B682" s="38" t="n">
        <v>46241.7917708333</v>
      </c>
      <c r="C682" s="37" t="s">
        <v>372</v>
      </c>
      <c r="D682" s="37" t="s">
        <v>1007</v>
      </c>
      <c r="E682" s="37" t="n">
        <v>26190520</v>
      </c>
      <c r="F682" s="37" t="s">
        <v>165</v>
      </c>
      <c r="G682" s="37" t="s">
        <v>197</v>
      </c>
      <c r="H682" s="37" t="s">
        <v>186</v>
      </c>
      <c r="I682" s="37" t="n">
        <v>46.8</v>
      </c>
      <c r="J682" s="39" t="n">
        <v>474.4</v>
      </c>
      <c r="K682" s="37" t="s">
        <v>518</v>
      </c>
      <c r="L682" s="39" t="n">
        <v>117.17</v>
      </c>
      <c r="M682" s="39" t="n">
        <v>65.36</v>
      </c>
      <c r="N682" s="39" t="n">
        <f aca="false">J682*Resumo!$C$6</f>
        <v>0</v>
      </c>
      <c r="O682" s="39" t="n">
        <f aca="false">J682*Resumo!$C$7</f>
        <v>0.99624</v>
      </c>
      <c r="P682" s="39" t="n">
        <f aca="false">J682*Resumo!$C$8</f>
        <v>0.99624</v>
      </c>
      <c r="Q682" s="39" t="n">
        <f aca="false">Resumo!$C$10*CEILING(I682/100,1)</f>
        <v>1.05</v>
      </c>
      <c r="R682" s="39" t="n">
        <f aca="false">Resumo!$C$9</f>
        <v>0</v>
      </c>
      <c r="S682" s="39" t="n">
        <f aca="false">Resumo!$C$13</f>
        <v>13.55</v>
      </c>
      <c r="T682" s="39" t="n">
        <f aca="false">Resumo!$C$14*CEILING(I682,1)</f>
        <v>21.15</v>
      </c>
      <c r="U682" s="39" t="n">
        <f aca="false">SUM(M682:T682)*Resumo!$C$11</f>
        <v>0</v>
      </c>
      <c r="V682" s="39" t="n">
        <f aca="false">SUM(M682:U682)</f>
        <v>103.10248</v>
      </c>
      <c r="W682" s="39" t="n">
        <f aca="false">V682/(1-Resumo!$C$5)</f>
        <v>117.161909090909</v>
      </c>
      <c r="X682" s="39" t="n">
        <v>93.97</v>
      </c>
      <c r="Y682" s="39" t="n">
        <f aca="false">J682*Resumo!$B$6</f>
        <v>0.4744</v>
      </c>
      <c r="Z682" s="39" t="n">
        <f aca="false">J682*Resumo!$B$7</f>
        <v>0.9488</v>
      </c>
      <c r="AA682" s="39" t="n">
        <f aca="false">Resumo!$B$9</f>
        <v>1</v>
      </c>
      <c r="AB682" s="39" t="n">
        <f aca="false">Resumo!$B$10*CEILING(I682/100,1)</f>
        <v>4.5</v>
      </c>
      <c r="AC682" s="39" t="n">
        <f aca="false">Resumo!$B$12*CEILING(I682,1)</f>
        <v>2.82</v>
      </c>
      <c r="AD682" s="39" t="n">
        <f aca="false">Resumo!$B$14*CEILING(I682,1)</f>
        <v>21.15</v>
      </c>
      <c r="AE682" s="39" t="n">
        <f aca="false">SUM(X682:AD682)</f>
        <v>124.8632</v>
      </c>
      <c r="AF682" s="39" t="n">
        <f aca="false">AE682/(1-Resumo!$B$5)</f>
        <v>141.89</v>
      </c>
      <c r="AG682" s="39" t="n">
        <f aca="false">AF682-W682</f>
        <v>24.7280909090909</v>
      </c>
      <c r="AH682" s="40" t="n">
        <f aca="false">AF682/W682-1</f>
        <v>0.211059132622222</v>
      </c>
      <c r="AI682" s="37" t="str">
        <f aca="false">IF(AF682&lt;W682,"SIM","NÃO")</f>
        <v>NÃO</v>
      </c>
      <c r="AJ682" s="37" t="n">
        <v>2</v>
      </c>
      <c r="AK682" s="37" t="n">
        <v>5</v>
      </c>
      <c r="AL682" s="37" t="s">
        <v>343</v>
      </c>
      <c r="AM682" s="39" t="n">
        <v>116.35</v>
      </c>
    </row>
    <row r="683" customFormat="false" ht="15" hidden="false" customHeight="false" outlineLevel="0" collapsed="false">
      <c r="A683" s="37" t="n">
        <v>373054252</v>
      </c>
      <c r="B683" s="38" t="n">
        <v>46241.7918171296</v>
      </c>
      <c r="C683" s="37" t="s">
        <v>340</v>
      </c>
      <c r="D683" s="37" t="s">
        <v>1008</v>
      </c>
      <c r="E683" s="37" t="n">
        <v>27283040</v>
      </c>
      <c r="F683" s="37" t="s">
        <v>168</v>
      </c>
      <c r="G683" s="37" t="s">
        <v>198</v>
      </c>
      <c r="H683" s="37" t="s">
        <v>185</v>
      </c>
      <c r="I683" s="37" t="n">
        <v>39</v>
      </c>
      <c r="J683" s="39" t="n">
        <v>539.99</v>
      </c>
      <c r="K683" s="37" t="s">
        <v>518</v>
      </c>
      <c r="L683" s="39" t="n">
        <v>124.3</v>
      </c>
      <c r="M683" s="39" t="n">
        <v>74.97</v>
      </c>
      <c r="N683" s="39" t="n">
        <f aca="false">J683*Resumo!$C$6</f>
        <v>0</v>
      </c>
      <c r="O683" s="39" t="n">
        <f aca="false">J683*Resumo!$C$7</f>
        <v>1.133979</v>
      </c>
      <c r="P683" s="39" t="n">
        <f aca="false">J683*Resumo!$C$8</f>
        <v>1.133979</v>
      </c>
      <c r="Q683" s="39" t="n">
        <f aca="false">Resumo!$C$10*CEILING(I683/100,1)</f>
        <v>1.05</v>
      </c>
      <c r="R683" s="39" t="n">
        <f aca="false">Resumo!$C$9</f>
        <v>0</v>
      </c>
      <c r="S683" s="39" t="n">
        <f aca="false">Resumo!$C$13</f>
        <v>13.55</v>
      </c>
      <c r="T683" s="39" t="n">
        <f aca="false">Resumo!$C$14*CEILING(I683,1)</f>
        <v>17.55</v>
      </c>
      <c r="U683" s="39" t="n">
        <f aca="false">SUM(M683:T683)*Resumo!$C$11</f>
        <v>0</v>
      </c>
      <c r="V683" s="39" t="n">
        <f aca="false">SUM(M683:U683)</f>
        <v>109.387958</v>
      </c>
      <c r="W683" s="39" t="n">
        <f aca="false">V683/(1-Resumo!$C$5)</f>
        <v>124.304497727273</v>
      </c>
      <c r="X683" s="39" t="n">
        <v>124.38</v>
      </c>
      <c r="Y683" s="39" t="n">
        <f aca="false">J683*Resumo!$B$6</f>
        <v>0.53999</v>
      </c>
      <c r="Z683" s="39" t="n">
        <f aca="false">J683*Resumo!$B$7</f>
        <v>1.07998</v>
      </c>
      <c r="AA683" s="39" t="n">
        <f aca="false">Resumo!$B$9</f>
        <v>1</v>
      </c>
      <c r="AB683" s="39" t="n">
        <f aca="false">Resumo!$B$10*CEILING(I683/100,1)</f>
        <v>4.5</v>
      </c>
      <c r="AC683" s="39" t="n">
        <f aca="false">Resumo!$B$12*CEILING(I683,1)</f>
        <v>2.34</v>
      </c>
      <c r="AD683" s="39" t="n">
        <f aca="false">Resumo!$B$14*CEILING(I683,1)</f>
        <v>17.55</v>
      </c>
      <c r="AE683" s="39" t="n">
        <f aca="false">SUM(X683:AD683)</f>
        <v>151.38997</v>
      </c>
      <c r="AF683" s="39" t="n">
        <f aca="false">AE683/(1-Resumo!$B$5)</f>
        <v>172.034056818182</v>
      </c>
      <c r="AG683" s="39" t="n">
        <f aca="false">AF683-W683</f>
        <v>47.7295590909091</v>
      </c>
      <c r="AH683" s="40" t="n">
        <f aca="false">AF683/W683-1</f>
        <v>0.38397290495175</v>
      </c>
      <c r="AI683" s="37" t="str">
        <f aca="false">IF(AF683&lt;W683,"SIM","NÃO")</f>
        <v>NÃO</v>
      </c>
      <c r="AJ683" s="37" t="n">
        <v>13</v>
      </c>
      <c r="AK683" s="37" t="n">
        <v>10</v>
      </c>
      <c r="AL683" s="37" t="s">
        <v>343</v>
      </c>
      <c r="AM683" s="39" t="n">
        <v>122.84</v>
      </c>
    </row>
    <row r="684" customFormat="false" ht="15" hidden="false" customHeight="false" outlineLevel="0" collapsed="false">
      <c r="A684" s="37" t="n">
        <v>373075766</v>
      </c>
      <c r="B684" s="38" t="n">
        <v>46241.8343981481</v>
      </c>
      <c r="C684" s="37" t="s">
        <v>340</v>
      </c>
      <c r="D684" s="37" t="s">
        <v>1009</v>
      </c>
      <c r="E684" s="37" t="n">
        <v>24460170</v>
      </c>
      <c r="F684" s="37" t="s">
        <v>160</v>
      </c>
      <c r="G684" s="37" t="s">
        <v>197</v>
      </c>
      <c r="H684" s="37" t="s">
        <v>183</v>
      </c>
      <c r="I684" s="37" t="n">
        <v>19.5</v>
      </c>
      <c r="J684" s="39" t="n">
        <v>359.99</v>
      </c>
      <c r="K684" s="37" t="s">
        <v>518</v>
      </c>
      <c r="L684" s="39" t="n">
        <v>77.09</v>
      </c>
      <c r="M684" s="39" t="n">
        <v>42.72</v>
      </c>
      <c r="N684" s="39" t="n">
        <f aca="false">J684*Resumo!$C$6</f>
        <v>0</v>
      </c>
      <c r="O684" s="39" t="n">
        <f aca="false">J684*Resumo!$C$7</f>
        <v>0.755979</v>
      </c>
      <c r="P684" s="39" t="n">
        <f aca="false">J684*Resumo!$C$8</f>
        <v>0.755979</v>
      </c>
      <c r="Q684" s="39" t="n">
        <f aca="false">Resumo!$C$10*CEILING(I684/100,1)</f>
        <v>1.05</v>
      </c>
      <c r="R684" s="39" t="n">
        <f aca="false">Resumo!$C$9</f>
        <v>0</v>
      </c>
      <c r="S684" s="39" t="n">
        <f aca="false">Resumo!$C$13</f>
        <v>13.55</v>
      </c>
      <c r="T684" s="39" t="n">
        <f aca="false">Resumo!$C$14*CEILING(I684,1)</f>
        <v>9</v>
      </c>
      <c r="U684" s="39" t="n">
        <f aca="false">SUM(M684:T684)*Resumo!$C$11</f>
        <v>0</v>
      </c>
      <c r="V684" s="39" t="n">
        <f aca="false">SUM(M684:U684)</f>
        <v>67.831958</v>
      </c>
      <c r="W684" s="39" t="n">
        <f aca="false">V684/(1-Resumo!$C$5)</f>
        <v>77.0817704545455</v>
      </c>
      <c r="X684" s="39" t="n">
        <v>57.47</v>
      </c>
      <c r="Y684" s="39" t="n">
        <f aca="false">J684*Resumo!$B$6</f>
        <v>0.35999</v>
      </c>
      <c r="Z684" s="39" t="n">
        <f aca="false">J684*Resumo!$B$7</f>
        <v>0.71998</v>
      </c>
      <c r="AA684" s="39" t="n">
        <f aca="false">Resumo!$B$9</f>
        <v>1</v>
      </c>
      <c r="AB684" s="39" t="n">
        <f aca="false">Resumo!$B$10*CEILING(I684/100,1)</f>
        <v>4.5</v>
      </c>
      <c r="AC684" s="39" t="n">
        <f aca="false">Resumo!$B$12*CEILING(I684,1)</f>
        <v>1.2</v>
      </c>
      <c r="AD684" s="39" t="n">
        <f aca="false">Resumo!$B$14*CEILING(I684,1)</f>
        <v>9</v>
      </c>
      <c r="AE684" s="39" t="n">
        <f aca="false">SUM(X684:AD684)</f>
        <v>74.24997</v>
      </c>
      <c r="AF684" s="39" t="n">
        <f aca="false">AE684/(1-Resumo!$B$5)</f>
        <v>84.3749659090909</v>
      </c>
      <c r="AG684" s="39" t="n">
        <f aca="false">AF684-W684</f>
        <v>7.29319545454547</v>
      </c>
      <c r="AH684" s="40" t="n">
        <f aca="false">AF684/W684-1</f>
        <v>0.094616345882276</v>
      </c>
      <c r="AI684" s="37" t="str">
        <f aca="false">IF(AF684&lt;W684,"SIM","NÃO")</f>
        <v>NÃO</v>
      </c>
      <c r="AJ684" s="37" t="n">
        <v>2</v>
      </c>
      <c r="AK684" s="37" t="n">
        <v>7</v>
      </c>
      <c r="AL684" s="37" t="s">
        <v>343</v>
      </c>
      <c r="AM684" s="39" t="n">
        <v>75.56</v>
      </c>
    </row>
    <row r="685" customFormat="false" ht="15" hidden="false" customHeight="false" outlineLevel="0" collapsed="false">
      <c r="A685" s="37" t="n">
        <v>373130532</v>
      </c>
      <c r="B685" s="38" t="n">
        <v>46241.973599537</v>
      </c>
      <c r="C685" s="37" t="s">
        <v>361</v>
      </c>
      <c r="D685" s="37" t="s">
        <v>1010</v>
      </c>
      <c r="E685" s="37" t="n">
        <v>20973900</v>
      </c>
      <c r="F685" s="37" t="s">
        <v>159</v>
      </c>
      <c r="G685" s="37" t="s">
        <v>196</v>
      </c>
      <c r="H685" s="37" t="s">
        <v>187</v>
      </c>
      <c r="I685" s="37" t="n">
        <v>58.6</v>
      </c>
      <c r="J685" s="39" t="n">
        <v>799.99</v>
      </c>
      <c r="K685" s="37" t="s">
        <v>342</v>
      </c>
      <c r="L685" s="39" t="n">
        <v>114.99</v>
      </c>
      <c r="M685" s="39" t="n">
        <v>58.6</v>
      </c>
      <c r="N685" s="39" t="n">
        <f aca="false">J685*Resumo!$C$6</f>
        <v>0</v>
      </c>
      <c r="O685" s="39" t="n">
        <f aca="false">J685*Resumo!$C$7</f>
        <v>1.679979</v>
      </c>
      <c r="P685" s="39" t="n">
        <f aca="false">J685*Resumo!$C$8</f>
        <v>1.679979</v>
      </c>
      <c r="Q685" s="39" t="n">
        <f aca="false">Resumo!$C$10*CEILING(I685/100,1)</f>
        <v>1.05</v>
      </c>
      <c r="R685" s="39" t="n">
        <f aca="false">Resumo!$C$9</f>
        <v>0</v>
      </c>
      <c r="S685" s="39" t="n">
        <f aca="false">Resumo!$C$13</f>
        <v>13.55</v>
      </c>
      <c r="T685" s="39" t="n">
        <f aca="false">Resumo!$C$14*CEILING(I685,1)</f>
        <v>26.55</v>
      </c>
      <c r="U685" s="39" t="n">
        <f aca="false">SUM(M685:T685)*Resumo!$C$11</f>
        <v>0</v>
      </c>
      <c r="V685" s="39" t="n">
        <f aca="false">SUM(M685:U685)</f>
        <v>103.109958</v>
      </c>
      <c r="W685" s="39" t="n">
        <f aca="false">V685/(1-Resumo!$C$5)</f>
        <v>117.170406818182</v>
      </c>
      <c r="X685" s="39" t="n">
        <v>112.3</v>
      </c>
      <c r="Y685" s="39" t="n">
        <f aca="false">J685*Resumo!$B$6</f>
        <v>0.79999</v>
      </c>
      <c r="Z685" s="39" t="n">
        <f aca="false">J685*Resumo!$B$7</f>
        <v>1.59998</v>
      </c>
      <c r="AA685" s="39" t="n">
        <f aca="false">Resumo!$B$9</f>
        <v>1</v>
      </c>
      <c r="AB685" s="39" t="n">
        <f aca="false">Resumo!$B$10*CEILING(I685/100,1)</f>
        <v>4.5</v>
      </c>
      <c r="AC685" s="39" t="n">
        <f aca="false">Resumo!$B$12*CEILING(I685,1)</f>
        <v>3.54</v>
      </c>
      <c r="AD685" s="39" t="n">
        <f aca="false">Resumo!$B$14*CEILING(I685,1)</f>
        <v>26.55</v>
      </c>
      <c r="AE685" s="39" t="n">
        <f aca="false">SUM(X685:AD685)</f>
        <v>150.28997</v>
      </c>
      <c r="AF685" s="39" t="n">
        <f aca="false">AE685/(1-Resumo!$B$5)</f>
        <v>170.784056818182</v>
      </c>
      <c r="AG685" s="39" t="n">
        <f aca="false">AF685-W685</f>
        <v>53.61365</v>
      </c>
      <c r="AH685" s="40" t="n">
        <f aca="false">AF685/W685-1</f>
        <v>0.457569888642569</v>
      </c>
      <c r="AI685" s="37" t="str">
        <f aca="false">IF(AF685&lt;W685,"SIM","NÃO")</f>
        <v>NÃO</v>
      </c>
      <c r="AJ685" s="37" t="n">
        <v>2</v>
      </c>
      <c r="AK685" s="37" t="n">
        <v>5</v>
      </c>
      <c r="AL685" s="37" t="s">
        <v>343</v>
      </c>
      <c r="AM685" s="39" t="n">
        <v>114.98</v>
      </c>
    </row>
    <row r="686" customFormat="false" ht="15" hidden="false" customHeight="false" outlineLevel="0" collapsed="false">
      <c r="A686" s="37" t="n">
        <v>373148369</v>
      </c>
      <c r="B686" s="38" t="n">
        <v>46242.0012962963</v>
      </c>
      <c r="C686" s="37" t="s">
        <v>340</v>
      </c>
      <c r="D686" s="37" t="s">
        <v>1011</v>
      </c>
      <c r="E686" s="37" t="n">
        <v>28120000</v>
      </c>
      <c r="F686" s="37" t="s">
        <v>164</v>
      </c>
      <c r="G686" s="37" t="s">
        <v>198</v>
      </c>
      <c r="H686" s="37" t="s">
        <v>184</v>
      </c>
      <c r="I686" s="37" t="n">
        <v>22.4</v>
      </c>
      <c r="J686" s="39" t="n">
        <v>487.6</v>
      </c>
      <c r="K686" s="37" t="s">
        <v>518</v>
      </c>
      <c r="L686" s="39" t="n">
        <v>105.25</v>
      </c>
      <c r="M686" s="39" t="n">
        <v>65.63</v>
      </c>
      <c r="N686" s="39" t="n">
        <f aca="false">J686*Resumo!$C$6</f>
        <v>0</v>
      </c>
      <c r="O686" s="39" t="n">
        <f aca="false">J686*Resumo!$C$7</f>
        <v>1.02396</v>
      </c>
      <c r="P686" s="39" t="n">
        <f aca="false">J686*Resumo!$C$8</f>
        <v>1.02396</v>
      </c>
      <c r="Q686" s="39" t="n">
        <f aca="false">Resumo!$C$10*CEILING(I686/100,1)</f>
        <v>1.05</v>
      </c>
      <c r="R686" s="39" t="n">
        <f aca="false">Resumo!$C$9</f>
        <v>0</v>
      </c>
      <c r="S686" s="39" t="n">
        <f aca="false">Resumo!$C$13</f>
        <v>13.55</v>
      </c>
      <c r="T686" s="39" t="n">
        <f aca="false">Resumo!$C$14*CEILING(I686,1)</f>
        <v>10.35</v>
      </c>
      <c r="U686" s="39" t="n">
        <f aca="false">SUM(M686:T686)*Resumo!$C$11</f>
        <v>0</v>
      </c>
      <c r="V686" s="39" t="n">
        <f aca="false">SUM(M686:U686)</f>
        <v>92.62792</v>
      </c>
      <c r="W686" s="39" t="n">
        <f aca="false">V686/(1-Resumo!$C$5)</f>
        <v>105.259</v>
      </c>
      <c r="X686" s="39" t="n">
        <v>138.29</v>
      </c>
      <c r="Y686" s="39" t="n">
        <f aca="false">J686*Resumo!$B$6</f>
        <v>0.4876</v>
      </c>
      <c r="Z686" s="39" t="n">
        <f aca="false">J686*Resumo!$B$7</f>
        <v>0.9752</v>
      </c>
      <c r="AA686" s="39" t="n">
        <f aca="false">Resumo!$B$9</f>
        <v>1</v>
      </c>
      <c r="AB686" s="39" t="n">
        <f aca="false">Resumo!$B$10*CEILING(I686/100,1)</f>
        <v>4.5</v>
      </c>
      <c r="AC686" s="39" t="n">
        <f aca="false">Resumo!$B$12*CEILING(I686,1)</f>
        <v>1.38</v>
      </c>
      <c r="AD686" s="39" t="n">
        <f aca="false">Resumo!$B$14*CEILING(I686,1)</f>
        <v>10.35</v>
      </c>
      <c r="AE686" s="39" t="n">
        <f aca="false">SUM(X686:AD686)</f>
        <v>156.9828</v>
      </c>
      <c r="AF686" s="39" t="n">
        <f aca="false">AE686/(1-Resumo!$B$5)</f>
        <v>178.389545454545</v>
      </c>
      <c r="AG686" s="39" t="n">
        <f aca="false">AF686-W686</f>
        <v>73.1305454545455</v>
      </c>
      <c r="AH686" s="40" t="n">
        <f aca="false">AF686/W686-1</f>
        <v>0.694767625139375</v>
      </c>
      <c r="AI686" s="37" t="str">
        <f aca="false">IF(AF686&lt;W686,"SIM","NÃO")</f>
        <v>NÃO</v>
      </c>
      <c r="AJ686" s="37" t="n">
        <v>13</v>
      </c>
      <c r="AK686" s="37" t="n">
        <v>11</v>
      </c>
      <c r="AL686" s="37" t="s">
        <v>343</v>
      </c>
      <c r="AM686" s="39" t="n">
        <v>109.52</v>
      </c>
    </row>
    <row r="687" customFormat="false" ht="15" hidden="false" customHeight="false" outlineLevel="0" collapsed="false">
      <c r="A687" s="37" t="n">
        <v>373149800</v>
      </c>
      <c r="B687" s="38" t="n">
        <v>46242.0028935185</v>
      </c>
      <c r="C687" s="37" t="s">
        <v>340</v>
      </c>
      <c r="D687" s="37" t="s">
        <v>1012</v>
      </c>
      <c r="E687" s="37" t="n">
        <v>25535120</v>
      </c>
      <c r="F687" s="37" t="s">
        <v>167</v>
      </c>
      <c r="G687" s="37" t="s">
        <v>197</v>
      </c>
      <c r="H687" s="37" t="s">
        <v>183</v>
      </c>
      <c r="I687" s="37" t="n">
        <v>19.5</v>
      </c>
      <c r="J687" s="39" t="n">
        <v>351</v>
      </c>
      <c r="K687" s="37" t="s">
        <v>518</v>
      </c>
      <c r="L687" s="39" t="n">
        <v>77.05</v>
      </c>
      <c r="M687" s="39" t="n">
        <v>42.72</v>
      </c>
      <c r="N687" s="39" t="n">
        <f aca="false">J687*Resumo!$C$6</f>
        <v>0</v>
      </c>
      <c r="O687" s="39" t="n">
        <f aca="false">J687*Resumo!$C$7</f>
        <v>0.7371</v>
      </c>
      <c r="P687" s="39" t="n">
        <f aca="false">J687*Resumo!$C$8</f>
        <v>0.7371</v>
      </c>
      <c r="Q687" s="39" t="n">
        <f aca="false">Resumo!$C$10*CEILING(I687/100,1)</f>
        <v>1.05</v>
      </c>
      <c r="R687" s="39" t="n">
        <f aca="false">Resumo!$C$9</f>
        <v>0</v>
      </c>
      <c r="S687" s="39" t="n">
        <f aca="false">Resumo!$C$13</f>
        <v>13.55</v>
      </c>
      <c r="T687" s="39" t="n">
        <f aca="false">Resumo!$C$14*CEILING(I687,1)</f>
        <v>9</v>
      </c>
      <c r="U687" s="39" t="n">
        <f aca="false">SUM(M687:T687)*Resumo!$C$11</f>
        <v>0</v>
      </c>
      <c r="V687" s="39" t="n">
        <f aca="false">SUM(M687:U687)</f>
        <v>67.7942</v>
      </c>
      <c r="W687" s="39" t="n">
        <f aca="false">V687/(1-Resumo!$C$5)</f>
        <v>77.0388636363636</v>
      </c>
      <c r="X687" s="39" t="n">
        <v>46.98</v>
      </c>
      <c r="Y687" s="39" t="n">
        <f aca="false">J687*Resumo!$B$6</f>
        <v>0.351</v>
      </c>
      <c r="Z687" s="39" t="n">
        <f aca="false">J687*Resumo!$B$7</f>
        <v>0.702</v>
      </c>
      <c r="AA687" s="39" t="n">
        <f aca="false">Resumo!$B$9</f>
        <v>1</v>
      </c>
      <c r="AB687" s="39" t="n">
        <f aca="false">Resumo!$B$10*CEILING(I687/100,1)</f>
        <v>4.5</v>
      </c>
      <c r="AC687" s="39" t="n">
        <f aca="false">Resumo!$B$12*CEILING(I687,1)</f>
        <v>1.2</v>
      </c>
      <c r="AD687" s="39" t="n">
        <f aca="false">Resumo!$B$14*CEILING(I687,1)</f>
        <v>9</v>
      </c>
      <c r="AE687" s="39" t="n">
        <f aca="false">SUM(X687:AD687)</f>
        <v>63.733</v>
      </c>
      <c r="AF687" s="39" t="n">
        <f aca="false">AE687/(1-Resumo!$B$5)</f>
        <v>72.4238636363636</v>
      </c>
      <c r="AG687" s="39" t="n">
        <f aca="false">AF687-W687</f>
        <v>-4.615</v>
      </c>
      <c r="AH687" s="40" t="n">
        <f aca="false">AF687/W687-1</f>
        <v>-0.0599048296166929</v>
      </c>
      <c r="AI687" s="37" t="str">
        <f aca="false">IF(AF687&lt;W687,"SIM","NÃO")</f>
        <v>SIM</v>
      </c>
      <c r="AJ687" s="37" t="n">
        <v>2</v>
      </c>
      <c r="AK687" s="37" t="n">
        <v>5</v>
      </c>
      <c r="AL687" s="37" t="s">
        <v>343</v>
      </c>
      <c r="AM687" s="39" t="n">
        <v>75.52</v>
      </c>
    </row>
    <row r="688" customFormat="false" ht="15" hidden="false" customHeight="false" outlineLevel="0" collapsed="false">
      <c r="A688" s="37" t="n">
        <v>373150701</v>
      </c>
      <c r="B688" s="38" t="n">
        <v>46242.0042476852</v>
      </c>
      <c r="C688" s="37" t="s">
        <v>340</v>
      </c>
      <c r="D688" s="37" t="s">
        <v>1013</v>
      </c>
      <c r="E688" s="37" t="n">
        <v>26165340</v>
      </c>
      <c r="F688" s="37" t="s">
        <v>165</v>
      </c>
      <c r="G688" s="37" t="s">
        <v>197</v>
      </c>
      <c r="H688" s="37" t="s">
        <v>187</v>
      </c>
      <c r="I688" s="37" t="n">
        <v>52.3</v>
      </c>
      <c r="J688" s="39" t="n">
        <v>616.99</v>
      </c>
      <c r="K688" s="37" t="s">
        <v>518</v>
      </c>
      <c r="L688" s="39" t="n">
        <v>127.31</v>
      </c>
      <c r="M688" s="39" t="n">
        <v>70.98</v>
      </c>
      <c r="N688" s="39" t="n">
        <f aca="false">J688*Resumo!$C$6</f>
        <v>0</v>
      </c>
      <c r="O688" s="39" t="n">
        <f aca="false">J688*Resumo!$C$7</f>
        <v>1.295679</v>
      </c>
      <c r="P688" s="39" t="n">
        <f aca="false">J688*Resumo!$C$8</f>
        <v>1.295679</v>
      </c>
      <c r="Q688" s="39" t="n">
        <f aca="false">Resumo!$C$10*CEILING(I688/100,1)</f>
        <v>1.05</v>
      </c>
      <c r="R688" s="39" t="n">
        <f aca="false">Resumo!$C$9</f>
        <v>0</v>
      </c>
      <c r="S688" s="39" t="n">
        <f aca="false">Resumo!$C$13</f>
        <v>13.55</v>
      </c>
      <c r="T688" s="39" t="n">
        <f aca="false">Resumo!$C$14*CEILING(I688,1)</f>
        <v>23.85</v>
      </c>
      <c r="U688" s="39" t="n">
        <f aca="false">SUM(M688:T688)*Resumo!$C$11</f>
        <v>0</v>
      </c>
      <c r="V688" s="39" t="n">
        <f aca="false">SUM(M688:U688)</f>
        <v>112.021358</v>
      </c>
      <c r="W688" s="39" t="n">
        <f aca="false">V688/(1-Resumo!$C$5)</f>
        <v>127.296997727273</v>
      </c>
      <c r="X688" s="39" t="n">
        <v>112.3</v>
      </c>
      <c r="Y688" s="39" t="n">
        <f aca="false">J688*Resumo!$B$6</f>
        <v>0.61699</v>
      </c>
      <c r="Z688" s="39" t="n">
        <f aca="false">J688*Resumo!$B$7</f>
        <v>1.23398</v>
      </c>
      <c r="AA688" s="39" t="n">
        <f aca="false">Resumo!$B$9</f>
        <v>1</v>
      </c>
      <c r="AB688" s="39" t="n">
        <f aca="false">Resumo!$B$10*CEILING(I688/100,1)</f>
        <v>4.5</v>
      </c>
      <c r="AC688" s="39" t="n">
        <f aca="false">Resumo!$B$12*CEILING(I688,1)</f>
        <v>3.18</v>
      </c>
      <c r="AD688" s="39" t="n">
        <f aca="false">Resumo!$B$14*CEILING(I688,1)</f>
        <v>23.85</v>
      </c>
      <c r="AE688" s="39" t="n">
        <f aca="false">SUM(X688:AD688)</f>
        <v>146.68097</v>
      </c>
      <c r="AF688" s="39" t="n">
        <f aca="false">AE688/(1-Resumo!$B$5)</f>
        <v>166.682920454545</v>
      </c>
      <c r="AG688" s="39" t="n">
        <f aca="false">AF688-W688</f>
        <v>39.3859227272727</v>
      </c>
      <c r="AH688" s="40" t="n">
        <f aca="false">AF688/W688-1</f>
        <v>0.309401819606579</v>
      </c>
      <c r="AI688" s="37" t="str">
        <f aca="false">IF(AF688&lt;W688,"SIM","NÃO")</f>
        <v>NÃO</v>
      </c>
      <c r="AJ688" s="37" t="n">
        <v>2</v>
      </c>
      <c r="AK688" s="37" t="n">
        <v>5</v>
      </c>
      <c r="AL688" s="37" t="s">
        <v>343</v>
      </c>
      <c r="AM688" s="39" t="n">
        <v>128.24</v>
      </c>
    </row>
    <row r="689" customFormat="false" ht="15" hidden="false" customHeight="false" outlineLevel="0" collapsed="false">
      <c r="A689" s="37" t="n">
        <v>373151042</v>
      </c>
      <c r="B689" s="38" t="n">
        <v>46242.0045023148</v>
      </c>
      <c r="C689" s="37" t="s">
        <v>340</v>
      </c>
      <c r="D689" s="37" t="s">
        <v>483</v>
      </c>
      <c r="E689" s="37" t="n">
        <v>24754190</v>
      </c>
      <c r="F689" s="37" t="s">
        <v>160</v>
      </c>
      <c r="G689" s="37" t="s">
        <v>197</v>
      </c>
      <c r="H689" s="37" t="s">
        <v>187</v>
      </c>
      <c r="I689" s="37" t="n">
        <v>55</v>
      </c>
      <c r="J689" s="39" t="n">
        <v>759.98</v>
      </c>
      <c r="K689" s="37" t="s">
        <v>518</v>
      </c>
      <c r="L689" s="39" t="n">
        <v>129.01</v>
      </c>
      <c r="M689" s="39" t="n">
        <v>70.98</v>
      </c>
      <c r="N689" s="39" t="n">
        <f aca="false">J689*Resumo!$C$6</f>
        <v>0</v>
      </c>
      <c r="O689" s="39" t="n">
        <f aca="false">J689*Resumo!$C$7</f>
        <v>1.595958</v>
      </c>
      <c r="P689" s="39" t="n">
        <f aca="false">J689*Resumo!$C$8</f>
        <v>1.595958</v>
      </c>
      <c r="Q689" s="39" t="n">
        <f aca="false">Resumo!$C$10*CEILING(I689/100,1)</f>
        <v>1.05</v>
      </c>
      <c r="R689" s="39" t="n">
        <f aca="false">Resumo!$C$9</f>
        <v>0</v>
      </c>
      <c r="S689" s="39" t="n">
        <f aca="false">Resumo!$C$13</f>
        <v>13.55</v>
      </c>
      <c r="T689" s="39" t="n">
        <f aca="false">Resumo!$C$14*CEILING(I689,1)</f>
        <v>24.75</v>
      </c>
      <c r="U689" s="39" t="n">
        <f aca="false">SUM(M689:T689)*Resumo!$C$11</f>
        <v>0</v>
      </c>
      <c r="V689" s="39" t="n">
        <f aca="false">SUM(M689:U689)</f>
        <v>113.521916</v>
      </c>
      <c r="W689" s="39" t="n">
        <f aca="false">V689/(1-Resumo!$C$5)</f>
        <v>129.002177272727</v>
      </c>
      <c r="X689" s="39" t="n">
        <v>128.14</v>
      </c>
      <c r="Y689" s="39" t="n">
        <f aca="false">J689*Resumo!$B$6</f>
        <v>0.75998</v>
      </c>
      <c r="Z689" s="39" t="n">
        <f aca="false">J689*Resumo!$B$7</f>
        <v>1.51996</v>
      </c>
      <c r="AA689" s="39" t="n">
        <f aca="false">Resumo!$B$9</f>
        <v>1</v>
      </c>
      <c r="AB689" s="39" t="n">
        <f aca="false">Resumo!$B$10*CEILING(I689/100,1)</f>
        <v>4.5</v>
      </c>
      <c r="AC689" s="39" t="n">
        <f aca="false">Resumo!$B$12*CEILING(I689,1)</f>
        <v>3.3</v>
      </c>
      <c r="AD689" s="39" t="n">
        <f aca="false">Resumo!$B$14*CEILING(I689,1)</f>
        <v>24.75</v>
      </c>
      <c r="AE689" s="39" t="n">
        <f aca="false">SUM(X689:AD689)</f>
        <v>163.96994</v>
      </c>
      <c r="AF689" s="39" t="n">
        <f aca="false">AE689/(1-Resumo!$B$5)</f>
        <v>186.329477272727</v>
      </c>
      <c r="AG689" s="39" t="n">
        <f aca="false">AF689-W689</f>
        <v>57.3273</v>
      </c>
      <c r="AH689" s="40" t="n">
        <f aca="false">AF689/W689-1</f>
        <v>0.444390173964294</v>
      </c>
      <c r="AI689" s="37" t="str">
        <f aca="false">IF(AF689&lt;W689,"SIM","NÃO")</f>
        <v>NÃO</v>
      </c>
      <c r="AJ689" s="37" t="n">
        <v>2</v>
      </c>
      <c r="AK689" s="37" t="n">
        <v>7</v>
      </c>
      <c r="AL689" s="37" t="s">
        <v>343</v>
      </c>
      <c r="AM689" s="39" t="n">
        <v>128.93</v>
      </c>
    </row>
    <row r="690" customFormat="false" ht="15" hidden="false" customHeight="false" outlineLevel="0" collapsed="false">
      <c r="A690" s="37" t="n">
        <v>373154387</v>
      </c>
      <c r="B690" s="38" t="n">
        <v>46242.0080324074</v>
      </c>
      <c r="C690" s="37" t="s">
        <v>340</v>
      </c>
      <c r="D690" s="37" t="s">
        <v>1014</v>
      </c>
      <c r="E690" s="37" t="n">
        <v>25575080</v>
      </c>
      <c r="F690" s="37" t="s">
        <v>167</v>
      </c>
      <c r="G690" s="37" t="s">
        <v>197</v>
      </c>
      <c r="H690" s="37" t="s">
        <v>185</v>
      </c>
      <c r="I690" s="37" t="n">
        <v>39</v>
      </c>
      <c r="J690" s="39" t="n">
        <v>759.98</v>
      </c>
      <c r="K690" s="37" t="s">
        <v>518</v>
      </c>
      <c r="L690" s="39" t="n">
        <v>116.11</v>
      </c>
      <c r="M690" s="39" t="n">
        <v>66.83</v>
      </c>
      <c r="N690" s="39" t="n">
        <f aca="false">J690*Resumo!$C$6</f>
        <v>0</v>
      </c>
      <c r="O690" s="39" t="n">
        <f aca="false">J690*Resumo!$C$7</f>
        <v>1.595958</v>
      </c>
      <c r="P690" s="39" t="n">
        <f aca="false">J690*Resumo!$C$8</f>
        <v>1.595958</v>
      </c>
      <c r="Q690" s="39" t="n">
        <f aca="false">Resumo!$C$10*CEILING(I690/100,1)</f>
        <v>1.05</v>
      </c>
      <c r="R690" s="39" t="n">
        <f aca="false">Resumo!$C$9</f>
        <v>0</v>
      </c>
      <c r="S690" s="39" t="n">
        <f aca="false">Resumo!$C$13</f>
        <v>13.55</v>
      </c>
      <c r="T690" s="39" t="n">
        <f aca="false">Resumo!$C$14*CEILING(I690,1)</f>
        <v>17.55</v>
      </c>
      <c r="U690" s="39" t="n">
        <f aca="false">SUM(M690:T690)*Resumo!$C$11</f>
        <v>0</v>
      </c>
      <c r="V690" s="39" t="n">
        <f aca="false">SUM(M690:U690)</f>
        <v>102.171916</v>
      </c>
      <c r="W690" s="39" t="n">
        <f aca="false">V690/(1-Resumo!$C$5)</f>
        <v>116.10445</v>
      </c>
      <c r="X690" s="39" t="n">
        <v>93.97</v>
      </c>
      <c r="Y690" s="39" t="n">
        <f aca="false">J690*Resumo!$B$6</f>
        <v>0.75998</v>
      </c>
      <c r="Z690" s="39" t="n">
        <f aca="false">J690*Resumo!$B$7</f>
        <v>1.51996</v>
      </c>
      <c r="AA690" s="39" t="n">
        <f aca="false">Resumo!$B$9</f>
        <v>1</v>
      </c>
      <c r="AB690" s="39" t="n">
        <f aca="false">Resumo!$B$10*CEILING(I690/100,1)</f>
        <v>4.5</v>
      </c>
      <c r="AC690" s="39" t="n">
        <f aca="false">Resumo!$B$12*CEILING(I690,1)</f>
        <v>2.34</v>
      </c>
      <c r="AD690" s="39" t="n">
        <f aca="false">Resumo!$B$14*CEILING(I690,1)</f>
        <v>17.55</v>
      </c>
      <c r="AE690" s="39" t="n">
        <f aca="false">SUM(X690:AD690)</f>
        <v>121.63994</v>
      </c>
      <c r="AF690" s="39" t="n">
        <f aca="false">AE690/(1-Resumo!$B$5)</f>
        <v>138.227204545455</v>
      </c>
      <c r="AG690" s="39" t="n">
        <f aca="false">AF690-W690</f>
        <v>22.1227545454545</v>
      </c>
      <c r="AH690" s="40" t="n">
        <f aca="false">AF690/W690-1</f>
        <v>0.190541831475491</v>
      </c>
      <c r="AI690" s="37" t="str">
        <f aca="false">IF(AF690&lt;W690,"SIM","NÃO")</f>
        <v>NÃO</v>
      </c>
      <c r="AJ690" s="37" t="n">
        <v>2</v>
      </c>
      <c r="AK690" s="37" t="n">
        <v>5</v>
      </c>
      <c r="AL690" s="37" t="s">
        <v>343</v>
      </c>
      <c r="AM690" s="39" t="n">
        <v>114.6</v>
      </c>
    </row>
    <row r="691" customFormat="false" ht="15" hidden="false" customHeight="false" outlineLevel="0" collapsed="false">
      <c r="A691" s="37" t="n">
        <v>373163300</v>
      </c>
      <c r="B691" s="38" t="n">
        <v>46242.0198032407</v>
      </c>
      <c r="C691" s="37" t="s">
        <v>340</v>
      </c>
      <c r="D691" s="37" t="s">
        <v>1015</v>
      </c>
      <c r="E691" s="37" t="n">
        <v>21050424</v>
      </c>
      <c r="F691" s="37" t="s">
        <v>159</v>
      </c>
      <c r="G691" s="37" t="s">
        <v>196</v>
      </c>
      <c r="H691" s="37" t="s">
        <v>185</v>
      </c>
      <c r="I691" s="37" t="n">
        <v>37.6</v>
      </c>
      <c r="J691" s="39" t="n">
        <v>378.99</v>
      </c>
      <c r="K691" s="37" t="s">
        <v>342</v>
      </c>
      <c r="L691" s="39" t="n">
        <v>91.68</v>
      </c>
      <c r="M691" s="39" t="n">
        <v>48.35</v>
      </c>
      <c r="N691" s="39" t="n">
        <f aca="false">J691*Resumo!$C$6</f>
        <v>0</v>
      </c>
      <c r="O691" s="39" t="n">
        <f aca="false">J691*Resumo!$C$7</f>
        <v>0.795879</v>
      </c>
      <c r="P691" s="39" t="n">
        <f aca="false">J691*Resumo!$C$8</f>
        <v>0.795879</v>
      </c>
      <c r="Q691" s="39" t="n">
        <f aca="false">Resumo!$C$10*CEILING(I691/100,1)</f>
        <v>1.05</v>
      </c>
      <c r="R691" s="39" t="n">
        <f aca="false">Resumo!$C$9</f>
        <v>0</v>
      </c>
      <c r="S691" s="39" t="n">
        <f aca="false">Resumo!$C$13</f>
        <v>13.55</v>
      </c>
      <c r="T691" s="39" t="n">
        <f aca="false">Resumo!$C$14*CEILING(I691,1)</f>
        <v>17.1</v>
      </c>
      <c r="U691" s="39" t="n">
        <f aca="false">SUM(M691:T691)*Resumo!$C$11</f>
        <v>0</v>
      </c>
      <c r="V691" s="39" t="n">
        <f aca="false">SUM(M691:U691)</f>
        <v>81.641758</v>
      </c>
      <c r="W691" s="39" t="n">
        <f aca="false">V691/(1-Resumo!$C$5)</f>
        <v>92.774725</v>
      </c>
      <c r="X691" s="39" t="n">
        <v>93.97</v>
      </c>
      <c r="Y691" s="39" t="n">
        <f aca="false">J691*Resumo!$B$6</f>
        <v>0.37899</v>
      </c>
      <c r="Z691" s="39" t="n">
        <f aca="false">J691*Resumo!$B$7</f>
        <v>0.75798</v>
      </c>
      <c r="AA691" s="39" t="n">
        <f aca="false">Resumo!$B$9</f>
        <v>1</v>
      </c>
      <c r="AB691" s="39" t="n">
        <f aca="false">Resumo!$B$10*CEILING(I691/100,1)</f>
        <v>4.5</v>
      </c>
      <c r="AC691" s="39" t="n">
        <f aca="false">Resumo!$B$12*CEILING(I691,1)</f>
        <v>2.28</v>
      </c>
      <c r="AD691" s="39" t="n">
        <f aca="false">Resumo!$B$14*CEILING(I691,1)</f>
        <v>17.1</v>
      </c>
      <c r="AE691" s="39" t="n">
        <f aca="false">SUM(X691:AD691)</f>
        <v>119.98697</v>
      </c>
      <c r="AF691" s="39" t="n">
        <f aca="false">AE691/(1-Resumo!$B$5)</f>
        <v>136.348829545455</v>
      </c>
      <c r="AG691" s="39" t="n">
        <f aca="false">AF691-W691</f>
        <v>43.5741045454545</v>
      </c>
      <c r="AH691" s="40" t="n">
        <f aca="false">AF691/W691-1</f>
        <v>0.469676461401039</v>
      </c>
      <c r="AI691" s="37" t="str">
        <f aca="false">IF(AF691&lt;W691,"SIM","NÃO")</f>
        <v>NÃO</v>
      </c>
      <c r="AJ691" s="37" t="n">
        <v>2</v>
      </c>
      <c r="AK691" s="37" t="n">
        <v>5</v>
      </c>
      <c r="AL691" s="37" t="s">
        <v>343</v>
      </c>
      <c r="AM691" s="39" t="n">
        <v>91.67</v>
      </c>
    </row>
    <row r="692" customFormat="false" ht="15" hidden="false" customHeight="false" outlineLevel="0" collapsed="false">
      <c r="A692" s="37" t="n">
        <v>373164643</v>
      </c>
      <c r="B692" s="38" t="n">
        <v>46242.022037037</v>
      </c>
      <c r="C692" s="37" t="s">
        <v>340</v>
      </c>
      <c r="D692" s="37" t="s">
        <v>1016</v>
      </c>
      <c r="E692" s="37" t="n">
        <v>24461590</v>
      </c>
      <c r="F692" s="37" t="s">
        <v>160</v>
      </c>
      <c r="G692" s="37" t="s">
        <v>197</v>
      </c>
      <c r="H692" s="37" t="s">
        <v>187</v>
      </c>
      <c r="I692" s="37" t="n">
        <v>59.9</v>
      </c>
      <c r="J692" s="39" t="n">
        <v>874</v>
      </c>
      <c r="K692" s="37" t="s">
        <v>518</v>
      </c>
      <c r="L692" s="39" t="n">
        <v>132.11</v>
      </c>
      <c r="M692" s="39" t="n">
        <v>70.98</v>
      </c>
      <c r="N692" s="39" t="n">
        <f aca="false">J692*Resumo!$C$6</f>
        <v>0</v>
      </c>
      <c r="O692" s="39" t="n">
        <f aca="false">J692*Resumo!$C$7</f>
        <v>1.8354</v>
      </c>
      <c r="P692" s="39" t="n">
        <f aca="false">J692*Resumo!$C$8</f>
        <v>1.8354</v>
      </c>
      <c r="Q692" s="39" t="n">
        <f aca="false">Resumo!$C$10*CEILING(I692/100,1)</f>
        <v>1.05</v>
      </c>
      <c r="R692" s="39" t="n">
        <f aca="false">Resumo!$C$9</f>
        <v>0</v>
      </c>
      <c r="S692" s="39" t="n">
        <f aca="false">Resumo!$C$13</f>
        <v>13.55</v>
      </c>
      <c r="T692" s="39" t="n">
        <f aca="false">Resumo!$C$14*CEILING(I692,1)</f>
        <v>27</v>
      </c>
      <c r="U692" s="39" t="n">
        <f aca="false">SUM(M692:T692)*Resumo!$C$11</f>
        <v>0</v>
      </c>
      <c r="V692" s="39" t="n">
        <f aca="false">SUM(M692:U692)</f>
        <v>116.2508</v>
      </c>
      <c r="W692" s="39" t="n">
        <f aca="false">V692/(1-Resumo!$C$5)</f>
        <v>132.103181818182</v>
      </c>
      <c r="X692" s="39" t="n">
        <v>128.14</v>
      </c>
      <c r="Y692" s="39" t="n">
        <f aca="false">J692*Resumo!$B$6</f>
        <v>0.874</v>
      </c>
      <c r="Z692" s="39" t="n">
        <f aca="false">J692*Resumo!$B$7</f>
        <v>1.748</v>
      </c>
      <c r="AA692" s="39" t="n">
        <f aca="false">Resumo!$B$9</f>
        <v>1</v>
      </c>
      <c r="AB692" s="39" t="n">
        <f aca="false">Resumo!$B$10*CEILING(I692/100,1)</f>
        <v>4.5</v>
      </c>
      <c r="AC692" s="39" t="n">
        <f aca="false">Resumo!$B$12*CEILING(I692,1)</f>
        <v>3.6</v>
      </c>
      <c r="AD692" s="39" t="n">
        <f aca="false">Resumo!$B$14*CEILING(I692,1)</f>
        <v>27</v>
      </c>
      <c r="AE692" s="39" t="n">
        <f aca="false">SUM(X692:AD692)</f>
        <v>166.862</v>
      </c>
      <c r="AF692" s="39" t="n">
        <f aca="false">AE692/(1-Resumo!$B$5)</f>
        <v>189.615909090909</v>
      </c>
      <c r="AG692" s="39" t="n">
        <f aca="false">AF692-W692</f>
        <v>57.5127272727273</v>
      </c>
      <c r="AH692" s="40" t="n">
        <f aca="false">AF692/W692-1</f>
        <v>0.435362165249615</v>
      </c>
      <c r="AI692" s="37" t="str">
        <f aca="false">IF(AF692&lt;W692,"SIM","NÃO")</f>
        <v>NÃO</v>
      </c>
      <c r="AJ692" s="37" t="n">
        <v>2</v>
      </c>
      <c r="AK692" s="37" t="n">
        <v>7</v>
      </c>
      <c r="AL692" s="37" t="s">
        <v>343</v>
      </c>
      <c r="AM692" s="39" t="n">
        <v>129.47</v>
      </c>
    </row>
    <row r="693" customFormat="false" ht="15" hidden="false" customHeight="false" outlineLevel="0" collapsed="false">
      <c r="A693" s="37" t="n">
        <v>373159571</v>
      </c>
      <c r="B693" s="38" t="n">
        <v>46242.0246759259</v>
      </c>
      <c r="C693" s="37" t="s">
        <v>361</v>
      </c>
      <c r="D693" s="37" t="s">
        <v>1017</v>
      </c>
      <c r="E693" s="37" t="n">
        <v>23042330</v>
      </c>
      <c r="F693" s="37" t="s">
        <v>159</v>
      </c>
      <c r="G693" s="37" t="s">
        <v>196</v>
      </c>
      <c r="H693" s="37" t="s">
        <v>184</v>
      </c>
      <c r="I693" s="37" t="n">
        <v>22.6</v>
      </c>
      <c r="J693" s="39" t="n">
        <v>559.99</v>
      </c>
      <c r="K693" s="37" t="s">
        <v>518</v>
      </c>
      <c r="L693" s="39" t="n">
        <v>78.89</v>
      </c>
      <c r="M693" s="39" t="n">
        <v>42.11</v>
      </c>
      <c r="N693" s="39" t="n">
        <f aca="false">J693*Resumo!$C$6</f>
        <v>0</v>
      </c>
      <c r="O693" s="39" t="n">
        <f aca="false">J693*Resumo!$C$7</f>
        <v>1.175979</v>
      </c>
      <c r="P693" s="39" t="n">
        <f aca="false">J693*Resumo!$C$8</f>
        <v>1.175979</v>
      </c>
      <c r="Q693" s="39" t="n">
        <f aca="false">Resumo!$C$10*CEILING(I693/100,1)</f>
        <v>1.05</v>
      </c>
      <c r="R693" s="39" t="n">
        <f aca="false">Resumo!$C$9</f>
        <v>0</v>
      </c>
      <c r="S693" s="39" t="n">
        <f aca="false">Resumo!$C$13</f>
        <v>13.55</v>
      </c>
      <c r="T693" s="39" t="n">
        <f aca="false">Resumo!$C$14*CEILING(I693,1)</f>
        <v>10.35</v>
      </c>
      <c r="U693" s="39" t="n">
        <f aca="false">SUM(M693:T693)*Resumo!$C$11</f>
        <v>0</v>
      </c>
      <c r="V693" s="39" t="n">
        <f aca="false">SUM(M693:U693)</f>
        <v>69.411958</v>
      </c>
      <c r="W693" s="39" t="n">
        <f aca="false">V693/(1-Resumo!$C$5)</f>
        <v>78.877225</v>
      </c>
      <c r="X693" s="39" t="n">
        <v>82.21</v>
      </c>
      <c r="Y693" s="39" t="n">
        <f aca="false">J693*Resumo!$B$6</f>
        <v>0.55999</v>
      </c>
      <c r="Z693" s="39" t="n">
        <f aca="false">J693*Resumo!$B$7</f>
        <v>1.11998</v>
      </c>
      <c r="AA693" s="39" t="n">
        <f aca="false">Resumo!$B$9</f>
        <v>1</v>
      </c>
      <c r="AB693" s="39" t="n">
        <f aca="false">Resumo!$B$10*CEILING(I693/100,1)</f>
        <v>4.5</v>
      </c>
      <c r="AC693" s="39" t="n">
        <f aca="false">Resumo!$B$12*CEILING(I693,1)</f>
        <v>1.38</v>
      </c>
      <c r="AD693" s="39" t="n">
        <f aca="false">Resumo!$B$14*CEILING(I693,1)</f>
        <v>10.35</v>
      </c>
      <c r="AE693" s="39" t="n">
        <f aca="false">SUM(X693:AD693)</f>
        <v>101.11997</v>
      </c>
      <c r="AF693" s="39" t="n">
        <f aca="false">AE693/(1-Resumo!$B$5)</f>
        <v>114.909056818182</v>
      </c>
      <c r="AG693" s="39" t="n">
        <f aca="false">AF693-W693</f>
        <v>36.0318318181818</v>
      </c>
      <c r="AH693" s="40" t="n">
        <f aca="false">AF693/W693-1</f>
        <v>0.456809070275759</v>
      </c>
      <c r="AI693" s="37" t="str">
        <f aca="false">IF(AF693&lt;W693,"SIM","NÃO")</f>
        <v>NÃO</v>
      </c>
      <c r="AJ693" s="37" t="n">
        <v>2</v>
      </c>
      <c r="AK693" s="37" t="n">
        <v>5</v>
      </c>
      <c r="AL693" s="37" t="s">
        <v>343</v>
      </c>
      <c r="AM693" s="39" t="n">
        <v>83.01</v>
      </c>
    </row>
    <row r="694" customFormat="false" ht="15" hidden="false" customHeight="false" outlineLevel="0" collapsed="false">
      <c r="A694" s="37" t="n">
        <v>373169165</v>
      </c>
      <c r="B694" s="38" t="n">
        <v>46242.0295949074</v>
      </c>
      <c r="C694" s="37" t="s">
        <v>340</v>
      </c>
      <c r="D694" s="37" t="s">
        <v>1018</v>
      </c>
      <c r="E694" s="37" t="n">
        <v>25225660</v>
      </c>
      <c r="F694" s="37" t="s">
        <v>161</v>
      </c>
      <c r="G694" s="37" t="s">
        <v>197</v>
      </c>
      <c r="H694" s="37" t="s">
        <v>188</v>
      </c>
      <c r="I694" s="37" t="n">
        <v>63</v>
      </c>
      <c r="J694" s="39" t="n">
        <v>789.99</v>
      </c>
      <c r="K694" s="37" t="s">
        <v>342</v>
      </c>
      <c r="L694" s="39" t="n">
        <v>140.22</v>
      </c>
      <c r="M694" s="39" t="n">
        <v>76.55</v>
      </c>
      <c r="N694" s="39" t="n">
        <f aca="false">J694*Resumo!$C$6</f>
        <v>0</v>
      </c>
      <c r="O694" s="39" t="n">
        <f aca="false">J694*Resumo!$C$7</f>
        <v>1.658979</v>
      </c>
      <c r="P694" s="39" t="n">
        <f aca="false">J694*Resumo!$C$8</f>
        <v>1.658979</v>
      </c>
      <c r="Q694" s="39" t="n">
        <f aca="false">Resumo!$C$10*CEILING(I694/100,1)</f>
        <v>1.05</v>
      </c>
      <c r="R694" s="39" t="n">
        <f aca="false">Resumo!$C$9</f>
        <v>0</v>
      </c>
      <c r="S694" s="39" t="n">
        <f aca="false">Resumo!$C$13</f>
        <v>13.55</v>
      </c>
      <c r="T694" s="39" t="n">
        <f aca="false">Resumo!$C$14*CEILING(I694,1)</f>
        <v>28.35</v>
      </c>
      <c r="U694" s="39" t="n">
        <f aca="false">SUM(M694:T694)*Resumo!$C$11</f>
        <v>0</v>
      </c>
      <c r="V694" s="39" t="n">
        <f aca="false">SUM(M694:U694)</f>
        <v>122.817958</v>
      </c>
      <c r="W694" s="39" t="n">
        <f aca="false">V694/(1-Resumo!$C$5)</f>
        <v>139.565861363636</v>
      </c>
      <c r="X694" s="39" t="n">
        <v>131.02</v>
      </c>
      <c r="Y694" s="39" t="n">
        <f aca="false">J694*Resumo!$B$6</f>
        <v>0.78999</v>
      </c>
      <c r="Z694" s="39" t="n">
        <f aca="false">J694*Resumo!$B$7</f>
        <v>1.57998</v>
      </c>
      <c r="AA694" s="39" t="n">
        <f aca="false">Resumo!$B$9</f>
        <v>1</v>
      </c>
      <c r="AB694" s="39" t="n">
        <f aca="false">Resumo!$B$10*CEILING(I694/100,1)</f>
        <v>4.5</v>
      </c>
      <c r="AC694" s="39" t="n">
        <f aca="false">Resumo!$B$12*CEILING(I694,1)</f>
        <v>3.78</v>
      </c>
      <c r="AD694" s="39" t="n">
        <f aca="false">Resumo!$B$14*CEILING(I694,1)</f>
        <v>28.35</v>
      </c>
      <c r="AE694" s="39" t="n">
        <f aca="false">SUM(X694:AD694)</f>
        <v>171.01997</v>
      </c>
      <c r="AF694" s="39" t="n">
        <f aca="false">AE694/(1-Resumo!$B$5)</f>
        <v>194.340875</v>
      </c>
      <c r="AG694" s="39" t="n">
        <f aca="false">AF694-W694</f>
        <v>54.7750136363636</v>
      </c>
      <c r="AH694" s="40" t="n">
        <f aca="false">AF694/W694-1</f>
        <v>0.392467134162905</v>
      </c>
      <c r="AI694" s="37" t="str">
        <f aca="false">IF(AF694&lt;W694,"SIM","NÃO")</f>
        <v>NÃO</v>
      </c>
      <c r="AJ694" s="37" t="n">
        <v>2</v>
      </c>
      <c r="AK694" s="37" t="n">
        <v>5</v>
      </c>
      <c r="AL694" s="37" t="s">
        <v>343</v>
      </c>
      <c r="AM694" s="39" t="n">
        <v>140.22</v>
      </c>
    </row>
    <row r="695" customFormat="false" ht="15" hidden="false" customHeight="false" outlineLevel="0" collapsed="false">
      <c r="A695" s="37" t="n">
        <v>373169425</v>
      </c>
      <c r="B695" s="38" t="n">
        <v>46242.029849537</v>
      </c>
      <c r="C695" s="37" t="s">
        <v>345</v>
      </c>
      <c r="D695" s="37" t="s">
        <v>1019</v>
      </c>
      <c r="E695" s="37" t="n">
        <v>26515020</v>
      </c>
      <c r="F695" s="37" t="s">
        <v>238</v>
      </c>
      <c r="G695" s="37" t="s">
        <v>197</v>
      </c>
      <c r="H695" s="37" t="s">
        <v>188</v>
      </c>
      <c r="I695" s="37" t="n">
        <v>66.8</v>
      </c>
      <c r="J695" s="39" t="n">
        <v>609.99</v>
      </c>
      <c r="K695" s="37" t="s">
        <v>518</v>
      </c>
      <c r="L695" s="39" t="n">
        <v>140.75</v>
      </c>
      <c r="M695" s="39" t="n">
        <v>76.55</v>
      </c>
      <c r="N695" s="39" t="n">
        <f aca="false">J695*Resumo!$C$6</f>
        <v>0</v>
      </c>
      <c r="O695" s="39" t="n">
        <f aca="false">J695*Resumo!$C$7</f>
        <v>1.280979</v>
      </c>
      <c r="P695" s="39" t="n">
        <f aca="false">J695*Resumo!$C$8</f>
        <v>1.280979</v>
      </c>
      <c r="Q695" s="39" t="n">
        <f aca="false">Resumo!$C$10*CEILING(I695/100,1)</f>
        <v>1.05</v>
      </c>
      <c r="R695" s="39" t="n">
        <f aca="false">Resumo!$C$9</f>
        <v>0</v>
      </c>
      <c r="S695" s="39" t="n">
        <f aca="false">Resumo!$C$13</f>
        <v>13.55</v>
      </c>
      <c r="T695" s="39" t="n">
        <f aca="false">Resumo!$C$14*CEILING(I695,1)</f>
        <v>30.15</v>
      </c>
      <c r="U695" s="39" t="n">
        <f aca="false">SUM(M695:T695)*Resumo!$C$11</f>
        <v>0</v>
      </c>
      <c r="V695" s="39" t="n">
        <f aca="false">SUM(M695:U695)</f>
        <v>123.861958</v>
      </c>
      <c r="W695" s="39" t="n">
        <f aca="false">V695/(1-Resumo!$C$5)</f>
        <v>140.752225</v>
      </c>
      <c r="X695" s="39" t="n">
        <v>131.02</v>
      </c>
      <c r="Y695" s="39" t="n">
        <f aca="false">J695*Resumo!$B$6</f>
        <v>0.60999</v>
      </c>
      <c r="Z695" s="39" t="n">
        <f aca="false">J695*Resumo!$B$7</f>
        <v>1.21998</v>
      </c>
      <c r="AA695" s="39" t="n">
        <f aca="false">Resumo!$B$9</f>
        <v>1</v>
      </c>
      <c r="AB695" s="39" t="n">
        <f aca="false">Resumo!$B$10*CEILING(I695/100,1)</f>
        <v>4.5</v>
      </c>
      <c r="AC695" s="39" t="n">
        <f aca="false">Resumo!$B$12*CEILING(I695,1)</f>
        <v>4.02</v>
      </c>
      <c r="AD695" s="39" t="n">
        <f aca="false">Resumo!$B$14*CEILING(I695,1)</f>
        <v>30.15</v>
      </c>
      <c r="AE695" s="39" t="n">
        <f aca="false">SUM(X695:AD695)</f>
        <v>172.51997</v>
      </c>
      <c r="AF695" s="39" t="n">
        <f aca="false">AE695/(1-Resumo!$B$5)</f>
        <v>196.045420454545</v>
      </c>
      <c r="AG695" s="39" t="n">
        <f aca="false">AF695-W695</f>
        <v>55.2931954545455</v>
      </c>
      <c r="AH695" s="40" t="n">
        <f aca="false">AF695/W695-1</f>
        <v>0.39284064926537</v>
      </c>
      <c r="AI695" s="37" t="str">
        <f aca="false">IF(AF695&lt;W695,"SIM","NÃO")</f>
        <v>NÃO</v>
      </c>
      <c r="AJ695" s="37" t="n">
        <v>2</v>
      </c>
      <c r="AK695" s="37" t="n">
        <v>5</v>
      </c>
      <c r="AL695" s="37" t="s">
        <v>347</v>
      </c>
      <c r="AM695" s="39" t="n">
        <v>139.36</v>
      </c>
    </row>
    <row r="696" customFormat="false" ht="15" hidden="false" customHeight="false" outlineLevel="0" collapsed="false">
      <c r="A696" s="37" t="n">
        <v>373175341</v>
      </c>
      <c r="B696" s="38" t="n">
        <v>46242.0413078704</v>
      </c>
      <c r="C696" s="37" t="s">
        <v>340</v>
      </c>
      <c r="D696" s="37" t="s">
        <v>1020</v>
      </c>
      <c r="E696" s="37" t="n">
        <v>23092002</v>
      </c>
      <c r="F696" s="37" t="s">
        <v>159</v>
      </c>
      <c r="G696" s="37" t="s">
        <v>196</v>
      </c>
      <c r="H696" s="37" t="s">
        <v>184</v>
      </c>
      <c r="I696" s="37" t="n">
        <v>20.9</v>
      </c>
      <c r="J696" s="39" t="n">
        <v>450</v>
      </c>
      <c r="K696" s="37" t="s">
        <v>518</v>
      </c>
      <c r="L696" s="39" t="n">
        <v>77.34</v>
      </c>
      <c r="M696" s="39" t="n">
        <v>42.11</v>
      </c>
      <c r="N696" s="39" t="n">
        <f aca="false">J696*Resumo!$C$6</f>
        <v>0</v>
      </c>
      <c r="O696" s="39" t="n">
        <f aca="false">J696*Resumo!$C$7</f>
        <v>0.945</v>
      </c>
      <c r="P696" s="39" t="n">
        <f aca="false">J696*Resumo!$C$8</f>
        <v>0.945</v>
      </c>
      <c r="Q696" s="39" t="n">
        <f aca="false">Resumo!$C$10*CEILING(I696/100,1)</f>
        <v>1.05</v>
      </c>
      <c r="R696" s="39" t="n">
        <f aca="false">Resumo!$C$9</f>
        <v>0</v>
      </c>
      <c r="S696" s="39" t="n">
        <f aca="false">Resumo!$C$13</f>
        <v>13.55</v>
      </c>
      <c r="T696" s="39" t="n">
        <f aca="false">Resumo!$C$14*CEILING(I696,1)</f>
        <v>9.45</v>
      </c>
      <c r="U696" s="39" t="n">
        <f aca="false">SUM(M696:T696)*Resumo!$C$11</f>
        <v>0</v>
      </c>
      <c r="V696" s="39" t="n">
        <f aca="false">SUM(M696:U696)</f>
        <v>68.05</v>
      </c>
      <c r="W696" s="39" t="n">
        <f aca="false">V696/(1-Resumo!$C$5)</f>
        <v>77.3295454545455</v>
      </c>
      <c r="X696" s="39" t="n">
        <v>82.21</v>
      </c>
      <c r="Y696" s="39" t="n">
        <f aca="false">J696*Resumo!$B$6</f>
        <v>0.45</v>
      </c>
      <c r="Z696" s="39" t="n">
        <f aca="false">J696*Resumo!$B$7</f>
        <v>0.9</v>
      </c>
      <c r="AA696" s="39" t="n">
        <f aca="false">Resumo!$B$9</f>
        <v>1</v>
      </c>
      <c r="AB696" s="39" t="n">
        <f aca="false">Resumo!$B$10*CEILING(I696/100,1)</f>
        <v>4.5</v>
      </c>
      <c r="AC696" s="39" t="n">
        <f aca="false">Resumo!$B$12*CEILING(I696,1)</f>
        <v>1.26</v>
      </c>
      <c r="AD696" s="39" t="n">
        <f aca="false">Resumo!$B$14*CEILING(I696,1)</f>
        <v>9.45</v>
      </c>
      <c r="AE696" s="39" t="n">
        <f aca="false">SUM(X696:AD696)</f>
        <v>99.77</v>
      </c>
      <c r="AF696" s="39" t="n">
        <f aca="false">AE696/(1-Resumo!$B$5)</f>
        <v>113.375</v>
      </c>
      <c r="AG696" s="39" t="n">
        <f aca="false">AF696-W696</f>
        <v>36.0454545454546</v>
      </c>
      <c r="AH696" s="40" t="n">
        <f aca="false">AF696/W696-1</f>
        <v>0.466127847171198</v>
      </c>
      <c r="AI696" s="37" t="str">
        <f aca="false">IF(AF696&lt;W696,"SIM","NÃO")</f>
        <v>NÃO</v>
      </c>
      <c r="AJ696" s="37" t="n">
        <v>2</v>
      </c>
      <c r="AK696" s="37" t="n">
        <v>5</v>
      </c>
      <c r="AL696" s="37" t="s">
        <v>343</v>
      </c>
      <c r="AM696" s="39" t="n">
        <v>82.48</v>
      </c>
    </row>
    <row r="697" customFormat="false" ht="15" hidden="false" customHeight="false" outlineLevel="0" collapsed="false">
      <c r="A697" s="37" t="n">
        <v>373195863</v>
      </c>
      <c r="B697" s="38" t="n">
        <v>46242.1006365741</v>
      </c>
      <c r="C697" s="37" t="s">
        <v>340</v>
      </c>
      <c r="D697" s="37" t="s">
        <v>1021</v>
      </c>
      <c r="E697" s="37" t="n">
        <v>26178200</v>
      </c>
      <c r="F697" s="37" t="s">
        <v>165</v>
      </c>
      <c r="G697" s="37" t="s">
        <v>197</v>
      </c>
      <c r="H697" s="37" t="s">
        <v>185</v>
      </c>
      <c r="I697" s="37" t="n">
        <v>37.2</v>
      </c>
      <c r="J697" s="39" t="n">
        <v>360.99</v>
      </c>
      <c r="K697" s="37" t="s">
        <v>518</v>
      </c>
      <c r="L697" s="39" t="n">
        <v>113.69</v>
      </c>
      <c r="M697" s="39" t="n">
        <v>66.83</v>
      </c>
      <c r="N697" s="39" t="n">
        <f aca="false">J697*Resumo!$C$6</f>
        <v>0</v>
      </c>
      <c r="O697" s="39" t="n">
        <f aca="false">J697*Resumo!$C$7</f>
        <v>0.758079</v>
      </c>
      <c r="P697" s="39" t="n">
        <f aca="false">J697*Resumo!$C$8</f>
        <v>0.758079</v>
      </c>
      <c r="Q697" s="39" t="n">
        <f aca="false">Resumo!$C$10*CEILING(I697/100,1)</f>
        <v>1.05</v>
      </c>
      <c r="R697" s="39" t="n">
        <f aca="false">Resumo!$C$9</f>
        <v>0</v>
      </c>
      <c r="S697" s="39" t="n">
        <f aca="false">Resumo!$C$13</f>
        <v>13.55</v>
      </c>
      <c r="T697" s="39" t="n">
        <f aca="false">Resumo!$C$14*CEILING(I697,1)</f>
        <v>17.1</v>
      </c>
      <c r="U697" s="39" t="n">
        <f aca="false">SUM(M697:T697)*Resumo!$C$11</f>
        <v>0</v>
      </c>
      <c r="V697" s="39" t="n">
        <f aca="false">SUM(M697:U697)</f>
        <v>100.046158</v>
      </c>
      <c r="W697" s="39" t="n">
        <f aca="false">V697/(1-Resumo!$C$5)</f>
        <v>113.688815909091</v>
      </c>
      <c r="X697" s="39" t="n">
        <v>93.97</v>
      </c>
      <c r="Y697" s="39" t="n">
        <f aca="false">J697*Resumo!$B$6</f>
        <v>0.36099</v>
      </c>
      <c r="Z697" s="39" t="n">
        <f aca="false">J697*Resumo!$B$7</f>
        <v>0.72198</v>
      </c>
      <c r="AA697" s="39" t="n">
        <f aca="false">Resumo!$B$9</f>
        <v>1</v>
      </c>
      <c r="AB697" s="39" t="n">
        <f aca="false">Resumo!$B$10*CEILING(I697/100,1)</f>
        <v>4.5</v>
      </c>
      <c r="AC697" s="39" t="n">
        <f aca="false">Resumo!$B$12*CEILING(I697,1)</f>
        <v>2.28</v>
      </c>
      <c r="AD697" s="39" t="n">
        <f aca="false">Resumo!$B$14*CEILING(I697,1)</f>
        <v>17.1</v>
      </c>
      <c r="AE697" s="39" t="n">
        <f aca="false">SUM(X697:AD697)</f>
        <v>119.93297</v>
      </c>
      <c r="AF697" s="39" t="n">
        <f aca="false">AE697/(1-Resumo!$B$5)</f>
        <v>136.287465909091</v>
      </c>
      <c r="AG697" s="39" t="n">
        <f aca="false">AF697-W697</f>
        <v>22.59865</v>
      </c>
      <c r="AH697" s="40" t="n">
        <f aca="false">AF697/W697-1</f>
        <v>0.198776368803688</v>
      </c>
      <c r="AI697" s="37" t="str">
        <f aca="false">IF(AF697&lt;W697,"SIM","NÃO")</f>
        <v>NÃO</v>
      </c>
      <c r="AJ697" s="37" t="n">
        <v>2</v>
      </c>
      <c r="AK697" s="37" t="n">
        <v>5</v>
      </c>
      <c r="AL697" s="37" t="s">
        <v>343</v>
      </c>
      <c r="AM697" s="39" t="n">
        <v>112.69</v>
      </c>
    </row>
    <row r="698" customFormat="false" ht="15" hidden="false" customHeight="false" outlineLevel="0" collapsed="false">
      <c r="A698" s="37" t="n">
        <v>373241704</v>
      </c>
      <c r="B698" s="38" t="n">
        <v>46242.2783217593</v>
      </c>
      <c r="C698" s="37" t="s">
        <v>340</v>
      </c>
      <c r="D698" s="37" t="s">
        <v>1022</v>
      </c>
      <c r="E698" s="37" t="n">
        <v>23025150</v>
      </c>
      <c r="F698" s="37" t="s">
        <v>159</v>
      </c>
      <c r="G698" s="37" t="s">
        <v>196</v>
      </c>
      <c r="H698" s="37" t="s">
        <v>186</v>
      </c>
      <c r="I698" s="37" t="n">
        <v>44.8</v>
      </c>
      <c r="J698" s="39" t="n">
        <v>589.99</v>
      </c>
      <c r="K698" s="37" t="s">
        <v>518</v>
      </c>
      <c r="L698" s="39" t="n">
        <v>103.27</v>
      </c>
      <c r="M698" s="39" t="n">
        <v>53.55</v>
      </c>
      <c r="N698" s="39" t="n">
        <f aca="false">J698*Resumo!$C$6</f>
        <v>0</v>
      </c>
      <c r="O698" s="39" t="n">
        <f aca="false">J698*Resumo!$C$7</f>
        <v>1.238979</v>
      </c>
      <c r="P698" s="39" t="n">
        <f aca="false">J698*Resumo!$C$8</f>
        <v>1.238979</v>
      </c>
      <c r="Q698" s="39" t="n">
        <f aca="false">Resumo!$C$10*CEILING(I698/100,1)</f>
        <v>1.05</v>
      </c>
      <c r="R698" s="39" t="n">
        <f aca="false">Resumo!$C$9</f>
        <v>0</v>
      </c>
      <c r="S698" s="39" t="n">
        <f aca="false">Resumo!$C$13</f>
        <v>13.55</v>
      </c>
      <c r="T698" s="39" t="n">
        <f aca="false">Resumo!$C$14*CEILING(I698,1)</f>
        <v>20.25</v>
      </c>
      <c r="U698" s="39" t="n">
        <f aca="false">SUM(M698:T698)*Resumo!$C$11</f>
        <v>0</v>
      </c>
      <c r="V698" s="39" t="n">
        <f aca="false">SUM(M698:U698)</f>
        <v>90.877958</v>
      </c>
      <c r="W698" s="39" t="n">
        <f aca="false">V698/(1-Resumo!$C$5)</f>
        <v>103.270406818182</v>
      </c>
      <c r="X698" s="39" t="n">
        <v>93.97</v>
      </c>
      <c r="Y698" s="39" t="n">
        <f aca="false">J698*Resumo!$B$6</f>
        <v>0.58999</v>
      </c>
      <c r="Z698" s="39" t="n">
        <f aca="false">J698*Resumo!$B$7</f>
        <v>1.17998</v>
      </c>
      <c r="AA698" s="39" t="n">
        <f aca="false">Resumo!$B$9</f>
        <v>1</v>
      </c>
      <c r="AB698" s="39" t="n">
        <f aca="false">Resumo!$B$10*CEILING(I698/100,1)</f>
        <v>4.5</v>
      </c>
      <c r="AC698" s="39" t="n">
        <f aca="false">Resumo!$B$12*CEILING(I698,1)</f>
        <v>2.7</v>
      </c>
      <c r="AD698" s="39" t="n">
        <f aca="false">Resumo!$B$14*CEILING(I698,1)</f>
        <v>20.25</v>
      </c>
      <c r="AE698" s="39" t="n">
        <f aca="false">SUM(X698:AD698)</f>
        <v>124.18997</v>
      </c>
      <c r="AF698" s="39" t="n">
        <f aca="false">AE698/(1-Resumo!$B$5)</f>
        <v>141.124965909091</v>
      </c>
      <c r="AG698" s="39" t="n">
        <f aca="false">AF698-W698</f>
        <v>37.8545590909091</v>
      </c>
      <c r="AH698" s="40" t="n">
        <f aca="false">AF698/W698-1</f>
        <v>0.366557664070753</v>
      </c>
      <c r="AI698" s="37" t="str">
        <f aca="false">IF(AF698&lt;W698,"SIM","NÃO")</f>
        <v>NÃO</v>
      </c>
      <c r="AJ698" s="37" t="n">
        <v>2</v>
      </c>
      <c r="AK698" s="37" t="n">
        <v>5</v>
      </c>
      <c r="AL698" s="37" t="s">
        <v>343</v>
      </c>
      <c r="AM698" s="39" t="n">
        <v>103.41</v>
      </c>
    </row>
    <row r="699" customFormat="false" ht="15" hidden="false" customHeight="false" outlineLevel="0" collapsed="false">
      <c r="A699" s="37" t="n">
        <v>373243491</v>
      </c>
      <c r="B699" s="38" t="n">
        <v>46242.2845023148</v>
      </c>
      <c r="C699" s="37" t="s">
        <v>340</v>
      </c>
      <c r="D699" s="37" t="s">
        <v>1023</v>
      </c>
      <c r="E699" s="37" t="n">
        <v>24425190</v>
      </c>
      <c r="F699" s="37" t="s">
        <v>160</v>
      </c>
      <c r="G699" s="37" t="s">
        <v>197</v>
      </c>
      <c r="H699" s="37" t="s">
        <v>184</v>
      </c>
      <c r="I699" s="37" t="n">
        <v>20.9</v>
      </c>
      <c r="J699" s="39" t="n">
        <v>441</v>
      </c>
      <c r="K699" s="37" t="s">
        <v>385</v>
      </c>
      <c r="L699" s="39" t="n">
        <v>86.03</v>
      </c>
      <c r="M699" s="39" t="n">
        <v>58.8</v>
      </c>
      <c r="N699" s="39" t="n">
        <f aca="false">J699*Resumo!$C$6</f>
        <v>0</v>
      </c>
      <c r="O699" s="39" t="n">
        <f aca="false">J699*Resumo!$C$7</f>
        <v>0.9261</v>
      </c>
      <c r="P699" s="39" t="n">
        <f aca="false">J699*Resumo!$C$8</f>
        <v>0.9261</v>
      </c>
      <c r="Q699" s="39" t="n">
        <f aca="false">Resumo!$C$10*CEILING(I699/100,1)</f>
        <v>1.05</v>
      </c>
      <c r="R699" s="39" t="n">
        <f aca="false">Resumo!$C$9</f>
        <v>0</v>
      </c>
      <c r="S699" s="39" t="n">
        <f aca="false">Resumo!$C$13</f>
        <v>13.55</v>
      </c>
      <c r="T699" s="39" t="n">
        <f aca="false">Resumo!$C$14*CEILING(I699,1)</f>
        <v>9.45</v>
      </c>
      <c r="U699" s="39" t="n">
        <f aca="false">SUM(M699:T699)*Resumo!$C$11</f>
        <v>0</v>
      </c>
      <c r="V699" s="39" t="n">
        <f aca="false">SUM(M699:U699)</f>
        <v>84.7022</v>
      </c>
      <c r="W699" s="39" t="n">
        <f aca="false">V699/(1-Resumo!$C$5)</f>
        <v>96.2525</v>
      </c>
      <c r="X699" s="39" t="n">
        <v>100.58</v>
      </c>
      <c r="Y699" s="39" t="n">
        <f aca="false">J699*Resumo!$B$6</f>
        <v>0.441</v>
      </c>
      <c r="Z699" s="39" t="n">
        <f aca="false">J699*Resumo!$B$7</f>
        <v>0.882</v>
      </c>
      <c r="AA699" s="39" t="n">
        <f aca="false">Resumo!$B$9</f>
        <v>1</v>
      </c>
      <c r="AB699" s="39" t="n">
        <f aca="false">Resumo!$B$10*CEILING(I699/100,1)</f>
        <v>4.5</v>
      </c>
      <c r="AC699" s="39" t="n">
        <f aca="false">Resumo!$B$12*CEILING(I699,1)</f>
        <v>1.26</v>
      </c>
      <c r="AD699" s="39" t="n">
        <f aca="false">Resumo!$B$14*CEILING(I699,1)</f>
        <v>9.45</v>
      </c>
      <c r="AE699" s="39" t="n">
        <f aca="false">SUM(X699:AD699)</f>
        <v>118.113</v>
      </c>
      <c r="AF699" s="39" t="n">
        <f aca="false">AE699/(1-Resumo!$B$5)</f>
        <v>134.219318181818</v>
      </c>
      <c r="AG699" s="39" t="n">
        <f aca="false">AF699-W699</f>
        <v>37.9668181818182</v>
      </c>
      <c r="AH699" s="40" t="n">
        <f aca="false">AF699/W699-1</f>
        <v>0.394450203182444</v>
      </c>
      <c r="AI699" s="37" t="str">
        <f aca="false">IF(AF699&lt;W699,"SIM","NÃO")</f>
        <v>NÃO</v>
      </c>
      <c r="AJ699" s="37" t="n">
        <v>2</v>
      </c>
      <c r="AK699" s="37" t="n">
        <v>7</v>
      </c>
      <c r="AL699" s="37" t="s">
        <v>343</v>
      </c>
      <c r="AM699" s="39" t="n">
        <v>101.5</v>
      </c>
    </row>
    <row r="700" customFormat="false" ht="15" hidden="false" customHeight="false" outlineLevel="0" collapsed="false">
      <c r="A700" s="37" t="n">
        <v>373278210</v>
      </c>
      <c r="B700" s="38" t="n">
        <v>46242.373599537</v>
      </c>
      <c r="C700" s="37" t="s">
        <v>340</v>
      </c>
      <c r="D700" s="37" t="s">
        <v>1024</v>
      </c>
      <c r="E700" s="37" t="n">
        <v>26110250</v>
      </c>
      <c r="F700" s="37" t="s">
        <v>165</v>
      </c>
      <c r="G700" s="37" t="s">
        <v>197</v>
      </c>
      <c r="H700" s="37" t="s">
        <v>183</v>
      </c>
      <c r="I700" s="37" t="n">
        <v>19.5</v>
      </c>
      <c r="J700" s="39" t="n">
        <v>351</v>
      </c>
      <c r="K700" s="37" t="s">
        <v>518</v>
      </c>
      <c r="L700" s="39" t="n">
        <v>77.05</v>
      </c>
      <c r="M700" s="39" t="n">
        <v>42.72</v>
      </c>
      <c r="N700" s="39" t="n">
        <f aca="false">J700*Resumo!$C$6</f>
        <v>0</v>
      </c>
      <c r="O700" s="39" t="n">
        <f aca="false">J700*Resumo!$C$7</f>
        <v>0.7371</v>
      </c>
      <c r="P700" s="39" t="n">
        <f aca="false">J700*Resumo!$C$8</f>
        <v>0.7371</v>
      </c>
      <c r="Q700" s="39" t="n">
        <f aca="false">Resumo!$C$10*CEILING(I700/100,1)</f>
        <v>1.05</v>
      </c>
      <c r="R700" s="39" t="n">
        <f aca="false">Resumo!$C$9</f>
        <v>0</v>
      </c>
      <c r="S700" s="39" t="n">
        <f aca="false">Resumo!$C$13</f>
        <v>13.55</v>
      </c>
      <c r="T700" s="39" t="n">
        <f aca="false">Resumo!$C$14*CEILING(I700,1)</f>
        <v>9</v>
      </c>
      <c r="U700" s="39" t="n">
        <f aca="false">SUM(M700:T700)*Resumo!$C$11</f>
        <v>0</v>
      </c>
      <c r="V700" s="39" t="n">
        <f aca="false">SUM(M700:U700)</f>
        <v>67.7942</v>
      </c>
      <c r="W700" s="39" t="n">
        <f aca="false">V700/(1-Resumo!$C$5)</f>
        <v>77.0388636363636</v>
      </c>
      <c r="X700" s="39" t="n">
        <v>46.98</v>
      </c>
      <c r="Y700" s="39" t="n">
        <f aca="false">J700*Resumo!$B$6</f>
        <v>0.351</v>
      </c>
      <c r="Z700" s="39" t="n">
        <f aca="false">J700*Resumo!$B$7</f>
        <v>0.702</v>
      </c>
      <c r="AA700" s="39" t="n">
        <f aca="false">Resumo!$B$9</f>
        <v>1</v>
      </c>
      <c r="AB700" s="39" t="n">
        <f aca="false">Resumo!$B$10*CEILING(I700/100,1)</f>
        <v>4.5</v>
      </c>
      <c r="AC700" s="39" t="n">
        <f aca="false">Resumo!$B$12*CEILING(I700,1)</f>
        <v>1.2</v>
      </c>
      <c r="AD700" s="39" t="n">
        <f aca="false">Resumo!$B$14*CEILING(I700,1)</f>
        <v>9</v>
      </c>
      <c r="AE700" s="39" t="n">
        <f aca="false">SUM(X700:AD700)</f>
        <v>63.733</v>
      </c>
      <c r="AF700" s="39" t="n">
        <f aca="false">AE700/(1-Resumo!$B$5)</f>
        <v>72.4238636363636</v>
      </c>
      <c r="AG700" s="39" t="n">
        <f aca="false">AF700-W700</f>
        <v>-4.615</v>
      </c>
      <c r="AH700" s="40" t="n">
        <f aca="false">AF700/W700-1</f>
        <v>-0.0599048296166929</v>
      </c>
      <c r="AI700" s="37" t="str">
        <f aca="false">IF(AF700&lt;W700,"SIM","NÃO")</f>
        <v>SIM</v>
      </c>
      <c r="AJ700" s="37" t="n">
        <v>2</v>
      </c>
      <c r="AK700" s="37" t="n">
        <v>5</v>
      </c>
      <c r="AL700" s="37" t="s">
        <v>343</v>
      </c>
      <c r="AM700" s="39" t="n">
        <v>75.52</v>
      </c>
    </row>
    <row r="701" customFormat="false" ht="15" hidden="false" customHeight="false" outlineLevel="0" collapsed="false">
      <c r="A701" s="37" t="n">
        <v>373278878</v>
      </c>
      <c r="B701" s="38" t="n">
        <v>46242.3751157407</v>
      </c>
      <c r="C701" s="37" t="s">
        <v>340</v>
      </c>
      <c r="D701" s="37" t="s">
        <v>1025</v>
      </c>
      <c r="E701" s="37" t="n">
        <v>28948008</v>
      </c>
      <c r="F701" s="37" t="s">
        <v>292</v>
      </c>
      <c r="G701" s="37" t="s">
        <v>198</v>
      </c>
      <c r="H701" s="37" t="s">
        <v>189</v>
      </c>
      <c r="I701" s="37" t="n">
        <v>73.9</v>
      </c>
      <c r="J701" s="39" t="n">
        <v>959.99</v>
      </c>
      <c r="K701" s="37" t="s">
        <v>518</v>
      </c>
      <c r="L701" s="39" t="n">
        <v>168.99</v>
      </c>
      <c r="M701" s="39" t="n">
        <v>96.77</v>
      </c>
      <c r="N701" s="39" t="n">
        <f aca="false">J701*Resumo!$C$6</f>
        <v>0</v>
      </c>
      <c r="O701" s="39" t="n">
        <f aca="false">J701*Resumo!$C$7</f>
        <v>2.015979</v>
      </c>
      <c r="P701" s="39" t="n">
        <f aca="false">J701*Resumo!$C$8</f>
        <v>2.015979</v>
      </c>
      <c r="Q701" s="39" t="n">
        <f aca="false">Resumo!$C$10*CEILING(I701/100,1)</f>
        <v>1.05</v>
      </c>
      <c r="R701" s="39" t="n">
        <f aca="false">Resumo!$C$9</f>
        <v>0</v>
      </c>
      <c r="S701" s="39" t="n">
        <f aca="false">Resumo!$C$13</f>
        <v>13.55</v>
      </c>
      <c r="T701" s="39" t="n">
        <f aca="false">Resumo!$C$14*CEILING(I701,1)</f>
        <v>33.3</v>
      </c>
      <c r="U701" s="39" t="n">
        <f aca="false">SUM(M701:T701)*Resumo!$C$11</f>
        <v>0</v>
      </c>
      <c r="V701" s="39" t="n">
        <f aca="false">SUM(M701:U701)</f>
        <v>148.701958</v>
      </c>
      <c r="W701" s="39" t="n">
        <f aca="false">V701/(1-Resumo!$C$5)</f>
        <v>168.979497727273</v>
      </c>
      <c r="X701" s="39" t="n">
        <v>166.05</v>
      </c>
      <c r="Y701" s="39" t="n">
        <f aca="false">J701*Resumo!$B$6</f>
        <v>0.95999</v>
      </c>
      <c r="Z701" s="39" t="n">
        <f aca="false">J701*Resumo!$B$7</f>
        <v>1.91998</v>
      </c>
      <c r="AA701" s="39" t="n">
        <f aca="false">Resumo!$B$9</f>
        <v>1</v>
      </c>
      <c r="AB701" s="39" t="n">
        <f aca="false">Resumo!$B$10*CEILING(I701/100,1)</f>
        <v>4.5</v>
      </c>
      <c r="AC701" s="39" t="n">
        <f aca="false">Resumo!$B$12*CEILING(I701,1)</f>
        <v>4.44</v>
      </c>
      <c r="AD701" s="39" t="n">
        <f aca="false">Resumo!$B$14*CEILING(I701,1)</f>
        <v>33.3</v>
      </c>
      <c r="AE701" s="39" t="n">
        <f aca="false">SUM(X701:AD701)</f>
        <v>212.16997</v>
      </c>
      <c r="AF701" s="39" t="n">
        <f aca="false">AE701/(1-Resumo!$B$5)</f>
        <v>241.102238636364</v>
      </c>
      <c r="AG701" s="39" t="n">
        <f aca="false">AF701-W701</f>
        <v>72.1227409090909</v>
      </c>
      <c r="AH701" s="40" t="n">
        <f aca="false">AF701/W701-1</f>
        <v>0.426813559509418</v>
      </c>
      <c r="AI701" s="37" t="str">
        <f aca="false">IF(AF701&lt;W701,"SIM","NÃO")</f>
        <v>NÃO</v>
      </c>
      <c r="AJ701" s="37" t="n">
        <v>13</v>
      </c>
      <c r="AK701" s="37" t="n">
        <v>10</v>
      </c>
      <c r="AL701" s="37" t="s">
        <v>347</v>
      </c>
      <c r="AM701" s="39" t="n">
        <v>168.92</v>
      </c>
    </row>
    <row r="702" customFormat="false" ht="15" hidden="false" customHeight="false" outlineLevel="0" collapsed="false">
      <c r="A702" s="37" t="n">
        <v>373280208</v>
      </c>
      <c r="B702" s="38" t="n">
        <v>46242.3771412037</v>
      </c>
      <c r="C702" s="37" t="s">
        <v>340</v>
      </c>
      <c r="D702" s="37" t="s">
        <v>1026</v>
      </c>
      <c r="E702" s="37" t="n">
        <v>22783124</v>
      </c>
      <c r="F702" s="37" t="s">
        <v>159</v>
      </c>
      <c r="G702" s="37" t="s">
        <v>196</v>
      </c>
      <c r="H702" s="37" t="s">
        <v>184</v>
      </c>
      <c r="I702" s="37" t="n">
        <v>22.4</v>
      </c>
      <c r="J702" s="39" t="n">
        <v>423</v>
      </c>
      <c r="K702" s="37" t="s">
        <v>342</v>
      </c>
      <c r="L702" s="39" t="n">
        <v>82.36</v>
      </c>
      <c r="M702" s="39" t="n">
        <v>42.11</v>
      </c>
      <c r="N702" s="39" t="n">
        <f aca="false">J702*Resumo!$C$6</f>
        <v>0</v>
      </c>
      <c r="O702" s="39" t="n">
        <f aca="false">J702*Resumo!$C$7</f>
        <v>0.8883</v>
      </c>
      <c r="P702" s="39" t="n">
        <f aca="false">J702*Resumo!$C$8</f>
        <v>0.8883</v>
      </c>
      <c r="Q702" s="39" t="n">
        <f aca="false">Resumo!$C$10*CEILING(I702/100,1)</f>
        <v>1.05</v>
      </c>
      <c r="R702" s="39" t="n">
        <f aca="false">Resumo!$C$9</f>
        <v>0</v>
      </c>
      <c r="S702" s="39" t="n">
        <f aca="false">Resumo!$C$13</f>
        <v>13.55</v>
      </c>
      <c r="T702" s="39" t="n">
        <f aca="false">Resumo!$C$14*CEILING(I702,1)</f>
        <v>10.35</v>
      </c>
      <c r="U702" s="39" t="n">
        <f aca="false">SUM(M702:T702)*Resumo!$C$11</f>
        <v>0</v>
      </c>
      <c r="V702" s="39" t="n">
        <f aca="false">SUM(M702:U702)</f>
        <v>68.8366</v>
      </c>
      <c r="W702" s="39" t="n">
        <f aca="false">V702/(1-Resumo!$C$5)</f>
        <v>78.2234090909091</v>
      </c>
      <c r="X702" s="39" t="n">
        <v>82.21</v>
      </c>
      <c r="Y702" s="39" t="n">
        <f aca="false">J702*Resumo!$B$6</f>
        <v>0.423</v>
      </c>
      <c r="Z702" s="39" t="n">
        <f aca="false">J702*Resumo!$B$7</f>
        <v>0.846</v>
      </c>
      <c r="AA702" s="39" t="n">
        <f aca="false">Resumo!$B$9</f>
        <v>1</v>
      </c>
      <c r="AB702" s="39" t="n">
        <f aca="false">Resumo!$B$10*CEILING(I702/100,1)</f>
        <v>4.5</v>
      </c>
      <c r="AC702" s="39" t="n">
        <f aca="false">Resumo!$B$12*CEILING(I702,1)</f>
        <v>1.38</v>
      </c>
      <c r="AD702" s="39" t="n">
        <f aca="false">Resumo!$B$14*CEILING(I702,1)</f>
        <v>10.35</v>
      </c>
      <c r="AE702" s="39" t="n">
        <f aca="false">SUM(X702:AD702)</f>
        <v>100.709</v>
      </c>
      <c r="AF702" s="39" t="n">
        <f aca="false">AE702/(1-Resumo!$B$5)</f>
        <v>114.442045454545</v>
      </c>
      <c r="AG702" s="39" t="n">
        <f aca="false">AF702-W702</f>
        <v>36.2186363636363</v>
      </c>
      <c r="AH702" s="40" t="n">
        <f aca="false">AF702/W702-1</f>
        <v>0.463015314527446</v>
      </c>
      <c r="AI702" s="37" t="str">
        <f aca="false">IF(AF702&lt;W702,"SIM","NÃO")</f>
        <v>NÃO</v>
      </c>
      <c r="AJ702" s="37" t="n">
        <v>2</v>
      </c>
      <c r="AK702" s="37" t="n">
        <v>5</v>
      </c>
      <c r="AL702" s="37" t="s">
        <v>343</v>
      </c>
      <c r="AM702" s="39" t="n">
        <v>82.35</v>
      </c>
    </row>
    <row r="703" customFormat="false" ht="15" hidden="false" customHeight="false" outlineLevel="0" collapsed="false">
      <c r="A703" s="37" t="n">
        <v>373284205</v>
      </c>
      <c r="B703" s="38" t="n">
        <v>46242.3829398148</v>
      </c>
      <c r="C703" s="37" t="s">
        <v>345</v>
      </c>
      <c r="D703" s="37" t="s">
        <v>454</v>
      </c>
      <c r="E703" s="37" t="n">
        <v>28200000</v>
      </c>
      <c r="F703" s="37" t="s">
        <v>259</v>
      </c>
      <c r="G703" s="37" t="s">
        <v>198</v>
      </c>
      <c r="H703" s="37" t="s">
        <v>192</v>
      </c>
      <c r="I703" s="37" t="n">
        <v>134.4</v>
      </c>
      <c r="J703" s="39" t="n">
        <v>1597.99</v>
      </c>
      <c r="K703" s="37" t="s">
        <v>518</v>
      </c>
      <c r="L703" s="39" t="n">
        <v>258.36</v>
      </c>
      <c r="M703" s="39" t="n">
        <v>144.24</v>
      </c>
      <c r="N703" s="39" t="n">
        <f aca="false">J703*Resumo!$C$6</f>
        <v>0</v>
      </c>
      <c r="O703" s="39" t="n">
        <f aca="false">J703*Resumo!$C$7</f>
        <v>3.355779</v>
      </c>
      <c r="P703" s="39" t="n">
        <f aca="false">J703*Resumo!$C$8</f>
        <v>3.355779</v>
      </c>
      <c r="Q703" s="39" t="n">
        <f aca="false">Resumo!$C$10*CEILING(I703/100,1)</f>
        <v>2.1</v>
      </c>
      <c r="R703" s="39" t="n">
        <f aca="false">Resumo!$C$9</f>
        <v>0</v>
      </c>
      <c r="S703" s="39" t="n">
        <f aca="false">Resumo!$C$13</f>
        <v>13.55</v>
      </c>
      <c r="T703" s="39" t="n">
        <f aca="false">Resumo!$C$14*CEILING(I703,1)</f>
        <v>60.75</v>
      </c>
      <c r="U703" s="39" t="n">
        <f aca="false">SUM(M703:T703)*Resumo!$C$11</f>
        <v>0</v>
      </c>
      <c r="V703" s="39" t="n">
        <f aca="false">SUM(M703:U703)</f>
        <v>227.351558</v>
      </c>
      <c r="W703" s="39" t="n">
        <f aca="false">V703/(1-Resumo!$C$5)</f>
        <v>258.354043181818</v>
      </c>
      <c r="X703" s="39" t="n">
        <v>264.84</v>
      </c>
      <c r="Y703" s="39" t="n">
        <f aca="false">J703*Resumo!$B$6</f>
        <v>1.59799</v>
      </c>
      <c r="Z703" s="39" t="n">
        <f aca="false">J703*Resumo!$B$7</f>
        <v>3.19598</v>
      </c>
      <c r="AA703" s="39" t="n">
        <f aca="false">Resumo!$B$9</f>
        <v>1</v>
      </c>
      <c r="AB703" s="39" t="n">
        <f aca="false">Resumo!$B$10*CEILING(I703/100,1)</f>
        <v>9</v>
      </c>
      <c r="AC703" s="39" t="n">
        <f aca="false">Resumo!$B$12*CEILING(I703,1)</f>
        <v>8.1</v>
      </c>
      <c r="AD703" s="39" t="n">
        <f aca="false">Resumo!$B$14*CEILING(I703,1)</f>
        <v>60.75</v>
      </c>
      <c r="AE703" s="39" t="n">
        <f aca="false">SUM(X703:AD703)</f>
        <v>348.48397</v>
      </c>
      <c r="AF703" s="39" t="n">
        <f aca="false">AE703/(1-Resumo!$B$5)</f>
        <v>396.004511363636</v>
      </c>
      <c r="AG703" s="39" t="n">
        <f aca="false">AF703-W703</f>
        <v>137.650468181818</v>
      </c>
      <c r="AH703" s="40" t="n">
        <f aca="false">AF703/W703-1</f>
        <v>0.532797809109362</v>
      </c>
      <c r="AI703" s="37" t="str">
        <f aca="false">IF(AF703&lt;W703,"SIM","NÃO")</f>
        <v>NÃO</v>
      </c>
      <c r="AJ703" s="37" t="n">
        <v>13</v>
      </c>
      <c r="AK703" s="37" t="n">
        <v>11</v>
      </c>
      <c r="AL703" s="37" t="s">
        <v>347</v>
      </c>
      <c r="AM703" s="39" t="n">
        <v>260.95</v>
      </c>
    </row>
    <row r="704" customFormat="false" ht="15" hidden="false" customHeight="false" outlineLevel="0" collapsed="false">
      <c r="A704" s="37" t="n">
        <v>373294770</v>
      </c>
      <c r="B704" s="38" t="n">
        <v>46242.3999189815</v>
      </c>
      <c r="C704" s="37" t="s">
        <v>340</v>
      </c>
      <c r="D704" s="37" t="s">
        <v>1027</v>
      </c>
      <c r="E704" s="37" t="n">
        <v>23032180</v>
      </c>
      <c r="F704" s="37" t="s">
        <v>159</v>
      </c>
      <c r="G704" s="37" t="s">
        <v>196</v>
      </c>
      <c r="H704" s="37" t="s">
        <v>184</v>
      </c>
      <c r="I704" s="37" t="n">
        <v>22.4</v>
      </c>
      <c r="J704" s="39" t="n">
        <v>423</v>
      </c>
      <c r="K704" s="37" t="s">
        <v>518</v>
      </c>
      <c r="L704" s="39" t="n">
        <v>78.23</v>
      </c>
      <c r="M704" s="39" t="n">
        <v>42.11</v>
      </c>
      <c r="N704" s="39" t="n">
        <f aca="false">J704*Resumo!$C$6</f>
        <v>0</v>
      </c>
      <c r="O704" s="39" t="n">
        <f aca="false">J704*Resumo!$C$7</f>
        <v>0.8883</v>
      </c>
      <c r="P704" s="39" t="n">
        <f aca="false">J704*Resumo!$C$8</f>
        <v>0.8883</v>
      </c>
      <c r="Q704" s="39" t="n">
        <f aca="false">Resumo!$C$10*CEILING(I704/100,1)</f>
        <v>1.05</v>
      </c>
      <c r="R704" s="39" t="n">
        <f aca="false">Resumo!$C$9</f>
        <v>0</v>
      </c>
      <c r="S704" s="39" t="n">
        <f aca="false">Resumo!$C$13</f>
        <v>13.55</v>
      </c>
      <c r="T704" s="39" t="n">
        <f aca="false">Resumo!$C$14*CEILING(I704,1)</f>
        <v>10.35</v>
      </c>
      <c r="U704" s="39" t="n">
        <f aca="false">SUM(M704:T704)*Resumo!$C$11</f>
        <v>0</v>
      </c>
      <c r="V704" s="39" t="n">
        <f aca="false">SUM(M704:U704)</f>
        <v>68.8366</v>
      </c>
      <c r="W704" s="39" t="n">
        <f aca="false">V704/(1-Resumo!$C$5)</f>
        <v>78.2234090909091</v>
      </c>
      <c r="X704" s="39" t="n">
        <v>82.21</v>
      </c>
      <c r="Y704" s="39" t="n">
        <f aca="false">J704*Resumo!$B$6</f>
        <v>0.423</v>
      </c>
      <c r="Z704" s="39" t="n">
        <f aca="false">J704*Resumo!$B$7</f>
        <v>0.846</v>
      </c>
      <c r="AA704" s="39" t="n">
        <f aca="false">Resumo!$B$9</f>
        <v>1</v>
      </c>
      <c r="AB704" s="39" t="n">
        <f aca="false">Resumo!$B$10*CEILING(I704/100,1)</f>
        <v>4.5</v>
      </c>
      <c r="AC704" s="39" t="n">
        <f aca="false">Resumo!$B$12*CEILING(I704,1)</f>
        <v>1.38</v>
      </c>
      <c r="AD704" s="39" t="n">
        <f aca="false">Resumo!$B$14*CEILING(I704,1)</f>
        <v>10.35</v>
      </c>
      <c r="AE704" s="39" t="n">
        <f aca="false">SUM(X704:AD704)</f>
        <v>100.709</v>
      </c>
      <c r="AF704" s="39" t="n">
        <f aca="false">AE704/(1-Resumo!$B$5)</f>
        <v>114.442045454545</v>
      </c>
      <c r="AG704" s="39" t="n">
        <f aca="false">AF704-W704</f>
        <v>36.2186363636363</v>
      </c>
      <c r="AH704" s="40" t="n">
        <f aca="false">AF704/W704-1</f>
        <v>0.463015314527446</v>
      </c>
      <c r="AI704" s="37" t="str">
        <f aca="false">IF(AF704&lt;W704,"SIM","NÃO")</f>
        <v>NÃO</v>
      </c>
      <c r="AJ704" s="37" t="n">
        <v>2</v>
      </c>
      <c r="AK704" s="37" t="n">
        <v>5</v>
      </c>
      <c r="AL704" s="37" t="s">
        <v>343</v>
      </c>
      <c r="AM704" s="39" t="n">
        <v>82.35</v>
      </c>
    </row>
    <row r="705" customFormat="false" ht="15" hidden="false" customHeight="false" outlineLevel="0" collapsed="false">
      <c r="A705" s="37" t="n">
        <v>373307889</v>
      </c>
      <c r="B705" s="38" t="n">
        <v>46242.4213194445</v>
      </c>
      <c r="C705" s="37" t="s">
        <v>340</v>
      </c>
      <c r="D705" s="37" t="s">
        <v>1028</v>
      </c>
      <c r="E705" s="37" t="n">
        <v>21910170</v>
      </c>
      <c r="F705" s="37" t="s">
        <v>159</v>
      </c>
      <c r="G705" s="37" t="s">
        <v>196</v>
      </c>
      <c r="H705" s="37" t="s">
        <v>184</v>
      </c>
      <c r="I705" s="37" t="n">
        <v>20.9</v>
      </c>
      <c r="J705" s="39" t="n">
        <v>441</v>
      </c>
      <c r="K705" s="37" t="s">
        <v>342</v>
      </c>
      <c r="L705" s="39" t="n">
        <v>82.43</v>
      </c>
      <c r="M705" s="39" t="n">
        <v>42.11</v>
      </c>
      <c r="N705" s="39" t="n">
        <f aca="false">J705*Resumo!$C$6</f>
        <v>0</v>
      </c>
      <c r="O705" s="39" t="n">
        <f aca="false">J705*Resumo!$C$7</f>
        <v>0.9261</v>
      </c>
      <c r="P705" s="39" t="n">
        <f aca="false">J705*Resumo!$C$8</f>
        <v>0.9261</v>
      </c>
      <c r="Q705" s="39" t="n">
        <f aca="false">Resumo!$C$10*CEILING(I705/100,1)</f>
        <v>1.05</v>
      </c>
      <c r="R705" s="39" t="n">
        <f aca="false">Resumo!$C$9</f>
        <v>0</v>
      </c>
      <c r="S705" s="39" t="n">
        <f aca="false">Resumo!$C$13</f>
        <v>13.55</v>
      </c>
      <c r="T705" s="39" t="n">
        <f aca="false">Resumo!$C$14*CEILING(I705,1)</f>
        <v>9.45</v>
      </c>
      <c r="U705" s="39" t="n">
        <f aca="false">SUM(M705:T705)*Resumo!$C$11</f>
        <v>0</v>
      </c>
      <c r="V705" s="39" t="n">
        <f aca="false">SUM(M705:U705)</f>
        <v>68.0122</v>
      </c>
      <c r="W705" s="39" t="n">
        <f aca="false">V705/(1-Resumo!$C$5)</f>
        <v>77.2865909090909</v>
      </c>
      <c r="X705" s="39" t="n">
        <v>82.21</v>
      </c>
      <c r="Y705" s="39" t="n">
        <f aca="false">J705*Resumo!$B$6</f>
        <v>0.441</v>
      </c>
      <c r="Z705" s="39" t="n">
        <f aca="false">J705*Resumo!$B$7</f>
        <v>0.882</v>
      </c>
      <c r="AA705" s="39" t="n">
        <f aca="false">Resumo!$B$9</f>
        <v>1</v>
      </c>
      <c r="AB705" s="39" t="n">
        <f aca="false">Resumo!$B$10*CEILING(I705/100,1)</f>
        <v>4.5</v>
      </c>
      <c r="AC705" s="39" t="n">
        <f aca="false">Resumo!$B$12*CEILING(I705,1)</f>
        <v>1.26</v>
      </c>
      <c r="AD705" s="39" t="n">
        <f aca="false">Resumo!$B$14*CEILING(I705,1)</f>
        <v>9.45</v>
      </c>
      <c r="AE705" s="39" t="n">
        <f aca="false">SUM(X705:AD705)</f>
        <v>99.743</v>
      </c>
      <c r="AF705" s="39" t="n">
        <f aca="false">AE705/(1-Resumo!$B$5)</f>
        <v>113.344318181818</v>
      </c>
      <c r="AG705" s="39" t="n">
        <f aca="false">AF705-W705</f>
        <v>36.0577272727273</v>
      </c>
      <c r="AH705" s="40" t="n">
        <f aca="false">AF705/W705-1</f>
        <v>0.466545707975922</v>
      </c>
      <c r="AI705" s="37" t="str">
        <f aca="false">IF(AF705&lt;W705,"SIM","NÃO")</f>
        <v>NÃO</v>
      </c>
      <c r="AJ705" s="37" t="n">
        <v>2</v>
      </c>
      <c r="AK705" s="37" t="n">
        <v>5</v>
      </c>
      <c r="AL705" s="37" t="s">
        <v>343</v>
      </c>
      <c r="AM705" s="39" t="n">
        <v>82.44</v>
      </c>
    </row>
    <row r="706" customFormat="false" ht="15" hidden="false" customHeight="false" outlineLevel="0" collapsed="false">
      <c r="A706" s="37" t="n">
        <v>373314023</v>
      </c>
      <c r="B706" s="38" t="n">
        <v>46242.4307407407</v>
      </c>
      <c r="C706" s="37" t="s">
        <v>340</v>
      </c>
      <c r="D706" s="37" t="s">
        <v>1029</v>
      </c>
      <c r="E706" s="37" t="n">
        <v>21046415</v>
      </c>
      <c r="F706" s="37" t="s">
        <v>159</v>
      </c>
      <c r="G706" s="37" t="s">
        <v>196</v>
      </c>
      <c r="H706" s="37" t="s">
        <v>186</v>
      </c>
      <c r="I706" s="37" t="n">
        <v>44.5</v>
      </c>
      <c r="J706" s="39" t="n">
        <v>799.99</v>
      </c>
      <c r="K706" s="37" t="s">
        <v>342</v>
      </c>
      <c r="L706" s="39" t="n">
        <v>104.42</v>
      </c>
      <c r="M706" s="39" t="n">
        <v>53.55</v>
      </c>
      <c r="N706" s="39" t="n">
        <f aca="false">J706*Resumo!$C$6</f>
        <v>0</v>
      </c>
      <c r="O706" s="39" t="n">
        <f aca="false">J706*Resumo!$C$7</f>
        <v>1.679979</v>
      </c>
      <c r="P706" s="39" t="n">
        <f aca="false">J706*Resumo!$C$8</f>
        <v>1.679979</v>
      </c>
      <c r="Q706" s="39" t="n">
        <f aca="false">Resumo!$C$10*CEILING(I706/100,1)</f>
        <v>1.05</v>
      </c>
      <c r="R706" s="39" t="n">
        <f aca="false">Resumo!$C$9</f>
        <v>0</v>
      </c>
      <c r="S706" s="39" t="n">
        <f aca="false">Resumo!$C$13</f>
        <v>13.55</v>
      </c>
      <c r="T706" s="39" t="n">
        <f aca="false">Resumo!$C$14*CEILING(I706,1)</f>
        <v>20.25</v>
      </c>
      <c r="U706" s="39" t="n">
        <f aca="false">SUM(M706:T706)*Resumo!$C$11</f>
        <v>0</v>
      </c>
      <c r="V706" s="39" t="n">
        <f aca="false">SUM(M706:U706)</f>
        <v>91.759958</v>
      </c>
      <c r="W706" s="39" t="n">
        <f aca="false">V706/(1-Resumo!$C$5)</f>
        <v>104.272679545455</v>
      </c>
      <c r="X706" s="39" t="n">
        <v>93.97</v>
      </c>
      <c r="Y706" s="39" t="n">
        <f aca="false">J706*Resumo!$B$6</f>
        <v>0.79999</v>
      </c>
      <c r="Z706" s="39" t="n">
        <f aca="false">J706*Resumo!$B$7</f>
        <v>1.59998</v>
      </c>
      <c r="AA706" s="39" t="n">
        <f aca="false">Resumo!$B$9</f>
        <v>1</v>
      </c>
      <c r="AB706" s="39" t="n">
        <f aca="false">Resumo!$B$10*CEILING(I706/100,1)</f>
        <v>4.5</v>
      </c>
      <c r="AC706" s="39" t="n">
        <f aca="false">Resumo!$B$12*CEILING(I706,1)</f>
        <v>2.7</v>
      </c>
      <c r="AD706" s="39" t="n">
        <f aca="false">Resumo!$B$14*CEILING(I706,1)</f>
        <v>20.25</v>
      </c>
      <c r="AE706" s="39" t="n">
        <f aca="false">SUM(X706:AD706)</f>
        <v>124.81997</v>
      </c>
      <c r="AF706" s="39" t="n">
        <f aca="false">AE706/(1-Resumo!$B$5)</f>
        <v>141.840875</v>
      </c>
      <c r="AG706" s="39" t="n">
        <f aca="false">AF706-W706</f>
        <v>37.5681954545454</v>
      </c>
      <c r="AH706" s="40" t="n">
        <f aca="false">AF706/W706-1</f>
        <v>0.360288002747342</v>
      </c>
      <c r="AI706" s="37" t="str">
        <f aca="false">IF(AF706&lt;W706,"SIM","NÃO")</f>
        <v>NÃO</v>
      </c>
      <c r="AJ706" s="37" t="n">
        <v>2</v>
      </c>
      <c r="AK706" s="37" t="n">
        <v>5</v>
      </c>
      <c r="AL706" s="37" t="s">
        <v>343</v>
      </c>
      <c r="AM706" s="39" t="n">
        <v>104.42</v>
      </c>
    </row>
    <row r="707" customFormat="false" ht="15" hidden="false" customHeight="false" outlineLevel="0" collapsed="false">
      <c r="A707" s="37" t="n">
        <v>373320545</v>
      </c>
      <c r="B707" s="38" t="n">
        <v>46242.4407523148</v>
      </c>
      <c r="C707" s="37" t="s">
        <v>340</v>
      </c>
      <c r="D707" s="37" t="s">
        <v>617</v>
      </c>
      <c r="E707" s="37" t="n">
        <v>22783111</v>
      </c>
      <c r="F707" s="37" t="s">
        <v>159</v>
      </c>
      <c r="G707" s="37" t="s">
        <v>196</v>
      </c>
      <c r="H707" s="37" t="s">
        <v>184</v>
      </c>
      <c r="I707" s="37" t="n">
        <v>20.9</v>
      </c>
      <c r="J707" s="39" t="n">
        <v>441</v>
      </c>
      <c r="K707" s="37" t="s">
        <v>342</v>
      </c>
      <c r="L707" s="39" t="n">
        <v>82.43</v>
      </c>
      <c r="M707" s="39" t="n">
        <v>42.11</v>
      </c>
      <c r="N707" s="39" t="n">
        <f aca="false">J707*Resumo!$C$6</f>
        <v>0</v>
      </c>
      <c r="O707" s="39" t="n">
        <f aca="false">J707*Resumo!$C$7</f>
        <v>0.9261</v>
      </c>
      <c r="P707" s="39" t="n">
        <f aca="false">J707*Resumo!$C$8</f>
        <v>0.9261</v>
      </c>
      <c r="Q707" s="39" t="n">
        <f aca="false">Resumo!$C$10*CEILING(I707/100,1)</f>
        <v>1.05</v>
      </c>
      <c r="R707" s="39" t="n">
        <f aca="false">Resumo!$C$9</f>
        <v>0</v>
      </c>
      <c r="S707" s="39" t="n">
        <f aca="false">Resumo!$C$13</f>
        <v>13.55</v>
      </c>
      <c r="T707" s="39" t="n">
        <f aca="false">Resumo!$C$14*CEILING(I707,1)</f>
        <v>9.45</v>
      </c>
      <c r="U707" s="39" t="n">
        <f aca="false">SUM(M707:T707)*Resumo!$C$11</f>
        <v>0</v>
      </c>
      <c r="V707" s="39" t="n">
        <f aca="false">SUM(M707:U707)</f>
        <v>68.0122</v>
      </c>
      <c r="W707" s="39" t="n">
        <f aca="false">V707/(1-Resumo!$C$5)</f>
        <v>77.2865909090909</v>
      </c>
      <c r="X707" s="39" t="n">
        <v>82.21</v>
      </c>
      <c r="Y707" s="39" t="n">
        <f aca="false">J707*Resumo!$B$6</f>
        <v>0.441</v>
      </c>
      <c r="Z707" s="39" t="n">
        <f aca="false">J707*Resumo!$B$7</f>
        <v>0.882</v>
      </c>
      <c r="AA707" s="39" t="n">
        <f aca="false">Resumo!$B$9</f>
        <v>1</v>
      </c>
      <c r="AB707" s="39" t="n">
        <f aca="false">Resumo!$B$10*CEILING(I707/100,1)</f>
        <v>4.5</v>
      </c>
      <c r="AC707" s="39" t="n">
        <f aca="false">Resumo!$B$12*CEILING(I707,1)</f>
        <v>1.26</v>
      </c>
      <c r="AD707" s="39" t="n">
        <f aca="false">Resumo!$B$14*CEILING(I707,1)</f>
        <v>9.45</v>
      </c>
      <c r="AE707" s="39" t="n">
        <f aca="false">SUM(X707:AD707)</f>
        <v>99.743</v>
      </c>
      <c r="AF707" s="39" t="n">
        <f aca="false">AE707/(1-Resumo!$B$5)</f>
        <v>113.344318181818</v>
      </c>
      <c r="AG707" s="39" t="n">
        <f aca="false">AF707-W707</f>
        <v>36.0577272727273</v>
      </c>
      <c r="AH707" s="40" t="n">
        <f aca="false">AF707/W707-1</f>
        <v>0.466545707975922</v>
      </c>
      <c r="AI707" s="37" t="str">
        <f aca="false">IF(AF707&lt;W707,"SIM","NÃO")</f>
        <v>NÃO</v>
      </c>
      <c r="AJ707" s="37" t="n">
        <v>2</v>
      </c>
      <c r="AK707" s="37" t="n">
        <v>5</v>
      </c>
      <c r="AL707" s="37" t="s">
        <v>343</v>
      </c>
      <c r="AM707" s="39" t="n">
        <v>82.44</v>
      </c>
    </row>
    <row r="708" customFormat="false" ht="15" hidden="false" customHeight="false" outlineLevel="0" collapsed="false">
      <c r="A708" s="37" t="n">
        <v>373321632</v>
      </c>
      <c r="B708" s="38" t="n">
        <v>46242.441875</v>
      </c>
      <c r="C708" s="37" t="s">
        <v>340</v>
      </c>
      <c r="D708" s="37" t="s">
        <v>920</v>
      </c>
      <c r="E708" s="37" t="n">
        <v>25850000</v>
      </c>
      <c r="F708" s="37" t="s">
        <v>230</v>
      </c>
      <c r="G708" s="37" t="s">
        <v>198</v>
      </c>
      <c r="H708" s="37" t="s">
        <v>184</v>
      </c>
      <c r="I708" s="37" t="n">
        <v>31.9</v>
      </c>
      <c r="J708" s="39" t="n">
        <v>533.6</v>
      </c>
      <c r="K708" s="37" t="s">
        <v>518</v>
      </c>
      <c r="L708" s="39" t="n">
        <v>110.08</v>
      </c>
      <c r="M708" s="39" t="n">
        <v>65.63</v>
      </c>
      <c r="N708" s="39" t="n">
        <f aca="false">J708*Resumo!$C$6</f>
        <v>0</v>
      </c>
      <c r="O708" s="39" t="n">
        <f aca="false">J708*Resumo!$C$7</f>
        <v>1.12056</v>
      </c>
      <c r="P708" s="39" t="n">
        <f aca="false">J708*Resumo!$C$8</f>
        <v>1.12056</v>
      </c>
      <c r="Q708" s="39" t="n">
        <f aca="false">Resumo!$C$10*CEILING(I708/100,1)</f>
        <v>1.05</v>
      </c>
      <c r="R708" s="39" t="n">
        <f aca="false">Resumo!$C$9</f>
        <v>0</v>
      </c>
      <c r="S708" s="39" t="n">
        <f aca="false">Resumo!$C$13</f>
        <v>13.55</v>
      </c>
      <c r="T708" s="39" t="n">
        <f aca="false">Resumo!$C$14*CEILING(I708,1)</f>
        <v>14.4</v>
      </c>
      <c r="U708" s="39" t="n">
        <f aca="false">SUM(M708:T708)*Resumo!$C$11</f>
        <v>0</v>
      </c>
      <c r="V708" s="39" t="n">
        <f aca="false">SUM(M708:U708)</f>
        <v>96.87112</v>
      </c>
      <c r="W708" s="39" t="n">
        <f aca="false">V708/(1-Resumo!$C$5)</f>
        <v>110.080818181818</v>
      </c>
      <c r="X708" s="39" t="n">
        <v>120.78</v>
      </c>
      <c r="Y708" s="39" t="n">
        <f aca="false">J708*Resumo!$B$6</f>
        <v>0.5336</v>
      </c>
      <c r="Z708" s="39" t="n">
        <f aca="false">J708*Resumo!$B$7</f>
        <v>1.0672</v>
      </c>
      <c r="AA708" s="39" t="n">
        <f aca="false">Resumo!$B$9</f>
        <v>1</v>
      </c>
      <c r="AB708" s="39" t="n">
        <f aca="false">Resumo!$B$10*CEILING(I708/100,1)</f>
        <v>4.5</v>
      </c>
      <c r="AC708" s="39" t="n">
        <f aca="false">Resumo!$B$12*CEILING(I708,1)</f>
        <v>1.92</v>
      </c>
      <c r="AD708" s="39" t="n">
        <f aca="false">Resumo!$B$14*CEILING(I708,1)</f>
        <v>14.4</v>
      </c>
      <c r="AE708" s="39" t="n">
        <f aca="false">SUM(X708:AD708)</f>
        <v>144.2008</v>
      </c>
      <c r="AF708" s="39" t="n">
        <f aca="false">AE708/(1-Resumo!$B$5)</f>
        <v>163.864545454545</v>
      </c>
      <c r="AG708" s="39" t="n">
        <f aca="false">AF708-W708</f>
        <v>53.7837272727273</v>
      </c>
      <c r="AH708" s="40" t="n">
        <f aca="false">AF708/W708-1</f>
        <v>0.488584007287208</v>
      </c>
      <c r="AI708" s="37" t="str">
        <f aca="false">IF(AF708&lt;W708,"SIM","NÃO")</f>
        <v>NÃO</v>
      </c>
      <c r="AJ708" s="37" t="n">
        <v>13</v>
      </c>
      <c r="AK708" s="37" t="n">
        <v>10</v>
      </c>
      <c r="AL708" s="37" t="s">
        <v>347</v>
      </c>
      <c r="AM708" s="39" t="n">
        <v>109.74</v>
      </c>
    </row>
    <row r="709" customFormat="false" ht="15" hidden="false" customHeight="false" outlineLevel="0" collapsed="false">
      <c r="A709" s="37" t="n">
        <v>373321462</v>
      </c>
      <c r="B709" s="38" t="n">
        <v>46242.4480902778</v>
      </c>
      <c r="C709" s="37" t="s">
        <v>375</v>
      </c>
      <c r="D709" s="37" t="s">
        <v>955</v>
      </c>
      <c r="E709" s="37" t="n">
        <v>20765171</v>
      </c>
      <c r="F709" s="37" t="s">
        <v>159</v>
      </c>
      <c r="G709" s="37" t="s">
        <v>196</v>
      </c>
      <c r="H709" s="37" t="s">
        <v>187</v>
      </c>
      <c r="I709" s="37" t="n">
        <v>60</v>
      </c>
      <c r="J709" s="39" t="n">
        <v>797.62</v>
      </c>
      <c r="K709" s="37" t="s">
        <v>342</v>
      </c>
      <c r="L709" s="39" t="n">
        <v>114.99</v>
      </c>
      <c r="M709" s="39" t="n">
        <v>58.6</v>
      </c>
      <c r="N709" s="39" t="n">
        <f aca="false">J709*Resumo!$C$6</f>
        <v>0</v>
      </c>
      <c r="O709" s="39" t="n">
        <f aca="false">J709*Resumo!$C$7</f>
        <v>1.675002</v>
      </c>
      <c r="P709" s="39" t="n">
        <f aca="false">J709*Resumo!$C$8</f>
        <v>1.675002</v>
      </c>
      <c r="Q709" s="39" t="n">
        <f aca="false">Resumo!$C$10*CEILING(I709/100,1)</f>
        <v>1.05</v>
      </c>
      <c r="R709" s="39" t="n">
        <f aca="false">Resumo!$C$9</f>
        <v>0</v>
      </c>
      <c r="S709" s="39" t="n">
        <f aca="false">Resumo!$C$13</f>
        <v>13.55</v>
      </c>
      <c r="T709" s="39" t="n">
        <f aca="false">Resumo!$C$14*CEILING(I709,1)</f>
        <v>27</v>
      </c>
      <c r="U709" s="39" t="n">
        <f aca="false">SUM(M709:T709)*Resumo!$C$11</f>
        <v>0</v>
      </c>
      <c r="V709" s="39" t="n">
        <f aca="false">SUM(M709:U709)</f>
        <v>103.550004</v>
      </c>
      <c r="W709" s="39" t="n">
        <f aca="false">V709/(1-Resumo!$C$5)</f>
        <v>117.670459090909</v>
      </c>
      <c r="X709" s="39" t="n">
        <v>112.3</v>
      </c>
      <c r="Y709" s="39" t="n">
        <f aca="false">J709*Resumo!$B$6</f>
        <v>0.79762</v>
      </c>
      <c r="Z709" s="39" t="n">
        <f aca="false">J709*Resumo!$B$7</f>
        <v>1.59524</v>
      </c>
      <c r="AA709" s="39" t="n">
        <f aca="false">Resumo!$B$9</f>
        <v>1</v>
      </c>
      <c r="AB709" s="39" t="n">
        <f aca="false">Resumo!$B$10*CEILING(I709/100,1)</f>
        <v>4.5</v>
      </c>
      <c r="AC709" s="39" t="n">
        <f aca="false">Resumo!$B$12*CEILING(I709,1)</f>
        <v>3.6</v>
      </c>
      <c r="AD709" s="39" t="n">
        <f aca="false">Resumo!$B$14*CEILING(I709,1)</f>
        <v>27</v>
      </c>
      <c r="AE709" s="39" t="n">
        <f aca="false">SUM(X709:AD709)</f>
        <v>150.79286</v>
      </c>
      <c r="AF709" s="39" t="n">
        <f aca="false">AE709/(1-Resumo!$B$5)</f>
        <v>171.355522727273</v>
      </c>
      <c r="AG709" s="39" t="n">
        <f aca="false">AF709-W709</f>
        <v>53.6850636363636</v>
      </c>
      <c r="AH709" s="40" t="n">
        <f aca="false">AF709/W709-1</f>
        <v>0.45623229526867</v>
      </c>
      <c r="AI709" s="37" t="str">
        <f aca="false">IF(AF709&lt;W709,"SIM","NÃO")</f>
        <v>NÃO</v>
      </c>
      <c r="AJ709" s="37" t="n">
        <v>2</v>
      </c>
      <c r="AK709" s="37" t="n">
        <v>5</v>
      </c>
      <c r="AL709" s="37" t="s">
        <v>343</v>
      </c>
      <c r="AM709" s="39" t="n">
        <v>114.97</v>
      </c>
    </row>
    <row r="710" customFormat="false" ht="15" hidden="false" customHeight="false" outlineLevel="0" collapsed="false">
      <c r="A710" s="37" t="n">
        <v>373327129</v>
      </c>
      <c r="B710" s="38" t="n">
        <v>46242.4501967593</v>
      </c>
      <c r="C710" s="37" t="s">
        <v>340</v>
      </c>
      <c r="D710" s="37" t="s">
        <v>1030</v>
      </c>
      <c r="E710" s="37" t="n">
        <v>21072150</v>
      </c>
      <c r="F710" s="37" t="s">
        <v>159</v>
      </c>
      <c r="G710" s="37" t="s">
        <v>196</v>
      </c>
      <c r="H710" s="37" t="s">
        <v>186</v>
      </c>
      <c r="I710" s="37" t="n">
        <v>43.5</v>
      </c>
      <c r="J710" s="39" t="n">
        <v>690.99</v>
      </c>
      <c r="K710" s="37" t="s">
        <v>342</v>
      </c>
      <c r="L710" s="39" t="n">
        <v>103.9</v>
      </c>
      <c r="M710" s="39" t="n">
        <v>53.55</v>
      </c>
      <c r="N710" s="39" t="n">
        <f aca="false">J710*Resumo!$C$6</f>
        <v>0</v>
      </c>
      <c r="O710" s="39" t="n">
        <f aca="false">J710*Resumo!$C$7</f>
        <v>1.451079</v>
      </c>
      <c r="P710" s="39" t="n">
        <f aca="false">J710*Resumo!$C$8</f>
        <v>1.451079</v>
      </c>
      <c r="Q710" s="39" t="n">
        <f aca="false">Resumo!$C$10*CEILING(I710/100,1)</f>
        <v>1.05</v>
      </c>
      <c r="R710" s="39" t="n">
        <f aca="false">Resumo!$C$9</f>
        <v>0</v>
      </c>
      <c r="S710" s="39" t="n">
        <f aca="false">Resumo!$C$13</f>
        <v>13.55</v>
      </c>
      <c r="T710" s="39" t="n">
        <f aca="false">Resumo!$C$14*CEILING(I710,1)</f>
        <v>19.8</v>
      </c>
      <c r="U710" s="39" t="n">
        <f aca="false">SUM(M710:T710)*Resumo!$C$11</f>
        <v>0</v>
      </c>
      <c r="V710" s="39" t="n">
        <f aca="false">SUM(M710:U710)</f>
        <v>90.852158</v>
      </c>
      <c r="W710" s="39" t="n">
        <f aca="false">V710/(1-Resumo!$C$5)</f>
        <v>103.241088636364</v>
      </c>
      <c r="X710" s="39" t="n">
        <v>93.97</v>
      </c>
      <c r="Y710" s="39" t="n">
        <f aca="false">J710*Resumo!$B$6</f>
        <v>0.69099</v>
      </c>
      <c r="Z710" s="39" t="n">
        <f aca="false">J710*Resumo!$B$7</f>
        <v>1.38198</v>
      </c>
      <c r="AA710" s="39" t="n">
        <f aca="false">Resumo!$B$9</f>
        <v>1</v>
      </c>
      <c r="AB710" s="39" t="n">
        <f aca="false">Resumo!$B$10*CEILING(I710/100,1)</f>
        <v>4.5</v>
      </c>
      <c r="AC710" s="39" t="n">
        <f aca="false">Resumo!$B$12*CEILING(I710,1)</f>
        <v>2.64</v>
      </c>
      <c r="AD710" s="39" t="n">
        <f aca="false">Resumo!$B$14*CEILING(I710,1)</f>
        <v>19.8</v>
      </c>
      <c r="AE710" s="39" t="n">
        <f aca="false">SUM(X710:AD710)</f>
        <v>123.98297</v>
      </c>
      <c r="AF710" s="39" t="n">
        <f aca="false">AE710/(1-Resumo!$B$5)</f>
        <v>140.889738636364</v>
      </c>
      <c r="AG710" s="39" t="n">
        <f aca="false">AF710-W710</f>
        <v>37.64865</v>
      </c>
      <c r="AH710" s="40" t="n">
        <f aca="false">AF710/W710-1</f>
        <v>0.364667309278443</v>
      </c>
      <c r="AI710" s="37" t="str">
        <f aca="false">IF(AF710&lt;W710,"SIM","NÃO")</f>
        <v>NÃO</v>
      </c>
      <c r="AJ710" s="37" t="n">
        <v>2</v>
      </c>
      <c r="AK710" s="37" t="n">
        <v>5</v>
      </c>
      <c r="AL710" s="37" t="s">
        <v>343</v>
      </c>
      <c r="AM710" s="39" t="n">
        <v>103.9</v>
      </c>
    </row>
    <row r="711" customFormat="false" ht="15" hidden="false" customHeight="false" outlineLevel="0" collapsed="false">
      <c r="A711" s="37" t="n">
        <v>373327944</v>
      </c>
      <c r="B711" s="38" t="n">
        <v>46242.4514467593</v>
      </c>
      <c r="C711" s="37" t="s">
        <v>340</v>
      </c>
      <c r="D711" s="37" t="s">
        <v>1031</v>
      </c>
      <c r="E711" s="37" t="n">
        <v>24344121</v>
      </c>
      <c r="F711" s="37" t="s">
        <v>163</v>
      </c>
      <c r="G711" s="37" t="s">
        <v>197</v>
      </c>
      <c r="H711" s="37" t="s">
        <v>184</v>
      </c>
      <c r="I711" s="37" t="n">
        <v>31.9</v>
      </c>
      <c r="J711" s="39" t="n">
        <v>533.6</v>
      </c>
      <c r="K711" s="37" t="s">
        <v>342</v>
      </c>
      <c r="L711" s="39" t="n">
        <v>101.95</v>
      </c>
      <c r="M711" s="39" t="n">
        <v>58.8</v>
      </c>
      <c r="N711" s="39" t="n">
        <f aca="false">J711*Resumo!$C$6</f>
        <v>0</v>
      </c>
      <c r="O711" s="39" t="n">
        <f aca="false">J711*Resumo!$C$7</f>
        <v>1.12056</v>
      </c>
      <c r="P711" s="39" t="n">
        <f aca="false">J711*Resumo!$C$8</f>
        <v>1.12056</v>
      </c>
      <c r="Q711" s="39" t="n">
        <f aca="false">Resumo!$C$10*CEILING(I711/100,1)</f>
        <v>1.05</v>
      </c>
      <c r="R711" s="39" t="n">
        <f aca="false">Resumo!$C$9</f>
        <v>0</v>
      </c>
      <c r="S711" s="39" t="n">
        <f aca="false">Resumo!$C$13</f>
        <v>13.55</v>
      </c>
      <c r="T711" s="39" t="n">
        <f aca="false">Resumo!$C$14*CEILING(I711,1)</f>
        <v>14.4</v>
      </c>
      <c r="U711" s="39" t="n">
        <f aca="false">SUM(M711:T711)*Resumo!$C$11</f>
        <v>0</v>
      </c>
      <c r="V711" s="39" t="n">
        <f aca="false">SUM(M711:U711)</f>
        <v>90.04112</v>
      </c>
      <c r="W711" s="39" t="n">
        <f aca="false">V711/(1-Resumo!$C$5)</f>
        <v>102.319454545455</v>
      </c>
      <c r="X711" s="39" t="n">
        <v>100.58</v>
      </c>
      <c r="Y711" s="39" t="n">
        <f aca="false">J711*Resumo!$B$6</f>
        <v>0.5336</v>
      </c>
      <c r="Z711" s="39" t="n">
        <f aca="false">J711*Resumo!$B$7</f>
        <v>1.0672</v>
      </c>
      <c r="AA711" s="39" t="n">
        <f aca="false">Resumo!$B$9</f>
        <v>1</v>
      </c>
      <c r="AB711" s="39" t="n">
        <f aca="false">Resumo!$B$10*CEILING(I711/100,1)</f>
        <v>4.5</v>
      </c>
      <c r="AC711" s="39" t="n">
        <f aca="false">Resumo!$B$12*CEILING(I711,1)</f>
        <v>1.92</v>
      </c>
      <c r="AD711" s="39" t="n">
        <f aca="false">Resumo!$B$14*CEILING(I711,1)</f>
        <v>14.4</v>
      </c>
      <c r="AE711" s="39" t="n">
        <f aca="false">SUM(X711:AD711)</f>
        <v>124.0008</v>
      </c>
      <c r="AF711" s="39" t="n">
        <f aca="false">AE711/(1-Resumo!$B$5)</f>
        <v>140.91</v>
      </c>
      <c r="AG711" s="39" t="n">
        <f aca="false">AF711-W711</f>
        <v>38.5905454545455</v>
      </c>
      <c r="AH711" s="40" t="n">
        <f aca="false">AF711/W711-1</f>
        <v>0.377157458725524</v>
      </c>
      <c r="AI711" s="37" t="str">
        <f aca="false">IF(AF711&lt;W711,"SIM","NÃO")</f>
        <v>NÃO</v>
      </c>
      <c r="AJ711" s="37" t="n">
        <v>2</v>
      </c>
      <c r="AK711" s="37" t="n">
        <v>7</v>
      </c>
      <c r="AL711" s="37" t="s">
        <v>343</v>
      </c>
      <c r="AM711" s="39" t="n">
        <v>101.94</v>
      </c>
    </row>
    <row r="712" customFormat="false" ht="15" hidden="false" customHeight="false" outlineLevel="0" collapsed="false">
      <c r="A712" s="37" t="n">
        <v>373336033</v>
      </c>
      <c r="B712" s="38" t="n">
        <v>46242.4638888889</v>
      </c>
      <c r="C712" s="37" t="s">
        <v>340</v>
      </c>
      <c r="D712" s="37" t="s">
        <v>1032</v>
      </c>
      <c r="E712" s="37" t="n">
        <v>26297072</v>
      </c>
      <c r="F712" s="37" t="s">
        <v>162</v>
      </c>
      <c r="G712" s="37" t="s">
        <v>197</v>
      </c>
      <c r="H712" s="37" t="s">
        <v>189</v>
      </c>
      <c r="I712" s="37" t="n">
        <v>71.9</v>
      </c>
      <c r="J712" s="39" t="n">
        <v>793.68</v>
      </c>
      <c r="K712" s="37" t="s">
        <v>342</v>
      </c>
      <c r="L712" s="39" t="n">
        <v>151.81</v>
      </c>
      <c r="M712" s="39" t="n">
        <v>82.48</v>
      </c>
      <c r="N712" s="39" t="n">
        <f aca="false">J712*Resumo!$C$6</f>
        <v>0</v>
      </c>
      <c r="O712" s="39" t="n">
        <f aca="false">J712*Resumo!$C$7</f>
        <v>1.666728</v>
      </c>
      <c r="P712" s="39" t="n">
        <f aca="false">J712*Resumo!$C$8</f>
        <v>1.666728</v>
      </c>
      <c r="Q712" s="39" t="n">
        <f aca="false">Resumo!$C$10*CEILING(I712/100,1)</f>
        <v>1.05</v>
      </c>
      <c r="R712" s="39" t="n">
        <f aca="false">Resumo!$C$9</f>
        <v>0</v>
      </c>
      <c r="S712" s="39" t="n">
        <f aca="false">Resumo!$C$13</f>
        <v>13.55</v>
      </c>
      <c r="T712" s="39" t="n">
        <f aca="false">Resumo!$C$14*CEILING(I712,1)</f>
        <v>32.4</v>
      </c>
      <c r="U712" s="39" t="n">
        <f aca="false">SUM(M712:T712)*Resumo!$C$11</f>
        <v>0</v>
      </c>
      <c r="V712" s="39" t="n">
        <f aca="false">SUM(M712:U712)</f>
        <v>132.813456</v>
      </c>
      <c r="W712" s="39" t="n">
        <f aca="false">V712/(1-Resumo!$C$5)</f>
        <v>150.924381818182</v>
      </c>
      <c r="X712" s="39" t="n">
        <v>134.39</v>
      </c>
      <c r="Y712" s="39" t="n">
        <f aca="false">J712*Resumo!$B$6</f>
        <v>0.79368</v>
      </c>
      <c r="Z712" s="39" t="n">
        <f aca="false">J712*Resumo!$B$7</f>
        <v>1.58736</v>
      </c>
      <c r="AA712" s="39" t="n">
        <f aca="false">Resumo!$B$9</f>
        <v>1</v>
      </c>
      <c r="AB712" s="39" t="n">
        <f aca="false">Resumo!$B$10*CEILING(I712/100,1)</f>
        <v>4.5</v>
      </c>
      <c r="AC712" s="39" t="n">
        <f aca="false">Resumo!$B$12*CEILING(I712,1)</f>
        <v>4.32</v>
      </c>
      <c r="AD712" s="39" t="n">
        <f aca="false">Resumo!$B$14*CEILING(I712,1)</f>
        <v>32.4</v>
      </c>
      <c r="AE712" s="39" t="n">
        <f aca="false">SUM(X712:AD712)</f>
        <v>178.99104</v>
      </c>
      <c r="AF712" s="39" t="n">
        <f aca="false">AE712/(1-Resumo!$B$5)</f>
        <v>203.398909090909</v>
      </c>
      <c r="AG712" s="39" t="n">
        <f aca="false">AF712-W712</f>
        <v>52.4745272727273</v>
      </c>
      <c r="AH712" s="40" t="n">
        <f aca="false">AF712/W712-1</f>
        <v>0.347687541539466</v>
      </c>
      <c r="AI712" s="37" t="str">
        <f aca="false">IF(AF712&lt;W712,"SIM","NÃO")</f>
        <v>NÃO</v>
      </c>
      <c r="AJ712" s="37" t="n">
        <v>2</v>
      </c>
      <c r="AK712" s="37" t="n">
        <v>5</v>
      </c>
      <c r="AL712" s="37" t="s">
        <v>343</v>
      </c>
      <c r="AM712" s="39" t="n">
        <v>151.81</v>
      </c>
    </row>
    <row r="713" customFormat="false" ht="15" hidden="false" customHeight="false" outlineLevel="0" collapsed="false">
      <c r="A713" s="37" t="n">
        <v>373265347</v>
      </c>
      <c r="B713" s="38" t="n">
        <v>46242.4688078704</v>
      </c>
      <c r="C713" s="37" t="s">
        <v>375</v>
      </c>
      <c r="D713" s="37" t="s">
        <v>1033</v>
      </c>
      <c r="E713" s="37" t="n">
        <v>23894658</v>
      </c>
      <c r="F713" s="37" t="s">
        <v>221</v>
      </c>
      <c r="G713" s="37" t="s">
        <v>198</v>
      </c>
      <c r="H713" s="37" t="s">
        <v>187</v>
      </c>
      <c r="I713" s="37" t="n">
        <v>52.3</v>
      </c>
      <c r="J713" s="39" t="n">
        <v>689.99</v>
      </c>
      <c r="K713" s="37" t="s">
        <v>518</v>
      </c>
      <c r="L713" s="39" t="n">
        <v>141.97</v>
      </c>
      <c r="M713" s="39" t="n">
        <v>83.58</v>
      </c>
      <c r="N713" s="39" t="n">
        <f aca="false">J713*Resumo!$C$6</f>
        <v>0</v>
      </c>
      <c r="O713" s="39" t="n">
        <f aca="false">J713*Resumo!$C$7</f>
        <v>1.448979</v>
      </c>
      <c r="P713" s="39" t="n">
        <f aca="false">J713*Resumo!$C$8</f>
        <v>1.448979</v>
      </c>
      <c r="Q713" s="39" t="n">
        <f aca="false">Resumo!$C$10*CEILING(I713/100,1)</f>
        <v>1.05</v>
      </c>
      <c r="R713" s="39" t="n">
        <f aca="false">Resumo!$C$9</f>
        <v>0</v>
      </c>
      <c r="S713" s="39" t="n">
        <f aca="false">Resumo!$C$13</f>
        <v>13.55</v>
      </c>
      <c r="T713" s="39" t="n">
        <f aca="false">Resumo!$C$14*CEILING(I713,1)</f>
        <v>23.85</v>
      </c>
      <c r="U713" s="39" t="n">
        <f aca="false">SUM(M713:T713)*Resumo!$C$11</f>
        <v>0</v>
      </c>
      <c r="V713" s="39" t="n">
        <f aca="false">SUM(M713:U713)</f>
        <v>124.927958</v>
      </c>
      <c r="W713" s="39" t="n">
        <f aca="false">V713/(1-Resumo!$C$5)</f>
        <v>141.963588636364</v>
      </c>
      <c r="X713" s="39" t="n">
        <v>122.3</v>
      </c>
      <c r="Y713" s="39" t="n">
        <f aca="false">J713*Resumo!$B$6</f>
        <v>0.68999</v>
      </c>
      <c r="Z713" s="39" t="n">
        <f aca="false">J713*Resumo!$B$7</f>
        <v>1.37998</v>
      </c>
      <c r="AA713" s="39" t="n">
        <f aca="false">Resumo!$B$9</f>
        <v>1</v>
      </c>
      <c r="AB713" s="39" t="n">
        <f aca="false">Resumo!$B$10*CEILING(I713/100,1)</f>
        <v>4.5</v>
      </c>
      <c r="AC713" s="39" t="n">
        <f aca="false">Resumo!$B$12*CEILING(I713,1)</f>
        <v>3.18</v>
      </c>
      <c r="AD713" s="39" t="n">
        <f aca="false">Resumo!$B$14*CEILING(I713,1)</f>
        <v>23.85</v>
      </c>
      <c r="AE713" s="39" t="n">
        <f aca="false">SUM(X713:AD713)</f>
        <v>156.89997</v>
      </c>
      <c r="AF713" s="39" t="n">
        <f aca="false">AE713/(1-Resumo!$B$5)</f>
        <v>178.295420454545</v>
      </c>
      <c r="AG713" s="39" t="n">
        <f aca="false">AF713-W713</f>
        <v>36.3318318181818</v>
      </c>
      <c r="AH713" s="40" t="n">
        <f aca="false">AF713/W713-1</f>
        <v>0.255923593980461</v>
      </c>
      <c r="AI713" s="37" t="str">
        <f aca="false">IF(AF713&lt;W713,"SIM","NÃO")</f>
        <v>NÃO</v>
      </c>
      <c r="AJ713" s="37" t="n">
        <v>13</v>
      </c>
      <c r="AK713" s="37" t="n">
        <v>5</v>
      </c>
      <c r="AL713" s="37" t="s">
        <v>347</v>
      </c>
      <c r="AM713" s="39" t="n">
        <v>142.98</v>
      </c>
    </row>
    <row r="714" customFormat="false" ht="15" hidden="false" customHeight="false" outlineLevel="0" collapsed="false">
      <c r="A714" s="37" t="n">
        <v>373340068</v>
      </c>
      <c r="B714" s="38" t="n">
        <v>46242.4702662037</v>
      </c>
      <c r="C714" s="37" t="s">
        <v>340</v>
      </c>
      <c r="D714" s="37" t="s">
        <v>1034</v>
      </c>
      <c r="E714" s="37" t="n">
        <v>26116260</v>
      </c>
      <c r="F714" s="37" t="s">
        <v>165</v>
      </c>
      <c r="G714" s="37" t="s">
        <v>197</v>
      </c>
      <c r="H714" s="37" t="s">
        <v>186</v>
      </c>
      <c r="I714" s="37" t="n">
        <v>48.3</v>
      </c>
      <c r="J714" s="39" t="n">
        <v>429.99</v>
      </c>
      <c r="K714" s="37" t="s">
        <v>518</v>
      </c>
      <c r="L714" s="39" t="n">
        <v>117.97</v>
      </c>
      <c r="M714" s="39" t="n">
        <v>65.36</v>
      </c>
      <c r="N714" s="39" t="n">
        <f aca="false">J714*Resumo!$C$6</f>
        <v>0</v>
      </c>
      <c r="O714" s="39" t="n">
        <f aca="false">J714*Resumo!$C$7</f>
        <v>0.902979</v>
      </c>
      <c r="P714" s="39" t="n">
        <f aca="false">J714*Resumo!$C$8</f>
        <v>0.902979</v>
      </c>
      <c r="Q714" s="39" t="n">
        <f aca="false">Resumo!$C$10*CEILING(I714/100,1)</f>
        <v>1.05</v>
      </c>
      <c r="R714" s="39" t="n">
        <f aca="false">Resumo!$C$9</f>
        <v>0</v>
      </c>
      <c r="S714" s="39" t="n">
        <f aca="false">Resumo!$C$13</f>
        <v>13.55</v>
      </c>
      <c r="T714" s="39" t="n">
        <f aca="false">Resumo!$C$14*CEILING(I714,1)</f>
        <v>22.05</v>
      </c>
      <c r="U714" s="39" t="n">
        <f aca="false">SUM(M714:T714)*Resumo!$C$11</f>
        <v>0</v>
      </c>
      <c r="V714" s="39" t="n">
        <f aca="false">SUM(M714:U714)</f>
        <v>103.815958</v>
      </c>
      <c r="W714" s="39" t="n">
        <f aca="false">V714/(1-Resumo!$C$5)</f>
        <v>117.972679545455</v>
      </c>
      <c r="X714" s="39" t="n">
        <v>93.97</v>
      </c>
      <c r="Y714" s="39" t="n">
        <f aca="false">J714*Resumo!$B$6</f>
        <v>0.42999</v>
      </c>
      <c r="Z714" s="39" t="n">
        <f aca="false">J714*Resumo!$B$7</f>
        <v>0.85998</v>
      </c>
      <c r="AA714" s="39" t="n">
        <f aca="false">Resumo!$B$9</f>
        <v>1</v>
      </c>
      <c r="AB714" s="39" t="n">
        <f aca="false">Resumo!$B$10*CEILING(I714/100,1)</f>
        <v>4.5</v>
      </c>
      <c r="AC714" s="39" t="n">
        <f aca="false">Resumo!$B$12*CEILING(I714,1)</f>
        <v>2.94</v>
      </c>
      <c r="AD714" s="39" t="n">
        <f aca="false">Resumo!$B$14*CEILING(I714,1)</f>
        <v>22.05</v>
      </c>
      <c r="AE714" s="39" t="n">
        <f aca="false">SUM(X714:AD714)</f>
        <v>125.74997</v>
      </c>
      <c r="AF714" s="39" t="n">
        <f aca="false">AE714/(1-Resumo!$B$5)</f>
        <v>142.897693181818</v>
      </c>
      <c r="AG714" s="39" t="n">
        <f aca="false">AF714-W714</f>
        <v>24.9250136363636</v>
      </c>
      <c r="AH714" s="40" t="n">
        <f aca="false">AF714/W714-1</f>
        <v>0.211277846128434</v>
      </c>
      <c r="AI714" s="37" t="str">
        <f aca="false">IF(AF714&lt;W714,"SIM","NÃO")</f>
        <v>NÃO</v>
      </c>
      <c r="AJ714" s="37" t="n">
        <v>2</v>
      </c>
      <c r="AK714" s="37" t="n">
        <v>5</v>
      </c>
      <c r="AL714" s="37" t="s">
        <v>343</v>
      </c>
      <c r="AM714" s="39" t="n">
        <v>116.13</v>
      </c>
    </row>
    <row r="715" customFormat="false" ht="15" hidden="false" customHeight="false" outlineLevel="0" collapsed="false">
      <c r="A715" s="37" t="n">
        <v>373340591</v>
      </c>
      <c r="B715" s="38" t="n">
        <v>46242.471412037</v>
      </c>
      <c r="C715" s="37" t="s">
        <v>340</v>
      </c>
      <c r="D715" s="37" t="s">
        <v>1035</v>
      </c>
      <c r="E715" s="37" t="n">
        <v>24806686</v>
      </c>
      <c r="F715" s="37" t="s">
        <v>174</v>
      </c>
      <c r="G715" s="37" t="s">
        <v>198</v>
      </c>
      <c r="H715" s="37" t="s">
        <v>184</v>
      </c>
      <c r="I715" s="37" t="n">
        <v>31.9</v>
      </c>
      <c r="J715" s="39" t="n">
        <v>533.6</v>
      </c>
      <c r="K715" s="37" t="s">
        <v>518</v>
      </c>
      <c r="L715" s="39" t="n">
        <v>110.08</v>
      </c>
      <c r="M715" s="39" t="n">
        <v>65.63</v>
      </c>
      <c r="N715" s="39" t="n">
        <f aca="false">J715*Resumo!$C$6</f>
        <v>0</v>
      </c>
      <c r="O715" s="39" t="n">
        <f aca="false">J715*Resumo!$C$7</f>
        <v>1.12056</v>
      </c>
      <c r="P715" s="39" t="n">
        <f aca="false">J715*Resumo!$C$8</f>
        <v>1.12056</v>
      </c>
      <c r="Q715" s="39" t="n">
        <f aca="false">Resumo!$C$10*CEILING(I715/100,1)</f>
        <v>1.05</v>
      </c>
      <c r="R715" s="39" t="n">
        <f aca="false">Resumo!$C$9</f>
        <v>0</v>
      </c>
      <c r="S715" s="39" t="n">
        <f aca="false">Resumo!$C$13</f>
        <v>13.55</v>
      </c>
      <c r="T715" s="39" t="n">
        <f aca="false">Resumo!$C$14*CEILING(I715,1)</f>
        <v>14.4</v>
      </c>
      <c r="U715" s="39" t="n">
        <f aca="false">SUM(M715:T715)*Resumo!$C$11</f>
        <v>0</v>
      </c>
      <c r="V715" s="39" t="n">
        <f aca="false">SUM(M715:U715)</f>
        <v>96.87112</v>
      </c>
      <c r="W715" s="39" t="n">
        <f aca="false">V715/(1-Resumo!$C$5)</f>
        <v>110.080818181818</v>
      </c>
      <c r="X715" s="39" t="n">
        <v>100.58</v>
      </c>
      <c r="Y715" s="39" t="n">
        <f aca="false">J715*Resumo!$B$6</f>
        <v>0.5336</v>
      </c>
      <c r="Z715" s="39" t="n">
        <f aca="false">J715*Resumo!$B$7</f>
        <v>1.0672</v>
      </c>
      <c r="AA715" s="39" t="n">
        <f aca="false">Resumo!$B$9</f>
        <v>1</v>
      </c>
      <c r="AB715" s="39" t="n">
        <f aca="false">Resumo!$B$10*CEILING(I715/100,1)</f>
        <v>4.5</v>
      </c>
      <c r="AC715" s="39" t="n">
        <f aca="false">Resumo!$B$12*CEILING(I715,1)</f>
        <v>1.92</v>
      </c>
      <c r="AD715" s="39" t="n">
        <f aca="false">Resumo!$B$14*CEILING(I715,1)</f>
        <v>14.4</v>
      </c>
      <c r="AE715" s="39" t="n">
        <f aca="false">SUM(X715:AD715)</f>
        <v>124.0008</v>
      </c>
      <c r="AF715" s="39" t="n">
        <f aca="false">AE715/(1-Resumo!$B$5)</f>
        <v>140.91</v>
      </c>
      <c r="AG715" s="39" t="n">
        <f aca="false">AF715-W715</f>
        <v>30.8291818181818</v>
      </c>
      <c r="AH715" s="40" t="n">
        <f aca="false">AF715/W715-1</f>
        <v>0.280059526513165</v>
      </c>
      <c r="AI715" s="37" t="str">
        <f aca="false">IF(AF715&lt;W715,"SIM","NÃO")</f>
        <v>NÃO</v>
      </c>
      <c r="AJ715" s="37" t="n">
        <v>13</v>
      </c>
      <c r="AK715" s="37" t="n">
        <v>7</v>
      </c>
      <c r="AL715" s="37" t="s">
        <v>343</v>
      </c>
      <c r="AM715" s="39" t="n">
        <v>109.74</v>
      </c>
    </row>
    <row r="716" customFormat="false" ht="15" hidden="false" customHeight="false" outlineLevel="0" collapsed="false">
      <c r="A716" s="37" t="n">
        <v>373341339</v>
      </c>
      <c r="B716" s="38" t="n">
        <v>46242.4723726852</v>
      </c>
      <c r="C716" s="37" t="s">
        <v>340</v>
      </c>
      <c r="D716" s="37" t="s">
        <v>1036</v>
      </c>
      <c r="E716" s="37" t="n">
        <v>21060630</v>
      </c>
      <c r="F716" s="37" t="s">
        <v>159</v>
      </c>
      <c r="G716" s="37" t="s">
        <v>196</v>
      </c>
      <c r="H716" s="37" t="s">
        <v>186</v>
      </c>
      <c r="I716" s="37" t="n">
        <v>45.5</v>
      </c>
      <c r="J716" s="39" t="n">
        <v>515.2</v>
      </c>
      <c r="K716" s="37" t="s">
        <v>342</v>
      </c>
      <c r="L716" s="39" t="n">
        <v>103.06</v>
      </c>
      <c r="M716" s="39" t="n">
        <v>53.55</v>
      </c>
      <c r="N716" s="39" t="n">
        <f aca="false">J716*Resumo!$C$6</f>
        <v>0</v>
      </c>
      <c r="O716" s="39" t="n">
        <f aca="false">J716*Resumo!$C$7</f>
        <v>1.08192</v>
      </c>
      <c r="P716" s="39" t="n">
        <f aca="false">J716*Resumo!$C$8</f>
        <v>1.08192</v>
      </c>
      <c r="Q716" s="39" t="n">
        <f aca="false">Resumo!$C$10*CEILING(I716/100,1)</f>
        <v>1.05</v>
      </c>
      <c r="R716" s="39" t="n">
        <f aca="false">Resumo!$C$9</f>
        <v>0</v>
      </c>
      <c r="S716" s="39" t="n">
        <f aca="false">Resumo!$C$13</f>
        <v>13.55</v>
      </c>
      <c r="T716" s="39" t="n">
        <f aca="false">Resumo!$C$14*CEILING(I716,1)</f>
        <v>20.7</v>
      </c>
      <c r="U716" s="39" t="n">
        <f aca="false">SUM(M716:T716)*Resumo!$C$11</f>
        <v>0</v>
      </c>
      <c r="V716" s="39" t="n">
        <f aca="false">SUM(M716:U716)</f>
        <v>91.01384</v>
      </c>
      <c r="W716" s="39" t="n">
        <f aca="false">V716/(1-Resumo!$C$5)</f>
        <v>103.424818181818</v>
      </c>
      <c r="X716" s="39" t="n">
        <v>93.97</v>
      </c>
      <c r="Y716" s="39" t="n">
        <f aca="false">J716*Resumo!$B$6</f>
        <v>0.5152</v>
      </c>
      <c r="Z716" s="39" t="n">
        <f aca="false">J716*Resumo!$B$7</f>
        <v>1.0304</v>
      </c>
      <c r="AA716" s="39" t="n">
        <f aca="false">Resumo!$B$9</f>
        <v>1</v>
      </c>
      <c r="AB716" s="39" t="n">
        <f aca="false">Resumo!$B$10*CEILING(I716/100,1)</f>
        <v>4.5</v>
      </c>
      <c r="AC716" s="39" t="n">
        <f aca="false">Resumo!$B$12*CEILING(I716,1)</f>
        <v>2.76</v>
      </c>
      <c r="AD716" s="39" t="n">
        <f aca="false">Resumo!$B$14*CEILING(I716,1)</f>
        <v>20.7</v>
      </c>
      <c r="AE716" s="39" t="n">
        <f aca="false">SUM(X716:AD716)</f>
        <v>124.4756</v>
      </c>
      <c r="AF716" s="39" t="n">
        <f aca="false">AE716/(1-Resumo!$B$5)</f>
        <v>141.449545454545</v>
      </c>
      <c r="AG716" s="39" t="n">
        <f aca="false">AF716-W716</f>
        <v>38.0247272727273</v>
      </c>
      <c r="AH716" s="40" t="n">
        <f aca="false">AF716/W716-1</f>
        <v>0.367655732358947</v>
      </c>
      <c r="AI716" s="37" t="str">
        <f aca="false">IF(AF716&lt;W716,"SIM","NÃO")</f>
        <v>NÃO</v>
      </c>
      <c r="AJ716" s="37" t="n">
        <v>2</v>
      </c>
      <c r="AK716" s="37" t="n">
        <v>5</v>
      </c>
      <c r="AL716" s="37" t="s">
        <v>343</v>
      </c>
      <c r="AM716" s="39" t="n">
        <v>103.06</v>
      </c>
    </row>
    <row r="717" customFormat="false" ht="15" hidden="false" customHeight="false" outlineLevel="0" collapsed="false">
      <c r="A717" s="37" t="n">
        <v>373424595</v>
      </c>
      <c r="B717" s="38" t="n">
        <v>46242.4732638889</v>
      </c>
      <c r="C717" s="37" t="s">
        <v>345</v>
      </c>
      <c r="D717" s="37" t="s">
        <v>1037</v>
      </c>
      <c r="E717" s="37" t="n">
        <v>28908105</v>
      </c>
      <c r="F717" s="37" t="s">
        <v>172</v>
      </c>
      <c r="G717" s="37" t="s">
        <v>198</v>
      </c>
      <c r="H717" s="37" t="s">
        <v>186</v>
      </c>
      <c r="I717" s="37" t="n">
        <v>48.6</v>
      </c>
      <c r="J717" s="39" t="n">
        <v>629.99</v>
      </c>
      <c r="K717" s="37" t="s">
        <v>518</v>
      </c>
      <c r="L717" s="39" t="n">
        <v>132.94</v>
      </c>
      <c r="M717" s="39" t="n">
        <v>77.7</v>
      </c>
      <c r="N717" s="39" t="n">
        <f aca="false">J717*Resumo!$C$6</f>
        <v>0</v>
      </c>
      <c r="O717" s="39" t="n">
        <f aca="false">J717*Resumo!$C$7</f>
        <v>1.322979</v>
      </c>
      <c r="P717" s="39" t="n">
        <f aca="false">J717*Resumo!$C$8</f>
        <v>1.322979</v>
      </c>
      <c r="Q717" s="39" t="n">
        <f aca="false">Resumo!$C$10*CEILING(I717/100,1)</f>
        <v>1.05</v>
      </c>
      <c r="R717" s="39" t="n">
        <f aca="false">Resumo!$C$9</f>
        <v>0</v>
      </c>
      <c r="S717" s="39" t="n">
        <f aca="false">Resumo!$C$13</f>
        <v>13.55</v>
      </c>
      <c r="T717" s="39" t="n">
        <f aca="false">Resumo!$C$14*CEILING(I717,1)</f>
        <v>22.05</v>
      </c>
      <c r="U717" s="39" t="n">
        <f aca="false">SUM(M717:T717)*Resumo!$C$11</f>
        <v>0</v>
      </c>
      <c r="V717" s="39" t="n">
        <f aca="false">SUM(M717:U717)</f>
        <v>116.995958</v>
      </c>
      <c r="W717" s="39" t="n">
        <f aca="false">V717/(1-Resumo!$C$5)</f>
        <v>132.949952272727</v>
      </c>
      <c r="X717" s="39" t="n">
        <v>129.29</v>
      </c>
      <c r="Y717" s="39" t="n">
        <f aca="false">J717*Resumo!$B$6</f>
        <v>0.62999</v>
      </c>
      <c r="Z717" s="39" t="n">
        <f aca="false">J717*Resumo!$B$7</f>
        <v>1.25998</v>
      </c>
      <c r="AA717" s="39" t="n">
        <f aca="false">Resumo!$B$9</f>
        <v>1</v>
      </c>
      <c r="AB717" s="39" t="n">
        <f aca="false">Resumo!$B$10*CEILING(I717/100,1)</f>
        <v>4.5</v>
      </c>
      <c r="AC717" s="39" t="n">
        <f aca="false">Resumo!$B$12*CEILING(I717,1)</f>
        <v>2.94</v>
      </c>
      <c r="AD717" s="39" t="n">
        <f aca="false">Resumo!$B$14*CEILING(I717,1)</f>
        <v>22.05</v>
      </c>
      <c r="AE717" s="39" t="n">
        <f aca="false">SUM(X717:AD717)</f>
        <v>161.66997</v>
      </c>
      <c r="AF717" s="39" t="n">
        <f aca="false">AE717/(1-Resumo!$B$5)</f>
        <v>183.715875</v>
      </c>
      <c r="AG717" s="39" t="n">
        <f aca="false">AF717-W717</f>
        <v>50.7659227272727</v>
      </c>
      <c r="AH717" s="40" t="n">
        <f aca="false">AF717/W717-1</f>
        <v>0.381842353904226</v>
      </c>
      <c r="AI717" s="37" t="str">
        <f aca="false">IF(AF717&lt;W717,"SIM","NÃO")</f>
        <v>NÃO</v>
      </c>
      <c r="AJ717" s="37" t="n">
        <v>13</v>
      </c>
      <c r="AK717" s="37" t="n">
        <v>10</v>
      </c>
      <c r="AL717" s="37" t="s">
        <v>343</v>
      </c>
      <c r="AM717" s="39" t="n">
        <v>131.18</v>
      </c>
    </row>
    <row r="718" customFormat="false" ht="15" hidden="false" customHeight="false" outlineLevel="0" collapsed="false">
      <c r="A718" s="37" t="n">
        <v>373344067</v>
      </c>
      <c r="B718" s="38" t="n">
        <v>46242.4767592593</v>
      </c>
      <c r="C718" s="37" t="s">
        <v>340</v>
      </c>
      <c r="D718" s="37" t="s">
        <v>1038</v>
      </c>
      <c r="E718" s="37" t="n">
        <v>23811790</v>
      </c>
      <c r="F718" s="37" t="s">
        <v>217</v>
      </c>
      <c r="G718" s="37" t="s">
        <v>198</v>
      </c>
      <c r="H718" s="37" t="s">
        <v>188</v>
      </c>
      <c r="I718" s="37" t="n">
        <v>63.9</v>
      </c>
      <c r="J718" s="39" t="n">
        <v>717.6</v>
      </c>
      <c r="K718" s="37" t="s">
        <v>518</v>
      </c>
      <c r="L718" s="39" t="n">
        <v>155.25</v>
      </c>
      <c r="M718" s="39" t="n">
        <v>90.2</v>
      </c>
      <c r="N718" s="39" t="n">
        <f aca="false">J718*Resumo!$C$6</f>
        <v>0</v>
      </c>
      <c r="O718" s="39" t="n">
        <f aca="false">J718*Resumo!$C$7</f>
        <v>1.50696</v>
      </c>
      <c r="P718" s="39" t="n">
        <f aca="false">J718*Resumo!$C$8</f>
        <v>1.50696</v>
      </c>
      <c r="Q718" s="39" t="n">
        <f aca="false">Resumo!$C$10*CEILING(I718/100,1)</f>
        <v>1.05</v>
      </c>
      <c r="R718" s="39" t="n">
        <f aca="false">Resumo!$C$9</f>
        <v>0</v>
      </c>
      <c r="S718" s="39" t="n">
        <f aca="false">Resumo!$C$13</f>
        <v>13.55</v>
      </c>
      <c r="T718" s="39" t="n">
        <f aca="false">Resumo!$C$14*CEILING(I718,1)</f>
        <v>28.8</v>
      </c>
      <c r="U718" s="39" t="n">
        <f aca="false">SUM(M718:T718)*Resumo!$C$11</f>
        <v>0</v>
      </c>
      <c r="V718" s="39" t="n">
        <f aca="false">SUM(M718:U718)</f>
        <v>136.61392</v>
      </c>
      <c r="W718" s="39" t="n">
        <f aca="false">V718/(1-Resumo!$C$5)</f>
        <v>155.243090909091</v>
      </c>
      <c r="X718" s="39" t="n">
        <v>141.02</v>
      </c>
      <c r="Y718" s="39" t="n">
        <f aca="false">J718*Resumo!$B$6</f>
        <v>0.7176</v>
      </c>
      <c r="Z718" s="39" t="n">
        <f aca="false">J718*Resumo!$B$7</f>
        <v>1.4352</v>
      </c>
      <c r="AA718" s="39" t="n">
        <f aca="false">Resumo!$B$9</f>
        <v>1</v>
      </c>
      <c r="AB718" s="39" t="n">
        <f aca="false">Resumo!$B$10*CEILING(I718/100,1)</f>
        <v>4.5</v>
      </c>
      <c r="AC718" s="39" t="n">
        <f aca="false">Resumo!$B$12*CEILING(I718,1)</f>
        <v>3.84</v>
      </c>
      <c r="AD718" s="39" t="n">
        <f aca="false">Resumo!$B$14*CEILING(I718,1)</f>
        <v>28.8</v>
      </c>
      <c r="AE718" s="39" t="n">
        <f aca="false">SUM(X718:AD718)</f>
        <v>181.3128</v>
      </c>
      <c r="AF718" s="39" t="n">
        <f aca="false">AE718/(1-Resumo!$B$5)</f>
        <v>206.037272727273</v>
      </c>
      <c r="AG718" s="39" t="n">
        <f aca="false">AF718-W718</f>
        <v>50.7941818181818</v>
      </c>
      <c r="AH718" s="40" t="n">
        <f aca="false">AF718/W718-1</f>
        <v>0.32719125547382</v>
      </c>
      <c r="AI718" s="37" t="str">
        <f aca="false">IF(AF718&lt;W718,"SIM","NÃO")</f>
        <v>NÃO</v>
      </c>
      <c r="AJ718" s="37" t="n">
        <v>13</v>
      </c>
      <c r="AK718" s="37" t="n">
        <v>5</v>
      </c>
      <c r="AL718" s="37" t="s">
        <v>347</v>
      </c>
      <c r="AM718" s="39" t="n">
        <v>155.46</v>
      </c>
    </row>
    <row r="719" customFormat="false" ht="15" hidden="false" customHeight="false" outlineLevel="0" collapsed="false">
      <c r="A719" s="37" t="n">
        <v>373365588</v>
      </c>
      <c r="B719" s="38" t="n">
        <v>46242.5097685185</v>
      </c>
      <c r="C719" s="37" t="s">
        <v>340</v>
      </c>
      <c r="D719" s="37" t="s">
        <v>1039</v>
      </c>
      <c r="E719" s="37" t="n">
        <v>21840102</v>
      </c>
      <c r="F719" s="37" t="s">
        <v>159</v>
      </c>
      <c r="G719" s="37" t="s">
        <v>196</v>
      </c>
      <c r="H719" s="37" t="s">
        <v>185</v>
      </c>
      <c r="I719" s="37" t="n">
        <v>36.8</v>
      </c>
      <c r="J719" s="39" t="n">
        <v>439.99</v>
      </c>
      <c r="K719" s="37" t="s">
        <v>342</v>
      </c>
      <c r="L719" s="39" t="n">
        <v>91.97</v>
      </c>
      <c r="M719" s="39" t="n">
        <v>48.35</v>
      </c>
      <c r="N719" s="39" t="n">
        <f aca="false">J719*Resumo!$C$6</f>
        <v>0</v>
      </c>
      <c r="O719" s="39" t="n">
        <f aca="false">J719*Resumo!$C$7</f>
        <v>0.923979</v>
      </c>
      <c r="P719" s="39" t="n">
        <f aca="false">J719*Resumo!$C$8</f>
        <v>0.923979</v>
      </c>
      <c r="Q719" s="39" t="n">
        <f aca="false">Resumo!$C$10*CEILING(I719/100,1)</f>
        <v>1.05</v>
      </c>
      <c r="R719" s="39" t="n">
        <f aca="false">Resumo!$C$9</f>
        <v>0</v>
      </c>
      <c r="S719" s="39" t="n">
        <f aca="false">Resumo!$C$13</f>
        <v>13.55</v>
      </c>
      <c r="T719" s="39" t="n">
        <f aca="false">Resumo!$C$14*CEILING(I719,1)</f>
        <v>16.65</v>
      </c>
      <c r="U719" s="39" t="n">
        <f aca="false">SUM(M719:T719)*Resumo!$C$11</f>
        <v>0</v>
      </c>
      <c r="V719" s="39" t="n">
        <f aca="false">SUM(M719:U719)</f>
        <v>81.447958</v>
      </c>
      <c r="W719" s="39" t="n">
        <f aca="false">V719/(1-Resumo!$C$5)</f>
        <v>92.5544977272728</v>
      </c>
      <c r="X719" s="39" t="n">
        <v>93.97</v>
      </c>
      <c r="Y719" s="39" t="n">
        <f aca="false">J719*Resumo!$B$6</f>
        <v>0.43999</v>
      </c>
      <c r="Z719" s="39" t="n">
        <f aca="false">J719*Resumo!$B$7</f>
        <v>0.87998</v>
      </c>
      <c r="AA719" s="39" t="n">
        <f aca="false">Resumo!$B$9</f>
        <v>1</v>
      </c>
      <c r="AB719" s="39" t="n">
        <f aca="false">Resumo!$B$10*CEILING(I719/100,1)</f>
        <v>4.5</v>
      </c>
      <c r="AC719" s="39" t="n">
        <f aca="false">Resumo!$B$12*CEILING(I719,1)</f>
        <v>2.22</v>
      </c>
      <c r="AD719" s="39" t="n">
        <f aca="false">Resumo!$B$14*CEILING(I719,1)</f>
        <v>16.65</v>
      </c>
      <c r="AE719" s="39" t="n">
        <f aca="false">SUM(X719:AD719)</f>
        <v>119.65997</v>
      </c>
      <c r="AF719" s="39" t="n">
        <f aca="false">AE719/(1-Resumo!$B$5)</f>
        <v>135.977238636364</v>
      </c>
      <c r="AG719" s="39" t="n">
        <f aca="false">AF719-W719</f>
        <v>43.4227409090909</v>
      </c>
      <c r="AH719" s="40" t="n">
        <f aca="false">AF719/W719-1</f>
        <v>0.469158625192297</v>
      </c>
      <c r="AI719" s="37" t="str">
        <f aca="false">IF(AF719&lt;W719,"SIM","NÃO")</f>
        <v>NÃO</v>
      </c>
      <c r="AJ719" s="37" t="n">
        <v>2</v>
      </c>
      <c r="AK719" s="37" t="n">
        <v>5</v>
      </c>
      <c r="AL719" s="37" t="s">
        <v>343</v>
      </c>
      <c r="AM719" s="39" t="n">
        <v>91.96</v>
      </c>
    </row>
    <row r="720" customFormat="false" ht="15" hidden="false" customHeight="false" outlineLevel="0" collapsed="false">
      <c r="A720" s="37" t="n">
        <v>373388420</v>
      </c>
      <c r="B720" s="38" t="n">
        <v>46242.5427662037</v>
      </c>
      <c r="C720" s="37" t="s">
        <v>340</v>
      </c>
      <c r="D720" s="37" t="s">
        <v>1040</v>
      </c>
      <c r="E720" s="37" t="n">
        <v>21040016</v>
      </c>
      <c r="F720" s="37" t="s">
        <v>159</v>
      </c>
      <c r="G720" s="37" t="s">
        <v>196</v>
      </c>
      <c r="H720" s="37" t="s">
        <v>187</v>
      </c>
      <c r="I720" s="37" t="n">
        <v>52.3</v>
      </c>
      <c r="J720" s="39" t="n">
        <v>616.99</v>
      </c>
      <c r="K720" s="37" t="s">
        <v>342</v>
      </c>
      <c r="L720" s="39" t="n">
        <v>114.09</v>
      </c>
      <c r="M720" s="39" t="n">
        <v>58.6</v>
      </c>
      <c r="N720" s="39" t="n">
        <f aca="false">J720*Resumo!$C$6</f>
        <v>0</v>
      </c>
      <c r="O720" s="39" t="n">
        <f aca="false">J720*Resumo!$C$7</f>
        <v>1.295679</v>
      </c>
      <c r="P720" s="39" t="n">
        <f aca="false">J720*Resumo!$C$8</f>
        <v>1.295679</v>
      </c>
      <c r="Q720" s="39" t="n">
        <f aca="false">Resumo!$C$10*CEILING(I720/100,1)</f>
        <v>1.05</v>
      </c>
      <c r="R720" s="39" t="n">
        <f aca="false">Resumo!$C$9</f>
        <v>0</v>
      </c>
      <c r="S720" s="39" t="n">
        <f aca="false">Resumo!$C$13</f>
        <v>13.55</v>
      </c>
      <c r="T720" s="39" t="n">
        <f aca="false">Resumo!$C$14*CEILING(I720,1)</f>
        <v>23.85</v>
      </c>
      <c r="U720" s="39" t="n">
        <f aca="false">SUM(M720:T720)*Resumo!$C$11</f>
        <v>0</v>
      </c>
      <c r="V720" s="39" t="n">
        <f aca="false">SUM(M720:U720)</f>
        <v>99.641358</v>
      </c>
      <c r="W720" s="39" t="n">
        <f aca="false">V720/(1-Resumo!$C$5)</f>
        <v>113.228815909091</v>
      </c>
      <c r="X720" s="39" t="n">
        <v>112.3</v>
      </c>
      <c r="Y720" s="39" t="n">
        <f aca="false">J720*Resumo!$B$6</f>
        <v>0.61699</v>
      </c>
      <c r="Z720" s="39" t="n">
        <f aca="false">J720*Resumo!$B$7</f>
        <v>1.23398</v>
      </c>
      <c r="AA720" s="39" t="n">
        <f aca="false">Resumo!$B$9</f>
        <v>1</v>
      </c>
      <c r="AB720" s="39" t="n">
        <f aca="false">Resumo!$B$10*CEILING(I720/100,1)</f>
        <v>4.5</v>
      </c>
      <c r="AC720" s="39" t="n">
        <f aca="false">Resumo!$B$12*CEILING(I720,1)</f>
        <v>3.18</v>
      </c>
      <c r="AD720" s="39" t="n">
        <f aca="false">Resumo!$B$14*CEILING(I720,1)</f>
        <v>23.85</v>
      </c>
      <c r="AE720" s="39" t="n">
        <f aca="false">SUM(X720:AD720)</f>
        <v>146.68097</v>
      </c>
      <c r="AF720" s="39" t="n">
        <f aca="false">AE720/(1-Resumo!$B$5)</f>
        <v>166.682920454545</v>
      </c>
      <c r="AG720" s="39" t="n">
        <f aca="false">AF720-W720</f>
        <v>53.4541045454546</v>
      </c>
      <c r="AH720" s="40" t="n">
        <f aca="false">AF720/W720-1</f>
        <v>0.472089230257179</v>
      </c>
      <c r="AI720" s="37" t="str">
        <f aca="false">IF(AF720&lt;W720,"SIM","NÃO")</f>
        <v>NÃO</v>
      </c>
      <c r="AJ720" s="37" t="n">
        <v>2</v>
      </c>
      <c r="AK720" s="37" t="n">
        <v>5</v>
      </c>
      <c r="AL720" s="37" t="s">
        <v>343</v>
      </c>
      <c r="AM720" s="39" t="n">
        <v>114.11</v>
      </c>
    </row>
    <row r="721" customFormat="false" ht="15" hidden="false" customHeight="false" outlineLevel="0" collapsed="false">
      <c r="A721" s="37" t="n">
        <v>373389646</v>
      </c>
      <c r="B721" s="38" t="n">
        <v>46242.5444328704</v>
      </c>
      <c r="C721" s="37" t="s">
        <v>345</v>
      </c>
      <c r="D721" s="37" t="s">
        <v>1041</v>
      </c>
      <c r="E721" s="37" t="n">
        <v>21241430</v>
      </c>
      <c r="F721" s="37" t="s">
        <v>159</v>
      </c>
      <c r="G721" s="37" t="s">
        <v>196</v>
      </c>
      <c r="H721" s="37" t="s">
        <v>190</v>
      </c>
      <c r="I721" s="37" t="n">
        <v>97.2</v>
      </c>
      <c r="J721" s="39" t="n">
        <v>1202.15</v>
      </c>
      <c r="K721" s="37" t="s">
        <v>342</v>
      </c>
      <c r="L721" s="39" t="n">
        <v>164.84</v>
      </c>
      <c r="M721" s="39" t="n">
        <v>83.79</v>
      </c>
      <c r="N721" s="39" t="n">
        <f aca="false">J721*Resumo!$C$6</f>
        <v>0</v>
      </c>
      <c r="O721" s="39" t="n">
        <f aca="false">J721*Resumo!$C$7</f>
        <v>2.524515</v>
      </c>
      <c r="P721" s="39" t="n">
        <f aca="false">J721*Resumo!$C$8</f>
        <v>2.524515</v>
      </c>
      <c r="Q721" s="39" t="n">
        <f aca="false">Resumo!$C$10*CEILING(I721/100,1)</f>
        <v>1.05</v>
      </c>
      <c r="R721" s="39" t="n">
        <f aca="false">Resumo!$C$9</f>
        <v>0</v>
      </c>
      <c r="S721" s="39" t="n">
        <f aca="false">Resumo!$C$13</f>
        <v>13.55</v>
      </c>
      <c r="T721" s="39" t="n">
        <f aca="false">Resumo!$C$14*CEILING(I721,1)</f>
        <v>44.1</v>
      </c>
      <c r="U721" s="39" t="n">
        <f aca="false">SUM(M721:T721)*Resumo!$C$11</f>
        <v>0</v>
      </c>
      <c r="V721" s="39" t="n">
        <f aca="false">SUM(M721:U721)</f>
        <v>147.53903</v>
      </c>
      <c r="W721" s="39" t="n">
        <f aca="false">V721/(1-Resumo!$C$5)</f>
        <v>167.657988636364</v>
      </c>
      <c r="X721" s="39" t="n">
        <v>167.99</v>
      </c>
      <c r="Y721" s="39" t="n">
        <f aca="false">J721*Resumo!$B$6</f>
        <v>1.20215</v>
      </c>
      <c r="Z721" s="39" t="n">
        <f aca="false">J721*Resumo!$B$7</f>
        <v>2.4043</v>
      </c>
      <c r="AA721" s="39" t="n">
        <f aca="false">Resumo!$B$9</f>
        <v>1</v>
      </c>
      <c r="AB721" s="39" t="n">
        <f aca="false">Resumo!$B$10*CEILING(I721/100,1)</f>
        <v>4.5</v>
      </c>
      <c r="AC721" s="39" t="n">
        <f aca="false">Resumo!$B$12*CEILING(I721,1)</f>
        <v>5.88</v>
      </c>
      <c r="AD721" s="39" t="n">
        <f aca="false">Resumo!$B$14*CEILING(I721,1)</f>
        <v>44.1</v>
      </c>
      <c r="AE721" s="39" t="n">
        <f aca="false">SUM(X721:AD721)</f>
        <v>227.07645</v>
      </c>
      <c r="AF721" s="39" t="n">
        <f aca="false">AE721/(1-Resumo!$B$5)</f>
        <v>258.041420454545</v>
      </c>
      <c r="AG721" s="39" t="n">
        <f aca="false">AF721-W721</f>
        <v>90.3834318181818</v>
      </c>
      <c r="AH721" s="40" t="n">
        <f aca="false">AF721/W721-1</f>
        <v>0.539094095982602</v>
      </c>
      <c r="AI721" s="37" t="str">
        <f aca="false">IF(AF721&lt;W721,"SIM","NÃO")</f>
        <v>NÃO</v>
      </c>
      <c r="AJ721" s="37" t="n">
        <v>2</v>
      </c>
      <c r="AK721" s="37" t="n">
        <v>5</v>
      </c>
      <c r="AL721" s="37" t="s">
        <v>343</v>
      </c>
      <c r="AM721" s="39" t="n">
        <v>164.85</v>
      </c>
    </row>
    <row r="722" customFormat="false" ht="15" hidden="false" customHeight="false" outlineLevel="0" collapsed="false">
      <c r="A722" s="37" t="n">
        <v>373392193</v>
      </c>
      <c r="B722" s="38" t="n">
        <v>46242.5481712963</v>
      </c>
      <c r="C722" s="37" t="s">
        <v>340</v>
      </c>
      <c r="D722" s="37" t="s">
        <v>1042</v>
      </c>
      <c r="E722" s="37" t="n">
        <v>23580440</v>
      </c>
      <c r="F722" s="37" t="s">
        <v>159</v>
      </c>
      <c r="G722" s="37" t="s">
        <v>196</v>
      </c>
      <c r="H722" s="37" t="s">
        <v>187</v>
      </c>
      <c r="I722" s="37" t="n">
        <v>59.9</v>
      </c>
      <c r="J722" s="39" t="n">
        <v>874</v>
      </c>
      <c r="K722" s="37" t="s">
        <v>518</v>
      </c>
      <c r="L722" s="39" t="n">
        <v>118.05</v>
      </c>
      <c r="M722" s="39" t="n">
        <v>58.6</v>
      </c>
      <c r="N722" s="39" t="n">
        <f aca="false">J722*Resumo!$C$6</f>
        <v>0</v>
      </c>
      <c r="O722" s="39" t="n">
        <f aca="false">J722*Resumo!$C$7</f>
        <v>1.8354</v>
      </c>
      <c r="P722" s="39" t="n">
        <f aca="false">J722*Resumo!$C$8</f>
        <v>1.8354</v>
      </c>
      <c r="Q722" s="39" t="n">
        <f aca="false">Resumo!$C$10*CEILING(I722/100,1)</f>
        <v>1.05</v>
      </c>
      <c r="R722" s="39" t="n">
        <f aca="false">Resumo!$C$9</f>
        <v>0</v>
      </c>
      <c r="S722" s="39" t="n">
        <f aca="false">Resumo!$C$13</f>
        <v>13.55</v>
      </c>
      <c r="T722" s="39" t="n">
        <f aca="false">Resumo!$C$14*CEILING(I722,1)</f>
        <v>27</v>
      </c>
      <c r="U722" s="39" t="n">
        <f aca="false">SUM(M722:T722)*Resumo!$C$11</f>
        <v>0</v>
      </c>
      <c r="V722" s="39" t="n">
        <f aca="false">SUM(M722:U722)</f>
        <v>103.8708</v>
      </c>
      <c r="W722" s="39" t="n">
        <f aca="false">V722/(1-Resumo!$C$5)</f>
        <v>118.035</v>
      </c>
      <c r="X722" s="39" t="n">
        <v>112.3</v>
      </c>
      <c r="Y722" s="39" t="n">
        <f aca="false">J722*Resumo!$B$6</f>
        <v>0.874</v>
      </c>
      <c r="Z722" s="39" t="n">
        <f aca="false">J722*Resumo!$B$7</f>
        <v>1.748</v>
      </c>
      <c r="AA722" s="39" t="n">
        <f aca="false">Resumo!$B$9</f>
        <v>1</v>
      </c>
      <c r="AB722" s="39" t="n">
        <f aca="false">Resumo!$B$10*CEILING(I722/100,1)</f>
        <v>4.5</v>
      </c>
      <c r="AC722" s="39" t="n">
        <f aca="false">Resumo!$B$12*CEILING(I722,1)</f>
        <v>3.6</v>
      </c>
      <c r="AD722" s="39" t="n">
        <f aca="false">Resumo!$B$14*CEILING(I722,1)</f>
        <v>27</v>
      </c>
      <c r="AE722" s="39" t="n">
        <f aca="false">SUM(X722:AD722)</f>
        <v>151.022</v>
      </c>
      <c r="AF722" s="39" t="n">
        <f aca="false">AE722/(1-Resumo!$B$5)</f>
        <v>171.615909090909</v>
      </c>
      <c r="AG722" s="39" t="n">
        <f aca="false">AF722-W722</f>
        <v>53.5809090909091</v>
      </c>
      <c r="AH722" s="40" t="n">
        <f aca="false">AF722/W722-1</f>
        <v>0.453940857295794</v>
      </c>
      <c r="AI722" s="37" t="str">
        <f aca="false">IF(AF722&lt;W722,"SIM","NÃO")</f>
        <v>NÃO</v>
      </c>
      <c r="AJ722" s="37" t="n">
        <v>2</v>
      </c>
      <c r="AK722" s="37" t="n">
        <v>5</v>
      </c>
      <c r="AL722" s="37" t="s">
        <v>343</v>
      </c>
      <c r="AM722" s="39" t="n">
        <v>115.34</v>
      </c>
    </row>
    <row r="723" customFormat="false" ht="15" hidden="false" customHeight="false" outlineLevel="0" collapsed="false">
      <c r="A723" s="37" t="n">
        <v>373393072</v>
      </c>
      <c r="B723" s="38" t="n">
        <v>46242.549375</v>
      </c>
      <c r="C723" s="37" t="s">
        <v>340</v>
      </c>
      <c r="D723" s="37" t="s">
        <v>1043</v>
      </c>
      <c r="E723" s="37" t="n">
        <v>25035030</v>
      </c>
      <c r="F723" s="37" t="s">
        <v>161</v>
      </c>
      <c r="G723" s="37" t="s">
        <v>197</v>
      </c>
      <c r="H723" s="37" t="s">
        <v>187</v>
      </c>
      <c r="I723" s="37" t="n">
        <v>52.3</v>
      </c>
      <c r="J723" s="39" t="n">
        <v>616.99</v>
      </c>
      <c r="K723" s="37" t="s">
        <v>342</v>
      </c>
      <c r="L723" s="39" t="n">
        <v>128.23</v>
      </c>
      <c r="M723" s="39" t="n">
        <v>70.98</v>
      </c>
      <c r="N723" s="39" t="n">
        <f aca="false">J723*Resumo!$C$6</f>
        <v>0</v>
      </c>
      <c r="O723" s="39" t="n">
        <f aca="false">J723*Resumo!$C$7</f>
        <v>1.295679</v>
      </c>
      <c r="P723" s="39" t="n">
        <f aca="false">J723*Resumo!$C$8</f>
        <v>1.295679</v>
      </c>
      <c r="Q723" s="39" t="n">
        <f aca="false">Resumo!$C$10*CEILING(I723/100,1)</f>
        <v>1.05</v>
      </c>
      <c r="R723" s="39" t="n">
        <f aca="false">Resumo!$C$9</f>
        <v>0</v>
      </c>
      <c r="S723" s="39" t="n">
        <f aca="false">Resumo!$C$13</f>
        <v>13.55</v>
      </c>
      <c r="T723" s="39" t="n">
        <f aca="false">Resumo!$C$14*CEILING(I723,1)</f>
        <v>23.85</v>
      </c>
      <c r="U723" s="39" t="n">
        <f aca="false">SUM(M723:T723)*Resumo!$C$11</f>
        <v>0</v>
      </c>
      <c r="V723" s="39" t="n">
        <f aca="false">SUM(M723:U723)</f>
        <v>112.021358</v>
      </c>
      <c r="W723" s="39" t="n">
        <f aca="false">V723/(1-Resumo!$C$5)</f>
        <v>127.296997727273</v>
      </c>
      <c r="X723" s="39" t="n">
        <v>112.3</v>
      </c>
      <c r="Y723" s="39" t="n">
        <f aca="false">J723*Resumo!$B$6</f>
        <v>0.61699</v>
      </c>
      <c r="Z723" s="39" t="n">
        <f aca="false">J723*Resumo!$B$7</f>
        <v>1.23398</v>
      </c>
      <c r="AA723" s="39" t="n">
        <f aca="false">Resumo!$B$9</f>
        <v>1</v>
      </c>
      <c r="AB723" s="39" t="n">
        <f aca="false">Resumo!$B$10*CEILING(I723/100,1)</f>
        <v>4.5</v>
      </c>
      <c r="AC723" s="39" t="n">
        <f aca="false">Resumo!$B$12*CEILING(I723,1)</f>
        <v>3.18</v>
      </c>
      <c r="AD723" s="39" t="n">
        <f aca="false">Resumo!$B$14*CEILING(I723,1)</f>
        <v>23.85</v>
      </c>
      <c r="AE723" s="39" t="n">
        <f aca="false">SUM(X723:AD723)</f>
        <v>146.68097</v>
      </c>
      <c r="AF723" s="39" t="n">
        <f aca="false">AE723/(1-Resumo!$B$5)</f>
        <v>166.682920454545</v>
      </c>
      <c r="AG723" s="39" t="n">
        <f aca="false">AF723-W723</f>
        <v>39.3859227272727</v>
      </c>
      <c r="AH723" s="40" t="n">
        <f aca="false">AF723/W723-1</f>
        <v>0.309401819606579</v>
      </c>
      <c r="AI723" s="37" t="str">
        <f aca="false">IF(AF723&lt;W723,"SIM","NÃO")</f>
        <v>NÃO</v>
      </c>
      <c r="AJ723" s="37" t="n">
        <v>2</v>
      </c>
      <c r="AK723" s="37" t="n">
        <v>5</v>
      </c>
      <c r="AL723" s="37" t="s">
        <v>343</v>
      </c>
      <c r="AM723" s="39" t="n">
        <v>128.24</v>
      </c>
    </row>
    <row r="724" customFormat="false" ht="15" hidden="false" customHeight="false" outlineLevel="0" collapsed="false">
      <c r="A724" s="37" t="n">
        <v>373404951</v>
      </c>
      <c r="B724" s="38" t="n">
        <v>46242.5674652778</v>
      </c>
      <c r="C724" s="37" t="s">
        <v>345</v>
      </c>
      <c r="D724" s="37" t="s">
        <v>1044</v>
      </c>
      <c r="E724" s="37" t="n">
        <v>23075007</v>
      </c>
      <c r="F724" s="37" t="s">
        <v>159</v>
      </c>
      <c r="G724" s="37" t="s">
        <v>196</v>
      </c>
      <c r="H724" s="37" t="s">
        <v>184</v>
      </c>
      <c r="I724" s="37" t="n">
        <v>21.75</v>
      </c>
      <c r="J724" s="39" t="n">
        <v>284.43</v>
      </c>
      <c r="K724" s="37" t="s">
        <v>518</v>
      </c>
      <c r="L724" s="39" t="n">
        <v>77.06</v>
      </c>
      <c r="M724" s="39" t="n">
        <v>42.11</v>
      </c>
      <c r="N724" s="39" t="n">
        <f aca="false">J724*Resumo!$C$6</f>
        <v>0</v>
      </c>
      <c r="O724" s="39" t="n">
        <f aca="false">J724*Resumo!$C$7</f>
        <v>0.597303</v>
      </c>
      <c r="P724" s="39" t="n">
        <f aca="false">J724*Resumo!$C$8</f>
        <v>0.597303</v>
      </c>
      <c r="Q724" s="39" t="n">
        <f aca="false">Resumo!$C$10*CEILING(I724/100,1)</f>
        <v>1.05</v>
      </c>
      <c r="R724" s="39" t="n">
        <f aca="false">Resumo!$C$9</f>
        <v>0</v>
      </c>
      <c r="S724" s="39" t="n">
        <f aca="false">Resumo!$C$13</f>
        <v>13.55</v>
      </c>
      <c r="T724" s="39" t="n">
        <f aca="false">Resumo!$C$14*CEILING(I724,1)</f>
        <v>9.9</v>
      </c>
      <c r="U724" s="39" t="n">
        <f aca="false">SUM(M724:T724)*Resumo!$C$11</f>
        <v>0</v>
      </c>
      <c r="V724" s="39" t="n">
        <f aca="false">SUM(M724:U724)</f>
        <v>67.804606</v>
      </c>
      <c r="W724" s="39" t="n">
        <f aca="false">V724/(1-Resumo!$C$5)</f>
        <v>77.0506886363637</v>
      </c>
      <c r="X724" s="39" t="n">
        <v>82.21</v>
      </c>
      <c r="Y724" s="39" t="n">
        <f aca="false">J724*Resumo!$B$6</f>
        <v>0.28443</v>
      </c>
      <c r="Z724" s="39" t="n">
        <f aca="false">J724*Resumo!$B$7</f>
        <v>0.56886</v>
      </c>
      <c r="AA724" s="39" t="n">
        <f aca="false">Resumo!$B$9</f>
        <v>1</v>
      </c>
      <c r="AB724" s="39" t="n">
        <f aca="false">Resumo!$B$10*CEILING(I724/100,1)</f>
        <v>4.5</v>
      </c>
      <c r="AC724" s="39" t="n">
        <f aca="false">Resumo!$B$12*CEILING(I724,1)</f>
        <v>1.32</v>
      </c>
      <c r="AD724" s="39" t="n">
        <f aca="false">Resumo!$B$14*CEILING(I724,1)</f>
        <v>9.9</v>
      </c>
      <c r="AE724" s="39" t="n">
        <f aca="false">SUM(X724:AD724)</f>
        <v>99.78329</v>
      </c>
      <c r="AF724" s="39" t="n">
        <f aca="false">AE724/(1-Resumo!$B$5)</f>
        <v>113.390102272727</v>
      </c>
      <c r="AG724" s="39" t="n">
        <f aca="false">AF724-W724</f>
        <v>36.3394136363636</v>
      </c>
      <c r="AH724" s="40" t="n">
        <f aca="false">AF724/W724-1</f>
        <v>0.471629965669294</v>
      </c>
      <c r="AI724" s="37" t="str">
        <f aca="false">IF(AF724&lt;W724,"SIM","NÃO")</f>
        <v>NÃO</v>
      </c>
      <c r="AJ724" s="37" t="n">
        <v>2</v>
      </c>
      <c r="AK724" s="37" t="n">
        <v>5</v>
      </c>
      <c r="AL724" s="37" t="s">
        <v>343</v>
      </c>
      <c r="AM724" s="39" t="n">
        <v>81.69</v>
      </c>
    </row>
    <row r="725" customFormat="false" ht="15" hidden="false" customHeight="false" outlineLevel="0" collapsed="false">
      <c r="A725" s="37" t="n">
        <v>373413730</v>
      </c>
      <c r="B725" s="38" t="n">
        <v>46242.5809722222</v>
      </c>
      <c r="C725" s="37" t="s">
        <v>340</v>
      </c>
      <c r="D725" s="37" t="s">
        <v>1045</v>
      </c>
      <c r="E725" s="37" t="n">
        <v>24745170</v>
      </c>
      <c r="F725" s="37" t="s">
        <v>160</v>
      </c>
      <c r="G725" s="37" t="s">
        <v>197</v>
      </c>
      <c r="H725" s="37" t="s">
        <v>192</v>
      </c>
      <c r="I725" s="37" t="n">
        <v>127.8</v>
      </c>
      <c r="J725" s="39" t="n">
        <v>1387.09</v>
      </c>
      <c r="K725" s="37" t="s">
        <v>518</v>
      </c>
      <c r="L725" s="39" t="n">
        <v>237.15</v>
      </c>
      <c r="M725" s="39" t="n">
        <v>129.62</v>
      </c>
      <c r="N725" s="39" t="n">
        <f aca="false">J725*Resumo!$C$6</f>
        <v>0</v>
      </c>
      <c r="O725" s="39" t="n">
        <f aca="false">J725*Resumo!$C$7</f>
        <v>2.912889</v>
      </c>
      <c r="P725" s="39" t="n">
        <f aca="false">J725*Resumo!$C$8</f>
        <v>2.912889</v>
      </c>
      <c r="Q725" s="39" t="n">
        <f aca="false">Resumo!$C$10*CEILING(I725/100,1)</f>
        <v>2.1</v>
      </c>
      <c r="R725" s="39" t="n">
        <f aca="false">Resumo!$C$9</f>
        <v>0</v>
      </c>
      <c r="S725" s="39" t="n">
        <f aca="false">Resumo!$C$13</f>
        <v>13.55</v>
      </c>
      <c r="T725" s="39" t="n">
        <f aca="false">Resumo!$C$14*CEILING(I725,1)</f>
        <v>57.6</v>
      </c>
      <c r="U725" s="39" t="n">
        <f aca="false">SUM(M725:T725)*Resumo!$C$11</f>
        <v>0</v>
      </c>
      <c r="V725" s="39" t="n">
        <f aca="false">SUM(M725:U725)</f>
        <v>208.695778</v>
      </c>
      <c r="W725" s="39" t="n">
        <f aca="false">V725/(1-Resumo!$C$5)</f>
        <v>237.154293181818</v>
      </c>
      <c r="X725" s="39" t="n">
        <v>249.03</v>
      </c>
      <c r="Y725" s="39" t="n">
        <f aca="false">J725*Resumo!$B$6</f>
        <v>1.38709</v>
      </c>
      <c r="Z725" s="39" t="n">
        <f aca="false">J725*Resumo!$B$7</f>
        <v>2.77418</v>
      </c>
      <c r="AA725" s="39" t="n">
        <f aca="false">Resumo!$B$9</f>
        <v>1</v>
      </c>
      <c r="AB725" s="39" t="n">
        <f aca="false">Resumo!$B$10*CEILING(I725/100,1)</f>
        <v>9</v>
      </c>
      <c r="AC725" s="39" t="n">
        <f aca="false">Resumo!$B$12*CEILING(I725,1)</f>
        <v>7.68</v>
      </c>
      <c r="AD725" s="39" t="n">
        <f aca="false">Resumo!$B$14*CEILING(I725,1)</f>
        <v>57.6</v>
      </c>
      <c r="AE725" s="39" t="n">
        <f aca="false">SUM(X725:AD725)</f>
        <v>328.47127</v>
      </c>
      <c r="AF725" s="39" t="n">
        <f aca="false">AE725/(1-Resumo!$B$5)</f>
        <v>373.262806818182</v>
      </c>
      <c r="AG725" s="39" t="n">
        <f aca="false">AF725-W725</f>
        <v>136.108513636364</v>
      </c>
      <c r="AH725" s="40" t="n">
        <f aca="false">AF725/W725-1</f>
        <v>0.573923886471724</v>
      </c>
      <c r="AI725" s="37" t="str">
        <f aca="false">IF(AF725&lt;W725,"SIM","NÃO")</f>
        <v>NÃO</v>
      </c>
      <c r="AJ725" s="37" t="n">
        <v>2</v>
      </c>
      <c r="AK725" s="37" t="n">
        <v>7</v>
      </c>
      <c r="AL725" s="37" t="s">
        <v>343</v>
      </c>
      <c r="AM725" s="39" t="n">
        <v>243.25</v>
      </c>
    </row>
    <row r="726" customFormat="false" ht="15" hidden="false" customHeight="false" outlineLevel="0" collapsed="false">
      <c r="A726" s="37" t="n">
        <v>373414117</v>
      </c>
      <c r="B726" s="38" t="n">
        <v>46242.5817476852</v>
      </c>
      <c r="C726" s="37" t="s">
        <v>340</v>
      </c>
      <c r="D726" s="37" t="s">
        <v>1046</v>
      </c>
      <c r="E726" s="37" t="n">
        <v>23535811</v>
      </c>
      <c r="F726" s="37" t="s">
        <v>159</v>
      </c>
      <c r="G726" s="37" t="s">
        <v>196</v>
      </c>
      <c r="H726" s="37" t="s">
        <v>184</v>
      </c>
      <c r="I726" s="37" t="n">
        <v>20.9</v>
      </c>
      <c r="J726" s="39" t="n">
        <v>441</v>
      </c>
      <c r="K726" s="37" t="s">
        <v>518</v>
      </c>
      <c r="L726" s="39" t="n">
        <v>77.3</v>
      </c>
      <c r="M726" s="39" t="n">
        <v>42.11</v>
      </c>
      <c r="N726" s="39" t="n">
        <f aca="false">J726*Resumo!$C$6</f>
        <v>0</v>
      </c>
      <c r="O726" s="39" t="n">
        <f aca="false">J726*Resumo!$C$7</f>
        <v>0.9261</v>
      </c>
      <c r="P726" s="39" t="n">
        <f aca="false">J726*Resumo!$C$8</f>
        <v>0.9261</v>
      </c>
      <c r="Q726" s="39" t="n">
        <f aca="false">Resumo!$C$10*CEILING(I726/100,1)</f>
        <v>1.05</v>
      </c>
      <c r="R726" s="39" t="n">
        <f aca="false">Resumo!$C$9</f>
        <v>0</v>
      </c>
      <c r="S726" s="39" t="n">
        <f aca="false">Resumo!$C$13</f>
        <v>13.55</v>
      </c>
      <c r="T726" s="39" t="n">
        <f aca="false">Resumo!$C$14*CEILING(I726,1)</f>
        <v>9.45</v>
      </c>
      <c r="U726" s="39" t="n">
        <f aca="false">SUM(M726:T726)*Resumo!$C$11</f>
        <v>0</v>
      </c>
      <c r="V726" s="39" t="n">
        <f aca="false">SUM(M726:U726)</f>
        <v>68.0122</v>
      </c>
      <c r="W726" s="39" t="n">
        <f aca="false">V726/(1-Resumo!$C$5)</f>
        <v>77.2865909090909</v>
      </c>
      <c r="X726" s="39" t="n">
        <v>82.21</v>
      </c>
      <c r="Y726" s="39" t="n">
        <f aca="false">J726*Resumo!$B$6</f>
        <v>0.441</v>
      </c>
      <c r="Z726" s="39" t="n">
        <f aca="false">J726*Resumo!$B$7</f>
        <v>0.882</v>
      </c>
      <c r="AA726" s="39" t="n">
        <f aca="false">Resumo!$B$9</f>
        <v>1</v>
      </c>
      <c r="AB726" s="39" t="n">
        <f aca="false">Resumo!$B$10*CEILING(I726/100,1)</f>
        <v>4.5</v>
      </c>
      <c r="AC726" s="39" t="n">
        <f aca="false">Resumo!$B$12*CEILING(I726,1)</f>
        <v>1.26</v>
      </c>
      <c r="AD726" s="39" t="n">
        <f aca="false">Resumo!$B$14*CEILING(I726,1)</f>
        <v>9.45</v>
      </c>
      <c r="AE726" s="39" t="n">
        <f aca="false">SUM(X726:AD726)</f>
        <v>99.743</v>
      </c>
      <c r="AF726" s="39" t="n">
        <f aca="false">AE726/(1-Resumo!$B$5)</f>
        <v>113.344318181818</v>
      </c>
      <c r="AG726" s="39" t="n">
        <f aca="false">AF726-W726</f>
        <v>36.0577272727273</v>
      </c>
      <c r="AH726" s="40" t="n">
        <f aca="false">AF726/W726-1</f>
        <v>0.466545707975922</v>
      </c>
      <c r="AI726" s="37" t="str">
        <f aca="false">IF(AF726&lt;W726,"SIM","NÃO")</f>
        <v>NÃO</v>
      </c>
      <c r="AJ726" s="37" t="n">
        <v>2</v>
      </c>
      <c r="AK726" s="37" t="n">
        <v>5</v>
      </c>
      <c r="AL726" s="37" t="s">
        <v>343</v>
      </c>
      <c r="AM726" s="39" t="n">
        <v>82.44</v>
      </c>
    </row>
    <row r="727" customFormat="false" ht="15" hidden="false" customHeight="false" outlineLevel="0" collapsed="false">
      <c r="A727" s="37" t="n">
        <v>373421050</v>
      </c>
      <c r="B727" s="38" t="n">
        <v>46242.5925925926</v>
      </c>
      <c r="C727" s="37" t="s">
        <v>345</v>
      </c>
      <c r="D727" s="37" t="s">
        <v>1047</v>
      </c>
      <c r="E727" s="37" t="n">
        <v>23830080</v>
      </c>
      <c r="F727" s="37" t="s">
        <v>217</v>
      </c>
      <c r="G727" s="37" t="s">
        <v>198</v>
      </c>
      <c r="H727" s="37" t="s">
        <v>191</v>
      </c>
      <c r="I727" s="37" t="n">
        <v>117</v>
      </c>
      <c r="J727" s="39" t="n">
        <v>1167</v>
      </c>
      <c r="K727" s="37" t="s">
        <v>518</v>
      </c>
      <c r="L727" s="39" t="n">
        <v>218.98</v>
      </c>
      <c r="M727" s="39" t="n">
        <v>119.5</v>
      </c>
      <c r="N727" s="39" t="n">
        <f aca="false">J727*Resumo!$C$6</f>
        <v>0</v>
      </c>
      <c r="O727" s="39" t="n">
        <f aca="false">J727*Resumo!$C$7</f>
        <v>2.4507</v>
      </c>
      <c r="P727" s="39" t="n">
        <f aca="false">J727*Resumo!$C$8</f>
        <v>2.4507</v>
      </c>
      <c r="Q727" s="39" t="n">
        <f aca="false">Resumo!$C$10*CEILING(I727/100,1)</f>
        <v>2.1</v>
      </c>
      <c r="R727" s="39" t="n">
        <f aca="false">Resumo!$C$9</f>
        <v>0</v>
      </c>
      <c r="S727" s="39" t="n">
        <f aca="false">Resumo!$C$13</f>
        <v>13.55</v>
      </c>
      <c r="T727" s="39" t="n">
        <f aca="false">Resumo!$C$14*CEILING(I727,1)</f>
        <v>52.65</v>
      </c>
      <c r="U727" s="39" t="n">
        <f aca="false">SUM(M727:T727)*Resumo!$C$11</f>
        <v>0</v>
      </c>
      <c r="V727" s="39" t="n">
        <f aca="false">SUM(M727:U727)</f>
        <v>192.7014</v>
      </c>
      <c r="W727" s="39" t="n">
        <f aca="false">V727/(1-Resumo!$C$5)</f>
        <v>218.978863636364</v>
      </c>
      <c r="X727" s="39" t="n">
        <v>211.59</v>
      </c>
      <c r="Y727" s="39" t="n">
        <f aca="false">J727*Resumo!$B$6</f>
        <v>1.167</v>
      </c>
      <c r="Z727" s="39" t="n">
        <f aca="false">J727*Resumo!$B$7</f>
        <v>2.334</v>
      </c>
      <c r="AA727" s="39" t="n">
        <f aca="false">Resumo!$B$9</f>
        <v>1</v>
      </c>
      <c r="AB727" s="39" t="n">
        <f aca="false">Resumo!$B$10*CEILING(I727/100,1)</f>
        <v>9</v>
      </c>
      <c r="AC727" s="39" t="n">
        <f aca="false">Resumo!$B$12*CEILING(I727,1)</f>
        <v>7.02</v>
      </c>
      <c r="AD727" s="39" t="n">
        <f aca="false">Resumo!$B$14*CEILING(I727,1)</f>
        <v>52.65</v>
      </c>
      <c r="AE727" s="39" t="n">
        <f aca="false">SUM(X727:AD727)</f>
        <v>284.761</v>
      </c>
      <c r="AF727" s="39" t="n">
        <f aca="false">AE727/(1-Resumo!$B$5)</f>
        <v>323.592045454545</v>
      </c>
      <c r="AG727" s="39" t="n">
        <f aca="false">AF727-W727</f>
        <v>104.613181818182</v>
      </c>
      <c r="AH727" s="40" t="n">
        <f aca="false">AF727/W727-1</f>
        <v>0.477731869099031</v>
      </c>
      <c r="AI727" s="37" t="str">
        <f aca="false">IF(AF727&lt;W727,"SIM","NÃO")</f>
        <v>NÃO</v>
      </c>
      <c r="AJ727" s="37" t="n">
        <v>13</v>
      </c>
      <c r="AK727" s="37" t="n">
        <v>5</v>
      </c>
      <c r="AL727" s="37" t="s">
        <v>347</v>
      </c>
      <c r="AM727" s="39" t="n">
        <v>216.25</v>
      </c>
    </row>
    <row r="728" customFormat="false" ht="15" hidden="false" customHeight="false" outlineLevel="0" collapsed="false">
      <c r="A728" s="37" t="n">
        <v>373422414</v>
      </c>
      <c r="B728" s="38" t="n">
        <v>46242.5946527778</v>
      </c>
      <c r="C728" s="37" t="s">
        <v>345</v>
      </c>
      <c r="D728" s="37" t="s">
        <v>1048</v>
      </c>
      <c r="E728" s="37" t="n">
        <v>24921770</v>
      </c>
      <c r="F728" s="37" t="s">
        <v>171</v>
      </c>
      <c r="G728" s="37" t="s">
        <v>198</v>
      </c>
      <c r="H728" s="37" t="s">
        <v>186</v>
      </c>
      <c r="I728" s="37" t="n">
        <v>44.6</v>
      </c>
      <c r="J728" s="39" t="n">
        <v>513.9</v>
      </c>
      <c r="K728" s="37" t="s">
        <v>518</v>
      </c>
      <c r="L728" s="39" t="n">
        <v>130.35</v>
      </c>
      <c r="M728" s="39" t="n">
        <v>77.7</v>
      </c>
      <c r="N728" s="39" t="n">
        <f aca="false">J728*Resumo!$C$6</f>
        <v>0</v>
      </c>
      <c r="O728" s="39" t="n">
        <f aca="false">J728*Resumo!$C$7</f>
        <v>1.07919</v>
      </c>
      <c r="P728" s="39" t="n">
        <f aca="false">J728*Resumo!$C$8</f>
        <v>1.07919</v>
      </c>
      <c r="Q728" s="39" t="n">
        <f aca="false">Resumo!$C$10*CEILING(I728/100,1)</f>
        <v>1.05</v>
      </c>
      <c r="R728" s="39" t="n">
        <f aca="false">Resumo!$C$9</f>
        <v>0</v>
      </c>
      <c r="S728" s="39" t="n">
        <f aca="false">Resumo!$C$13</f>
        <v>13.55</v>
      </c>
      <c r="T728" s="39" t="n">
        <f aca="false">Resumo!$C$14*CEILING(I728,1)</f>
        <v>20.25</v>
      </c>
      <c r="U728" s="39" t="n">
        <f aca="false">SUM(M728:T728)*Resumo!$C$11</f>
        <v>0</v>
      </c>
      <c r="V728" s="39" t="n">
        <f aca="false">SUM(M728:U728)</f>
        <v>114.70838</v>
      </c>
      <c r="W728" s="39" t="n">
        <f aca="false">V728/(1-Resumo!$C$5)</f>
        <v>130.350431818182</v>
      </c>
      <c r="X728" s="39" t="n">
        <v>114.95</v>
      </c>
      <c r="Y728" s="39" t="n">
        <f aca="false">J728*Resumo!$B$6</f>
        <v>0.5139</v>
      </c>
      <c r="Z728" s="39" t="n">
        <f aca="false">J728*Resumo!$B$7</f>
        <v>1.0278</v>
      </c>
      <c r="AA728" s="39" t="n">
        <f aca="false">Resumo!$B$9</f>
        <v>1</v>
      </c>
      <c r="AB728" s="39" t="n">
        <f aca="false">Resumo!$B$10*CEILING(I728/100,1)</f>
        <v>4.5</v>
      </c>
      <c r="AC728" s="39" t="n">
        <f aca="false">Resumo!$B$12*CEILING(I728,1)</f>
        <v>2.7</v>
      </c>
      <c r="AD728" s="39" t="n">
        <f aca="false">Resumo!$B$14*CEILING(I728,1)</f>
        <v>20.25</v>
      </c>
      <c r="AE728" s="39" t="n">
        <f aca="false">SUM(X728:AD728)</f>
        <v>144.9417</v>
      </c>
      <c r="AF728" s="39" t="n">
        <f aca="false">AE728/(1-Resumo!$B$5)</f>
        <v>164.706477272727</v>
      </c>
      <c r="AG728" s="39" t="n">
        <f aca="false">AF728-W728</f>
        <v>34.3560454545454</v>
      </c>
      <c r="AH728" s="40" t="n">
        <f aca="false">AF728/W728-1</f>
        <v>0.26356679433534</v>
      </c>
      <c r="AI728" s="37" t="str">
        <f aca="false">IF(AF728&lt;W728,"SIM","NÃO")</f>
        <v>NÃO</v>
      </c>
      <c r="AJ728" s="37" t="n">
        <v>13</v>
      </c>
      <c r="AK728" s="37" t="n">
        <v>7</v>
      </c>
      <c r="AL728" s="37" t="s">
        <v>343</v>
      </c>
      <c r="AM728" s="39" t="n">
        <v>130.62</v>
      </c>
    </row>
    <row r="729" customFormat="false" ht="15" hidden="false" customHeight="false" outlineLevel="0" collapsed="false">
      <c r="A729" s="37" t="n">
        <v>373424370</v>
      </c>
      <c r="B729" s="38" t="n">
        <v>46242.5980324074</v>
      </c>
      <c r="C729" s="37" t="s">
        <v>340</v>
      </c>
      <c r="D729" s="37" t="s">
        <v>1049</v>
      </c>
      <c r="E729" s="37" t="n">
        <v>24914100</v>
      </c>
      <c r="F729" s="37" t="s">
        <v>171</v>
      </c>
      <c r="G729" s="37" t="s">
        <v>198</v>
      </c>
      <c r="H729" s="37" t="s">
        <v>187</v>
      </c>
      <c r="I729" s="37" t="n">
        <v>52.3</v>
      </c>
      <c r="J729" s="39" t="n">
        <v>616.99</v>
      </c>
      <c r="K729" s="37" t="s">
        <v>518</v>
      </c>
      <c r="L729" s="39" t="n">
        <v>141.63</v>
      </c>
      <c r="M729" s="39" t="n">
        <v>83.58</v>
      </c>
      <c r="N729" s="39" t="n">
        <f aca="false">J729*Resumo!$C$6</f>
        <v>0</v>
      </c>
      <c r="O729" s="39" t="n">
        <f aca="false">J729*Resumo!$C$7</f>
        <v>1.295679</v>
      </c>
      <c r="P729" s="39" t="n">
        <f aca="false">J729*Resumo!$C$8</f>
        <v>1.295679</v>
      </c>
      <c r="Q729" s="39" t="n">
        <f aca="false">Resumo!$C$10*CEILING(I729/100,1)</f>
        <v>1.05</v>
      </c>
      <c r="R729" s="39" t="n">
        <f aca="false">Resumo!$C$9</f>
        <v>0</v>
      </c>
      <c r="S729" s="39" t="n">
        <f aca="false">Resumo!$C$13</f>
        <v>13.55</v>
      </c>
      <c r="T729" s="39" t="n">
        <f aca="false">Resumo!$C$14*CEILING(I729,1)</f>
        <v>23.85</v>
      </c>
      <c r="U729" s="39" t="n">
        <f aca="false">SUM(M729:T729)*Resumo!$C$11</f>
        <v>0</v>
      </c>
      <c r="V729" s="39" t="n">
        <f aca="false">SUM(M729:U729)</f>
        <v>124.621358</v>
      </c>
      <c r="W729" s="39" t="n">
        <f aca="false">V729/(1-Resumo!$C$5)</f>
        <v>141.615179545455</v>
      </c>
      <c r="X729" s="39" t="n">
        <v>128.14</v>
      </c>
      <c r="Y729" s="39" t="n">
        <f aca="false">J729*Resumo!$B$6</f>
        <v>0.61699</v>
      </c>
      <c r="Z729" s="39" t="n">
        <f aca="false">J729*Resumo!$B$7</f>
        <v>1.23398</v>
      </c>
      <c r="AA729" s="39" t="n">
        <f aca="false">Resumo!$B$9</f>
        <v>1</v>
      </c>
      <c r="AB729" s="39" t="n">
        <f aca="false">Resumo!$B$10*CEILING(I729/100,1)</f>
        <v>4.5</v>
      </c>
      <c r="AC729" s="39" t="n">
        <f aca="false">Resumo!$B$12*CEILING(I729,1)</f>
        <v>3.18</v>
      </c>
      <c r="AD729" s="39" t="n">
        <f aca="false">Resumo!$B$14*CEILING(I729,1)</f>
        <v>23.85</v>
      </c>
      <c r="AE729" s="39" t="n">
        <f aca="false">SUM(X729:AD729)</f>
        <v>162.52097</v>
      </c>
      <c r="AF729" s="39" t="n">
        <f aca="false">AE729/(1-Resumo!$B$5)</f>
        <v>184.682920454545</v>
      </c>
      <c r="AG729" s="39" t="n">
        <f aca="false">AF729-W729</f>
        <v>43.0677409090909</v>
      </c>
      <c r="AH729" s="40" t="n">
        <f aca="false">AF729/W729-1</f>
        <v>0.304118111118642</v>
      </c>
      <c r="AI729" s="37" t="str">
        <f aca="false">IF(AF729&lt;W729,"SIM","NÃO")</f>
        <v>NÃO</v>
      </c>
      <c r="AJ729" s="37" t="n">
        <v>13</v>
      </c>
      <c r="AK729" s="37" t="n">
        <v>7</v>
      </c>
      <c r="AL729" s="37" t="s">
        <v>343</v>
      </c>
      <c r="AM729" s="39" t="n">
        <v>142.63</v>
      </c>
    </row>
    <row r="730" customFormat="false" ht="15" hidden="false" customHeight="false" outlineLevel="0" collapsed="false">
      <c r="A730" s="37" t="n">
        <v>373434452</v>
      </c>
      <c r="B730" s="38" t="n">
        <v>46242.6135185185</v>
      </c>
      <c r="C730" s="37" t="s">
        <v>340</v>
      </c>
      <c r="D730" s="37" t="s">
        <v>1050</v>
      </c>
      <c r="E730" s="37" t="n">
        <v>26376040</v>
      </c>
      <c r="F730" s="37" t="s">
        <v>236</v>
      </c>
      <c r="G730" s="37" t="s">
        <v>197</v>
      </c>
      <c r="H730" s="37" t="s">
        <v>185</v>
      </c>
      <c r="I730" s="37" t="n">
        <v>37.5</v>
      </c>
      <c r="J730" s="39" t="n">
        <v>459.99</v>
      </c>
      <c r="K730" s="37" t="s">
        <v>518</v>
      </c>
      <c r="L730" s="39" t="n">
        <v>114.17</v>
      </c>
      <c r="M730" s="39" t="n">
        <v>66.83</v>
      </c>
      <c r="N730" s="39" t="n">
        <f aca="false">J730*Resumo!$C$6</f>
        <v>0</v>
      </c>
      <c r="O730" s="39" t="n">
        <f aca="false">J730*Resumo!$C$7</f>
        <v>0.965979</v>
      </c>
      <c r="P730" s="39" t="n">
        <f aca="false">J730*Resumo!$C$8</f>
        <v>0.965979</v>
      </c>
      <c r="Q730" s="39" t="n">
        <f aca="false">Resumo!$C$10*CEILING(I730/100,1)</f>
        <v>1.05</v>
      </c>
      <c r="R730" s="39" t="n">
        <f aca="false">Resumo!$C$9</f>
        <v>0</v>
      </c>
      <c r="S730" s="39" t="n">
        <f aca="false">Resumo!$C$13</f>
        <v>13.55</v>
      </c>
      <c r="T730" s="39" t="n">
        <f aca="false">Resumo!$C$14*CEILING(I730,1)</f>
        <v>17.1</v>
      </c>
      <c r="U730" s="39" t="n">
        <f aca="false">SUM(M730:T730)*Resumo!$C$11</f>
        <v>0</v>
      </c>
      <c r="V730" s="39" t="n">
        <f aca="false">SUM(M730:U730)</f>
        <v>100.461958</v>
      </c>
      <c r="W730" s="39" t="n">
        <f aca="false">V730/(1-Resumo!$C$5)</f>
        <v>114.161315909091</v>
      </c>
      <c r="X730" s="39" t="n">
        <v>93.97</v>
      </c>
      <c r="Y730" s="39" t="n">
        <f aca="false">J730*Resumo!$B$6</f>
        <v>0.45999</v>
      </c>
      <c r="Z730" s="39" t="n">
        <f aca="false">J730*Resumo!$B$7</f>
        <v>0.91998</v>
      </c>
      <c r="AA730" s="39" t="n">
        <f aca="false">Resumo!$B$9</f>
        <v>1</v>
      </c>
      <c r="AB730" s="39" t="n">
        <f aca="false">Resumo!$B$10*CEILING(I730/100,1)</f>
        <v>4.5</v>
      </c>
      <c r="AC730" s="39" t="n">
        <f aca="false">Resumo!$B$12*CEILING(I730,1)</f>
        <v>2.28</v>
      </c>
      <c r="AD730" s="39" t="n">
        <f aca="false">Resumo!$B$14*CEILING(I730,1)</f>
        <v>17.1</v>
      </c>
      <c r="AE730" s="39" t="n">
        <f aca="false">SUM(X730:AD730)</f>
        <v>120.22997</v>
      </c>
      <c r="AF730" s="39" t="n">
        <f aca="false">AE730/(1-Resumo!$B$5)</f>
        <v>136.624965909091</v>
      </c>
      <c r="AG730" s="39" t="n">
        <f aca="false">AF730-W730</f>
        <v>22.46365</v>
      </c>
      <c r="AH730" s="40" t="n">
        <f aca="false">AF730/W730-1</f>
        <v>0.196771120069151</v>
      </c>
      <c r="AI730" s="37" t="str">
        <f aca="false">IF(AF730&lt;W730,"SIM","NÃO")</f>
        <v>NÃO</v>
      </c>
      <c r="AJ730" s="37" t="n">
        <v>2</v>
      </c>
      <c r="AK730" s="37" t="n">
        <v>5</v>
      </c>
      <c r="AL730" s="37" t="s">
        <v>347</v>
      </c>
      <c r="AM730" s="39" t="n">
        <v>113.16</v>
      </c>
    </row>
    <row r="731" customFormat="false" ht="15" hidden="false" customHeight="false" outlineLevel="0" collapsed="false">
      <c r="A731" s="37" t="n">
        <v>373442071</v>
      </c>
      <c r="B731" s="38" t="n">
        <v>46242.6252662037</v>
      </c>
      <c r="C731" s="37" t="s">
        <v>345</v>
      </c>
      <c r="D731" s="37" t="s">
        <v>1051</v>
      </c>
      <c r="E731" s="37" t="n">
        <v>21210260</v>
      </c>
      <c r="F731" s="37" t="s">
        <v>159</v>
      </c>
      <c r="G731" s="37" t="s">
        <v>196</v>
      </c>
      <c r="H731" s="37" t="s">
        <v>187</v>
      </c>
      <c r="I731" s="37" t="n">
        <v>54</v>
      </c>
      <c r="J731" s="39" t="n">
        <v>892</v>
      </c>
      <c r="K731" s="37" t="s">
        <v>342</v>
      </c>
      <c r="L731" s="39" t="n">
        <v>115.41</v>
      </c>
      <c r="M731" s="39" t="n">
        <v>58.6</v>
      </c>
      <c r="N731" s="39" t="n">
        <f aca="false">J731*Resumo!$C$6</f>
        <v>0</v>
      </c>
      <c r="O731" s="39" t="n">
        <f aca="false">J731*Resumo!$C$7</f>
        <v>1.8732</v>
      </c>
      <c r="P731" s="39" t="n">
        <f aca="false">J731*Resumo!$C$8</f>
        <v>1.8732</v>
      </c>
      <c r="Q731" s="39" t="n">
        <f aca="false">Resumo!$C$10*CEILING(I731/100,1)</f>
        <v>1.05</v>
      </c>
      <c r="R731" s="39" t="n">
        <f aca="false">Resumo!$C$9</f>
        <v>0</v>
      </c>
      <c r="S731" s="39" t="n">
        <f aca="false">Resumo!$C$13</f>
        <v>13.55</v>
      </c>
      <c r="T731" s="39" t="n">
        <f aca="false">Resumo!$C$14*CEILING(I731,1)</f>
        <v>24.3</v>
      </c>
      <c r="U731" s="39" t="n">
        <f aca="false">SUM(M731:T731)*Resumo!$C$11</f>
        <v>0</v>
      </c>
      <c r="V731" s="39" t="n">
        <f aca="false">SUM(M731:U731)</f>
        <v>101.2464</v>
      </c>
      <c r="W731" s="39" t="n">
        <f aca="false">V731/(1-Resumo!$C$5)</f>
        <v>115.052727272727</v>
      </c>
      <c r="X731" s="39" t="n">
        <v>112.3</v>
      </c>
      <c r="Y731" s="39" t="n">
        <f aca="false">J731*Resumo!$B$6</f>
        <v>0.892</v>
      </c>
      <c r="Z731" s="39" t="n">
        <f aca="false">J731*Resumo!$B$7</f>
        <v>1.784</v>
      </c>
      <c r="AA731" s="39" t="n">
        <f aca="false">Resumo!$B$9</f>
        <v>1</v>
      </c>
      <c r="AB731" s="39" t="n">
        <f aca="false">Resumo!$B$10*CEILING(I731/100,1)</f>
        <v>4.5</v>
      </c>
      <c r="AC731" s="39" t="n">
        <f aca="false">Resumo!$B$12*CEILING(I731,1)</f>
        <v>3.24</v>
      </c>
      <c r="AD731" s="39" t="n">
        <f aca="false">Resumo!$B$14*CEILING(I731,1)</f>
        <v>24.3</v>
      </c>
      <c r="AE731" s="39" t="n">
        <f aca="false">SUM(X731:AD731)</f>
        <v>148.016</v>
      </c>
      <c r="AF731" s="39" t="n">
        <f aca="false">AE731/(1-Resumo!$B$5)</f>
        <v>168.2</v>
      </c>
      <c r="AG731" s="39" t="n">
        <f aca="false">AF731-W731</f>
        <v>53.1472727272727</v>
      </c>
      <c r="AH731" s="40" t="n">
        <f aca="false">AF731/W731-1</f>
        <v>0.461938399785079</v>
      </c>
      <c r="AI731" s="37" t="str">
        <f aca="false">IF(AF731&lt;W731,"SIM","NÃO")</f>
        <v>NÃO</v>
      </c>
      <c r="AJ731" s="37" t="n">
        <v>2</v>
      </c>
      <c r="AK731" s="37" t="n">
        <v>5</v>
      </c>
      <c r="AL731" s="37" t="s">
        <v>343</v>
      </c>
      <c r="AM731" s="39" t="n">
        <v>115.42</v>
      </c>
    </row>
    <row r="732" customFormat="false" ht="15" hidden="false" customHeight="false" outlineLevel="0" collapsed="false">
      <c r="A732" s="37" t="n">
        <v>373449576</v>
      </c>
      <c r="B732" s="38" t="n">
        <v>46242.638599537</v>
      </c>
      <c r="C732" s="37" t="s">
        <v>340</v>
      </c>
      <c r="D732" s="37" t="s">
        <v>1052</v>
      </c>
      <c r="E732" s="37" t="n">
        <v>21545290</v>
      </c>
      <c r="F732" s="37" t="s">
        <v>159</v>
      </c>
      <c r="G732" s="37" t="s">
        <v>196</v>
      </c>
      <c r="H732" s="37" t="s">
        <v>183</v>
      </c>
      <c r="I732" s="37" t="n">
        <v>19.9</v>
      </c>
      <c r="J732" s="39" t="n">
        <v>299.99</v>
      </c>
      <c r="K732" s="37" t="s">
        <v>342</v>
      </c>
      <c r="L732" s="39" t="n">
        <v>64.66</v>
      </c>
      <c r="M732" s="39" t="n">
        <v>33.42</v>
      </c>
      <c r="N732" s="39" t="n">
        <f aca="false">J732*Resumo!$C$6</f>
        <v>0</v>
      </c>
      <c r="O732" s="39" t="n">
        <f aca="false">J732*Resumo!$C$7</f>
        <v>0.629979</v>
      </c>
      <c r="P732" s="39" t="n">
        <f aca="false">J732*Resumo!$C$8</f>
        <v>0.629979</v>
      </c>
      <c r="Q732" s="39" t="n">
        <f aca="false">Resumo!$C$10*CEILING(I732/100,1)</f>
        <v>1.05</v>
      </c>
      <c r="R732" s="39" t="n">
        <f aca="false">Resumo!$C$9</f>
        <v>0</v>
      </c>
      <c r="S732" s="39" t="n">
        <f aca="false">Resumo!$C$13</f>
        <v>13.55</v>
      </c>
      <c r="T732" s="39" t="n">
        <f aca="false">Resumo!$C$14*CEILING(I732,1)</f>
        <v>9</v>
      </c>
      <c r="U732" s="39" t="n">
        <f aca="false">SUM(M732:T732)*Resumo!$C$11</f>
        <v>0</v>
      </c>
      <c r="V732" s="39" t="n">
        <f aca="false">SUM(M732:U732)</f>
        <v>58.279958</v>
      </c>
      <c r="W732" s="39" t="n">
        <f aca="false">V732/(1-Resumo!$C$5)</f>
        <v>66.227225</v>
      </c>
      <c r="X732" s="39" t="n">
        <v>46.98</v>
      </c>
      <c r="Y732" s="39" t="n">
        <f aca="false">J732*Resumo!$B$6</f>
        <v>0.29999</v>
      </c>
      <c r="Z732" s="39" t="n">
        <f aca="false">J732*Resumo!$B$7</f>
        <v>0.59998</v>
      </c>
      <c r="AA732" s="39" t="n">
        <f aca="false">Resumo!$B$9</f>
        <v>1</v>
      </c>
      <c r="AB732" s="39" t="n">
        <f aca="false">Resumo!$B$10*CEILING(I732/100,1)</f>
        <v>4.5</v>
      </c>
      <c r="AC732" s="39" t="n">
        <f aca="false">Resumo!$B$12*CEILING(I732,1)</f>
        <v>1.2</v>
      </c>
      <c r="AD732" s="39" t="n">
        <f aca="false">Resumo!$B$14*CEILING(I732,1)</f>
        <v>9</v>
      </c>
      <c r="AE732" s="39" t="n">
        <f aca="false">SUM(X732:AD732)</f>
        <v>63.57997</v>
      </c>
      <c r="AF732" s="39" t="n">
        <f aca="false">AE732/(1-Resumo!$B$5)</f>
        <v>72.2499659090909</v>
      </c>
      <c r="AG732" s="39" t="n">
        <f aca="false">AF732-W732</f>
        <v>6.0227409090909</v>
      </c>
      <c r="AH732" s="40" t="n">
        <f aca="false">AF732/W732-1</f>
        <v>0.0909405597032171</v>
      </c>
      <c r="AI732" s="37" t="str">
        <f aca="false">IF(AF732&lt;W732,"SIM","NÃO")</f>
        <v>NÃO</v>
      </c>
      <c r="AJ732" s="37" t="n">
        <v>2</v>
      </c>
      <c r="AK732" s="37" t="n">
        <v>5</v>
      </c>
      <c r="AL732" s="37" t="s">
        <v>343</v>
      </c>
      <c r="AM732" s="39" t="n">
        <v>64.65</v>
      </c>
    </row>
    <row r="733" customFormat="false" ht="15" hidden="false" customHeight="false" outlineLevel="0" collapsed="false">
      <c r="A733" s="37" t="n">
        <v>373451073</v>
      </c>
      <c r="B733" s="38" t="n">
        <v>46242.64125</v>
      </c>
      <c r="C733" s="37" t="s">
        <v>340</v>
      </c>
      <c r="D733" s="37" t="s">
        <v>1053</v>
      </c>
      <c r="E733" s="37" t="n">
        <v>21854002</v>
      </c>
      <c r="F733" s="37" t="s">
        <v>159</v>
      </c>
      <c r="G733" s="37" t="s">
        <v>196</v>
      </c>
      <c r="H733" s="37" t="s">
        <v>187</v>
      </c>
      <c r="I733" s="37" t="n">
        <v>60</v>
      </c>
      <c r="J733" s="39" t="n">
        <v>828</v>
      </c>
      <c r="K733" s="37" t="s">
        <v>342</v>
      </c>
      <c r="L733" s="39" t="n">
        <v>115.12</v>
      </c>
      <c r="M733" s="39" t="n">
        <v>58.6</v>
      </c>
      <c r="N733" s="39" t="n">
        <f aca="false">J733*Resumo!$C$6</f>
        <v>0</v>
      </c>
      <c r="O733" s="39" t="n">
        <f aca="false">J733*Resumo!$C$7</f>
        <v>1.7388</v>
      </c>
      <c r="P733" s="39" t="n">
        <f aca="false">J733*Resumo!$C$8</f>
        <v>1.7388</v>
      </c>
      <c r="Q733" s="39" t="n">
        <f aca="false">Resumo!$C$10*CEILING(I733/100,1)</f>
        <v>1.05</v>
      </c>
      <c r="R733" s="39" t="n">
        <f aca="false">Resumo!$C$9</f>
        <v>0</v>
      </c>
      <c r="S733" s="39" t="n">
        <f aca="false">Resumo!$C$13</f>
        <v>13.55</v>
      </c>
      <c r="T733" s="39" t="n">
        <f aca="false">Resumo!$C$14*CEILING(I733,1)</f>
        <v>27</v>
      </c>
      <c r="U733" s="39" t="n">
        <f aca="false">SUM(M733:T733)*Resumo!$C$11</f>
        <v>0</v>
      </c>
      <c r="V733" s="39" t="n">
        <f aca="false">SUM(M733:U733)</f>
        <v>103.6776</v>
      </c>
      <c r="W733" s="39" t="n">
        <f aca="false">V733/(1-Resumo!$C$5)</f>
        <v>117.815454545455</v>
      </c>
      <c r="X733" s="39" t="n">
        <v>112.3</v>
      </c>
      <c r="Y733" s="39" t="n">
        <f aca="false">J733*Resumo!$B$6</f>
        <v>0.828</v>
      </c>
      <c r="Z733" s="39" t="n">
        <f aca="false">J733*Resumo!$B$7</f>
        <v>1.656</v>
      </c>
      <c r="AA733" s="39" t="n">
        <f aca="false">Resumo!$B$9</f>
        <v>1</v>
      </c>
      <c r="AB733" s="39" t="n">
        <f aca="false">Resumo!$B$10*CEILING(I733/100,1)</f>
        <v>4.5</v>
      </c>
      <c r="AC733" s="39" t="n">
        <f aca="false">Resumo!$B$12*CEILING(I733,1)</f>
        <v>3.6</v>
      </c>
      <c r="AD733" s="39" t="n">
        <f aca="false">Resumo!$B$14*CEILING(I733,1)</f>
        <v>27</v>
      </c>
      <c r="AE733" s="39" t="n">
        <f aca="false">SUM(X733:AD733)</f>
        <v>150.884</v>
      </c>
      <c r="AF733" s="39" t="n">
        <f aca="false">AE733/(1-Resumo!$B$5)</f>
        <v>171.459090909091</v>
      </c>
      <c r="AG733" s="39" t="n">
        <f aca="false">AF733-W733</f>
        <v>53.6436363636364</v>
      </c>
      <c r="AH733" s="40" t="n">
        <f aca="false">AF733/W733-1</f>
        <v>0.455319181771183</v>
      </c>
      <c r="AI733" s="37" t="str">
        <f aca="false">IF(AF733&lt;W733,"SIM","NÃO")</f>
        <v>NÃO</v>
      </c>
      <c r="AJ733" s="37" t="n">
        <v>2</v>
      </c>
      <c r="AK733" s="37" t="n">
        <v>5</v>
      </c>
      <c r="AL733" s="37" t="s">
        <v>343</v>
      </c>
      <c r="AM733" s="39" t="n">
        <v>115.12</v>
      </c>
    </row>
    <row r="734" customFormat="false" ht="15" hidden="false" customHeight="false" outlineLevel="0" collapsed="false">
      <c r="A734" s="37" t="n">
        <v>373451868</v>
      </c>
      <c r="B734" s="38" t="n">
        <v>46242.6427430556</v>
      </c>
      <c r="C734" s="37" t="s">
        <v>340</v>
      </c>
      <c r="D734" s="37" t="s">
        <v>1054</v>
      </c>
      <c r="E734" s="37" t="n">
        <v>23070130</v>
      </c>
      <c r="F734" s="37" t="s">
        <v>159</v>
      </c>
      <c r="G734" s="37" t="s">
        <v>196</v>
      </c>
      <c r="H734" s="37" t="s">
        <v>183</v>
      </c>
      <c r="I734" s="37" t="n">
        <v>17.2</v>
      </c>
      <c r="J734" s="39" t="n">
        <v>249.99</v>
      </c>
      <c r="K734" s="37" t="s">
        <v>518</v>
      </c>
      <c r="L734" s="39" t="n">
        <v>64.95</v>
      </c>
      <c r="M734" s="39" t="n">
        <v>33.42</v>
      </c>
      <c r="N734" s="39" t="n">
        <f aca="false">J734*Resumo!$C$6</f>
        <v>0</v>
      </c>
      <c r="O734" s="39" t="n">
        <f aca="false">J734*Resumo!$C$7</f>
        <v>0.524979</v>
      </c>
      <c r="P734" s="39" t="n">
        <f aca="false">J734*Resumo!$C$8</f>
        <v>0.524979</v>
      </c>
      <c r="Q734" s="39" t="n">
        <f aca="false">Resumo!$C$10*CEILING(I734/100,1)</f>
        <v>1.05</v>
      </c>
      <c r="R734" s="39" t="n">
        <f aca="false">Resumo!$C$9</f>
        <v>0</v>
      </c>
      <c r="S734" s="39" t="n">
        <f aca="false">Resumo!$C$13</f>
        <v>13.55</v>
      </c>
      <c r="T734" s="39" t="n">
        <f aca="false">Resumo!$C$14*CEILING(I734,1)</f>
        <v>8.1</v>
      </c>
      <c r="U734" s="39" t="n">
        <f aca="false">SUM(M734:T734)*Resumo!$C$11</f>
        <v>0</v>
      </c>
      <c r="V734" s="39" t="n">
        <f aca="false">SUM(M734:U734)</f>
        <v>57.169958</v>
      </c>
      <c r="W734" s="39" t="n">
        <f aca="false">V734/(1-Resumo!$C$5)</f>
        <v>64.9658613636364</v>
      </c>
      <c r="X734" s="39" t="n">
        <v>46.98</v>
      </c>
      <c r="Y734" s="39" t="n">
        <f aca="false">J734*Resumo!$B$6</f>
        <v>0.24999</v>
      </c>
      <c r="Z734" s="39" t="n">
        <f aca="false">J734*Resumo!$B$7</f>
        <v>0.49998</v>
      </c>
      <c r="AA734" s="39" t="n">
        <f aca="false">Resumo!$B$9</f>
        <v>1</v>
      </c>
      <c r="AB734" s="39" t="n">
        <f aca="false">Resumo!$B$10*CEILING(I734/100,1)</f>
        <v>4.5</v>
      </c>
      <c r="AC734" s="39" t="n">
        <f aca="false">Resumo!$B$12*CEILING(I734,1)</f>
        <v>1.08</v>
      </c>
      <c r="AD734" s="39" t="n">
        <f aca="false">Resumo!$B$14*CEILING(I734,1)</f>
        <v>8.1</v>
      </c>
      <c r="AE734" s="39" t="n">
        <f aca="false">SUM(X734:AD734)</f>
        <v>62.40997</v>
      </c>
      <c r="AF734" s="39" t="n">
        <f aca="false">AE734/(1-Resumo!$B$5)</f>
        <v>70.9204204545455</v>
      </c>
      <c r="AG734" s="39" t="n">
        <f aca="false">AF734-W734</f>
        <v>5.95455909090909</v>
      </c>
      <c r="AH734" s="40" t="n">
        <f aca="false">AF734/W734-1</f>
        <v>0.0916567404160065</v>
      </c>
      <c r="AI734" s="37" t="str">
        <f aca="false">IF(AF734&lt;W734,"SIM","NÃO")</f>
        <v>NÃO</v>
      </c>
      <c r="AJ734" s="37" t="n">
        <v>2</v>
      </c>
      <c r="AK734" s="37" t="n">
        <v>5</v>
      </c>
      <c r="AL734" s="37" t="s">
        <v>343</v>
      </c>
      <c r="AM734" s="39" t="n">
        <v>64.41</v>
      </c>
    </row>
    <row r="735" customFormat="false" ht="15" hidden="false" customHeight="false" outlineLevel="0" collapsed="false">
      <c r="A735" s="37" t="n">
        <v>373454518</v>
      </c>
      <c r="B735" s="38" t="n">
        <v>46242.6472685185</v>
      </c>
      <c r="C735" s="37" t="s">
        <v>345</v>
      </c>
      <c r="D735" s="37" t="s">
        <v>1055</v>
      </c>
      <c r="E735" s="37" t="n">
        <v>23075078</v>
      </c>
      <c r="F735" s="37" t="s">
        <v>159</v>
      </c>
      <c r="G735" s="37" t="s">
        <v>196</v>
      </c>
      <c r="H735" s="37" t="s">
        <v>192</v>
      </c>
      <c r="I735" s="37" t="n">
        <v>124.2</v>
      </c>
      <c r="J735" s="39" t="n">
        <v>1597.99</v>
      </c>
      <c r="K735" s="37" t="s">
        <v>518</v>
      </c>
      <c r="L735" s="39" t="n">
        <v>226.37</v>
      </c>
      <c r="M735" s="39" t="n">
        <v>120.59</v>
      </c>
      <c r="N735" s="39" t="n">
        <f aca="false">J735*Resumo!$C$6</f>
        <v>0</v>
      </c>
      <c r="O735" s="39" t="n">
        <f aca="false">J735*Resumo!$C$7</f>
        <v>3.355779</v>
      </c>
      <c r="P735" s="39" t="n">
        <f aca="false">J735*Resumo!$C$8</f>
        <v>3.355779</v>
      </c>
      <c r="Q735" s="39" t="n">
        <f aca="false">Resumo!$C$10*CEILING(I735/100,1)</f>
        <v>2.1</v>
      </c>
      <c r="R735" s="39" t="n">
        <f aca="false">Resumo!$C$9</f>
        <v>0</v>
      </c>
      <c r="S735" s="39" t="n">
        <f aca="false">Resumo!$C$13</f>
        <v>13.55</v>
      </c>
      <c r="T735" s="39" t="n">
        <f aca="false">Resumo!$C$14*CEILING(I735,1)</f>
        <v>56.25</v>
      </c>
      <c r="U735" s="39" t="n">
        <f aca="false">SUM(M735:T735)*Resumo!$C$11</f>
        <v>0</v>
      </c>
      <c r="V735" s="39" t="n">
        <f aca="false">SUM(M735:U735)</f>
        <v>199.201558</v>
      </c>
      <c r="W735" s="39" t="n">
        <f aca="false">V735/(1-Resumo!$C$5)</f>
        <v>226.365406818182</v>
      </c>
      <c r="X735" s="39" t="n">
        <v>239.25</v>
      </c>
      <c r="Y735" s="39" t="n">
        <f aca="false">J735*Resumo!$B$6</f>
        <v>1.59799</v>
      </c>
      <c r="Z735" s="39" t="n">
        <f aca="false">J735*Resumo!$B$7</f>
        <v>3.19598</v>
      </c>
      <c r="AA735" s="39" t="n">
        <f aca="false">Resumo!$B$9</f>
        <v>1</v>
      </c>
      <c r="AB735" s="39" t="n">
        <f aca="false">Resumo!$B$10*CEILING(I735/100,1)</f>
        <v>9</v>
      </c>
      <c r="AC735" s="39" t="n">
        <f aca="false">Resumo!$B$12*CEILING(I735,1)</f>
        <v>7.5</v>
      </c>
      <c r="AD735" s="39" t="n">
        <f aca="false">Resumo!$B$14*CEILING(I735,1)</f>
        <v>56.25</v>
      </c>
      <c r="AE735" s="39" t="n">
        <f aca="false">SUM(X735:AD735)</f>
        <v>317.79397</v>
      </c>
      <c r="AF735" s="39" t="n">
        <f aca="false">AE735/(1-Resumo!$B$5)</f>
        <v>361.129511363636</v>
      </c>
      <c r="AG735" s="39" t="n">
        <f aca="false">AF735-W735</f>
        <v>134.764104545455</v>
      </c>
      <c r="AH735" s="40" t="n">
        <f aca="false">AF735/W735-1</f>
        <v>0.595338777420607</v>
      </c>
      <c r="AI735" s="37" t="str">
        <f aca="false">IF(AF735&lt;W735,"SIM","NÃO")</f>
        <v>NÃO</v>
      </c>
      <c r="AJ735" s="37" t="n">
        <v>2</v>
      </c>
      <c r="AK735" s="37" t="n">
        <v>5</v>
      </c>
      <c r="AL735" s="37" t="s">
        <v>343</v>
      </c>
      <c r="AM735" s="39" t="n">
        <v>233.95</v>
      </c>
    </row>
    <row r="736" customFormat="false" ht="15" hidden="false" customHeight="false" outlineLevel="0" collapsed="false">
      <c r="A736" s="37" t="n">
        <v>373458394</v>
      </c>
      <c r="B736" s="38" t="n">
        <v>46242.6541898148</v>
      </c>
      <c r="C736" s="37" t="s">
        <v>345</v>
      </c>
      <c r="D736" s="37" t="s">
        <v>1056</v>
      </c>
      <c r="E736" s="37" t="n">
        <v>27274090</v>
      </c>
      <c r="F736" s="37" t="s">
        <v>168</v>
      </c>
      <c r="G736" s="37" t="s">
        <v>198</v>
      </c>
      <c r="H736" s="37" t="s">
        <v>191</v>
      </c>
      <c r="I736" s="37" t="n">
        <v>109.7</v>
      </c>
      <c r="J736" s="39" t="n">
        <v>1263.12</v>
      </c>
      <c r="K736" s="37" t="s">
        <v>518</v>
      </c>
      <c r="L736" s="39" t="n">
        <v>215.85</v>
      </c>
      <c r="M736" s="39" t="n">
        <v>119.5</v>
      </c>
      <c r="N736" s="39" t="n">
        <f aca="false">J736*Resumo!$C$6</f>
        <v>0</v>
      </c>
      <c r="O736" s="39" t="n">
        <f aca="false">J736*Resumo!$C$7</f>
        <v>2.652552</v>
      </c>
      <c r="P736" s="39" t="n">
        <f aca="false">J736*Resumo!$C$8</f>
        <v>2.652552</v>
      </c>
      <c r="Q736" s="39" t="n">
        <f aca="false">Resumo!$C$10*CEILING(I736/100,1)</f>
        <v>2.1</v>
      </c>
      <c r="R736" s="39" t="n">
        <f aca="false">Resumo!$C$9</f>
        <v>0</v>
      </c>
      <c r="S736" s="39" t="n">
        <f aca="false">Resumo!$C$13</f>
        <v>13.55</v>
      </c>
      <c r="T736" s="39" t="n">
        <f aca="false">Resumo!$C$14*CEILING(I736,1)</f>
        <v>49.5</v>
      </c>
      <c r="U736" s="39" t="n">
        <f aca="false">SUM(M736:T736)*Resumo!$C$11</f>
        <v>0</v>
      </c>
      <c r="V736" s="39" t="n">
        <f aca="false">SUM(M736:U736)</f>
        <v>189.955104</v>
      </c>
      <c r="W736" s="39" t="n">
        <f aca="false">V736/(1-Resumo!$C$5)</f>
        <v>215.858072727273</v>
      </c>
      <c r="X736" s="39" t="n">
        <v>236.82</v>
      </c>
      <c r="Y736" s="39" t="n">
        <f aca="false">J736*Resumo!$B$6</f>
        <v>1.26312</v>
      </c>
      <c r="Z736" s="39" t="n">
        <f aca="false">J736*Resumo!$B$7</f>
        <v>2.52624</v>
      </c>
      <c r="AA736" s="39" t="n">
        <f aca="false">Resumo!$B$9</f>
        <v>1</v>
      </c>
      <c r="AB736" s="39" t="n">
        <f aca="false">Resumo!$B$10*CEILING(I736/100,1)</f>
        <v>9</v>
      </c>
      <c r="AC736" s="39" t="n">
        <f aca="false">Resumo!$B$12*CEILING(I736,1)</f>
        <v>6.6</v>
      </c>
      <c r="AD736" s="39" t="n">
        <f aca="false">Resumo!$B$14*CEILING(I736,1)</f>
        <v>49.5</v>
      </c>
      <c r="AE736" s="39" t="n">
        <f aca="false">SUM(X736:AD736)</f>
        <v>306.70936</v>
      </c>
      <c r="AF736" s="39" t="n">
        <f aca="false">AE736/(1-Resumo!$B$5)</f>
        <v>348.533363636364</v>
      </c>
      <c r="AG736" s="39" t="n">
        <f aca="false">AF736-W736</f>
        <v>132.675290909091</v>
      </c>
      <c r="AH736" s="40" t="n">
        <f aca="false">AF736/W736-1</f>
        <v>0.614641320719658</v>
      </c>
      <c r="AI736" s="37" t="str">
        <f aca="false">IF(AF736&lt;W736,"SIM","NÃO")</f>
        <v>NÃO</v>
      </c>
      <c r="AJ736" s="37" t="n">
        <v>13</v>
      </c>
      <c r="AK736" s="37" t="n">
        <v>10</v>
      </c>
      <c r="AL736" s="37" t="s">
        <v>343</v>
      </c>
      <c r="AM736" s="39" t="n">
        <v>216.71</v>
      </c>
    </row>
    <row r="737" customFormat="false" ht="15" hidden="false" customHeight="false" outlineLevel="0" collapsed="false">
      <c r="A737" s="37" t="n">
        <v>373458630</v>
      </c>
      <c r="B737" s="38" t="n">
        <v>46242.6546643519</v>
      </c>
      <c r="C737" s="37" t="s">
        <v>340</v>
      </c>
      <c r="D737" s="37" t="s">
        <v>1057</v>
      </c>
      <c r="E737" s="37" t="n">
        <v>26381736</v>
      </c>
      <c r="F737" s="37" t="s">
        <v>236</v>
      </c>
      <c r="G737" s="37" t="s">
        <v>197</v>
      </c>
      <c r="H737" s="37" t="s">
        <v>188</v>
      </c>
      <c r="I737" s="37" t="n">
        <v>63.9</v>
      </c>
      <c r="J737" s="39" t="n">
        <v>717.6</v>
      </c>
      <c r="K737" s="37" t="s">
        <v>518</v>
      </c>
      <c r="L737" s="39" t="n">
        <v>139.74</v>
      </c>
      <c r="M737" s="39" t="n">
        <v>76.55</v>
      </c>
      <c r="N737" s="39" t="n">
        <f aca="false">J737*Resumo!$C$6</f>
        <v>0</v>
      </c>
      <c r="O737" s="39" t="n">
        <f aca="false">J737*Resumo!$C$7</f>
        <v>1.50696</v>
      </c>
      <c r="P737" s="39" t="n">
        <f aca="false">J737*Resumo!$C$8</f>
        <v>1.50696</v>
      </c>
      <c r="Q737" s="39" t="n">
        <f aca="false">Resumo!$C$10*CEILING(I737/100,1)</f>
        <v>1.05</v>
      </c>
      <c r="R737" s="39" t="n">
        <f aca="false">Resumo!$C$9</f>
        <v>0</v>
      </c>
      <c r="S737" s="39" t="n">
        <f aca="false">Resumo!$C$13</f>
        <v>13.55</v>
      </c>
      <c r="T737" s="39" t="n">
        <f aca="false">Resumo!$C$14*CEILING(I737,1)</f>
        <v>28.8</v>
      </c>
      <c r="U737" s="39" t="n">
        <f aca="false">SUM(M737:T737)*Resumo!$C$11</f>
        <v>0</v>
      </c>
      <c r="V737" s="39" t="n">
        <f aca="false">SUM(M737:U737)</f>
        <v>122.96392</v>
      </c>
      <c r="W737" s="39" t="n">
        <f aca="false">V737/(1-Resumo!$C$5)</f>
        <v>139.731727272727</v>
      </c>
      <c r="X737" s="39" t="n">
        <v>131.02</v>
      </c>
      <c r="Y737" s="39" t="n">
        <f aca="false">J737*Resumo!$B$6</f>
        <v>0.7176</v>
      </c>
      <c r="Z737" s="39" t="n">
        <f aca="false">J737*Resumo!$B$7</f>
        <v>1.4352</v>
      </c>
      <c r="AA737" s="39" t="n">
        <f aca="false">Resumo!$B$9</f>
        <v>1</v>
      </c>
      <c r="AB737" s="39" t="n">
        <f aca="false">Resumo!$B$10*CEILING(I737/100,1)</f>
        <v>4.5</v>
      </c>
      <c r="AC737" s="39" t="n">
        <f aca="false">Resumo!$B$12*CEILING(I737,1)</f>
        <v>3.84</v>
      </c>
      <c r="AD737" s="39" t="n">
        <f aca="false">Resumo!$B$14*CEILING(I737,1)</f>
        <v>28.8</v>
      </c>
      <c r="AE737" s="39" t="n">
        <f aca="false">SUM(X737:AD737)</f>
        <v>171.3128</v>
      </c>
      <c r="AF737" s="39" t="n">
        <f aca="false">AE737/(1-Resumo!$B$5)</f>
        <v>194.673636363636</v>
      </c>
      <c r="AG737" s="39" t="n">
        <f aca="false">AF737-W737</f>
        <v>54.9419090909091</v>
      </c>
      <c r="AH737" s="40" t="n">
        <f aca="false">AF737/W737-1</f>
        <v>0.393195662597614</v>
      </c>
      <c r="AI737" s="37" t="str">
        <f aca="false">IF(AF737&lt;W737,"SIM","NÃO")</f>
        <v>NÃO</v>
      </c>
      <c r="AJ737" s="37" t="n">
        <v>2</v>
      </c>
      <c r="AK737" s="37" t="n">
        <v>5</v>
      </c>
      <c r="AL737" s="37" t="s">
        <v>347</v>
      </c>
      <c r="AM737" s="39" t="n">
        <v>139.87</v>
      </c>
    </row>
    <row r="738" customFormat="false" ht="15" hidden="false" customHeight="false" outlineLevel="0" collapsed="false">
      <c r="A738" s="37" t="n">
        <v>373458784</v>
      </c>
      <c r="B738" s="38" t="n">
        <v>46242.6550115741</v>
      </c>
      <c r="C738" s="37" t="s">
        <v>340</v>
      </c>
      <c r="D738" s="37" t="s">
        <v>1058</v>
      </c>
      <c r="E738" s="37" t="n">
        <v>25230050</v>
      </c>
      <c r="F738" s="37" t="s">
        <v>161</v>
      </c>
      <c r="G738" s="37" t="s">
        <v>197</v>
      </c>
      <c r="H738" s="37" t="s">
        <v>187</v>
      </c>
      <c r="I738" s="37" t="n">
        <v>56.7</v>
      </c>
      <c r="J738" s="39" t="n">
        <v>690.99</v>
      </c>
      <c r="K738" s="37" t="s">
        <v>342</v>
      </c>
      <c r="L738" s="39" t="n">
        <v>128.59</v>
      </c>
      <c r="M738" s="39" t="n">
        <v>70.98</v>
      </c>
      <c r="N738" s="39" t="n">
        <f aca="false">J738*Resumo!$C$6</f>
        <v>0</v>
      </c>
      <c r="O738" s="39" t="n">
        <f aca="false">J738*Resumo!$C$7</f>
        <v>1.451079</v>
      </c>
      <c r="P738" s="39" t="n">
        <f aca="false">J738*Resumo!$C$8</f>
        <v>1.451079</v>
      </c>
      <c r="Q738" s="39" t="n">
        <f aca="false">Resumo!$C$10*CEILING(I738/100,1)</f>
        <v>1.05</v>
      </c>
      <c r="R738" s="39" t="n">
        <f aca="false">Resumo!$C$9</f>
        <v>0</v>
      </c>
      <c r="S738" s="39" t="n">
        <f aca="false">Resumo!$C$13</f>
        <v>13.55</v>
      </c>
      <c r="T738" s="39" t="n">
        <f aca="false">Resumo!$C$14*CEILING(I738,1)</f>
        <v>25.65</v>
      </c>
      <c r="U738" s="39" t="n">
        <f aca="false">SUM(M738:T738)*Resumo!$C$11</f>
        <v>0</v>
      </c>
      <c r="V738" s="39" t="n">
        <f aca="false">SUM(M738:U738)</f>
        <v>114.132158</v>
      </c>
      <c r="W738" s="39" t="n">
        <f aca="false">V738/(1-Resumo!$C$5)</f>
        <v>129.695634090909</v>
      </c>
      <c r="X738" s="39" t="n">
        <v>112.3</v>
      </c>
      <c r="Y738" s="39" t="n">
        <f aca="false">J738*Resumo!$B$6</f>
        <v>0.69099</v>
      </c>
      <c r="Z738" s="39" t="n">
        <f aca="false">J738*Resumo!$B$7</f>
        <v>1.38198</v>
      </c>
      <c r="AA738" s="39" t="n">
        <f aca="false">Resumo!$B$9</f>
        <v>1</v>
      </c>
      <c r="AB738" s="39" t="n">
        <f aca="false">Resumo!$B$10*CEILING(I738/100,1)</f>
        <v>4.5</v>
      </c>
      <c r="AC738" s="39" t="n">
        <f aca="false">Resumo!$B$12*CEILING(I738,1)</f>
        <v>3.42</v>
      </c>
      <c r="AD738" s="39" t="n">
        <f aca="false">Resumo!$B$14*CEILING(I738,1)</f>
        <v>25.65</v>
      </c>
      <c r="AE738" s="39" t="n">
        <f aca="false">SUM(X738:AD738)</f>
        <v>148.94297</v>
      </c>
      <c r="AF738" s="39" t="n">
        <f aca="false">AE738/(1-Resumo!$B$5)</f>
        <v>169.253375</v>
      </c>
      <c r="AG738" s="39" t="n">
        <f aca="false">AF738-W738</f>
        <v>39.5577409090909</v>
      </c>
      <c r="AH738" s="40" t="n">
        <f aca="false">AF738/W738-1</f>
        <v>0.305004414268589</v>
      </c>
      <c r="AI738" s="37" t="str">
        <f aca="false">IF(AF738&lt;W738,"SIM","NÃO")</f>
        <v>NÃO</v>
      </c>
      <c r="AJ738" s="37" t="n">
        <v>2</v>
      </c>
      <c r="AK738" s="37" t="n">
        <v>5</v>
      </c>
      <c r="AL738" s="37" t="s">
        <v>343</v>
      </c>
      <c r="AM738" s="39" t="n">
        <v>128.59</v>
      </c>
    </row>
    <row r="739" customFormat="false" ht="15" hidden="false" customHeight="false" outlineLevel="0" collapsed="false">
      <c r="A739" s="37" t="n">
        <v>373461126</v>
      </c>
      <c r="B739" s="38" t="n">
        <v>46242.6593171296</v>
      </c>
      <c r="C739" s="37" t="s">
        <v>340</v>
      </c>
      <c r="D739" s="37" t="s">
        <v>1059</v>
      </c>
      <c r="E739" s="37" t="n">
        <v>28080095</v>
      </c>
      <c r="F739" s="37" t="s">
        <v>164</v>
      </c>
      <c r="G739" s="37" t="s">
        <v>198</v>
      </c>
      <c r="H739" s="37" t="s">
        <v>184</v>
      </c>
      <c r="I739" s="37" t="n">
        <v>33</v>
      </c>
      <c r="J739" s="39" t="n">
        <v>450.99</v>
      </c>
      <c r="K739" s="37" t="s">
        <v>518</v>
      </c>
      <c r="L739" s="39" t="n">
        <v>110.2</v>
      </c>
      <c r="M739" s="39" t="n">
        <v>65.63</v>
      </c>
      <c r="N739" s="39" t="n">
        <f aca="false">J739*Resumo!$C$6</f>
        <v>0</v>
      </c>
      <c r="O739" s="39" t="n">
        <f aca="false">J739*Resumo!$C$7</f>
        <v>0.947079</v>
      </c>
      <c r="P739" s="39" t="n">
        <f aca="false">J739*Resumo!$C$8</f>
        <v>0.947079</v>
      </c>
      <c r="Q739" s="39" t="n">
        <f aca="false">Resumo!$C$10*CEILING(I739/100,1)</f>
        <v>1.05</v>
      </c>
      <c r="R739" s="39" t="n">
        <f aca="false">Resumo!$C$9</f>
        <v>0</v>
      </c>
      <c r="S739" s="39" t="n">
        <f aca="false">Resumo!$C$13</f>
        <v>13.55</v>
      </c>
      <c r="T739" s="39" t="n">
        <f aca="false">Resumo!$C$14*CEILING(I739,1)</f>
        <v>14.85</v>
      </c>
      <c r="U739" s="39" t="n">
        <f aca="false">SUM(M739:T739)*Resumo!$C$11</f>
        <v>0</v>
      </c>
      <c r="V739" s="39" t="n">
        <f aca="false">SUM(M739:U739)</f>
        <v>96.974158</v>
      </c>
      <c r="W739" s="39" t="n">
        <f aca="false">V739/(1-Resumo!$C$5)</f>
        <v>110.197906818182</v>
      </c>
      <c r="X739" s="39" t="n">
        <v>138.29</v>
      </c>
      <c r="Y739" s="39" t="n">
        <f aca="false">J739*Resumo!$B$6</f>
        <v>0.45099</v>
      </c>
      <c r="Z739" s="39" t="n">
        <f aca="false">J739*Resumo!$B$7</f>
        <v>0.90198</v>
      </c>
      <c r="AA739" s="39" t="n">
        <f aca="false">Resumo!$B$9</f>
        <v>1</v>
      </c>
      <c r="AB739" s="39" t="n">
        <f aca="false">Resumo!$B$10*CEILING(I739/100,1)</f>
        <v>4.5</v>
      </c>
      <c r="AC739" s="39" t="n">
        <f aca="false">Resumo!$B$12*CEILING(I739,1)</f>
        <v>1.98</v>
      </c>
      <c r="AD739" s="39" t="n">
        <f aca="false">Resumo!$B$14*CEILING(I739,1)</f>
        <v>14.85</v>
      </c>
      <c r="AE739" s="39" t="n">
        <f aca="false">SUM(X739:AD739)</f>
        <v>161.97297</v>
      </c>
      <c r="AF739" s="39" t="n">
        <f aca="false">AE739/(1-Resumo!$B$5)</f>
        <v>184.060193181818</v>
      </c>
      <c r="AG739" s="39" t="n">
        <f aca="false">AF739-W739</f>
        <v>73.8622863636364</v>
      </c>
      <c r="AH739" s="40" t="n">
        <f aca="false">AF739/W739-1</f>
        <v>0.670269413424554</v>
      </c>
      <c r="AI739" s="37" t="str">
        <f aca="false">IF(AF739&lt;W739,"SIM","NÃO")</f>
        <v>NÃO</v>
      </c>
      <c r="AJ739" s="37" t="n">
        <v>13</v>
      </c>
      <c r="AK739" s="37" t="n">
        <v>11</v>
      </c>
      <c r="AL739" s="37" t="s">
        <v>343</v>
      </c>
      <c r="AM739" s="39" t="n">
        <v>109.34</v>
      </c>
    </row>
    <row r="740" customFormat="false" ht="15" hidden="false" customHeight="false" outlineLevel="0" collapsed="false">
      <c r="A740" s="37" t="n">
        <v>373464905</v>
      </c>
      <c r="B740" s="38" t="n">
        <v>46242.6662268519</v>
      </c>
      <c r="C740" s="37" t="s">
        <v>340</v>
      </c>
      <c r="D740" s="37" t="s">
        <v>1060</v>
      </c>
      <c r="E740" s="37" t="n">
        <v>25235105</v>
      </c>
      <c r="F740" s="37" t="s">
        <v>161</v>
      </c>
      <c r="G740" s="37" t="s">
        <v>197</v>
      </c>
      <c r="H740" s="37" t="s">
        <v>187</v>
      </c>
      <c r="I740" s="37" t="n">
        <v>59.9</v>
      </c>
      <c r="J740" s="39" t="n">
        <v>874</v>
      </c>
      <c r="K740" s="37" t="s">
        <v>342</v>
      </c>
      <c r="L740" s="39" t="n">
        <v>129.48</v>
      </c>
      <c r="M740" s="39" t="n">
        <v>70.98</v>
      </c>
      <c r="N740" s="39" t="n">
        <f aca="false">J740*Resumo!$C$6</f>
        <v>0</v>
      </c>
      <c r="O740" s="39" t="n">
        <f aca="false">J740*Resumo!$C$7</f>
        <v>1.8354</v>
      </c>
      <c r="P740" s="39" t="n">
        <f aca="false">J740*Resumo!$C$8</f>
        <v>1.8354</v>
      </c>
      <c r="Q740" s="39" t="n">
        <f aca="false">Resumo!$C$10*CEILING(I740/100,1)</f>
        <v>1.05</v>
      </c>
      <c r="R740" s="39" t="n">
        <f aca="false">Resumo!$C$9</f>
        <v>0</v>
      </c>
      <c r="S740" s="39" t="n">
        <f aca="false">Resumo!$C$13</f>
        <v>13.55</v>
      </c>
      <c r="T740" s="39" t="n">
        <f aca="false">Resumo!$C$14*CEILING(I740,1)</f>
        <v>27</v>
      </c>
      <c r="U740" s="39" t="n">
        <f aca="false">SUM(M740:T740)*Resumo!$C$11</f>
        <v>0</v>
      </c>
      <c r="V740" s="39" t="n">
        <f aca="false">SUM(M740:U740)</f>
        <v>116.2508</v>
      </c>
      <c r="W740" s="39" t="n">
        <f aca="false">V740/(1-Resumo!$C$5)</f>
        <v>132.103181818182</v>
      </c>
      <c r="X740" s="39" t="n">
        <v>112.3</v>
      </c>
      <c r="Y740" s="39" t="n">
        <f aca="false">J740*Resumo!$B$6</f>
        <v>0.874</v>
      </c>
      <c r="Z740" s="39" t="n">
        <f aca="false">J740*Resumo!$B$7</f>
        <v>1.748</v>
      </c>
      <c r="AA740" s="39" t="n">
        <f aca="false">Resumo!$B$9</f>
        <v>1</v>
      </c>
      <c r="AB740" s="39" t="n">
        <f aca="false">Resumo!$B$10*CEILING(I740/100,1)</f>
        <v>4.5</v>
      </c>
      <c r="AC740" s="39" t="n">
        <f aca="false">Resumo!$B$12*CEILING(I740,1)</f>
        <v>3.6</v>
      </c>
      <c r="AD740" s="39" t="n">
        <f aca="false">Resumo!$B$14*CEILING(I740,1)</f>
        <v>27</v>
      </c>
      <c r="AE740" s="39" t="n">
        <f aca="false">SUM(X740:AD740)</f>
        <v>151.022</v>
      </c>
      <c r="AF740" s="39" t="n">
        <f aca="false">AE740/(1-Resumo!$B$5)</f>
        <v>171.615909090909</v>
      </c>
      <c r="AG740" s="39" t="n">
        <f aca="false">AF740-W740</f>
        <v>39.5127272727273</v>
      </c>
      <c r="AH740" s="40" t="n">
        <f aca="false">AF740/W740-1</f>
        <v>0.29910503841694</v>
      </c>
      <c r="AI740" s="37" t="str">
        <f aca="false">IF(AF740&lt;W740,"SIM","NÃO")</f>
        <v>NÃO</v>
      </c>
      <c r="AJ740" s="37" t="n">
        <v>2</v>
      </c>
      <c r="AK740" s="37" t="n">
        <v>5</v>
      </c>
      <c r="AL740" s="37" t="s">
        <v>343</v>
      </c>
      <c r="AM740" s="39" t="n">
        <v>129.47</v>
      </c>
    </row>
    <row r="741" customFormat="false" ht="15" hidden="false" customHeight="false" outlineLevel="0" collapsed="false">
      <c r="A741" s="37" t="n">
        <v>373466821</v>
      </c>
      <c r="B741" s="38" t="n">
        <v>46242.6695023148</v>
      </c>
      <c r="C741" s="37" t="s">
        <v>340</v>
      </c>
      <c r="D741" s="37" t="s">
        <v>1061</v>
      </c>
      <c r="E741" s="37" t="n">
        <v>28897174</v>
      </c>
      <c r="F741" s="37" t="s">
        <v>178</v>
      </c>
      <c r="G741" s="37" t="s">
        <v>198</v>
      </c>
      <c r="H741" s="37" t="s">
        <v>184</v>
      </c>
      <c r="I741" s="37" t="n">
        <v>33</v>
      </c>
      <c r="J741" s="39" t="n">
        <v>450.99</v>
      </c>
      <c r="K741" s="37" t="s">
        <v>518</v>
      </c>
      <c r="L741" s="39" t="n">
        <v>110.2</v>
      </c>
      <c r="M741" s="39" t="n">
        <v>65.63</v>
      </c>
      <c r="N741" s="39" t="n">
        <f aca="false">J741*Resumo!$C$6</f>
        <v>0</v>
      </c>
      <c r="O741" s="39" t="n">
        <f aca="false">J741*Resumo!$C$7</f>
        <v>0.947079</v>
      </c>
      <c r="P741" s="39" t="n">
        <f aca="false">J741*Resumo!$C$8</f>
        <v>0.947079</v>
      </c>
      <c r="Q741" s="39" t="n">
        <f aca="false">Resumo!$C$10*CEILING(I741/100,1)</f>
        <v>1.05</v>
      </c>
      <c r="R741" s="39" t="n">
        <f aca="false">Resumo!$C$9</f>
        <v>0</v>
      </c>
      <c r="S741" s="39" t="n">
        <f aca="false">Resumo!$C$13</f>
        <v>13.55</v>
      </c>
      <c r="T741" s="39" t="n">
        <f aca="false">Resumo!$C$14*CEILING(I741,1)</f>
        <v>14.85</v>
      </c>
      <c r="U741" s="39" t="n">
        <f aca="false">SUM(M741:T741)*Resumo!$C$11</f>
        <v>0</v>
      </c>
      <c r="V741" s="39" t="n">
        <f aca="false">SUM(M741:U741)</f>
        <v>96.974158</v>
      </c>
      <c r="W741" s="39" t="n">
        <f aca="false">V741/(1-Resumo!$C$5)</f>
        <v>110.197906818182</v>
      </c>
      <c r="X741" s="39" t="n">
        <v>114.95</v>
      </c>
      <c r="Y741" s="39" t="n">
        <f aca="false">J741*Resumo!$B$6</f>
        <v>0.45099</v>
      </c>
      <c r="Z741" s="39" t="n">
        <f aca="false">J741*Resumo!$B$7</f>
        <v>0.90198</v>
      </c>
      <c r="AA741" s="39" t="n">
        <f aca="false">Resumo!$B$9</f>
        <v>1</v>
      </c>
      <c r="AB741" s="39" t="n">
        <f aca="false">Resumo!$B$10*CEILING(I741/100,1)</f>
        <v>4.5</v>
      </c>
      <c r="AC741" s="39" t="n">
        <f aca="false">Resumo!$B$12*CEILING(I741,1)</f>
        <v>1.98</v>
      </c>
      <c r="AD741" s="39" t="n">
        <f aca="false">Resumo!$B$14*CEILING(I741,1)</f>
        <v>14.85</v>
      </c>
      <c r="AE741" s="39" t="n">
        <f aca="false">SUM(X741:AD741)</f>
        <v>138.63297</v>
      </c>
      <c r="AF741" s="39" t="n">
        <f aca="false">AE741/(1-Resumo!$B$5)</f>
        <v>157.537465909091</v>
      </c>
      <c r="AG741" s="39" t="n">
        <f aca="false">AF741-W741</f>
        <v>47.3395590909091</v>
      </c>
      <c r="AH741" s="40" t="n">
        <f aca="false">AF741/W741-1</f>
        <v>0.429586735880708</v>
      </c>
      <c r="AI741" s="37" t="str">
        <f aca="false">IF(AF741&lt;W741,"SIM","NÃO")</f>
        <v>NÃO</v>
      </c>
      <c r="AJ741" s="37" t="n">
        <v>13</v>
      </c>
      <c r="AK741" s="37" t="n">
        <v>10</v>
      </c>
      <c r="AL741" s="37" t="s">
        <v>343</v>
      </c>
      <c r="AM741" s="39" t="n">
        <v>109.34</v>
      </c>
    </row>
    <row r="742" customFormat="false" ht="15" hidden="false" customHeight="false" outlineLevel="0" collapsed="false">
      <c r="A742" s="37" t="n">
        <v>373473173</v>
      </c>
      <c r="B742" s="38" t="n">
        <v>46242.6801041667</v>
      </c>
      <c r="C742" s="37" t="s">
        <v>340</v>
      </c>
      <c r="D742" s="37" t="s">
        <v>1062</v>
      </c>
      <c r="E742" s="37" t="n">
        <v>21665110</v>
      </c>
      <c r="F742" s="37" t="s">
        <v>159</v>
      </c>
      <c r="G742" s="37" t="s">
        <v>196</v>
      </c>
      <c r="H742" s="37" t="s">
        <v>185</v>
      </c>
      <c r="I742" s="37" t="n">
        <v>37.2</v>
      </c>
      <c r="J742" s="39" t="n">
        <v>360.99</v>
      </c>
      <c r="K742" s="37" t="s">
        <v>342</v>
      </c>
      <c r="L742" s="39" t="n">
        <v>91.58</v>
      </c>
      <c r="M742" s="39" t="n">
        <v>48.35</v>
      </c>
      <c r="N742" s="39" t="n">
        <f aca="false">J742*Resumo!$C$6</f>
        <v>0</v>
      </c>
      <c r="O742" s="39" t="n">
        <f aca="false">J742*Resumo!$C$7</f>
        <v>0.758079</v>
      </c>
      <c r="P742" s="39" t="n">
        <f aca="false">J742*Resumo!$C$8</f>
        <v>0.758079</v>
      </c>
      <c r="Q742" s="39" t="n">
        <f aca="false">Resumo!$C$10*CEILING(I742/100,1)</f>
        <v>1.05</v>
      </c>
      <c r="R742" s="39" t="n">
        <f aca="false">Resumo!$C$9</f>
        <v>0</v>
      </c>
      <c r="S742" s="39" t="n">
        <f aca="false">Resumo!$C$13</f>
        <v>13.55</v>
      </c>
      <c r="T742" s="39" t="n">
        <f aca="false">Resumo!$C$14*CEILING(I742,1)</f>
        <v>17.1</v>
      </c>
      <c r="U742" s="39" t="n">
        <f aca="false">SUM(M742:T742)*Resumo!$C$11</f>
        <v>0</v>
      </c>
      <c r="V742" s="39" t="n">
        <f aca="false">SUM(M742:U742)</f>
        <v>81.566158</v>
      </c>
      <c r="W742" s="39" t="n">
        <f aca="false">V742/(1-Resumo!$C$5)</f>
        <v>92.6888159090909</v>
      </c>
      <c r="X742" s="39" t="n">
        <v>93.97</v>
      </c>
      <c r="Y742" s="39" t="n">
        <f aca="false">J742*Resumo!$B$6</f>
        <v>0.36099</v>
      </c>
      <c r="Z742" s="39" t="n">
        <f aca="false">J742*Resumo!$B$7</f>
        <v>0.72198</v>
      </c>
      <c r="AA742" s="39" t="n">
        <f aca="false">Resumo!$B$9</f>
        <v>1</v>
      </c>
      <c r="AB742" s="39" t="n">
        <f aca="false">Resumo!$B$10*CEILING(I742/100,1)</f>
        <v>4.5</v>
      </c>
      <c r="AC742" s="39" t="n">
        <f aca="false">Resumo!$B$12*CEILING(I742,1)</f>
        <v>2.28</v>
      </c>
      <c r="AD742" s="39" t="n">
        <f aca="false">Resumo!$B$14*CEILING(I742,1)</f>
        <v>17.1</v>
      </c>
      <c r="AE742" s="39" t="n">
        <f aca="false">SUM(X742:AD742)</f>
        <v>119.93297</v>
      </c>
      <c r="AF742" s="39" t="n">
        <f aca="false">AE742/(1-Resumo!$B$5)</f>
        <v>136.287465909091</v>
      </c>
      <c r="AG742" s="39" t="n">
        <f aca="false">AF742-W742</f>
        <v>43.59865</v>
      </c>
      <c r="AH742" s="40" t="n">
        <f aca="false">AF742/W742-1</f>
        <v>0.470376599079241</v>
      </c>
      <c r="AI742" s="37" t="str">
        <f aca="false">IF(AF742&lt;W742,"SIM","NÃO")</f>
        <v>NÃO</v>
      </c>
      <c r="AJ742" s="37" t="n">
        <v>2</v>
      </c>
      <c r="AK742" s="37" t="n">
        <v>5</v>
      </c>
      <c r="AL742" s="37" t="s">
        <v>343</v>
      </c>
      <c r="AM742" s="39" t="n">
        <v>91.59</v>
      </c>
    </row>
    <row r="743" customFormat="false" ht="15" hidden="false" customHeight="false" outlineLevel="0" collapsed="false">
      <c r="A743" s="37" t="n">
        <v>373474766</v>
      </c>
      <c r="B743" s="38" t="n">
        <v>46242.6831018519</v>
      </c>
      <c r="C743" s="37" t="s">
        <v>340</v>
      </c>
      <c r="D743" s="37" t="s">
        <v>694</v>
      </c>
      <c r="E743" s="37" t="n">
        <v>28400000</v>
      </c>
      <c r="F743" s="37" t="s">
        <v>268</v>
      </c>
      <c r="G743" s="37" t="s">
        <v>198</v>
      </c>
      <c r="H743" s="37" t="s">
        <v>186</v>
      </c>
      <c r="I743" s="37" t="n">
        <v>48.3</v>
      </c>
      <c r="J743" s="39" t="n">
        <v>439.99</v>
      </c>
      <c r="K743" s="37" t="s">
        <v>518</v>
      </c>
      <c r="L743" s="39" t="n">
        <v>132.03</v>
      </c>
      <c r="M743" s="39" t="n">
        <v>77.7</v>
      </c>
      <c r="N743" s="39" t="n">
        <f aca="false">J743*Resumo!$C$6</f>
        <v>0</v>
      </c>
      <c r="O743" s="39" t="n">
        <f aca="false">J743*Resumo!$C$7</f>
        <v>0.923979</v>
      </c>
      <c r="P743" s="39" t="n">
        <f aca="false">J743*Resumo!$C$8</f>
        <v>0.923979</v>
      </c>
      <c r="Q743" s="39" t="n">
        <f aca="false">Resumo!$C$10*CEILING(I743/100,1)</f>
        <v>1.05</v>
      </c>
      <c r="R743" s="39" t="n">
        <f aca="false">Resumo!$C$9</f>
        <v>0</v>
      </c>
      <c r="S743" s="39" t="n">
        <f aca="false">Resumo!$C$13</f>
        <v>13.55</v>
      </c>
      <c r="T743" s="39" t="n">
        <f aca="false">Resumo!$C$14*CEILING(I743,1)</f>
        <v>22.05</v>
      </c>
      <c r="U743" s="39" t="n">
        <f aca="false">SUM(M743:T743)*Resumo!$C$11</f>
        <v>0</v>
      </c>
      <c r="V743" s="39" t="n">
        <f aca="false">SUM(M743:U743)</f>
        <v>116.197958</v>
      </c>
      <c r="W743" s="39" t="n">
        <f aca="false">V743/(1-Resumo!$C$5)</f>
        <v>132.043134090909</v>
      </c>
      <c r="X743" s="39" t="n">
        <v>152.54</v>
      </c>
      <c r="Y743" s="39" t="n">
        <f aca="false">J743*Resumo!$B$6</f>
        <v>0.43999</v>
      </c>
      <c r="Z743" s="39" t="n">
        <f aca="false">J743*Resumo!$B$7</f>
        <v>0.87998</v>
      </c>
      <c r="AA743" s="39" t="n">
        <f aca="false">Resumo!$B$9</f>
        <v>1</v>
      </c>
      <c r="AB743" s="39" t="n">
        <f aca="false">Resumo!$B$10*CEILING(I743/100,1)</f>
        <v>4.5</v>
      </c>
      <c r="AC743" s="39" t="n">
        <f aca="false">Resumo!$B$12*CEILING(I743,1)</f>
        <v>2.94</v>
      </c>
      <c r="AD743" s="39" t="n">
        <f aca="false">Resumo!$B$14*CEILING(I743,1)</f>
        <v>22.05</v>
      </c>
      <c r="AE743" s="39" t="n">
        <f aca="false">SUM(X743:AD743)</f>
        <v>184.34997</v>
      </c>
      <c r="AF743" s="39" t="n">
        <f aca="false">AE743/(1-Resumo!$B$5)</f>
        <v>209.488602272727</v>
      </c>
      <c r="AG743" s="39" t="n">
        <f aca="false">AF743-W743</f>
        <v>77.4454681818182</v>
      </c>
      <c r="AH743" s="40" t="n">
        <f aca="false">AF743/W743-1</f>
        <v>0.586516434307736</v>
      </c>
      <c r="AI743" s="37" t="str">
        <f aca="false">IF(AF743&lt;W743,"SIM","NÃO")</f>
        <v>NÃO</v>
      </c>
      <c r="AJ743" s="37" t="n">
        <v>13</v>
      </c>
      <c r="AK743" s="37" t="n">
        <v>11</v>
      </c>
      <c r="AL743" s="37" t="s">
        <v>347</v>
      </c>
      <c r="AM743" s="39" t="n">
        <v>130.27</v>
      </c>
    </row>
    <row r="744" customFormat="false" ht="15" hidden="false" customHeight="false" outlineLevel="0" collapsed="false">
      <c r="A744" s="37" t="n">
        <v>373475423</v>
      </c>
      <c r="B744" s="38" t="n">
        <v>46242.6841319444</v>
      </c>
      <c r="C744" s="37" t="s">
        <v>340</v>
      </c>
      <c r="D744" s="37" t="s">
        <v>1063</v>
      </c>
      <c r="E744" s="37" t="n">
        <v>22713587</v>
      </c>
      <c r="F744" s="37" t="s">
        <v>159</v>
      </c>
      <c r="G744" s="37" t="s">
        <v>196</v>
      </c>
      <c r="H744" s="37" t="s">
        <v>185</v>
      </c>
      <c r="I744" s="37" t="n">
        <v>36.8</v>
      </c>
      <c r="J744" s="39" t="n">
        <v>396.99</v>
      </c>
      <c r="K744" s="37" t="s">
        <v>342</v>
      </c>
      <c r="L744" s="39" t="n">
        <v>91.75</v>
      </c>
      <c r="M744" s="39" t="n">
        <v>48.35</v>
      </c>
      <c r="N744" s="39" t="n">
        <f aca="false">J744*Resumo!$C$6</f>
        <v>0</v>
      </c>
      <c r="O744" s="39" t="n">
        <f aca="false">J744*Resumo!$C$7</f>
        <v>0.833679</v>
      </c>
      <c r="P744" s="39" t="n">
        <f aca="false">J744*Resumo!$C$8</f>
        <v>0.833679</v>
      </c>
      <c r="Q744" s="39" t="n">
        <f aca="false">Resumo!$C$10*CEILING(I744/100,1)</f>
        <v>1.05</v>
      </c>
      <c r="R744" s="39" t="n">
        <f aca="false">Resumo!$C$9</f>
        <v>0</v>
      </c>
      <c r="S744" s="39" t="n">
        <f aca="false">Resumo!$C$13</f>
        <v>13.55</v>
      </c>
      <c r="T744" s="39" t="n">
        <f aca="false">Resumo!$C$14*CEILING(I744,1)</f>
        <v>16.65</v>
      </c>
      <c r="U744" s="39" t="n">
        <f aca="false">SUM(M744:T744)*Resumo!$C$11</f>
        <v>0</v>
      </c>
      <c r="V744" s="39" t="n">
        <f aca="false">SUM(M744:U744)</f>
        <v>81.267358</v>
      </c>
      <c r="W744" s="39" t="n">
        <f aca="false">V744/(1-Resumo!$C$5)</f>
        <v>92.3492704545455</v>
      </c>
      <c r="X744" s="39" t="n">
        <v>93.97</v>
      </c>
      <c r="Y744" s="39" t="n">
        <f aca="false">J744*Resumo!$B$6</f>
        <v>0.39699</v>
      </c>
      <c r="Z744" s="39" t="n">
        <f aca="false">J744*Resumo!$B$7</f>
        <v>0.79398</v>
      </c>
      <c r="AA744" s="39" t="n">
        <f aca="false">Resumo!$B$9</f>
        <v>1</v>
      </c>
      <c r="AB744" s="39" t="n">
        <f aca="false">Resumo!$B$10*CEILING(I744/100,1)</f>
        <v>4.5</v>
      </c>
      <c r="AC744" s="39" t="n">
        <f aca="false">Resumo!$B$12*CEILING(I744,1)</f>
        <v>2.22</v>
      </c>
      <c r="AD744" s="39" t="n">
        <f aca="false">Resumo!$B$14*CEILING(I744,1)</f>
        <v>16.65</v>
      </c>
      <c r="AE744" s="39" t="n">
        <f aca="false">SUM(X744:AD744)</f>
        <v>119.53097</v>
      </c>
      <c r="AF744" s="39" t="n">
        <f aca="false">AE744/(1-Resumo!$B$5)</f>
        <v>135.830647727273</v>
      </c>
      <c r="AG744" s="39" t="n">
        <f aca="false">AF744-W744</f>
        <v>43.4813772727273</v>
      </c>
      <c r="AH744" s="40" t="n">
        <f aca="false">AF744/W744-1</f>
        <v>0.470836175085205</v>
      </c>
      <c r="AI744" s="37" t="str">
        <f aca="false">IF(AF744&lt;W744,"SIM","NÃO")</f>
        <v>NÃO</v>
      </c>
      <c r="AJ744" s="37" t="n">
        <v>2</v>
      </c>
      <c r="AK744" s="37" t="n">
        <v>5</v>
      </c>
      <c r="AL744" s="37" t="s">
        <v>343</v>
      </c>
      <c r="AM744" s="39" t="n">
        <v>91.76</v>
      </c>
    </row>
    <row r="745" customFormat="false" ht="15" hidden="false" customHeight="false" outlineLevel="0" collapsed="false">
      <c r="A745" s="37" t="n">
        <v>373483813</v>
      </c>
      <c r="B745" s="38" t="n">
        <v>46242.6987615741</v>
      </c>
      <c r="C745" s="37" t="s">
        <v>340</v>
      </c>
      <c r="D745" s="37" t="s">
        <v>1064</v>
      </c>
      <c r="E745" s="37" t="n">
        <v>21616410</v>
      </c>
      <c r="F745" s="37" t="s">
        <v>159</v>
      </c>
      <c r="G745" s="37" t="s">
        <v>196</v>
      </c>
      <c r="H745" s="37" t="s">
        <v>187</v>
      </c>
      <c r="I745" s="37" t="n">
        <v>52.3</v>
      </c>
      <c r="J745" s="39" t="n">
        <v>616.99</v>
      </c>
      <c r="K745" s="37" t="s">
        <v>342</v>
      </c>
      <c r="L745" s="39" t="n">
        <v>114.09</v>
      </c>
      <c r="M745" s="39" t="n">
        <v>58.6</v>
      </c>
      <c r="N745" s="39" t="n">
        <f aca="false">J745*Resumo!$C$6</f>
        <v>0</v>
      </c>
      <c r="O745" s="39" t="n">
        <f aca="false">J745*Resumo!$C$7</f>
        <v>1.295679</v>
      </c>
      <c r="P745" s="39" t="n">
        <f aca="false">J745*Resumo!$C$8</f>
        <v>1.295679</v>
      </c>
      <c r="Q745" s="39" t="n">
        <f aca="false">Resumo!$C$10*CEILING(I745/100,1)</f>
        <v>1.05</v>
      </c>
      <c r="R745" s="39" t="n">
        <f aca="false">Resumo!$C$9</f>
        <v>0</v>
      </c>
      <c r="S745" s="39" t="n">
        <f aca="false">Resumo!$C$13</f>
        <v>13.55</v>
      </c>
      <c r="T745" s="39" t="n">
        <f aca="false">Resumo!$C$14*CEILING(I745,1)</f>
        <v>23.85</v>
      </c>
      <c r="U745" s="39" t="n">
        <f aca="false">SUM(M745:T745)*Resumo!$C$11</f>
        <v>0</v>
      </c>
      <c r="V745" s="39" t="n">
        <f aca="false">SUM(M745:U745)</f>
        <v>99.641358</v>
      </c>
      <c r="W745" s="39" t="n">
        <f aca="false">V745/(1-Resumo!$C$5)</f>
        <v>113.228815909091</v>
      </c>
      <c r="X745" s="39" t="n">
        <v>112.3</v>
      </c>
      <c r="Y745" s="39" t="n">
        <f aca="false">J745*Resumo!$B$6</f>
        <v>0.61699</v>
      </c>
      <c r="Z745" s="39" t="n">
        <f aca="false">J745*Resumo!$B$7</f>
        <v>1.23398</v>
      </c>
      <c r="AA745" s="39" t="n">
        <f aca="false">Resumo!$B$9</f>
        <v>1</v>
      </c>
      <c r="AB745" s="39" t="n">
        <f aca="false">Resumo!$B$10*CEILING(I745/100,1)</f>
        <v>4.5</v>
      </c>
      <c r="AC745" s="39" t="n">
        <f aca="false">Resumo!$B$12*CEILING(I745,1)</f>
        <v>3.18</v>
      </c>
      <c r="AD745" s="39" t="n">
        <f aca="false">Resumo!$B$14*CEILING(I745,1)</f>
        <v>23.85</v>
      </c>
      <c r="AE745" s="39" t="n">
        <f aca="false">SUM(X745:AD745)</f>
        <v>146.68097</v>
      </c>
      <c r="AF745" s="39" t="n">
        <f aca="false">AE745/(1-Resumo!$B$5)</f>
        <v>166.682920454545</v>
      </c>
      <c r="AG745" s="39" t="n">
        <f aca="false">AF745-W745</f>
        <v>53.4541045454546</v>
      </c>
      <c r="AH745" s="40" t="n">
        <f aca="false">AF745/W745-1</f>
        <v>0.472089230257179</v>
      </c>
      <c r="AI745" s="37" t="str">
        <f aca="false">IF(AF745&lt;W745,"SIM","NÃO")</f>
        <v>NÃO</v>
      </c>
      <c r="AJ745" s="37" t="n">
        <v>2</v>
      </c>
      <c r="AK745" s="37" t="n">
        <v>5</v>
      </c>
      <c r="AL745" s="37" t="s">
        <v>343</v>
      </c>
      <c r="AM745" s="39" t="n">
        <v>114.11</v>
      </c>
    </row>
    <row r="746" customFormat="false" ht="15" hidden="false" customHeight="false" outlineLevel="0" collapsed="false">
      <c r="A746" s="37" t="n">
        <v>373484295</v>
      </c>
      <c r="B746" s="38" t="n">
        <v>46242.6994675926</v>
      </c>
      <c r="C746" s="37" t="s">
        <v>345</v>
      </c>
      <c r="D746" s="37" t="s">
        <v>1065</v>
      </c>
      <c r="E746" s="37" t="n">
        <v>22775118</v>
      </c>
      <c r="F746" s="37" t="s">
        <v>159</v>
      </c>
      <c r="G746" s="37" t="s">
        <v>196</v>
      </c>
      <c r="H746" s="37" t="s">
        <v>192</v>
      </c>
      <c r="I746" s="37" t="n">
        <v>138</v>
      </c>
      <c r="J746" s="39" t="n">
        <v>1432.72</v>
      </c>
      <c r="K746" s="37" t="s">
        <v>342</v>
      </c>
      <c r="L746" s="39" t="n">
        <v>233.17</v>
      </c>
      <c r="M746" s="39" t="n">
        <v>120.59</v>
      </c>
      <c r="N746" s="39" t="n">
        <f aca="false">J746*Resumo!$C$6</f>
        <v>0</v>
      </c>
      <c r="O746" s="39" t="n">
        <f aca="false">J746*Resumo!$C$7</f>
        <v>3.008712</v>
      </c>
      <c r="P746" s="39" t="n">
        <f aca="false">J746*Resumo!$C$8</f>
        <v>3.008712</v>
      </c>
      <c r="Q746" s="39" t="n">
        <f aca="false">Resumo!$C$10*CEILING(I746/100,1)</f>
        <v>2.1</v>
      </c>
      <c r="R746" s="39" t="n">
        <f aca="false">Resumo!$C$9</f>
        <v>0</v>
      </c>
      <c r="S746" s="39" t="n">
        <f aca="false">Resumo!$C$13</f>
        <v>13.55</v>
      </c>
      <c r="T746" s="39" t="n">
        <f aca="false">Resumo!$C$14*CEILING(I746,1)</f>
        <v>62.1</v>
      </c>
      <c r="U746" s="39" t="n">
        <f aca="false">SUM(M746:T746)*Resumo!$C$11</f>
        <v>0</v>
      </c>
      <c r="V746" s="39" t="n">
        <f aca="false">SUM(M746:U746)</f>
        <v>204.357424</v>
      </c>
      <c r="W746" s="39" t="n">
        <f aca="false">V746/(1-Resumo!$C$5)</f>
        <v>232.224345454545</v>
      </c>
      <c r="X746" s="39" t="n">
        <v>239.25</v>
      </c>
      <c r="Y746" s="39" t="n">
        <f aca="false">J746*Resumo!$B$6</f>
        <v>1.43272</v>
      </c>
      <c r="Z746" s="39" t="n">
        <f aca="false">J746*Resumo!$B$7</f>
        <v>2.86544</v>
      </c>
      <c r="AA746" s="39" t="n">
        <f aca="false">Resumo!$B$9</f>
        <v>1</v>
      </c>
      <c r="AB746" s="39" t="n">
        <f aca="false">Resumo!$B$10*CEILING(I746/100,1)</f>
        <v>9</v>
      </c>
      <c r="AC746" s="39" t="n">
        <f aca="false">Resumo!$B$12*CEILING(I746,1)</f>
        <v>8.28</v>
      </c>
      <c r="AD746" s="39" t="n">
        <f aca="false">Resumo!$B$14*CEILING(I746,1)</f>
        <v>62.1</v>
      </c>
      <c r="AE746" s="39" t="n">
        <f aca="false">SUM(X746:AD746)</f>
        <v>323.92816</v>
      </c>
      <c r="AF746" s="39" t="n">
        <f aca="false">AE746/(1-Resumo!$B$5)</f>
        <v>368.100181818182</v>
      </c>
      <c r="AG746" s="39" t="n">
        <f aca="false">AF746-W746</f>
        <v>135.875836363636</v>
      </c>
      <c r="AH746" s="40" t="n">
        <f aca="false">AF746/W746-1</f>
        <v>0.585105907383135</v>
      </c>
      <c r="AI746" s="37" t="str">
        <f aca="false">IF(AF746&lt;W746,"SIM","NÃO")</f>
        <v>NÃO</v>
      </c>
      <c r="AJ746" s="37" t="n">
        <v>2</v>
      </c>
      <c r="AK746" s="37" t="n">
        <v>5</v>
      </c>
      <c r="AL746" s="37" t="s">
        <v>343</v>
      </c>
      <c r="AM746" s="39" t="n">
        <v>233.16</v>
      </c>
    </row>
    <row r="747" customFormat="false" ht="15" hidden="false" customHeight="false" outlineLevel="0" collapsed="false">
      <c r="A747" s="37" t="n">
        <v>373484522</v>
      </c>
      <c r="B747" s="38" t="n">
        <v>46242.7001273148</v>
      </c>
      <c r="C747" s="37" t="s">
        <v>340</v>
      </c>
      <c r="D747" s="37" t="s">
        <v>1066</v>
      </c>
      <c r="E747" s="37" t="n">
        <v>25266070</v>
      </c>
      <c r="F747" s="37" t="s">
        <v>161</v>
      </c>
      <c r="G747" s="37" t="s">
        <v>197</v>
      </c>
      <c r="H747" s="37" t="s">
        <v>188</v>
      </c>
      <c r="I747" s="37" t="n">
        <v>69.15</v>
      </c>
      <c r="J747" s="39" t="n">
        <v>829.99</v>
      </c>
      <c r="K747" s="37" t="s">
        <v>342</v>
      </c>
      <c r="L747" s="39" t="n">
        <v>140.41</v>
      </c>
      <c r="M747" s="39" t="n">
        <v>76.55</v>
      </c>
      <c r="N747" s="39" t="n">
        <f aca="false">J747*Resumo!$C$6</f>
        <v>0</v>
      </c>
      <c r="O747" s="39" t="n">
        <f aca="false">J747*Resumo!$C$7</f>
        <v>1.742979</v>
      </c>
      <c r="P747" s="39" t="n">
        <f aca="false">J747*Resumo!$C$8</f>
        <v>1.742979</v>
      </c>
      <c r="Q747" s="39" t="n">
        <f aca="false">Resumo!$C$10*CEILING(I747/100,1)</f>
        <v>1.05</v>
      </c>
      <c r="R747" s="39" t="n">
        <f aca="false">Resumo!$C$9</f>
        <v>0</v>
      </c>
      <c r="S747" s="39" t="n">
        <f aca="false">Resumo!$C$13</f>
        <v>13.55</v>
      </c>
      <c r="T747" s="39" t="n">
        <f aca="false">Resumo!$C$14*CEILING(I747,1)</f>
        <v>31.5</v>
      </c>
      <c r="U747" s="39" t="n">
        <f aca="false">SUM(M747:T747)*Resumo!$C$11</f>
        <v>0</v>
      </c>
      <c r="V747" s="39" t="n">
        <f aca="false">SUM(M747:U747)</f>
        <v>126.135958</v>
      </c>
      <c r="W747" s="39" t="n">
        <f aca="false">V747/(1-Resumo!$C$5)</f>
        <v>143.336315909091</v>
      </c>
      <c r="X747" s="39" t="n">
        <v>131.02</v>
      </c>
      <c r="Y747" s="39" t="n">
        <f aca="false">J747*Resumo!$B$6</f>
        <v>0.82999</v>
      </c>
      <c r="Z747" s="39" t="n">
        <f aca="false">J747*Resumo!$B$7</f>
        <v>1.65998</v>
      </c>
      <c r="AA747" s="39" t="n">
        <f aca="false">Resumo!$B$9</f>
        <v>1</v>
      </c>
      <c r="AB747" s="39" t="n">
        <f aca="false">Resumo!$B$10*CEILING(I747/100,1)</f>
        <v>4.5</v>
      </c>
      <c r="AC747" s="39" t="n">
        <f aca="false">Resumo!$B$12*CEILING(I747,1)</f>
        <v>4.2</v>
      </c>
      <c r="AD747" s="39" t="n">
        <f aca="false">Resumo!$B$14*CEILING(I747,1)</f>
        <v>31.5</v>
      </c>
      <c r="AE747" s="39" t="n">
        <f aca="false">SUM(X747:AD747)</f>
        <v>174.70997</v>
      </c>
      <c r="AF747" s="39" t="n">
        <f aca="false">AE747/(1-Resumo!$B$5)</f>
        <v>198.534056818182</v>
      </c>
      <c r="AG747" s="39" t="n">
        <f aca="false">AF747-W747</f>
        <v>55.1977409090909</v>
      </c>
      <c r="AH747" s="40" t="n">
        <f aca="false">AF747/W747-1</f>
        <v>0.385092504708293</v>
      </c>
      <c r="AI747" s="37" t="str">
        <f aca="false">IF(AF747&lt;W747,"SIM","NÃO")</f>
        <v>NÃO</v>
      </c>
      <c r="AJ747" s="37" t="n">
        <v>2</v>
      </c>
      <c r="AK747" s="37" t="n">
        <v>5</v>
      </c>
      <c r="AL747" s="37" t="s">
        <v>343</v>
      </c>
      <c r="AM747" s="39" t="n">
        <v>140.41</v>
      </c>
    </row>
    <row r="748" customFormat="false" ht="15" hidden="false" customHeight="false" outlineLevel="0" collapsed="false">
      <c r="A748" s="37" t="n">
        <v>373485051</v>
      </c>
      <c r="B748" s="38" t="n">
        <v>46242.7012037037</v>
      </c>
      <c r="C748" s="37" t="s">
        <v>345</v>
      </c>
      <c r="D748" s="37" t="s">
        <v>652</v>
      </c>
      <c r="E748" s="37" t="n">
        <v>23860000</v>
      </c>
      <c r="F748" s="37" t="s">
        <v>219</v>
      </c>
      <c r="G748" s="37" t="s">
        <v>198</v>
      </c>
      <c r="H748" s="37" t="s">
        <v>188</v>
      </c>
      <c r="I748" s="37" t="n">
        <v>69.15</v>
      </c>
      <c r="J748" s="39" t="n">
        <v>707</v>
      </c>
      <c r="K748" s="37" t="s">
        <v>518</v>
      </c>
      <c r="L748" s="39" t="n">
        <v>158.25</v>
      </c>
      <c r="M748" s="39" t="n">
        <v>90.2</v>
      </c>
      <c r="N748" s="39" t="n">
        <f aca="false">J748*Resumo!$C$6</f>
        <v>0</v>
      </c>
      <c r="O748" s="39" t="n">
        <f aca="false">J748*Resumo!$C$7</f>
        <v>1.4847</v>
      </c>
      <c r="P748" s="39" t="n">
        <f aca="false">J748*Resumo!$C$8</f>
        <v>1.4847</v>
      </c>
      <c r="Q748" s="39" t="n">
        <f aca="false">Resumo!$C$10*CEILING(I748/100,1)</f>
        <v>1.05</v>
      </c>
      <c r="R748" s="39" t="n">
        <f aca="false">Resumo!$C$9</f>
        <v>0</v>
      </c>
      <c r="S748" s="39" t="n">
        <f aca="false">Resumo!$C$13</f>
        <v>13.55</v>
      </c>
      <c r="T748" s="39" t="n">
        <f aca="false">Resumo!$C$14*CEILING(I748,1)</f>
        <v>31.5</v>
      </c>
      <c r="U748" s="39" t="n">
        <f aca="false">SUM(M748:T748)*Resumo!$C$11</f>
        <v>0</v>
      </c>
      <c r="V748" s="39" t="n">
        <f aca="false">SUM(M748:U748)</f>
        <v>139.2694</v>
      </c>
      <c r="W748" s="39" t="n">
        <f aca="false">V748/(1-Resumo!$C$5)</f>
        <v>158.260681818182</v>
      </c>
      <c r="X748" s="39" t="n">
        <v>166.05</v>
      </c>
      <c r="Y748" s="39" t="n">
        <f aca="false">J748*Resumo!$B$6</f>
        <v>0.707</v>
      </c>
      <c r="Z748" s="39" t="n">
        <f aca="false">J748*Resumo!$B$7</f>
        <v>1.414</v>
      </c>
      <c r="AA748" s="39" t="n">
        <f aca="false">Resumo!$B$9</f>
        <v>1</v>
      </c>
      <c r="AB748" s="39" t="n">
        <f aca="false">Resumo!$B$10*CEILING(I748/100,1)</f>
        <v>4.5</v>
      </c>
      <c r="AC748" s="39" t="n">
        <f aca="false">Resumo!$B$12*CEILING(I748,1)</f>
        <v>4.2</v>
      </c>
      <c r="AD748" s="39" t="n">
        <f aca="false">Resumo!$B$14*CEILING(I748,1)</f>
        <v>31.5</v>
      </c>
      <c r="AE748" s="39" t="n">
        <f aca="false">SUM(X748:AD748)</f>
        <v>209.371</v>
      </c>
      <c r="AF748" s="39" t="n">
        <f aca="false">AE748/(1-Resumo!$B$5)</f>
        <v>237.921590909091</v>
      </c>
      <c r="AG748" s="39" t="n">
        <f aca="false">AF748-W748</f>
        <v>79.6609090909091</v>
      </c>
      <c r="AH748" s="40" t="n">
        <f aca="false">AF748/W748-1</f>
        <v>0.503352495235852</v>
      </c>
      <c r="AI748" s="37" t="str">
        <f aca="false">IF(AF748&lt;W748,"SIM","NÃO")</f>
        <v>NÃO</v>
      </c>
      <c r="AJ748" s="37" t="n">
        <v>13</v>
      </c>
      <c r="AK748" s="37" t="n">
        <v>10</v>
      </c>
      <c r="AL748" s="37" t="s">
        <v>347</v>
      </c>
      <c r="AM748" s="39" t="n">
        <v>155.41</v>
      </c>
    </row>
    <row r="749" customFormat="false" ht="15" hidden="false" customHeight="false" outlineLevel="0" collapsed="false">
      <c r="A749" s="37" t="n">
        <v>373488397</v>
      </c>
      <c r="B749" s="38" t="n">
        <v>46242.7071527778</v>
      </c>
      <c r="C749" s="37" t="s">
        <v>340</v>
      </c>
      <c r="D749" s="37" t="s">
        <v>1067</v>
      </c>
      <c r="E749" s="37" t="n">
        <v>25570290</v>
      </c>
      <c r="F749" s="37" t="s">
        <v>167</v>
      </c>
      <c r="G749" s="37" t="s">
        <v>197</v>
      </c>
      <c r="H749" s="37" t="s">
        <v>188</v>
      </c>
      <c r="I749" s="37" t="n">
        <v>61.5</v>
      </c>
      <c r="J749" s="39" t="n">
        <v>708.4</v>
      </c>
      <c r="K749" s="37" t="s">
        <v>518</v>
      </c>
      <c r="L749" s="39" t="n">
        <v>138.67</v>
      </c>
      <c r="M749" s="39" t="n">
        <v>76.55</v>
      </c>
      <c r="N749" s="39" t="n">
        <f aca="false">J749*Resumo!$C$6</f>
        <v>0</v>
      </c>
      <c r="O749" s="39" t="n">
        <f aca="false">J749*Resumo!$C$7</f>
        <v>1.48764</v>
      </c>
      <c r="P749" s="39" t="n">
        <f aca="false">J749*Resumo!$C$8</f>
        <v>1.48764</v>
      </c>
      <c r="Q749" s="39" t="n">
        <f aca="false">Resumo!$C$10*CEILING(I749/100,1)</f>
        <v>1.05</v>
      </c>
      <c r="R749" s="39" t="n">
        <f aca="false">Resumo!$C$9</f>
        <v>0</v>
      </c>
      <c r="S749" s="39" t="n">
        <f aca="false">Resumo!$C$13</f>
        <v>13.55</v>
      </c>
      <c r="T749" s="39" t="n">
        <f aca="false">Resumo!$C$14*CEILING(I749,1)</f>
        <v>27.9</v>
      </c>
      <c r="U749" s="39" t="n">
        <f aca="false">SUM(M749:T749)*Resumo!$C$11</f>
        <v>0</v>
      </c>
      <c r="V749" s="39" t="n">
        <f aca="false">SUM(M749:U749)</f>
        <v>122.02528</v>
      </c>
      <c r="W749" s="39" t="n">
        <f aca="false">V749/(1-Resumo!$C$5)</f>
        <v>138.665090909091</v>
      </c>
      <c r="X749" s="39" t="n">
        <v>131.02</v>
      </c>
      <c r="Y749" s="39" t="n">
        <f aca="false">J749*Resumo!$B$6</f>
        <v>0.7084</v>
      </c>
      <c r="Z749" s="39" t="n">
        <f aca="false">J749*Resumo!$B$7</f>
        <v>1.4168</v>
      </c>
      <c r="AA749" s="39" t="n">
        <f aca="false">Resumo!$B$9</f>
        <v>1</v>
      </c>
      <c r="AB749" s="39" t="n">
        <f aca="false">Resumo!$B$10*CEILING(I749/100,1)</f>
        <v>4.5</v>
      </c>
      <c r="AC749" s="39" t="n">
        <f aca="false">Resumo!$B$12*CEILING(I749,1)</f>
        <v>3.72</v>
      </c>
      <c r="AD749" s="39" t="n">
        <f aca="false">Resumo!$B$14*CEILING(I749,1)</f>
        <v>27.9</v>
      </c>
      <c r="AE749" s="39" t="n">
        <f aca="false">SUM(X749:AD749)</f>
        <v>170.2652</v>
      </c>
      <c r="AF749" s="39" t="n">
        <f aca="false">AE749/(1-Resumo!$B$5)</f>
        <v>193.483181818182</v>
      </c>
      <c r="AG749" s="39" t="n">
        <f aca="false">AF749-W749</f>
        <v>54.8180909090909</v>
      </c>
      <c r="AH749" s="40" t="n">
        <f aca="false">AF749/W749-1</f>
        <v>0.395327263334286</v>
      </c>
      <c r="AI749" s="37" t="str">
        <f aca="false">IF(AF749&lt;W749,"SIM","NÃO")</f>
        <v>NÃO</v>
      </c>
      <c r="AJ749" s="37" t="n">
        <v>2</v>
      </c>
      <c r="AK749" s="37" t="n">
        <v>5</v>
      </c>
      <c r="AL749" s="37" t="s">
        <v>343</v>
      </c>
      <c r="AM749" s="39" t="n">
        <v>139.83</v>
      </c>
    </row>
    <row r="750" customFormat="false" ht="15" hidden="false" customHeight="false" outlineLevel="0" collapsed="false">
      <c r="A750" s="37" t="n">
        <v>373495295</v>
      </c>
      <c r="B750" s="38" t="n">
        <v>46242.7202083333</v>
      </c>
      <c r="C750" s="37" t="s">
        <v>340</v>
      </c>
      <c r="D750" s="37" t="s">
        <v>1068</v>
      </c>
      <c r="E750" s="37" t="n">
        <v>22775060</v>
      </c>
      <c r="F750" s="37" t="s">
        <v>159</v>
      </c>
      <c r="G750" s="37" t="s">
        <v>196</v>
      </c>
      <c r="H750" s="37" t="s">
        <v>184</v>
      </c>
      <c r="I750" s="37" t="n">
        <v>27</v>
      </c>
      <c r="J750" s="39" t="n">
        <v>297.99</v>
      </c>
      <c r="K750" s="37" t="s">
        <v>342</v>
      </c>
      <c r="L750" s="39" t="n">
        <v>81.76</v>
      </c>
      <c r="M750" s="39" t="n">
        <v>42.11</v>
      </c>
      <c r="N750" s="39" t="n">
        <f aca="false">J750*Resumo!$C$6</f>
        <v>0</v>
      </c>
      <c r="O750" s="39" t="n">
        <f aca="false">J750*Resumo!$C$7</f>
        <v>0.625779</v>
      </c>
      <c r="P750" s="39" t="n">
        <f aca="false">J750*Resumo!$C$8</f>
        <v>0.625779</v>
      </c>
      <c r="Q750" s="39" t="n">
        <f aca="false">Resumo!$C$10*CEILING(I750/100,1)</f>
        <v>1.05</v>
      </c>
      <c r="R750" s="39" t="n">
        <f aca="false">Resumo!$C$9</f>
        <v>0</v>
      </c>
      <c r="S750" s="39" t="n">
        <f aca="false">Resumo!$C$13</f>
        <v>13.55</v>
      </c>
      <c r="T750" s="39" t="n">
        <f aca="false">Resumo!$C$14*CEILING(I750,1)</f>
        <v>12.15</v>
      </c>
      <c r="U750" s="39" t="n">
        <f aca="false">SUM(M750:T750)*Resumo!$C$11</f>
        <v>0</v>
      </c>
      <c r="V750" s="39" t="n">
        <f aca="false">SUM(M750:U750)</f>
        <v>70.111558</v>
      </c>
      <c r="W750" s="39" t="n">
        <f aca="false">V750/(1-Resumo!$C$5)</f>
        <v>79.672225</v>
      </c>
      <c r="X750" s="39" t="n">
        <v>82.21</v>
      </c>
      <c r="Y750" s="39" t="n">
        <f aca="false">J750*Resumo!$B$6</f>
        <v>0.29799</v>
      </c>
      <c r="Z750" s="39" t="n">
        <f aca="false">J750*Resumo!$B$7</f>
        <v>0.59598</v>
      </c>
      <c r="AA750" s="39" t="n">
        <f aca="false">Resumo!$B$9</f>
        <v>1</v>
      </c>
      <c r="AB750" s="39" t="n">
        <f aca="false">Resumo!$B$10*CEILING(I750/100,1)</f>
        <v>4.5</v>
      </c>
      <c r="AC750" s="39" t="n">
        <f aca="false">Resumo!$B$12*CEILING(I750,1)</f>
        <v>1.62</v>
      </c>
      <c r="AD750" s="39" t="n">
        <f aca="false">Resumo!$B$14*CEILING(I750,1)</f>
        <v>12.15</v>
      </c>
      <c r="AE750" s="39" t="n">
        <f aca="false">SUM(X750:AD750)</f>
        <v>102.37397</v>
      </c>
      <c r="AF750" s="39" t="n">
        <f aca="false">AE750/(1-Resumo!$B$5)</f>
        <v>116.334056818182</v>
      </c>
      <c r="AG750" s="39" t="n">
        <f aca="false">AF750-W750</f>
        <v>36.6618318181818</v>
      </c>
      <c r="AH750" s="40" t="n">
        <f aca="false">AF750/W750-1</f>
        <v>0.460158252366892</v>
      </c>
      <c r="AI750" s="37" t="str">
        <f aca="false">IF(AF750&lt;W750,"SIM","NÃO")</f>
        <v>NÃO</v>
      </c>
      <c r="AJ750" s="37" t="n">
        <v>2</v>
      </c>
      <c r="AK750" s="37" t="n">
        <v>5</v>
      </c>
      <c r="AL750" s="37" t="s">
        <v>343</v>
      </c>
      <c r="AM750" s="39" t="n">
        <v>81.75</v>
      </c>
    </row>
    <row r="751" customFormat="false" ht="15" hidden="false" customHeight="false" outlineLevel="0" collapsed="false">
      <c r="A751" s="37" t="n">
        <v>373496636</v>
      </c>
      <c r="B751" s="38" t="n">
        <v>46242.7226041667</v>
      </c>
      <c r="C751" s="37" t="s">
        <v>340</v>
      </c>
      <c r="D751" s="37" t="s">
        <v>1069</v>
      </c>
      <c r="E751" s="37" t="n">
        <v>23918510</v>
      </c>
      <c r="F751" s="37" t="s">
        <v>169</v>
      </c>
      <c r="G751" s="37" t="s">
        <v>198</v>
      </c>
      <c r="H751" s="37" t="s">
        <v>188</v>
      </c>
      <c r="I751" s="37" t="n">
        <v>66.8</v>
      </c>
      <c r="J751" s="39" t="n">
        <v>644.99</v>
      </c>
      <c r="K751" s="37" t="s">
        <v>518</v>
      </c>
      <c r="L751" s="39" t="n">
        <v>156.42</v>
      </c>
      <c r="M751" s="39" t="n">
        <v>90.2</v>
      </c>
      <c r="N751" s="39" t="n">
        <f aca="false">J751*Resumo!$C$6</f>
        <v>0</v>
      </c>
      <c r="O751" s="39" t="n">
        <f aca="false">J751*Resumo!$C$7</f>
        <v>1.354479</v>
      </c>
      <c r="P751" s="39" t="n">
        <f aca="false">J751*Resumo!$C$8</f>
        <v>1.354479</v>
      </c>
      <c r="Q751" s="39" t="n">
        <f aca="false">Resumo!$C$10*CEILING(I751/100,1)</f>
        <v>1.05</v>
      </c>
      <c r="R751" s="39" t="n">
        <f aca="false">Resumo!$C$9</f>
        <v>0</v>
      </c>
      <c r="S751" s="39" t="n">
        <f aca="false">Resumo!$C$13</f>
        <v>13.55</v>
      </c>
      <c r="T751" s="39" t="n">
        <f aca="false">Resumo!$C$14*CEILING(I751,1)</f>
        <v>30.15</v>
      </c>
      <c r="U751" s="39" t="n">
        <f aca="false">SUM(M751:T751)*Resumo!$C$11</f>
        <v>0</v>
      </c>
      <c r="V751" s="39" t="n">
        <f aca="false">SUM(M751:U751)</f>
        <v>137.658958</v>
      </c>
      <c r="W751" s="39" t="n">
        <f aca="false">V751/(1-Resumo!$C$5)</f>
        <v>156.430634090909</v>
      </c>
      <c r="X751" s="39" t="n">
        <v>166.05</v>
      </c>
      <c r="Y751" s="39" t="n">
        <f aca="false">J751*Resumo!$B$6</f>
        <v>0.64499</v>
      </c>
      <c r="Z751" s="39" t="n">
        <f aca="false">J751*Resumo!$B$7</f>
        <v>1.28998</v>
      </c>
      <c r="AA751" s="39" t="n">
        <f aca="false">Resumo!$B$9</f>
        <v>1</v>
      </c>
      <c r="AB751" s="39" t="n">
        <f aca="false">Resumo!$B$10*CEILING(I751/100,1)</f>
        <v>4.5</v>
      </c>
      <c r="AC751" s="39" t="n">
        <f aca="false">Resumo!$B$12*CEILING(I751,1)</f>
        <v>4.02</v>
      </c>
      <c r="AD751" s="39" t="n">
        <f aca="false">Resumo!$B$14*CEILING(I751,1)</f>
        <v>30.15</v>
      </c>
      <c r="AE751" s="39" t="n">
        <f aca="false">SUM(X751:AD751)</f>
        <v>207.65497</v>
      </c>
      <c r="AF751" s="39" t="n">
        <f aca="false">AE751/(1-Resumo!$B$5)</f>
        <v>235.971556818182</v>
      </c>
      <c r="AG751" s="39" t="n">
        <f aca="false">AF751-W751</f>
        <v>79.5409227272727</v>
      </c>
      <c r="AH751" s="40" t="n">
        <f aca="false">AF751/W751-1</f>
        <v>0.508474079834311</v>
      </c>
      <c r="AI751" s="37" t="str">
        <f aca="false">IF(AF751&lt;W751,"SIM","NÃO")</f>
        <v>NÃO</v>
      </c>
      <c r="AJ751" s="37" t="n">
        <v>13</v>
      </c>
      <c r="AK751" s="37" t="n">
        <v>10</v>
      </c>
      <c r="AL751" s="37" t="s">
        <v>343</v>
      </c>
      <c r="AM751" s="39" t="n">
        <v>155.11</v>
      </c>
    </row>
    <row r="752" customFormat="false" ht="15" hidden="false" customHeight="false" outlineLevel="0" collapsed="false">
      <c r="A752" s="37" t="n">
        <v>373497060</v>
      </c>
      <c r="B752" s="38" t="n">
        <v>46242.7235532407</v>
      </c>
      <c r="C752" s="37" t="s">
        <v>340</v>
      </c>
      <c r="D752" s="37" t="s">
        <v>1070</v>
      </c>
      <c r="E752" s="37" t="n">
        <v>28022720</v>
      </c>
      <c r="F752" s="37" t="s">
        <v>164</v>
      </c>
      <c r="G752" s="37" t="s">
        <v>198</v>
      </c>
      <c r="H752" s="37" t="s">
        <v>186</v>
      </c>
      <c r="I752" s="37" t="n">
        <v>41.4</v>
      </c>
      <c r="J752" s="39" t="n">
        <v>449.99</v>
      </c>
      <c r="K752" s="37" t="s">
        <v>518</v>
      </c>
      <c r="L752" s="39" t="n">
        <v>128.5</v>
      </c>
      <c r="M752" s="39" t="n">
        <v>77.7</v>
      </c>
      <c r="N752" s="39" t="n">
        <f aca="false">J752*Resumo!$C$6</f>
        <v>0</v>
      </c>
      <c r="O752" s="39" t="n">
        <f aca="false">J752*Resumo!$C$7</f>
        <v>0.944979</v>
      </c>
      <c r="P752" s="39" t="n">
        <f aca="false">J752*Resumo!$C$8</f>
        <v>0.944979</v>
      </c>
      <c r="Q752" s="39" t="n">
        <f aca="false">Resumo!$C$10*CEILING(I752/100,1)</f>
        <v>1.05</v>
      </c>
      <c r="R752" s="39" t="n">
        <f aca="false">Resumo!$C$9</f>
        <v>0</v>
      </c>
      <c r="S752" s="39" t="n">
        <f aca="false">Resumo!$C$13</f>
        <v>13.55</v>
      </c>
      <c r="T752" s="39" t="n">
        <f aca="false">Resumo!$C$14*CEILING(I752,1)</f>
        <v>18.9</v>
      </c>
      <c r="U752" s="39" t="n">
        <f aca="false">SUM(M752:T752)*Resumo!$C$11</f>
        <v>0</v>
      </c>
      <c r="V752" s="39" t="n">
        <f aca="false">SUM(M752:U752)</f>
        <v>113.089958</v>
      </c>
      <c r="W752" s="39" t="n">
        <f aca="false">V752/(1-Resumo!$C$5)</f>
        <v>128.511315909091</v>
      </c>
      <c r="X752" s="39" t="n">
        <v>152.54</v>
      </c>
      <c r="Y752" s="39" t="n">
        <f aca="false">J752*Resumo!$B$6</f>
        <v>0.44999</v>
      </c>
      <c r="Z752" s="39" t="n">
        <f aca="false">J752*Resumo!$B$7</f>
        <v>0.89998</v>
      </c>
      <c r="AA752" s="39" t="n">
        <f aca="false">Resumo!$B$9</f>
        <v>1</v>
      </c>
      <c r="AB752" s="39" t="n">
        <f aca="false">Resumo!$B$10*CEILING(I752/100,1)</f>
        <v>4.5</v>
      </c>
      <c r="AC752" s="39" t="n">
        <f aca="false">Resumo!$B$12*CEILING(I752,1)</f>
        <v>2.52</v>
      </c>
      <c r="AD752" s="39" t="n">
        <f aca="false">Resumo!$B$14*CEILING(I752,1)</f>
        <v>18.9</v>
      </c>
      <c r="AE752" s="39" t="n">
        <f aca="false">SUM(X752:AD752)</f>
        <v>180.80997</v>
      </c>
      <c r="AF752" s="39" t="n">
        <f aca="false">AE752/(1-Resumo!$B$5)</f>
        <v>205.465875</v>
      </c>
      <c r="AG752" s="39" t="n">
        <f aca="false">AF752-W752</f>
        <v>76.9545590909091</v>
      </c>
      <c r="AH752" s="40" t="n">
        <f aca="false">AF752/W752-1</f>
        <v>0.598815431516917</v>
      </c>
      <c r="AI752" s="37" t="str">
        <f aca="false">IF(AF752&lt;W752,"SIM","NÃO")</f>
        <v>NÃO</v>
      </c>
      <c r="AJ752" s="37" t="n">
        <v>13</v>
      </c>
      <c r="AK752" s="37" t="n">
        <v>11</v>
      </c>
      <c r="AL752" s="37" t="s">
        <v>343</v>
      </c>
      <c r="AM752" s="39" t="n">
        <v>130.32</v>
      </c>
    </row>
    <row r="753" customFormat="false" ht="15" hidden="false" customHeight="false" outlineLevel="0" collapsed="false">
      <c r="A753" s="37" t="n">
        <v>373508916</v>
      </c>
      <c r="B753" s="38" t="n">
        <v>46242.7455671296</v>
      </c>
      <c r="C753" s="37" t="s">
        <v>340</v>
      </c>
      <c r="D753" s="37" t="s">
        <v>547</v>
      </c>
      <c r="E753" s="37" t="n">
        <v>28380000</v>
      </c>
      <c r="F753" s="37" t="s">
        <v>266</v>
      </c>
      <c r="G753" s="37" t="s">
        <v>198</v>
      </c>
      <c r="H753" s="37" t="s">
        <v>187</v>
      </c>
      <c r="I753" s="37" t="n">
        <v>52.3</v>
      </c>
      <c r="J753" s="39" t="n">
        <v>616.99</v>
      </c>
      <c r="K753" s="37" t="s">
        <v>518</v>
      </c>
      <c r="L753" s="39" t="n">
        <v>141.63</v>
      </c>
      <c r="M753" s="39" t="n">
        <v>83.58</v>
      </c>
      <c r="N753" s="39" t="n">
        <f aca="false">J753*Resumo!$C$6</f>
        <v>0</v>
      </c>
      <c r="O753" s="39" t="n">
        <f aca="false">J753*Resumo!$C$7</f>
        <v>1.295679</v>
      </c>
      <c r="P753" s="39" t="n">
        <f aca="false">J753*Resumo!$C$8</f>
        <v>1.295679</v>
      </c>
      <c r="Q753" s="39" t="n">
        <f aca="false">Resumo!$C$10*CEILING(I753/100,1)</f>
        <v>1.05</v>
      </c>
      <c r="R753" s="39" t="n">
        <f aca="false">Resumo!$C$9</f>
        <v>0</v>
      </c>
      <c r="S753" s="39" t="n">
        <f aca="false">Resumo!$C$13</f>
        <v>13.55</v>
      </c>
      <c r="T753" s="39" t="n">
        <f aca="false">Resumo!$C$14*CEILING(I753,1)</f>
        <v>23.85</v>
      </c>
      <c r="U753" s="39" t="n">
        <f aca="false">SUM(M753:T753)*Resumo!$C$11</f>
        <v>0</v>
      </c>
      <c r="V753" s="39" t="n">
        <f aca="false">SUM(M753:U753)</f>
        <v>124.621358</v>
      </c>
      <c r="W753" s="39" t="n">
        <f aca="false">V753/(1-Resumo!$C$5)</f>
        <v>141.615179545455</v>
      </c>
      <c r="X753" s="39" t="n">
        <v>162.04</v>
      </c>
      <c r="Y753" s="39" t="n">
        <f aca="false">J753*Resumo!$B$6</f>
        <v>0.61699</v>
      </c>
      <c r="Z753" s="39" t="n">
        <f aca="false">J753*Resumo!$B$7</f>
        <v>1.23398</v>
      </c>
      <c r="AA753" s="39" t="n">
        <f aca="false">Resumo!$B$9</f>
        <v>1</v>
      </c>
      <c r="AB753" s="39" t="n">
        <f aca="false">Resumo!$B$10*CEILING(I753/100,1)</f>
        <v>4.5</v>
      </c>
      <c r="AC753" s="39" t="n">
        <f aca="false">Resumo!$B$12*CEILING(I753,1)</f>
        <v>3.18</v>
      </c>
      <c r="AD753" s="39" t="n">
        <f aca="false">Resumo!$B$14*CEILING(I753,1)</f>
        <v>23.85</v>
      </c>
      <c r="AE753" s="39" t="n">
        <f aca="false">SUM(X753:AD753)</f>
        <v>196.42097</v>
      </c>
      <c r="AF753" s="39" t="n">
        <f aca="false">AE753/(1-Resumo!$B$5)</f>
        <v>223.205647727273</v>
      </c>
      <c r="AG753" s="39" t="n">
        <f aca="false">AF753-W753</f>
        <v>81.5904681818182</v>
      </c>
      <c r="AH753" s="40" t="n">
        <f aca="false">AF753/W753-1</f>
        <v>0.576142108802891</v>
      </c>
      <c r="AI753" s="37" t="str">
        <f aca="false">IF(AF753&lt;W753,"SIM","NÃO")</f>
        <v>NÃO</v>
      </c>
      <c r="AJ753" s="37" t="n">
        <v>13</v>
      </c>
      <c r="AK753" s="37" t="n">
        <v>11</v>
      </c>
      <c r="AL753" s="37" t="s">
        <v>347</v>
      </c>
      <c r="AM753" s="39" t="n">
        <v>142.63</v>
      </c>
    </row>
    <row r="754" customFormat="false" ht="15" hidden="false" customHeight="false" outlineLevel="0" collapsed="false">
      <c r="A754" s="37" t="n">
        <v>373509799</v>
      </c>
      <c r="B754" s="38" t="n">
        <v>46242.7471759259</v>
      </c>
      <c r="C754" s="37" t="s">
        <v>345</v>
      </c>
      <c r="D754" s="37" t="s">
        <v>1071</v>
      </c>
      <c r="E754" s="37" t="n">
        <v>26525131</v>
      </c>
      <c r="F754" s="37" t="s">
        <v>238</v>
      </c>
      <c r="G754" s="37" t="s">
        <v>197</v>
      </c>
      <c r="H754" s="37" t="s">
        <v>192</v>
      </c>
      <c r="I754" s="37" t="n">
        <v>124.2</v>
      </c>
      <c r="J754" s="39" t="n">
        <v>1558.09</v>
      </c>
      <c r="K754" s="37" t="s">
        <v>518</v>
      </c>
      <c r="L754" s="39" t="n">
        <v>236.43</v>
      </c>
      <c r="M754" s="39" t="n">
        <v>129.62</v>
      </c>
      <c r="N754" s="39" t="n">
        <f aca="false">J754*Resumo!$C$6</f>
        <v>0</v>
      </c>
      <c r="O754" s="39" t="n">
        <f aca="false">J754*Resumo!$C$7</f>
        <v>3.271989</v>
      </c>
      <c r="P754" s="39" t="n">
        <f aca="false">J754*Resumo!$C$8</f>
        <v>3.271989</v>
      </c>
      <c r="Q754" s="39" t="n">
        <f aca="false">Resumo!$C$10*CEILING(I754/100,1)</f>
        <v>2.1</v>
      </c>
      <c r="R754" s="39" t="n">
        <f aca="false">Resumo!$C$9</f>
        <v>0</v>
      </c>
      <c r="S754" s="39" t="n">
        <f aca="false">Resumo!$C$13</f>
        <v>13.55</v>
      </c>
      <c r="T754" s="39" t="n">
        <f aca="false">Resumo!$C$14*CEILING(I754,1)</f>
        <v>56.25</v>
      </c>
      <c r="U754" s="39" t="n">
        <f aca="false">SUM(M754:T754)*Resumo!$C$11</f>
        <v>0</v>
      </c>
      <c r="V754" s="39" t="n">
        <f aca="false">SUM(M754:U754)</f>
        <v>208.063978</v>
      </c>
      <c r="W754" s="39" t="n">
        <f aca="false">V754/(1-Resumo!$C$5)</f>
        <v>236.436338636364</v>
      </c>
      <c r="X754" s="39" t="n">
        <v>239.25</v>
      </c>
      <c r="Y754" s="39" t="n">
        <f aca="false">J754*Resumo!$B$6</f>
        <v>1.55809</v>
      </c>
      <c r="Z754" s="39" t="n">
        <f aca="false">J754*Resumo!$B$7</f>
        <v>3.11618</v>
      </c>
      <c r="AA754" s="39" t="n">
        <f aca="false">Resumo!$B$9</f>
        <v>1</v>
      </c>
      <c r="AB754" s="39" t="n">
        <f aca="false">Resumo!$B$10*CEILING(I754/100,1)</f>
        <v>9</v>
      </c>
      <c r="AC754" s="39" t="n">
        <f aca="false">Resumo!$B$12*CEILING(I754,1)</f>
        <v>7.5</v>
      </c>
      <c r="AD754" s="39" t="n">
        <f aca="false">Resumo!$B$14*CEILING(I754,1)</f>
        <v>56.25</v>
      </c>
      <c r="AE754" s="39" t="n">
        <f aca="false">SUM(X754:AD754)</f>
        <v>317.67427</v>
      </c>
      <c r="AF754" s="39" t="n">
        <f aca="false">AE754/(1-Resumo!$B$5)</f>
        <v>360.993488636364</v>
      </c>
      <c r="AG754" s="39" t="n">
        <f aca="false">AF754-W754</f>
        <v>124.55715</v>
      </c>
      <c r="AH754" s="40" t="n">
        <f aca="false">AF754/W754-1</f>
        <v>0.526810517868692</v>
      </c>
      <c r="AI754" s="37" t="str">
        <f aca="false">IF(AF754&lt;W754,"SIM","NÃO")</f>
        <v>NÃO</v>
      </c>
      <c r="AJ754" s="37" t="n">
        <v>2</v>
      </c>
      <c r="AK754" s="37" t="n">
        <v>5</v>
      </c>
      <c r="AL754" s="37" t="s">
        <v>347</v>
      </c>
      <c r="AM754" s="39" t="n">
        <v>244.07</v>
      </c>
    </row>
    <row r="755" customFormat="false" ht="15" hidden="false" customHeight="false" outlineLevel="0" collapsed="false">
      <c r="A755" s="37" t="n">
        <v>373519331</v>
      </c>
      <c r="B755" s="38" t="n">
        <v>46242.7655439815</v>
      </c>
      <c r="C755" s="37" t="s">
        <v>340</v>
      </c>
      <c r="D755" s="37" t="s">
        <v>1072</v>
      </c>
      <c r="E755" s="37" t="n">
        <v>28948243</v>
      </c>
      <c r="F755" s="37" t="s">
        <v>292</v>
      </c>
      <c r="G755" s="37" t="s">
        <v>198</v>
      </c>
      <c r="H755" s="37" t="s">
        <v>187</v>
      </c>
      <c r="I755" s="37" t="n">
        <v>56.7</v>
      </c>
      <c r="J755" s="39" t="n">
        <v>690.99</v>
      </c>
      <c r="K755" s="37" t="s">
        <v>518</v>
      </c>
      <c r="L755" s="39" t="n">
        <v>144.01</v>
      </c>
      <c r="M755" s="39" t="n">
        <v>83.58</v>
      </c>
      <c r="N755" s="39" t="n">
        <f aca="false">J755*Resumo!$C$6</f>
        <v>0</v>
      </c>
      <c r="O755" s="39" t="n">
        <f aca="false">J755*Resumo!$C$7</f>
        <v>1.451079</v>
      </c>
      <c r="P755" s="39" t="n">
        <f aca="false">J755*Resumo!$C$8</f>
        <v>1.451079</v>
      </c>
      <c r="Q755" s="39" t="n">
        <f aca="false">Resumo!$C$10*CEILING(I755/100,1)</f>
        <v>1.05</v>
      </c>
      <c r="R755" s="39" t="n">
        <f aca="false">Resumo!$C$9</f>
        <v>0</v>
      </c>
      <c r="S755" s="39" t="n">
        <f aca="false">Resumo!$C$13</f>
        <v>13.55</v>
      </c>
      <c r="T755" s="39" t="n">
        <f aca="false">Resumo!$C$14*CEILING(I755,1)</f>
        <v>25.65</v>
      </c>
      <c r="U755" s="39" t="n">
        <f aca="false">SUM(M755:T755)*Resumo!$C$11</f>
        <v>0</v>
      </c>
      <c r="V755" s="39" t="n">
        <f aca="false">SUM(M755:U755)</f>
        <v>126.732158</v>
      </c>
      <c r="W755" s="39" t="n">
        <f aca="false">V755/(1-Resumo!$C$5)</f>
        <v>144.013815909091</v>
      </c>
      <c r="X755" s="39" t="n">
        <v>142.32</v>
      </c>
      <c r="Y755" s="39" t="n">
        <f aca="false">J755*Resumo!$B$6</f>
        <v>0.69099</v>
      </c>
      <c r="Z755" s="39" t="n">
        <f aca="false">J755*Resumo!$B$7</f>
        <v>1.38198</v>
      </c>
      <c r="AA755" s="39" t="n">
        <f aca="false">Resumo!$B$9</f>
        <v>1</v>
      </c>
      <c r="AB755" s="39" t="n">
        <f aca="false">Resumo!$B$10*CEILING(I755/100,1)</f>
        <v>4.5</v>
      </c>
      <c r="AC755" s="39" t="n">
        <f aca="false">Resumo!$B$12*CEILING(I755,1)</f>
        <v>3.42</v>
      </c>
      <c r="AD755" s="39" t="n">
        <f aca="false">Resumo!$B$14*CEILING(I755,1)</f>
        <v>25.65</v>
      </c>
      <c r="AE755" s="39" t="n">
        <f aca="false">SUM(X755:AD755)</f>
        <v>178.96297</v>
      </c>
      <c r="AF755" s="39" t="n">
        <f aca="false">AE755/(1-Resumo!$B$5)</f>
        <v>203.367011363636</v>
      </c>
      <c r="AG755" s="39" t="n">
        <f aca="false">AF755-W755</f>
        <v>59.3531954545455</v>
      </c>
      <c r="AH755" s="40" t="n">
        <f aca="false">AF755/W755-1</f>
        <v>0.41213542658999</v>
      </c>
      <c r="AI755" s="37" t="str">
        <f aca="false">IF(AF755&lt;W755,"SIM","NÃO")</f>
        <v>NÃO</v>
      </c>
      <c r="AJ755" s="37" t="n">
        <v>13</v>
      </c>
      <c r="AK755" s="37" t="n">
        <v>10</v>
      </c>
      <c r="AL755" s="37" t="s">
        <v>347</v>
      </c>
      <c r="AM755" s="39" t="n">
        <v>142.98</v>
      </c>
    </row>
    <row r="756" customFormat="false" ht="15" hidden="false" customHeight="false" outlineLevel="0" collapsed="false">
      <c r="A756" s="37" t="n">
        <v>373520405</v>
      </c>
      <c r="B756" s="38" t="n">
        <v>46242.7672916667</v>
      </c>
      <c r="C756" s="37" t="s">
        <v>340</v>
      </c>
      <c r="D756" s="37" t="s">
        <v>1073</v>
      </c>
      <c r="E756" s="37" t="n">
        <v>22770590</v>
      </c>
      <c r="F756" s="37" t="s">
        <v>159</v>
      </c>
      <c r="G756" s="37" t="s">
        <v>196</v>
      </c>
      <c r="H756" s="37" t="s">
        <v>183</v>
      </c>
      <c r="I756" s="37" t="n">
        <v>17.2</v>
      </c>
      <c r="J756" s="39" t="n">
        <v>269.99</v>
      </c>
      <c r="K756" s="37" t="s">
        <v>342</v>
      </c>
      <c r="L756" s="39" t="n">
        <v>64.51</v>
      </c>
      <c r="M756" s="39" t="n">
        <v>33.42</v>
      </c>
      <c r="N756" s="39" t="n">
        <f aca="false">J756*Resumo!$C$6</f>
        <v>0</v>
      </c>
      <c r="O756" s="39" t="n">
        <f aca="false">J756*Resumo!$C$7</f>
        <v>0.566979</v>
      </c>
      <c r="P756" s="39" t="n">
        <f aca="false">J756*Resumo!$C$8</f>
        <v>0.566979</v>
      </c>
      <c r="Q756" s="39" t="n">
        <f aca="false">Resumo!$C$10*CEILING(I756/100,1)</f>
        <v>1.05</v>
      </c>
      <c r="R756" s="39" t="n">
        <f aca="false">Resumo!$C$9</f>
        <v>0</v>
      </c>
      <c r="S756" s="39" t="n">
        <f aca="false">Resumo!$C$13</f>
        <v>13.55</v>
      </c>
      <c r="T756" s="39" t="n">
        <f aca="false">Resumo!$C$14*CEILING(I756,1)</f>
        <v>8.1</v>
      </c>
      <c r="U756" s="39" t="n">
        <f aca="false">SUM(M756:T756)*Resumo!$C$11</f>
        <v>0</v>
      </c>
      <c r="V756" s="39" t="n">
        <f aca="false">SUM(M756:U756)</f>
        <v>57.253958</v>
      </c>
      <c r="W756" s="39" t="n">
        <f aca="false">V756/(1-Resumo!$C$5)</f>
        <v>65.0613159090909</v>
      </c>
      <c r="X756" s="39" t="n">
        <v>46.98</v>
      </c>
      <c r="Y756" s="39" t="n">
        <f aca="false">J756*Resumo!$B$6</f>
        <v>0.26999</v>
      </c>
      <c r="Z756" s="39" t="n">
        <f aca="false">J756*Resumo!$B$7</f>
        <v>0.53998</v>
      </c>
      <c r="AA756" s="39" t="n">
        <f aca="false">Resumo!$B$9</f>
        <v>1</v>
      </c>
      <c r="AB756" s="39" t="n">
        <f aca="false">Resumo!$B$10*CEILING(I756/100,1)</f>
        <v>4.5</v>
      </c>
      <c r="AC756" s="39" t="n">
        <f aca="false">Resumo!$B$12*CEILING(I756,1)</f>
        <v>1.08</v>
      </c>
      <c r="AD756" s="39" t="n">
        <f aca="false">Resumo!$B$14*CEILING(I756,1)</f>
        <v>8.1</v>
      </c>
      <c r="AE756" s="39" t="n">
        <f aca="false">SUM(X756:AD756)</f>
        <v>62.46997</v>
      </c>
      <c r="AF756" s="39" t="n">
        <f aca="false">AE756/(1-Resumo!$B$5)</f>
        <v>70.9886022727273</v>
      </c>
      <c r="AG756" s="39" t="n">
        <f aca="false">AF756-W756</f>
        <v>5.92728636363636</v>
      </c>
      <c r="AH756" s="40" t="n">
        <f aca="false">AF756/W756-1</f>
        <v>0.0911030814673108</v>
      </c>
      <c r="AI756" s="37" t="str">
        <f aca="false">IF(AF756&lt;W756,"SIM","NÃO")</f>
        <v>NÃO</v>
      </c>
      <c r="AJ756" s="37" t="n">
        <v>2</v>
      </c>
      <c r="AK756" s="37" t="n">
        <v>5</v>
      </c>
      <c r="AL756" s="37" t="s">
        <v>343</v>
      </c>
      <c r="AM756" s="39" t="n">
        <v>64.51</v>
      </c>
    </row>
    <row r="757" customFormat="false" ht="15" hidden="false" customHeight="false" outlineLevel="0" collapsed="false">
      <c r="A757" s="37" t="n">
        <v>373526561</v>
      </c>
      <c r="B757" s="38" t="n">
        <v>46242.7785185185</v>
      </c>
      <c r="C757" s="37" t="s">
        <v>340</v>
      </c>
      <c r="D757" s="37" t="s">
        <v>1074</v>
      </c>
      <c r="E757" s="37" t="n">
        <v>25243054</v>
      </c>
      <c r="F757" s="37" t="s">
        <v>161</v>
      </c>
      <c r="G757" s="37" t="s">
        <v>197</v>
      </c>
      <c r="H757" s="37" t="s">
        <v>184</v>
      </c>
      <c r="I757" s="37" t="n">
        <v>22.4</v>
      </c>
      <c r="J757" s="39" t="n">
        <v>519.99</v>
      </c>
      <c r="K757" s="37" t="s">
        <v>342</v>
      </c>
      <c r="L757" s="39" t="n">
        <v>101.87</v>
      </c>
      <c r="M757" s="39" t="n">
        <v>58.8</v>
      </c>
      <c r="N757" s="39" t="n">
        <f aca="false">J757*Resumo!$C$6</f>
        <v>0</v>
      </c>
      <c r="O757" s="39" t="n">
        <f aca="false">J757*Resumo!$C$7</f>
        <v>1.091979</v>
      </c>
      <c r="P757" s="39" t="n">
        <f aca="false">J757*Resumo!$C$8</f>
        <v>1.091979</v>
      </c>
      <c r="Q757" s="39" t="n">
        <f aca="false">Resumo!$C$10*CEILING(I757/100,1)</f>
        <v>1.05</v>
      </c>
      <c r="R757" s="39" t="n">
        <f aca="false">Resumo!$C$9</f>
        <v>0</v>
      </c>
      <c r="S757" s="39" t="n">
        <f aca="false">Resumo!$C$13</f>
        <v>13.55</v>
      </c>
      <c r="T757" s="39" t="n">
        <f aca="false">Resumo!$C$14*CEILING(I757,1)</f>
        <v>10.35</v>
      </c>
      <c r="U757" s="39" t="n">
        <f aca="false">SUM(M757:T757)*Resumo!$C$11</f>
        <v>0</v>
      </c>
      <c r="V757" s="39" t="n">
        <f aca="false">SUM(M757:U757)</f>
        <v>85.933958</v>
      </c>
      <c r="W757" s="39" t="n">
        <f aca="false">V757/(1-Resumo!$C$5)</f>
        <v>97.652225</v>
      </c>
      <c r="X757" s="39" t="n">
        <v>82.21</v>
      </c>
      <c r="Y757" s="39" t="n">
        <f aca="false">J757*Resumo!$B$6</f>
        <v>0.51999</v>
      </c>
      <c r="Z757" s="39" t="n">
        <f aca="false">J757*Resumo!$B$7</f>
        <v>1.03998</v>
      </c>
      <c r="AA757" s="39" t="n">
        <f aca="false">Resumo!$B$9</f>
        <v>1</v>
      </c>
      <c r="AB757" s="39" t="n">
        <f aca="false">Resumo!$B$10*CEILING(I757/100,1)</f>
        <v>4.5</v>
      </c>
      <c r="AC757" s="39" t="n">
        <f aca="false">Resumo!$B$12*CEILING(I757,1)</f>
        <v>1.38</v>
      </c>
      <c r="AD757" s="39" t="n">
        <f aca="false">Resumo!$B$14*CEILING(I757,1)</f>
        <v>10.35</v>
      </c>
      <c r="AE757" s="39" t="n">
        <f aca="false">SUM(X757:AD757)</f>
        <v>100.99997</v>
      </c>
      <c r="AF757" s="39" t="n">
        <f aca="false">AE757/(1-Resumo!$B$5)</f>
        <v>114.772693181818</v>
      </c>
      <c r="AG757" s="39" t="n">
        <f aca="false">AF757-W757</f>
        <v>17.1204681818182</v>
      </c>
      <c r="AH757" s="40" t="n">
        <f aca="false">AF757/W757-1</f>
        <v>0.175320820204744</v>
      </c>
      <c r="AI757" s="37" t="str">
        <f aca="false">IF(AF757&lt;W757,"SIM","NÃO")</f>
        <v>NÃO</v>
      </c>
      <c r="AJ757" s="37" t="n">
        <v>2</v>
      </c>
      <c r="AK757" s="37" t="n">
        <v>5</v>
      </c>
      <c r="AL757" s="37" t="s">
        <v>343</v>
      </c>
      <c r="AM757" s="39" t="n">
        <v>101.88</v>
      </c>
    </row>
    <row r="758" customFormat="false" ht="15" hidden="false" customHeight="false" outlineLevel="0" collapsed="false">
      <c r="A758" s="37" t="n">
        <v>373537524</v>
      </c>
      <c r="B758" s="38" t="n">
        <v>46242.7989583333</v>
      </c>
      <c r="C758" s="37" t="s">
        <v>340</v>
      </c>
      <c r="D758" s="37" t="s">
        <v>1075</v>
      </c>
      <c r="E758" s="37" t="n">
        <v>23550570</v>
      </c>
      <c r="F758" s="37" t="s">
        <v>159</v>
      </c>
      <c r="G758" s="37" t="s">
        <v>196</v>
      </c>
      <c r="H758" s="37" t="s">
        <v>188</v>
      </c>
      <c r="I758" s="37" t="n">
        <v>63.9</v>
      </c>
      <c r="J758" s="39" t="n">
        <v>717.6</v>
      </c>
      <c r="K758" s="37" t="s">
        <v>518</v>
      </c>
      <c r="L758" s="39" t="n">
        <v>124.58</v>
      </c>
      <c r="M758" s="39" t="n">
        <v>63.21</v>
      </c>
      <c r="N758" s="39" t="n">
        <f aca="false">J758*Resumo!$C$6</f>
        <v>0</v>
      </c>
      <c r="O758" s="39" t="n">
        <f aca="false">J758*Resumo!$C$7</f>
        <v>1.50696</v>
      </c>
      <c r="P758" s="39" t="n">
        <f aca="false">J758*Resumo!$C$8</f>
        <v>1.50696</v>
      </c>
      <c r="Q758" s="39" t="n">
        <f aca="false">Resumo!$C$10*CEILING(I758/100,1)</f>
        <v>1.05</v>
      </c>
      <c r="R758" s="39" t="n">
        <f aca="false">Resumo!$C$9</f>
        <v>0</v>
      </c>
      <c r="S758" s="39" t="n">
        <f aca="false">Resumo!$C$13</f>
        <v>13.55</v>
      </c>
      <c r="T758" s="39" t="n">
        <f aca="false">Resumo!$C$14*CEILING(I758,1)</f>
        <v>28.8</v>
      </c>
      <c r="U758" s="39" t="n">
        <f aca="false">SUM(M758:T758)*Resumo!$C$11</f>
        <v>0</v>
      </c>
      <c r="V758" s="39" t="n">
        <f aca="false">SUM(M758:U758)</f>
        <v>109.62392</v>
      </c>
      <c r="W758" s="39" t="n">
        <f aca="false">V758/(1-Resumo!$C$5)</f>
        <v>124.572636363636</v>
      </c>
      <c r="X758" s="39" t="n">
        <v>131.02</v>
      </c>
      <c r="Y758" s="39" t="n">
        <f aca="false">J758*Resumo!$B$6</f>
        <v>0.7176</v>
      </c>
      <c r="Z758" s="39" t="n">
        <f aca="false">J758*Resumo!$B$7</f>
        <v>1.4352</v>
      </c>
      <c r="AA758" s="39" t="n">
        <f aca="false">Resumo!$B$9</f>
        <v>1</v>
      </c>
      <c r="AB758" s="39" t="n">
        <f aca="false">Resumo!$B$10*CEILING(I758/100,1)</f>
        <v>4.5</v>
      </c>
      <c r="AC758" s="39" t="n">
        <f aca="false">Resumo!$B$12*CEILING(I758,1)</f>
        <v>3.84</v>
      </c>
      <c r="AD758" s="39" t="n">
        <f aca="false">Resumo!$B$14*CEILING(I758,1)</f>
        <v>28.8</v>
      </c>
      <c r="AE758" s="39" t="n">
        <f aca="false">SUM(X758:AD758)</f>
        <v>171.3128</v>
      </c>
      <c r="AF758" s="39" t="n">
        <f aca="false">AE758/(1-Resumo!$B$5)</f>
        <v>194.673636363636</v>
      </c>
      <c r="AG758" s="39" t="n">
        <f aca="false">AF758-W758</f>
        <v>70.101</v>
      </c>
      <c r="AH758" s="40" t="n">
        <f aca="false">AF758/W758-1</f>
        <v>0.562731929308859</v>
      </c>
      <c r="AI758" s="37" t="str">
        <f aca="false">IF(AF758&lt;W758,"SIM","NÃO")</f>
        <v>NÃO</v>
      </c>
      <c r="AJ758" s="37" t="n">
        <v>2</v>
      </c>
      <c r="AK758" s="37" t="n">
        <v>5</v>
      </c>
      <c r="AL758" s="37" t="s">
        <v>343</v>
      </c>
      <c r="AM758" s="39" t="n">
        <v>124.65</v>
      </c>
    </row>
    <row r="759" customFormat="false" ht="15" hidden="false" customHeight="false" outlineLevel="0" collapsed="false">
      <c r="A759" s="37" t="n">
        <v>373542254</v>
      </c>
      <c r="B759" s="38" t="n">
        <v>46242.8080555556</v>
      </c>
      <c r="C759" s="37" t="s">
        <v>379</v>
      </c>
      <c r="D759" s="37" t="s">
        <v>1076</v>
      </c>
      <c r="E759" s="37" t="n">
        <v>27511610</v>
      </c>
      <c r="F759" s="37" t="s">
        <v>250</v>
      </c>
      <c r="G759" s="37" t="s">
        <v>198</v>
      </c>
      <c r="H759" s="37" t="s">
        <v>189</v>
      </c>
      <c r="I759" s="37" t="n">
        <v>74.06</v>
      </c>
      <c r="J759" s="39" t="n">
        <v>1099.99</v>
      </c>
      <c r="K759" s="37" t="s">
        <v>518</v>
      </c>
      <c r="L759" s="39" t="n">
        <v>170.16</v>
      </c>
      <c r="M759" s="39" t="n">
        <v>96.77</v>
      </c>
      <c r="N759" s="39" t="n">
        <f aca="false">J759*Resumo!$C$6</f>
        <v>0</v>
      </c>
      <c r="O759" s="39" t="n">
        <f aca="false">J759*Resumo!$C$7</f>
        <v>2.309979</v>
      </c>
      <c r="P759" s="39" t="n">
        <f aca="false">J759*Resumo!$C$8</f>
        <v>2.309979</v>
      </c>
      <c r="Q759" s="39" t="n">
        <f aca="false">Resumo!$C$10*CEILING(I759/100,1)</f>
        <v>1.05</v>
      </c>
      <c r="R759" s="39" t="n">
        <f aca="false">Resumo!$C$9</f>
        <v>0</v>
      </c>
      <c r="S759" s="39" t="n">
        <f aca="false">Resumo!$C$13</f>
        <v>13.55</v>
      </c>
      <c r="T759" s="39" t="n">
        <f aca="false">Resumo!$C$14*CEILING(I759,1)</f>
        <v>33.75</v>
      </c>
      <c r="U759" s="39" t="n">
        <f aca="false">SUM(M759:T759)*Resumo!$C$11</f>
        <v>0</v>
      </c>
      <c r="V759" s="39" t="n">
        <f aca="false">SUM(M759:U759)</f>
        <v>149.739958</v>
      </c>
      <c r="W759" s="39" t="n">
        <f aca="false">V759/(1-Resumo!$C$5)</f>
        <v>170.159043181818</v>
      </c>
      <c r="X759" s="39" t="n">
        <v>157.88</v>
      </c>
      <c r="Y759" s="39" t="n">
        <f aca="false">J759*Resumo!$B$6</f>
        <v>1.09999</v>
      </c>
      <c r="Z759" s="39" t="n">
        <f aca="false">J759*Resumo!$B$7</f>
        <v>2.19998</v>
      </c>
      <c r="AA759" s="39" t="n">
        <f aca="false">Resumo!$B$9</f>
        <v>1</v>
      </c>
      <c r="AB759" s="39" t="n">
        <f aca="false">Resumo!$B$10*CEILING(I759/100,1)</f>
        <v>4.5</v>
      </c>
      <c r="AC759" s="39" t="n">
        <f aca="false">Resumo!$B$12*CEILING(I759,1)</f>
        <v>4.5</v>
      </c>
      <c r="AD759" s="39" t="n">
        <f aca="false">Resumo!$B$14*CEILING(I759,1)</f>
        <v>33.75</v>
      </c>
      <c r="AE759" s="39" t="n">
        <f aca="false">SUM(X759:AD759)</f>
        <v>204.92997</v>
      </c>
      <c r="AF759" s="39" t="n">
        <f aca="false">AE759/(1-Resumo!$B$5)</f>
        <v>232.874965909091</v>
      </c>
      <c r="AG759" s="39" t="n">
        <f aca="false">AF759-W759</f>
        <v>62.7159227272727</v>
      </c>
      <c r="AH759" s="40" t="n">
        <f aca="false">AF759/W759-1</f>
        <v>0.368572375317482</v>
      </c>
      <c r="AI759" s="37" t="str">
        <f aca="false">IF(AF759&lt;W759,"SIM","NÃO")</f>
        <v>NÃO</v>
      </c>
      <c r="AJ759" s="37" t="n">
        <v>13</v>
      </c>
      <c r="AK759" s="37" t="n">
        <v>10</v>
      </c>
      <c r="AL759" s="37" t="s">
        <v>347</v>
      </c>
      <c r="AM759" s="39" t="n">
        <v>169.59</v>
      </c>
    </row>
    <row r="760" customFormat="false" ht="15" hidden="false" customHeight="false" outlineLevel="0" collapsed="false">
      <c r="A760" s="37" t="n">
        <v>373550619</v>
      </c>
      <c r="B760" s="38" t="n">
        <v>46242.8230208333</v>
      </c>
      <c r="C760" s="37" t="s">
        <v>340</v>
      </c>
      <c r="D760" s="37" t="s">
        <v>1077</v>
      </c>
      <c r="E760" s="37" t="n">
        <v>23585245</v>
      </c>
      <c r="F760" s="37" t="s">
        <v>159</v>
      </c>
      <c r="G760" s="37" t="s">
        <v>196</v>
      </c>
      <c r="H760" s="37" t="s">
        <v>183</v>
      </c>
      <c r="I760" s="37" t="n">
        <v>19.5</v>
      </c>
      <c r="J760" s="39" t="n">
        <v>333</v>
      </c>
      <c r="K760" s="37" t="s">
        <v>518</v>
      </c>
      <c r="L760" s="39" t="n">
        <v>66.39</v>
      </c>
      <c r="M760" s="39" t="n">
        <v>33.42</v>
      </c>
      <c r="N760" s="39" t="n">
        <f aca="false">J760*Resumo!$C$6</f>
        <v>0</v>
      </c>
      <c r="O760" s="39" t="n">
        <f aca="false">J760*Resumo!$C$7</f>
        <v>0.6993</v>
      </c>
      <c r="P760" s="39" t="n">
        <f aca="false">J760*Resumo!$C$8</f>
        <v>0.6993</v>
      </c>
      <c r="Q760" s="39" t="n">
        <f aca="false">Resumo!$C$10*CEILING(I760/100,1)</f>
        <v>1.05</v>
      </c>
      <c r="R760" s="39" t="n">
        <f aca="false">Resumo!$C$9</f>
        <v>0</v>
      </c>
      <c r="S760" s="39" t="n">
        <f aca="false">Resumo!$C$13</f>
        <v>13.55</v>
      </c>
      <c r="T760" s="39" t="n">
        <f aca="false">Resumo!$C$14*CEILING(I760,1)</f>
        <v>9</v>
      </c>
      <c r="U760" s="39" t="n">
        <f aca="false">SUM(M760:T760)*Resumo!$C$11</f>
        <v>0</v>
      </c>
      <c r="V760" s="39" t="n">
        <f aca="false">SUM(M760:U760)</f>
        <v>58.4186</v>
      </c>
      <c r="W760" s="39" t="n">
        <f aca="false">V760/(1-Resumo!$C$5)</f>
        <v>66.3847727272727</v>
      </c>
      <c r="X760" s="39" t="n">
        <v>46.98</v>
      </c>
      <c r="Y760" s="39" t="n">
        <f aca="false">J760*Resumo!$B$6</f>
        <v>0.333</v>
      </c>
      <c r="Z760" s="39" t="n">
        <f aca="false">J760*Resumo!$B$7</f>
        <v>0.666</v>
      </c>
      <c r="AA760" s="39" t="n">
        <f aca="false">Resumo!$B$9</f>
        <v>1</v>
      </c>
      <c r="AB760" s="39" t="n">
        <f aca="false">Resumo!$B$10*CEILING(I760/100,1)</f>
        <v>4.5</v>
      </c>
      <c r="AC760" s="39" t="n">
        <f aca="false">Resumo!$B$12*CEILING(I760,1)</f>
        <v>1.2</v>
      </c>
      <c r="AD760" s="39" t="n">
        <f aca="false">Resumo!$B$14*CEILING(I760,1)</f>
        <v>9</v>
      </c>
      <c r="AE760" s="39" t="n">
        <f aca="false">SUM(X760:AD760)</f>
        <v>63.679</v>
      </c>
      <c r="AF760" s="39" t="n">
        <f aca="false">AE760/(1-Resumo!$B$5)</f>
        <v>72.3625</v>
      </c>
      <c r="AG760" s="39" t="n">
        <f aca="false">AF760-W760</f>
        <v>5.97772727272727</v>
      </c>
      <c r="AH760" s="40" t="n">
        <f aca="false">AF760/W760-1</f>
        <v>0.0900466632202757</v>
      </c>
      <c r="AI760" s="37" t="str">
        <f aca="false">IF(AF760&lt;W760,"SIM","NÃO")</f>
        <v>NÃO</v>
      </c>
      <c r="AJ760" s="37" t="n">
        <v>2</v>
      </c>
      <c r="AK760" s="37" t="n">
        <v>5</v>
      </c>
      <c r="AL760" s="37" t="s">
        <v>343</v>
      </c>
      <c r="AM760" s="39" t="n">
        <v>64.81</v>
      </c>
    </row>
    <row r="761" customFormat="false" ht="15" hidden="false" customHeight="false" outlineLevel="0" collapsed="false">
      <c r="A761" s="37" t="n">
        <v>373552902</v>
      </c>
      <c r="B761" s="38" t="n">
        <v>46242.8270601852</v>
      </c>
      <c r="C761" s="37" t="s">
        <v>345</v>
      </c>
      <c r="D761" s="37" t="s">
        <v>1078</v>
      </c>
      <c r="E761" s="37" t="n">
        <v>28415000</v>
      </c>
      <c r="F761" s="37" t="s">
        <v>268</v>
      </c>
      <c r="G761" s="37" t="s">
        <v>198</v>
      </c>
      <c r="H761" s="37" t="s">
        <v>192</v>
      </c>
      <c r="I761" s="37" t="n">
        <v>134.4</v>
      </c>
      <c r="J761" s="39" t="n">
        <v>1597.99</v>
      </c>
      <c r="K761" s="37" t="s">
        <v>518</v>
      </c>
      <c r="L761" s="39" t="n">
        <v>258.36</v>
      </c>
      <c r="M761" s="39" t="n">
        <v>144.24</v>
      </c>
      <c r="N761" s="39" t="n">
        <f aca="false">J761*Resumo!$C$6</f>
        <v>0</v>
      </c>
      <c r="O761" s="39" t="n">
        <f aca="false">J761*Resumo!$C$7</f>
        <v>3.355779</v>
      </c>
      <c r="P761" s="39" t="n">
        <f aca="false">J761*Resumo!$C$8</f>
        <v>3.355779</v>
      </c>
      <c r="Q761" s="39" t="n">
        <f aca="false">Resumo!$C$10*CEILING(I761/100,1)</f>
        <v>2.1</v>
      </c>
      <c r="R761" s="39" t="n">
        <f aca="false">Resumo!$C$9</f>
        <v>0</v>
      </c>
      <c r="S761" s="39" t="n">
        <f aca="false">Resumo!$C$13</f>
        <v>13.55</v>
      </c>
      <c r="T761" s="39" t="n">
        <f aca="false">Resumo!$C$14*CEILING(I761,1)</f>
        <v>60.75</v>
      </c>
      <c r="U761" s="39" t="n">
        <f aca="false">SUM(M761:T761)*Resumo!$C$11</f>
        <v>0</v>
      </c>
      <c r="V761" s="39" t="n">
        <f aca="false">SUM(M761:U761)</f>
        <v>227.351558</v>
      </c>
      <c r="W761" s="39" t="n">
        <f aca="false">V761/(1-Resumo!$C$5)</f>
        <v>258.354043181818</v>
      </c>
      <c r="X761" s="39" t="n">
        <v>264.84</v>
      </c>
      <c r="Y761" s="39" t="n">
        <f aca="false">J761*Resumo!$B$6</f>
        <v>1.59799</v>
      </c>
      <c r="Z761" s="39" t="n">
        <f aca="false">J761*Resumo!$B$7</f>
        <v>3.19598</v>
      </c>
      <c r="AA761" s="39" t="n">
        <f aca="false">Resumo!$B$9</f>
        <v>1</v>
      </c>
      <c r="AB761" s="39" t="n">
        <f aca="false">Resumo!$B$10*CEILING(I761/100,1)</f>
        <v>9</v>
      </c>
      <c r="AC761" s="39" t="n">
        <f aca="false">Resumo!$B$12*CEILING(I761,1)</f>
        <v>8.1</v>
      </c>
      <c r="AD761" s="39" t="n">
        <f aca="false">Resumo!$B$14*CEILING(I761,1)</f>
        <v>60.75</v>
      </c>
      <c r="AE761" s="39" t="n">
        <f aca="false">SUM(X761:AD761)</f>
        <v>348.48397</v>
      </c>
      <c r="AF761" s="39" t="n">
        <f aca="false">AE761/(1-Resumo!$B$5)</f>
        <v>396.004511363636</v>
      </c>
      <c r="AG761" s="39" t="n">
        <f aca="false">AF761-W761</f>
        <v>137.650468181818</v>
      </c>
      <c r="AH761" s="40" t="n">
        <f aca="false">AF761/W761-1</f>
        <v>0.532797809109362</v>
      </c>
      <c r="AI761" s="37" t="str">
        <f aca="false">IF(AF761&lt;W761,"SIM","NÃO")</f>
        <v>NÃO</v>
      </c>
      <c r="AJ761" s="37" t="n">
        <v>13</v>
      </c>
      <c r="AK761" s="37" t="n">
        <v>11</v>
      </c>
      <c r="AL761" s="37" t="s">
        <v>347</v>
      </c>
      <c r="AM761" s="39" t="n">
        <v>260.95</v>
      </c>
    </row>
    <row r="762" customFormat="false" ht="15" hidden="false" customHeight="false" outlineLevel="0" collapsed="false">
      <c r="A762" s="37" t="n">
        <v>373561126</v>
      </c>
      <c r="B762" s="38" t="n">
        <v>46242.8413657407</v>
      </c>
      <c r="C762" s="37" t="s">
        <v>345</v>
      </c>
      <c r="D762" s="37" t="s">
        <v>1079</v>
      </c>
      <c r="E762" s="37" t="n">
        <v>26455365</v>
      </c>
      <c r="F762" s="37" t="s">
        <v>237</v>
      </c>
      <c r="G762" s="37" t="s">
        <v>198</v>
      </c>
      <c r="H762" s="37" t="s">
        <v>185</v>
      </c>
      <c r="I762" s="37" t="n">
        <v>37.3</v>
      </c>
      <c r="J762" s="39" t="n">
        <v>423.99</v>
      </c>
      <c r="K762" s="37" t="s">
        <v>518</v>
      </c>
      <c r="L762" s="39" t="n">
        <v>123.24</v>
      </c>
      <c r="M762" s="39" t="n">
        <v>74.97</v>
      </c>
      <c r="N762" s="39" t="n">
        <f aca="false">J762*Resumo!$C$6</f>
        <v>0</v>
      </c>
      <c r="O762" s="39" t="n">
        <f aca="false">J762*Resumo!$C$7</f>
        <v>0.890379</v>
      </c>
      <c r="P762" s="39" t="n">
        <f aca="false">J762*Resumo!$C$8</f>
        <v>0.890379</v>
      </c>
      <c r="Q762" s="39" t="n">
        <f aca="false">Resumo!$C$10*CEILING(I762/100,1)</f>
        <v>1.05</v>
      </c>
      <c r="R762" s="39" t="n">
        <f aca="false">Resumo!$C$9</f>
        <v>0</v>
      </c>
      <c r="S762" s="39" t="n">
        <f aca="false">Resumo!$C$13</f>
        <v>13.55</v>
      </c>
      <c r="T762" s="39" t="n">
        <f aca="false">Resumo!$C$14*CEILING(I762,1)</f>
        <v>17.1</v>
      </c>
      <c r="U762" s="39" t="n">
        <f aca="false">SUM(M762:T762)*Resumo!$C$11</f>
        <v>0</v>
      </c>
      <c r="V762" s="39" t="n">
        <f aca="false">SUM(M762:U762)</f>
        <v>108.450758</v>
      </c>
      <c r="W762" s="39" t="n">
        <f aca="false">V762/(1-Resumo!$C$5)</f>
        <v>123.239497727273</v>
      </c>
      <c r="X762" s="39" t="n">
        <v>93.97</v>
      </c>
      <c r="Y762" s="39" t="n">
        <f aca="false">J762*Resumo!$B$6</f>
        <v>0.42399</v>
      </c>
      <c r="Z762" s="39" t="n">
        <f aca="false">J762*Resumo!$B$7</f>
        <v>0.84798</v>
      </c>
      <c r="AA762" s="39" t="n">
        <f aca="false">Resumo!$B$9</f>
        <v>1</v>
      </c>
      <c r="AB762" s="39" t="n">
        <f aca="false">Resumo!$B$10*CEILING(I762/100,1)</f>
        <v>4.5</v>
      </c>
      <c r="AC762" s="39" t="n">
        <f aca="false">Resumo!$B$12*CEILING(I762,1)</f>
        <v>2.28</v>
      </c>
      <c r="AD762" s="39" t="n">
        <f aca="false">Resumo!$B$14*CEILING(I762,1)</f>
        <v>17.1</v>
      </c>
      <c r="AE762" s="39" t="n">
        <f aca="false">SUM(X762:AD762)</f>
        <v>120.12197</v>
      </c>
      <c r="AF762" s="39" t="n">
        <f aca="false">AE762/(1-Resumo!$B$5)</f>
        <v>136.502238636364</v>
      </c>
      <c r="AG762" s="39" t="n">
        <f aca="false">AF762-W762</f>
        <v>13.2627409090909</v>
      </c>
      <c r="AH762" s="40" t="n">
        <f aca="false">AF762/W762-1</f>
        <v>0.107617615729343</v>
      </c>
      <c r="AI762" s="37" t="str">
        <f aca="false">IF(AF762&lt;W762,"SIM","NÃO")</f>
        <v>NÃO</v>
      </c>
      <c r="AJ762" s="37" t="n">
        <v>13</v>
      </c>
      <c r="AK762" s="37" t="n">
        <v>5</v>
      </c>
      <c r="AL762" s="37" t="s">
        <v>347</v>
      </c>
      <c r="AM762" s="39" t="n">
        <v>122.28</v>
      </c>
    </row>
    <row r="763" customFormat="false" ht="15" hidden="false" customHeight="false" outlineLevel="0" collapsed="false">
      <c r="A763" s="37" t="n">
        <v>373562159</v>
      </c>
      <c r="B763" s="38" t="n">
        <v>46242.8433333333</v>
      </c>
      <c r="C763" s="37" t="s">
        <v>340</v>
      </c>
      <c r="D763" s="37" t="s">
        <v>1080</v>
      </c>
      <c r="E763" s="37" t="n">
        <v>28770000</v>
      </c>
      <c r="F763" s="37" t="s">
        <v>287</v>
      </c>
      <c r="G763" s="37" t="s">
        <v>198</v>
      </c>
      <c r="H763" s="37" t="s">
        <v>184</v>
      </c>
      <c r="I763" s="37" t="n">
        <v>31.9</v>
      </c>
      <c r="J763" s="39" t="n">
        <v>533.6</v>
      </c>
      <c r="K763" s="37" t="s">
        <v>518</v>
      </c>
      <c r="L763" s="39" t="n">
        <v>110.08</v>
      </c>
      <c r="M763" s="39" t="n">
        <v>65.63</v>
      </c>
      <c r="N763" s="39" t="n">
        <f aca="false">J763*Resumo!$C$6</f>
        <v>0</v>
      </c>
      <c r="O763" s="39" t="n">
        <f aca="false">J763*Resumo!$C$7</f>
        <v>1.12056</v>
      </c>
      <c r="P763" s="39" t="n">
        <f aca="false">J763*Resumo!$C$8</f>
        <v>1.12056</v>
      </c>
      <c r="Q763" s="39" t="n">
        <f aca="false">Resumo!$C$10*CEILING(I763/100,1)</f>
        <v>1.05</v>
      </c>
      <c r="R763" s="39" t="n">
        <f aca="false">Resumo!$C$9</f>
        <v>0</v>
      </c>
      <c r="S763" s="39" t="n">
        <f aca="false">Resumo!$C$13</f>
        <v>13.55</v>
      </c>
      <c r="T763" s="39" t="n">
        <f aca="false">Resumo!$C$14*CEILING(I763,1)</f>
        <v>14.4</v>
      </c>
      <c r="U763" s="39" t="n">
        <f aca="false">SUM(M763:T763)*Resumo!$C$11</f>
        <v>0</v>
      </c>
      <c r="V763" s="39" t="n">
        <f aca="false">SUM(M763:U763)</f>
        <v>96.87112</v>
      </c>
      <c r="W763" s="39" t="n">
        <f aca="false">V763/(1-Resumo!$C$5)</f>
        <v>110.080818181818</v>
      </c>
      <c r="X763" s="39" t="n">
        <v>138.29</v>
      </c>
      <c r="Y763" s="39" t="n">
        <f aca="false">J763*Resumo!$B$6</f>
        <v>0.5336</v>
      </c>
      <c r="Z763" s="39" t="n">
        <f aca="false">J763*Resumo!$B$7</f>
        <v>1.0672</v>
      </c>
      <c r="AA763" s="39" t="n">
        <f aca="false">Resumo!$B$9</f>
        <v>1</v>
      </c>
      <c r="AB763" s="39" t="n">
        <f aca="false">Resumo!$B$10*CEILING(I763/100,1)</f>
        <v>4.5</v>
      </c>
      <c r="AC763" s="39" t="n">
        <f aca="false">Resumo!$B$12*CEILING(I763,1)</f>
        <v>1.92</v>
      </c>
      <c r="AD763" s="39" t="n">
        <f aca="false">Resumo!$B$14*CEILING(I763,1)</f>
        <v>14.4</v>
      </c>
      <c r="AE763" s="39" t="n">
        <f aca="false">SUM(X763:AD763)</f>
        <v>161.7108</v>
      </c>
      <c r="AF763" s="39" t="n">
        <f aca="false">AE763/(1-Resumo!$B$5)</f>
        <v>183.762272727273</v>
      </c>
      <c r="AG763" s="39" t="n">
        <f aca="false">AF763-W763</f>
        <v>73.6814545454546</v>
      </c>
      <c r="AH763" s="40" t="n">
        <f aca="false">AF763/W763-1</f>
        <v>0.669339633938371</v>
      </c>
      <c r="AI763" s="37" t="str">
        <f aca="false">IF(AF763&lt;W763,"SIM","NÃO")</f>
        <v>NÃO</v>
      </c>
      <c r="AJ763" s="37" t="n">
        <v>13</v>
      </c>
      <c r="AK763" s="37" t="n">
        <v>11</v>
      </c>
      <c r="AL763" s="37" t="s">
        <v>347</v>
      </c>
      <c r="AM763" s="39" t="n">
        <v>109.74</v>
      </c>
    </row>
    <row r="764" customFormat="false" ht="15" hidden="false" customHeight="false" outlineLevel="0" collapsed="false">
      <c r="A764" s="37" t="n">
        <v>373562477</v>
      </c>
      <c r="B764" s="38" t="n">
        <v>46242.8438194445</v>
      </c>
      <c r="C764" s="37" t="s">
        <v>345</v>
      </c>
      <c r="D764" s="37" t="s">
        <v>1081</v>
      </c>
      <c r="E764" s="37" t="n">
        <v>28968345</v>
      </c>
      <c r="F764" s="37" t="s">
        <v>294</v>
      </c>
      <c r="G764" s="37" t="s">
        <v>198</v>
      </c>
      <c r="H764" s="37" t="s">
        <v>185</v>
      </c>
      <c r="I764" s="37" t="n">
        <v>36.9</v>
      </c>
      <c r="J764" s="39" t="n">
        <v>399.99</v>
      </c>
      <c r="K764" s="37" t="s">
        <v>518</v>
      </c>
      <c r="L764" s="39" t="n">
        <v>122.61</v>
      </c>
      <c r="M764" s="39" t="n">
        <v>74.97</v>
      </c>
      <c r="N764" s="39" t="n">
        <f aca="false">J764*Resumo!$C$6</f>
        <v>0</v>
      </c>
      <c r="O764" s="39" t="n">
        <f aca="false">J764*Resumo!$C$7</f>
        <v>0.839979</v>
      </c>
      <c r="P764" s="39" t="n">
        <f aca="false">J764*Resumo!$C$8</f>
        <v>0.839979</v>
      </c>
      <c r="Q764" s="39" t="n">
        <f aca="false">Resumo!$C$10*CEILING(I764/100,1)</f>
        <v>1.05</v>
      </c>
      <c r="R764" s="39" t="n">
        <f aca="false">Resumo!$C$9</f>
        <v>0</v>
      </c>
      <c r="S764" s="39" t="n">
        <f aca="false">Resumo!$C$13</f>
        <v>13.55</v>
      </c>
      <c r="T764" s="39" t="n">
        <f aca="false">Resumo!$C$14*CEILING(I764,1)</f>
        <v>16.65</v>
      </c>
      <c r="U764" s="39" t="n">
        <f aca="false">SUM(M764:T764)*Resumo!$C$11</f>
        <v>0</v>
      </c>
      <c r="V764" s="39" t="n">
        <f aca="false">SUM(M764:U764)</f>
        <v>107.899958</v>
      </c>
      <c r="W764" s="39" t="n">
        <f aca="false">V764/(1-Resumo!$C$5)</f>
        <v>122.613588636364</v>
      </c>
      <c r="X764" s="39" t="n">
        <v>124.38</v>
      </c>
      <c r="Y764" s="39" t="n">
        <f aca="false">J764*Resumo!$B$6</f>
        <v>0.39999</v>
      </c>
      <c r="Z764" s="39" t="n">
        <f aca="false">J764*Resumo!$B$7</f>
        <v>0.79998</v>
      </c>
      <c r="AA764" s="39" t="n">
        <f aca="false">Resumo!$B$9</f>
        <v>1</v>
      </c>
      <c r="AB764" s="39" t="n">
        <f aca="false">Resumo!$B$10*CEILING(I764/100,1)</f>
        <v>4.5</v>
      </c>
      <c r="AC764" s="39" t="n">
        <f aca="false">Resumo!$B$12*CEILING(I764,1)</f>
        <v>2.22</v>
      </c>
      <c r="AD764" s="39" t="n">
        <f aca="false">Resumo!$B$14*CEILING(I764,1)</f>
        <v>16.65</v>
      </c>
      <c r="AE764" s="39" t="n">
        <f aca="false">SUM(X764:AD764)</f>
        <v>149.94997</v>
      </c>
      <c r="AF764" s="39" t="n">
        <f aca="false">AE764/(1-Resumo!$B$5)</f>
        <v>170.397693181818</v>
      </c>
      <c r="AG764" s="39" t="n">
        <f aca="false">AF764-W764</f>
        <v>47.7841045454546</v>
      </c>
      <c r="AH764" s="40" t="n">
        <f aca="false">AF764/W764-1</f>
        <v>0.389712959851199</v>
      </c>
      <c r="AI764" s="37" t="str">
        <f aca="false">IF(AF764&lt;W764,"SIM","NÃO")</f>
        <v>NÃO</v>
      </c>
      <c r="AJ764" s="37" t="n">
        <v>13</v>
      </c>
      <c r="AK764" s="37" t="n">
        <v>10</v>
      </c>
      <c r="AL764" s="37" t="s">
        <v>347</v>
      </c>
      <c r="AM764" s="39" t="n">
        <v>122.16</v>
      </c>
    </row>
    <row r="765" customFormat="false" ht="15" hidden="false" customHeight="false" outlineLevel="0" collapsed="false">
      <c r="A765" s="37" t="n">
        <v>373567726</v>
      </c>
      <c r="B765" s="38" t="n">
        <v>46242.8531597222</v>
      </c>
      <c r="C765" s="37" t="s">
        <v>340</v>
      </c>
      <c r="D765" s="37" t="s">
        <v>1082</v>
      </c>
      <c r="E765" s="37" t="n">
        <v>23068100</v>
      </c>
      <c r="F765" s="37" t="s">
        <v>159</v>
      </c>
      <c r="G765" s="37" t="s">
        <v>196</v>
      </c>
      <c r="H765" s="37" t="s">
        <v>183</v>
      </c>
      <c r="I765" s="37" t="n">
        <v>19.9</v>
      </c>
      <c r="J765" s="39" t="n">
        <v>309.99</v>
      </c>
      <c r="K765" s="37" t="s">
        <v>518</v>
      </c>
      <c r="L765" s="39" t="n">
        <v>66.27</v>
      </c>
      <c r="M765" s="39" t="n">
        <v>33.42</v>
      </c>
      <c r="N765" s="39" t="n">
        <f aca="false">J765*Resumo!$C$6</f>
        <v>0</v>
      </c>
      <c r="O765" s="39" t="n">
        <f aca="false">J765*Resumo!$C$7</f>
        <v>0.650979</v>
      </c>
      <c r="P765" s="39" t="n">
        <f aca="false">J765*Resumo!$C$8</f>
        <v>0.650979</v>
      </c>
      <c r="Q765" s="39" t="n">
        <f aca="false">Resumo!$C$10*CEILING(I765/100,1)</f>
        <v>1.05</v>
      </c>
      <c r="R765" s="39" t="n">
        <f aca="false">Resumo!$C$9</f>
        <v>0</v>
      </c>
      <c r="S765" s="39" t="n">
        <f aca="false">Resumo!$C$13</f>
        <v>13.55</v>
      </c>
      <c r="T765" s="39" t="n">
        <f aca="false">Resumo!$C$14*CEILING(I765,1)</f>
        <v>9</v>
      </c>
      <c r="U765" s="39" t="n">
        <f aca="false">SUM(M765:T765)*Resumo!$C$11</f>
        <v>0</v>
      </c>
      <c r="V765" s="39" t="n">
        <f aca="false">SUM(M765:U765)</f>
        <v>58.321958</v>
      </c>
      <c r="W765" s="39" t="n">
        <f aca="false">V765/(1-Resumo!$C$5)</f>
        <v>66.2749522727273</v>
      </c>
      <c r="X765" s="39" t="n">
        <v>46.98</v>
      </c>
      <c r="Y765" s="39" t="n">
        <f aca="false">J765*Resumo!$B$6</f>
        <v>0.30999</v>
      </c>
      <c r="Z765" s="39" t="n">
        <f aca="false">J765*Resumo!$B$7</f>
        <v>0.61998</v>
      </c>
      <c r="AA765" s="39" t="n">
        <f aca="false">Resumo!$B$9</f>
        <v>1</v>
      </c>
      <c r="AB765" s="39" t="n">
        <f aca="false">Resumo!$B$10*CEILING(I765/100,1)</f>
        <v>4.5</v>
      </c>
      <c r="AC765" s="39" t="n">
        <f aca="false">Resumo!$B$12*CEILING(I765,1)</f>
        <v>1.2</v>
      </c>
      <c r="AD765" s="39" t="n">
        <f aca="false">Resumo!$B$14*CEILING(I765,1)</f>
        <v>9</v>
      </c>
      <c r="AE765" s="39" t="n">
        <f aca="false">SUM(X765:AD765)</f>
        <v>63.60997</v>
      </c>
      <c r="AF765" s="39" t="n">
        <f aca="false">AE765/(1-Resumo!$B$5)</f>
        <v>72.2840568181818</v>
      </c>
      <c r="AG765" s="39" t="n">
        <f aca="false">AF765-W765</f>
        <v>6.00910454545453</v>
      </c>
      <c r="AH765" s="40" t="n">
        <f aca="false">AF765/W765-1</f>
        <v>0.090669315320312</v>
      </c>
      <c r="AI765" s="37" t="str">
        <f aca="false">IF(AF765&lt;W765,"SIM","NÃO")</f>
        <v>NÃO</v>
      </c>
      <c r="AJ765" s="37" t="n">
        <v>2</v>
      </c>
      <c r="AK765" s="37" t="n">
        <v>5</v>
      </c>
      <c r="AL765" s="37" t="s">
        <v>343</v>
      </c>
      <c r="AM765" s="39" t="n">
        <v>64.7</v>
      </c>
    </row>
    <row r="766" customFormat="false" ht="15" hidden="false" customHeight="false" outlineLevel="0" collapsed="false">
      <c r="A766" s="37" t="n">
        <v>373567710</v>
      </c>
      <c r="B766" s="38" t="n">
        <v>46242.8531597222</v>
      </c>
      <c r="C766" s="37" t="s">
        <v>340</v>
      </c>
      <c r="D766" s="37" t="s">
        <v>1082</v>
      </c>
      <c r="E766" s="37" t="n">
        <v>23068100</v>
      </c>
      <c r="F766" s="37" t="s">
        <v>159</v>
      </c>
      <c r="G766" s="37" t="s">
        <v>196</v>
      </c>
      <c r="H766" s="37" t="s">
        <v>185</v>
      </c>
      <c r="I766" s="37" t="n">
        <v>36.8</v>
      </c>
      <c r="J766" s="39" t="n">
        <v>414.99</v>
      </c>
      <c r="K766" s="37" t="s">
        <v>518</v>
      </c>
      <c r="L766" s="39" t="n">
        <v>92.43</v>
      </c>
      <c r="M766" s="39" t="n">
        <v>48.35</v>
      </c>
      <c r="N766" s="39" t="n">
        <f aca="false">J766*Resumo!$C$6</f>
        <v>0</v>
      </c>
      <c r="O766" s="39" t="n">
        <f aca="false">J766*Resumo!$C$7</f>
        <v>0.871479</v>
      </c>
      <c r="P766" s="39" t="n">
        <f aca="false">J766*Resumo!$C$8</f>
        <v>0.871479</v>
      </c>
      <c r="Q766" s="39" t="n">
        <f aca="false">Resumo!$C$10*CEILING(I766/100,1)</f>
        <v>1.05</v>
      </c>
      <c r="R766" s="39" t="n">
        <f aca="false">Resumo!$C$9</f>
        <v>0</v>
      </c>
      <c r="S766" s="39" t="n">
        <f aca="false">Resumo!$C$13</f>
        <v>13.55</v>
      </c>
      <c r="T766" s="39" t="n">
        <f aca="false">Resumo!$C$14*CEILING(I766,1)</f>
        <v>16.65</v>
      </c>
      <c r="U766" s="39" t="n">
        <f aca="false">SUM(M766:T766)*Resumo!$C$11</f>
        <v>0</v>
      </c>
      <c r="V766" s="39" t="n">
        <f aca="false">SUM(M766:U766)</f>
        <v>81.342958</v>
      </c>
      <c r="W766" s="39" t="n">
        <f aca="false">V766/(1-Resumo!$C$5)</f>
        <v>92.4351795454546</v>
      </c>
      <c r="X766" s="39" t="n">
        <v>93.97</v>
      </c>
      <c r="Y766" s="39" t="n">
        <f aca="false">J766*Resumo!$B$6</f>
        <v>0.41499</v>
      </c>
      <c r="Z766" s="39" t="n">
        <f aca="false">J766*Resumo!$B$7</f>
        <v>0.82998</v>
      </c>
      <c r="AA766" s="39" t="n">
        <f aca="false">Resumo!$B$9</f>
        <v>1</v>
      </c>
      <c r="AB766" s="39" t="n">
        <f aca="false">Resumo!$B$10*CEILING(I766/100,1)</f>
        <v>4.5</v>
      </c>
      <c r="AC766" s="39" t="n">
        <f aca="false">Resumo!$B$12*CEILING(I766,1)</f>
        <v>2.22</v>
      </c>
      <c r="AD766" s="39" t="n">
        <f aca="false">Resumo!$B$14*CEILING(I766,1)</f>
        <v>16.65</v>
      </c>
      <c r="AE766" s="39" t="n">
        <f aca="false">SUM(X766:AD766)</f>
        <v>119.58497</v>
      </c>
      <c r="AF766" s="39" t="n">
        <f aca="false">AE766/(1-Resumo!$B$5)</f>
        <v>135.892011363636</v>
      </c>
      <c r="AG766" s="39" t="n">
        <f aca="false">AF766-W766</f>
        <v>43.4568318181818</v>
      </c>
      <c r="AH766" s="40" t="n">
        <f aca="false">AF766/W766-1</f>
        <v>0.470133038437082</v>
      </c>
      <c r="AI766" s="37" t="str">
        <f aca="false">IF(AF766&lt;W766,"SIM","NÃO")</f>
        <v>NÃO</v>
      </c>
      <c r="AJ766" s="37" t="n">
        <v>2</v>
      </c>
      <c r="AK766" s="37" t="n">
        <v>5</v>
      </c>
      <c r="AL766" s="37" t="s">
        <v>343</v>
      </c>
      <c r="AM766" s="39" t="n">
        <v>91.84</v>
      </c>
    </row>
    <row r="767" customFormat="false" ht="15" hidden="false" customHeight="false" outlineLevel="0" collapsed="false">
      <c r="A767" s="37" t="n">
        <v>373577132</v>
      </c>
      <c r="B767" s="38" t="n">
        <v>46242.8698611111</v>
      </c>
      <c r="C767" s="37" t="s">
        <v>340</v>
      </c>
      <c r="D767" s="37" t="s">
        <v>1083</v>
      </c>
      <c r="E767" s="37" t="n">
        <v>22410001</v>
      </c>
      <c r="F767" s="37" t="s">
        <v>159</v>
      </c>
      <c r="G767" s="37" t="s">
        <v>196</v>
      </c>
      <c r="H767" s="37" t="s">
        <v>187</v>
      </c>
      <c r="I767" s="37" t="n">
        <v>52.3</v>
      </c>
      <c r="J767" s="39" t="n">
        <v>616.99</v>
      </c>
      <c r="K767" s="37" t="s">
        <v>342</v>
      </c>
      <c r="L767" s="39" t="n">
        <v>114.09</v>
      </c>
      <c r="M767" s="39" t="n">
        <v>58.6</v>
      </c>
      <c r="N767" s="39" t="n">
        <f aca="false">J767*Resumo!$C$6</f>
        <v>0</v>
      </c>
      <c r="O767" s="39" t="n">
        <f aca="false">J767*Resumo!$C$7</f>
        <v>1.295679</v>
      </c>
      <c r="P767" s="39" t="n">
        <f aca="false">J767*Resumo!$C$8</f>
        <v>1.295679</v>
      </c>
      <c r="Q767" s="39" t="n">
        <f aca="false">Resumo!$C$10*CEILING(I767/100,1)</f>
        <v>1.05</v>
      </c>
      <c r="R767" s="39" t="n">
        <f aca="false">Resumo!$C$9</f>
        <v>0</v>
      </c>
      <c r="S767" s="39" t="n">
        <f aca="false">Resumo!$C$13</f>
        <v>13.55</v>
      </c>
      <c r="T767" s="39" t="n">
        <f aca="false">Resumo!$C$14*CEILING(I767,1)</f>
        <v>23.85</v>
      </c>
      <c r="U767" s="39" t="n">
        <f aca="false">SUM(M767:T767)*Resumo!$C$11</f>
        <v>0</v>
      </c>
      <c r="V767" s="39" t="n">
        <f aca="false">SUM(M767:U767)</f>
        <v>99.641358</v>
      </c>
      <c r="W767" s="39" t="n">
        <f aca="false">V767/(1-Resumo!$C$5)</f>
        <v>113.228815909091</v>
      </c>
      <c r="X767" s="39" t="n">
        <v>112.3</v>
      </c>
      <c r="Y767" s="39" t="n">
        <f aca="false">J767*Resumo!$B$6</f>
        <v>0.61699</v>
      </c>
      <c r="Z767" s="39" t="n">
        <f aca="false">J767*Resumo!$B$7</f>
        <v>1.23398</v>
      </c>
      <c r="AA767" s="39" t="n">
        <f aca="false">Resumo!$B$9</f>
        <v>1</v>
      </c>
      <c r="AB767" s="39" t="n">
        <f aca="false">Resumo!$B$10*CEILING(I767/100,1)</f>
        <v>4.5</v>
      </c>
      <c r="AC767" s="39" t="n">
        <f aca="false">Resumo!$B$12*CEILING(I767,1)</f>
        <v>3.18</v>
      </c>
      <c r="AD767" s="39" t="n">
        <f aca="false">Resumo!$B$14*CEILING(I767,1)</f>
        <v>23.85</v>
      </c>
      <c r="AE767" s="39" t="n">
        <f aca="false">SUM(X767:AD767)</f>
        <v>146.68097</v>
      </c>
      <c r="AF767" s="39" t="n">
        <f aca="false">AE767/(1-Resumo!$B$5)</f>
        <v>166.682920454545</v>
      </c>
      <c r="AG767" s="39" t="n">
        <f aca="false">AF767-W767</f>
        <v>53.4541045454546</v>
      </c>
      <c r="AH767" s="40" t="n">
        <f aca="false">AF767/W767-1</f>
        <v>0.472089230257179</v>
      </c>
      <c r="AI767" s="37" t="str">
        <f aca="false">IF(AF767&lt;W767,"SIM","NÃO")</f>
        <v>NÃO</v>
      </c>
      <c r="AJ767" s="37" t="n">
        <v>2</v>
      </c>
      <c r="AK767" s="37" t="n">
        <v>5</v>
      </c>
      <c r="AL767" s="37" t="s">
        <v>343</v>
      </c>
      <c r="AM767" s="39" t="n">
        <v>114.11</v>
      </c>
    </row>
    <row r="768" customFormat="false" ht="15" hidden="false" customHeight="false" outlineLevel="0" collapsed="false">
      <c r="A768" s="37" t="n">
        <v>373588942</v>
      </c>
      <c r="B768" s="38" t="n">
        <v>46242.8924652778</v>
      </c>
      <c r="C768" s="37" t="s">
        <v>340</v>
      </c>
      <c r="D768" s="37" t="s">
        <v>520</v>
      </c>
      <c r="E768" s="37" t="n">
        <v>22780760</v>
      </c>
      <c r="F768" s="37" t="s">
        <v>159</v>
      </c>
      <c r="G768" s="37" t="s">
        <v>196</v>
      </c>
      <c r="H768" s="37" t="s">
        <v>184</v>
      </c>
      <c r="I768" s="37" t="n">
        <v>20.9</v>
      </c>
      <c r="J768" s="39" t="n">
        <v>450</v>
      </c>
      <c r="K768" s="37" t="s">
        <v>342</v>
      </c>
      <c r="L768" s="39" t="n">
        <v>82.48</v>
      </c>
      <c r="M768" s="39" t="n">
        <v>42.11</v>
      </c>
      <c r="N768" s="39" t="n">
        <f aca="false">J768*Resumo!$C$6</f>
        <v>0</v>
      </c>
      <c r="O768" s="39" t="n">
        <f aca="false">J768*Resumo!$C$7</f>
        <v>0.945</v>
      </c>
      <c r="P768" s="39" t="n">
        <f aca="false">J768*Resumo!$C$8</f>
        <v>0.945</v>
      </c>
      <c r="Q768" s="39" t="n">
        <f aca="false">Resumo!$C$10*CEILING(I768/100,1)</f>
        <v>1.05</v>
      </c>
      <c r="R768" s="39" t="n">
        <f aca="false">Resumo!$C$9</f>
        <v>0</v>
      </c>
      <c r="S768" s="39" t="n">
        <f aca="false">Resumo!$C$13</f>
        <v>13.55</v>
      </c>
      <c r="T768" s="39" t="n">
        <f aca="false">Resumo!$C$14*CEILING(I768,1)</f>
        <v>9.45</v>
      </c>
      <c r="U768" s="39" t="n">
        <f aca="false">SUM(M768:T768)*Resumo!$C$11</f>
        <v>0</v>
      </c>
      <c r="V768" s="39" t="n">
        <f aca="false">SUM(M768:U768)</f>
        <v>68.05</v>
      </c>
      <c r="W768" s="39" t="n">
        <f aca="false">V768/(1-Resumo!$C$5)</f>
        <v>77.3295454545455</v>
      </c>
      <c r="X768" s="39" t="n">
        <v>82.21</v>
      </c>
      <c r="Y768" s="39" t="n">
        <f aca="false">J768*Resumo!$B$6</f>
        <v>0.45</v>
      </c>
      <c r="Z768" s="39" t="n">
        <f aca="false">J768*Resumo!$B$7</f>
        <v>0.9</v>
      </c>
      <c r="AA768" s="39" t="n">
        <f aca="false">Resumo!$B$9</f>
        <v>1</v>
      </c>
      <c r="AB768" s="39" t="n">
        <f aca="false">Resumo!$B$10*CEILING(I768/100,1)</f>
        <v>4.5</v>
      </c>
      <c r="AC768" s="39" t="n">
        <f aca="false">Resumo!$B$12*CEILING(I768,1)</f>
        <v>1.26</v>
      </c>
      <c r="AD768" s="39" t="n">
        <f aca="false">Resumo!$B$14*CEILING(I768,1)</f>
        <v>9.45</v>
      </c>
      <c r="AE768" s="39" t="n">
        <f aca="false">SUM(X768:AD768)</f>
        <v>99.77</v>
      </c>
      <c r="AF768" s="39" t="n">
        <f aca="false">AE768/(1-Resumo!$B$5)</f>
        <v>113.375</v>
      </c>
      <c r="AG768" s="39" t="n">
        <f aca="false">AF768-W768</f>
        <v>36.0454545454546</v>
      </c>
      <c r="AH768" s="40" t="n">
        <f aca="false">AF768/W768-1</f>
        <v>0.466127847171198</v>
      </c>
      <c r="AI768" s="37" t="str">
        <f aca="false">IF(AF768&lt;W768,"SIM","NÃO")</f>
        <v>NÃO</v>
      </c>
      <c r="AJ768" s="37" t="n">
        <v>2</v>
      </c>
      <c r="AK768" s="37" t="n">
        <v>5</v>
      </c>
      <c r="AL768" s="37" t="s">
        <v>343</v>
      </c>
      <c r="AM768" s="39" t="n">
        <v>82.48</v>
      </c>
    </row>
    <row r="769" customFormat="false" ht="15" hidden="false" customHeight="false" outlineLevel="0" collapsed="false">
      <c r="A769" s="37" t="n">
        <v>373588974</v>
      </c>
      <c r="B769" s="38" t="n">
        <v>46242.8924884259</v>
      </c>
      <c r="C769" s="37" t="s">
        <v>345</v>
      </c>
      <c r="D769" s="37" t="s">
        <v>1084</v>
      </c>
      <c r="E769" s="37" t="n">
        <v>22270060</v>
      </c>
      <c r="F769" s="37" t="s">
        <v>159</v>
      </c>
      <c r="G769" s="37" t="s">
        <v>196</v>
      </c>
      <c r="H769" s="37" t="s">
        <v>188</v>
      </c>
      <c r="I769" s="37" t="n">
        <v>61.4</v>
      </c>
      <c r="J769" s="39" t="n">
        <v>979.99</v>
      </c>
      <c r="K769" s="37" t="s">
        <v>342</v>
      </c>
      <c r="L769" s="39" t="n">
        <v>125.91</v>
      </c>
      <c r="M769" s="39" t="n">
        <v>63.21</v>
      </c>
      <c r="N769" s="39" t="n">
        <f aca="false">J769*Resumo!$C$6</f>
        <v>0</v>
      </c>
      <c r="O769" s="39" t="n">
        <f aca="false">J769*Resumo!$C$7</f>
        <v>2.057979</v>
      </c>
      <c r="P769" s="39" t="n">
        <f aca="false">J769*Resumo!$C$8</f>
        <v>2.057979</v>
      </c>
      <c r="Q769" s="39" t="n">
        <f aca="false">Resumo!$C$10*CEILING(I769/100,1)</f>
        <v>1.05</v>
      </c>
      <c r="R769" s="39" t="n">
        <f aca="false">Resumo!$C$9</f>
        <v>0</v>
      </c>
      <c r="S769" s="39" t="n">
        <f aca="false">Resumo!$C$13</f>
        <v>13.55</v>
      </c>
      <c r="T769" s="39" t="n">
        <f aca="false">Resumo!$C$14*CEILING(I769,1)</f>
        <v>27.9</v>
      </c>
      <c r="U769" s="39" t="n">
        <f aca="false">SUM(M769:T769)*Resumo!$C$11</f>
        <v>0</v>
      </c>
      <c r="V769" s="39" t="n">
        <f aca="false">SUM(M769:U769)</f>
        <v>109.825958</v>
      </c>
      <c r="W769" s="39" t="n">
        <f aca="false">V769/(1-Resumo!$C$5)</f>
        <v>124.802225</v>
      </c>
      <c r="X769" s="39" t="n">
        <v>131.02</v>
      </c>
      <c r="Y769" s="39" t="n">
        <f aca="false">J769*Resumo!$B$6</f>
        <v>0.97999</v>
      </c>
      <c r="Z769" s="39" t="n">
        <f aca="false">J769*Resumo!$B$7</f>
        <v>1.95998</v>
      </c>
      <c r="AA769" s="39" t="n">
        <f aca="false">Resumo!$B$9</f>
        <v>1</v>
      </c>
      <c r="AB769" s="39" t="n">
        <f aca="false">Resumo!$B$10*CEILING(I769/100,1)</f>
        <v>4.5</v>
      </c>
      <c r="AC769" s="39" t="n">
        <f aca="false">Resumo!$B$12*CEILING(I769,1)</f>
        <v>3.72</v>
      </c>
      <c r="AD769" s="39" t="n">
        <f aca="false">Resumo!$B$14*CEILING(I769,1)</f>
        <v>27.9</v>
      </c>
      <c r="AE769" s="39" t="n">
        <f aca="false">SUM(X769:AD769)</f>
        <v>171.07997</v>
      </c>
      <c r="AF769" s="39" t="n">
        <f aca="false">AE769/(1-Resumo!$B$5)</f>
        <v>194.409056818182</v>
      </c>
      <c r="AG769" s="39" t="n">
        <f aca="false">AF769-W769</f>
        <v>69.6068318181818</v>
      </c>
      <c r="AH769" s="40" t="n">
        <f aca="false">AF769/W769-1</f>
        <v>0.557737106194876</v>
      </c>
      <c r="AI769" s="37" t="str">
        <f aca="false">IF(AF769&lt;W769,"SIM","NÃO")</f>
        <v>NÃO</v>
      </c>
      <c r="AJ769" s="37" t="n">
        <v>2</v>
      </c>
      <c r="AK769" s="37" t="n">
        <v>5</v>
      </c>
      <c r="AL769" s="37" t="s">
        <v>343</v>
      </c>
      <c r="AM769" s="39" t="n">
        <v>125.9</v>
      </c>
    </row>
    <row r="770" customFormat="false" ht="15" hidden="false" customHeight="false" outlineLevel="0" collapsed="false">
      <c r="A770" s="37" t="n">
        <v>373596483</v>
      </c>
      <c r="B770" s="38" t="n">
        <v>46242.9063310185</v>
      </c>
      <c r="C770" s="37" t="s">
        <v>340</v>
      </c>
      <c r="D770" s="37" t="s">
        <v>1085</v>
      </c>
      <c r="E770" s="37" t="n">
        <v>23097640</v>
      </c>
      <c r="F770" s="37" t="s">
        <v>159</v>
      </c>
      <c r="G770" s="37" t="s">
        <v>196</v>
      </c>
      <c r="H770" s="37" t="s">
        <v>186</v>
      </c>
      <c r="I770" s="37" t="n">
        <v>44.6</v>
      </c>
      <c r="J770" s="39" t="n">
        <v>549.99</v>
      </c>
      <c r="K770" s="37" t="s">
        <v>518</v>
      </c>
      <c r="L770" s="39" t="n">
        <v>103.07</v>
      </c>
      <c r="M770" s="39" t="n">
        <v>53.55</v>
      </c>
      <c r="N770" s="39" t="n">
        <f aca="false">J770*Resumo!$C$6</f>
        <v>0</v>
      </c>
      <c r="O770" s="39" t="n">
        <f aca="false">J770*Resumo!$C$7</f>
        <v>1.154979</v>
      </c>
      <c r="P770" s="39" t="n">
        <f aca="false">J770*Resumo!$C$8</f>
        <v>1.154979</v>
      </c>
      <c r="Q770" s="39" t="n">
        <f aca="false">Resumo!$C$10*CEILING(I770/100,1)</f>
        <v>1.05</v>
      </c>
      <c r="R770" s="39" t="n">
        <f aca="false">Resumo!$C$9</f>
        <v>0</v>
      </c>
      <c r="S770" s="39" t="n">
        <f aca="false">Resumo!$C$13</f>
        <v>13.55</v>
      </c>
      <c r="T770" s="39" t="n">
        <f aca="false">Resumo!$C$14*CEILING(I770,1)</f>
        <v>20.25</v>
      </c>
      <c r="U770" s="39" t="n">
        <f aca="false">SUM(M770:T770)*Resumo!$C$11</f>
        <v>0</v>
      </c>
      <c r="V770" s="39" t="n">
        <f aca="false">SUM(M770:U770)</f>
        <v>90.709958</v>
      </c>
      <c r="W770" s="39" t="n">
        <f aca="false">V770/(1-Resumo!$C$5)</f>
        <v>103.079497727273</v>
      </c>
      <c r="X770" s="39" t="n">
        <v>93.97</v>
      </c>
      <c r="Y770" s="39" t="n">
        <f aca="false">J770*Resumo!$B$6</f>
        <v>0.54999</v>
      </c>
      <c r="Z770" s="39" t="n">
        <f aca="false">J770*Resumo!$B$7</f>
        <v>1.09998</v>
      </c>
      <c r="AA770" s="39" t="n">
        <f aca="false">Resumo!$B$9</f>
        <v>1</v>
      </c>
      <c r="AB770" s="39" t="n">
        <f aca="false">Resumo!$B$10*CEILING(I770/100,1)</f>
        <v>4.5</v>
      </c>
      <c r="AC770" s="39" t="n">
        <f aca="false">Resumo!$B$12*CEILING(I770,1)</f>
        <v>2.7</v>
      </c>
      <c r="AD770" s="39" t="n">
        <f aca="false">Resumo!$B$14*CEILING(I770,1)</f>
        <v>20.25</v>
      </c>
      <c r="AE770" s="39" t="n">
        <f aca="false">SUM(X770:AD770)</f>
        <v>124.06997</v>
      </c>
      <c r="AF770" s="39" t="n">
        <f aca="false">AE770/(1-Resumo!$B$5)</f>
        <v>140.988602272727</v>
      </c>
      <c r="AG770" s="39" t="n">
        <f aca="false">AF770-W770</f>
        <v>37.9091045454545</v>
      </c>
      <c r="AH770" s="40" t="n">
        <f aca="false">AF770/W770-1</f>
        <v>0.367765708810051</v>
      </c>
      <c r="AI770" s="37" t="str">
        <f aca="false">IF(AF770&lt;W770,"SIM","NÃO")</f>
        <v>NÃO</v>
      </c>
      <c r="AJ770" s="37" t="n">
        <v>2</v>
      </c>
      <c r="AK770" s="37" t="n">
        <v>5</v>
      </c>
      <c r="AL770" s="37" t="s">
        <v>343</v>
      </c>
      <c r="AM770" s="39" t="n">
        <v>103.22</v>
      </c>
    </row>
    <row r="771" customFormat="false" ht="15" hidden="false" customHeight="false" outlineLevel="0" collapsed="false">
      <c r="A771" s="37" t="n">
        <v>373600840</v>
      </c>
      <c r="B771" s="38" t="n">
        <v>46242.9144097222</v>
      </c>
      <c r="C771" s="37" t="s">
        <v>340</v>
      </c>
      <c r="D771" s="37" t="s">
        <v>1086</v>
      </c>
      <c r="E771" s="37" t="n">
        <v>24436810</v>
      </c>
      <c r="F771" s="37" t="s">
        <v>160</v>
      </c>
      <c r="G771" s="37" t="s">
        <v>197</v>
      </c>
      <c r="H771" s="37" t="s">
        <v>184</v>
      </c>
      <c r="I771" s="37" t="n">
        <v>34.4</v>
      </c>
      <c r="J771" s="39" t="n">
        <v>440.88</v>
      </c>
      <c r="K771" s="37" t="s">
        <v>518</v>
      </c>
      <c r="L771" s="39" t="n">
        <v>103.42</v>
      </c>
      <c r="M771" s="39" t="n">
        <v>58.8</v>
      </c>
      <c r="N771" s="39" t="n">
        <f aca="false">J771*Resumo!$C$6</f>
        <v>0</v>
      </c>
      <c r="O771" s="39" t="n">
        <f aca="false">J771*Resumo!$C$7</f>
        <v>0.925848</v>
      </c>
      <c r="P771" s="39" t="n">
        <f aca="false">J771*Resumo!$C$8</f>
        <v>0.925848</v>
      </c>
      <c r="Q771" s="39" t="n">
        <f aca="false">Resumo!$C$10*CEILING(I771/100,1)</f>
        <v>1.05</v>
      </c>
      <c r="R771" s="39" t="n">
        <f aca="false">Resumo!$C$9</f>
        <v>0</v>
      </c>
      <c r="S771" s="39" t="n">
        <f aca="false">Resumo!$C$13</f>
        <v>13.55</v>
      </c>
      <c r="T771" s="39" t="n">
        <f aca="false">Resumo!$C$14*CEILING(I771,1)</f>
        <v>15.75</v>
      </c>
      <c r="U771" s="39" t="n">
        <f aca="false">SUM(M771:T771)*Resumo!$C$11</f>
        <v>0</v>
      </c>
      <c r="V771" s="39" t="n">
        <f aca="false">SUM(M771:U771)</f>
        <v>91.001696</v>
      </c>
      <c r="W771" s="39" t="n">
        <f aca="false">V771/(1-Resumo!$C$5)</f>
        <v>103.411018181818</v>
      </c>
      <c r="X771" s="39" t="n">
        <v>100.58</v>
      </c>
      <c r="Y771" s="39" t="n">
        <f aca="false">J771*Resumo!$B$6</f>
        <v>0.44088</v>
      </c>
      <c r="Z771" s="39" t="n">
        <f aca="false">J771*Resumo!$B$7</f>
        <v>0.88176</v>
      </c>
      <c r="AA771" s="39" t="n">
        <f aca="false">Resumo!$B$9</f>
        <v>1</v>
      </c>
      <c r="AB771" s="39" t="n">
        <f aca="false">Resumo!$B$10*CEILING(I771/100,1)</f>
        <v>4.5</v>
      </c>
      <c r="AC771" s="39" t="n">
        <f aca="false">Resumo!$B$12*CEILING(I771,1)</f>
        <v>2.1</v>
      </c>
      <c r="AD771" s="39" t="n">
        <f aca="false">Resumo!$B$14*CEILING(I771,1)</f>
        <v>15.75</v>
      </c>
      <c r="AE771" s="39" t="n">
        <f aca="false">SUM(X771:AD771)</f>
        <v>125.25264</v>
      </c>
      <c r="AF771" s="39" t="n">
        <f aca="false">AE771/(1-Resumo!$B$5)</f>
        <v>142.332545454545</v>
      </c>
      <c r="AG771" s="39" t="n">
        <f aca="false">AF771-W771</f>
        <v>38.9215272727273</v>
      </c>
      <c r="AH771" s="40" t="n">
        <f aca="false">AF771/W771-1</f>
        <v>0.376376985325636</v>
      </c>
      <c r="AI771" s="37" t="str">
        <f aca="false">IF(AF771&lt;W771,"SIM","NÃO")</f>
        <v>NÃO</v>
      </c>
      <c r="AJ771" s="37" t="n">
        <v>2</v>
      </c>
      <c r="AK771" s="37" t="n">
        <v>7</v>
      </c>
      <c r="AL771" s="37" t="s">
        <v>343</v>
      </c>
      <c r="AM771" s="39" t="n">
        <v>101.5</v>
      </c>
    </row>
    <row r="772" customFormat="false" ht="15" hidden="false" customHeight="false" outlineLevel="0" collapsed="false">
      <c r="A772" s="37" t="n">
        <v>373606286</v>
      </c>
      <c r="B772" s="38" t="n">
        <v>46242.9253009259</v>
      </c>
      <c r="C772" s="37" t="s">
        <v>340</v>
      </c>
      <c r="D772" s="37" t="s">
        <v>1087</v>
      </c>
      <c r="E772" s="37" t="n">
        <v>24730090</v>
      </c>
      <c r="F772" s="37" t="s">
        <v>160</v>
      </c>
      <c r="G772" s="37" t="s">
        <v>197</v>
      </c>
      <c r="H772" s="37" t="s">
        <v>187</v>
      </c>
      <c r="I772" s="37" t="n">
        <v>54.8</v>
      </c>
      <c r="J772" s="39" t="n">
        <v>719.98</v>
      </c>
      <c r="K772" s="37" t="s">
        <v>518</v>
      </c>
      <c r="L772" s="39" t="n">
        <v>128.81</v>
      </c>
      <c r="M772" s="39" t="n">
        <v>70.98</v>
      </c>
      <c r="N772" s="39" t="n">
        <f aca="false">J772*Resumo!$C$6</f>
        <v>0</v>
      </c>
      <c r="O772" s="39" t="n">
        <f aca="false">J772*Resumo!$C$7</f>
        <v>1.511958</v>
      </c>
      <c r="P772" s="39" t="n">
        <f aca="false">J772*Resumo!$C$8</f>
        <v>1.511958</v>
      </c>
      <c r="Q772" s="39" t="n">
        <f aca="false">Resumo!$C$10*CEILING(I772/100,1)</f>
        <v>1.05</v>
      </c>
      <c r="R772" s="39" t="n">
        <f aca="false">Resumo!$C$9</f>
        <v>0</v>
      </c>
      <c r="S772" s="39" t="n">
        <f aca="false">Resumo!$C$13</f>
        <v>13.55</v>
      </c>
      <c r="T772" s="39" t="n">
        <f aca="false">Resumo!$C$14*CEILING(I772,1)</f>
        <v>24.75</v>
      </c>
      <c r="U772" s="39" t="n">
        <f aca="false">SUM(M772:T772)*Resumo!$C$11</f>
        <v>0</v>
      </c>
      <c r="V772" s="39" t="n">
        <f aca="false">SUM(M772:U772)</f>
        <v>113.353916</v>
      </c>
      <c r="W772" s="39" t="n">
        <f aca="false">V772/(1-Resumo!$C$5)</f>
        <v>128.811268181818</v>
      </c>
      <c r="X772" s="39" t="n">
        <v>128.14</v>
      </c>
      <c r="Y772" s="39" t="n">
        <f aca="false">J772*Resumo!$B$6</f>
        <v>0.71998</v>
      </c>
      <c r="Z772" s="39" t="n">
        <f aca="false">J772*Resumo!$B$7</f>
        <v>1.43996</v>
      </c>
      <c r="AA772" s="39" t="n">
        <f aca="false">Resumo!$B$9</f>
        <v>1</v>
      </c>
      <c r="AB772" s="39" t="n">
        <f aca="false">Resumo!$B$10*CEILING(I772/100,1)</f>
        <v>4.5</v>
      </c>
      <c r="AC772" s="39" t="n">
        <f aca="false">Resumo!$B$12*CEILING(I772,1)</f>
        <v>3.3</v>
      </c>
      <c r="AD772" s="39" t="n">
        <f aca="false">Resumo!$B$14*CEILING(I772,1)</f>
        <v>24.75</v>
      </c>
      <c r="AE772" s="39" t="n">
        <f aca="false">SUM(X772:AD772)</f>
        <v>163.84994</v>
      </c>
      <c r="AF772" s="39" t="n">
        <f aca="false">AE772/(1-Resumo!$B$5)</f>
        <v>186.193113636364</v>
      </c>
      <c r="AG772" s="39" t="n">
        <f aca="false">AF772-W772</f>
        <v>57.3818454545454</v>
      </c>
      <c r="AH772" s="40" t="n">
        <f aca="false">AF772/W772-1</f>
        <v>0.445472249939737</v>
      </c>
      <c r="AI772" s="37" t="str">
        <f aca="false">IF(AF772&lt;W772,"SIM","NÃO")</f>
        <v>NÃO</v>
      </c>
      <c r="AJ772" s="37" t="n">
        <v>2</v>
      </c>
      <c r="AK772" s="37" t="n">
        <v>7</v>
      </c>
      <c r="AL772" s="37" t="s">
        <v>343</v>
      </c>
      <c r="AM772" s="39" t="n">
        <v>128.73</v>
      </c>
    </row>
    <row r="773" customFormat="false" ht="15" hidden="false" customHeight="false" outlineLevel="0" collapsed="false">
      <c r="A773" s="37" t="n">
        <v>373608428</v>
      </c>
      <c r="B773" s="38" t="n">
        <v>46242.9296527778</v>
      </c>
      <c r="C773" s="37" t="s">
        <v>340</v>
      </c>
      <c r="D773" s="37" t="s">
        <v>1088</v>
      </c>
      <c r="E773" s="37" t="n">
        <v>21530013</v>
      </c>
      <c r="F773" s="37" t="s">
        <v>159</v>
      </c>
      <c r="G773" s="37" t="s">
        <v>196</v>
      </c>
      <c r="H773" s="37" t="s">
        <v>184</v>
      </c>
      <c r="I773" s="37" t="n">
        <v>29.2</v>
      </c>
      <c r="J773" s="39" t="n">
        <v>387.99</v>
      </c>
      <c r="K773" s="37" t="s">
        <v>342</v>
      </c>
      <c r="L773" s="39" t="n">
        <v>82.19</v>
      </c>
      <c r="M773" s="39" t="n">
        <v>42.11</v>
      </c>
      <c r="N773" s="39" t="n">
        <f aca="false">J773*Resumo!$C$6</f>
        <v>0</v>
      </c>
      <c r="O773" s="39" t="n">
        <f aca="false">J773*Resumo!$C$7</f>
        <v>0.814779</v>
      </c>
      <c r="P773" s="39" t="n">
        <f aca="false">J773*Resumo!$C$8</f>
        <v>0.814779</v>
      </c>
      <c r="Q773" s="39" t="n">
        <f aca="false">Resumo!$C$10*CEILING(I773/100,1)</f>
        <v>1.05</v>
      </c>
      <c r="R773" s="39" t="n">
        <f aca="false">Resumo!$C$9</f>
        <v>0</v>
      </c>
      <c r="S773" s="39" t="n">
        <f aca="false">Resumo!$C$13</f>
        <v>13.55</v>
      </c>
      <c r="T773" s="39" t="n">
        <f aca="false">Resumo!$C$14*CEILING(I773,1)</f>
        <v>13.5</v>
      </c>
      <c r="U773" s="39" t="n">
        <f aca="false">SUM(M773:T773)*Resumo!$C$11</f>
        <v>0</v>
      </c>
      <c r="V773" s="39" t="n">
        <f aca="false">SUM(M773:U773)</f>
        <v>71.839558</v>
      </c>
      <c r="W773" s="39" t="n">
        <f aca="false">V773/(1-Resumo!$C$5)</f>
        <v>81.6358613636364</v>
      </c>
      <c r="X773" s="39" t="n">
        <v>82.21</v>
      </c>
      <c r="Y773" s="39" t="n">
        <f aca="false">J773*Resumo!$B$6</f>
        <v>0.38799</v>
      </c>
      <c r="Z773" s="39" t="n">
        <f aca="false">J773*Resumo!$B$7</f>
        <v>0.77598</v>
      </c>
      <c r="AA773" s="39" t="n">
        <f aca="false">Resumo!$B$9</f>
        <v>1</v>
      </c>
      <c r="AB773" s="39" t="n">
        <f aca="false">Resumo!$B$10*CEILING(I773/100,1)</f>
        <v>4.5</v>
      </c>
      <c r="AC773" s="39" t="n">
        <f aca="false">Resumo!$B$12*CEILING(I773,1)</f>
        <v>1.8</v>
      </c>
      <c r="AD773" s="39" t="n">
        <f aca="false">Resumo!$B$14*CEILING(I773,1)</f>
        <v>13.5</v>
      </c>
      <c r="AE773" s="39" t="n">
        <f aca="false">SUM(X773:AD773)</f>
        <v>104.17397</v>
      </c>
      <c r="AF773" s="39" t="n">
        <f aca="false">AE773/(1-Resumo!$B$5)</f>
        <v>118.379511363636</v>
      </c>
      <c r="AG773" s="39" t="n">
        <f aca="false">AF773-W773</f>
        <v>36.74365</v>
      </c>
      <c r="AH773" s="40" t="n">
        <f aca="false">AF773/W773-1</f>
        <v>0.450092023116289</v>
      </c>
      <c r="AI773" s="37" t="str">
        <f aca="false">IF(AF773&lt;W773,"SIM","NÃO")</f>
        <v>NÃO</v>
      </c>
      <c r="AJ773" s="37" t="n">
        <v>2</v>
      </c>
      <c r="AK773" s="37" t="n">
        <v>5</v>
      </c>
      <c r="AL773" s="37" t="s">
        <v>343</v>
      </c>
      <c r="AM773" s="39" t="n">
        <v>82.18</v>
      </c>
    </row>
    <row r="774" customFormat="false" ht="15" hidden="false" customHeight="false" outlineLevel="0" collapsed="false">
      <c r="A774" s="37" t="n">
        <v>373613499</v>
      </c>
      <c r="B774" s="38" t="n">
        <v>46242.94</v>
      </c>
      <c r="C774" s="37" t="s">
        <v>340</v>
      </c>
      <c r="D774" s="37" t="s">
        <v>1089</v>
      </c>
      <c r="E774" s="37" t="n">
        <v>21011290</v>
      </c>
      <c r="F774" s="37" t="s">
        <v>159</v>
      </c>
      <c r="G774" s="37" t="s">
        <v>196</v>
      </c>
      <c r="H774" s="37" t="s">
        <v>184</v>
      </c>
      <c r="I774" s="37" t="n">
        <v>27</v>
      </c>
      <c r="J774" s="39" t="n">
        <v>297.99</v>
      </c>
      <c r="K774" s="37" t="s">
        <v>342</v>
      </c>
      <c r="L774" s="39" t="n">
        <v>81.76</v>
      </c>
      <c r="M774" s="39" t="n">
        <v>42.11</v>
      </c>
      <c r="N774" s="39" t="n">
        <f aca="false">J774*Resumo!$C$6</f>
        <v>0</v>
      </c>
      <c r="O774" s="39" t="n">
        <f aca="false">J774*Resumo!$C$7</f>
        <v>0.625779</v>
      </c>
      <c r="P774" s="39" t="n">
        <f aca="false">J774*Resumo!$C$8</f>
        <v>0.625779</v>
      </c>
      <c r="Q774" s="39" t="n">
        <f aca="false">Resumo!$C$10*CEILING(I774/100,1)</f>
        <v>1.05</v>
      </c>
      <c r="R774" s="39" t="n">
        <f aca="false">Resumo!$C$9</f>
        <v>0</v>
      </c>
      <c r="S774" s="39" t="n">
        <f aca="false">Resumo!$C$13</f>
        <v>13.55</v>
      </c>
      <c r="T774" s="39" t="n">
        <f aca="false">Resumo!$C$14*CEILING(I774,1)</f>
        <v>12.15</v>
      </c>
      <c r="U774" s="39" t="n">
        <f aca="false">SUM(M774:T774)*Resumo!$C$11</f>
        <v>0</v>
      </c>
      <c r="V774" s="39" t="n">
        <f aca="false">SUM(M774:U774)</f>
        <v>70.111558</v>
      </c>
      <c r="W774" s="39" t="n">
        <f aca="false">V774/(1-Resumo!$C$5)</f>
        <v>79.672225</v>
      </c>
      <c r="X774" s="39" t="n">
        <v>82.21</v>
      </c>
      <c r="Y774" s="39" t="n">
        <f aca="false">J774*Resumo!$B$6</f>
        <v>0.29799</v>
      </c>
      <c r="Z774" s="39" t="n">
        <f aca="false">J774*Resumo!$B$7</f>
        <v>0.59598</v>
      </c>
      <c r="AA774" s="39" t="n">
        <f aca="false">Resumo!$B$9</f>
        <v>1</v>
      </c>
      <c r="AB774" s="39" t="n">
        <f aca="false">Resumo!$B$10*CEILING(I774/100,1)</f>
        <v>4.5</v>
      </c>
      <c r="AC774" s="39" t="n">
        <f aca="false">Resumo!$B$12*CEILING(I774,1)</f>
        <v>1.62</v>
      </c>
      <c r="AD774" s="39" t="n">
        <f aca="false">Resumo!$B$14*CEILING(I774,1)</f>
        <v>12.15</v>
      </c>
      <c r="AE774" s="39" t="n">
        <f aca="false">SUM(X774:AD774)</f>
        <v>102.37397</v>
      </c>
      <c r="AF774" s="39" t="n">
        <f aca="false">AE774/(1-Resumo!$B$5)</f>
        <v>116.334056818182</v>
      </c>
      <c r="AG774" s="39" t="n">
        <f aca="false">AF774-W774</f>
        <v>36.6618318181818</v>
      </c>
      <c r="AH774" s="40" t="n">
        <f aca="false">AF774/W774-1</f>
        <v>0.460158252366892</v>
      </c>
      <c r="AI774" s="37" t="str">
        <f aca="false">IF(AF774&lt;W774,"SIM","NÃO")</f>
        <v>NÃO</v>
      </c>
      <c r="AJ774" s="37" t="n">
        <v>2</v>
      </c>
      <c r="AK774" s="37" t="n">
        <v>5</v>
      </c>
      <c r="AL774" s="37" t="s">
        <v>343</v>
      </c>
      <c r="AM774" s="39" t="n">
        <v>81.75</v>
      </c>
    </row>
    <row r="775" customFormat="false" ht="15" hidden="false" customHeight="false" outlineLevel="0" collapsed="false">
      <c r="A775" s="37" t="n">
        <v>373614827</v>
      </c>
      <c r="B775" s="38" t="n">
        <v>46242.9423032407</v>
      </c>
      <c r="C775" s="37" t="s">
        <v>340</v>
      </c>
      <c r="D775" s="37" t="s">
        <v>1090</v>
      </c>
      <c r="E775" s="37" t="n">
        <v>28994282</v>
      </c>
      <c r="F775" s="37" t="s">
        <v>295</v>
      </c>
      <c r="G775" s="37" t="s">
        <v>198</v>
      </c>
      <c r="H775" s="37" t="s">
        <v>188</v>
      </c>
      <c r="I775" s="37" t="n">
        <v>61.5</v>
      </c>
      <c r="J775" s="39" t="n">
        <v>708.4</v>
      </c>
      <c r="K775" s="37" t="s">
        <v>518</v>
      </c>
      <c r="L775" s="39" t="n">
        <v>154.18</v>
      </c>
      <c r="M775" s="39" t="n">
        <v>90.2</v>
      </c>
      <c r="N775" s="39" t="n">
        <f aca="false">J775*Resumo!$C$6</f>
        <v>0</v>
      </c>
      <c r="O775" s="39" t="n">
        <f aca="false">J775*Resumo!$C$7</f>
        <v>1.48764</v>
      </c>
      <c r="P775" s="39" t="n">
        <f aca="false">J775*Resumo!$C$8</f>
        <v>1.48764</v>
      </c>
      <c r="Q775" s="39" t="n">
        <f aca="false">Resumo!$C$10*CEILING(I775/100,1)</f>
        <v>1.05</v>
      </c>
      <c r="R775" s="39" t="n">
        <f aca="false">Resumo!$C$9</f>
        <v>0</v>
      </c>
      <c r="S775" s="39" t="n">
        <f aca="false">Resumo!$C$13</f>
        <v>13.55</v>
      </c>
      <c r="T775" s="39" t="n">
        <f aca="false">Resumo!$C$14*CEILING(I775,1)</f>
        <v>27.9</v>
      </c>
      <c r="U775" s="39" t="n">
        <f aca="false">SUM(M775:T775)*Resumo!$C$11</f>
        <v>0</v>
      </c>
      <c r="V775" s="39" t="n">
        <f aca="false">SUM(M775:U775)</f>
        <v>135.67528</v>
      </c>
      <c r="W775" s="39" t="n">
        <f aca="false">V775/(1-Resumo!$C$5)</f>
        <v>154.176454545455</v>
      </c>
      <c r="X775" s="39" t="n">
        <v>166.05</v>
      </c>
      <c r="Y775" s="39" t="n">
        <f aca="false">J775*Resumo!$B$6</f>
        <v>0.7084</v>
      </c>
      <c r="Z775" s="39" t="n">
        <f aca="false">J775*Resumo!$B$7</f>
        <v>1.4168</v>
      </c>
      <c r="AA775" s="39" t="n">
        <f aca="false">Resumo!$B$9</f>
        <v>1</v>
      </c>
      <c r="AB775" s="39" t="n">
        <f aca="false">Resumo!$B$10*CEILING(I775/100,1)</f>
        <v>4.5</v>
      </c>
      <c r="AC775" s="39" t="n">
        <f aca="false">Resumo!$B$12*CEILING(I775,1)</f>
        <v>3.72</v>
      </c>
      <c r="AD775" s="39" t="n">
        <f aca="false">Resumo!$B$14*CEILING(I775,1)</f>
        <v>27.9</v>
      </c>
      <c r="AE775" s="39" t="n">
        <f aca="false">SUM(X775:AD775)</f>
        <v>205.2952</v>
      </c>
      <c r="AF775" s="39" t="n">
        <f aca="false">AE775/(1-Resumo!$B$5)</f>
        <v>233.29</v>
      </c>
      <c r="AG775" s="39" t="n">
        <f aca="false">AF775-W775</f>
        <v>79.1135454545455</v>
      </c>
      <c r="AH775" s="40" t="n">
        <f aca="false">AF775/W775-1</f>
        <v>0.513136365003264</v>
      </c>
      <c r="AI775" s="37" t="str">
        <f aca="false">IF(AF775&lt;W775,"SIM","NÃO")</f>
        <v>NÃO</v>
      </c>
      <c r="AJ775" s="37" t="n">
        <v>13</v>
      </c>
      <c r="AK775" s="37" t="n">
        <v>10</v>
      </c>
      <c r="AL775" s="37" t="s">
        <v>347</v>
      </c>
      <c r="AM775" s="39" t="n">
        <v>155.41</v>
      </c>
    </row>
    <row r="776" customFormat="false" ht="15" hidden="false" customHeight="false" outlineLevel="0" collapsed="false">
      <c r="A776" s="37" t="n">
        <v>373615994</v>
      </c>
      <c r="B776" s="38" t="n">
        <v>46242.9448726852</v>
      </c>
      <c r="C776" s="37" t="s">
        <v>340</v>
      </c>
      <c r="D776" s="37" t="s">
        <v>1091</v>
      </c>
      <c r="E776" s="37" t="n">
        <v>24456150</v>
      </c>
      <c r="F776" s="37" t="s">
        <v>160</v>
      </c>
      <c r="G776" s="37" t="s">
        <v>197</v>
      </c>
      <c r="H776" s="37" t="s">
        <v>184</v>
      </c>
      <c r="I776" s="37" t="n">
        <v>22.4</v>
      </c>
      <c r="J776" s="39" t="n">
        <v>423</v>
      </c>
      <c r="K776" s="37" t="s">
        <v>385</v>
      </c>
      <c r="L776" s="39" t="n">
        <v>85.45</v>
      </c>
      <c r="M776" s="39" t="n">
        <v>58.8</v>
      </c>
      <c r="N776" s="39" t="n">
        <f aca="false">J776*Resumo!$C$6</f>
        <v>0</v>
      </c>
      <c r="O776" s="39" t="n">
        <f aca="false">J776*Resumo!$C$7</f>
        <v>0.8883</v>
      </c>
      <c r="P776" s="39" t="n">
        <f aca="false">J776*Resumo!$C$8</f>
        <v>0.8883</v>
      </c>
      <c r="Q776" s="39" t="n">
        <f aca="false">Resumo!$C$10*CEILING(I776/100,1)</f>
        <v>1.05</v>
      </c>
      <c r="R776" s="39" t="n">
        <f aca="false">Resumo!$C$9</f>
        <v>0</v>
      </c>
      <c r="S776" s="39" t="n">
        <f aca="false">Resumo!$C$13</f>
        <v>13.55</v>
      </c>
      <c r="T776" s="39" t="n">
        <f aca="false">Resumo!$C$14*CEILING(I776,1)</f>
        <v>10.35</v>
      </c>
      <c r="U776" s="39" t="n">
        <f aca="false">SUM(M776:T776)*Resumo!$C$11</f>
        <v>0</v>
      </c>
      <c r="V776" s="39" t="n">
        <f aca="false">SUM(M776:U776)</f>
        <v>85.5266</v>
      </c>
      <c r="W776" s="39" t="n">
        <f aca="false">V776/(1-Resumo!$C$5)</f>
        <v>97.1893181818182</v>
      </c>
      <c r="X776" s="39" t="n">
        <v>100.58</v>
      </c>
      <c r="Y776" s="39" t="n">
        <f aca="false">J776*Resumo!$B$6</f>
        <v>0.423</v>
      </c>
      <c r="Z776" s="39" t="n">
        <f aca="false">J776*Resumo!$B$7</f>
        <v>0.846</v>
      </c>
      <c r="AA776" s="39" t="n">
        <f aca="false">Resumo!$B$9</f>
        <v>1</v>
      </c>
      <c r="AB776" s="39" t="n">
        <f aca="false">Resumo!$B$10*CEILING(I776/100,1)</f>
        <v>4.5</v>
      </c>
      <c r="AC776" s="39" t="n">
        <f aca="false">Resumo!$B$12*CEILING(I776,1)</f>
        <v>1.38</v>
      </c>
      <c r="AD776" s="39" t="n">
        <f aca="false">Resumo!$B$14*CEILING(I776,1)</f>
        <v>10.35</v>
      </c>
      <c r="AE776" s="39" t="n">
        <f aca="false">SUM(X776:AD776)</f>
        <v>119.079</v>
      </c>
      <c r="AF776" s="39" t="n">
        <f aca="false">AE776/(1-Resumo!$B$5)</f>
        <v>135.317045454545</v>
      </c>
      <c r="AG776" s="39" t="n">
        <f aca="false">AF776-W776</f>
        <v>38.1277272727273</v>
      </c>
      <c r="AH776" s="40" t="n">
        <f aca="false">AF776/W776-1</f>
        <v>0.392303680960076</v>
      </c>
      <c r="AI776" s="37" t="str">
        <f aca="false">IF(AF776&lt;W776,"SIM","NÃO")</f>
        <v>NÃO</v>
      </c>
      <c r="AJ776" s="37" t="n">
        <v>2</v>
      </c>
      <c r="AK776" s="37" t="n">
        <v>7</v>
      </c>
      <c r="AL776" s="37" t="s">
        <v>343</v>
      </c>
      <c r="AM776" s="39" t="n">
        <v>101.41</v>
      </c>
    </row>
    <row r="777" customFormat="false" ht="15" hidden="false" customHeight="false" outlineLevel="0" collapsed="false">
      <c r="A777" s="37" t="n">
        <v>373616222</v>
      </c>
      <c r="B777" s="38" t="n">
        <v>46242.9454861111</v>
      </c>
      <c r="C777" s="37" t="s">
        <v>340</v>
      </c>
      <c r="D777" s="37" t="s">
        <v>1092</v>
      </c>
      <c r="E777" s="37" t="n">
        <v>24320420</v>
      </c>
      <c r="F777" s="37" t="s">
        <v>163</v>
      </c>
      <c r="G777" s="37" t="s">
        <v>197</v>
      </c>
      <c r="H777" s="37" t="s">
        <v>187</v>
      </c>
      <c r="I777" s="37" t="n">
        <v>52.3</v>
      </c>
      <c r="J777" s="39" t="n">
        <v>616.99</v>
      </c>
      <c r="K777" s="37" t="s">
        <v>342</v>
      </c>
      <c r="L777" s="39" t="n">
        <v>128.23</v>
      </c>
      <c r="M777" s="39" t="n">
        <v>70.98</v>
      </c>
      <c r="N777" s="39" t="n">
        <f aca="false">J777*Resumo!$C$6</f>
        <v>0</v>
      </c>
      <c r="O777" s="39" t="n">
        <f aca="false">J777*Resumo!$C$7</f>
        <v>1.295679</v>
      </c>
      <c r="P777" s="39" t="n">
        <f aca="false">J777*Resumo!$C$8</f>
        <v>1.295679</v>
      </c>
      <c r="Q777" s="39" t="n">
        <f aca="false">Resumo!$C$10*CEILING(I777/100,1)</f>
        <v>1.05</v>
      </c>
      <c r="R777" s="39" t="n">
        <f aca="false">Resumo!$C$9</f>
        <v>0</v>
      </c>
      <c r="S777" s="39" t="n">
        <f aca="false">Resumo!$C$13</f>
        <v>13.55</v>
      </c>
      <c r="T777" s="39" t="n">
        <f aca="false">Resumo!$C$14*CEILING(I777,1)</f>
        <v>23.85</v>
      </c>
      <c r="U777" s="39" t="n">
        <f aca="false">SUM(M777:T777)*Resumo!$C$11</f>
        <v>0</v>
      </c>
      <c r="V777" s="39" t="n">
        <f aca="false">SUM(M777:U777)</f>
        <v>112.021358</v>
      </c>
      <c r="W777" s="39" t="n">
        <f aca="false">V777/(1-Resumo!$C$5)</f>
        <v>127.296997727273</v>
      </c>
      <c r="X777" s="39" t="n">
        <v>128.14</v>
      </c>
      <c r="Y777" s="39" t="n">
        <f aca="false">J777*Resumo!$B$6</f>
        <v>0.61699</v>
      </c>
      <c r="Z777" s="39" t="n">
        <f aca="false">J777*Resumo!$B$7</f>
        <v>1.23398</v>
      </c>
      <c r="AA777" s="39" t="n">
        <f aca="false">Resumo!$B$9</f>
        <v>1</v>
      </c>
      <c r="AB777" s="39" t="n">
        <f aca="false">Resumo!$B$10*CEILING(I777/100,1)</f>
        <v>4.5</v>
      </c>
      <c r="AC777" s="39" t="n">
        <f aca="false">Resumo!$B$12*CEILING(I777,1)</f>
        <v>3.18</v>
      </c>
      <c r="AD777" s="39" t="n">
        <f aca="false">Resumo!$B$14*CEILING(I777,1)</f>
        <v>23.85</v>
      </c>
      <c r="AE777" s="39" t="n">
        <f aca="false">SUM(X777:AD777)</f>
        <v>162.52097</v>
      </c>
      <c r="AF777" s="39" t="n">
        <f aca="false">AE777/(1-Resumo!$B$5)</f>
        <v>184.682920454545</v>
      </c>
      <c r="AG777" s="39" t="n">
        <f aca="false">AF777-W777</f>
        <v>57.3859227272727</v>
      </c>
      <c r="AH777" s="40" t="n">
        <f aca="false">AF777/W777-1</f>
        <v>0.450803426253768</v>
      </c>
      <c r="AI777" s="37" t="str">
        <f aca="false">IF(AF777&lt;W777,"SIM","NÃO")</f>
        <v>NÃO</v>
      </c>
      <c r="AJ777" s="37" t="n">
        <v>2</v>
      </c>
      <c r="AK777" s="37" t="n">
        <v>7</v>
      </c>
      <c r="AL777" s="37" t="s">
        <v>343</v>
      </c>
      <c r="AM777" s="39" t="n">
        <v>128.24</v>
      </c>
    </row>
    <row r="778" customFormat="false" ht="15" hidden="false" customHeight="false" outlineLevel="0" collapsed="false">
      <c r="A778" s="37" t="n">
        <v>373616962</v>
      </c>
      <c r="B778" s="38" t="n">
        <v>46242.9470601852</v>
      </c>
      <c r="C778" s="37" t="s">
        <v>340</v>
      </c>
      <c r="D778" s="37" t="s">
        <v>389</v>
      </c>
      <c r="E778" s="37" t="n">
        <v>23056630</v>
      </c>
      <c r="F778" s="37" t="s">
        <v>159</v>
      </c>
      <c r="G778" s="37" t="s">
        <v>196</v>
      </c>
      <c r="H778" s="37" t="s">
        <v>187</v>
      </c>
      <c r="I778" s="37" t="n">
        <v>52.3</v>
      </c>
      <c r="J778" s="39" t="n">
        <v>685.88</v>
      </c>
      <c r="K778" s="37" t="s">
        <v>518</v>
      </c>
      <c r="L778" s="39" t="n">
        <v>113.56</v>
      </c>
      <c r="M778" s="39" t="n">
        <v>58.6</v>
      </c>
      <c r="N778" s="39" t="n">
        <f aca="false">J778*Resumo!$C$6</f>
        <v>0</v>
      </c>
      <c r="O778" s="39" t="n">
        <f aca="false">J778*Resumo!$C$7</f>
        <v>1.440348</v>
      </c>
      <c r="P778" s="39" t="n">
        <f aca="false">J778*Resumo!$C$8</f>
        <v>1.440348</v>
      </c>
      <c r="Q778" s="39" t="n">
        <f aca="false">Resumo!$C$10*CEILING(I778/100,1)</f>
        <v>1.05</v>
      </c>
      <c r="R778" s="39" t="n">
        <f aca="false">Resumo!$C$9</f>
        <v>0</v>
      </c>
      <c r="S778" s="39" t="n">
        <f aca="false">Resumo!$C$13</f>
        <v>13.55</v>
      </c>
      <c r="T778" s="39" t="n">
        <f aca="false">Resumo!$C$14*CEILING(I778,1)</f>
        <v>23.85</v>
      </c>
      <c r="U778" s="39" t="n">
        <f aca="false">SUM(M778:T778)*Resumo!$C$11</f>
        <v>0</v>
      </c>
      <c r="V778" s="39" t="n">
        <f aca="false">SUM(M778:U778)</f>
        <v>99.930696</v>
      </c>
      <c r="W778" s="39" t="n">
        <f aca="false">V778/(1-Resumo!$C$5)</f>
        <v>113.557609090909</v>
      </c>
      <c r="X778" s="39" t="n">
        <v>112.3</v>
      </c>
      <c r="Y778" s="39" t="n">
        <f aca="false">J778*Resumo!$B$6</f>
        <v>0.68588</v>
      </c>
      <c r="Z778" s="39" t="n">
        <f aca="false">J778*Resumo!$B$7</f>
        <v>1.37176</v>
      </c>
      <c r="AA778" s="39" t="n">
        <f aca="false">Resumo!$B$9</f>
        <v>1</v>
      </c>
      <c r="AB778" s="39" t="n">
        <f aca="false">Resumo!$B$10*CEILING(I778/100,1)</f>
        <v>4.5</v>
      </c>
      <c r="AC778" s="39" t="n">
        <f aca="false">Resumo!$B$12*CEILING(I778,1)</f>
        <v>3.18</v>
      </c>
      <c r="AD778" s="39" t="n">
        <f aca="false">Resumo!$B$14*CEILING(I778,1)</f>
        <v>23.85</v>
      </c>
      <c r="AE778" s="39" t="n">
        <f aca="false">SUM(X778:AD778)</f>
        <v>146.88764</v>
      </c>
      <c r="AF778" s="39" t="n">
        <f aca="false">AE778/(1-Resumo!$B$5)</f>
        <v>166.917772727273</v>
      </c>
      <c r="AG778" s="39" t="n">
        <f aca="false">AF778-W778</f>
        <v>53.3601636363636</v>
      </c>
      <c r="AH778" s="40" t="n">
        <f aca="false">AF778/W778-1</f>
        <v>0.469895096097399</v>
      </c>
      <c r="AI778" s="37" t="str">
        <f aca="false">IF(AF778&lt;W778,"SIM","NÃO")</f>
        <v>NÃO</v>
      </c>
      <c r="AJ778" s="37" t="n">
        <v>2</v>
      </c>
      <c r="AK778" s="37" t="n">
        <v>5</v>
      </c>
      <c r="AL778" s="37" t="s">
        <v>343</v>
      </c>
      <c r="AM778" s="39" t="n">
        <v>114.44</v>
      </c>
    </row>
    <row r="779" customFormat="false" ht="15" hidden="false" customHeight="false" outlineLevel="0" collapsed="false">
      <c r="A779" s="37" t="n">
        <v>373618744</v>
      </c>
      <c r="B779" s="38" t="n">
        <v>46242.9505787037</v>
      </c>
      <c r="C779" s="37" t="s">
        <v>340</v>
      </c>
      <c r="D779" s="37" t="s">
        <v>1093</v>
      </c>
      <c r="E779" s="37" t="n">
        <v>20750030</v>
      </c>
      <c r="F779" s="37" t="s">
        <v>159</v>
      </c>
      <c r="G779" s="37" t="s">
        <v>196</v>
      </c>
      <c r="H779" s="37" t="s">
        <v>187</v>
      </c>
      <c r="I779" s="37" t="n">
        <v>52.3</v>
      </c>
      <c r="J779" s="39" t="n">
        <v>685.88</v>
      </c>
      <c r="K779" s="37" t="s">
        <v>342</v>
      </c>
      <c r="L779" s="39" t="n">
        <v>114.43</v>
      </c>
      <c r="M779" s="39" t="n">
        <v>58.6</v>
      </c>
      <c r="N779" s="39" t="n">
        <f aca="false">J779*Resumo!$C$6</f>
        <v>0</v>
      </c>
      <c r="O779" s="39" t="n">
        <f aca="false">J779*Resumo!$C$7</f>
        <v>1.440348</v>
      </c>
      <c r="P779" s="39" t="n">
        <f aca="false">J779*Resumo!$C$8</f>
        <v>1.440348</v>
      </c>
      <c r="Q779" s="39" t="n">
        <f aca="false">Resumo!$C$10*CEILING(I779/100,1)</f>
        <v>1.05</v>
      </c>
      <c r="R779" s="39" t="n">
        <f aca="false">Resumo!$C$9</f>
        <v>0</v>
      </c>
      <c r="S779" s="39" t="n">
        <f aca="false">Resumo!$C$13</f>
        <v>13.55</v>
      </c>
      <c r="T779" s="39" t="n">
        <f aca="false">Resumo!$C$14*CEILING(I779,1)</f>
        <v>23.85</v>
      </c>
      <c r="U779" s="39" t="n">
        <f aca="false">SUM(M779:T779)*Resumo!$C$11</f>
        <v>0</v>
      </c>
      <c r="V779" s="39" t="n">
        <f aca="false">SUM(M779:U779)</f>
        <v>99.930696</v>
      </c>
      <c r="W779" s="39" t="n">
        <f aca="false">V779/(1-Resumo!$C$5)</f>
        <v>113.557609090909</v>
      </c>
      <c r="X779" s="39" t="n">
        <v>112.3</v>
      </c>
      <c r="Y779" s="39" t="n">
        <f aca="false">J779*Resumo!$B$6</f>
        <v>0.68588</v>
      </c>
      <c r="Z779" s="39" t="n">
        <f aca="false">J779*Resumo!$B$7</f>
        <v>1.37176</v>
      </c>
      <c r="AA779" s="39" t="n">
        <f aca="false">Resumo!$B$9</f>
        <v>1</v>
      </c>
      <c r="AB779" s="39" t="n">
        <f aca="false">Resumo!$B$10*CEILING(I779/100,1)</f>
        <v>4.5</v>
      </c>
      <c r="AC779" s="39" t="n">
        <f aca="false">Resumo!$B$12*CEILING(I779,1)</f>
        <v>3.18</v>
      </c>
      <c r="AD779" s="39" t="n">
        <f aca="false">Resumo!$B$14*CEILING(I779,1)</f>
        <v>23.85</v>
      </c>
      <c r="AE779" s="39" t="n">
        <f aca="false">SUM(X779:AD779)</f>
        <v>146.88764</v>
      </c>
      <c r="AF779" s="39" t="n">
        <f aca="false">AE779/(1-Resumo!$B$5)</f>
        <v>166.917772727273</v>
      </c>
      <c r="AG779" s="39" t="n">
        <f aca="false">AF779-W779</f>
        <v>53.3601636363636</v>
      </c>
      <c r="AH779" s="40" t="n">
        <f aca="false">AF779/W779-1</f>
        <v>0.469895096097399</v>
      </c>
      <c r="AI779" s="37" t="str">
        <f aca="false">IF(AF779&lt;W779,"SIM","NÃO")</f>
        <v>NÃO</v>
      </c>
      <c r="AJ779" s="37" t="n">
        <v>2</v>
      </c>
      <c r="AK779" s="37" t="n">
        <v>5</v>
      </c>
      <c r="AL779" s="37" t="s">
        <v>343</v>
      </c>
      <c r="AM779" s="39" t="n">
        <v>114.44</v>
      </c>
    </row>
    <row r="780" customFormat="false" ht="15" hidden="false" customHeight="false" outlineLevel="0" collapsed="false">
      <c r="A780" s="37" t="n">
        <v>373619912</v>
      </c>
      <c r="B780" s="38" t="n">
        <v>46242.952962963</v>
      </c>
      <c r="C780" s="37" t="s">
        <v>340</v>
      </c>
      <c r="D780" s="37" t="s">
        <v>1094</v>
      </c>
      <c r="E780" s="37" t="n">
        <v>24723415</v>
      </c>
      <c r="F780" s="37" t="s">
        <v>160</v>
      </c>
      <c r="G780" s="37" t="s">
        <v>197</v>
      </c>
      <c r="H780" s="37" t="s">
        <v>183</v>
      </c>
      <c r="I780" s="37" t="n">
        <v>19.5</v>
      </c>
      <c r="J780" s="39" t="n">
        <v>351</v>
      </c>
      <c r="K780" s="37" t="s">
        <v>518</v>
      </c>
      <c r="L780" s="39" t="n">
        <v>77.05</v>
      </c>
      <c r="M780" s="39" t="n">
        <v>42.72</v>
      </c>
      <c r="N780" s="39" t="n">
        <f aca="false">J780*Resumo!$C$6</f>
        <v>0</v>
      </c>
      <c r="O780" s="39" t="n">
        <f aca="false">J780*Resumo!$C$7</f>
        <v>0.7371</v>
      </c>
      <c r="P780" s="39" t="n">
        <f aca="false">J780*Resumo!$C$8</f>
        <v>0.7371</v>
      </c>
      <c r="Q780" s="39" t="n">
        <f aca="false">Resumo!$C$10*CEILING(I780/100,1)</f>
        <v>1.05</v>
      </c>
      <c r="R780" s="39" t="n">
        <f aca="false">Resumo!$C$9</f>
        <v>0</v>
      </c>
      <c r="S780" s="39" t="n">
        <f aca="false">Resumo!$C$13</f>
        <v>13.55</v>
      </c>
      <c r="T780" s="39" t="n">
        <f aca="false">Resumo!$C$14*CEILING(I780,1)</f>
        <v>9</v>
      </c>
      <c r="U780" s="39" t="n">
        <f aca="false">SUM(M780:T780)*Resumo!$C$11</f>
        <v>0</v>
      </c>
      <c r="V780" s="39" t="n">
        <f aca="false">SUM(M780:U780)</f>
        <v>67.7942</v>
      </c>
      <c r="W780" s="39" t="n">
        <f aca="false">V780/(1-Resumo!$C$5)</f>
        <v>77.0388636363636</v>
      </c>
      <c r="X780" s="39" t="n">
        <v>57.47</v>
      </c>
      <c r="Y780" s="39" t="n">
        <f aca="false">J780*Resumo!$B$6</f>
        <v>0.351</v>
      </c>
      <c r="Z780" s="39" t="n">
        <f aca="false">J780*Resumo!$B$7</f>
        <v>0.702</v>
      </c>
      <c r="AA780" s="39" t="n">
        <f aca="false">Resumo!$B$9</f>
        <v>1</v>
      </c>
      <c r="AB780" s="39" t="n">
        <f aca="false">Resumo!$B$10*CEILING(I780/100,1)</f>
        <v>4.5</v>
      </c>
      <c r="AC780" s="39" t="n">
        <f aca="false">Resumo!$B$12*CEILING(I780,1)</f>
        <v>1.2</v>
      </c>
      <c r="AD780" s="39" t="n">
        <f aca="false">Resumo!$B$14*CEILING(I780,1)</f>
        <v>9</v>
      </c>
      <c r="AE780" s="39" t="n">
        <f aca="false">SUM(X780:AD780)</f>
        <v>74.223</v>
      </c>
      <c r="AF780" s="39" t="n">
        <f aca="false">AE780/(1-Resumo!$B$5)</f>
        <v>84.3443181818182</v>
      </c>
      <c r="AG780" s="39" t="n">
        <f aca="false">AF780-W780</f>
        <v>7.30545454545455</v>
      </c>
      <c r="AH780" s="40" t="n">
        <f aca="false">AF780/W780-1</f>
        <v>0.0948281711414842</v>
      </c>
      <c r="AI780" s="37" t="str">
        <f aca="false">IF(AF780&lt;W780,"SIM","NÃO")</f>
        <v>NÃO</v>
      </c>
      <c r="AJ780" s="37" t="n">
        <v>2</v>
      </c>
      <c r="AK780" s="37" t="n">
        <v>7</v>
      </c>
      <c r="AL780" s="37" t="s">
        <v>343</v>
      </c>
      <c r="AM780" s="39" t="n">
        <v>75.52</v>
      </c>
    </row>
    <row r="781" customFormat="false" ht="15" hidden="false" customHeight="false" outlineLevel="0" collapsed="false">
      <c r="A781" s="37" t="n">
        <v>373633250</v>
      </c>
      <c r="B781" s="38" t="n">
        <v>46242.9636458333</v>
      </c>
      <c r="C781" s="37" t="s">
        <v>537</v>
      </c>
      <c r="D781" s="37" t="s">
        <v>1095</v>
      </c>
      <c r="E781" s="37" t="n">
        <v>22210030</v>
      </c>
      <c r="F781" s="37" t="s">
        <v>159</v>
      </c>
      <c r="G781" s="37" t="s">
        <v>196</v>
      </c>
      <c r="H781" s="37" t="s">
        <v>186</v>
      </c>
      <c r="I781" s="37" t="n">
        <v>44.5</v>
      </c>
      <c r="J781" s="39" t="n">
        <v>799.99</v>
      </c>
      <c r="K781" s="37" t="s">
        <v>342</v>
      </c>
      <c r="L781" s="39" t="n">
        <v>104.42</v>
      </c>
      <c r="M781" s="39" t="n">
        <v>53.55</v>
      </c>
      <c r="N781" s="39" t="n">
        <f aca="false">J781*Resumo!$C$6</f>
        <v>0</v>
      </c>
      <c r="O781" s="39" t="n">
        <f aca="false">J781*Resumo!$C$7</f>
        <v>1.679979</v>
      </c>
      <c r="P781" s="39" t="n">
        <f aca="false">J781*Resumo!$C$8</f>
        <v>1.679979</v>
      </c>
      <c r="Q781" s="39" t="n">
        <f aca="false">Resumo!$C$10*CEILING(I781/100,1)</f>
        <v>1.05</v>
      </c>
      <c r="R781" s="39" t="n">
        <f aca="false">Resumo!$C$9</f>
        <v>0</v>
      </c>
      <c r="S781" s="39" t="n">
        <f aca="false">Resumo!$C$13</f>
        <v>13.55</v>
      </c>
      <c r="T781" s="39" t="n">
        <f aca="false">Resumo!$C$14*CEILING(I781,1)</f>
        <v>20.25</v>
      </c>
      <c r="U781" s="39" t="n">
        <f aca="false">SUM(M781:T781)*Resumo!$C$11</f>
        <v>0</v>
      </c>
      <c r="V781" s="39" t="n">
        <f aca="false">SUM(M781:U781)</f>
        <v>91.759958</v>
      </c>
      <c r="W781" s="39" t="n">
        <f aca="false">V781/(1-Resumo!$C$5)</f>
        <v>104.272679545455</v>
      </c>
      <c r="X781" s="39" t="n">
        <v>93.97</v>
      </c>
      <c r="Y781" s="39" t="n">
        <f aca="false">J781*Resumo!$B$6</f>
        <v>0.79999</v>
      </c>
      <c r="Z781" s="39" t="n">
        <f aca="false">J781*Resumo!$B$7</f>
        <v>1.59998</v>
      </c>
      <c r="AA781" s="39" t="n">
        <f aca="false">Resumo!$B$9</f>
        <v>1</v>
      </c>
      <c r="AB781" s="39" t="n">
        <f aca="false">Resumo!$B$10*CEILING(I781/100,1)</f>
        <v>4.5</v>
      </c>
      <c r="AC781" s="39" t="n">
        <f aca="false">Resumo!$B$12*CEILING(I781,1)</f>
        <v>2.7</v>
      </c>
      <c r="AD781" s="39" t="n">
        <f aca="false">Resumo!$B$14*CEILING(I781,1)</f>
        <v>20.25</v>
      </c>
      <c r="AE781" s="39" t="n">
        <f aca="false">SUM(X781:AD781)</f>
        <v>124.81997</v>
      </c>
      <c r="AF781" s="39" t="n">
        <f aca="false">AE781/(1-Resumo!$B$5)</f>
        <v>141.840875</v>
      </c>
      <c r="AG781" s="39" t="n">
        <f aca="false">AF781-W781</f>
        <v>37.5681954545454</v>
      </c>
      <c r="AH781" s="40" t="n">
        <f aca="false">AF781/W781-1</f>
        <v>0.360288002747342</v>
      </c>
      <c r="AI781" s="37" t="str">
        <f aca="false">IF(AF781&lt;W781,"SIM","NÃO")</f>
        <v>NÃO</v>
      </c>
      <c r="AJ781" s="37" t="n">
        <v>2</v>
      </c>
      <c r="AK781" s="37" t="n">
        <v>5</v>
      </c>
      <c r="AL781" s="37" t="s">
        <v>343</v>
      </c>
      <c r="AM781" s="39" t="n">
        <v>104.42</v>
      </c>
    </row>
    <row r="782" customFormat="false" ht="15" hidden="false" customHeight="false" outlineLevel="0" collapsed="false">
      <c r="A782" s="37" t="n">
        <v>373625302</v>
      </c>
      <c r="B782" s="38" t="n">
        <v>46242.9721990741</v>
      </c>
      <c r="C782" s="37" t="s">
        <v>372</v>
      </c>
      <c r="D782" s="37" t="s">
        <v>1096</v>
      </c>
      <c r="E782" s="37" t="n">
        <v>25046480</v>
      </c>
      <c r="F782" s="37" t="s">
        <v>161</v>
      </c>
      <c r="G782" s="37" t="s">
        <v>197</v>
      </c>
      <c r="H782" s="37" t="s">
        <v>184</v>
      </c>
      <c r="I782" s="37" t="n">
        <v>35</v>
      </c>
      <c r="J782" s="39" t="n">
        <v>399.99</v>
      </c>
      <c r="K782" s="37" t="s">
        <v>342</v>
      </c>
      <c r="L782" s="39" t="n">
        <v>101.31</v>
      </c>
      <c r="M782" s="39" t="n">
        <v>58.8</v>
      </c>
      <c r="N782" s="39" t="n">
        <f aca="false">J782*Resumo!$C$6</f>
        <v>0</v>
      </c>
      <c r="O782" s="39" t="n">
        <f aca="false">J782*Resumo!$C$7</f>
        <v>0.839979</v>
      </c>
      <c r="P782" s="39" t="n">
        <f aca="false">J782*Resumo!$C$8</f>
        <v>0.839979</v>
      </c>
      <c r="Q782" s="39" t="n">
        <f aca="false">Resumo!$C$10*CEILING(I782/100,1)</f>
        <v>1.05</v>
      </c>
      <c r="R782" s="39" t="n">
        <f aca="false">Resumo!$C$9</f>
        <v>0</v>
      </c>
      <c r="S782" s="39" t="n">
        <f aca="false">Resumo!$C$13</f>
        <v>13.55</v>
      </c>
      <c r="T782" s="39" t="n">
        <f aca="false">Resumo!$C$14*CEILING(I782,1)</f>
        <v>15.75</v>
      </c>
      <c r="U782" s="39" t="n">
        <f aca="false">SUM(M782:T782)*Resumo!$C$11</f>
        <v>0</v>
      </c>
      <c r="V782" s="39" t="n">
        <f aca="false">SUM(M782:U782)</f>
        <v>90.829958</v>
      </c>
      <c r="W782" s="39" t="n">
        <f aca="false">V782/(1-Resumo!$C$5)</f>
        <v>103.215861363636</v>
      </c>
      <c r="X782" s="39" t="n">
        <v>82.21</v>
      </c>
      <c r="Y782" s="39" t="n">
        <f aca="false">J782*Resumo!$B$6</f>
        <v>0.39999</v>
      </c>
      <c r="Z782" s="39" t="n">
        <f aca="false">J782*Resumo!$B$7</f>
        <v>0.79998</v>
      </c>
      <c r="AA782" s="39" t="n">
        <f aca="false">Resumo!$B$9</f>
        <v>1</v>
      </c>
      <c r="AB782" s="39" t="n">
        <f aca="false">Resumo!$B$10*CEILING(I782/100,1)</f>
        <v>4.5</v>
      </c>
      <c r="AC782" s="39" t="n">
        <f aca="false">Resumo!$B$12*CEILING(I782,1)</f>
        <v>2.1</v>
      </c>
      <c r="AD782" s="39" t="n">
        <f aca="false">Resumo!$B$14*CEILING(I782,1)</f>
        <v>15.75</v>
      </c>
      <c r="AE782" s="39" t="n">
        <f aca="false">SUM(X782:AD782)</f>
        <v>106.75997</v>
      </c>
      <c r="AF782" s="39" t="n">
        <f aca="false">AE782/(1-Resumo!$B$5)</f>
        <v>121.318147727273</v>
      </c>
      <c r="AG782" s="39" t="n">
        <f aca="false">AF782-W782</f>
        <v>18.1022863636364</v>
      </c>
      <c r="AH782" s="40" t="n">
        <f aca="false">AF782/W782-1</f>
        <v>0.175382796059423</v>
      </c>
      <c r="AI782" s="37" t="str">
        <f aca="false">IF(AF782&lt;W782,"SIM","NÃO")</f>
        <v>NÃO</v>
      </c>
      <c r="AJ782" s="37" t="n">
        <v>2</v>
      </c>
      <c r="AK782" s="37" t="n">
        <v>5</v>
      </c>
      <c r="AL782" s="37" t="s">
        <v>343</v>
      </c>
      <c r="AM782" s="39" t="n">
        <v>101.3</v>
      </c>
    </row>
    <row r="783" customFormat="false" ht="15" hidden="false" customHeight="false" outlineLevel="0" collapsed="false">
      <c r="A783" s="37" t="n">
        <v>373635039</v>
      </c>
      <c r="B783" s="38" t="n">
        <v>46242.9844212963</v>
      </c>
      <c r="C783" s="37" t="s">
        <v>340</v>
      </c>
      <c r="D783" s="37" t="s">
        <v>1097</v>
      </c>
      <c r="E783" s="37" t="n">
        <v>20770180</v>
      </c>
      <c r="F783" s="37" t="s">
        <v>159</v>
      </c>
      <c r="G783" s="37" t="s">
        <v>196</v>
      </c>
      <c r="H783" s="37" t="s">
        <v>184</v>
      </c>
      <c r="I783" s="37" t="n">
        <v>27.4</v>
      </c>
      <c r="J783" s="39" t="n">
        <v>369.99</v>
      </c>
      <c r="K783" s="37" t="s">
        <v>342</v>
      </c>
      <c r="L783" s="39" t="n">
        <v>82.1</v>
      </c>
      <c r="M783" s="39" t="n">
        <v>42.11</v>
      </c>
      <c r="N783" s="39" t="n">
        <f aca="false">J783*Resumo!$C$6</f>
        <v>0</v>
      </c>
      <c r="O783" s="39" t="n">
        <f aca="false">J783*Resumo!$C$7</f>
        <v>0.776979</v>
      </c>
      <c r="P783" s="39" t="n">
        <f aca="false">J783*Resumo!$C$8</f>
        <v>0.776979</v>
      </c>
      <c r="Q783" s="39" t="n">
        <f aca="false">Resumo!$C$10*CEILING(I783/100,1)</f>
        <v>1.05</v>
      </c>
      <c r="R783" s="39" t="n">
        <f aca="false">Resumo!$C$9</f>
        <v>0</v>
      </c>
      <c r="S783" s="39" t="n">
        <f aca="false">Resumo!$C$13</f>
        <v>13.55</v>
      </c>
      <c r="T783" s="39" t="n">
        <f aca="false">Resumo!$C$14*CEILING(I783,1)</f>
        <v>12.6</v>
      </c>
      <c r="U783" s="39" t="n">
        <f aca="false">SUM(M783:T783)*Resumo!$C$11</f>
        <v>0</v>
      </c>
      <c r="V783" s="39" t="n">
        <f aca="false">SUM(M783:U783)</f>
        <v>70.863958</v>
      </c>
      <c r="W783" s="39" t="n">
        <f aca="false">V783/(1-Resumo!$C$5)</f>
        <v>80.527225</v>
      </c>
      <c r="X783" s="39" t="n">
        <v>82.21</v>
      </c>
      <c r="Y783" s="39" t="n">
        <f aca="false">J783*Resumo!$B$6</f>
        <v>0.36999</v>
      </c>
      <c r="Z783" s="39" t="n">
        <f aca="false">J783*Resumo!$B$7</f>
        <v>0.73998</v>
      </c>
      <c r="AA783" s="39" t="n">
        <f aca="false">Resumo!$B$9</f>
        <v>1</v>
      </c>
      <c r="AB783" s="39" t="n">
        <f aca="false">Resumo!$B$10*CEILING(I783/100,1)</f>
        <v>4.5</v>
      </c>
      <c r="AC783" s="39" t="n">
        <f aca="false">Resumo!$B$12*CEILING(I783,1)</f>
        <v>1.68</v>
      </c>
      <c r="AD783" s="39" t="n">
        <f aca="false">Resumo!$B$14*CEILING(I783,1)</f>
        <v>12.6</v>
      </c>
      <c r="AE783" s="39" t="n">
        <f aca="false">SUM(X783:AD783)</f>
        <v>103.09997</v>
      </c>
      <c r="AF783" s="39" t="n">
        <f aca="false">AE783/(1-Resumo!$B$5)</f>
        <v>117.159056818182</v>
      </c>
      <c r="AG783" s="39" t="n">
        <f aca="false">AF783-W783</f>
        <v>36.6318318181818</v>
      </c>
      <c r="AH783" s="40" t="n">
        <f aca="false">AF783/W783-1</f>
        <v>0.454899964802982</v>
      </c>
      <c r="AI783" s="37" t="str">
        <f aca="false">IF(AF783&lt;W783,"SIM","NÃO")</f>
        <v>NÃO</v>
      </c>
      <c r="AJ783" s="37" t="n">
        <v>2</v>
      </c>
      <c r="AK783" s="37" t="n">
        <v>5</v>
      </c>
      <c r="AL783" s="37" t="s">
        <v>343</v>
      </c>
      <c r="AM783" s="39" t="n">
        <v>82.1</v>
      </c>
    </row>
    <row r="784" customFormat="false" ht="15" hidden="false" customHeight="false" outlineLevel="0" collapsed="false">
      <c r="A784" s="37" t="n">
        <v>373635152</v>
      </c>
      <c r="B784" s="38" t="n">
        <v>46242.9846527778</v>
      </c>
      <c r="C784" s="37" t="s">
        <v>340</v>
      </c>
      <c r="D784" s="37" t="s">
        <v>1098</v>
      </c>
      <c r="E784" s="37" t="n">
        <v>24753532</v>
      </c>
      <c r="F784" s="37" t="s">
        <v>160</v>
      </c>
      <c r="G784" s="37" t="s">
        <v>197</v>
      </c>
      <c r="H784" s="37" t="s">
        <v>186</v>
      </c>
      <c r="I784" s="37" t="n">
        <v>46.8</v>
      </c>
      <c r="J784" s="39" t="n">
        <v>515.99</v>
      </c>
      <c r="K784" s="37" t="s">
        <v>518</v>
      </c>
      <c r="L784" s="39" t="n">
        <v>117.35</v>
      </c>
      <c r="M784" s="39" t="n">
        <v>65.36</v>
      </c>
      <c r="N784" s="39" t="n">
        <f aca="false">J784*Resumo!$C$6</f>
        <v>0</v>
      </c>
      <c r="O784" s="39" t="n">
        <f aca="false">J784*Resumo!$C$7</f>
        <v>1.083579</v>
      </c>
      <c r="P784" s="39" t="n">
        <f aca="false">J784*Resumo!$C$8</f>
        <v>1.083579</v>
      </c>
      <c r="Q784" s="39" t="n">
        <f aca="false">Resumo!$C$10*CEILING(I784/100,1)</f>
        <v>1.05</v>
      </c>
      <c r="R784" s="39" t="n">
        <f aca="false">Resumo!$C$9</f>
        <v>0</v>
      </c>
      <c r="S784" s="39" t="n">
        <f aca="false">Resumo!$C$13</f>
        <v>13.55</v>
      </c>
      <c r="T784" s="39" t="n">
        <f aca="false">Resumo!$C$14*CEILING(I784,1)</f>
        <v>21.15</v>
      </c>
      <c r="U784" s="39" t="n">
        <f aca="false">SUM(M784:T784)*Resumo!$C$11</f>
        <v>0</v>
      </c>
      <c r="V784" s="39" t="n">
        <f aca="false">SUM(M784:U784)</f>
        <v>103.277158</v>
      </c>
      <c r="W784" s="39" t="n">
        <f aca="false">V784/(1-Resumo!$C$5)</f>
        <v>117.360406818182</v>
      </c>
      <c r="X784" s="39" t="n">
        <v>114.95</v>
      </c>
      <c r="Y784" s="39" t="n">
        <f aca="false">J784*Resumo!$B$6</f>
        <v>0.51599</v>
      </c>
      <c r="Z784" s="39" t="n">
        <f aca="false">J784*Resumo!$B$7</f>
        <v>1.03198</v>
      </c>
      <c r="AA784" s="39" t="n">
        <f aca="false">Resumo!$B$9</f>
        <v>1</v>
      </c>
      <c r="AB784" s="39" t="n">
        <f aca="false">Resumo!$B$10*CEILING(I784/100,1)</f>
        <v>4.5</v>
      </c>
      <c r="AC784" s="39" t="n">
        <f aca="false">Resumo!$B$12*CEILING(I784,1)</f>
        <v>2.82</v>
      </c>
      <c r="AD784" s="39" t="n">
        <f aca="false">Resumo!$B$14*CEILING(I784,1)</f>
        <v>21.15</v>
      </c>
      <c r="AE784" s="39" t="n">
        <f aca="false">SUM(X784:AD784)</f>
        <v>145.96797</v>
      </c>
      <c r="AF784" s="39" t="n">
        <f aca="false">AE784/(1-Resumo!$B$5)</f>
        <v>165.872693181818</v>
      </c>
      <c r="AG784" s="39" t="n">
        <f aca="false">AF784-W784</f>
        <v>48.5122863636364</v>
      </c>
      <c r="AH784" s="40" t="n">
        <f aca="false">AF784/W784-1</f>
        <v>0.413361607026406</v>
      </c>
      <c r="AI784" s="37" t="str">
        <f aca="false">IF(AF784&lt;W784,"SIM","NÃO")</f>
        <v>NÃO</v>
      </c>
      <c r="AJ784" s="37" t="n">
        <v>2</v>
      </c>
      <c r="AK784" s="37" t="n">
        <v>7</v>
      </c>
      <c r="AL784" s="37" t="s">
        <v>343</v>
      </c>
      <c r="AM784" s="39" t="n">
        <v>116.55</v>
      </c>
    </row>
    <row r="785" customFormat="false" ht="15" hidden="false" customHeight="false" outlineLevel="0" collapsed="false">
      <c r="A785" s="37" t="n">
        <v>373637238</v>
      </c>
      <c r="B785" s="38" t="n">
        <v>46242.989224537</v>
      </c>
      <c r="C785" s="37" t="s">
        <v>340</v>
      </c>
      <c r="D785" s="37" t="s">
        <v>1099</v>
      </c>
      <c r="E785" s="37" t="n">
        <v>23595020</v>
      </c>
      <c r="F785" s="37" t="s">
        <v>159</v>
      </c>
      <c r="G785" s="37" t="s">
        <v>196</v>
      </c>
      <c r="H785" s="37" t="s">
        <v>187</v>
      </c>
      <c r="I785" s="37" t="n">
        <v>56.7</v>
      </c>
      <c r="J785" s="39" t="n">
        <v>799.99</v>
      </c>
      <c r="K785" s="37" t="s">
        <v>518</v>
      </c>
      <c r="L785" s="39" t="n">
        <v>116.15</v>
      </c>
      <c r="M785" s="39" t="n">
        <v>58.6</v>
      </c>
      <c r="N785" s="39" t="n">
        <f aca="false">J785*Resumo!$C$6</f>
        <v>0</v>
      </c>
      <c r="O785" s="39" t="n">
        <f aca="false">J785*Resumo!$C$7</f>
        <v>1.679979</v>
      </c>
      <c r="P785" s="39" t="n">
        <f aca="false">J785*Resumo!$C$8</f>
        <v>1.679979</v>
      </c>
      <c r="Q785" s="39" t="n">
        <f aca="false">Resumo!$C$10*CEILING(I785/100,1)</f>
        <v>1.05</v>
      </c>
      <c r="R785" s="39" t="n">
        <f aca="false">Resumo!$C$9</f>
        <v>0</v>
      </c>
      <c r="S785" s="39" t="n">
        <f aca="false">Resumo!$C$13</f>
        <v>13.55</v>
      </c>
      <c r="T785" s="39" t="n">
        <f aca="false">Resumo!$C$14*CEILING(I785,1)</f>
        <v>25.65</v>
      </c>
      <c r="U785" s="39" t="n">
        <f aca="false">SUM(M785:T785)*Resumo!$C$11</f>
        <v>0</v>
      </c>
      <c r="V785" s="39" t="n">
        <f aca="false">SUM(M785:U785)</f>
        <v>102.209958</v>
      </c>
      <c r="W785" s="39" t="n">
        <f aca="false">V785/(1-Resumo!$C$5)</f>
        <v>116.147679545455</v>
      </c>
      <c r="X785" s="39" t="n">
        <v>112.3</v>
      </c>
      <c r="Y785" s="39" t="n">
        <f aca="false">J785*Resumo!$B$6</f>
        <v>0.79999</v>
      </c>
      <c r="Z785" s="39" t="n">
        <f aca="false">J785*Resumo!$B$7</f>
        <v>1.59998</v>
      </c>
      <c r="AA785" s="39" t="n">
        <f aca="false">Resumo!$B$9</f>
        <v>1</v>
      </c>
      <c r="AB785" s="39" t="n">
        <f aca="false">Resumo!$B$10*CEILING(I785/100,1)</f>
        <v>4.5</v>
      </c>
      <c r="AC785" s="39" t="n">
        <f aca="false">Resumo!$B$12*CEILING(I785,1)</f>
        <v>3.42</v>
      </c>
      <c r="AD785" s="39" t="n">
        <f aca="false">Resumo!$B$14*CEILING(I785,1)</f>
        <v>25.65</v>
      </c>
      <c r="AE785" s="39" t="n">
        <f aca="false">SUM(X785:AD785)</f>
        <v>149.26997</v>
      </c>
      <c r="AF785" s="39" t="n">
        <f aca="false">AE785/(1-Resumo!$B$5)</f>
        <v>169.624965909091</v>
      </c>
      <c r="AG785" s="39" t="n">
        <f aca="false">AF785-W785</f>
        <v>53.4772863636364</v>
      </c>
      <c r="AH785" s="40" t="n">
        <f aca="false">AF785/W785-1</f>
        <v>0.460424922589245</v>
      </c>
      <c r="AI785" s="37" t="str">
        <f aca="false">IF(AF785&lt;W785,"SIM","NÃO")</f>
        <v>NÃO</v>
      </c>
      <c r="AJ785" s="37" t="n">
        <v>2</v>
      </c>
      <c r="AK785" s="37" t="n">
        <v>5</v>
      </c>
      <c r="AL785" s="37" t="s">
        <v>343</v>
      </c>
      <c r="AM785" s="39" t="n">
        <v>114.98</v>
      </c>
    </row>
    <row r="786" customFormat="false" ht="15" hidden="false" customHeight="false" outlineLevel="0" collapsed="false">
      <c r="A786" s="37" t="n">
        <v>373638278</v>
      </c>
      <c r="B786" s="38" t="n">
        <v>46242.9914467593</v>
      </c>
      <c r="C786" s="37" t="s">
        <v>340</v>
      </c>
      <c r="D786" s="37" t="s">
        <v>726</v>
      </c>
      <c r="E786" s="37" t="n">
        <v>22753005</v>
      </c>
      <c r="F786" s="37" t="s">
        <v>159</v>
      </c>
      <c r="G786" s="37" t="s">
        <v>196</v>
      </c>
      <c r="H786" s="37" t="s">
        <v>187</v>
      </c>
      <c r="I786" s="37" t="n">
        <v>56.7</v>
      </c>
      <c r="J786" s="39" t="n">
        <v>690.99</v>
      </c>
      <c r="K786" s="37" t="s">
        <v>342</v>
      </c>
      <c r="L786" s="39" t="n">
        <v>114.45</v>
      </c>
      <c r="M786" s="39" t="n">
        <v>58.6</v>
      </c>
      <c r="N786" s="39" t="n">
        <f aca="false">J786*Resumo!$C$6</f>
        <v>0</v>
      </c>
      <c r="O786" s="39" t="n">
        <f aca="false">J786*Resumo!$C$7</f>
        <v>1.451079</v>
      </c>
      <c r="P786" s="39" t="n">
        <f aca="false">J786*Resumo!$C$8</f>
        <v>1.451079</v>
      </c>
      <c r="Q786" s="39" t="n">
        <f aca="false">Resumo!$C$10*CEILING(I786/100,1)</f>
        <v>1.05</v>
      </c>
      <c r="R786" s="39" t="n">
        <f aca="false">Resumo!$C$9</f>
        <v>0</v>
      </c>
      <c r="S786" s="39" t="n">
        <f aca="false">Resumo!$C$13</f>
        <v>13.55</v>
      </c>
      <c r="T786" s="39" t="n">
        <f aca="false">Resumo!$C$14*CEILING(I786,1)</f>
        <v>25.65</v>
      </c>
      <c r="U786" s="39" t="n">
        <f aca="false">SUM(M786:T786)*Resumo!$C$11</f>
        <v>0</v>
      </c>
      <c r="V786" s="39" t="n">
        <f aca="false">SUM(M786:U786)</f>
        <v>101.752158</v>
      </c>
      <c r="W786" s="39" t="n">
        <f aca="false">V786/(1-Resumo!$C$5)</f>
        <v>115.627452272727</v>
      </c>
      <c r="X786" s="39" t="n">
        <v>112.3</v>
      </c>
      <c r="Y786" s="39" t="n">
        <f aca="false">J786*Resumo!$B$6</f>
        <v>0.69099</v>
      </c>
      <c r="Z786" s="39" t="n">
        <f aca="false">J786*Resumo!$B$7</f>
        <v>1.38198</v>
      </c>
      <c r="AA786" s="39" t="n">
        <f aca="false">Resumo!$B$9</f>
        <v>1</v>
      </c>
      <c r="AB786" s="39" t="n">
        <f aca="false">Resumo!$B$10*CEILING(I786/100,1)</f>
        <v>4.5</v>
      </c>
      <c r="AC786" s="39" t="n">
        <f aca="false">Resumo!$B$12*CEILING(I786,1)</f>
        <v>3.42</v>
      </c>
      <c r="AD786" s="39" t="n">
        <f aca="false">Resumo!$B$14*CEILING(I786,1)</f>
        <v>25.65</v>
      </c>
      <c r="AE786" s="39" t="n">
        <f aca="false">SUM(X786:AD786)</f>
        <v>148.94297</v>
      </c>
      <c r="AF786" s="39" t="n">
        <f aca="false">AE786/(1-Resumo!$B$5)</f>
        <v>169.253375</v>
      </c>
      <c r="AG786" s="39" t="n">
        <f aca="false">AF786-W786</f>
        <v>53.6259227272727</v>
      </c>
      <c r="AH786" s="40" t="n">
        <f aca="false">AF786/W786-1</f>
        <v>0.463781927848646</v>
      </c>
      <c r="AI786" s="37" t="str">
        <f aca="false">IF(AF786&lt;W786,"SIM","NÃO")</f>
        <v>NÃO</v>
      </c>
      <c r="AJ786" s="37" t="n">
        <v>2</v>
      </c>
      <c r="AK786" s="37" t="n">
        <v>5</v>
      </c>
      <c r="AL786" s="37" t="s">
        <v>343</v>
      </c>
      <c r="AM786" s="39" t="n">
        <v>114.46</v>
      </c>
    </row>
    <row r="787" customFormat="false" ht="15" hidden="false" customHeight="false" outlineLevel="0" collapsed="false">
      <c r="A787" s="37" t="n">
        <v>373638601</v>
      </c>
      <c r="B787" s="38" t="n">
        <v>46242.9921064815</v>
      </c>
      <c r="C787" s="37" t="s">
        <v>345</v>
      </c>
      <c r="D787" s="37" t="s">
        <v>1100</v>
      </c>
      <c r="E787" s="37" t="n">
        <v>20740370</v>
      </c>
      <c r="F787" s="37" t="s">
        <v>159</v>
      </c>
      <c r="G787" s="37" t="s">
        <v>196</v>
      </c>
      <c r="H787" s="37" t="s">
        <v>184</v>
      </c>
      <c r="I787" s="37" t="n">
        <v>31.9</v>
      </c>
      <c r="J787" s="39" t="n">
        <v>466.39</v>
      </c>
      <c r="K787" s="37" t="s">
        <v>342</v>
      </c>
      <c r="L787" s="39" t="n">
        <v>82.56</v>
      </c>
      <c r="M787" s="39" t="n">
        <v>42.11</v>
      </c>
      <c r="N787" s="39" t="n">
        <f aca="false">J787*Resumo!$C$6</f>
        <v>0</v>
      </c>
      <c r="O787" s="39" t="n">
        <f aca="false">J787*Resumo!$C$7</f>
        <v>0.979419</v>
      </c>
      <c r="P787" s="39" t="n">
        <f aca="false">J787*Resumo!$C$8</f>
        <v>0.979419</v>
      </c>
      <c r="Q787" s="39" t="n">
        <f aca="false">Resumo!$C$10*CEILING(I787/100,1)</f>
        <v>1.05</v>
      </c>
      <c r="R787" s="39" t="n">
        <f aca="false">Resumo!$C$9</f>
        <v>0</v>
      </c>
      <c r="S787" s="39" t="n">
        <f aca="false">Resumo!$C$13</f>
        <v>13.55</v>
      </c>
      <c r="T787" s="39" t="n">
        <f aca="false">Resumo!$C$14*CEILING(I787,1)</f>
        <v>14.4</v>
      </c>
      <c r="U787" s="39" t="n">
        <f aca="false">SUM(M787:T787)*Resumo!$C$11</f>
        <v>0</v>
      </c>
      <c r="V787" s="39" t="n">
        <f aca="false">SUM(M787:U787)</f>
        <v>73.068838</v>
      </c>
      <c r="W787" s="39" t="n">
        <f aca="false">V787/(1-Resumo!$C$5)</f>
        <v>83.0327704545455</v>
      </c>
      <c r="X787" s="39" t="n">
        <v>82.21</v>
      </c>
      <c r="Y787" s="39" t="n">
        <f aca="false">J787*Resumo!$B$6</f>
        <v>0.46639</v>
      </c>
      <c r="Z787" s="39" t="n">
        <f aca="false">J787*Resumo!$B$7</f>
        <v>0.93278</v>
      </c>
      <c r="AA787" s="39" t="n">
        <f aca="false">Resumo!$B$9</f>
        <v>1</v>
      </c>
      <c r="AB787" s="39" t="n">
        <f aca="false">Resumo!$B$10*CEILING(I787/100,1)</f>
        <v>4.5</v>
      </c>
      <c r="AC787" s="39" t="n">
        <f aca="false">Resumo!$B$12*CEILING(I787,1)</f>
        <v>1.92</v>
      </c>
      <c r="AD787" s="39" t="n">
        <f aca="false">Resumo!$B$14*CEILING(I787,1)</f>
        <v>14.4</v>
      </c>
      <c r="AE787" s="39" t="n">
        <f aca="false">SUM(X787:AD787)</f>
        <v>105.42917</v>
      </c>
      <c r="AF787" s="39" t="n">
        <f aca="false">AE787/(1-Resumo!$B$5)</f>
        <v>119.805875</v>
      </c>
      <c r="AG787" s="39" t="n">
        <f aca="false">AF787-W787</f>
        <v>36.7731045454545</v>
      </c>
      <c r="AH787" s="40" t="n">
        <f aca="false">AF787/W787-1</f>
        <v>0.442874594502242</v>
      </c>
      <c r="AI787" s="37" t="str">
        <f aca="false">IF(AF787&lt;W787,"SIM","NÃO")</f>
        <v>NÃO</v>
      </c>
      <c r="AJ787" s="37" t="n">
        <v>2</v>
      </c>
      <c r="AK787" s="37" t="n">
        <v>5</v>
      </c>
      <c r="AL787" s="37" t="s">
        <v>343</v>
      </c>
      <c r="AM787" s="39" t="n">
        <v>82.56</v>
      </c>
    </row>
    <row r="788" customFormat="false" ht="15" hidden="false" customHeight="false" outlineLevel="0" collapsed="false">
      <c r="A788" s="37" t="n">
        <v>373652400</v>
      </c>
      <c r="B788" s="38" t="n">
        <v>46243.0326736111</v>
      </c>
      <c r="C788" s="37" t="s">
        <v>340</v>
      </c>
      <c r="D788" s="37" t="s">
        <v>1101</v>
      </c>
      <c r="E788" s="37" t="n">
        <v>24914420</v>
      </c>
      <c r="F788" s="37" t="s">
        <v>171</v>
      </c>
      <c r="G788" s="37" t="s">
        <v>198</v>
      </c>
      <c r="H788" s="37" t="s">
        <v>187</v>
      </c>
      <c r="I788" s="37" t="n">
        <v>52.3</v>
      </c>
      <c r="J788" s="39" t="n">
        <v>616.99</v>
      </c>
      <c r="K788" s="37" t="s">
        <v>518</v>
      </c>
      <c r="L788" s="39" t="n">
        <v>141.63</v>
      </c>
      <c r="M788" s="39" t="n">
        <v>83.58</v>
      </c>
      <c r="N788" s="39" t="n">
        <f aca="false">J788*Resumo!$C$6</f>
        <v>0</v>
      </c>
      <c r="O788" s="39" t="n">
        <f aca="false">J788*Resumo!$C$7</f>
        <v>1.295679</v>
      </c>
      <c r="P788" s="39" t="n">
        <f aca="false">J788*Resumo!$C$8</f>
        <v>1.295679</v>
      </c>
      <c r="Q788" s="39" t="n">
        <f aca="false">Resumo!$C$10*CEILING(I788/100,1)</f>
        <v>1.05</v>
      </c>
      <c r="R788" s="39" t="n">
        <f aca="false">Resumo!$C$9</f>
        <v>0</v>
      </c>
      <c r="S788" s="39" t="n">
        <f aca="false">Resumo!$C$13</f>
        <v>13.55</v>
      </c>
      <c r="T788" s="39" t="n">
        <f aca="false">Resumo!$C$14*CEILING(I788,1)</f>
        <v>23.85</v>
      </c>
      <c r="U788" s="39" t="n">
        <f aca="false">SUM(M788:T788)*Resumo!$C$11</f>
        <v>0</v>
      </c>
      <c r="V788" s="39" t="n">
        <f aca="false">SUM(M788:U788)</f>
        <v>124.621358</v>
      </c>
      <c r="W788" s="39" t="n">
        <f aca="false">V788/(1-Resumo!$C$5)</f>
        <v>141.615179545455</v>
      </c>
      <c r="X788" s="39" t="n">
        <v>128.14</v>
      </c>
      <c r="Y788" s="39" t="n">
        <f aca="false">J788*Resumo!$B$6</f>
        <v>0.61699</v>
      </c>
      <c r="Z788" s="39" t="n">
        <f aca="false">J788*Resumo!$B$7</f>
        <v>1.23398</v>
      </c>
      <c r="AA788" s="39" t="n">
        <f aca="false">Resumo!$B$9</f>
        <v>1</v>
      </c>
      <c r="AB788" s="39" t="n">
        <f aca="false">Resumo!$B$10*CEILING(I788/100,1)</f>
        <v>4.5</v>
      </c>
      <c r="AC788" s="39" t="n">
        <f aca="false">Resumo!$B$12*CEILING(I788,1)</f>
        <v>3.18</v>
      </c>
      <c r="AD788" s="39" t="n">
        <f aca="false">Resumo!$B$14*CEILING(I788,1)</f>
        <v>23.85</v>
      </c>
      <c r="AE788" s="39" t="n">
        <f aca="false">SUM(X788:AD788)</f>
        <v>162.52097</v>
      </c>
      <c r="AF788" s="39" t="n">
        <f aca="false">AE788/(1-Resumo!$B$5)</f>
        <v>184.682920454545</v>
      </c>
      <c r="AG788" s="39" t="n">
        <f aca="false">AF788-W788</f>
        <v>43.0677409090909</v>
      </c>
      <c r="AH788" s="40" t="n">
        <f aca="false">AF788/W788-1</f>
        <v>0.304118111118642</v>
      </c>
      <c r="AI788" s="37" t="str">
        <f aca="false">IF(AF788&lt;W788,"SIM","NÃO")</f>
        <v>NÃO</v>
      </c>
      <c r="AJ788" s="37" t="n">
        <v>13</v>
      </c>
      <c r="AK788" s="37" t="n">
        <v>7</v>
      </c>
      <c r="AL788" s="37" t="s">
        <v>343</v>
      </c>
      <c r="AM788" s="39" t="n">
        <v>142.63</v>
      </c>
    </row>
    <row r="789" customFormat="false" ht="15" hidden="false" customHeight="false" outlineLevel="0" collapsed="false">
      <c r="A789" s="37" t="n">
        <v>373664595</v>
      </c>
      <c r="B789" s="38" t="n">
        <v>46243.0793634259</v>
      </c>
      <c r="C789" s="37" t="s">
        <v>340</v>
      </c>
      <c r="D789" s="37" t="s">
        <v>1102</v>
      </c>
      <c r="E789" s="37" t="n">
        <v>22041011</v>
      </c>
      <c r="F789" s="37" t="s">
        <v>159</v>
      </c>
      <c r="G789" s="37" t="s">
        <v>196</v>
      </c>
      <c r="H789" s="37" t="s">
        <v>187</v>
      </c>
      <c r="I789" s="37" t="n">
        <v>52.3</v>
      </c>
      <c r="J789" s="39" t="n">
        <v>685.88</v>
      </c>
      <c r="K789" s="37" t="s">
        <v>342</v>
      </c>
      <c r="L789" s="39" t="n">
        <v>114.43</v>
      </c>
      <c r="M789" s="39" t="n">
        <v>58.6</v>
      </c>
      <c r="N789" s="39" t="n">
        <f aca="false">J789*Resumo!$C$6</f>
        <v>0</v>
      </c>
      <c r="O789" s="39" t="n">
        <f aca="false">J789*Resumo!$C$7</f>
        <v>1.440348</v>
      </c>
      <c r="P789" s="39" t="n">
        <f aca="false">J789*Resumo!$C$8</f>
        <v>1.440348</v>
      </c>
      <c r="Q789" s="39" t="n">
        <f aca="false">Resumo!$C$10*CEILING(I789/100,1)</f>
        <v>1.05</v>
      </c>
      <c r="R789" s="39" t="n">
        <f aca="false">Resumo!$C$9</f>
        <v>0</v>
      </c>
      <c r="S789" s="39" t="n">
        <f aca="false">Resumo!$C$13</f>
        <v>13.55</v>
      </c>
      <c r="T789" s="39" t="n">
        <f aca="false">Resumo!$C$14*CEILING(I789,1)</f>
        <v>23.85</v>
      </c>
      <c r="U789" s="39" t="n">
        <f aca="false">SUM(M789:T789)*Resumo!$C$11</f>
        <v>0</v>
      </c>
      <c r="V789" s="39" t="n">
        <f aca="false">SUM(M789:U789)</f>
        <v>99.930696</v>
      </c>
      <c r="W789" s="39" t="n">
        <f aca="false">V789/(1-Resumo!$C$5)</f>
        <v>113.557609090909</v>
      </c>
      <c r="X789" s="39" t="n">
        <v>112.3</v>
      </c>
      <c r="Y789" s="39" t="n">
        <f aca="false">J789*Resumo!$B$6</f>
        <v>0.68588</v>
      </c>
      <c r="Z789" s="39" t="n">
        <f aca="false">J789*Resumo!$B$7</f>
        <v>1.37176</v>
      </c>
      <c r="AA789" s="39" t="n">
        <f aca="false">Resumo!$B$9</f>
        <v>1</v>
      </c>
      <c r="AB789" s="39" t="n">
        <f aca="false">Resumo!$B$10*CEILING(I789/100,1)</f>
        <v>4.5</v>
      </c>
      <c r="AC789" s="39" t="n">
        <f aca="false">Resumo!$B$12*CEILING(I789,1)</f>
        <v>3.18</v>
      </c>
      <c r="AD789" s="39" t="n">
        <f aca="false">Resumo!$B$14*CEILING(I789,1)</f>
        <v>23.85</v>
      </c>
      <c r="AE789" s="39" t="n">
        <f aca="false">SUM(X789:AD789)</f>
        <v>146.88764</v>
      </c>
      <c r="AF789" s="39" t="n">
        <f aca="false">AE789/(1-Resumo!$B$5)</f>
        <v>166.917772727273</v>
      </c>
      <c r="AG789" s="39" t="n">
        <f aca="false">AF789-W789</f>
        <v>53.3601636363636</v>
      </c>
      <c r="AH789" s="40" t="n">
        <f aca="false">AF789/W789-1</f>
        <v>0.469895096097399</v>
      </c>
      <c r="AI789" s="37" t="str">
        <f aca="false">IF(AF789&lt;W789,"SIM","NÃO")</f>
        <v>NÃO</v>
      </c>
      <c r="AJ789" s="37" t="n">
        <v>2</v>
      </c>
      <c r="AK789" s="37" t="n">
        <v>5</v>
      </c>
      <c r="AL789" s="37" t="s">
        <v>343</v>
      </c>
      <c r="AM789" s="39" t="n">
        <v>114.44</v>
      </c>
    </row>
    <row r="790" customFormat="false" ht="15" hidden="false" customHeight="false" outlineLevel="0" collapsed="false">
      <c r="A790" s="37" t="n">
        <v>373709040</v>
      </c>
      <c r="B790" s="38" t="n">
        <v>46243.3046296296</v>
      </c>
      <c r="C790" s="37" t="s">
        <v>340</v>
      </c>
      <c r="D790" s="37" t="s">
        <v>1103</v>
      </c>
      <c r="E790" s="37" t="n">
        <v>20540106</v>
      </c>
      <c r="F790" s="37" t="s">
        <v>159</v>
      </c>
      <c r="G790" s="37" t="s">
        <v>196</v>
      </c>
      <c r="H790" s="37" t="s">
        <v>187</v>
      </c>
      <c r="I790" s="37" t="n">
        <v>56.7</v>
      </c>
      <c r="J790" s="39" t="n">
        <v>690.99</v>
      </c>
      <c r="K790" s="37" t="s">
        <v>342</v>
      </c>
      <c r="L790" s="39" t="n">
        <v>114.45</v>
      </c>
      <c r="M790" s="39" t="n">
        <v>58.6</v>
      </c>
      <c r="N790" s="39" t="n">
        <f aca="false">J790*Resumo!$C$6</f>
        <v>0</v>
      </c>
      <c r="O790" s="39" t="n">
        <f aca="false">J790*Resumo!$C$7</f>
        <v>1.451079</v>
      </c>
      <c r="P790" s="39" t="n">
        <f aca="false">J790*Resumo!$C$8</f>
        <v>1.451079</v>
      </c>
      <c r="Q790" s="39" t="n">
        <f aca="false">Resumo!$C$10*CEILING(I790/100,1)</f>
        <v>1.05</v>
      </c>
      <c r="R790" s="39" t="n">
        <f aca="false">Resumo!$C$9</f>
        <v>0</v>
      </c>
      <c r="S790" s="39" t="n">
        <f aca="false">Resumo!$C$13</f>
        <v>13.55</v>
      </c>
      <c r="T790" s="39" t="n">
        <f aca="false">Resumo!$C$14*CEILING(I790,1)</f>
        <v>25.65</v>
      </c>
      <c r="U790" s="39" t="n">
        <f aca="false">SUM(M790:T790)*Resumo!$C$11</f>
        <v>0</v>
      </c>
      <c r="V790" s="39" t="n">
        <f aca="false">SUM(M790:U790)</f>
        <v>101.752158</v>
      </c>
      <c r="W790" s="39" t="n">
        <f aca="false">V790/(1-Resumo!$C$5)</f>
        <v>115.627452272727</v>
      </c>
      <c r="X790" s="39" t="n">
        <v>112.3</v>
      </c>
      <c r="Y790" s="39" t="n">
        <f aca="false">J790*Resumo!$B$6</f>
        <v>0.69099</v>
      </c>
      <c r="Z790" s="39" t="n">
        <f aca="false">J790*Resumo!$B$7</f>
        <v>1.38198</v>
      </c>
      <c r="AA790" s="39" t="n">
        <f aca="false">Resumo!$B$9</f>
        <v>1</v>
      </c>
      <c r="AB790" s="39" t="n">
        <f aca="false">Resumo!$B$10*CEILING(I790/100,1)</f>
        <v>4.5</v>
      </c>
      <c r="AC790" s="39" t="n">
        <f aca="false">Resumo!$B$12*CEILING(I790,1)</f>
        <v>3.42</v>
      </c>
      <c r="AD790" s="39" t="n">
        <f aca="false">Resumo!$B$14*CEILING(I790,1)</f>
        <v>25.65</v>
      </c>
      <c r="AE790" s="39" t="n">
        <f aca="false">SUM(X790:AD790)</f>
        <v>148.94297</v>
      </c>
      <c r="AF790" s="39" t="n">
        <f aca="false">AE790/(1-Resumo!$B$5)</f>
        <v>169.253375</v>
      </c>
      <c r="AG790" s="39" t="n">
        <f aca="false">AF790-W790</f>
        <v>53.6259227272727</v>
      </c>
      <c r="AH790" s="40" t="n">
        <f aca="false">AF790/W790-1</f>
        <v>0.463781927848646</v>
      </c>
      <c r="AI790" s="37" t="str">
        <f aca="false">IF(AF790&lt;W790,"SIM","NÃO")</f>
        <v>NÃO</v>
      </c>
      <c r="AJ790" s="37" t="n">
        <v>2</v>
      </c>
      <c r="AK790" s="37" t="n">
        <v>5</v>
      </c>
      <c r="AL790" s="37" t="s">
        <v>343</v>
      </c>
      <c r="AM790" s="39" t="n">
        <v>114.46</v>
      </c>
    </row>
    <row r="791" customFormat="false" ht="15" hidden="false" customHeight="false" outlineLevel="0" collapsed="false">
      <c r="A791" s="37" t="n">
        <v>373709104</v>
      </c>
      <c r="B791" s="38" t="n">
        <v>46243.3053009259</v>
      </c>
      <c r="C791" s="37" t="s">
        <v>340</v>
      </c>
      <c r="D791" s="37" t="s">
        <v>1104</v>
      </c>
      <c r="E791" s="37" t="n">
        <v>21042001</v>
      </c>
      <c r="F791" s="37" t="s">
        <v>159</v>
      </c>
      <c r="G791" s="37" t="s">
        <v>196</v>
      </c>
      <c r="H791" s="37" t="s">
        <v>185</v>
      </c>
      <c r="I791" s="37" t="n">
        <v>37.2</v>
      </c>
      <c r="J791" s="39" t="n">
        <v>419.99</v>
      </c>
      <c r="K791" s="37" t="s">
        <v>342</v>
      </c>
      <c r="L791" s="39" t="n">
        <v>91.86</v>
      </c>
      <c r="M791" s="39" t="n">
        <v>48.35</v>
      </c>
      <c r="N791" s="39" t="n">
        <f aca="false">J791*Resumo!$C$6</f>
        <v>0</v>
      </c>
      <c r="O791" s="39" t="n">
        <f aca="false">J791*Resumo!$C$7</f>
        <v>0.881979</v>
      </c>
      <c r="P791" s="39" t="n">
        <f aca="false">J791*Resumo!$C$8</f>
        <v>0.881979</v>
      </c>
      <c r="Q791" s="39" t="n">
        <f aca="false">Resumo!$C$10*CEILING(I791/100,1)</f>
        <v>1.05</v>
      </c>
      <c r="R791" s="39" t="n">
        <f aca="false">Resumo!$C$9</f>
        <v>0</v>
      </c>
      <c r="S791" s="39" t="n">
        <f aca="false">Resumo!$C$13</f>
        <v>13.55</v>
      </c>
      <c r="T791" s="39" t="n">
        <f aca="false">Resumo!$C$14*CEILING(I791,1)</f>
        <v>17.1</v>
      </c>
      <c r="U791" s="39" t="n">
        <f aca="false">SUM(M791:T791)*Resumo!$C$11</f>
        <v>0</v>
      </c>
      <c r="V791" s="39" t="n">
        <f aca="false">SUM(M791:U791)</f>
        <v>81.813958</v>
      </c>
      <c r="W791" s="39" t="n">
        <f aca="false">V791/(1-Resumo!$C$5)</f>
        <v>92.9704068181818</v>
      </c>
      <c r="X791" s="39" t="n">
        <v>93.97</v>
      </c>
      <c r="Y791" s="39" t="n">
        <f aca="false">J791*Resumo!$B$6</f>
        <v>0.41999</v>
      </c>
      <c r="Z791" s="39" t="n">
        <f aca="false">J791*Resumo!$B$7</f>
        <v>0.83998</v>
      </c>
      <c r="AA791" s="39" t="n">
        <f aca="false">Resumo!$B$9</f>
        <v>1</v>
      </c>
      <c r="AB791" s="39" t="n">
        <f aca="false">Resumo!$B$10*CEILING(I791/100,1)</f>
        <v>4.5</v>
      </c>
      <c r="AC791" s="39" t="n">
        <f aca="false">Resumo!$B$12*CEILING(I791,1)</f>
        <v>2.28</v>
      </c>
      <c r="AD791" s="39" t="n">
        <f aca="false">Resumo!$B$14*CEILING(I791,1)</f>
        <v>17.1</v>
      </c>
      <c r="AE791" s="39" t="n">
        <f aca="false">SUM(X791:AD791)</f>
        <v>120.10997</v>
      </c>
      <c r="AF791" s="39" t="n">
        <f aca="false">AE791/(1-Resumo!$B$5)</f>
        <v>136.488602272727</v>
      </c>
      <c r="AG791" s="39" t="n">
        <f aca="false">AF791-W791</f>
        <v>43.5181954545454</v>
      </c>
      <c r="AH791" s="40" t="n">
        <f aca="false">AF791/W791-1</f>
        <v>0.468086533596138</v>
      </c>
      <c r="AI791" s="37" t="str">
        <f aca="false">IF(AF791&lt;W791,"SIM","NÃO")</f>
        <v>NÃO</v>
      </c>
      <c r="AJ791" s="37" t="n">
        <v>2</v>
      </c>
      <c r="AK791" s="37" t="n">
        <v>5</v>
      </c>
      <c r="AL791" s="37" t="s">
        <v>343</v>
      </c>
      <c r="AM791" s="39" t="n">
        <v>91.87</v>
      </c>
    </row>
    <row r="792" customFormat="false" ht="15" hidden="false" customHeight="false" outlineLevel="0" collapsed="false">
      <c r="A792" s="37" t="n">
        <v>373726826</v>
      </c>
      <c r="B792" s="38" t="n">
        <v>46243.3721875</v>
      </c>
      <c r="C792" s="37" t="s">
        <v>340</v>
      </c>
      <c r="D792" s="37" t="s">
        <v>1105</v>
      </c>
      <c r="E792" s="37" t="n">
        <v>28988892</v>
      </c>
      <c r="F792" s="37" t="s">
        <v>173</v>
      </c>
      <c r="G792" s="37" t="s">
        <v>198</v>
      </c>
      <c r="H792" s="37" t="s">
        <v>188</v>
      </c>
      <c r="I792" s="37" t="n">
        <v>63.9</v>
      </c>
      <c r="J792" s="39" t="n">
        <v>735.99</v>
      </c>
      <c r="K792" s="37" t="s">
        <v>518</v>
      </c>
      <c r="L792" s="39" t="n">
        <v>155.34</v>
      </c>
      <c r="M792" s="39" t="n">
        <v>90.2</v>
      </c>
      <c r="N792" s="39" t="n">
        <f aca="false">J792*Resumo!$C$6</f>
        <v>0</v>
      </c>
      <c r="O792" s="39" t="n">
        <f aca="false">J792*Resumo!$C$7</f>
        <v>1.545579</v>
      </c>
      <c r="P792" s="39" t="n">
        <f aca="false">J792*Resumo!$C$8</f>
        <v>1.545579</v>
      </c>
      <c r="Q792" s="39" t="n">
        <f aca="false">Resumo!$C$10*CEILING(I792/100,1)</f>
        <v>1.05</v>
      </c>
      <c r="R792" s="39" t="n">
        <f aca="false">Resumo!$C$9</f>
        <v>0</v>
      </c>
      <c r="S792" s="39" t="n">
        <f aca="false">Resumo!$C$13</f>
        <v>13.55</v>
      </c>
      <c r="T792" s="39" t="n">
        <f aca="false">Resumo!$C$14*CEILING(I792,1)</f>
        <v>28.8</v>
      </c>
      <c r="U792" s="39" t="n">
        <f aca="false">SUM(M792:T792)*Resumo!$C$11</f>
        <v>0</v>
      </c>
      <c r="V792" s="39" t="n">
        <f aca="false">SUM(M792:U792)</f>
        <v>136.691158</v>
      </c>
      <c r="W792" s="39" t="n">
        <f aca="false">V792/(1-Resumo!$C$5)</f>
        <v>155.330861363636</v>
      </c>
      <c r="X792" s="39" t="n">
        <v>166.05</v>
      </c>
      <c r="Y792" s="39" t="n">
        <f aca="false">J792*Resumo!$B$6</f>
        <v>0.73599</v>
      </c>
      <c r="Z792" s="39" t="n">
        <f aca="false">J792*Resumo!$B$7</f>
        <v>1.47198</v>
      </c>
      <c r="AA792" s="39" t="n">
        <f aca="false">Resumo!$B$9</f>
        <v>1</v>
      </c>
      <c r="AB792" s="39" t="n">
        <f aca="false">Resumo!$B$10*CEILING(I792/100,1)</f>
        <v>4.5</v>
      </c>
      <c r="AC792" s="39" t="n">
        <f aca="false">Resumo!$B$12*CEILING(I792,1)</f>
        <v>3.84</v>
      </c>
      <c r="AD792" s="39" t="n">
        <f aca="false">Resumo!$B$14*CEILING(I792,1)</f>
        <v>28.8</v>
      </c>
      <c r="AE792" s="39" t="n">
        <f aca="false">SUM(X792:AD792)</f>
        <v>206.39797</v>
      </c>
      <c r="AF792" s="39" t="n">
        <f aca="false">AE792/(1-Resumo!$B$5)</f>
        <v>234.543147727273</v>
      </c>
      <c r="AG792" s="39" t="n">
        <f aca="false">AF792-W792</f>
        <v>79.2122863636364</v>
      </c>
      <c r="AH792" s="40" t="n">
        <f aca="false">AF792/W792-1</f>
        <v>0.509958456859368</v>
      </c>
      <c r="AI792" s="37" t="str">
        <f aca="false">IF(AF792&lt;W792,"SIM","NÃO")</f>
        <v>NÃO</v>
      </c>
      <c r="AJ792" s="37" t="n">
        <v>13</v>
      </c>
      <c r="AK792" s="37" t="n">
        <v>10</v>
      </c>
      <c r="AL792" s="37" t="s">
        <v>343</v>
      </c>
      <c r="AM792" s="39" t="n">
        <v>155.55</v>
      </c>
    </row>
    <row r="793" customFormat="false" ht="15" hidden="false" customHeight="false" outlineLevel="0" collapsed="false">
      <c r="A793" s="37" t="n">
        <v>373735942</v>
      </c>
      <c r="B793" s="38" t="n">
        <v>46243.3998842593</v>
      </c>
      <c r="C793" s="37" t="s">
        <v>340</v>
      </c>
      <c r="D793" s="37" t="s">
        <v>1106</v>
      </c>
      <c r="E793" s="37" t="n">
        <v>24415000</v>
      </c>
      <c r="F793" s="37" t="s">
        <v>160</v>
      </c>
      <c r="G793" s="37" t="s">
        <v>197</v>
      </c>
      <c r="H793" s="37" t="s">
        <v>186</v>
      </c>
      <c r="I793" s="37" t="n">
        <v>44.5</v>
      </c>
      <c r="J793" s="39" t="n">
        <v>685.63</v>
      </c>
      <c r="K793" s="37" t="s">
        <v>518</v>
      </c>
      <c r="L793" s="39" t="n">
        <v>117.15</v>
      </c>
      <c r="M793" s="39" t="n">
        <v>65.36</v>
      </c>
      <c r="N793" s="39" t="n">
        <f aca="false">J793*Resumo!$C$6</f>
        <v>0</v>
      </c>
      <c r="O793" s="39" t="n">
        <f aca="false">J793*Resumo!$C$7</f>
        <v>1.439823</v>
      </c>
      <c r="P793" s="39" t="n">
        <f aca="false">J793*Resumo!$C$8</f>
        <v>1.439823</v>
      </c>
      <c r="Q793" s="39" t="n">
        <f aca="false">Resumo!$C$10*CEILING(I793/100,1)</f>
        <v>1.05</v>
      </c>
      <c r="R793" s="39" t="n">
        <f aca="false">Resumo!$C$9</f>
        <v>0</v>
      </c>
      <c r="S793" s="39" t="n">
        <f aca="false">Resumo!$C$13</f>
        <v>13.55</v>
      </c>
      <c r="T793" s="39" t="n">
        <f aca="false">Resumo!$C$14*CEILING(I793,1)</f>
        <v>20.25</v>
      </c>
      <c r="U793" s="39" t="n">
        <f aca="false">SUM(M793:T793)*Resumo!$C$11</f>
        <v>0</v>
      </c>
      <c r="V793" s="39" t="n">
        <f aca="false">SUM(M793:U793)</f>
        <v>103.089646</v>
      </c>
      <c r="W793" s="39" t="n">
        <f aca="false">V793/(1-Resumo!$C$5)</f>
        <v>117.147325</v>
      </c>
      <c r="X793" s="39" t="n">
        <v>114.95</v>
      </c>
      <c r="Y793" s="39" t="n">
        <f aca="false">J793*Resumo!$B$6</f>
        <v>0.68563</v>
      </c>
      <c r="Z793" s="39" t="n">
        <f aca="false">J793*Resumo!$B$7</f>
        <v>1.37126</v>
      </c>
      <c r="AA793" s="39" t="n">
        <f aca="false">Resumo!$B$9</f>
        <v>1</v>
      </c>
      <c r="AB793" s="39" t="n">
        <f aca="false">Resumo!$B$10*CEILING(I793/100,1)</f>
        <v>4.5</v>
      </c>
      <c r="AC793" s="39" t="n">
        <f aca="false">Resumo!$B$12*CEILING(I793,1)</f>
        <v>2.7</v>
      </c>
      <c r="AD793" s="39" t="n">
        <f aca="false">Resumo!$B$14*CEILING(I793,1)</f>
        <v>20.25</v>
      </c>
      <c r="AE793" s="39" t="n">
        <f aca="false">SUM(X793:AD793)</f>
        <v>145.45689</v>
      </c>
      <c r="AF793" s="39" t="n">
        <f aca="false">AE793/(1-Resumo!$B$5)</f>
        <v>165.291920454545</v>
      </c>
      <c r="AG793" s="39" t="n">
        <f aca="false">AF793-W793</f>
        <v>48.1445954545455</v>
      </c>
      <c r="AH793" s="40" t="n">
        <f aca="false">AF793/W793-1</f>
        <v>0.410974774324087</v>
      </c>
      <c r="AI793" s="37" t="str">
        <f aca="false">IF(AF793&lt;W793,"SIM","NÃO")</f>
        <v>NÃO</v>
      </c>
      <c r="AJ793" s="37" t="n">
        <v>2</v>
      </c>
      <c r="AK793" s="37" t="n">
        <v>7</v>
      </c>
      <c r="AL793" s="37" t="s">
        <v>343</v>
      </c>
      <c r="AM793" s="39" t="n">
        <v>117.36</v>
      </c>
    </row>
    <row r="794" customFormat="false" ht="15" hidden="false" customHeight="false" outlineLevel="0" collapsed="false">
      <c r="A794" s="37" t="n">
        <v>373736843</v>
      </c>
      <c r="B794" s="38" t="n">
        <v>46243.4022453704</v>
      </c>
      <c r="C794" s="37" t="s">
        <v>345</v>
      </c>
      <c r="D794" s="37" t="s">
        <v>885</v>
      </c>
      <c r="E794" s="37" t="n">
        <v>21341180</v>
      </c>
      <c r="F794" s="37" t="s">
        <v>159</v>
      </c>
      <c r="G794" s="37" t="s">
        <v>196</v>
      </c>
      <c r="H794" s="37" t="s">
        <v>184</v>
      </c>
      <c r="I794" s="37" t="n">
        <v>27.5</v>
      </c>
      <c r="J794" s="39" t="n">
        <v>339.99</v>
      </c>
      <c r="K794" s="37" t="s">
        <v>342</v>
      </c>
      <c r="L794" s="39" t="n">
        <v>81.95</v>
      </c>
      <c r="M794" s="39" t="n">
        <v>42.11</v>
      </c>
      <c r="N794" s="39" t="n">
        <f aca="false">J794*Resumo!$C$6</f>
        <v>0</v>
      </c>
      <c r="O794" s="39" t="n">
        <f aca="false">J794*Resumo!$C$7</f>
        <v>0.713979</v>
      </c>
      <c r="P794" s="39" t="n">
        <f aca="false">J794*Resumo!$C$8</f>
        <v>0.713979</v>
      </c>
      <c r="Q794" s="39" t="n">
        <f aca="false">Resumo!$C$10*CEILING(I794/100,1)</f>
        <v>1.05</v>
      </c>
      <c r="R794" s="39" t="n">
        <f aca="false">Resumo!$C$9</f>
        <v>0</v>
      </c>
      <c r="S794" s="39" t="n">
        <f aca="false">Resumo!$C$13</f>
        <v>13.55</v>
      </c>
      <c r="T794" s="39" t="n">
        <f aca="false">Resumo!$C$14*CEILING(I794,1)</f>
        <v>12.6</v>
      </c>
      <c r="U794" s="39" t="n">
        <f aca="false">SUM(M794:T794)*Resumo!$C$11</f>
        <v>0</v>
      </c>
      <c r="V794" s="39" t="n">
        <f aca="false">SUM(M794:U794)</f>
        <v>70.737958</v>
      </c>
      <c r="W794" s="39" t="n">
        <f aca="false">V794/(1-Resumo!$C$5)</f>
        <v>80.3840431818182</v>
      </c>
      <c r="X794" s="39" t="n">
        <v>82.21</v>
      </c>
      <c r="Y794" s="39" t="n">
        <f aca="false">J794*Resumo!$B$6</f>
        <v>0.33999</v>
      </c>
      <c r="Z794" s="39" t="n">
        <f aca="false">J794*Resumo!$B$7</f>
        <v>0.67998</v>
      </c>
      <c r="AA794" s="39" t="n">
        <f aca="false">Resumo!$B$9</f>
        <v>1</v>
      </c>
      <c r="AB794" s="39" t="n">
        <f aca="false">Resumo!$B$10*CEILING(I794/100,1)</f>
        <v>4.5</v>
      </c>
      <c r="AC794" s="39" t="n">
        <f aca="false">Resumo!$B$12*CEILING(I794,1)</f>
        <v>1.68</v>
      </c>
      <c r="AD794" s="39" t="n">
        <f aca="false">Resumo!$B$14*CEILING(I794,1)</f>
        <v>12.6</v>
      </c>
      <c r="AE794" s="39" t="n">
        <f aca="false">SUM(X794:AD794)</f>
        <v>103.00997</v>
      </c>
      <c r="AF794" s="39" t="n">
        <f aca="false">AE794/(1-Resumo!$B$5)</f>
        <v>117.056784090909</v>
      </c>
      <c r="AG794" s="39" t="n">
        <f aca="false">AF794-W794</f>
        <v>36.6727409090909</v>
      </c>
      <c r="AH794" s="40" t="n">
        <f aca="false">AF794/W794-1</f>
        <v>0.45621916312597</v>
      </c>
      <c r="AI794" s="37" t="str">
        <f aca="false">IF(AF794&lt;W794,"SIM","NÃO")</f>
        <v>NÃO</v>
      </c>
      <c r="AJ794" s="37" t="n">
        <v>2</v>
      </c>
      <c r="AK794" s="37" t="n">
        <v>5</v>
      </c>
      <c r="AL794" s="37" t="s">
        <v>343</v>
      </c>
      <c r="AM794" s="39" t="n">
        <v>81.95</v>
      </c>
    </row>
    <row r="795" customFormat="false" ht="15" hidden="false" customHeight="false" outlineLevel="0" collapsed="false">
      <c r="A795" s="37" t="n">
        <v>373777887</v>
      </c>
      <c r="B795" s="38" t="n">
        <v>46243.5060185185</v>
      </c>
      <c r="C795" s="37" t="s">
        <v>340</v>
      </c>
      <c r="D795" s="37" t="s">
        <v>500</v>
      </c>
      <c r="E795" s="37" t="n">
        <v>22710568</v>
      </c>
      <c r="F795" s="37" t="s">
        <v>159</v>
      </c>
      <c r="G795" s="37" t="s">
        <v>196</v>
      </c>
      <c r="H795" s="37" t="s">
        <v>188</v>
      </c>
      <c r="I795" s="37" t="n">
        <v>61.5</v>
      </c>
      <c r="J795" s="39" t="n">
        <v>726.79</v>
      </c>
      <c r="K795" s="37" t="s">
        <v>342</v>
      </c>
      <c r="L795" s="39" t="n">
        <v>124.68</v>
      </c>
      <c r="M795" s="39" t="n">
        <v>63.21</v>
      </c>
      <c r="N795" s="39" t="n">
        <f aca="false">J795*Resumo!$C$6</f>
        <v>0</v>
      </c>
      <c r="O795" s="39" t="n">
        <f aca="false">J795*Resumo!$C$7</f>
        <v>1.526259</v>
      </c>
      <c r="P795" s="39" t="n">
        <f aca="false">J795*Resumo!$C$8</f>
        <v>1.526259</v>
      </c>
      <c r="Q795" s="39" t="n">
        <f aca="false">Resumo!$C$10*CEILING(I795/100,1)</f>
        <v>1.05</v>
      </c>
      <c r="R795" s="39" t="n">
        <f aca="false">Resumo!$C$9</f>
        <v>0</v>
      </c>
      <c r="S795" s="39" t="n">
        <f aca="false">Resumo!$C$13</f>
        <v>13.55</v>
      </c>
      <c r="T795" s="39" t="n">
        <f aca="false">Resumo!$C$14*CEILING(I795,1)</f>
        <v>27.9</v>
      </c>
      <c r="U795" s="39" t="n">
        <f aca="false">SUM(M795:T795)*Resumo!$C$11</f>
        <v>0</v>
      </c>
      <c r="V795" s="39" t="n">
        <f aca="false">SUM(M795:U795)</f>
        <v>108.762518</v>
      </c>
      <c r="W795" s="39" t="n">
        <f aca="false">V795/(1-Resumo!$C$5)</f>
        <v>123.593770454545</v>
      </c>
      <c r="X795" s="39" t="n">
        <v>131.02</v>
      </c>
      <c r="Y795" s="39" t="n">
        <f aca="false">J795*Resumo!$B$6</f>
        <v>0.72679</v>
      </c>
      <c r="Z795" s="39" t="n">
        <f aca="false">J795*Resumo!$B$7</f>
        <v>1.45358</v>
      </c>
      <c r="AA795" s="39" t="n">
        <f aca="false">Resumo!$B$9</f>
        <v>1</v>
      </c>
      <c r="AB795" s="39" t="n">
        <f aca="false">Resumo!$B$10*CEILING(I795/100,1)</f>
        <v>4.5</v>
      </c>
      <c r="AC795" s="39" t="n">
        <f aca="false">Resumo!$B$12*CEILING(I795,1)</f>
        <v>3.72</v>
      </c>
      <c r="AD795" s="39" t="n">
        <f aca="false">Resumo!$B$14*CEILING(I795,1)</f>
        <v>27.9</v>
      </c>
      <c r="AE795" s="39" t="n">
        <f aca="false">SUM(X795:AD795)</f>
        <v>170.32037</v>
      </c>
      <c r="AF795" s="39" t="n">
        <f aca="false">AE795/(1-Resumo!$B$5)</f>
        <v>193.545875</v>
      </c>
      <c r="AG795" s="39" t="n">
        <f aca="false">AF795-W795</f>
        <v>69.9521045454546</v>
      </c>
      <c r="AH795" s="40" t="n">
        <f aca="false">AF795/W795-1</f>
        <v>0.565984064473388</v>
      </c>
      <c r="AI795" s="37" t="str">
        <f aca="false">IF(AF795&lt;W795,"SIM","NÃO")</f>
        <v>NÃO</v>
      </c>
      <c r="AJ795" s="37" t="n">
        <v>2</v>
      </c>
      <c r="AK795" s="37" t="n">
        <v>5</v>
      </c>
      <c r="AL795" s="37" t="s">
        <v>343</v>
      </c>
      <c r="AM795" s="39" t="n">
        <v>124.69</v>
      </c>
    </row>
    <row r="796" customFormat="false" ht="15" hidden="false" customHeight="false" outlineLevel="0" collapsed="false">
      <c r="A796" s="37" t="n">
        <v>373779084</v>
      </c>
      <c r="B796" s="38" t="n">
        <v>46243.509224537</v>
      </c>
      <c r="C796" s="37" t="s">
        <v>340</v>
      </c>
      <c r="D796" s="37" t="s">
        <v>1107</v>
      </c>
      <c r="E796" s="37" t="n">
        <v>24932855</v>
      </c>
      <c r="F796" s="37" t="s">
        <v>171</v>
      </c>
      <c r="G796" s="37" t="s">
        <v>198</v>
      </c>
      <c r="H796" s="37" t="s">
        <v>187</v>
      </c>
      <c r="I796" s="37" t="n">
        <v>52.3</v>
      </c>
      <c r="J796" s="39" t="n">
        <v>699.99</v>
      </c>
      <c r="K796" s="37" t="s">
        <v>518</v>
      </c>
      <c r="L796" s="39" t="n">
        <v>142.01</v>
      </c>
      <c r="M796" s="39" t="n">
        <v>83.58</v>
      </c>
      <c r="N796" s="39" t="n">
        <f aca="false">J796*Resumo!$C$6</f>
        <v>0</v>
      </c>
      <c r="O796" s="39" t="n">
        <f aca="false">J796*Resumo!$C$7</f>
        <v>1.469979</v>
      </c>
      <c r="P796" s="39" t="n">
        <f aca="false">J796*Resumo!$C$8</f>
        <v>1.469979</v>
      </c>
      <c r="Q796" s="39" t="n">
        <f aca="false">Resumo!$C$10*CEILING(I796/100,1)</f>
        <v>1.05</v>
      </c>
      <c r="R796" s="39" t="n">
        <f aca="false">Resumo!$C$9</f>
        <v>0</v>
      </c>
      <c r="S796" s="39" t="n">
        <f aca="false">Resumo!$C$13</f>
        <v>13.55</v>
      </c>
      <c r="T796" s="39" t="n">
        <f aca="false">Resumo!$C$14*CEILING(I796,1)</f>
        <v>23.85</v>
      </c>
      <c r="U796" s="39" t="n">
        <f aca="false">SUM(M796:T796)*Resumo!$C$11</f>
        <v>0</v>
      </c>
      <c r="V796" s="39" t="n">
        <f aca="false">SUM(M796:U796)</f>
        <v>124.969958</v>
      </c>
      <c r="W796" s="39" t="n">
        <f aca="false">V796/(1-Resumo!$C$5)</f>
        <v>142.011315909091</v>
      </c>
      <c r="X796" s="39" t="n">
        <v>128.14</v>
      </c>
      <c r="Y796" s="39" t="n">
        <f aca="false">J796*Resumo!$B$6</f>
        <v>0.69999</v>
      </c>
      <c r="Z796" s="39" t="n">
        <f aca="false">J796*Resumo!$B$7</f>
        <v>1.39998</v>
      </c>
      <c r="AA796" s="39" t="n">
        <f aca="false">Resumo!$B$9</f>
        <v>1</v>
      </c>
      <c r="AB796" s="39" t="n">
        <f aca="false">Resumo!$B$10*CEILING(I796/100,1)</f>
        <v>4.5</v>
      </c>
      <c r="AC796" s="39" t="n">
        <f aca="false">Resumo!$B$12*CEILING(I796,1)</f>
        <v>3.18</v>
      </c>
      <c r="AD796" s="39" t="n">
        <f aca="false">Resumo!$B$14*CEILING(I796,1)</f>
        <v>23.85</v>
      </c>
      <c r="AE796" s="39" t="n">
        <f aca="false">SUM(X796:AD796)</f>
        <v>162.76997</v>
      </c>
      <c r="AF796" s="39" t="n">
        <f aca="false">AE796/(1-Resumo!$B$5)</f>
        <v>184.965875</v>
      </c>
      <c r="AG796" s="39" t="n">
        <f aca="false">AF796-W796</f>
        <v>42.954559090909</v>
      </c>
      <c r="AH796" s="40" t="n">
        <f aca="false">AF796/W796-1</f>
        <v>0.302472791100722</v>
      </c>
      <c r="AI796" s="37" t="str">
        <f aca="false">IF(AF796&lt;W796,"SIM","NÃO")</f>
        <v>NÃO</v>
      </c>
      <c r="AJ796" s="37" t="n">
        <v>13</v>
      </c>
      <c r="AK796" s="37" t="n">
        <v>7</v>
      </c>
      <c r="AL796" s="37" t="s">
        <v>343</v>
      </c>
      <c r="AM796" s="39" t="n">
        <v>143.02</v>
      </c>
    </row>
    <row r="797" customFormat="false" ht="15" hidden="false" customHeight="false" outlineLevel="0" collapsed="false">
      <c r="A797" s="37" t="n">
        <v>373779268</v>
      </c>
      <c r="B797" s="38" t="n">
        <v>46243.509537037</v>
      </c>
      <c r="C797" s="37" t="s">
        <v>345</v>
      </c>
      <c r="D797" s="37" t="s">
        <v>1108</v>
      </c>
      <c r="E797" s="37" t="n">
        <v>25555221</v>
      </c>
      <c r="F797" s="37" t="s">
        <v>167</v>
      </c>
      <c r="G797" s="37" t="s">
        <v>197</v>
      </c>
      <c r="H797" s="37" t="s">
        <v>192</v>
      </c>
      <c r="I797" s="37" t="n">
        <v>124.2</v>
      </c>
      <c r="J797" s="39" t="n">
        <v>1749.98</v>
      </c>
      <c r="K797" s="37" t="s">
        <v>518</v>
      </c>
      <c r="L797" s="39" t="n">
        <v>237.34</v>
      </c>
      <c r="M797" s="39" t="n">
        <v>129.62</v>
      </c>
      <c r="N797" s="39" t="n">
        <f aca="false">J797*Resumo!$C$6</f>
        <v>0</v>
      </c>
      <c r="O797" s="39" t="n">
        <f aca="false">J797*Resumo!$C$7</f>
        <v>3.674958</v>
      </c>
      <c r="P797" s="39" t="n">
        <f aca="false">J797*Resumo!$C$8</f>
        <v>3.674958</v>
      </c>
      <c r="Q797" s="39" t="n">
        <f aca="false">Resumo!$C$10*CEILING(I797/100,1)</f>
        <v>2.1</v>
      </c>
      <c r="R797" s="39" t="n">
        <f aca="false">Resumo!$C$9</f>
        <v>0</v>
      </c>
      <c r="S797" s="39" t="n">
        <f aca="false">Resumo!$C$13</f>
        <v>13.55</v>
      </c>
      <c r="T797" s="39" t="n">
        <f aca="false">Resumo!$C$14*CEILING(I797,1)</f>
        <v>56.25</v>
      </c>
      <c r="U797" s="39" t="n">
        <f aca="false">SUM(M797:T797)*Resumo!$C$11</f>
        <v>0</v>
      </c>
      <c r="V797" s="39" t="n">
        <f aca="false">SUM(M797:U797)</f>
        <v>208.869916</v>
      </c>
      <c r="W797" s="39" t="n">
        <f aca="false">V797/(1-Resumo!$C$5)</f>
        <v>237.352177272727</v>
      </c>
      <c r="X797" s="39" t="n">
        <v>239.25</v>
      </c>
      <c r="Y797" s="39" t="n">
        <f aca="false">J797*Resumo!$B$6</f>
        <v>1.74998</v>
      </c>
      <c r="Z797" s="39" t="n">
        <f aca="false">J797*Resumo!$B$7</f>
        <v>3.49996</v>
      </c>
      <c r="AA797" s="39" t="n">
        <f aca="false">Resumo!$B$9</f>
        <v>1</v>
      </c>
      <c r="AB797" s="39" t="n">
        <f aca="false">Resumo!$B$10*CEILING(I797/100,1)</f>
        <v>9</v>
      </c>
      <c r="AC797" s="39" t="n">
        <f aca="false">Resumo!$B$12*CEILING(I797,1)</f>
        <v>7.5</v>
      </c>
      <c r="AD797" s="39" t="n">
        <f aca="false">Resumo!$B$14*CEILING(I797,1)</f>
        <v>56.25</v>
      </c>
      <c r="AE797" s="39" t="n">
        <f aca="false">SUM(X797:AD797)</f>
        <v>318.24994</v>
      </c>
      <c r="AF797" s="39" t="n">
        <f aca="false">AE797/(1-Resumo!$B$5)</f>
        <v>361.647659090909</v>
      </c>
      <c r="AG797" s="39" t="n">
        <f aca="false">AF797-W797</f>
        <v>124.295481818182</v>
      </c>
      <c r="AH797" s="40" t="n">
        <f aca="false">AF797/W797-1</f>
        <v>0.523675338673474</v>
      </c>
      <c r="AI797" s="37" t="str">
        <f aca="false">IF(AF797&lt;W797,"SIM","NÃO")</f>
        <v>NÃO</v>
      </c>
      <c r="AJ797" s="37" t="n">
        <v>2</v>
      </c>
      <c r="AK797" s="37" t="n">
        <v>5</v>
      </c>
      <c r="AL797" s="37" t="s">
        <v>343</v>
      </c>
      <c r="AM797" s="39" t="n">
        <v>244.99</v>
      </c>
    </row>
    <row r="798" customFormat="false" ht="15" hidden="false" customHeight="false" outlineLevel="0" collapsed="false">
      <c r="A798" s="37" t="n">
        <v>373784096</v>
      </c>
      <c r="B798" s="38" t="n">
        <v>46243.520462963</v>
      </c>
      <c r="C798" s="37" t="s">
        <v>340</v>
      </c>
      <c r="D798" s="37" t="s">
        <v>1109</v>
      </c>
      <c r="E798" s="37" t="n">
        <v>22753710</v>
      </c>
      <c r="F798" s="37" t="s">
        <v>159</v>
      </c>
      <c r="G798" s="37" t="s">
        <v>196</v>
      </c>
      <c r="H798" s="37" t="s">
        <v>185</v>
      </c>
      <c r="I798" s="37" t="n">
        <v>37.2</v>
      </c>
      <c r="J798" s="39" t="n">
        <v>419.99</v>
      </c>
      <c r="K798" s="37" t="s">
        <v>342</v>
      </c>
      <c r="L798" s="39" t="n">
        <v>91.86</v>
      </c>
      <c r="M798" s="39" t="n">
        <v>48.35</v>
      </c>
      <c r="N798" s="39" t="n">
        <f aca="false">J798*Resumo!$C$6</f>
        <v>0</v>
      </c>
      <c r="O798" s="39" t="n">
        <f aca="false">J798*Resumo!$C$7</f>
        <v>0.881979</v>
      </c>
      <c r="P798" s="39" t="n">
        <f aca="false">J798*Resumo!$C$8</f>
        <v>0.881979</v>
      </c>
      <c r="Q798" s="39" t="n">
        <f aca="false">Resumo!$C$10*CEILING(I798/100,1)</f>
        <v>1.05</v>
      </c>
      <c r="R798" s="39" t="n">
        <f aca="false">Resumo!$C$9</f>
        <v>0</v>
      </c>
      <c r="S798" s="39" t="n">
        <f aca="false">Resumo!$C$13</f>
        <v>13.55</v>
      </c>
      <c r="T798" s="39" t="n">
        <f aca="false">Resumo!$C$14*CEILING(I798,1)</f>
        <v>17.1</v>
      </c>
      <c r="U798" s="39" t="n">
        <f aca="false">SUM(M798:T798)*Resumo!$C$11</f>
        <v>0</v>
      </c>
      <c r="V798" s="39" t="n">
        <f aca="false">SUM(M798:U798)</f>
        <v>81.813958</v>
      </c>
      <c r="W798" s="39" t="n">
        <f aca="false">V798/(1-Resumo!$C$5)</f>
        <v>92.9704068181818</v>
      </c>
      <c r="X798" s="39" t="n">
        <v>93.97</v>
      </c>
      <c r="Y798" s="39" t="n">
        <f aca="false">J798*Resumo!$B$6</f>
        <v>0.41999</v>
      </c>
      <c r="Z798" s="39" t="n">
        <f aca="false">J798*Resumo!$B$7</f>
        <v>0.83998</v>
      </c>
      <c r="AA798" s="39" t="n">
        <f aca="false">Resumo!$B$9</f>
        <v>1</v>
      </c>
      <c r="AB798" s="39" t="n">
        <f aca="false">Resumo!$B$10*CEILING(I798/100,1)</f>
        <v>4.5</v>
      </c>
      <c r="AC798" s="39" t="n">
        <f aca="false">Resumo!$B$12*CEILING(I798,1)</f>
        <v>2.28</v>
      </c>
      <c r="AD798" s="39" t="n">
        <f aca="false">Resumo!$B$14*CEILING(I798,1)</f>
        <v>17.1</v>
      </c>
      <c r="AE798" s="39" t="n">
        <f aca="false">SUM(X798:AD798)</f>
        <v>120.10997</v>
      </c>
      <c r="AF798" s="39" t="n">
        <f aca="false">AE798/(1-Resumo!$B$5)</f>
        <v>136.488602272727</v>
      </c>
      <c r="AG798" s="39" t="n">
        <f aca="false">AF798-W798</f>
        <v>43.5181954545454</v>
      </c>
      <c r="AH798" s="40" t="n">
        <f aca="false">AF798/W798-1</f>
        <v>0.468086533596138</v>
      </c>
      <c r="AI798" s="37" t="str">
        <f aca="false">IF(AF798&lt;W798,"SIM","NÃO")</f>
        <v>NÃO</v>
      </c>
      <c r="AJ798" s="37" t="n">
        <v>2</v>
      </c>
      <c r="AK798" s="37" t="n">
        <v>5</v>
      </c>
      <c r="AL798" s="37" t="s">
        <v>343</v>
      </c>
      <c r="AM798" s="39" t="n">
        <v>91.87</v>
      </c>
    </row>
    <row r="799" customFormat="false" ht="15" hidden="false" customHeight="false" outlineLevel="0" collapsed="false">
      <c r="A799" s="37" t="n">
        <v>373801337</v>
      </c>
      <c r="B799" s="38" t="n">
        <v>46243.5611574074</v>
      </c>
      <c r="C799" s="37" t="s">
        <v>345</v>
      </c>
      <c r="D799" s="37" t="s">
        <v>1110</v>
      </c>
      <c r="E799" s="37" t="n">
        <v>27923390</v>
      </c>
      <c r="F799" s="37" t="s">
        <v>166</v>
      </c>
      <c r="G799" s="37" t="s">
        <v>198</v>
      </c>
      <c r="H799" s="37" t="s">
        <v>186</v>
      </c>
      <c r="I799" s="37" t="n">
        <v>40.6</v>
      </c>
      <c r="J799" s="39" t="n">
        <v>439.99</v>
      </c>
      <c r="K799" s="37" t="s">
        <v>518</v>
      </c>
      <c r="L799" s="39" t="n">
        <v>127.94</v>
      </c>
      <c r="M799" s="39" t="n">
        <v>77.7</v>
      </c>
      <c r="N799" s="39" t="n">
        <f aca="false">J799*Resumo!$C$6</f>
        <v>0</v>
      </c>
      <c r="O799" s="39" t="n">
        <f aca="false">J799*Resumo!$C$7</f>
        <v>0.923979</v>
      </c>
      <c r="P799" s="39" t="n">
        <f aca="false">J799*Resumo!$C$8</f>
        <v>0.923979</v>
      </c>
      <c r="Q799" s="39" t="n">
        <f aca="false">Resumo!$C$10*CEILING(I799/100,1)</f>
        <v>1.05</v>
      </c>
      <c r="R799" s="39" t="n">
        <f aca="false">Resumo!$C$9</f>
        <v>0</v>
      </c>
      <c r="S799" s="39" t="n">
        <f aca="false">Resumo!$C$13</f>
        <v>13.55</v>
      </c>
      <c r="T799" s="39" t="n">
        <f aca="false">Resumo!$C$14*CEILING(I799,1)</f>
        <v>18.45</v>
      </c>
      <c r="U799" s="39" t="n">
        <f aca="false">SUM(M799:T799)*Resumo!$C$11</f>
        <v>0</v>
      </c>
      <c r="V799" s="39" t="n">
        <f aca="false">SUM(M799:U799)</f>
        <v>112.597958</v>
      </c>
      <c r="W799" s="39" t="n">
        <f aca="false">V799/(1-Resumo!$C$5)</f>
        <v>127.952225</v>
      </c>
      <c r="X799" s="39" t="n">
        <v>152.54</v>
      </c>
      <c r="Y799" s="39" t="n">
        <f aca="false">J799*Resumo!$B$6</f>
        <v>0.43999</v>
      </c>
      <c r="Z799" s="39" t="n">
        <f aca="false">J799*Resumo!$B$7</f>
        <v>0.87998</v>
      </c>
      <c r="AA799" s="39" t="n">
        <f aca="false">Resumo!$B$9</f>
        <v>1</v>
      </c>
      <c r="AB799" s="39" t="n">
        <f aca="false">Resumo!$B$10*CEILING(I799/100,1)</f>
        <v>4.5</v>
      </c>
      <c r="AC799" s="39" t="n">
        <f aca="false">Resumo!$B$12*CEILING(I799,1)</f>
        <v>2.46</v>
      </c>
      <c r="AD799" s="39" t="n">
        <f aca="false">Resumo!$B$14*CEILING(I799,1)</f>
        <v>18.45</v>
      </c>
      <c r="AE799" s="39" t="n">
        <f aca="false">SUM(X799:AD799)</f>
        <v>180.26997</v>
      </c>
      <c r="AF799" s="39" t="n">
        <f aca="false">AE799/(1-Resumo!$B$5)</f>
        <v>204.852238636364</v>
      </c>
      <c r="AG799" s="39" t="n">
        <f aca="false">AF799-W799</f>
        <v>76.9000136363636</v>
      </c>
      <c r="AH799" s="40" t="n">
        <f aca="false">AF799/W799-1</f>
        <v>0.601005677207751</v>
      </c>
      <c r="AI799" s="37" t="str">
        <f aca="false">IF(AF799&lt;W799,"SIM","NÃO")</f>
        <v>NÃO</v>
      </c>
      <c r="AJ799" s="37" t="n">
        <v>13</v>
      </c>
      <c r="AK799" s="37" t="n">
        <v>11</v>
      </c>
      <c r="AL799" s="37" t="s">
        <v>343</v>
      </c>
      <c r="AM799" s="39" t="n">
        <v>130.27</v>
      </c>
    </row>
    <row r="800" customFormat="false" ht="15" hidden="false" customHeight="false" outlineLevel="0" collapsed="false">
      <c r="A800" s="37" t="n">
        <v>373809217</v>
      </c>
      <c r="B800" s="38" t="n">
        <v>46243.5819907407</v>
      </c>
      <c r="C800" s="37" t="s">
        <v>372</v>
      </c>
      <c r="D800" s="37" t="s">
        <v>1111</v>
      </c>
      <c r="E800" s="37" t="n">
        <v>22790714</v>
      </c>
      <c r="F800" s="37" t="s">
        <v>159</v>
      </c>
      <c r="G800" s="37" t="s">
        <v>196</v>
      </c>
      <c r="H800" s="37" t="s">
        <v>184</v>
      </c>
      <c r="I800" s="37" t="n">
        <v>24.4</v>
      </c>
      <c r="J800" s="39" t="n">
        <v>369.99</v>
      </c>
      <c r="K800" s="37" t="s">
        <v>342</v>
      </c>
      <c r="L800" s="39" t="n">
        <v>82.1</v>
      </c>
      <c r="M800" s="39" t="n">
        <v>42.11</v>
      </c>
      <c r="N800" s="39" t="n">
        <f aca="false">J800*Resumo!$C$6</f>
        <v>0</v>
      </c>
      <c r="O800" s="39" t="n">
        <f aca="false">J800*Resumo!$C$7</f>
        <v>0.776979</v>
      </c>
      <c r="P800" s="39" t="n">
        <f aca="false">J800*Resumo!$C$8</f>
        <v>0.776979</v>
      </c>
      <c r="Q800" s="39" t="n">
        <f aca="false">Resumo!$C$10*CEILING(I800/100,1)</f>
        <v>1.05</v>
      </c>
      <c r="R800" s="39" t="n">
        <f aca="false">Resumo!$C$9</f>
        <v>0</v>
      </c>
      <c r="S800" s="39" t="n">
        <f aca="false">Resumo!$C$13</f>
        <v>13.55</v>
      </c>
      <c r="T800" s="39" t="n">
        <f aca="false">Resumo!$C$14*CEILING(I800,1)</f>
        <v>11.25</v>
      </c>
      <c r="U800" s="39" t="n">
        <f aca="false">SUM(M800:T800)*Resumo!$C$11</f>
        <v>0</v>
      </c>
      <c r="V800" s="39" t="n">
        <f aca="false">SUM(M800:U800)</f>
        <v>69.513958</v>
      </c>
      <c r="W800" s="39" t="n">
        <f aca="false">V800/(1-Resumo!$C$5)</f>
        <v>78.9931340909091</v>
      </c>
      <c r="X800" s="39" t="n">
        <v>82.21</v>
      </c>
      <c r="Y800" s="39" t="n">
        <f aca="false">J800*Resumo!$B$6</f>
        <v>0.36999</v>
      </c>
      <c r="Z800" s="39" t="n">
        <f aca="false">J800*Resumo!$B$7</f>
        <v>0.73998</v>
      </c>
      <c r="AA800" s="39" t="n">
        <f aca="false">Resumo!$B$9</f>
        <v>1</v>
      </c>
      <c r="AB800" s="39" t="n">
        <f aca="false">Resumo!$B$10*CEILING(I800/100,1)</f>
        <v>4.5</v>
      </c>
      <c r="AC800" s="39" t="n">
        <f aca="false">Resumo!$B$12*CEILING(I800,1)</f>
        <v>1.5</v>
      </c>
      <c r="AD800" s="39" t="n">
        <f aca="false">Resumo!$B$14*CEILING(I800,1)</f>
        <v>11.25</v>
      </c>
      <c r="AE800" s="39" t="n">
        <f aca="false">SUM(X800:AD800)</f>
        <v>101.56997</v>
      </c>
      <c r="AF800" s="39" t="n">
        <f aca="false">AE800/(1-Resumo!$B$5)</f>
        <v>115.420420454545</v>
      </c>
      <c r="AG800" s="39" t="n">
        <f aca="false">AF800-W800</f>
        <v>36.4272863636364</v>
      </c>
      <c r="AH800" s="40" t="n">
        <f aca="false">AF800/W800-1</f>
        <v>0.461144968899627</v>
      </c>
      <c r="AI800" s="37" t="str">
        <f aca="false">IF(AF800&lt;W800,"SIM","NÃO")</f>
        <v>NÃO</v>
      </c>
      <c r="AJ800" s="37" t="n">
        <v>2</v>
      </c>
      <c r="AK800" s="37" t="n">
        <v>5</v>
      </c>
      <c r="AL800" s="37" t="s">
        <v>343</v>
      </c>
      <c r="AM800" s="39" t="n">
        <v>82.1</v>
      </c>
    </row>
    <row r="801" customFormat="false" ht="15" hidden="false" customHeight="false" outlineLevel="0" collapsed="false">
      <c r="A801" s="37" t="n">
        <v>373821842</v>
      </c>
      <c r="B801" s="38" t="n">
        <v>46243.6115393519</v>
      </c>
      <c r="C801" s="37" t="s">
        <v>340</v>
      </c>
      <c r="D801" s="37" t="s">
        <v>1112</v>
      </c>
      <c r="E801" s="37" t="n">
        <v>22740240</v>
      </c>
      <c r="F801" s="37" t="s">
        <v>159</v>
      </c>
      <c r="G801" s="37" t="s">
        <v>196</v>
      </c>
      <c r="H801" s="37" t="s">
        <v>187</v>
      </c>
      <c r="I801" s="37" t="n">
        <v>54</v>
      </c>
      <c r="J801" s="39" t="n">
        <v>659.98</v>
      </c>
      <c r="K801" s="37" t="s">
        <v>342</v>
      </c>
      <c r="L801" s="39" t="n">
        <v>114.31</v>
      </c>
      <c r="M801" s="39" t="n">
        <v>58.6</v>
      </c>
      <c r="N801" s="39" t="n">
        <f aca="false">J801*Resumo!$C$6</f>
        <v>0</v>
      </c>
      <c r="O801" s="39" t="n">
        <f aca="false">J801*Resumo!$C$7</f>
        <v>1.385958</v>
      </c>
      <c r="P801" s="39" t="n">
        <f aca="false">J801*Resumo!$C$8</f>
        <v>1.385958</v>
      </c>
      <c r="Q801" s="39" t="n">
        <f aca="false">Resumo!$C$10*CEILING(I801/100,1)</f>
        <v>1.05</v>
      </c>
      <c r="R801" s="39" t="n">
        <f aca="false">Resumo!$C$9</f>
        <v>0</v>
      </c>
      <c r="S801" s="39" t="n">
        <f aca="false">Resumo!$C$13</f>
        <v>13.55</v>
      </c>
      <c r="T801" s="39" t="n">
        <f aca="false">Resumo!$C$14*CEILING(I801,1)</f>
        <v>24.3</v>
      </c>
      <c r="U801" s="39" t="n">
        <f aca="false">SUM(M801:T801)*Resumo!$C$11</f>
        <v>0</v>
      </c>
      <c r="V801" s="39" t="n">
        <f aca="false">SUM(M801:U801)</f>
        <v>100.271916</v>
      </c>
      <c r="W801" s="39" t="n">
        <f aca="false">V801/(1-Resumo!$C$5)</f>
        <v>113.945359090909</v>
      </c>
      <c r="X801" s="39" t="n">
        <v>112.3</v>
      </c>
      <c r="Y801" s="39" t="n">
        <f aca="false">J801*Resumo!$B$6</f>
        <v>0.65998</v>
      </c>
      <c r="Z801" s="39" t="n">
        <f aca="false">J801*Resumo!$B$7</f>
        <v>1.31996</v>
      </c>
      <c r="AA801" s="39" t="n">
        <f aca="false">Resumo!$B$9</f>
        <v>1</v>
      </c>
      <c r="AB801" s="39" t="n">
        <f aca="false">Resumo!$B$10*CEILING(I801/100,1)</f>
        <v>4.5</v>
      </c>
      <c r="AC801" s="39" t="n">
        <f aca="false">Resumo!$B$12*CEILING(I801,1)</f>
        <v>3.24</v>
      </c>
      <c r="AD801" s="39" t="n">
        <f aca="false">Resumo!$B$14*CEILING(I801,1)</f>
        <v>24.3</v>
      </c>
      <c r="AE801" s="39" t="n">
        <f aca="false">SUM(X801:AD801)</f>
        <v>147.31994</v>
      </c>
      <c r="AF801" s="39" t="n">
        <f aca="false">AE801/(1-Resumo!$B$5)</f>
        <v>167.409022727273</v>
      </c>
      <c r="AG801" s="39" t="n">
        <f aca="false">AF801-W801</f>
        <v>53.4636636363637</v>
      </c>
      <c r="AH801" s="40" t="n">
        <f aca="false">AF801/W801-1</f>
        <v>0.469204398168676</v>
      </c>
      <c r="AI801" s="37" t="str">
        <f aca="false">IF(AF801&lt;W801,"SIM","NÃO")</f>
        <v>NÃO</v>
      </c>
      <c r="AJ801" s="37" t="n">
        <v>2</v>
      </c>
      <c r="AK801" s="37" t="n">
        <v>5</v>
      </c>
      <c r="AL801" s="37" t="s">
        <v>343</v>
      </c>
      <c r="AM801" s="39" t="n">
        <v>114.31</v>
      </c>
    </row>
    <row r="802" customFormat="false" ht="15" hidden="false" customHeight="false" outlineLevel="0" collapsed="false">
      <c r="A802" s="37" t="n">
        <v>373825290</v>
      </c>
      <c r="B802" s="38" t="n">
        <v>46243.6199305556</v>
      </c>
      <c r="C802" s="37" t="s">
        <v>340</v>
      </c>
      <c r="D802" s="37" t="s">
        <v>1113</v>
      </c>
      <c r="E802" s="37" t="n">
        <v>26540130</v>
      </c>
      <c r="F802" s="37" t="s">
        <v>238</v>
      </c>
      <c r="G802" s="37" t="s">
        <v>197</v>
      </c>
      <c r="H802" s="37" t="s">
        <v>186</v>
      </c>
      <c r="I802" s="37" t="n">
        <v>48.6</v>
      </c>
      <c r="J802" s="39" t="n">
        <v>679.99</v>
      </c>
      <c r="K802" s="37" t="s">
        <v>518</v>
      </c>
      <c r="L802" s="39" t="n">
        <v>119.17</v>
      </c>
      <c r="M802" s="39" t="n">
        <v>65.36</v>
      </c>
      <c r="N802" s="39" t="n">
        <f aca="false">J802*Resumo!$C$6</f>
        <v>0</v>
      </c>
      <c r="O802" s="39" t="n">
        <f aca="false">J802*Resumo!$C$7</f>
        <v>1.427979</v>
      </c>
      <c r="P802" s="39" t="n">
        <f aca="false">J802*Resumo!$C$8</f>
        <v>1.427979</v>
      </c>
      <c r="Q802" s="39" t="n">
        <f aca="false">Resumo!$C$10*CEILING(I802/100,1)</f>
        <v>1.05</v>
      </c>
      <c r="R802" s="39" t="n">
        <f aca="false">Resumo!$C$9</f>
        <v>0</v>
      </c>
      <c r="S802" s="39" t="n">
        <f aca="false">Resumo!$C$13</f>
        <v>13.55</v>
      </c>
      <c r="T802" s="39" t="n">
        <f aca="false">Resumo!$C$14*CEILING(I802,1)</f>
        <v>22.05</v>
      </c>
      <c r="U802" s="39" t="n">
        <f aca="false">SUM(M802:T802)*Resumo!$C$11</f>
        <v>0</v>
      </c>
      <c r="V802" s="39" t="n">
        <f aca="false">SUM(M802:U802)</f>
        <v>104.865958</v>
      </c>
      <c r="W802" s="39" t="n">
        <f aca="false">V802/(1-Resumo!$C$5)</f>
        <v>119.165861363636</v>
      </c>
      <c r="X802" s="39" t="n">
        <v>93.97</v>
      </c>
      <c r="Y802" s="39" t="n">
        <f aca="false">J802*Resumo!$B$6</f>
        <v>0.67999</v>
      </c>
      <c r="Z802" s="39" t="n">
        <f aca="false">J802*Resumo!$B$7</f>
        <v>1.35998</v>
      </c>
      <c r="AA802" s="39" t="n">
        <f aca="false">Resumo!$B$9</f>
        <v>1</v>
      </c>
      <c r="AB802" s="39" t="n">
        <f aca="false">Resumo!$B$10*CEILING(I802/100,1)</f>
        <v>4.5</v>
      </c>
      <c r="AC802" s="39" t="n">
        <f aca="false">Resumo!$B$12*CEILING(I802,1)</f>
        <v>2.94</v>
      </c>
      <c r="AD802" s="39" t="n">
        <f aca="false">Resumo!$B$14*CEILING(I802,1)</f>
        <v>22.05</v>
      </c>
      <c r="AE802" s="39" t="n">
        <f aca="false">SUM(X802:AD802)</f>
        <v>126.49997</v>
      </c>
      <c r="AF802" s="39" t="n">
        <f aca="false">AE802/(1-Resumo!$B$5)</f>
        <v>143.749965909091</v>
      </c>
      <c r="AG802" s="39" t="n">
        <f aca="false">AF802-W802</f>
        <v>24.5841045454545</v>
      </c>
      <c r="AH802" s="40" t="n">
        <f aca="false">AF802/W802-1</f>
        <v>0.206301572146034</v>
      </c>
      <c r="AI802" s="37" t="str">
        <f aca="false">IF(AF802&lt;W802,"SIM","NÃO")</f>
        <v>NÃO</v>
      </c>
      <c r="AJ802" s="37" t="n">
        <v>2</v>
      </c>
      <c r="AK802" s="37" t="n">
        <v>5</v>
      </c>
      <c r="AL802" s="37" t="s">
        <v>347</v>
      </c>
      <c r="AM802" s="39" t="n">
        <v>117.33</v>
      </c>
    </row>
    <row r="803" customFormat="false" ht="15" hidden="false" customHeight="false" outlineLevel="0" collapsed="false">
      <c r="A803" s="37" t="n">
        <v>373844352</v>
      </c>
      <c r="B803" s="38" t="n">
        <v>46243.6651041667</v>
      </c>
      <c r="C803" s="37" t="s">
        <v>345</v>
      </c>
      <c r="D803" s="37" t="s">
        <v>1114</v>
      </c>
      <c r="E803" s="37" t="n">
        <v>27273500</v>
      </c>
      <c r="F803" s="37" t="s">
        <v>168</v>
      </c>
      <c r="G803" s="37" t="s">
        <v>198</v>
      </c>
      <c r="H803" s="37" t="s">
        <v>188</v>
      </c>
      <c r="I803" s="37" t="n">
        <v>66.8</v>
      </c>
      <c r="J803" s="39" t="n">
        <v>578</v>
      </c>
      <c r="K803" s="37" t="s">
        <v>518</v>
      </c>
      <c r="L803" s="39" t="n">
        <v>156.1</v>
      </c>
      <c r="M803" s="39" t="n">
        <v>90.2</v>
      </c>
      <c r="N803" s="39" t="n">
        <f aca="false">J803*Resumo!$C$6</f>
        <v>0</v>
      </c>
      <c r="O803" s="39" t="n">
        <f aca="false">J803*Resumo!$C$7</f>
        <v>1.2138</v>
      </c>
      <c r="P803" s="39" t="n">
        <f aca="false">J803*Resumo!$C$8</f>
        <v>1.2138</v>
      </c>
      <c r="Q803" s="39" t="n">
        <f aca="false">Resumo!$C$10*CEILING(I803/100,1)</f>
        <v>1.05</v>
      </c>
      <c r="R803" s="39" t="n">
        <f aca="false">Resumo!$C$9</f>
        <v>0</v>
      </c>
      <c r="S803" s="39" t="n">
        <f aca="false">Resumo!$C$13</f>
        <v>13.55</v>
      </c>
      <c r="T803" s="39" t="n">
        <f aca="false">Resumo!$C$14*CEILING(I803,1)</f>
        <v>30.15</v>
      </c>
      <c r="U803" s="39" t="n">
        <f aca="false">SUM(M803:T803)*Resumo!$C$11</f>
        <v>0</v>
      </c>
      <c r="V803" s="39" t="n">
        <f aca="false">SUM(M803:U803)</f>
        <v>137.3776</v>
      </c>
      <c r="W803" s="39" t="n">
        <f aca="false">V803/(1-Resumo!$C$5)</f>
        <v>156.110909090909</v>
      </c>
      <c r="X803" s="39" t="n">
        <v>166.05</v>
      </c>
      <c r="Y803" s="39" t="n">
        <f aca="false">J803*Resumo!$B$6</f>
        <v>0.578</v>
      </c>
      <c r="Z803" s="39" t="n">
        <f aca="false">J803*Resumo!$B$7</f>
        <v>1.156</v>
      </c>
      <c r="AA803" s="39" t="n">
        <f aca="false">Resumo!$B$9</f>
        <v>1</v>
      </c>
      <c r="AB803" s="39" t="n">
        <f aca="false">Resumo!$B$10*CEILING(I803/100,1)</f>
        <v>4.5</v>
      </c>
      <c r="AC803" s="39" t="n">
        <f aca="false">Resumo!$B$12*CEILING(I803,1)</f>
        <v>4.02</v>
      </c>
      <c r="AD803" s="39" t="n">
        <f aca="false">Resumo!$B$14*CEILING(I803,1)</f>
        <v>30.15</v>
      </c>
      <c r="AE803" s="39" t="n">
        <f aca="false">SUM(X803:AD803)</f>
        <v>207.454</v>
      </c>
      <c r="AF803" s="39" t="n">
        <f aca="false">AE803/(1-Resumo!$B$5)</f>
        <v>235.743181818182</v>
      </c>
      <c r="AG803" s="39" t="n">
        <f aca="false">AF803-W803</f>
        <v>79.6322727272727</v>
      </c>
      <c r="AH803" s="40" t="n">
        <f aca="false">AF803/W803-1</f>
        <v>0.510100627758819</v>
      </c>
      <c r="AI803" s="37" t="str">
        <f aca="false">IF(AF803&lt;W803,"SIM","NÃO")</f>
        <v>NÃO</v>
      </c>
      <c r="AJ803" s="37" t="n">
        <v>13</v>
      </c>
      <c r="AK803" s="37" t="n">
        <v>10</v>
      </c>
      <c r="AL803" s="37" t="s">
        <v>343</v>
      </c>
      <c r="AM803" s="39" t="n">
        <v>154.79</v>
      </c>
    </row>
    <row r="804" customFormat="false" ht="15" hidden="false" customHeight="false" outlineLevel="0" collapsed="false">
      <c r="A804" s="37" t="n">
        <v>373866511</v>
      </c>
      <c r="B804" s="38" t="n">
        <v>46243.7180208333</v>
      </c>
      <c r="C804" s="37" t="s">
        <v>345</v>
      </c>
      <c r="D804" s="37" t="s">
        <v>1115</v>
      </c>
      <c r="E804" s="37" t="n">
        <v>20521030</v>
      </c>
      <c r="F804" s="37" t="s">
        <v>159</v>
      </c>
      <c r="G804" s="37" t="s">
        <v>196</v>
      </c>
      <c r="H804" s="37" t="s">
        <v>187</v>
      </c>
      <c r="I804" s="37" t="n">
        <v>52.3</v>
      </c>
      <c r="J804" s="39" t="n">
        <v>616.99</v>
      </c>
      <c r="K804" s="37" t="s">
        <v>342</v>
      </c>
      <c r="L804" s="39" t="n">
        <v>114.09</v>
      </c>
      <c r="M804" s="39" t="n">
        <v>58.6</v>
      </c>
      <c r="N804" s="39" t="n">
        <f aca="false">J804*Resumo!$C$6</f>
        <v>0</v>
      </c>
      <c r="O804" s="39" t="n">
        <f aca="false">J804*Resumo!$C$7</f>
        <v>1.295679</v>
      </c>
      <c r="P804" s="39" t="n">
        <f aca="false">J804*Resumo!$C$8</f>
        <v>1.295679</v>
      </c>
      <c r="Q804" s="39" t="n">
        <f aca="false">Resumo!$C$10*CEILING(I804/100,1)</f>
        <v>1.05</v>
      </c>
      <c r="R804" s="39" t="n">
        <f aca="false">Resumo!$C$9</f>
        <v>0</v>
      </c>
      <c r="S804" s="39" t="n">
        <f aca="false">Resumo!$C$13</f>
        <v>13.55</v>
      </c>
      <c r="T804" s="39" t="n">
        <f aca="false">Resumo!$C$14*CEILING(I804,1)</f>
        <v>23.85</v>
      </c>
      <c r="U804" s="39" t="n">
        <f aca="false">SUM(M804:T804)*Resumo!$C$11</f>
        <v>0</v>
      </c>
      <c r="V804" s="39" t="n">
        <f aca="false">SUM(M804:U804)</f>
        <v>99.641358</v>
      </c>
      <c r="W804" s="39" t="n">
        <f aca="false">V804/(1-Resumo!$C$5)</f>
        <v>113.228815909091</v>
      </c>
      <c r="X804" s="39" t="n">
        <v>112.3</v>
      </c>
      <c r="Y804" s="39" t="n">
        <f aca="false">J804*Resumo!$B$6</f>
        <v>0.61699</v>
      </c>
      <c r="Z804" s="39" t="n">
        <f aca="false">J804*Resumo!$B$7</f>
        <v>1.23398</v>
      </c>
      <c r="AA804" s="39" t="n">
        <f aca="false">Resumo!$B$9</f>
        <v>1</v>
      </c>
      <c r="AB804" s="39" t="n">
        <f aca="false">Resumo!$B$10*CEILING(I804/100,1)</f>
        <v>4.5</v>
      </c>
      <c r="AC804" s="39" t="n">
        <f aca="false">Resumo!$B$12*CEILING(I804,1)</f>
        <v>3.18</v>
      </c>
      <c r="AD804" s="39" t="n">
        <f aca="false">Resumo!$B$14*CEILING(I804,1)</f>
        <v>23.85</v>
      </c>
      <c r="AE804" s="39" t="n">
        <f aca="false">SUM(X804:AD804)</f>
        <v>146.68097</v>
      </c>
      <c r="AF804" s="39" t="n">
        <f aca="false">AE804/(1-Resumo!$B$5)</f>
        <v>166.682920454545</v>
      </c>
      <c r="AG804" s="39" t="n">
        <f aca="false">AF804-W804</f>
        <v>53.4541045454546</v>
      </c>
      <c r="AH804" s="40" t="n">
        <f aca="false">AF804/W804-1</f>
        <v>0.472089230257179</v>
      </c>
      <c r="AI804" s="37" t="str">
        <f aca="false">IF(AF804&lt;W804,"SIM","NÃO")</f>
        <v>NÃO</v>
      </c>
      <c r="AJ804" s="37" t="n">
        <v>2</v>
      </c>
      <c r="AK804" s="37" t="n">
        <v>5</v>
      </c>
      <c r="AL804" s="37" t="s">
        <v>343</v>
      </c>
      <c r="AM804" s="39" t="n">
        <v>114.11</v>
      </c>
    </row>
    <row r="805" customFormat="false" ht="15" hidden="false" customHeight="false" outlineLevel="0" collapsed="false">
      <c r="A805" s="37" t="n">
        <v>373876150</v>
      </c>
      <c r="B805" s="38" t="n">
        <v>46243.7403356481</v>
      </c>
      <c r="C805" s="37" t="s">
        <v>345</v>
      </c>
      <c r="D805" s="37" t="s">
        <v>1116</v>
      </c>
      <c r="E805" s="37" t="n">
        <v>26293307</v>
      </c>
      <c r="F805" s="37" t="s">
        <v>162</v>
      </c>
      <c r="G805" s="37" t="s">
        <v>197</v>
      </c>
      <c r="H805" s="37" t="s">
        <v>184</v>
      </c>
      <c r="I805" s="37" t="n">
        <v>33</v>
      </c>
      <c r="J805" s="39" t="n">
        <v>488.88</v>
      </c>
      <c r="K805" s="37" t="s">
        <v>342</v>
      </c>
      <c r="L805" s="39" t="n">
        <v>101.74</v>
      </c>
      <c r="M805" s="39" t="n">
        <v>58.8</v>
      </c>
      <c r="N805" s="39" t="n">
        <f aca="false">J805*Resumo!$C$6</f>
        <v>0</v>
      </c>
      <c r="O805" s="39" t="n">
        <f aca="false">J805*Resumo!$C$7</f>
        <v>1.026648</v>
      </c>
      <c r="P805" s="39" t="n">
        <f aca="false">J805*Resumo!$C$8</f>
        <v>1.026648</v>
      </c>
      <c r="Q805" s="39" t="n">
        <f aca="false">Resumo!$C$10*CEILING(I805/100,1)</f>
        <v>1.05</v>
      </c>
      <c r="R805" s="39" t="n">
        <f aca="false">Resumo!$C$9</f>
        <v>0</v>
      </c>
      <c r="S805" s="39" t="n">
        <f aca="false">Resumo!$C$13</f>
        <v>13.55</v>
      </c>
      <c r="T805" s="39" t="n">
        <f aca="false">Resumo!$C$14*CEILING(I805,1)</f>
        <v>14.85</v>
      </c>
      <c r="U805" s="39" t="n">
        <f aca="false">SUM(M805:T805)*Resumo!$C$11</f>
        <v>0</v>
      </c>
      <c r="V805" s="39" t="n">
        <f aca="false">SUM(M805:U805)</f>
        <v>90.303296</v>
      </c>
      <c r="W805" s="39" t="n">
        <f aca="false">V805/(1-Resumo!$C$5)</f>
        <v>102.617381818182</v>
      </c>
      <c r="X805" s="39" t="n">
        <v>82.21</v>
      </c>
      <c r="Y805" s="39" t="n">
        <f aca="false">J805*Resumo!$B$6</f>
        <v>0.48888</v>
      </c>
      <c r="Z805" s="39" t="n">
        <f aca="false">J805*Resumo!$B$7</f>
        <v>0.97776</v>
      </c>
      <c r="AA805" s="39" t="n">
        <f aca="false">Resumo!$B$9</f>
        <v>1</v>
      </c>
      <c r="AB805" s="39" t="n">
        <f aca="false">Resumo!$B$10*CEILING(I805/100,1)</f>
        <v>4.5</v>
      </c>
      <c r="AC805" s="39" t="n">
        <f aca="false">Resumo!$B$12*CEILING(I805,1)</f>
        <v>1.98</v>
      </c>
      <c r="AD805" s="39" t="n">
        <f aca="false">Resumo!$B$14*CEILING(I805,1)</f>
        <v>14.85</v>
      </c>
      <c r="AE805" s="39" t="n">
        <f aca="false">SUM(X805:AD805)</f>
        <v>106.00664</v>
      </c>
      <c r="AF805" s="39" t="n">
        <f aca="false">AE805/(1-Resumo!$B$5)</f>
        <v>120.462090909091</v>
      </c>
      <c r="AG805" s="39" t="n">
        <f aca="false">AF805-W805</f>
        <v>17.8447090909091</v>
      </c>
      <c r="AH805" s="40" t="n">
        <f aca="false">AF805/W805-1</f>
        <v>0.173895579625355</v>
      </c>
      <c r="AI805" s="37" t="str">
        <f aca="false">IF(AF805&lt;W805,"SIM","NÃO")</f>
        <v>NÃO</v>
      </c>
      <c r="AJ805" s="37" t="n">
        <v>2</v>
      </c>
      <c r="AK805" s="37" t="n">
        <v>5</v>
      </c>
      <c r="AL805" s="37" t="s">
        <v>343</v>
      </c>
      <c r="AM805" s="39" t="n">
        <v>101.73</v>
      </c>
    </row>
    <row r="806" customFormat="false" ht="15" hidden="false" customHeight="false" outlineLevel="0" collapsed="false">
      <c r="A806" s="37" t="n">
        <v>373884240</v>
      </c>
      <c r="B806" s="38" t="n">
        <v>46243.7589467593</v>
      </c>
      <c r="C806" s="37" t="s">
        <v>372</v>
      </c>
      <c r="D806" s="37" t="s">
        <v>1117</v>
      </c>
      <c r="E806" s="37" t="n">
        <v>26173140</v>
      </c>
      <c r="F806" s="37" t="s">
        <v>165</v>
      </c>
      <c r="G806" s="37" t="s">
        <v>197</v>
      </c>
      <c r="H806" s="37" t="s">
        <v>188</v>
      </c>
      <c r="I806" s="37" t="n">
        <v>61.4</v>
      </c>
      <c r="J806" s="39" t="n">
        <v>1069.99</v>
      </c>
      <c r="K806" s="37" t="s">
        <v>518</v>
      </c>
      <c r="L806" s="39" t="n">
        <v>140.4</v>
      </c>
      <c r="M806" s="39" t="n">
        <v>76.55</v>
      </c>
      <c r="N806" s="39" t="n">
        <f aca="false">J806*Resumo!$C$6</f>
        <v>0</v>
      </c>
      <c r="O806" s="39" t="n">
        <f aca="false">J806*Resumo!$C$7</f>
        <v>2.246979</v>
      </c>
      <c r="P806" s="39" t="n">
        <f aca="false">J806*Resumo!$C$8</f>
        <v>2.246979</v>
      </c>
      <c r="Q806" s="39" t="n">
        <f aca="false">Resumo!$C$10*CEILING(I806/100,1)</f>
        <v>1.05</v>
      </c>
      <c r="R806" s="39" t="n">
        <f aca="false">Resumo!$C$9</f>
        <v>0</v>
      </c>
      <c r="S806" s="39" t="n">
        <f aca="false">Resumo!$C$13</f>
        <v>13.55</v>
      </c>
      <c r="T806" s="39" t="n">
        <f aca="false">Resumo!$C$14*CEILING(I806,1)</f>
        <v>27.9</v>
      </c>
      <c r="U806" s="39" t="n">
        <f aca="false">SUM(M806:T806)*Resumo!$C$11</f>
        <v>0</v>
      </c>
      <c r="V806" s="39" t="n">
        <f aca="false">SUM(M806:U806)</f>
        <v>123.543958</v>
      </c>
      <c r="W806" s="39" t="n">
        <f aca="false">V806/(1-Resumo!$C$5)</f>
        <v>140.390861363636</v>
      </c>
      <c r="X806" s="39" t="n">
        <v>131.02</v>
      </c>
      <c r="Y806" s="39" t="n">
        <f aca="false">J806*Resumo!$B$6</f>
        <v>1.06999</v>
      </c>
      <c r="Z806" s="39" t="n">
        <f aca="false">J806*Resumo!$B$7</f>
        <v>2.13998</v>
      </c>
      <c r="AA806" s="39" t="n">
        <f aca="false">Resumo!$B$9</f>
        <v>1</v>
      </c>
      <c r="AB806" s="39" t="n">
        <f aca="false">Resumo!$B$10*CEILING(I806/100,1)</f>
        <v>4.5</v>
      </c>
      <c r="AC806" s="39" t="n">
        <f aca="false">Resumo!$B$12*CEILING(I806,1)</f>
        <v>3.72</v>
      </c>
      <c r="AD806" s="39" t="n">
        <f aca="false">Resumo!$B$14*CEILING(I806,1)</f>
        <v>27.9</v>
      </c>
      <c r="AE806" s="39" t="n">
        <f aca="false">SUM(X806:AD806)</f>
        <v>171.34997</v>
      </c>
      <c r="AF806" s="39" t="n">
        <f aca="false">AE806/(1-Resumo!$B$5)</f>
        <v>194.715875</v>
      </c>
      <c r="AG806" s="39" t="n">
        <f aca="false">AF806-W806</f>
        <v>54.3250136363637</v>
      </c>
      <c r="AH806" s="40" t="n">
        <f aca="false">AF806/W806-1</f>
        <v>0.386955483488719</v>
      </c>
      <c r="AI806" s="37" t="str">
        <f aca="false">IF(AF806&lt;W806,"SIM","NÃO")</f>
        <v>NÃO</v>
      </c>
      <c r="AJ806" s="37" t="n">
        <v>2</v>
      </c>
      <c r="AK806" s="37" t="n">
        <v>5</v>
      </c>
      <c r="AL806" s="37" t="s">
        <v>343</v>
      </c>
      <c r="AM806" s="39" t="n">
        <v>141.56</v>
      </c>
    </row>
    <row r="807" customFormat="false" ht="15" hidden="false" customHeight="false" outlineLevel="0" collapsed="false">
      <c r="A807" s="37" t="n">
        <v>373891268</v>
      </c>
      <c r="B807" s="38" t="n">
        <v>46243.7757986111</v>
      </c>
      <c r="C807" s="37" t="s">
        <v>340</v>
      </c>
      <c r="D807" s="37" t="s">
        <v>1118</v>
      </c>
      <c r="E807" s="37" t="n">
        <v>24722250</v>
      </c>
      <c r="F807" s="37" t="s">
        <v>160</v>
      </c>
      <c r="G807" s="37" t="s">
        <v>197</v>
      </c>
      <c r="H807" s="37" t="s">
        <v>187</v>
      </c>
      <c r="I807" s="37" t="n">
        <v>51.06</v>
      </c>
      <c r="J807" s="39" t="n">
        <v>749.99</v>
      </c>
      <c r="K807" s="37" t="s">
        <v>518</v>
      </c>
      <c r="L807" s="39" t="n">
        <v>127.41</v>
      </c>
      <c r="M807" s="39" t="n">
        <v>70.98</v>
      </c>
      <c r="N807" s="39" t="n">
        <f aca="false">J807*Resumo!$C$6</f>
        <v>0</v>
      </c>
      <c r="O807" s="39" t="n">
        <f aca="false">J807*Resumo!$C$7</f>
        <v>1.574979</v>
      </c>
      <c r="P807" s="39" t="n">
        <f aca="false">J807*Resumo!$C$8</f>
        <v>1.574979</v>
      </c>
      <c r="Q807" s="39" t="n">
        <f aca="false">Resumo!$C$10*CEILING(I807/100,1)</f>
        <v>1.05</v>
      </c>
      <c r="R807" s="39" t="n">
        <f aca="false">Resumo!$C$9</f>
        <v>0</v>
      </c>
      <c r="S807" s="39" t="n">
        <f aca="false">Resumo!$C$13</f>
        <v>13.55</v>
      </c>
      <c r="T807" s="39" t="n">
        <f aca="false">Resumo!$C$14*CEILING(I807,1)</f>
        <v>23.4</v>
      </c>
      <c r="U807" s="39" t="n">
        <f aca="false">SUM(M807:T807)*Resumo!$C$11</f>
        <v>0</v>
      </c>
      <c r="V807" s="39" t="n">
        <f aca="false">SUM(M807:U807)</f>
        <v>112.129958</v>
      </c>
      <c r="W807" s="39" t="n">
        <f aca="false">V807/(1-Resumo!$C$5)</f>
        <v>127.420406818182</v>
      </c>
      <c r="X807" s="39" t="n">
        <v>128.14</v>
      </c>
      <c r="Y807" s="39" t="n">
        <f aca="false">J807*Resumo!$B$6</f>
        <v>0.74999</v>
      </c>
      <c r="Z807" s="39" t="n">
        <f aca="false">J807*Resumo!$B$7</f>
        <v>1.49998</v>
      </c>
      <c r="AA807" s="39" t="n">
        <f aca="false">Resumo!$B$9</f>
        <v>1</v>
      </c>
      <c r="AB807" s="39" t="n">
        <f aca="false">Resumo!$B$10*CEILING(I807/100,1)</f>
        <v>4.5</v>
      </c>
      <c r="AC807" s="39" t="n">
        <f aca="false">Resumo!$B$12*CEILING(I807,1)</f>
        <v>3.12</v>
      </c>
      <c r="AD807" s="39" t="n">
        <f aca="false">Resumo!$B$14*CEILING(I807,1)</f>
        <v>23.4</v>
      </c>
      <c r="AE807" s="39" t="n">
        <f aca="false">SUM(X807:AD807)</f>
        <v>162.40997</v>
      </c>
      <c r="AF807" s="39" t="n">
        <f aca="false">AE807/(1-Resumo!$B$5)</f>
        <v>184.556784090909</v>
      </c>
      <c r="AG807" s="39" t="n">
        <f aca="false">AF807-W807</f>
        <v>57.1363772727272</v>
      </c>
      <c r="AH807" s="40" t="n">
        <f aca="false">AF807/W807-1</f>
        <v>0.448408372720518</v>
      </c>
      <c r="AI807" s="37" t="str">
        <f aca="false">IF(AF807&lt;W807,"SIM","NÃO")</f>
        <v>NÃO</v>
      </c>
      <c r="AJ807" s="37" t="n">
        <v>2</v>
      </c>
      <c r="AK807" s="37" t="n">
        <v>7</v>
      </c>
      <c r="AL807" s="37" t="s">
        <v>343</v>
      </c>
      <c r="AM807" s="39" t="n">
        <v>128.88</v>
      </c>
    </row>
    <row r="808" customFormat="false" ht="15" hidden="false" customHeight="false" outlineLevel="0" collapsed="false">
      <c r="A808" s="37" t="n">
        <v>373894141</v>
      </c>
      <c r="B808" s="38" t="n">
        <v>46243.7871643519</v>
      </c>
      <c r="C808" s="37" t="s">
        <v>361</v>
      </c>
      <c r="D808" s="37" t="s">
        <v>1119</v>
      </c>
      <c r="E808" s="37" t="n">
        <v>26177110</v>
      </c>
      <c r="F808" s="37" t="s">
        <v>165</v>
      </c>
      <c r="G808" s="37" t="s">
        <v>197</v>
      </c>
      <c r="H808" s="37" t="s">
        <v>184</v>
      </c>
      <c r="I808" s="37" t="n">
        <v>27.5</v>
      </c>
      <c r="J808" s="39" t="n">
        <v>399.99</v>
      </c>
      <c r="K808" s="37" t="s">
        <v>518</v>
      </c>
      <c r="L808" s="39" t="n">
        <v>99.64</v>
      </c>
      <c r="M808" s="39" t="n">
        <v>58.8</v>
      </c>
      <c r="N808" s="39" t="n">
        <f aca="false">J808*Resumo!$C$6</f>
        <v>0</v>
      </c>
      <c r="O808" s="39" t="n">
        <f aca="false">J808*Resumo!$C$7</f>
        <v>0.839979</v>
      </c>
      <c r="P808" s="39" t="n">
        <f aca="false">J808*Resumo!$C$8</f>
        <v>0.839979</v>
      </c>
      <c r="Q808" s="39" t="n">
        <f aca="false">Resumo!$C$10*CEILING(I808/100,1)</f>
        <v>1.05</v>
      </c>
      <c r="R808" s="39" t="n">
        <f aca="false">Resumo!$C$9</f>
        <v>0</v>
      </c>
      <c r="S808" s="39" t="n">
        <f aca="false">Resumo!$C$13</f>
        <v>13.55</v>
      </c>
      <c r="T808" s="39" t="n">
        <f aca="false">Resumo!$C$14*CEILING(I808,1)</f>
        <v>12.6</v>
      </c>
      <c r="U808" s="39" t="n">
        <f aca="false">SUM(M808:T808)*Resumo!$C$11</f>
        <v>0</v>
      </c>
      <c r="V808" s="39" t="n">
        <f aca="false">SUM(M808:U808)</f>
        <v>87.679958</v>
      </c>
      <c r="W808" s="39" t="n">
        <f aca="false">V808/(1-Resumo!$C$5)</f>
        <v>99.6363159090909</v>
      </c>
      <c r="X808" s="39" t="n">
        <v>82.21</v>
      </c>
      <c r="Y808" s="39" t="n">
        <f aca="false">J808*Resumo!$B$6</f>
        <v>0.39999</v>
      </c>
      <c r="Z808" s="39" t="n">
        <f aca="false">J808*Resumo!$B$7</f>
        <v>0.79998</v>
      </c>
      <c r="AA808" s="39" t="n">
        <f aca="false">Resumo!$B$9</f>
        <v>1</v>
      </c>
      <c r="AB808" s="39" t="n">
        <f aca="false">Resumo!$B$10*CEILING(I808/100,1)</f>
        <v>4.5</v>
      </c>
      <c r="AC808" s="39" t="n">
        <f aca="false">Resumo!$B$12*CEILING(I808,1)</f>
        <v>1.68</v>
      </c>
      <c r="AD808" s="39" t="n">
        <f aca="false">Resumo!$B$14*CEILING(I808,1)</f>
        <v>12.6</v>
      </c>
      <c r="AE808" s="39" t="n">
        <f aca="false">SUM(X808:AD808)</f>
        <v>103.18997</v>
      </c>
      <c r="AF808" s="39" t="n">
        <f aca="false">AE808/(1-Resumo!$B$5)</f>
        <v>117.261329545455</v>
      </c>
      <c r="AG808" s="39" t="n">
        <f aca="false">AF808-W808</f>
        <v>17.6250136363636</v>
      </c>
      <c r="AH808" s="40" t="n">
        <f aca="false">AF808/W808-1</f>
        <v>0.17689346977105</v>
      </c>
      <c r="AI808" s="37" t="str">
        <f aca="false">IF(AF808&lt;W808,"SIM","NÃO")</f>
        <v>NÃO</v>
      </c>
      <c r="AJ808" s="37" t="n">
        <v>2</v>
      </c>
      <c r="AK808" s="37" t="n">
        <v>5</v>
      </c>
      <c r="AL808" s="37" t="s">
        <v>343</v>
      </c>
      <c r="AM808" s="39" t="n">
        <v>101.3</v>
      </c>
    </row>
    <row r="809" customFormat="false" ht="15" hidden="false" customHeight="false" outlineLevel="0" collapsed="false">
      <c r="A809" s="37" t="n">
        <v>373919169</v>
      </c>
      <c r="B809" s="38" t="n">
        <v>46243.8404976852</v>
      </c>
      <c r="C809" s="37" t="s">
        <v>340</v>
      </c>
      <c r="D809" s="37" t="s">
        <v>1120</v>
      </c>
      <c r="E809" s="37" t="n">
        <v>24455436</v>
      </c>
      <c r="F809" s="37" t="s">
        <v>160</v>
      </c>
      <c r="G809" s="37" t="s">
        <v>197</v>
      </c>
      <c r="H809" s="37" t="s">
        <v>185</v>
      </c>
      <c r="I809" s="37" t="n">
        <v>37.6</v>
      </c>
      <c r="J809" s="39" t="n">
        <v>391.05</v>
      </c>
      <c r="K809" s="37" t="s">
        <v>518</v>
      </c>
      <c r="L809" s="39" t="n">
        <v>113.83</v>
      </c>
      <c r="M809" s="39" t="n">
        <v>66.83</v>
      </c>
      <c r="N809" s="39" t="n">
        <f aca="false">J809*Resumo!$C$6</f>
        <v>0</v>
      </c>
      <c r="O809" s="39" t="n">
        <f aca="false">J809*Resumo!$C$7</f>
        <v>0.821205</v>
      </c>
      <c r="P809" s="39" t="n">
        <f aca="false">J809*Resumo!$C$8</f>
        <v>0.821205</v>
      </c>
      <c r="Q809" s="39" t="n">
        <f aca="false">Resumo!$C$10*CEILING(I809/100,1)</f>
        <v>1.05</v>
      </c>
      <c r="R809" s="39" t="n">
        <f aca="false">Resumo!$C$9</f>
        <v>0</v>
      </c>
      <c r="S809" s="39" t="n">
        <f aca="false">Resumo!$C$13</f>
        <v>13.55</v>
      </c>
      <c r="T809" s="39" t="n">
        <f aca="false">Resumo!$C$14*CEILING(I809,1)</f>
        <v>17.1</v>
      </c>
      <c r="U809" s="39" t="n">
        <f aca="false">SUM(M809:T809)*Resumo!$C$11</f>
        <v>0</v>
      </c>
      <c r="V809" s="39" t="n">
        <f aca="false">SUM(M809:U809)</f>
        <v>100.17241</v>
      </c>
      <c r="W809" s="39" t="n">
        <f aca="false">V809/(1-Resumo!$C$5)</f>
        <v>113.832284090909</v>
      </c>
      <c r="X809" s="39" t="n">
        <v>114.95</v>
      </c>
      <c r="Y809" s="39" t="n">
        <f aca="false">J809*Resumo!$B$6</f>
        <v>0.39105</v>
      </c>
      <c r="Z809" s="39" t="n">
        <f aca="false">J809*Resumo!$B$7</f>
        <v>0.7821</v>
      </c>
      <c r="AA809" s="39" t="n">
        <f aca="false">Resumo!$B$9</f>
        <v>1</v>
      </c>
      <c r="AB809" s="39" t="n">
        <f aca="false">Resumo!$B$10*CEILING(I809/100,1)</f>
        <v>4.5</v>
      </c>
      <c r="AC809" s="39" t="n">
        <f aca="false">Resumo!$B$12*CEILING(I809,1)</f>
        <v>2.28</v>
      </c>
      <c r="AD809" s="39" t="n">
        <f aca="false">Resumo!$B$14*CEILING(I809,1)</f>
        <v>17.1</v>
      </c>
      <c r="AE809" s="39" t="n">
        <f aca="false">SUM(X809:AD809)</f>
        <v>141.00315</v>
      </c>
      <c r="AF809" s="39" t="n">
        <f aca="false">AE809/(1-Resumo!$B$5)</f>
        <v>160.230852272727</v>
      </c>
      <c r="AG809" s="39" t="n">
        <f aca="false">AF809-W809</f>
        <v>46.3985681818182</v>
      </c>
      <c r="AH809" s="40" t="n">
        <f aca="false">AF809/W809-1</f>
        <v>0.407604648824961</v>
      </c>
      <c r="AI809" s="37" t="str">
        <f aca="false">IF(AF809&lt;W809,"SIM","NÃO")</f>
        <v>NÃO</v>
      </c>
      <c r="AJ809" s="37" t="n">
        <v>2</v>
      </c>
      <c r="AK809" s="37" t="n">
        <v>7</v>
      </c>
      <c r="AL809" s="37" t="s">
        <v>343</v>
      </c>
      <c r="AM809" s="39" t="n">
        <v>112.83</v>
      </c>
    </row>
    <row r="810" customFormat="false" ht="15" hidden="false" customHeight="false" outlineLevel="0" collapsed="false">
      <c r="A810" s="37" t="n">
        <v>373924457</v>
      </c>
      <c r="B810" s="38" t="n">
        <v>46243.8521412037</v>
      </c>
      <c r="C810" s="37" t="s">
        <v>340</v>
      </c>
      <c r="D810" s="37" t="s">
        <v>1121</v>
      </c>
      <c r="E810" s="37" t="n">
        <v>23550105</v>
      </c>
      <c r="F810" s="37" t="s">
        <v>159</v>
      </c>
      <c r="G810" s="37" t="s">
        <v>196</v>
      </c>
      <c r="H810" s="37" t="s">
        <v>184</v>
      </c>
      <c r="I810" s="37" t="n">
        <v>28.8</v>
      </c>
      <c r="J810" s="39" t="n">
        <v>881.88</v>
      </c>
      <c r="K810" s="37" t="s">
        <v>518</v>
      </c>
      <c r="L810" s="39" t="n">
        <v>83.48</v>
      </c>
      <c r="M810" s="39" t="n">
        <v>42.11</v>
      </c>
      <c r="N810" s="39" t="n">
        <f aca="false">J810*Resumo!$C$6</f>
        <v>0</v>
      </c>
      <c r="O810" s="39" t="n">
        <f aca="false">J810*Resumo!$C$7</f>
        <v>1.851948</v>
      </c>
      <c r="P810" s="39" t="n">
        <f aca="false">J810*Resumo!$C$8</f>
        <v>1.851948</v>
      </c>
      <c r="Q810" s="39" t="n">
        <f aca="false">Resumo!$C$10*CEILING(I810/100,1)</f>
        <v>1.05</v>
      </c>
      <c r="R810" s="39" t="n">
        <f aca="false">Resumo!$C$9</f>
        <v>0</v>
      </c>
      <c r="S810" s="39" t="n">
        <f aca="false">Resumo!$C$13</f>
        <v>13.55</v>
      </c>
      <c r="T810" s="39" t="n">
        <f aca="false">Resumo!$C$14*CEILING(I810,1)</f>
        <v>13.05</v>
      </c>
      <c r="U810" s="39" t="n">
        <f aca="false">SUM(M810:T810)*Resumo!$C$11</f>
        <v>0</v>
      </c>
      <c r="V810" s="39" t="n">
        <f aca="false">SUM(M810:U810)</f>
        <v>73.463896</v>
      </c>
      <c r="W810" s="39" t="n">
        <f aca="false">V810/(1-Resumo!$C$5)</f>
        <v>83.4817</v>
      </c>
      <c r="X810" s="39" t="n">
        <v>82.21</v>
      </c>
      <c r="Y810" s="39" t="n">
        <f aca="false">J810*Resumo!$B$6</f>
        <v>0.88188</v>
      </c>
      <c r="Z810" s="39" t="n">
        <f aca="false">J810*Resumo!$B$7</f>
        <v>1.76376</v>
      </c>
      <c r="AA810" s="39" t="n">
        <f aca="false">Resumo!$B$9</f>
        <v>1</v>
      </c>
      <c r="AB810" s="39" t="n">
        <f aca="false">Resumo!$B$10*CEILING(I810/100,1)</f>
        <v>4.5</v>
      </c>
      <c r="AC810" s="39" t="n">
        <f aca="false">Resumo!$B$12*CEILING(I810,1)</f>
        <v>1.74</v>
      </c>
      <c r="AD810" s="39" t="n">
        <f aca="false">Resumo!$B$14*CEILING(I810,1)</f>
        <v>13.05</v>
      </c>
      <c r="AE810" s="39" t="n">
        <f aca="false">SUM(X810:AD810)</f>
        <v>105.14564</v>
      </c>
      <c r="AF810" s="39" t="n">
        <f aca="false">AE810/(1-Resumo!$B$5)</f>
        <v>119.483681818182</v>
      </c>
      <c r="AG810" s="39" t="n">
        <f aca="false">AF810-W810</f>
        <v>36.0019818181818</v>
      </c>
      <c r="AH810" s="40" t="n">
        <f aca="false">AF810/W810-1</f>
        <v>0.431255973682637</v>
      </c>
      <c r="AI810" s="37" t="str">
        <f aca="false">IF(AF810&lt;W810,"SIM","NÃO")</f>
        <v>NÃO</v>
      </c>
      <c r="AJ810" s="37" t="n">
        <v>2</v>
      </c>
      <c r="AK810" s="37" t="n">
        <v>5</v>
      </c>
      <c r="AL810" s="37" t="s">
        <v>343</v>
      </c>
      <c r="AM810" s="39" t="n">
        <v>84.55</v>
      </c>
    </row>
    <row r="811" customFormat="false" ht="15" hidden="false" customHeight="false" outlineLevel="0" collapsed="false">
      <c r="A811" s="37" t="n">
        <v>373932103</v>
      </c>
      <c r="B811" s="38" t="n">
        <v>46243.8693055556</v>
      </c>
      <c r="C811" s="37" t="s">
        <v>345</v>
      </c>
      <c r="D811" s="37" t="s">
        <v>1122</v>
      </c>
      <c r="E811" s="37" t="n">
        <v>22011900</v>
      </c>
      <c r="F811" s="37" t="s">
        <v>159</v>
      </c>
      <c r="G811" s="37" t="s">
        <v>196</v>
      </c>
      <c r="H811" s="37" t="s">
        <v>186</v>
      </c>
      <c r="I811" s="37" t="n">
        <v>48.6</v>
      </c>
      <c r="J811" s="39" t="n">
        <v>583</v>
      </c>
      <c r="K811" s="37" t="s">
        <v>342</v>
      </c>
      <c r="L811" s="39" t="n">
        <v>103.39</v>
      </c>
      <c r="M811" s="39" t="n">
        <v>53.55</v>
      </c>
      <c r="N811" s="39" t="n">
        <f aca="false">J811*Resumo!$C$6</f>
        <v>0</v>
      </c>
      <c r="O811" s="39" t="n">
        <f aca="false">J811*Resumo!$C$7</f>
        <v>1.2243</v>
      </c>
      <c r="P811" s="39" t="n">
        <f aca="false">J811*Resumo!$C$8</f>
        <v>1.2243</v>
      </c>
      <c r="Q811" s="39" t="n">
        <f aca="false">Resumo!$C$10*CEILING(I811/100,1)</f>
        <v>1.05</v>
      </c>
      <c r="R811" s="39" t="n">
        <f aca="false">Resumo!$C$9</f>
        <v>0</v>
      </c>
      <c r="S811" s="39" t="n">
        <f aca="false">Resumo!$C$13</f>
        <v>13.55</v>
      </c>
      <c r="T811" s="39" t="n">
        <f aca="false">Resumo!$C$14*CEILING(I811,1)</f>
        <v>22.05</v>
      </c>
      <c r="U811" s="39" t="n">
        <f aca="false">SUM(M811:T811)*Resumo!$C$11</f>
        <v>0</v>
      </c>
      <c r="V811" s="39" t="n">
        <f aca="false">SUM(M811:U811)</f>
        <v>92.6486</v>
      </c>
      <c r="W811" s="39" t="n">
        <f aca="false">V811/(1-Resumo!$C$5)</f>
        <v>105.2825</v>
      </c>
      <c r="X811" s="39" t="n">
        <v>93.97</v>
      </c>
      <c r="Y811" s="39" t="n">
        <f aca="false">J811*Resumo!$B$6</f>
        <v>0.583</v>
      </c>
      <c r="Z811" s="39" t="n">
        <f aca="false">J811*Resumo!$B$7</f>
        <v>1.166</v>
      </c>
      <c r="AA811" s="39" t="n">
        <f aca="false">Resumo!$B$9</f>
        <v>1</v>
      </c>
      <c r="AB811" s="39" t="n">
        <f aca="false">Resumo!$B$10*CEILING(I811/100,1)</f>
        <v>4.5</v>
      </c>
      <c r="AC811" s="39" t="n">
        <f aca="false">Resumo!$B$12*CEILING(I811,1)</f>
        <v>2.94</v>
      </c>
      <c r="AD811" s="39" t="n">
        <f aca="false">Resumo!$B$14*CEILING(I811,1)</f>
        <v>22.05</v>
      </c>
      <c r="AE811" s="39" t="n">
        <f aca="false">SUM(X811:AD811)</f>
        <v>126.209</v>
      </c>
      <c r="AF811" s="39" t="n">
        <f aca="false">AE811/(1-Resumo!$B$5)</f>
        <v>143.419318181818</v>
      </c>
      <c r="AG811" s="39" t="n">
        <f aca="false">AF811-W811</f>
        <v>38.1368181818182</v>
      </c>
      <c r="AH811" s="40" t="n">
        <f aca="false">AF811/W811-1</f>
        <v>0.362233212374499</v>
      </c>
      <c r="AI811" s="37" t="str">
        <f aca="false">IF(AF811&lt;W811,"SIM","NÃO")</f>
        <v>NÃO</v>
      </c>
      <c r="AJ811" s="37" t="n">
        <v>2</v>
      </c>
      <c r="AK811" s="37" t="n">
        <v>5</v>
      </c>
      <c r="AL811" s="37" t="s">
        <v>343</v>
      </c>
      <c r="AM811" s="39" t="n">
        <v>103.38</v>
      </c>
    </row>
    <row r="812" customFormat="false" ht="15" hidden="false" customHeight="false" outlineLevel="0" collapsed="false">
      <c r="A812" s="37" t="n">
        <v>373932564</v>
      </c>
      <c r="B812" s="38" t="n">
        <v>46243.8703472222</v>
      </c>
      <c r="C812" s="37" t="s">
        <v>345</v>
      </c>
      <c r="D812" s="37" t="s">
        <v>1123</v>
      </c>
      <c r="E812" s="37" t="n">
        <v>23035600</v>
      </c>
      <c r="F812" s="37" t="s">
        <v>159</v>
      </c>
      <c r="G812" s="37" t="s">
        <v>196</v>
      </c>
      <c r="H812" s="37" t="s">
        <v>184</v>
      </c>
      <c r="I812" s="37" t="n">
        <v>31.9</v>
      </c>
      <c r="J812" s="39" t="n">
        <v>466.39</v>
      </c>
      <c r="K812" s="37" t="s">
        <v>518</v>
      </c>
      <c r="L812" s="39" t="n">
        <v>83.03</v>
      </c>
      <c r="M812" s="39" t="n">
        <v>42.11</v>
      </c>
      <c r="N812" s="39" t="n">
        <f aca="false">J812*Resumo!$C$6</f>
        <v>0</v>
      </c>
      <c r="O812" s="39" t="n">
        <f aca="false">J812*Resumo!$C$7</f>
        <v>0.979419</v>
      </c>
      <c r="P812" s="39" t="n">
        <f aca="false">J812*Resumo!$C$8</f>
        <v>0.979419</v>
      </c>
      <c r="Q812" s="39" t="n">
        <f aca="false">Resumo!$C$10*CEILING(I812/100,1)</f>
        <v>1.05</v>
      </c>
      <c r="R812" s="39" t="n">
        <f aca="false">Resumo!$C$9</f>
        <v>0</v>
      </c>
      <c r="S812" s="39" t="n">
        <f aca="false">Resumo!$C$13</f>
        <v>13.55</v>
      </c>
      <c r="T812" s="39" t="n">
        <f aca="false">Resumo!$C$14*CEILING(I812,1)</f>
        <v>14.4</v>
      </c>
      <c r="U812" s="39" t="n">
        <f aca="false">SUM(M812:T812)*Resumo!$C$11</f>
        <v>0</v>
      </c>
      <c r="V812" s="39" t="n">
        <f aca="false">SUM(M812:U812)</f>
        <v>73.068838</v>
      </c>
      <c r="W812" s="39" t="n">
        <f aca="false">V812/(1-Resumo!$C$5)</f>
        <v>83.0327704545455</v>
      </c>
      <c r="X812" s="39" t="n">
        <v>82.21</v>
      </c>
      <c r="Y812" s="39" t="n">
        <f aca="false">J812*Resumo!$B$6</f>
        <v>0.46639</v>
      </c>
      <c r="Z812" s="39" t="n">
        <f aca="false">J812*Resumo!$B$7</f>
        <v>0.93278</v>
      </c>
      <c r="AA812" s="39" t="n">
        <f aca="false">Resumo!$B$9</f>
        <v>1</v>
      </c>
      <c r="AB812" s="39" t="n">
        <f aca="false">Resumo!$B$10*CEILING(I812/100,1)</f>
        <v>4.5</v>
      </c>
      <c r="AC812" s="39" t="n">
        <f aca="false">Resumo!$B$12*CEILING(I812,1)</f>
        <v>1.92</v>
      </c>
      <c r="AD812" s="39" t="n">
        <f aca="false">Resumo!$B$14*CEILING(I812,1)</f>
        <v>14.4</v>
      </c>
      <c r="AE812" s="39" t="n">
        <f aca="false">SUM(X812:AD812)</f>
        <v>105.42917</v>
      </c>
      <c r="AF812" s="39" t="n">
        <f aca="false">AE812/(1-Resumo!$B$5)</f>
        <v>119.805875</v>
      </c>
      <c r="AG812" s="39" t="n">
        <f aca="false">AF812-W812</f>
        <v>36.7731045454545</v>
      </c>
      <c r="AH812" s="40" t="n">
        <f aca="false">AF812/W812-1</f>
        <v>0.442874594502242</v>
      </c>
      <c r="AI812" s="37" t="str">
        <f aca="false">IF(AF812&lt;W812,"SIM","NÃO")</f>
        <v>NÃO</v>
      </c>
      <c r="AJ812" s="37" t="n">
        <v>2</v>
      </c>
      <c r="AK812" s="37" t="n">
        <v>5</v>
      </c>
      <c r="AL812" s="37" t="s">
        <v>343</v>
      </c>
      <c r="AM812" s="39" t="n">
        <v>82.56</v>
      </c>
    </row>
    <row r="813" customFormat="false" ht="15" hidden="false" customHeight="false" outlineLevel="0" collapsed="false">
      <c r="A813" s="37" t="n">
        <v>373938912</v>
      </c>
      <c r="B813" s="38" t="n">
        <v>46243.8841782407</v>
      </c>
      <c r="C813" s="37" t="s">
        <v>345</v>
      </c>
      <c r="D813" s="37" t="s">
        <v>1124</v>
      </c>
      <c r="E813" s="37" t="n">
        <v>26553495</v>
      </c>
      <c r="F813" s="37" t="s">
        <v>175</v>
      </c>
      <c r="G813" s="37" t="s">
        <v>197</v>
      </c>
      <c r="H813" s="37" t="s">
        <v>188</v>
      </c>
      <c r="I813" s="37" t="n">
        <v>69.15</v>
      </c>
      <c r="J813" s="39" t="n">
        <v>707</v>
      </c>
      <c r="K813" s="37" t="s">
        <v>518</v>
      </c>
      <c r="L813" s="39" t="n">
        <v>142.74</v>
      </c>
      <c r="M813" s="39" t="n">
        <v>76.55</v>
      </c>
      <c r="N813" s="39" t="n">
        <f aca="false">J813*Resumo!$C$6</f>
        <v>0</v>
      </c>
      <c r="O813" s="39" t="n">
        <f aca="false">J813*Resumo!$C$7</f>
        <v>1.4847</v>
      </c>
      <c r="P813" s="39" t="n">
        <f aca="false">J813*Resumo!$C$8</f>
        <v>1.4847</v>
      </c>
      <c r="Q813" s="39" t="n">
        <f aca="false">Resumo!$C$10*CEILING(I813/100,1)</f>
        <v>1.05</v>
      </c>
      <c r="R813" s="39" t="n">
        <f aca="false">Resumo!$C$9</f>
        <v>0</v>
      </c>
      <c r="S813" s="39" t="n">
        <f aca="false">Resumo!$C$13</f>
        <v>13.55</v>
      </c>
      <c r="T813" s="39" t="n">
        <f aca="false">Resumo!$C$14*CEILING(I813,1)</f>
        <v>31.5</v>
      </c>
      <c r="U813" s="39" t="n">
        <f aca="false">SUM(M813:T813)*Resumo!$C$11</f>
        <v>0</v>
      </c>
      <c r="V813" s="39" t="n">
        <f aca="false">SUM(M813:U813)</f>
        <v>125.6194</v>
      </c>
      <c r="W813" s="39" t="n">
        <f aca="false">V813/(1-Resumo!$C$5)</f>
        <v>142.749318181818</v>
      </c>
      <c r="X813" s="39" t="n">
        <v>131.02</v>
      </c>
      <c r="Y813" s="39" t="n">
        <f aca="false">J813*Resumo!$B$6</f>
        <v>0.707</v>
      </c>
      <c r="Z813" s="39" t="n">
        <f aca="false">J813*Resumo!$B$7</f>
        <v>1.414</v>
      </c>
      <c r="AA813" s="39" t="n">
        <f aca="false">Resumo!$B$9</f>
        <v>1</v>
      </c>
      <c r="AB813" s="39" t="n">
        <f aca="false">Resumo!$B$10*CEILING(I813/100,1)</f>
        <v>4.5</v>
      </c>
      <c r="AC813" s="39" t="n">
        <f aca="false">Resumo!$B$12*CEILING(I813,1)</f>
        <v>4.2</v>
      </c>
      <c r="AD813" s="39" t="n">
        <f aca="false">Resumo!$B$14*CEILING(I813,1)</f>
        <v>31.5</v>
      </c>
      <c r="AE813" s="39" t="n">
        <f aca="false">SUM(X813:AD813)</f>
        <v>174.341</v>
      </c>
      <c r="AF813" s="39" t="n">
        <f aca="false">AE813/(1-Resumo!$B$5)</f>
        <v>198.114772727273</v>
      </c>
      <c r="AG813" s="39" t="n">
        <f aca="false">AF813-W813</f>
        <v>55.3654545454546</v>
      </c>
      <c r="AH813" s="40" t="n">
        <f aca="false">AF813/W813-1</f>
        <v>0.387850921115688</v>
      </c>
      <c r="AI813" s="37" t="str">
        <f aca="false">IF(AF813&lt;W813,"SIM","NÃO")</f>
        <v>NÃO</v>
      </c>
      <c r="AJ813" s="37" t="n">
        <v>2</v>
      </c>
      <c r="AK813" s="37" t="n">
        <v>5</v>
      </c>
      <c r="AL813" s="37" t="s">
        <v>343</v>
      </c>
      <c r="AM813" s="39" t="n">
        <v>139.82</v>
      </c>
    </row>
    <row r="814" customFormat="false" ht="15" hidden="false" customHeight="false" outlineLevel="0" collapsed="false">
      <c r="A814" s="37" t="n">
        <v>373953975</v>
      </c>
      <c r="B814" s="38" t="n">
        <v>46243.9165972222</v>
      </c>
      <c r="C814" s="37" t="s">
        <v>340</v>
      </c>
      <c r="D814" s="37" t="s">
        <v>1125</v>
      </c>
      <c r="E814" s="37" t="n">
        <v>24130247</v>
      </c>
      <c r="F814" s="37" t="s">
        <v>163</v>
      </c>
      <c r="G814" s="37" t="s">
        <v>197</v>
      </c>
      <c r="H814" s="37" t="s">
        <v>186</v>
      </c>
      <c r="I814" s="37" t="n">
        <v>41.4</v>
      </c>
      <c r="J814" s="39" t="n">
        <v>449.99</v>
      </c>
      <c r="K814" s="37" t="s">
        <v>342</v>
      </c>
      <c r="L814" s="39" t="n">
        <v>116.23</v>
      </c>
      <c r="M814" s="39" t="n">
        <v>65.36</v>
      </c>
      <c r="N814" s="39" t="n">
        <f aca="false">J814*Resumo!$C$6</f>
        <v>0</v>
      </c>
      <c r="O814" s="39" t="n">
        <f aca="false">J814*Resumo!$C$7</f>
        <v>0.944979</v>
      </c>
      <c r="P814" s="39" t="n">
        <f aca="false">J814*Resumo!$C$8</f>
        <v>0.944979</v>
      </c>
      <c r="Q814" s="39" t="n">
        <f aca="false">Resumo!$C$10*CEILING(I814/100,1)</f>
        <v>1.05</v>
      </c>
      <c r="R814" s="39" t="n">
        <f aca="false">Resumo!$C$9</f>
        <v>0</v>
      </c>
      <c r="S814" s="39" t="n">
        <f aca="false">Resumo!$C$13</f>
        <v>13.55</v>
      </c>
      <c r="T814" s="39" t="n">
        <f aca="false">Resumo!$C$14*CEILING(I814,1)</f>
        <v>18.9</v>
      </c>
      <c r="U814" s="39" t="n">
        <f aca="false">SUM(M814:T814)*Resumo!$C$11</f>
        <v>0</v>
      </c>
      <c r="V814" s="39" t="n">
        <f aca="false">SUM(M814:U814)</f>
        <v>100.749958</v>
      </c>
      <c r="W814" s="39" t="n">
        <f aca="false">V814/(1-Resumo!$C$5)</f>
        <v>114.488588636364</v>
      </c>
      <c r="X814" s="39" t="n">
        <v>114.95</v>
      </c>
      <c r="Y814" s="39" t="n">
        <f aca="false">J814*Resumo!$B$6</f>
        <v>0.44999</v>
      </c>
      <c r="Z814" s="39" t="n">
        <f aca="false">J814*Resumo!$B$7</f>
        <v>0.89998</v>
      </c>
      <c r="AA814" s="39" t="n">
        <f aca="false">Resumo!$B$9</f>
        <v>1</v>
      </c>
      <c r="AB814" s="39" t="n">
        <f aca="false">Resumo!$B$10*CEILING(I814/100,1)</f>
        <v>4.5</v>
      </c>
      <c r="AC814" s="39" t="n">
        <f aca="false">Resumo!$B$12*CEILING(I814,1)</f>
        <v>2.52</v>
      </c>
      <c r="AD814" s="39" t="n">
        <f aca="false">Resumo!$B$14*CEILING(I814,1)</f>
        <v>18.9</v>
      </c>
      <c r="AE814" s="39" t="n">
        <f aca="false">SUM(X814:AD814)</f>
        <v>143.21997</v>
      </c>
      <c r="AF814" s="39" t="n">
        <f aca="false">AE814/(1-Resumo!$B$5)</f>
        <v>162.749965909091</v>
      </c>
      <c r="AG814" s="39" t="n">
        <f aca="false">AF814-W814</f>
        <v>48.2613772727272</v>
      </c>
      <c r="AH814" s="40" t="n">
        <f aca="false">AF814/W814-1</f>
        <v>0.421538756373476</v>
      </c>
      <c r="AI814" s="37" t="str">
        <f aca="false">IF(AF814&lt;W814,"SIM","NÃO")</f>
        <v>NÃO</v>
      </c>
      <c r="AJ814" s="37" t="n">
        <v>2</v>
      </c>
      <c r="AK814" s="37" t="n">
        <v>7</v>
      </c>
      <c r="AL814" s="37" t="s">
        <v>343</v>
      </c>
      <c r="AM814" s="39" t="n">
        <v>116.23</v>
      </c>
    </row>
    <row r="815" customFormat="false" ht="15" hidden="false" customHeight="false" outlineLevel="0" collapsed="false">
      <c r="A815" s="37" t="n">
        <v>373962758</v>
      </c>
      <c r="B815" s="38" t="n">
        <v>46243.9375925926</v>
      </c>
      <c r="C815" s="37" t="s">
        <v>340</v>
      </c>
      <c r="D815" s="37" t="s">
        <v>1126</v>
      </c>
      <c r="E815" s="37" t="n">
        <v>21230075</v>
      </c>
      <c r="F815" s="37" t="s">
        <v>159</v>
      </c>
      <c r="G815" s="37" t="s">
        <v>196</v>
      </c>
      <c r="H815" s="37" t="s">
        <v>186</v>
      </c>
      <c r="I815" s="37" t="n">
        <v>46.8</v>
      </c>
      <c r="J815" s="39" t="n">
        <v>559.99</v>
      </c>
      <c r="K815" s="37" t="s">
        <v>342</v>
      </c>
      <c r="L815" s="39" t="n">
        <v>103.27</v>
      </c>
      <c r="M815" s="39" t="n">
        <v>53.55</v>
      </c>
      <c r="N815" s="39" t="n">
        <f aca="false">J815*Resumo!$C$6</f>
        <v>0</v>
      </c>
      <c r="O815" s="39" t="n">
        <f aca="false">J815*Resumo!$C$7</f>
        <v>1.175979</v>
      </c>
      <c r="P815" s="39" t="n">
        <f aca="false">J815*Resumo!$C$8</f>
        <v>1.175979</v>
      </c>
      <c r="Q815" s="39" t="n">
        <f aca="false">Resumo!$C$10*CEILING(I815/100,1)</f>
        <v>1.05</v>
      </c>
      <c r="R815" s="39" t="n">
        <f aca="false">Resumo!$C$9</f>
        <v>0</v>
      </c>
      <c r="S815" s="39" t="n">
        <f aca="false">Resumo!$C$13</f>
        <v>13.55</v>
      </c>
      <c r="T815" s="39" t="n">
        <f aca="false">Resumo!$C$14*CEILING(I815,1)</f>
        <v>21.15</v>
      </c>
      <c r="U815" s="39" t="n">
        <f aca="false">SUM(M815:T815)*Resumo!$C$11</f>
        <v>0</v>
      </c>
      <c r="V815" s="39" t="n">
        <f aca="false">SUM(M815:U815)</f>
        <v>91.651958</v>
      </c>
      <c r="W815" s="39" t="n">
        <f aca="false">V815/(1-Resumo!$C$5)</f>
        <v>104.149952272727</v>
      </c>
      <c r="X815" s="39" t="n">
        <v>93.97</v>
      </c>
      <c r="Y815" s="39" t="n">
        <f aca="false">J815*Resumo!$B$6</f>
        <v>0.55999</v>
      </c>
      <c r="Z815" s="39" t="n">
        <f aca="false">J815*Resumo!$B$7</f>
        <v>1.11998</v>
      </c>
      <c r="AA815" s="39" t="n">
        <f aca="false">Resumo!$B$9</f>
        <v>1</v>
      </c>
      <c r="AB815" s="39" t="n">
        <f aca="false">Resumo!$B$10*CEILING(I815/100,1)</f>
        <v>4.5</v>
      </c>
      <c r="AC815" s="39" t="n">
        <f aca="false">Resumo!$B$12*CEILING(I815,1)</f>
        <v>2.82</v>
      </c>
      <c r="AD815" s="39" t="n">
        <f aca="false">Resumo!$B$14*CEILING(I815,1)</f>
        <v>21.15</v>
      </c>
      <c r="AE815" s="39" t="n">
        <f aca="false">SUM(X815:AD815)</f>
        <v>125.11997</v>
      </c>
      <c r="AF815" s="39" t="n">
        <f aca="false">AE815/(1-Resumo!$B$5)</f>
        <v>142.181784090909</v>
      </c>
      <c r="AG815" s="39" t="n">
        <f aca="false">AF815-W815</f>
        <v>38.0318318181818</v>
      </c>
      <c r="AH815" s="40" t="n">
        <f aca="false">AF815/W815-1</f>
        <v>0.365164179034779</v>
      </c>
      <c r="AI815" s="37" t="str">
        <f aca="false">IF(AF815&lt;W815,"SIM","NÃO")</f>
        <v>NÃO</v>
      </c>
      <c r="AJ815" s="37" t="n">
        <v>2</v>
      </c>
      <c r="AK815" s="37" t="n">
        <v>5</v>
      </c>
      <c r="AL815" s="37" t="s">
        <v>343</v>
      </c>
      <c r="AM815" s="39" t="n">
        <v>103.27</v>
      </c>
    </row>
    <row r="816" customFormat="false" ht="15" hidden="false" customHeight="false" outlineLevel="0" collapsed="false">
      <c r="A816" s="37" t="n">
        <v>373963089</v>
      </c>
      <c r="B816" s="38" t="n">
        <v>46243.9382291667</v>
      </c>
      <c r="C816" s="37" t="s">
        <v>345</v>
      </c>
      <c r="D816" s="37" t="s">
        <v>1127</v>
      </c>
      <c r="E816" s="37" t="n">
        <v>21520050</v>
      </c>
      <c r="F816" s="37" t="s">
        <v>159</v>
      </c>
      <c r="G816" s="37" t="s">
        <v>196</v>
      </c>
      <c r="H816" s="37" t="s">
        <v>192</v>
      </c>
      <c r="I816" s="37" t="n">
        <v>124.2</v>
      </c>
      <c r="J816" s="39" t="n">
        <v>1649.99</v>
      </c>
      <c r="K816" s="37" t="s">
        <v>342</v>
      </c>
      <c r="L816" s="39" t="n">
        <v>234.19</v>
      </c>
      <c r="M816" s="39" t="n">
        <v>120.59</v>
      </c>
      <c r="N816" s="39" t="n">
        <f aca="false">J816*Resumo!$C$6</f>
        <v>0</v>
      </c>
      <c r="O816" s="39" t="n">
        <f aca="false">J816*Resumo!$C$7</f>
        <v>3.464979</v>
      </c>
      <c r="P816" s="39" t="n">
        <f aca="false">J816*Resumo!$C$8</f>
        <v>3.464979</v>
      </c>
      <c r="Q816" s="39" t="n">
        <f aca="false">Resumo!$C$10*CEILING(I816/100,1)</f>
        <v>2.1</v>
      </c>
      <c r="R816" s="39" t="n">
        <f aca="false">Resumo!$C$9</f>
        <v>0</v>
      </c>
      <c r="S816" s="39" t="n">
        <f aca="false">Resumo!$C$13</f>
        <v>13.55</v>
      </c>
      <c r="T816" s="39" t="n">
        <f aca="false">Resumo!$C$14*CEILING(I816,1)</f>
        <v>56.25</v>
      </c>
      <c r="U816" s="39" t="n">
        <f aca="false">SUM(M816:T816)*Resumo!$C$11</f>
        <v>0</v>
      </c>
      <c r="V816" s="39" t="n">
        <f aca="false">SUM(M816:U816)</f>
        <v>199.419958</v>
      </c>
      <c r="W816" s="39" t="n">
        <f aca="false">V816/(1-Resumo!$C$5)</f>
        <v>226.613588636364</v>
      </c>
      <c r="X816" s="39" t="n">
        <v>239.25</v>
      </c>
      <c r="Y816" s="39" t="n">
        <f aca="false">J816*Resumo!$B$6</f>
        <v>1.64999</v>
      </c>
      <c r="Z816" s="39" t="n">
        <f aca="false">J816*Resumo!$B$7</f>
        <v>3.29998</v>
      </c>
      <c r="AA816" s="39" t="n">
        <f aca="false">Resumo!$B$9</f>
        <v>1</v>
      </c>
      <c r="AB816" s="39" t="n">
        <f aca="false">Resumo!$B$10*CEILING(I816/100,1)</f>
        <v>9</v>
      </c>
      <c r="AC816" s="39" t="n">
        <f aca="false">Resumo!$B$12*CEILING(I816,1)</f>
        <v>7.5</v>
      </c>
      <c r="AD816" s="39" t="n">
        <f aca="false">Resumo!$B$14*CEILING(I816,1)</f>
        <v>56.25</v>
      </c>
      <c r="AE816" s="39" t="n">
        <f aca="false">SUM(X816:AD816)</f>
        <v>317.94997</v>
      </c>
      <c r="AF816" s="39" t="n">
        <f aca="false">AE816/(1-Resumo!$B$5)</f>
        <v>361.306784090909</v>
      </c>
      <c r="AG816" s="39" t="n">
        <f aca="false">AF816-W816</f>
        <v>134.693195454545</v>
      </c>
      <c r="AH816" s="40" t="n">
        <f aca="false">AF816/W816-1</f>
        <v>0.594373869038725</v>
      </c>
      <c r="AI816" s="37" t="str">
        <f aca="false">IF(AF816&lt;W816,"SIM","NÃO")</f>
        <v>NÃO</v>
      </c>
      <c r="AJ816" s="37" t="n">
        <v>2</v>
      </c>
      <c r="AK816" s="37" t="n">
        <v>5</v>
      </c>
      <c r="AL816" s="37" t="s">
        <v>343</v>
      </c>
      <c r="AM816" s="39" t="n">
        <v>234.2</v>
      </c>
    </row>
    <row r="817" customFormat="false" ht="15" hidden="false" customHeight="false" outlineLevel="0" collapsed="false">
      <c r="A817" s="37" t="n">
        <v>374009244</v>
      </c>
      <c r="B817" s="38" t="n">
        <v>46244.1058217593</v>
      </c>
      <c r="C817" s="37" t="s">
        <v>340</v>
      </c>
      <c r="D817" s="37" t="s">
        <v>1128</v>
      </c>
      <c r="E817" s="37" t="n">
        <v>20730200</v>
      </c>
      <c r="F817" s="37" t="s">
        <v>159</v>
      </c>
      <c r="G817" s="37" t="s">
        <v>196</v>
      </c>
      <c r="H817" s="37" t="s">
        <v>186</v>
      </c>
      <c r="I817" s="37" t="n">
        <v>45.3</v>
      </c>
      <c r="J817" s="39" t="n">
        <v>699.99</v>
      </c>
      <c r="K817" s="37" t="s">
        <v>342</v>
      </c>
      <c r="L817" s="39" t="n">
        <v>103.94</v>
      </c>
      <c r="M817" s="39" t="n">
        <v>53.55</v>
      </c>
      <c r="N817" s="39" t="n">
        <f aca="false">J817*Resumo!$C$6</f>
        <v>0</v>
      </c>
      <c r="O817" s="39" t="n">
        <f aca="false">J817*Resumo!$C$7</f>
        <v>1.469979</v>
      </c>
      <c r="P817" s="39" t="n">
        <f aca="false">J817*Resumo!$C$8</f>
        <v>1.469979</v>
      </c>
      <c r="Q817" s="39" t="n">
        <f aca="false">Resumo!$C$10*CEILING(I817/100,1)</f>
        <v>1.05</v>
      </c>
      <c r="R817" s="39" t="n">
        <f aca="false">Resumo!$C$9</f>
        <v>0</v>
      </c>
      <c r="S817" s="39" t="n">
        <f aca="false">Resumo!$C$13</f>
        <v>13.55</v>
      </c>
      <c r="T817" s="39" t="n">
        <f aca="false">Resumo!$C$14*CEILING(I817,1)</f>
        <v>20.7</v>
      </c>
      <c r="U817" s="39" t="n">
        <f aca="false">SUM(M817:T817)*Resumo!$C$11</f>
        <v>0</v>
      </c>
      <c r="V817" s="39" t="n">
        <f aca="false">SUM(M817:U817)</f>
        <v>91.789958</v>
      </c>
      <c r="W817" s="39" t="n">
        <f aca="false">V817/(1-Resumo!$C$5)</f>
        <v>104.306770454545</v>
      </c>
      <c r="X817" s="39" t="n">
        <v>93.97</v>
      </c>
      <c r="Y817" s="39" t="n">
        <f aca="false">J817*Resumo!$B$6</f>
        <v>0.69999</v>
      </c>
      <c r="Z817" s="39" t="n">
        <f aca="false">J817*Resumo!$B$7</f>
        <v>1.39998</v>
      </c>
      <c r="AA817" s="39" t="n">
        <f aca="false">Resumo!$B$9</f>
        <v>1</v>
      </c>
      <c r="AB817" s="39" t="n">
        <f aca="false">Resumo!$B$10*CEILING(I817/100,1)</f>
        <v>4.5</v>
      </c>
      <c r="AC817" s="39" t="n">
        <f aca="false">Resumo!$B$12*CEILING(I817,1)</f>
        <v>2.76</v>
      </c>
      <c r="AD817" s="39" t="n">
        <f aca="false">Resumo!$B$14*CEILING(I817,1)</f>
        <v>20.7</v>
      </c>
      <c r="AE817" s="39" t="n">
        <f aca="false">SUM(X817:AD817)</f>
        <v>125.02997</v>
      </c>
      <c r="AF817" s="39" t="n">
        <f aca="false">AE817/(1-Resumo!$B$5)</f>
        <v>142.079511363636</v>
      </c>
      <c r="AG817" s="39" t="n">
        <f aca="false">AF817-W817</f>
        <v>37.7727409090909</v>
      </c>
      <c r="AH817" s="40" t="n">
        <f aca="false">AF817/W817-1</f>
        <v>0.362131247516204</v>
      </c>
      <c r="AI817" s="37" t="str">
        <f aca="false">IF(AF817&lt;W817,"SIM","NÃO")</f>
        <v>NÃO</v>
      </c>
      <c r="AJ817" s="37" t="n">
        <v>2</v>
      </c>
      <c r="AK817" s="37" t="n">
        <v>5</v>
      </c>
      <c r="AL817" s="37" t="s">
        <v>343</v>
      </c>
      <c r="AM817" s="39" t="n">
        <v>103.94</v>
      </c>
    </row>
    <row r="818" customFormat="false" ht="15" hidden="false" customHeight="false" outlineLevel="0" collapsed="false">
      <c r="A818" s="37" t="n">
        <v>374049247</v>
      </c>
      <c r="B818" s="38" t="n">
        <v>46244.3113194444</v>
      </c>
      <c r="C818" s="37" t="s">
        <v>340</v>
      </c>
      <c r="D818" s="37" t="s">
        <v>1129</v>
      </c>
      <c r="E818" s="37" t="n">
        <v>21046020</v>
      </c>
      <c r="F818" s="37" t="s">
        <v>159</v>
      </c>
      <c r="G818" s="37" t="s">
        <v>196</v>
      </c>
      <c r="H818" s="37" t="s">
        <v>184</v>
      </c>
      <c r="I818" s="37" t="n">
        <v>30.5</v>
      </c>
      <c r="J818" s="39" t="n">
        <v>395.99</v>
      </c>
      <c r="K818" s="37" t="s">
        <v>342</v>
      </c>
      <c r="L818" s="39" t="n">
        <v>82.22</v>
      </c>
      <c r="M818" s="39" t="n">
        <v>42.11</v>
      </c>
      <c r="N818" s="39" t="n">
        <f aca="false">J818*Resumo!$C$6</f>
        <v>0</v>
      </c>
      <c r="O818" s="39" t="n">
        <f aca="false">J818*Resumo!$C$7</f>
        <v>0.831579</v>
      </c>
      <c r="P818" s="39" t="n">
        <f aca="false">J818*Resumo!$C$8</f>
        <v>0.831579</v>
      </c>
      <c r="Q818" s="39" t="n">
        <f aca="false">Resumo!$C$10*CEILING(I818/100,1)</f>
        <v>1.05</v>
      </c>
      <c r="R818" s="39" t="n">
        <f aca="false">Resumo!$C$9</f>
        <v>0</v>
      </c>
      <c r="S818" s="39" t="n">
        <f aca="false">Resumo!$C$13</f>
        <v>13.55</v>
      </c>
      <c r="T818" s="39" t="n">
        <f aca="false">Resumo!$C$14*CEILING(I818,1)</f>
        <v>13.95</v>
      </c>
      <c r="U818" s="39" t="n">
        <f aca="false">SUM(M818:T818)*Resumo!$C$11</f>
        <v>0</v>
      </c>
      <c r="V818" s="39" t="n">
        <f aca="false">SUM(M818:U818)</f>
        <v>72.323158</v>
      </c>
      <c r="W818" s="39" t="n">
        <f aca="false">V818/(1-Resumo!$C$5)</f>
        <v>82.1854068181818</v>
      </c>
      <c r="X818" s="39" t="n">
        <v>82.21</v>
      </c>
      <c r="Y818" s="39" t="n">
        <f aca="false">J818*Resumo!$B$6</f>
        <v>0.39599</v>
      </c>
      <c r="Z818" s="39" t="n">
        <f aca="false">J818*Resumo!$B$7</f>
        <v>0.79198</v>
      </c>
      <c r="AA818" s="39" t="n">
        <f aca="false">Resumo!$B$9</f>
        <v>1</v>
      </c>
      <c r="AB818" s="39" t="n">
        <f aca="false">Resumo!$B$10*CEILING(I818/100,1)</f>
        <v>4.5</v>
      </c>
      <c r="AC818" s="39" t="n">
        <f aca="false">Resumo!$B$12*CEILING(I818,1)</f>
        <v>1.86</v>
      </c>
      <c r="AD818" s="39" t="n">
        <f aca="false">Resumo!$B$14*CEILING(I818,1)</f>
        <v>13.95</v>
      </c>
      <c r="AE818" s="39" t="n">
        <f aca="false">SUM(X818:AD818)</f>
        <v>104.70797</v>
      </c>
      <c r="AF818" s="39" t="n">
        <f aca="false">AE818/(1-Resumo!$B$5)</f>
        <v>118.986329545455</v>
      </c>
      <c r="AG818" s="39" t="n">
        <f aca="false">AF818-W818</f>
        <v>36.8009227272727</v>
      </c>
      <c r="AH818" s="40" t="n">
        <f aca="false">AF818/W818-1</f>
        <v>0.447779285301673</v>
      </c>
      <c r="AI818" s="37" t="str">
        <f aca="false">IF(AF818&lt;W818,"SIM","NÃO")</f>
        <v>NÃO</v>
      </c>
      <c r="AJ818" s="37" t="n">
        <v>2</v>
      </c>
      <c r="AK818" s="37" t="n">
        <v>5</v>
      </c>
      <c r="AL818" s="37" t="s">
        <v>343</v>
      </c>
      <c r="AM818" s="39" t="n">
        <v>82.22</v>
      </c>
    </row>
    <row r="819" customFormat="false" ht="15" hidden="false" customHeight="false" outlineLevel="0" collapsed="false">
      <c r="A819" s="37" t="n">
        <v>374074118</v>
      </c>
      <c r="B819" s="38" t="n">
        <v>46244.3929282407</v>
      </c>
      <c r="C819" s="37" t="s">
        <v>340</v>
      </c>
      <c r="D819" s="37" t="s">
        <v>1130</v>
      </c>
      <c r="E819" s="37" t="n">
        <v>25035008</v>
      </c>
      <c r="F819" s="37" t="s">
        <v>161</v>
      </c>
      <c r="G819" s="37" t="s">
        <v>197</v>
      </c>
      <c r="H819" s="37" t="s">
        <v>188</v>
      </c>
      <c r="I819" s="37" t="n">
        <v>66.8</v>
      </c>
      <c r="J819" s="39" t="n">
        <v>699.99</v>
      </c>
      <c r="K819" s="37" t="s">
        <v>342</v>
      </c>
      <c r="L819" s="39" t="n">
        <v>139.78</v>
      </c>
      <c r="M819" s="39" t="n">
        <v>76.55</v>
      </c>
      <c r="N819" s="39" t="n">
        <f aca="false">J819*Resumo!$C$6</f>
        <v>0</v>
      </c>
      <c r="O819" s="39" t="n">
        <f aca="false">J819*Resumo!$C$7</f>
        <v>1.469979</v>
      </c>
      <c r="P819" s="39" t="n">
        <f aca="false">J819*Resumo!$C$8</f>
        <v>1.469979</v>
      </c>
      <c r="Q819" s="39" t="n">
        <f aca="false">Resumo!$C$10*CEILING(I819/100,1)</f>
        <v>1.05</v>
      </c>
      <c r="R819" s="39" t="n">
        <f aca="false">Resumo!$C$9</f>
        <v>0</v>
      </c>
      <c r="S819" s="39" t="n">
        <f aca="false">Resumo!$C$13</f>
        <v>13.55</v>
      </c>
      <c r="T819" s="39" t="n">
        <f aca="false">Resumo!$C$14*CEILING(I819,1)</f>
        <v>30.15</v>
      </c>
      <c r="U819" s="39" t="n">
        <f aca="false">SUM(M819:T819)*Resumo!$C$11</f>
        <v>0</v>
      </c>
      <c r="V819" s="39" t="n">
        <f aca="false">SUM(M819:U819)</f>
        <v>124.239958</v>
      </c>
      <c r="W819" s="39" t="n">
        <f aca="false">V819/(1-Resumo!$C$5)</f>
        <v>141.181770454545</v>
      </c>
      <c r="X819" s="39" t="n">
        <v>131.02</v>
      </c>
      <c r="Y819" s="39" t="n">
        <f aca="false">J819*Resumo!$B$6</f>
        <v>0.69999</v>
      </c>
      <c r="Z819" s="39" t="n">
        <f aca="false">J819*Resumo!$B$7</f>
        <v>1.39998</v>
      </c>
      <c r="AA819" s="39" t="n">
        <f aca="false">Resumo!$B$9</f>
        <v>1</v>
      </c>
      <c r="AB819" s="39" t="n">
        <f aca="false">Resumo!$B$10*CEILING(I819/100,1)</f>
        <v>4.5</v>
      </c>
      <c r="AC819" s="39" t="n">
        <f aca="false">Resumo!$B$12*CEILING(I819,1)</f>
        <v>4.02</v>
      </c>
      <c r="AD819" s="39" t="n">
        <f aca="false">Resumo!$B$14*CEILING(I819,1)</f>
        <v>30.15</v>
      </c>
      <c r="AE819" s="39" t="n">
        <f aca="false">SUM(X819:AD819)</f>
        <v>172.78997</v>
      </c>
      <c r="AF819" s="39" t="n">
        <f aca="false">AE819/(1-Resumo!$B$5)</f>
        <v>196.352238636364</v>
      </c>
      <c r="AG819" s="39" t="n">
        <f aca="false">AF819-W819</f>
        <v>55.1704681818182</v>
      </c>
      <c r="AH819" s="40" t="n">
        <f aca="false">AF819/W819-1</f>
        <v>0.390776146270108</v>
      </c>
      <c r="AI819" s="37" t="str">
        <f aca="false">IF(AF819&lt;W819,"SIM","NÃO")</f>
        <v>NÃO</v>
      </c>
      <c r="AJ819" s="37" t="n">
        <v>2</v>
      </c>
      <c r="AK819" s="37" t="n">
        <v>5</v>
      </c>
      <c r="AL819" s="37" t="s">
        <v>343</v>
      </c>
      <c r="AM819" s="39" t="n">
        <v>139.79</v>
      </c>
    </row>
    <row r="820" customFormat="false" ht="15" hidden="false" customHeight="false" outlineLevel="0" collapsed="false">
      <c r="A820" s="37" t="n">
        <v>374077015</v>
      </c>
      <c r="B820" s="38" t="n">
        <v>46244.4009143519</v>
      </c>
      <c r="C820" s="37" t="s">
        <v>345</v>
      </c>
      <c r="D820" s="37" t="s">
        <v>1131</v>
      </c>
      <c r="E820" s="37" t="n">
        <v>21725180</v>
      </c>
      <c r="F820" s="37" t="s">
        <v>159</v>
      </c>
      <c r="G820" s="37" t="s">
        <v>196</v>
      </c>
      <c r="H820" s="37" t="s">
        <v>186</v>
      </c>
      <c r="I820" s="37" t="n">
        <v>48</v>
      </c>
      <c r="J820" s="39" t="n">
        <v>815.51</v>
      </c>
      <c r="K820" s="37" t="s">
        <v>342</v>
      </c>
      <c r="L820" s="39" t="n">
        <v>104.49</v>
      </c>
      <c r="M820" s="39" t="n">
        <v>53.55</v>
      </c>
      <c r="N820" s="39" t="n">
        <f aca="false">J820*Resumo!$C$6</f>
        <v>0</v>
      </c>
      <c r="O820" s="39" t="n">
        <f aca="false">J820*Resumo!$C$7</f>
        <v>1.712571</v>
      </c>
      <c r="P820" s="39" t="n">
        <f aca="false">J820*Resumo!$C$8</f>
        <v>1.712571</v>
      </c>
      <c r="Q820" s="39" t="n">
        <f aca="false">Resumo!$C$10*CEILING(I820/100,1)</f>
        <v>1.05</v>
      </c>
      <c r="R820" s="39" t="n">
        <f aca="false">Resumo!$C$9</f>
        <v>0</v>
      </c>
      <c r="S820" s="39" t="n">
        <f aca="false">Resumo!$C$13</f>
        <v>13.55</v>
      </c>
      <c r="T820" s="39" t="n">
        <f aca="false">Resumo!$C$14*CEILING(I820,1)</f>
        <v>21.6</v>
      </c>
      <c r="U820" s="39" t="n">
        <f aca="false">SUM(M820:T820)*Resumo!$C$11</f>
        <v>0</v>
      </c>
      <c r="V820" s="39" t="n">
        <f aca="false">SUM(M820:U820)</f>
        <v>93.175142</v>
      </c>
      <c r="W820" s="39" t="n">
        <f aca="false">V820/(1-Resumo!$C$5)</f>
        <v>105.880843181818</v>
      </c>
      <c r="X820" s="39" t="n">
        <v>93.97</v>
      </c>
      <c r="Y820" s="39" t="n">
        <f aca="false">J820*Resumo!$B$6</f>
        <v>0.81551</v>
      </c>
      <c r="Z820" s="39" t="n">
        <f aca="false">J820*Resumo!$B$7</f>
        <v>1.63102</v>
      </c>
      <c r="AA820" s="39" t="n">
        <f aca="false">Resumo!$B$9</f>
        <v>1</v>
      </c>
      <c r="AB820" s="39" t="n">
        <f aca="false">Resumo!$B$10*CEILING(I820/100,1)</f>
        <v>4.5</v>
      </c>
      <c r="AC820" s="39" t="n">
        <f aca="false">Resumo!$B$12*CEILING(I820,1)</f>
        <v>2.88</v>
      </c>
      <c r="AD820" s="39" t="n">
        <f aca="false">Resumo!$B$14*CEILING(I820,1)</f>
        <v>21.6</v>
      </c>
      <c r="AE820" s="39" t="n">
        <f aca="false">SUM(X820:AD820)</f>
        <v>126.39653</v>
      </c>
      <c r="AF820" s="39" t="n">
        <f aca="false">AE820/(1-Resumo!$B$5)</f>
        <v>143.632420454545</v>
      </c>
      <c r="AG820" s="39" t="n">
        <f aca="false">AF820-W820</f>
        <v>37.7515772727273</v>
      </c>
      <c r="AH820" s="40" t="n">
        <f aca="false">AF820/W820-1</f>
        <v>0.356547758199285</v>
      </c>
      <c r="AI820" s="37" t="str">
        <f aca="false">IF(AF820&lt;W820,"SIM","NÃO")</f>
        <v>NÃO</v>
      </c>
      <c r="AJ820" s="37" t="n">
        <v>2</v>
      </c>
      <c r="AK820" s="37" t="n">
        <v>5</v>
      </c>
      <c r="AL820" s="37" t="s">
        <v>343</v>
      </c>
      <c r="AM820" s="39" t="n">
        <v>104.5</v>
      </c>
    </row>
    <row r="821" customFormat="false" ht="15" hidden="false" customHeight="false" outlineLevel="0" collapsed="false">
      <c r="A821" s="37" t="n">
        <v>374090622</v>
      </c>
      <c r="B821" s="38" t="n">
        <v>46244.4340740741</v>
      </c>
      <c r="C821" s="37" t="s">
        <v>340</v>
      </c>
      <c r="D821" s="37" t="s">
        <v>1132</v>
      </c>
      <c r="E821" s="37" t="n">
        <v>26278010</v>
      </c>
      <c r="F821" s="37" t="s">
        <v>162</v>
      </c>
      <c r="G821" s="37" t="s">
        <v>197</v>
      </c>
      <c r="H821" s="37" t="s">
        <v>184</v>
      </c>
      <c r="I821" s="37" t="n">
        <v>31</v>
      </c>
      <c r="J821" s="39" t="n">
        <v>329.99</v>
      </c>
      <c r="K821" s="37" t="s">
        <v>342</v>
      </c>
      <c r="L821" s="39" t="n">
        <v>100.97</v>
      </c>
      <c r="M821" s="39" t="n">
        <v>58.8</v>
      </c>
      <c r="N821" s="39" t="n">
        <f aca="false">J821*Resumo!$C$6</f>
        <v>0</v>
      </c>
      <c r="O821" s="39" t="n">
        <f aca="false">J821*Resumo!$C$7</f>
        <v>0.692979</v>
      </c>
      <c r="P821" s="39" t="n">
        <f aca="false">J821*Resumo!$C$8</f>
        <v>0.692979</v>
      </c>
      <c r="Q821" s="39" t="n">
        <f aca="false">Resumo!$C$10*CEILING(I821/100,1)</f>
        <v>1.05</v>
      </c>
      <c r="R821" s="39" t="n">
        <f aca="false">Resumo!$C$9</f>
        <v>0</v>
      </c>
      <c r="S821" s="39" t="n">
        <f aca="false">Resumo!$C$13</f>
        <v>13.55</v>
      </c>
      <c r="T821" s="39" t="n">
        <f aca="false">Resumo!$C$14*CEILING(I821,1)</f>
        <v>13.95</v>
      </c>
      <c r="U821" s="39" t="n">
        <f aca="false">SUM(M821:T821)*Resumo!$C$11</f>
        <v>0</v>
      </c>
      <c r="V821" s="39" t="n">
        <f aca="false">SUM(M821:U821)</f>
        <v>88.735958</v>
      </c>
      <c r="W821" s="39" t="n">
        <f aca="false">V821/(1-Resumo!$C$5)</f>
        <v>100.836315909091</v>
      </c>
      <c r="X821" s="39" t="n">
        <v>82.21</v>
      </c>
      <c r="Y821" s="39" t="n">
        <f aca="false">J821*Resumo!$B$6</f>
        <v>0.32999</v>
      </c>
      <c r="Z821" s="39" t="n">
        <f aca="false">J821*Resumo!$B$7</f>
        <v>0.65998</v>
      </c>
      <c r="AA821" s="39" t="n">
        <f aca="false">Resumo!$B$9</f>
        <v>1</v>
      </c>
      <c r="AB821" s="39" t="n">
        <f aca="false">Resumo!$B$10*CEILING(I821/100,1)</f>
        <v>4.5</v>
      </c>
      <c r="AC821" s="39" t="n">
        <f aca="false">Resumo!$B$12*CEILING(I821,1)</f>
        <v>1.86</v>
      </c>
      <c r="AD821" s="39" t="n">
        <f aca="false">Resumo!$B$14*CEILING(I821,1)</f>
        <v>13.95</v>
      </c>
      <c r="AE821" s="39" t="n">
        <f aca="false">SUM(X821:AD821)</f>
        <v>104.50997</v>
      </c>
      <c r="AF821" s="39" t="n">
        <f aca="false">AE821/(1-Resumo!$B$5)</f>
        <v>118.761329545455</v>
      </c>
      <c r="AG821" s="39" t="n">
        <f aca="false">AF821-W821</f>
        <v>17.9250136363636</v>
      </c>
      <c r="AH821" s="40" t="n">
        <f aca="false">AF821/W821-1</f>
        <v>0.177763472165365</v>
      </c>
      <c r="AI821" s="37" t="str">
        <f aca="false">IF(AF821&lt;W821,"SIM","NÃO")</f>
        <v>NÃO</v>
      </c>
      <c r="AJ821" s="37" t="n">
        <v>2</v>
      </c>
      <c r="AK821" s="37" t="n">
        <v>5</v>
      </c>
      <c r="AL821" s="37" t="s">
        <v>343</v>
      </c>
      <c r="AM821" s="39" t="n">
        <v>100.97</v>
      </c>
    </row>
    <row r="822" customFormat="false" ht="15" hidden="false" customHeight="false" outlineLevel="0" collapsed="false">
      <c r="A822" s="37" t="n">
        <v>374093161</v>
      </c>
      <c r="B822" s="38" t="n">
        <v>46244.4397685185</v>
      </c>
      <c r="C822" s="37" t="s">
        <v>340</v>
      </c>
      <c r="D822" s="37" t="s">
        <v>1133</v>
      </c>
      <c r="E822" s="37" t="n">
        <v>22641004</v>
      </c>
      <c r="F822" s="37" t="s">
        <v>159</v>
      </c>
      <c r="G822" s="37" t="s">
        <v>196</v>
      </c>
      <c r="H822" s="37" t="s">
        <v>187</v>
      </c>
      <c r="I822" s="37" t="n">
        <v>52.3</v>
      </c>
      <c r="J822" s="39" t="n">
        <v>685.88</v>
      </c>
      <c r="K822" s="37" t="s">
        <v>342</v>
      </c>
      <c r="L822" s="39" t="n">
        <v>114.43</v>
      </c>
      <c r="M822" s="39" t="n">
        <v>58.6</v>
      </c>
      <c r="N822" s="39" t="n">
        <f aca="false">J822*Resumo!$C$6</f>
        <v>0</v>
      </c>
      <c r="O822" s="39" t="n">
        <f aca="false">J822*Resumo!$C$7</f>
        <v>1.440348</v>
      </c>
      <c r="P822" s="39" t="n">
        <f aca="false">J822*Resumo!$C$8</f>
        <v>1.440348</v>
      </c>
      <c r="Q822" s="39" t="n">
        <f aca="false">Resumo!$C$10*CEILING(I822/100,1)</f>
        <v>1.05</v>
      </c>
      <c r="R822" s="39" t="n">
        <f aca="false">Resumo!$C$9</f>
        <v>0</v>
      </c>
      <c r="S822" s="39" t="n">
        <f aca="false">Resumo!$C$13</f>
        <v>13.55</v>
      </c>
      <c r="T822" s="39" t="n">
        <f aca="false">Resumo!$C$14*CEILING(I822,1)</f>
        <v>23.85</v>
      </c>
      <c r="U822" s="39" t="n">
        <f aca="false">SUM(M822:T822)*Resumo!$C$11</f>
        <v>0</v>
      </c>
      <c r="V822" s="39" t="n">
        <f aca="false">SUM(M822:U822)</f>
        <v>99.930696</v>
      </c>
      <c r="W822" s="39" t="n">
        <f aca="false">V822/(1-Resumo!$C$5)</f>
        <v>113.557609090909</v>
      </c>
      <c r="X822" s="39" t="n">
        <v>112.3</v>
      </c>
      <c r="Y822" s="39" t="n">
        <f aca="false">J822*Resumo!$B$6</f>
        <v>0.68588</v>
      </c>
      <c r="Z822" s="39" t="n">
        <f aca="false">J822*Resumo!$B$7</f>
        <v>1.37176</v>
      </c>
      <c r="AA822" s="39" t="n">
        <f aca="false">Resumo!$B$9</f>
        <v>1</v>
      </c>
      <c r="AB822" s="39" t="n">
        <f aca="false">Resumo!$B$10*CEILING(I822/100,1)</f>
        <v>4.5</v>
      </c>
      <c r="AC822" s="39" t="n">
        <f aca="false">Resumo!$B$12*CEILING(I822,1)</f>
        <v>3.18</v>
      </c>
      <c r="AD822" s="39" t="n">
        <f aca="false">Resumo!$B$14*CEILING(I822,1)</f>
        <v>23.85</v>
      </c>
      <c r="AE822" s="39" t="n">
        <f aca="false">SUM(X822:AD822)</f>
        <v>146.88764</v>
      </c>
      <c r="AF822" s="39" t="n">
        <f aca="false">AE822/(1-Resumo!$B$5)</f>
        <v>166.917772727273</v>
      </c>
      <c r="AG822" s="39" t="n">
        <f aca="false">AF822-W822</f>
        <v>53.3601636363636</v>
      </c>
      <c r="AH822" s="40" t="n">
        <f aca="false">AF822/W822-1</f>
        <v>0.469895096097399</v>
      </c>
      <c r="AI822" s="37" t="str">
        <f aca="false">IF(AF822&lt;W822,"SIM","NÃO")</f>
        <v>NÃO</v>
      </c>
      <c r="AJ822" s="37" t="n">
        <v>2</v>
      </c>
      <c r="AK822" s="37" t="n">
        <v>5</v>
      </c>
      <c r="AL822" s="37" t="s">
        <v>343</v>
      </c>
      <c r="AM822" s="39" t="n">
        <v>114.44</v>
      </c>
    </row>
    <row r="823" customFormat="false" ht="15" hidden="false" customHeight="false" outlineLevel="0" collapsed="false">
      <c r="A823" s="37" t="n">
        <v>374108434</v>
      </c>
      <c r="B823" s="38" t="n">
        <v>46244.4745717593</v>
      </c>
      <c r="C823" s="37" t="s">
        <v>340</v>
      </c>
      <c r="D823" s="37" t="s">
        <v>1134</v>
      </c>
      <c r="E823" s="37" t="n">
        <v>25212610</v>
      </c>
      <c r="F823" s="37" t="s">
        <v>161</v>
      </c>
      <c r="G823" s="37" t="s">
        <v>197</v>
      </c>
      <c r="H823" s="37" t="s">
        <v>185</v>
      </c>
      <c r="I823" s="37" t="n">
        <v>39</v>
      </c>
      <c r="J823" s="39" t="n">
        <v>496.79</v>
      </c>
      <c r="K823" s="37" t="s">
        <v>342</v>
      </c>
      <c r="L823" s="39" t="n">
        <v>113.33</v>
      </c>
      <c r="M823" s="39" t="n">
        <v>66.83</v>
      </c>
      <c r="N823" s="39" t="n">
        <f aca="false">J823*Resumo!$C$6</f>
        <v>0</v>
      </c>
      <c r="O823" s="39" t="n">
        <f aca="false">J823*Resumo!$C$7</f>
        <v>1.043259</v>
      </c>
      <c r="P823" s="39" t="n">
        <f aca="false">J823*Resumo!$C$8</f>
        <v>1.043259</v>
      </c>
      <c r="Q823" s="39" t="n">
        <f aca="false">Resumo!$C$10*CEILING(I823/100,1)</f>
        <v>1.05</v>
      </c>
      <c r="R823" s="39" t="n">
        <f aca="false">Resumo!$C$9</f>
        <v>0</v>
      </c>
      <c r="S823" s="39" t="n">
        <f aca="false">Resumo!$C$13</f>
        <v>13.55</v>
      </c>
      <c r="T823" s="39" t="n">
        <f aca="false">Resumo!$C$14*CEILING(I823,1)</f>
        <v>17.55</v>
      </c>
      <c r="U823" s="39" t="n">
        <f aca="false">SUM(M823:T823)*Resumo!$C$11</f>
        <v>0</v>
      </c>
      <c r="V823" s="39" t="n">
        <f aca="false">SUM(M823:U823)</f>
        <v>101.066518</v>
      </c>
      <c r="W823" s="39" t="n">
        <f aca="false">V823/(1-Resumo!$C$5)</f>
        <v>114.848315909091</v>
      </c>
      <c r="X823" s="39" t="n">
        <v>93.97</v>
      </c>
      <c r="Y823" s="39" t="n">
        <f aca="false">J823*Resumo!$B$6</f>
        <v>0.49679</v>
      </c>
      <c r="Z823" s="39" t="n">
        <f aca="false">J823*Resumo!$B$7</f>
        <v>0.99358</v>
      </c>
      <c r="AA823" s="39" t="n">
        <f aca="false">Resumo!$B$9</f>
        <v>1</v>
      </c>
      <c r="AB823" s="39" t="n">
        <f aca="false">Resumo!$B$10*CEILING(I823/100,1)</f>
        <v>4.5</v>
      </c>
      <c r="AC823" s="39" t="n">
        <f aca="false">Resumo!$B$12*CEILING(I823,1)</f>
        <v>2.34</v>
      </c>
      <c r="AD823" s="39" t="n">
        <f aca="false">Resumo!$B$14*CEILING(I823,1)</f>
        <v>17.55</v>
      </c>
      <c r="AE823" s="39" t="n">
        <f aca="false">SUM(X823:AD823)</f>
        <v>120.85037</v>
      </c>
      <c r="AF823" s="39" t="n">
        <f aca="false">AE823/(1-Resumo!$B$5)</f>
        <v>137.329965909091</v>
      </c>
      <c r="AG823" s="39" t="n">
        <f aca="false">AF823-W823</f>
        <v>22.48165</v>
      </c>
      <c r="AH823" s="40" t="n">
        <f aca="false">AF823/W823-1</f>
        <v>0.195750802456655</v>
      </c>
      <c r="AI823" s="37" t="str">
        <f aca="false">IF(AF823&lt;W823,"SIM","NÃO")</f>
        <v>NÃO</v>
      </c>
      <c r="AJ823" s="37" t="n">
        <v>2</v>
      </c>
      <c r="AK823" s="37" t="n">
        <v>5</v>
      </c>
      <c r="AL823" s="37" t="s">
        <v>343</v>
      </c>
      <c r="AM823" s="39" t="n">
        <v>113.34</v>
      </c>
    </row>
    <row r="824" customFormat="false" ht="15" hidden="false" customHeight="false" outlineLevel="0" collapsed="false">
      <c r="A824" s="37" t="n">
        <v>374115700</v>
      </c>
      <c r="B824" s="38" t="n">
        <v>46244.4917708333</v>
      </c>
      <c r="C824" s="37" t="s">
        <v>340</v>
      </c>
      <c r="D824" s="37" t="s">
        <v>1135</v>
      </c>
      <c r="E824" s="37" t="n">
        <v>23025033</v>
      </c>
      <c r="F824" s="37" t="s">
        <v>159</v>
      </c>
      <c r="G824" s="37" t="s">
        <v>196</v>
      </c>
      <c r="H824" s="37" t="s">
        <v>186</v>
      </c>
      <c r="I824" s="37" t="n">
        <v>45</v>
      </c>
      <c r="J824" s="39" t="n">
        <v>531.42</v>
      </c>
      <c r="K824" s="37" t="s">
        <v>518</v>
      </c>
      <c r="L824" s="39" t="n">
        <v>103</v>
      </c>
      <c r="M824" s="39" t="n">
        <v>53.55</v>
      </c>
      <c r="N824" s="39" t="n">
        <f aca="false">J824*Resumo!$C$6</f>
        <v>0</v>
      </c>
      <c r="O824" s="39" t="n">
        <f aca="false">J824*Resumo!$C$7</f>
        <v>1.115982</v>
      </c>
      <c r="P824" s="39" t="n">
        <f aca="false">J824*Resumo!$C$8</f>
        <v>1.115982</v>
      </c>
      <c r="Q824" s="39" t="n">
        <f aca="false">Resumo!$C$10*CEILING(I824/100,1)</f>
        <v>1.05</v>
      </c>
      <c r="R824" s="39" t="n">
        <f aca="false">Resumo!$C$9</f>
        <v>0</v>
      </c>
      <c r="S824" s="39" t="n">
        <f aca="false">Resumo!$C$13</f>
        <v>13.55</v>
      </c>
      <c r="T824" s="39" t="n">
        <f aca="false">Resumo!$C$14*CEILING(I824,1)</f>
        <v>20.25</v>
      </c>
      <c r="U824" s="39" t="n">
        <f aca="false">SUM(M824:T824)*Resumo!$C$11</f>
        <v>0</v>
      </c>
      <c r="V824" s="39" t="n">
        <f aca="false">SUM(M824:U824)</f>
        <v>90.631964</v>
      </c>
      <c r="W824" s="39" t="n">
        <f aca="false">V824/(1-Resumo!$C$5)</f>
        <v>102.990868181818</v>
      </c>
      <c r="X824" s="39" t="n">
        <v>93.97</v>
      </c>
      <c r="Y824" s="39" t="n">
        <f aca="false">J824*Resumo!$B$6</f>
        <v>0.53142</v>
      </c>
      <c r="Z824" s="39" t="n">
        <f aca="false">J824*Resumo!$B$7</f>
        <v>1.06284</v>
      </c>
      <c r="AA824" s="39" t="n">
        <f aca="false">Resumo!$B$9</f>
        <v>1</v>
      </c>
      <c r="AB824" s="39" t="n">
        <f aca="false">Resumo!$B$10*CEILING(I824/100,1)</f>
        <v>4.5</v>
      </c>
      <c r="AC824" s="39" t="n">
        <f aca="false">Resumo!$B$12*CEILING(I824,1)</f>
        <v>2.7</v>
      </c>
      <c r="AD824" s="39" t="n">
        <f aca="false">Resumo!$B$14*CEILING(I824,1)</f>
        <v>20.25</v>
      </c>
      <c r="AE824" s="39" t="n">
        <f aca="false">SUM(X824:AD824)</f>
        <v>124.01426</v>
      </c>
      <c r="AF824" s="39" t="n">
        <f aca="false">AE824/(1-Resumo!$B$5)</f>
        <v>140.925295454545</v>
      </c>
      <c r="AG824" s="39" t="n">
        <f aca="false">AF824-W824</f>
        <v>37.9344272727273</v>
      </c>
      <c r="AH824" s="40" t="n">
        <f aca="false">AF824/W824-1</f>
        <v>0.36832806580248</v>
      </c>
      <c r="AI824" s="37" t="str">
        <f aca="false">IF(AF824&lt;W824,"SIM","NÃO")</f>
        <v>NÃO</v>
      </c>
      <c r="AJ824" s="37" t="n">
        <v>2</v>
      </c>
      <c r="AK824" s="37" t="n">
        <v>5</v>
      </c>
      <c r="AL824" s="37" t="s">
        <v>343</v>
      </c>
      <c r="AM824" s="39" t="n">
        <v>103.13</v>
      </c>
    </row>
    <row r="825" customFormat="false" ht="15" hidden="false" customHeight="false" outlineLevel="0" collapsed="false">
      <c r="A825" s="37" t="n">
        <v>374122750</v>
      </c>
      <c r="B825" s="38" t="n">
        <v>46244.505462963</v>
      </c>
      <c r="C825" s="37" t="s">
        <v>345</v>
      </c>
      <c r="D825" s="37" t="s">
        <v>1136</v>
      </c>
      <c r="E825" s="37" t="n">
        <v>26030095</v>
      </c>
      <c r="F825" s="37" t="s">
        <v>162</v>
      </c>
      <c r="G825" s="37" t="s">
        <v>197</v>
      </c>
      <c r="H825" s="37" t="s">
        <v>184</v>
      </c>
      <c r="I825" s="37" t="n">
        <v>33.11</v>
      </c>
      <c r="J825" s="39" t="n">
        <v>392.24</v>
      </c>
      <c r="K825" s="37" t="s">
        <v>342</v>
      </c>
      <c r="L825" s="39" t="n">
        <v>101.26</v>
      </c>
      <c r="M825" s="39" t="n">
        <v>58.8</v>
      </c>
      <c r="N825" s="39" t="n">
        <f aca="false">J825*Resumo!$C$6</f>
        <v>0</v>
      </c>
      <c r="O825" s="39" t="n">
        <f aca="false">J825*Resumo!$C$7</f>
        <v>0.823704</v>
      </c>
      <c r="P825" s="39" t="n">
        <f aca="false">J825*Resumo!$C$8</f>
        <v>0.823704</v>
      </c>
      <c r="Q825" s="39" t="n">
        <f aca="false">Resumo!$C$10*CEILING(I825/100,1)</f>
        <v>1.05</v>
      </c>
      <c r="R825" s="39" t="n">
        <f aca="false">Resumo!$C$9</f>
        <v>0</v>
      </c>
      <c r="S825" s="39" t="n">
        <f aca="false">Resumo!$C$13</f>
        <v>13.55</v>
      </c>
      <c r="T825" s="39" t="n">
        <f aca="false">Resumo!$C$14*CEILING(I825,1)</f>
        <v>15.3</v>
      </c>
      <c r="U825" s="39" t="n">
        <f aca="false">SUM(M825:T825)*Resumo!$C$11</f>
        <v>0</v>
      </c>
      <c r="V825" s="39" t="n">
        <f aca="false">SUM(M825:U825)</f>
        <v>90.347408</v>
      </c>
      <c r="W825" s="39" t="n">
        <f aca="false">V825/(1-Resumo!$C$5)</f>
        <v>102.667509090909</v>
      </c>
      <c r="X825" s="39" t="n">
        <v>82.21</v>
      </c>
      <c r="Y825" s="39" t="n">
        <f aca="false">J825*Resumo!$B$6</f>
        <v>0.39224</v>
      </c>
      <c r="Z825" s="39" t="n">
        <f aca="false">J825*Resumo!$B$7</f>
        <v>0.78448</v>
      </c>
      <c r="AA825" s="39" t="n">
        <f aca="false">Resumo!$B$9</f>
        <v>1</v>
      </c>
      <c r="AB825" s="39" t="n">
        <f aca="false">Resumo!$B$10*CEILING(I825/100,1)</f>
        <v>4.5</v>
      </c>
      <c r="AC825" s="39" t="n">
        <f aca="false">Resumo!$B$12*CEILING(I825,1)</f>
        <v>2.04</v>
      </c>
      <c r="AD825" s="39" t="n">
        <f aca="false">Resumo!$B$14*CEILING(I825,1)</f>
        <v>15.3</v>
      </c>
      <c r="AE825" s="39" t="n">
        <f aca="false">SUM(X825:AD825)</f>
        <v>106.22672</v>
      </c>
      <c r="AF825" s="39" t="n">
        <f aca="false">AE825/(1-Resumo!$B$5)</f>
        <v>120.712181818182</v>
      </c>
      <c r="AG825" s="39" t="n">
        <f aca="false">AF825-W825</f>
        <v>18.0446727272727</v>
      </c>
      <c r="AH825" s="40" t="n">
        <f aca="false">AF825/W825-1</f>
        <v>0.175758357118557</v>
      </c>
      <c r="AI825" s="37" t="str">
        <f aca="false">IF(AF825&lt;W825,"SIM","NÃO")</f>
        <v>NÃO</v>
      </c>
      <c r="AJ825" s="37" t="n">
        <v>2</v>
      </c>
      <c r="AK825" s="37" t="n">
        <v>5</v>
      </c>
      <c r="AL825" s="37" t="s">
        <v>343</v>
      </c>
      <c r="AM825" s="39" t="n">
        <v>101.27</v>
      </c>
    </row>
    <row r="826" customFormat="false" ht="15" hidden="false" customHeight="false" outlineLevel="0" collapsed="false">
      <c r="A826" s="37" t="n">
        <v>374124817</v>
      </c>
      <c r="B826" s="38" t="n">
        <v>46244.5103240741</v>
      </c>
      <c r="C826" s="37" t="s">
        <v>340</v>
      </c>
      <c r="D826" s="37" t="s">
        <v>1137</v>
      </c>
      <c r="E826" s="37" t="n">
        <v>26175240</v>
      </c>
      <c r="F826" s="37" t="s">
        <v>165</v>
      </c>
      <c r="G826" s="37" t="s">
        <v>197</v>
      </c>
      <c r="H826" s="37" t="s">
        <v>183</v>
      </c>
      <c r="I826" s="37" t="n">
        <v>19.5</v>
      </c>
      <c r="J826" s="39" t="n">
        <v>379.99</v>
      </c>
      <c r="K826" s="37" t="s">
        <v>518</v>
      </c>
      <c r="L826" s="39" t="n">
        <v>77.18</v>
      </c>
      <c r="M826" s="39" t="n">
        <v>42.72</v>
      </c>
      <c r="N826" s="39" t="n">
        <f aca="false">J826*Resumo!$C$6</f>
        <v>0</v>
      </c>
      <c r="O826" s="39" t="n">
        <f aca="false">J826*Resumo!$C$7</f>
        <v>0.797979</v>
      </c>
      <c r="P826" s="39" t="n">
        <f aca="false">J826*Resumo!$C$8</f>
        <v>0.797979</v>
      </c>
      <c r="Q826" s="39" t="n">
        <f aca="false">Resumo!$C$10*CEILING(I826/100,1)</f>
        <v>1.05</v>
      </c>
      <c r="R826" s="39" t="n">
        <f aca="false">Resumo!$C$9</f>
        <v>0</v>
      </c>
      <c r="S826" s="39" t="n">
        <f aca="false">Resumo!$C$13</f>
        <v>13.55</v>
      </c>
      <c r="T826" s="39" t="n">
        <f aca="false">Resumo!$C$14*CEILING(I826,1)</f>
        <v>9</v>
      </c>
      <c r="U826" s="39" t="n">
        <f aca="false">SUM(M826:T826)*Resumo!$C$11</f>
        <v>0</v>
      </c>
      <c r="V826" s="39" t="n">
        <f aca="false">SUM(M826:U826)</f>
        <v>67.915958</v>
      </c>
      <c r="W826" s="39" t="n">
        <f aca="false">V826/(1-Resumo!$C$5)</f>
        <v>77.177225</v>
      </c>
      <c r="X826" s="39" t="n">
        <v>46.98</v>
      </c>
      <c r="Y826" s="39" t="n">
        <f aca="false">J826*Resumo!$B$6</f>
        <v>0.37999</v>
      </c>
      <c r="Z826" s="39" t="n">
        <f aca="false">J826*Resumo!$B$7</f>
        <v>0.75998</v>
      </c>
      <c r="AA826" s="39" t="n">
        <f aca="false">Resumo!$B$9</f>
        <v>1</v>
      </c>
      <c r="AB826" s="39" t="n">
        <f aca="false">Resumo!$B$10*CEILING(I826/100,1)</f>
        <v>4.5</v>
      </c>
      <c r="AC826" s="39" t="n">
        <f aca="false">Resumo!$B$12*CEILING(I826,1)</f>
        <v>1.2</v>
      </c>
      <c r="AD826" s="39" t="n">
        <f aca="false">Resumo!$B$14*CEILING(I826,1)</f>
        <v>9</v>
      </c>
      <c r="AE826" s="39" t="n">
        <f aca="false">SUM(X826:AD826)</f>
        <v>63.81997</v>
      </c>
      <c r="AF826" s="39" t="n">
        <f aca="false">AE826/(1-Resumo!$B$5)</f>
        <v>72.5226931818182</v>
      </c>
      <c r="AG826" s="39" t="n">
        <f aca="false">AF826-W826</f>
        <v>-4.65453181818181</v>
      </c>
      <c r="AH826" s="40" t="n">
        <f aca="false">AF826/W826-1</f>
        <v>-0.0603096550592718</v>
      </c>
      <c r="AI826" s="37" t="str">
        <f aca="false">IF(AF826&lt;W826,"SIM","NÃO")</f>
        <v>SIM</v>
      </c>
      <c r="AJ826" s="37" t="n">
        <v>2</v>
      </c>
      <c r="AK826" s="37" t="n">
        <v>5</v>
      </c>
      <c r="AL826" s="37" t="s">
        <v>343</v>
      </c>
      <c r="AM826" s="39" t="n">
        <v>75.66</v>
      </c>
    </row>
    <row r="827" customFormat="false" ht="15" hidden="false" customHeight="false" outlineLevel="0" collapsed="false">
      <c r="A827" s="37" t="n">
        <v>374141535</v>
      </c>
      <c r="B827" s="38" t="n">
        <v>46244.5465046296</v>
      </c>
      <c r="C827" s="37" t="s">
        <v>340</v>
      </c>
      <c r="D827" s="37" t="s">
        <v>1138</v>
      </c>
      <c r="E827" s="37" t="n">
        <v>21515070</v>
      </c>
      <c r="F827" s="37" t="s">
        <v>159</v>
      </c>
      <c r="G827" s="37" t="s">
        <v>196</v>
      </c>
      <c r="H827" s="37" t="s">
        <v>186</v>
      </c>
      <c r="I827" s="37" t="n">
        <v>48.3</v>
      </c>
      <c r="J827" s="39" t="n">
        <v>429.99</v>
      </c>
      <c r="K827" s="37" t="s">
        <v>342</v>
      </c>
      <c r="L827" s="39" t="n">
        <v>102.65</v>
      </c>
      <c r="M827" s="39" t="n">
        <v>53.55</v>
      </c>
      <c r="N827" s="39" t="n">
        <f aca="false">J827*Resumo!$C$6</f>
        <v>0</v>
      </c>
      <c r="O827" s="39" t="n">
        <f aca="false">J827*Resumo!$C$7</f>
        <v>0.902979</v>
      </c>
      <c r="P827" s="39" t="n">
        <f aca="false">J827*Resumo!$C$8</f>
        <v>0.902979</v>
      </c>
      <c r="Q827" s="39" t="n">
        <f aca="false">Resumo!$C$10*CEILING(I827/100,1)</f>
        <v>1.05</v>
      </c>
      <c r="R827" s="39" t="n">
        <f aca="false">Resumo!$C$9</f>
        <v>0</v>
      </c>
      <c r="S827" s="39" t="n">
        <f aca="false">Resumo!$C$13</f>
        <v>13.55</v>
      </c>
      <c r="T827" s="39" t="n">
        <f aca="false">Resumo!$C$14*CEILING(I827,1)</f>
        <v>22.05</v>
      </c>
      <c r="U827" s="39" t="n">
        <f aca="false">SUM(M827:T827)*Resumo!$C$11</f>
        <v>0</v>
      </c>
      <c r="V827" s="39" t="n">
        <f aca="false">SUM(M827:U827)</f>
        <v>92.005958</v>
      </c>
      <c r="W827" s="39" t="n">
        <f aca="false">V827/(1-Resumo!$C$5)</f>
        <v>104.552225</v>
      </c>
      <c r="X827" s="39" t="n">
        <v>93.97</v>
      </c>
      <c r="Y827" s="39" t="n">
        <f aca="false">J827*Resumo!$B$6</f>
        <v>0.42999</v>
      </c>
      <c r="Z827" s="39" t="n">
        <f aca="false">J827*Resumo!$B$7</f>
        <v>0.85998</v>
      </c>
      <c r="AA827" s="39" t="n">
        <f aca="false">Resumo!$B$9</f>
        <v>1</v>
      </c>
      <c r="AB827" s="39" t="n">
        <f aca="false">Resumo!$B$10*CEILING(I827/100,1)</f>
        <v>4.5</v>
      </c>
      <c r="AC827" s="39" t="n">
        <f aca="false">Resumo!$B$12*CEILING(I827,1)</f>
        <v>2.94</v>
      </c>
      <c r="AD827" s="39" t="n">
        <f aca="false">Resumo!$B$14*CEILING(I827,1)</f>
        <v>22.05</v>
      </c>
      <c r="AE827" s="39" t="n">
        <f aca="false">SUM(X827:AD827)</f>
        <v>125.74997</v>
      </c>
      <c r="AF827" s="39" t="n">
        <f aca="false">AE827/(1-Resumo!$B$5)</f>
        <v>142.897693181818</v>
      </c>
      <c r="AG827" s="39" t="n">
        <f aca="false">AF827-W827</f>
        <v>38.3454681818182</v>
      </c>
      <c r="AH827" s="40" t="n">
        <f aca="false">AF827/W827-1</f>
        <v>0.366758987499483</v>
      </c>
      <c r="AI827" s="37" t="str">
        <f aca="false">IF(AF827&lt;W827,"SIM","NÃO")</f>
        <v>NÃO</v>
      </c>
      <c r="AJ827" s="37" t="n">
        <v>2</v>
      </c>
      <c r="AK827" s="37" t="n">
        <v>5</v>
      </c>
      <c r="AL827" s="37" t="s">
        <v>343</v>
      </c>
      <c r="AM827" s="39" t="n">
        <v>102.65</v>
      </c>
    </row>
    <row r="828" customFormat="false" ht="15" hidden="false" customHeight="false" outlineLevel="0" collapsed="false">
      <c r="A828" s="37" t="n">
        <v>374159788</v>
      </c>
      <c r="B828" s="38" t="n">
        <v>46244.5593287037</v>
      </c>
      <c r="C828" s="37" t="s">
        <v>537</v>
      </c>
      <c r="D828" s="37" t="s">
        <v>1139</v>
      </c>
      <c r="E828" s="37" t="n">
        <v>24020320</v>
      </c>
      <c r="F828" s="37" t="s">
        <v>163</v>
      </c>
      <c r="G828" s="37" t="s">
        <v>197</v>
      </c>
      <c r="H828" s="37" t="s">
        <v>185</v>
      </c>
      <c r="I828" s="37" t="n">
        <v>40</v>
      </c>
      <c r="J828" s="39" t="n">
        <v>510.39</v>
      </c>
      <c r="K828" s="37" t="s">
        <v>342</v>
      </c>
      <c r="L828" s="39" t="n">
        <v>113.4</v>
      </c>
      <c r="M828" s="39" t="n">
        <v>66.83</v>
      </c>
      <c r="N828" s="39" t="n">
        <f aca="false">J828*Resumo!$C$6</f>
        <v>0</v>
      </c>
      <c r="O828" s="39" t="n">
        <f aca="false">J828*Resumo!$C$7</f>
        <v>1.071819</v>
      </c>
      <c r="P828" s="39" t="n">
        <f aca="false">J828*Resumo!$C$8</f>
        <v>1.071819</v>
      </c>
      <c r="Q828" s="39" t="n">
        <f aca="false">Resumo!$C$10*CEILING(I828/100,1)</f>
        <v>1.05</v>
      </c>
      <c r="R828" s="39" t="n">
        <f aca="false">Resumo!$C$9</f>
        <v>0</v>
      </c>
      <c r="S828" s="39" t="n">
        <f aca="false">Resumo!$C$13</f>
        <v>13.55</v>
      </c>
      <c r="T828" s="39" t="n">
        <f aca="false">Resumo!$C$14*CEILING(I828,1)</f>
        <v>18</v>
      </c>
      <c r="U828" s="39" t="n">
        <f aca="false">SUM(M828:T828)*Resumo!$C$11</f>
        <v>0</v>
      </c>
      <c r="V828" s="39" t="n">
        <f aca="false">SUM(M828:U828)</f>
        <v>101.573638</v>
      </c>
      <c r="W828" s="39" t="n">
        <f aca="false">V828/(1-Resumo!$C$5)</f>
        <v>115.424588636364</v>
      </c>
      <c r="X828" s="39" t="n">
        <v>114.95</v>
      </c>
      <c r="Y828" s="39" t="n">
        <f aca="false">J828*Resumo!$B$6</f>
        <v>0.51039</v>
      </c>
      <c r="Z828" s="39" t="n">
        <f aca="false">J828*Resumo!$B$7</f>
        <v>1.02078</v>
      </c>
      <c r="AA828" s="39" t="n">
        <f aca="false">Resumo!$B$9</f>
        <v>1</v>
      </c>
      <c r="AB828" s="39" t="n">
        <f aca="false">Resumo!$B$10*CEILING(I828/100,1)</f>
        <v>4.5</v>
      </c>
      <c r="AC828" s="39" t="n">
        <f aca="false">Resumo!$B$12*CEILING(I828,1)</f>
        <v>2.4</v>
      </c>
      <c r="AD828" s="39" t="n">
        <f aca="false">Resumo!$B$14*CEILING(I828,1)</f>
        <v>18</v>
      </c>
      <c r="AE828" s="39" t="n">
        <f aca="false">SUM(X828:AD828)</f>
        <v>142.38117</v>
      </c>
      <c r="AF828" s="39" t="n">
        <f aca="false">AE828/(1-Resumo!$B$5)</f>
        <v>161.796784090909</v>
      </c>
      <c r="AG828" s="39" t="n">
        <f aca="false">AF828-W828</f>
        <v>46.3721954545455</v>
      </c>
      <c r="AH828" s="40" t="n">
        <f aca="false">AF828/W828-1</f>
        <v>0.40175317930426</v>
      </c>
      <c r="AI828" s="37" t="str">
        <f aca="false">IF(AF828&lt;W828,"SIM","NÃO")</f>
        <v>NÃO</v>
      </c>
      <c r="AJ828" s="37" t="n">
        <v>2</v>
      </c>
      <c r="AK828" s="37" t="n">
        <v>7</v>
      </c>
      <c r="AL828" s="37" t="s">
        <v>343</v>
      </c>
      <c r="AM828" s="39" t="n">
        <v>113.4</v>
      </c>
    </row>
    <row r="829" customFormat="false" ht="15" hidden="false" customHeight="false" outlineLevel="0" collapsed="false">
      <c r="A829" s="37" t="n">
        <v>374148685</v>
      </c>
      <c r="B829" s="38" t="n">
        <v>46244.5619328704</v>
      </c>
      <c r="C829" s="37" t="s">
        <v>345</v>
      </c>
      <c r="D829" s="37" t="s">
        <v>1140</v>
      </c>
      <c r="E829" s="37" t="n">
        <v>21341370</v>
      </c>
      <c r="F829" s="37" t="s">
        <v>159</v>
      </c>
      <c r="G829" s="37" t="s">
        <v>196</v>
      </c>
      <c r="H829" s="37" t="s">
        <v>188</v>
      </c>
      <c r="I829" s="37" t="n">
        <v>69.15</v>
      </c>
      <c r="J829" s="39" t="n">
        <v>684</v>
      </c>
      <c r="K829" s="37" t="s">
        <v>342</v>
      </c>
      <c r="L829" s="39" t="n">
        <v>124.49</v>
      </c>
      <c r="M829" s="39" t="n">
        <v>63.21</v>
      </c>
      <c r="N829" s="39" t="n">
        <f aca="false">J829*Resumo!$C$6</f>
        <v>0</v>
      </c>
      <c r="O829" s="39" t="n">
        <f aca="false">J829*Resumo!$C$7</f>
        <v>1.4364</v>
      </c>
      <c r="P829" s="39" t="n">
        <f aca="false">J829*Resumo!$C$8</f>
        <v>1.4364</v>
      </c>
      <c r="Q829" s="39" t="n">
        <f aca="false">Resumo!$C$10*CEILING(I829/100,1)</f>
        <v>1.05</v>
      </c>
      <c r="R829" s="39" t="n">
        <f aca="false">Resumo!$C$9</f>
        <v>0</v>
      </c>
      <c r="S829" s="39" t="n">
        <f aca="false">Resumo!$C$13</f>
        <v>13.55</v>
      </c>
      <c r="T829" s="39" t="n">
        <f aca="false">Resumo!$C$14*CEILING(I829,1)</f>
        <v>31.5</v>
      </c>
      <c r="U829" s="39" t="n">
        <f aca="false">SUM(M829:T829)*Resumo!$C$11</f>
        <v>0</v>
      </c>
      <c r="V829" s="39" t="n">
        <f aca="false">SUM(M829:U829)</f>
        <v>112.1828</v>
      </c>
      <c r="W829" s="39" t="n">
        <f aca="false">V829/(1-Resumo!$C$5)</f>
        <v>127.480454545455</v>
      </c>
      <c r="X829" s="39" t="n">
        <v>131.02</v>
      </c>
      <c r="Y829" s="39" t="n">
        <f aca="false">J829*Resumo!$B$6</f>
        <v>0.684</v>
      </c>
      <c r="Z829" s="39" t="n">
        <f aca="false">J829*Resumo!$B$7</f>
        <v>1.368</v>
      </c>
      <c r="AA829" s="39" t="n">
        <f aca="false">Resumo!$B$9</f>
        <v>1</v>
      </c>
      <c r="AB829" s="39" t="n">
        <f aca="false">Resumo!$B$10*CEILING(I829/100,1)</f>
        <v>4.5</v>
      </c>
      <c r="AC829" s="39" t="n">
        <f aca="false">Resumo!$B$12*CEILING(I829,1)</f>
        <v>4.2</v>
      </c>
      <c r="AD829" s="39" t="n">
        <f aca="false">Resumo!$B$14*CEILING(I829,1)</f>
        <v>31.5</v>
      </c>
      <c r="AE829" s="39" t="n">
        <f aca="false">SUM(X829:AD829)</f>
        <v>174.272</v>
      </c>
      <c r="AF829" s="39" t="n">
        <f aca="false">AE829/(1-Resumo!$B$5)</f>
        <v>198.036363636364</v>
      </c>
      <c r="AG829" s="39" t="n">
        <f aca="false">AF829-W829</f>
        <v>70.5559090909091</v>
      </c>
      <c r="AH829" s="40" t="n">
        <f aca="false">AF829/W829-1</f>
        <v>0.553464523973372</v>
      </c>
      <c r="AI829" s="37" t="str">
        <f aca="false">IF(AF829&lt;W829,"SIM","NÃO")</f>
        <v>NÃO</v>
      </c>
      <c r="AJ829" s="37" t="n">
        <v>2</v>
      </c>
      <c r="AK829" s="37" t="n">
        <v>5</v>
      </c>
      <c r="AL829" s="37" t="s">
        <v>343</v>
      </c>
      <c r="AM829" s="39" t="n">
        <v>124.49</v>
      </c>
    </row>
    <row r="830" customFormat="false" ht="15" hidden="false" customHeight="false" outlineLevel="0" collapsed="false">
      <c r="A830" s="37" t="n">
        <v>374150871</v>
      </c>
      <c r="B830" s="38" t="n">
        <v>46244.5662615741</v>
      </c>
      <c r="C830" s="37" t="s">
        <v>345</v>
      </c>
      <c r="D830" s="37" t="s">
        <v>1141</v>
      </c>
      <c r="E830" s="37" t="n">
        <v>23587460</v>
      </c>
      <c r="F830" s="37" t="s">
        <v>159</v>
      </c>
      <c r="G830" s="37" t="s">
        <v>196</v>
      </c>
      <c r="H830" s="37" t="s">
        <v>192</v>
      </c>
      <c r="I830" s="37" t="n">
        <v>124.2</v>
      </c>
      <c r="J830" s="39" t="n">
        <v>1699.99</v>
      </c>
      <c r="K830" s="37" t="s">
        <v>518</v>
      </c>
      <c r="L830" s="39" t="n">
        <v>226.85</v>
      </c>
      <c r="M830" s="39" t="n">
        <v>120.59</v>
      </c>
      <c r="N830" s="39" t="n">
        <f aca="false">J830*Resumo!$C$6</f>
        <v>0</v>
      </c>
      <c r="O830" s="39" t="n">
        <f aca="false">J830*Resumo!$C$7</f>
        <v>3.569979</v>
      </c>
      <c r="P830" s="39" t="n">
        <f aca="false">J830*Resumo!$C$8</f>
        <v>3.569979</v>
      </c>
      <c r="Q830" s="39" t="n">
        <f aca="false">Resumo!$C$10*CEILING(I830/100,1)</f>
        <v>2.1</v>
      </c>
      <c r="R830" s="39" t="n">
        <f aca="false">Resumo!$C$9</f>
        <v>0</v>
      </c>
      <c r="S830" s="39" t="n">
        <f aca="false">Resumo!$C$13</f>
        <v>13.55</v>
      </c>
      <c r="T830" s="39" t="n">
        <f aca="false">Resumo!$C$14*CEILING(I830,1)</f>
        <v>56.25</v>
      </c>
      <c r="U830" s="39" t="n">
        <f aca="false">SUM(M830:T830)*Resumo!$C$11</f>
        <v>0</v>
      </c>
      <c r="V830" s="39" t="n">
        <f aca="false">SUM(M830:U830)</f>
        <v>199.629958</v>
      </c>
      <c r="W830" s="39" t="n">
        <f aca="false">V830/(1-Resumo!$C$5)</f>
        <v>226.852225</v>
      </c>
      <c r="X830" s="39" t="n">
        <v>239.25</v>
      </c>
      <c r="Y830" s="39" t="n">
        <f aca="false">J830*Resumo!$B$6</f>
        <v>1.69999</v>
      </c>
      <c r="Z830" s="39" t="n">
        <f aca="false">J830*Resumo!$B$7</f>
        <v>3.39998</v>
      </c>
      <c r="AA830" s="39" t="n">
        <f aca="false">Resumo!$B$9</f>
        <v>1</v>
      </c>
      <c r="AB830" s="39" t="n">
        <f aca="false">Resumo!$B$10*CEILING(I830/100,1)</f>
        <v>9</v>
      </c>
      <c r="AC830" s="39" t="n">
        <f aca="false">Resumo!$B$12*CEILING(I830,1)</f>
        <v>7.5</v>
      </c>
      <c r="AD830" s="39" t="n">
        <f aca="false">Resumo!$B$14*CEILING(I830,1)</f>
        <v>56.25</v>
      </c>
      <c r="AE830" s="39" t="n">
        <f aca="false">SUM(X830:AD830)</f>
        <v>318.09997</v>
      </c>
      <c r="AF830" s="39" t="n">
        <f aca="false">AE830/(1-Resumo!$B$5)</f>
        <v>361.477238636364</v>
      </c>
      <c r="AG830" s="39" t="n">
        <f aca="false">AF830-W830</f>
        <v>134.625013636364</v>
      </c>
      <c r="AH830" s="40" t="n">
        <f aca="false">AF830/W830-1</f>
        <v>0.593448063541645</v>
      </c>
      <c r="AI830" s="37" t="str">
        <f aca="false">IF(AF830&lt;W830,"SIM","NÃO")</f>
        <v>NÃO</v>
      </c>
      <c r="AJ830" s="37" t="n">
        <v>2</v>
      </c>
      <c r="AK830" s="37" t="n">
        <v>5</v>
      </c>
      <c r="AL830" s="37" t="s">
        <v>343</v>
      </c>
      <c r="AM830" s="39" t="n">
        <v>234.44</v>
      </c>
    </row>
    <row r="831" customFormat="false" ht="15" hidden="false" customHeight="false" outlineLevel="0" collapsed="false">
      <c r="A831" s="37" t="n">
        <v>374164750</v>
      </c>
      <c r="B831" s="38" t="n">
        <v>46244.5896296296</v>
      </c>
      <c r="C831" s="37" t="s">
        <v>340</v>
      </c>
      <c r="D831" s="37" t="s">
        <v>1142</v>
      </c>
      <c r="E831" s="37" t="n">
        <v>21520280</v>
      </c>
      <c r="F831" s="37" t="s">
        <v>159</v>
      </c>
      <c r="G831" s="37" t="s">
        <v>196</v>
      </c>
      <c r="H831" s="37" t="s">
        <v>184</v>
      </c>
      <c r="I831" s="37" t="n">
        <v>21.75</v>
      </c>
      <c r="J831" s="39" t="n">
        <v>319.99</v>
      </c>
      <c r="K831" s="37" t="s">
        <v>342</v>
      </c>
      <c r="L831" s="39" t="n">
        <v>81.86</v>
      </c>
      <c r="M831" s="39" t="n">
        <v>42.11</v>
      </c>
      <c r="N831" s="39" t="n">
        <f aca="false">J831*Resumo!$C$6</f>
        <v>0</v>
      </c>
      <c r="O831" s="39" t="n">
        <f aca="false">J831*Resumo!$C$7</f>
        <v>0.671979</v>
      </c>
      <c r="P831" s="39" t="n">
        <f aca="false">J831*Resumo!$C$8</f>
        <v>0.671979</v>
      </c>
      <c r="Q831" s="39" t="n">
        <f aca="false">Resumo!$C$10*CEILING(I831/100,1)</f>
        <v>1.05</v>
      </c>
      <c r="R831" s="39" t="n">
        <f aca="false">Resumo!$C$9</f>
        <v>0</v>
      </c>
      <c r="S831" s="39" t="n">
        <f aca="false">Resumo!$C$13</f>
        <v>13.55</v>
      </c>
      <c r="T831" s="39" t="n">
        <f aca="false">Resumo!$C$14*CEILING(I831,1)</f>
        <v>9.9</v>
      </c>
      <c r="U831" s="39" t="n">
        <f aca="false">SUM(M831:T831)*Resumo!$C$11</f>
        <v>0</v>
      </c>
      <c r="V831" s="39" t="n">
        <f aca="false">SUM(M831:U831)</f>
        <v>67.953958</v>
      </c>
      <c r="W831" s="39" t="n">
        <f aca="false">V831/(1-Resumo!$C$5)</f>
        <v>77.2204068181818</v>
      </c>
      <c r="X831" s="39" t="n">
        <v>82.21</v>
      </c>
      <c r="Y831" s="39" t="n">
        <f aca="false">J831*Resumo!$B$6</f>
        <v>0.31999</v>
      </c>
      <c r="Z831" s="39" t="n">
        <f aca="false">J831*Resumo!$B$7</f>
        <v>0.63998</v>
      </c>
      <c r="AA831" s="39" t="n">
        <f aca="false">Resumo!$B$9</f>
        <v>1</v>
      </c>
      <c r="AB831" s="39" t="n">
        <f aca="false">Resumo!$B$10*CEILING(I831/100,1)</f>
        <v>4.5</v>
      </c>
      <c r="AC831" s="39" t="n">
        <f aca="false">Resumo!$B$12*CEILING(I831,1)</f>
        <v>1.32</v>
      </c>
      <c r="AD831" s="39" t="n">
        <f aca="false">Resumo!$B$14*CEILING(I831,1)</f>
        <v>9.9</v>
      </c>
      <c r="AE831" s="39" t="n">
        <f aca="false">SUM(X831:AD831)</f>
        <v>99.88997</v>
      </c>
      <c r="AF831" s="39" t="n">
        <f aca="false">AE831/(1-Resumo!$B$5)</f>
        <v>113.511329545455</v>
      </c>
      <c r="AG831" s="39" t="n">
        <f aca="false">AF831-W831</f>
        <v>36.2909227272727</v>
      </c>
      <c r="AH831" s="40" t="n">
        <f aca="false">AF831/W831-1</f>
        <v>0.469965443366816</v>
      </c>
      <c r="AI831" s="37" t="str">
        <f aca="false">IF(AF831&lt;W831,"SIM","NÃO")</f>
        <v>NÃO</v>
      </c>
      <c r="AJ831" s="37" t="n">
        <v>2</v>
      </c>
      <c r="AK831" s="37" t="n">
        <v>5</v>
      </c>
      <c r="AL831" s="37" t="s">
        <v>343</v>
      </c>
      <c r="AM831" s="39" t="n">
        <v>81.86</v>
      </c>
    </row>
    <row r="832" customFormat="false" ht="15" hidden="false" customHeight="false" outlineLevel="0" collapsed="false">
      <c r="A832" s="37" t="n">
        <v>374174890</v>
      </c>
      <c r="B832" s="38" t="n">
        <v>46244.6097222222</v>
      </c>
      <c r="C832" s="37" t="s">
        <v>345</v>
      </c>
      <c r="D832" s="37" t="s">
        <v>1143</v>
      </c>
      <c r="E832" s="37" t="n">
        <v>28027040</v>
      </c>
      <c r="F832" s="37" t="s">
        <v>164</v>
      </c>
      <c r="G832" s="37" t="s">
        <v>198</v>
      </c>
      <c r="H832" s="37" t="s">
        <v>187</v>
      </c>
      <c r="I832" s="37" t="n">
        <v>52.3</v>
      </c>
      <c r="J832" s="39" t="n">
        <v>640.18</v>
      </c>
      <c r="K832" s="37" t="s">
        <v>518</v>
      </c>
      <c r="L832" s="39" t="n">
        <v>141.72</v>
      </c>
      <c r="M832" s="39" t="n">
        <v>83.58</v>
      </c>
      <c r="N832" s="39" t="n">
        <f aca="false">J832*Resumo!$C$6</f>
        <v>0</v>
      </c>
      <c r="O832" s="39" t="n">
        <f aca="false">J832*Resumo!$C$7</f>
        <v>1.344378</v>
      </c>
      <c r="P832" s="39" t="n">
        <f aca="false">J832*Resumo!$C$8</f>
        <v>1.344378</v>
      </c>
      <c r="Q832" s="39" t="n">
        <f aca="false">Resumo!$C$10*CEILING(I832/100,1)</f>
        <v>1.05</v>
      </c>
      <c r="R832" s="39" t="n">
        <f aca="false">Resumo!$C$9</f>
        <v>0</v>
      </c>
      <c r="S832" s="39" t="n">
        <f aca="false">Resumo!$C$13</f>
        <v>13.55</v>
      </c>
      <c r="T832" s="39" t="n">
        <f aca="false">Resumo!$C$14*CEILING(I832,1)</f>
        <v>23.85</v>
      </c>
      <c r="U832" s="39" t="n">
        <f aca="false">SUM(M832:T832)*Resumo!$C$11</f>
        <v>0</v>
      </c>
      <c r="V832" s="39" t="n">
        <f aca="false">SUM(M832:U832)</f>
        <v>124.718756</v>
      </c>
      <c r="W832" s="39" t="n">
        <f aca="false">V832/(1-Resumo!$C$5)</f>
        <v>141.725859090909</v>
      </c>
      <c r="X832" s="39" t="n">
        <v>162.04</v>
      </c>
      <c r="Y832" s="39" t="n">
        <f aca="false">J832*Resumo!$B$6</f>
        <v>0.64018</v>
      </c>
      <c r="Z832" s="39" t="n">
        <f aca="false">J832*Resumo!$B$7</f>
        <v>1.28036</v>
      </c>
      <c r="AA832" s="39" t="n">
        <f aca="false">Resumo!$B$9</f>
        <v>1</v>
      </c>
      <c r="AB832" s="39" t="n">
        <f aca="false">Resumo!$B$10*CEILING(I832/100,1)</f>
        <v>4.5</v>
      </c>
      <c r="AC832" s="39" t="n">
        <f aca="false">Resumo!$B$12*CEILING(I832,1)</f>
        <v>3.18</v>
      </c>
      <c r="AD832" s="39" t="n">
        <f aca="false">Resumo!$B$14*CEILING(I832,1)</f>
        <v>23.85</v>
      </c>
      <c r="AE832" s="39" t="n">
        <f aca="false">SUM(X832:AD832)</f>
        <v>196.49054</v>
      </c>
      <c r="AF832" s="39" t="n">
        <f aca="false">AE832/(1-Resumo!$B$5)</f>
        <v>223.284704545455</v>
      </c>
      <c r="AG832" s="39" t="n">
        <f aca="false">AF832-W832</f>
        <v>81.5588454545454</v>
      </c>
      <c r="AH832" s="40" t="n">
        <f aca="false">AF832/W832-1</f>
        <v>0.575469049739399</v>
      </c>
      <c r="AI832" s="37" t="str">
        <f aca="false">IF(AF832&lt;W832,"SIM","NÃO")</f>
        <v>NÃO</v>
      </c>
      <c r="AJ832" s="37" t="n">
        <v>13</v>
      </c>
      <c r="AK832" s="37" t="n">
        <v>11</v>
      </c>
      <c r="AL832" s="37" t="s">
        <v>343</v>
      </c>
      <c r="AM832" s="39" t="n">
        <v>142.74</v>
      </c>
    </row>
    <row r="833" customFormat="false" ht="15" hidden="false" customHeight="false" outlineLevel="0" collapsed="false">
      <c r="A833" s="37" t="n">
        <v>374182920</v>
      </c>
      <c r="B833" s="38" t="n">
        <v>46244.6266435185</v>
      </c>
      <c r="C833" s="37" t="s">
        <v>345</v>
      </c>
      <c r="D833" s="37" t="s">
        <v>1144</v>
      </c>
      <c r="E833" s="37" t="n">
        <v>25071100</v>
      </c>
      <c r="F833" s="37" t="s">
        <v>161</v>
      </c>
      <c r="G833" s="37" t="s">
        <v>197</v>
      </c>
      <c r="H833" s="37" t="s">
        <v>187</v>
      </c>
      <c r="I833" s="37" t="n">
        <v>56.7</v>
      </c>
      <c r="J833" s="39" t="n">
        <v>663.52</v>
      </c>
      <c r="K833" s="37" t="s">
        <v>342</v>
      </c>
      <c r="L833" s="39" t="n">
        <v>128.47</v>
      </c>
      <c r="M833" s="39" t="n">
        <v>70.98</v>
      </c>
      <c r="N833" s="39" t="n">
        <f aca="false">J833*Resumo!$C$6</f>
        <v>0</v>
      </c>
      <c r="O833" s="39" t="n">
        <f aca="false">J833*Resumo!$C$7</f>
        <v>1.393392</v>
      </c>
      <c r="P833" s="39" t="n">
        <f aca="false">J833*Resumo!$C$8</f>
        <v>1.393392</v>
      </c>
      <c r="Q833" s="39" t="n">
        <f aca="false">Resumo!$C$10*CEILING(I833/100,1)</f>
        <v>1.05</v>
      </c>
      <c r="R833" s="39" t="n">
        <f aca="false">Resumo!$C$9</f>
        <v>0</v>
      </c>
      <c r="S833" s="39" t="n">
        <f aca="false">Resumo!$C$13</f>
        <v>13.55</v>
      </c>
      <c r="T833" s="39" t="n">
        <f aca="false">Resumo!$C$14*CEILING(I833,1)</f>
        <v>25.65</v>
      </c>
      <c r="U833" s="39" t="n">
        <f aca="false">SUM(M833:T833)*Resumo!$C$11</f>
        <v>0</v>
      </c>
      <c r="V833" s="39" t="n">
        <f aca="false">SUM(M833:U833)</f>
        <v>114.016784</v>
      </c>
      <c r="W833" s="39" t="n">
        <f aca="false">V833/(1-Resumo!$C$5)</f>
        <v>129.564527272727</v>
      </c>
      <c r="X833" s="39" t="n">
        <v>112.3</v>
      </c>
      <c r="Y833" s="39" t="n">
        <f aca="false">J833*Resumo!$B$6</f>
        <v>0.66352</v>
      </c>
      <c r="Z833" s="39" t="n">
        <f aca="false">J833*Resumo!$B$7</f>
        <v>1.32704</v>
      </c>
      <c r="AA833" s="39" t="n">
        <f aca="false">Resumo!$B$9</f>
        <v>1</v>
      </c>
      <c r="AB833" s="39" t="n">
        <f aca="false">Resumo!$B$10*CEILING(I833/100,1)</f>
        <v>4.5</v>
      </c>
      <c r="AC833" s="39" t="n">
        <f aca="false">Resumo!$B$12*CEILING(I833,1)</f>
        <v>3.42</v>
      </c>
      <c r="AD833" s="39" t="n">
        <f aca="false">Resumo!$B$14*CEILING(I833,1)</f>
        <v>25.65</v>
      </c>
      <c r="AE833" s="39" t="n">
        <f aca="false">SUM(X833:AD833)</f>
        <v>148.86056</v>
      </c>
      <c r="AF833" s="39" t="n">
        <f aca="false">AE833/(1-Resumo!$B$5)</f>
        <v>169.159727272727</v>
      </c>
      <c r="AG833" s="39" t="n">
        <f aca="false">AF833-W833</f>
        <v>39.5952</v>
      </c>
      <c r="AH833" s="40" t="n">
        <f aca="false">AF833/W833-1</f>
        <v>0.30560216467779</v>
      </c>
      <c r="AI833" s="37" t="str">
        <f aca="false">IF(AF833&lt;W833,"SIM","NÃO")</f>
        <v>NÃO</v>
      </c>
      <c r="AJ833" s="37" t="n">
        <v>2</v>
      </c>
      <c r="AK833" s="37" t="n">
        <v>5</v>
      </c>
      <c r="AL833" s="37" t="s">
        <v>343</v>
      </c>
      <c r="AM833" s="39" t="n">
        <v>128.46</v>
      </c>
    </row>
    <row r="834" customFormat="false" ht="15" hidden="false" customHeight="false" outlineLevel="0" collapsed="false">
      <c r="A834" s="37" t="n">
        <v>374192532</v>
      </c>
      <c r="B834" s="38" t="n">
        <v>46244.6473726852</v>
      </c>
      <c r="C834" s="37" t="s">
        <v>379</v>
      </c>
      <c r="D834" s="37" t="s">
        <v>1145</v>
      </c>
      <c r="E834" s="37" t="n">
        <v>22452770</v>
      </c>
      <c r="F834" s="37" t="s">
        <v>159</v>
      </c>
      <c r="G834" s="37" t="s">
        <v>196</v>
      </c>
      <c r="H834" s="37" t="s">
        <v>183</v>
      </c>
      <c r="I834" s="37" t="n">
        <v>19.5</v>
      </c>
      <c r="J834" s="39" t="n">
        <v>389.99</v>
      </c>
      <c r="K834" s="37" t="s">
        <v>342</v>
      </c>
      <c r="L834" s="39" t="n">
        <v>65.09</v>
      </c>
      <c r="M834" s="39" t="n">
        <v>33.42</v>
      </c>
      <c r="N834" s="39" t="n">
        <f aca="false">J834*Resumo!$C$6</f>
        <v>0</v>
      </c>
      <c r="O834" s="39" t="n">
        <f aca="false">J834*Resumo!$C$7</f>
        <v>0.818979</v>
      </c>
      <c r="P834" s="39" t="n">
        <f aca="false">J834*Resumo!$C$8</f>
        <v>0.818979</v>
      </c>
      <c r="Q834" s="39" t="n">
        <f aca="false">Resumo!$C$10*CEILING(I834/100,1)</f>
        <v>1.05</v>
      </c>
      <c r="R834" s="39" t="n">
        <f aca="false">Resumo!$C$9</f>
        <v>0</v>
      </c>
      <c r="S834" s="39" t="n">
        <f aca="false">Resumo!$C$13</f>
        <v>13.55</v>
      </c>
      <c r="T834" s="39" t="n">
        <f aca="false">Resumo!$C$14*CEILING(I834,1)</f>
        <v>9</v>
      </c>
      <c r="U834" s="39" t="n">
        <f aca="false">SUM(M834:T834)*Resumo!$C$11</f>
        <v>0</v>
      </c>
      <c r="V834" s="39" t="n">
        <f aca="false">SUM(M834:U834)</f>
        <v>58.657958</v>
      </c>
      <c r="W834" s="39" t="n">
        <f aca="false">V834/(1-Resumo!$C$5)</f>
        <v>66.6567704545455</v>
      </c>
      <c r="X834" s="39" t="n">
        <v>46.98</v>
      </c>
      <c r="Y834" s="39" t="n">
        <f aca="false">J834*Resumo!$B$6</f>
        <v>0.38999</v>
      </c>
      <c r="Z834" s="39" t="n">
        <f aca="false">J834*Resumo!$B$7</f>
        <v>0.77998</v>
      </c>
      <c r="AA834" s="39" t="n">
        <f aca="false">Resumo!$B$9</f>
        <v>1</v>
      </c>
      <c r="AB834" s="39" t="n">
        <f aca="false">Resumo!$B$10*CEILING(I834/100,1)</f>
        <v>4.5</v>
      </c>
      <c r="AC834" s="39" t="n">
        <f aca="false">Resumo!$B$12*CEILING(I834,1)</f>
        <v>1.2</v>
      </c>
      <c r="AD834" s="39" t="n">
        <f aca="false">Resumo!$B$14*CEILING(I834,1)</f>
        <v>9</v>
      </c>
      <c r="AE834" s="39" t="n">
        <f aca="false">SUM(X834:AD834)</f>
        <v>63.84997</v>
      </c>
      <c r="AF834" s="39" t="n">
        <f aca="false">AE834/(1-Resumo!$B$5)</f>
        <v>72.5567840909091</v>
      </c>
      <c r="AG834" s="39" t="n">
        <f aca="false">AF834-W834</f>
        <v>5.90001363636364</v>
      </c>
      <c r="AH834" s="40" t="n">
        <f aca="false">AF834/W834-1</f>
        <v>0.0885133437478338</v>
      </c>
      <c r="AI834" s="37" t="str">
        <f aca="false">IF(AF834&lt;W834,"SIM","NÃO")</f>
        <v>NÃO</v>
      </c>
      <c r="AJ834" s="37" t="n">
        <v>2</v>
      </c>
      <c r="AK834" s="37" t="n">
        <v>5</v>
      </c>
      <c r="AL834" s="37" t="s">
        <v>343</v>
      </c>
      <c r="AM834" s="39" t="n">
        <v>65.09</v>
      </c>
    </row>
    <row r="835" customFormat="false" ht="15" hidden="false" customHeight="false" outlineLevel="0" collapsed="false">
      <c r="A835" s="37" t="n">
        <v>374194474</v>
      </c>
      <c r="B835" s="38" t="n">
        <v>46244.6564814815</v>
      </c>
      <c r="C835" s="37" t="s">
        <v>375</v>
      </c>
      <c r="D835" s="37" t="s">
        <v>1146</v>
      </c>
      <c r="E835" s="37" t="n">
        <v>25010005</v>
      </c>
      <c r="F835" s="37" t="s">
        <v>161</v>
      </c>
      <c r="G835" s="37" t="s">
        <v>197</v>
      </c>
      <c r="H835" s="37" t="s">
        <v>186</v>
      </c>
      <c r="I835" s="37" t="n">
        <v>44.7</v>
      </c>
      <c r="J835" s="39" t="n">
        <v>551.99</v>
      </c>
      <c r="K835" s="37" t="s">
        <v>342</v>
      </c>
      <c r="L835" s="39" t="n">
        <v>116.7</v>
      </c>
      <c r="M835" s="39" t="n">
        <v>65.36</v>
      </c>
      <c r="N835" s="39" t="n">
        <f aca="false">J835*Resumo!$C$6</f>
        <v>0</v>
      </c>
      <c r="O835" s="39" t="n">
        <f aca="false">J835*Resumo!$C$7</f>
        <v>1.159179</v>
      </c>
      <c r="P835" s="39" t="n">
        <f aca="false">J835*Resumo!$C$8</f>
        <v>1.159179</v>
      </c>
      <c r="Q835" s="39" t="n">
        <f aca="false">Resumo!$C$10*CEILING(I835/100,1)</f>
        <v>1.05</v>
      </c>
      <c r="R835" s="39" t="n">
        <f aca="false">Resumo!$C$9</f>
        <v>0</v>
      </c>
      <c r="S835" s="39" t="n">
        <f aca="false">Resumo!$C$13</f>
        <v>13.55</v>
      </c>
      <c r="T835" s="39" t="n">
        <f aca="false">Resumo!$C$14*CEILING(I835,1)</f>
        <v>20.25</v>
      </c>
      <c r="U835" s="39" t="n">
        <f aca="false">SUM(M835:T835)*Resumo!$C$11</f>
        <v>0</v>
      </c>
      <c r="V835" s="39" t="n">
        <f aca="false">SUM(M835:U835)</f>
        <v>102.528358</v>
      </c>
      <c r="W835" s="39" t="n">
        <f aca="false">V835/(1-Resumo!$C$5)</f>
        <v>116.509497727273</v>
      </c>
      <c r="X835" s="39" t="n">
        <v>93.97</v>
      </c>
      <c r="Y835" s="39" t="n">
        <f aca="false">J835*Resumo!$B$6</f>
        <v>0.55199</v>
      </c>
      <c r="Z835" s="39" t="n">
        <f aca="false">J835*Resumo!$B$7</f>
        <v>1.10398</v>
      </c>
      <c r="AA835" s="39" t="n">
        <f aca="false">Resumo!$B$9</f>
        <v>1</v>
      </c>
      <c r="AB835" s="39" t="n">
        <f aca="false">Resumo!$B$10*CEILING(I835/100,1)</f>
        <v>4.5</v>
      </c>
      <c r="AC835" s="39" t="n">
        <f aca="false">Resumo!$B$12*CEILING(I835,1)</f>
        <v>2.7</v>
      </c>
      <c r="AD835" s="39" t="n">
        <f aca="false">Resumo!$B$14*CEILING(I835,1)</f>
        <v>20.25</v>
      </c>
      <c r="AE835" s="39" t="n">
        <f aca="false">SUM(X835:AD835)</f>
        <v>124.07597</v>
      </c>
      <c r="AF835" s="39" t="n">
        <f aca="false">AE835/(1-Resumo!$B$5)</f>
        <v>140.995420454545</v>
      </c>
      <c r="AG835" s="39" t="n">
        <f aca="false">AF835-W835</f>
        <v>24.4859227272727</v>
      </c>
      <c r="AH835" s="40" t="n">
        <f aca="false">AF835/W835-1</f>
        <v>0.210162460614067</v>
      </c>
      <c r="AI835" s="37" t="str">
        <f aca="false">IF(AF835&lt;W835,"SIM","NÃO")</f>
        <v>NÃO</v>
      </c>
      <c r="AJ835" s="37" t="n">
        <v>2</v>
      </c>
      <c r="AK835" s="37" t="n">
        <v>5</v>
      </c>
      <c r="AL835" s="37" t="s">
        <v>343</v>
      </c>
      <c r="AM835" s="39" t="n">
        <v>116.72</v>
      </c>
    </row>
    <row r="836" customFormat="false" ht="15" hidden="false" customHeight="false" outlineLevel="0" collapsed="false">
      <c r="A836" s="37" t="n">
        <v>374215445</v>
      </c>
      <c r="B836" s="38" t="n">
        <v>46244.6898958333</v>
      </c>
      <c r="C836" s="37" t="s">
        <v>340</v>
      </c>
      <c r="D836" s="37" t="s">
        <v>1147</v>
      </c>
      <c r="E836" s="37" t="n">
        <v>25586030</v>
      </c>
      <c r="F836" s="37" t="s">
        <v>167</v>
      </c>
      <c r="G836" s="37" t="s">
        <v>197</v>
      </c>
      <c r="H836" s="37" t="s">
        <v>187</v>
      </c>
      <c r="I836" s="37" t="n">
        <v>59.9</v>
      </c>
      <c r="J836" s="39" t="n">
        <v>919.99</v>
      </c>
      <c r="K836" s="37" t="s">
        <v>518</v>
      </c>
      <c r="L836" s="39" t="n">
        <v>132.32</v>
      </c>
      <c r="M836" s="39" t="n">
        <v>70.98</v>
      </c>
      <c r="N836" s="39" t="n">
        <f aca="false">J836*Resumo!$C$6</f>
        <v>0</v>
      </c>
      <c r="O836" s="39" t="n">
        <f aca="false">J836*Resumo!$C$7</f>
        <v>1.931979</v>
      </c>
      <c r="P836" s="39" t="n">
        <f aca="false">J836*Resumo!$C$8</f>
        <v>1.931979</v>
      </c>
      <c r="Q836" s="39" t="n">
        <f aca="false">Resumo!$C$10*CEILING(I836/100,1)</f>
        <v>1.05</v>
      </c>
      <c r="R836" s="39" t="n">
        <f aca="false">Resumo!$C$9</f>
        <v>0</v>
      </c>
      <c r="S836" s="39" t="n">
        <f aca="false">Resumo!$C$13</f>
        <v>13.55</v>
      </c>
      <c r="T836" s="39" t="n">
        <f aca="false">Resumo!$C$14*CEILING(I836,1)</f>
        <v>27</v>
      </c>
      <c r="U836" s="39" t="n">
        <f aca="false">SUM(M836:T836)*Resumo!$C$11</f>
        <v>0</v>
      </c>
      <c r="V836" s="39" t="n">
        <f aca="false">SUM(M836:U836)</f>
        <v>116.443958</v>
      </c>
      <c r="W836" s="39" t="n">
        <f aca="false">V836/(1-Resumo!$C$5)</f>
        <v>132.322679545455</v>
      </c>
      <c r="X836" s="39" t="n">
        <v>112.3</v>
      </c>
      <c r="Y836" s="39" t="n">
        <f aca="false">J836*Resumo!$B$6</f>
        <v>0.91999</v>
      </c>
      <c r="Z836" s="39" t="n">
        <f aca="false">J836*Resumo!$B$7</f>
        <v>1.83998</v>
      </c>
      <c r="AA836" s="39" t="n">
        <f aca="false">Resumo!$B$9</f>
        <v>1</v>
      </c>
      <c r="AB836" s="39" t="n">
        <f aca="false">Resumo!$B$10*CEILING(I836/100,1)</f>
        <v>4.5</v>
      </c>
      <c r="AC836" s="39" t="n">
        <f aca="false">Resumo!$B$12*CEILING(I836,1)</f>
        <v>3.6</v>
      </c>
      <c r="AD836" s="39" t="n">
        <f aca="false">Resumo!$B$14*CEILING(I836,1)</f>
        <v>27</v>
      </c>
      <c r="AE836" s="39" t="n">
        <f aca="false">SUM(X836:AD836)</f>
        <v>151.15997</v>
      </c>
      <c r="AF836" s="39" t="n">
        <f aca="false">AE836/(1-Resumo!$B$5)</f>
        <v>171.772693181818</v>
      </c>
      <c r="AG836" s="39" t="n">
        <f aca="false">AF836-W836</f>
        <v>39.4500136363636</v>
      </c>
      <c r="AH836" s="40" t="n">
        <f aca="false">AF836/W836-1</f>
        <v>0.298134936292701</v>
      </c>
      <c r="AI836" s="37" t="str">
        <f aca="false">IF(AF836&lt;W836,"SIM","NÃO")</f>
        <v>NÃO</v>
      </c>
      <c r="AJ836" s="37" t="n">
        <v>2</v>
      </c>
      <c r="AK836" s="37" t="n">
        <v>5</v>
      </c>
      <c r="AL836" s="37" t="s">
        <v>343</v>
      </c>
      <c r="AM836" s="39" t="n">
        <v>129.69</v>
      </c>
    </row>
    <row r="837" customFormat="false" ht="15" hidden="false" customHeight="false" outlineLevel="0" collapsed="false">
      <c r="A837" s="37" t="n">
        <v>374211099</v>
      </c>
      <c r="B837" s="38" t="n">
        <v>46244.691400463</v>
      </c>
      <c r="C837" s="37" t="s">
        <v>361</v>
      </c>
      <c r="D837" s="37" t="s">
        <v>1148</v>
      </c>
      <c r="E837" s="37" t="n">
        <v>26311240</v>
      </c>
      <c r="F837" s="37" t="s">
        <v>236</v>
      </c>
      <c r="G837" s="37" t="s">
        <v>197</v>
      </c>
      <c r="H837" s="37" t="s">
        <v>185</v>
      </c>
      <c r="I837" s="37" t="n">
        <v>36.9</v>
      </c>
      <c r="J837" s="39" t="n">
        <v>459.99</v>
      </c>
      <c r="K837" s="37" t="s">
        <v>518</v>
      </c>
      <c r="L837" s="39" t="n">
        <v>113.66</v>
      </c>
      <c r="M837" s="39" t="n">
        <v>66.83</v>
      </c>
      <c r="N837" s="39" t="n">
        <f aca="false">J837*Resumo!$C$6</f>
        <v>0</v>
      </c>
      <c r="O837" s="39" t="n">
        <f aca="false">J837*Resumo!$C$7</f>
        <v>0.965979</v>
      </c>
      <c r="P837" s="39" t="n">
        <f aca="false">J837*Resumo!$C$8</f>
        <v>0.965979</v>
      </c>
      <c r="Q837" s="39" t="n">
        <f aca="false">Resumo!$C$10*CEILING(I837/100,1)</f>
        <v>1.05</v>
      </c>
      <c r="R837" s="39" t="n">
        <f aca="false">Resumo!$C$9</f>
        <v>0</v>
      </c>
      <c r="S837" s="39" t="n">
        <f aca="false">Resumo!$C$13</f>
        <v>13.55</v>
      </c>
      <c r="T837" s="39" t="n">
        <f aca="false">Resumo!$C$14*CEILING(I837,1)</f>
        <v>16.65</v>
      </c>
      <c r="U837" s="39" t="n">
        <f aca="false">SUM(M837:T837)*Resumo!$C$11</f>
        <v>0</v>
      </c>
      <c r="V837" s="39" t="n">
        <f aca="false">SUM(M837:U837)</f>
        <v>100.011958</v>
      </c>
      <c r="W837" s="39" t="n">
        <f aca="false">V837/(1-Resumo!$C$5)</f>
        <v>113.649952272727</v>
      </c>
      <c r="X837" s="39" t="n">
        <v>93.97</v>
      </c>
      <c r="Y837" s="39" t="n">
        <f aca="false">J837*Resumo!$B$6</f>
        <v>0.45999</v>
      </c>
      <c r="Z837" s="39" t="n">
        <f aca="false">J837*Resumo!$B$7</f>
        <v>0.91998</v>
      </c>
      <c r="AA837" s="39" t="n">
        <f aca="false">Resumo!$B$9</f>
        <v>1</v>
      </c>
      <c r="AB837" s="39" t="n">
        <f aca="false">Resumo!$B$10*CEILING(I837/100,1)</f>
        <v>4.5</v>
      </c>
      <c r="AC837" s="39" t="n">
        <f aca="false">Resumo!$B$12*CEILING(I837,1)</f>
        <v>2.22</v>
      </c>
      <c r="AD837" s="39" t="n">
        <f aca="false">Resumo!$B$14*CEILING(I837,1)</f>
        <v>16.65</v>
      </c>
      <c r="AE837" s="39" t="n">
        <f aca="false">SUM(X837:AD837)</f>
        <v>119.71997</v>
      </c>
      <c r="AF837" s="39" t="n">
        <f aca="false">AE837/(1-Resumo!$B$5)</f>
        <v>136.045420454545</v>
      </c>
      <c r="AG837" s="39" t="n">
        <f aca="false">AF837-W837</f>
        <v>22.3954681818182</v>
      </c>
      <c r="AH837" s="40" t="n">
        <f aca="false">AF837/W837-1</f>
        <v>0.197056555977036</v>
      </c>
      <c r="AI837" s="37" t="str">
        <f aca="false">IF(AF837&lt;W837,"SIM","NÃO")</f>
        <v>NÃO</v>
      </c>
      <c r="AJ837" s="37" t="n">
        <v>2</v>
      </c>
      <c r="AK837" s="37" t="n">
        <v>5</v>
      </c>
      <c r="AL837" s="37" t="s">
        <v>347</v>
      </c>
      <c r="AM837" s="39" t="n">
        <v>113.16</v>
      </c>
    </row>
    <row r="838" customFormat="false" ht="15" hidden="false" customHeight="false" outlineLevel="0" collapsed="false">
      <c r="A838" s="37" t="n">
        <v>374218447</v>
      </c>
      <c r="B838" s="38" t="n">
        <v>46244.6958680556</v>
      </c>
      <c r="C838" s="37" t="s">
        <v>340</v>
      </c>
      <c r="D838" s="37" t="s">
        <v>1149</v>
      </c>
      <c r="E838" s="37" t="n">
        <v>21321035</v>
      </c>
      <c r="F838" s="37" t="s">
        <v>159</v>
      </c>
      <c r="G838" s="37" t="s">
        <v>196</v>
      </c>
      <c r="H838" s="37" t="s">
        <v>183</v>
      </c>
      <c r="I838" s="37" t="n">
        <v>19.9</v>
      </c>
      <c r="J838" s="39" t="n">
        <v>299.99</v>
      </c>
      <c r="K838" s="37" t="s">
        <v>342</v>
      </c>
      <c r="L838" s="39" t="n">
        <v>64.66</v>
      </c>
      <c r="M838" s="39" t="n">
        <v>33.42</v>
      </c>
      <c r="N838" s="39" t="n">
        <f aca="false">J838*Resumo!$C$6</f>
        <v>0</v>
      </c>
      <c r="O838" s="39" t="n">
        <f aca="false">J838*Resumo!$C$7</f>
        <v>0.629979</v>
      </c>
      <c r="P838" s="39" t="n">
        <f aca="false">J838*Resumo!$C$8</f>
        <v>0.629979</v>
      </c>
      <c r="Q838" s="39" t="n">
        <f aca="false">Resumo!$C$10*CEILING(I838/100,1)</f>
        <v>1.05</v>
      </c>
      <c r="R838" s="39" t="n">
        <f aca="false">Resumo!$C$9</f>
        <v>0</v>
      </c>
      <c r="S838" s="39" t="n">
        <f aca="false">Resumo!$C$13</f>
        <v>13.55</v>
      </c>
      <c r="T838" s="39" t="n">
        <f aca="false">Resumo!$C$14*CEILING(I838,1)</f>
        <v>9</v>
      </c>
      <c r="U838" s="39" t="n">
        <f aca="false">SUM(M838:T838)*Resumo!$C$11</f>
        <v>0</v>
      </c>
      <c r="V838" s="39" t="n">
        <f aca="false">SUM(M838:U838)</f>
        <v>58.279958</v>
      </c>
      <c r="W838" s="39" t="n">
        <f aca="false">V838/(1-Resumo!$C$5)</f>
        <v>66.227225</v>
      </c>
      <c r="X838" s="39" t="n">
        <v>46.98</v>
      </c>
      <c r="Y838" s="39" t="n">
        <f aca="false">J838*Resumo!$B$6</f>
        <v>0.29999</v>
      </c>
      <c r="Z838" s="39" t="n">
        <f aca="false">J838*Resumo!$B$7</f>
        <v>0.59998</v>
      </c>
      <c r="AA838" s="39" t="n">
        <f aca="false">Resumo!$B$9</f>
        <v>1</v>
      </c>
      <c r="AB838" s="39" t="n">
        <f aca="false">Resumo!$B$10*CEILING(I838/100,1)</f>
        <v>4.5</v>
      </c>
      <c r="AC838" s="39" t="n">
        <f aca="false">Resumo!$B$12*CEILING(I838,1)</f>
        <v>1.2</v>
      </c>
      <c r="AD838" s="39" t="n">
        <f aca="false">Resumo!$B$14*CEILING(I838,1)</f>
        <v>9</v>
      </c>
      <c r="AE838" s="39" t="n">
        <f aca="false">SUM(X838:AD838)</f>
        <v>63.57997</v>
      </c>
      <c r="AF838" s="39" t="n">
        <f aca="false">AE838/(1-Resumo!$B$5)</f>
        <v>72.2499659090909</v>
      </c>
      <c r="AG838" s="39" t="n">
        <f aca="false">AF838-W838</f>
        <v>6.0227409090909</v>
      </c>
      <c r="AH838" s="40" t="n">
        <f aca="false">AF838/W838-1</f>
        <v>0.0909405597032171</v>
      </c>
      <c r="AI838" s="37" t="str">
        <f aca="false">IF(AF838&lt;W838,"SIM","NÃO")</f>
        <v>NÃO</v>
      </c>
      <c r="AJ838" s="37" t="n">
        <v>2</v>
      </c>
      <c r="AK838" s="37" t="n">
        <v>5</v>
      </c>
      <c r="AL838" s="37" t="s">
        <v>343</v>
      </c>
      <c r="AM838" s="39" t="n">
        <v>64.65</v>
      </c>
    </row>
    <row r="839" customFormat="false" ht="15" hidden="false" customHeight="false" outlineLevel="0" collapsed="false">
      <c r="A839" s="37" t="n">
        <v>374231679</v>
      </c>
      <c r="B839" s="38" t="n">
        <v>46244.7253356482</v>
      </c>
      <c r="C839" s="37" t="s">
        <v>340</v>
      </c>
      <c r="D839" s="37" t="s">
        <v>1150</v>
      </c>
      <c r="E839" s="37" t="n">
        <v>21545230</v>
      </c>
      <c r="F839" s="37" t="s">
        <v>159</v>
      </c>
      <c r="G839" s="37" t="s">
        <v>196</v>
      </c>
      <c r="H839" s="37" t="s">
        <v>189</v>
      </c>
      <c r="I839" s="37" t="n">
        <v>78.7</v>
      </c>
      <c r="J839" s="39" t="n">
        <v>1577.68</v>
      </c>
      <c r="K839" s="37" t="s">
        <v>342</v>
      </c>
      <c r="L839" s="39" t="n">
        <v>140.06</v>
      </c>
      <c r="M839" s="39" t="n">
        <v>68.88</v>
      </c>
      <c r="N839" s="39" t="n">
        <f aca="false">J839*Resumo!$C$6</f>
        <v>0</v>
      </c>
      <c r="O839" s="39" t="n">
        <f aca="false">J839*Resumo!$C$7</f>
        <v>3.313128</v>
      </c>
      <c r="P839" s="39" t="n">
        <f aca="false">J839*Resumo!$C$8</f>
        <v>3.313128</v>
      </c>
      <c r="Q839" s="39" t="n">
        <f aca="false">Resumo!$C$10*CEILING(I839/100,1)</f>
        <v>1.05</v>
      </c>
      <c r="R839" s="39" t="n">
        <f aca="false">Resumo!$C$9</f>
        <v>0</v>
      </c>
      <c r="S839" s="39" t="n">
        <f aca="false">Resumo!$C$13</f>
        <v>13.55</v>
      </c>
      <c r="T839" s="39" t="n">
        <f aca="false">Resumo!$C$14*CEILING(I839,1)</f>
        <v>35.55</v>
      </c>
      <c r="U839" s="39" t="n">
        <f aca="false">SUM(M839:T839)*Resumo!$C$11</f>
        <v>0</v>
      </c>
      <c r="V839" s="39" t="n">
        <f aca="false">SUM(M839:U839)</f>
        <v>125.656256</v>
      </c>
      <c r="W839" s="39" t="n">
        <f aca="false">V839/(1-Resumo!$C$5)</f>
        <v>142.7912</v>
      </c>
      <c r="X839" s="39" t="n">
        <v>134.39</v>
      </c>
      <c r="Y839" s="39" t="n">
        <f aca="false">J839*Resumo!$B$6</f>
        <v>1.57768</v>
      </c>
      <c r="Z839" s="39" t="n">
        <f aca="false">J839*Resumo!$B$7</f>
        <v>3.15536</v>
      </c>
      <c r="AA839" s="39" t="n">
        <f aca="false">Resumo!$B$9</f>
        <v>1</v>
      </c>
      <c r="AB839" s="39" t="n">
        <f aca="false">Resumo!$B$10*CEILING(I839/100,1)</f>
        <v>4.5</v>
      </c>
      <c r="AC839" s="39" t="n">
        <f aca="false">Resumo!$B$12*CEILING(I839,1)</f>
        <v>4.74</v>
      </c>
      <c r="AD839" s="39" t="n">
        <f aca="false">Resumo!$B$14*CEILING(I839,1)</f>
        <v>35.55</v>
      </c>
      <c r="AE839" s="39" t="n">
        <f aca="false">SUM(X839:AD839)</f>
        <v>184.91304</v>
      </c>
      <c r="AF839" s="39" t="n">
        <f aca="false">AE839/(1-Resumo!$B$5)</f>
        <v>210.128454545455</v>
      </c>
      <c r="AG839" s="39" t="n">
        <f aca="false">AF839-W839</f>
        <v>67.3372545454545</v>
      </c>
      <c r="AH839" s="40" t="n">
        <f aca="false">AF839/W839-1</f>
        <v>0.471578462436442</v>
      </c>
      <c r="AI839" s="37" t="str">
        <f aca="false">IF(AF839&lt;W839,"SIM","NÃO")</f>
        <v>NÃO</v>
      </c>
      <c r="AJ839" s="37" t="n">
        <v>2</v>
      </c>
      <c r="AK839" s="37" t="n">
        <v>5</v>
      </c>
      <c r="AL839" s="37" t="s">
        <v>343</v>
      </c>
      <c r="AM839" s="39" t="n">
        <v>140.04</v>
      </c>
    </row>
    <row r="840" customFormat="false" ht="15" hidden="false" customHeight="false" outlineLevel="0" collapsed="false">
      <c r="A840" s="37" t="n">
        <v>374246324</v>
      </c>
      <c r="B840" s="38" t="n">
        <v>46244.7535300926</v>
      </c>
      <c r="C840" s="37" t="s">
        <v>340</v>
      </c>
      <c r="D840" s="37" t="s">
        <v>1151</v>
      </c>
      <c r="E840" s="37" t="n">
        <v>28920050</v>
      </c>
      <c r="F840" s="37" t="s">
        <v>172</v>
      </c>
      <c r="G840" s="37" t="s">
        <v>198</v>
      </c>
      <c r="H840" s="37" t="s">
        <v>188</v>
      </c>
      <c r="I840" s="37" t="n">
        <v>69</v>
      </c>
      <c r="J840" s="39" t="n">
        <v>783.88</v>
      </c>
      <c r="K840" s="37" t="s">
        <v>518</v>
      </c>
      <c r="L840" s="39" t="n">
        <v>158.12</v>
      </c>
      <c r="M840" s="39" t="n">
        <v>90.2</v>
      </c>
      <c r="N840" s="39" t="n">
        <f aca="false">J840*Resumo!$C$6</f>
        <v>0</v>
      </c>
      <c r="O840" s="39" t="n">
        <f aca="false">J840*Resumo!$C$7</f>
        <v>1.646148</v>
      </c>
      <c r="P840" s="39" t="n">
        <f aca="false">J840*Resumo!$C$8</f>
        <v>1.646148</v>
      </c>
      <c r="Q840" s="39" t="n">
        <f aca="false">Resumo!$C$10*CEILING(I840/100,1)</f>
        <v>1.05</v>
      </c>
      <c r="R840" s="39" t="n">
        <f aca="false">Resumo!$C$9</f>
        <v>0</v>
      </c>
      <c r="S840" s="39" t="n">
        <f aca="false">Resumo!$C$13</f>
        <v>13.55</v>
      </c>
      <c r="T840" s="39" t="n">
        <f aca="false">Resumo!$C$14*CEILING(I840,1)</f>
        <v>31.05</v>
      </c>
      <c r="U840" s="39" t="n">
        <f aca="false">SUM(M840:T840)*Resumo!$C$11</f>
        <v>0</v>
      </c>
      <c r="V840" s="39" t="n">
        <f aca="false">SUM(M840:U840)</f>
        <v>139.142296</v>
      </c>
      <c r="W840" s="39" t="n">
        <f aca="false">V840/(1-Resumo!$C$5)</f>
        <v>158.116245454545</v>
      </c>
      <c r="X840" s="39" t="n">
        <v>166.05</v>
      </c>
      <c r="Y840" s="39" t="n">
        <f aca="false">J840*Resumo!$B$6</f>
        <v>0.78388</v>
      </c>
      <c r="Z840" s="39" t="n">
        <f aca="false">J840*Resumo!$B$7</f>
        <v>1.56776</v>
      </c>
      <c r="AA840" s="39" t="n">
        <f aca="false">Resumo!$B$9</f>
        <v>1</v>
      </c>
      <c r="AB840" s="39" t="n">
        <f aca="false">Resumo!$B$10*CEILING(I840/100,1)</f>
        <v>4.5</v>
      </c>
      <c r="AC840" s="39" t="n">
        <f aca="false">Resumo!$B$12*CEILING(I840,1)</f>
        <v>4.14</v>
      </c>
      <c r="AD840" s="39" t="n">
        <f aca="false">Resumo!$B$14*CEILING(I840,1)</f>
        <v>31.05</v>
      </c>
      <c r="AE840" s="39" t="n">
        <f aca="false">SUM(X840:AD840)</f>
        <v>209.09164</v>
      </c>
      <c r="AF840" s="39" t="n">
        <f aca="false">AE840/(1-Resumo!$B$5)</f>
        <v>237.604136363636</v>
      </c>
      <c r="AG840" s="39" t="n">
        <f aca="false">AF840-W840</f>
        <v>79.4878909090909</v>
      </c>
      <c r="AH840" s="40" t="n">
        <f aca="false">AF840/W840-1</f>
        <v>0.502718052029269</v>
      </c>
      <c r="AI840" s="37" t="str">
        <f aca="false">IF(AF840&lt;W840,"SIM","NÃO")</f>
        <v>NÃO</v>
      </c>
      <c r="AJ840" s="37" t="n">
        <v>13</v>
      </c>
      <c r="AK840" s="37" t="n">
        <v>10</v>
      </c>
      <c r="AL840" s="37" t="s">
        <v>343</v>
      </c>
      <c r="AM840" s="39" t="n">
        <v>155.77</v>
      </c>
    </row>
    <row r="841" customFormat="false" ht="15" hidden="false" customHeight="false" outlineLevel="0" collapsed="false">
      <c r="A841" s="37" t="n">
        <v>374268278</v>
      </c>
      <c r="B841" s="38" t="n">
        <v>46244.7956597222</v>
      </c>
      <c r="C841" s="37" t="s">
        <v>345</v>
      </c>
      <c r="D841" s="37" t="s">
        <v>1152</v>
      </c>
      <c r="E841" s="37" t="n">
        <v>25070170</v>
      </c>
      <c r="F841" s="37" t="s">
        <v>161</v>
      </c>
      <c r="G841" s="37" t="s">
        <v>197</v>
      </c>
      <c r="H841" s="37" t="s">
        <v>192</v>
      </c>
      <c r="I841" s="37" t="n">
        <v>124.2</v>
      </c>
      <c r="J841" s="39" t="n">
        <v>1589.99</v>
      </c>
      <c r="K841" s="37" t="s">
        <v>342</v>
      </c>
      <c r="L841" s="39" t="n">
        <v>244.22</v>
      </c>
      <c r="M841" s="39" t="n">
        <v>129.62</v>
      </c>
      <c r="N841" s="39" t="n">
        <f aca="false">J841*Resumo!$C$6</f>
        <v>0</v>
      </c>
      <c r="O841" s="39" t="n">
        <f aca="false">J841*Resumo!$C$7</f>
        <v>3.338979</v>
      </c>
      <c r="P841" s="39" t="n">
        <f aca="false">J841*Resumo!$C$8</f>
        <v>3.338979</v>
      </c>
      <c r="Q841" s="39" t="n">
        <f aca="false">Resumo!$C$10*CEILING(I841/100,1)</f>
        <v>2.1</v>
      </c>
      <c r="R841" s="39" t="n">
        <f aca="false">Resumo!$C$9</f>
        <v>0</v>
      </c>
      <c r="S841" s="39" t="n">
        <f aca="false">Resumo!$C$13</f>
        <v>13.55</v>
      </c>
      <c r="T841" s="39" t="n">
        <f aca="false">Resumo!$C$14*CEILING(I841,1)</f>
        <v>56.25</v>
      </c>
      <c r="U841" s="39" t="n">
        <f aca="false">SUM(M841:T841)*Resumo!$C$11</f>
        <v>0</v>
      </c>
      <c r="V841" s="39" t="n">
        <f aca="false">SUM(M841:U841)</f>
        <v>208.197958</v>
      </c>
      <c r="W841" s="39" t="n">
        <f aca="false">V841/(1-Resumo!$C$5)</f>
        <v>236.588588636364</v>
      </c>
      <c r="X841" s="39" t="n">
        <v>239.25</v>
      </c>
      <c r="Y841" s="39" t="n">
        <f aca="false">J841*Resumo!$B$6</f>
        <v>1.58999</v>
      </c>
      <c r="Z841" s="39" t="n">
        <f aca="false">J841*Resumo!$B$7</f>
        <v>3.17998</v>
      </c>
      <c r="AA841" s="39" t="n">
        <f aca="false">Resumo!$B$9</f>
        <v>1</v>
      </c>
      <c r="AB841" s="39" t="n">
        <f aca="false">Resumo!$B$10*CEILING(I841/100,1)</f>
        <v>9</v>
      </c>
      <c r="AC841" s="39" t="n">
        <f aca="false">Resumo!$B$12*CEILING(I841,1)</f>
        <v>7.5</v>
      </c>
      <c r="AD841" s="39" t="n">
        <f aca="false">Resumo!$B$14*CEILING(I841,1)</f>
        <v>56.25</v>
      </c>
      <c r="AE841" s="39" t="n">
        <f aca="false">SUM(X841:AD841)</f>
        <v>317.76997</v>
      </c>
      <c r="AF841" s="39" t="n">
        <f aca="false">AE841/(1-Resumo!$B$5)</f>
        <v>361.102238636364</v>
      </c>
      <c r="AG841" s="39" t="n">
        <f aca="false">AF841-W841</f>
        <v>124.51365</v>
      </c>
      <c r="AH841" s="40" t="n">
        <f aca="false">AF841/W841-1</f>
        <v>0.52628764015063</v>
      </c>
      <c r="AI841" s="37" t="str">
        <f aca="false">IF(AF841&lt;W841,"SIM","NÃO")</f>
        <v>NÃO</v>
      </c>
      <c r="AJ841" s="37" t="n">
        <v>2</v>
      </c>
      <c r="AK841" s="37" t="n">
        <v>5</v>
      </c>
      <c r="AL841" s="37" t="s">
        <v>343</v>
      </c>
      <c r="AM841" s="39" t="n">
        <v>244.22</v>
      </c>
    </row>
    <row r="842" customFormat="false" ht="15" hidden="false" customHeight="false" outlineLevel="0" collapsed="false">
      <c r="A842" s="37" t="n">
        <v>374295080</v>
      </c>
      <c r="B842" s="38" t="n">
        <v>46244.8473032407</v>
      </c>
      <c r="C842" s="37" t="s">
        <v>340</v>
      </c>
      <c r="D842" s="37" t="s">
        <v>1153</v>
      </c>
      <c r="E842" s="37" t="n">
        <v>22430070</v>
      </c>
      <c r="F842" s="37" t="s">
        <v>159</v>
      </c>
      <c r="G842" s="37" t="s">
        <v>196</v>
      </c>
      <c r="H842" s="37" t="s">
        <v>187</v>
      </c>
      <c r="I842" s="37" t="n">
        <v>52.3</v>
      </c>
      <c r="J842" s="39" t="n">
        <v>699.99</v>
      </c>
      <c r="K842" s="37" t="s">
        <v>342</v>
      </c>
      <c r="L842" s="39" t="n">
        <v>114.5</v>
      </c>
      <c r="M842" s="39" t="n">
        <v>58.6</v>
      </c>
      <c r="N842" s="39" t="n">
        <f aca="false">J842*Resumo!$C$6</f>
        <v>0</v>
      </c>
      <c r="O842" s="39" t="n">
        <f aca="false">J842*Resumo!$C$7</f>
        <v>1.469979</v>
      </c>
      <c r="P842" s="39" t="n">
        <f aca="false">J842*Resumo!$C$8</f>
        <v>1.469979</v>
      </c>
      <c r="Q842" s="39" t="n">
        <f aca="false">Resumo!$C$10*CEILING(I842/100,1)</f>
        <v>1.05</v>
      </c>
      <c r="R842" s="39" t="n">
        <f aca="false">Resumo!$C$9</f>
        <v>0</v>
      </c>
      <c r="S842" s="39" t="n">
        <f aca="false">Resumo!$C$13</f>
        <v>13.55</v>
      </c>
      <c r="T842" s="39" t="n">
        <f aca="false">Resumo!$C$14*CEILING(I842,1)</f>
        <v>23.85</v>
      </c>
      <c r="U842" s="39" t="n">
        <f aca="false">SUM(M842:T842)*Resumo!$C$11</f>
        <v>0</v>
      </c>
      <c r="V842" s="39" t="n">
        <f aca="false">SUM(M842:U842)</f>
        <v>99.989958</v>
      </c>
      <c r="W842" s="39" t="n">
        <f aca="false">V842/(1-Resumo!$C$5)</f>
        <v>113.624952272727</v>
      </c>
      <c r="X842" s="39" t="n">
        <v>112.3</v>
      </c>
      <c r="Y842" s="39" t="n">
        <f aca="false">J842*Resumo!$B$6</f>
        <v>0.69999</v>
      </c>
      <c r="Z842" s="39" t="n">
        <f aca="false">J842*Resumo!$B$7</f>
        <v>1.39998</v>
      </c>
      <c r="AA842" s="39" t="n">
        <f aca="false">Resumo!$B$9</f>
        <v>1</v>
      </c>
      <c r="AB842" s="39" t="n">
        <f aca="false">Resumo!$B$10*CEILING(I842/100,1)</f>
        <v>4.5</v>
      </c>
      <c r="AC842" s="39" t="n">
        <f aca="false">Resumo!$B$12*CEILING(I842,1)</f>
        <v>3.18</v>
      </c>
      <c r="AD842" s="39" t="n">
        <f aca="false">Resumo!$B$14*CEILING(I842,1)</f>
        <v>23.85</v>
      </c>
      <c r="AE842" s="39" t="n">
        <f aca="false">SUM(X842:AD842)</f>
        <v>146.92997</v>
      </c>
      <c r="AF842" s="39" t="n">
        <f aca="false">AE842/(1-Resumo!$B$5)</f>
        <v>166.965875</v>
      </c>
      <c r="AG842" s="39" t="n">
        <f aca="false">AF842-W842</f>
        <v>53.3409227272727</v>
      </c>
      <c r="AH842" s="40" t="n">
        <f aca="false">AF842/W842-1</f>
        <v>0.469447261894039</v>
      </c>
      <c r="AI842" s="37" t="str">
        <f aca="false">IF(AF842&lt;W842,"SIM","NÃO")</f>
        <v>NÃO</v>
      </c>
      <c r="AJ842" s="37" t="n">
        <v>2</v>
      </c>
      <c r="AK842" s="37" t="n">
        <v>5</v>
      </c>
      <c r="AL842" s="37" t="s">
        <v>343</v>
      </c>
      <c r="AM842" s="39" t="n">
        <v>114.5</v>
      </c>
    </row>
    <row r="843" customFormat="false" ht="15" hidden="false" customHeight="false" outlineLevel="0" collapsed="false">
      <c r="A843" s="37" t="n">
        <v>374301216</v>
      </c>
      <c r="B843" s="38" t="n">
        <v>46244.8668402778</v>
      </c>
      <c r="C843" s="37" t="s">
        <v>372</v>
      </c>
      <c r="D843" s="37" t="s">
        <v>1154</v>
      </c>
      <c r="E843" s="37" t="n">
        <v>24744490</v>
      </c>
      <c r="F843" s="37" t="s">
        <v>160</v>
      </c>
      <c r="G843" s="37" t="s">
        <v>197</v>
      </c>
      <c r="H843" s="37" t="s">
        <v>185</v>
      </c>
      <c r="I843" s="37" t="n">
        <v>36.9</v>
      </c>
      <c r="J843" s="39" t="n">
        <v>439.99</v>
      </c>
      <c r="K843" s="37" t="s">
        <v>518</v>
      </c>
      <c r="L843" s="39" t="n">
        <v>113.55</v>
      </c>
      <c r="M843" s="39" t="n">
        <v>66.83</v>
      </c>
      <c r="N843" s="39" t="n">
        <f aca="false">J843*Resumo!$C$6</f>
        <v>0</v>
      </c>
      <c r="O843" s="39" t="n">
        <f aca="false">J843*Resumo!$C$7</f>
        <v>0.923979</v>
      </c>
      <c r="P843" s="39" t="n">
        <f aca="false">J843*Resumo!$C$8</f>
        <v>0.923979</v>
      </c>
      <c r="Q843" s="39" t="n">
        <f aca="false">Resumo!$C$10*CEILING(I843/100,1)</f>
        <v>1.05</v>
      </c>
      <c r="R843" s="39" t="n">
        <f aca="false">Resumo!$C$9</f>
        <v>0</v>
      </c>
      <c r="S843" s="39" t="n">
        <f aca="false">Resumo!$C$13</f>
        <v>13.55</v>
      </c>
      <c r="T843" s="39" t="n">
        <f aca="false">Resumo!$C$14*CEILING(I843,1)</f>
        <v>16.65</v>
      </c>
      <c r="U843" s="39" t="n">
        <f aca="false">SUM(M843:T843)*Resumo!$C$11</f>
        <v>0</v>
      </c>
      <c r="V843" s="39" t="n">
        <f aca="false">SUM(M843:U843)</f>
        <v>99.927958</v>
      </c>
      <c r="W843" s="39" t="n">
        <f aca="false">V843/(1-Resumo!$C$5)</f>
        <v>113.554497727273</v>
      </c>
      <c r="X843" s="39" t="n">
        <v>114.95</v>
      </c>
      <c r="Y843" s="39" t="n">
        <f aca="false">J843*Resumo!$B$6</f>
        <v>0.43999</v>
      </c>
      <c r="Z843" s="39" t="n">
        <f aca="false">J843*Resumo!$B$7</f>
        <v>0.87998</v>
      </c>
      <c r="AA843" s="39" t="n">
        <f aca="false">Resumo!$B$9</f>
        <v>1</v>
      </c>
      <c r="AB843" s="39" t="n">
        <f aca="false">Resumo!$B$10*CEILING(I843/100,1)</f>
        <v>4.5</v>
      </c>
      <c r="AC843" s="39" t="n">
        <f aca="false">Resumo!$B$12*CEILING(I843,1)</f>
        <v>2.22</v>
      </c>
      <c r="AD843" s="39" t="n">
        <f aca="false">Resumo!$B$14*CEILING(I843,1)</f>
        <v>16.65</v>
      </c>
      <c r="AE843" s="39" t="n">
        <f aca="false">SUM(X843:AD843)</f>
        <v>140.63997</v>
      </c>
      <c r="AF843" s="39" t="n">
        <f aca="false">AE843/(1-Resumo!$B$5)</f>
        <v>159.818147727273</v>
      </c>
      <c r="AG843" s="39" t="n">
        <f aca="false">AF843-W843</f>
        <v>46.26365</v>
      </c>
      <c r="AH843" s="40" t="n">
        <f aca="false">AF843/W843-1</f>
        <v>0.407413628926551</v>
      </c>
      <c r="AI843" s="37" t="str">
        <f aca="false">IF(AF843&lt;W843,"SIM","NÃO")</f>
        <v>NÃO</v>
      </c>
      <c r="AJ843" s="37" t="n">
        <v>2</v>
      </c>
      <c r="AK843" s="37" t="n">
        <v>7</v>
      </c>
      <c r="AL843" s="37" t="s">
        <v>343</v>
      </c>
      <c r="AM843" s="39" t="n">
        <v>113.06</v>
      </c>
    </row>
    <row r="844" customFormat="false" ht="15" hidden="false" customHeight="false" outlineLevel="0" collapsed="false">
      <c r="A844" s="37" t="n">
        <v>374309609</v>
      </c>
      <c r="B844" s="38" t="n">
        <v>46244.8765162037</v>
      </c>
      <c r="C844" s="37" t="s">
        <v>340</v>
      </c>
      <c r="D844" s="37" t="s">
        <v>1155</v>
      </c>
      <c r="E844" s="37" t="n">
        <v>20270231</v>
      </c>
      <c r="F844" s="37" t="s">
        <v>159</v>
      </c>
      <c r="G844" s="37" t="s">
        <v>196</v>
      </c>
      <c r="H844" s="37" t="s">
        <v>186</v>
      </c>
      <c r="I844" s="37" t="n">
        <v>43.5</v>
      </c>
      <c r="J844" s="39" t="n">
        <v>699.99</v>
      </c>
      <c r="K844" s="37" t="s">
        <v>342</v>
      </c>
      <c r="L844" s="39" t="n">
        <v>103.94</v>
      </c>
      <c r="M844" s="39" t="n">
        <v>53.55</v>
      </c>
      <c r="N844" s="39" t="n">
        <f aca="false">J844*Resumo!$C$6</f>
        <v>0</v>
      </c>
      <c r="O844" s="39" t="n">
        <f aca="false">J844*Resumo!$C$7</f>
        <v>1.469979</v>
      </c>
      <c r="P844" s="39" t="n">
        <f aca="false">J844*Resumo!$C$8</f>
        <v>1.469979</v>
      </c>
      <c r="Q844" s="39" t="n">
        <f aca="false">Resumo!$C$10*CEILING(I844/100,1)</f>
        <v>1.05</v>
      </c>
      <c r="R844" s="39" t="n">
        <f aca="false">Resumo!$C$9</f>
        <v>0</v>
      </c>
      <c r="S844" s="39" t="n">
        <f aca="false">Resumo!$C$13</f>
        <v>13.55</v>
      </c>
      <c r="T844" s="39" t="n">
        <f aca="false">Resumo!$C$14*CEILING(I844,1)</f>
        <v>19.8</v>
      </c>
      <c r="U844" s="39" t="n">
        <f aca="false">SUM(M844:T844)*Resumo!$C$11</f>
        <v>0</v>
      </c>
      <c r="V844" s="39" t="n">
        <f aca="false">SUM(M844:U844)</f>
        <v>90.889958</v>
      </c>
      <c r="W844" s="39" t="n">
        <f aca="false">V844/(1-Resumo!$C$5)</f>
        <v>103.284043181818</v>
      </c>
      <c r="X844" s="39" t="n">
        <v>93.97</v>
      </c>
      <c r="Y844" s="39" t="n">
        <f aca="false">J844*Resumo!$B$6</f>
        <v>0.69999</v>
      </c>
      <c r="Z844" s="39" t="n">
        <f aca="false">J844*Resumo!$B$7</f>
        <v>1.39998</v>
      </c>
      <c r="AA844" s="39" t="n">
        <f aca="false">Resumo!$B$9</f>
        <v>1</v>
      </c>
      <c r="AB844" s="39" t="n">
        <f aca="false">Resumo!$B$10*CEILING(I844/100,1)</f>
        <v>4.5</v>
      </c>
      <c r="AC844" s="39" t="n">
        <f aca="false">Resumo!$B$12*CEILING(I844,1)</f>
        <v>2.64</v>
      </c>
      <c r="AD844" s="39" t="n">
        <f aca="false">Resumo!$B$14*CEILING(I844,1)</f>
        <v>19.8</v>
      </c>
      <c r="AE844" s="39" t="n">
        <f aca="false">SUM(X844:AD844)</f>
        <v>124.00997</v>
      </c>
      <c r="AF844" s="39" t="n">
        <f aca="false">AE844/(1-Resumo!$B$5)</f>
        <v>140.920420454545</v>
      </c>
      <c r="AG844" s="39" t="n">
        <f aca="false">AF844-W844</f>
        <v>37.6363772727273</v>
      </c>
      <c r="AH844" s="40" t="n">
        <f aca="false">AF844/W844-1</f>
        <v>0.364396823684306</v>
      </c>
      <c r="AI844" s="37" t="str">
        <f aca="false">IF(AF844&lt;W844,"SIM","NÃO")</f>
        <v>NÃO</v>
      </c>
      <c r="AJ844" s="37" t="n">
        <v>2</v>
      </c>
      <c r="AK844" s="37" t="n">
        <v>5</v>
      </c>
      <c r="AL844" s="37" t="s">
        <v>343</v>
      </c>
      <c r="AM844" s="39" t="n">
        <v>103.94</v>
      </c>
    </row>
    <row r="845" customFormat="false" ht="15" hidden="false" customHeight="false" outlineLevel="0" collapsed="false">
      <c r="A845" s="37" t="n">
        <v>374315053</v>
      </c>
      <c r="B845" s="38" t="n">
        <v>46244.8876041667</v>
      </c>
      <c r="C845" s="37" t="s">
        <v>340</v>
      </c>
      <c r="D845" s="37" t="s">
        <v>1156</v>
      </c>
      <c r="E845" s="37" t="n">
        <v>26294462</v>
      </c>
      <c r="F845" s="37" t="s">
        <v>162</v>
      </c>
      <c r="G845" s="37" t="s">
        <v>197</v>
      </c>
      <c r="H845" s="37" t="s">
        <v>186</v>
      </c>
      <c r="I845" s="37" t="n">
        <v>45.3</v>
      </c>
      <c r="J845" s="39" t="n">
        <v>699.99</v>
      </c>
      <c r="K845" s="37" t="s">
        <v>342</v>
      </c>
      <c r="L845" s="39" t="n">
        <v>117.43</v>
      </c>
      <c r="M845" s="39" t="n">
        <v>65.36</v>
      </c>
      <c r="N845" s="39" t="n">
        <f aca="false">J845*Resumo!$C$6</f>
        <v>0</v>
      </c>
      <c r="O845" s="39" t="n">
        <f aca="false">J845*Resumo!$C$7</f>
        <v>1.469979</v>
      </c>
      <c r="P845" s="39" t="n">
        <f aca="false">J845*Resumo!$C$8</f>
        <v>1.469979</v>
      </c>
      <c r="Q845" s="39" t="n">
        <f aca="false">Resumo!$C$10*CEILING(I845/100,1)</f>
        <v>1.05</v>
      </c>
      <c r="R845" s="39" t="n">
        <f aca="false">Resumo!$C$9</f>
        <v>0</v>
      </c>
      <c r="S845" s="39" t="n">
        <f aca="false">Resumo!$C$13</f>
        <v>13.55</v>
      </c>
      <c r="T845" s="39" t="n">
        <f aca="false">Resumo!$C$14*CEILING(I845,1)</f>
        <v>20.7</v>
      </c>
      <c r="U845" s="39" t="n">
        <f aca="false">SUM(M845:T845)*Resumo!$C$11</f>
        <v>0</v>
      </c>
      <c r="V845" s="39" t="n">
        <f aca="false">SUM(M845:U845)</f>
        <v>103.599958</v>
      </c>
      <c r="W845" s="39" t="n">
        <f aca="false">V845/(1-Resumo!$C$5)</f>
        <v>117.727225</v>
      </c>
      <c r="X845" s="39" t="n">
        <v>93.97</v>
      </c>
      <c r="Y845" s="39" t="n">
        <f aca="false">J845*Resumo!$B$6</f>
        <v>0.69999</v>
      </c>
      <c r="Z845" s="39" t="n">
        <f aca="false">J845*Resumo!$B$7</f>
        <v>1.39998</v>
      </c>
      <c r="AA845" s="39" t="n">
        <f aca="false">Resumo!$B$9</f>
        <v>1</v>
      </c>
      <c r="AB845" s="39" t="n">
        <f aca="false">Resumo!$B$10*CEILING(I845/100,1)</f>
        <v>4.5</v>
      </c>
      <c r="AC845" s="39" t="n">
        <f aca="false">Resumo!$B$12*CEILING(I845,1)</f>
        <v>2.76</v>
      </c>
      <c r="AD845" s="39" t="n">
        <f aca="false">Resumo!$B$14*CEILING(I845,1)</f>
        <v>20.7</v>
      </c>
      <c r="AE845" s="39" t="n">
        <f aca="false">SUM(X845:AD845)</f>
        <v>125.02997</v>
      </c>
      <c r="AF845" s="39" t="n">
        <f aca="false">AE845/(1-Resumo!$B$5)</f>
        <v>142.079511363636</v>
      </c>
      <c r="AG845" s="39" t="n">
        <f aca="false">AF845-W845</f>
        <v>24.3522863636364</v>
      </c>
      <c r="AH845" s="40" t="n">
        <f aca="false">AF845/W845-1</f>
        <v>0.206853481542917</v>
      </c>
      <c r="AI845" s="37" t="str">
        <f aca="false">IF(AF845&lt;W845,"SIM","NÃO")</f>
        <v>NÃO</v>
      </c>
      <c r="AJ845" s="37" t="n">
        <v>2</v>
      </c>
      <c r="AK845" s="37" t="n">
        <v>5</v>
      </c>
      <c r="AL845" s="37" t="s">
        <v>343</v>
      </c>
      <c r="AM845" s="39" t="n">
        <v>117.43</v>
      </c>
    </row>
    <row r="846" customFormat="false" ht="15" hidden="false" customHeight="false" outlineLevel="0" collapsed="false">
      <c r="A846" s="37" t="n">
        <v>374315237</v>
      </c>
      <c r="B846" s="38" t="n">
        <v>46244.888125</v>
      </c>
      <c r="C846" s="37" t="s">
        <v>340</v>
      </c>
      <c r="D846" s="37" t="s">
        <v>1157</v>
      </c>
      <c r="E846" s="37" t="n">
        <v>25020085</v>
      </c>
      <c r="F846" s="37" t="s">
        <v>161</v>
      </c>
      <c r="G846" s="37" t="s">
        <v>197</v>
      </c>
      <c r="H846" s="37" t="s">
        <v>184</v>
      </c>
      <c r="I846" s="37" t="n">
        <v>27</v>
      </c>
      <c r="J846" s="39" t="n">
        <v>329.99</v>
      </c>
      <c r="K846" s="37" t="s">
        <v>342</v>
      </c>
      <c r="L846" s="39" t="n">
        <v>100.97</v>
      </c>
      <c r="M846" s="39" t="n">
        <v>58.8</v>
      </c>
      <c r="N846" s="39" t="n">
        <f aca="false">J846*Resumo!$C$6</f>
        <v>0</v>
      </c>
      <c r="O846" s="39" t="n">
        <f aca="false">J846*Resumo!$C$7</f>
        <v>0.692979</v>
      </c>
      <c r="P846" s="39" t="n">
        <f aca="false">J846*Resumo!$C$8</f>
        <v>0.692979</v>
      </c>
      <c r="Q846" s="39" t="n">
        <f aca="false">Resumo!$C$10*CEILING(I846/100,1)</f>
        <v>1.05</v>
      </c>
      <c r="R846" s="39" t="n">
        <f aca="false">Resumo!$C$9</f>
        <v>0</v>
      </c>
      <c r="S846" s="39" t="n">
        <f aca="false">Resumo!$C$13</f>
        <v>13.55</v>
      </c>
      <c r="T846" s="39" t="n">
        <f aca="false">Resumo!$C$14*CEILING(I846,1)</f>
        <v>12.15</v>
      </c>
      <c r="U846" s="39" t="n">
        <f aca="false">SUM(M846:T846)*Resumo!$C$11</f>
        <v>0</v>
      </c>
      <c r="V846" s="39" t="n">
        <f aca="false">SUM(M846:U846)</f>
        <v>86.935958</v>
      </c>
      <c r="W846" s="39" t="n">
        <f aca="false">V846/(1-Resumo!$C$5)</f>
        <v>98.7908613636364</v>
      </c>
      <c r="X846" s="39" t="n">
        <v>82.21</v>
      </c>
      <c r="Y846" s="39" t="n">
        <f aca="false">J846*Resumo!$B$6</f>
        <v>0.32999</v>
      </c>
      <c r="Z846" s="39" t="n">
        <f aca="false">J846*Resumo!$B$7</f>
        <v>0.65998</v>
      </c>
      <c r="AA846" s="39" t="n">
        <f aca="false">Resumo!$B$9</f>
        <v>1</v>
      </c>
      <c r="AB846" s="39" t="n">
        <f aca="false">Resumo!$B$10*CEILING(I846/100,1)</f>
        <v>4.5</v>
      </c>
      <c r="AC846" s="39" t="n">
        <f aca="false">Resumo!$B$12*CEILING(I846,1)</f>
        <v>1.62</v>
      </c>
      <c r="AD846" s="39" t="n">
        <f aca="false">Resumo!$B$14*CEILING(I846,1)</f>
        <v>12.15</v>
      </c>
      <c r="AE846" s="39" t="n">
        <f aca="false">SUM(X846:AD846)</f>
        <v>102.46997</v>
      </c>
      <c r="AF846" s="39" t="n">
        <f aca="false">AE846/(1-Resumo!$B$5)</f>
        <v>116.443147727273</v>
      </c>
      <c r="AG846" s="39" t="n">
        <f aca="false">AF846-W846</f>
        <v>17.6522863636364</v>
      </c>
      <c r="AH846" s="40" t="n">
        <f aca="false">AF846/W846-1</f>
        <v>0.178683393584965</v>
      </c>
      <c r="AI846" s="37" t="str">
        <f aca="false">IF(AF846&lt;W846,"SIM","NÃO")</f>
        <v>NÃO</v>
      </c>
      <c r="AJ846" s="37" t="n">
        <v>2</v>
      </c>
      <c r="AK846" s="37" t="n">
        <v>5</v>
      </c>
      <c r="AL846" s="37" t="s">
        <v>343</v>
      </c>
      <c r="AM846" s="39" t="n">
        <v>100.97</v>
      </c>
    </row>
    <row r="847" customFormat="false" ht="15" hidden="false" customHeight="false" outlineLevel="0" collapsed="false">
      <c r="A847" s="37" t="n">
        <v>374314205</v>
      </c>
      <c r="B847" s="38" t="n">
        <v>46244.8924421296</v>
      </c>
      <c r="C847" s="37" t="s">
        <v>372</v>
      </c>
      <c r="D847" s="37" t="s">
        <v>1158</v>
      </c>
      <c r="E847" s="37" t="n">
        <v>20541018</v>
      </c>
      <c r="F847" s="37" t="s">
        <v>159</v>
      </c>
      <c r="G847" s="37" t="s">
        <v>196</v>
      </c>
      <c r="H847" s="37" t="s">
        <v>190</v>
      </c>
      <c r="I847" s="37" t="n">
        <v>97.2</v>
      </c>
      <c r="J847" s="39" t="n">
        <v>1349.99</v>
      </c>
      <c r="K847" s="37" t="s">
        <v>342</v>
      </c>
      <c r="L847" s="39" t="n">
        <v>165.57</v>
      </c>
      <c r="M847" s="39" t="n">
        <v>83.79</v>
      </c>
      <c r="N847" s="39" t="n">
        <f aca="false">J847*Resumo!$C$6</f>
        <v>0</v>
      </c>
      <c r="O847" s="39" t="n">
        <f aca="false">J847*Resumo!$C$7</f>
        <v>2.834979</v>
      </c>
      <c r="P847" s="39" t="n">
        <f aca="false">J847*Resumo!$C$8</f>
        <v>2.834979</v>
      </c>
      <c r="Q847" s="39" t="n">
        <f aca="false">Resumo!$C$10*CEILING(I847/100,1)</f>
        <v>1.05</v>
      </c>
      <c r="R847" s="39" t="n">
        <f aca="false">Resumo!$C$9</f>
        <v>0</v>
      </c>
      <c r="S847" s="39" t="n">
        <f aca="false">Resumo!$C$13</f>
        <v>13.55</v>
      </c>
      <c r="T847" s="39" t="n">
        <f aca="false">Resumo!$C$14*CEILING(I847,1)</f>
        <v>44.1</v>
      </c>
      <c r="U847" s="39" t="n">
        <f aca="false">SUM(M847:T847)*Resumo!$C$11</f>
        <v>0</v>
      </c>
      <c r="V847" s="39" t="n">
        <f aca="false">SUM(M847:U847)</f>
        <v>148.159958</v>
      </c>
      <c r="W847" s="39" t="n">
        <f aca="false">V847/(1-Resumo!$C$5)</f>
        <v>168.363588636364</v>
      </c>
      <c r="X847" s="39" t="n">
        <v>167.99</v>
      </c>
      <c r="Y847" s="39" t="n">
        <f aca="false">J847*Resumo!$B$6</f>
        <v>1.34999</v>
      </c>
      <c r="Z847" s="39" t="n">
        <f aca="false">J847*Resumo!$B$7</f>
        <v>2.69998</v>
      </c>
      <c r="AA847" s="39" t="n">
        <f aca="false">Resumo!$B$9</f>
        <v>1</v>
      </c>
      <c r="AB847" s="39" t="n">
        <f aca="false">Resumo!$B$10*CEILING(I847/100,1)</f>
        <v>4.5</v>
      </c>
      <c r="AC847" s="39" t="n">
        <f aca="false">Resumo!$B$12*CEILING(I847,1)</f>
        <v>5.88</v>
      </c>
      <c r="AD847" s="39" t="n">
        <f aca="false">Resumo!$B$14*CEILING(I847,1)</f>
        <v>44.1</v>
      </c>
      <c r="AE847" s="39" t="n">
        <f aca="false">SUM(X847:AD847)</f>
        <v>227.51997</v>
      </c>
      <c r="AF847" s="39" t="n">
        <f aca="false">AE847/(1-Resumo!$B$5)</f>
        <v>258.545420454546</v>
      </c>
      <c r="AG847" s="39" t="n">
        <f aca="false">AF847-W847</f>
        <v>90.1818318181818</v>
      </c>
      <c r="AH847" s="40" t="n">
        <f aca="false">AF847/W847-1</f>
        <v>0.535637381862649</v>
      </c>
      <c r="AI847" s="37" t="str">
        <f aca="false">IF(AF847&lt;W847,"SIM","NÃO")</f>
        <v>NÃO</v>
      </c>
      <c r="AJ847" s="37" t="n">
        <v>2</v>
      </c>
      <c r="AK847" s="37" t="n">
        <v>5</v>
      </c>
      <c r="AL847" s="37" t="s">
        <v>343</v>
      </c>
      <c r="AM847" s="39" t="n">
        <v>165.56</v>
      </c>
    </row>
    <row r="848" customFormat="false" ht="15" hidden="false" customHeight="false" outlineLevel="0" collapsed="false">
      <c r="A848" s="37" t="n">
        <v>374318402</v>
      </c>
      <c r="B848" s="38" t="n">
        <v>46244.8946064815</v>
      </c>
      <c r="C848" s="37" t="s">
        <v>340</v>
      </c>
      <c r="D848" s="37" t="s">
        <v>935</v>
      </c>
      <c r="E848" s="37" t="n">
        <v>27330660</v>
      </c>
      <c r="F848" s="37" t="s">
        <v>247</v>
      </c>
      <c r="G848" s="37" t="s">
        <v>198</v>
      </c>
      <c r="H848" s="37" t="s">
        <v>185</v>
      </c>
      <c r="I848" s="37" t="n">
        <v>40</v>
      </c>
      <c r="J848" s="39" t="n">
        <v>569.99</v>
      </c>
      <c r="K848" s="37" t="s">
        <v>518</v>
      </c>
      <c r="L848" s="39" t="n">
        <v>124.97</v>
      </c>
      <c r="M848" s="39" t="n">
        <v>74.97</v>
      </c>
      <c r="N848" s="39" t="n">
        <f aca="false">J848*Resumo!$C$6</f>
        <v>0</v>
      </c>
      <c r="O848" s="39" t="n">
        <f aca="false">J848*Resumo!$C$7</f>
        <v>1.196979</v>
      </c>
      <c r="P848" s="39" t="n">
        <f aca="false">J848*Resumo!$C$8</f>
        <v>1.196979</v>
      </c>
      <c r="Q848" s="39" t="n">
        <f aca="false">Resumo!$C$10*CEILING(I848/100,1)</f>
        <v>1.05</v>
      </c>
      <c r="R848" s="39" t="n">
        <f aca="false">Resumo!$C$9</f>
        <v>0</v>
      </c>
      <c r="S848" s="39" t="n">
        <f aca="false">Resumo!$C$13</f>
        <v>13.55</v>
      </c>
      <c r="T848" s="39" t="n">
        <f aca="false">Resumo!$C$14*CEILING(I848,1)</f>
        <v>18</v>
      </c>
      <c r="U848" s="39" t="n">
        <f aca="false">SUM(M848:T848)*Resumo!$C$11</f>
        <v>0</v>
      </c>
      <c r="V848" s="39" t="n">
        <f aca="false">SUM(M848:U848)</f>
        <v>109.963958</v>
      </c>
      <c r="W848" s="39" t="n">
        <f aca="false">V848/(1-Resumo!$C$5)</f>
        <v>124.959043181818</v>
      </c>
      <c r="X848" s="39" t="n">
        <v>124.38</v>
      </c>
      <c r="Y848" s="39" t="n">
        <f aca="false">J848*Resumo!$B$6</f>
        <v>0.56999</v>
      </c>
      <c r="Z848" s="39" t="n">
        <f aca="false">J848*Resumo!$B$7</f>
        <v>1.13998</v>
      </c>
      <c r="AA848" s="39" t="n">
        <f aca="false">Resumo!$B$9</f>
        <v>1</v>
      </c>
      <c r="AB848" s="39" t="n">
        <f aca="false">Resumo!$B$10*CEILING(I848/100,1)</f>
        <v>4.5</v>
      </c>
      <c r="AC848" s="39" t="n">
        <f aca="false">Resumo!$B$12*CEILING(I848,1)</f>
        <v>2.4</v>
      </c>
      <c r="AD848" s="39" t="n">
        <f aca="false">Resumo!$B$14*CEILING(I848,1)</f>
        <v>18</v>
      </c>
      <c r="AE848" s="39" t="n">
        <f aca="false">SUM(X848:AD848)</f>
        <v>151.98997</v>
      </c>
      <c r="AF848" s="39" t="n">
        <f aca="false">AE848/(1-Resumo!$B$5)</f>
        <v>172.715875</v>
      </c>
      <c r="AG848" s="39" t="n">
        <f aca="false">AF848-W848</f>
        <v>47.7568318181818</v>
      </c>
      <c r="AH848" s="40" t="n">
        <f aca="false">AF848/W848-1</f>
        <v>0.382179877519505</v>
      </c>
      <c r="AI848" s="37" t="str">
        <f aca="false">IF(AF848&lt;W848,"SIM","NÃO")</f>
        <v>NÃO</v>
      </c>
      <c r="AJ848" s="37" t="n">
        <v>13</v>
      </c>
      <c r="AK848" s="37" t="n">
        <v>10</v>
      </c>
      <c r="AL848" s="37" t="s">
        <v>347</v>
      </c>
      <c r="AM848" s="39" t="n">
        <v>122.98</v>
      </c>
    </row>
    <row r="849" customFormat="false" ht="15" hidden="false" customHeight="false" outlineLevel="0" collapsed="false">
      <c r="A849" s="37" t="n">
        <v>374330962</v>
      </c>
      <c r="B849" s="38" t="n">
        <v>46244.921712963</v>
      </c>
      <c r="C849" s="37" t="s">
        <v>340</v>
      </c>
      <c r="D849" s="37" t="s">
        <v>1159</v>
      </c>
      <c r="E849" s="37" t="n">
        <v>21843070</v>
      </c>
      <c r="F849" s="37" t="s">
        <v>159</v>
      </c>
      <c r="G849" s="37" t="s">
        <v>196</v>
      </c>
      <c r="H849" s="37" t="s">
        <v>185</v>
      </c>
      <c r="I849" s="37" t="n">
        <v>37.2</v>
      </c>
      <c r="J849" s="39" t="n">
        <v>419.99</v>
      </c>
      <c r="K849" s="37" t="s">
        <v>342</v>
      </c>
      <c r="L849" s="39" t="n">
        <v>91.86</v>
      </c>
      <c r="M849" s="39" t="n">
        <v>48.35</v>
      </c>
      <c r="N849" s="39" t="n">
        <f aca="false">J849*Resumo!$C$6</f>
        <v>0</v>
      </c>
      <c r="O849" s="39" t="n">
        <f aca="false">J849*Resumo!$C$7</f>
        <v>0.881979</v>
      </c>
      <c r="P849" s="39" t="n">
        <f aca="false">J849*Resumo!$C$8</f>
        <v>0.881979</v>
      </c>
      <c r="Q849" s="39" t="n">
        <f aca="false">Resumo!$C$10*CEILING(I849/100,1)</f>
        <v>1.05</v>
      </c>
      <c r="R849" s="39" t="n">
        <f aca="false">Resumo!$C$9</f>
        <v>0</v>
      </c>
      <c r="S849" s="39" t="n">
        <f aca="false">Resumo!$C$13</f>
        <v>13.55</v>
      </c>
      <c r="T849" s="39" t="n">
        <f aca="false">Resumo!$C$14*CEILING(I849,1)</f>
        <v>17.1</v>
      </c>
      <c r="U849" s="39" t="n">
        <f aca="false">SUM(M849:T849)*Resumo!$C$11</f>
        <v>0</v>
      </c>
      <c r="V849" s="39" t="n">
        <f aca="false">SUM(M849:U849)</f>
        <v>81.813958</v>
      </c>
      <c r="W849" s="39" t="n">
        <f aca="false">V849/(1-Resumo!$C$5)</f>
        <v>92.9704068181818</v>
      </c>
      <c r="X849" s="39" t="n">
        <v>93.97</v>
      </c>
      <c r="Y849" s="39" t="n">
        <f aca="false">J849*Resumo!$B$6</f>
        <v>0.41999</v>
      </c>
      <c r="Z849" s="39" t="n">
        <f aca="false">J849*Resumo!$B$7</f>
        <v>0.83998</v>
      </c>
      <c r="AA849" s="39" t="n">
        <f aca="false">Resumo!$B$9</f>
        <v>1</v>
      </c>
      <c r="AB849" s="39" t="n">
        <f aca="false">Resumo!$B$10*CEILING(I849/100,1)</f>
        <v>4.5</v>
      </c>
      <c r="AC849" s="39" t="n">
        <f aca="false">Resumo!$B$12*CEILING(I849,1)</f>
        <v>2.28</v>
      </c>
      <c r="AD849" s="39" t="n">
        <f aca="false">Resumo!$B$14*CEILING(I849,1)</f>
        <v>17.1</v>
      </c>
      <c r="AE849" s="39" t="n">
        <f aca="false">SUM(X849:AD849)</f>
        <v>120.10997</v>
      </c>
      <c r="AF849" s="39" t="n">
        <f aca="false">AE849/(1-Resumo!$B$5)</f>
        <v>136.488602272727</v>
      </c>
      <c r="AG849" s="39" t="n">
        <f aca="false">AF849-W849</f>
        <v>43.5181954545454</v>
      </c>
      <c r="AH849" s="40" t="n">
        <f aca="false">AF849/W849-1</f>
        <v>0.468086533596138</v>
      </c>
      <c r="AI849" s="37" t="str">
        <f aca="false">IF(AF849&lt;W849,"SIM","NÃO")</f>
        <v>NÃO</v>
      </c>
      <c r="AJ849" s="37" t="n">
        <v>2</v>
      </c>
      <c r="AK849" s="37" t="n">
        <v>5</v>
      </c>
      <c r="AL849" s="37" t="s">
        <v>343</v>
      </c>
      <c r="AM849" s="39" t="n">
        <v>91.87</v>
      </c>
    </row>
    <row r="850" customFormat="false" ht="15" hidden="false" customHeight="false" outlineLevel="0" collapsed="false">
      <c r="A850" s="37" t="n">
        <v>374350069</v>
      </c>
      <c r="B850" s="38" t="n">
        <v>46244.9468402778</v>
      </c>
      <c r="C850" s="37" t="s">
        <v>340</v>
      </c>
      <c r="D850" s="37" t="s">
        <v>496</v>
      </c>
      <c r="E850" s="37" t="n">
        <v>23065006</v>
      </c>
      <c r="F850" s="37" t="s">
        <v>159</v>
      </c>
      <c r="G850" s="37" t="s">
        <v>196</v>
      </c>
      <c r="H850" s="37" t="s">
        <v>185</v>
      </c>
      <c r="I850" s="37" t="n">
        <v>36.9</v>
      </c>
      <c r="J850" s="39" t="n">
        <v>391.88</v>
      </c>
      <c r="K850" s="37" t="s">
        <v>518</v>
      </c>
      <c r="L850" s="39" t="n">
        <v>92.32</v>
      </c>
      <c r="M850" s="39" t="n">
        <v>48.35</v>
      </c>
      <c r="N850" s="39" t="n">
        <f aca="false">J850*Resumo!$C$6</f>
        <v>0</v>
      </c>
      <c r="O850" s="39" t="n">
        <f aca="false">J850*Resumo!$C$7</f>
        <v>0.822948</v>
      </c>
      <c r="P850" s="39" t="n">
        <f aca="false">J850*Resumo!$C$8</f>
        <v>0.822948</v>
      </c>
      <c r="Q850" s="39" t="n">
        <f aca="false">Resumo!$C$10*CEILING(I850/100,1)</f>
        <v>1.05</v>
      </c>
      <c r="R850" s="39" t="n">
        <f aca="false">Resumo!$C$9</f>
        <v>0</v>
      </c>
      <c r="S850" s="39" t="n">
        <f aca="false">Resumo!$C$13</f>
        <v>13.55</v>
      </c>
      <c r="T850" s="39" t="n">
        <f aca="false">Resumo!$C$14*CEILING(I850,1)</f>
        <v>16.65</v>
      </c>
      <c r="U850" s="39" t="n">
        <f aca="false">SUM(M850:T850)*Resumo!$C$11</f>
        <v>0</v>
      </c>
      <c r="V850" s="39" t="n">
        <f aca="false">SUM(M850:U850)</f>
        <v>81.245896</v>
      </c>
      <c r="W850" s="39" t="n">
        <f aca="false">V850/(1-Resumo!$C$5)</f>
        <v>92.3248818181818</v>
      </c>
      <c r="X850" s="39" t="n">
        <v>93.97</v>
      </c>
      <c r="Y850" s="39" t="n">
        <f aca="false">J850*Resumo!$B$6</f>
        <v>0.39188</v>
      </c>
      <c r="Z850" s="39" t="n">
        <f aca="false">J850*Resumo!$B$7</f>
        <v>0.78376</v>
      </c>
      <c r="AA850" s="39" t="n">
        <f aca="false">Resumo!$B$9</f>
        <v>1</v>
      </c>
      <c r="AB850" s="39" t="n">
        <f aca="false">Resumo!$B$10*CEILING(I850/100,1)</f>
        <v>4.5</v>
      </c>
      <c r="AC850" s="39" t="n">
        <f aca="false">Resumo!$B$12*CEILING(I850,1)</f>
        <v>2.22</v>
      </c>
      <c r="AD850" s="39" t="n">
        <f aca="false">Resumo!$B$14*CEILING(I850,1)</f>
        <v>16.65</v>
      </c>
      <c r="AE850" s="39" t="n">
        <f aca="false">SUM(X850:AD850)</f>
        <v>119.51564</v>
      </c>
      <c r="AF850" s="39" t="n">
        <f aca="false">AE850/(1-Resumo!$B$5)</f>
        <v>135.813227272727</v>
      </c>
      <c r="AG850" s="39" t="n">
        <f aca="false">AF850-W850</f>
        <v>43.4883454545455</v>
      </c>
      <c r="AH850" s="40" t="n">
        <f aca="false">AF850/W850-1</f>
        <v>0.471036026238175</v>
      </c>
      <c r="AI850" s="37" t="str">
        <f aca="false">IF(AF850&lt;W850,"SIM","NÃO")</f>
        <v>NÃO</v>
      </c>
      <c r="AJ850" s="37" t="n">
        <v>2</v>
      </c>
      <c r="AK850" s="37" t="n">
        <v>5</v>
      </c>
      <c r="AL850" s="37" t="s">
        <v>343</v>
      </c>
      <c r="AM850" s="39" t="n">
        <v>91.73</v>
      </c>
    </row>
    <row r="851" customFormat="false" ht="15" hidden="false" customHeight="false" outlineLevel="0" collapsed="false">
      <c r="A851" s="37" t="n">
        <v>374364326</v>
      </c>
      <c r="B851" s="38" t="n">
        <v>46244.9644328704</v>
      </c>
      <c r="C851" s="37" t="s">
        <v>340</v>
      </c>
      <c r="D851" s="37" t="s">
        <v>1160</v>
      </c>
      <c r="E851" s="37" t="n">
        <v>23547320</v>
      </c>
      <c r="F851" s="37" t="s">
        <v>159</v>
      </c>
      <c r="G851" s="37" t="s">
        <v>196</v>
      </c>
      <c r="H851" s="37" t="s">
        <v>185</v>
      </c>
      <c r="I851" s="37" t="n">
        <v>36.8</v>
      </c>
      <c r="J851" s="39" t="n">
        <v>459.99</v>
      </c>
      <c r="K851" s="37" t="s">
        <v>518</v>
      </c>
      <c r="L851" s="39" t="n">
        <v>92.66</v>
      </c>
      <c r="M851" s="39" t="n">
        <v>48.35</v>
      </c>
      <c r="N851" s="39" t="n">
        <f aca="false">J851*Resumo!$C$6</f>
        <v>0</v>
      </c>
      <c r="O851" s="39" t="n">
        <f aca="false">J851*Resumo!$C$7</f>
        <v>0.965979</v>
      </c>
      <c r="P851" s="39" t="n">
        <f aca="false">J851*Resumo!$C$8</f>
        <v>0.965979</v>
      </c>
      <c r="Q851" s="39" t="n">
        <f aca="false">Resumo!$C$10*CEILING(I851/100,1)</f>
        <v>1.05</v>
      </c>
      <c r="R851" s="39" t="n">
        <f aca="false">Resumo!$C$9</f>
        <v>0</v>
      </c>
      <c r="S851" s="39" t="n">
        <f aca="false">Resumo!$C$13</f>
        <v>13.55</v>
      </c>
      <c r="T851" s="39" t="n">
        <f aca="false">Resumo!$C$14*CEILING(I851,1)</f>
        <v>16.65</v>
      </c>
      <c r="U851" s="39" t="n">
        <f aca="false">SUM(M851:T851)*Resumo!$C$11</f>
        <v>0</v>
      </c>
      <c r="V851" s="39" t="n">
        <f aca="false">SUM(M851:U851)</f>
        <v>81.531958</v>
      </c>
      <c r="W851" s="39" t="n">
        <f aca="false">V851/(1-Resumo!$C$5)</f>
        <v>92.6499522727273</v>
      </c>
      <c r="X851" s="39" t="n">
        <v>93.97</v>
      </c>
      <c r="Y851" s="39" t="n">
        <f aca="false">J851*Resumo!$B$6</f>
        <v>0.45999</v>
      </c>
      <c r="Z851" s="39" t="n">
        <f aca="false">J851*Resumo!$B$7</f>
        <v>0.91998</v>
      </c>
      <c r="AA851" s="39" t="n">
        <f aca="false">Resumo!$B$9</f>
        <v>1</v>
      </c>
      <c r="AB851" s="39" t="n">
        <f aca="false">Resumo!$B$10*CEILING(I851/100,1)</f>
        <v>4.5</v>
      </c>
      <c r="AC851" s="39" t="n">
        <f aca="false">Resumo!$B$12*CEILING(I851,1)</f>
        <v>2.22</v>
      </c>
      <c r="AD851" s="39" t="n">
        <f aca="false">Resumo!$B$14*CEILING(I851,1)</f>
        <v>16.65</v>
      </c>
      <c r="AE851" s="39" t="n">
        <f aca="false">SUM(X851:AD851)</f>
        <v>119.71997</v>
      </c>
      <c r="AF851" s="39" t="n">
        <f aca="false">AE851/(1-Resumo!$B$5)</f>
        <v>136.045420454545</v>
      </c>
      <c r="AG851" s="39" t="n">
        <f aca="false">AF851-W851</f>
        <v>43.3954681818182</v>
      </c>
      <c r="AH851" s="40" t="n">
        <f aca="false">AF851/W851-1</f>
        <v>0.468380901633688</v>
      </c>
      <c r="AI851" s="37" t="str">
        <f aca="false">IF(AF851&lt;W851,"SIM","NÃO")</f>
        <v>NÃO</v>
      </c>
      <c r="AJ851" s="37" t="n">
        <v>2</v>
      </c>
      <c r="AK851" s="37" t="n">
        <v>5</v>
      </c>
      <c r="AL851" s="37" t="s">
        <v>343</v>
      </c>
      <c r="AM851" s="39" t="n">
        <v>92.06</v>
      </c>
    </row>
    <row r="852" customFormat="false" ht="15" hidden="false" customHeight="false" outlineLevel="0" collapsed="false">
      <c r="A852" s="37" t="n">
        <v>374396618</v>
      </c>
      <c r="B852" s="38" t="n">
        <v>46245.0250694445</v>
      </c>
      <c r="C852" s="37" t="s">
        <v>379</v>
      </c>
      <c r="D852" s="37" t="s">
        <v>1161</v>
      </c>
      <c r="E852" s="37" t="n">
        <v>28898024</v>
      </c>
      <c r="F852" s="37" t="s">
        <v>178</v>
      </c>
      <c r="G852" s="37" t="s">
        <v>198</v>
      </c>
      <c r="H852" s="37" t="s">
        <v>184</v>
      </c>
      <c r="I852" s="37" t="n">
        <v>24.4</v>
      </c>
      <c r="J852" s="39" t="n">
        <v>349.99</v>
      </c>
      <c r="K852" s="37" t="s">
        <v>518</v>
      </c>
      <c r="L852" s="39" t="n">
        <v>105.61</v>
      </c>
      <c r="M852" s="39" t="n">
        <v>65.63</v>
      </c>
      <c r="N852" s="39" t="n">
        <f aca="false">J852*Resumo!$C$6</f>
        <v>0</v>
      </c>
      <c r="O852" s="39" t="n">
        <f aca="false">J852*Resumo!$C$7</f>
        <v>0.734979</v>
      </c>
      <c r="P852" s="39" t="n">
        <f aca="false">J852*Resumo!$C$8</f>
        <v>0.734979</v>
      </c>
      <c r="Q852" s="39" t="n">
        <f aca="false">Resumo!$C$10*CEILING(I852/100,1)</f>
        <v>1.05</v>
      </c>
      <c r="R852" s="39" t="n">
        <f aca="false">Resumo!$C$9</f>
        <v>0</v>
      </c>
      <c r="S852" s="39" t="n">
        <f aca="false">Resumo!$C$13</f>
        <v>13.55</v>
      </c>
      <c r="T852" s="39" t="n">
        <f aca="false">Resumo!$C$14*CEILING(I852,1)</f>
        <v>11.25</v>
      </c>
      <c r="U852" s="39" t="n">
        <f aca="false">SUM(M852:T852)*Resumo!$C$11</f>
        <v>0</v>
      </c>
      <c r="V852" s="39" t="n">
        <f aca="false">SUM(M852:U852)</f>
        <v>92.949958</v>
      </c>
      <c r="W852" s="39" t="n">
        <f aca="false">V852/(1-Resumo!$C$5)</f>
        <v>105.624952272727</v>
      </c>
      <c r="X852" s="39" t="n">
        <v>114.95</v>
      </c>
      <c r="Y852" s="39" t="n">
        <f aca="false">J852*Resumo!$B$6</f>
        <v>0.34999</v>
      </c>
      <c r="Z852" s="39" t="n">
        <f aca="false">J852*Resumo!$B$7</f>
        <v>0.69998</v>
      </c>
      <c r="AA852" s="39" t="n">
        <f aca="false">Resumo!$B$9</f>
        <v>1</v>
      </c>
      <c r="AB852" s="39" t="n">
        <f aca="false">Resumo!$B$10*CEILING(I852/100,1)</f>
        <v>4.5</v>
      </c>
      <c r="AC852" s="39" t="n">
        <f aca="false">Resumo!$B$12*CEILING(I852,1)</f>
        <v>1.5</v>
      </c>
      <c r="AD852" s="39" t="n">
        <f aca="false">Resumo!$B$14*CEILING(I852,1)</f>
        <v>11.25</v>
      </c>
      <c r="AE852" s="39" t="n">
        <f aca="false">SUM(X852:AD852)</f>
        <v>134.24997</v>
      </c>
      <c r="AF852" s="39" t="n">
        <f aca="false">AE852/(1-Resumo!$B$5)</f>
        <v>152.556784090909</v>
      </c>
      <c r="AG852" s="39" t="n">
        <f aca="false">AF852-W852</f>
        <v>46.9318318181818</v>
      </c>
      <c r="AH852" s="40" t="n">
        <f aca="false">AF852/W852-1</f>
        <v>0.444325235735986</v>
      </c>
      <c r="AI852" s="37" t="str">
        <f aca="false">IF(AF852&lt;W852,"SIM","NÃO")</f>
        <v>NÃO</v>
      </c>
      <c r="AJ852" s="37" t="n">
        <v>13</v>
      </c>
      <c r="AK852" s="37" t="n">
        <v>10</v>
      </c>
      <c r="AL852" s="37" t="s">
        <v>343</v>
      </c>
      <c r="AM852" s="39" t="n">
        <v>108.86</v>
      </c>
    </row>
    <row r="853" customFormat="false" ht="15" hidden="false" customHeight="false" outlineLevel="0" collapsed="false">
      <c r="A853" s="37" t="n">
        <v>374446195</v>
      </c>
      <c r="B853" s="38" t="n">
        <v>46245.1247916667</v>
      </c>
      <c r="C853" s="37" t="s">
        <v>340</v>
      </c>
      <c r="D853" s="37" t="s">
        <v>1162</v>
      </c>
      <c r="E853" s="37" t="n">
        <v>25056100</v>
      </c>
      <c r="F853" s="37" t="s">
        <v>161</v>
      </c>
      <c r="G853" s="37" t="s">
        <v>197</v>
      </c>
      <c r="H853" s="37" t="s">
        <v>184</v>
      </c>
      <c r="I853" s="37" t="n">
        <v>22.4</v>
      </c>
      <c r="J853" s="39" t="n">
        <v>489.99</v>
      </c>
      <c r="K853" s="37" t="s">
        <v>342</v>
      </c>
      <c r="L853" s="39" t="n">
        <v>101.74</v>
      </c>
      <c r="M853" s="39" t="n">
        <v>58.8</v>
      </c>
      <c r="N853" s="39" t="n">
        <f aca="false">J853*Resumo!$C$6</f>
        <v>0</v>
      </c>
      <c r="O853" s="39" t="n">
        <f aca="false">J853*Resumo!$C$7</f>
        <v>1.028979</v>
      </c>
      <c r="P853" s="39" t="n">
        <f aca="false">J853*Resumo!$C$8</f>
        <v>1.028979</v>
      </c>
      <c r="Q853" s="39" t="n">
        <f aca="false">Resumo!$C$10*CEILING(I853/100,1)</f>
        <v>1.05</v>
      </c>
      <c r="R853" s="39" t="n">
        <f aca="false">Resumo!$C$9</f>
        <v>0</v>
      </c>
      <c r="S853" s="39" t="n">
        <f aca="false">Resumo!$C$13</f>
        <v>13.55</v>
      </c>
      <c r="T853" s="39" t="n">
        <f aca="false">Resumo!$C$14*CEILING(I853,1)</f>
        <v>10.35</v>
      </c>
      <c r="U853" s="39" t="n">
        <f aca="false">SUM(M853:T853)*Resumo!$C$11</f>
        <v>0</v>
      </c>
      <c r="V853" s="39" t="n">
        <f aca="false">SUM(M853:U853)</f>
        <v>85.807958</v>
      </c>
      <c r="W853" s="39" t="n">
        <f aca="false">V853/(1-Resumo!$C$5)</f>
        <v>97.5090431818182</v>
      </c>
      <c r="X853" s="39" t="n">
        <v>82.21</v>
      </c>
      <c r="Y853" s="39" t="n">
        <f aca="false">J853*Resumo!$B$6</f>
        <v>0.48999</v>
      </c>
      <c r="Z853" s="39" t="n">
        <f aca="false">J853*Resumo!$B$7</f>
        <v>0.97998</v>
      </c>
      <c r="AA853" s="39" t="n">
        <f aca="false">Resumo!$B$9</f>
        <v>1</v>
      </c>
      <c r="AB853" s="39" t="n">
        <f aca="false">Resumo!$B$10*CEILING(I853/100,1)</f>
        <v>4.5</v>
      </c>
      <c r="AC853" s="39" t="n">
        <f aca="false">Resumo!$B$12*CEILING(I853,1)</f>
        <v>1.38</v>
      </c>
      <c r="AD853" s="39" t="n">
        <f aca="false">Resumo!$B$14*CEILING(I853,1)</f>
        <v>10.35</v>
      </c>
      <c r="AE853" s="39" t="n">
        <f aca="false">SUM(X853:AD853)</f>
        <v>100.90997</v>
      </c>
      <c r="AF853" s="39" t="n">
        <f aca="false">AE853/(1-Resumo!$B$5)</f>
        <v>114.670420454545</v>
      </c>
      <c r="AG853" s="39" t="n">
        <f aca="false">AF853-W853</f>
        <v>17.1613772727273</v>
      </c>
      <c r="AH853" s="40" t="n">
        <f aca="false">AF853/W853-1</f>
        <v>0.17599780197543</v>
      </c>
      <c r="AI853" s="37" t="str">
        <f aca="false">IF(AF853&lt;W853,"SIM","NÃO")</f>
        <v>NÃO</v>
      </c>
      <c r="AJ853" s="37" t="n">
        <v>2</v>
      </c>
      <c r="AK853" s="37" t="n">
        <v>5</v>
      </c>
      <c r="AL853" s="37" t="s">
        <v>343</v>
      </c>
      <c r="AM853" s="39" t="n">
        <v>101.74</v>
      </c>
    </row>
    <row r="854" customFormat="false" ht="15" hidden="false" customHeight="false" outlineLevel="0" collapsed="false">
      <c r="A854" s="37" t="n">
        <v>374549238</v>
      </c>
      <c r="B854" s="38" t="n">
        <v>46245.332650463</v>
      </c>
      <c r="C854" s="37" t="s">
        <v>345</v>
      </c>
      <c r="D854" s="37" t="s">
        <v>1163</v>
      </c>
      <c r="E854" s="37" t="n">
        <v>26294300</v>
      </c>
      <c r="F854" s="37" t="s">
        <v>162</v>
      </c>
      <c r="G854" s="37" t="s">
        <v>197</v>
      </c>
      <c r="H854" s="37" t="s">
        <v>187</v>
      </c>
      <c r="I854" s="37" t="n">
        <v>52.3</v>
      </c>
      <c r="J854" s="39" t="n">
        <v>632.65</v>
      </c>
      <c r="K854" s="37" t="s">
        <v>342</v>
      </c>
      <c r="L854" s="39" t="n">
        <v>128.33</v>
      </c>
      <c r="M854" s="39" t="n">
        <v>70.98</v>
      </c>
      <c r="N854" s="39" t="n">
        <f aca="false">J854*Resumo!$C$6</f>
        <v>0</v>
      </c>
      <c r="O854" s="39" t="n">
        <f aca="false">J854*Resumo!$C$7</f>
        <v>1.328565</v>
      </c>
      <c r="P854" s="39" t="n">
        <f aca="false">J854*Resumo!$C$8</f>
        <v>1.328565</v>
      </c>
      <c r="Q854" s="39" t="n">
        <f aca="false">Resumo!$C$10*CEILING(I854/100,1)</f>
        <v>1.05</v>
      </c>
      <c r="R854" s="39" t="n">
        <f aca="false">Resumo!$C$9</f>
        <v>0</v>
      </c>
      <c r="S854" s="39" t="n">
        <f aca="false">Resumo!$C$13</f>
        <v>13.55</v>
      </c>
      <c r="T854" s="39" t="n">
        <f aca="false">Resumo!$C$14*CEILING(I854,1)</f>
        <v>23.85</v>
      </c>
      <c r="U854" s="39" t="n">
        <f aca="false">SUM(M854:T854)*Resumo!$C$11</f>
        <v>0</v>
      </c>
      <c r="V854" s="39" t="n">
        <f aca="false">SUM(M854:U854)</f>
        <v>112.08713</v>
      </c>
      <c r="W854" s="39" t="n">
        <f aca="false">V854/(1-Resumo!$C$5)</f>
        <v>127.371738636364</v>
      </c>
      <c r="X854" s="39" t="n">
        <v>112.3</v>
      </c>
      <c r="Y854" s="39" t="n">
        <f aca="false">J854*Resumo!$B$6</f>
        <v>0.63265</v>
      </c>
      <c r="Z854" s="39" t="n">
        <f aca="false">J854*Resumo!$B$7</f>
        <v>1.2653</v>
      </c>
      <c r="AA854" s="39" t="n">
        <f aca="false">Resumo!$B$9</f>
        <v>1</v>
      </c>
      <c r="AB854" s="39" t="n">
        <f aca="false">Resumo!$B$10*CEILING(I854/100,1)</f>
        <v>4.5</v>
      </c>
      <c r="AC854" s="39" t="n">
        <f aca="false">Resumo!$B$12*CEILING(I854,1)</f>
        <v>3.18</v>
      </c>
      <c r="AD854" s="39" t="n">
        <f aca="false">Resumo!$B$14*CEILING(I854,1)</f>
        <v>23.85</v>
      </c>
      <c r="AE854" s="39" t="n">
        <f aca="false">SUM(X854:AD854)</f>
        <v>146.72795</v>
      </c>
      <c r="AF854" s="39" t="n">
        <f aca="false">AE854/(1-Resumo!$B$5)</f>
        <v>166.736306818182</v>
      </c>
      <c r="AG854" s="39" t="n">
        <f aca="false">AF854-W854</f>
        <v>39.3645681818182</v>
      </c>
      <c r="AH854" s="40" t="n">
        <f aca="false">AF854/W854-1</f>
        <v>0.309052609340608</v>
      </c>
      <c r="AI854" s="37" t="str">
        <f aca="false">IF(AF854&lt;W854,"SIM","NÃO")</f>
        <v>NÃO</v>
      </c>
      <c r="AJ854" s="37" t="n">
        <v>2</v>
      </c>
      <c r="AK854" s="37" t="n">
        <v>5</v>
      </c>
      <c r="AL854" s="37" t="s">
        <v>343</v>
      </c>
      <c r="AM854" s="39" t="n">
        <v>128.32</v>
      </c>
    </row>
    <row r="855" customFormat="false" ht="15" hidden="false" customHeight="false" outlineLevel="0" collapsed="false">
      <c r="A855" s="37" t="n">
        <v>374564111</v>
      </c>
      <c r="B855" s="38" t="n">
        <v>46245.3660416667</v>
      </c>
      <c r="C855" s="37" t="s">
        <v>345</v>
      </c>
      <c r="D855" s="37" t="s">
        <v>1164</v>
      </c>
      <c r="E855" s="37" t="n">
        <v>22723497</v>
      </c>
      <c r="F855" s="37" t="s">
        <v>159</v>
      </c>
      <c r="G855" s="37" t="s">
        <v>196</v>
      </c>
      <c r="H855" s="37" t="s">
        <v>186</v>
      </c>
      <c r="I855" s="37" t="n">
        <v>41.3</v>
      </c>
      <c r="J855" s="39" t="n">
        <v>509.5</v>
      </c>
      <c r="K855" s="37" t="s">
        <v>342</v>
      </c>
      <c r="L855" s="39" t="n">
        <v>103.03</v>
      </c>
      <c r="M855" s="39" t="n">
        <v>53.55</v>
      </c>
      <c r="N855" s="39" t="n">
        <f aca="false">J855*Resumo!$C$6</f>
        <v>0</v>
      </c>
      <c r="O855" s="39" t="n">
        <f aca="false">J855*Resumo!$C$7</f>
        <v>1.06995</v>
      </c>
      <c r="P855" s="39" t="n">
        <f aca="false">J855*Resumo!$C$8</f>
        <v>1.06995</v>
      </c>
      <c r="Q855" s="39" t="n">
        <f aca="false">Resumo!$C$10*CEILING(I855/100,1)</f>
        <v>1.05</v>
      </c>
      <c r="R855" s="39" t="n">
        <f aca="false">Resumo!$C$9</f>
        <v>0</v>
      </c>
      <c r="S855" s="39" t="n">
        <f aca="false">Resumo!$C$13</f>
        <v>13.55</v>
      </c>
      <c r="T855" s="39" t="n">
        <f aca="false">Resumo!$C$14*CEILING(I855,1)</f>
        <v>18.9</v>
      </c>
      <c r="U855" s="39" t="n">
        <f aca="false">SUM(M855:T855)*Resumo!$C$11</f>
        <v>0</v>
      </c>
      <c r="V855" s="39" t="n">
        <f aca="false">SUM(M855:U855)</f>
        <v>89.1899</v>
      </c>
      <c r="W855" s="39" t="n">
        <f aca="false">V855/(1-Resumo!$C$5)</f>
        <v>101.352159090909</v>
      </c>
      <c r="X855" s="39" t="n">
        <v>93.97</v>
      </c>
      <c r="Y855" s="39" t="n">
        <f aca="false">J855*Resumo!$B$6</f>
        <v>0.5095</v>
      </c>
      <c r="Z855" s="39" t="n">
        <f aca="false">J855*Resumo!$B$7</f>
        <v>1.019</v>
      </c>
      <c r="AA855" s="39" t="n">
        <f aca="false">Resumo!$B$9</f>
        <v>1</v>
      </c>
      <c r="AB855" s="39" t="n">
        <f aca="false">Resumo!$B$10*CEILING(I855/100,1)</f>
        <v>4.5</v>
      </c>
      <c r="AC855" s="39" t="n">
        <f aca="false">Resumo!$B$12*CEILING(I855,1)</f>
        <v>2.52</v>
      </c>
      <c r="AD855" s="39" t="n">
        <f aca="false">Resumo!$B$14*CEILING(I855,1)</f>
        <v>18.9</v>
      </c>
      <c r="AE855" s="39" t="n">
        <f aca="false">SUM(X855:AD855)</f>
        <v>122.4185</v>
      </c>
      <c r="AF855" s="39" t="n">
        <f aca="false">AE855/(1-Resumo!$B$5)</f>
        <v>139.111931818182</v>
      </c>
      <c r="AG855" s="39" t="n">
        <f aca="false">AF855-W855</f>
        <v>37.7597727272727</v>
      </c>
      <c r="AH855" s="40" t="n">
        <f aca="false">AF855/W855-1</f>
        <v>0.372560121717818</v>
      </c>
      <c r="AI855" s="37" t="str">
        <f aca="false">IF(AF855&lt;W855,"SIM","NÃO")</f>
        <v>NÃO</v>
      </c>
      <c r="AJ855" s="37" t="n">
        <v>2</v>
      </c>
      <c r="AK855" s="37" t="n">
        <v>5</v>
      </c>
      <c r="AL855" s="37" t="s">
        <v>343</v>
      </c>
      <c r="AM855" s="39" t="n">
        <v>103.03</v>
      </c>
    </row>
    <row r="856" customFormat="false" ht="15" hidden="false" customHeight="false" outlineLevel="0" collapsed="false">
      <c r="A856" s="37" t="n">
        <v>373434853</v>
      </c>
      <c r="B856" s="38" t="n">
        <v>46245.3776388889</v>
      </c>
      <c r="C856" s="37" t="s">
        <v>372</v>
      </c>
      <c r="D856" s="37" t="s">
        <v>1165</v>
      </c>
      <c r="E856" s="37" t="n">
        <v>26260035</v>
      </c>
      <c r="F856" s="37" t="s">
        <v>162</v>
      </c>
      <c r="G856" s="37" t="s">
        <v>197</v>
      </c>
      <c r="H856" s="37" t="s">
        <v>186</v>
      </c>
      <c r="I856" s="37" t="n">
        <v>46.8</v>
      </c>
      <c r="J856" s="39" t="n">
        <v>587.49</v>
      </c>
      <c r="K856" s="37" t="s">
        <v>342</v>
      </c>
      <c r="L856" s="39" t="n">
        <v>116.88</v>
      </c>
      <c r="M856" s="39" t="n">
        <v>65.36</v>
      </c>
      <c r="N856" s="39" t="n">
        <f aca="false">J856*Resumo!$C$6</f>
        <v>0</v>
      </c>
      <c r="O856" s="39" t="n">
        <f aca="false">J856*Resumo!$C$7</f>
        <v>1.233729</v>
      </c>
      <c r="P856" s="39" t="n">
        <f aca="false">J856*Resumo!$C$8</f>
        <v>1.233729</v>
      </c>
      <c r="Q856" s="39" t="n">
        <f aca="false">Resumo!$C$10*CEILING(I856/100,1)</f>
        <v>1.05</v>
      </c>
      <c r="R856" s="39" t="n">
        <f aca="false">Resumo!$C$9</f>
        <v>0</v>
      </c>
      <c r="S856" s="39" t="n">
        <f aca="false">Resumo!$C$13</f>
        <v>13.55</v>
      </c>
      <c r="T856" s="39" t="n">
        <f aca="false">Resumo!$C$14*CEILING(I856,1)</f>
        <v>21.15</v>
      </c>
      <c r="U856" s="39" t="n">
        <f aca="false">SUM(M856:T856)*Resumo!$C$11</f>
        <v>0</v>
      </c>
      <c r="V856" s="39" t="n">
        <f aca="false">SUM(M856:U856)</f>
        <v>103.577458</v>
      </c>
      <c r="W856" s="39" t="n">
        <f aca="false">V856/(1-Resumo!$C$5)</f>
        <v>117.701656818182</v>
      </c>
      <c r="X856" s="39" t="n">
        <v>93.97</v>
      </c>
      <c r="Y856" s="39" t="n">
        <f aca="false">J856*Resumo!$B$6</f>
        <v>0.58749</v>
      </c>
      <c r="Z856" s="39" t="n">
        <f aca="false">J856*Resumo!$B$7</f>
        <v>1.17498</v>
      </c>
      <c r="AA856" s="39" t="n">
        <f aca="false">Resumo!$B$9</f>
        <v>1</v>
      </c>
      <c r="AB856" s="39" t="n">
        <f aca="false">Resumo!$B$10*CEILING(I856/100,1)</f>
        <v>4.5</v>
      </c>
      <c r="AC856" s="39" t="n">
        <f aca="false">Resumo!$B$12*CEILING(I856,1)</f>
        <v>2.82</v>
      </c>
      <c r="AD856" s="39" t="n">
        <f aca="false">Resumo!$B$14*CEILING(I856,1)</f>
        <v>21.15</v>
      </c>
      <c r="AE856" s="39" t="n">
        <f aca="false">SUM(X856:AD856)</f>
        <v>125.20247</v>
      </c>
      <c r="AF856" s="39" t="n">
        <f aca="false">AE856/(1-Resumo!$B$5)</f>
        <v>142.275534090909</v>
      </c>
      <c r="AG856" s="39" t="n">
        <f aca="false">AF856-W856</f>
        <v>24.5738772727273</v>
      </c>
      <c r="AH856" s="40" t="n">
        <f aca="false">AF856/W856-1</f>
        <v>0.208781065084644</v>
      </c>
      <c r="AI856" s="37" t="str">
        <f aca="false">IF(AF856&lt;W856,"SIM","NÃO")</f>
        <v>NÃO</v>
      </c>
      <c r="AJ856" s="37" t="n">
        <v>2</v>
      </c>
      <c r="AK856" s="37" t="n">
        <v>5</v>
      </c>
      <c r="AL856" s="37" t="s">
        <v>343</v>
      </c>
      <c r="AM856" s="39" t="n">
        <v>116.89</v>
      </c>
    </row>
    <row r="857" customFormat="false" ht="15" hidden="false" customHeight="false" outlineLevel="0" collapsed="false">
      <c r="A857" s="37" t="n">
        <v>374571241</v>
      </c>
      <c r="B857" s="38" t="n">
        <v>46245.385462963</v>
      </c>
      <c r="C857" s="37" t="s">
        <v>340</v>
      </c>
      <c r="D857" s="37" t="s">
        <v>1166</v>
      </c>
      <c r="E857" s="37" t="n">
        <v>25035460</v>
      </c>
      <c r="F857" s="37" t="s">
        <v>161</v>
      </c>
      <c r="G857" s="37" t="s">
        <v>197</v>
      </c>
      <c r="H857" s="37" t="s">
        <v>184</v>
      </c>
      <c r="I857" s="37" t="n">
        <v>27.4</v>
      </c>
      <c r="J857" s="39" t="n">
        <v>315.99</v>
      </c>
      <c r="K857" s="37" t="s">
        <v>342</v>
      </c>
      <c r="L857" s="39" t="n">
        <v>100.9</v>
      </c>
      <c r="M857" s="39" t="n">
        <v>58.8</v>
      </c>
      <c r="N857" s="39" t="n">
        <f aca="false">J857*Resumo!$C$6</f>
        <v>0</v>
      </c>
      <c r="O857" s="39" t="n">
        <f aca="false">J857*Resumo!$C$7</f>
        <v>0.663579</v>
      </c>
      <c r="P857" s="39" t="n">
        <f aca="false">J857*Resumo!$C$8</f>
        <v>0.663579</v>
      </c>
      <c r="Q857" s="39" t="n">
        <f aca="false">Resumo!$C$10*CEILING(I857/100,1)</f>
        <v>1.05</v>
      </c>
      <c r="R857" s="39" t="n">
        <f aca="false">Resumo!$C$9</f>
        <v>0</v>
      </c>
      <c r="S857" s="39" t="n">
        <f aca="false">Resumo!$C$13</f>
        <v>13.55</v>
      </c>
      <c r="T857" s="39" t="n">
        <f aca="false">Resumo!$C$14*CEILING(I857,1)</f>
        <v>12.6</v>
      </c>
      <c r="U857" s="39" t="n">
        <f aca="false">SUM(M857:T857)*Resumo!$C$11</f>
        <v>0</v>
      </c>
      <c r="V857" s="39" t="n">
        <f aca="false">SUM(M857:U857)</f>
        <v>87.327158</v>
      </c>
      <c r="W857" s="39" t="n">
        <f aca="false">V857/(1-Resumo!$C$5)</f>
        <v>99.2354068181818</v>
      </c>
      <c r="X857" s="39" t="n">
        <v>82.21</v>
      </c>
      <c r="Y857" s="39" t="n">
        <f aca="false">J857*Resumo!$B$6</f>
        <v>0.31599</v>
      </c>
      <c r="Z857" s="39" t="n">
        <f aca="false">J857*Resumo!$B$7</f>
        <v>0.63198</v>
      </c>
      <c r="AA857" s="39" t="n">
        <f aca="false">Resumo!$B$9</f>
        <v>1</v>
      </c>
      <c r="AB857" s="39" t="n">
        <f aca="false">Resumo!$B$10*CEILING(I857/100,1)</f>
        <v>4.5</v>
      </c>
      <c r="AC857" s="39" t="n">
        <f aca="false">Resumo!$B$12*CEILING(I857,1)</f>
        <v>1.68</v>
      </c>
      <c r="AD857" s="39" t="n">
        <f aca="false">Resumo!$B$14*CEILING(I857,1)</f>
        <v>12.6</v>
      </c>
      <c r="AE857" s="39" t="n">
        <f aca="false">SUM(X857:AD857)</f>
        <v>102.93797</v>
      </c>
      <c r="AF857" s="39" t="n">
        <f aca="false">AE857/(1-Resumo!$B$5)</f>
        <v>116.974965909091</v>
      </c>
      <c r="AG857" s="39" t="n">
        <f aca="false">AF857-W857</f>
        <v>17.7395590909091</v>
      </c>
      <c r="AH857" s="40" t="n">
        <f aca="false">AF857/W857-1</f>
        <v>0.178762396000566</v>
      </c>
      <c r="AI857" s="37" t="str">
        <f aca="false">IF(AF857&lt;W857,"SIM","NÃO")</f>
        <v>NÃO</v>
      </c>
      <c r="AJ857" s="37" t="n">
        <v>2</v>
      </c>
      <c r="AK857" s="37" t="n">
        <v>5</v>
      </c>
      <c r="AL857" s="37" t="s">
        <v>343</v>
      </c>
      <c r="AM857" s="39" t="n">
        <v>100.9</v>
      </c>
    </row>
    <row r="858" customFormat="false" ht="15" hidden="false" customHeight="false" outlineLevel="0" collapsed="false">
      <c r="A858" s="37" t="n">
        <v>374574150</v>
      </c>
      <c r="B858" s="38" t="n">
        <v>46245.3896527778</v>
      </c>
      <c r="C858" s="37" t="s">
        <v>340</v>
      </c>
      <c r="D858" s="37" t="s">
        <v>1166</v>
      </c>
      <c r="E858" s="37" t="n">
        <v>25035460</v>
      </c>
      <c r="F858" s="37" t="s">
        <v>161</v>
      </c>
      <c r="G858" s="37" t="s">
        <v>197</v>
      </c>
      <c r="H858" s="37" t="s">
        <v>184</v>
      </c>
      <c r="I858" s="37" t="n">
        <v>27</v>
      </c>
      <c r="J858" s="39" t="n">
        <v>319.99</v>
      </c>
      <c r="K858" s="37" t="s">
        <v>342</v>
      </c>
      <c r="L858" s="39" t="n">
        <v>100.92</v>
      </c>
      <c r="M858" s="39" t="n">
        <v>58.8</v>
      </c>
      <c r="N858" s="39" t="n">
        <f aca="false">J858*Resumo!$C$6</f>
        <v>0</v>
      </c>
      <c r="O858" s="39" t="n">
        <f aca="false">J858*Resumo!$C$7</f>
        <v>0.671979</v>
      </c>
      <c r="P858" s="39" t="n">
        <f aca="false">J858*Resumo!$C$8</f>
        <v>0.671979</v>
      </c>
      <c r="Q858" s="39" t="n">
        <f aca="false">Resumo!$C$10*CEILING(I858/100,1)</f>
        <v>1.05</v>
      </c>
      <c r="R858" s="39" t="n">
        <f aca="false">Resumo!$C$9</f>
        <v>0</v>
      </c>
      <c r="S858" s="39" t="n">
        <f aca="false">Resumo!$C$13</f>
        <v>13.55</v>
      </c>
      <c r="T858" s="39" t="n">
        <f aca="false">Resumo!$C$14*CEILING(I858,1)</f>
        <v>12.15</v>
      </c>
      <c r="U858" s="39" t="n">
        <f aca="false">SUM(M858:T858)*Resumo!$C$11</f>
        <v>0</v>
      </c>
      <c r="V858" s="39" t="n">
        <f aca="false">SUM(M858:U858)</f>
        <v>86.893958</v>
      </c>
      <c r="W858" s="39" t="n">
        <f aca="false">V858/(1-Resumo!$C$5)</f>
        <v>98.7431340909091</v>
      </c>
      <c r="X858" s="39" t="n">
        <v>82.21</v>
      </c>
      <c r="Y858" s="39" t="n">
        <f aca="false">J858*Resumo!$B$6</f>
        <v>0.31999</v>
      </c>
      <c r="Z858" s="39" t="n">
        <f aca="false">J858*Resumo!$B$7</f>
        <v>0.63998</v>
      </c>
      <c r="AA858" s="39" t="n">
        <f aca="false">Resumo!$B$9</f>
        <v>1</v>
      </c>
      <c r="AB858" s="39" t="n">
        <f aca="false">Resumo!$B$10*CEILING(I858/100,1)</f>
        <v>4.5</v>
      </c>
      <c r="AC858" s="39" t="n">
        <f aca="false">Resumo!$B$12*CEILING(I858,1)</f>
        <v>1.62</v>
      </c>
      <c r="AD858" s="39" t="n">
        <f aca="false">Resumo!$B$14*CEILING(I858,1)</f>
        <v>12.15</v>
      </c>
      <c r="AE858" s="39" t="n">
        <f aca="false">SUM(X858:AD858)</f>
        <v>102.43997</v>
      </c>
      <c r="AF858" s="39" t="n">
        <f aca="false">AE858/(1-Resumo!$B$5)</f>
        <v>116.409056818182</v>
      </c>
      <c r="AG858" s="39" t="n">
        <f aca="false">AF858-W858</f>
        <v>17.6659227272727</v>
      </c>
      <c r="AH858" s="40" t="n">
        <f aca="false">AF858/W858-1</f>
        <v>0.178907859163234</v>
      </c>
      <c r="AI858" s="37" t="str">
        <f aca="false">IF(AF858&lt;W858,"SIM","NÃO")</f>
        <v>NÃO</v>
      </c>
      <c r="AJ858" s="37" t="n">
        <v>2</v>
      </c>
      <c r="AK858" s="37" t="n">
        <v>5</v>
      </c>
      <c r="AL858" s="37" t="s">
        <v>343</v>
      </c>
      <c r="AM858" s="39" t="n">
        <v>100.92</v>
      </c>
    </row>
    <row r="859" customFormat="false" ht="15" hidden="false" customHeight="false" outlineLevel="0" collapsed="false">
      <c r="A859" s="37" t="n">
        <v>374584999</v>
      </c>
      <c r="B859" s="38" t="n">
        <v>46245.4047337963</v>
      </c>
      <c r="C859" s="37" t="s">
        <v>345</v>
      </c>
      <c r="D859" s="37" t="s">
        <v>1167</v>
      </c>
      <c r="E859" s="37" t="n">
        <v>25720142</v>
      </c>
      <c r="F859" s="37" t="s">
        <v>170</v>
      </c>
      <c r="G859" s="37" t="s">
        <v>198</v>
      </c>
      <c r="H859" s="37" t="s">
        <v>188</v>
      </c>
      <c r="I859" s="37" t="n">
        <v>60.9</v>
      </c>
      <c r="J859" s="39" t="n">
        <v>999.99</v>
      </c>
      <c r="K859" s="37" t="s">
        <v>518</v>
      </c>
      <c r="L859" s="39" t="n">
        <v>155.06</v>
      </c>
      <c r="M859" s="39" t="n">
        <v>90.2</v>
      </c>
      <c r="N859" s="39" t="n">
        <f aca="false">J859*Resumo!$C$6</f>
        <v>0</v>
      </c>
      <c r="O859" s="39" t="n">
        <f aca="false">J859*Resumo!$C$7</f>
        <v>2.099979</v>
      </c>
      <c r="P859" s="39" t="n">
        <f aca="false">J859*Resumo!$C$8</f>
        <v>2.099979</v>
      </c>
      <c r="Q859" s="39" t="n">
        <f aca="false">Resumo!$C$10*CEILING(I859/100,1)</f>
        <v>1.05</v>
      </c>
      <c r="R859" s="39" t="n">
        <f aca="false">Resumo!$C$9</f>
        <v>0</v>
      </c>
      <c r="S859" s="39" t="n">
        <f aca="false">Resumo!$C$13</f>
        <v>13.55</v>
      </c>
      <c r="T859" s="39" t="n">
        <f aca="false">Resumo!$C$14*CEILING(I859,1)</f>
        <v>27.45</v>
      </c>
      <c r="U859" s="39" t="n">
        <f aca="false">SUM(M859:T859)*Resumo!$C$11</f>
        <v>0</v>
      </c>
      <c r="V859" s="39" t="n">
        <f aca="false">SUM(M859:U859)</f>
        <v>136.449958</v>
      </c>
      <c r="W859" s="39" t="n">
        <f aca="false">V859/(1-Resumo!$C$5)</f>
        <v>155.056770454545</v>
      </c>
      <c r="X859" s="39" t="n">
        <v>166.05</v>
      </c>
      <c r="Y859" s="39" t="n">
        <f aca="false">J859*Resumo!$B$6</f>
        <v>0.99999</v>
      </c>
      <c r="Z859" s="39" t="n">
        <f aca="false">J859*Resumo!$B$7</f>
        <v>1.99998</v>
      </c>
      <c r="AA859" s="39" t="n">
        <f aca="false">Resumo!$B$9</f>
        <v>1</v>
      </c>
      <c r="AB859" s="39" t="n">
        <f aca="false">Resumo!$B$10*CEILING(I859/100,1)</f>
        <v>4.5</v>
      </c>
      <c r="AC859" s="39" t="n">
        <f aca="false">Resumo!$B$12*CEILING(I859,1)</f>
        <v>3.66</v>
      </c>
      <c r="AD859" s="39" t="n">
        <f aca="false">Resumo!$B$14*CEILING(I859,1)</f>
        <v>27.45</v>
      </c>
      <c r="AE859" s="39" t="n">
        <f aca="false">SUM(X859:AD859)</f>
        <v>205.65997</v>
      </c>
      <c r="AF859" s="39" t="n">
        <f aca="false">AE859/(1-Resumo!$B$5)</f>
        <v>233.704511363636</v>
      </c>
      <c r="AG859" s="39" t="n">
        <f aca="false">AF859-W859</f>
        <v>78.6477409090909</v>
      </c>
      <c r="AH859" s="40" t="n">
        <f aca="false">AF859/W859-1</f>
        <v>0.507219005519958</v>
      </c>
      <c r="AI859" s="37" t="str">
        <f aca="false">IF(AF859&lt;W859,"SIM","NÃO")</f>
        <v>NÃO</v>
      </c>
      <c r="AJ859" s="37" t="n">
        <v>13</v>
      </c>
      <c r="AK859" s="37" t="n">
        <v>8</v>
      </c>
      <c r="AL859" s="37" t="s">
        <v>343</v>
      </c>
      <c r="AM859" s="39" t="n">
        <v>156.81</v>
      </c>
    </row>
    <row r="860" customFormat="false" ht="15" hidden="false" customHeight="false" outlineLevel="0" collapsed="false">
      <c r="A860" s="37" t="n">
        <v>374588558</v>
      </c>
      <c r="B860" s="38" t="n">
        <v>46245.410787037</v>
      </c>
      <c r="C860" s="37" t="s">
        <v>340</v>
      </c>
      <c r="D860" s="37" t="s">
        <v>1168</v>
      </c>
      <c r="E860" s="37" t="n">
        <v>27276310</v>
      </c>
      <c r="F860" s="37" t="s">
        <v>168</v>
      </c>
      <c r="G860" s="37" t="s">
        <v>198</v>
      </c>
      <c r="H860" s="37" t="s">
        <v>184</v>
      </c>
      <c r="I860" s="37" t="n">
        <v>27.4</v>
      </c>
      <c r="J860" s="39" t="n">
        <v>315.99</v>
      </c>
      <c r="K860" s="37" t="s">
        <v>518</v>
      </c>
      <c r="L860" s="39" t="n">
        <v>106.99</v>
      </c>
      <c r="M860" s="39" t="n">
        <v>65.63</v>
      </c>
      <c r="N860" s="39" t="n">
        <f aca="false">J860*Resumo!$C$6</f>
        <v>0</v>
      </c>
      <c r="O860" s="39" t="n">
        <f aca="false">J860*Resumo!$C$7</f>
        <v>0.663579</v>
      </c>
      <c r="P860" s="39" t="n">
        <f aca="false">J860*Resumo!$C$8</f>
        <v>0.663579</v>
      </c>
      <c r="Q860" s="39" t="n">
        <f aca="false">Resumo!$C$10*CEILING(I860/100,1)</f>
        <v>1.05</v>
      </c>
      <c r="R860" s="39" t="n">
        <f aca="false">Resumo!$C$9</f>
        <v>0</v>
      </c>
      <c r="S860" s="39" t="n">
        <f aca="false">Resumo!$C$13</f>
        <v>13.55</v>
      </c>
      <c r="T860" s="39" t="n">
        <f aca="false">Resumo!$C$14*CEILING(I860,1)</f>
        <v>12.6</v>
      </c>
      <c r="U860" s="39" t="n">
        <f aca="false">SUM(M860:T860)*Resumo!$C$11</f>
        <v>0</v>
      </c>
      <c r="V860" s="39" t="n">
        <f aca="false">SUM(M860:U860)</f>
        <v>94.157158</v>
      </c>
      <c r="W860" s="39" t="n">
        <f aca="false">V860/(1-Resumo!$C$5)</f>
        <v>106.996770454545</v>
      </c>
      <c r="X860" s="39" t="n">
        <v>108.83</v>
      </c>
      <c r="Y860" s="39" t="n">
        <f aca="false">J860*Resumo!$B$6</f>
        <v>0.31599</v>
      </c>
      <c r="Z860" s="39" t="n">
        <f aca="false">J860*Resumo!$B$7</f>
        <v>0.63198</v>
      </c>
      <c r="AA860" s="39" t="n">
        <f aca="false">Resumo!$B$9</f>
        <v>1</v>
      </c>
      <c r="AB860" s="39" t="n">
        <f aca="false">Resumo!$B$10*CEILING(I860/100,1)</f>
        <v>4.5</v>
      </c>
      <c r="AC860" s="39" t="n">
        <f aca="false">Resumo!$B$12*CEILING(I860,1)</f>
        <v>1.68</v>
      </c>
      <c r="AD860" s="39" t="n">
        <f aca="false">Resumo!$B$14*CEILING(I860,1)</f>
        <v>12.6</v>
      </c>
      <c r="AE860" s="39" t="n">
        <f aca="false">SUM(X860:AD860)</f>
        <v>129.55797</v>
      </c>
      <c r="AF860" s="39" t="n">
        <f aca="false">AE860/(1-Resumo!$B$5)</f>
        <v>147.224965909091</v>
      </c>
      <c r="AG860" s="39" t="n">
        <f aca="false">AF860-W860</f>
        <v>40.2281954545455</v>
      </c>
      <c r="AH860" s="40" t="n">
        <f aca="false">AF860/W860-1</f>
        <v>0.375975791452839</v>
      </c>
      <c r="AI860" s="37" t="str">
        <f aca="false">IF(AF860&lt;W860,"SIM","NÃO")</f>
        <v>NÃO</v>
      </c>
      <c r="AJ860" s="37" t="n">
        <v>13</v>
      </c>
      <c r="AK860" s="37" t="n">
        <v>10</v>
      </c>
      <c r="AL860" s="37" t="s">
        <v>343</v>
      </c>
      <c r="AM860" s="39" t="n">
        <v>108.69</v>
      </c>
    </row>
    <row r="861" customFormat="false" ht="15" hidden="false" customHeight="false" outlineLevel="0" collapsed="false">
      <c r="A861" s="37" t="n">
        <v>374603842</v>
      </c>
      <c r="B861" s="38" t="n">
        <v>46245.4386342593</v>
      </c>
      <c r="C861" s="37" t="s">
        <v>345</v>
      </c>
      <c r="D861" s="37" t="s">
        <v>1169</v>
      </c>
      <c r="E861" s="37" t="n">
        <v>28991406</v>
      </c>
      <c r="F861" s="37" t="s">
        <v>295</v>
      </c>
      <c r="G861" s="37" t="s">
        <v>198</v>
      </c>
      <c r="H861" s="37" t="s">
        <v>184</v>
      </c>
      <c r="I861" s="37" t="n">
        <v>27.5</v>
      </c>
      <c r="J861" s="39" t="n">
        <v>332</v>
      </c>
      <c r="K861" s="37" t="s">
        <v>518</v>
      </c>
      <c r="L861" s="39" t="n">
        <v>107.08</v>
      </c>
      <c r="M861" s="39" t="n">
        <v>65.63</v>
      </c>
      <c r="N861" s="39" t="n">
        <f aca="false">J861*Resumo!$C$6</f>
        <v>0</v>
      </c>
      <c r="O861" s="39" t="n">
        <f aca="false">J861*Resumo!$C$7</f>
        <v>0.6972</v>
      </c>
      <c r="P861" s="39" t="n">
        <f aca="false">J861*Resumo!$C$8</f>
        <v>0.6972</v>
      </c>
      <c r="Q861" s="39" t="n">
        <f aca="false">Resumo!$C$10*CEILING(I861/100,1)</f>
        <v>1.05</v>
      </c>
      <c r="R861" s="39" t="n">
        <f aca="false">Resumo!$C$9</f>
        <v>0</v>
      </c>
      <c r="S861" s="39" t="n">
        <f aca="false">Resumo!$C$13</f>
        <v>13.55</v>
      </c>
      <c r="T861" s="39" t="n">
        <f aca="false">Resumo!$C$14*CEILING(I861,1)</f>
        <v>12.6</v>
      </c>
      <c r="U861" s="39" t="n">
        <f aca="false">SUM(M861:T861)*Resumo!$C$11</f>
        <v>0</v>
      </c>
      <c r="V861" s="39" t="n">
        <f aca="false">SUM(M861:U861)</f>
        <v>94.2244</v>
      </c>
      <c r="W861" s="39" t="n">
        <f aca="false">V861/(1-Resumo!$C$5)</f>
        <v>107.073181818182</v>
      </c>
      <c r="X861" s="39" t="n">
        <v>114.95</v>
      </c>
      <c r="Y861" s="39" t="n">
        <f aca="false">J861*Resumo!$B$6</f>
        <v>0.332</v>
      </c>
      <c r="Z861" s="39" t="n">
        <f aca="false">J861*Resumo!$B$7</f>
        <v>0.664</v>
      </c>
      <c r="AA861" s="39" t="n">
        <f aca="false">Resumo!$B$9</f>
        <v>1</v>
      </c>
      <c r="AB861" s="39" t="n">
        <f aca="false">Resumo!$B$10*CEILING(I861/100,1)</f>
        <v>4.5</v>
      </c>
      <c r="AC861" s="39" t="n">
        <f aca="false">Resumo!$B$12*CEILING(I861,1)</f>
        <v>1.68</v>
      </c>
      <c r="AD861" s="39" t="n">
        <f aca="false">Resumo!$B$14*CEILING(I861,1)</f>
        <v>12.6</v>
      </c>
      <c r="AE861" s="39" t="n">
        <f aca="false">SUM(X861:AD861)</f>
        <v>135.726</v>
      </c>
      <c r="AF861" s="39" t="n">
        <f aca="false">AE861/(1-Resumo!$B$5)</f>
        <v>154.234090909091</v>
      </c>
      <c r="AG861" s="39" t="n">
        <f aca="false">AF861-W861</f>
        <v>47.1609090909091</v>
      </c>
      <c r="AH861" s="40" t="n">
        <f aca="false">AF861/W861-1</f>
        <v>0.44045491401378</v>
      </c>
      <c r="AI861" s="37" t="str">
        <f aca="false">IF(AF861&lt;W861,"SIM","NÃO")</f>
        <v>NÃO</v>
      </c>
      <c r="AJ861" s="37" t="n">
        <v>13</v>
      </c>
      <c r="AK861" s="37" t="n">
        <v>10</v>
      </c>
      <c r="AL861" s="37" t="s">
        <v>347</v>
      </c>
      <c r="AM861" s="39" t="n">
        <v>108.77</v>
      </c>
    </row>
    <row r="862" customFormat="false" ht="15" hidden="false" customHeight="false" outlineLevel="0" collapsed="false">
      <c r="A862" s="37" t="n">
        <v>374611318</v>
      </c>
      <c r="B862" s="38" t="n">
        <v>46245.4518981482</v>
      </c>
      <c r="C862" s="37" t="s">
        <v>340</v>
      </c>
      <c r="D862" s="37" t="s">
        <v>1170</v>
      </c>
      <c r="E862" s="37" t="n">
        <v>25030058</v>
      </c>
      <c r="F862" s="37" t="s">
        <v>161</v>
      </c>
      <c r="G862" s="37" t="s">
        <v>197</v>
      </c>
      <c r="H862" s="37" t="s">
        <v>185</v>
      </c>
      <c r="I862" s="37" t="n">
        <v>37.6</v>
      </c>
      <c r="J862" s="39" t="n">
        <v>391.05</v>
      </c>
      <c r="K862" s="37" t="s">
        <v>342</v>
      </c>
      <c r="L862" s="39" t="n">
        <v>112.83</v>
      </c>
      <c r="M862" s="39" t="n">
        <v>66.83</v>
      </c>
      <c r="N862" s="39" t="n">
        <f aca="false">J862*Resumo!$C$6</f>
        <v>0</v>
      </c>
      <c r="O862" s="39" t="n">
        <f aca="false">J862*Resumo!$C$7</f>
        <v>0.821205</v>
      </c>
      <c r="P862" s="39" t="n">
        <f aca="false">J862*Resumo!$C$8</f>
        <v>0.821205</v>
      </c>
      <c r="Q862" s="39" t="n">
        <f aca="false">Resumo!$C$10*CEILING(I862/100,1)</f>
        <v>1.05</v>
      </c>
      <c r="R862" s="39" t="n">
        <f aca="false">Resumo!$C$9</f>
        <v>0</v>
      </c>
      <c r="S862" s="39" t="n">
        <f aca="false">Resumo!$C$13</f>
        <v>13.55</v>
      </c>
      <c r="T862" s="39" t="n">
        <f aca="false">Resumo!$C$14*CEILING(I862,1)</f>
        <v>17.1</v>
      </c>
      <c r="U862" s="39" t="n">
        <f aca="false">SUM(M862:T862)*Resumo!$C$11</f>
        <v>0</v>
      </c>
      <c r="V862" s="39" t="n">
        <f aca="false">SUM(M862:U862)</f>
        <v>100.17241</v>
      </c>
      <c r="W862" s="39" t="n">
        <f aca="false">V862/(1-Resumo!$C$5)</f>
        <v>113.832284090909</v>
      </c>
      <c r="X862" s="39" t="n">
        <v>93.97</v>
      </c>
      <c r="Y862" s="39" t="n">
        <f aca="false">J862*Resumo!$B$6</f>
        <v>0.39105</v>
      </c>
      <c r="Z862" s="39" t="n">
        <f aca="false">J862*Resumo!$B$7</f>
        <v>0.7821</v>
      </c>
      <c r="AA862" s="39" t="n">
        <f aca="false">Resumo!$B$9</f>
        <v>1</v>
      </c>
      <c r="AB862" s="39" t="n">
        <f aca="false">Resumo!$B$10*CEILING(I862/100,1)</f>
        <v>4.5</v>
      </c>
      <c r="AC862" s="39" t="n">
        <f aca="false">Resumo!$B$12*CEILING(I862,1)</f>
        <v>2.28</v>
      </c>
      <c r="AD862" s="39" t="n">
        <f aca="false">Resumo!$B$14*CEILING(I862,1)</f>
        <v>17.1</v>
      </c>
      <c r="AE862" s="39" t="n">
        <f aca="false">SUM(X862:AD862)</f>
        <v>120.02315</v>
      </c>
      <c r="AF862" s="39" t="n">
        <f aca="false">AE862/(1-Resumo!$B$5)</f>
        <v>136.389943181818</v>
      </c>
      <c r="AG862" s="39" t="n">
        <f aca="false">AF862-W862</f>
        <v>22.557659090909</v>
      </c>
      <c r="AH862" s="40" t="n">
        <f aca="false">AF862/W862-1</f>
        <v>0.198165742443453</v>
      </c>
      <c r="AI862" s="37" t="str">
        <f aca="false">IF(AF862&lt;W862,"SIM","NÃO")</f>
        <v>NÃO</v>
      </c>
      <c r="AJ862" s="37" t="n">
        <v>2</v>
      </c>
      <c r="AK862" s="37" t="n">
        <v>5</v>
      </c>
      <c r="AL862" s="37" t="s">
        <v>343</v>
      </c>
      <c r="AM862" s="39" t="n">
        <v>112.83</v>
      </c>
    </row>
    <row r="863" customFormat="false" ht="15" hidden="false" customHeight="false" outlineLevel="0" collapsed="false">
      <c r="A863" s="37" t="n">
        <v>374627293</v>
      </c>
      <c r="B863" s="38" t="n">
        <v>46245.4877083333</v>
      </c>
      <c r="C863" s="37" t="s">
        <v>340</v>
      </c>
      <c r="D863" s="37" t="s">
        <v>1171</v>
      </c>
      <c r="E863" s="37" t="n">
        <v>25035200</v>
      </c>
      <c r="F863" s="37" t="s">
        <v>161</v>
      </c>
      <c r="G863" s="37" t="s">
        <v>197</v>
      </c>
      <c r="H863" s="37" t="s">
        <v>192</v>
      </c>
      <c r="I863" s="37" t="n">
        <v>124.2</v>
      </c>
      <c r="J863" s="39" t="n">
        <v>1599.99</v>
      </c>
      <c r="K863" s="37" t="s">
        <v>342</v>
      </c>
      <c r="L863" s="39" t="n">
        <v>244.27</v>
      </c>
      <c r="M863" s="39" t="n">
        <v>129.62</v>
      </c>
      <c r="N863" s="39" t="n">
        <f aca="false">J863*Resumo!$C$6</f>
        <v>0</v>
      </c>
      <c r="O863" s="39" t="n">
        <f aca="false">J863*Resumo!$C$7</f>
        <v>3.359979</v>
      </c>
      <c r="P863" s="39" t="n">
        <f aca="false">J863*Resumo!$C$8</f>
        <v>3.359979</v>
      </c>
      <c r="Q863" s="39" t="n">
        <f aca="false">Resumo!$C$10*CEILING(I863/100,1)</f>
        <v>2.1</v>
      </c>
      <c r="R863" s="39" t="n">
        <f aca="false">Resumo!$C$9</f>
        <v>0</v>
      </c>
      <c r="S863" s="39" t="n">
        <f aca="false">Resumo!$C$13</f>
        <v>13.55</v>
      </c>
      <c r="T863" s="39" t="n">
        <f aca="false">Resumo!$C$14*CEILING(I863,1)</f>
        <v>56.25</v>
      </c>
      <c r="U863" s="39" t="n">
        <f aca="false">SUM(M863:T863)*Resumo!$C$11</f>
        <v>0</v>
      </c>
      <c r="V863" s="39" t="n">
        <f aca="false">SUM(M863:U863)</f>
        <v>208.239958</v>
      </c>
      <c r="W863" s="39" t="n">
        <f aca="false">V863/(1-Resumo!$C$5)</f>
        <v>236.636315909091</v>
      </c>
      <c r="X863" s="39" t="n">
        <v>239.25</v>
      </c>
      <c r="Y863" s="39" t="n">
        <f aca="false">J863*Resumo!$B$6</f>
        <v>1.59999</v>
      </c>
      <c r="Z863" s="39" t="n">
        <f aca="false">J863*Resumo!$B$7</f>
        <v>3.19998</v>
      </c>
      <c r="AA863" s="39" t="n">
        <f aca="false">Resumo!$B$9</f>
        <v>1</v>
      </c>
      <c r="AB863" s="39" t="n">
        <f aca="false">Resumo!$B$10*CEILING(I863/100,1)</f>
        <v>9</v>
      </c>
      <c r="AC863" s="39" t="n">
        <f aca="false">Resumo!$B$12*CEILING(I863,1)</f>
        <v>7.5</v>
      </c>
      <c r="AD863" s="39" t="n">
        <f aca="false">Resumo!$B$14*CEILING(I863,1)</f>
        <v>56.25</v>
      </c>
      <c r="AE863" s="39" t="n">
        <f aca="false">SUM(X863:AD863)</f>
        <v>317.79997</v>
      </c>
      <c r="AF863" s="39" t="n">
        <f aca="false">AE863/(1-Resumo!$B$5)</f>
        <v>361.136329545455</v>
      </c>
      <c r="AG863" s="39" t="n">
        <f aca="false">AF863-W863</f>
        <v>124.500013636364</v>
      </c>
      <c r="AH863" s="40" t="n">
        <f aca="false">AF863/W863-1</f>
        <v>0.526123867159059</v>
      </c>
      <c r="AI863" s="37" t="str">
        <f aca="false">IF(AF863&lt;W863,"SIM","NÃO")</f>
        <v>NÃO</v>
      </c>
      <c r="AJ863" s="37" t="n">
        <v>2</v>
      </c>
      <c r="AK863" s="37" t="n">
        <v>5</v>
      </c>
      <c r="AL863" s="37" t="s">
        <v>343</v>
      </c>
      <c r="AM863" s="39" t="n">
        <v>244.27</v>
      </c>
    </row>
    <row r="864" customFormat="false" ht="15" hidden="false" customHeight="false" outlineLevel="0" collapsed="false">
      <c r="A864" s="37" t="n">
        <v>374628743</v>
      </c>
      <c r="B864" s="38" t="n">
        <v>46245.4909375</v>
      </c>
      <c r="C864" s="37" t="s">
        <v>340</v>
      </c>
      <c r="D864" s="37" t="s">
        <v>1172</v>
      </c>
      <c r="E864" s="37" t="n">
        <v>26040810</v>
      </c>
      <c r="F864" s="37" t="s">
        <v>162</v>
      </c>
      <c r="G864" s="37" t="s">
        <v>197</v>
      </c>
      <c r="H864" s="37" t="s">
        <v>187</v>
      </c>
      <c r="I864" s="37" t="n">
        <v>52.3</v>
      </c>
      <c r="J864" s="39" t="n">
        <v>616.99</v>
      </c>
      <c r="K864" s="37" t="s">
        <v>342</v>
      </c>
      <c r="L864" s="39" t="n">
        <v>128.23</v>
      </c>
      <c r="M864" s="39" t="n">
        <v>70.98</v>
      </c>
      <c r="N864" s="39" t="n">
        <f aca="false">J864*Resumo!$C$6</f>
        <v>0</v>
      </c>
      <c r="O864" s="39" t="n">
        <f aca="false">J864*Resumo!$C$7</f>
        <v>1.295679</v>
      </c>
      <c r="P864" s="39" t="n">
        <f aca="false">J864*Resumo!$C$8</f>
        <v>1.295679</v>
      </c>
      <c r="Q864" s="39" t="n">
        <f aca="false">Resumo!$C$10*CEILING(I864/100,1)</f>
        <v>1.05</v>
      </c>
      <c r="R864" s="39" t="n">
        <f aca="false">Resumo!$C$9</f>
        <v>0</v>
      </c>
      <c r="S864" s="39" t="n">
        <f aca="false">Resumo!$C$13</f>
        <v>13.55</v>
      </c>
      <c r="T864" s="39" t="n">
        <f aca="false">Resumo!$C$14*CEILING(I864,1)</f>
        <v>23.85</v>
      </c>
      <c r="U864" s="39" t="n">
        <f aca="false">SUM(M864:T864)*Resumo!$C$11</f>
        <v>0</v>
      </c>
      <c r="V864" s="39" t="n">
        <f aca="false">SUM(M864:U864)</f>
        <v>112.021358</v>
      </c>
      <c r="W864" s="39" t="n">
        <f aca="false">V864/(1-Resumo!$C$5)</f>
        <v>127.296997727273</v>
      </c>
      <c r="X864" s="39" t="n">
        <v>112.3</v>
      </c>
      <c r="Y864" s="39" t="n">
        <f aca="false">J864*Resumo!$B$6</f>
        <v>0.61699</v>
      </c>
      <c r="Z864" s="39" t="n">
        <f aca="false">J864*Resumo!$B$7</f>
        <v>1.23398</v>
      </c>
      <c r="AA864" s="39" t="n">
        <f aca="false">Resumo!$B$9</f>
        <v>1</v>
      </c>
      <c r="AB864" s="39" t="n">
        <f aca="false">Resumo!$B$10*CEILING(I864/100,1)</f>
        <v>4.5</v>
      </c>
      <c r="AC864" s="39" t="n">
        <f aca="false">Resumo!$B$12*CEILING(I864,1)</f>
        <v>3.18</v>
      </c>
      <c r="AD864" s="39" t="n">
        <f aca="false">Resumo!$B$14*CEILING(I864,1)</f>
        <v>23.85</v>
      </c>
      <c r="AE864" s="39" t="n">
        <f aca="false">SUM(X864:AD864)</f>
        <v>146.68097</v>
      </c>
      <c r="AF864" s="39" t="n">
        <f aca="false">AE864/(1-Resumo!$B$5)</f>
        <v>166.682920454545</v>
      </c>
      <c r="AG864" s="39" t="n">
        <f aca="false">AF864-W864</f>
        <v>39.3859227272727</v>
      </c>
      <c r="AH864" s="40" t="n">
        <f aca="false">AF864/W864-1</f>
        <v>0.309401819606579</v>
      </c>
      <c r="AI864" s="37" t="str">
        <f aca="false">IF(AF864&lt;W864,"SIM","NÃO")</f>
        <v>NÃO</v>
      </c>
      <c r="AJ864" s="37" t="n">
        <v>2</v>
      </c>
      <c r="AK864" s="37" t="n">
        <v>5</v>
      </c>
      <c r="AL864" s="37" t="s">
        <v>343</v>
      </c>
      <c r="AM864" s="39" t="n">
        <v>128.24</v>
      </c>
    </row>
    <row r="865" customFormat="false" ht="15" hidden="false" customHeight="false" outlineLevel="0" collapsed="false">
      <c r="A865" s="37" t="n">
        <v>374631351</v>
      </c>
      <c r="B865" s="38" t="n">
        <v>46245.4954976852</v>
      </c>
      <c r="C865" s="37" t="s">
        <v>345</v>
      </c>
      <c r="D865" s="37" t="s">
        <v>1173</v>
      </c>
      <c r="E865" s="37" t="n">
        <v>28934815</v>
      </c>
      <c r="F865" s="37" t="s">
        <v>291</v>
      </c>
      <c r="G865" s="37" t="s">
        <v>198</v>
      </c>
      <c r="H865" s="37" t="s">
        <v>186</v>
      </c>
      <c r="I865" s="37" t="n">
        <v>43.5</v>
      </c>
      <c r="J865" s="39" t="n">
        <v>687.21</v>
      </c>
      <c r="K865" s="37" t="s">
        <v>518</v>
      </c>
      <c r="L865" s="39" t="n">
        <v>130.66</v>
      </c>
      <c r="M865" s="39" t="n">
        <v>77.7</v>
      </c>
      <c r="N865" s="39" t="n">
        <f aca="false">J865*Resumo!$C$6</f>
        <v>0</v>
      </c>
      <c r="O865" s="39" t="n">
        <f aca="false">J865*Resumo!$C$7</f>
        <v>1.443141</v>
      </c>
      <c r="P865" s="39" t="n">
        <f aca="false">J865*Resumo!$C$8</f>
        <v>1.443141</v>
      </c>
      <c r="Q865" s="39" t="n">
        <f aca="false">Resumo!$C$10*CEILING(I865/100,1)</f>
        <v>1.05</v>
      </c>
      <c r="R865" s="39" t="n">
        <f aca="false">Resumo!$C$9</f>
        <v>0</v>
      </c>
      <c r="S865" s="39" t="n">
        <f aca="false">Resumo!$C$13</f>
        <v>13.55</v>
      </c>
      <c r="T865" s="39" t="n">
        <f aca="false">Resumo!$C$14*CEILING(I865,1)</f>
        <v>19.8</v>
      </c>
      <c r="U865" s="39" t="n">
        <f aca="false">SUM(M865:T865)*Resumo!$C$11</f>
        <v>0</v>
      </c>
      <c r="V865" s="39" t="n">
        <f aca="false">SUM(M865:U865)</f>
        <v>114.986282</v>
      </c>
      <c r="W865" s="39" t="n">
        <f aca="false">V865/(1-Resumo!$C$5)</f>
        <v>130.666229545455</v>
      </c>
      <c r="X865" s="39" t="n">
        <v>129.29</v>
      </c>
      <c r="Y865" s="39" t="n">
        <f aca="false">J865*Resumo!$B$6</f>
        <v>0.68721</v>
      </c>
      <c r="Z865" s="39" t="n">
        <f aca="false">J865*Resumo!$B$7</f>
        <v>1.37442</v>
      </c>
      <c r="AA865" s="39" t="n">
        <f aca="false">Resumo!$B$9</f>
        <v>1</v>
      </c>
      <c r="AB865" s="39" t="n">
        <f aca="false">Resumo!$B$10*CEILING(I865/100,1)</f>
        <v>4.5</v>
      </c>
      <c r="AC865" s="39" t="n">
        <f aca="false">Resumo!$B$12*CEILING(I865,1)</f>
        <v>2.64</v>
      </c>
      <c r="AD865" s="39" t="n">
        <f aca="false">Resumo!$B$14*CEILING(I865,1)</f>
        <v>19.8</v>
      </c>
      <c r="AE865" s="39" t="n">
        <f aca="false">SUM(X865:AD865)</f>
        <v>159.29163</v>
      </c>
      <c r="AF865" s="39" t="n">
        <f aca="false">AE865/(1-Resumo!$B$5)</f>
        <v>181.013215909091</v>
      </c>
      <c r="AG865" s="39" t="n">
        <f aca="false">AF865-W865</f>
        <v>50.3469863636364</v>
      </c>
      <c r="AH865" s="40" t="n">
        <f aca="false">AF865/W865-1</f>
        <v>0.385309858092464</v>
      </c>
      <c r="AI865" s="37" t="str">
        <f aca="false">IF(AF865&lt;W865,"SIM","NÃO")</f>
        <v>NÃO</v>
      </c>
      <c r="AJ865" s="37" t="n">
        <v>13</v>
      </c>
      <c r="AK865" s="37" t="n">
        <v>10</v>
      </c>
      <c r="AL865" s="37" t="s">
        <v>347</v>
      </c>
      <c r="AM865" s="39" t="n">
        <v>131.45</v>
      </c>
    </row>
    <row r="866" customFormat="false" ht="15" hidden="false" customHeight="false" outlineLevel="0" collapsed="false">
      <c r="A866" s="37" t="n">
        <v>374644939</v>
      </c>
      <c r="B866" s="38" t="n">
        <v>46245.5137037037</v>
      </c>
      <c r="C866" s="37" t="s">
        <v>340</v>
      </c>
      <c r="D866" s="37" t="s">
        <v>1174</v>
      </c>
      <c r="E866" s="37" t="n">
        <v>24931115</v>
      </c>
      <c r="F866" s="37" t="s">
        <v>171</v>
      </c>
      <c r="G866" s="37" t="s">
        <v>198</v>
      </c>
      <c r="H866" s="37" t="s">
        <v>188</v>
      </c>
      <c r="I866" s="37" t="n">
        <v>63.9</v>
      </c>
      <c r="J866" s="39" t="n">
        <v>785.04</v>
      </c>
      <c r="K866" s="37" t="s">
        <v>518</v>
      </c>
      <c r="L866" s="39" t="n">
        <v>155.57</v>
      </c>
      <c r="M866" s="39" t="n">
        <v>90.2</v>
      </c>
      <c r="N866" s="39" t="n">
        <f aca="false">J866*Resumo!$C$6</f>
        <v>0</v>
      </c>
      <c r="O866" s="39" t="n">
        <f aca="false">J866*Resumo!$C$7</f>
        <v>1.648584</v>
      </c>
      <c r="P866" s="39" t="n">
        <f aca="false">J866*Resumo!$C$8</f>
        <v>1.648584</v>
      </c>
      <c r="Q866" s="39" t="n">
        <f aca="false">Resumo!$C$10*CEILING(I866/100,1)</f>
        <v>1.05</v>
      </c>
      <c r="R866" s="39" t="n">
        <f aca="false">Resumo!$C$9</f>
        <v>0</v>
      </c>
      <c r="S866" s="39" t="n">
        <f aca="false">Resumo!$C$13</f>
        <v>13.55</v>
      </c>
      <c r="T866" s="39" t="n">
        <f aca="false">Resumo!$C$14*CEILING(I866,1)</f>
        <v>28.8</v>
      </c>
      <c r="U866" s="39" t="n">
        <f aca="false">SUM(M866:T866)*Resumo!$C$11</f>
        <v>0</v>
      </c>
      <c r="V866" s="39" t="n">
        <f aca="false">SUM(M866:U866)</f>
        <v>136.897168</v>
      </c>
      <c r="W866" s="39" t="n">
        <f aca="false">V866/(1-Resumo!$C$5)</f>
        <v>155.564963636364</v>
      </c>
      <c r="X866" s="39" t="n">
        <v>149.5</v>
      </c>
      <c r="Y866" s="39" t="n">
        <f aca="false">J866*Resumo!$B$6</f>
        <v>0.78504</v>
      </c>
      <c r="Z866" s="39" t="n">
        <f aca="false">J866*Resumo!$B$7</f>
        <v>1.57008</v>
      </c>
      <c r="AA866" s="39" t="n">
        <f aca="false">Resumo!$B$9</f>
        <v>1</v>
      </c>
      <c r="AB866" s="39" t="n">
        <f aca="false">Resumo!$B$10*CEILING(I866/100,1)</f>
        <v>4.5</v>
      </c>
      <c r="AC866" s="39" t="n">
        <f aca="false">Resumo!$B$12*CEILING(I866,1)</f>
        <v>3.84</v>
      </c>
      <c r="AD866" s="39" t="n">
        <f aca="false">Resumo!$B$14*CEILING(I866,1)</f>
        <v>28.8</v>
      </c>
      <c r="AE866" s="39" t="n">
        <f aca="false">SUM(X866:AD866)</f>
        <v>189.99512</v>
      </c>
      <c r="AF866" s="39" t="n">
        <f aca="false">AE866/(1-Resumo!$B$5)</f>
        <v>215.903545454545</v>
      </c>
      <c r="AG866" s="39" t="n">
        <f aca="false">AF866-W866</f>
        <v>60.3385818181819</v>
      </c>
      <c r="AH866" s="40" t="n">
        <f aca="false">AF866/W866-1</f>
        <v>0.387867424693549</v>
      </c>
      <c r="AI866" s="37" t="str">
        <f aca="false">IF(AF866&lt;W866,"SIM","NÃO")</f>
        <v>NÃO</v>
      </c>
      <c r="AJ866" s="37" t="n">
        <v>13</v>
      </c>
      <c r="AK866" s="37" t="n">
        <v>7</v>
      </c>
      <c r="AL866" s="37" t="s">
        <v>343</v>
      </c>
      <c r="AM866" s="39" t="n">
        <v>155.78</v>
      </c>
    </row>
    <row r="867" customFormat="false" ht="15" hidden="false" customHeight="false" outlineLevel="0" collapsed="false">
      <c r="A867" s="37" t="n">
        <v>374650235</v>
      </c>
      <c r="B867" s="38" t="n">
        <v>46245.525474537</v>
      </c>
      <c r="C867" s="37" t="s">
        <v>361</v>
      </c>
      <c r="D867" s="37" t="s">
        <v>1175</v>
      </c>
      <c r="E867" s="37" t="n">
        <v>21760140</v>
      </c>
      <c r="F867" s="37" t="s">
        <v>159</v>
      </c>
      <c r="G867" s="37" t="s">
        <v>196</v>
      </c>
      <c r="H867" s="37" t="s">
        <v>184</v>
      </c>
      <c r="I867" s="37" t="n">
        <v>22.4</v>
      </c>
      <c r="J867" s="39" t="n">
        <v>499.99</v>
      </c>
      <c r="K867" s="37" t="s">
        <v>342</v>
      </c>
      <c r="L867" s="39" t="n">
        <v>82.73</v>
      </c>
      <c r="M867" s="39" t="n">
        <v>42.11</v>
      </c>
      <c r="N867" s="39" t="n">
        <f aca="false">J867*Resumo!$C$6</f>
        <v>0</v>
      </c>
      <c r="O867" s="39" t="n">
        <f aca="false">J867*Resumo!$C$7</f>
        <v>1.049979</v>
      </c>
      <c r="P867" s="39" t="n">
        <f aca="false">J867*Resumo!$C$8</f>
        <v>1.049979</v>
      </c>
      <c r="Q867" s="39" t="n">
        <f aca="false">Resumo!$C$10*CEILING(I867/100,1)</f>
        <v>1.05</v>
      </c>
      <c r="R867" s="39" t="n">
        <f aca="false">Resumo!$C$9</f>
        <v>0</v>
      </c>
      <c r="S867" s="39" t="n">
        <f aca="false">Resumo!$C$13</f>
        <v>13.55</v>
      </c>
      <c r="T867" s="39" t="n">
        <f aca="false">Resumo!$C$14*CEILING(I867,1)</f>
        <v>10.35</v>
      </c>
      <c r="U867" s="39" t="n">
        <f aca="false">SUM(M867:T867)*Resumo!$C$11</f>
        <v>0</v>
      </c>
      <c r="V867" s="39" t="n">
        <f aca="false">SUM(M867:U867)</f>
        <v>69.159958</v>
      </c>
      <c r="W867" s="39" t="n">
        <f aca="false">V867/(1-Resumo!$C$5)</f>
        <v>78.5908613636364</v>
      </c>
      <c r="X867" s="39" t="n">
        <v>82.21</v>
      </c>
      <c r="Y867" s="39" t="n">
        <f aca="false">J867*Resumo!$B$6</f>
        <v>0.49999</v>
      </c>
      <c r="Z867" s="39" t="n">
        <f aca="false">J867*Resumo!$B$7</f>
        <v>0.99998</v>
      </c>
      <c r="AA867" s="39" t="n">
        <f aca="false">Resumo!$B$9</f>
        <v>1</v>
      </c>
      <c r="AB867" s="39" t="n">
        <f aca="false">Resumo!$B$10*CEILING(I867/100,1)</f>
        <v>4.5</v>
      </c>
      <c r="AC867" s="39" t="n">
        <f aca="false">Resumo!$B$12*CEILING(I867,1)</f>
        <v>1.38</v>
      </c>
      <c r="AD867" s="39" t="n">
        <f aca="false">Resumo!$B$14*CEILING(I867,1)</f>
        <v>10.35</v>
      </c>
      <c r="AE867" s="39" t="n">
        <f aca="false">SUM(X867:AD867)</f>
        <v>100.93997</v>
      </c>
      <c r="AF867" s="39" t="n">
        <f aca="false">AE867/(1-Resumo!$B$5)</f>
        <v>114.704511363636</v>
      </c>
      <c r="AG867" s="39" t="n">
        <f aca="false">AF867-W867</f>
        <v>36.11365</v>
      </c>
      <c r="AH867" s="40" t="n">
        <f aca="false">AF867/W867-1</f>
        <v>0.459514622608649</v>
      </c>
      <c r="AI867" s="37" t="str">
        <f aca="false">IF(AF867&lt;W867,"SIM","NÃO")</f>
        <v>NÃO</v>
      </c>
      <c r="AJ867" s="37" t="n">
        <v>2</v>
      </c>
      <c r="AK867" s="37" t="n">
        <v>5</v>
      </c>
      <c r="AL867" s="37" t="s">
        <v>343</v>
      </c>
      <c r="AM867" s="39" t="n">
        <v>82.72</v>
      </c>
    </row>
    <row r="868" customFormat="false" ht="15" hidden="false" customHeight="false" outlineLevel="0" collapsed="false">
      <c r="A868" s="37" t="n">
        <v>374660008</v>
      </c>
      <c r="B868" s="38" t="n">
        <v>46245.5399305556</v>
      </c>
      <c r="C868" s="37" t="s">
        <v>340</v>
      </c>
      <c r="D868" s="37" t="s">
        <v>1176</v>
      </c>
      <c r="E868" s="37" t="n">
        <v>25235074</v>
      </c>
      <c r="F868" s="37" t="s">
        <v>161</v>
      </c>
      <c r="G868" s="37" t="s">
        <v>197</v>
      </c>
      <c r="H868" s="37" t="s">
        <v>186</v>
      </c>
      <c r="I868" s="37" t="n">
        <v>45</v>
      </c>
      <c r="J868" s="39" t="n">
        <v>531.42</v>
      </c>
      <c r="K868" s="37" t="s">
        <v>342</v>
      </c>
      <c r="L868" s="39" t="n">
        <v>116.61</v>
      </c>
      <c r="M868" s="39" t="n">
        <v>65.36</v>
      </c>
      <c r="N868" s="39" t="n">
        <f aca="false">J868*Resumo!$C$6</f>
        <v>0</v>
      </c>
      <c r="O868" s="39" t="n">
        <f aca="false">J868*Resumo!$C$7</f>
        <v>1.115982</v>
      </c>
      <c r="P868" s="39" t="n">
        <f aca="false">J868*Resumo!$C$8</f>
        <v>1.115982</v>
      </c>
      <c r="Q868" s="39" t="n">
        <f aca="false">Resumo!$C$10*CEILING(I868/100,1)</f>
        <v>1.05</v>
      </c>
      <c r="R868" s="39" t="n">
        <f aca="false">Resumo!$C$9</f>
        <v>0</v>
      </c>
      <c r="S868" s="39" t="n">
        <f aca="false">Resumo!$C$13</f>
        <v>13.55</v>
      </c>
      <c r="T868" s="39" t="n">
        <f aca="false">Resumo!$C$14*CEILING(I868,1)</f>
        <v>20.25</v>
      </c>
      <c r="U868" s="39" t="n">
        <f aca="false">SUM(M868:T868)*Resumo!$C$11</f>
        <v>0</v>
      </c>
      <c r="V868" s="39" t="n">
        <f aca="false">SUM(M868:U868)</f>
        <v>102.441964</v>
      </c>
      <c r="W868" s="39" t="n">
        <f aca="false">V868/(1-Resumo!$C$5)</f>
        <v>116.411322727273</v>
      </c>
      <c r="X868" s="39" t="n">
        <v>93.97</v>
      </c>
      <c r="Y868" s="39" t="n">
        <f aca="false">J868*Resumo!$B$6</f>
        <v>0.53142</v>
      </c>
      <c r="Z868" s="39" t="n">
        <f aca="false">J868*Resumo!$B$7</f>
        <v>1.06284</v>
      </c>
      <c r="AA868" s="39" t="n">
        <f aca="false">Resumo!$B$9</f>
        <v>1</v>
      </c>
      <c r="AB868" s="39" t="n">
        <f aca="false">Resumo!$B$10*CEILING(I868/100,1)</f>
        <v>4.5</v>
      </c>
      <c r="AC868" s="39" t="n">
        <f aca="false">Resumo!$B$12*CEILING(I868,1)</f>
        <v>2.7</v>
      </c>
      <c r="AD868" s="39" t="n">
        <f aca="false">Resumo!$B$14*CEILING(I868,1)</f>
        <v>20.25</v>
      </c>
      <c r="AE868" s="39" t="n">
        <f aca="false">SUM(X868:AD868)</f>
        <v>124.01426</v>
      </c>
      <c r="AF868" s="39" t="n">
        <f aca="false">AE868/(1-Resumo!$B$5)</f>
        <v>140.925295454545</v>
      </c>
      <c r="AG868" s="39" t="n">
        <f aca="false">AF868-W868</f>
        <v>24.5139727272727</v>
      </c>
      <c r="AH868" s="40" t="n">
        <f aca="false">AF868/W868-1</f>
        <v>0.210580656184999</v>
      </c>
      <c r="AI868" s="37" t="str">
        <f aca="false">IF(AF868&lt;W868,"SIM","NÃO")</f>
        <v>NÃO</v>
      </c>
      <c r="AJ868" s="37" t="n">
        <v>2</v>
      </c>
      <c r="AK868" s="37" t="n">
        <v>5</v>
      </c>
      <c r="AL868" s="37" t="s">
        <v>343</v>
      </c>
      <c r="AM868" s="39" t="n">
        <v>116.62</v>
      </c>
    </row>
    <row r="869" customFormat="false" ht="15" hidden="false" customHeight="false" outlineLevel="0" collapsed="false">
      <c r="A869" s="37" t="n">
        <v>374566868</v>
      </c>
      <c r="B869" s="38" t="n">
        <v>46245.5879282407</v>
      </c>
      <c r="C869" s="37" t="s">
        <v>372</v>
      </c>
      <c r="D869" s="37" t="s">
        <v>1177</v>
      </c>
      <c r="E869" s="37" t="n">
        <v>28998320</v>
      </c>
      <c r="F869" s="37" t="s">
        <v>295</v>
      </c>
      <c r="G869" s="37" t="s">
        <v>198</v>
      </c>
      <c r="H869" s="37" t="s">
        <v>195</v>
      </c>
      <c r="I869" s="37" t="n">
        <v>224</v>
      </c>
      <c r="J869" s="39" t="n">
        <v>4959.9</v>
      </c>
      <c r="K869" s="37" t="s">
        <v>518</v>
      </c>
      <c r="L869" s="39" t="n">
        <v>401.39</v>
      </c>
      <c r="M869" s="39" t="n">
        <v>214.88</v>
      </c>
      <c r="N869" s="39" t="n">
        <f aca="false">J869*Resumo!$C$6</f>
        <v>0</v>
      </c>
      <c r="O869" s="39" t="n">
        <f aca="false">J869*Resumo!$C$7</f>
        <v>10.41579</v>
      </c>
      <c r="P869" s="39" t="n">
        <f aca="false">J869*Resumo!$C$8</f>
        <v>10.41579</v>
      </c>
      <c r="Q869" s="39" t="n">
        <f aca="false">Resumo!$C$10*CEILING(I869/100,1)</f>
        <v>3.15</v>
      </c>
      <c r="R869" s="39" t="n">
        <f aca="false">Resumo!$C$9</f>
        <v>0</v>
      </c>
      <c r="S869" s="39" t="n">
        <f aca="false">Resumo!$C$13</f>
        <v>13.55</v>
      </c>
      <c r="T869" s="39" t="n">
        <f aca="false">Resumo!$C$14*CEILING(I869,1)</f>
        <v>100.8</v>
      </c>
      <c r="U869" s="39" t="n">
        <f aca="false">SUM(M869:T869)*Resumo!$C$11</f>
        <v>0</v>
      </c>
      <c r="V869" s="39" t="n">
        <f aca="false">SUM(M869:U869)</f>
        <v>353.21158</v>
      </c>
      <c r="W869" s="39" t="n">
        <f aca="false">V869/(1-Resumo!$C$5)</f>
        <v>401.376795454545</v>
      </c>
      <c r="X869" s="39" t="n">
        <v>441.4</v>
      </c>
      <c r="Y869" s="39" t="n">
        <f aca="false">J869*Resumo!$B$6</f>
        <v>4.9599</v>
      </c>
      <c r="Z869" s="39" t="n">
        <f aca="false">J869*Resumo!$B$7</f>
        <v>9.9198</v>
      </c>
      <c r="AA869" s="39" t="n">
        <f aca="false">Resumo!$B$9</f>
        <v>1</v>
      </c>
      <c r="AB869" s="39" t="n">
        <f aca="false">Resumo!$B$10*CEILING(I869/100,1)</f>
        <v>13.5</v>
      </c>
      <c r="AC869" s="39" t="n">
        <f aca="false">Resumo!$B$12*CEILING(I869,1)</f>
        <v>13.44</v>
      </c>
      <c r="AD869" s="39" t="n">
        <f aca="false">Resumo!$B$14*CEILING(I869,1)</f>
        <v>100.8</v>
      </c>
      <c r="AE869" s="39" t="n">
        <f aca="false">SUM(X869:AD869)</f>
        <v>585.0197</v>
      </c>
      <c r="AF869" s="39" t="n">
        <f aca="false">AE869/(1-Resumo!$B$5)</f>
        <v>664.795113636364</v>
      </c>
      <c r="AG869" s="39" t="n">
        <f aca="false">AF869-W869</f>
        <v>263.418318181818</v>
      </c>
      <c r="AH869" s="40" t="n">
        <f aca="false">AF869/W869-1</f>
        <v>0.656286863528087</v>
      </c>
      <c r="AI869" s="37" t="str">
        <f aca="false">IF(AF869&lt;W869,"SIM","NÃO")</f>
        <v>NÃO</v>
      </c>
      <c r="AJ869" s="37" t="n">
        <v>13</v>
      </c>
      <c r="AK869" s="37" t="n">
        <v>10</v>
      </c>
      <c r="AL869" s="37" t="s">
        <v>347</v>
      </c>
      <c r="AM869" s="39" t="n">
        <v>406.88</v>
      </c>
    </row>
    <row r="870" customFormat="false" ht="15" hidden="false" customHeight="false" outlineLevel="0" collapsed="false">
      <c r="A870" s="37" t="n">
        <v>374689862</v>
      </c>
      <c r="B870" s="38" t="n">
        <v>46245.5937962963</v>
      </c>
      <c r="C870" s="37" t="s">
        <v>340</v>
      </c>
      <c r="D870" s="37" t="s">
        <v>1178</v>
      </c>
      <c r="E870" s="37" t="n">
        <v>21215395</v>
      </c>
      <c r="F870" s="37" t="s">
        <v>159</v>
      </c>
      <c r="G870" s="37" t="s">
        <v>196</v>
      </c>
      <c r="H870" s="37" t="s">
        <v>184</v>
      </c>
      <c r="I870" s="37" t="n">
        <v>27.4</v>
      </c>
      <c r="J870" s="39" t="n">
        <v>315.99</v>
      </c>
      <c r="K870" s="37" t="s">
        <v>342</v>
      </c>
      <c r="L870" s="39" t="n">
        <v>81.83</v>
      </c>
      <c r="M870" s="39" t="n">
        <v>42.11</v>
      </c>
      <c r="N870" s="39" t="n">
        <f aca="false">J870*Resumo!$C$6</f>
        <v>0</v>
      </c>
      <c r="O870" s="39" t="n">
        <f aca="false">J870*Resumo!$C$7</f>
        <v>0.663579</v>
      </c>
      <c r="P870" s="39" t="n">
        <f aca="false">J870*Resumo!$C$8</f>
        <v>0.663579</v>
      </c>
      <c r="Q870" s="39" t="n">
        <f aca="false">Resumo!$C$10*CEILING(I870/100,1)</f>
        <v>1.05</v>
      </c>
      <c r="R870" s="39" t="n">
        <f aca="false">Resumo!$C$9</f>
        <v>0</v>
      </c>
      <c r="S870" s="39" t="n">
        <f aca="false">Resumo!$C$13</f>
        <v>13.55</v>
      </c>
      <c r="T870" s="39" t="n">
        <f aca="false">Resumo!$C$14*CEILING(I870,1)</f>
        <v>12.6</v>
      </c>
      <c r="U870" s="39" t="n">
        <f aca="false">SUM(M870:T870)*Resumo!$C$11</f>
        <v>0</v>
      </c>
      <c r="V870" s="39" t="n">
        <f aca="false">SUM(M870:U870)</f>
        <v>70.637158</v>
      </c>
      <c r="W870" s="39" t="n">
        <f aca="false">V870/(1-Resumo!$C$5)</f>
        <v>80.2694977272727</v>
      </c>
      <c r="X870" s="39" t="n">
        <v>82.21</v>
      </c>
      <c r="Y870" s="39" t="n">
        <f aca="false">J870*Resumo!$B$6</f>
        <v>0.31599</v>
      </c>
      <c r="Z870" s="39" t="n">
        <f aca="false">J870*Resumo!$B$7</f>
        <v>0.63198</v>
      </c>
      <c r="AA870" s="39" t="n">
        <f aca="false">Resumo!$B$9</f>
        <v>1</v>
      </c>
      <c r="AB870" s="39" t="n">
        <f aca="false">Resumo!$B$10*CEILING(I870/100,1)</f>
        <v>4.5</v>
      </c>
      <c r="AC870" s="39" t="n">
        <f aca="false">Resumo!$B$12*CEILING(I870,1)</f>
        <v>1.68</v>
      </c>
      <c r="AD870" s="39" t="n">
        <f aca="false">Resumo!$B$14*CEILING(I870,1)</f>
        <v>12.6</v>
      </c>
      <c r="AE870" s="39" t="n">
        <f aca="false">SUM(X870:AD870)</f>
        <v>102.93797</v>
      </c>
      <c r="AF870" s="39" t="n">
        <f aca="false">AE870/(1-Resumo!$B$5)</f>
        <v>116.974965909091</v>
      </c>
      <c r="AG870" s="39" t="n">
        <f aca="false">AF870-W870</f>
        <v>36.7054681818182</v>
      </c>
      <c r="AH870" s="40" t="n">
        <f aca="false">AF870/W870-1</f>
        <v>0.457277910303243</v>
      </c>
      <c r="AI870" s="37" t="str">
        <f aca="false">IF(AF870&lt;W870,"SIM","NÃO")</f>
        <v>NÃO</v>
      </c>
      <c r="AJ870" s="37" t="n">
        <v>2</v>
      </c>
      <c r="AK870" s="37" t="n">
        <v>5</v>
      </c>
      <c r="AL870" s="37" t="s">
        <v>343</v>
      </c>
      <c r="AM870" s="39" t="n">
        <v>81.84</v>
      </c>
    </row>
    <row r="871" customFormat="false" ht="15" hidden="false" customHeight="false" outlineLevel="0" collapsed="false">
      <c r="A871" s="37" t="n">
        <v>374695526</v>
      </c>
      <c r="B871" s="38" t="n">
        <v>46245.6079513889</v>
      </c>
      <c r="C871" s="37" t="s">
        <v>1179</v>
      </c>
      <c r="D871" s="37" t="s">
        <v>1180</v>
      </c>
      <c r="E871" s="37" t="n">
        <v>27516240</v>
      </c>
      <c r="F871" s="37" t="s">
        <v>250</v>
      </c>
      <c r="G871" s="37" t="s">
        <v>198</v>
      </c>
      <c r="H871" s="37" t="s">
        <v>184</v>
      </c>
      <c r="I871" s="37" t="n">
        <v>35</v>
      </c>
      <c r="J871" s="39" t="n">
        <v>499.99</v>
      </c>
      <c r="K871" s="37" t="s">
        <v>518</v>
      </c>
      <c r="L871" s="39" t="n">
        <v>111.45</v>
      </c>
      <c r="M871" s="39" t="n">
        <v>65.63</v>
      </c>
      <c r="N871" s="39" t="n">
        <f aca="false">J871*Resumo!$C$6</f>
        <v>0</v>
      </c>
      <c r="O871" s="39" t="n">
        <f aca="false">J871*Resumo!$C$7</f>
        <v>1.049979</v>
      </c>
      <c r="P871" s="39" t="n">
        <f aca="false">J871*Resumo!$C$8</f>
        <v>1.049979</v>
      </c>
      <c r="Q871" s="39" t="n">
        <f aca="false">Resumo!$C$10*CEILING(I871/100,1)</f>
        <v>1.05</v>
      </c>
      <c r="R871" s="39" t="n">
        <f aca="false">Resumo!$C$9</f>
        <v>0</v>
      </c>
      <c r="S871" s="39" t="n">
        <f aca="false">Resumo!$C$13</f>
        <v>13.55</v>
      </c>
      <c r="T871" s="39" t="n">
        <f aca="false">Resumo!$C$14*CEILING(I871,1)</f>
        <v>15.75</v>
      </c>
      <c r="U871" s="39" t="n">
        <f aca="false">SUM(M871:T871)*Resumo!$C$11</f>
        <v>0</v>
      </c>
      <c r="V871" s="39" t="n">
        <f aca="false">SUM(M871:U871)</f>
        <v>98.079958</v>
      </c>
      <c r="W871" s="39" t="n">
        <f aca="false">V871/(1-Resumo!$C$5)</f>
        <v>111.454497727273</v>
      </c>
      <c r="X871" s="39" t="n">
        <v>108.83</v>
      </c>
      <c r="Y871" s="39" t="n">
        <f aca="false">J871*Resumo!$B$6</f>
        <v>0.49999</v>
      </c>
      <c r="Z871" s="39" t="n">
        <f aca="false">J871*Resumo!$B$7</f>
        <v>0.99998</v>
      </c>
      <c r="AA871" s="39" t="n">
        <f aca="false">Resumo!$B$9</f>
        <v>1</v>
      </c>
      <c r="AB871" s="39" t="n">
        <f aca="false">Resumo!$B$10*CEILING(I871/100,1)</f>
        <v>4.5</v>
      </c>
      <c r="AC871" s="39" t="n">
        <f aca="false">Resumo!$B$12*CEILING(I871,1)</f>
        <v>2.1</v>
      </c>
      <c r="AD871" s="39" t="n">
        <f aca="false">Resumo!$B$14*CEILING(I871,1)</f>
        <v>15.75</v>
      </c>
      <c r="AE871" s="39" t="n">
        <f aca="false">SUM(X871:AD871)</f>
        <v>133.67997</v>
      </c>
      <c r="AF871" s="39" t="n">
        <f aca="false">AE871/(1-Resumo!$B$5)</f>
        <v>151.909056818182</v>
      </c>
      <c r="AG871" s="39" t="n">
        <f aca="false">AF871-W871</f>
        <v>40.4545590909091</v>
      </c>
      <c r="AH871" s="40" t="n">
        <f aca="false">AF871/W871-1</f>
        <v>0.362969282674448</v>
      </c>
      <c r="AI871" s="37" t="str">
        <f aca="false">IF(AF871&lt;W871,"SIM","NÃO")</f>
        <v>NÃO</v>
      </c>
      <c r="AJ871" s="37" t="n">
        <v>13</v>
      </c>
      <c r="AK871" s="37" t="n">
        <v>10</v>
      </c>
      <c r="AL871" s="37" t="s">
        <v>347</v>
      </c>
      <c r="AM871" s="39" t="n">
        <v>109.58</v>
      </c>
    </row>
    <row r="872" customFormat="false" ht="15" hidden="false" customHeight="false" outlineLevel="0" collapsed="false">
      <c r="A872" s="37" t="n">
        <v>374708676</v>
      </c>
      <c r="B872" s="38" t="n">
        <v>46245.637337963</v>
      </c>
      <c r="C872" s="37" t="s">
        <v>340</v>
      </c>
      <c r="D872" s="37" t="s">
        <v>1181</v>
      </c>
      <c r="E872" s="37" t="n">
        <v>22793400</v>
      </c>
      <c r="F872" s="37" t="s">
        <v>159</v>
      </c>
      <c r="G872" s="37" t="s">
        <v>196</v>
      </c>
      <c r="H872" s="37" t="s">
        <v>187</v>
      </c>
      <c r="I872" s="37" t="n">
        <v>52.3</v>
      </c>
      <c r="J872" s="39" t="n">
        <v>616.99</v>
      </c>
      <c r="K872" s="37" t="s">
        <v>342</v>
      </c>
      <c r="L872" s="39" t="n">
        <v>114.09</v>
      </c>
      <c r="M872" s="39" t="n">
        <v>58.6</v>
      </c>
      <c r="N872" s="39" t="n">
        <f aca="false">J872*Resumo!$C$6</f>
        <v>0</v>
      </c>
      <c r="O872" s="39" t="n">
        <f aca="false">J872*Resumo!$C$7</f>
        <v>1.295679</v>
      </c>
      <c r="P872" s="39" t="n">
        <f aca="false">J872*Resumo!$C$8</f>
        <v>1.295679</v>
      </c>
      <c r="Q872" s="39" t="n">
        <f aca="false">Resumo!$C$10*CEILING(I872/100,1)</f>
        <v>1.05</v>
      </c>
      <c r="R872" s="39" t="n">
        <f aca="false">Resumo!$C$9</f>
        <v>0</v>
      </c>
      <c r="S872" s="39" t="n">
        <f aca="false">Resumo!$C$13</f>
        <v>13.55</v>
      </c>
      <c r="T872" s="39" t="n">
        <f aca="false">Resumo!$C$14*CEILING(I872,1)</f>
        <v>23.85</v>
      </c>
      <c r="U872" s="39" t="n">
        <f aca="false">SUM(M872:T872)*Resumo!$C$11</f>
        <v>0</v>
      </c>
      <c r="V872" s="39" t="n">
        <f aca="false">SUM(M872:U872)</f>
        <v>99.641358</v>
      </c>
      <c r="W872" s="39" t="n">
        <f aca="false">V872/(1-Resumo!$C$5)</f>
        <v>113.228815909091</v>
      </c>
      <c r="X872" s="39" t="n">
        <v>112.3</v>
      </c>
      <c r="Y872" s="39" t="n">
        <f aca="false">J872*Resumo!$B$6</f>
        <v>0.61699</v>
      </c>
      <c r="Z872" s="39" t="n">
        <f aca="false">J872*Resumo!$B$7</f>
        <v>1.23398</v>
      </c>
      <c r="AA872" s="39" t="n">
        <f aca="false">Resumo!$B$9</f>
        <v>1</v>
      </c>
      <c r="AB872" s="39" t="n">
        <f aca="false">Resumo!$B$10*CEILING(I872/100,1)</f>
        <v>4.5</v>
      </c>
      <c r="AC872" s="39" t="n">
        <f aca="false">Resumo!$B$12*CEILING(I872,1)</f>
        <v>3.18</v>
      </c>
      <c r="AD872" s="39" t="n">
        <f aca="false">Resumo!$B$14*CEILING(I872,1)</f>
        <v>23.85</v>
      </c>
      <c r="AE872" s="39" t="n">
        <f aca="false">SUM(X872:AD872)</f>
        <v>146.68097</v>
      </c>
      <c r="AF872" s="39" t="n">
        <f aca="false">AE872/(1-Resumo!$B$5)</f>
        <v>166.682920454545</v>
      </c>
      <c r="AG872" s="39" t="n">
        <f aca="false">AF872-W872</f>
        <v>53.4541045454546</v>
      </c>
      <c r="AH872" s="40" t="n">
        <f aca="false">AF872/W872-1</f>
        <v>0.472089230257179</v>
      </c>
      <c r="AI872" s="37" t="str">
        <f aca="false">IF(AF872&lt;W872,"SIM","NÃO")</f>
        <v>NÃO</v>
      </c>
      <c r="AJ872" s="37" t="n">
        <v>2</v>
      </c>
      <c r="AK872" s="37" t="n">
        <v>5</v>
      </c>
      <c r="AL872" s="37" t="s">
        <v>343</v>
      </c>
      <c r="AM872" s="39" t="n">
        <v>114.11</v>
      </c>
    </row>
    <row r="873" customFormat="false" ht="15" hidden="false" customHeight="false" outlineLevel="0" collapsed="false">
      <c r="A873" s="37" t="n">
        <v>374711837</v>
      </c>
      <c r="B873" s="38" t="n">
        <v>46245.6432060185</v>
      </c>
      <c r="C873" s="37" t="s">
        <v>345</v>
      </c>
      <c r="D873" s="37" t="s">
        <v>1182</v>
      </c>
      <c r="E873" s="37" t="n">
        <v>23575093</v>
      </c>
      <c r="F873" s="37" t="s">
        <v>159</v>
      </c>
      <c r="G873" s="37" t="s">
        <v>196</v>
      </c>
      <c r="H873" s="37" t="s">
        <v>185</v>
      </c>
      <c r="I873" s="37" t="n">
        <v>37.58</v>
      </c>
      <c r="J873" s="39" t="n">
        <v>427.92</v>
      </c>
      <c r="K873" s="37" t="s">
        <v>518</v>
      </c>
      <c r="L873" s="39" t="n">
        <v>93.01</v>
      </c>
      <c r="M873" s="39" t="n">
        <v>48.35</v>
      </c>
      <c r="N873" s="39" t="n">
        <f aca="false">J873*Resumo!$C$6</f>
        <v>0</v>
      </c>
      <c r="O873" s="39" t="n">
        <f aca="false">J873*Resumo!$C$7</f>
        <v>0.898632</v>
      </c>
      <c r="P873" s="39" t="n">
        <f aca="false">J873*Resumo!$C$8</f>
        <v>0.898632</v>
      </c>
      <c r="Q873" s="39" t="n">
        <f aca="false">Resumo!$C$10*CEILING(I873/100,1)</f>
        <v>1.05</v>
      </c>
      <c r="R873" s="39" t="n">
        <f aca="false">Resumo!$C$9</f>
        <v>0</v>
      </c>
      <c r="S873" s="39" t="n">
        <f aca="false">Resumo!$C$13</f>
        <v>13.55</v>
      </c>
      <c r="T873" s="39" t="n">
        <f aca="false">Resumo!$C$14*CEILING(I873,1)</f>
        <v>17.1</v>
      </c>
      <c r="U873" s="39" t="n">
        <f aca="false">SUM(M873:T873)*Resumo!$C$11</f>
        <v>0</v>
      </c>
      <c r="V873" s="39" t="n">
        <f aca="false">SUM(M873:U873)</f>
        <v>81.847264</v>
      </c>
      <c r="W873" s="39" t="n">
        <f aca="false">V873/(1-Resumo!$C$5)</f>
        <v>93.0082545454545</v>
      </c>
      <c r="X873" s="39" t="n">
        <v>93.97</v>
      </c>
      <c r="Y873" s="39" t="n">
        <f aca="false">J873*Resumo!$B$6</f>
        <v>0.42792</v>
      </c>
      <c r="Z873" s="39" t="n">
        <f aca="false">J873*Resumo!$B$7</f>
        <v>0.85584</v>
      </c>
      <c r="AA873" s="39" t="n">
        <f aca="false">Resumo!$B$9</f>
        <v>1</v>
      </c>
      <c r="AB873" s="39" t="n">
        <f aca="false">Resumo!$B$10*CEILING(I873/100,1)</f>
        <v>4.5</v>
      </c>
      <c r="AC873" s="39" t="n">
        <f aca="false">Resumo!$B$12*CEILING(I873,1)</f>
        <v>2.28</v>
      </c>
      <c r="AD873" s="39" t="n">
        <f aca="false">Resumo!$B$14*CEILING(I873,1)</f>
        <v>17.1</v>
      </c>
      <c r="AE873" s="39" t="n">
        <f aca="false">SUM(X873:AD873)</f>
        <v>120.13376</v>
      </c>
      <c r="AF873" s="39" t="n">
        <f aca="false">AE873/(1-Resumo!$B$5)</f>
        <v>136.515636363636</v>
      </c>
      <c r="AG873" s="39" t="n">
        <f aca="false">AF873-W873</f>
        <v>43.5073818181818</v>
      </c>
      <c r="AH873" s="40" t="n">
        <f aca="false">AF873/W873-1</f>
        <v>0.467779790415475</v>
      </c>
      <c r="AI873" s="37" t="str">
        <f aca="false">IF(AF873&lt;W873,"SIM","NÃO")</f>
        <v>NÃO</v>
      </c>
      <c r="AJ873" s="37" t="n">
        <v>2</v>
      </c>
      <c r="AK873" s="37" t="n">
        <v>5</v>
      </c>
      <c r="AL873" s="37" t="s">
        <v>343</v>
      </c>
      <c r="AM873" s="39" t="n">
        <v>91.91</v>
      </c>
    </row>
    <row r="874" customFormat="false" ht="15" hidden="false" customHeight="false" outlineLevel="0" collapsed="false">
      <c r="A874" s="37" t="n">
        <v>374715378</v>
      </c>
      <c r="B874" s="38" t="n">
        <v>46245.6574189815</v>
      </c>
      <c r="C874" s="37" t="s">
        <v>361</v>
      </c>
      <c r="D874" s="37" t="s">
        <v>1183</v>
      </c>
      <c r="E874" s="37" t="n">
        <v>21830005</v>
      </c>
      <c r="F874" s="37" t="s">
        <v>159</v>
      </c>
      <c r="G874" s="37" t="s">
        <v>196</v>
      </c>
      <c r="H874" s="37" t="s">
        <v>186</v>
      </c>
      <c r="I874" s="37" t="n">
        <v>41.69</v>
      </c>
      <c r="J874" s="39" t="n">
        <v>659.99</v>
      </c>
      <c r="K874" s="37" t="s">
        <v>342</v>
      </c>
      <c r="L874" s="39" t="n">
        <v>103.75</v>
      </c>
      <c r="M874" s="39" t="n">
        <v>53.55</v>
      </c>
      <c r="N874" s="39" t="n">
        <f aca="false">J874*Resumo!$C$6</f>
        <v>0</v>
      </c>
      <c r="O874" s="39" t="n">
        <f aca="false">J874*Resumo!$C$7</f>
        <v>1.385979</v>
      </c>
      <c r="P874" s="39" t="n">
        <f aca="false">J874*Resumo!$C$8</f>
        <v>1.385979</v>
      </c>
      <c r="Q874" s="39" t="n">
        <f aca="false">Resumo!$C$10*CEILING(I874/100,1)</f>
        <v>1.05</v>
      </c>
      <c r="R874" s="39" t="n">
        <f aca="false">Resumo!$C$9</f>
        <v>0</v>
      </c>
      <c r="S874" s="39" t="n">
        <f aca="false">Resumo!$C$13</f>
        <v>13.55</v>
      </c>
      <c r="T874" s="39" t="n">
        <f aca="false">Resumo!$C$14*CEILING(I874,1)</f>
        <v>18.9</v>
      </c>
      <c r="U874" s="39" t="n">
        <f aca="false">SUM(M874:T874)*Resumo!$C$11</f>
        <v>0</v>
      </c>
      <c r="V874" s="39" t="n">
        <f aca="false">SUM(M874:U874)</f>
        <v>89.821958</v>
      </c>
      <c r="W874" s="39" t="n">
        <f aca="false">V874/(1-Resumo!$C$5)</f>
        <v>102.070406818182</v>
      </c>
      <c r="X874" s="39" t="n">
        <v>93.97</v>
      </c>
      <c r="Y874" s="39" t="n">
        <f aca="false">J874*Resumo!$B$6</f>
        <v>0.65999</v>
      </c>
      <c r="Z874" s="39" t="n">
        <f aca="false">J874*Resumo!$B$7</f>
        <v>1.31998</v>
      </c>
      <c r="AA874" s="39" t="n">
        <f aca="false">Resumo!$B$9</f>
        <v>1</v>
      </c>
      <c r="AB874" s="39" t="n">
        <f aca="false">Resumo!$B$10*CEILING(I874/100,1)</f>
        <v>4.5</v>
      </c>
      <c r="AC874" s="39" t="n">
        <f aca="false">Resumo!$B$12*CEILING(I874,1)</f>
        <v>2.52</v>
      </c>
      <c r="AD874" s="39" t="n">
        <f aca="false">Resumo!$B$14*CEILING(I874,1)</f>
        <v>18.9</v>
      </c>
      <c r="AE874" s="39" t="n">
        <f aca="false">SUM(X874:AD874)</f>
        <v>122.86997</v>
      </c>
      <c r="AF874" s="39" t="n">
        <f aca="false">AE874/(1-Resumo!$B$5)</f>
        <v>139.624965909091</v>
      </c>
      <c r="AG874" s="39" t="n">
        <f aca="false">AF874-W874</f>
        <v>37.5545590909091</v>
      </c>
      <c r="AH874" s="40" t="n">
        <f aca="false">AF874/W874-1</f>
        <v>0.36792798482527</v>
      </c>
      <c r="AI874" s="37" t="str">
        <f aca="false">IF(AF874&lt;W874,"SIM","NÃO")</f>
        <v>NÃO</v>
      </c>
      <c r="AJ874" s="37" t="n">
        <v>2</v>
      </c>
      <c r="AK874" s="37" t="n">
        <v>5</v>
      </c>
      <c r="AL874" s="37" t="s">
        <v>343</v>
      </c>
      <c r="AM874" s="39" t="n">
        <v>103.75</v>
      </c>
    </row>
    <row r="875" customFormat="false" ht="15" hidden="false" customHeight="false" outlineLevel="0" collapsed="false">
      <c r="A875" s="37" t="n">
        <v>374728048</v>
      </c>
      <c r="B875" s="38" t="n">
        <v>46245.6720023148</v>
      </c>
      <c r="C875" s="37" t="s">
        <v>345</v>
      </c>
      <c r="D875" s="37" t="s">
        <v>1184</v>
      </c>
      <c r="E875" s="37" t="n">
        <v>25565370</v>
      </c>
      <c r="F875" s="37" t="s">
        <v>167</v>
      </c>
      <c r="G875" s="37" t="s">
        <v>197</v>
      </c>
      <c r="H875" s="37" t="s">
        <v>192</v>
      </c>
      <c r="I875" s="37" t="n">
        <v>124.2</v>
      </c>
      <c r="J875" s="39" t="n">
        <v>1649.99</v>
      </c>
      <c r="K875" s="37" t="s">
        <v>518</v>
      </c>
      <c r="L875" s="39" t="n">
        <v>236.86</v>
      </c>
      <c r="M875" s="39" t="n">
        <v>129.62</v>
      </c>
      <c r="N875" s="39" t="n">
        <f aca="false">J875*Resumo!$C$6</f>
        <v>0</v>
      </c>
      <c r="O875" s="39" t="n">
        <f aca="false">J875*Resumo!$C$7</f>
        <v>3.464979</v>
      </c>
      <c r="P875" s="39" t="n">
        <f aca="false">J875*Resumo!$C$8</f>
        <v>3.464979</v>
      </c>
      <c r="Q875" s="39" t="n">
        <f aca="false">Resumo!$C$10*CEILING(I875/100,1)</f>
        <v>2.1</v>
      </c>
      <c r="R875" s="39" t="n">
        <f aca="false">Resumo!$C$9</f>
        <v>0</v>
      </c>
      <c r="S875" s="39" t="n">
        <f aca="false">Resumo!$C$13</f>
        <v>13.55</v>
      </c>
      <c r="T875" s="39" t="n">
        <f aca="false">Resumo!$C$14*CEILING(I875,1)</f>
        <v>56.25</v>
      </c>
      <c r="U875" s="39" t="n">
        <f aca="false">SUM(M875:T875)*Resumo!$C$11</f>
        <v>0</v>
      </c>
      <c r="V875" s="39" t="n">
        <f aca="false">SUM(M875:U875)</f>
        <v>208.449958</v>
      </c>
      <c r="W875" s="39" t="n">
        <f aca="false">V875/(1-Resumo!$C$5)</f>
        <v>236.874952272727</v>
      </c>
      <c r="X875" s="39" t="n">
        <v>239.25</v>
      </c>
      <c r="Y875" s="39" t="n">
        <f aca="false">J875*Resumo!$B$6</f>
        <v>1.64999</v>
      </c>
      <c r="Z875" s="39" t="n">
        <f aca="false">J875*Resumo!$B$7</f>
        <v>3.29998</v>
      </c>
      <c r="AA875" s="39" t="n">
        <f aca="false">Resumo!$B$9</f>
        <v>1</v>
      </c>
      <c r="AB875" s="39" t="n">
        <f aca="false">Resumo!$B$10*CEILING(I875/100,1)</f>
        <v>9</v>
      </c>
      <c r="AC875" s="39" t="n">
        <f aca="false">Resumo!$B$12*CEILING(I875,1)</f>
        <v>7.5</v>
      </c>
      <c r="AD875" s="39" t="n">
        <f aca="false">Resumo!$B$14*CEILING(I875,1)</f>
        <v>56.25</v>
      </c>
      <c r="AE875" s="39" t="n">
        <f aca="false">SUM(X875:AD875)</f>
        <v>317.94997</v>
      </c>
      <c r="AF875" s="39" t="n">
        <f aca="false">AE875/(1-Resumo!$B$5)</f>
        <v>361.306784090909</v>
      </c>
      <c r="AG875" s="39" t="n">
        <f aca="false">AF875-W875</f>
        <v>124.431831818182</v>
      </c>
      <c r="AH875" s="40" t="n">
        <f aca="false">AF875/W875-1</f>
        <v>0.525305992146086</v>
      </c>
      <c r="AI875" s="37" t="str">
        <f aca="false">IF(AF875&lt;W875,"SIM","NÃO")</f>
        <v>NÃO</v>
      </c>
      <c r="AJ875" s="37" t="n">
        <v>2</v>
      </c>
      <c r="AK875" s="37" t="n">
        <v>5</v>
      </c>
      <c r="AL875" s="37" t="s">
        <v>343</v>
      </c>
      <c r="AM875" s="39" t="n">
        <v>244.51</v>
      </c>
    </row>
    <row r="876" customFormat="false" ht="15" hidden="false" customHeight="false" outlineLevel="0" collapsed="false">
      <c r="A876" s="37" t="n">
        <v>374731766</v>
      </c>
      <c r="B876" s="38" t="n">
        <v>46245.6788078704</v>
      </c>
      <c r="C876" s="37" t="s">
        <v>340</v>
      </c>
      <c r="D876" s="37" t="s">
        <v>1185</v>
      </c>
      <c r="E876" s="37" t="n">
        <v>25943377</v>
      </c>
      <c r="F876" s="37" t="s">
        <v>234</v>
      </c>
      <c r="G876" s="37" t="s">
        <v>198</v>
      </c>
      <c r="H876" s="37" t="s">
        <v>184</v>
      </c>
      <c r="I876" s="37" t="n">
        <v>31.9</v>
      </c>
      <c r="J876" s="39" t="n">
        <v>578.18</v>
      </c>
      <c r="K876" s="37" t="s">
        <v>518</v>
      </c>
      <c r="L876" s="39" t="n">
        <v>110.28</v>
      </c>
      <c r="M876" s="39" t="n">
        <v>65.63</v>
      </c>
      <c r="N876" s="39" t="n">
        <f aca="false">J876*Resumo!$C$6</f>
        <v>0</v>
      </c>
      <c r="O876" s="39" t="n">
        <f aca="false">J876*Resumo!$C$7</f>
        <v>1.214178</v>
      </c>
      <c r="P876" s="39" t="n">
        <f aca="false">J876*Resumo!$C$8</f>
        <v>1.214178</v>
      </c>
      <c r="Q876" s="39" t="n">
        <f aca="false">Resumo!$C$10*CEILING(I876/100,1)</f>
        <v>1.05</v>
      </c>
      <c r="R876" s="39" t="n">
        <f aca="false">Resumo!$C$9</f>
        <v>0</v>
      </c>
      <c r="S876" s="39" t="n">
        <f aca="false">Resumo!$C$13</f>
        <v>13.55</v>
      </c>
      <c r="T876" s="39" t="n">
        <f aca="false">Resumo!$C$14*CEILING(I876,1)</f>
        <v>14.4</v>
      </c>
      <c r="U876" s="39" t="n">
        <f aca="false">SUM(M876:T876)*Resumo!$C$11</f>
        <v>0</v>
      </c>
      <c r="V876" s="39" t="n">
        <f aca="false">SUM(M876:U876)</f>
        <v>97.058356</v>
      </c>
      <c r="W876" s="39" t="n">
        <f aca="false">V876/(1-Resumo!$C$5)</f>
        <v>110.293586363636</v>
      </c>
      <c r="X876" s="39" t="n">
        <v>103.28</v>
      </c>
      <c r="Y876" s="39" t="n">
        <f aca="false">J876*Resumo!$B$6</f>
        <v>0.57818</v>
      </c>
      <c r="Z876" s="39" t="n">
        <f aca="false">J876*Resumo!$B$7</f>
        <v>1.15636</v>
      </c>
      <c r="AA876" s="39" t="n">
        <f aca="false">Resumo!$B$9</f>
        <v>1</v>
      </c>
      <c r="AB876" s="39" t="n">
        <f aca="false">Resumo!$B$10*CEILING(I876/100,1)</f>
        <v>4.5</v>
      </c>
      <c r="AC876" s="39" t="n">
        <f aca="false">Resumo!$B$12*CEILING(I876,1)</f>
        <v>1.92</v>
      </c>
      <c r="AD876" s="39" t="n">
        <f aca="false">Resumo!$B$14*CEILING(I876,1)</f>
        <v>14.4</v>
      </c>
      <c r="AE876" s="39" t="n">
        <f aca="false">SUM(X876:AD876)</f>
        <v>126.83454</v>
      </c>
      <c r="AF876" s="39" t="n">
        <f aca="false">AE876/(1-Resumo!$B$5)</f>
        <v>144.130159090909</v>
      </c>
      <c r="AG876" s="39" t="n">
        <f aca="false">AF876-W876</f>
        <v>33.8365727272727</v>
      </c>
      <c r="AH876" s="40" t="n">
        <f aca="false">AF876/W876-1</f>
        <v>0.306786403841417</v>
      </c>
      <c r="AI876" s="37" t="str">
        <f aca="false">IF(AF876&lt;W876,"SIM","NÃO")</f>
        <v>NÃO</v>
      </c>
      <c r="AJ876" s="37" t="n">
        <v>13</v>
      </c>
      <c r="AK876" s="37" t="n">
        <v>6</v>
      </c>
      <c r="AL876" s="37" t="s">
        <v>347</v>
      </c>
      <c r="AM876" s="39" t="n">
        <v>109.95</v>
      </c>
    </row>
    <row r="877" customFormat="false" ht="15" hidden="false" customHeight="false" outlineLevel="0" collapsed="false">
      <c r="A877" s="37" t="n">
        <v>374745578</v>
      </c>
      <c r="B877" s="38" t="n">
        <v>46245.7019097222</v>
      </c>
      <c r="C877" s="37" t="s">
        <v>340</v>
      </c>
      <c r="D877" s="37" t="s">
        <v>1186</v>
      </c>
      <c r="E877" s="37" t="n">
        <v>21043280</v>
      </c>
      <c r="F877" s="37" t="s">
        <v>159</v>
      </c>
      <c r="G877" s="37" t="s">
        <v>196</v>
      </c>
      <c r="H877" s="37" t="s">
        <v>186</v>
      </c>
      <c r="I877" s="37" t="n">
        <v>40.1</v>
      </c>
      <c r="J877" s="39" t="n">
        <v>549.99</v>
      </c>
      <c r="K877" s="37" t="s">
        <v>342</v>
      </c>
      <c r="L877" s="39" t="n">
        <v>103.23</v>
      </c>
      <c r="M877" s="39" t="n">
        <v>53.55</v>
      </c>
      <c r="N877" s="39" t="n">
        <f aca="false">J877*Resumo!$C$6</f>
        <v>0</v>
      </c>
      <c r="O877" s="39" t="n">
        <f aca="false">J877*Resumo!$C$7</f>
        <v>1.154979</v>
      </c>
      <c r="P877" s="39" t="n">
        <f aca="false">J877*Resumo!$C$8</f>
        <v>1.154979</v>
      </c>
      <c r="Q877" s="39" t="n">
        <f aca="false">Resumo!$C$10*CEILING(I877/100,1)</f>
        <v>1.05</v>
      </c>
      <c r="R877" s="39" t="n">
        <f aca="false">Resumo!$C$9</f>
        <v>0</v>
      </c>
      <c r="S877" s="39" t="n">
        <f aca="false">Resumo!$C$13</f>
        <v>13.55</v>
      </c>
      <c r="T877" s="39" t="n">
        <f aca="false">Resumo!$C$14*CEILING(I877,1)</f>
        <v>18.45</v>
      </c>
      <c r="U877" s="39" t="n">
        <f aca="false">SUM(M877:T877)*Resumo!$C$11</f>
        <v>0</v>
      </c>
      <c r="V877" s="39" t="n">
        <f aca="false">SUM(M877:U877)</f>
        <v>88.909958</v>
      </c>
      <c r="W877" s="39" t="n">
        <f aca="false">V877/(1-Resumo!$C$5)</f>
        <v>101.034043181818</v>
      </c>
      <c r="X877" s="39" t="n">
        <v>93.97</v>
      </c>
      <c r="Y877" s="39" t="n">
        <f aca="false">J877*Resumo!$B$6</f>
        <v>0.54999</v>
      </c>
      <c r="Z877" s="39" t="n">
        <f aca="false">J877*Resumo!$B$7</f>
        <v>1.09998</v>
      </c>
      <c r="AA877" s="39" t="n">
        <f aca="false">Resumo!$B$9</f>
        <v>1</v>
      </c>
      <c r="AB877" s="39" t="n">
        <f aca="false">Resumo!$B$10*CEILING(I877/100,1)</f>
        <v>4.5</v>
      </c>
      <c r="AC877" s="39" t="n">
        <f aca="false">Resumo!$B$12*CEILING(I877,1)</f>
        <v>2.46</v>
      </c>
      <c r="AD877" s="39" t="n">
        <f aca="false">Resumo!$B$14*CEILING(I877,1)</f>
        <v>18.45</v>
      </c>
      <c r="AE877" s="39" t="n">
        <f aca="false">SUM(X877:AD877)</f>
        <v>122.02997</v>
      </c>
      <c r="AF877" s="39" t="n">
        <f aca="false">AE877/(1-Resumo!$B$5)</f>
        <v>138.670420454545</v>
      </c>
      <c r="AG877" s="39" t="n">
        <f aca="false">AF877-W877</f>
        <v>37.6363772727273</v>
      </c>
      <c r="AH877" s="40" t="n">
        <f aca="false">AF877/W877-1</f>
        <v>0.372511839449975</v>
      </c>
      <c r="AI877" s="37" t="str">
        <f aca="false">IF(AF877&lt;W877,"SIM","NÃO")</f>
        <v>NÃO</v>
      </c>
      <c r="AJ877" s="37" t="n">
        <v>2</v>
      </c>
      <c r="AK877" s="37" t="n">
        <v>5</v>
      </c>
      <c r="AL877" s="37" t="s">
        <v>343</v>
      </c>
      <c r="AM877" s="39" t="n">
        <v>103.22</v>
      </c>
    </row>
    <row r="878" customFormat="false" ht="15" hidden="false" customHeight="false" outlineLevel="0" collapsed="false">
      <c r="A878" s="37" t="n">
        <v>374746941</v>
      </c>
      <c r="B878" s="38" t="n">
        <v>46245.7044675926</v>
      </c>
      <c r="C878" s="37" t="s">
        <v>345</v>
      </c>
      <c r="D878" s="37" t="s">
        <v>1187</v>
      </c>
      <c r="E878" s="37" t="n">
        <v>24430460</v>
      </c>
      <c r="F878" s="37" t="s">
        <v>160</v>
      </c>
      <c r="G878" s="37" t="s">
        <v>197</v>
      </c>
      <c r="H878" s="37" t="s">
        <v>188</v>
      </c>
      <c r="I878" s="37" t="n">
        <v>69</v>
      </c>
      <c r="J878" s="39" t="n">
        <v>782.21</v>
      </c>
      <c r="K878" s="37" t="s">
        <v>518</v>
      </c>
      <c r="L878" s="39" t="n">
        <v>142.59</v>
      </c>
      <c r="M878" s="39" t="n">
        <v>76.55</v>
      </c>
      <c r="N878" s="39" t="n">
        <f aca="false">J878*Resumo!$C$6</f>
        <v>0</v>
      </c>
      <c r="O878" s="39" t="n">
        <f aca="false">J878*Resumo!$C$7</f>
        <v>1.642641</v>
      </c>
      <c r="P878" s="39" t="n">
        <f aca="false">J878*Resumo!$C$8</f>
        <v>1.642641</v>
      </c>
      <c r="Q878" s="39" t="n">
        <f aca="false">Resumo!$C$10*CEILING(I878/100,1)</f>
        <v>1.05</v>
      </c>
      <c r="R878" s="39" t="n">
        <f aca="false">Resumo!$C$9</f>
        <v>0</v>
      </c>
      <c r="S878" s="39" t="n">
        <f aca="false">Resumo!$C$13</f>
        <v>13.55</v>
      </c>
      <c r="T878" s="39" t="n">
        <f aca="false">Resumo!$C$14*CEILING(I878,1)</f>
        <v>31.05</v>
      </c>
      <c r="U878" s="39" t="n">
        <f aca="false">SUM(M878:T878)*Resumo!$C$11</f>
        <v>0</v>
      </c>
      <c r="V878" s="39" t="n">
        <f aca="false">SUM(M878:U878)</f>
        <v>125.485282</v>
      </c>
      <c r="W878" s="39" t="n">
        <f aca="false">V878/(1-Resumo!$C$5)</f>
        <v>142.596911363636</v>
      </c>
      <c r="X878" s="39" t="n">
        <v>149.5</v>
      </c>
      <c r="Y878" s="39" t="n">
        <f aca="false">J878*Resumo!$B$6</f>
        <v>0.78221</v>
      </c>
      <c r="Z878" s="39" t="n">
        <f aca="false">J878*Resumo!$B$7</f>
        <v>1.56442</v>
      </c>
      <c r="AA878" s="39" t="n">
        <f aca="false">Resumo!$B$9</f>
        <v>1</v>
      </c>
      <c r="AB878" s="39" t="n">
        <f aca="false">Resumo!$B$10*CEILING(I878/100,1)</f>
        <v>4.5</v>
      </c>
      <c r="AC878" s="39" t="n">
        <f aca="false">Resumo!$B$12*CEILING(I878,1)</f>
        <v>4.14</v>
      </c>
      <c r="AD878" s="39" t="n">
        <f aca="false">Resumo!$B$14*CEILING(I878,1)</f>
        <v>31.05</v>
      </c>
      <c r="AE878" s="39" t="n">
        <f aca="false">SUM(X878:AD878)</f>
        <v>192.53663</v>
      </c>
      <c r="AF878" s="39" t="n">
        <f aca="false">AE878/(1-Resumo!$B$5)</f>
        <v>218.791625</v>
      </c>
      <c r="AG878" s="39" t="n">
        <f aca="false">AF878-W878</f>
        <v>76.1947136363636</v>
      </c>
      <c r="AH878" s="40" t="n">
        <f aca="false">AF878/W878-1</f>
        <v>0.534336353485662</v>
      </c>
      <c r="AI878" s="37" t="str">
        <f aca="false">IF(AF878&lt;W878,"SIM","NÃO")</f>
        <v>NÃO</v>
      </c>
      <c r="AJ878" s="37" t="n">
        <v>2</v>
      </c>
      <c r="AK878" s="37" t="n">
        <v>7</v>
      </c>
      <c r="AL878" s="37" t="s">
        <v>343</v>
      </c>
      <c r="AM878" s="39" t="n">
        <v>140.18</v>
      </c>
    </row>
    <row r="879" customFormat="false" ht="15" hidden="false" customHeight="false" outlineLevel="0" collapsed="false">
      <c r="A879" s="37" t="n">
        <v>374740622</v>
      </c>
      <c r="B879" s="38" t="n">
        <v>46245.7049305556</v>
      </c>
      <c r="C879" s="37" t="s">
        <v>375</v>
      </c>
      <c r="D879" s="37" t="s">
        <v>1188</v>
      </c>
      <c r="E879" s="37" t="n">
        <v>23530550</v>
      </c>
      <c r="F879" s="37" t="s">
        <v>159</v>
      </c>
      <c r="G879" s="37" t="s">
        <v>196</v>
      </c>
      <c r="H879" s="37" t="s">
        <v>188</v>
      </c>
      <c r="I879" s="37" t="n">
        <v>69</v>
      </c>
      <c r="J879" s="39" t="n">
        <v>791.99</v>
      </c>
      <c r="K879" s="37" t="s">
        <v>518</v>
      </c>
      <c r="L879" s="39" t="n">
        <v>127.48</v>
      </c>
      <c r="M879" s="39" t="n">
        <v>63.21</v>
      </c>
      <c r="N879" s="39" t="n">
        <f aca="false">J879*Resumo!$C$6</f>
        <v>0</v>
      </c>
      <c r="O879" s="39" t="n">
        <f aca="false">J879*Resumo!$C$7</f>
        <v>1.663179</v>
      </c>
      <c r="P879" s="39" t="n">
        <f aca="false">J879*Resumo!$C$8</f>
        <v>1.663179</v>
      </c>
      <c r="Q879" s="39" t="n">
        <f aca="false">Resumo!$C$10*CEILING(I879/100,1)</f>
        <v>1.05</v>
      </c>
      <c r="R879" s="39" t="n">
        <f aca="false">Resumo!$C$9</f>
        <v>0</v>
      </c>
      <c r="S879" s="39" t="n">
        <f aca="false">Resumo!$C$13</f>
        <v>13.55</v>
      </c>
      <c r="T879" s="39" t="n">
        <f aca="false">Resumo!$C$14*CEILING(I879,1)</f>
        <v>31.05</v>
      </c>
      <c r="U879" s="39" t="n">
        <f aca="false">SUM(M879:T879)*Resumo!$C$11</f>
        <v>0</v>
      </c>
      <c r="V879" s="39" t="n">
        <f aca="false">SUM(M879:U879)</f>
        <v>112.186358</v>
      </c>
      <c r="W879" s="39" t="n">
        <f aca="false">V879/(1-Resumo!$C$5)</f>
        <v>127.484497727273</v>
      </c>
      <c r="X879" s="39" t="n">
        <v>131.02</v>
      </c>
      <c r="Y879" s="39" t="n">
        <f aca="false">J879*Resumo!$B$6</f>
        <v>0.79199</v>
      </c>
      <c r="Z879" s="39" t="n">
        <f aca="false">J879*Resumo!$B$7</f>
        <v>1.58398</v>
      </c>
      <c r="AA879" s="39" t="n">
        <f aca="false">Resumo!$B$9</f>
        <v>1</v>
      </c>
      <c r="AB879" s="39" t="n">
        <f aca="false">Resumo!$B$10*CEILING(I879/100,1)</f>
        <v>4.5</v>
      </c>
      <c r="AC879" s="39" t="n">
        <f aca="false">Resumo!$B$12*CEILING(I879,1)</f>
        <v>4.14</v>
      </c>
      <c r="AD879" s="39" t="n">
        <f aca="false">Resumo!$B$14*CEILING(I879,1)</f>
        <v>31.05</v>
      </c>
      <c r="AE879" s="39" t="n">
        <f aca="false">SUM(X879:AD879)</f>
        <v>174.08597</v>
      </c>
      <c r="AF879" s="39" t="n">
        <f aca="false">AE879/(1-Resumo!$B$5)</f>
        <v>197.824965909091</v>
      </c>
      <c r="AG879" s="39" t="n">
        <f aca="false">AF879-W879</f>
        <v>70.3404681818182</v>
      </c>
      <c r="AH879" s="40" t="n">
        <f aca="false">AF879/W879-1</f>
        <v>0.551757032704458</v>
      </c>
      <c r="AI879" s="37" t="str">
        <f aca="false">IF(AF879&lt;W879,"SIM","NÃO")</f>
        <v>NÃO</v>
      </c>
      <c r="AJ879" s="37" t="n">
        <v>2</v>
      </c>
      <c r="AK879" s="37" t="n">
        <v>5</v>
      </c>
      <c r="AL879" s="37" t="s">
        <v>343</v>
      </c>
      <c r="AM879" s="39" t="n">
        <v>125</v>
      </c>
    </row>
    <row r="880" customFormat="false" ht="15" hidden="false" customHeight="false" outlineLevel="0" collapsed="false">
      <c r="A880" s="37" t="n">
        <v>374747229</v>
      </c>
      <c r="B880" s="38" t="n">
        <v>46245.7050694445</v>
      </c>
      <c r="C880" s="37" t="s">
        <v>340</v>
      </c>
      <c r="D880" s="37" t="s">
        <v>1189</v>
      </c>
      <c r="E880" s="37" t="n">
        <v>21555480</v>
      </c>
      <c r="F880" s="37" t="s">
        <v>159</v>
      </c>
      <c r="G880" s="37" t="s">
        <v>196</v>
      </c>
      <c r="H880" s="37" t="s">
        <v>184</v>
      </c>
      <c r="I880" s="37" t="n">
        <v>27.5</v>
      </c>
      <c r="J880" s="39" t="n">
        <v>369.99</v>
      </c>
      <c r="K880" s="37" t="s">
        <v>342</v>
      </c>
      <c r="L880" s="39" t="n">
        <v>82.1</v>
      </c>
      <c r="M880" s="39" t="n">
        <v>42.11</v>
      </c>
      <c r="N880" s="39" t="n">
        <f aca="false">J880*Resumo!$C$6</f>
        <v>0</v>
      </c>
      <c r="O880" s="39" t="n">
        <f aca="false">J880*Resumo!$C$7</f>
        <v>0.776979</v>
      </c>
      <c r="P880" s="39" t="n">
        <f aca="false">J880*Resumo!$C$8</f>
        <v>0.776979</v>
      </c>
      <c r="Q880" s="39" t="n">
        <f aca="false">Resumo!$C$10*CEILING(I880/100,1)</f>
        <v>1.05</v>
      </c>
      <c r="R880" s="39" t="n">
        <f aca="false">Resumo!$C$9</f>
        <v>0</v>
      </c>
      <c r="S880" s="39" t="n">
        <f aca="false">Resumo!$C$13</f>
        <v>13.55</v>
      </c>
      <c r="T880" s="39" t="n">
        <f aca="false">Resumo!$C$14*CEILING(I880,1)</f>
        <v>12.6</v>
      </c>
      <c r="U880" s="39" t="n">
        <f aca="false">SUM(M880:T880)*Resumo!$C$11</f>
        <v>0</v>
      </c>
      <c r="V880" s="39" t="n">
        <f aca="false">SUM(M880:U880)</f>
        <v>70.863958</v>
      </c>
      <c r="W880" s="39" t="n">
        <f aca="false">V880/(1-Resumo!$C$5)</f>
        <v>80.527225</v>
      </c>
      <c r="X880" s="39" t="n">
        <v>82.21</v>
      </c>
      <c r="Y880" s="39" t="n">
        <f aca="false">J880*Resumo!$B$6</f>
        <v>0.36999</v>
      </c>
      <c r="Z880" s="39" t="n">
        <f aca="false">J880*Resumo!$B$7</f>
        <v>0.73998</v>
      </c>
      <c r="AA880" s="39" t="n">
        <f aca="false">Resumo!$B$9</f>
        <v>1</v>
      </c>
      <c r="AB880" s="39" t="n">
        <f aca="false">Resumo!$B$10*CEILING(I880/100,1)</f>
        <v>4.5</v>
      </c>
      <c r="AC880" s="39" t="n">
        <f aca="false">Resumo!$B$12*CEILING(I880,1)</f>
        <v>1.68</v>
      </c>
      <c r="AD880" s="39" t="n">
        <f aca="false">Resumo!$B$14*CEILING(I880,1)</f>
        <v>12.6</v>
      </c>
      <c r="AE880" s="39" t="n">
        <f aca="false">SUM(X880:AD880)</f>
        <v>103.09997</v>
      </c>
      <c r="AF880" s="39" t="n">
        <f aca="false">AE880/(1-Resumo!$B$5)</f>
        <v>117.159056818182</v>
      </c>
      <c r="AG880" s="39" t="n">
        <f aca="false">AF880-W880</f>
        <v>36.6318318181818</v>
      </c>
      <c r="AH880" s="40" t="n">
        <f aca="false">AF880/W880-1</f>
        <v>0.454899964802982</v>
      </c>
      <c r="AI880" s="37" t="str">
        <f aca="false">IF(AF880&lt;W880,"SIM","NÃO")</f>
        <v>NÃO</v>
      </c>
      <c r="AJ880" s="37" t="n">
        <v>2</v>
      </c>
      <c r="AK880" s="37" t="n">
        <v>5</v>
      </c>
      <c r="AL880" s="37" t="s">
        <v>343</v>
      </c>
      <c r="AM880" s="39" t="n">
        <v>82.1</v>
      </c>
    </row>
    <row r="881" customFormat="false" ht="15" hidden="false" customHeight="false" outlineLevel="0" collapsed="false">
      <c r="A881" s="37" t="n">
        <v>374747050</v>
      </c>
      <c r="B881" s="38" t="n">
        <v>46245.7068518519</v>
      </c>
      <c r="C881" s="37" t="s">
        <v>372</v>
      </c>
      <c r="D881" s="37" t="s">
        <v>1190</v>
      </c>
      <c r="E881" s="37" t="n">
        <v>22250060</v>
      </c>
      <c r="F881" s="37" t="s">
        <v>159</v>
      </c>
      <c r="G881" s="37" t="s">
        <v>196</v>
      </c>
      <c r="H881" s="37" t="s">
        <v>185</v>
      </c>
      <c r="I881" s="37" t="n">
        <v>37.58</v>
      </c>
      <c r="J881" s="39" t="n">
        <v>499.99</v>
      </c>
      <c r="K881" s="37" t="s">
        <v>342</v>
      </c>
      <c r="L881" s="39" t="n">
        <v>92.25</v>
      </c>
      <c r="M881" s="39" t="n">
        <v>48.35</v>
      </c>
      <c r="N881" s="39" t="n">
        <f aca="false">J881*Resumo!$C$6</f>
        <v>0</v>
      </c>
      <c r="O881" s="39" t="n">
        <f aca="false">J881*Resumo!$C$7</f>
        <v>1.049979</v>
      </c>
      <c r="P881" s="39" t="n">
        <f aca="false">J881*Resumo!$C$8</f>
        <v>1.049979</v>
      </c>
      <c r="Q881" s="39" t="n">
        <f aca="false">Resumo!$C$10*CEILING(I881/100,1)</f>
        <v>1.05</v>
      </c>
      <c r="R881" s="39" t="n">
        <f aca="false">Resumo!$C$9</f>
        <v>0</v>
      </c>
      <c r="S881" s="39" t="n">
        <f aca="false">Resumo!$C$13</f>
        <v>13.55</v>
      </c>
      <c r="T881" s="39" t="n">
        <f aca="false">Resumo!$C$14*CEILING(I881,1)</f>
        <v>17.1</v>
      </c>
      <c r="U881" s="39" t="n">
        <f aca="false">SUM(M881:T881)*Resumo!$C$11</f>
        <v>0</v>
      </c>
      <c r="V881" s="39" t="n">
        <f aca="false">SUM(M881:U881)</f>
        <v>82.149958</v>
      </c>
      <c r="W881" s="39" t="n">
        <f aca="false">V881/(1-Resumo!$C$5)</f>
        <v>93.352225</v>
      </c>
      <c r="X881" s="39" t="n">
        <v>93.97</v>
      </c>
      <c r="Y881" s="39" t="n">
        <f aca="false">J881*Resumo!$B$6</f>
        <v>0.49999</v>
      </c>
      <c r="Z881" s="39" t="n">
        <f aca="false">J881*Resumo!$B$7</f>
        <v>0.99998</v>
      </c>
      <c r="AA881" s="39" t="n">
        <f aca="false">Resumo!$B$9</f>
        <v>1</v>
      </c>
      <c r="AB881" s="39" t="n">
        <f aca="false">Resumo!$B$10*CEILING(I881/100,1)</f>
        <v>4.5</v>
      </c>
      <c r="AC881" s="39" t="n">
        <f aca="false">Resumo!$B$12*CEILING(I881,1)</f>
        <v>2.28</v>
      </c>
      <c r="AD881" s="39" t="n">
        <f aca="false">Resumo!$B$14*CEILING(I881,1)</f>
        <v>17.1</v>
      </c>
      <c r="AE881" s="39" t="n">
        <f aca="false">SUM(X881:AD881)</f>
        <v>120.34997</v>
      </c>
      <c r="AF881" s="39" t="n">
        <f aca="false">AE881/(1-Resumo!$B$5)</f>
        <v>136.761329545455</v>
      </c>
      <c r="AG881" s="39" t="n">
        <f aca="false">AF881-W881</f>
        <v>43.4091045454546</v>
      </c>
      <c r="AH881" s="40" t="n">
        <f aca="false">AF881/W881-1</f>
        <v>0.465003427025489</v>
      </c>
      <c r="AI881" s="37" t="str">
        <f aca="false">IF(AF881&lt;W881,"SIM","NÃO")</f>
        <v>NÃO</v>
      </c>
      <c r="AJ881" s="37" t="n">
        <v>2</v>
      </c>
      <c r="AK881" s="37" t="n">
        <v>5</v>
      </c>
      <c r="AL881" s="37" t="s">
        <v>343</v>
      </c>
      <c r="AM881" s="39" t="n">
        <v>92.25</v>
      </c>
    </row>
    <row r="882" customFormat="false" ht="15" hidden="false" customHeight="false" outlineLevel="0" collapsed="false">
      <c r="A882" s="37" t="n">
        <v>374755832</v>
      </c>
      <c r="B882" s="38" t="n">
        <v>46245.721400463</v>
      </c>
      <c r="C882" s="37" t="s">
        <v>345</v>
      </c>
      <c r="D882" s="37" t="s">
        <v>1191</v>
      </c>
      <c r="E882" s="37" t="n">
        <v>23870000</v>
      </c>
      <c r="F882" s="37" t="s">
        <v>219</v>
      </c>
      <c r="G882" s="37" t="s">
        <v>198</v>
      </c>
      <c r="H882" s="37" t="s">
        <v>184</v>
      </c>
      <c r="I882" s="37" t="n">
        <v>33</v>
      </c>
      <c r="J882" s="39" t="n">
        <v>468.7</v>
      </c>
      <c r="K882" s="37" t="s">
        <v>518</v>
      </c>
      <c r="L882" s="39" t="n">
        <v>110.27</v>
      </c>
      <c r="M882" s="39" t="n">
        <v>65.63</v>
      </c>
      <c r="N882" s="39" t="n">
        <f aca="false">J882*Resumo!$C$6</f>
        <v>0</v>
      </c>
      <c r="O882" s="39" t="n">
        <f aca="false">J882*Resumo!$C$7</f>
        <v>0.98427</v>
      </c>
      <c r="P882" s="39" t="n">
        <f aca="false">J882*Resumo!$C$8</f>
        <v>0.98427</v>
      </c>
      <c r="Q882" s="39" t="n">
        <f aca="false">Resumo!$C$10*CEILING(I882/100,1)</f>
        <v>1.05</v>
      </c>
      <c r="R882" s="39" t="n">
        <f aca="false">Resumo!$C$9</f>
        <v>0</v>
      </c>
      <c r="S882" s="39" t="n">
        <f aca="false">Resumo!$C$13</f>
        <v>13.55</v>
      </c>
      <c r="T882" s="39" t="n">
        <f aca="false">Resumo!$C$14*CEILING(I882,1)</f>
        <v>14.85</v>
      </c>
      <c r="U882" s="39" t="n">
        <f aca="false">SUM(M882:T882)*Resumo!$C$11</f>
        <v>0</v>
      </c>
      <c r="V882" s="39" t="n">
        <f aca="false">SUM(M882:U882)</f>
        <v>97.04854</v>
      </c>
      <c r="W882" s="39" t="n">
        <f aca="false">V882/(1-Resumo!$C$5)</f>
        <v>110.282431818182</v>
      </c>
      <c r="X882" s="39" t="n">
        <v>108.83</v>
      </c>
      <c r="Y882" s="39" t="n">
        <f aca="false">J882*Resumo!$B$6</f>
        <v>0.4687</v>
      </c>
      <c r="Z882" s="39" t="n">
        <f aca="false">J882*Resumo!$B$7</f>
        <v>0.9374</v>
      </c>
      <c r="AA882" s="39" t="n">
        <f aca="false">Resumo!$B$9</f>
        <v>1</v>
      </c>
      <c r="AB882" s="39" t="n">
        <f aca="false">Resumo!$B$10*CEILING(I882/100,1)</f>
        <v>4.5</v>
      </c>
      <c r="AC882" s="39" t="n">
        <f aca="false">Resumo!$B$12*CEILING(I882,1)</f>
        <v>1.98</v>
      </c>
      <c r="AD882" s="39" t="n">
        <f aca="false">Resumo!$B$14*CEILING(I882,1)</f>
        <v>14.85</v>
      </c>
      <c r="AE882" s="39" t="n">
        <f aca="false">SUM(X882:AD882)</f>
        <v>132.5661</v>
      </c>
      <c r="AF882" s="39" t="n">
        <f aca="false">AE882/(1-Resumo!$B$5)</f>
        <v>150.643295454545</v>
      </c>
      <c r="AG882" s="39" t="n">
        <f aca="false">AF882-W882</f>
        <v>40.3608636363637</v>
      </c>
      <c r="AH882" s="40" t="n">
        <f aca="false">AF882/W882-1</f>
        <v>0.365977272816263</v>
      </c>
      <c r="AI882" s="37" t="str">
        <f aca="false">IF(AF882&lt;W882,"SIM","NÃO")</f>
        <v>NÃO</v>
      </c>
      <c r="AJ882" s="37" t="n">
        <v>13</v>
      </c>
      <c r="AK882" s="37" t="n">
        <v>10</v>
      </c>
      <c r="AL882" s="37" t="s">
        <v>347</v>
      </c>
      <c r="AM882" s="39" t="n">
        <v>109.43</v>
      </c>
    </row>
    <row r="883" customFormat="false" ht="15" hidden="false" customHeight="false" outlineLevel="0" collapsed="false">
      <c r="A883" s="37" t="n">
        <v>374756541</v>
      </c>
      <c r="B883" s="38" t="n">
        <v>46245.7228125</v>
      </c>
      <c r="C883" s="37" t="s">
        <v>340</v>
      </c>
      <c r="D883" s="37" t="s">
        <v>1192</v>
      </c>
      <c r="E883" s="37" t="n">
        <v>23040550</v>
      </c>
      <c r="F883" s="37" t="s">
        <v>159</v>
      </c>
      <c r="G883" s="37" t="s">
        <v>196</v>
      </c>
      <c r="H883" s="37" t="s">
        <v>183</v>
      </c>
      <c r="I883" s="37" t="n">
        <v>17.2</v>
      </c>
      <c r="J883" s="39" t="n">
        <v>236.28</v>
      </c>
      <c r="K883" s="37" t="s">
        <v>518</v>
      </c>
      <c r="L883" s="39" t="n">
        <v>64.91</v>
      </c>
      <c r="M883" s="39" t="n">
        <v>33.42</v>
      </c>
      <c r="N883" s="39" t="n">
        <f aca="false">J883*Resumo!$C$6</f>
        <v>0</v>
      </c>
      <c r="O883" s="39" t="n">
        <f aca="false">J883*Resumo!$C$7</f>
        <v>0.496188</v>
      </c>
      <c r="P883" s="39" t="n">
        <f aca="false">J883*Resumo!$C$8</f>
        <v>0.496188</v>
      </c>
      <c r="Q883" s="39" t="n">
        <f aca="false">Resumo!$C$10*CEILING(I883/100,1)</f>
        <v>1.05</v>
      </c>
      <c r="R883" s="39" t="n">
        <f aca="false">Resumo!$C$9</f>
        <v>0</v>
      </c>
      <c r="S883" s="39" t="n">
        <f aca="false">Resumo!$C$13</f>
        <v>13.55</v>
      </c>
      <c r="T883" s="39" t="n">
        <f aca="false">Resumo!$C$14*CEILING(I883,1)</f>
        <v>8.1</v>
      </c>
      <c r="U883" s="39" t="n">
        <f aca="false">SUM(M883:T883)*Resumo!$C$11</f>
        <v>0</v>
      </c>
      <c r="V883" s="39" t="n">
        <f aca="false">SUM(M883:U883)</f>
        <v>57.112376</v>
      </c>
      <c r="W883" s="39" t="n">
        <f aca="false">V883/(1-Resumo!$C$5)</f>
        <v>64.9004272727273</v>
      </c>
      <c r="X883" s="39" t="n">
        <v>46.98</v>
      </c>
      <c r="Y883" s="39" t="n">
        <f aca="false">J883*Resumo!$B$6</f>
        <v>0.23628</v>
      </c>
      <c r="Z883" s="39" t="n">
        <f aca="false">J883*Resumo!$B$7</f>
        <v>0.47256</v>
      </c>
      <c r="AA883" s="39" t="n">
        <f aca="false">Resumo!$B$9</f>
        <v>1</v>
      </c>
      <c r="AB883" s="39" t="n">
        <f aca="false">Resumo!$B$10*CEILING(I883/100,1)</f>
        <v>4.5</v>
      </c>
      <c r="AC883" s="39" t="n">
        <f aca="false">Resumo!$B$12*CEILING(I883,1)</f>
        <v>1.08</v>
      </c>
      <c r="AD883" s="39" t="n">
        <f aca="false">Resumo!$B$14*CEILING(I883,1)</f>
        <v>8.1</v>
      </c>
      <c r="AE883" s="39" t="n">
        <f aca="false">SUM(X883:AD883)</f>
        <v>62.36884</v>
      </c>
      <c r="AF883" s="39" t="n">
        <f aca="false">AE883/(1-Resumo!$B$5)</f>
        <v>70.8736818181818</v>
      </c>
      <c r="AG883" s="39" t="n">
        <f aca="false">AF883-W883</f>
        <v>5.97325454545455</v>
      </c>
      <c r="AH883" s="40" t="n">
        <f aca="false">AF883/W883-1</f>
        <v>0.0920372144909538</v>
      </c>
      <c r="AI883" s="37" t="str">
        <f aca="false">IF(AF883&lt;W883,"SIM","NÃO")</f>
        <v>NÃO</v>
      </c>
      <c r="AJ883" s="37" t="n">
        <v>2</v>
      </c>
      <c r="AK883" s="37" t="n">
        <v>5</v>
      </c>
      <c r="AL883" s="37" t="s">
        <v>343</v>
      </c>
      <c r="AM883" s="39" t="n">
        <v>64.35</v>
      </c>
    </row>
    <row r="884" customFormat="false" ht="15" hidden="false" customHeight="false" outlineLevel="0" collapsed="false">
      <c r="A884" s="37" t="n">
        <v>374763651</v>
      </c>
      <c r="B884" s="38" t="n">
        <v>46245.7363773148</v>
      </c>
      <c r="C884" s="37" t="s">
        <v>340</v>
      </c>
      <c r="D884" s="37" t="s">
        <v>1193</v>
      </c>
      <c r="E884" s="37" t="n">
        <v>28925071</v>
      </c>
      <c r="F884" s="37" t="s">
        <v>172</v>
      </c>
      <c r="G884" s="37" t="s">
        <v>198</v>
      </c>
      <c r="H884" s="37" t="s">
        <v>186</v>
      </c>
      <c r="I884" s="37" t="n">
        <v>46.8</v>
      </c>
      <c r="J884" s="39" t="n">
        <v>559.99</v>
      </c>
      <c r="K884" s="37" t="s">
        <v>518</v>
      </c>
      <c r="L884" s="39" t="n">
        <v>131.6</v>
      </c>
      <c r="M884" s="39" t="n">
        <v>77.7</v>
      </c>
      <c r="N884" s="39" t="n">
        <f aca="false">J884*Resumo!$C$6</f>
        <v>0</v>
      </c>
      <c r="O884" s="39" t="n">
        <f aca="false">J884*Resumo!$C$7</f>
        <v>1.175979</v>
      </c>
      <c r="P884" s="39" t="n">
        <f aca="false">J884*Resumo!$C$8</f>
        <v>1.175979</v>
      </c>
      <c r="Q884" s="39" t="n">
        <f aca="false">Resumo!$C$10*CEILING(I884/100,1)</f>
        <v>1.05</v>
      </c>
      <c r="R884" s="39" t="n">
        <f aca="false">Resumo!$C$9</f>
        <v>0</v>
      </c>
      <c r="S884" s="39" t="n">
        <f aca="false">Resumo!$C$13</f>
        <v>13.55</v>
      </c>
      <c r="T884" s="39" t="n">
        <f aca="false">Resumo!$C$14*CEILING(I884,1)</f>
        <v>21.15</v>
      </c>
      <c r="U884" s="39" t="n">
        <f aca="false">SUM(M884:T884)*Resumo!$C$11</f>
        <v>0</v>
      </c>
      <c r="V884" s="39" t="n">
        <f aca="false">SUM(M884:U884)</f>
        <v>115.801958</v>
      </c>
      <c r="W884" s="39" t="n">
        <f aca="false">V884/(1-Resumo!$C$5)</f>
        <v>131.593134090909</v>
      </c>
      <c r="X884" s="39" t="n">
        <v>129.29</v>
      </c>
      <c r="Y884" s="39" t="n">
        <f aca="false">J884*Resumo!$B$6</f>
        <v>0.55999</v>
      </c>
      <c r="Z884" s="39" t="n">
        <f aca="false">J884*Resumo!$B$7</f>
        <v>1.11998</v>
      </c>
      <c r="AA884" s="39" t="n">
        <f aca="false">Resumo!$B$9</f>
        <v>1</v>
      </c>
      <c r="AB884" s="39" t="n">
        <f aca="false">Resumo!$B$10*CEILING(I884/100,1)</f>
        <v>4.5</v>
      </c>
      <c r="AC884" s="39" t="n">
        <f aca="false">Resumo!$B$12*CEILING(I884,1)</f>
        <v>2.82</v>
      </c>
      <c r="AD884" s="39" t="n">
        <f aca="false">Resumo!$B$14*CEILING(I884,1)</f>
        <v>21.15</v>
      </c>
      <c r="AE884" s="39" t="n">
        <f aca="false">SUM(X884:AD884)</f>
        <v>160.43997</v>
      </c>
      <c r="AF884" s="39" t="n">
        <f aca="false">AE884/(1-Resumo!$B$5)</f>
        <v>182.318147727273</v>
      </c>
      <c r="AG884" s="39" t="n">
        <f aca="false">AF884-W884</f>
        <v>50.7250136363636</v>
      </c>
      <c r="AH884" s="40" t="n">
        <f aca="false">AF884/W884-1</f>
        <v>0.385468542768508</v>
      </c>
      <c r="AI884" s="37" t="str">
        <f aca="false">IF(AF884&lt;W884,"SIM","NÃO")</f>
        <v>NÃO</v>
      </c>
      <c r="AJ884" s="37" t="n">
        <v>13</v>
      </c>
      <c r="AK884" s="37" t="n">
        <v>10</v>
      </c>
      <c r="AL884" s="37" t="s">
        <v>343</v>
      </c>
      <c r="AM884" s="39" t="n">
        <v>130.84</v>
      </c>
    </row>
    <row r="885" customFormat="false" ht="15" hidden="false" customHeight="false" outlineLevel="0" collapsed="false">
      <c r="A885" s="37" t="n">
        <v>374767171</v>
      </c>
      <c r="B885" s="38" t="n">
        <v>46245.7506712963</v>
      </c>
      <c r="C885" s="37" t="s">
        <v>372</v>
      </c>
      <c r="D885" s="37" t="s">
        <v>1194</v>
      </c>
      <c r="E885" s="37" t="n">
        <v>23520241</v>
      </c>
      <c r="F885" s="37" t="s">
        <v>159</v>
      </c>
      <c r="G885" s="37" t="s">
        <v>196</v>
      </c>
      <c r="H885" s="37" t="s">
        <v>186</v>
      </c>
      <c r="I885" s="37" t="n">
        <v>46.8</v>
      </c>
      <c r="J885" s="39" t="n">
        <v>587.49</v>
      </c>
      <c r="K885" s="37" t="s">
        <v>518</v>
      </c>
      <c r="L885" s="39" t="n">
        <v>104.27</v>
      </c>
      <c r="M885" s="39" t="n">
        <v>53.55</v>
      </c>
      <c r="N885" s="39" t="n">
        <f aca="false">J885*Resumo!$C$6</f>
        <v>0</v>
      </c>
      <c r="O885" s="39" t="n">
        <f aca="false">J885*Resumo!$C$7</f>
        <v>1.233729</v>
      </c>
      <c r="P885" s="39" t="n">
        <f aca="false">J885*Resumo!$C$8</f>
        <v>1.233729</v>
      </c>
      <c r="Q885" s="39" t="n">
        <f aca="false">Resumo!$C$10*CEILING(I885/100,1)</f>
        <v>1.05</v>
      </c>
      <c r="R885" s="39" t="n">
        <f aca="false">Resumo!$C$9</f>
        <v>0</v>
      </c>
      <c r="S885" s="39" t="n">
        <f aca="false">Resumo!$C$13</f>
        <v>13.55</v>
      </c>
      <c r="T885" s="39" t="n">
        <f aca="false">Resumo!$C$14*CEILING(I885,1)</f>
        <v>21.15</v>
      </c>
      <c r="U885" s="39" t="n">
        <f aca="false">SUM(M885:T885)*Resumo!$C$11</f>
        <v>0</v>
      </c>
      <c r="V885" s="39" t="n">
        <f aca="false">SUM(M885:U885)</f>
        <v>91.767458</v>
      </c>
      <c r="W885" s="39" t="n">
        <f aca="false">V885/(1-Resumo!$C$5)</f>
        <v>104.281202272727</v>
      </c>
      <c r="X885" s="39" t="n">
        <v>93.97</v>
      </c>
      <c r="Y885" s="39" t="n">
        <f aca="false">J885*Resumo!$B$6</f>
        <v>0.58749</v>
      </c>
      <c r="Z885" s="39" t="n">
        <f aca="false">J885*Resumo!$B$7</f>
        <v>1.17498</v>
      </c>
      <c r="AA885" s="39" t="n">
        <f aca="false">Resumo!$B$9</f>
        <v>1</v>
      </c>
      <c r="AB885" s="39" t="n">
        <f aca="false">Resumo!$B$10*CEILING(I885/100,1)</f>
        <v>4.5</v>
      </c>
      <c r="AC885" s="39" t="n">
        <f aca="false">Resumo!$B$12*CEILING(I885,1)</f>
        <v>2.82</v>
      </c>
      <c r="AD885" s="39" t="n">
        <f aca="false">Resumo!$B$14*CEILING(I885,1)</f>
        <v>21.15</v>
      </c>
      <c r="AE885" s="39" t="n">
        <f aca="false">SUM(X885:AD885)</f>
        <v>125.20247</v>
      </c>
      <c r="AF885" s="39" t="n">
        <f aca="false">AE885/(1-Resumo!$B$5)</f>
        <v>142.275534090909</v>
      </c>
      <c r="AG885" s="39" t="n">
        <f aca="false">AF885-W885</f>
        <v>37.9943318181818</v>
      </c>
      <c r="AH885" s="40" t="n">
        <f aca="false">AF885/W885-1</f>
        <v>0.364344972920575</v>
      </c>
      <c r="AI885" s="37" t="str">
        <f aca="false">IF(AF885&lt;W885,"SIM","NÃO")</f>
        <v>NÃO</v>
      </c>
      <c r="AJ885" s="37" t="n">
        <v>2</v>
      </c>
      <c r="AK885" s="37" t="n">
        <v>5</v>
      </c>
      <c r="AL885" s="37" t="s">
        <v>343</v>
      </c>
      <c r="AM885" s="39" t="n">
        <v>103.4</v>
      </c>
    </row>
    <row r="886" customFormat="false" ht="15" hidden="false" customHeight="false" outlineLevel="0" collapsed="false">
      <c r="A886" s="37" t="n">
        <v>374770287</v>
      </c>
      <c r="B886" s="38" t="n">
        <v>46245.7525810185</v>
      </c>
      <c r="C886" s="37" t="s">
        <v>340</v>
      </c>
      <c r="D886" s="37" t="s">
        <v>1195</v>
      </c>
      <c r="E886" s="37" t="n">
        <v>22730150</v>
      </c>
      <c r="F886" s="37" t="s">
        <v>159</v>
      </c>
      <c r="G886" s="37" t="s">
        <v>196</v>
      </c>
      <c r="H886" s="37" t="s">
        <v>186</v>
      </c>
      <c r="I886" s="37" t="n">
        <v>48.3</v>
      </c>
      <c r="J886" s="39" t="n">
        <v>449.99</v>
      </c>
      <c r="K886" s="37" t="s">
        <v>342</v>
      </c>
      <c r="L886" s="39" t="n">
        <v>102.74</v>
      </c>
      <c r="M886" s="39" t="n">
        <v>53.55</v>
      </c>
      <c r="N886" s="39" t="n">
        <f aca="false">J886*Resumo!$C$6</f>
        <v>0</v>
      </c>
      <c r="O886" s="39" t="n">
        <f aca="false">J886*Resumo!$C$7</f>
        <v>0.944979</v>
      </c>
      <c r="P886" s="39" t="n">
        <f aca="false">J886*Resumo!$C$8</f>
        <v>0.944979</v>
      </c>
      <c r="Q886" s="39" t="n">
        <f aca="false">Resumo!$C$10*CEILING(I886/100,1)</f>
        <v>1.05</v>
      </c>
      <c r="R886" s="39" t="n">
        <f aca="false">Resumo!$C$9</f>
        <v>0</v>
      </c>
      <c r="S886" s="39" t="n">
        <f aca="false">Resumo!$C$13</f>
        <v>13.55</v>
      </c>
      <c r="T886" s="39" t="n">
        <f aca="false">Resumo!$C$14*CEILING(I886,1)</f>
        <v>22.05</v>
      </c>
      <c r="U886" s="39" t="n">
        <f aca="false">SUM(M886:T886)*Resumo!$C$11</f>
        <v>0</v>
      </c>
      <c r="V886" s="39" t="n">
        <f aca="false">SUM(M886:U886)</f>
        <v>92.089958</v>
      </c>
      <c r="W886" s="39" t="n">
        <f aca="false">V886/(1-Resumo!$C$5)</f>
        <v>104.647679545455</v>
      </c>
      <c r="X886" s="39" t="n">
        <v>93.97</v>
      </c>
      <c r="Y886" s="39" t="n">
        <f aca="false">J886*Resumo!$B$6</f>
        <v>0.44999</v>
      </c>
      <c r="Z886" s="39" t="n">
        <f aca="false">J886*Resumo!$B$7</f>
        <v>0.89998</v>
      </c>
      <c r="AA886" s="39" t="n">
        <f aca="false">Resumo!$B$9</f>
        <v>1</v>
      </c>
      <c r="AB886" s="39" t="n">
        <f aca="false">Resumo!$B$10*CEILING(I886/100,1)</f>
        <v>4.5</v>
      </c>
      <c r="AC886" s="39" t="n">
        <f aca="false">Resumo!$B$12*CEILING(I886,1)</f>
        <v>2.94</v>
      </c>
      <c r="AD886" s="39" t="n">
        <f aca="false">Resumo!$B$14*CEILING(I886,1)</f>
        <v>22.05</v>
      </c>
      <c r="AE886" s="39" t="n">
        <f aca="false">SUM(X886:AD886)</f>
        <v>125.80997</v>
      </c>
      <c r="AF886" s="39" t="n">
        <f aca="false">AE886/(1-Resumo!$B$5)</f>
        <v>142.965875</v>
      </c>
      <c r="AG886" s="39" t="n">
        <f aca="false">AF886-W886</f>
        <v>38.3181954545454</v>
      </c>
      <c r="AH886" s="40" t="n">
        <f aca="false">AF886/W886-1</f>
        <v>0.366163832977315</v>
      </c>
      <c r="AI886" s="37" t="str">
        <f aca="false">IF(AF886&lt;W886,"SIM","NÃO")</f>
        <v>NÃO</v>
      </c>
      <c r="AJ886" s="37" t="n">
        <v>2</v>
      </c>
      <c r="AK886" s="37" t="n">
        <v>5</v>
      </c>
      <c r="AL886" s="37" t="s">
        <v>343</v>
      </c>
      <c r="AM886" s="39" t="n">
        <v>102.74</v>
      </c>
    </row>
    <row r="887" customFormat="false" ht="15" hidden="false" customHeight="false" outlineLevel="0" collapsed="false">
      <c r="A887" s="37" t="n">
        <v>374772576</v>
      </c>
      <c r="B887" s="38" t="n">
        <v>46245.7574189815</v>
      </c>
      <c r="C887" s="37" t="s">
        <v>340</v>
      </c>
      <c r="D887" s="37" t="s">
        <v>1196</v>
      </c>
      <c r="E887" s="37" t="n">
        <v>26087335</v>
      </c>
      <c r="F887" s="37" t="s">
        <v>162</v>
      </c>
      <c r="G887" s="37" t="s">
        <v>197</v>
      </c>
      <c r="H887" s="37" t="s">
        <v>191</v>
      </c>
      <c r="I887" s="37" t="n">
        <v>106.5</v>
      </c>
      <c r="J887" s="39" t="n">
        <v>1249.99</v>
      </c>
      <c r="K887" s="37" t="s">
        <v>342</v>
      </c>
      <c r="L887" s="39" t="n">
        <v>195.82</v>
      </c>
      <c r="M887" s="39" t="n">
        <v>101.26</v>
      </c>
      <c r="N887" s="39" t="n">
        <f aca="false">J887*Resumo!$C$6</f>
        <v>0</v>
      </c>
      <c r="O887" s="39" t="n">
        <f aca="false">J887*Resumo!$C$7</f>
        <v>2.624979</v>
      </c>
      <c r="P887" s="39" t="n">
        <f aca="false">J887*Resumo!$C$8</f>
        <v>2.624979</v>
      </c>
      <c r="Q887" s="39" t="n">
        <f aca="false">Resumo!$C$10*CEILING(I887/100,1)</f>
        <v>2.1</v>
      </c>
      <c r="R887" s="39" t="n">
        <f aca="false">Resumo!$C$9</f>
        <v>0</v>
      </c>
      <c r="S887" s="39" t="n">
        <f aca="false">Resumo!$C$13</f>
        <v>13.55</v>
      </c>
      <c r="T887" s="39" t="n">
        <f aca="false">Resumo!$C$14*CEILING(I887,1)</f>
        <v>48.15</v>
      </c>
      <c r="U887" s="39" t="n">
        <f aca="false">SUM(M887:T887)*Resumo!$C$11</f>
        <v>0</v>
      </c>
      <c r="V887" s="39" t="n">
        <f aca="false">SUM(M887:U887)</f>
        <v>170.309958</v>
      </c>
      <c r="W887" s="39" t="n">
        <f aca="false">V887/(1-Resumo!$C$5)</f>
        <v>193.534043181818</v>
      </c>
      <c r="X887" s="39" t="n">
        <v>201.59</v>
      </c>
      <c r="Y887" s="39" t="n">
        <f aca="false">J887*Resumo!$B$6</f>
        <v>1.24999</v>
      </c>
      <c r="Z887" s="39" t="n">
        <f aca="false">J887*Resumo!$B$7</f>
        <v>2.49998</v>
      </c>
      <c r="AA887" s="39" t="n">
        <f aca="false">Resumo!$B$9</f>
        <v>1</v>
      </c>
      <c r="AB887" s="39" t="n">
        <f aca="false">Resumo!$B$10*CEILING(I887/100,1)</f>
        <v>9</v>
      </c>
      <c r="AC887" s="39" t="n">
        <f aca="false">Resumo!$B$12*CEILING(I887,1)</f>
        <v>6.42</v>
      </c>
      <c r="AD887" s="39" t="n">
        <f aca="false">Resumo!$B$14*CEILING(I887,1)</f>
        <v>48.15</v>
      </c>
      <c r="AE887" s="39" t="n">
        <f aca="false">SUM(X887:AD887)</f>
        <v>269.90997</v>
      </c>
      <c r="AF887" s="39" t="n">
        <f aca="false">AE887/(1-Resumo!$B$5)</f>
        <v>306.715875</v>
      </c>
      <c r="AG887" s="39" t="n">
        <f aca="false">AF887-W887</f>
        <v>113.181831818182</v>
      </c>
      <c r="AH887" s="40" t="n">
        <f aca="false">AF887/W887-1</f>
        <v>0.584816138584216</v>
      </c>
      <c r="AI887" s="37" t="str">
        <f aca="false">IF(AF887&lt;W887,"SIM","NÃO")</f>
        <v>NÃO</v>
      </c>
      <c r="AJ887" s="37" t="n">
        <v>2</v>
      </c>
      <c r="AK887" s="37" t="n">
        <v>5</v>
      </c>
      <c r="AL887" s="37" t="s">
        <v>343</v>
      </c>
      <c r="AM887" s="39" t="n">
        <v>195.82</v>
      </c>
    </row>
    <row r="888" customFormat="false" ht="15" hidden="false" customHeight="false" outlineLevel="0" collapsed="false">
      <c r="A888" s="37" t="n">
        <v>374784209</v>
      </c>
      <c r="B888" s="38" t="n">
        <v>46245.780462963</v>
      </c>
      <c r="C888" s="37" t="s">
        <v>345</v>
      </c>
      <c r="D888" s="37" t="s">
        <v>1197</v>
      </c>
      <c r="E888" s="37" t="n">
        <v>21815030</v>
      </c>
      <c r="F888" s="37" t="s">
        <v>159</v>
      </c>
      <c r="G888" s="37" t="s">
        <v>196</v>
      </c>
      <c r="H888" s="37" t="s">
        <v>184</v>
      </c>
      <c r="I888" s="37" t="n">
        <v>31.9</v>
      </c>
      <c r="J888" s="39" t="n">
        <v>589</v>
      </c>
      <c r="K888" s="37" t="s">
        <v>342</v>
      </c>
      <c r="L888" s="39" t="n">
        <v>83.15</v>
      </c>
      <c r="M888" s="39" t="n">
        <v>42.11</v>
      </c>
      <c r="N888" s="39" t="n">
        <f aca="false">J888*Resumo!$C$6</f>
        <v>0</v>
      </c>
      <c r="O888" s="39" t="n">
        <f aca="false">J888*Resumo!$C$7</f>
        <v>1.2369</v>
      </c>
      <c r="P888" s="39" t="n">
        <f aca="false">J888*Resumo!$C$8</f>
        <v>1.2369</v>
      </c>
      <c r="Q888" s="39" t="n">
        <f aca="false">Resumo!$C$10*CEILING(I888/100,1)</f>
        <v>1.05</v>
      </c>
      <c r="R888" s="39" t="n">
        <f aca="false">Resumo!$C$9</f>
        <v>0</v>
      </c>
      <c r="S888" s="39" t="n">
        <f aca="false">Resumo!$C$13</f>
        <v>13.55</v>
      </c>
      <c r="T888" s="39" t="n">
        <f aca="false">Resumo!$C$14*CEILING(I888,1)</f>
        <v>14.4</v>
      </c>
      <c r="U888" s="39" t="n">
        <f aca="false">SUM(M888:T888)*Resumo!$C$11</f>
        <v>0</v>
      </c>
      <c r="V888" s="39" t="n">
        <f aca="false">SUM(M888:U888)</f>
        <v>73.5838</v>
      </c>
      <c r="W888" s="39" t="n">
        <f aca="false">V888/(1-Resumo!$C$5)</f>
        <v>83.6179545454545</v>
      </c>
      <c r="X888" s="39" t="n">
        <v>82.21</v>
      </c>
      <c r="Y888" s="39" t="n">
        <f aca="false">J888*Resumo!$B$6</f>
        <v>0.589</v>
      </c>
      <c r="Z888" s="39" t="n">
        <f aca="false">J888*Resumo!$B$7</f>
        <v>1.178</v>
      </c>
      <c r="AA888" s="39" t="n">
        <f aca="false">Resumo!$B$9</f>
        <v>1</v>
      </c>
      <c r="AB888" s="39" t="n">
        <f aca="false">Resumo!$B$10*CEILING(I888/100,1)</f>
        <v>4.5</v>
      </c>
      <c r="AC888" s="39" t="n">
        <f aca="false">Resumo!$B$12*CEILING(I888,1)</f>
        <v>1.92</v>
      </c>
      <c r="AD888" s="39" t="n">
        <f aca="false">Resumo!$B$14*CEILING(I888,1)</f>
        <v>14.4</v>
      </c>
      <c r="AE888" s="39" t="n">
        <f aca="false">SUM(X888:AD888)</f>
        <v>105.797</v>
      </c>
      <c r="AF888" s="39" t="n">
        <f aca="false">AE888/(1-Resumo!$B$5)</f>
        <v>120.223863636364</v>
      </c>
      <c r="AG888" s="39" t="n">
        <f aca="false">AF888-W888</f>
        <v>36.6059090909091</v>
      </c>
      <c r="AH888" s="40" t="n">
        <f aca="false">AF888/W888-1</f>
        <v>0.437775706065737</v>
      </c>
      <c r="AI888" s="37" t="str">
        <f aca="false">IF(AF888&lt;W888,"SIM","NÃO")</f>
        <v>NÃO</v>
      </c>
      <c r="AJ888" s="37" t="n">
        <v>2</v>
      </c>
      <c r="AK888" s="37" t="n">
        <v>5</v>
      </c>
      <c r="AL888" s="37" t="s">
        <v>343</v>
      </c>
      <c r="AM888" s="39" t="n">
        <v>83.15</v>
      </c>
    </row>
    <row r="889" customFormat="false" ht="15" hidden="false" customHeight="false" outlineLevel="0" collapsed="false">
      <c r="A889" s="37" t="n">
        <v>374950220</v>
      </c>
      <c r="B889" s="38" t="n">
        <v>46245.787962963</v>
      </c>
      <c r="C889" s="37" t="s">
        <v>340</v>
      </c>
      <c r="D889" s="37" t="s">
        <v>1198</v>
      </c>
      <c r="E889" s="37" t="n">
        <v>21755270</v>
      </c>
      <c r="F889" s="37" t="s">
        <v>159</v>
      </c>
      <c r="G889" s="37" t="s">
        <v>196</v>
      </c>
      <c r="H889" s="37" t="s">
        <v>188</v>
      </c>
      <c r="I889" s="37" t="n">
        <v>66</v>
      </c>
      <c r="J889" s="39" t="n">
        <v>901.98</v>
      </c>
      <c r="K889" s="37" t="s">
        <v>342</v>
      </c>
      <c r="L889" s="39" t="n">
        <v>125.52</v>
      </c>
      <c r="M889" s="39" t="n">
        <v>63.21</v>
      </c>
      <c r="N889" s="39" t="n">
        <f aca="false">J889*Resumo!$C$6</f>
        <v>0</v>
      </c>
      <c r="O889" s="39" t="n">
        <f aca="false">J889*Resumo!$C$7</f>
        <v>1.894158</v>
      </c>
      <c r="P889" s="39" t="n">
        <f aca="false">J889*Resumo!$C$8</f>
        <v>1.894158</v>
      </c>
      <c r="Q889" s="39" t="n">
        <f aca="false">Resumo!$C$10*CEILING(I889/100,1)</f>
        <v>1.05</v>
      </c>
      <c r="R889" s="39" t="n">
        <f aca="false">Resumo!$C$9</f>
        <v>0</v>
      </c>
      <c r="S889" s="39" t="n">
        <f aca="false">Resumo!$C$13</f>
        <v>13.55</v>
      </c>
      <c r="T889" s="39" t="n">
        <f aca="false">Resumo!$C$14*CEILING(I889,1)</f>
        <v>29.7</v>
      </c>
      <c r="U889" s="39" t="n">
        <f aca="false">SUM(M889:T889)*Resumo!$C$11</f>
        <v>0</v>
      </c>
      <c r="V889" s="39" t="n">
        <f aca="false">SUM(M889:U889)</f>
        <v>111.298316</v>
      </c>
      <c r="W889" s="39" t="n">
        <f aca="false">V889/(1-Resumo!$C$5)</f>
        <v>126.475359090909</v>
      </c>
      <c r="X889" s="39" t="n">
        <v>131.02</v>
      </c>
      <c r="Y889" s="39" t="n">
        <f aca="false">J889*Resumo!$B$6</f>
        <v>0.90198</v>
      </c>
      <c r="Z889" s="39" t="n">
        <f aca="false">J889*Resumo!$B$7</f>
        <v>1.80396</v>
      </c>
      <c r="AA889" s="39" t="n">
        <f aca="false">Resumo!$B$9</f>
        <v>1</v>
      </c>
      <c r="AB889" s="39" t="n">
        <f aca="false">Resumo!$B$10*CEILING(I889/100,1)</f>
        <v>4.5</v>
      </c>
      <c r="AC889" s="39" t="n">
        <f aca="false">Resumo!$B$12*CEILING(I889,1)</f>
        <v>3.96</v>
      </c>
      <c r="AD889" s="39" t="n">
        <f aca="false">Resumo!$B$14*CEILING(I889,1)</f>
        <v>29.7</v>
      </c>
      <c r="AE889" s="39" t="n">
        <f aca="false">SUM(X889:AD889)</f>
        <v>172.88594</v>
      </c>
      <c r="AF889" s="39" t="n">
        <f aca="false">AE889/(1-Resumo!$B$5)</f>
        <v>196.461295454545</v>
      </c>
      <c r="AG889" s="39" t="n">
        <f aca="false">AF889-W889</f>
        <v>69.9859363636364</v>
      </c>
      <c r="AH889" s="40" t="n">
        <f aca="false">AF889/W889-1</f>
        <v>0.553356296963199</v>
      </c>
      <c r="AI889" s="37" t="str">
        <f aca="false">IF(AF889&lt;W889,"SIM","NÃO")</f>
        <v>NÃO</v>
      </c>
      <c r="AJ889" s="37" t="n">
        <v>2</v>
      </c>
      <c r="AK889" s="37" t="n">
        <v>5</v>
      </c>
      <c r="AL889" s="37" t="s">
        <v>343</v>
      </c>
      <c r="AM889" s="39" t="n">
        <v>125.53</v>
      </c>
    </row>
    <row r="890" customFormat="false" ht="15" hidden="false" customHeight="false" outlineLevel="0" collapsed="false">
      <c r="A890" s="37" t="n">
        <v>374790833</v>
      </c>
      <c r="B890" s="38" t="n">
        <v>46245.7890162037</v>
      </c>
      <c r="C890" s="37" t="s">
        <v>340</v>
      </c>
      <c r="D890" s="37" t="s">
        <v>1199</v>
      </c>
      <c r="E890" s="37" t="n">
        <v>22765455</v>
      </c>
      <c r="F890" s="37" t="s">
        <v>159</v>
      </c>
      <c r="G890" s="37" t="s">
        <v>196</v>
      </c>
      <c r="H890" s="37" t="s">
        <v>185</v>
      </c>
      <c r="I890" s="37" t="n">
        <v>36.8</v>
      </c>
      <c r="J890" s="39" t="n">
        <v>439.99</v>
      </c>
      <c r="K890" s="37" t="s">
        <v>342</v>
      </c>
      <c r="L890" s="39" t="n">
        <v>91.97</v>
      </c>
      <c r="M890" s="39" t="n">
        <v>48.35</v>
      </c>
      <c r="N890" s="39" t="n">
        <f aca="false">J890*Resumo!$C$6</f>
        <v>0</v>
      </c>
      <c r="O890" s="39" t="n">
        <f aca="false">J890*Resumo!$C$7</f>
        <v>0.923979</v>
      </c>
      <c r="P890" s="39" t="n">
        <f aca="false">J890*Resumo!$C$8</f>
        <v>0.923979</v>
      </c>
      <c r="Q890" s="39" t="n">
        <f aca="false">Resumo!$C$10*CEILING(I890/100,1)</f>
        <v>1.05</v>
      </c>
      <c r="R890" s="39" t="n">
        <f aca="false">Resumo!$C$9</f>
        <v>0</v>
      </c>
      <c r="S890" s="39" t="n">
        <f aca="false">Resumo!$C$13</f>
        <v>13.55</v>
      </c>
      <c r="T890" s="39" t="n">
        <f aca="false">Resumo!$C$14*CEILING(I890,1)</f>
        <v>16.65</v>
      </c>
      <c r="U890" s="39" t="n">
        <f aca="false">SUM(M890:T890)*Resumo!$C$11</f>
        <v>0</v>
      </c>
      <c r="V890" s="39" t="n">
        <f aca="false">SUM(M890:U890)</f>
        <v>81.447958</v>
      </c>
      <c r="W890" s="39" t="n">
        <f aca="false">V890/(1-Resumo!$C$5)</f>
        <v>92.5544977272728</v>
      </c>
      <c r="X890" s="39" t="n">
        <v>93.97</v>
      </c>
      <c r="Y890" s="39" t="n">
        <f aca="false">J890*Resumo!$B$6</f>
        <v>0.43999</v>
      </c>
      <c r="Z890" s="39" t="n">
        <f aca="false">J890*Resumo!$B$7</f>
        <v>0.87998</v>
      </c>
      <c r="AA890" s="39" t="n">
        <f aca="false">Resumo!$B$9</f>
        <v>1</v>
      </c>
      <c r="AB890" s="39" t="n">
        <f aca="false">Resumo!$B$10*CEILING(I890/100,1)</f>
        <v>4.5</v>
      </c>
      <c r="AC890" s="39" t="n">
        <f aca="false">Resumo!$B$12*CEILING(I890,1)</f>
        <v>2.22</v>
      </c>
      <c r="AD890" s="39" t="n">
        <f aca="false">Resumo!$B$14*CEILING(I890,1)</f>
        <v>16.65</v>
      </c>
      <c r="AE890" s="39" t="n">
        <f aca="false">SUM(X890:AD890)</f>
        <v>119.65997</v>
      </c>
      <c r="AF890" s="39" t="n">
        <f aca="false">AE890/(1-Resumo!$B$5)</f>
        <v>135.977238636364</v>
      </c>
      <c r="AG890" s="39" t="n">
        <f aca="false">AF890-W890</f>
        <v>43.4227409090909</v>
      </c>
      <c r="AH890" s="40" t="n">
        <f aca="false">AF890/W890-1</f>
        <v>0.469158625192297</v>
      </c>
      <c r="AI890" s="37" t="str">
        <f aca="false">IF(AF890&lt;W890,"SIM","NÃO")</f>
        <v>NÃO</v>
      </c>
      <c r="AJ890" s="37" t="n">
        <v>2</v>
      </c>
      <c r="AK890" s="37" t="n">
        <v>5</v>
      </c>
      <c r="AL890" s="37" t="s">
        <v>343</v>
      </c>
      <c r="AM890" s="39" t="n">
        <v>91.96</v>
      </c>
    </row>
    <row r="891" customFormat="false" ht="15" hidden="false" customHeight="false" outlineLevel="0" collapsed="false">
      <c r="A891" s="37" t="n">
        <v>374800625</v>
      </c>
      <c r="B891" s="38" t="n">
        <v>46245.8042361111</v>
      </c>
      <c r="C891" s="37" t="s">
        <v>340</v>
      </c>
      <c r="D891" s="37" t="s">
        <v>1200</v>
      </c>
      <c r="E891" s="37" t="n">
        <v>21833050</v>
      </c>
      <c r="F891" s="37" t="s">
        <v>159</v>
      </c>
      <c r="G891" s="37" t="s">
        <v>196</v>
      </c>
      <c r="H891" s="37" t="s">
        <v>192</v>
      </c>
      <c r="I891" s="37" t="n">
        <v>127.8</v>
      </c>
      <c r="J891" s="39" t="n">
        <v>1429.99</v>
      </c>
      <c r="K891" s="37" t="s">
        <v>342</v>
      </c>
      <c r="L891" s="39" t="n">
        <v>233.15</v>
      </c>
      <c r="M891" s="39" t="n">
        <v>120.59</v>
      </c>
      <c r="N891" s="39" t="n">
        <f aca="false">J891*Resumo!$C$6</f>
        <v>0</v>
      </c>
      <c r="O891" s="39" t="n">
        <f aca="false">J891*Resumo!$C$7</f>
        <v>3.002979</v>
      </c>
      <c r="P891" s="39" t="n">
        <f aca="false">J891*Resumo!$C$8</f>
        <v>3.002979</v>
      </c>
      <c r="Q891" s="39" t="n">
        <f aca="false">Resumo!$C$10*CEILING(I891/100,1)</f>
        <v>2.1</v>
      </c>
      <c r="R891" s="39" t="n">
        <f aca="false">Resumo!$C$9</f>
        <v>0</v>
      </c>
      <c r="S891" s="39" t="n">
        <f aca="false">Resumo!$C$13</f>
        <v>13.55</v>
      </c>
      <c r="T891" s="39" t="n">
        <f aca="false">Resumo!$C$14*CEILING(I891,1)</f>
        <v>57.6</v>
      </c>
      <c r="U891" s="39" t="n">
        <f aca="false">SUM(M891:T891)*Resumo!$C$11</f>
        <v>0</v>
      </c>
      <c r="V891" s="39" t="n">
        <f aca="false">SUM(M891:U891)</f>
        <v>199.845958</v>
      </c>
      <c r="W891" s="39" t="n">
        <f aca="false">V891/(1-Resumo!$C$5)</f>
        <v>227.097679545455</v>
      </c>
      <c r="X891" s="39" t="n">
        <v>239.25</v>
      </c>
      <c r="Y891" s="39" t="n">
        <f aca="false">J891*Resumo!$B$6</f>
        <v>1.42999</v>
      </c>
      <c r="Z891" s="39" t="n">
        <f aca="false">J891*Resumo!$B$7</f>
        <v>2.85998</v>
      </c>
      <c r="AA891" s="39" t="n">
        <f aca="false">Resumo!$B$9</f>
        <v>1</v>
      </c>
      <c r="AB891" s="39" t="n">
        <f aca="false">Resumo!$B$10*CEILING(I891/100,1)</f>
        <v>9</v>
      </c>
      <c r="AC891" s="39" t="n">
        <f aca="false">Resumo!$B$12*CEILING(I891,1)</f>
        <v>7.68</v>
      </c>
      <c r="AD891" s="39" t="n">
        <f aca="false">Resumo!$B$14*CEILING(I891,1)</f>
        <v>57.6</v>
      </c>
      <c r="AE891" s="39" t="n">
        <f aca="false">SUM(X891:AD891)</f>
        <v>318.81997</v>
      </c>
      <c r="AF891" s="39" t="n">
        <f aca="false">AE891/(1-Resumo!$B$5)</f>
        <v>362.295420454546</v>
      </c>
      <c r="AG891" s="39" t="n">
        <f aca="false">AF891-W891</f>
        <v>135.197740909091</v>
      </c>
      <c r="AH891" s="40" t="n">
        <f aca="false">AF891/W891-1</f>
        <v>0.595328588031788</v>
      </c>
      <c r="AI891" s="37" t="str">
        <f aca="false">IF(AF891&lt;W891,"SIM","NÃO")</f>
        <v>NÃO</v>
      </c>
      <c r="AJ891" s="37" t="n">
        <v>2</v>
      </c>
      <c r="AK891" s="37" t="n">
        <v>5</v>
      </c>
      <c r="AL891" s="37" t="s">
        <v>343</v>
      </c>
      <c r="AM891" s="39" t="n">
        <v>233.14</v>
      </c>
    </row>
    <row r="892" customFormat="false" ht="15" hidden="false" customHeight="false" outlineLevel="0" collapsed="false">
      <c r="A892" s="37" t="n">
        <v>374809160</v>
      </c>
      <c r="B892" s="38" t="n">
        <v>46245.8224189815</v>
      </c>
      <c r="C892" s="37" t="s">
        <v>345</v>
      </c>
      <c r="D892" s="37" t="s">
        <v>1201</v>
      </c>
      <c r="E892" s="37" t="n">
        <v>22783116</v>
      </c>
      <c r="F892" s="37" t="s">
        <v>159</v>
      </c>
      <c r="G892" s="37" t="s">
        <v>196</v>
      </c>
      <c r="H892" s="37" t="s">
        <v>187</v>
      </c>
      <c r="I892" s="37" t="n">
        <v>56.7</v>
      </c>
      <c r="J892" s="39" t="n">
        <v>698.39</v>
      </c>
      <c r="K892" s="37" t="s">
        <v>342</v>
      </c>
      <c r="L892" s="39" t="n">
        <v>114.5</v>
      </c>
      <c r="M892" s="39" t="n">
        <v>58.6</v>
      </c>
      <c r="N892" s="39" t="n">
        <f aca="false">J892*Resumo!$C$6</f>
        <v>0</v>
      </c>
      <c r="O892" s="39" t="n">
        <f aca="false">J892*Resumo!$C$7</f>
        <v>1.466619</v>
      </c>
      <c r="P892" s="39" t="n">
        <f aca="false">J892*Resumo!$C$8</f>
        <v>1.466619</v>
      </c>
      <c r="Q892" s="39" t="n">
        <f aca="false">Resumo!$C$10*CEILING(I892/100,1)</f>
        <v>1.05</v>
      </c>
      <c r="R892" s="39" t="n">
        <f aca="false">Resumo!$C$9</f>
        <v>0</v>
      </c>
      <c r="S892" s="39" t="n">
        <f aca="false">Resumo!$C$13</f>
        <v>13.55</v>
      </c>
      <c r="T892" s="39" t="n">
        <f aca="false">Resumo!$C$14*CEILING(I892,1)</f>
        <v>25.65</v>
      </c>
      <c r="U892" s="39" t="n">
        <f aca="false">SUM(M892:T892)*Resumo!$C$11</f>
        <v>0</v>
      </c>
      <c r="V892" s="39" t="n">
        <f aca="false">SUM(M892:U892)</f>
        <v>101.783238</v>
      </c>
      <c r="W892" s="39" t="n">
        <f aca="false">V892/(1-Resumo!$C$5)</f>
        <v>115.662770454545</v>
      </c>
      <c r="X892" s="39" t="n">
        <v>112.3</v>
      </c>
      <c r="Y892" s="39" t="n">
        <f aca="false">J892*Resumo!$B$6</f>
        <v>0.69839</v>
      </c>
      <c r="Z892" s="39" t="n">
        <f aca="false">J892*Resumo!$B$7</f>
        <v>1.39678</v>
      </c>
      <c r="AA892" s="39" t="n">
        <f aca="false">Resumo!$B$9</f>
        <v>1</v>
      </c>
      <c r="AB892" s="39" t="n">
        <f aca="false">Resumo!$B$10*CEILING(I892/100,1)</f>
        <v>4.5</v>
      </c>
      <c r="AC892" s="39" t="n">
        <f aca="false">Resumo!$B$12*CEILING(I892,1)</f>
        <v>3.42</v>
      </c>
      <c r="AD892" s="39" t="n">
        <f aca="false">Resumo!$B$14*CEILING(I892,1)</f>
        <v>25.65</v>
      </c>
      <c r="AE892" s="39" t="n">
        <f aca="false">SUM(X892:AD892)</f>
        <v>148.96517</v>
      </c>
      <c r="AF892" s="39" t="n">
        <f aca="false">AE892/(1-Resumo!$B$5)</f>
        <v>169.278602272727</v>
      </c>
      <c r="AG892" s="39" t="n">
        <f aca="false">AF892-W892</f>
        <v>53.6158318181818</v>
      </c>
      <c r="AH892" s="40" t="n">
        <f aca="false">AF892/W892-1</f>
        <v>0.463553065584335</v>
      </c>
      <c r="AI892" s="37" t="str">
        <f aca="false">IF(AF892&lt;W892,"SIM","NÃO")</f>
        <v>NÃO</v>
      </c>
      <c r="AJ892" s="37" t="n">
        <v>2</v>
      </c>
      <c r="AK892" s="37" t="n">
        <v>5</v>
      </c>
      <c r="AL892" s="37" t="s">
        <v>343</v>
      </c>
      <c r="AM892" s="39" t="n">
        <v>114.5</v>
      </c>
    </row>
    <row r="893" customFormat="false" ht="15" hidden="false" customHeight="false" outlineLevel="0" collapsed="false">
      <c r="A893" s="37" t="n">
        <v>374823827</v>
      </c>
      <c r="B893" s="38" t="n">
        <v>46245.8471875</v>
      </c>
      <c r="C893" s="37" t="s">
        <v>340</v>
      </c>
      <c r="D893" s="37" t="s">
        <v>1202</v>
      </c>
      <c r="E893" s="37" t="n">
        <v>23093146</v>
      </c>
      <c r="F893" s="37" t="s">
        <v>159</v>
      </c>
      <c r="G893" s="37" t="s">
        <v>196</v>
      </c>
      <c r="H893" s="37" t="s">
        <v>185</v>
      </c>
      <c r="I893" s="37" t="n">
        <v>37.6</v>
      </c>
      <c r="J893" s="39" t="n">
        <v>391.05</v>
      </c>
      <c r="K893" s="37" t="s">
        <v>518</v>
      </c>
      <c r="L893" s="39" t="n">
        <v>92.83</v>
      </c>
      <c r="M893" s="39" t="n">
        <v>48.35</v>
      </c>
      <c r="N893" s="39" t="n">
        <f aca="false">J893*Resumo!$C$6</f>
        <v>0</v>
      </c>
      <c r="O893" s="39" t="n">
        <f aca="false">J893*Resumo!$C$7</f>
        <v>0.821205</v>
      </c>
      <c r="P893" s="39" t="n">
        <f aca="false">J893*Resumo!$C$8</f>
        <v>0.821205</v>
      </c>
      <c r="Q893" s="39" t="n">
        <f aca="false">Resumo!$C$10*CEILING(I893/100,1)</f>
        <v>1.05</v>
      </c>
      <c r="R893" s="39" t="n">
        <f aca="false">Resumo!$C$9</f>
        <v>0</v>
      </c>
      <c r="S893" s="39" t="n">
        <f aca="false">Resumo!$C$13</f>
        <v>13.55</v>
      </c>
      <c r="T893" s="39" t="n">
        <f aca="false">Resumo!$C$14*CEILING(I893,1)</f>
        <v>17.1</v>
      </c>
      <c r="U893" s="39" t="n">
        <f aca="false">SUM(M893:T893)*Resumo!$C$11</f>
        <v>0</v>
      </c>
      <c r="V893" s="39" t="n">
        <f aca="false">SUM(M893:U893)</f>
        <v>81.69241</v>
      </c>
      <c r="W893" s="39" t="n">
        <f aca="false">V893/(1-Resumo!$C$5)</f>
        <v>92.8322840909091</v>
      </c>
      <c r="X893" s="39" t="n">
        <v>93.97</v>
      </c>
      <c r="Y893" s="39" t="n">
        <f aca="false">J893*Resumo!$B$6</f>
        <v>0.39105</v>
      </c>
      <c r="Z893" s="39" t="n">
        <f aca="false">J893*Resumo!$B$7</f>
        <v>0.7821</v>
      </c>
      <c r="AA893" s="39" t="n">
        <f aca="false">Resumo!$B$9</f>
        <v>1</v>
      </c>
      <c r="AB893" s="39" t="n">
        <f aca="false">Resumo!$B$10*CEILING(I893/100,1)</f>
        <v>4.5</v>
      </c>
      <c r="AC893" s="39" t="n">
        <f aca="false">Resumo!$B$12*CEILING(I893,1)</f>
        <v>2.28</v>
      </c>
      <c r="AD893" s="39" t="n">
        <f aca="false">Resumo!$B$14*CEILING(I893,1)</f>
        <v>17.1</v>
      </c>
      <c r="AE893" s="39" t="n">
        <f aca="false">SUM(X893:AD893)</f>
        <v>120.02315</v>
      </c>
      <c r="AF893" s="39" t="n">
        <f aca="false">AE893/(1-Resumo!$B$5)</f>
        <v>136.389943181818</v>
      </c>
      <c r="AG893" s="39" t="n">
        <f aca="false">AF893-W893</f>
        <v>43.5576590909091</v>
      </c>
      <c r="AH893" s="40" t="n">
        <f aca="false">AF893/W893-1</f>
        <v>0.469208094117923</v>
      </c>
      <c r="AI893" s="37" t="str">
        <f aca="false">IF(AF893&lt;W893,"SIM","NÃO")</f>
        <v>NÃO</v>
      </c>
      <c r="AJ893" s="37" t="n">
        <v>2</v>
      </c>
      <c r="AK893" s="37" t="n">
        <v>5</v>
      </c>
      <c r="AL893" s="37" t="s">
        <v>343</v>
      </c>
      <c r="AM893" s="39" t="n">
        <v>91.73</v>
      </c>
    </row>
    <row r="894" customFormat="false" ht="15" hidden="false" customHeight="false" outlineLevel="0" collapsed="false">
      <c r="A894" s="37" t="n">
        <v>374836618</v>
      </c>
      <c r="B894" s="38" t="n">
        <v>46245.8625</v>
      </c>
      <c r="C894" s="37" t="s">
        <v>340</v>
      </c>
      <c r="D894" s="37" t="s">
        <v>552</v>
      </c>
      <c r="E894" s="37" t="n">
        <v>28540000</v>
      </c>
      <c r="F894" s="37" t="s">
        <v>275</v>
      </c>
      <c r="G894" s="37" t="s">
        <v>198</v>
      </c>
      <c r="H894" s="37" t="s">
        <v>187</v>
      </c>
      <c r="I894" s="37" t="n">
        <v>52.3</v>
      </c>
      <c r="J894" s="39" t="n">
        <v>616.99</v>
      </c>
      <c r="K894" s="37" t="s">
        <v>518</v>
      </c>
      <c r="L894" s="39" t="n">
        <v>141.63</v>
      </c>
      <c r="M894" s="39" t="n">
        <v>83.58</v>
      </c>
      <c r="N894" s="39" t="n">
        <f aca="false">J894*Resumo!$C$6</f>
        <v>0</v>
      </c>
      <c r="O894" s="39" t="n">
        <f aca="false">J894*Resumo!$C$7</f>
        <v>1.295679</v>
      </c>
      <c r="P894" s="39" t="n">
        <f aca="false">J894*Resumo!$C$8</f>
        <v>1.295679</v>
      </c>
      <c r="Q894" s="39" t="n">
        <f aca="false">Resumo!$C$10*CEILING(I894/100,1)</f>
        <v>1.05</v>
      </c>
      <c r="R894" s="39" t="n">
        <f aca="false">Resumo!$C$9</f>
        <v>0</v>
      </c>
      <c r="S894" s="39" t="n">
        <f aca="false">Resumo!$C$13</f>
        <v>13.55</v>
      </c>
      <c r="T894" s="39" t="n">
        <f aca="false">Resumo!$C$14*CEILING(I894,1)</f>
        <v>23.85</v>
      </c>
      <c r="U894" s="39" t="n">
        <f aca="false">SUM(M894:T894)*Resumo!$C$11</f>
        <v>0</v>
      </c>
      <c r="V894" s="39" t="n">
        <f aca="false">SUM(M894:U894)</f>
        <v>124.621358</v>
      </c>
      <c r="W894" s="39" t="n">
        <f aca="false">V894/(1-Resumo!$C$5)</f>
        <v>141.615179545455</v>
      </c>
      <c r="X894" s="39" t="n">
        <v>144.53</v>
      </c>
      <c r="Y894" s="39" t="n">
        <f aca="false">J894*Resumo!$B$6</f>
        <v>0.61699</v>
      </c>
      <c r="Z894" s="39" t="n">
        <f aca="false">J894*Resumo!$B$7</f>
        <v>1.23398</v>
      </c>
      <c r="AA894" s="39" t="n">
        <f aca="false">Resumo!$B$9</f>
        <v>1</v>
      </c>
      <c r="AB894" s="39" t="n">
        <f aca="false">Resumo!$B$10*CEILING(I894/100,1)</f>
        <v>4.5</v>
      </c>
      <c r="AC894" s="39" t="n">
        <f aca="false">Resumo!$B$12*CEILING(I894,1)</f>
        <v>3.18</v>
      </c>
      <c r="AD894" s="39" t="n">
        <f aca="false">Resumo!$B$14*CEILING(I894,1)</f>
        <v>23.85</v>
      </c>
      <c r="AE894" s="39" t="n">
        <f aca="false">SUM(X894:AD894)</f>
        <v>178.91097</v>
      </c>
      <c r="AF894" s="39" t="n">
        <f aca="false">AE894/(1-Resumo!$B$5)</f>
        <v>203.307920454545</v>
      </c>
      <c r="AG894" s="39" t="n">
        <f aca="false">AF894-W894</f>
        <v>61.6927409090909</v>
      </c>
      <c r="AH894" s="40" t="n">
        <f aca="false">AF894/W894-1</f>
        <v>0.43563649819961</v>
      </c>
      <c r="AI894" s="37" t="str">
        <f aca="false">IF(AF894&lt;W894,"SIM","NÃO")</f>
        <v>NÃO</v>
      </c>
      <c r="AJ894" s="37" t="n">
        <v>13</v>
      </c>
      <c r="AK894" s="37" t="n">
        <v>10</v>
      </c>
      <c r="AL894" s="37" t="s">
        <v>347</v>
      </c>
      <c r="AM894" s="39" t="n">
        <v>142.63</v>
      </c>
    </row>
    <row r="895" customFormat="false" ht="15" hidden="false" customHeight="false" outlineLevel="0" collapsed="false">
      <c r="A895" s="37" t="n">
        <v>374839975</v>
      </c>
      <c r="B895" s="38" t="n">
        <v>46245.8667824074</v>
      </c>
      <c r="C895" s="37" t="s">
        <v>340</v>
      </c>
      <c r="D895" s="37" t="s">
        <v>1203</v>
      </c>
      <c r="E895" s="37" t="n">
        <v>22750300</v>
      </c>
      <c r="F895" s="37" t="s">
        <v>159</v>
      </c>
      <c r="G895" s="37" t="s">
        <v>196</v>
      </c>
      <c r="H895" s="37" t="s">
        <v>187</v>
      </c>
      <c r="I895" s="37" t="n">
        <v>52.3</v>
      </c>
      <c r="J895" s="39" t="n">
        <v>643.99</v>
      </c>
      <c r="K895" s="37" t="s">
        <v>342</v>
      </c>
      <c r="L895" s="39" t="n">
        <v>114.24</v>
      </c>
      <c r="M895" s="39" t="n">
        <v>58.6</v>
      </c>
      <c r="N895" s="39" t="n">
        <f aca="false">J895*Resumo!$C$6</f>
        <v>0</v>
      </c>
      <c r="O895" s="39" t="n">
        <f aca="false">J895*Resumo!$C$7</f>
        <v>1.352379</v>
      </c>
      <c r="P895" s="39" t="n">
        <f aca="false">J895*Resumo!$C$8</f>
        <v>1.352379</v>
      </c>
      <c r="Q895" s="39" t="n">
        <f aca="false">Resumo!$C$10*CEILING(I895/100,1)</f>
        <v>1.05</v>
      </c>
      <c r="R895" s="39" t="n">
        <f aca="false">Resumo!$C$9</f>
        <v>0</v>
      </c>
      <c r="S895" s="39" t="n">
        <f aca="false">Resumo!$C$13</f>
        <v>13.55</v>
      </c>
      <c r="T895" s="39" t="n">
        <f aca="false">Resumo!$C$14*CEILING(I895,1)</f>
        <v>23.85</v>
      </c>
      <c r="U895" s="39" t="n">
        <f aca="false">SUM(M895:T895)*Resumo!$C$11</f>
        <v>0</v>
      </c>
      <c r="V895" s="39" t="n">
        <f aca="false">SUM(M895:U895)</f>
        <v>99.754758</v>
      </c>
      <c r="W895" s="39" t="n">
        <f aca="false">V895/(1-Resumo!$C$5)</f>
        <v>113.357679545455</v>
      </c>
      <c r="X895" s="39" t="n">
        <v>112.3</v>
      </c>
      <c r="Y895" s="39" t="n">
        <f aca="false">J895*Resumo!$B$6</f>
        <v>0.64399</v>
      </c>
      <c r="Z895" s="39" t="n">
        <f aca="false">J895*Resumo!$B$7</f>
        <v>1.28798</v>
      </c>
      <c r="AA895" s="39" t="n">
        <f aca="false">Resumo!$B$9</f>
        <v>1</v>
      </c>
      <c r="AB895" s="39" t="n">
        <f aca="false">Resumo!$B$10*CEILING(I895/100,1)</f>
        <v>4.5</v>
      </c>
      <c r="AC895" s="39" t="n">
        <f aca="false">Resumo!$B$12*CEILING(I895,1)</f>
        <v>3.18</v>
      </c>
      <c r="AD895" s="39" t="n">
        <f aca="false">Resumo!$B$14*CEILING(I895,1)</f>
        <v>23.85</v>
      </c>
      <c r="AE895" s="39" t="n">
        <f aca="false">SUM(X895:AD895)</f>
        <v>146.76197</v>
      </c>
      <c r="AF895" s="39" t="n">
        <f aca="false">AE895/(1-Resumo!$B$5)</f>
        <v>166.774965909091</v>
      </c>
      <c r="AG895" s="39" t="n">
        <f aca="false">AF895-W895</f>
        <v>53.4172863636363</v>
      </c>
      <c r="AH895" s="40" t="n">
        <f aca="false">AF895/W895-1</f>
        <v>0.471227768403788</v>
      </c>
      <c r="AI895" s="37" t="str">
        <f aca="false">IF(AF895&lt;W895,"SIM","NÃO")</f>
        <v>NÃO</v>
      </c>
      <c r="AJ895" s="37" t="n">
        <v>2</v>
      </c>
      <c r="AK895" s="37" t="n">
        <v>5</v>
      </c>
      <c r="AL895" s="37" t="s">
        <v>343</v>
      </c>
      <c r="AM895" s="39" t="n">
        <v>114.23</v>
      </c>
    </row>
    <row r="896" customFormat="false" ht="15" hidden="false" customHeight="false" outlineLevel="0" collapsed="false">
      <c r="A896" s="37" t="n">
        <v>374857412</v>
      </c>
      <c r="B896" s="38" t="n">
        <v>46245.8897337963</v>
      </c>
      <c r="C896" s="37" t="s">
        <v>345</v>
      </c>
      <c r="D896" s="37" t="s">
        <v>1204</v>
      </c>
      <c r="E896" s="37" t="n">
        <v>21236020</v>
      </c>
      <c r="F896" s="37" t="s">
        <v>159</v>
      </c>
      <c r="G896" s="37" t="s">
        <v>196</v>
      </c>
      <c r="H896" s="37" t="s">
        <v>187</v>
      </c>
      <c r="I896" s="37" t="n">
        <v>52.3</v>
      </c>
      <c r="J896" s="39" t="n">
        <v>640.18</v>
      </c>
      <c r="K896" s="37" t="s">
        <v>342</v>
      </c>
      <c r="L896" s="39" t="n">
        <v>114.22</v>
      </c>
      <c r="M896" s="39" t="n">
        <v>58.6</v>
      </c>
      <c r="N896" s="39" t="n">
        <f aca="false">J896*Resumo!$C$6</f>
        <v>0</v>
      </c>
      <c r="O896" s="39" t="n">
        <f aca="false">J896*Resumo!$C$7</f>
        <v>1.344378</v>
      </c>
      <c r="P896" s="39" t="n">
        <f aca="false">J896*Resumo!$C$8</f>
        <v>1.344378</v>
      </c>
      <c r="Q896" s="39" t="n">
        <f aca="false">Resumo!$C$10*CEILING(I896/100,1)</f>
        <v>1.05</v>
      </c>
      <c r="R896" s="39" t="n">
        <f aca="false">Resumo!$C$9</f>
        <v>0</v>
      </c>
      <c r="S896" s="39" t="n">
        <f aca="false">Resumo!$C$13</f>
        <v>13.55</v>
      </c>
      <c r="T896" s="39" t="n">
        <f aca="false">Resumo!$C$14*CEILING(I896,1)</f>
        <v>23.85</v>
      </c>
      <c r="U896" s="39" t="n">
        <f aca="false">SUM(M896:T896)*Resumo!$C$11</f>
        <v>0</v>
      </c>
      <c r="V896" s="39" t="n">
        <f aca="false">SUM(M896:U896)</f>
        <v>99.738756</v>
      </c>
      <c r="W896" s="39" t="n">
        <f aca="false">V896/(1-Resumo!$C$5)</f>
        <v>113.339495454545</v>
      </c>
      <c r="X896" s="39" t="n">
        <v>112.3</v>
      </c>
      <c r="Y896" s="39" t="n">
        <f aca="false">J896*Resumo!$B$6</f>
        <v>0.64018</v>
      </c>
      <c r="Z896" s="39" t="n">
        <f aca="false">J896*Resumo!$B$7</f>
        <v>1.28036</v>
      </c>
      <c r="AA896" s="39" t="n">
        <f aca="false">Resumo!$B$9</f>
        <v>1</v>
      </c>
      <c r="AB896" s="39" t="n">
        <f aca="false">Resumo!$B$10*CEILING(I896/100,1)</f>
        <v>4.5</v>
      </c>
      <c r="AC896" s="39" t="n">
        <f aca="false">Resumo!$B$12*CEILING(I896,1)</f>
        <v>3.18</v>
      </c>
      <c r="AD896" s="39" t="n">
        <f aca="false">Resumo!$B$14*CEILING(I896,1)</f>
        <v>23.85</v>
      </c>
      <c r="AE896" s="39" t="n">
        <f aca="false">SUM(X896:AD896)</f>
        <v>146.75054</v>
      </c>
      <c r="AF896" s="39" t="n">
        <f aca="false">AE896/(1-Resumo!$B$5)</f>
        <v>166.761977272727</v>
      </c>
      <c r="AG896" s="39" t="n">
        <f aca="false">AF896-W896</f>
        <v>53.4224818181818</v>
      </c>
      <c r="AH896" s="40" t="n">
        <f aca="false">AF896/W896-1</f>
        <v>0.471349211534181</v>
      </c>
      <c r="AI896" s="37" t="str">
        <f aca="false">IF(AF896&lt;W896,"SIM","NÃO")</f>
        <v>NÃO</v>
      </c>
      <c r="AJ896" s="37" t="n">
        <v>2</v>
      </c>
      <c r="AK896" s="37" t="n">
        <v>5</v>
      </c>
      <c r="AL896" s="37" t="s">
        <v>343</v>
      </c>
      <c r="AM896" s="39" t="n">
        <v>114.22</v>
      </c>
    </row>
    <row r="897" customFormat="false" ht="15" hidden="false" customHeight="false" outlineLevel="0" collapsed="false">
      <c r="A897" s="37" t="n">
        <v>374862950</v>
      </c>
      <c r="B897" s="38" t="n">
        <v>46245.8984490741</v>
      </c>
      <c r="C897" s="37" t="s">
        <v>345</v>
      </c>
      <c r="D897" s="37" t="s">
        <v>1205</v>
      </c>
      <c r="E897" s="37" t="n">
        <v>23032310</v>
      </c>
      <c r="F897" s="37" t="s">
        <v>159</v>
      </c>
      <c r="G897" s="37" t="s">
        <v>196</v>
      </c>
      <c r="H897" s="37" t="s">
        <v>185</v>
      </c>
      <c r="I897" s="37" t="n">
        <v>36.8</v>
      </c>
      <c r="J897" s="39" t="n">
        <v>444.99</v>
      </c>
      <c r="K897" s="37" t="s">
        <v>518</v>
      </c>
      <c r="L897" s="39" t="n">
        <v>92.57</v>
      </c>
      <c r="M897" s="39" t="n">
        <v>48.35</v>
      </c>
      <c r="N897" s="39" t="n">
        <f aca="false">J897*Resumo!$C$6</f>
        <v>0</v>
      </c>
      <c r="O897" s="39" t="n">
        <f aca="false">J897*Resumo!$C$7</f>
        <v>0.934479</v>
      </c>
      <c r="P897" s="39" t="n">
        <f aca="false">J897*Resumo!$C$8</f>
        <v>0.934479</v>
      </c>
      <c r="Q897" s="39" t="n">
        <f aca="false">Resumo!$C$10*CEILING(I897/100,1)</f>
        <v>1.05</v>
      </c>
      <c r="R897" s="39" t="n">
        <f aca="false">Resumo!$C$9</f>
        <v>0</v>
      </c>
      <c r="S897" s="39" t="n">
        <f aca="false">Resumo!$C$13</f>
        <v>13.55</v>
      </c>
      <c r="T897" s="39" t="n">
        <f aca="false">Resumo!$C$14*CEILING(I897,1)</f>
        <v>16.65</v>
      </c>
      <c r="U897" s="39" t="n">
        <f aca="false">SUM(M897:T897)*Resumo!$C$11</f>
        <v>0</v>
      </c>
      <c r="V897" s="39" t="n">
        <f aca="false">SUM(M897:U897)</f>
        <v>81.468958</v>
      </c>
      <c r="W897" s="39" t="n">
        <f aca="false">V897/(1-Resumo!$C$5)</f>
        <v>92.5783613636364</v>
      </c>
      <c r="X897" s="39" t="n">
        <v>93.97</v>
      </c>
      <c r="Y897" s="39" t="n">
        <f aca="false">J897*Resumo!$B$6</f>
        <v>0.44499</v>
      </c>
      <c r="Z897" s="39" t="n">
        <f aca="false">J897*Resumo!$B$7</f>
        <v>0.88998</v>
      </c>
      <c r="AA897" s="39" t="n">
        <f aca="false">Resumo!$B$9</f>
        <v>1</v>
      </c>
      <c r="AB897" s="39" t="n">
        <f aca="false">Resumo!$B$10*CEILING(I897/100,1)</f>
        <v>4.5</v>
      </c>
      <c r="AC897" s="39" t="n">
        <f aca="false">Resumo!$B$12*CEILING(I897,1)</f>
        <v>2.22</v>
      </c>
      <c r="AD897" s="39" t="n">
        <f aca="false">Resumo!$B$14*CEILING(I897,1)</f>
        <v>16.65</v>
      </c>
      <c r="AE897" s="39" t="n">
        <f aca="false">SUM(X897:AD897)</f>
        <v>119.67497</v>
      </c>
      <c r="AF897" s="39" t="n">
        <f aca="false">AE897/(1-Resumo!$B$5)</f>
        <v>135.994284090909</v>
      </c>
      <c r="AG897" s="39" t="n">
        <f aca="false">AF897-W897</f>
        <v>43.4159227272727</v>
      </c>
      <c r="AH897" s="40" t="n">
        <f aca="false">AF897/W897-1</f>
        <v>0.468964043949108</v>
      </c>
      <c r="AI897" s="37" t="str">
        <f aca="false">IF(AF897&lt;W897,"SIM","NÃO")</f>
        <v>NÃO</v>
      </c>
      <c r="AJ897" s="37" t="n">
        <v>2</v>
      </c>
      <c r="AK897" s="37" t="n">
        <v>5</v>
      </c>
      <c r="AL897" s="37" t="s">
        <v>343</v>
      </c>
      <c r="AM897" s="39" t="n">
        <v>91.99</v>
      </c>
    </row>
    <row r="898" customFormat="false" ht="15" hidden="false" customHeight="false" outlineLevel="0" collapsed="false">
      <c r="A898" s="37" t="n">
        <v>374863275</v>
      </c>
      <c r="B898" s="38" t="n">
        <v>46245.8988078704</v>
      </c>
      <c r="C898" s="37" t="s">
        <v>340</v>
      </c>
      <c r="D898" s="37" t="s">
        <v>1206</v>
      </c>
      <c r="E898" s="37" t="n">
        <v>26562040</v>
      </c>
      <c r="F898" s="37" t="s">
        <v>175</v>
      </c>
      <c r="G898" s="37" t="s">
        <v>197</v>
      </c>
      <c r="H898" s="37" t="s">
        <v>184</v>
      </c>
      <c r="I898" s="37" t="n">
        <v>33.3</v>
      </c>
      <c r="J898" s="39" t="n">
        <v>389.99</v>
      </c>
      <c r="K898" s="37" t="s">
        <v>518</v>
      </c>
      <c r="L898" s="39" t="n">
        <v>102.66</v>
      </c>
      <c r="M898" s="39" t="n">
        <v>58.8</v>
      </c>
      <c r="N898" s="39" t="n">
        <f aca="false">J898*Resumo!$C$6</f>
        <v>0</v>
      </c>
      <c r="O898" s="39" t="n">
        <f aca="false">J898*Resumo!$C$7</f>
        <v>0.818979</v>
      </c>
      <c r="P898" s="39" t="n">
        <f aca="false">J898*Resumo!$C$8</f>
        <v>0.818979</v>
      </c>
      <c r="Q898" s="39" t="n">
        <f aca="false">Resumo!$C$10*CEILING(I898/100,1)</f>
        <v>1.05</v>
      </c>
      <c r="R898" s="39" t="n">
        <f aca="false">Resumo!$C$9</f>
        <v>0</v>
      </c>
      <c r="S898" s="39" t="n">
        <f aca="false">Resumo!$C$13</f>
        <v>13.55</v>
      </c>
      <c r="T898" s="39" t="n">
        <f aca="false">Resumo!$C$14*CEILING(I898,1)</f>
        <v>15.3</v>
      </c>
      <c r="U898" s="39" t="n">
        <f aca="false">SUM(M898:T898)*Resumo!$C$11</f>
        <v>0</v>
      </c>
      <c r="V898" s="39" t="n">
        <f aca="false">SUM(M898:U898)</f>
        <v>90.337958</v>
      </c>
      <c r="W898" s="39" t="n">
        <f aca="false">V898/(1-Resumo!$C$5)</f>
        <v>102.656770454545</v>
      </c>
      <c r="X898" s="39" t="n">
        <v>82.21</v>
      </c>
      <c r="Y898" s="39" t="n">
        <f aca="false">J898*Resumo!$B$6</f>
        <v>0.38999</v>
      </c>
      <c r="Z898" s="39" t="n">
        <f aca="false">J898*Resumo!$B$7</f>
        <v>0.77998</v>
      </c>
      <c r="AA898" s="39" t="n">
        <f aca="false">Resumo!$B$9</f>
        <v>1</v>
      </c>
      <c r="AB898" s="39" t="n">
        <f aca="false">Resumo!$B$10*CEILING(I898/100,1)</f>
        <v>4.5</v>
      </c>
      <c r="AC898" s="39" t="n">
        <f aca="false">Resumo!$B$12*CEILING(I898,1)</f>
        <v>2.04</v>
      </c>
      <c r="AD898" s="39" t="n">
        <f aca="false">Resumo!$B$14*CEILING(I898,1)</f>
        <v>15.3</v>
      </c>
      <c r="AE898" s="39" t="n">
        <f aca="false">SUM(X898:AD898)</f>
        <v>106.21997</v>
      </c>
      <c r="AF898" s="39" t="n">
        <f aca="false">AE898/(1-Resumo!$B$5)</f>
        <v>120.704511363636</v>
      </c>
      <c r="AG898" s="39" t="n">
        <f aca="false">AF898-W898</f>
        <v>18.0477409090909</v>
      </c>
      <c r="AH898" s="40" t="n">
        <f aca="false">AF898/W898-1</f>
        <v>0.175806630475309</v>
      </c>
      <c r="AI898" s="37" t="str">
        <f aca="false">IF(AF898&lt;W898,"SIM","NÃO")</f>
        <v>NÃO</v>
      </c>
      <c r="AJ898" s="37" t="n">
        <v>2</v>
      </c>
      <c r="AK898" s="37" t="n">
        <v>5</v>
      </c>
      <c r="AL898" s="37" t="s">
        <v>343</v>
      </c>
      <c r="AM898" s="39" t="n">
        <v>101.26</v>
      </c>
    </row>
    <row r="899" customFormat="false" ht="15" hidden="false" customHeight="false" outlineLevel="0" collapsed="false">
      <c r="A899" s="37" t="n">
        <v>374880207</v>
      </c>
      <c r="B899" s="38" t="n">
        <v>46245.9190277778</v>
      </c>
      <c r="C899" s="37" t="s">
        <v>345</v>
      </c>
      <c r="D899" s="37" t="s">
        <v>1207</v>
      </c>
      <c r="E899" s="37" t="n">
        <v>20785342</v>
      </c>
      <c r="F899" s="37" t="s">
        <v>159</v>
      </c>
      <c r="G899" s="37" t="s">
        <v>196</v>
      </c>
      <c r="H899" s="37" t="s">
        <v>187</v>
      </c>
      <c r="I899" s="37" t="n">
        <v>54.1</v>
      </c>
      <c r="J899" s="39" t="n">
        <v>1023.68</v>
      </c>
      <c r="K899" s="37" t="s">
        <v>342</v>
      </c>
      <c r="L899" s="39" t="n">
        <v>116.06</v>
      </c>
      <c r="M899" s="39" t="n">
        <v>58.6</v>
      </c>
      <c r="N899" s="39" t="n">
        <f aca="false">J899*Resumo!$C$6</f>
        <v>0</v>
      </c>
      <c r="O899" s="39" t="n">
        <f aca="false">J899*Resumo!$C$7</f>
        <v>2.149728</v>
      </c>
      <c r="P899" s="39" t="n">
        <f aca="false">J899*Resumo!$C$8</f>
        <v>2.149728</v>
      </c>
      <c r="Q899" s="39" t="n">
        <f aca="false">Resumo!$C$10*CEILING(I899/100,1)</f>
        <v>1.05</v>
      </c>
      <c r="R899" s="39" t="n">
        <f aca="false">Resumo!$C$9</f>
        <v>0</v>
      </c>
      <c r="S899" s="39" t="n">
        <f aca="false">Resumo!$C$13</f>
        <v>13.55</v>
      </c>
      <c r="T899" s="39" t="n">
        <f aca="false">Resumo!$C$14*CEILING(I899,1)</f>
        <v>24.75</v>
      </c>
      <c r="U899" s="39" t="n">
        <f aca="false">SUM(M899:T899)*Resumo!$C$11</f>
        <v>0</v>
      </c>
      <c r="V899" s="39" t="n">
        <f aca="false">SUM(M899:U899)</f>
        <v>102.249456</v>
      </c>
      <c r="W899" s="39" t="n">
        <f aca="false">V899/(1-Resumo!$C$5)</f>
        <v>116.192563636364</v>
      </c>
      <c r="X899" s="39" t="n">
        <v>112.3</v>
      </c>
      <c r="Y899" s="39" t="n">
        <f aca="false">J899*Resumo!$B$6</f>
        <v>1.02368</v>
      </c>
      <c r="Z899" s="39" t="n">
        <f aca="false">J899*Resumo!$B$7</f>
        <v>2.04736</v>
      </c>
      <c r="AA899" s="39" t="n">
        <f aca="false">Resumo!$B$9</f>
        <v>1</v>
      </c>
      <c r="AB899" s="39" t="n">
        <f aca="false">Resumo!$B$10*CEILING(I899/100,1)</f>
        <v>4.5</v>
      </c>
      <c r="AC899" s="39" t="n">
        <f aca="false">Resumo!$B$12*CEILING(I899,1)</f>
        <v>3.3</v>
      </c>
      <c r="AD899" s="39" t="n">
        <f aca="false">Resumo!$B$14*CEILING(I899,1)</f>
        <v>24.75</v>
      </c>
      <c r="AE899" s="39" t="n">
        <f aca="false">SUM(X899:AD899)</f>
        <v>148.92104</v>
      </c>
      <c r="AF899" s="39" t="n">
        <f aca="false">AE899/(1-Resumo!$B$5)</f>
        <v>169.228454545455</v>
      </c>
      <c r="AG899" s="39" t="n">
        <f aca="false">AF899-W899</f>
        <v>53.0358909090909</v>
      </c>
      <c r="AH899" s="40" t="n">
        <f aca="false">AF899/W899-1</f>
        <v>0.4564482377295</v>
      </c>
      <c r="AI899" s="37" t="str">
        <f aca="false">IF(AF899&lt;W899,"SIM","NÃO")</f>
        <v>NÃO</v>
      </c>
      <c r="AJ899" s="37" t="n">
        <v>2</v>
      </c>
      <c r="AK899" s="37" t="n">
        <v>5</v>
      </c>
      <c r="AL899" s="37" t="s">
        <v>343</v>
      </c>
      <c r="AM899" s="39" t="n">
        <v>116.06</v>
      </c>
    </row>
    <row r="900" customFormat="false" ht="15" hidden="false" customHeight="false" outlineLevel="0" collapsed="false">
      <c r="A900" s="37" t="n">
        <v>374881560</v>
      </c>
      <c r="B900" s="38" t="n">
        <v>46245.9232407407</v>
      </c>
      <c r="C900" s="37" t="s">
        <v>372</v>
      </c>
      <c r="D900" s="37" t="s">
        <v>1020</v>
      </c>
      <c r="E900" s="37" t="n">
        <v>23092002</v>
      </c>
      <c r="F900" s="37" t="s">
        <v>159</v>
      </c>
      <c r="G900" s="37" t="s">
        <v>196</v>
      </c>
      <c r="H900" s="37" t="s">
        <v>188</v>
      </c>
      <c r="I900" s="37" t="n">
        <v>63</v>
      </c>
      <c r="J900" s="39" t="n">
        <v>671.99</v>
      </c>
      <c r="K900" s="37" t="s">
        <v>518</v>
      </c>
      <c r="L900" s="39" t="n">
        <v>123.84</v>
      </c>
      <c r="M900" s="39" t="n">
        <v>63.21</v>
      </c>
      <c r="N900" s="39" t="n">
        <f aca="false">J900*Resumo!$C$6</f>
        <v>0</v>
      </c>
      <c r="O900" s="39" t="n">
        <f aca="false">J900*Resumo!$C$7</f>
        <v>1.411179</v>
      </c>
      <c r="P900" s="39" t="n">
        <f aca="false">J900*Resumo!$C$8</f>
        <v>1.411179</v>
      </c>
      <c r="Q900" s="39" t="n">
        <f aca="false">Resumo!$C$10*CEILING(I900/100,1)</f>
        <v>1.05</v>
      </c>
      <c r="R900" s="39" t="n">
        <f aca="false">Resumo!$C$9</f>
        <v>0</v>
      </c>
      <c r="S900" s="39" t="n">
        <f aca="false">Resumo!$C$13</f>
        <v>13.55</v>
      </c>
      <c r="T900" s="39" t="n">
        <f aca="false">Resumo!$C$14*CEILING(I900,1)</f>
        <v>28.35</v>
      </c>
      <c r="U900" s="39" t="n">
        <f aca="false">SUM(M900:T900)*Resumo!$C$11</f>
        <v>0</v>
      </c>
      <c r="V900" s="39" t="n">
        <f aca="false">SUM(M900:U900)</f>
        <v>108.982358</v>
      </c>
      <c r="W900" s="39" t="n">
        <f aca="false">V900/(1-Resumo!$C$5)</f>
        <v>123.843588636364</v>
      </c>
      <c r="X900" s="39" t="n">
        <v>131.02</v>
      </c>
      <c r="Y900" s="39" t="n">
        <f aca="false">J900*Resumo!$B$6</f>
        <v>0.67199</v>
      </c>
      <c r="Z900" s="39" t="n">
        <f aca="false">J900*Resumo!$B$7</f>
        <v>1.34398</v>
      </c>
      <c r="AA900" s="39" t="n">
        <f aca="false">Resumo!$B$9</f>
        <v>1</v>
      </c>
      <c r="AB900" s="39" t="n">
        <f aca="false">Resumo!$B$10*CEILING(I900/100,1)</f>
        <v>4.5</v>
      </c>
      <c r="AC900" s="39" t="n">
        <f aca="false">Resumo!$B$12*CEILING(I900,1)</f>
        <v>3.78</v>
      </c>
      <c r="AD900" s="39" t="n">
        <f aca="false">Resumo!$B$14*CEILING(I900,1)</f>
        <v>28.35</v>
      </c>
      <c r="AE900" s="39" t="n">
        <f aca="false">SUM(X900:AD900)</f>
        <v>170.66597</v>
      </c>
      <c r="AF900" s="39" t="n">
        <f aca="false">AE900/(1-Resumo!$B$5)</f>
        <v>193.938602272727</v>
      </c>
      <c r="AG900" s="39" t="n">
        <f aca="false">AF900-W900</f>
        <v>70.0950136363636</v>
      </c>
      <c r="AH900" s="40" t="n">
        <f aca="false">AF900/W900-1</f>
        <v>0.565996305567182</v>
      </c>
      <c r="AI900" s="37" t="str">
        <f aca="false">IF(AF900&lt;W900,"SIM","NÃO")</f>
        <v>NÃO</v>
      </c>
      <c r="AJ900" s="37" t="n">
        <v>2</v>
      </c>
      <c r="AK900" s="37" t="n">
        <v>5</v>
      </c>
      <c r="AL900" s="37" t="s">
        <v>343</v>
      </c>
      <c r="AM900" s="39" t="n">
        <v>124.43</v>
      </c>
    </row>
    <row r="901" customFormat="false" ht="15" hidden="false" customHeight="false" outlineLevel="0" collapsed="false">
      <c r="A901" s="37" t="n">
        <v>374889704</v>
      </c>
      <c r="B901" s="38" t="n">
        <v>46245.9305324074</v>
      </c>
      <c r="C901" s="37" t="s">
        <v>345</v>
      </c>
      <c r="D901" s="37" t="s">
        <v>1208</v>
      </c>
      <c r="E901" s="37" t="n">
        <v>23585081</v>
      </c>
      <c r="F901" s="37" t="s">
        <v>159</v>
      </c>
      <c r="G901" s="37" t="s">
        <v>196</v>
      </c>
      <c r="H901" s="37" t="s">
        <v>186</v>
      </c>
      <c r="I901" s="37" t="n">
        <v>48</v>
      </c>
      <c r="J901" s="39" t="n">
        <v>815.51</v>
      </c>
      <c r="K901" s="37" t="s">
        <v>518</v>
      </c>
      <c r="L901" s="39" t="n">
        <v>105.87</v>
      </c>
      <c r="M901" s="39" t="n">
        <v>53.55</v>
      </c>
      <c r="N901" s="39" t="n">
        <f aca="false">J901*Resumo!$C$6</f>
        <v>0</v>
      </c>
      <c r="O901" s="39" t="n">
        <f aca="false">J901*Resumo!$C$7</f>
        <v>1.712571</v>
      </c>
      <c r="P901" s="39" t="n">
        <f aca="false">J901*Resumo!$C$8</f>
        <v>1.712571</v>
      </c>
      <c r="Q901" s="39" t="n">
        <f aca="false">Resumo!$C$10*CEILING(I901/100,1)</f>
        <v>1.05</v>
      </c>
      <c r="R901" s="39" t="n">
        <f aca="false">Resumo!$C$9</f>
        <v>0</v>
      </c>
      <c r="S901" s="39" t="n">
        <f aca="false">Resumo!$C$13</f>
        <v>13.55</v>
      </c>
      <c r="T901" s="39" t="n">
        <f aca="false">Resumo!$C$14*CEILING(I901,1)</f>
        <v>21.6</v>
      </c>
      <c r="U901" s="39" t="n">
        <f aca="false">SUM(M901:T901)*Resumo!$C$11</f>
        <v>0</v>
      </c>
      <c r="V901" s="39" t="n">
        <f aca="false">SUM(M901:U901)</f>
        <v>93.175142</v>
      </c>
      <c r="W901" s="39" t="n">
        <f aca="false">V901/(1-Resumo!$C$5)</f>
        <v>105.880843181818</v>
      </c>
      <c r="X901" s="39" t="n">
        <v>93.97</v>
      </c>
      <c r="Y901" s="39" t="n">
        <f aca="false">J901*Resumo!$B$6</f>
        <v>0.81551</v>
      </c>
      <c r="Z901" s="39" t="n">
        <f aca="false">J901*Resumo!$B$7</f>
        <v>1.63102</v>
      </c>
      <c r="AA901" s="39" t="n">
        <f aca="false">Resumo!$B$9</f>
        <v>1</v>
      </c>
      <c r="AB901" s="39" t="n">
        <f aca="false">Resumo!$B$10*CEILING(I901/100,1)</f>
        <v>4.5</v>
      </c>
      <c r="AC901" s="39" t="n">
        <f aca="false">Resumo!$B$12*CEILING(I901,1)</f>
        <v>2.88</v>
      </c>
      <c r="AD901" s="39" t="n">
        <f aca="false">Resumo!$B$14*CEILING(I901,1)</f>
        <v>21.6</v>
      </c>
      <c r="AE901" s="39" t="n">
        <f aca="false">SUM(X901:AD901)</f>
        <v>126.39653</v>
      </c>
      <c r="AF901" s="39" t="n">
        <f aca="false">AE901/(1-Resumo!$B$5)</f>
        <v>143.632420454545</v>
      </c>
      <c r="AG901" s="39" t="n">
        <f aca="false">AF901-W901</f>
        <v>37.7515772727273</v>
      </c>
      <c r="AH901" s="40" t="n">
        <f aca="false">AF901/W901-1</f>
        <v>0.356547758199285</v>
      </c>
      <c r="AI901" s="37" t="str">
        <f aca="false">IF(AF901&lt;W901,"SIM","NÃO")</f>
        <v>NÃO</v>
      </c>
      <c r="AJ901" s="37" t="n">
        <v>2</v>
      </c>
      <c r="AK901" s="37" t="n">
        <v>5</v>
      </c>
      <c r="AL901" s="37" t="s">
        <v>343</v>
      </c>
      <c r="AM901" s="39" t="n">
        <v>104.5</v>
      </c>
    </row>
    <row r="902" customFormat="false" ht="15" hidden="false" customHeight="false" outlineLevel="0" collapsed="false">
      <c r="A902" s="37" t="n">
        <v>374891612</v>
      </c>
      <c r="B902" s="38" t="n">
        <v>46245.9332060185</v>
      </c>
      <c r="C902" s="37" t="s">
        <v>345</v>
      </c>
      <c r="D902" s="37" t="s">
        <v>1209</v>
      </c>
      <c r="E902" s="37" t="n">
        <v>27525847</v>
      </c>
      <c r="F902" s="37" t="s">
        <v>250</v>
      </c>
      <c r="G902" s="37" t="s">
        <v>198</v>
      </c>
      <c r="H902" s="37" t="s">
        <v>192</v>
      </c>
      <c r="I902" s="37" t="n">
        <v>124.2</v>
      </c>
      <c r="J902" s="39" t="n">
        <v>1589.99</v>
      </c>
      <c r="K902" s="37" t="s">
        <v>518</v>
      </c>
      <c r="L902" s="39" t="n">
        <v>253.2</v>
      </c>
      <c r="M902" s="39" t="n">
        <v>144.24</v>
      </c>
      <c r="N902" s="39" t="n">
        <f aca="false">J902*Resumo!$C$6</f>
        <v>0</v>
      </c>
      <c r="O902" s="39" t="n">
        <f aca="false">J902*Resumo!$C$7</f>
        <v>3.338979</v>
      </c>
      <c r="P902" s="39" t="n">
        <f aca="false">J902*Resumo!$C$8</f>
        <v>3.338979</v>
      </c>
      <c r="Q902" s="39" t="n">
        <f aca="false">Resumo!$C$10*CEILING(I902/100,1)</f>
        <v>2.1</v>
      </c>
      <c r="R902" s="39" t="n">
        <f aca="false">Resumo!$C$9</f>
        <v>0</v>
      </c>
      <c r="S902" s="39" t="n">
        <f aca="false">Resumo!$C$13</f>
        <v>13.55</v>
      </c>
      <c r="T902" s="39" t="n">
        <f aca="false">Resumo!$C$14*CEILING(I902,1)</f>
        <v>56.25</v>
      </c>
      <c r="U902" s="39" t="n">
        <f aca="false">SUM(M902:T902)*Resumo!$C$11</f>
        <v>0</v>
      </c>
      <c r="V902" s="39" t="n">
        <f aca="false">SUM(M902:U902)</f>
        <v>222.817958</v>
      </c>
      <c r="W902" s="39" t="n">
        <f aca="false">V902/(1-Resumo!$C$5)</f>
        <v>253.202225</v>
      </c>
      <c r="X902" s="39" t="n">
        <v>264.84</v>
      </c>
      <c r="Y902" s="39" t="n">
        <f aca="false">J902*Resumo!$B$6</f>
        <v>1.58999</v>
      </c>
      <c r="Z902" s="39" t="n">
        <f aca="false">J902*Resumo!$B$7</f>
        <v>3.17998</v>
      </c>
      <c r="AA902" s="39" t="n">
        <f aca="false">Resumo!$B$9</f>
        <v>1</v>
      </c>
      <c r="AB902" s="39" t="n">
        <f aca="false">Resumo!$B$10*CEILING(I902/100,1)</f>
        <v>9</v>
      </c>
      <c r="AC902" s="39" t="n">
        <f aca="false">Resumo!$B$12*CEILING(I902,1)</f>
        <v>7.5</v>
      </c>
      <c r="AD902" s="39" t="n">
        <f aca="false">Resumo!$B$14*CEILING(I902,1)</f>
        <v>56.25</v>
      </c>
      <c r="AE902" s="39" t="n">
        <f aca="false">SUM(X902:AD902)</f>
        <v>343.35997</v>
      </c>
      <c r="AF902" s="39" t="n">
        <f aca="false">AE902/(1-Resumo!$B$5)</f>
        <v>390.181784090909</v>
      </c>
      <c r="AG902" s="39" t="n">
        <f aca="false">AF902-W902</f>
        <v>136.979559090909</v>
      </c>
      <c r="AH902" s="40" t="n">
        <f aca="false">AF902/W902-1</f>
        <v>0.540988765366928</v>
      </c>
      <c r="AI902" s="37" t="str">
        <f aca="false">IF(AF902&lt;W902,"SIM","NÃO")</f>
        <v>NÃO</v>
      </c>
      <c r="AJ902" s="37" t="n">
        <v>13</v>
      </c>
      <c r="AK902" s="37" t="n">
        <v>10</v>
      </c>
      <c r="AL902" s="37" t="s">
        <v>347</v>
      </c>
      <c r="AM902" s="39" t="n">
        <v>260.91</v>
      </c>
    </row>
    <row r="903" customFormat="false" ht="15" hidden="false" customHeight="false" outlineLevel="0" collapsed="false">
      <c r="A903" s="37" t="n">
        <v>374898233</v>
      </c>
      <c r="B903" s="38" t="n">
        <v>46245.9411805556</v>
      </c>
      <c r="C903" s="37" t="s">
        <v>340</v>
      </c>
      <c r="D903" s="37" t="s">
        <v>1210</v>
      </c>
      <c r="E903" s="37" t="n">
        <v>23935080</v>
      </c>
      <c r="F903" s="37" t="s">
        <v>169</v>
      </c>
      <c r="G903" s="37" t="s">
        <v>198</v>
      </c>
      <c r="H903" s="37" t="s">
        <v>186</v>
      </c>
      <c r="I903" s="37" t="n">
        <v>44.5</v>
      </c>
      <c r="J903" s="39" t="n">
        <v>726.99</v>
      </c>
      <c r="K903" s="37" t="s">
        <v>518</v>
      </c>
      <c r="L903" s="39" t="n">
        <v>131.38</v>
      </c>
      <c r="M903" s="39" t="n">
        <v>77.7</v>
      </c>
      <c r="N903" s="39" t="n">
        <f aca="false">J903*Resumo!$C$6</f>
        <v>0</v>
      </c>
      <c r="O903" s="39" t="n">
        <f aca="false">J903*Resumo!$C$7</f>
        <v>1.526679</v>
      </c>
      <c r="P903" s="39" t="n">
        <f aca="false">J903*Resumo!$C$8</f>
        <v>1.526679</v>
      </c>
      <c r="Q903" s="39" t="n">
        <f aca="false">Resumo!$C$10*CEILING(I903/100,1)</f>
        <v>1.05</v>
      </c>
      <c r="R903" s="39" t="n">
        <f aca="false">Resumo!$C$9</f>
        <v>0</v>
      </c>
      <c r="S903" s="39" t="n">
        <f aca="false">Resumo!$C$13</f>
        <v>13.55</v>
      </c>
      <c r="T903" s="39" t="n">
        <f aca="false">Resumo!$C$14*CEILING(I903,1)</f>
        <v>20.25</v>
      </c>
      <c r="U903" s="39" t="n">
        <f aca="false">SUM(M903:T903)*Resumo!$C$11</f>
        <v>0</v>
      </c>
      <c r="V903" s="39" t="n">
        <f aca="false">SUM(M903:U903)</f>
        <v>115.603358</v>
      </c>
      <c r="W903" s="39" t="n">
        <f aca="false">V903/(1-Resumo!$C$5)</f>
        <v>131.367452272727</v>
      </c>
      <c r="X903" s="39" t="n">
        <v>124.38</v>
      </c>
      <c r="Y903" s="39" t="n">
        <f aca="false">J903*Resumo!$B$6</f>
        <v>0.72699</v>
      </c>
      <c r="Z903" s="39" t="n">
        <f aca="false">J903*Resumo!$B$7</f>
        <v>1.45398</v>
      </c>
      <c r="AA903" s="39" t="n">
        <f aca="false">Resumo!$B$9</f>
        <v>1</v>
      </c>
      <c r="AB903" s="39" t="n">
        <f aca="false">Resumo!$B$10*CEILING(I903/100,1)</f>
        <v>4.5</v>
      </c>
      <c r="AC903" s="39" t="n">
        <f aca="false">Resumo!$B$12*CEILING(I903,1)</f>
        <v>2.7</v>
      </c>
      <c r="AD903" s="39" t="n">
        <f aca="false">Resumo!$B$14*CEILING(I903,1)</f>
        <v>20.25</v>
      </c>
      <c r="AE903" s="39" t="n">
        <f aca="false">SUM(X903:AD903)</f>
        <v>155.01097</v>
      </c>
      <c r="AF903" s="39" t="n">
        <f aca="false">AE903/(1-Resumo!$B$5)</f>
        <v>176.148829545455</v>
      </c>
      <c r="AG903" s="39" t="n">
        <f aca="false">AF903-W903</f>
        <v>44.7813772727273</v>
      </c>
      <c r="AH903" s="40" t="n">
        <f aca="false">AF903/W903-1</f>
        <v>0.340886395358861</v>
      </c>
      <c r="AI903" s="37" t="str">
        <f aca="false">IF(AF903&lt;W903,"SIM","NÃO")</f>
        <v>NÃO</v>
      </c>
      <c r="AJ903" s="37" t="n">
        <v>13</v>
      </c>
      <c r="AK903" s="37" t="n">
        <v>10</v>
      </c>
      <c r="AL903" s="37" t="s">
        <v>343</v>
      </c>
      <c r="AM903" s="39" t="n">
        <v>131.64</v>
      </c>
    </row>
    <row r="904" customFormat="false" ht="15" hidden="false" customHeight="false" outlineLevel="0" collapsed="false">
      <c r="A904" s="37" t="n">
        <v>374899469</v>
      </c>
      <c r="B904" s="38" t="n">
        <v>46245.9437847222</v>
      </c>
      <c r="C904" s="37" t="s">
        <v>340</v>
      </c>
      <c r="D904" s="37" t="s">
        <v>1211</v>
      </c>
      <c r="E904" s="37" t="n">
        <v>24856232</v>
      </c>
      <c r="F904" s="37" t="s">
        <v>174</v>
      </c>
      <c r="G904" s="37" t="s">
        <v>198</v>
      </c>
      <c r="H904" s="37" t="s">
        <v>186</v>
      </c>
      <c r="I904" s="37" t="n">
        <v>44.5</v>
      </c>
      <c r="J904" s="39" t="n">
        <v>726.99</v>
      </c>
      <c r="K904" s="37" t="s">
        <v>518</v>
      </c>
      <c r="L904" s="39" t="n">
        <v>131.38</v>
      </c>
      <c r="M904" s="39" t="n">
        <v>77.7</v>
      </c>
      <c r="N904" s="39" t="n">
        <f aca="false">J904*Resumo!$C$6</f>
        <v>0</v>
      </c>
      <c r="O904" s="39" t="n">
        <f aca="false">J904*Resumo!$C$7</f>
        <v>1.526679</v>
      </c>
      <c r="P904" s="39" t="n">
        <f aca="false">J904*Resumo!$C$8</f>
        <v>1.526679</v>
      </c>
      <c r="Q904" s="39" t="n">
        <f aca="false">Resumo!$C$10*CEILING(I904/100,1)</f>
        <v>1.05</v>
      </c>
      <c r="R904" s="39" t="n">
        <f aca="false">Resumo!$C$9</f>
        <v>0</v>
      </c>
      <c r="S904" s="39" t="n">
        <f aca="false">Resumo!$C$13</f>
        <v>13.55</v>
      </c>
      <c r="T904" s="39" t="n">
        <f aca="false">Resumo!$C$14*CEILING(I904,1)</f>
        <v>20.25</v>
      </c>
      <c r="U904" s="39" t="n">
        <f aca="false">SUM(M904:T904)*Resumo!$C$11</f>
        <v>0</v>
      </c>
      <c r="V904" s="39" t="n">
        <f aca="false">SUM(M904:U904)</f>
        <v>115.603358</v>
      </c>
      <c r="W904" s="39" t="n">
        <f aca="false">V904/(1-Resumo!$C$5)</f>
        <v>131.367452272727</v>
      </c>
      <c r="X904" s="39" t="n">
        <v>114.95</v>
      </c>
      <c r="Y904" s="39" t="n">
        <f aca="false">J904*Resumo!$B$6</f>
        <v>0.72699</v>
      </c>
      <c r="Z904" s="39" t="n">
        <f aca="false">J904*Resumo!$B$7</f>
        <v>1.45398</v>
      </c>
      <c r="AA904" s="39" t="n">
        <f aca="false">Resumo!$B$9</f>
        <v>1</v>
      </c>
      <c r="AB904" s="39" t="n">
        <f aca="false">Resumo!$B$10*CEILING(I904/100,1)</f>
        <v>4.5</v>
      </c>
      <c r="AC904" s="39" t="n">
        <f aca="false">Resumo!$B$12*CEILING(I904,1)</f>
        <v>2.7</v>
      </c>
      <c r="AD904" s="39" t="n">
        <f aca="false">Resumo!$B$14*CEILING(I904,1)</f>
        <v>20.25</v>
      </c>
      <c r="AE904" s="39" t="n">
        <f aca="false">SUM(X904:AD904)</f>
        <v>145.58097</v>
      </c>
      <c r="AF904" s="39" t="n">
        <f aca="false">AE904/(1-Resumo!$B$5)</f>
        <v>165.432920454545</v>
      </c>
      <c r="AG904" s="39" t="n">
        <f aca="false">AF904-W904</f>
        <v>34.0654681818182</v>
      </c>
      <c r="AH904" s="40" t="n">
        <f aca="false">AF904/W904-1</f>
        <v>0.259314370435503</v>
      </c>
      <c r="AI904" s="37" t="str">
        <f aca="false">IF(AF904&lt;W904,"SIM","NÃO")</f>
        <v>NÃO</v>
      </c>
      <c r="AJ904" s="37" t="n">
        <v>13</v>
      </c>
      <c r="AK904" s="37" t="n">
        <v>7</v>
      </c>
      <c r="AL904" s="37" t="s">
        <v>343</v>
      </c>
      <c r="AM904" s="39" t="n">
        <v>131.64</v>
      </c>
    </row>
    <row r="905" customFormat="false" ht="15" hidden="false" customHeight="false" outlineLevel="0" collapsed="false">
      <c r="A905" s="37" t="n">
        <v>374916394</v>
      </c>
      <c r="B905" s="38" t="n">
        <v>46245.9862615741</v>
      </c>
      <c r="C905" s="37" t="s">
        <v>340</v>
      </c>
      <c r="D905" s="37" t="s">
        <v>1212</v>
      </c>
      <c r="E905" s="37" t="n">
        <v>25620002</v>
      </c>
      <c r="F905" s="37" t="s">
        <v>170</v>
      </c>
      <c r="G905" s="37" t="s">
        <v>198</v>
      </c>
      <c r="H905" s="37" t="s">
        <v>188</v>
      </c>
      <c r="I905" s="37" t="n">
        <v>69</v>
      </c>
      <c r="J905" s="39" t="n">
        <v>779.99</v>
      </c>
      <c r="K905" s="37" t="s">
        <v>518</v>
      </c>
      <c r="L905" s="39" t="n">
        <v>158.1</v>
      </c>
      <c r="M905" s="39" t="n">
        <v>90.2</v>
      </c>
      <c r="N905" s="39" t="n">
        <f aca="false">J905*Resumo!$C$6</f>
        <v>0</v>
      </c>
      <c r="O905" s="39" t="n">
        <f aca="false">J905*Resumo!$C$7</f>
        <v>1.637979</v>
      </c>
      <c r="P905" s="39" t="n">
        <f aca="false">J905*Resumo!$C$8</f>
        <v>1.637979</v>
      </c>
      <c r="Q905" s="39" t="n">
        <f aca="false">Resumo!$C$10*CEILING(I905/100,1)</f>
        <v>1.05</v>
      </c>
      <c r="R905" s="39" t="n">
        <f aca="false">Resumo!$C$9</f>
        <v>0</v>
      </c>
      <c r="S905" s="39" t="n">
        <f aca="false">Resumo!$C$13</f>
        <v>13.55</v>
      </c>
      <c r="T905" s="39" t="n">
        <f aca="false">Resumo!$C$14*CEILING(I905,1)</f>
        <v>31.05</v>
      </c>
      <c r="U905" s="39" t="n">
        <f aca="false">SUM(M905:T905)*Resumo!$C$11</f>
        <v>0</v>
      </c>
      <c r="V905" s="39" t="n">
        <f aca="false">SUM(M905:U905)</f>
        <v>139.125958</v>
      </c>
      <c r="W905" s="39" t="n">
        <f aca="false">V905/(1-Resumo!$C$5)</f>
        <v>158.097679545455</v>
      </c>
      <c r="X905" s="39" t="n">
        <v>166.05</v>
      </c>
      <c r="Y905" s="39" t="n">
        <f aca="false">J905*Resumo!$B$6</f>
        <v>0.77999</v>
      </c>
      <c r="Z905" s="39" t="n">
        <f aca="false">J905*Resumo!$B$7</f>
        <v>1.55998</v>
      </c>
      <c r="AA905" s="39" t="n">
        <f aca="false">Resumo!$B$9</f>
        <v>1</v>
      </c>
      <c r="AB905" s="39" t="n">
        <f aca="false">Resumo!$B$10*CEILING(I905/100,1)</f>
        <v>4.5</v>
      </c>
      <c r="AC905" s="39" t="n">
        <f aca="false">Resumo!$B$12*CEILING(I905,1)</f>
        <v>4.14</v>
      </c>
      <c r="AD905" s="39" t="n">
        <f aca="false">Resumo!$B$14*CEILING(I905,1)</f>
        <v>31.05</v>
      </c>
      <c r="AE905" s="39" t="n">
        <f aca="false">SUM(X905:AD905)</f>
        <v>209.07997</v>
      </c>
      <c r="AF905" s="39" t="n">
        <f aca="false">AE905/(1-Resumo!$B$5)</f>
        <v>237.590875</v>
      </c>
      <c r="AG905" s="39" t="n">
        <f aca="false">AF905-W905</f>
        <v>79.4931954545455</v>
      </c>
      <c r="AH905" s="40" t="n">
        <f aca="false">AF905/W905-1</f>
        <v>0.502810640125116</v>
      </c>
      <c r="AI905" s="37" t="str">
        <f aca="false">IF(AF905&lt;W905,"SIM","NÃO")</f>
        <v>NÃO</v>
      </c>
      <c r="AJ905" s="37" t="n">
        <v>13</v>
      </c>
      <c r="AK905" s="37" t="n">
        <v>8</v>
      </c>
      <c r="AL905" s="37" t="s">
        <v>343</v>
      </c>
      <c r="AM905" s="39" t="n">
        <v>155.76</v>
      </c>
    </row>
    <row r="906" customFormat="false" ht="15" hidden="false" customHeight="false" outlineLevel="0" collapsed="false">
      <c r="A906" s="37" t="n">
        <v>374932798</v>
      </c>
      <c r="B906" s="38" t="n">
        <v>46246.0246296296</v>
      </c>
      <c r="C906" s="37" t="s">
        <v>340</v>
      </c>
      <c r="D906" s="37" t="s">
        <v>1213</v>
      </c>
      <c r="E906" s="37" t="n">
        <v>22763550</v>
      </c>
      <c r="F906" s="37" t="s">
        <v>159</v>
      </c>
      <c r="G906" s="37" t="s">
        <v>196</v>
      </c>
      <c r="H906" s="37" t="s">
        <v>183</v>
      </c>
      <c r="I906" s="37" t="n">
        <v>19.5</v>
      </c>
      <c r="J906" s="39" t="n">
        <v>379.99</v>
      </c>
      <c r="K906" s="37" t="s">
        <v>342</v>
      </c>
      <c r="L906" s="39" t="n">
        <v>65.03</v>
      </c>
      <c r="M906" s="39" t="n">
        <v>33.42</v>
      </c>
      <c r="N906" s="39" t="n">
        <f aca="false">J906*Resumo!$C$6</f>
        <v>0</v>
      </c>
      <c r="O906" s="39" t="n">
        <f aca="false">J906*Resumo!$C$7</f>
        <v>0.797979</v>
      </c>
      <c r="P906" s="39" t="n">
        <f aca="false">J906*Resumo!$C$8</f>
        <v>0.797979</v>
      </c>
      <c r="Q906" s="39" t="n">
        <f aca="false">Resumo!$C$10*CEILING(I906/100,1)</f>
        <v>1.05</v>
      </c>
      <c r="R906" s="39" t="n">
        <f aca="false">Resumo!$C$9</f>
        <v>0</v>
      </c>
      <c r="S906" s="39" t="n">
        <f aca="false">Resumo!$C$13</f>
        <v>13.55</v>
      </c>
      <c r="T906" s="39" t="n">
        <f aca="false">Resumo!$C$14*CEILING(I906,1)</f>
        <v>9</v>
      </c>
      <c r="U906" s="39" t="n">
        <f aca="false">SUM(M906:T906)*Resumo!$C$11</f>
        <v>0</v>
      </c>
      <c r="V906" s="39" t="n">
        <f aca="false">SUM(M906:U906)</f>
        <v>58.615958</v>
      </c>
      <c r="W906" s="39" t="n">
        <f aca="false">V906/(1-Resumo!$C$5)</f>
        <v>66.6090431818182</v>
      </c>
      <c r="X906" s="39" t="n">
        <v>46.98</v>
      </c>
      <c r="Y906" s="39" t="n">
        <f aca="false">J906*Resumo!$B$6</f>
        <v>0.37999</v>
      </c>
      <c r="Z906" s="39" t="n">
        <f aca="false">J906*Resumo!$B$7</f>
        <v>0.75998</v>
      </c>
      <c r="AA906" s="39" t="n">
        <f aca="false">Resumo!$B$9</f>
        <v>1</v>
      </c>
      <c r="AB906" s="39" t="n">
        <f aca="false">Resumo!$B$10*CEILING(I906/100,1)</f>
        <v>4.5</v>
      </c>
      <c r="AC906" s="39" t="n">
        <f aca="false">Resumo!$B$12*CEILING(I906,1)</f>
        <v>1.2</v>
      </c>
      <c r="AD906" s="39" t="n">
        <f aca="false">Resumo!$B$14*CEILING(I906,1)</f>
        <v>9</v>
      </c>
      <c r="AE906" s="39" t="n">
        <f aca="false">SUM(X906:AD906)</f>
        <v>63.81997</v>
      </c>
      <c r="AF906" s="39" t="n">
        <f aca="false">AE906/(1-Resumo!$B$5)</f>
        <v>72.5226931818182</v>
      </c>
      <c r="AG906" s="39" t="n">
        <f aca="false">AF906-W906</f>
        <v>5.91365</v>
      </c>
      <c r="AH906" s="40" t="n">
        <f aca="false">AF906/W906-1</f>
        <v>0.0887814884813449</v>
      </c>
      <c r="AI906" s="37" t="str">
        <f aca="false">IF(AF906&lt;W906,"SIM","NÃO")</f>
        <v>NÃO</v>
      </c>
      <c r="AJ906" s="37" t="n">
        <v>2</v>
      </c>
      <c r="AK906" s="37" t="n">
        <v>5</v>
      </c>
      <c r="AL906" s="37" t="s">
        <v>343</v>
      </c>
      <c r="AM906" s="39" t="n">
        <v>65.04</v>
      </c>
    </row>
    <row r="907" customFormat="false" ht="15" hidden="false" customHeight="false" outlineLevel="0" collapsed="false">
      <c r="A907" s="37" t="n">
        <v>374941905</v>
      </c>
      <c r="B907" s="38" t="n">
        <v>46246.0421296296</v>
      </c>
      <c r="C907" s="37" t="s">
        <v>340</v>
      </c>
      <c r="D907" s="37" t="s">
        <v>1214</v>
      </c>
      <c r="E907" s="37" t="n">
        <v>22753340</v>
      </c>
      <c r="F907" s="37" t="s">
        <v>159</v>
      </c>
      <c r="G907" s="37" t="s">
        <v>196</v>
      </c>
      <c r="H907" s="37" t="s">
        <v>185</v>
      </c>
      <c r="I907" s="37" t="n">
        <v>36.8</v>
      </c>
      <c r="J907" s="39" t="n">
        <v>439.99</v>
      </c>
      <c r="K907" s="37" t="s">
        <v>342</v>
      </c>
      <c r="L907" s="39" t="n">
        <v>91.97</v>
      </c>
      <c r="M907" s="39" t="n">
        <v>48.35</v>
      </c>
      <c r="N907" s="39" t="n">
        <f aca="false">J907*Resumo!$C$6</f>
        <v>0</v>
      </c>
      <c r="O907" s="39" t="n">
        <f aca="false">J907*Resumo!$C$7</f>
        <v>0.923979</v>
      </c>
      <c r="P907" s="39" t="n">
        <f aca="false">J907*Resumo!$C$8</f>
        <v>0.923979</v>
      </c>
      <c r="Q907" s="39" t="n">
        <f aca="false">Resumo!$C$10*CEILING(I907/100,1)</f>
        <v>1.05</v>
      </c>
      <c r="R907" s="39" t="n">
        <f aca="false">Resumo!$C$9</f>
        <v>0</v>
      </c>
      <c r="S907" s="39" t="n">
        <f aca="false">Resumo!$C$13</f>
        <v>13.55</v>
      </c>
      <c r="T907" s="39" t="n">
        <f aca="false">Resumo!$C$14*CEILING(I907,1)</f>
        <v>16.65</v>
      </c>
      <c r="U907" s="39" t="n">
        <f aca="false">SUM(M907:T907)*Resumo!$C$11</f>
        <v>0</v>
      </c>
      <c r="V907" s="39" t="n">
        <f aca="false">SUM(M907:U907)</f>
        <v>81.447958</v>
      </c>
      <c r="W907" s="39" t="n">
        <f aca="false">V907/(1-Resumo!$C$5)</f>
        <v>92.5544977272728</v>
      </c>
      <c r="X907" s="39" t="n">
        <v>93.97</v>
      </c>
      <c r="Y907" s="39" t="n">
        <f aca="false">J907*Resumo!$B$6</f>
        <v>0.43999</v>
      </c>
      <c r="Z907" s="39" t="n">
        <f aca="false">J907*Resumo!$B$7</f>
        <v>0.87998</v>
      </c>
      <c r="AA907" s="39" t="n">
        <f aca="false">Resumo!$B$9</f>
        <v>1</v>
      </c>
      <c r="AB907" s="39" t="n">
        <f aca="false">Resumo!$B$10*CEILING(I907/100,1)</f>
        <v>4.5</v>
      </c>
      <c r="AC907" s="39" t="n">
        <f aca="false">Resumo!$B$12*CEILING(I907,1)</f>
        <v>2.22</v>
      </c>
      <c r="AD907" s="39" t="n">
        <f aca="false">Resumo!$B$14*CEILING(I907,1)</f>
        <v>16.65</v>
      </c>
      <c r="AE907" s="39" t="n">
        <f aca="false">SUM(X907:AD907)</f>
        <v>119.65997</v>
      </c>
      <c r="AF907" s="39" t="n">
        <f aca="false">AE907/(1-Resumo!$B$5)</f>
        <v>135.977238636364</v>
      </c>
      <c r="AG907" s="39" t="n">
        <f aca="false">AF907-W907</f>
        <v>43.4227409090909</v>
      </c>
      <c r="AH907" s="40" t="n">
        <f aca="false">AF907/W907-1</f>
        <v>0.469158625192297</v>
      </c>
      <c r="AI907" s="37" t="str">
        <f aca="false">IF(AF907&lt;W907,"SIM","NÃO")</f>
        <v>NÃO</v>
      </c>
      <c r="AJ907" s="37" t="n">
        <v>2</v>
      </c>
      <c r="AK907" s="37" t="n">
        <v>5</v>
      </c>
      <c r="AL907" s="37" t="s">
        <v>343</v>
      </c>
      <c r="AM907" s="39" t="n">
        <v>91.96</v>
      </c>
    </row>
    <row r="908" customFormat="false" ht="15" hidden="false" customHeight="false" outlineLevel="0" collapsed="false">
      <c r="A908" s="37" t="n">
        <v>375088655</v>
      </c>
      <c r="B908" s="38" t="n">
        <v>46246.3245138889</v>
      </c>
      <c r="C908" s="37" t="s">
        <v>340</v>
      </c>
      <c r="D908" s="37" t="s">
        <v>1215</v>
      </c>
      <c r="E908" s="37" t="n">
        <v>21670450</v>
      </c>
      <c r="F908" s="37" t="s">
        <v>159</v>
      </c>
      <c r="G908" s="37" t="s">
        <v>196</v>
      </c>
      <c r="H908" s="37" t="s">
        <v>188</v>
      </c>
      <c r="I908" s="37" t="n">
        <v>66.8</v>
      </c>
      <c r="J908" s="39" t="n">
        <v>699.99</v>
      </c>
      <c r="K908" s="37" t="s">
        <v>342</v>
      </c>
      <c r="L908" s="39" t="n">
        <v>124.56</v>
      </c>
      <c r="M908" s="39" t="n">
        <v>63.21</v>
      </c>
      <c r="N908" s="39" t="n">
        <f aca="false">J908*Resumo!$C$6</f>
        <v>0</v>
      </c>
      <c r="O908" s="39" t="n">
        <f aca="false">J908*Resumo!$C$7</f>
        <v>1.469979</v>
      </c>
      <c r="P908" s="39" t="n">
        <f aca="false">J908*Resumo!$C$8</f>
        <v>1.469979</v>
      </c>
      <c r="Q908" s="39" t="n">
        <f aca="false">Resumo!$C$10*CEILING(I908/100,1)</f>
        <v>1.05</v>
      </c>
      <c r="R908" s="39" t="n">
        <f aca="false">Resumo!$C$9</f>
        <v>0</v>
      </c>
      <c r="S908" s="39" t="n">
        <f aca="false">Resumo!$C$13</f>
        <v>13.55</v>
      </c>
      <c r="T908" s="39" t="n">
        <f aca="false">Resumo!$C$14*CEILING(I908,1)</f>
        <v>30.15</v>
      </c>
      <c r="U908" s="39" t="n">
        <f aca="false">SUM(M908:T908)*Resumo!$C$11</f>
        <v>0</v>
      </c>
      <c r="V908" s="39" t="n">
        <f aca="false">SUM(M908:U908)</f>
        <v>110.899958</v>
      </c>
      <c r="W908" s="39" t="n">
        <f aca="false">V908/(1-Resumo!$C$5)</f>
        <v>126.022679545455</v>
      </c>
      <c r="X908" s="39" t="n">
        <v>131.02</v>
      </c>
      <c r="Y908" s="39" t="n">
        <f aca="false">J908*Resumo!$B$6</f>
        <v>0.69999</v>
      </c>
      <c r="Z908" s="39" t="n">
        <f aca="false">J908*Resumo!$B$7</f>
        <v>1.39998</v>
      </c>
      <c r="AA908" s="39" t="n">
        <f aca="false">Resumo!$B$9</f>
        <v>1</v>
      </c>
      <c r="AB908" s="39" t="n">
        <f aca="false">Resumo!$B$10*CEILING(I908/100,1)</f>
        <v>4.5</v>
      </c>
      <c r="AC908" s="39" t="n">
        <f aca="false">Resumo!$B$12*CEILING(I908,1)</f>
        <v>4.02</v>
      </c>
      <c r="AD908" s="39" t="n">
        <f aca="false">Resumo!$B$14*CEILING(I908,1)</f>
        <v>30.15</v>
      </c>
      <c r="AE908" s="39" t="n">
        <f aca="false">SUM(X908:AD908)</f>
        <v>172.78997</v>
      </c>
      <c r="AF908" s="39" t="n">
        <f aca="false">AE908/(1-Resumo!$B$5)</f>
        <v>196.352238636364</v>
      </c>
      <c r="AG908" s="39" t="n">
        <f aca="false">AF908-W908</f>
        <v>70.3295590909091</v>
      </c>
      <c r="AH908" s="40" t="n">
        <f aca="false">AF908/W908-1</f>
        <v>0.558070653191771</v>
      </c>
      <c r="AI908" s="37" t="str">
        <f aca="false">IF(AF908&lt;W908,"SIM","NÃO")</f>
        <v>NÃO</v>
      </c>
      <c r="AJ908" s="37" t="n">
        <v>2</v>
      </c>
      <c r="AK908" s="37" t="n">
        <v>5</v>
      </c>
      <c r="AL908" s="37" t="s">
        <v>343</v>
      </c>
      <c r="AM908" s="39" t="n">
        <v>124.56</v>
      </c>
    </row>
    <row r="909" customFormat="false" ht="15" hidden="false" customHeight="false" outlineLevel="0" collapsed="false">
      <c r="A909" s="37" t="n">
        <v>375099383</v>
      </c>
      <c r="B909" s="38" t="n">
        <v>46246.3423032407</v>
      </c>
      <c r="C909" s="37" t="s">
        <v>340</v>
      </c>
      <c r="D909" s="37" t="s">
        <v>1216</v>
      </c>
      <c r="E909" s="37" t="n">
        <v>26587310</v>
      </c>
      <c r="F909" s="37" t="s">
        <v>175</v>
      </c>
      <c r="G909" s="37" t="s">
        <v>197</v>
      </c>
      <c r="H909" s="37" t="s">
        <v>186</v>
      </c>
      <c r="I909" s="37" t="n">
        <v>45</v>
      </c>
      <c r="J909" s="39" t="n">
        <v>531.42</v>
      </c>
      <c r="K909" s="37" t="s">
        <v>518</v>
      </c>
      <c r="L909" s="39" t="n">
        <v>116.42</v>
      </c>
      <c r="M909" s="39" t="n">
        <v>65.36</v>
      </c>
      <c r="N909" s="39" t="n">
        <f aca="false">J909*Resumo!$C$6</f>
        <v>0</v>
      </c>
      <c r="O909" s="39" t="n">
        <f aca="false">J909*Resumo!$C$7</f>
        <v>1.115982</v>
      </c>
      <c r="P909" s="39" t="n">
        <f aca="false">J909*Resumo!$C$8</f>
        <v>1.115982</v>
      </c>
      <c r="Q909" s="39" t="n">
        <f aca="false">Resumo!$C$10*CEILING(I909/100,1)</f>
        <v>1.05</v>
      </c>
      <c r="R909" s="39" t="n">
        <f aca="false">Resumo!$C$9</f>
        <v>0</v>
      </c>
      <c r="S909" s="39" t="n">
        <f aca="false">Resumo!$C$13</f>
        <v>13.55</v>
      </c>
      <c r="T909" s="39" t="n">
        <f aca="false">Resumo!$C$14*CEILING(I909,1)</f>
        <v>20.25</v>
      </c>
      <c r="U909" s="39" t="n">
        <f aca="false">SUM(M909:T909)*Resumo!$C$11</f>
        <v>0</v>
      </c>
      <c r="V909" s="39" t="n">
        <f aca="false">SUM(M909:U909)</f>
        <v>102.441964</v>
      </c>
      <c r="W909" s="39" t="n">
        <f aca="false">V909/(1-Resumo!$C$5)</f>
        <v>116.411322727273</v>
      </c>
      <c r="X909" s="39" t="n">
        <v>93.97</v>
      </c>
      <c r="Y909" s="39" t="n">
        <f aca="false">J909*Resumo!$B$6</f>
        <v>0.53142</v>
      </c>
      <c r="Z909" s="39" t="n">
        <f aca="false">J909*Resumo!$B$7</f>
        <v>1.06284</v>
      </c>
      <c r="AA909" s="39" t="n">
        <f aca="false">Resumo!$B$9</f>
        <v>1</v>
      </c>
      <c r="AB909" s="39" t="n">
        <f aca="false">Resumo!$B$10*CEILING(I909/100,1)</f>
        <v>4.5</v>
      </c>
      <c r="AC909" s="39" t="n">
        <f aca="false">Resumo!$B$12*CEILING(I909,1)</f>
        <v>2.7</v>
      </c>
      <c r="AD909" s="39" t="n">
        <f aca="false">Resumo!$B$14*CEILING(I909,1)</f>
        <v>20.25</v>
      </c>
      <c r="AE909" s="39" t="n">
        <f aca="false">SUM(X909:AD909)</f>
        <v>124.01426</v>
      </c>
      <c r="AF909" s="39" t="n">
        <f aca="false">AE909/(1-Resumo!$B$5)</f>
        <v>140.925295454545</v>
      </c>
      <c r="AG909" s="39" t="n">
        <f aca="false">AF909-W909</f>
        <v>24.5139727272727</v>
      </c>
      <c r="AH909" s="40" t="n">
        <f aca="false">AF909/W909-1</f>
        <v>0.210580656184999</v>
      </c>
      <c r="AI909" s="37" t="str">
        <f aca="false">IF(AF909&lt;W909,"SIM","NÃO")</f>
        <v>NÃO</v>
      </c>
      <c r="AJ909" s="37" t="n">
        <v>2</v>
      </c>
      <c r="AK909" s="37" t="n">
        <v>5</v>
      </c>
      <c r="AL909" s="37" t="s">
        <v>343</v>
      </c>
      <c r="AM909" s="39" t="n">
        <v>116.62</v>
      </c>
    </row>
    <row r="910" customFormat="false" ht="15" hidden="false" customHeight="false" outlineLevel="0" collapsed="false">
      <c r="A910" s="37" t="n">
        <v>375100630</v>
      </c>
      <c r="B910" s="38" t="n">
        <v>46246.3446527778</v>
      </c>
      <c r="C910" s="37" t="s">
        <v>340</v>
      </c>
      <c r="D910" s="37" t="s">
        <v>1217</v>
      </c>
      <c r="E910" s="37" t="n">
        <v>23058070</v>
      </c>
      <c r="F910" s="37" t="s">
        <v>159</v>
      </c>
      <c r="G910" s="37" t="s">
        <v>196</v>
      </c>
      <c r="H910" s="37" t="s">
        <v>184</v>
      </c>
      <c r="I910" s="37" t="n">
        <v>30.5</v>
      </c>
      <c r="J910" s="39" t="n">
        <v>439.99</v>
      </c>
      <c r="K910" s="37" t="s">
        <v>518</v>
      </c>
      <c r="L910" s="39" t="n">
        <v>82.39</v>
      </c>
      <c r="M910" s="39" t="n">
        <v>42.11</v>
      </c>
      <c r="N910" s="39" t="n">
        <f aca="false">J910*Resumo!$C$6</f>
        <v>0</v>
      </c>
      <c r="O910" s="39" t="n">
        <f aca="false">J910*Resumo!$C$7</f>
        <v>0.923979</v>
      </c>
      <c r="P910" s="39" t="n">
        <f aca="false">J910*Resumo!$C$8</f>
        <v>0.923979</v>
      </c>
      <c r="Q910" s="39" t="n">
        <f aca="false">Resumo!$C$10*CEILING(I910/100,1)</f>
        <v>1.05</v>
      </c>
      <c r="R910" s="39" t="n">
        <f aca="false">Resumo!$C$9</f>
        <v>0</v>
      </c>
      <c r="S910" s="39" t="n">
        <f aca="false">Resumo!$C$13</f>
        <v>13.55</v>
      </c>
      <c r="T910" s="39" t="n">
        <f aca="false">Resumo!$C$14*CEILING(I910,1)</f>
        <v>13.95</v>
      </c>
      <c r="U910" s="39" t="n">
        <f aca="false">SUM(M910:T910)*Resumo!$C$11</f>
        <v>0</v>
      </c>
      <c r="V910" s="39" t="n">
        <f aca="false">SUM(M910:U910)</f>
        <v>72.507958</v>
      </c>
      <c r="W910" s="39" t="n">
        <f aca="false">V910/(1-Resumo!$C$5)</f>
        <v>82.3954068181818</v>
      </c>
      <c r="X910" s="39" t="n">
        <v>82.21</v>
      </c>
      <c r="Y910" s="39" t="n">
        <f aca="false">J910*Resumo!$B$6</f>
        <v>0.43999</v>
      </c>
      <c r="Z910" s="39" t="n">
        <f aca="false">J910*Resumo!$B$7</f>
        <v>0.87998</v>
      </c>
      <c r="AA910" s="39" t="n">
        <f aca="false">Resumo!$B$9</f>
        <v>1</v>
      </c>
      <c r="AB910" s="39" t="n">
        <f aca="false">Resumo!$B$10*CEILING(I910/100,1)</f>
        <v>4.5</v>
      </c>
      <c r="AC910" s="39" t="n">
        <f aca="false">Resumo!$B$12*CEILING(I910,1)</f>
        <v>1.86</v>
      </c>
      <c r="AD910" s="39" t="n">
        <f aca="false">Resumo!$B$14*CEILING(I910,1)</f>
        <v>13.95</v>
      </c>
      <c r="AE910" s="39" t="n">
        <f aca="false">SUM(X910:AD910)</f>
        <v>104.83997</v>
      </c>
      <c r="AF910" s="39" t="n">
        <f aca="false">AE910/(1-Resumo!$B$5)</f>
        <v>119.136329545455</v>
      </c>
      <c r="AG910" s="39" t="n">
        <f aca="false">AF910-W910</f>
        <v>36.7409227272727</v>
      </c>
      <c r="AH910" s="40" t="n">
        <f aca="false">AF910/W910-1</f>
        <v>0.445909840682591</v>
      </c>
      <c r="AI910" s="37" t="str">
        <f aca="false">IF(AF910&lt;W910,"SIM","NÃO")</f>
        <v>NÃO</v>
      </c>
      <c r="AJ910" s="37" t="n">
        <v>2</v>
      </c>
      <c r="AK910" s="37" t="n">
        <v>5</v>
      </c>
      <c r="AL910" s="37" t="s">
        <v>343</v>
      </c>
      <c r="AM910" s="39" t="n">
        <v>82.43</v>
      </c>
    </row>
    <row r="911" customFormat="false" ht="15" hidden="false" customHeight="false" outlineLevel="0" collapsed="false">
      <c r="A911" s="37" t="n">
        <v>375145828</v>
      </c>
      <c r="B911" s="38" t="n">
        <v>46246.4223263889</v>
      </c>
      <c r="C911" s="37" t="s">
        <v>340</v>
      </c>
      <c r="D911" s="37" t="s">
        <v>1218</v>
      </c>
      <c r="E911" s="37" t="n">
        <v>22793395</v>
      </c>
      <c r="F911" s="37" t="s">
        <v>159</v>
      </c>
      <c r="G911" s="37" t="s">
        <v>196</v>
      </c>
      <c r="H911" s="37" t="s">
        <v>186</v>
      </c>
      <c r="I911" s="37" t="n">
        <v>44.6</v>
      </c>
      <c r="J911" s="39" t="n">
        <v>549.99</v>
      </c>
      <c r="K911" s="37" t="s">
        <v>342</v>
      </c>
      <c r="L911" s="39" t="n">
        <v>103.23</v>
      </c>
      <c r="M911" s="39" t="n">
        <v>53.55</v>
      </c>
      <c r="N911" s="39" t="n">
        <f aca="false">J911*Resumo!$C$6</f>
        <v>0</v>
      </c>
      <c r="O911" s="39" t="n">
        <f aca="false">J911*Resumo!$C$7</f>
        <v>1.154979</v>
      </c>
      <c r="P911" s="39" t="n">
        <f aca="false">J911*Resumo!$C$8</f>
        <v>1.154979</v>
      </c>
      <c r="Q911" s="39" t="n">
        <f aca="false">Resumo!$C$10*CEILING(I911/100,1)</f>
        <v>1.05</v>
      </c>
      <c r="R911" s="39" t="n">
        <f aca="false">Resumo!$C$9</f>
        <v>0</v>
      </c>
      <c r="S911" s="39" t="n">
        <f aca="false">Resumo!$C$13</f>
        <v>13.55</v>
      </c>
      <c r="T911" s="39" t="n">
        <f aca="false">Resumo!$C$14*CEILING(I911,1)</f>
        <v>20.25</v>
      </c>
      <c r="U911" s="39" t="n">
        <f aca="false">SUM(M911:T911)*Resumo!$C$11</f>
        <v>0</v>
      </c>
      <c r="V911" s="39" t="n">
        <f aca="false">SUM(M911:U911)</f>
        <v>90.709958</v>
      </c>
      <c r="W911" s="39" t="n">
        <f aca="false">V911/(1-Resumo!$C$5)</f>
        <v>103.079497727273</v>
      </c>
      <c r="X911" s="39" t="n">
        <v>93.97</v>
      </c>
      <c r="Y911" s="39" t="n">
        <f aca="false">J911*Resumo!$B$6</f>
        <v>0.54999</v>
      </c>
      <c r="Z911" s="39" t="n">
        <f aca="false">J911*Resumo!$B$7</f>
        <v>1.09998</v>
      </c>
      <c r="AA911" s="39" t="n">
        <f aca="false">Resumo!$B$9</f>
        <v>1</v>
      </c>
      <c r="AB911" s="39" t="n">
        <f aca="false">Resumo!$B$10*CEILING(I911/100,1)</f>
        <v>4.5</v>
      </c>
      <c r="AC911" s="39" t="n">
        <f aca="false">Resumo!$B$12*CEILING(I911,1)</f>
        <v>2.7</v>
      </c>
      <c r="AD911" s="39" t="n">
        <f aca="false">Resumo!$B$14*CEILING(I911,1)</f>
        <v>20.25</v>
      </c>
      <c r="AE911" s="39" t="n">
        <f aca="false">SUM(X911:AD911)</f>
        <v>124.06997</v>
      </c>
      <c r="AF911" s="39" t="n">
        <f aca="false">AE911/(1-Resumo!$B$5)</f>
        <v>140.988602272727</v>
      </c>
      <c r="AG911" s="39" t="n">
        <f aca="false">AF911-W911</f>
        <v>37.9091045454545</v>
      </c>
      <c r="AH911" s="40" t="n">
        <f aca="false">AF911/W911-1</f>
        <v>0.367765708810051</v>
      </c>
      <c r="AI911" s="37" t="str">
        <f aca="false">IF(AF911&lt;W911,"SIM","NÃO")</f>
        <v>NÃO</v>
      </c>
      <c r="AJ911" s="37" t="n">
        <v>2</v>
      </c>
      <c r="AK911" s="37" t="n">
        <v>5</v>
      </c>
      <c r="AL911" s="37" t="s">
        <v>343</v>
      </c>
      <c r="AM911" s="39" t="n">
        <v>103.22</v>
      </c>
    </row>
    <row r="912" customFormat="false" ht="15" hidden="false" customHeight="false" outlineLevel="0" collapsed="false">
      <c r="A912" s="37" t="n">
        <v>375165178</v>
      </c>
      <c r="B912" s="38" t="n">
        <v>46246.4470717593</v>
      </c>
      <c r="C912" s="37" t="s">
        <v>340</v>
      </c>
      <c r="D912" s="37" t="s">
        <v>1219</v>
      </c>
      <c r="E912" s="37" t="n">
        <v>28995211</v>
      </c>
      <c r="F912" s="37" t="s">
        <v>295</v>
      </c>
      <c r="G912" s="37" t="s">
        <v>198</v>
      </c>
      <c r="H912" s="37" t="s">
        <v>185</v>
      </c>
      <c r="I912" s="37" t="n">
        <v>37.2</v>
      </c>
      <c r="J912" s="39" t="n">
        <v>360.99</v>
      </c>
      <c r="K912" s="37" t="s">
        <v>518</v>
      </c>
      <c r="L912" s="39" t="n">
        <v>122.94</v>
      </c>
      <c r="M912" s="39" t="n">
        <v>74.97</v>
      </c>
      <c r="N912" s="39" t="n">
        <f aca="false">J912*Resumo!$C$6</f>
        <v>0</v>
      </c>
      <c r="O912" s="39" t="n">
        <f aca="false">J912*Resumo!$C$7</f>
        <v>0.758079</v>
      </c>
      <c r="P912" s="39" t="n">
        <f aca="false">J912*Resumo!$C$8</f>
        <v>0.758079</v>
      </c>
      <c r="Q912" s="39" t="n">
        <f aca="false">Resumo!$C$10*CEILING(I912/100,1)</f>
        <v>1.05</v>
      </c>
      <c r="R912" s="39" t="n">
        <f aca="false">Resumo!$C$9</f>
        <v>0</v>
      </c>
      <c r="S912" s="39" t="n">
        <f aca="false">Resumo!$C$13</f>
        <v>13.55</v>
      </c>
      <c r="T912" s="39" t="n">
        <f aca="false">Resumo!$C$14*CEILING(I912,1)</f>
        <v>17.1</v>
      </c>
      <c r="U912" s="39" t="n">
        <f aca="false">SUM(M912:T912)*Resumo!$C$11</f>
        <v>0</v>
      </c>
      <c r="V912" s="39" t="n">
        <f aca="false">SUM(M912:U912)</f>
        <v>108.186158</v>
      </c>
      <c r="W912" s="39" t="n">
        <f aca="false">V912/(1-Resumo!$C$5)</f>
        <v>122.938815909091</v>
      </c>
      <c r="X912" s="39" t="n">
        <v>124.38</v>
      </c>
      <c r="Y912" s="39" t="n">
        <f aca="false">J912*Resumo!$B$6</f>
        <v>0.36099</v>
      </c>
      <c r="Z912" s="39" t="n">
        <f aca="false">J912*Resumo!$B$7</f>
        <v>0.72198</v>
      </c>
      <c r="AA912" s="39" t="n">
        <f aca="false">Resumo!$B$9</f>
        <v>1</v>
      </c>
      <c r="AB912" s="39" t="n">
        <f aca="false">Resumo!$B$10*CEILING(I912/100,1)</f>
        <v>4.5</v>
      </c>
      <c r="AC912" s="39" t="n">
        <f aca="false">Resumo!$B$12*CEILING(I912,1)</f>
        <v>2.28</v>
      </c>
      <c r="AD912" s="39" t="n">
        <f aca="false">Resumo!$B$14*CEILING(I912,1)</f>
        <v>17.1</v>
      </c>
      <c r="AE912" s="39" t="n">
        <f aca="false">SUM(X912:AD912)</f>
        <v>150.34297</v>
      </c>
      <c r="AF912" s="39" t="n">
        <f aca="false">AE912/(1-Resumo!$B$5)</f>
        <v>170.844284090909</v>
      </c>
      <c r="AG912" s="39" t="n">
        <f aca="false">AF912-W912</f>
        <v>47.9054681818182</v>
      </c>
      <c r="AH912" s="40" t="n">
        <f aca="false">AF912/W912-1</f>
        <v>0.389669184850801</v>
      </c>
      <c r="AI912" s="37" t="str">
        <f aca="false">IF(AF912&lt;W912,"SIM","NÃO")</f>
        <v>NÃO</v>
      </c>
      <c r="AJ912" s="37" t="n">
        <v>13</v>
      </c>
      <c r="AK912" s="37" t="n">
        <v>10</v>
      </c>
      <c r="AL912" s="37" t="s">
        <v>347</v>
      </c>
      <c r="AM912" s="39" t="n">
        <v>121.98</v>
      </c>
    </row>
    <row r="913" customFormat="false" ht="15" hidden="false" customHeight="false" outlineLevel="0" collapsed="false">
      <c r="A913" s="37" t="n">
        <v>375180731</v>
      </c>
      <c r="B913" s="38" t="n">
        <v>46246.4704976852</v>
      </c>
      <c r="C913" s="37" t="s">
        <v>375</v>
      </c>
      <c r="D913" s="37" t="s">
        <v>1220</v>
      </c>
      <c r="E913" s="37" t="n">
        <v>26535380</v>
      </c>
      <c r="F913" s="37" t="s">
        <v>238</v>
      </c>
      <c r="G913" s="37" t="s">
        <v>197</v>
      </c>
      <c r="H913" s="37" t="s">
        <v>188</v>
      </c>
      <c r="I913" s="37" t="n">
        <v>67.3</v>
      </c>
      <c r="J913" s="39" t="n">
        <v>702.92</v>
      </c>
      <c r="K913" s="37" t="s">
        <v>518</v>
      </c>
      <c r="L913" s="39" t="n">
        <v>141.72</v>
      </c>
      <c r="M913" s="39" t="n">
        <v>76.55</v>
      </c>
      <c r="N913" s="39" t="n">
        <f aca="false">J913*Resumo!$C$6</f>
        <v>0</v>
      </c>
      <c r="O913" s="39" t="n">
        <f aca="false">J913*Resumo!$C$7</f>
        <v>1.476132</v>
      </c>
      <c r="P913" s="39" t="n">
        <f aca="false">J913*Resumo!$C$8</f>
        <v>1.476132</v>
      </c>
      <c r="Q913" s="39" t="n">
        <f aca="false">Resumo!$C$10*CEILING(I913/100,1)</f>
        <v>1.05</v>
      </c>
      <c r="R913" s="39" t="n">
        <f aca="false">Resumo!$C$9</f>
        <v>0</v>
      </c>
      <c r="S913" s="39" t="n">
        <f aca="false">Resumo!$C$13</f>
        <v>13.55</v>
      </c>
      <c r="T913" s="39" t="n">
        <f aca="false">Resumo!$C$14*CEILING(I913,1)</f>
        <v>30.6</v>
      </c>
      <c r="U913" s="39" t="n">
        <f aca="false">SUM(M913:T913)*Resumo!$C$11</f>
        <v>0</v>
      </c>
      <c r="V913" s="39" t="n">
        <f aca="false">SUM(M913:U913)</f>
        <v>124.702264</v>
      </c>
      <c r="W913" s="39" t="n">
        <f aca="false">V913/(1-Resumo!$C$5)</f>
        <v>141.707118181818</v>
      </c>
      <c r="X913" s="39" t="n">
        <v>131.02</v>
      </c>
      <c r="Y913" s="39" t="n">
        <f aca="false">J913*Resumo!$B$6</f>
        <v>0.70292</v>
      </c>
      <c r="Z913" s="39" t="n">
        <f aca="false">J913*Resumo!$B$7</f>
        <v>1.40584</v>
      </c>
      <c r="AA913" s="39" t="n">
        <f aca="false">Resumo!$B$9</f>
        <v>1</v>
      </c>
      <c r="AB913" s="39" t="n">
        <f aca="false">Resumo!$B$10*CEILING(I913/100,1)</f>
        <v>4.5</v>
      </c>
      <c r="AC913" s="39" t="n">
        <f aca="false">Resumo!$B$12*CEILING(I913,1)</f>
        <v>4.08</v>
      </c>
      <c r="AD913" s="39" t="n">
        <f aca="false">Resumo!$B$14*CEILING(I913,1)</f>
        <v>30.6</v>
      </c>
      <c r="AE913" s="39" t="n">
        <f aca="false">SUM(X913:AD913)</f>
        <v>173.30876</v>
      </c>
      <c r="AF913" s="39" t="n">
        <f aca="false">AE913/(1-Resumo!$B$5)</f>
        <v>196.941772727273</v>
      </c>
      <c r="AG913" s="39" t="n">
        <f aca="false">AF913-W913</f>
        <v>55.2346545454546</v>
      </c>
      <c r="AH913" s="40" t="n">
        <f aca="false">AF913/W913-1</f>
        <v>0.389780381212646</v>
      </c>
      <c r="AI913" s="37" t="str">
        <f aca="false">IF(AF913&lt;W913,"SIM","NÃO")</f>
        <v>NÃO</v>
      </c>
      <c r="AJ913" s="37" t="n">
        <v>2</v>
      </c>
      <c r="AK913" s="37" t="n">
        <v>5</v>
      </c>
      <c r="AL913" s="37" t="s">
        <v>347</v>
      </c>
      <c r="AM913" s="39" t="n">
        <v>139.8</v>
      </c>
    </row>
    <row r="914" customFormat="false" ht="15" hidden="false" customHeight="false" outlineLevel="0" collapsed="false">
      <c r="A914" s="37" t="n">
        <v>375207141</v>
      </c>
      <c r="B914" s="38" t="n">
        <v>46246.5179976852</v>
      </c>
      <c r="C914" s="37" t="s">
        <v>340</v>
      </c>
      <c r="D914" s="37" t="s">
        <v>1221</v>
      </c>
      <c r="E914" s="37" t="n">
        <v>24445210</v>
      </c>
      <c r="F914" s="37" t="s">
        <v>160</v>
      </c>
      <c r="G914" s="37" t="s">
        <v>197</v>
      </c>
      <c r="H914" s="37" t="s">
        <v>192</v>
      </c>
      <c r="I914" s="37" t="n">
        <v>124.2</v>
      </c>
      <c r="J914" s="39" t="n">
        <v>1699.99</v>
      </c>
      <c r="K914" s="37" t="s">
        <v>518</v>
      </c>
      <c r="L914" s="39" t="n">
        <v>237.11</v>
      </c>
      <c r="M914" s="39" t="n">
        <v>129.62</v>
      </c>
      <c r="N914" s="39" t="n">
        <f aca="false">J914*Resumo!$C$6</f>
        <v>0</v>
      </c>
      <c r="O914" s="39" t="n">
        <f aca="false">J914*Resumo!$C$7</f>
        <v>3.569979</v>
      </c>
      <c r="P914" s="39" t="n">
        <f aca="false">J914*Resumo!$C$8</f>
        <v>3.569979</v>
      </c>
      <c r="Q914" s="39" t="n">
        <f aca="false">Resumo!$C$10*CEILING(I914/100,1)</f>
        <v>2.1</v>
      </c>
      <c r="R914" s="39" t="n">
        <f aca="false">Resumo!$C$9</f>
        <v>0</v>
      </c>
      <c r="S914" s="39" t="n">
        <f aca="false">Resumo!$C$13</f>
        <v>13.55</v>
      </c>
      <c r="T914" s="39" t="n">
        <f aca="false">Resumo!$C$14*CEILING(I914,1)</f>
        <v>56.25</v>
      </c>
      <c r="U914" s="39" t="n">
        <f aca="false">SUM(M914:T914)*Resumo!$C$11</f>
        <v>0</v>
      </c>
      <c r="V914" s="39" t="n">
        <f aca="false">SUM(M914:U914)</f>
        <v>208.659958</v>
      </c>
      <c r="W914" s="39" t="n">
        <f aca="false">V914/(1-Resumo!$C$5)</f>
        <v>237.113588636364</v>
      </c>
      <c r="X914" s="39" t="n">
        <v>249.03</v>
      </c>
      <c r="Y914" s="39" t="n">
        <f aca="false">J914*Resumo!$B$6</f>
        <v>1.69999</v>
      </c>
      <c r="Z914" s="39" t="n">
        <f aca="false">J914*Resumo!$B$7</f>
        <v>3.39998</v>
      </c>
      <c r="AA914" s="39" t="n">
        <f aca="false">Resumo!$B$9</f>
        <v>1</v>
      </c>
      <c r="AB914" s="39" t="n">
        <f aca="false">Resumo!$B$10*CEILING(I914/100,1)</f>
        <v>9</v>
      </c>
      <c r="AC914" s="39" t="n">
        <f aca="false">Resumo!$B$12*CEILING(I914,1)</f>
        <v>7.5</v>
      </c>
      <c r="AD914" s="39" t="n">
        <f aca="false">Resumo!$B$14*CEILING(I914,1)</f>
        <v>56.25</v>
      </c>
      <c r="AE914" s="39" t="n">
        <f aca="false">SUM(X914:AD914)</f>
        <v>327.87997</v>
      </c>
      <c r="AF914" s="39" t="n">
        <f aca="false">AE914/(1-Resumo!$B$5)</f>
        <v>372.590875</v>
      </c>
      <c r="AG914" s="39" t="n">
        <f aca="false">AF914-W914</f>
        <v>135.477286363636</v>
      </c>
      <c r="AH914" s="40" t="n">
        <f aca="false">AF914/W914-1</f>
        <v>0.571360279867401</v>
      </c>
      <c r="AI914" s="37" t="str">
        <f aca="false">IF(AF914&lt;W914,"SIM","NÃO")</f>
        <v>NÃO</v>
      </c>
      <c r="AJ914" s="37" t="n">
        <v>2</v>
      </c>
      <c r="AK914" s="37" t="n">
        <v>7</v>
      </c>
      <c r="AL914" s="37" t="s">
        <v>343</v>
      </c>
      <c r="AM914" s="39" t="n">
        <v>244.75</v>
      </c>
    </row>
    <row r="915" customFormat="false" ht="15" hidden="false" customHeight="false" outlineLevel="0" collapsed="false">
      <c r="A915" s="37" t="n">
        <v>375245480</v>
      </c>
      <c r="B915" s="38" t="n">
        <v>46246.5649421296</v>
      </c>
      <c r="C915" s="37" t="s">
        <v>345</v>
      </c>
      <c r="D915" s="37" t="s">
        <v>1222</v>
      </c>
      <c r="E915" s="37" t="n">
        <v>22793366</v>
      </c>
      <c r="F915" s="37" t="s">
        <v>159</v>
      </c>
      <c r="G915" s="37" t="s">
        <v>196</v>
      </c>
      <c r="H915" s="37" t="s">
        <v>190</v>
      </c>
      <c r="I915" s="37" t="n">
        <v>97.2</v>
      </c>
      <c r="J915" s="39" t="n">
        <v>1164.49</v>
      </c>
      <c r="K915" s="37" t="s">
        <v>342</v>
      </c>
      <c r="L915" s="39" t="n">
        <v>164.67</v>
      </c>
      <c r="M915" s="39" t="n">
        <v>83.79</v>
      </c>
      <c r="N915" s="39" t="n">
        <f aca="false">J915*Resumo!$C$6</f>
        <v>0</v>
      </c>
      <c r="O915" s="39" t="n">
        <f aca="false">J915*Resumo!$C$7</f>
        <v>2.445429</v>
      </c>
      <c r="P915" s="39" t="n">
        <f aca="false">J915*Resumo!$C$8</f>
        <v>2.445429</v>
      </c>
      <c r="Q915" s="39" t="n">
        <f aca="false">Resumo!$C$10*CEILING(I915/100,1)</f>
        <v>1.05</v>
      </c>
      <c r="R915" s="39" t="n">
        <f aca="false">Resumo!$C$9</f>
        <v>0</v>
      </c>
      <c r="S915" s="39" t="n">
        <f aca="false">Resumo!$C$13</f>
        <v>13.55</v>
      </c>
      <c r="T915" s="39" t="n">
        <f aca="false">Resumo!$C$14*CEILING(I915,1)</f>
        <v>44.1</v>
      </c>
      <c r="U915" s="39" t="n">
        <f aca="false">SUM(M915:T915)*Resumo!$C$11</f>
        <v>0</v>
      </c>
      <c r="V915" s="39" t="n">
        <f aca="false">SUM(M915:U915)</f>
        <v>147.380858</v>
      </c>
      <c r="W915" s="39" t="n">
        <f aca="false">V915/(1-Resumo!$C$5)</f>
        <v>167.478247727273</v>
      </c>
      <c r="X915" s="39" t="n">
        <v>167.99</v>
      </c>
      <c r="Y915" s="39" t="n">
        <f aca="false">J915*Resumo!$B$6</f>
        <v>1.16449</v>
      </c>
      <c r="Z915" s="39" t="n">
        <f aca="false">J915*Resumo!$B$7</f>
        <v>2.32898</v>
      </c>
      <c r="AA915" s="39" t="n">
        <f aca="false">Resumo!$B$9</f>
        <v>1</v>
      </c>
      <c r="AB915" s="39" t="n">
        <f aca="false">Resumo!$B$10*CEILING(I915/100,1)</f>
        <v>4.5</v>
      </c>
      <c r="AC915" s="39" t="n">
        <f aca="false">Resumo!$B$12*CEILING(I915,1)</f>
        <v>5.88</v>
      </c>
      <c r="AD915" s="39" t="n">
        <f aca="false">Resumo!$B$14*CEILING(I915,1)</f>
        <v>44.1</v>
      </c>
      <c r="AE915" s="39" t="n">
        <f aca="false">SUM(X915:AD915)</f>
        <v>226.96347</v>
      </c>
      <c r="AF915" s="39" t="n">
        <f aca="false">AE915/(1-Resumo!$B$5)</f>
        <v>257.913034090909</v>
      </c>
      <c r="AG915" s="39" t="n">
        <f aca="false">AF915-W915</f>
        <v>90.4347863636363</v>
      </c>
      <c r="AH915" s="40" t="n">
        <f aca="false">AF915/W915-1</f>
        <v>0.53997929636154</v>
      </c>
      <c r="AI915" s="37" t="str">
        <f aca="false">IF(AF915&lt;W915,"SIM","NÃO")</f>
        <v>NÃO</v>
      </c>
      <c r="AJ915" s="37" t="n">
        <v>2</v>
      </c>
      <c r="AK915" s="37" t="n">
        <v>5</v>
      </c>
      <c r="AL915" s="37" t="s">
        <v>343</v>
      </c>
      <c r="AM915" s="39" t="n">
        <v>164.67</v>
      </c>
    </row>
    <row r="916" customFormat="false" ht="15" hidden="false" customHeight="false" outlineLevel="0" collapsed="false">
      <c r="A916" s="37" t="n">
        <v>375259828</v>
      </c>
      <c r="B916" s="38" t="n">
        <v>46246.5870138889</v>
      </c>
      <c r="C916" s="37" t="s">
        <v>340</v>
      </c>
      <c r="D916" s="37" t="s">
        <v>388</v>
      </c>
      <c r="E916" s="37" t="n">
        <v>21380090</v>
      </c>
      <c r="F916" s="37" t="s">
        <v>159</v>
      </c>
      <c r="G916" s="37" t="s">
        <v>196</v>
      </c>
      <c r="H916" s="37" t="s">
        <v>188</v>
      </c>
      <c r="I916" s="37" t="n">
        <v>63.9</v>
      </c>
      <c r="J916" s="39" t="n">
        <v>785.04</v>
      </c>
      <c r="K916" s="37" t="s">
        <v>342</v>
      </c>
      <c r="L916" s="39" t="n">
        <v>124.97</v>
      </c>
      <c r="M916" s="39" t="n">
        <v>63.21</v>
      </c>
      <c r="N916" s="39" t="n">
        <f aca="false">J916*Resumo!$C$6</f>
        <v>0</v>
      </c>
      <c r="O916" s="39" t="n">
        <f aca="false">J916*Resumo!$C$7</f>
        <v>1.648584</v>
      </c>
      <c r="P916" s="39" t="n">
        <f aca="false">J916*Resumo!$C$8</f>
        <v>1.648584</v>
      </c>
      <c r="Q916" s="39" t="n">
        <f aca="false">Resumo!$C$10*CEILING(I916/100,1)</f>
        <v>1.05</v>
      </c>
      <c r="R916" s="39" t="n">
        <f aca="false">Resumo!$C$9</f>
        <v>0</v>
      </c>
      <c r="S916" s="39" t="n">
        <f aca="false">Resumo!$C$13</f>
        <v>13.55</v>
      </c>
      <c r="T916" s="39" t="n">
        <f aca="false">Resumo!$C$14*CEILING(I916,1)</f>
        <v>28.8</v>
      </c>
      <c r="U916" s="39" t="n">
        <f aca="false">SUM(M916:T916)*Resumo!$C$11</f>
        <v>0</v>
      </c>
      <c r="V916" s="39" t="n">
        <f aca="false">SUM(M916:U916)</f>
        <v>109.907168</v>
      </c>
      <c r="W916" s="39" t="n">
        <f aca="false">V916/(1-Resumo!$C$5)</f>
        <v>124.894509090909</v>
      </c>
      <c r="X916" s="39" t="n">
        <v>131.02</v>
      </c>
      <c r="Y916" s="39" t="n">
        <f aca="false">J916*Resumo!$B$6</f>
        <v>0.78504</v>
      </c>
      <c r="Z916" s="39" t="n">
        <f aca="false">J916*Resumo!$B$7</f>
        <v>1.57008</v>
      </c>
      <c r="AA916" s="39" t="n">
        <f aca="false">Resumo!$B$9</f>
        <v>1</v>
      </c>
      <c r="AB916" s="39" t="n">
        <f aca="false">Resumo!$B$10*CEILING(I916/100,1)</f>
        <v>4.5</v>
      </c>
      <c r="AC916" s="39" t="n">
        <f aca="false">Resumo!$B$12*CEILING(I916,1)</f>
        <v>3.84</v>
      </c>
      <c r="AD916" s="39" t="n">
        <f aca="false">Resumo!$B$14*CEILING(I916,1)</f>
        <v>28.8</v>
      </c>
      <c r="AE916" s="39" t="n">
        <f aca="false">SUM(X916:AD916)</f>
        <v>171.51512</v>
      </c>
      <c r="AF916" s="39" t="n">
        <f aca="false">AE916/(1-Resumo!$B$5)</f>
        <v>194.903545454545</v>
      </c>
      <c r="AG916" s="39" t="n">
        <f aca="false">AF916-W916</f>
        <v>70.0090363636364</v>
      </c>
      <c r="AH916" s="40" t="n">
        <f aca="false">AF916/W916-1</f>
        <v>0.560545350417909</v>
      </c>
      <c r="AI916" s="37" t="str">
        <f aca="false">IF(AF916&lt;W916,"SIM","NÃO")</f>
        <v>NÃO</v>
      </c>
      <c r="AJ916" s="37" t="n">
        <v>2</v>
      </c>
      <c r="AK916" s="37" t="n">
        <v>5</v>
      </c>
      <c r="AL916" s="37" t="s">
        <v>343</v>
      </c>
      <c r="AM916" s="39" t="n">
        <v>124.97</v>
      </c>
    </row>
    <row r="917" customFormat="false" ht="15" hidden="false" customHeight="false" outlineLevel="0" collapsed="false">
      <c r="A917" s="37" t="n">
        <v>375268269</v>
      </c>
      <c r="B917" s="38" t="n">
        <v>46246.6023726852</v>
      </c>
      <c r="C917" s="37" t="s">
        <v>345</v>
      </c>
      <c r="D917" s="37" t="s">
        <v>1223</v>
      </c>
      <c r="E917" s="37" t="n">
        <v>27213050</v>
      </c>
      <c r="F917" s="37" t="s">
        <v>168</v>
      </c>
      <c r="G917" s="37" t="s">
        <v>198</v>
      </c>
      <c r="H917" s="37" t="s">
        <v>188</v>
      </c>
      <c r="I917" s="37" t="n">
        <v>63.1</v>
      </c>
      <c r="J917" s="39" t="n">
        <v>732</v>
      </c>
      <c r="K917" s="37" t="s">
        <v>518</v>
      </c>
      <c r="L917" s="39" t="n">
        <v>155.32</v>
      </c>
      <c r="M917" s="39" t="n">
        <v>90.2</v>
      </c>
      <c r="N917" s="39" t="n">
        <f aca="false">J917*Resumo!$C$6</f>
        <v>0</v>
      </c>
      <c r="O917" s="39" t="n">
        <f aca="false">J917*Resumo!$C$7</f>
        <v>1.5372</v>
      </c>
      <c r="P917" s="39" t="n">
        <f aca="false">J917*Resumo!$C$8</f>
        <v>1.5372</v>
      </c>
      <c r="Q917" s="39" t="n">
        <f aca="false">Resumo!$C$10*CEILING(I917/100,1)</f>
        <v>1.05</v>
      </c>
      <c r="R917" s="39" t="n">
        <f aca="false">Resumo!$C$9</f>
        <v>0</v>
      </c>
      <c r="S917" s="39" t="n">
        <f aca="false">Resumo!$C$13</f>
        <v>13.55</v>
      </c>
      <c r="T917" s="39" t="n">
        <f aca="false">Resumo!$C$14*CEILING(I917,1)</f>
        <v>28.8</v>
      </c>
      <c r="U917" s="39" t="n">
        <f aca="false">SUM(M917:T917)*Resumo!$C$11</f>
        <v>0</v>
      </c>
      <c r="V917" s="39" t="n">
        <f aca="false">SUM(M917:U917)</f>
        <v>136.6744</v>
      </c>
      <c r="W917" s="39" t="n">
        <f aca="false">V917/(1-Resumo!$C$5)</f>
        <v>155.311818181818</v>
      </c>
      <c r="X917" s="39" t="n">
        <v>166.05</v>
      </c>
      <c r="Y917" s="39" t="n">
        <f aca="false">J917*Resumo!$B$6</f>
        <v>0.732</v>
      </c>
      <c r="Z917" s="39" t="n">
        <f aca="false">J917*Resumo!$B$7</f>
        <v>1.464</v>
      </c>
      <c r="AA917" s="39" t="n">
        <f aca="false">Resumo!$B$9</f>
        <v>1</v>
      </c>
      <c r="AB917" s="39" t="n">
        <f aca="false">Resumo!$B$10*CEILING(I917/100,1)</f>
        <v>4.5</v>
      </c>
      <c r="AC917" s="39" t="n">
        <f aca="false">Resumo!$B$12*CEILING(I917,1)</f>
        <v>3.84</v>
      </c>
      <c r="AD917" s="39" t="n">
        <f aca="false">Resumo!$B$14*CEILING(I917,1)</f>
        <v>28.8</v>
      </c>
      <c r="AE917" s="39" t="n">
        <f aca="false">SUM(X917:AD917)</f>
        <v>206.386</v>
      </c>
      <c r="AF917" s="39" t="n">
        <f aca="false">AE917/(1-Resumo!$B$5)</f>
        <v>234.529545454545</v>
      </c>
      <c r="AG917" s="39" t="n">
        <f aca="false">AF917-W917</f>
        <v>79.2177272727273</v>
      </c>
      <c r="AH917" s="40" t="n">
        <f aca="false">AF917/W917-1</f>
        <v>0.51005601634249</v>
      </c>
      <c r="AI917" s="37" t="str">
        <f aca="false">IF(AF917&lt;W917,"SIM","NÃO")</f>
        <v>NÃO</v>
      </c>
      <c r="AJ917" s="37" t="n">
        <v>13</v>
      </c>
      <c r="AK917" s="37" t="n">
        <v>10</v>
      </c>
      <c r="AL917" s="37" t="s">
        <v>343</v>
      </c>
      <c r="AM917" s="39" t="n">
        <v>155.53</v>
      </c>
    </row>
    <row r="918" customFormat="false" ht="15" hidden="false" customHeight="false" outlineLevel="0" collapsed="false">
      <c r="A918" s="37" t="n">
        <v>375273173</v>
      </c>
      <c r="B918" s="38" t="n">
        <v>46246.61</v>
      </c>
      <c r="C918" s="37" t="s">
        <v>340</v>
      </c>
      <c r="D918" s="37" t="s">
        <v>1224</v>
      </c>
      <c r="E918" s="37" t="n">
        <v>23061010</v>
      </c>
      <c r="F918" s="37" t="s">
        <v>159</v>
      </c>
      <c r="G918" s="37" t="s">
        <v>196</v>
      </c>
      <c r="H918" s="37" t="s">
        <v>184</v>
      </c>
      <c r="I918" s="37" t="n">
        <v>22.4</v>
      </c>
      <c r="J918" s="39" t="n">
        <v>489.99</v>
      </c>
      <c r="K918" s="37" t="s">
        <v>518</v>
      </c>
      <c r="L918" s="39" t="n">
        <v>78.55</v>
      </c>
      <c r="M918" s="39" t="n">
        <v>42.11</v>
      </c>
      <c r="N918" s="39" t="n">
        <f aca="false">J918*Resumo!$C$6</f>
        <v>0</v>
      </c>
      <c r="O918" s="39" t="n">
        <f aca="false">J918*Resumo!$C$7</f>
        <v>1.028979</v>
      </c>
      <c r="P918" s="39" t="n">
        <f aca="false">J918*Resumo!$C$8</f>
        <v>1.028979</v>
      </c>
      <c r="Q918" s="39" t="n">
        <f aca="false">Resumo!$C$10*CEILING(I918/100,1)</f>
        <v>1.05</v>
      </c>
      <c r="R918" s="39" t="n">
        <f aca="false">Resumo!$C$9</f>
        <v>0</v>
      </c>
      <c r="S918" s="39" t="n">
        <f aca="false">Resumo!$C$13</f>
        <v>13.55</v>
      </c>
      <c r="T918" s="39" t="n">
        <f aca="false">Resumo!$C$14*CEILING(I918,1)</f>
        <v>10.35</v>
      </c>
      <c r="U918" s="39" t="n">
        <f aca="false">SUM(M918:T918)*Resumo!$C$11</f>
        <v>0</v>
      </c>
      <c r="V918" s="39" t="n">
        <f aca="false">SUM(M918:U918)</f>
        <v>69.117958</v>
      </c>
      <c r="W918" s="39" t="n">
        <f aca="false">V918/(1-Resumo!$C$5)</f>
        <v>78.5431340909091</v>
      </c>
      <c r="X918" s="39" t="n">
        <v>82.21</v>
      </c>
      <c r="Y918" s="39" t="n">
        <f aca="false">J918*Resumo!$B$6</f>
        <v>0.48999</v>
      </c>
      <c r="Z918" s="39" t="n">
        <f aca="false">J918*Resumo!$B$7</f>
        <v>0.97998</v>
      </c>
      <c r="AA918" s="39" t="n">
        <f aca="false">Resumo!$B$9</f>
        <v>1</v>
      </c>
      <c r="AB918" s="39" t="n">
        <f aca="false">Resumo!$B$10*CEILING(I918/100,1)</f>
        <v>4.5</v>
      </c>
      <c r="AC918" s="39" t="n">
        <f aca="false">Resumo!$B$12*CEILING(I918,1)</f>
        <v>1.38</v>
      </c>
      <c r="AD918" s="39" t="n">
        <f aca="false">Resumo!$B$14*CEILING(I918,1)</f>
        <v>10.35</v>
      </c>
      <c r="AE918" s="39" t="n">
        <f aca="false">SUM(X918:AD918)</f>
        <v>100.90997</v>
      </c>
      <c r="AF918" s="39" t="n">
        <f aca="false">AE918/(1-Resumo!$B$5)</f>
        <v>114.670420454545</v>
      </c>
      <c r="AG918" s="39" t="n">
        <f aca="false">AF918-W918</f>
        <v>36.1272863636363</v>
      </c>
      <c r="AH918" s="40" t="n">
        <f aca="false">AF918/W918-1</f>
        <v>0.459967466052744</v>
      </c>
      <c r="AI918" s="37" t="str">
        <f aca="false">IF(AF918&lt;W918,"SIM","NÃO")</f>
        <v>NÃO</v>
      </c>
      <c r="AJ918" s="37" t="n">
        <v>2</v>
      </c>
      <c r="AK918" s="37" t="n">
        <v>5</v>
      </c>
      <c r="AL918" s="37" t="s">
        <v>343</v>
      </c>
      <c r="AM918" s="39" t="n">
        <v>82.67</v>
      </c>
    </row>
    <row r="919" customFormat="false" ht="15" hidden="false" customHeight="false" outlineLevel="0" collapsed="false">
      <c r="A919" s="37" t="n">
        <v>375274213</v>
      </c>
      <c r="B919" s="38" t="n">
        <v>46246.6116435185</v>
      </c>
      <c r="C919" s="37" t="s">
        <v>340</v>
      </c>
      <c r="D919" s="37" t="s">
        <v>1225</v>
      </c>
      <c r="E919" s="37" t="n">
        <v>24474295</v>
      </c>
      <c r="F919" s="37" t="s">
        <v>160</v>
      </c>
      <c r="G919" s="37" t="s">
        <v>197</v>
      </c>
      <c r="H919" s="37" t="s">
        <v>184</v>
      </c>
      <c r="I919" s="37" t="n">
        <v>33</v>
      </c>
      <c r="J919" s="39" t="n">
        <v>450.99</v>
      </c>
      <c r="K919" s="37" t="s">
        <v>518</v>
      </c>
      <c r="L919" s="39" t="n">
        <v>102.44</v>
      </c>
      <c r="M919" s="39" t="n">
        <v>58.8</v>
      </c>
      <c r="N919" s="39" t="n">
        <f aca="false">J919*Resumo!$C$6</f>
        <v>0</v>
      </c>
      <c r="O919" s="39" t="n">
        <f aca="false">J919*Resumo!$C$7</f>
        <v>0.947079</v>
      </c>
      <c r="P919" s="39" t="n">
        <f aca="false">J919*Resumo!$C$8</f>
        <v>0.947079</v>
      </c>
      <c r="Q919" s="39" t="n">
        <f aca="false">Resumo!$C$10*CEILING(I919/100,1)</f>
        <v>1.05</v>
      </c>
      <c r="R919" s="39" t="n">
        <f aca="false">Resumo!$C$9</f>
        <v>0</v>
      </c>
      <c r="S919" s="39" t="n">
        <f aca="false">Resumo!$C$13</f>
        <v>13.55</v>
      </c>
      <c r="T919" s="39" t="n">
        <f aca="false">Resumo!$C$14*CEILING(I919,1)</f>
        <v>14.85</v>
      </c>
      <c r="U919" s="39" t="n">
        <f aca="false">SUM(M919:T919)*Resumo!$C$11</f>
        <v>0</v>
      </c>
      <c r="V919" s="39" t="n">
        <f aca="false">SUM(M919:U919)</f>
        <v>90.144158</v>
      </c>
      <c r="W919" s="39" t="n">
        <f aca="false">V919/(1-Resumo!$C$5)</f>
        <v>102.436543181818</v>
      </c>
      <c r="X919" s="39" t="n">
        <v>100.58</v>
      </c>
      <c r="Y919" s="39" t="n">
        <f aca="false">J919*Resumo!$B$6</f>
        <v>0.45099</v>
      </c>
      <c r="Z919" s="39" t="n">
        <f aca="false">J919*Resumo!$B$7</f>
        <v>0.90198</v>
      </c>
      <c r="AA919" s="39" t="n">
        <f aca="false">Resumo!$B$9</f>
        <v>1</v>
      </c>
      <c r="AB919" s="39" t="n">
        <f aca="false">Resumo!$B$10*CEILING(I919/100,1)</f>
        <v>4.5</v>
      </c>
      <c r="AC919" s="39" t="n">
        <f aca="false">Resumo!$B$12*CEILING(I919,1)</f>
        <v>1.98</v>
      </c>
      <c r="AD919" s="39" t="n">
        <f aca="false">Resumo!$B$14*CEILING(I919,1)</f>
        <v>14.85</v>
      </c>
      <c r="AE919" s="39" t="n">
        <f aca="false">SUM(X919:AD919)</f>
        <v>124.26297</v>
      </c>
      <c r="AF919" s="39" t="n">
        <f aca="false">AE919/(1-Resumo!$B$5)</f>
        <v>141.207920454545</v>
      </c>
      <c r="AG919" s="39" t="n">
        <f aca="false">AF919-W919</f>
        <v>38.7713772727273</v>
      </c>
      <c r="AH919" s="40" t="n">
        <f aca="false">AF919/W919-1</f>
        <v>0.378491659991988</v>
      </c>
      <c r="AI919" s="37" t="str">
        <f aca="false">IF(AF919&lt;W919,"SIM","NÃO")</f>
        <v>NÃO</v>
      </c>
      <c r="AJ919" s="37" t="n">
        <v>2</v>
      </c>
      <c r="AK919" s="37" t="n">
        <v>7</v>
      </c>
      <c r="AL919" s="37" t="s">
        <v>343</v>
      </c>
      <c r="AM919" s="39" t="n">
        <v>101.55</v>
      </c>
    </row>
    <row r="920" customFormat="false" ht="15" hidden="false" customHeight="false" outlineLevel="0" collapsed="false">
      <c r="A920" s="37" t="n">
        <v>375285772</v>
      </c>
      <c r="B920" s="38" t="n">
        <v>46246.6279398148</v>
      </c>
      <c r="C920" s="37" t="s">
        <v>340</v>
      </c>
      <c r="D920" s="37" t="s">
        <v>1226</v>
      </c>
      <c r="E920" s="37" t="n">
        <v>21210270</v>
      </c>
      <c r="F920" s="37" t="s">
        <v>159</v>
      </c>
      <c r="G920" s="37" t="s">
        <v>196</v>
      </c>
      <c r="H920" s="37" t="s">
        <v>185</v>
      </c>
      <c r="I920" s="37" t="n">
        <v>37.2</v>
      </c>
      <c r="J920" s="39" t="n">
        <v>360.99</v>
      </c>
      <c r="K920" s="37" t="s">
        <v>342</v>
      </c>
      <c r="L920" s="39" t="n">
        <v>91.58</v>
      </c>
      <c r="M920" s="39" t="n">
        <v>48.35</v>
      </c>
      <c r="N920" s="39" t="n">
        <f aca="false">J920*Resumo!$C$6</f>
        <v>0</v>
      </c>
      <c r="O920" s="39" t="n">
        <f aca="false">J920*Resumo!$C$7</f>
        <v>0.758079</v>
      </c>
      <c r="P920" s="39" t="n">
        <f aca="false">J920*Resumo!$C$8</f>
        <v>0.758079</v>
      </c>
      <c r="Q920" s="39" t="n">
        <f aca="false">Resumo!$C$10*CEILING(I920/100,1)</f>
        <v>1.05</v>
      </c>
      <c r="R920" s="39" t="n">
        <f aca="false">Resumo!$C$9</f>
        <v>0</v>
      </c>
      <c r="S920" s="39" t="n">
        <f aca="false">Resumo!$C$13</f>
        <v>13.55</v>
      </c>
      <c r="T920" s="39" t="n">
        <f aca="false">Resumo!$C$14*CEILING(I920,1)</f>
        <v>17.1</v>
      </c>
      <c r="U920" s="39" t="n">
        <f aca="false">SUM(M920:T920)*Resumo!$C$11</f>
        <v>0</v>
      </c>
      <c r="V920" s="39" t="n">
        <f aca="false">SUM(M920:U920)</f>
        <v>81.566158</v>
      </c>
      <c r="W920" s="39" t="n">
        <f aca="false">V920/(1-Resumo!$C$5)</f>
        <v>92.6888159090909</v>
      </c>
      <c r="X920" s="39" t="n">
        <v>93.97</v>
      </c>
      <c r="Y920" s="39" t="n">
        <f aca="false">J920*Resumo!$B$6</f>
        <v>0.36099</v>
      </c>
      <c r="Z920" s="39" t="n">
        <f aca="false">J920*Resumo!$B$7</f>
        <v>0.72198</v>
      </c>
      <c r="AA920" s="39" t="n">
        <f aca="false">Resumo!$B$9</f>
        <v>1</v>
      </c>
      <c r="AB920" s="39" t="n">
        <f aca="false">Resumo!$B$10*CEILING(I920/100,1)</f>
        <v>4.5</v>
      </c>
      <c r="AC920" s="39" t="n">
        <f aca="false">Resumo!$B$12*CEILING(I920,1)</f>
        <v>2.28</v>
      </c>
      <c r="AD920" s="39" t="n">
        <f aca="false">Resumo!$B$14*CEILING(I920,1)</f>
        <v>17.1</v>
      </c>
      <c r="AE920" s="39" t="n">
        <f aca="false">SUM(X920:AD920)</f>
        <v>119.93297</v>
      </c>
      <c r="AF920" s="39" t="n">
        <f aca="false">AE920/(1-Resumo!$B$5)</f>
        <v>136.287465909091</v>
      </c>
      <c r="AG920" s="39" t="n">
        <f aca="false">AF920-W920</f>
        <v>43.59865</v>
      </c>
      <c r="AH920" s="40" t="n">
        <f aca="false">AF920/W920-1</f>
        <v>0.470376599079241</v>
      </c>
      <c r="AI920" s="37" t="str">
        <f aca="false">IF(AF920&lt;W920,"SIM","NÃO")</f>
        <v>NÃO</v>
      </c>
      <c r="AJ920" s="37" t="n">
        <v>2</v>
      </c>
      <c r="AK920" s="37" t="n">
        <v>5</v>
      </c>
      <c r="AL920" s="37" t="s">
        <v>343</v>
      </c>
      <c r="AM920" s="39" t="n">
        <v>91.59</v>
      </c>
    </row>
    <row r="921" customFormat="false" ht="15" hidden="false" customHeight="false" outlineLevel="0" collapsed="false">
      <c r="A921" s="37" t="n">
        <v>375296391</v>
      </c>
      <c r="B921" s="38" t="n">
        <v>46246.6416898148</v>
      </c>
      <c r="C921" s="37" t="s">
        <v>340</v>
      </c>
      <c r="D921" s="37" t="s">
        <v>1227</v>
      </c>
      <c r="E921" s="37" t="n">
        <v>23907205</v>
      </c>
      <c r="F921" s="37" t="s">
        <v>169</v>
      </c>
      <c r="G921" s="37" t="s">
        <v>198</v>
      </c>
      <c r="H921" s="37" t="s">
        <v>184</v>
      </c>
      <c r="I921" s="37" t="n">
        <v>34.4</v>
      </c>
      <c r="J921" s="39" t="n">
        <v>539.98</v>
      </c>
      <c r="K921" s="37" t="s">
        <v>518</v>
      </c>
      <c r="L921" s="39" t="n">
        <v>111.64</v>
      </c>
      <c r="M921" s="39" t="n">
        <v>65.63</v>
      </c>
      <c r="N921" s="39" t="n">
        <f aca="false">J921*Resumo!$C$6</f>
        <v>0</v>
      </c>
      <c r="O921" s="39" t="n">
        <f aca="false">J921*Resumo!$C$7</f>
        <v>1.133958</v>
      </c>
      <c r="P921" s="39" t="n">
        <f aca="false">J921*Resumo!$C$8</f>
        <v>1.133958</v>
      </c>
      <c r="Q921" s="39" t="n">
        <f aca="false">Resumo!$C$10*CEILING(I921/100,1)</f>
        <v>1.05</v>
      </c>
      <c r="R921" s="39" t="n">
        <f aca="false">Resumo!$C$9</f>
        <v>0</v>
      </c>
      <c r="S921" s="39" t="n">
        <f aca="false">Resumo!$C$13</f>
        <v>13.55</v>
      </c>
      <c r="T921" s="39" t="n">
        <f aca="false">Resumo!$C$14*CEILING(I921,1)</f>
        <v>15.75</v>
      </c>
      <c r="U921" s="39" t="n">
        <f aca="false">SUM(M921:T921)*Resumo!$C$11</f>
        <v>0</v>
      </c>
      <c r="V921" s="39" t="n">
        <f aca="false">SUM(M921:U921)</f>
        <v>98.247916</v>
      </c>
      <c r="W921" s="39" t="n">
        <f aca="false">V921/(1-Resumo!$C$5)</f>
        <v>111.645359090909</v>
      </c>
      <c r="X921" s="39" t="n">
        <v>108.83</v>
      </c>
      <c r="Y921" s="39" t="n">
        <f aca="false">J921*Resumo!$B$6</f>
        <v>0.53998</v>
      </c>
      <c r="Z921" s="39" t="n">
        <f aca="false">J921*Resumo!$B$7</f>
        <v>1.07996</v>
      </c>
      <c r="AA921" s="39" t="n">
        <f aca="false">Resumo!$B$9</f>
        <v>1</v>
      </c>
      <c r="AB921" s="39" t="n">
        <f aca="false">Resumo!$B$10*CEILING(I921/100,1)</f>
        <v>4.5</v>
      </c>
      <c r="AC921" s="39" t="n">
        <f aca="false">Resumo!$B$12*CEILING(I921,1)</f>
        <v>2.1</v>
      </c>
      <c r="AD921" s="39" t="n">
        <f aca="false">Resumo!$B$14*CEILING(I921,1)</f>
        <v>15.75</v>
      </c>
      <c r="AE921" s="39" t="n">
        <f aca="false">SUM(X921:AD921)</f>
        <v>133.79994</v>
      </c>
      <c r="AF921" s="39" t="n">
        <f aca="false">AE921/(1-Resumo!$B$5)</f>
        <v>152.045386363636</v>
      </c>
      <c r="AG921" s="39" t="n">
        <f aca="false">AF921-W921</f>
        <v>40.4000272727273</v>
      </c>
      <c r="AH921" s="40" t="n">
        <f aca="false">AF921/W921-1</f>
        <v>0.361860337068117</v>
      </c>
      <c r="AI921" s="37" t="str">
        <f aca="false">IF(AF921&lt;W921,"SIM","NÃO")</f>
        <v>NÃO</v>
      </c>
      <c r="AJ921" s="37" t="n">
        <v>13</v>
      </c>
      <c r="AK921" s="37" t="n">
        <v>10</v>
      </c>
      <c r="AL921" s="37" t="s">
        <v>343</v>
      </c>
      <c r="AM921" s="39" t="n">
        <v>109.77</v>
      </c>
    </row>
    <row r="922" customFormat="false" ht="15" hidden="false" customHeight="false" outlineLevel="0" collapsed="false">
      <c r="A922" s="37" t="n">
        <v>375297964</v>
      </c>
      <c r="B922" s="38" t="n">
        <v>46246.6432407407</v>
      </c>
      <c r="C922" s="37" t="s">
        <v>345</v>
      </c>
      <c r="D922" s="37" t="s">
        <v>1228</v>
      </c>
      <c r="E922" s="37" t="n">
        <v>23082410</v>
      </c>
      <c r="F922" s="37" t="s">
        <v>159</v>
      </c>
      <c r="G922" s="37" t="s">
        <v>196</v>
      </c>
      <c r="H922" s="37" t="s">
        <v>191</v>
      </c>
      <c r="I922" s="37" t="n">
        <v>117</v>
      </c>
      <c r="J922" s="39" t="n">
        <v>1167</v>
      </c>
      <c r="K922" s="37" t="s">
        <v>518</v>
      </c>
      <c r="L922" s="39" t="n">
        <v>188.11</v>
      </c>
      <c r="M922" s="39" t="n">
        <v>92.34</v>
      </c>
      <c r="N922" s="39" t="n">
        <f aca="false">J922*Resumo!$C$6</f>
        <v>0</v>
      </c>
      <c r="O922" s="39" t="n">
        <f aca="false">J922*Resumo!$C$7</f>
        <v>2.4507</v>
      </c>
      <c r="P922" s="39" t="n">
        <f aca="false">J922*Resumo!$C$8</f>
        <v>2.4507</v>
      </c>
      <c r="Q922" s="39" t="n">
        <f aca="false">Resumo!$C$10*CEILING(I922/100,1)</f>
        <v>2.1</v>
      </c>
      <c r="R922" s="39" t="n">
        <f aca="false">Resumo!$C$9</f>
        <v>0</v>
      </c>
      <c r="S922" s="39" t="n">
        <f aca="false">Resumo!$C$13</f>
        <v>13.55</v>
      </c>
      <c r="T922" s="39" t="n">
        <f aca="false">Resumo!$C$14*CEILING(I922,1)</f>
        <v>52.65</v>
      </c>
      <c r="U922" s="39" t="n">
        <f aca="false">SUM(M922:T922)*Resumo!$C$11</f>
        <v>0</v>
      </c>
      <c r="V922" s="39" t="n">
        <f aca="false">SUM(M922:U922)</f>
        <v>165.5414</v>
      </c>
      <c r="W922" s="39" t="n">
        <f aca="false">V922/(1-Resumo!$C$5)</f>
        <v>188.115227272727</v>
      </c>
      <c r="X922" s="39" t="n">
        <v>201.59</v>
      </c>
      <c r="Y922" s="39" t="n">
        <f aca="false">J922*Resumo!$B$6</f>
        <v>1.167</v>
      </c>
      <c r="Z922" s="39" t="n">
        <f aca="false">J922*Resumo!$B$7</f>
        <v>2.334</v>
      </c>
      <c r="AA922" s="39" t="n">
        <f aca="false">Resumo!$B$9</f>
        <v>1</v>
      </c>
      <c r="AB922" s="39" t="n">
        <f aca="false">Resumo!$B$10*CEILING(I922/100,1)</f>
        <v>9</v>
      </c>
      <c r="AC922" s="39" t="n">
        <f aca="false">Resumo!$B$12*CEILING(I922,1)</f>
        <v>7.02</v>
      </c>
      <c r="AD922" s="39" t="n">
        <f aca="false">Resumo!$B$14*CEILING(I922,1)</f>
        <v>52.65</v>
      </c>
      <c r="AE922" s="39" t="n">
        <f aca="false">SUM(X922:AD922)</f>
        <v>274.761</v>
      </c>
      <c r="AF922" s="39" t="n">
        <f aca="false">AE922/(1-Resumo!$B$5)</f>
        <v>312.228409090909</v>
      </c>
      <c r="AG922" s="39" t="n">
        <f aca="false">AF922-W922</f>
        <v>124.113181818182</v>
      </c>
      <c r="AH922" s="40" t="n">
        <f aca="false">AF922/W922-1</f>
        <v>0.659772117428027</v>
      </c>
      <c r="AI922" s="37" t="str">
        <f aca="false">IF(AF922&lt;W922,"SIM","NÃO")</f>
        <v>NÃO</v>
      </c>
      <c r="AJ922" s="37" t="n">
        <v>2</v>
      </c>
      <c r="AK922" s="37" t="n">
        <v>5</v>
      </c>
      <c r="AL922" s="37" t="s">
        <v>343</v>
      </c>
      <c r="AM922" s="39" t="n">
        <v>185.23</v>
      </c>
    </row>
    <row r="923" customFormat="false" ht="15" hidden="false" customHeight="false" outlineLevel="0" collapsed="false">
      <c r="A923" s="37" t="n">
        <v>375307606</v>
      </c>
      <c r="B923" s="38" t="n">
        <v>46246.6555324074</v>
      </c>
      <c r="C923" s="37" t="s">
        <v>340</v>
      </c>
      <c r="D923" s="37" t="s">
        <v>1229</v>
      </c>
      <c r="E923" s="37" t="n">
        <v>25550500</v>
      </c>
      <c r="F923" s="37" t="s">
        <v>167</v>
      </c>
      <c r="G923" s="37" t="s">
        <v>197</v>
      </c>
      <c r="H923" s="37" t="s">
        <v>185</v>
      </c>
      <c r="I923" s="37" t="n">
        <v>36.8</v>
      </c>
      <c r="J923" s="39" t="n">
        <v>439.99</v>
      </c>
      <c r="K923" s="37" t="s">
        <v>518</v>
      </c>
      <c r="L923" s="39" t="n">
        <v>113.55</v>
      </c>
      <c r="M923" s="39" t="n">
        <v>66.83</v>
      </c>
      <c r="N923" s="39" t="n">
        <f aca="false">J923*Resumo!$C$6</f>
        <v>0</v>
      </c>
      <c r="O923" s="39" t="n">
        <f aca="false">J923*Resumo!$C$7</f>
        <v>0.923979</v>
      </c>
      <c r="P923" s="39" t="n">
        <f aca="false">J923*Resumo!$C$8</f>
        <v>0.923979</v>
      </c>
      <c r="Q923" s="39" t="n">
        <f aca="false">Resumo!$C$10*CEILING(I923/100,1)</f>
        <v>1.05</v>
      </c>
      <c r="R923" s="39" t="n">
        <f aca="false">Resumo!$C$9</f>
        <v>0</v>
      </c>
      <c r="S923" s="39" t="n">
        <f aca="false">Resumo!$C$13</f>
        <v>13.55</v>
      </c>
      <c r="T923" s="39" t="n">
        <f aca="false">Resumo!$C$14*CEILING(I923,1)</f>
        <v>16.65</v>
      </c>
      <c r="U923" s="39" t="n">
        <f aca="false">SUM(M923:T923)*Resumo!$C$11</f>
        <v>0</v>
      </c>
      <c r="V923" s="39" t="n">
        <f aca="false">SUM(M923:U923)</f>
        <v>99.927958</v>
      </c>
      <c r="W923" s="39" t="n">
        <f aca="false">V923/(1-Resumo!$C$5)</f>
        <v>113.554497727273</v>
      </c>
      <c r="X923" s="39" t="n">
        <v>93.97</v>
      </c>
      <c r="Y923" s="39" t="n">
        <f aca="false">J923*Resumo!$B$6</f>
        <v>0.43999</v>
      </c>
      <c r="Z923" s="39" t="n">
        <f aca="false">J923*Resumo!$B$7</f>
        <v>0.87998</v>
      </c>
      <c r="AA923" s="39" t="n">
        <f aca="false">Resumo!$B$9</f>
        <v>1</v>
      </c>
      <c r="AB923" s="39" t="n">
        <f aca="false">Resumo!$B$10*CEILING(I923/100,1)</f>
        <v>4.5</v>
      </c>
      <c r="AC923" s="39" t="n">
        <f aca="false">Resumo!$B$12*CEILING(I923,1)</f>
        <v>2.22</v>
      </c>
      <c r="AD923" s="39" t="n">
        <f aca="false">Resumo!$B$14*CEILING(I923,1)</f>
        <v>16.65</v>
      </c>
      <c r="AE923" s="39" t="n">
        <f aca="false">SUM(X923:AD923)</f>
        <v>119.65997</v>
      </c>
      <c r="AF923" s="39" t="n">
        <f aca="false">AE923/(1-Resumo!$B$5)</f>
        <v>135.977238636364</v>
      </c>
      <c r="AG923" s="39" t="n">
        <f aca="false">AF923-W923</f>
        <v>22.4227409090909</v>
      </c>
      <c r="AH923" s="40" t="n">
        <f aca="false">AF923/W923-1</f>
        <v>0.197462375844806</v>
      </c>
      <c r="AI923" s="37" t="str">
        <f aca="false">IF(AF923&lt;W923,"SIM","NÃO")</f>
        <v>NÃO</v>
      </c>
      <c r="AJ923" s="37" t="n">
        <v>2</v>
      </c>
      <c r="AK923" s="37" t="n">
        <v>5</v>
      </c>
      <c r="AL923" s="37" t="s">
        <v>343</v>
      </c>
      <c r="AM923" s="39" t="n">
        <v>113.06</v>
      </c>
    </row>
    <row r="924" customFormat="false" ht="15" hidden="false" customHeight="false" outlineLevel="0" collapsed="false">
      <c r="A924" s="37" t="n">
        <v>375312716</v>
      </c>
      <c r="B924" s="38" t="n">
        <v>46246.6626041667</v>
      </c>
      <c r="C924" s="37" t="s">
        <v>379</v>
      </c>
      <c r="D924" s="37" t="s">
        <v>1230</v>
      </c>
      <c r="E924" s="37" t="n">
        <v>25555201</v>
      </c>
      <c r="F924" s="37" t="s">
        <v>167</v>
      </c>
      <c r="G924" s="37" t="s">
        <v>197</v>
      </c>
      <c r="H924" s="37" t="s">
        <v>192</v>
      </c>
      <c r="I924" s="37" t="n">
        <v>135</v>
      </c>
      <c r="J924" s="39" t="n">
        <v>1599.99</v>
      </c>
      <c r="K924" s="37" t="s">
        <v>518</v>
      </c>
      <c r="L924" s="39" t="n">
        <v>241.75</v>
      </c>
      <c r="M924" s="39" t="n">
        <v>129.62</v>
      </c>
      <c r="N924" s="39" t="n">
        <f aca="false">J924*Resumo!$C$6</f>
        <v>0</v>
      </c>
      <c r="O924" s="39" t="n">
        <f aca="false">J924*Resumo!$C$7</f>
        <v>3.359979</v>
      </c>
      <c r="P924" s="39" t="n">
        <f aca="false">J924*Resumo!$C$8</f>
        <v>3.359979</v>
      </c>
      <c r="Q924" s="39" t="n">
        <f aca="false">Resumo!$C$10*CEILING(I924/100,1)</f>
        <v>2.1</v>
      </c>
      <c r="R924" s="39" t="n">
        <f aca="false">Resumo!$C$9</f>
        <v>0</v>
      </c>
      <c r="S924" s="39" t="n">
        <f aca="false">Resumo!$C$13</f>
        <v>13.55</v>
      </c>
      <c r="T924" s="39" t="n">
        <f aca="false">Resumo!$C$14*CEILING(I924,1)</f>
        <v>60.75</v>
      </c>
      <c r="U924" s="39" t="n">
        <f aca="false">SUM(M924:T924)*Resumo!$C$11</f>
        <v>0</v>
      </c>
      <c r="V924" s="39" t="n">
        <f aca="false">SUM(M924:U924)</f>
        <v>212.739958</v>
      </c>
      <c r="W924" s="39" t="n">
        <f aca="false">V924/(1-Resumo!$C$5)</f>
        <v>241.749952272727</v>
      </c>
      <c r="X924" s="39" t="n">
        <v>239.25</v>
      </c>
      <c r="Y924" s="39" t="n">
        <f aca="false">J924*Resumo!$B$6</f>
        <v>1.59999</v>
      </c>
      <c r="Z924" s="39" t="n">
        <f aca="false">J924*Resumo!$B$7</f>
        <v>3.19998</v>
      </c>
      <c r="AA924" s="39" t="n">
        <f aca="false">Resumo!$B$9</f>
        <v>1</v>
      </c>
      <c r="AB924" s="39" t="n">
        <f aca="false">Resumo!$B$10*CEILING(I924/100,1)</f>
        <v>9</v>
      </c>
      <c r="AC924" s="39" t="n">
        <f aca="false">Resumo!$B$12*CEILING(I924,1)</f>
        <v>8.1</v>
      </c>
      <c r="AD924" s="39" t="n">
        <f aca="false">Resumo!$B$14*CEILING(I924,1)</f>
        <v>60.75</v>
      </c>
      <c r="AE924" s="39" t="n">
        <f aca="false">SUM(X924:AD924)</f>
        <v>322.89997</v>
      </c>
      <c r="AF924" s="39" t="n">
        <f aca="false">AE924/(1-Resumo!$B$5)</f>
        <v>366.931784090909</v>
      </c>
      <c r="AG924" s="39" t="n">
        <f aca="false">AF924-W924</f>
        <v>125.181831818182</v>
      </c>
      <c r="AH924" s="40" t="n">
        <f aca="false">AF924/W924-1</f>
        <v>0.517815332087261</v>
      </c>
      <c r="AI924" s="37" t="str">
        <f aca="false">IF(AF924&lt;W924,"SIM","NÃO")</f>
        <v>NÃO</v>
      </c>
      <c r="AJ924" s="37" t="n">
        <v>2</v>
      </c>
      <c r="AK924" s="37" t="n">
        <v>5</v>
      </c>
      <c r="AL924" s="37" t="s">
        <v>343</v>
      </c>
      <c r="AM924" s="39" t="n">
        <v>244.27</v>
      </c>
    </row>
    <row r="925" customFormat="false" ht="15" hidden="false" customHeight="false" outlineLevel="0" collapsed="false">
      <c r="A925" s="37" t="n">
        <v>375286549</v>
      </c>
      <c r="B925" s="38" t="n">
        <v>46246.7041203704</v>
      </c>
      <c r="C925" s="37" t="s">
        <v>372</v>
      </c>
      <c r="D925" s="37" t="s">
        <v>1231</v>
      </c>
      <c r="E925" s="37" t="n">
        <v>24745120</v>
      </c>
      <c r="F925" s="37" t="s">
        <v>160</v>
      </c>
      <c r="G925" s="37" t="s">
        <v>197</v>
      </c>
      <c r="H925" s="37" t="s">
        <v>187</v>
      </c>
      <c r="I925" s="37" t="n">
        <v>60</v>
      </c>
      <c r="J925" s="39" t="n">
        <v>969.99</v>
      </c>
      <c r="K925" s="37" t="s">
        <v>518</v>
      </c>
      <c r="L925" s="39" t="n">
        <v>132.57</v>
      </c>
      <c r="M925" s="39" t="n">
        <v>70.98</v>
      </c>
      <c r="N925" s="39" t="n">
        <f aca="false">J925*Resumo!$C$6</f>
        <v>0</v>
      </c>
      <c r="O925" s="39" t="n">
        <f aca="false">J925*Resumo!$C$7</f>
        <v>2.036979</v>
      </c>
      <c r="P925" s="39" t="n">
        <f aca="false">J925*Resumo!$C$8</f>
        <v>2.036979</v>
      </c>
      <c r="Q925" s="39" t="n">
        <f aca="false">Resumo!$C$10*CEILING(I925/100,1)</f>
        <v>1.05</v>
      </c>
      <c r="R925" s="39" t="n">
        <f aca="false">Resumo!$C$9</f>
        <v>0</v>
      </c>
      <c r="S925" s="39" t="n">
        <f aca="false">Resumo!$C$13</f>
        <v>13.55</v>
      </c>
      <c r="T925" s="39" t="n">
        <f aca="false">Resumo!$C$14*CEILING(I925,1)</f>
        <v>27</v>
      </c>
      <c r="U925" s="39" t="n">
        <f aca="false">SUM(M925:T925)*Resumo!$C$11</f>
        <v>0</v>
      </c>
      <c r="V925" s="39" t="n">
        <f aca="false">SUM(M925:U925)</f>
        <v>116.653958</v>
      </c>
      <c r="W925" s="39" t="n">
        <f aca="false">V925/(1-Resumo!$C$5)</f>
        <v>132.561315909091</v>
      </c>
      <c r="X925" s="39" t="n">
        <v>128.14</v>
      </c>
      <c r="Y925" s="39" t="n">
        <f aca="false">J925*Resumo!$B$6</f>
        <v>0.96999</v>
      </c>
      <c r="Z925" s="39" t="n">
        <f aca="false">J925*Resumo!$B$7</f>
        <v>1.93998</v>
      </c>
      <c r="AA925" s="39" t="n">
        <f aca="false">Resumo!$B$9</f>
        <v>1</v>
      </c>
      <c r="AB925" s="39" t="n">
        <f aca="false">Resumo!$B$10*CEILING(I925/100,1)</f>
        <v>4.5</v>
      </c>
      <c r="AC925" s="39" t="n">
        <f aca="false">Resumo!$B$12*CEILING(I925,1)</f>
        <v>3.6</v>
      </c>
      <c r="AD925" s="39" t="n">
        <f aca="false">Resumo!$B$14*CEILING(I925,1)</f>
        <v>27</v>
      </c>
      <c r="AE925" s="39" t="n">
        <f aca="false">SUM(X925:AD925)</f>
        <v>167.14997</v>
      </c>
      <c r="AF925" s="39" t="n">
        <f aca="false">AE925/(1-Resumo!$B$5)</f>
        <v>189.943147727273</v>
      </c>
      <c r="AG925" s="39" t="n">
        <f aca="false">AF925-W925</f>
        <v>57.3818318181818</v>
      </c>
      <c r="AH925" s="40" t="n">
        <f aca="false">AF925/W925-1</f>
        <v>0.432870113159812</v>
      </c>
      <c r="AI925" s="37" t="str">
        <f aca="false">IF(AF925&lt;W925,"SIM","NÃO")</f>
        <v>NÃO</v>
      </c>
      <c r="AJ925" s="37" t="n">
        <v>2</v>
      </c>
      <c r="AK925" s="37" t="n">
        <v>7</v>
      </c>
      <c r="AL925" s="37" t="s">
        <v>343</v>
      </c>
      <c r="AM925" s="39" t="n">
        <v>129.93</v>
      </c>
    </row>
    <row r="926" customFormat="false" ht="15" hidden="false" customHeight="false" outlineLevel="0" collapsed="false">
      <c r="A926" s="37" t="n">
        <v>375342295</v>
      </c>
      <c r="B926" s="38" t="n">
        <v>46246.7088888889</v>
      </c>
      <c r="C926" s="37" t="s">
        <v>340</v>
      </c>
      <c r="D926" s="37" t="s">
        <v>1232</v>
      </c>
      <c r="E926" s="37" t="n">
        <v>25272660</v>
      </c>
      <c r="F926" s="37" t="s">
        <v>161</v>
      </c>
      <c r="G926" s="37" t="s">
        <v>197</v>
      </c>
      <c r="H926" s="37" t="s">
        <v>188</v>
      </c>
      <c r="I926" s="37" t="n">
        <v>66.8</v>
      </c>
      <c r="J926" s="39" t="n">
        <v>699.99</v>
      </c>
      <c r="K926" s="37" t="s">
        <v>342</v>
      </c>
      <c r="L926" s="39" t="n">
        <v>139.78</v>
      </c>
      <c r="M926" s="39" t="n">
        <v>76.55</v>
      </c>
      <c r="N926" s="39" t="n">
        <f aca="false">J926*Resumo!$C$6</f>
        <v>0</v>
      </c>
      <c r="O926" s="39" t="n">
        <f aca="false">J926*Resumo!$C$7</f>
        <v>1.469979</v>
      </c>
      <c r="P926" s="39" t="n">
        <f aca="false">J926*Resumo!$C$8</f>
        <v>1.469979</v>
      </c>
      <c r="Q926" s="39" t="n">
        <f aca="false">Resumo!$C$10*CEILING(I926/100,1)</f>
        <v>1.05</v>
      </c>
      <c r="R926" s="39" t="n">
        <f aca="false">Resumo!$C$9</f>
        <v>0</v>
      </c>
      <c r="S926" s="39" t="n">
        <f aca="false">Resumo!$C$13</f>
        <v>13.55</v>
      </c>
      <c r="T926" s="39" t="n">
        <f aca="false">Resumo!$C$14*CEILING(I926,1)</f>
        <v>30.15</v>
      </c>
      <c r="U926" s="39" t="n">
        <f aca="false">SUM(M926:T926)*Resumo!$C$11</f>
        <v>0</v>
      </c>
      <c r="V926" s="39" t="n">
        <f aca="false">SUM(M926:U926)</f>
        <v>124.239958</v>
      </c>
      <c r="W926" s="39" t="n">
        <f aca="false">V926/(1-Resumo!$C$5)</f>
        <v>141.181770454545</v>
      </c>
      <c r="X926" s="39" t="n">
        <v>131.02</v>
      </c>
      <c r="Y926" s="39" t="n">
        <f aca="false">J926*Resumo!$B$6</f>
        <v>0.69999</v>
      </c>
      <c r="Z926" s="39" t="n">
        <f aca="false">J926*Resumo!$B$7</f>
        <v>1.39998</v>
      </c>
      <c r="AA926" s="39" t="n">
        <f aca="false">Resumo!$B$9</f>
        <v>1</v>
      </c>
      <c r="AB926" s="39" t="n">
        <f aca="false">Resumo!$B$10*CEILING(I926/100,1)</f>
        <v>4.5</v>
      </c>
      <c r="AC926" s="39" t="n">
        <f aca="false">Resumo!$B$12*CEILING(I926,1)</f>
        <v>4.02</v>
      </c>
      <c r="AD926" s="39" t="n">
        <f aca="false">Resumo!$B$14*CEILING(I926,1)</f>
        <v>30.15</v>
      </c>
      <c r="AE926" s="39" t="n">
        <f aca="false">SUM(X926:AD926)</f>
        <v>172.78997</v>
      </c>
      <c r="AF926" s="39" t="n">
        <f aca="false">AE926/(1-Resumo!$B$5)</f>
        <v>196.352238636364</v>
      </c>
      <c r="AG926" s="39" t="n">
        <f aca="false">AF926-W926</f>
        <v>55.1704681818182</v>
      </c>
      <c r="AH926" s="40" t="n">
        <f aca="false">AF926/W926-1</f>
        <v>0.390776146270108</v>
      </c>
      <c r="AI926" s="37" t="str">
        <f aca="false">IF(AF926&lt;W926,"SIM","NÃO")</f>
        <v>NÃO</v>
      </c>
      <c r="AJ926" s="37" t="n">
        <v>2</v>
      </c>
      <c r="AK926" s="37" t="n">
        <v>5</v>
      </c>
      <c r="AL926" s="37" t="s">
        <v>343</v>
      </c>
      <c r="AM926" s="39" t="n">
        <v>139.79</v>
      </c>
    </row>
    <row r="927" customFormat="false" ht="15" hidden="false" customHeight="false" outlineLevel="0" collapsed="false">
      <c r="A927" s="37" t="n">
        <v>375346285</v>
      </c>
      <c r="B927" s="38" t="n">
        <v>46246.7187152778</v>
      </c>
      <c r="C927" s="37" t="s">
        <v>340</v>
      </c>
      <c r="D927" s="37" t="s">
        <v>1233</v>
      </c>
      <c r="E927" s="37" t="n">
        <v>24340105</v>
      </c>
      <c r="F927" s="37" t="s">
        <v>163</v>
      </c>
      <c r="G927" s="37" t="s">
        <v>197</v>
      </c>
      <c r="H927" s="37" t="s">
        <v>188</v>
      </c>
      <c r="I927" s="37" t="n">
        <v>69</v>
      </c>
      <c r="J927" s="39" t="n">
        <v>839.99</v>
      </c>
      <c r="K927" s="37" t="s">
        <v>342</v>
      </c>
      <c r="L927" s="39" t="n">
        <v>140.45</v>
      </c>
      <c r="M927" s="39" t="n">
        <v>76.55</v>
      </c>
      <c r="N927" s="39" t="n">
        <f aca="false">J927*Resumo!$C$6</f>
        <v>0</v>
      </c>
      <c r="O927" s="39" t="n">
        <f aca="false">J927*Resumo!$C$7</f>
        <v>1.763979</v>
      </c>
      <c r="P927" s="39" t="n">
        <f aca="false">J927*Resumo!$C$8</f>
        <v>1.763979</v>
      </c>
      <c r="Q927" s="39" t="n">
        <f aca="false">Resumo!$C$10*CEILING(I927/100,1)</f>
        <v>1.05</v>
      </c>
      <c r="R927" s="39" t="n">
        <f aca="false">Resumo!$C$9</f>
        <v>0</v>
      </c>
      <c r="S927" s="39" t="n">
        <f aca="false">Resumo!$C$13</f>
        <v>13.55</v>
      </c>
      <c r="T927" s="39" t="n">
        <f aca="false">Resumo!$C$14*CEILING(I927,1)</f>
        <v>31.05</v>
      </c>
      <c r="U927" s="39" t="n">
        <f aca="false">SUM(M927:T927)*Resumo!$C$11</f>
        <v>0</v>
      </c>
      <c r="V927" s="39" t="n">
        <f aca="false">SUM(M927:U927)</f>
        <v>125.727958</v>
      </c>
      <c r="W927" s="39" t="n">
        <f aca="false">V927/(1-Resumo!$C$5)</f>
        <v>142.872679545455</v>
      </c>
      <c r="X927" s="39" t="n">
        <v>149.5</v>
      </c>
      <c r="Y927" s="39" t="n">
        <f aca="false">J927*Resumo!$B$6</f>
        <v>0.83999</v>
      </c>
      <c r="Z927" s="39" t="n">
        <f aca="false">J927*Resumo!$B$7</f>
        <v>1.67998</v>
      </c>
      <c r="AA927" s="39" t="n">
        <f aca="false">Resumo!$B$9</f>
        <v>1</v>
      </c>
      <c r="AB927" s="39" t="n">
        <f aca="false">Resumo!$B$10*CEILING(I927/100,1)</f>
        <v>4.5</v>
      </c>
      <c r="AC927" s="39" t="n">
        <f aca="false">Resumo!$B$12*CEILING(I927,1)</f>
        <v>4.14</v>
      </c>
      <c r="AD927" s="39" t="n">
        <f aca="false">Resumo!$B$14*CEILING(I927,1)</f>
        <v>31.05</v>
      </c>
      <c r="AE927" s="39" t="n">
        <f aca="false">SUM(X927:AD927)</f>
        <v>192.70997</v>
      </c>
      <c r="AF927" s="39" t="n">
        <f aca="false">AE927/(1-Resumo!$B$5)</f>
        <v>218.988602272727</v>
      </c>
      <c r="AG927" s="39" t="n">
        <f aca="false">AF927-W927</f>
        <v>76.1159227272727</v>
      </c>
      <c r="AH927" s="40" t="n">
        <f aca="false">AF927/W927-1</f>
        <v>0.53275351851336</v>
      </c>
      <c r="AI927" s="37" t="str">
        <f aca="false">IF(AF927&lt;W927,"SIM","NÃO")</f>
        <v>NÃO</v>
      </c>
      <c r="AJ927" s="37" t="n">
        <v>2</v>
      </c>
      <c r="AK927" s="37" t="n">
        <v>7</v>
      </c>
      <c r="AL927" s="37" t="s">
        <v>343</v>
      </c>
      <c r="AM927" s="39" t="n">
        <v>140.46</v>
      </c>
    </row>
    <row r="928" customFormat="false" ht="15" hidden="false" customHeight="false" outlineLevel="0" collapsed="false">
      <c r="A928" s="37" t="n">
        <v>375352277</v>
      </c>
      <c r="B928" s="38" t="n">
        <v>46246.7330208333</v>
      </c>
      <c r="C928" s="37" t="s">
        <v>340</v>
      </c>
      <c r="D928" s="37" t="s">
        <v>1234</v>
      </c>
      <c r="E928" s="37" t="n">
        <v>28990760</v>
      </c>
      <c r="F928" s="37" t="s">
        <v>295</v>
      </c>
      <c r="G928" s="37" t="s">
        <v>198</v>
      </c>
      <c r="H928" s="37" t="s">
        <v>185</v>
      </c>
      <c r="I928" s="37" t="n">
        <v>37.2</v>
      </c>
      <c r="J928" s="39" t="n">
        <v>360.99</v>
      </c>
      <c r="K928" s="37" t="s">
        <v>518</v>
      </c>
      <c r="L928" s="39" t="n">
        <v>122.94</v>
      </c>
      <c r="M928" s="39" t="n">
        <v>74.97</v>
      </c>
      <c r="N928" s="39" t="n">
        <f aca="false">J928*Resumo!$C$6</f>
        <v>0</v>
      </c>
      <c r="O928" s="39" t="n">
        <f aca="false">J928*Resumo!$C$7</f>
        <v>0.758079</v>
      </c>
      <c r="P928" s="39" t="n">
        <f aca="false">J928*Resumo!$C$8</f>
        <v>0.758079</v>
      </c>
      <c r="Q928" s="39" t="n">
        <f aca="false">Resumo!$C$10*CEILING(I928/100,1)</f>
        <v>1.05</v>
      </c>
      <c r="R928" s="39" t="n">
        <f aca="false">Resumo!$C$9</f>
        <v>0</v>
      </c>
      <c r="S928" s="39" t="n">
        <f aca="false">Resumo!$C$13</f>
        <v>13.55</v>
      </c>
      <c r="T928" s="39" t="n">
        <f aca="false">Resumo!$C$14*CEILING(I928,1)</f>
        <v>17.1</v>
      </c>
      <c r="U928" s="39" t="n">
        <f aca="false">SUM(M928:T928)*Resumo!$C$11</f>
        <v>0</v>
      </c>
      <c r="V928" s="39" t="n">
        <f aca="false">SUM(M928:U928)</f>
        <v>108.186158</v>
      </c>
      <c r="W928" s="39" t="n">
        <f aca="false">V928/(1-Resumo!$C$5)</f>
        <v>122.938815909091</v>
      </c>
      <c r="X928" s="39" t="n">
        <v>124.38</v>
      </c>
      <c r="Y928" s="39" t="n">
        <f aca="false">J928*Resumo!$B$6</f>
        <v>0.36099</v>
      </c>
      <c r="Z928" s="39" t="n">
        <f aca="false">J928*Resumo!$B$7</f>
        <v>0.72198</v>
      </c>
      <c r="AA928" s="39" t="n">
        <f aca="false">Resumo!$B$9</f>
        <v>1</v>
      </c>
      <c r="AB928" s="39" t="n">
        <f aca="false">Resumo!$B$10*CEILING(I928/100,1)</f>
        <v>4.5</v>
      </c>
      <c r="AC928" s="39" t="n">
        <f aca="false">Resumo!$B$12*CEILING(I928,1)</f>
        <v>2.28</v>
      </c>
      <c r="AD928" s="39" t="n">
        <f aca="false">Resumo!$B$14*CEILING(I928,1)</f>
        <v>17.1</v>
      </c>
      <c r="AE928" s="39" t="n">
        <f aca="false">SUM(X928:AD928)</f>
        <v>150.34297</v>
      </c>
      <c r="AF928" s="39" t="n">
        <f aca="false">AE928/(1-Resumo!$B$5)</f>
        <v>170.844284090909</v>
      </c>
      <c r="AG928" s="39" t="n">
        <f aca="false">AF928-W928</f>
        <v>47.9054681818182</v>
      </c>
      <c r="AH928" s="40" t="n">
        <f aca="false">AF928/W928-1</f>
        <v>0.389669184850801</v>
      </c>
      <c r="AI928" s="37" t="str">
        <f aca="false">IF(AF928&lt;W928,"SIM","NÃO")</f>
        <v>NÃO</v>
      </c>
      <c r="AJ928" s="37" t="n">
        <v>13</v>
      </c>
      <c r="AK928" s="37" t="n">
        <v>10</v>
      </c>
      <c r="AL928" s="37" t="s">
        <v>347</v>
      </c>
      <c r="AM928" s="39" t="n">
        <v>121.98</v>
      </c>
    </row>
    <row r="929" customFormat="false" ht="15" hidden="false" customHeight="false" outlineLevel="0" collapsed="false">
      <c r="A929" s="37" t="n">
        <v>375352666</v>
      </c>
      <c r="B929" s="38" t="n">
        <v>46246.7342013889</v>
      </c>
      <c r="C929" s="37" t="s">
        <v>375</v>
      </c>
      <c r="D929" s="37" t="s">
        <v>1226</v>
      </c>
      <c r="E929" s="37" t="n">
        <v>21210270</v>
      </c>
      <c r="F929" s="37" t="s">
        <v>159</v>
      </c>
      <c r="G929" s="37" t="s">
        <v>196</v>
      </c>
      <c r="H929" s="37" t="s">
        <v>184</v>
      </c>
      <c r="I929" s="37" t="n">
        <v>22.04</v>
      </c>
      <c r="J929" s="39" t="n">
        <v>271.43</v>
      </c>
      <c r="K929" s="37" t="s">
        <v>342</v>
      </c>
      <c r="L929" s="39" t="n">
        <v>81.61</v>
      </c>
      <c r="M929" s="39" t="n">
        <v>42.11</v>
      </c>
      <c r="N929" s="39" t="n">
        <f aca="false">J929*Resumo!$C$6</f>
        <v>0</v>
      </c>
      <c r="O929" s="39" t="n">
        <f aca="false">J929*Resumo!$C$7</f>
        <v>0.570003</v>
      </c>
      <c r="P929" s="39" t="n">
        <f aca="false">J929*Resumo!$C$8</f>
        <v>0.570003</v>
      </c>
      <c r="Q929" s="39" t="n">
        <f aca="false">Resumo!$C$10*CEILING(I929/100,1)</f>
        <v>1.05</v>
      </c>
      <c r="R929" s="39" t="n">
        <f aca="false">Resumo!$C$9</f>
        <v>0</v>
      </c>
      <c r="S929" s="39" t="n">
        <f aca="false">Resumo!$C$13</f>
        <v>13.55</v>
      </c>
      <c r="T929" s="39" t="n">
        <f aca="false">Resumo!$C$14*CEILING(I929,1)</f>
        <v>10.35</v>
      </c>
      <c r="U929" s="39" t="n">
        <f aca="false">SUM(M929:T929)*Resumo!$C$11</f>
        <v>0</v>
      </c>
      <c r="V929" s="39" t="n">
        <f aca="false">SUM(M929:U929)</f>
        <v>68.200006</v>
      </c>
      <c r="W929" s="39" t="n">
        <f aca="false">V929/(1-Resumo!$C$5)</f>
        <v>77.5000068181818</v>
      </c>
      <c r="X929" s="39" t="n">
        <v>82.21</v>
      </c>
      <c r="Y929" s="39" t="n">
        <f aca="false">J929*Resumo!$B$6</f>
        <v>0.27143</v>
      </c>
      <c r="Z929" s="39" t="n">
        <f aca="false">J929*Resumo!$B$7</f>
        <v>0.54286</v>
      </c>
      <c r="AA929" s="39" t="n">
        <f aca="false">Resumo!$B$9</f>
        <v>1</v>
      </c>
      <c r="AB929" s="39" t="n">
        <f aca="false">Resumo!$B$10*CEILING(I929/100,1)</f>
        <v>4.5</v>
      </c>
      <c r="AC929" s="39" t="n">
        <f aca="false">Resumo!$B$12*CEILING(I929,1)</f>
        <v>1.38</v>
      </c>
      <c r="AD929" s="39" t="n">
        <f aca="false">Resumo!$B$14*CEILING(I929,1)</f>
        <v>10.35</v>
      </c>
      <c r="AE929" s="39" t="n">
        <f aca="false">SUM(X929:AD929)</f>
        <v>100.25429</v>
      </c>
      <c r="AF929" s="39" t="n">
        <f aca="false">AE929/(1-Resumo!$B$5)</f>
        <v>113.925329545455</v>
      </c>
      <c r="AG929" s="39" t="n">
        <f aca="false">AF929-W929</f>
        <v>36.4253227272727</v>
      </c>
      <c r="AH929" s="40" t="n">
        <f aca="false">AF929/W929-1</f>
        <v>0.470004122873537</v>
      </c>
      <c r="AI929" s="37" t="str">
        <f aca="false">IF(AF929&lt;W929,"SIM","NÃO")</f>
        <v>NÃO</v>
      </c>
      <c r="AJ929" s="37" t="n">
        <v>2</v>
      </c>
      <c r="AK929" s="37" t="n">
        <v>5</v>
      </c>
      <c r="AL929" s="37" t="s">
        <v>343</v>
      </c>
      <c r="AM929" s="39" t="n">
        <v>81.63</v>
      </c>
    </row>
    <row r="930" customFormat="false" ht="15" hidden="false" customHeight="false" outlineLevel="0" collapsed="false">
      <c r="A930" s="37" t="n">
        <v>375353973</v>
      </c>
      <c r="B930" s="38" t="n">
        <v>46246.7470486111</v>
      </c>
      <c r="C930" s="37" t="s">
        <v>361</v>
      </c>
      <c r="D930" s="37" t="s">
        <v>1235</v>
      </c>
      <c r="E930" s="37" t="n">
        <v>26475040</v>
      </c>
      <c r="F930" s="37" t="s">
        <v>237</v>
      </c>
      <c r="G930" s="37" t="s">
        <v>198</v>
      </c>
      <c r="H930" s="37" t="s">
        <v>184</v>
      </c>
      <c r="I930" s="37" t="n">
        <v>31.9</v>
      </c>
      <c r="J930" s="39" t="n">
        <v>659.99</v>
      </c>
      <c r="K930" s="37" t="s">
        <v>518</v>
      </c>
      <c r="L930" s="39" t="n">
        <v>110.69</v>
      </c>
      <c r="M930" s="39" t="n">
        <v>65.63</v>
      </c>
      <c r="N930" s="39" t="n">
        <f aca="false">J930*Resumo!$C$6</f>
        <v>0</v>
      </c>
      <c r="O930" s="39" t="n">
        <f aca="false">J930*Resumo!$C$7</f>
        <v>1.385979</v>
      </c>
      <c r="P930" s="39" t="n">
        <f aca="false">J930*Resumo!$C$8</f>
        <v>1.385979</v>
      </c>
      <c r="Q930" s="39" t="n">
        <f aca="false">Resumo!$C$10*CEILING(I930/100,1)</f>
        <v>1.05</v>
      </c>
      <c r="R930" s="39" t="n">
        <f aca="false">Resumo!$C$9</f>
        <v>0</v>
      </c>
      <c r="S930" s="39" t="n">
        <f aca="false">Resumo!$C$13</f>
        <v>13.55</v>
      </c>
      <c r="T930" s="39" t="n">
        <f aca="false">Resumo!$C$14*CEILING(I930,1)</f>
        <v>14.4</v>
      </c>
      <c r="U930" s="39" t="n">
        <f aca="false">SUM(M930:T930)*Resumo!$C$11</f>
        <v>0</v>
      </c>
      <c r="V930" s="39" t="n">
        <f aca="false">SUM(M930:U930)</f>
        <v>97.401958</v>
      </c>
      <c r="W930" s="39" t="n">
        <f aca="false">V930/(1-Resumo!$C$5)</f>
        <v>110.684043181818</v>
      </c>
      <c r="X930" s="39" t="n">
        <v>82.21</v>
      </c>
      <c r="Y930" s="39" t="n">
        <f aca="false">J930*Resumo!$B$6</f>
        <v>0.65999</v>
      </c>
      <c r="Z930" s="39" t="n">
        <f aca="false">J930*Resumo!$B$7</f>
        <v>1.31998</v>
      </c>
      <c r="AA930" s="39" t="n">
        <f aca="false">Resumo!$B$9</f>
        <v>1</v>
      </c>
      <c r="AB930" s="39" t="n">
        <f aca="false">Resumo!$B$10*CEILING(I930/100,1)</f>
        <v>4.5</v>
      </c>
      <c r="AC930" s="39" t="n">
        <f aca="false">Resumo!$B$12*CEILING(I930,1)</f>
        <v>1.92</v>
      </c>
      <c r="AD930" s="39" t="n">
        <f aca="false">Resumo!$B$14*CEILING(I930,1)</f>
        <v>14.4</v>
      </c>
      <c r="AE930" s="39" t="n">
        <f aca="false">SUM(X930:AD930)</f>
        <v>106.00997</v>
      </c>
      <c r="AF930" s="39" t="n">
        <f aca="false">AE930/(1-Resumo!$B$5)</f>
        <v>120.465875</v>
      </c>
      <c r="AG930" s="39" t="n">
        <f aca="false">AF930-W930</f>
        <v>9.7818318181818</v>
      </c>
      <c r="AH930" s="40" t="n">
        <f aca="false">AF930/W930-1</f>
        <v>0.0883761700149803</v>
      </c>
      <c r="AI930" s="37" t="str">
        <f aca="false">IF(AF930&lt;W930,"SIM","NÃO")</f>
        <v>NÃO</v>
      </c>
      <c r="AJ930" s="37" t="n">
        <v>13</v>
      </c>
      <c r="AK930" s="37" t="n">
        <v>5</v>
      </c>
      <c r="AL930" s="37" t="s">
        <v>347</v>
      </c>
      <c r="AM930" s="39" t="n">
        <v>110.34</v>
      </c>
    </row>
    <row r="931" customFormat="false" ht="15" hidden="false" customHeight="false" outlineLevel="0" collapsed="false">
      <c r="A931" s="37" t="n">
        <v>375387267</v>
      </c>
      <c r="B931" s="38" t="n">
        <v>46246.7806365741</v>
      </c>
      <c r="C931" s="37" t="s">
        <v>340</v>
      </c>
      <c r="D931" s="37" t="s">
        <v>1236</v>
      </c>
      <c r="E931" s="37" t="n">
        <v>26525046</v>
      </c>
      <c r="F931" s="37" t="s">
        <v>238</v>
      </c>
      <c r="G931" s="37" t="s">
        <v>197</v>
      </c>
      <c r="H931" s="37" t="s">
        <v>184</v>
      </c>
      <c r="I931" s="37" t="n">
        <v>33</v>
      </c>
      <c r="J931" s="39" t="n">
        <v>599.99</v>
      </c>
      <c r="K931" s="37" t="s">
        <v>518</v>
      </c>
      <c r="L931" s="39" t="n">
        <v>103.15</v>
      </c>
      <c r="M931" s="39" t="n">
        <v>58.8</v>
      </c>
      <c r="N931" s="39" t="n">
        <f aca="false">J931*Resumo!$C$6</f>
        <v>0</v>
      </c>
      <c r="O931" s="39" t="n">
        <f aca="false">J931*Resumo!$C$7</f>
        <v>1.259979</v>
      </c>
      <c r="P931" s="39" t="n">
        <f aca="false">J931*Resumo!$C$8</f>
        <v>1.259979</v>
      </c>
      <c r="Q931" s="39" t="n">
        <f aca="false">Resumo!$C$10*CEILING(I931/100,1)</f>
        <v>1.05</v>
      </c>
      <c r="R931" s="39" t="n">
        <f aca="false">Resumo!$C$9</f>
        <v>0</v>
      </c>
      <c r="S931" s="39" t="n">
        <f aca="false">Resumo!$C$13</f>
        <v>13.55</v>
      </c>
      <c r="T931" s="39" t="n">
        <f aca="false">Resumo!$C$14*CEILING(I931,1)</f>
        <v>14.85</v>
      </c>
      <c r="U931" s="39" t="n">
        <f aca="false">SUM(M931:T931)*Resumo!$C$11</f>
        <v>0</v>
      </c>
      <c r="V931" s="39" t="n">
        <f aca="false">SUM(M931:U931)</f>
        <v>90.769958</v>
      </c>
      <c r="W931" s="39" t="n">
        <f aca="false">V931/(1-Resumo!$C$5)</f>
        <v>103.147679545455</v>
      </c>
      <c r="X931" s="39" t="n">
        <v>82.21</v>
      </c>
      <c r="Y931" s="39" t="n">
        <f aca="false">J931*Resumo!$B$6</f>
        <v>0.59999</v>
      </c>
      <c r="Z931" s="39" t="n">
        <f aca="false">J931*Resumo!$B$7</f>
        <v>1.19998</v>
      </c>
      <c r="AA931" s="39" t="n">
        <f aca="false">Resumo!$B$9</f>
        <v>1</v>
      </c>
      <c r="AB931" s="39" t="n">
        <f aca="false">Resumo!$B$10*CEILING(I931/100,1)</f>
        <v>4.5</v>
      </c>
      <c r="AC931" s="39" t="n">
        <f aca="false">Resumo!$B$12*CEILING(I931,1)</f>
        <v>1.98</v>
      </c>
      <c r="AD931" s="39" t="n">
        <f aca="false">Resumo!$B$14*CEILING(I931,1)</f>
        <v>14.85</v>
      </c>
      <c r="AE931" s="39" t="n">
        <f aca="false">SUM(X931:AD931)</f>
        <v>106.33997</v>
      </c>
      <c r="AF931" s="39" t="n">
        <f aca="false">AE931/(1-Resumo!$B$5)</f>
        <v>120.840875</v>
      </c>
      <c r="AG931" s="39" t="n">
        <f aca="false">AF931-W931</f>
        <v>17.6931954545455</v>
      </c>
      <c r="AH931" s="40" t="n">
        <f aca="false">AF931/W931-1</f>
        <v>0.171532656212092</v>
      </c>
      <c r="AI931" s="37" t="str">
        <f aca="false">IF(AF931&lt;W931,"SIM","NÃO")</f>
        <v>NÃO</v>
      </c>
      <c r="AJ931" s="37" t="n">
        <v>2</v>
      </c>
      <c r="AK931" s="37" t="n">
        <v>5</v>
      </c>
      <c r="AL931" s="37" t="s">
        <v>347</v>
      </c>
      <c r="AM931" s="39" t="n">
        <v>102.26</v>
      </c>
    </row>
    <row r="932" customFormat="false" ht="15" hidden="false" customHeight="false" outlineLevel="0" collapsed="false">
      <c r="A932" s="37" t="n">
        <v>375401937</v>
      </c>
      <c r="B932" s="38" t="n">
        <v>46246.8162384259</v>
      </c>
      <c r="C932" s="37" t="s">
        <v>340</v>
      </c>
      <c r="D932" s="37" t="s">
        <v>1237</v>
      </c>
      <c r="E932" s="37" t="n">
        <v>26587390</v>
      </c>
      <c r="F932" s="37" t="s">
        <v>175</v>
      </c>
      <c r="G932" s="37" t="s">
        <v>197</v>
      </c>
      <c r="H932" s="37" t="s">
        <v>188</v>
      </c>
      <c r="I932" s="37" t="n">
        <v>69.15</v>
      </c>
      <c r="J932" s="39" t="n">
        <v>829.99</v>
      </c>
      <c r="K932" s="37" t="s">
        <v>518</v>
      </c>
      <c r="L932" s="39" t="n">
        <v>143.33</v>
      </c>
      <c r="M932" s="39" t="n">
        <v>76.55</v>
      </c>
      <c r="N932" s="39" t="n">
        <f aca="false">J932*Resumo!$C$6</f>
        <v>0</v>
      </c>
      <c r="O932" s="39" t="n">
        <f aca="false">J932*Resumo!$C$7</f>
        <v>1.742979</v>
      </c>
      <c r="P932" s="39" t="n">
        <f aca="false">J932*Resumo!$C$8</f>
        <v>1.742979</v>
      </c>
      <c r="Q932" s="39" t="n">
        <f aca="false">Resumo!$C$10*CEILING(I932/100,1)</f>
        <v>1.05</v>
      </c>
      <c r="R932" s="39" t="n">
        <f aca="false">Resumo!$C$9</f>
        <v>0</v>
      </c>
      <c r="S932" s="39" t="n">
        <f aca="false">Resumo!$C$13</f>
        <v>13.55</v>
      </c>
      <c r="T932" s="39" t="n">
        <f aca="false">Resumo!$C$14*CEILING(I932,1)</f>
        <v>31.5</v>
      </c>
      <c r="U932" s="39" t="n">
        <f aca="false">SUM(M932:T932)*Resumo!$C$11</f>
        <v>0</v>
      </c>
      <c r="V932" s="39" t="n">
        <f aca="false">SUM(M932:U932)</f>
        <v>126.135958</v>
      </c>
      <c r="W932" s="39" t="n">
        <f aca="false">V932/(1-Resumo!$C$5)</f>
        <v>143.336315909091</v>
      </c>
      <c r="X932" s="39" t="n">
        <v>131.02</v>
      </c>
      <c r="Y932" s="39" t="n">
        <f aca="false">J932*Resumo!$B$6</f>
        <v>0.82999</v>
      </c>
      <c r="Z932" s="39" t="n">
        <f aca="false">J932*Resumo!$B$7</f>
        <v>1.65998</v>
      </c>
      <c r="AA932" s="39" t="n">
        <f aca="false">Resumo!$B$9</f>
        <v>1</v>
      </c>
      <c r="AB932" s="39" t="n">
        <f aca="false">Resumo!$B$10*CEILING(I932/100,1)</f>
        <v>4.5</v>
      </c>
      <c r="AC932" s="39" t="n">
        <f aca="false">Resumo!$B$12*CEILING(I932,1)</f>
        <v>4.2</v>
      </c>
      <c r="AD932" s="39" t="n">
        <f aca="false">Resumo!$B$14*CEILING(I932,1)</f>
        <v>31.5</v>
      </c>
      <c r="AE932" s="39" t="n">
        <f aca="false">SUM(X932:AD932)</f>
        <v>174.70997</v>
      </c>
      <c r="AF932" s="39" t="n">
        <f aca="false">AE932/(1-Resumo!$B$5)</f>
        <v>198.534056818182</v>
      </c>
      <c r="AG932" s="39" t="n">
        <f aca="false">AF932-W932</f>
        <v>55.1977409090909</v>
      </c>
      <c r="AH932" s="40" t="n">
        <f aca="false">AF932/W932-1</f>
        <v>0.385092504708293</v>
      </c>
      <c r="AI932" s="37" t="str">
        <f aca="false">IF(AF932&lt;W932,"SIM","NÃO")</f>
        <v>NÃO</v>
      </c>
      <c r="AJ932" s="37" t="n">
        <v>2</v>
      </c>
      <c r="AK932" s="37" t="n">
        <v>5</v>
      </c>
      <c r="AL932" s="37" t="s">
        <v>343</v>
      </c>
      <c r="AM932" s="39" t="n">
        <v>140.41</v>
      </c>
    </row>
    <row r="933" customFormat="false" ht="15" hidden="false" customHeight="false" outlineLevel="0" collapsed="false">
      <c r="A933" s="37" t="n">
        <v>375403060</v>
      </c>
      <c r="B933" s="38" t="n">
        <v>46246.8178472222</v>
      </c>
      <c r="C933" s="37" t="s">
        <v>340</v>
      </c>
      <c r="D933" s="37" t="s">
        <v>1238</v>
      </c>
      <c r="E933" s="37" t="n">
        <v>24800770</v>
      </c>
      <c r="F933" s="37" t="s">
        <v>174</v>
      </c>
      <c r="G933" s="37" t="s">
        <v>198</v>
      </c>
      <c r="H933" s="37" t="s">
        <v>183</v>
      </c>
      <c r="I933" s="37" t="n">
        <v>17</v>
      </c>
      <c r="J933" s="39" t="n">
        <v>249.99</v>
      </c>
      <c r="K933" s="37" t="s">
        <v>518</v>
      </c>
      <c r="L933" s="39" t="n">
        <v>79.82</v>
      </c>
      <c r="M933" s="39" t="n">
        <v>46.95</v>
      </c>
      <c r="N933" s="39" t="n">
        <f aca="false">J933*Resumo!$C$6</f>
        <v>0</v>
      </c>
      <c r="O933" s="39" t="n">
        <f aca="false">J933*Resumo!$C$7</f>
        <v>0.524979</v>
      </c>
      <c r="P933" s="39" t="n">
        <f aca="false">J933*Resumo!$C$8</f>
        <v>0.524979</v>
      </c>
      <c r="Q933" s="39" t="n">
        <f aca="false">Resumo!$C$10*CEILING(I933/100,1)</f>
        <v>1.05</v>
      </c>
      <c r="R933" s="39" t="n">
        <f aca="false">Resumo!$C$9</f>
        <v>0</v>
      </c>
      <c r="S933" s="39" t="n">
        <f aca="false">Resumo!$C$13</f>
        <v>13.55</v>
      </c>
      <c r="T933" s="39" t="n">
        <f aca="false">Resumo!$C$14*CEILING(I933,1)</f>
        <v>7.65</v>
      </c>
      <c r="U933" s="39" t="n">
        <f aca="false">SUM(M933:T933)*Resumo!$C$11</f>
        <v>0</v>
      </c>
      <c r="V933" s="39" t="n">
        <f aca="false">SUM(M933:U933)</f>
        <v>70.249958</v>
      </c>
      <c r="W933" s="39" t="n">
        <f aca="false">V933/(1-Resumo!$C$5)</f>
        <v>79.8294977272727</v>
      </c>
      <c r="X933" s="39" t="n">
        <v>57.47</v>
      </c>
      <c r="Y933" s="39" t="n">
        <f aca="false">J933*Resumo!$B$6</f>
        <v>0.24999</v>
      </c>
      <c r="Z933" s="39" t="n">
        <f aca="false">J933*Resumo!$B$7</f>
        <v>0.49998</v>
      </c>
      <c r="AA933" s="39" t="n">
        <f aca="false">Resumo!$B$9</f>
        <v>1</v>
      </c>
      <c r="AB933" s="39" t="n">
        <f aca="false">Resumo!$B$10*CEILING(I933/100,1)</f>
        <v>4.5</v>
      </c>
      <c r="AC933" s="39" t="n">
        <f aca="false">Resumo!$B$12*CEILING(I933,1)</f>
        <v>1.02</v>
      </c>
      <c r="AD933" s="39" t="n">
        <f aca="false">Resumo!$B$14*CEILING(I933,1)</f>
        <v>7.65</v>
      </c>
      <c r="AE933" s="39" t="n">
        <f aca="false">SUM(X933:AD933)</f>
        <v>72.38997</v>
      </c>
      <c r="AF933" s="39" t="n">
        <f aca="false">AE933/(1-Resumo!$B$5)</f>
        <v>82.2613295454546</v>
      </c>
      <c r="AG933" s="39" t="n">
        <f aca="false">AF933-W933</f>
        <v>2.43183181818182</v>
      </c>
      <c r="AH933" s="40" t="n">
        <f aca="false">AF933/W933-1</f>
        <v>0.0304628224831109</v>
      </c>
      <c r="AI933" s="37" t="str">
        <f aca="false">IF(AF933&lt;W933,"SIM","NÃO")</f>
        <v>NÃO</v>
      </c>
      <c r="AJ933" s="37" t="n">
        <v>13</v>
      </c>
      <c r="AK933" s="37" t="n">
        <v>7</v>
      </c>
      <c r="AL933" s="37" t="s">
        <v>343</v>
      </c>
      <c r="AM933" s="39" t="n">
        <v>79.86</v>
      </c>
    </row>
    <row r="934" customFormat="false" ht="15" hidden="false" customHeight="false" outlineLevel="0" collapsed="false">
      <c r="A934" s="37" t="n">
        <v>375417244</v>
      </c>
      <c r="B934" s="38" t="n">
        <v>46246.8444097222</v>
      </c>
      <c r="C934" s="37" t="s">
        <v>340</v>
      </c>
      <c r="D934" s="37" t="s">
        <v>1239</v>
      </c>
      <c r="E934" s="37" t="n">
        <v>28990542</v>
      </c>
      <c r="F934" s="37" t="s">
        <v>295</v>
      </c>
      <c r="G934" s="37" t="s">
        <v>198</v>
      </c>
      <c r="H934" s="37" t="s">
        <v>186</v>
      </c>
      <c r="I934" s="37" t="n">
        <v>44.5</v>
      </c>
      <c r="J934" s="39" t="n">
        <v>726.99</v>
      </c>
      <c r="K934" s="37" t="s">
        <v>518</v>
      </c>
      <c r="L934" s="39" t="n">
        <v>131.38</v>
      </c>
      <c r="M934" s="39" t="n">
        <v>77.7</v>
      </c>
      <c r="N934" s="39" t="n">
        <f aca="false">J934*Resumo!$C$6</f>
        <v>0</v>
      </c>
      <c r="O934" s="39" t="n">
        <f aca="false">J934*Resumo!$C$7</f>
        <v>1.526679</v>
      </c>
      <c r="P934" s="39" t="n">
        <f aca="false">J934*Resumo!$C$8</f>
        <v>1.526679</v>
      </c>
      <c r="Q934" s="39" t="n">
        <f aca="false">Resumo!$C$10*CEILING(I934/100,1)</f>
        <v>1.05</v>
      </c>
      <c r="R934" s="39" t="n">
        <f aca="false">Resumo!$C$9</f>
        <v>0</v>
      </c>
      <c r="S934" s="39" t="n">
        <f aca="false">Resumo!$C$13</f>
        <v>13.55</v>
      </c>
      <c r="T934" s="39" t="n">
        <f aca="false">Resumo!$C$14*CEILING(I934,1)</f>
        <v>20.25</v>
      </c>
      <c r="U934" s="39" t="n">
        <f aca="false">SUM(M934:T934)*Resumo!$C$11</f>
        <v>0</v>
      </c>
      <c r="V934" s="39" t="n">
        <f aca="false">SUM(M934:U934)</f>
        <v>115.603358</v>
      </c>
      <c r="W934" s="39" t="n">
        <f aca="false">V934/(1-Resumo!$C$5)</f>
        <v>131.367452272727</v>
      </c>
      <c r="X934" s="39" t="n">
        <v>129.29</v>
      </c>
      <c r="Y934" s="39" t="n">
        <f aca="false">J934*Resumo!$B$6</f>
        <v>0.72699</v>
      </c>
      <c r="Z934" s="39" t="n">
        <f aca="false">J934*Resumo!$B$7</f>
        <v>1.45398</v>
      </c>
      <c r="AA934" s="39" t="n">
        <f aca="false">Resumo!$B$9</f>
        <v>1</v>
      </c>
      <c r="AB934" s="39" t="n">
        <f aca="false">Resumo!$B$10*CEILING(I934/100,1)</f>
        <v>4.5</v>
      </c>
      <c r="AC934" s="39" t="n">
        <f aca="false">Resumo!$B$12*CEILING(I934,1)</f>
        <v>2.7</v>
      </c>
      <c r="AD934" s="39" t="n">
        <f aca="false">Resumo!$B$14*CEILING(I934,1)</f>
        <v>20.25</v>
      </c>
      <c r="AE934" s="39" t="n">
        <f aca="false">SUM(X934:AD934)</f>
        <v>159.92097</v>
      </c>
      <c r="AF934" s="39" t="n">
        <f aca="false">AE934/(1-Resumo!$B$5)</f>
        <v>181.728375</v>
      </c>
      <c r="AG934" s="39" t="n">
        <f aca="false">AF934-W934</f>
        <v>50.3609227272727</v>
      </c>
      <c r="AH934" s="40" t="n">
        <f aca="false">AF934/W934-1</f>
        <v>0.383359210032636</v>
      </c>
      <c r="AI934" s="37" t="str">
        <f aca="false">IF(AF934&lt;W934,"SIM","NÃO")</f>
        <v>NÃO</v>
      </c>
      <c r="AJ934" s="37" t="n">
        <v>13</v>
      </c>
      <c r="AK934" s="37" t="n">
        <v>10</v>
      </c>
      <c r="AL934" s="37" t="s">
        <v>347</v>
      </c>
      <c r="AM934" s="39" t="n">
        <v>131.64</v>
      </c>
    </row>
    <row r="935" customFormat="false" ht="15" hidden="false" customHeight="false" outlineLevel="0" collapsed="false">
      <c r="A935" s="37" t="n">
        <v>375432759</v>
      </c>
      <c r="B935" s="38" t="n">
        <v>46246.8766319445</v>
      </c>
      <c r="C935" s="37" t="s">
        <v>495</v>
      </c>
      <c r="D935" s="37" t="s">
        <v>1240</v>
      </c>
      <c r="E935" s="37" t="n">
        <v>23040150</v>
      </c>
      <c r="F935" s="37" t="s">
        <v>159</v>
      </c>
      <c r="G935" s="37" t="s">
        <v>196</v>
      </c>
      <c r="H935" s="37" t="s">
        <v>184</v>
      </c>
      <c r="I935" s="37" t="n">
        <v>28.1</v>
      </c>
      <c r="J935" s="39" t="n">
        <v>348.47</v>
      </c>
      <c r="K935" s="37" t="s">
        <v>518</v>
      </c>
      <c r="L935" s="39" t="n">
        <v>80.93</v>
      </c>
      <c r="M935" s="39" t="n">
        <v>42.11</v>
      </c>
      <c r="N935" s="39" t="n">
        <f aca="false">J935*Resumo!$C$6</f>
        <v>0</v>
      </c>
      <c r="O935" s="39" t="n">
        <f aca="false">J935*Resumo!$C$7</f>
        <v>0.731787</v>
      </c>
      <c r="P935" s="39" t="n">
        <f aca="false">J935*Resumo!$C$8</f>
        <v>0.731787</v>
      </c>
      <c r="Q935" s="39" t="n">
        <f aca="false">Resumo!$C$10*CEILING(I935/100,1)</f>
        <v>1.05</v>
      </c>
      <c r="R935" s="39" t="n">
        <f aca="false">Resumo!$C$9</f>
        <v>0</v>
      </c>
      <c r="S935" s="39" t="n">
        <f aca="false">Resumo!$C$13</f>
        <v>13.55</v>
      </c>
      <c r="T935" s="39" t="n">
        <f aca="false">Resumo!$C$14*CEILING(I935,1)</f>
        <v>13.05</v>
      </c>
      <c r="U935" s="39" t="n">
        <f aca="false">SUM(M935:T935)*Resumo!$C$11</f>
        <v>0</v>
      </c>
      <c r="V935" s="39" t="n">
        <f aca="false">SUM(M935:U935)</f>
        <v>71.223574</v>
      </c>
      <c r="W935" s="39" t="n">
        <f aca="false">V935/(1-Resumo!$C$5)</f>
        <v>80.9358795454545</v>
      </c>
      <c r="X935" s="39" t="n">
        <v>82.21</v>
      </c>
      <c r="Y935" s="39" t="n">
        <f aca="false">J935*Resumo!$B$6</f>
        <v>0.34847</v>
      </c>
      <c r="Z935" s="39" t="n">
        <f aca="false">J935*Resumo!$B$7</f>
        <v>0.69694</v>
      </c>
      <c r="AA935" s="39" t="n">
        <f aca="false">Resumo!$B$9</f>
        <v>1</v>
      </c>
      <c r="AB935" s="39" t="n">
        <f aca="false">Resumo!$B$10*CEILING(I935/100,1)</f>
        <v>4.5</v>
      </c>
      <c r="AC935" s="39" t="n">
        <f aca="false">Resumo!$B$12*CEILING(I935,1)</f>
        <v>1.74</v>
      </c>
      <c r="AD935" s="39" t="n">
        <f aca="false">Resumo!$B$14*CEILING(I935,1)</f>
        <v>13.05</v>
      </c>
      <c r="AE935" s="39" t="n">
        <f aca="false">SUM(X935:AD935)</f>
        <v>103.54541</v>
      </c>
      <c r="AF935" s="39" t="n">
        <f aca="false">AE935/(1-Resumo!$B$5)</f>
        <v>117.665238636364</v>
      </c>
      <c r="AG935" s="39" t="n">
        <f aca="false">AF935-W935</f>
        <v>36.7293590909091</v>
      </c>
      <c r="AH935" s="40" t="n">
        <f aca="false">AF935/W935-1</f>
        <v>0.453808116958579</v>
      </c>
      <c r="AI935" s="37" t="str">
        <f aca="false">IF(AF935&lt;W935,"SIM","NÃO")</f>
        <v>NÃO</v>
      </c>
      <c r="AJ935" s="37" t="n">
        <v>2</v>
      </c>
      <c r="AK935" s="37" t="n">
        <v>5</v>
      </c>
      <c r="AL935" s="37" t="s">
        <v>343</v>
      </c>
      <c r="AM935" s="39" t="n">
        <v>81.99</v>
      </c>
    </row>
    <row r="936" customFormat="false" ht="15" hidden="false" customHeight="false" outlineLevel="0" collapsed="false">
      <c r="A936" s="37" t="n">
        <v>375438317</v>
      </c>
      <c r="B936" s="38" t="n">
        <v>46246.8840393519</v>
      </c>
      <c r="C936" s="37" t="s">
        <v>340</v>
      </c>
      <c r="D936" s="37" t="s">
        <v>1241</v>
      </c>
      <c r="E936" s="37" t="n">
        <v>26376070</v>
      </c>
      <c r="F936" s="37" t="s">
        <v>236</v>
      </c>
      <c r="G936" s="37" t="s">
        <v>197</v>
      </c>
      <c r="H936" s="37" t="s">
        <v>185</v>
      </c>
      <c r="I936" s="37" t="n">
        <v>37.2</v>
      </c>
      <c r="J936" s="39" t="n">
        <v>360.99</v>
      </c>
      <c r="K936" s="37" t="s">
        <v>518</v>
      </c>
      <c r="L936" s="39" t="n">
        <v>113.69</v>
      </c>
      <c r="M936" s="39" t="n">
        <v>66.83</v>
      </c>
      <c r="N936" s="39" t="n">
        <f aca="false">J936*Resumo!$C$6</f>
        <v>0</v>
      </c>
      <c r="O936" s="39" t="n">
        <f aca="false">J936*Resumo!$C$7</f>
        <v>0.758079</v>
      </c>
      <c r="P936" s="39" t="n">
        <f aca="false">J936*Resumo!$C$8</f>
        <v>0.758079</v>
      </c>
      <c r="Q936" s="39" t="n">
        <f aca="false">Resumo!$C$10*CEILING(I936/100,1)</f>
        <v>1.05</v>
      </c>
      <c r="R936" s="39" t="n">
        <f aca="false">Resumo!$C$9</f>
        <v>0</v>
      </c>
      <c r="S936" s="39" t="n">
        <f aca="false">Resumo!$C$13</f>
        <v>13.55</v>
      </c>
      <c r="T936" s="39" t="n">
        <f aca="false">Resumo!$C$14*CEILING(I936,1)</f>
        <v>17.1</v>
      </c>
      <c r="U936" s="39" t="n">
        <f aca="false">SUM(M936:T936)*Resumo!$C$11</f>
        <v>0</v>
      </c>
      <c r="V936" s="39" t="n">
        <f aca="false">SUM(M936:U936)</f>
        <v>100.046158</v>
      </c>
      <c r="W936" s="39" t="n">
        <f aca="false">V936/(1-Resumo!$C$5)</f>
        <v>113.688815909091</v>
      </c>
      <c r="X936" s="39" t="n">
        <v>93.97</v>
      </c>
      <c r="Y936" s="39" t="n">
        <f aca="false">J936*Resumo!$B$6</f>
        <v>0.36099</v>
      </c>
      <c r="Z936" s="39" t="n">
        <f aca="false">J936*Resumo!$B$7</f>
        <v>0.72198</v>
      </c>
      <c r="AA936" s="39" t="n">
        <f aca="false">Resumo!$B$9</f>
        <v>1</v>
      </c>
      <c r="AB936" s="39" t="n">
        <f aca="false">Resumo!$B$10*CEILING(I936/100,1)</f>
        <v>4.5</v>
      </c>
      <c r="AC936" s="39" t="n">
        <f aca="false">Resumo!$B$12*CEILING(I936,1)</f>
        <v>2.28</v>
      </c>
      <c r="AD936" s="39" t="n">
        <f aca="false">Resumo!$B$14*CEILING(I936,1)</f>
        <v>17.1</v>
      </c>
      <c r="AE936" s="39" t="n">
        <f aca="false">SUM(X936:AD936)</f>
        <v>119.93297</v>
      </c>
      <c r="AF936" s="39" t="n">
        <f aca="false">AE936/(1-Resumo!$B$5)</f>
        <v>136.287465909091</v>
      </c>
      <c r="AG936" s="39" t="n">
        <f aca="false">AF936-W936</f>
        <v>22.59865</v>
      </c>
      <c r="AH936" s="40" t="n">
        <f aca="false">AF936/W936-1</f>
        <v>0.198776368803688</v>
      </c>
      <c r="AI936" s="37" t="str">
        <f aca="false">IF(AF936&lt;W936,"SIM","NÃO")</f>
        <v>NÃO</v>
      </c>
      <c r="AJ936" s="37" t="n">
        <v>2</v>
      </c>
      <c r="AK936" s="37" t="n">
        <v>5</v>
      </c>
      <c r="AL936" s="37" t="s">
        <v>347</v>
      </c>
      <c r="AM936" s="39" t="n">
        <v>112.69</v>
      </c>
    </row>
    <row r="937" customFormat="false" ht="15" hidden="false" customHeight="false" outlineLevel="0" collapsed="false">
      <c r="A937" s="37" t="n">
        <v>375437054</v>
      </c>
      <c r="B937" s="38" t="n">
        <v>46246.8916087963</v>
      </c>
      <c r="C937" s="37" t="s">
        <v>361</v>
      </c>
      <c r="D937" s="37" t="s">
        <v>1242</v>
      </c>
      <c r="E937" s="37" t="n">
        <v>22753155</v>
      </c>
      <c r="F937" s="37" t="s">
        <v>159</v>
      </c>
      <c r="G937" s="37" t="s">
        <v>196</v>
      </c>
      <c r="H937" s="37" t="s">
        <v>185</v>
      </c>
      <c r="I937" s="37" t="n">
        <v>36.8</v>
      </c>
      <c r="J937" s="39" t="n">
        <v>424.99</v>
      </c>
      <c r="K937" s="37" t="s">
        <v>342</v>
      </c>
      <c r="L937" s="39" t="n">
        <v>91.9</v>
      </c>
      <c r="M937" s="39" t="n">
        <v>48.35</v>
      </c>
      <c r="N937" s="39" t="n">
        <f aca="false">J937*Resumo!$C$6</f>
        <v>0</v>
      </c>
      <c r="O937" s="39" t="n">
        <f aca="false">J937*Resumo!$C$7</f>
        <v>0.892479</v>
      </c>
      <c r="P937" s="39" t="n">
        <f aca="false">J937*Resumo!$C$8</f>
        <v>0.892479</v>
      </c>
      <c r="Q937" s="39" t="n">
        <f aca="false">Resumo!$C$10*CEILING(I937/100,1)</f>
        <v>1.05</v>
      </c>
      <c r="R937" s="39" t="n">
        <f aca="false">Resumo!$C$9</f>
        <v>0</v>
      </c>
      <c r="S937" s="39" t="n">
        <f aca="false">Resumo!$C$13</f>
        <v>13.55</v>
      </c>
      <c r="T937" s="39" t="n">
        <f aca="false">Resumo!$C$14*CEILING(I937,1)</f>
        <v>16.65</v>
      </c>
      <c r="U937" s="39" t="n">
        <f aca="false">SUM(M937:T937)*Resumo!$C$11</f>
        <v>0</v>
      </c>
      <c r="V937" s="39" t="n">
        <f aca="false">SUM(M937:U937)</f>
        <v>81.384958</v>
      </c>
      <c r="W937" s="39" t="n">
        <f aca="false">V937/(1-Resumo!$C$5)</f>
        <v>92.4829068181818</v>
      </c>
      <c r="X937" s="39" t="n">
        <v>93.97</v>
      </c>
      <c r="Y937" s="39" t="n">
        <f aca="false">J937*Resumo!$B$6</f>
        <v>0.42499</v>
      </c>
      <c r="Z937" s="39" t="n">
        <f aca="false">J937*Resumo!$B$7</f>
        <v>0.84998</v>
      </c>
      <c r="AA937" s="39" t="n">
        <f aca="false">Resumo!$B$9</f>
        <v>1</v>
      </c>
      <c r="AB937" s="39" t="n">
        <f aca="false">Resumo!$B$10*CEILING(I937/100,1)</f>
        <v>4.5</v>
      </c>
      <c r="AC937" s="39" t="n">
        <f aca="false">Resumo!$B$12*CEILING(I937,1)</f>
        <v>2.22</v>
      </c>
      <c r="AD937" s="39" t="n">
        <f aca="false">Resumo!$B$14*CEILING(I937,1)</f>
        <v>16.65</v>
      </c>
      <c r="AE937" s="39" t="n">
        <f aca="false">SUM(X937:AD937)</f>
        <v>119.61497</v>
      </c>
      <c r="AF937" s="39" t="n">
        <f aca="false">AE937/(1-Resumo!$B$5)</f>
        <v>135.926102272727</v>
      </c>
      <c r="AG937" s="39" t="n">
        <f aca="false">AF937-W937</f>
        <v>43.4431954545454</v>
      </c>
      <c r="AH937" s="40" t="n">
        <f aca="false">AF937/W937-1</f>
        <v>0.469742971422311</v>
      </c>
      <c r="AI937" s="37" t="str">
        <f aca="false">IF(AF937&lt;W937,"SIM","NÃO")</f>
        <v>NÃO</v>
      </c>
      <c r="AJ937" s="37" t="n">
        <v>2</v>
      </c>
      <c r="AK937" s="37" t="n">
        <v>5</v>
      </c>
      <c r="AL937" s="37" t="s">
        <v>343</v>
      </c>
      <c r="AM937" s="39" t="n">
        <v>91.89</v>
      </c>
    </row>
    <row r="938" customFormat="false" ht="15" hidden="false" customHeight="false" outlineLevel="0" collapsed="false">
      <c r="A938" s="37" t="n">
        <v>375474705</v>
      </c>
      <c r="B938" s="38" t="n">
        <v>46246.943587963</v>
      </c>
      <c r="C938" s="37" t="s">
        <v>340</v>
      </c>
      <c r="D938" s="37" t="s">
        <v>1243</v>
      </c>
      <c r="E938" s="37" t="n">
        <v>20550220</v>
      </c>
      <c r="F938" s="37" t="s">
        <v>159</v>
      </c>
      <c r="G938" s="37" t="s">
        <v>196</v>
      </c>
      <c r="H938" s="37" t="s">
        <v>185</v>
      </c>
      <c r="I938" s="37" t="n">
        <v>37.2</v>
      </c>
      <c r="J938" s="39" t="n">
        <v>360.99</v>
      </c>
      <c r="K938" s="37" t="s">
        <v>342</v>
      </c>
      <c r="L938" s="39" t="n">
        <v>91.58</v>
      </c>
      <c r="M938" s="39" t="n">
        <v>48.35</v>
      </c>
      <c r="N938" s="39" t="n">
        <f aca="false">J938*Resumo!$C$6</f>
        <v>0</v>
      </c>
      <c r="O938" s="39" t="n">
        <f aca="false">J938*Resumo!$C$7</f>
        <v>0.758079</v>
      </c>
      <c r="P938" s="39" t="n">
        <f aca="false">J938*Resumo!$C$8</f>
        <v>0.758079</v>
      </c>
      <c r="Q938" s="39" t="n">
        <f aca="false">Resumo!$C$10*CEILING(I938/100,1)</f>
        <v>1.05</v>
      </c>
      <c r="R938" s="39" t="n">
        <f aca="false">Resumo!$C$9</f>
        <v>0</v>
      </c>
      <c r="S938" s="39" t="n">
        <f aca="false">Resumo!$C$13</f>
        <v>13.55</v>
      </c>
      <c r="T938" s="39" t="n">
        <f aca="false">Resumo!$C$14*CEILING(I938,1)</f>
        <v>17.1</v>
      </c>
      <c r="U938" s="39" t="n">
        <f aca="false">SUM(M938:T938)*Resumo!$C$11</f>
        <v>0</v>
      </c>
      <c r="V938" s="39" t="n">
        <f aca="false">SUM(M938:U938)</f>
        <v>81.566158</v>
      </c>
      <c r="W938" s="39" t="n">
        <f aca="false">V938/(1-Resumo!$C$5)</f>
        <v>92.6888159090909</v>
      </c>
      <c r="X938" s="39" t="n">
        <v>93.97</v>
      </c>
      <c r="Y938" s="39" t="n">
        <f aca="false">J938*Resumo!$B$6</f>
        <v>0.36099</v>
      </c>
      <c r="Z938" s="39" t="n">
        <f aca="false">J938*Resumo!$B$7</f>
        <v>0.72198</v>
      </c>
      <c r="AA938" s="39" t="n">
        <f aca="false">Resumo!$B$9</f>
        <v>1</v>
      </c>
      <c r="AB938" s="39" t="n">
        <f aca="false">Resumo!$B$10*CEILING(I938/100,1)</f>
        <v>4.5</v>
      </c>
      <c r="AC938" s="39" t="n">
        <f aca="false">Resumo!$B$12*CEILING(I938,1)</f>
        <v>2.28</v>
      </c>
      <c r="AD938" s="39" t="n">
        <f aca="false">Resumo!$B$14*CEILING(I938,1)</f>
        <v>17.1</v>
      </c>
      <c r="AE938" s="39" t="n">
        <f aca="false">SUM(X938:AD938)</f>
        <v>119.93297</v>
      </c>
      <c r="AF938" s="39" t="n">
        <f aca="false">AE938/(1-Resumo!$B$5)</f>
        <v>136.287465909091</v>
      </c>
      <c r="AG938" s="39" t="n">
        <f aca="false">AF938-W938</f>
        <v>43.59865</v>
      </c>
      <c r="AH938" s="40" t="n">
        <f aca="false">AF938/W938-1</f>
        <v>0.470376599079241</v>
      </c>
      <c r="AI938" s="37" t="str">
        <f aca="false">IF(AF938&lt;W938,"SIM","NÃO")</f>
        <v>NÃO</v>
      </c>
      <c r="AJ938" s="37" t="n">
        <v>2</v>
      </c>
      <c r="AK938" s="37" t="n">
        <v>5</v>
      </c>
      <c r="AL938" s="37" t="s">
        <v>343</v>
      </c>
      <c r="AM938" s="39" t="n">
        <v>91.59</v>
      </c>
    </row>
    <row r="939" customFormat="false" ht="15" hidden="false" customHeight="false" outlineLevel="0" collapsed="false">
      <c r="A939" s="37" t="n">
        <v>375492024</v>
      </c>
      <c r="B939" s="38" t="n">
        <v>46246.9739814815</v>
      </c>
      <c r="C939" s="37" t="s">
        <v>495</v>
      </c>
      <c r="D939" s="37" t="s">
        <v>446</v>
      </c>
      <c r="E939" s="37" t="n">
        <v>22790587</v>
      </c>
      <c r="F939" s="37" t="s">
        <v>159</v>
      </c>
      <c r="G939" s="37" t="s">
        <v>196</v>
      </c>
      <c r="H939" s="37" t="s">
        <v>184</v>
      </c>
      <c r="I939" s="37" t="n">
        <v>27</v>
      </c>
      <c r="J939" s="39" t="n">
        <v>316.79</v>
      </c>
      <c r="K939" s="37" t="s">
        <v>342</v>
      </c>
      <c r="L939" s="39" t="n">
        <v>81.83</v>
      </c>
      <c r="M939" s="39" t="n">
        <v>42.11</v>
      </c>
      <c r="N939" s="39" t="n">
        <f aca="false">J939*Resumo!$C$6</f>
        <v>0</v>
      </c>
      <c r="O939" s="39" t="n">
        <f aca="false">J939*Resumo!$C$7</f>
        <v>0.665259</v>
      </c>
      <c r="P939" s="39" t="n">
        <f aca="false">J939*Resumo!$C$8</f>
        <v>0.665259</v>
      </c>
      <c r="Q939" s="39" t="n">
        <f aca="false">Resumo!$C$10*CEILING(I939/100,1)</f>
        <v>1.05</v>
      </c>
      <c r="R939" s="39" t="n">
        <f aca="false">Resumo!$C$9</f>
        <v>0</v>
      </c>
      <c r="S939" s="39" t="n">
        <f aca="false">Resumo!$C$13</f>
        <v>13.55</v>
      </c>
      <c r="T939" s="39" t="n">
        <f aca="false">Resumo!$C$14*CEILING(I939,1)</f>
        <v>12.15</v>
      </c>
      <c r="U939" s="39" t="n">
        <f aca="false">SUM(M939:T939)*Resumo!$C$11</f>
        <v>0</v>
      </c>
      <c r="V939" s="39" t="n">
        <f aca="false">SUM(M939:U939)</f>
        <v>70.190518</v>
      </c>
      <c r="W939" s="39" t="n">
        <f aca="false">V939/(1-Resumo!$C$5)</f>
        <v>79.7619522727273</v>
      </c>
      <c r="X939" s="39" t="n">
        <v>82.21</v>
      </c>
      <c r="Y939" s="39" t="n">
        <f aca="false">J939*Resumo!$B$6</f>
        <v>0.31679</v>
      </c>
      <c r="Z939" s="39" t="n">
        <f aca="false">J939*Resumo!$B$7</f>
        <v>0.63358</v>
      </c>
      <c r="AA939" s="39" t="n">
        <f aca="false">Resumo!$B$9</f>
        <v>1</v>
      </c>
      <c r="AB939" s="39" t="n">
        <f aca="false">Resumo!$B$10*CEILING(I939/100,1)</f>
        <v>4.5</v>
      </c>
      <c r="AC939" s="39" t="n">
        <f aca="false">Resumo!$B$12*CEILING(I939,1)</f>
        <v>1.62</v>
      </c>
      <c r="AD939" s="39" t="n">
        <f aca="false">Resumo!$B$14*CEILING(I939,1)</f>
        <v>12.15</v>
      </c>
      <c r="AE939" s="39" t="n">
        <f aca="false">SUM(X939:AD939)</f>
        <v>102.43037</v>
      </c>
      <c r="AF939" s="39" t="n">
        <f aca="false">AE939/(1-Resumo!$B$5)</f>
        <v>116.398147727273</v>
      </c>
      <c r="AG939" s="39" t="n">
        <f aca="false">AF939-W939</f>
        <v>36.6361954545455</v>
      </c>
      <c r="AH939" s="40" t="n">
        <f aca="false">AF939/W939-1</f>
        <v>0.459319191803087</v>
      </c>
      <c r="AI939" s="37" t="str">
        <f aca="false">IF(AF939&lt;W939,"SIM","NÃO")</f>
        <v>NÃO</v>
      </c>
      <c r="AJ939" s="37" t="n">
        <v>2</v>
      </c>
      <c r="AK939" s="37" t="n">
        <v>5</v>
      </c>
      <c r="AL939" s="37" t="s">
        <v>343</v>
      </c>
      <c r="AM939" s="39" t="n">
        <v>81.84</v>
      </c>
    </row>
    <row r="940" customFormat="false" ht="15" hidden="false" customHeight="false" outlineLevel="0" collapsed="false">
      <c r="A940" s="37" t="n">
        <v>375495487</v>
      </c>
      <c r="B940" s="38" t="n">
        <v>46246.98375</v>
      </c>
      <c r="C940" s="37" t="s">
        <v>340</v>
      </c>
      <c r="D940" s="37" t="s">
        <v>1244</v>
      </c>
      <c r="E940" s="37" t="n">
        <v>20211020</v>
      </c>
      <c r="F940" s="37" t="s">
        <v>159</v>
      </c>
      <c r="G940" s="37" t="s">
        <v>196</v>
      </c>
      <c r="H940" s="37" t="s">
        <v>183</v>
      </c>
      <c r="I940" s="37" t="n">
        <v>15</v>
      </c>
      <c r="J940" s="39" t="n">
        <v>216.99</v>
      </c>
      <c r="K940" s="37" t="s">
        <v>342</v>
      </c>
      <c r="L940" s="39" t="n">
        <v>64.25</v>
      </c>
      <c r="M940" s="39" t="n">
        <v>33.42</v>
      </c>
      <c r="N940" s="39" t="n">
        <f aca="false">J940*Resumo!$C$6</f>
        <v>0</v>
      </c>
      <c r="O940" s="39" t="n">
        <f aca="false">J940*Resumo!$C$7</f>
        <v>0.455679</v>
      </c>
      <c r="P940" s="39" t="n">
        <f aca="false">J940*Resumo!$C$8</f>
        <v>0.455679</v>
      </c>
      <c r="Q940" s="39" t="n">
        <f aca="false">Resumo!$C$10*CEILING(I940/100,1)</f>
        <v>1.05</v>
      </c>
      <c r="R940" s="39" t="n">
        <f aca="false">Resumo!$C$9</f>
        <v>0</v>
      </c>
      <c r="S940" s="39" t="n">
        <f aca="false">Resumo!$C$13</f>
        <v>13.55</v>
      </c>
      <c r="T940" s="39" t="n">
        <f aca="false">Resumo!$C$14*CEILING(I940,1)</f>
        <v>6.75</v>
      </c>
      <c r="U940" s="39" t="n">
        <f aca="false">SUM(M940:T940)*Resumo!$C$11</f>
        <v>0</v>
      </c>
      <c r="V940" s="39" t="n">
        <f aca="false">SUM(M940:U940)</f>
        <v>55.681358</v>
      </c>
      <c r="W940" s="39" t="n">
        <f aca="false">V940/(1-Resumo!$C$5)</f>
        <v>63.2742704545455</v>
      </c>
      <c r="X940" s="39" t="n">
        <v>46.98</v>
      </c>
      <c r="Y940" s="39" t="n">
        <f aca="false">J940*Resumo!$B$6</f>
        <v>0.21699</v>
      </c>
      <c r="Z940" s="39" t="n">
        <f aca="false">J940*Resumo!$B$7</f>
        <v>0.43398</v>
      </c>
      <c r="AA940" s="39" t="n">
        <f aca="false">Resumo!$B$9</f>
        <v>1</v>
      </c>
      <c r="AB940" s="39" t="n">
        <f aca="false">Resumo!$B$10*CEILING(I940/100,1)</f>
        <v>4.5</v>
      </c>
      <c r="AC940" s="39" t="n">
        <f aca="false">Resumo!$B$12*CEILING(I940,1)</f>
        <v>0.9</v>
      </c>
      <c r="AD940" s="39" t="n">
        <f aca="false">Resumo!$B$14*CEILING(I940,1)</f>
        <v>6.75</v>
      </c>
      <c r="AE940" s="39" t="n">
        <f aca="false">SUM(X940:AD940)</f>
        <v>60.78097</v>
      </c>
      <c r="AF940" s="39" t="n">
        <f aca="false">AE940/(1-Resumo!$B$5)</f>
        <v>69.0692840909091</v>
      </c>
      <c r="AG940" s="39" t="n">
        <f aca="false">AF940-W940</f>
        <v>5.79501363636364</v>
      </c>
      <c r="AH940" s="40" t="n">
        <f aca="false">AF940/W940-1</f>
        <v>0.0915856254798957</v>
      </c>
      <c r="AI940" s="37" t="str">
        <f aca="false">IF(AF940&lt;W940,"SIM","NÃO")</f>
        <v>NÃO</v>
      </c>
      <c r="AJ940" s="37" t="n">
        <v>2</v>
      </c>
      <c r="AK940" s="37" t="n">
        <v>5</v>
      </c>
      <c r="AL940" s="37" t="s">
        <v>343</v>
      </c>
      <c r="AM940" s="39" t="n">
        <v>64.26</v>
      </c>
    </row>
    <row r="941" customFormat="false" ht="15" hidden="false" customHeight="false" outlineLevel="0" collapsed="false">
      <c r="A941" s="37" t="n">
        <v>375619995</v>
      </c>
      <c r="B941" s="38" t="n">
        <v>46247.3481597222</v>
      </c>
      <c r="C941" s="37" t="s">
        <v>340</v>
      </c>
      <c r="D941" s="37" t="s">
        <v>1245</v>
      </c>
      <c r="E941" s="37" t="n">
        <v>28013025</v>
      </c>
      <c r="F941" s="37" t="s">
        <v>164</v>
      </c>
      <c r="G941" s="37" t="s">
        <v>198</v>
      </c>
      <c r="H941" s="37" t="s">
        <v>184</v>
      </c>
      <c r="I941" s="37" t="n">
        <v>27</v>
      </c>
      <c r="J941" s="39" t="n">
        <v>297.99</v>
      </c>
      <c r="K941" s="37" t="s">
        <v>518</v>
      </c>
      <c r="L941" s="39" t="n">
        <v>106.41</v>
      </c>
      <c r="M941" s="39" t="n">
        <v>65.63</v>
      </c>
      <c r="N941" s="39" t="n">
        <f aca="false">J941*Resumo!$C$6</f>
        <v>0</v>
      </c>
      <c r="O941" s="39" t="n">
        <f aca="false">J941*Resumo!$C$7</f>
        <v>0.625779</v>
      </c>
      <c r="P941" s="39" t="n">
        <f aca="false">J941*Resumo!$C$8</f>
        <v>0.625779</v>
      </c>
      <c r="Q941" s="39" t="n">
        <f aca="false">Resumo!$C$10*CEILING(I941/100,1)</f>
        <v>1.05</v>
      </c>
      <c r="R941" s="39" t="n">
        <f aca="false">Resumo!$C$9</f>
        <v>0</v>
      </c>
      <c r="S941" s="39" t="n">
        <f aca="false">Resumo!$C$13</f>
        <v>13.55</v>
      </c>
      <c r="T941" s="39" t="n">
        <f aca="false">Resumo!$C$14*CEILING(I941,1)</f>
        <v>12.15</v>
      </c>
      <c r="U941" s="39" t="n">
        <f aca="false">SUM(M941:T941)*Resumo!$C$11</f>
        <v>0</v>
      </c>
      <c r="V941" s="39" t="n">
        <f aca="false">SUM(M941:U941)</f>
        <v>93.631558</v>
      </c>
      <c r="W941" s="39" t="n">
        <f aca="false">V941/(1-Resumo!$C$5)</f>
        <v>106.399497727273</v>
      </c>
      <c r="X941" s="39" t="n">
        <v>138.29</v>
      </c>
      <c r="Y941" s="39" t="n">
        <f aca="false">J941*Resumo!$B$6</f>
        <v>0.29799</v>
      </c>
      <c r="Z941" s="39" t="n">
        <f aca="false">J941*Resumo!$B$7</f>
        <v>0.59598</v>
      </c>
      <c r="AA941" s="39" t="n">
        <f aca="false">Resumo!$B$9</f>
        <v>1</v>
      </c>
      <c r="AB941" s="39" t="n">
        <f aca="false">Resumo!$B$10*CEILING(I941/100,1)</f>
        <v>4.5</v>
      </c>
      <c r="AC941" s="39" t="n">
        <f aca="false">Resumo!$B$12*CEILING(I941,1)</f>
        <v>1.62</v>
      </c>
      <c r="AD941" s="39" t="n">
        <f aca="false">Resumo!$B$14*CEILING(I941,1)</f>
        <v>12.15</v>
      </c>
      <c r="AE941" s="39" t="n">
        <f aca="false">SUM(X941:AD941)</f>
        <v>158.45397</v>
      </c>
      <c r="AF941" s="39" t="n">
        <f aca="false">AE941/(1-Resumo!$B$5)</f>
        <v>180.061329545455</v>
      </c>
      <c r="AG941" s="39" t="n">
        <f aca="false">AF941-W941</f>
        <v>73.6618318181818</v>
      </c>
      <c r="AH941" s="40" t="n">
        <f aca="false">AF941/W941-1</f>
        <v>0.69231371756091</v>
      </c>
      <c r="AI941" s="37" t="str">
        <f aca="false">IF(AF941&lt;W941,"SIM","NÃO")</f>
        <v>NÃO</v>
      </c>
      <c r="AJ941" s="37" t="n">
        <v>13</v>
      </c>
      <c r="AK941" s="37" t="n">
        <v>11</v>
      </c>
      <c r="AL941" s="37" t="s">
        <v>343</v>
      </c>
      <c r="AM941" s="39" t="n">
        <v>108.61</v>
      </c>
    </row>
    <row r="942" customFormat="false" ht="15" hidden="false" customHeight="false" outlineLevel="0" collapsed="false">
      <c r="A942" s="37" t="n">
        <v>375655215</v>
      </c>
      <c r="B942" s="38" t="n">
        <v>46247.4041782407</v>
      </c>
      <c r="C942" s="37" t="s">
        <v>340</v>
      </c>
      <c r="D942" s="37" t="s">
        <v>1246</v>
      </c>
      <c r="E942" s="37" t="n">
        <v>28890603</v>
      </c>
      <c r="F942" s="37" t="s">
        <v>178</v>
      </c>
      <c r="G942" s="37" t="s">
        <v>198</v>
      </c>
      <c r="H942" s="37" t="s">
        <v>187</v>
      </c>
      <c r="I942" s="37" t="n">
        <v>59.9</v>
      </c>
      <c r="J942" s="39" t="n">
        <v>919.99</v>
      </c>
      <c r="K942" s="37" t="s">
        <v>518</v>
      </c>
      <c r="L942" s="39" t="n">
        <v>146.64</v>
      </c>
      <c r="M942" s="39" t="n">
        <v>83.58</v>
      </c>
      <c r="N942" s="39" t="n">
        <f aca="false">J942*Resumo!$C$6</f>
        <v>0</v>
      </c>
      <c r="O942" s="39" t="n">
        <f aca="false">J942*Resumo!$C$7</f>
        <v>1.931979</v>
      </c>
      <c r="P942" s="39" t="n">
        <f aca="false">J942*Resumo!$C$8</f>
        <v>1.931979</v>
      </c>
      <c r="Q942" s="39" t="n">
        <f aca="false">Resumo!$C$10*CEILING(I942/100,1)</f>
        <v>1.05</v>
      </c>
      <c r="R942" s="39" t="n">
        <f aca="false">Resumo!$C$9</f>
        <v>0</v>
      </c>
      <c r="S942" s="39" t="n">
        <f aca="false">Resumo!$C$13</f>
        <v>13.55</v>
      </c>
      <c r="T942" s="39" t="n">
        <f aca="false">Resumo!$C$14*CEILING(I942,1)</f>
        <v>27</v>
      </c>
      <c r="U942" s="39" t="n">
        <f aca="false">SUM(M942:T942)*Resumo!$C$11</f>
        <v>0</v>
      </c>
      <c r="V942" s="39" t="n">
        <f aca="false">SUM(M942:U942)</f>
        <v>129.043958</v>
      </c>
      <c r="W942" s="39" t="n">
        <f aca="false">V942/(1-Resumo!$C$5)</f>
        <v>146.640861363636</v>
      </c>
      <c r="X942" s="39" t="n">
        <v>142.32</v>
      </c>
      <c r="Y942" s="39" t="n">
        <f aca="false">J942*Resumo!$B$6</f>
        <v>0.91999</v>
      </c>
      <c r="Z942" s="39" t="n">
        <f aca="false">J942*Resumo!$B$7</f>
        <v>1.83998</v>
      </c>
      <c r="AA942" s="39" t="n">
        <f aca="false">Resumo!$B$9</f>
        <v>1</v>
      </c>
      <c r="AB942" s="39" t="n">
        <f aca="false">Resumo!$B$10*CEILING(I942/100,1)</f>
        <v>4.5</v>
      </c>
      <c r="AC942" s="39" t="n">
        <f aca="false">Resumo!$B$12*CEILING(I942,1)</f>
        <v>3.6</v>
      </c>
      <c r="AD942" s="39" t="n">
        <f aca="false">Resumo!$B$14*CEILING(I942,1)</f>
        <v>27</v>
      </c>
      <c r="AE942" s="39" t="n">
        <f aca="false">SUM(X942:AD942)</f>
        <v>181.17997</v>
      </c>
      <c r="AF942" s="39" t="n">
        <f aca="false">AE942/(1-Resumo!$B$5)</f>
        <v>205.886329545455</v>
      </c>
      <c r="AG942" s="39" t="n">
        <f aca="false">AF942-W942</f>
        <v>59.2454681818182</v>
      </c>
      <c r="AH942" s="40" t="n">
        <f aca="false">AF942/W942-1</f>
        <v>0.404017458918921</v>
      </c>
      <c r="AI942" s="37" t="str">
        <f aca="false">IF(AF942&lt;W942,"SIM","NÃO")</f>
        <v>NÃO</v>
      </c>
      <c r="AJ942" s="37" t="n">
        <v>13</v>
      </c>
      <c r="AK942" s="37" t="n">
        <v>10</v>
      </c>
      <c r="AL942" s="37" t="s">
        <v>343</v>
      </c>
      <c r="AM942" s="39" t="n">
        <v>144.08</v>
      </c>
    </row>
    <row r="943" customFormat="false" ht="15" hidden="false" customHeight="false" outlineLevel="0" collapsed="false">
      <c r="A943" s="37" t="n">
        <v>375682640</v>
      </c>
      <c r="B943" s="38" t="n">
        <v>46247.4541782407</v>
      </c>
      <c r="C943" s="37" t="s">
        <v>372</v>
      </c>
      <c r="D943" s="37" t="s">
        <v>1247</v>
      </c>
      <c r="E943" s="37" t="n">
        <v>28024492</v>
      </c>
      <c r="F943" s="37" t="s">
        <v>164</v>
      </c>
      <c r="G943" s="37" t="s">
        <v>198</v>
      </c>
      <c r="H943" s="37" t="s">
        <v>185</v>
      </c>
      <c r="I943" s="37" t="n">
        <v>39.9</v>
      </c>
      <c r="J943" s="39" t="n">
        <v>619.99</v>
      </c>
      <c r="K943" s="37" t="s">
        <v>518</v>
      </c>
      <c r="L943" s="39" t="n">
        <v>125.19</v>
      </c>
      <c r="M943" s="39" t="n">
        <v>74.97</v>
      </c>
      <c r="N943" s="39" t="n">
        <f aca="false">J943*Resumo!$C$6</f>
        <v>0</v>
      </c>
      <c r="O943" s="39" t="n">
        <f aca="false">J943*Resumo!$C$7</f>
        <v>1.301979</v>
      </c>
      <c r="P943" s="39" t="n">
        <f aca="false">J943*Resumo!$C$8</f>
        <v>1.301979</v>
      </c>
      <c r="Q943" s="39" t="n">
        <f aca="false">Resumo!$C$10*CEILING(I943/100,1)</f>
        <v>1.05</v>
      </c>
      <c r="R943" s="39" t="n">
        <f aca="false">Resumo!$C$9</f>
        <v>0</v>
      </c>
      <c r="S943" s="39" t="n">
        <f aca="false">Resumo!$C$13</f>
        <v>13.55</v>
      </c>
      <c r="T943" s="39" t="n">
        <f aca="false">Resumo!$C$14*CEILING(I943,1)</f>
        <v>18</v>
      </c>
      <c r="U943" s="39" t="n">
        <f aca="false">SUM(M943:T943)*Resumo!$C$11</f>
        <v>0</v>
      </c>
      <c r="V943" s="39" t="n">
        <f aca="false">SUM(M943:U943)</f>
        <v>110.173958</v>
      </c>
      <c r="W943" s="39" t="n">
        <f aca="false">V943/(1-Resumo!$C$5)</f>
        <v>125.197679545455</v>
      </c>
      <c r="X943" s="39" t="n">
        <v>143.04</v>
      </c>
      <c r="Y943" s="39" t="n">
        <f aca="false">J943*Resumo!$B$6</f>
        <v>0.61999</v>
      </c>
      <c r="Z943" s="39" t="n">
        <f aca="false">J943*Resumo!$B$7</f>
        <v>1.23998</v>
      </c>
      <c r="AA943" s="39" t="n">
        <f aca="false">Resumo!$B$9</f>
        <v>1</v>
      </c>
      <c r="AB943" s="39" t="n">
        <f aca="false">Resumo!$B$10*CEILING(I943/100,1)</f>
        <v>4.5</v>
      </c>
      <c r="AC943" s="39" t="n">
        <f aca="false">Resumo!$B$12*CEILING(I943,1)</f>
        <v>2.4</v>
      </c>
      <c r="AD943" s="39" t="n">
        <f aca="false">Resumo!$B$14*CEILING(I943,1)</f>
        <v>18</v>
      </c>
      <c r="AE943" s="39" t="n">
        <f aca="false">SUM(X943:AD943)</f>
        <v>170.79997</v>
      </c>
      <c r="AF943" s="39" t="n">
        <f aca="false">AE943/(1-Resumo!$B$5)</f>
        <v>194.090875</v>
      </c>
      <c r="AG943" s="39" t="n">
        <f aca="false">AF943-W943</f>
        <v>68.8931954545455</v>
      </c>
      <c r="AH943" s="40" t="n">
        <f aca="false">AF943/W943-1</f>
        <v>0.550275338206512</v>
      </c>
      <c r="AI943" s="37" t="str">
        <f aca="false">IF(AF943&lt;W943,"SIM","NÃO")</f>
        <v>NÃO</v>
      </c>
      <c r="AJ943" s="37" t="n">
        <v>13</v>
      </c>
      <c r="AK943" s="37" t="n">
        <v>11</v>
      </c>
      <c r="AL943" s="37" t="s">
        <v>343</v>
      </c>
      <c r="AM943" s="39" t="n">
        <v>123.22</v>
      </c>
    </row>
    <row r="944" customFormat="false" ht="15" hidden="false" customHeight="false" outlineLevel="0" collapsed="false">
      <c r="A944" s="37" t="n">
        <v>375690607</v>
      </c>
      <c r="B944" s="38" t="n">
        <v>46247.459849537</v>
      </c>
      <c r="C944" s="37" t="s">
        <v>345</v>
      </c>
      <c r="D944" s="37" t="s">
        <v>1248</v>
      </c>
      <c r="E944" s="37" t="n">
        <v>25935075</v>
      </c>
      <c r="F944" s="37" t="s">
        <v>176</v>
      </c>
      <c r="G944" s="37" t="s">
        <v>198</v>
      </c>
      <c r="H944" s="37" t="s">
        <v>184</v>
      </c>
      <c r="I944" s="37" t="n">
        <v>31.4</v>
      </c>
      <c r="J944" s="39" t="n">
        <v>369.52</v>
      </c>
      <c r="K944" s="37" t="s">
        <v>518</v>
      </c>
      <c r="L944" s="39" t="n">
        <v>109.31</v>
      </c>
      <c r="M944" s="39" t="n">
        <v>65.63</v>
      </c>
      <c r="N944" s="39" t="n">
        <f aca="false">J944*Resumo!$C$6</f>
        <v>0</v>
      </c>
      <c r="O944" s="39" t="n">
        <f aca="false">J944*Resumo!$C$7</f>
        <v>0.775992</v>
      </c>
      <c r="P944" s="39" t="n">
        <f aca="false">J944*Resumo!$C$8</f>
        <v>0.775992</v>
      </c>
      <c r="Q944" s="39" t="n">
        <f aca="false">Resumo!$C$10*CEILING(I944/100,1)</f>
        <v>1.05</v>
      </c>
      <c r="R944" s="39" t="n">
        <f aca="false">Resumo!$C$9</f>
        <v>0</v>
      </c>
      <c r="S944" s="39" t="n">
        <f aca="false">Resumo!$C$13</f>
        <v>13.55</v>
      </c>
      <c r="T944" s="39" t="n">
        <f aca="false">Resumo!$C$14*CEILING(I944,1)</f>
        <v>14.4</v>
      </c>
      <c r="U944" s="39" t="n">
        <f aca="false">SUM(M944:T944)*Resumo!$C$11</f>
        <v>0</v>
      </c>
      <c r="V944" s="39" t="n">
        <f aca="false">SUM(M944:U944)</f>
        <v>96.181984</v>
      </c>
      <c r="W944" s="39" t="n">
        <f aca="false">V944/(1-Resumo!$C$5)</f>
        <v>109.297709090909</v>
      </c>
      <c r="X944" s="39" t="n">
        <v>103.28</v>
      </c>
      <c r="Y944" s="39" t="n">
        <f aca="false">J944*Resumo!$B$6</f>
        <v>0.36952</v>
      </c>
      <c r="Z944" s="39" t="n">
        <f aca="false">J944*Resumo!$B$7</f>
        <v>0.73904</v>
      </c>
      <c r="AA944" s="39" t="n">
        <f aca="false">Resumo!$B$9</f>
        <v>1</v>
      </c>
      <c r="AB944" s="39" t="n">
        <f aca="false">Resumo!$B$10*CEILING(I944/100,1)</f>
        <v>4.5</v>
      </c>
      <c r="AC944" s="39" t="n">
        <f aca="false">Resumo!$B$12*CEILING(I944,1)</f>
        <v>1.92</v>
      </c>
      <c r="AD944" s="39" t="n">
        <f aca="false">Resumo!$B$14*CEILING(I944,1)</f>
        <v>14.4</v>
      </c>
      <c r="AE944" s="39" t="n">
        <f aca="false">SUM(X944:AD944)</f>
        <v>126.20856</v>
      </c>
      <c r="AF944" s="39" t="n">
        <f aca="false">AE944/(1-Resumo!$B$5)</f>
        <v>143.418818181818</v>
      </c>
      <c r="AG944" s="39" t="n">
        <f aca="false">AF944-W944</f>
        <v>34.1211090909091</v>
      </c>
      <c r="AH944" s="40" t="n">
        <f aca="false">AF944/W944-1</f>
        <v>0.312185034569468</v>
      </c>
      <c r="AI944" s="37" t="str">
        <f aca="false">IF(AF944&lt;W944,"SIM","NÃO")</f>
        <v>NÃO</v>
      </c>
      <c r="AJ944" s="37" t="n">
        <v>13</v>
      </c>
      <c r="AK944" s="37" t="n">
        <v>6</v>
      </c>
      <c r="AL944" s="37" t="s">
        <v>343</v>
      </c>
      <c r="AM944" s="39" t="n">
        <v>108.95</v>
      </c>
    </row>
    <row r="945" customFormat="false" ht="15" hidden="false" customHeight="false" outlineLevel="0" collapsed="false">
      <c r="A945" s="37" t="n">
        <v>375691228</v>
      </c>
      <c r="B945" s="38" t="n">
        <v>46247.4607291667</v>
      </c>
      <c r="C945" s="37" t="s">
        <v>345</v>
      </c>
      <c r="D945" s="37" t="s">
        <v>1249</v>
      </c>
      <c r="E945" s="37" t="n">
        <v>22753200</v>
      </c>
      <c r="F945" s="37" t="s">
        <v>159</v>
      </c>
      <c r="G945" s="37" t="s">
        <v>196</v>
      </c>
      <c r="H945" s="37" t="s">
        <v>184</v>
      </c>
      <c r="I945" s="37" t="n">
        <v>27.5</v>
      </c>
      <c r="J945" s="39" t="n">
        <v>336.59</v>
      </c>
      <c r="K945" s="37" t="s">
        <v>342</v>
      </c>
      <c r="L945" s="39" t="n">
        <v>81.93</v>
      </c>
      <c r="M945" s="39" t="n">
        <v>42.11</v>
      </c>
      <c r="N945" s="39" t="n">
        <f aca="false">J945*Resumo!$C$6</f>
        <v>0</v>
      </c>
      <c r="O945" s="39" t="n">
        <f aca="false">J945*Resumo!$C$7</f>
        <v>0.706839</v>
      </c>
      <c r="P945" s="39" t="n">
        <f aca="false">J945*Resumo!$C$8</f>
        <v>0.706839</v>
      </c>
      <c r="Q945" s="39" t="n">
        <f aca="false">Resumo!$C$10*CEILING(I945/100,1)</f>
        <v>1.05</v>
      </c>
      <c r="R945" s="39" t="n">
        <f aca="false">Resumo!$C$9</f>
        <v>0</v>
      </c>
      <c r="S945" s="39" t="n">
        <f aca="false">Resumo!$C$13</f>
        <v>13.55</v>
      </c>
      <c r="T945" s="39" t="n">
        <f aca="false">Resumo!$C$14*CEILING(I945,1)</f>
        <v>12.6</v>
      </c>
      <c r="U945" s="39" t="n">
        <f aca="false">SUM(M945:T945)*Resumo!$C$11</f>
        <v>0</v>
      </c>
      <c r="V945" s="39" t="n">
        <f aca="false">SUM(M945:U945)</f>
        <v>70.723678</v>
      </c>
      <c r="W945" s="39" t="n">
        <f aca="false">V945/(1-Resumo!$C$5)</f>
        <v>80.3678159090909</v>
      </c>
      <c r="X945" s="39" t="n">
        <v>82.21</v>
      </c>
      <c r="Y945" s="39" t="n">
        <f aca="false">J945*Resumo!$B$6</f>
        <v>0.33659</v>
      </c>
      <c r="Z945" s="39" t="n">
        <f aca="false">J945*Resumo!$B$7</f>
        <v>0.67318</v>
      </c>
      <c r="AA945" s="39" t="n">
        <f aca="false">Resumo!$B$9</f>
        <v>1</v>
      </c>
      <c r="AB945" s="39" t="n">
        <f aca="false">Resumo!$B$10*CEILING(I945/100,1)</f>
        <v>4.5</v>
      </c>
      <c r="AC945" s="39" t="n">
        <f aca="false">Resumo!$B$12*CEILING(I945,1)</f>
        <v>1.68</v>
      </c>
      <c r="AD945" s="39" t="n">
        <f aca="false">Resumo!$B$14*CEILING(I945,1)</f>
        <v>12.6</v>
      </c>
      <c r="AE945" s="39" t="n">
        <f aca="false">SUM(X945:AD945)</f>
        <v>102.99977</v>
      </c>
      <c r="AF945" s="39" t="n">
        <f aca="false">AE945/(1-Resumo!$B$5)</f>
        <v>117.045193181818</v>
      </c>
      <c r="AG945" s="39" t="n">
        <f aca="false">AF945-W945</f>
        <v>36.6773772727273</v>
      </c>
      <c r="AH945" s="40" t="n">
        <f aca="false">AF945/W945-1</f>
        <v>0.456368968819749</v>
      </c>
      <c r="AI945" s="37" t="str">
        <f aca="false">IF(AF945&lt;W945,"SIM","NÃO")</f>
        <v>NÃO</v>
      </c>
      <c r="AJ945" s="37" t="n">
        <v>2</v>
      </c>
      <c r="AK945" s="37" t="n">
        <v>5</v>
      </c>
      <c r="AL945" s="37" t="s">
        <v>343</v>
      </c>
      <c r="AM945" s="39" t="n">
        <v>81.94</v>
      </c>
    </row>
    <row r="946" customFormat="false" ht="15" hidden="false" customHeight="false" outlineLevel="0" collapsed="false">
      <c r="A946" s="37" t="n">
        <v>375720720</v>
      </c>
      <c r="B946" s="38" t="n">
        <v>46247.4883564815</v>
      </c>
      <c r="C946" s="37" t="s">
        <v>537</v>
      </c>
      <c r="D946" s="37" t="s">
        <v>1250</v>
      </c>
      <c r="E946" s="37" t="n">
        <v>20751010</v>
      </c>
      <c r="F946" s="37" t="s">
        <v>159</v>
      </c>
      <c r="G946" s="37" t="s">
        <v>196</v>
      </c>
      <c r="H946" s="37" t="s">
        <v>184</v>
      </c>
      <c r="I946" s="37" t="n">
        <v>35</v>
      </c>
      <c r="J946" s="39" t="n">
        <v>459.99</v>
      </c>
      <c r="K946" s="37" t="s">
        <v>342</v>
      </c>
      <c r="L946" s="39" t="n">
        <v>82.53</v>
      </c>
      <c r="M946" s="39" t="n">
        <v>42.11</v>
      </c>
      <c r="N946" s="39" t="n">
        <f aca="false">J946*Resumo!$C$6</f>
        <v>0</v>
      </c>
      <c r="O946" s="39" t="n">
        <f aca="false">J946*Resumo!$C$7</f>
        <v>0.965979</v>
      </c>
      <c r="P946" s="39" t="n">
        <f aca="false">J946*Resumo!$C$8</f>
        <v>0.965979</v>
      </c>
      <c r="Q946" s="39" t="n">
        <f aca="false">Resumo!$C$10*CEILING(I946/100,1)</f>
        <v>1.05</v>
      </c>
      <c r="R946" s="39" t="n">
        <f aca="false">Resumo!$C$9</f>
        <v>0</v>
      </c>
      <c r="S946" s="39" t="n">
        <f aca="false">Resumo!$C$13</f>
        <v>13.55</v>
      </c>
      <c r="T946" s="39" t="n">
        <f aca="false">Resumo!$C$14*CEILING(I946,1)</f>
        <v>15.75</v>
      </c>
      <c r="U946" s="39" t="n">
        <f aca="false">SUM(M946:T946)*Resumo!$C$11</f>
        <v>0</v>
      </c>
      <c r="V946" s="39" t="n">
        <f aca="false">SUM(M946:U946)</f>
        <v>74.391958</v>
      </c>
      <c r="W946" s="39" t="n">
        <f aca="false">V946/(1-Resumo!$C$5)</f>
        <v>84.5363159090909</v>
      </c>
      <c r="X946" s="39" t="n">
        <v>82.21</v>
      </c>
      <c r="Y946" s="39" t="n">
        <f aca="false">J946*Resumo!$B$6</f>
        <v>0.45999</v>
      </c>
      <c r="Z946" s="39" t="n">
        <f aca="false">J946*Resumo!$B$7</f>
        <v>0.91998</v>
      </c>
      <c r="AA946" s="39" t="n">
        <f aca="false">Resumo!$B$9</f>
        <v>1</v>
      </c>
      <c r="AB946" s="39" t="n">
        <f aca="false">Resumo!$B$10*CEILING(I946/100,1)</f>
        <v>4.5</v>
      </c>
      <c r="AC946" s="39" t="n">
        <f aca="false">Resumo!$B$12*CEILING(I946,1)</f>
        <v>2.1</v>
      </c>
      <c r="AD946" s="39" t="n">
        <f aca="false">Resumo!$B$14*CEILING(I946,1)</f>
        <v>15.75</v>
      </c>
      <c r="AE946" s="39" t="n">
        <f aca="false">SUM(X946:AD946)</f>
        <v>106.93997</v>
      </c>
      <c r="AF946" s="39" t="n">
        <f aca="false">AE946/(1-Resumo!$B$5)</f>
        <v>121.522693181818</v>
      </c>
      <c r="AG946" s="39" t="n">
        <f aca="false">AF946-W946</f>
        <v>36.9863772727273</v>
      </c>
      <c r="AH946" s="40" t="n">
        <f aca="false">AF946/W946-1</f>
        <v>0.437520571780084</v>
      </c>
      <c r="AI946" s="37" t="str">
        <f aca="false">IF(AF946&lt;W946,"SIM","NÃO")</f>
        <v>NÃO</v>
      </c>
      <c r="AJ946" s="37" t="n">
        <v>2</v>
      </c>
      <c r="AK946" s="37" t="n">
        <v>5</v>
      </c>
      <c r="AL946" s="37" t="s">
        <v>343</v>
      </c>
      <c r="AM946" s="39" t="n">
        <v>82.53</v>
      </c>
    </row>
    <row r="947" customFormat="false" ht="15" hidden="false" customHeight="false" outlineLevel="0" collapsed="false">
      <c r="A947" s="37" t="n">
        <v>375720188</v>
      </c>
      <c r="B947" s="38" t="n">
        <v>46247.5072453704</v>
      </c>
      <c r="C947" s="37" t="s">
        <v>340</v>
      </c>
      <c r="D947" s="37" t="s">
        <v>1251</v>
      </c>
      <c r="E947" s="37" t="n">
        <v>21615410</v>
      </c>
      <c r="F947" s="37" t="s">
        <v>159</v>
      </c>
      <c r="G947" s="37" t="s">
        <v>196</v>
      </c>
      <c r="H947" s="37" t="s">
        <v>185</v>
      </c>
      <c r="I947" s="37" t="n">
        <v>40</v>
      </c>
      <c r="J947" s="39" t="n">
        <v>599.99</v>
      </c>
      <c r="K947" s="37" t="s">
        <v>342</v>
      </c>
      <c r="L947" s="39" t="n">
        <v>92.73</v>
      </c>
      <c r="M947" s="39" t="n">
        <v>48.35</v>
      </c>
      <c r="N947" s="39" t="n">
        <f aca="false">J947*Resumo!$C$6</f>
        <v>0</v>
      </c>
      <c r="O947" s="39" t="n">
        <f aca="false">J947*Resumo!$C$7</f>
        <v>1.259979</v>
      </c>
      <c r="P947" s="39" t="n">
        <f aca="false">J947*Resumo!$C$8</f>
        <v>1.259979</v>
      </c>
      <c r="Q947" s="39" t="n">
        <f aca="false">Resumo!$C$10*CEILING(I947/100,1)</f>
        <v>1.05</v>
      </c>
      <c r="R947" s="39" t="n">
        <f aca="false">Resumo!$C$9</f>
        <v>0</v>
      </c>
      <c r="S947" s="39" t="n">
        <f aca="false">Resumo!$C$13</f>
        <v>13.55</v>
      </c>
      <c r="T947" s="39" t="n">
        <f aca="false">Resumo!$C$14*CEILING(I947,1)</f>
        <v>18</v>
      </c>
      <c r="U947" s="39" t="n">
        <f aca="false">SUM(M947:T947)*Resumo!$C$11</f>
        <v>0</v>
      </c>
      <c r="V947" s="39" t="n">
        <f aca="false">SUM(M947:U947)</f>
        <v>83.469958</v>
      </c>
      <c r="W947" s="39" t="n">
        <f aca="false">V947/(1-Resumo!$C$5)</f>
        <v>94.852225</v>
      </c>
      <c r="X947" s="39" t="n">
        <v>93.97</v>
      </c>
      <c r="Y947" s="39" t="n">
        <f aca="false">J947*Resumo!$B$6</f>
        <v>0.59999</v>
      </c>
      <c r="Z947" s="39" t="n">
        <f aca="false">J947*Resumo!$B$7</f>
        <v>1.19998</v>
      </c>
      <c r="AA947" s="39" t="n">
        <f aca="false">Resumo!$B$9</f>
        <v>1</v>
      </c>
      <c r="AB947" s="39" t="n">
        <f aca="false">Resumo!$B$10*CEILING(I947/100,1)</f>
        <v>4.5</v>
      </c>
      <c r="AC947" s="39" t="n">
        <f aca="false">Resumo!$B$12*CEILING(I947,1)</f>
        <v>2.4</v>
      </c>
      <c r="AD947" s="39" t="n">
        <f aca="false">Resumo!$B$14*CEILING(I947,1)</f>
        <v>18</v>
      </c>
      <c r="AE947" s="39" t="n">
        <f aca="false">SUM(X947:AD947)</f>
        <v>121.66997</v>
      </c>
      <c r="AF947" s="39" t="n">
        <f aca="false">AE947/(1-Resumo!$B$5)</f>
        <v>138.261329545455</v>
      </c>
      <c r="AG947" s="39" t="n">
        <f aca="false">AF947-W947</f>
        <v>43.4091045454545</v>
      </c>
      <c r="AH947" s="40" t="n">
        <f aca="false">AF947/W947-1</f>
        <v>0.457649828936059</v>
      </c>
      <c r="AI947" s="37" t="str">
        <f aca="false">IF(AF947&lt;W947,"SIM","NÃO")</f>
        <v>NÃO</v>
      </c>
      <c r="AJ947" s="37" t="n">
        <v>2</v>
      </c>
      <c r="AK947" s="37" t="n">
        <v>5</v>
      </c>
      <c r="AL947" s="37" t="s">
        <v>343</v>
      </c>
      <c r="AM947" s="39" t="n">
        <v>92.73</v>
      </c>
    </row>
    <row r="948" customFormat="false" ht="15" hidden="false" customHeight="false" outlineLevel="0" collapsed="false">
      <c r="A948" s="37" t="n">
        <v>375737534</v>
      </c>
      <c r="B948" s="38" t="n">
        <v>46247.5566435185</v>
      </c>
      <c r="C948" s="37" t="s">
        <v>361</v>
      </c>
      <c r="D948" s="37" t="s">
        <v>1252</v>
      </c>
      <c r="E948" s="37" t="n">
        <v>28925732</v>
      </c>
      <c r="F948" s="37" t="s">
        <v>172</v>
      </c>
      <c r="G948" s="37" t="s">
        <v>198</v>
      </c>
      <c r="H948" s="37" t="s">
        <v>185</v>
      </c>
      <c r="I948" s="37" t="n">
        <v>36.9</v>
      </c>
      <c r="J948" s="39" t="n">
        <v>390.99</v>
      </c>
      <c r="K948" s="37" t="s">
        <v>518</v>
      </c>
      <c r="L948" s="39" t="n">
        <v>122.57</v>
      </c>
      <c r="M948" s="39" t="n">
        <v>74.97</v>
      </c>
      <c r="N948" s="39" t="n">
        <f aca="false">J948*Resumo!$C$6</f>
        <v>0</v>
      </c>
      <c r="O948" s="39" t="n">
        <f aca="false">J948*Resumo!$C$7</f>
        <v>0.821079</v>
      </c>
      <c r="P948" s="39" t="n">
        <f aca="false">J948*Resumo!$C$8</f>
        <v>0.821079</v>
      </c>
      <c r="Q948" s="39" t="n">
        <f aca="false">Resumo!$C$10*CEILING(I948/100,1)</f>
        <v>1.05</v>
      </c>
      <c r="R948" s="39" t="n">
        <f aca="false">Resumo!$C$9</f>
        <v>0</v>
      </c>
      <c r="S948" s="39" t="n">
        <f aca="false">Resumo!$C$13</f>
        <v>13.55</v>
      </c>
      <c r="T948" s="39" t="n">
        <f aca="false">Resumo!$C$14*CEILING(I948,1)</f>
        <v>16.65</v>
      </c>
      <c r="U948" s="39" t="n">
        <f aca="false">SUM(M948:T948)*Resumo!$C$11</f>
        <v>0</v>
      </c>
      <c r="V948" s="39" t="n">
        <f aca="false">SUM(M948:U948)</f>
        <v>107.862158</v>
      </c>
      <c r="W948" s="39" t="n">
        <f aca="false">V948/(1-Resumo!$C$5)</f>
        <v>122.570634090909</v>
      </c>
      <c r="X948" s="39" t="n">
        <v>124.38</v>
      </c>
      <c r="Y948" s="39" t="n">
        <f aca="false">J948*Resumo!$B$6</f>
        <v>0.39099</v>
      </c>
      <c r="Z948" s="39" t="n">
        <f aca="false">J948*Resumo!$B$7</f>
        <v>0.78198</v>
      </c>
      <c r="AA948" s="39" t="n">
        <f aca="false">Resumo!$B$9</f>
        <v>1</v>
      </c>
      <c r="AB948" s="39" t="n">
        <f aca="false">Resumo!$B$10*CEILING(I948/100,1)</f>
        <v>4.5</v>
      </c>
      <c r="AC948" s="39" t="n">
        <f aca="false">Resumo!$B$12*CEILING(I948,1)</f>
        <v>2.22</v>
      </c>
      <c r="AD948" s="39" t="n">
        <f aca="false">Resumo!$B$14*CEILING(I948,1)</f>
        <v>16.65</v>
      </c>
      <c r="AE948" s="39" t="n">
        <f aca="false">SUM(X948:AD948)</f>
        <v>149.92297</v>
      </c>
      <c r="AF948" s="39" t="n">
        <f aca="false">AE948/(1-Resumo!$B$5)</f>
        <v>170.367011363636</v>
      </c>
      <c r="AG948" s="39" t="n">
        <f aca="false">AF948-W948</f>
        <v>47.7963772727273</v>
      </c>
      <c r="AH948" s="40" t="n">
        <f aca="false">AF948/W948-1</f>
        <v>0.389949661492958</v>
      </c>
      <c r="AI948" s="37" t="str">
        <f aca="false">IF(AF948&lt;W948,"SIM","NÃO")</f>
        <v>NÃO</v>
      </c>
      <c r="AJ948" s="37" t="n">
        <v>13</v>
      </c>
      <c r="AK948" s="37" t="n">
        <v>10</v>
      </c>
      <c r="AL948" s="37" t="s">
        <v>343</v>
      </c>
      <c r="AM948" s="39" t="n">
        <v>122.12</v>
      </c>
    </row>
    <row r="949" customFormat="false" ht="15" hidden="false" customHeight="false" outlineLevel="0" collapsed="false">
      <c r="A949" s="37" t="n">
        <v>375747703</v>
      </c>
      <c r="B949" s="38" t="n">
        <v>46247.5631597222</v>
      </c>
      <c r="C949" s="37" t="s">
        <v>340</v>
      </c>
      <c r="D949" s="37" t="s">
        <v>1201</v>
      </c>
      <c r="E949" s="37" t="n">
        <v>22783116</v>
      </c>
      <c r="F949" s="37" t="s">
        <v>159</v>
      </c>
      <c r="G949" s="37" t="s">
        <v>196</v>
      </c>
      <c r="H949" s="37" t="s">
        <v>188</v>
      </c>
      <c r="I949" s="37" t="n">
        <v>66.8</v>
      </c>
      <c r="J949" s="39" t="n">
        <v>629.99</v>
      </c>
      <c r="K949" s="37" t="s">
        <v>342</v>
      </c>
      <c r="L949" s="39" t="n">
        <v>124.23</v>
      </c>
      <c r="M949" s="39" t="n">
        <v>63.21</v>
      </c>
      <c r="N949" s="39" t="n">
        <f aca="false">J949*Resumo!$C$6</f>
        <v>0</v>
      </c>
      <c r="O949" s="39" t="n">
        <f aca="false">J949*Resumo!$C$7</f>
        <v>1.322979</v>
      </c>
      <c r="P949" s="39" t="n">
        <f aca="false">J949*Resumo!$C$8</f>
        <v>1.322979</v>
      </c>
      <c r="Q949" s="39" t="n">
        <f aca="false">Resumo!$C$10*CEILING(I949/100,1)</f>
        <v>1.05</v>
      </c>
      <c r="R949" s="39" t="n">
        <f aca="false">Resumo!$C$9</f>
        <v>0</v>
      </c>
      <c r="S949" s="39" t="n">
        <f aca="false">Resumo!$C$13</f>
        <v>13.55</v>
      </c>
      <c r="T949" s="39" t="n">
        <f aca="false">Resumo!$C$14*CEILING(I949,1)</f>
        <v>30.15</v>
      </c>
      <c r="U949" s="39" t="n">
        <f aca="false">SUM(M949:T949)*Resumo!$C$11</f>
        <v>0</v>
      </c>
      <c r="V949" s="39" t="n">
        <f aca="false">SUM(M949:U949)</f>
        <v>110.605958</v>
      </c>
      <c r="W949" s="39" t="n">
        <f aca="false">V949/(1-Resumo!$C$5)</f>
        <v>125.688588636364</v>
      </c>
      <c r="X949" s="39" t="n">
        <v>131.02</v>
      </c>
      <c r="Y949" s="39" t="n">
        <f aca="false">J949*Resumo!$B$6</f>
        <v>0.62999</v>
      </c>
      <c r="Z949" s="39" t="n">
        <f aca="false">J949*Resumo!$B$7</f>
        <v>1.25998</v>
      </c>
      <c r="AA949" s="39" t="n">
        <f aca="false">Resumo!$B$9</f>
        <v>1</v>
      </c>
      <c r="AB949" s="39" t="n">
        <f aca="false">Resumo!$B$10*CEILING(I949/100,1)</f>
        <v>4.5</v>
      </c>
      <c r="AC949" s="39" t="n">
        <f aca="false">Resumo!$B$12*CEILING(I949,1)</f>
        <v>4.02</v>
      </c>
      <c r="AD949" s="39" t="n">
        <f aca="false">Resumo!$B$14*CEILING(I949,1)</f>
        <v>30.15</v>
      </c>
      <c r="AE949" s="39" t="n">
        <f aca="false">SUM(X949:AD949)</f>
        <v>172.57997</v>
      </c>
      <c r="AF949" s="39" t="n">
        <f aca="false">AE949/(1-Resumo!$B$5)</f>
        <v>196.113602272727</v>
      </c>
      <c r="AG949" s="39" t="n">
        <f aca="false">AF949-W949</f>
        <v>70.4250136363636</v>
      </c>
      <c r="AH949" s="40" t="n">
        <f aca="false">AF949/W949-1</f>
        <v>0.5603135049922</v>
      </c>
      <c r="AI949" s="37" t="str">
        <f aca="false">IF(AF949&lt;W949,"SIM","NÃO")</f>
        <v>NÃO</v>
      </c>
      <c r="AJ949" s="37" t="n">
        <v>2</v>
      </c>
      <c r="AK949" s="37" t="n">
        <v>5</v>
      </c>
      <c r="AL949" s="37" t="s">
        <v>343</v>
      </c>
      <c r="AM949" s="39" t="n">
        <v>124.23</v>
      </c>
    </row>
    <row r="950" customFormat="false" ht="15" hidden="false" customHeight="false" outlineLevel="0" collapsed="false">
      <c r="A950" s="37" t="n">
        <v>375760304</v>
      </c>
      <c r="B950" s="38" t="n">
        <v>46247.5811921296</v>
      </c>
      <c r="C950" s="37" t="s">
        <v>340</v>
      </c>
      <c r="D950" s="37" t="s">
        <v>1253</v>
      </c>
      <c r="E950" s="37" t="n">
        <v>25071220</v>
      </c>
      <c r="F950" s="37" t="s">
        <v>161</v>
      </c>
      <c r="G950" s="37" t="s">
        <v>197</v>
      </c>
      <c r="H950" s="37" t="s">
        <v>184</v>
      </c>
      <c r="I950" s="37" t="n">
        <v>27</v>
      </c>
      <c r="J950" s="39" t="n">
        <v>329.99</v>
      </c>
      <c r="K950" s="37" t="s">
        <v>342</v>
      </c>
      <c r="L950" s="39" t="n">
        <v>100.97</v>
      </c>
      <c r="M950" s="39" t="n">
        <v>58.8</v>
      </c>
      <c r="N950" s="39" t="n">
        <f aca="false">J950*Resumo!$C$6</f>
        <v>0</v>
      </c>
      <c r="O950" s="39" t="n">
        <f aca="false">J950*Resumo!$C$7</f>
        <v>0.692979</v>
      </c>
      <c r="P950" s="39" t="n">
        <f aca="false">J950*Resumo!$C$8</f>
        <v>0.692979</v>
      </c>
      <c r="Q950" s="39" t="n">
        <f aca="false">Resumo!$C$10*CEILING(I950/100,1)</f>
        <v>1.05</v>
      </c>
      <c r="R950" s="39" t="n">
        <f aca="false">Resumo!$C$9</f>
        <v>0</v>
      </c>
      <c r="S950" s="39" t="n">
        <f aca="false">Resumo!$C$13</f>
        <v>13.55</v>
      </c>
      <c r="T950" s="39" t="n">
        <f aca="false">Resumo!$C$14*CEILING(I950,1)</f>
        <v>12.15</v>
      </c>
      <c r="U950" s="39" t="n">
        <f aca="false">SUM(M950:T950)*Resumo!$C$11</f>
        <v>0</v>
      </c>
      <c r="V950" s="39" t="n">
        <f aca="false">SUM(M950:U950)</f>
        <v>86.935958</v>
      </c>
      <c r="W950" s="39" t="n">
        <f aca="false">V950/(1-Resumo!$C$5)</f>
        <v>98.7908613636364</v>
      </c>
      <c r="X950" s="39" t="n">
        <v>82.21</v>
      </c>
      <c r="Y950" s="39" t="n">
        <f aca="false">J950*Resumo!$B$6</f>
        <v>0.32999</v>
      </c>
      <c r="Z950" s="39" t="n">
        <f aca="false">J950*Resumo!$B$7</f>
        <v>0.65998</v>
      </c>
      <c r="AA950" s="39" t="n">
        <f aca="false">Resumo!$B$9</f>
        <v>1</v>
      </c>
      <c r="AB950" s="39" t="n">
        <f aca="false">Resumo!$B$10*CEILING(I950/100,1)</f>
        <v>4.5</v>
      </c>
      <c r="AC950" s="39" t="n">
        <f aca="false">Resumo!$B$12*CEILING(I950,1)</f>
        <v>1.62</v>
      </c>
      <c r="AD950" s="39" t="n">
        <f aca="false">Resumo!$B$14*CEILING(I950,1)</f>
        <v>12.15</v>
      </c>
      <c r="AE950" s="39" t="n">
        <f aca="false">SUM(X950:AD950)</f>
        <v>102.46997</v>
      </c>
      <c r="AF950" s="39" t="n">
        <f aca="false">AE950/(1-Resumo!$B$5)</f>
        <v>116.443147727273</v>
      </c>
      <c r="AG950" s="39" t="n">
        <f aca="false">AF950-W950</f>
        <v>17.6522863636364</v>
      </c>
      <c r="AH950" s="40" t="n">
        <f aca="false">AF950/W950-1</f>
        <v>0.178683393584965</v>
      </c>
      <c r="AI950" s="37" t="str">
        <f aca="false">IF(AF950&lt;W950,"SIM","NÃO")</f>
        <v>NÃO</v>
      </c>
      <c r="AJ950" s="37" t="n">
        <v>2</v>
      </c>
      <c r="AK950" s="37" t="n">
        <v>5</v>
      </c>
      <c r="AL950" s="37" t="s">
        <v>343</v>
      </c>
      <c r="AM950" s="39" t="n">
        <v>100.97</v>
      </c>
    </row>
    <row r="951" customFormat="false" ht="15" hidden="false" customHeight="false" outlineLevel="0" collapsed="false">
      <c r="A951" s="37" t="n">
        <v>375767251</v>
      </c>
      <c r="B951" s="38" t="n">
        <v>46247.5911921296</v>
      </c>
      <c r="C951" s="37" t="s">
        <v>340</v>
      </c>
      <c r="D951" s="37" t="s">
        <v>1254</v>
      </c>
      <c r="E951" s="37" t="n">
        <v>24724100</v>
      </c>
      <c r="F951" s="37" t="s">
        <v>160</v>
      </c>
      <c r="G951" s="37" t="s">
        <v>197</v>
      </c>
      <c r="H951" s="37" t="s">
        <v>188</v>
      </c>
      <c r="I951" s="37" t="n">
        <v>66.8</v>
      </c>
      <c r="J951" s="39" t="n">
        <v>629.99</v>
      </c>
      <c r="K951" s="37" t="s">
        <v>518</v>
      </c>
      <c r="L951" s="39" t="n">
        <v>140.84</v>
      </c>
      <c r="M951" s="39" t="n">
        <v>76.55</v>
      </c>
      <c r="N951" s="39" t="n">
        <f aca="false">J951*Resumo!$C$6</f>
        <v>0</v>
      </c>
      <c r="O951" s="39" t="n">
        <f aca="false">J951*Resumo!$C$7</f>
        <v>1.322979</v>
      </c>
      <c r="P951" s="39" t="n">
        <f aca="false">J951*Resumo!$C$8</f>
        <v>1.322979</v>
      </c>
      <c r="Q951" s="39" t="n">
        <f aca="false">Resumo!$C$10*CEILING(I951/100,1)</f>
        <v>1.05</v>
      </c>
      <c r="R951" s="39" t="n">
        <f aca="false">Resumo!$C$9</f>
        <v>0</v>
      </c>
      <c r="S951" s="39" t="n">
        <f aca="false">Resumo!$C$13</f>
        <v>13.55</v>
      </c>
      <c r="T951" s="39" t="n">
        <f aca="false">Resumo!$C$14*CEILING(I951,1)</f>
        <v>30.15</v>
      </c>
      <c r="U951" s="39" t="n">
        <f aca="false">SUM(M951:T951)*Resumo!$C$11</f>
        <v>0</v>
      </c>
      <c r="V951" s="39" t="n">
        <f aca="false">SUM(M951:U951)</f>
        <v>123.945958</v>
      </c>
      <c r="W951" s="39" t="n">
        <f aca="false">V951/(1-Resumo!$C$5)</f>
        <v>140.847679545455</v>
      </c>
      <c r="X951" s="39" t="n">
        <v>149.5</v>
      </c>
      <c r="Y951" s="39" t="n">
        <f aca="false">J951*Resumo!$B$6</f>
        <v>0.62999</v>
      </c>
      <c r="Z951" s="39" t="n">
        <f aca="false">J951*Resumo!$B$7</f>
        <v>1.25998</v>
      </c>
      <c r="AA951" s="39" t="n">
        <f aca="false">Resumo!$B$9</f>
        <v>1</v>
      </c>
      <c r="AB951" s="39" t="n">
        <f aca="false">Resumo!$B$10*CEILING(I951/100,1)</f>
        <v>4.5</v>
      </c>
      <c r="AC951" s="39" t="n">
        <f aca="false">Resumo!$B$12*CEILING(I951,1)</f>
        <v>4.02</v>
      </c>
      <c r="AD951" s="39" t="n">
        <f aca="false">Resumo!$B$14*CEILING(I951,1)</f>
        <v>30.15</v>
      </c>
      <c r="AE951" s="39" t="n">
        <f aca="false">SUM(X951:AD951)</f>
        <v>191.05997</v>
      </c>
      <c r="AF951" s="39" t="n">
        <f aca="false">AE951/(1-Resumo!$B$5)</f>
        <v>217.113602272727</v>
      </c>
      <c r="AG951" s="39" t="n">
        <f aca="false">AF951-W951</f>
        <v>76.2659227272727</v>
      </c>
      <c r="AH951" s="40" t="n">
        <f aca="false">AF951/W951-1</f>
        <v>0.541478020606368</v>
      </c>
      <c r="AI951" s="37" t="str">
        <f aca="false">IF(AF951&lt;W951,"SIM","NÃO")</f>
        <v>NÃO</v>
      </c>
      <c r="AJ951" s="37" t="n">
        <v>2</v>
      </c>
      <c r="AK951" s="37" t="n">
        <v>7</v>
      </c>
      <c r="AL951" s="37" t="s">
        <v>343</v>
      </c>
      <c r="AM951" s="39" t="n">
        <v>139.45</v>
      </c>
    </row>
    <row r="952" customFormat="false" ht="15" hidden="false" customHeight="false" outlineLevel="0" collapsed="false">
      <c r="A952" s="37" t="n">
        <v>375782386</v>
      </c>
      <c r="B952" s="38" t="n">
        <v>46247.6115162037</v>
      </c>
      <c r="C952" s="37" t="s">
        <v>340</v>
      </c>
      <c r="D952" s="37" t="s">
        <v>1255</v>
      </c>
      <c r="E952" s="37" t="n">
        <v>21050060</v>
      </c>
      <c r="F952" s="37" t="s">
        <v>159</v>
      </c>
      <c r="G952" s="37" t="s">
        <v>196</v>
      </c>
      <c r="H952" s="37" t="s">
        <v>188</v>
      </c>
      <c r="I952" s="37" t="n">
        <v>66.8</v>
      </c>
      <c r="J952" s="39" t="n">
        <v>629.99</v>
      </c>
      <c r="K952" s="37" t="s">
        <v>342</v>
      </c>
      <c r="L952" s="39" t="n">
        <v>124.23</v>
      </c>
      <c r="M952" s="39" t="n">
        <v>63.21</v>
      </c>
      <c r="N952" s="39" t="n">
        <f aca="false">J952*Resumo!$C$6</f>
        <v>0</v>
      </c>
      <c r="O952" s="39" t="n">
        <f aca="false">J952*Resumo!$C$7</f>
        <v>1.322979</v>
      </c>
      <c r="P952" s="39" t="n">
        <f aca="false">J952*Resumo!$C$8</f>
        <v>1.322979</v>
      </c>
      <c r="Q952" s="39" t="n">
        <f aca="false">Resumo!$C$10*CEILING(I952/100,1)</f>
        <v>1.05</v>
      </c>
      <c r="R952" s="39" t="n">
        <f aca="false">Resumo!$C$9</f>
        <v>0</v>
      </c>
      <c r="S952" s="39" t="n">
        <f aca="false">Resumo!$C$13</f>
        <v>13.55</v>
      </c>
      <c r="T952" s="39" t="n">
        <f aca="false">Resumo!$C$14*CEILING(I952,1)</f>
        <v>30.15</v>
      </c>
      <c r="U952" s="39" t="n">
        <f aca="false">SUM(M952:T952)*Resumo!$C$11</f>
        <v>0</v>
      </c>
      <c r="V952" s="39" t="n">
        <f aca="false">SUM(M952:U952)</f>
        <v>110.605958</v>
      </c>
      <c r="W952" s="39" t="n">
        <f aca="false">V952/(1-Resumo!$C$5)</f>
        <v>125.688588636364</v>
      </c>
      <c r="X952" s="39" t="n">
        <v>131.02</v>
      </c>
      <c r="Y952" s="39" t="n">
        <f aca="false">J952*Resumo!$B$6</f>
        <v>0.62999</v>
      </c>
      <c r="Z952" s="39" t="n">
        <f aca="false">J952*Resumo!$B$7</f>
        <v>1.25998</v>
      </c>
      <c r="AA952" s="39" t="n">
        <f aca="false">Resumo!$B$9</f>
        <v>1</v>
      </c>
      <c r="AB952" s="39" t="n">
        <f aca="false">Resumo!$B$10*CEILING(I952/100,1)</f>
        <v>4.5</v>
      </c>
      <c r="AC952" s="39" t="n">
        <f aca="false">Resumo!$B$12*CEILING(I952,1)</f>
        <v>4.02</v>
      </c>
      <c r="AD952" s="39" t="n">
        <f aca="false">Resumo!$B$14*CEILING(I952,1)</f>
        <v>30.15</v>
      </c>
      <c r="AE952" s="39" t="n">
        <f aca="false">SUM(X952:AD952)</f>
        <v>172.57997</v>
      </c>
      <c r="AF952" s="39" t="n">
        <f aca="false">AE952/(1-Resumo!$B$5)</f>
        <v>196.113602272727</v>
      </c>
      <c r="AG952" s="39" t="n">
        <f aca="false">AF952-W952</f>
        <v>70.4250136363636</v>
      </c>
      <c r="AH952" s="40" t="n">
        <f aca="false">AF952/W952-1</f>
        <v>0.5603135049922</v>
      </c>
      <c r="AI952" s="37" t="str">
        <f aca="false">IF(AF952&lt;W952,"SIM","NÃO")</f>
        <v>NÃO</v>
      </c>
      <c r="AJ952" s="37" t="n">
        <v>2</v>
      </c>
      <c r="AK952" s="37" t="n">
        <v>5</v>
      </c>
      <c r="AL952" s="37" t="s">
        <v>343</v>
      </c>
      <c r="AM952" s="39" t="n">
        <v>124.23</v>
      </c>
    </row>
    <row r="953" customFormat="false" ht="15" hidden="false" customHeight="false" outlineLevel="0" collapsed="false">
      <c r="A953" s="37" t="n">
        <v>375784299</v>
      </c>
      <c r="B953" s="38" t="n">
        <v>46247.6138078704</v>
      </c>
      <c r="C953" s="37" t="s">
        <v>340</v>
      </c>
      <c r="D953" s="37" t="s">
        <v>1256</v>
      </c>
      <c r="E953" s="37" t="n">
        <v>21330430</v>
      </c>
      <c r="F953" s="37" t="s">
        <v>159</v>
      </c>
      <c r="G953" s="37" t="s">
        <v>196</v>
      </c>
      <c r="H953" s="37" t="s">
        <v>183</v>
      </c>
      <c r="I953" s="37" t="n">
        <v>17</v>
      </c>
      <c r="J953" s="39" t="n">
        <v>225.99</v>
      </c>
      <c r="K953" s="37" t="s">
        <v>342</v>
      </c>
      <c r="L953" s="39" t="n">
        <v>64.3</v>
      </c>
      <c r="M953" s="39" t="n">
        <v>33.42</v>
      </c>
      <c r="N953" s="39" t="n">
        <f aca="false">J953*Resumo!$C$6</f>
        <v>0</v>
      </c>
      <c r="O953" s="39" t="n">
        <f aca="false">J953*Resumo!$C$7</f>
        <v>0.474579</v>
      </c>
      <c r="P953" s="39" t="n">
        <f aca="false">J953*Resumo!$C$8</f>
        <v>0.474579</v>
      </c>
      <c r="Q953" s="39" t="n">
        <f aca="false">Resumo!$C$10*CEILING(I953/100,1)</f>
        <v>1.05</v>
      </c>
      <c r="R953" s="39" t="n">
        <f aca="false">Resumo!$C$9</f>
        <v>0</v>
      </c>
      <c r="S953" s="39" t="n">
        <f aca="false">Resumo!$C$13</f>
        <v>13.55</v>
      </c>
      <c r="T953" s="39" t="n">
        <f aca="false">Resumo!$C$14*CEILING(I953,1)</f>
        <v>7.65</v>
      </c>
      <c r="U953" s="39" t="n">
        <f aca="false">SUM(M953:T953)*Resumo!$C$11</f>
        <v>0</v>
      </c>
      <c r="V953" s="39" t="n">
        <f aca="false">SUM(M953:U953)</f>
        <v>56.619158</v>
      </c>
      <c r="W953" s="39" t="n">
        <f aca="false">V953/(1-Resumo!$C$5)</f>
        <v>64.3399522727273</v>
      </c>
      <c r="X953" s="39" t="n">
        <v>46.98</v>
      </c>
      <c r="Y953" s="39" t="n">
        <f aca="false">J953*Resumo!$B$6</f>
        <v>0.22599</v>
      </c>
      <c r="Z953" s="39" t="n">
        <f aca="false">J953*Resumo!$B$7</f>
        <v>0.45198</v>
      </c>
      <c r="AA953" s="39" t="n">
        <f aca="false">Resumo!$B$9</f>
        <v>1</v>
      </c>
      <c r="AB953" s="39" t="n">
        <f aca="false">Resumo!$B$10*CEILING(I953/100,1)</f>
        <v>4.5</v>
      </c>
      <c r="AC953" s="39" t="n">
        <f aca="false">Resumo!$B$12*CEILING(I953,1)</f>
        <v>1.02</v>
      </c>
      <c r="AD953" s="39" t="n">
        <f aca="false">Resumo!$B$14*CEILING(I953,1)</f>
        <v>7.65</v>
      </c>
      <c r="AE953" s="39" t="n">
        <f aca="false">SUM(X953:AD953)</f>
        <v>61.82797</v>
      </c>
      <c r="AF953" s="39" t="n">
        <f aca="false">AE953/(1-Resumo!$B$5)</f>
        <v>70.2590568181818</v>
      </c>
      <c r="AG953" s="39" t="n">
        <f aca="false">AF953-W953</f>
        <v>5.91910454545453</v>
      </c>
      <c r="AH953" s="40" t="n">
        <f aca="false">AF953/W953-1</f>
        <v>0.0919973412532908</v>
      </c>
      <c r="AI953" s="37" t="str">
        <f aca="false">IF(AF953&lt;W953,"SIM","NÃO")</f>
        <v>NÃO</v>
      </c>
      <c r="AJ953" s="37" t="n">
        <v>2</v>
      </c>
      <c r="AK953" s="37" t="n">
        <v>5</v>
      </c>
      <c r="AL953" s="37" t="s">
        <v>343</v>
      </c>
      <c r="AM953" s="39" t="n">
        <v>64.3</v>
      </c>
    </row>
    <row r="954" customFormat="false" ht="15" hidden="false" customHeight="false" outlineLevel="0" collapsed="false">
      <c r="A954" s="37" t="n">
        <v>375862314</v>
      </c>
      <c r="B954" s="38" t="n">
        <v>46247.6197685185</v>
      </c>
      <c r="C954" s="37" t="s">
        <v>345</v>
      </c>
      <c r="D954" s="37" t="s">
        <v>1257</v>
      </c>
      <c r="E954" s="37" t="n">
        <v>26155070</v>
      </c>
      <c r="F954" s="37" t="s">
        <v>165</v>
      </c>
      <c r="G954" s="37" t="s">
        <v>197</v>
      </c>
      <c r="H954" s="37" t="s">
        <v>186</v>
      </c>
      <c r="I954" s="37" t="n">
        <v>48</v>
      </c>
      <c r="J954" s="39" t="n">
        <v>798</v>
      </c>
      <c r="K954" s="37" t="s">
        <v>518</v>
      </c>
      <c r="L954" s="39" t="n">
        <v>119.23</v>
      </c>
      <c r="M954" s="39" t="n">
        <v>65.36</v>
      </c>
      <c r="N954" s="39" t="n">
        <f aca="false">J954*Resumo!$C$6</f>
        <v>0</v>
      </c>
      <c r="O954" s="39" t="n">
        <f aca="false">J954*Resumo!$C$7</f>
        <v>1.6758</v>
      </c>
      <c r="P954" s="39" t="n">
        <f aca="false">J954*Resumo!$C$8</f>
        <v>1.6758</v>
      </c>
      <c r="Q954" s="39" t="n">
        <f aca="false">Resumo!$C$10*CEILING(I954/100,1)</f>
        <v>1.05</v>
      </c>
      <c r="R954" s="39" t="n">
        <f aca="false">Resumo!$C$9</f>
        <v>0</v>
      </c>
      <c r="S954" s="39" t="n">
        <f aca="false">Resumo!$C$13</f>
        <v>13.55</v>
      </c>
      <c r="T954" s="39" t="n">
        <f aca="false">Resumo!$C$14*CEILING(I954,1)</f>
        <v>21.6</v>
      </c>
      <c r="U954" s="39" t="n">
        <f aca="false">SUM(M954:T954)*Resumo!$C$11</f>
        <v>0</v>
      </c>
      <c r="V954" s="39" t="n">
        <f aca="false">SUM(M954:U954)</f>
        <v>104.9116</v>
      </c>
      <c r="W954" s="39" t="n">
        <f aca="false">V954/(1-Resumo!$C$5)</f>
        <v>119.217727272727</v>
      </c>
      <c r="X954" s="39" t="n">
        <v>93.97</v>
      </c>
      <c r="Y954" s="39" t="n">
        <f aca="false">J954*Resumo!$B$6</f>
        <v>0.798</v>
      </c>
      <c r="Z954" s="39" t="n">
        <f aca="false">J954*Resumo!$B$7</f>
        <v>1.596</v>
      </c>
      <c r="AA954" s="39" t="n">
        <f aca="false">Resumo!$B$9</f>
        <v>1</v>
      </c>
      <c r="AB954" s="39" t="n">
        <f aca="false">Resumo!$B$10*CEILING(I954/100,1)</f>
        <v>4.5</v>
      </c>
      <c r="AC954" s="39" t="n">
        <f aca="false">Resumo!$B$12*CEILING(I954,1)</f>
        <v>2.88</v>
      </c>
      <c r="AD954" s="39" t="n">
        <f aca="false">Resumo!$B$14*CEILING(I954,1)</f>
        <v>21.6</v>
      </c>
      <c r="AE954" s="39" t="n">
        <f aca="false">SUM(X954:AD954)</f>
        <v>126.344</v>
      </c>
      <c r="AF954" s="39" t="n">
        <f aca="false">AE954/(1-Resumo!$B$5)</f>
        <v>143.572727272727</v>
      </c>
      <c r="AG954" s="39" t="n">
        <f aca="false">AF954-W954</f>
        <v>24.355</v>
      </c>
      <c r="AH954" s="40" t="n">
        <f aca="false">AF954/W954-1</f>
        <v>0.204290088036023</v>
      </c>
      <c r="AI954" s="37" t="str">
        <f aca="false">IF(AF954&lt;W954,"SIM","NÃO")</f>
        <v>NÃO</v>
      </c>
      <c r="AJ954" s="37" t="n">
        <v>2</v>
      </c>
      <c r="AK954" s="37" t="n">
        <v>5</v>
      </c>
      <c r="AL954" s="37" t="s">
        <v>343</v>
      </c>
      <c r="AM954" s="39" t="n">
        <v>117.9</v>
      </c>
    </row>
    <row r="955" customFormat="false" ht="15" hidden="false" customHeight="false" outlineLevel="0" collapsed="false">
      <c r="A955" s="37" t="n">
        <v>375806355</v>
      </c>
      <c r="B955" s="38" t="n">
        <v>46247.6457638889</v>
      </c>
      <c r="C955" s="37" t="s">
        <v>340</v>
      </c>
      <c r="D955" s="37" t="s">
        <v>1258</v>
      </c>
      <c r="E955" s="37" t="n">
        <v>24457340</v>
      </c>
      <c r="F955" s="37" t="s">
        <v>160</v>
      </c>
      <c r="G955" s="37" t="s">
        <v>197</v>
      </c>
      <c r="H955" s="37" t="s">
        <v>187</v>
      </c>
      <c r="I955" s="37" t="n">
        <v>59.9</v>
      </c>
      <c r="J955" s="39" t="n">
        <v>919.99</v>
      </c>
      <c r="K955" s="37" t="s">
        <v>518</v>
      </c>
      <c r="L955" s="39" t="n">
        <v>132.32</v>
      </c>
      <c r="M955" s="39" t="n">
        <v>70.98</v>
      </c>
      <c r="N955" s="39" t="n">
        <f aca="false">J955*Resumo!$C$6</f>
        <v>0</v>
      </c>
      <c r="O955" s="39" t="n">
        <f aca="false">J955*Resumo!$C$7</f>
        <v>1.931979</v>
      </c>
      <c r="P955" s="39" t="n">
        <f aca="false">J955*Resumo!$C$8</f>
        <v>1.931979</v>
      </c>
      <c r="Q955" s="39" t="n">
        <f aca="false">Resumo!$C$10*CEILING(I955/100,1)</f>
        <v>1.05</v>
      </c>
      <c r="R955" s="39" t="n">
        <f aca="false">Resumo!$C$9</f>
        <v>0</v>
      </c>
      <c r="S955" s="39" t="n">
        <f aca="false">Resumo!$C$13</f>
        <v>13.55</v>
      </c>
      <c r="T955" s="39" t="n">
        <f aca="false">Resumo!$C$14*CEILING(I955,1)</f>
        <v>27</v>
      </c>
      <c r="U955" s="39" t="n">
        <f aca="false">SUM(M955:T955)*Resumo!$C$11</f>
        <v>0</v>
      </c>
      <c r="V955" s="39" t="n">
        <f aca="false">SUM(M955:U955)</f>
        <v>116.443958</v>
      </c>
      <c r="W955" s="39" t="n">
        <f aca="false">V955/(1-Resumo!$C$5)</f>
        <v>132.322679545455</v>
      </c>
      <c r="X955" s="39" t="n">
        <v>128.14</v>
      </c>
      <c r="Y955" s="39" t="n">
        <f aca="false">J955*Resumo!$B$6</f>
        <v>0.91999</v>
      </c>
      <c r="Z955" s="39" t="n">
        <f aca="false">J955*Resumo!$B$7</f>
        <v>1.83998</v>
      </c>
      <c r="AA955" s="39" t="n">
        <f aca="false">Resumo!$B$9</f>
        <v>1</v>
      </c>
      <c r="AB955" s="39" t="n">
        <f aca="false">Resumo!$B$10*CEILING(I955/100,1)</f>
        <v>4.5</v>
      </c>
      <c r="AC955" s="39" t="n">
        <f aca="false">Resumo!$B$12*CEILING(I955,1)</f>
        <v>3.6</v>
      </c>
      <c r="AD955" s="39" t="n">
        <f aca="false">Resumo!$B$14*CEILING(I955,1)</f>
        <v>27</v>
      </c>
      <c r="AE955" s="39" t="n">
        <f aca="false">SUM(X955:AD955)</f>
        <v>166.99997</v>
      </c>
      <c r="AF955" s="39" t="n">
        <f aca="false">AE955/(1-Resumo!$B$5)</f>
        <v>189.772693181818</v>
      </c>
      <c r="AG955" s="39" t="n">
        <f aca="false">AF955-W955</f>
        <v>57.4500136363636</v>
      </c>
      <c r="AH955" s="40" t="n">
        <f aca="false">AF955/W955-1</f>
        <v>0.434166038911181</v>
      </c>
      <c r="AI955" s="37" t="str">
        <f aca="false">IF(AF955&lt;W955,"SIM","NÃO")</f>
        <v>NÃO</v>
      </c>
      <c r="AJ955" s="37" t="n">
        <v>2</v>
      </c>
      <c r="AK955" s="37" t="n">
        <v>7</v>
      </c>
      <c r="AL955" s="37" t="s">
        <v>343</v>
      </c>
      <c r="AM955" s="39" t="n">
        <v>129.69</v>
      </c>
    </row>
    <row r="956" customFormat="false" ht="15" hidden="false" customHeight="false" outlineLevel="0" collapsed="false">
      <c r="A956" s="37" t="n">
        <v>375816499</v>
      </c>
      <c r="B956" s="38" t="n">
        <v>46247.6703356481</v>
      </c>
      <c r="C956" s="37" t="s">
        <v>340</v>
      </c>
      <c r="D956" s="37" t="s">
        <v>1259</v>
      </c>
      <c r="E956" s="37" t="n">
        <v>28890868</v>
      </c>
      <c r="F956" s="37" t="s">
        <v>178</v>
      </c>
      <c r="G956" s="37" t="s">
        <v>198</v>
      </c>
      <c r="H956" s="37" t="s">
        <v>187</v>
      </c>
      <c r="I956" s="37" t="n">
        <v>59.9</v>
      </c>
      <c r="J956" s="39" t="n">
        <v>919.99</v>
      </c>
      <c r="K956" s="37" t="s">
        <v>518</v>
      </c>
      <c r="L956" s="39" t="n">
        <v>146.64</v>
      </c>
      <c r="M956" s="39" t="n">
        <v>83.58</v>
      </c>
      <c r="N956" s="39" t="n">
        <f aca="false">J956*Resumo!$C$6</f>
        <v>0</v>
      </c>
      <c r="O956" s="39" t="n">
        <f aca="false">J956*Resumo!$C$7</f>
        <v>1.931979</v>
      </c>
      <c r="P956" s="39" t="n">
        <f aca="false">J956*Resumo!$C$8</f>
        <v>1.931979</v>
      </c>
      <c r="Q956" s="39" t="n">
        <f aca="false">Resumo!$C$10*CEILING(I956/100,1)</f>
        <v>1.05</v>
      </c>
      <c r="R956" s="39" t="n">
        <f aca="false">Resumo!$C$9</f>
        <v>0</v>
      </c>
      <c r="S956" s="39" t="n">
        <f aca="false">Resumo!$C$13</f>
        <v>13.55</v>
      </c>
      <c r="T956" s="39" t="n">
        <f aca="false">Resumo!$C$14*CEILING(I956,1)</f>
        <v>27</v>
      </c>
      <c r="U956" s="39" t="n">
        <f aca="false">SUM(M956:T956)*Resumo!$C$11</f>
        <v>0</v>
      </c>
      <c r="V956" s="39" t="n">
        <f aca="false">SUM(M956:U956)</f>
        <v>129.043958</v>
      </c>
      <c r="W956" s="39" t="n">
        <f aca="false">V956/(1-Resumo!$C$5)</f>
        <v>146.640861363636</v>
      </c>
      <c r="X956" s="39" t="n">
        <v>142.32</v>
      </c>
      <c r="Y956" s="39" t="n">
        <f aca="false">J956*Resumo!$B$6</f>
        <v>0.91999</v>
      </c>
      <c r="Z956" s="39" t="n">
        <f aca="false">J956*Resumo!$B$7</f>
        <v>1.83998</v>
      </c>
      <c r="AA956" s="39" t="n">
        <f aca="false">Resumo!$B$9</f>
        <v>1</v>
      </c>
      <c r="AB956" s="39" t="n">
        <f aca="false">Resumo!$B$10*CEILING(I956/100,1)</f>
        <v>4.5</v>
      </c>
      <c r="AC956" s="39" t="n">
        <f aca="false">Resumo!$B$12*CEILING(I956,1)</f>
        <v>3.6</v>
      </c>
      <c r="AD956" s="39" t="n">
        <f aca="false">Resumo!$B$14*CEILING(I956,1)</f>
        <v>27</v>
      </c>
      <c r="AE956" s="39" t="n">
        <f aca="false">SUM(X956:AD956)</f>
        <v>181.17997</v>
      </c>
      <c r="AF956" s="39" t="n">
        <f aca="false">AE956/(1-Resumo!$B$5)</f>
        <v>205.886329545455</v>
      </c>
      <c r="AG956" s="39" t="n">
        <f aca="false">AF956-W956</f>
        <v>59.2454681818182</v>
      </c>
      <c r="AH956" s="40" t="n">
        <f aca="false">AF956/W956-1</f>
        <v>0.404017458918921</v>
      </c>
      <c r="AI956" s="37" t="str">
        <f aca="false">IF(AF956&lt;W956,"SIM","NÃO")</f>
        <v>NÃO</v>
      </c>
      <c r="AJ956" s="37" t="n">
        <v>13</v>
      </c>
      <c r="AK956" s="37" t="n">
        <v>10</v>
      </c>
      <c r="AL956" s="37" t="s">
        <v>343</v>
      </c>
      <c r="AM956" s="39" t="n">
        <v>144.08</v>
      </c>
    </row>
    <row r="957" customFormat="false" ht="15" hidden="false" customHeight="false" outlineLevel="0" collapsed="false">
      <c r="A957" s="37" t="n">
        <v>375817760</v>
      </c>
      <c r="B957" s="38" t="n">
        <v>46247.6729050926</v>
      </c>
      <c r="C957" s="37" t="s">
        <v>340</v>
      </c>
      <c r="D957" s="37" t="s">
        <v>993</v>
      </c>
      <c r="E957" s="37" t="n">
        <v>28030350</v>
      </c>
      <c r="F957" s="37" t="s">
        <v>164</v>
      </c>
      <c r="G957" s="37" t="s">
        <v>198</v>
      </c>
      <c r="H957" s="37" t="s">
        <v>187</v>
      </c>
      <c r="I957" s="37" t="n">
        <v>52.3</v>
      </c>
      <c r="J957" s="39" t="n">
        <v>616.99</v>
      </c>
      <c r="K957" s="37" t="s">
        <v>518</v>
      </c>
      <c r="L957" s="39" t="n">
        <v>141.63</v>
      </c>
      <c r="M957" s="39" t="n">
        <v>83.58</v>
      </c>
      <c r="N957" s="39" t="n">
        <f aca="false">J957*Resumo!$C$6</f>
        <v>0</v>
      </c>
      <c r="O957" s="39" t="n">
        <f aca="false">J957*Resumo!$C$7</f>
        <v>1.295679</v>
      </c>
      <c r="P957" s="39" t="n">
        <f aca="false">J957*Resumo!$C$8</f>
        <v>1.295679</v>
      </c>
      <c r="Q957" s="39" t="n">
        <f aca="false">Resumo!$C$10*CEILING(I957/100,1)</f>
        <v>1.05</v>
      </c>
      <c r="R957" s="39" t="n">
        <f aca="false">Resumo!$C$9</f>
        <v>0</v>
      </c>
      <c r="S957" s="39" t="n">
        <f aca="false">Resumo!$C$13</f>
        <v>13.55</v>
      </c>
      <c r="T957" s="39" t="n">
        <f aca="false">Resumo!$C$14*CEILING(I957,1)</f>
        <v>23.85</v>
      </c>
      <c r="U957" s="39" t="n">
        <f aca="false">SUM(M957:T957)*Resumo!$C$11</f>
        <v>0</v>
      </c>
      <c r="V957" s="39" t="n">
        <f aca="false">SUM(M957:U957)</f>
        <v>124.621358</v>
      </c>
      <c r="W957" s="39" t="n">
        <f aca="false">V957/(1-Resumo!$C$5)</f>
        <v>141.615179545455</v>
      </c>
      <c r="X957" s="39" t="n">
        <v>162.04</v>
      </c>
      <c r="Y957" s="39" t="n">
        <f aca="false">J957*Resumo!$B$6</f>
        <v>0.61699</v>
      </c>
      <c r="Z957" s="39" t="n">
        <f aca="false">J957*Resumo!$B$7</f>
        <v>1.23398</v>
      </c>
      <c r="AA957" s="39" t="n">
        <f aca="false">Resumo!$B$9</f>
        <v>1</v>
      </c>
      <c r="AB957" s="39" t="n">
        <f aca="false">Resumo!$B$10*CEILING(I957/100,1)</f>
        <v>4.5</v>
      </c>
      <c r="AC957" s="39" t="n">
        <f aca="false">Resumo!$B$12*CEILING(I957,1)</f>
        <v>3.18</v>
      </c>
      <c r="AD957" s="39" t="n">
        <f aca="false">Resumo!$B$14*CEILING(I957,1)</f>
        <v>23.85</v>
      </c>
      <c r="AE957" s="39" t="n">
        <f aca="false">SUM(X957:AD957)</f>
        <v>196.42097</v>
      </c>
      <c r="AF957" s="39" t="n">
        <f aca="false">AE957/(1-Resumo!$B$5)</f>
        <v>223.205647727273</v>
      </c>
      <c r="AG957" s="39" t="n">
        <f aca="false">AF957-W957</f>
        <v>81.5904681818182</v>
      </c>
      <c r="AH957" s="40" t="n">
        <f aca="false">AF957/W957-1</f>
        <v>0.576142108802891</v>
      </c>
      <c r="AI957" s="37" t="str">
        <f aca="false">IF(AF957&lt;W957,"SIM","NÃO")</f>
        <v>NÃO</v>
      </c>
      <c r="AJ957" s="37" t="n">
        <v>13</v>
      </c>
      <c r="AK957" s="37" t="n">
        <v>11</v>
      </c>
      <c r="AL957" s="37" t="s">
        <v>343</v>
      </c>
      <c r="AM957" s="39" t="n">
        <v>142.63</v>
      </c>
    </row>
    <row r="958" customFormat="false" ht="15" hidden="false" customHeight="false" outlineLevel="0" collapsed="false">
      <c r="A958" s="37" t="n">
        <v>375852651</v>
      </c>
      <c r="B958" s="38" t="n">
        <v>46247.7295486111</v>
      </c>
      <c r="C958" s="37" t="s">
        <v>340</v>
      </c>
      <c r="D958" s="37" t="s">
        <v>1260</v>
      </c>
      <c r="E958" s="37" t="n">
        <v>23515680</v>
      </c>
      <c r="F958" s="37" t="s">
        <v>159</v>
      </c>
      <c r="G958" s="37" t="s">
        <v>196</v>
      </c>
      <c r="H958" s="37" t="s">
        <v>192</v>
      </c>
      <c r="I958" s="37" t="n">
        <v>134.6</v>
      </c>
      <c r="J958" s="39" t="n">
        <v>1579.98</v>
      </c>
      <c r="K958" s="37" t="s">
        <v>518</v>
      </c>
      <c r="L958" s="39" t="n">
        <v>231.4</v>
      </c>
      <c r="M958" s="39" t="n">
        <v>120.59</v>
      </c>
      <c r="N958" s="39" t="n">
        <f aca="false">J958*Resumo!$C$6</f>
        <v>0</v>
      </c>
      <c r="O958" s="39" t="n">
        <f aca="false">J958*Resumo!$C$7</f>
        <v>3.317958</v>
      </c>
      <c r="P958" s="39" t="n">
        <f aca="false">J958*Resumo!$C$8</f>
        <v>3.317958</v>
      </c>
      <c r="Q958" s="39" t="n">
        <f aca="false">Resumo!$C$10*CEILING(I958/100,1)</f>
        <v>2.1</v>
      </c>
      <c r="R958" s="39" t="n">
        <f aca="false">Resumo!$C$9</f>
        <v>0</v>
      </c>
      <c r="S958" s="39" t="n">
        <f aca="false">Resumo!$C$13</f>
        <v>13.55</v>
      </c>
      <c r="T958" s="39" t="n">
        <f aca="false">Resumo!$C$14*CEILING(I958,1)</f>
        <v>60.75</v>
      </c>
      <c r="U958" s="39" t="n">
        <f aca="false">SUM(M958:T958)*Resumo!$C$11</f>
        <v>0</v>
      </c>
      <c r="V958" s="39" t="n">
        <f aca="false">SUM(M958:U958)</f>
        <v>203.625916</v>
      </c>
      <c r="W958" s="39" t="n">
        <f aca="false">V958/(1-Resumo!$C$5)</f>
        <v>231.393086363636</v>
      </c>
      <c r="X958" s="39" t="n">
        <v>239.25</v>
      </c>
      <c r="Y958" s="39" t="n">
        <f aca="false">J958*Resumo!$B$6</f>
        <v>1.57998</v>
      </c>
      <c r="Z958" s="39" t="n">
        <f aca="false">J958*Resumo!$B$7</f>
        <v>3.15996</v>
      </c>
      <c r="AA958" s="39" t="n">
        <f aca="false">Resumo!$B$9</f>
        <v>1</v>
      </c>
      <c r="AB958" s="39" t="n">
        <f aca="false">Resumo!$B$10*CEILING(I958/100,1)</f>
        <v>9</v>
      </c>
      <c r="AC958" s="39" t="n">
        <f aca="false">Resumo!$B$12*CEILING(I958,1)</f>
        <v>8.1</v>
      </c>
      <c r="AD958" s="39" t="n">
        <f aca="false">Resumo!$B$14*CEILING(I958,1)</f>
        <v>60.75</v>
      </c>
      <c r="AE958" s="39" t="n">
        <f aca="false">SUM(X958:AD958)</f>
        <v>322.83994</v>
      </c>
      <c r="AF958" s="39" t="n">
        <f aca="false">AE958/(1-Resumo!$B$5)</f>
        <v>366.863568181818</v>
      </c>
      <c r="AG958" s="39" t="n">
        <f aca="false">AF958-W958</f>
        <v>135.470481818182</v>
      </c>
      <c r="AH958" s="40" t="n">
        <f aca="false">AF958/W958-1</f>
        <v>0.585456047745907</v>
      </c>
      <c r="AI958" s="37" t="str">
        <f aca="false">IF(AF958&lt;W958,"SIM","NÃO")</f>
        <v>NÃO</v>
      </c>
      <c r="AJ958" s="37" t="n">
        <v>2</v>
      </c>
      <c r="AK958" s="37" t="n">
        <v>5</v>
      </c>
      <c r="AL958" s="37" t="s">
        <v>343</v>
      </c>
      <c r="AM958" s="39" t="n">
        <v>233.86</v>
      </c>
    </row>
    <row r="959" customFormat="false" ht="15" hidden="false" customHeight="false" outlineLevel="0" collapsed="false">
      <c r="A959" s="37" t="n">
        <v>375854637</v>
      </c>
      <c r="B959" s="38" t="n">
        <v>46247.7455208333</v>
      </c>
      <c r="C959" s="37" t="s">
        <v>361</v>
      </c>
      <c r="D959" s="37" t="s">
        <v>1261</v>
      </c>
      <c r="E959" s="37" t="n">
        <v>26220060</v>
      </c>
      <c r="F959" s="37" t="s">
        <v>162</v>
      </c>
      <c r="G959" s="37" t="s">
        <v>197</v>
      </c>
      <c r="H959" s="37" t="s">
        <v>188</v>
      </c>
      <c r="I959" s="37" t="n">
        <v>69</v>
      </c>
      <c r="J959" s="39" t="n">
        <v>859.99</v>
      </c>
      <c r="K959" s="37" t="s">
        <v>342</v>
      </c>
      <c r="L959" s="39" t="n">
        <v>140.56</v>
      </c>
      <c r="M959" s="39" t="n">
        <v>76.55</v>
      </c>
      <c r="N959" s="39" t="n">
        <f aca="false">J959*Resumo!$C$6</f>
        <v>0</v>
      </c>
      <c r="O959" s="39" t="n">
        <f aca="false">J959*Resumo!$C$7</f>
        <v>1.805979</v>
      </c>
      <c r="P959" s="39" t="n">
        <f aca="false">J959*Resumo!$C$8</f>
        <v>1.805979</v>
      </c>
      <c r="Q959" s="39" t="n">
        <f aca="false">Resumo!$C$10*CEILING(I959/100,1)</f>
        <v>1.05</v>
      </c>
      <c r="R959" s="39" t="n">
        <f aca="false">Resumo!$C$9</f>
        <v>0</v>
      </c>
      <c r="S959" s="39" t="n">
        <f aca="false">Resumo!$C$13</f>
        <v>13.55</v>
      </c>
      <c r="T959" s="39" t="n">
        <f aca="false">Resumo!$C$14*CEILING(I959,1)</f>
        <v>31.05</v>
      </c>
      <c r="U959" s="39" t="n">
        <f aca="false">SUM(M959:T959)*Resumo!$C$11</f>
        <v>0</v>
      </c>
      <c r="V959" s="39" t="n">
        <f aca="false">SUM(M959:U959)</f>
        <v>125.811958</v>
      </c>
      <c r="W959" s="39" t="n">
        <f aca="false">V959/(1-Resumo!$C$5)</f>
        <v>142.968134090909</v>
      </c>
      <c r="X959" s="39" t="n">
        <v>131.02</v>
      </c>
      <c r="Y959" s="39" t="n">
        <f aca="false">J959*Resumo!$B$6</f>
        <v>0.85999</v>
      </c>
      <c r="Z959" s="39" t="n">
        <f aca="false">J959*Resumo!$B$7</f>
        <v>1.71998</v>
      </c>
      <c r="AA959" s="39" t="n">
        <f aca="false">Resumo!$B$9</f>
        <v>1</v>
      </c>
      <c r="AB959" s="39" t="n">
        <f aca="false">Resumo!$B$10*CEILING(I959/100,1)</f>
        <v>4.5</v>
      </c>
      <c r="AC959" s="39" t="n">
        <f aca="false">Resumo!$B$12*CEILING(I959,1)</f>
        <v>4.14</v>
      </c>
      <c r="AD959" s="39" t="n">
        <f aca="false">Resumo!$B$14*CEILING(I959,1)</f>
        <v>31.05</v>
      </c>
      <c r="AE959" s="39" t="n">
        <f aca="false">SUM(X959:AD959)</f>
        <v>174.28997</v>
      </c>
      <c r="AF959" s="39" t="n">
        <f aca="false">AE959/(1-Resumo!$B$5)</f>
        <v>198.056784090909</v>
      </c>
      <c r="AG959" s="39" t="n">
        <f aca="false">AF959-W959</f>
        <v>55.08865</v>
      </c>
      <c r="AH959" s="40" t="n">
        <f aca="false">AF959/W959-1</f>
        <v>0.385321179088557</v>
      </c>
      <c r="AI959" s="37" t="str">
        <f aca="false">IF(AF959&lt;W959,"SIM","NÃO")</f>
        <v>NÃO</v>
      </c>
      <c r="AJ959" s="37" t="n">
        <v>2</v>
      </c>
      <c r="AK959" s="37" t="n">
        <v>5</v>
      </c>
      <c r="AL959" s="37" t="s">
        <v>343</v>
      </c>
      <c r="AM959" s="39" t="n">
        <v>140.55</v>
      </c>
    </row>
    <row r="960" customFormat="false" ht="15" hidden="false" customHeight="false" outlineLevel="0" collapsed="false">
      <c r="A960" s="37" t="n">
        <v>375955295</v>
      </c>
      <c r="B960" s="38" t="n">
        <v>46247.750162037</v>
      </c>
      <c r="C960" s="37" t="s">
        <v>345</v>
      </c>
      <c r="D960" s="37" t="s">
        <v>1262</v>
      </c>
      <c r="E960" s="37" t="n">
        <v>28983332</v>
      </c>
      <c r="F960" s="37" t="s">
        <v>173</v>
      </c>
      <c r="G960" s="37" t="s">
        <v>198</v>
      </c>
      <c r="H960" s="37" t="s">
        <v>185</v>
      </c>
      <c r="I960" s="37" t="n">
        <v>37.6</v>
      </c>
      <c r="J960" s="39" t="n">
        <v>403.94</v>
      </c>
      <c r="K960" s="37" t="s">
        <v>518</v>
      </c>
      <c r="L960" s="39" t="n">
        <v>123.15</v>
      </c>
      <c r="M960" s="39" t="n">
        <v>74.97</v>
      </c>
      <c r="N960" s="39" t="n">
        <f aca="false">J960*Resumo!$C$6</f>
        <v>0</v>
      </c>
      <c r="O960" s="39" t="n">
        <f aca="false">J960*Resumo!$C$7</f>
        <v>0.848274</v>
      </c>
      <c r="P960" s="39" t="n">
        <f aca="false">J960*Resumo!$C$8</f>
        <v>0.848274</v>
      </c>
      <c r="Q960" s="39" t="n">
        <f aca="false">Resumo!$C$10*CEILING(I960/100,1)</f>
        <v>1.05</v>
      </c>
      <c r="R960" s="39" t="n">
        <f aca="false">Resumo!$C$9</f>
        <v>0</v>
      </c>
      <c r="S960" s="39" t="n">
        <f aca="false">Resumo!$C$13</f>
        <v>13.55</v>
      </c>
      <c r="T960" s="39" t="n">
        <f aca="false">Resumo!$C$14*CEILING(I960,1)</f>
        <v>17.1</v>
      </c>
      <c r="U960" s="39" t="n">
        <f aca="false">SUM(M960:T960)*Resumo!$C$11</f>
        <v>0</v>
      </c>
      <c r="V960" s="39" t="n">
        <f aca="false">SUM(M960:U960)</f>
        <v>108.366548</v>
      </c>
      <c r="W960" s="39" t="n">
        <f aca="false">V960/(1-Resumo!$C$5)</f>
        <v>123.143804545455</v>
      </c>
      <c r="X960" s="39" t="n">
        <v>124.38</v>
      </c>
      <c r="Y960" s="39" t="n">
        <f aca="false">J960*Resumo!$B$6</f>
        <v>0.40394</v>
      </c>
      <c r="Z960" s="39" t="n">
        <f aca="false">J960*Resumo!$B$7</f>
        <v>0.80788</v>
      </c>
      <c r="AA960" s="39" t="n">
        <f aca="false">Resumo!$B$9</f>
        <v>1</v>
      </c>
      <c r="AB960" s="39" t="n">
        <f aca="false">Resumo!$B$10*CEILING(I960/100,1)</f>
        <v>4.5</v>
      </c>
      <c r="AC960" s="39" t="n">
        <f aca="false">Resumo!$B$12*CEILING(I960,1)</f>
        <v>2.28</v>
      </c>
      <c r="AD960" s="39" t="n">
        <f aca="false">Resumo!$B$14*CEILING(I960,1)</f>
        <v>17.1</v>
      </c>
      <c r="AE960" s="39" t="n">
        <f aca="false">SUM(X960:AD960)</f>
        <v>150.47182</v>
      </c>
      <c r="AF960" s="39" t="n">
        <f aca="false">AE960/(1-Resumo!$B$5)</f>
        <v>170.990704545455</v>
      </c>
      <c r="AG960" s="39" t="n">
        <f aca="false">AF960-W960</f>
        <v>47.8469</v>
      </c>
      <c r="AH960" s="40" t="n">
        <f aca="false">AF960/W960-1</f>
        <v>0.388544922553037</v>
      </c>
      <c r="AI960" s="37" t="str">
        <f aca="false">IF(AF960&lt;W960,"SIM","NÃO")</f>
        <v>NÃO</v>
      </c>
      <c r="AJ960" s="37" t="n">
        <v>13</v>
      </c>
      <c r="AK960" s="37" t="n">
        <v>10</v>
      </c>
      <c r="AL960" s="37" t="s">
        <v>343</v>
      </c>
      <c r="AM960" s="39" t="n">
        <v>122.18</v>
      </c>
    </row>
    <row r="961" customFormat="false" ht="15" hidden="false" customHeight="false" outlineLevel="0" collapsed="false">
      <c r="A961" s="37" t="n">
        <v>375860747</v>
      </c>
      <c r="B961" s="38" t="n">
        <v>46247.751400463</v>
      </c>
      <c r="C961" s="37" t="s">
        <v>361</v>
      </c>
      <c r="D961" s="37" t="s">
        <v>1263</v>
      </c>
      <c r="E961" s="37" t="n">
        <v>24330180</v>
      </c>
      <c r="F961" s="37" t="s">
        <v>163</v>
      </c>
      <c r="G961" s="37" t="s">
        <v>197</v>
      </c>
      <c r="H961" s="37" t="s">
        <v>185</v>
      </c>
      <c r="I961" s="37" t="n">
        <v>37.2</v>
      </c>
      <c r="J961" s="39" t="n">
        <v>390.99</v>
      </c>
      <c r="K961" s="37" t="s">
        <v>342</v>
      </c>
      <c r="L961" s="39" t="n">
        <v>112.83</v>
      </c>
      <c r="M961" s="39" t="n">
        <v>66.83</v>
      </c>
      <c r="N961" s="39" t="n">
        <f aca="false">J961*Resumo!$C$6</f>
        <v>0</v>
      </c>
      <c r="O961" s="39" t="n">
        <f aca="false">J961*Resumo!$C$7</f>
        <v>0.821079</v>
      </c>
      <c r="P961" s="39" t="n">
        <f aca="false">J961*Resumo!$C$8</f>
        <v>0.821079</v>
      </c>
      <c r="Q961" s="39" t="n">
        <f aca="false">Resumo!$C$10*CEILING(I961/100,1)</f>
        <v>1.05</v>
      </c>
      <c r="R961" s="39" t="n">
        <f aca="false">Resumo!$C$9</f>
        <v>0</v>
      </c>
      <c r="S961" s="39" t="n">
        <f aca="false">Resumo!$C$13</f>
        <v>13.55</v>
      </c>
      <c r="T961" s="39" t="n">
        <f aca="false">Resumo!$C$14*CEILING(I961,1)</f>
        <v>17.1</v>
      </c>
      <c r="U961" s="39" t="n">
        <f aca="false">SUM(M961:T961)*Resumo!$C$11</f>
        <v>0</v>
      </c>
      <c r="V961" s="39" t="n">
        <f aca="false">SUM(M961:U961)</f>
        <v>100.172158</v>
      </c>
      <c r="W961" s="39" t="n">
        <f aca="false">V961/(1-Resumo!$C$5)</f>
        <v>113.831997727273</v>
      </c>
      <c r="X961" s="39" t="n">
        <v>114.95</v>
      </c>
      <c r="Y961" s="39" t="n">
        <f aca="false">J961*Resumo!$B$6</f>
        <v>0.39099</v>
      </c>
      <c r="Z961" s="39" t="n">
        <f aca="false">J961*Resumo!$B$7</f>
        <v>0.78198</v>
      </c>
      <c r="AA961" s="39" t="n">
        <f aca="false">Resumo!$B$9</f>
        <v>1</v>
      </c>
      <c r="AB961" s="39" t="n">
        <f aca="false">Resumo!$B$10*CEILING(I961/100,1)</f>
        <v>4.5</v>
      </c>
      <c r="AC961" s="39" t="n">
        <f aca="false">Resumo!$B$12*CEILING(I961,1)</f>
        <v>2.28</v>
      </c>
      <c r="AD961" s="39" t="n">
        <f aca="false">Resumo!$B$14*CEILING(I961,1)</f>
        <v>17.1</v>
      </c>
      <c r="AE961" s="39" t="n">
        <f aca="false">SUM(X961:AD961)</f>
        <v>141.00297</v>
      </c>
      <c r="AF961" s="39" t="n">
        <f aca="false">AE961/(1-Resumo!$B$5)</f>
        <v>160.230647727273</v>
      </c>
      <c r="AG961" s="39" t="n">
        <f aca="false">AF961-W961</f>
        <v>46.39865</v>
      </c>
      <c r="AH961" s="40" t="n">
        <f aca="false">AF961/W961-1</f>
        <v>0.407606392985963</v>
      </c>
      <c r="AI961" s="37" t="str">
        <f aca="false">IF(AF961&lt;W961,"SIM","NÃO")</f>
        <v>NÃO</v>
      </c>
      <c r="AJ961" s="37" t="n">
        <v>2</v>
      </c>
      <c r="AK961" s="37" t="n">
        <v>7</v>
      </c>
      <c r="AL961" s="37" t="s">
        <v>343</v>
      </c>
      <c r="AM961" s="39" t="n">
        <v>112.83</v>
      </c>
    </row>
    <row r="962" customFormat="false" ht="15" hidden="false" customHeight="false" outlineLevel="0" collapsed="false">
      <c r="A962" s="37" t="n">
        <v>375890921</v>
      </c>
      <c r="B962" s="38" t="n">
        <v>46247.7818171296</v>
      </c>
      <c r="C962" s="37" t="s">
        <v>340</v>
      </c>
      <c r="D962" s="37" t="s">
        <v>1264</v>
      </c>
      <c r="E962" s="37" t="n">
        <v>28699899</v>
      </c>
      <c r="F962" s="37" t="s">
        <v>283</v>
      </c>
      <c r="G962" s="37" t="s">
        <v>198</v>
      </c>
      <c r="H962" s="37" t="s">
        <v>187</v>
      </c>
      <c r="I962" s="37" t="n">
        <v>52.3</v>
      </c>
      <c r="J962" s="39" t="n">
        <v>685.88</v>
      </c>
      <c r="K962" s="37" t="s">
        <v>518</v>
      </c>
      <c r="L962" s="39" t="n">
        <v>141.94</v>
      </c>
      <c r="M962" s="39" t="n">
        <v>83.58</v>
      </c>
      <c r="N962" s="39" t="n">
        <f aca="false">J962*Resumo!$C$6</f>
        <v>0</v>
      </c>
      <c r="O962" s="39" t="n">
        <f aca="false">J962*Resumo!$C$7</f>
        <v>1.440348</v>
      </c>
      <c r="P962" s="39" t="n">
        <f aca="false">J962*Resumo!$C$8</f>
        <v>1.440348</v>
      </c>
      <c r="Q962" s="39" t="n">
        <f aca="false">Resumo!$C$10*CEILING(I962/100,1)</f>
        <v>1.05</v>
      </c>
      <c r="R962" s="39" t="n">
        <f aca="false">Resumo!$C$9</f>
        <v>0</v>
      </c>
      <c r="S962" s="39" t="n">
        <f aca="false">Resumo!$C$13</f>
        <v>13.55</v>
      </c>
      <c r="T962" s="39" t="n">
        <f aca="false">Resumo!$C$14*CEILING(I962,1)</f>
        <v>23.85</v>
      </c>
      <c r="U962" s="39" t="n">
        <f aca="false">SUM(M962:T962)*Resumo!$C$11</f>
        <v>0</v>
      </c>
      <c r="V962" s="39" t="n">
        <f aca="false">SUM(M962:U962)</f>
        <v>124.910696</v>
      </c>
      <c r="W962" s="39" t="n">
        <f aca="false">V962/(1-Resumo!$C$5)</f>
        <v>141.943972727273</v>
      </c>
      <c r="X962" s="39" t="n">
        <v>144.53</v>
      </c>
      <c r="Y962" s="39" t="n">
        <f aca="false">J962*Resumo!$B$6</f>
        <v>0.68588</v>
      </c>
      <c r="Z962" s="39" t="n">
        <f aca="false">J962*Resumo!$B$7</f>
        <v>1.37176</v>
      </c>
      <c r="AA962" s="39" t="n">
        <f aca="false">Resumo!$B$9</f>
        <v>1</v>
      </c>
      <c r="AB962" s="39" t="n">
        <f aca="false">Resumo!$B$10*CEILING(I962/100,1)</f>
        <v>4.5</v>
      </c>
      <c r="AC962" s="39" t="n">
        <f aca="false">Resumo!$B$12*CEILING(I962,1)</f>
        <v>3.18</v>
      </c>
      <c r="AD962" s="39" t="n">
        <f aca="false">Resumo!$B$14*CEILING(I962,1)</f>
        <v>23.85</v>
      </c>
      <c r="AE962" s="39" t="n">
        <f aca="false">SUM(X962:AD962)</f>
        <v>179.11764</v>
      </c>
      <c r="AF962" s="39" t="n">
        <f aca="false">AE962/(1-Resumo!$B$5)</f>
        <v>203.542772727273</v>
      </c>
      <c r="AG962" s="39" t="n">
        <f aca="false">AF962-W962</f>
        <v>61.5988</v>
      </c>
      <c r="AH962" s="40" t="n">
        <f aca="false">AF962/W962-1</f>
        <v>0.433965590905042</v>
      </c>
      <c r="AI962" s="37" t="str">
        <f aca="false">IF(AF962&lt;W962,"SIM","NÃO")</f>
        <v>NÃO</v>
      </c>
      <c r="AJ962" s="37" t="n">
        <v>13</v>
      </c>
      <c r="AK962" s="37" t="n">
        <v>10</v>
      </c>
      <c r="AL962" s="37" t="s">
        <v>347</v>
      </c>
      <c r="AM962" s="39" t="n">
        <v>142.96</v>
      </c>
    </row>
    <row r="963" customFormat="false" ht="15" hidden="false" customHeight="false" outlineLevel="0" collapsed="false">
      <c r="A963" s="37" t="n">
        <v>375910187</v>
      </c>
      <c r="B963" s="38" t="n">
        <v>46247.8030671296</v>
      </c>
      <c r="C963" s="37" t="s">
        <v>340</v>
      </c>
      <c r="D963" s="37" t="s">
        <v>1265</v>
      </c>
      <c r="E963" s="37" t="n">
        <v>26061810</v>
      </c>
      <c r="F963" s="37" t="s">
        <v>162</v>
      </c>
      <c r="G963" s="37" t="s">
        <v>197</v>
      </c>
      <c r="H963" s="37" t="s">
        <v>188</v>
      </c>
      <c r="I963" s="37" t="n">
        <v>66.8</v>
      </c>
      <c r="J963" s="39" t="n">
        <v>629.99</v>
      </c>
      <c r="K963" s="37" t="s">
        <v>342</v>
      </c>
      <c r="L963" s="39" t="n">
        <v>139.45</v>
      </c>
      <c r="M963" s="39" t="n">
        <v>76.55</v>
      </c>
      <c r="N963" s="39" t="n">
        <f aca="false">J963*Resumo!$C$6</f>
        <v>0</v>
      </c>
      <c r="O963" s="39" t="n">
        <f aca="false">J963*Resumo!$C$7</f>
        <v>1.322979</v>
      </c>
      <c r="P963" s="39" t="n">
        <f aca="false">J963*Resumo!$C$8</f>
        <v>1.322979</v>
      </c>
      <c r="Q963" s="39" t="n">
        <f aca="false">Resumo!$C$10*CEILING(I963/100,1)</f>
        <v>1.05</v>
      </c>
      <c r="R963" s="39" t="n">
        <f aca="false">Resumo!$C$9</f>
        <v>0</v>
      </c>
      <c r="S963" s="39" t="n">
        <f aca="false">Resumo!$C$13</f>
        <v>13.55</v>
      </c>
      <c r="T963" s="39" t="n">
        <f aca="false">Resumo!$C$14*CEILING(I963,1)</f>
        <v>30.15</v>
      </c>
      <c r="U963" s="39" t="n">
        <f aca="false">SUM(M963:T963)*Resumo!$C$11</f>
        <v>0</v>
      </c>
      <c r="V963" s="39" t="n">
        <f aca="false">SUM(M963:U963)</f>
        <v>123.945958</v>
      </c>
      <c r="W963" s="39" t="n">
        <f aca="false">V963/(1-Resumo!$C$5)</f>
        <v>140.847679545455</v>
      </c>
      <c r="X963" s="39" t="n">
        <v>131.02</v>
      </c>
      <c r="Y963" s="39" t="n">
        <f aca="false">J963*Resumo!$B$6</f>
        <v>0.62999</v>
      </c>
      <c r="Z963" s="39" t="n">
        <f aca="false">J963*Resumo!$B$7</f>
        <v>1.25998</v>
      </c>
      <c r="AA963" s="39" t="n">
        <f aca="false">Resumo!$B$9</f>
        <v>1</v>
      </c>
      <c r="AB963" s="39" t="n">
        <f aca="false">Resumo!$B$10*CEILING(I963/100,1)</f>
        <v>4.5</v>
      </c>
      <c r="AC963" s="39" t="n">
        <f aca="false">Resumo!$B$12*CEILING(I963,1)</f>
        <v>4.02</v>
      </c>
      <c r="AD963" s="39" t="n">
        <f aca="false">Resumo!$B$14*CEILING(I963,1)</f>
        <v>30.15</v>
      </c>
      <c r="AE963" s="39" t="n">
        <f aca="false">SUM(X963:AD963)</f>
        <v>172.57997</v>
      </c>
      <c r="AF963" s="39" t="n">
        <f aca="false">AE963/(1-Resumo!$B$5)</f>
        <v>196.113602272727</v>
      </c>
      <c r="AG963" s="39" t="n">
        <f aca="false">AF963-W963</f>
        <v>55.2659227272727</v>
      </c>
      <c r="AH963" s="40" t="n">
        <f aca="false">AF963/W963-1</f>
        <v>0.392380782598816</v>
      </c>
      <c r="AI963" s="37" t="str">
        <f aca="false">IF(AF963&lt;W963,"SIM","NÃO")</f>
        <v>NÃO</v>
      </c>
      <c r="AJ963" s="37" t="n">
        <v>2</v>
      </c>
      <c r="AK963" s="37" t="n">
        <v>5</v>
      </c>
      <c r="AL963" s="37" t="s">
        <v>343</v>
      </c>
      <c r="AM963" s="39" t="n">
        <v>139.45</v>
      </c>
    </row>
    <row r="964" customFormat="false" ht="15" hidden="false" customHeight="false" outlineLevel="0" collapsed="false">
      <c r="A964" s="37" t="n">
        <v>375913461</v>
      </c>
      <c r="B964" s="38" t="n">
        <v>46247.8067361111</v>
      </c>
      <c r="C964" s="37" t="s">
        <v>340</v>
      </c>
      <c r="D964" s="37" t="s">
        <v>1266</v>
      </c>
      <c r="E964" s="37" t="n">
        <v>21630250</v>
      </c>
      <c r="F964" s="37" t="s">
        <v>159</v>
      </c>
      <c r="G964" s="37" t="s">
        <v>196</v>
      </c>
      <c r="H964" s="37" t="s">
        <v>186</v>
      </c>
      <c r="I964" s="37" t="n">
        <v>45.3</v>
      </c>
      <c r="J964" s="39" t="n">
        <v>679.99</v>
      </c>
      <c r="K964" s="37" t="s">
        <v>342</v>
      </c>
      <c r="L964" s="39" t="n">
        <v>103.84</v>
      </c>
      <c r="M964" s="39" t="n">
        <v>53.55</v>
      </c>
      <c r="N964" s="39" t="n">
        <f aca="false">J964*Resumo!$C$6</f>
        <v>0</v>
      </c>
      <c r="O964" s="39" t="n">
        <f aca="false">J964*Resumo!$C$7</f>
        <v>1.427979</v>
      </c>
      <c r="P964" s="39" t="n">
        <f aca="false">J964*Resumo!$C$8</f>
        <v>1.427979</v>
      </c>
      <c r="Q964" s="39" t="n">
        <f aca="false">Resumo!$C$10*CEILING(I964/100,1)</f>
        <v>1.05</v>
      </c>
      <c r="R964" s="39" t="n">
        <f aca="false">Resumo!$C$9</f>
        <v>0</v>
      </c>
      <c r="S964" s="39" t="n">
        <f aca="false">Resumo!$C$13</f>
        <v>13.55</v>
      </c>
      <c r="T964" s="39" t="n">
        <f aca="false">Resumo!$C$14*CEILING(I964,1)</f>
        <v>20.7</v>
      </c>
      <c r="U964" s="39" t="n">
        <f aca="false">SUM(M964:T964)*Resumo!$C$11</f>
        <v>0</v>
      </c>
      <c r="V964" s="39" t="n">
        <f aca="false">SUM(M964:U964)</f>
        <v>91.705958</v>
      </c>
      <c r="W964" s="39" t="n">
        <f aca="false">V964/(1-Resumo!$C$5)</f>
        <v>104.211315909091</v>
      </c>
      <c r="X964" s="39" t="n">
        <v>93.97</v>
      </c>
      <c r="Y964" s="39" t="n">
        <f aca="false">J964*Resumo!$B$6</f>
        <v>0.67999</v>
      </c>
      <c r="Z964" s="39" t="n">
        <f aca="false">J964*Resumo!$B$7</f>
        <v>1.35998</v>
      </c>
      <c r="AA964" s="39" t="n">
        <f aca="false">Resumo!$B$9</f>
        <v>1</v>
      </c>
      <c r="AB964" s="39" t="n">
        <f aca="false">Resumo!$B$10*CEILING(I964/100,1)</f>
        <v>4.5</v>
      </c>
      <c r="AC964" s="39" t="n">
        <f aca="false">Resumo!$B$12*CEILING(I964,1)</f>
        <v>2.76</v>
      </c>
      <c r="AD964" s="39" t="n">
        <f aca="false">Resumo!$B$14*CEILING(I964,1)</f>
        <v>20.7</v>
      </c>
      <c r="AE964" s="39" t="n">
        <f aca="false">SUM(X964:AD964)</f>
        <v>124.96997</v>
      </c>
      <c r="AF964" s="39" t="n">
        <f aca="false">AE964/(1-Resumo!$B$5)</f>
        <v>142.011329545455</v>
      </c>
      <c r="AG964" s="39" t="n">
        <f aca="false">AF964-W964</f>
        <v>37.8000136363636</v>
      </c>
      <c r="AH964" s="40" t="n">
        <f aca="false">AF964/W964-1</f>
        <v>0.362724655250862</v>
      </c>
      <c r="AI964" s="37" t="str">
        <f aca="false">IF(AF964&lt;W964,"SIM","NÃO")</f>
        <v>NÃO</v>
      </c>
      <c r="AJ964" s="37" t="n">
        <v>2</v>
      </c>
      <c r="AK964" s="37" t="n">
        <v>5</v>
      </c>
      <c r="AL964" s="37" t="s">
        <v>343</v>
      </c>
      <c r="AM964" s="39" t="n">
        <v>103.85</v>
      </c>
    </row>
    <row r="965" customFormat="false" ht="15" hidden="false" customHeight="false" outlineLevel="0" collapsed="false">
      <c r="A965" s="37" t="n">
        <v>375993113</v>
      </c>
      <c r="B965" s="38" t="n">
        <v>46247.8256018519</v>
      </c>
      <c r="C965" s="37" t="s">
        <v>345</v>
      </c>
      <c r="D965" s="37" t="s">
        <v>1267</v>
      </c>
      <c r="E965" s="37" t="n">
        <v>22725031</v>
      </c>
      <c r="F965" s="37" t="s">
        <v>159</v>
      </c>
      <c r="G965" s="37" t="s">
        <v>196</v>
      </c>
      <c r="H965" s="37" t="s">
        <v>192</v>
      </c>
      <c r="I965" s="37" t="n">
        <v>137</v>
      </c>
      <c r="J965" s="39" t="n">
        <v>1600.45</v>
      </c>
      <c r="K965" s="37" t="s">
        <v>342</v>
      </c>
      <c r="L965" s="39" t="n">
        <v>233.95</v>
      </c>
      <c r="M965" s="39" t="n">
        <v>120.59</v>
      </c>
      <c r="N965" s="39" t="n">
        <f aca="false">J965*Resumo!$C$6</f>
        <v>0</v>
      </c>
      <c r="O965" s="39" t="n">
        <f aca="false">J965*Resumo!$C$7</f>
        <v>3.360945</v>
      </c>
      <c r="P965" s="39" t="n">
        <f aca="false">J965*Resumo!$C$8</f>
        <v>3.360945</v>
      </c>
      <c r="Q965" s="39" t="n">
        <f aca="false">Resumo!$C$10*CEILING(I965/100,1)</f>
        <v>2.1</v>
      </c>
      <c r="R965" s="39" t="n">
        <f aca="false">Resumo!$C$9</f>
        <v>0</v>
      </c>
      <c r="S965" s="39" t="n">
        <f aca="false">Resumo!$C$13</f>
        <v>13.55</v>
      </c>
      <c r="T965" s="39" t="n">
        <f aca="false">Resumo!$C$14*CEILING(I965,1)</f>
        <v>61.65</v>
      </c>
      <c r="U965" s="39" t="n">
        <f aca="false">SUM(M965:T965)*Resumo!$C$11</f>
        <v>0</v>
      </c>
      <c r="V965" s="39" t="n">
        <f aca="false">SUM(M965:U965)</f>
        <v>204.61189</v>
      </c>
      <c r="W965" s="39" t="n">
        <f aca="false">V965/(1-Resumo!$C$5)</f>
        <v>232.513511363636</v>
      </c>
      <c r="X965" s="39" t="n">
        <v>239.25</v>
      </c>
      <c r="Y965" s="39" t="n">
        <f aca="false">J965*Resumo!$B$6</f>
        <v>1.60045</v>
      </c>
      <c r="Z965" s="39" t="n">
        <f aca="false">J965*Resumo!$B$7</f>
        <v>3.2009</v>
      </c>
      <c r="AA965" s="39" t="n">
        <f aca="false">Resumo!$B$9</f>
        <v>1</v>
      </c>
      <c r="AB965" s="39" t="n">
        <f aca="false">Resumo!$B$10*CEILING(I965/100,1)</f>
        <v>9</v>
      </c>
      <c r="AC965" s="39" t="n">
        <f aca="false">Resumo!$B$12*CEILING(I965,1)</f>
        <v>8.22</v>
      </c>
      <c r="AD965" s="39" t="n">
        <f aca="false">Resumo!$B$14*CEILING(I965,1)</f>
        <v>61.65</v>
      </c>
      <c r="AE965" s="39" t="n">
        <f aca="false">SUM(X965:AD965)</f>
        <v>323.92135</v>
      </c>
      <c r="AF965" s="39" t="n">
        <f aca="false">AE965/(1-Resumo!$B$5)</f>
        <v>368.092443181818</v>
      </c>
      <c r="AG965" s="39" t="n">
        <f aca="false">AF965-W965</f>
        <v>135.578931818182</v>
      </c>
      <c r="AH965" s="40" t="n">
        <f aca="false">AF965/W965-1</f>
        <v>0.583101304621153</v>
      </c>
      <c r="AI965" s="37" t="str">
        <f aca="false">IF(AF965&lt;W965,"SIM","NÃO")</f>
        <v>NÃO</v>
      </c>
      <c r="AJ965" s="37" t="n">
        <v>2</v>
      </c>
      <c r="AK965" s="37" t="n">
        <v>5</v>
      </c>
      <c r="AL965" s="37" t="s">
        <v>343</v>
      </c>
      <c r="AM965" s="39" t="n">
        <v>233.96</v>
      </c>
    </row>
    <row r="966" customFormat="false" ht="15" hidden="false" customHeight="false" outlineLevel="0" collapsed="false">
      <c r="A966" s="37" t="n">
        <v>375931914</v>
      </c>
      <c r="B966" s="38" t="n">
        <v>46247.8397106482</v>
      </c>
      <c r="C966" s="37" t="s">
        <v>340</v>
      </c>
      <c r="D966" s="37" t="s">
        <v>1020</v>
      </c>
      <c r="E966" s="37" t="n">
        <v>23092002</v>
      </c>
      <c r="F966" s="37" t="s">
        <v>159</v>
      </c>
      <c r="G966" s="37" t="s">
        <v>196</v>
      </c>
      <c r="H966" s="37" t="s">
        <v>184</v>
      </c>
      <c r="I966" s="37" t="n">
        <v>29.2</v>
      </c>
      <c r="J966" s="39" t="n">
        <v>449.99</v>
      </c>
      <c r="K966" s="37" t="s">
        <v>518</v>
      </c>
      <c r="L966" s="39" t="n">
        <v>81.92</v>
      </c>
      <c r="M966" s="39" t="n">
        <v>42.11</v>
      </c>
      <c r="N966" s="39" t="n">
        <f aca="false">J966*Resumo!$C$6</f>
        <v>0</v>
      </c>
      <c r="O966" s="39" t="n">
        <f aca="false">J966*Resumo!$C$7</f>
        <v>0.944979</v>
      </c>
      <c r="P966" s="39" t="n">
        <f aca="false">J966*Resumo!$C$8</f>
        <v>0.944979</v>
      </c>
      <c r="Q966" s="39" t="n">
        <f aca="false">Resumo!$C$10*CEILING(I966/100,1)</f>
        <v>1.05</v>
      </c>
      <c r="R966" s="39" t="n">
        <f aca="false">Resumo!$C$9</f>
        <v>0</v>
      </c>
      <c r="S966" s="39" t="n">
        <f aca="false">Resumo!$C$13</f>
        <v>13.55</v>
      </c>
      <c r="T966" s="39" t="n">
        <f aca="false">Resumo!$C$14*CEILING(I966,1)</f>
        <v>13.5</v>
      </c>
      <c r="U966" s="39" t="n">
        <f aca="false">SUM(M966:T966)*Resumo!$C$11</f>
        <v>0</v>
      </c>
      <c r="V966" s="39" t="n">
        <f aca="false">SUM(M966:U966)</f>
        <v>72.099958</v>
      </c>
      <c r="W966" s="39" t="n">
        <f aca="false">V966/(1-Resumo!$C$5)</f>
        <v>81.9317704545455</v>
      </c>
      <c r="X966" s="39" t="n">
        <v>82.21</v>
      </c>
      <c r="Y966" s="39" t="n">
        <f aca="false">J966*Resumo!$B$6</f>
        <v>0.44999</v>
      </c>
      <c r="Z966" s="39" t="n">
        <f aca="false">J966*Resumo!$B$7</f>
        <v>0.89998</v>
      </c>
      <c r="AA966" s="39" t="n">
        <f aca="false">Resumo!$B$9</f>
        <v>1</v>
      </c>
      <c r="AB966" s="39" t="n">
        <f aca="false">Resumo!$B$10*CEILING(I966/100,1)</f>
        <v>4.5</v>
      </c>
      <c r="AC966" s="39" t="n">
        <f aca="false">Resumo!$B$12*CEILING(I966,1)</f>
        <v>1.8</v>
      </c>
      <c r="AD966" s="39" t="n">
        <f aca="false">Resumo!$B$14*CEILING(I966,1)</f>
        <v>13.5</v>
      </c>
      <c r="AE966" s="39" t="n">
        <f aca="false">SUM(X966:AD966)</f>
        <v>104.35997</v>
      </c>
      <c r="AF966" s="39" t="n">
        <f aca="false">AE966/(1-Resumo!$B$5)</f>
        <v>118.590875</v>
      </c>
      <c r="AG966" s="39" t="n">
        <f aca="false">AF966-W966</f>
        <v>36.6591045454545</v>
      </c>
      <c r="AH966" s="40" t="n">
        <f aca="false">AF966/W966-1</f>
        <v>0.447434546355769</v>
      </c>
      <c r="AI966" s="37" t="str">
        <f aca="false">IF(AF966&lt;W966,"SIM","NÃO")</f>
        <v>NÃO</v>
      </c>
      <c r="AJ966" s="37" t="n">
        <v>2</v>
      </c>
      <c r="AK966" s="37" t="n">
        <v>5</v>
      </c>
      <c r="AL966" s="37" t="s">
        <v>343</v>
      </c>
      <c r="AM966" s="39" t="n">
        <v>82.48</v>
      </c>
    </row>
    <row r="967" customFormat="false" ht="15" hidden="false" customHeight="false" outlineLevel="0" collapsed="false">
      <c r="A967" s="37" t="n">
        <v>375946102</v>
      </c>
      <c r="B967" s="38" t="n">
        <v>46247.8641666667</v>
      </c>
      <c r="C967" s="37" t="s">
        <v>340</v>
      </c>
      <c r="D967" s="37" t="s">
        <v>409</v>
      </c>
      <c r="E967" s="37" t="n">
        <v>22733010</v>
      </c>
      <c r="F967" s="37" t="s">
        <v>159</v>
      </c>
      <c r="G967" s="37" t="s">
        <v>196</v>
      </c>
      <c r="H967" s="37" t="s">
        <v>184</v>
      </c>
      <c r="I967" s="37" t="n">
        <v>22.4</v>
      </c>
      <c r="J967" s="39" t="n">
        <v>489.99</v>
      </c>
      <c r="K967" s="37" t="s">
        <v>342</v>
      </c>
      <c r="L967" s="39" t="n">
        <v>82.67</v>
      </c>
      <c r="M967" s="39" t="n">
        <v>42.11</v>
      </c>
      <c r="N967" s="39" t="n">
        <f aca="false">J967*Resumo!$C$6</f>
        <v>0</v>
      </c>
      <c r="O967" s="39" t="n">
        <f aca="false">J967*Resumo!$C$7</f>
        <v>1.028979</v>
      </c>
      <c r="P967" s="39" t="n">
        <f aca="false">J967*Resumo!$C$8</f>
        <v>1.028979</v>
      </c>
      <c r="Q967" s="39" t="n">
        <f aca="false">Resumo!$C$10*CEILING(I967/100,1)</f>
        <v>1.05</v>
      </c>
      <c r="R967" s="39" t="n">
        <f aca="false">Resumo!$C$9</f>
        <v>0</v>
      </c>
      <c r="S967" s="39" t="n">
        <f aca="false">Resumo!$C$13</f>
        <v>13.55</v>
      </c>
      <c r="T967" s="39" t="n">
        <f aca="false">Resumo!$C$14*CEILING(I967,1)</f>
        <v>10.35</v>
      </c>
      <c r="U967" s="39" t="n">
        <f aca="false">SUM(M967:T967)*Resumo!$C$11</f>
        <v>0</v>
      </c>
      <c r="V967" s="39" t="n">
        <f aca="false">SUM(M967:U967)</f>
        <v>69.117958</v>
      </c>
      <c r="W967" s="39" t="n">
        <f aca="false">V967/(1-Resumo!$C$5)</f>
        <v>78.5431340909091</v>
      </c>
      <c r="X967" s="39" t="n">
        <v>82.21</v>
      </c>
      <c r="Y967" s="39" t="n">
        <f aca="false">J967*Resumo!$B$6</f>
        <v>0.48999</v>
      </c>
      <c r="Z967" s="39" t="n">
        <f aca="false">J967*Resumo!$B$7</f>
        <v>0.97998</v>
      </c>
      <c r="AA967" s="39" t="n">
        <f aca="false">Resumo!$B$9</f>
        <v>1</v>
      </c>
      <c r="AB967" s="39" t="n">
        <f aca="false">Resumo!$B$10*CEILING(I967/100,1)</f>
        <v>4.5</v>
      </c>
      <c r="AC967" s="39" t="n">
        <f aca="false">Resumo!$B$12*CEILING(I967,1)</f>
        <v>1.38</v>
      </c>
      <c r="AD967" s="39" t="n">
        <f aca="false">Resumo!$B$14*CEILING(I967,1)</f>
        <v>10.35</v>
      </c>
      <c r="AE967" s="39" t="n">
        <f aca="false">SUM(X967:AD967)</f>
        <v>100.90997</v>
      </c>
      <c r="AF967" s="39" t="n">
        <f aca="false">AE967/(1-Resumo!$B$5)</f>
        <v>114.670420454545</v>
      </c>
      <c r="AG967" s="39" t="n">
        <f aca="false">AF967-W967</f>
        <v>36.1272863636363</v>
      </c>
      <c r="AH967" s="40" t="n">
        <f aca="false">AF967/W967-1</f>
        <v>0.459967466052744</v>
      </c>
      <c r="AI967" s="37" t="str">
        <f aca="false">IF(AF967&lt;W967,"SIM","NÃO")</f>
        <v>NÃO</v>
      </c>
      <c r="AJ967" s="37" t="n">
        <v>2</v>
      </c>
      <c r="AK967" s="37" t="n">
        <v>5</v>
      </c>
      <c r="AL967" s="37" t="s">
        <v>343</v>
      </c>
      <c r="AM967" s="39" t="n">
        <v>82.67</v>
      </c>
    </row>
    <row r="968" customFormat="false" ht="15" hidden="false" customHeight="false" outlineLevel="0" collapsed="false">
      <c r="A968" s="37" t="n">
        <v>375955275</v>
      </c>
      <c r="B968" s="38" t="n">
        <v>46247.8751041667</v>
      </c>
      <c r="C968" s="37" t="s">
        <v>345</v>
      </c>
      <c r="D968" s="37" t="s">
        <v>1262</v>
      </c>
      <c r="E968" s="37" t="n">
        <v>28983332</v>
      </c>
      <c r="F968" s="37" t="s">
        <v>173</v>
      </c>
      <c r="G968" s="37" t="s">
        <v>198</v>
      </c>
      <c r="H968" s="37" t="s">
        <v>186</v>
      </c>
      <c r="I968" s="37" t="n">
        <v>40.1</v>
      </c>
      <c r="J968" s="39" t="n">
        <v>475.48</v>
      </c>
      <c r="K968" s="37" t="s">
        <v>518</v>
      </c>
      <c r="L968" s="39" t="n">
        <v>128.13</v>
      </c>
      <c r="M968" s="39" t="n">
        <v>77.7</v>
      </c>
      <c r="N968" s="39" t="n">
        <f aca="false">J968*Resumo!$C$6</f>
        <v>0</v>
      </c>
      <c r="O968" s="39" t="n">
        <f aca="false">J968*Resumo!$C$7</f>
        <v>0.998508</v>
      </c>
      <c r="P968" s="39" t="n">
        <f aca="false">J968*Resumo!$C$8</f>
        <v>0.998508</v>
      </c>
      <c r="Q968" s="39" t="n">
        <f aca="false">Resumo!$C$10*CEILING(I968/100,1)</f>
        <v>1.05</v>
      </c>
      <c r="R968" s="39" t="n">
        <f aca="false">Resumo!$C$9</f>
        <v>0</v>
      </c>
      <c r="S968" s="39" t="n">
        <f aca="false">Resumo!$C$13</f>
        <v>13.55</v>
      </c>
      <c r="T968" s="39" t="n">
        <f aca="false">Resumo!$C$14*CEILING(I968,1)</f>
        <v>18.45</v>
      </c>
      <c r="U968" s="39" t="n">
        <f aca="false">SUM(M968:T968)*Resumo!$C$11</f>
        <v>0</v>
      </c>
      <c r="V968" s="39" t="n">
        <f aca="false">SUM(M968:U968)</f>
        <v>112.747016</v>
      </c>
      <c r="W968" s="39" t="n">
        <f aca="false">V968/(1-Resumo!$C$5)</f>
        <v>128.121609090909</v>
      </c>
      <c r="X968" s="39" t="n">
        <v>129.29</v>
      </c>
      <c r="Y968" s="39" t="n">
        <f aca="false">J968*Resumo!$B$6</f>
        <v>0.47548</v>
      </c>
      <c r="Z968" s="39" t="n">
        <f aca="false">J968*Resumo!$B$7</f>
        <v>0.95096</v>
      </c>
      <c r="AA968" s="39" t="n">
        <f aca="false">Resumo!$B$9</f>
        <v>1</v>
      </c>
      <c r="AB968" s="39" t="n">
        <f aca="false">Resumo!$B$10*CEILING(I968/100,1)</f>
        <v>4.5</v>
      </c>
      <c r="AC968" s="39" t="n">
        <f aca="false">Resumo!$B$12*CEILING(I968,1)</f>
        <v>2.46</v>
      </c>
      <c r="AD968" s="39" t="n">
        <f aca="false">Resumo!$B$14*CEILING(I968,1)</f>
        <v>18.45</v>
      </c>
      <c r="AE968" s="39" t="n">
        <f aca="false">SUM(X968:AD968)</f>
        <v>157.12644</v>
      </c>
      <c r="AF968" s="39" t="n">
        <f aca="false">AE968/(1-Resumo!$B$5)</f>
        <v>178.552772727273</v>
      </c>
      <c r="AG968" s="39" t="n">
        <f aca="false">AF968-W968</f>
        <v>50.4311636363636</v>
      </c>
      <c r="AH968" s="40" t="n">
        <f aca="false">AF968/W968-1</f>
        <v>0.393619499428703</v>
      </c>
      <c r="AI968" s="37" t="str">
        <f aca="false">IF(AF968&lt;W968,"SIM","NÃO")</f>
        <v>NÃO</v>
      </c>
      <c r="AJ968" s="37" t="n">
        <v>13</v>
      </c>
      <c r="AK968" s="37" t="n">
        <v>10</v>
      </c>
      <c r="AL968" s="37" t="s">
        <v>343</v>
      </c>
      <c r="AM968" s="39" t="n">
        <v>130.44</v>
      </c>
    </row>
    <row r="969" customFormat="false" ht="15" hidden="false" customHeight="false" outlineLevel="0" collapsed="false">
      <c r="A969" s="37" t="n">
        <v>375966390</v>
      </c>
      <c r="B969" s="38" t="n">
        <v>46247.9019212963</v>
      </c>
      <c r="C969" s="37" t="s">
        <v>340</v>
      </c>
      <c r="D969" s="37" t="s">
        <v>1268</v>
      </c>
      <c r="E969" s="37" t="n">
        <v>23032305</v>
      </c>
      <c r="F969" s="37" t="s">
        <v>159</v>
      </c>
      <c r="G969" s="37" t="s">
        <v>196</v>
      </c>
      <c r="H969" s="37" t="s">
        <v>185</v>
      </c>
      <c r="I969" s="37" t="n">
        <v>36.8</v>
      </c>
      <c r="J969" s="39" t="n">
        <v>439.99</v>
      </c>
      <c r="K969" s="37" t="s">
        <v>518</v>
      </c>
      <c r="L969" s="39" t="n">
        <v>92.55</v>
      </c>
      <c r="M969" s="39" t="n">
        <v>48.35</v>
      </c>
      <c r="N969" s="39" t="n">
        <f aca="false">J969*Resumo!$C$6</f>
        <v>0</v>
      </c>
      <c r="O969" s="39" t="n">
        <f aca="false">J969*Resumo!$C$7</f>
        <v>0.923979</v>
      </c>
      <c r="P969" s="39" t="n">
        <f aca="false">J969*Resumo!$C$8</f>
        <v>0.923979</v>
      </c>
      <c r="Q969" s="39" t="n">
        <f aca="false">Resumo!$C$10*CEILING(I969/100,1)</f>
        <v>1.05</v>
      </c>
      <c r="R969" s="39" t="n">
        <f aca="false">Resumo!$C$9</f>
        <v>0</v>
      </c>
      <c r="S969" s="39" t="n">
        <f aca="false">Resumo!$C$13</f>
        <v>13.55</v>
      </c>
      <c r="T969" s="39" t="n">
        <f aca="false">Resumo!$C$14*CEILING(I969,1)</f>
        <v>16.65</v>
      </c>
      <c r="U969" s="39" t="n">
        <f aca="false">SUM(M969:T969)*Resumo!$C$11</f>
        <v>0</v>
      </c>
      <c r="V969" s="39" t="n">
        <f aca="false">SUM(M969:U969)</f>
        <v>81.447958</v>
      </c>
      <c r="W969" s="39" t="n">
        <f aca="false">V969/(1-Resumo!$C$5)</f>
        <v>92.5544977272728</v>
      </c>
      <c r="X969" s="39" t="n">
        <v>93.97</v>
      </c>
      <c r="Y969" s="39" t="n">
        <f aca="false">J969*Resumo!$B$6</f>
        <v>0.43999</v>
      </c>
      <c r="Z969" s="39" t="n">
        <f aca="false">J969*Resumo!$B$7</f>
        <v>0.87998</v>
      </c>
      <c r="AA969" s="39" t="n">
        <f aca="false">Resumo!$B$9</f>
        <v>1</v>
      </c>
      <c r="AB969" s="39" t="n">
        <f aca="false">Resumo!$B$10*CEILING(I969/100,1)</f>
        <v>4.5</v>
      </c>
      <c r="AC969" s="39" t="n">
        <f aca="false">Resumo!$B$12*CEILING(I969,1)</f>
        <v>2.22</v>
      </c>
      <c r="AD969" s="39" t="n">
        <f aca="false">Resumo!$B$14*CEILING(I969,1)</f>
        <v>16.65</v>
      </c>
      <c r="AE969" s="39" t="n">
        <f aca="false">SUM(X969:AD969)</f>
        <v>119.65997</v>
      </c>
      <c r="AF969" s="39" t="n">
        <f aca="false">AE969/(1-Resumo!$B$5)</f>
        <v>135.977238636364</v>
      </c>
      <c r="AG969" s="39" t="n">
        <f aca="false">AF969-W969</f>
        <v>43.4227409090909</v>
      </c>
      <c r="AH969" s="40" t="n">
        <f aca="false">AF969/W969-1</f>
        <v>0.469158625192297</v>
      </c>
      <c r="AI969" s="37" t="str">
        <f aca="false">IF(AF969&lt;W969,"SIM","NÃO")</f>
        <v>NÃO</v>
      </c>
      <c r="AJ969" s="37" t="n">
        <v>2</v>
      </c>
      <c r="AK969" s="37" t="n">
        <v>5</v>
      </c>
      <c r="AL969" s="37" t="s">
        <v>343</v>
      </c>
      <c r="AM969" s="39" t="n">
        <v>91.96</v>
      </c>
    </row>
    <row r="970" customFormat="false" ht="15" hidden="false" customHeight="false" outlineLevel="0" collapsed="false">
      <c r="A970" s="37" t="n">
        <v>375967194</v>
      </c>
      <c r="B970" s="38" t="n">
        <v>46247.9041666667</v>
      </c>
      <c r="C970" s="37" t="s">
        <v>340</v>
      </c>
      <c r="D970" s="37" t="s">
        <v>1269</v>
      </c>
      <c r="E970" s="37" t="n">
        <v>25214300</v>
      </c>
      <c r="F970" s="37" t="s">
        <v>161</v>
      </c>
      <c r="G970" s="37" t="s">
        <v>197</v>
      </c>
      <c r="H970" s="37" t="s">
        <v>185</v>
      </c>
      <c r="I970" s="37" t="n">
        <v>39</v>
      </c>
      <c r="J970" s="39" t="n">
        <v>539.99</v>
      </c>
      <c r="K970" s="37" t="s">
        <v>342</v>
      </c>
      <c r="L970" s="39" t="n">
        <v>113.55</v>
      </c>
      <c r="M970" s="39" t="n">
        <v>66.83</v>
      </c>
      <c r="N970" s="39" t="n">
        <f aca="false">J970*Resumo!$C$6</f>
        <v>0</v>
      </c>
      <c r="O970" s="39" t="n">
        <f aca="false">J970*Resumo!$C$7</f>
        <v>1.133979</v>
      </c>
      <c r="P970" s="39" t="n">
        <f aca="false">J970*Resumo!$C$8</f>
        <v>1.133979</v>
      </c>
      <c r="Q970" s="39" t="n">
        <f aca="false">Resumo!$C$10*CEILING(I970/100,1)</f>
        <v>1.05</v>
      </c>
      <c r="R970" s="39" t="n">
        <f aca="false">Resumo!$C$9</f>
        <v>0</v>
      </c>
      <c r="S970" s="39" t="n">
        <f aca="false">Resumo!$C$13</f>
        <v>13.55</v>
      </c>
      <c r="T970" s="39" t="n">
        <f aca="false">Resumo!$C$14*CEILING(I970,1)</f>
        <v>17.55</v>
      </c>
      <c r="U970" s="39" t="n">
        <f aca="false">SUM(M970:T970)*Resumo!$C$11</f>
        <v>0</v>
      </c>
      <c r="V970" s="39" t="n">
        <f aca="false">SUM(M970:U970)</f>
        <v>101.247958</v>
      </c>
      <c r="W970" s="39" t="n">
        <f aca="false">V970/(1-Resumo!$C$5)</f>
        <v>115.054497727273</v>
      </c>
      <c r="X970" s="39" t="n">
        <v>93.97</v>
      </c>
      <c r="Y970" s="39" t="n">
        <f aca="false">J970*Resumo!$B$6</f>
        <v>0.53999</v>
      </c>
      <c r="Z970" s="39" t="n">
        <f aca="false">J970*Resumo!$B$7</f>
        <v>1.07998</v>
      </c>
      <c r="AA970" s="39" t="n">
        <f aca="false">Resumo!$B$9</f>
        <v>1</v>
      </c>
      <c r="AB970" s="39" t="n">
        <f aca="false">Resumo!$B$10*CEILING(I970/100,1)</f>
        <v>4.5</v>
      </c>
      <c r="AC970" s="39" t="n">
        <f aca="false">Resumo!$B$12*CEILING(I970,1)</f>
        <v>2.34</v>
      </c>
      <c r="AD970" s="39" t="n">
        <f aca="false">Resumo!$B$14*CEILING(I970,1)</f>
        <v>17.55</v>
      </c>
      <c r="AE970" s="39" t="n">
        <f aca="false">SUM(X970:AD970)</f>
        <v>120.97997</v>
      </c>
      <c r="AF970" s="39" t="n">
        <f aca="false">AE970/(1-Resumo!$B$5)</f>
        <v>137.477238636364</v>
      </c>
      <c r="AG970" s="39" t="n">
        <f aca="false">AF970-W970</f>
        <v>22.4227409090909</v>
      </c>
      <c r="AH970" s="40" t="n">
        <f aca="false">AF970/W970-1</f>
        <v>0.194887999617731</v>
      </c>
      <c r="AI970" s="37" t="str">
        <f aca="false">IF(AF970&lt;W970,"SIM","NÃO")</f>
        <v>NÃO</v>
      </c>
      <c r="AJ970" s="37" t="n">
        <v>2</v>
      </c>
      <c r="AK970" s="37" t="n">
        <v>5</v>
      </c>
      <c r="AL970" s="37" t="s">
        <v>343</v>
      </c>
      <c r="AM970" s="39" t="n">
        <v>113.54</v>
      </c>
    </row>
    <row r="971" customFormat="false" ht="15" hidden="false" customHeight="false" outlineLevel="0" collapsed="false">
      <c r="A971" s="37" t="n">
        <v>375994642</v>
      </c>
      <c r="B971" s="38" t="n">
        <v>46247.9552430556</v>
      </c>
      <c r="C971" s="37" t="s">
        <v>340</v>
      </c>
      <c r="D971" s="37" t="s">
        <v>1270</v>
      </c>
      <c r="E971" s="37" t="n">
        <v>28060480</v>
      </c>
      <c r="F971" s="37" t="s">
        <v>164</v>
      </c>
      <c r="G971" s="37" t="s">
        <v>198</v>
      </c>
      <c r="H971" s="37" t="s">
        <v>185</v>
      </c>
      <c r="I971" s="37" t="n">
        <v>37.6</v>
      </c>
      <c r="J971" s="39" t="n">
        <v>391.05</v>
      </c>
      <c r="K971" s="37" t="s">
        <v>518</v>
      </c>
      <c r="L971" s="39" t="n">
        <v>123.08</v>
      </c>
      <c r="M971" s="39" t="n">
        <v>74.97</v>
      </c>
      <c r="N971" s="39" t="n">
        <f aca="false">J971*Resumo!$C$6</f>
        <v>0</v>
      </c>
      <c r="O971" s="39" t="n">
        <f aca="false">J971*Resumo!$C$7</f>
        <v>0.821205</v>
      </c>
      <c r="P971" s="39" t="n">
        <f aca="false">J971*Resumo!$C$8</f>
        <v>0.821205</v>
      </c>
      <c r="Q971" s="39" t="n">
        <f aca="false">Resumo!$C$10*CEILING(I971/100,1)</f>
        <v>1.05</v>
      </c>
      <c r="R971" s="39" t="n">
        <f aca="false">Resumo!$C$9</f>
        <v>0</v>
      </c>
      <c r="S971" s="39" t="n">
        <f aca="false">Resumo!$C$13</f>
        <v>13.55</v>
      </c>
      <c r="T971" s="39" t="n">
        <f aca="false">Resumo!$C$14*CEILING(I971,1)</f>
        <v>17.1</v>
      </c>
      <c r="U971" s="39" t="n">
        <f aca="false">SUM(M971:T971)*Resumo!$C$11</f>
        <v>0</v>
      </c>
      <c r="V971" s="39" t="n">
        <f aca="false">SUM(M971:U971)</f>
        <v>108.31241</v>
      </c>
      <c r="W971" s="39" t="n">
        <f aca="false">V971/(1-Resumo!$C$5)</f>
        <v>123.082284090909</v>
      </c>
      <c r="X971" s="39" t="n">
        <v>143.04</v>
      </c>
      <c r="Y971" s="39" t="n">
        <f aca="false">J971*Resumo!$B$6</f>
        <v>0.39105</v>
      </c>
      <c r="Z971" s="39" t="n">
        <f aca="false">J971*Resumo!$B$7</f>
        <v>0.7821</v>
      </c>
      <c r="AA971" s="39" t="n">
        <f aca="false">Resumo!$B$9</f>
        <v>1</v>
      </c>
      <c r="AB971" s="39" t="n">
        <f aca="false">Resumo!$B$10*CEILING(I971/100,1)</f>
        <v>4.5</v>
      </c>
      <c r="AC971" s="39" t="n">
        <f aca="false">Resumo!$B$12*CEILING(I971,1)</f>
        <v>2.28</v>
      </c>
      <c r="AD971" s="39" t="n">
        <f aca="false">Resumo!$B$14*CEILING(I971,1)</f>
        <v>17.1</v>
      </c>
      <c r="AE971" s="39" t="n">
        <f aca="false">SUM(X971:AD971)</f>
        <v>169.09315</v>
      </c>
      <c r="AF971" s="39" t="n">
        <f aca="false">AE971/(1-Resumo!$B$5)</f>
        <v>192.151306818182</v>
      </c>
      <c r="AG971" s="39" t="n">
        <f aca="false">AF971-W971</f>
        <v>69.0690227272727</v>
      </c>
      <c r="AH971" s="40" t="n">
        <f aca="false">AF971/W971-1</f>
        <v>0.561161366458377</v>
      </c>
      <c r="AI971" s="37" t="str">
        <f aca="false">IF(AF971&lt;W971,"SIM","NÃO")</f>
        <v>NÃO</v>
      </c>
      <c r="AJ971" s="37" t="n">
        <v>13</v>
      </c>
      <c r="AK971" s="37" t="n">
        <v>11</v>
      </c>
      <c r="AL971" s="37" t="s">
        <v>343</v>
      </c>
      <c r="AM971" s="39" t="n">
        <v>122.12</v>
      </c>
    </row>
    <row r="972" customFormat="false" ht="15" hidden="false" customHeight="false" outlineLevel="0" collapsed="false">
      <c r="A972" s="37" t="n">
        <v>376000267</v>
      </c>
      <c r="B972" s="38" t="n">
        <v>46247.9709259259</v>
      </c>
      <c r="C972" s="37" t="s">
        <v>340</v>
      </c>
      <c r="D972" s="37" t="s">
        <v>1271</v>
      </c>
      <c r="E972" s="37" t="n">
        <v>24737540</v>
      </c>
      <c r="F972" s="37" t="s">
        <v>160</v>
      </c>
      <c r="G972" s="37" t="s">
        <v>197</v>
      </c>
      <c r="H972" s="37" t="s">
        <v>184</v>
      </c>
      <c r="I972" s="37" t="n">
        <v>30.5</v>
      </c>
      <c r="J972" s="39" t="n">
        <v>439.99</v>
      </c>
      <c r="K972" s="37" t="s">
        <v>518</v>
      </c>
      <c r="L972" s="39" t="n">
        <v>101.35</v>
      </c>
      <c r="M972" s="39" t="n">
        <v>58.8</v>
      </c>
      <c r="N972" s="39" t="n">
        <f aca="false">J972*Resumo!$C$6</f>
        <v>0</v>
      </c>
      <c r="O972" s="39" t="n">
        <f aca="false">J972*Resumo!$C$7</f>
        <v>0.923979</v>
      </c>
      <c r="P972" s="39" t="n">
        <f aca="false">J972*Resumo!$C$8</f>
        <v>0.923979</v>
      </c>
      <c r="Q972" s="39" t="n">
        <f aca="false">Resumo!$C$10*CEILING(I972/100,1)</f>
        <v>1.05</v>
      </c>
      <c r="R972" s="39" t="n">
        <f aca="false">Resumo!$C$9</f>
        <v>0</v>
      </c>
      <c r="S972" s="39" t="n">
        <f aca="false">Resumo!$C$13</f>
        <v>13.55</v>
      </c>
      <c r="T972" s="39" t="n">
        <f aca="false">Resumo!$C$14*CEILING(I972,1)</f>
        <v>13.95</v>
      </c>
      <c r="U972" s="39" t="n">
        <f aca="false">SUM(M972:T972)*Resumo!$C$11</f>
        <v>0</v>
      </c>
      <c r="V972" s="39" t="n">
        <f aca="false">SUM(M972:U972)</f>
        <v>89.197958</v>
      </c>
      <c r="W972" s="39" t="n">
        <f aca="false">V972/(1-Resumo!$C$5)</f>
        <v>101.361315909091</v>
      </c>
      <c r="X972" s="39" t="n">
        <v>100.58</v>
      </c>
      <c r="Y972" s="39" t="n">
        <f aca="false">J972*Resumo!$B$6</f>
        <v>0.43999</v>
      </c>
      <c r="Z972" s="39" t="n">
        <f aca="false">J972*Resumo!$B$7</f>
        <v>0.87998</v>
      </c>
      <c r="AA972" s="39" t="n">
        <f aca="false">Resumo!$B$9</f>
        <v>1</v>
      </c>
      <c r="AB972" s="39" t="n">
        <f aca="false">Resumo!$B$10*CEILING(I972/100,1)</f>
        <v>4.5</v>
      </c>
      <c r="AC972" s="39" t="n">
        <f aca="false">Resumo!$B$12*CEILING(I972,1)</f>
        <v>1.86</v>
      </c>
      <c r="AD972" s="39" t="n">
        <f aca="false">Resumo!$B$14*CEILING(I972,1)</f>
        <v>13.95</v>
      </c>
      <c r="AE972" s="39" t="n">
        <f aca="false">SUM(X972:AD972)</f>
        <v>123.20997</v>
      </c>
      <c r="AF972" s="39" t="n">
        <f aca="false">AE972/(1-Resumo!$B$5)</f>
        <v>140.011329545455</v>
      </c>
      <c r="AG972" s="39" t="n">
        <f aca="false">AF972-W972</f>
        <v>38.6500136363636</v>
      </c>
      <c r="AH972" s="40" t="n">
        <f aca="false">AF972/W972-1</f>
        <v>0.381309312036045</v>
      </c>
      <c r="AI972" s="37" t="str">
        <f aca="false">IF(AF972&lt;W972,"SIM","NÃO")</f>
        <v>NÃO</v>
      </c>
      <c r="AJ972" s="37" t="n">
        <v>2</v>
      </c>
      <c r="AK972" s="37" t="n">
        <v>7</v>
      </c>
      <c r="AL972" s="37" t="s">
        <v>343</v>
      </c>
      <c r="AM972" s="39" t="n">
        <v>101.5</v>
      </c>
    </row>
    <row r="973" customFormat="false" ht="15" hidden="false" customHeight="false" outlineLevel="0" collapsed="false">
      <c r="A973" s="37" t="n">
        <v>376003876</v>
      </c>
      <c r="B973" s="38" t="n">
        <v>46247.9777546296</v>
      </c>
      <c r="C973" s="37" t="s">
        <v>345</v>
      </c>
      <c r="D973" s="37" t="s">
        <v>1272</v>
      </c>
      <c r="E973" s="37" t="n">
        <v>23898030</v>
      </c>
      <c r="F973" s="37" t="s">
        <v>221</v>
      </c>
      <c r="G973" s="37" t="s">
        <v>198</v>
      </c>
      <c r="H973" s="37" t="s">
        <v>190</v>
      </c>
      <c r="I973" s="37" t="n">
        <v>81.7</v>
      </c>
      <c r="J973" s="39" t="n">
        <v>646.16</v>
      </c>
      <c r="K973" s="37" t="s">
        <v>518</v>
      </c>
      <c r="L973" s="39" t="n">
        <v>186.19</v>
      </c>
      <c r="M973" s="39" t="n">
        <v>109.63</v>
      </c>
      <c r="N973" s="39" t="n">
        <f aca="false">J973*Resumo!$C$6</f>
        <v>0</v>
      </c>
      <c r="O973" s="39" t="n">
        <f aca="false">J973*Resumo!$C$7</f>
        <v>1.356936</v>
      </c>
      <c r="P973" s="39" t="n">
        <f aca="false">J973*Resumo!$C$8</f>
        <v>1.356936</v>
      </c>
      <c r="Q973" s="39" t="n">
        <f aca="false">Resumo!$C$10*CEILING(I973/100,1)</f>
        <v>1.05</v>
      </c>
      <c r="R973" s="39" t="n">
        <f aca="false">Resumo!$C$9</f>
        <v>0</v>
      </c>
      <c r="S973" s="39" t="n">
        <f aca="false">Resumo!$C$13</f>
        <v>13.55</v>
      </c>
      <c r="T973" s="39" t="n">
        <f aca="false">Resumo!$C$14*CEILING(I973,1)</f>
        <v>36.9</v>
      </c>
      <c r="U973" s="39" t="n">
        <f aca="false">SUM(M973:T973)*Resumo!$C$11</f>
        <v>0</v>
      </c>
      <c r="V973" s="39" t="n">
        <f aca="false">SUM(M973:U973)</f>
        <v>163.843872</v>
      </c>
      <c r="W973" s="39" t="n">
        <f aca="false">V973/(1-Resumo!$C$5)</f>
        <v>186.186218181818</v>
      </c>
      <c r="X973" s="39" t="n">
        <v>177.99</v>
      </c>
      <c r="Y973" s="39" t="n">
        <f aca="false">J973*Resumo!$B$6</f>
        <v>0.64616</v>
      </c>
      <c r="Z973" s="39" t="n">
        <f aca="false">J973*Resumo!$B$7</f>
        <v>1.29232</v>
      </c>
      <c r="AA973" s="39" t="n">
        <f aca="false">Resumo!$B$9</f>
        <v>1</v>
      </c>
      <c r="AB973" s="39" t="n">
        <f aca="false">Resumo!$B$10*CEILING(I973/100,1)</f>
        <v>4.5</v>
      </c>
      <c r="AC973" s="39" t="n">
        <f aca="false">Resumo!$B$12*CEILING(I973,1)</f>
        <v>4.92</v>
      </c>
      <c r="AD973" s="39" t="n">
        <f aca="false">Resumo!$B$14*CEILING(I973,1)</f>
        <v>36.9</v>
      </c>
      <c r="AE973" s="39" t="n">
        <f aca="false">SUM(X973:AD973)</f>
        <v>227.24848</v>
      </c>
      <c r="AF973" s="39" t="n">
        <f aca="false">AE973/(1-Resumo!$B$5)</f>
        <v>258.236909090909</v>
      </c>
      <c r="AG973" s="39" t="n">
        <f aca="false">AF973-W973</f>
        <v>72.0506909090909</v>
      </c>
      <c r="AH973" s="40" t="n">
        <f aca="false">AF973/W973-1</f>
        <v>0.386981870155022</v>
      </c>
      <c r="AI973" s="37" t="str">
        <f aca="false">IF(AF973&lt;W973,"SIM","NÃO")</f>
        <v>NÃO</v>
      </c>
      <c r="AJ973" s="37" t="n">
        <v>13</v>
      </c>
      <c r="AK973" s="37" t="n">
        <v>5</v>
      </c>
      <c r="AL973" s="37" t="s">
        <v>347</v>
      </c>
      <c r="AM973" s="39" t="n">
        <v>191.69</v>
      </c>
    </row>
    <row r="974" customFormat="false" ht="15" hidden="false" customHeight="false" outlineLevel="0" collapsed="false">
      <c r="A974" s="37" t="n">
        <v>376009577</v>
      </c>
      <c r="B974" s="38" t="n">
        <v>46247.9888310185</v>
      </c>
      <c r="C974" s="37" t="s">
        <v>340</v>
      </c>
      <c r="D974" s="37" t="s">
        <v>1273</v>
      </c>
      <c r="E974" s="37" t="n">
        <v>20961050</v>
      </c>
      <c r="F974" s="37" t="s">
        <v>159</v>
      </c>
      <c r="G974" s="37" t="s">
        <v>196</v>
      </c>
      <c r="H974" s="37" t="s">
        <v>183</v>
      </c>
      <c r="I974" s="37" t="n">
        <v>19.9</v>
      </c>
      <c r="J974" s="39" t="n">
        <v>279.99</v>
      </c>
      <c r="K974" s="37" t="s">
        <v>342</v>
      </c>
      <c r="L974" s="39" t="n">
        <v>64.56</v>
      </c>
      <c r="M974" s="39" t="n">
        <v>33.42</v>
      </c>
      <c r="N974" s="39" t="n">
        <f aca="false">J974*Resumo!$C$6</f>
        <v>0</v>
      </c>
      <c r="O974" s="39" t="n">
        <f aca="false">J974*Resumo!$C$7</f>
        <v>0.587979</v>
      </c>
      <c r="P974" s="39" t="n">
        <f aca="false">J974*Resumo!$C$8</f>
        <v>0.587979</v>
      </c>
      <c r="Q974" s="39" t="n">
        <f aca="false">Resumo!$C$10*CEILING(I974/100,1)</f>
        <v>1.05</v>
      </c>
      <c r="R974" s="39" t="n">
        <f aca="false">Resumo!$C$9</f>
        <v>0</v>
      </c>
      <c r="S974" s="39" t="n">
        <f aca="false">Resumo!$C$13</f>
        <v>13.55</v>
      </c>
      <c r="T974" s="39" t="n">
        <f aca="false">Resumo!$C$14*CEILING(I974,1)</f>
        <v>9</v>
      </c>
      <c r="U974" s="39" t="n">
        <f aca="false">SUM(M974:T974)*Resumo!$C$11</f>
        <v>0</v>
      </c>
      <c r="V974" s="39" t="n">
        <f aca="false">SUM(M974:U974)</f>
        <v>58.195958</v>
      </c>
      <c r="W974" s="39" t="n">
        <f aca="false">V974/(1-Resumo!$C$5)</f>
        <v>66.1317704545455</v>
      </c>
      <c r="X974" s="39" t="n">
        <v>46.98</v>
      </c>
      <c r="Y974" s="39" t="n">
        <f aca="false">J974*Resumo!$B$6</f>
        <v>0.27999</v>
      </c>
      <c r="Z974" s="39" t="n">
        <f aca="false">J974*Resumo!$B$7</f>
        <v>0.55998</v>
      </c>
      <c r="AA974" s="39" t="n">
        <f aca="false">Resumo!$B$9</f>
        <v>1</v>
      </c>
      <c r="AB974" s="39" t="n">
        <f aca="false">Resumo!$B$10*CEILING(I974/100,1)</f>
        <v>4.5</v>
      </c>
      <c r="AC974" s="39" t="n">
        <f aca="false">Resumo!$B$12*CEILING(I974,1)</f>
        <v>1.2</v>
      </c>
      <c r="AD974" s="39" t="n">
        <f aca="false">Resumo!$B$14*CEILING(I974,1)</f>
        <v>9</v>
      </c>
      <c r="AE974" s="39" t="n">
        <f aca="false">SUM(X974:AD974)</f>
        <v>63.51997</v>
      </c>
      <c r="AF974" s="39" t="n">
        <f aca="false">AE974/(1-Resumo!$B$5)</f>
        <v>72.1817840909091</v>
      </c>
      <c r="AG974" s="39" t="n">
        <f aca="false">AF974-W974</f>
        <v>6.05001363636362</v>
      </c>
      <c r="AH974" s="40" t="n">
        <f aca="false">AF974/W974-1</f>
        <v>0.0914842230108144</v>
      </c>
      <c r="AI974" s="37" t="str">
        <f aca="false">IF(AF974&lt;W974,"SIM","NÃO")</f>
        <v>NÃO</v>
      </c>
      <c r="AJ974" s="37" t="n">
        <v>2</v>
      </c>
      <c r="AK974" s="37" t="n">
        <v>5</v>
      </c>
      <c r="AL974" s="37" t="s">
        <v>343</v>
      </c>
      <c r="AM974" s="39" t="n">
        <v>64.56</v>
      </c>
    </row>
    <row r="975" customFormat="false" ht="15" hidden="false" customHeight="false" outlineLevel="0" collapsed="false">
      <c r="A975" s="37" t="n">
        <v>376218354</v>
      </c>
      <c r="B975" s="38" t="n">
        <v>46248.3380324074</v>
      </c>
      <c r="C975" s="37" t="s">
        <v>340</v>
      </c>
      <c r="D975" s="37" t="s">
        <v>1274</v>
      </c>
      <c r="E975" s="37" t="n">
        <v>23510570</v>
      </c>
      <c r="F975" s="37" t="s">
        <v>159</v>
      </c>
      <c r="G975" s="37" t="s">
        <v>196</v>
      </c>
      <c r="H975" s="37" t="s">
        <v>184</v>
      </c>
      <c r="I975" s="37" t="n">
        <v>30.5</v>
      </c>
      <c r="J975" s="39" t="n">
        <v>413.55</v>
      </c>
      <c r="K975" s="37" t="s">
        <v>518</v>
      </c>
      <c r="L975" s="39" t="n">
        <v>82.27</v>
      </c>
      <c r="M975" s="39" t="n">
        <v>42.11</v>
      </c>
      <c r="N975" s="39" t="n">
        <f aca="false">J975*Resumo!$C$6</f>
        <v>0</v>
      </c>
      <c r="O975" s="39" t="n">
        <f aca="false">J975*Resumo!$C$7</f>
        <v>0.868455</v>
      </c>
      <c r="P975" s="39" t="n">
        <f aca="false">J975*Resumo!$C$8</f>
        <v>0.868455</v>
      </c>
      <c r="Q975" s="39" t="n">
        <f aca="false">Resumo!$C$10*CEILING(I975/100,1)</f>
        <v>1.05</v>
      </c>
      <c r="R975" s="39" t="n">
        <f aca="false">Resumo!$C$9</f>
        <v>0</v>
      </c>
      <c r="S975" s="39" t="n">
        <f aca="false">Resumo!$C$13</f>
        <v>13.55</v>
      </c>
      <c r="T975" s="39" t="n">
        <f aca="false">Resumo!$C$14*CEILING(I975,1)</f>
        <v>13.95</v>
      </c>
      <c r="U975" s="39" t="n">
        <f aca="false">SUM(M975:T975)*Resumo!$C$11</f>
        <v>0</v>
      </c>
      <c r="V975" s="39" t="n">
        <f aca="false">SUM(M975:U975)</f>
        <v>72.39691</v>
      </c>
      <c r="W975" s="39" t="n">
        <f aca="false">V975/(1-Resumo!$C$5)</f>
        <v>82.2692159090909</v>
      </c>
      <c r="X975" s="39" t="n">
        <v>82.21</v>
      </c>
      <c r="Y975" s="39" t="n">
        <f aca="false">J975*Resumo!$B$6</f>
        <v>0.41355</v>
      </c>
      <c r="Z975" s="39" t="n">
        <f aca="false">J975*Resumo!$B$7</f>
        <v>0.8271</v>
      </c>
      <c r="AA975" s="39" t="n">
        <f aca="false">Resumo!$B$9</f>
        <v>1</v>
      </c>
      <c r="AB975" s="39" t="n">
        <f aca="false">Resumo!$B$10*CEILING(I975/100,1)</f>
        <v>4.5</v>
      </c>
      <c r="AC975" s="39" t="n">
        <f aca="false">Resumo!$B$12*CEILING(I975,1)</f>
        <v>1.86</v>
      </c>
      <c r="AD975" s="39" t="n">
        <f aca="false">Resumo!$B$14*CEILING(I975,1)</f>
        <v>13.95</v>
      </c>
      <c r="AE975" s="39" t="n">
        <f aca="false">SUM(X975:AD975)</f>
        <v>104.76065</v>
      </c>
      <c r="AF975" s="39" t="n">
        <f aca="false">AE975/(1-Resumo!$B$5)</f>
        <v>119.046193181818</v>
      </c>
      <c r="AG975" s="39" t="n">
        <f aca="false">AF975-W975</f>
        <v>36.7769772727273</v>
      </c>
      <c r="AH975" s="40" t="n">
        <f aca="false">AF975/W975-1</f>
        <v>0.447032062556261</v>
      </c>
      <c r="AI975" s="37" t="str">
        <f aca="false">IF(AF975&lt;W975,"SIM","NÃO")</f>
        <v>NÃO</v>
      </c>
      <c r="AJ975" s="37" t="n">
        <v>2</v>
      </c>
      <c r="AK975" s="37" t="n">
        <v>5</v>
      </c>
      <c r="AL975" s="37" t="s">
        <v>343</v>
      </c>
      <c r="AM975" s="39" t="n">
        <v>82.31</v>
      </c>
    </row>
    <row r="976" customFormat="false" ht="15" hidden="false" customHeight="false" outlineLevel="0" collapsed="false">
      <c r="A976" s="37" t="n">
        <v>376220084</v>
      </c>
      <c r="B976" s="38" t="n">
        <v>46248.3404050926</v>
      </c>
      <c r="C976" s="37" t="s">
        <v>340</v>
      </c>
      <c r="D976" s="37" t="s">
        <v>1275</v>
      </c>
      <c r="E976" s="37" t="n">
        <v>25253554</v>
      </c>
      <c r="F976" s="37" t="s">
        <v>161</v>
      </c>
      <c r="G976" s="37" t="s">
        <v>197</v>
      </c>
      <c r="H976" s="37" t="s">
        <v>183</v>
      </c>
      <c r="I976" s="37" t="n">
        <v>19.5</v>
      </c>
      <c r="J976" s="39" t="n">
        <v>399.99</v>
      </c>
      <c r="K976" s="37" t="s">
        <v>342</v>
      </c>
      <c r="L976" s="39" t="n">
        <v>75.76</v>
      </c>
      <c r="M976" s="39" t="n">
        <v>42.72</v>
      </c>
      <c r="N976" s="39" t="n">
        <f aca="false">J976*Resumo!$C$6</f>
        <v>0</v>
      </c>
      <c r="O976" s="39" t="n">
        <f aca="false">J976*Resumo!$C$7</f>
        <v>0.839979</v>
      </c>
      <c r="P976" s="39" t="n">
        <f aca="false">J976*Resumo!$C$8</f>
        <v>0.839979</v>
      </c>
      <c r="Q976" s="39" t="n">
        <f aca="false">Resumo!$C$10*CEILING(I976/100,1)</f>
        <v>1.05</v>
      </c>
      <c r="R976" s="39" t="n">
        <f aca="false">Resumo!$C$9</f>
        <v>0</v>
      </c>
      <c r="S976" s="39" t="n">
        <f aca="false">Resumo!$C$13</f>
        <v>13.55</v>
      </c>
      <c r="T976" s="39" t="n">
        <f aca="false">Resumo!$C$14*CEILING(I976,1)</f>
        <v>9</v>
      </c>
      <c r="U976" s="39" t="n">
        <f aca="false">SUM(M976:T976)*Resumo!$C$11</f>
        <v>0</v>
      </c>
      <c r="V976" s="39" t="n">
        <f aca="false">SUM(M976:U976)</f>
        <v>67.999958</v>
      </c>
      <c r="W976" s="39" t="n">
        <f aca="false">V976/(1-Resumo!$C$5)</f>
        <v>77.2726795454545</v>
      </c>
      <c r="X976" s="39" t="n">
        <v>46.98</v>
      </c>
      <c r="Y976" s="39" t="n">
        <f aca="false">J976*Resumo!$B$6</f>
        <v>0.39999</v>
      </c>
      <c r="Z976" s="39" t="n">
        <f aca="false">J976*Resumo!$B$7</f>
        <v>0.79998</v>
      </c>
      <c r="AA976" s="39" t="n">
        <f aca="false">Resumo!$B$9</f>
        <v>1</v>
      </c>
      <c r="AB976" s="39" t="n">
        <f aca="false">Resumo!$B$10*CEILING(I976/100,1)</f>
        <v>4.5</v>
      </c>
      <c r="AC976" s="39" t="n">
        <f aca="false">Resumo!$B$12*CEILING(I976,1)</f>
        <v>1.2</v>
      </c>
      <c r="AD976" s="39" t="n">
        <f aca="false">Resumo!$B$14*CEILING(I976,1)</f>
        <v>9</v>
      </c>
      <c r="AE976" s="39" t="n">
        <f aca="false">SUM(X976:AD976)</f>
        <v>63.87997</v>
      </c>
      <c r="AF976" s="39" t="n">
        <f aca="false">AE976/(1-Resumo!$B$5)</f>
        <v>72.590875</v>
      </c>
      <c r="AG976" s="39" t="n">
        <f aca="false">AF976-W976</f>
        <v>-4.68180454545454</v>
      </c>
      <c r="AH976" s="40" t="n">
        <f aca="false">AF976/W976-1</f>
        <v>-0.0605880962455888</v>
      </c>
      <c r="AI976" s="37" t="str">
        <f aca="false">IF(AF976&lt;W976,"SIM","NÃO")</f>
        <v>SIM</v>
      </c>
      <c r="AJ976" s="37" t="n">
        <v>2</v>
      </c>
      <c r="AK976" s="37" t="n">
        <v>5</v>
      </c>
      <c r="AL976" s="37" t="s">
        <v>343</v>
      </c>
      <c r="AM976" s="39" t="n">
        <v>75.76</v>
      </c>
    </row>
    <row r="977" customFormat="false" ht="15" hidden="false" customHeight="false" outlineLevel="0" collapsed="false">
      <c r="A977" s="37" t="n">
        <v>376224969</v>
      </c>
      <c r="B977" s="38" t="n">
        <v>46248.3481018519</v>
      </c>
      <c r="C977" s="37" t="s">
        <v>340</v>
      </c>
      <c r="D977" s="37" t="s">
        <v>1276</v>
      </c>
      <c r="E977" s="37" t="n">
        <v>25645250</v>
      </c>
      <c r="F977" s="37" t="s">
        <v>170</v>
      </c>
      <c r="G977" s="37" t="s">
        <v>198</v>
      </c>
      <c r="H977" s="37" t="s">
        <v>185</v>
      </c>
      <c r="I977" s="37" t="n">
        <v>36.9</v>
      </c>
      <c r="J977" s="39" t="n">
        <v>391.88</v>
      </c>
      <c r="K977" s="37" t="s">
        <v>518</v>
      </c>
      <c r="L977" s="39" t="n">
        <v>122.57</v>
      </c>
      <c r="M977" s="39" t="n">
        <v>74.97</v>
      </c>
      <c r="N977" s="39" t="n">
        <f aca="false">J977*Resumo!$C$6</f>
        <v>0</v>
      </c>
      <c r="O977" s="39" t="n">
        <f aca="false">J977*Resumo!$C$7</f>
        <v>0.822948</v>
      </c>
      <c r="P977" s="39" t="n">
        <f aca="false">J977*Resumo!$C$8</f>
        <v>0.822948</v>
      </c>
      <c r="Q977" s="39" t="n">
        <f aca="false">Resumo!$C$10*CEILING(I977/100,1)</f>
        <v>1.05</v>
      </c>
      <c r="R977" s="39" t="n">
        <f aca="false">Resumo!$C$9</f>
        <v>0</v>
      </c>
      <c r="S977" s="39" t="n">
        <f aca="false">Resumo!$C$13</f>
        <v>13.55</v>
      </c>
      <c r="T977" s="39" t="n">
        <f aca="false">Resumo!$C$14*CEILING(I977,1)</f>
        <v>16.65</v>
      </c>
      <c r="U977" s="39" t="n">
        <f aca="false">SUM(M977:T977)*Resumo!$C$11</f>
        <v>0</v>
      </c>
      <c r="V977" s="39" t="n">
        <f aca="false">SUM(M977:U977)</f>
        <v>107.865896</v>
      </c>
      <c r="W977" s="39" t="n">
        <f aca="false">V977/(1-Resumo!$C$5)</f>
        <v>122.574881818182</v>
      </c>
      <c r="X977" s="39" t="n">
        <v>124.38</v>
      </c>
      <c r="Y977" s="39" t="n">
        <f aca="false">J977*Resumo!$B$6</f>
        <v>0.39188</v>
      </c>
      <c r="Z977" s="39" t="n">
        <f aca="false">J977*Resumo!$B$7</f>
        <v>0.78376</v>
      </c>
      <c r="AA977" s="39" t="n">
        <f aca="false">Resumo!$B$9</f>
        <v>1</v>
      </c>
      <c r="AB977" s="39" t="n">
        <f aca="false">Resumo!$B$10*CEILING(I977/100,1)</f>
        <v>4.5</v>
      </c>
      <c r="AC977" s="39" t="n">
        <f aca="false">Resumo!$B$12*CEILING(I977,1)</f>
        <v>2.22</v>
      </c>
      <c r="AD977" s="39" t="n">
        <f aca="false">Resumo!$B$14*CEILING(I977,1)</f>
        <v>16.65</v>
      </c>
      <c r="AE977" s="39" t="n">
        <f aca="false">SUM(X977:AD977)</f>
        <v>149.92564</v>
      </c>
      <c r="AF977" s="39" t="n">
        <f aca="false">AE977/(1-Resumo!$B$5)</f>
        <v>170.370045454545</v>
      </c>
      <c r="AG977" s="39" t="n">
        <f aca="false">AF977-W977</f>
        <v>47.7951636363636</v>
      </c>
      <c r="AH977" s="40" t="n">
        <f aca="false">AF977/W977-1</f>
        <v>0.389926246939069</v>
      </c>
      <c r="AI977" s="37" t="str">
        <f aca="false">IF(AF977&lt;W977,"SIM","NÃO")</f>
        <v>NÃO</v>
      </c>
      <c r="AJ977" s="37" t="n">
        <v>13</v>
      </c>
      <c r="AK977" s="37" t="n">
        <v>8</v>
      </c>
      <c r="AL977" s="37" t="s">
        <v>343</v>
      </c>
      <c r="AM977" s="39" t="n">
        <v>122.13</v>
      </c>
    </row>
    <row r="978" customFormat="false" ht="15" hidden="false" customHeight="false" outlineLevel="0" collapsed="false">
      <c r="A978" s="37" t="n">
        <v>376225688</v>
      </c>
      <c r="B978" s="38" t="n">
        <v>46248.3489583333</v>
      </c>
      <c r="C978" s="37" t="s">
        <v>340</v>
      </c>
      <c r="D978" s="37" t="s">
        <v>464</v>
      </c>
      <c r="E978" s="37" t="n">
        <v>21041030</v>
      </c>
      <c r="F978" s="37" t="s">
        <v>159</v>
      </c>
      <c r="G978" s="37" t="s">
        <v>196</v>
      </c>
      <c r="H978" s="37" t="s">
        <v>184</v>
      </c>
      <c r="I978" s="37" t="n">
        <v>22.4</v>
      </c>
      <c r="J978" s="39" t="n">
        <v>489.99</v>
      </c>
      <c r="K978" s="37" t="s">
        <v>342</v>
      </c>
      <c r="L978" s="39" t="n">
        <v>82.67</v>
      </c>
      <c r="M978" s="39" t="n">
        <v>42.11</v>
      </c>
      <c r="N978" s="39" t="n">
        <f aca="false">J978*Resumo!$C$6</f>
        <v>0</v>
      </c>
      <c r="O978" s="39" t="n">
        <f aca="false">J978*Resumo!$C$7</f>
        <v>1.028979</v>
      </c>
      <c r="P978" s="39" t="n">
        <f aca="false">J978*Resumo!$C$8</f>
        <v>1.028979</v>
      </c>
      <c r="Q978" s="39" t="n">
        <f aca="false">Resumo!$C$10*CEILING(I978/100,1)</f>
        <v>1.05</v>
      </c>
      <c r="R978" s="39" t="n">
        <f aca="false">Resumo!$C$9</f>
        <v>0</v>
      </c>
      <c r="S978" s="39" t="n">
        <f aca="false">Resumo!$C$13</f>
        <v>13.55</v>
      </c>
      <c r="T978" s="39" t="n">
        <f aca="false">Resumo!$C$14*CEILING(I978,1)</f>
        <v>10.35</v>
      </c>
      <c r="U978" s="39" t="n">
        <f aca="false">SUM(M978:T978)*Resumo!$C$11</f>
        <v>0</v>
      </c>
      <c r="V978" s="39" t="n">
        <f aca="false">SUM(M978:U978)</f>
        <v>69.117958</v>
      </c>
      <c r="W978" s="39" t="n">
        <f aca="false">V978/(1-Resumo!$C$5)</f>
        <v>78.5431340909091</v>
      </c>
      <c r="X978" s="39" t="n">
        <v>82.21</v>
      </c>
      <c r="Y978" s="39" t="n">
        <f aca="false">J978*Resumo!$B$6</f>
        <v>0.48999</v>
      </c>
      <c r="Z978" s="39" t="n">
        <f aca="false">J978*Resumo!$B$7</f>
        <v>0.97998</v>
      </c>
      <c r="AA978" s="39" t="n">
        <f aca="false">Resumo!$B$9</f>
        <v>1</v>
      </c>
      <c r="AB978" s="39" t="n">
        <f aca="false">Resumo!$B$10*CEILING(I978/100,1)</f>
        <v>4.5</v>
      </c>
      <c r="AC978" s="39" t="n">
        <f aca="false">Resumo!$B$12*CEILING(I978,1)</f>
        <v>1.38</v>
      </c>
      <c r="AD978" s="39" t="n">
        <f aca="false">Resumo!$B$14*CEILING(I978,1)</f>
        <v>10.35</v>
      </c>
      <c r="AE978" s="39" t="n">
        <f aca="false">SUM(X978:AD978)</f>
        <v>100.90997</v>
      </c>
      <c r="AF978" s="39" t="n">
        <f aca="false">AE978/(1-Resumo!$B$5)</f>
        <v>114.670420454545</v>
      </c>
      <c r="AG978" s="39" t="n">
        <f aca="false">AF978-W978</f>
        <v>36.1272863636363</v>
      </c>
      <c r="AH978" s="40" t="n">
        <f aca="false">AF978/W978-1</f>
        <v>0.459967466052744</v>
      </c>
      <c r="AI978" s="37" t="str">
        <f aca="false">IF(AF978&lt;W978,"SIM","NÃO")</f>
        <v>NÃO</v>
      </c>
      <c r="AJ978" s="37" t="n">
        <v>2</v>
      </c>
      <c r="AK978" s="37" t="n">
        <v>5</v>
      </c>
      <c r="AL978" s="37" t="s">
        <v>343</v>
      </c>
      <c r="AM978" s="39" t="n">
        <v>82.67</v>
      </c>
    </row>
    <row r="979" customFormat="false" ht="15" hidden="false" customHeight="false" outlineLevel="0" collapsed="false">
      <c r="A979" s="37" t="n">
        <v>376238500</v>
      </c>
      <c r="B979" s="38" t="n">
        <v>46248.3683912037</v>
      </c>
      <c r="C979" s="37" t="s">
        <v>340</v>
      </c>
      <c r="D979" s="37" t="s">
        <v>1277</v>
      </c>
      <c r="E979" s="37" t="n">
        <v>28909460</v>
      </c>
      <c r="F979" s="37" t="s">
        <v>172</v>
      </c>
      <c r="G979" s="37" t="s">
        <v>198</v>
      </c>
      <c r="H979" s="37" t="s">
        <v>186</v>
      </c>
      <c r="I979" s="37" t="n">
        <v>41.4</v>
      </c>
      <c r="J979" s="39" t="n">
        <v>449.99</v>
      </c>
      <c r="K979" s="37" t="s">
        <v>518</v>
      </c>
      <c r="L979" s="39" t="n">
        <v>128.5</v>
      </c>
      <c r="M979" s="39" t="n">
        <v>77.7</v>
      </c>
      <c r="N979" s="39" t="n">
        <f aca="false">J979*Resumo!$C$6</f>
        <v>0</v>
      </c>
      <c r="O979" s="39" t="n">
        <f aca="false">J979*Resumo!$C$7</f>
        <v>0.944979</v>
      </c>
      <c r="P979" s="39" t="n">
        <f aca="false">J979*Resumo!$C$8</f>
        <v>0.944979</v>
      </c>
      <c r="Q979" s="39" t="n">
        <f aca="false">Resumo!$C$10*CEILING(I979/100,1)</f>
        <v>1.05</v>
      </c>
      <c r="R979" s="39" t="n">
        <f aca="false">Resumo!$C$9</f>
        <v>0</v>
      </c>
      <c r="S979" s="39" t="n">
        <f aca="false">Resumo!$C$13</f>
        <v>13.55</v>
      </c>
      <c r="T979" s="39" t="n">
        <f aca="false">Resumo!$C$14*CEILING(I979,1)</f>
        <v>18.9</v>
      </c>
      <c r="U979" s="39" t="n">
        <f aca="false">SUM(M979:T979)*Resumo!$C$11</f>
        <v>0</v>
      </c>
      <c r="V979" s="39" t="n">
        <f aca="false">SUM(M979:U979)</f>
        <v>113.089958</v>
      </c>
      <c r="W979" s="39" t="n">
        <f aca="false">V979/(1-Resumo!$C$5)</f>
        <v>128.511315909091</v>
      </c>
      <c r="X979" s="39" t="n">
        <v>129.29</v>
      </c>
      <c r="Y979" s="39" t="n">
        <f aca="false">J979*Resumo!$B$6</f>
        <v>0.44999</v>
      </c>
      <c r="Z979" s="39" t="n">
        <f aca="false">J979*Resumo!$B$7</f>
        <v>0.89998</v>
      </c>
      <c r="AA979" s="39" t="n">
        <f aca="false">Resumo!$B$9</f>
        <v>1</v>
      </c>
      <c r="AB979" s="39" t="n">
        <f aca="false">Resumo!$B$10*CEILING(I979/100,1)</f>
        <v>4.5</v>
      </c>
      <c r="AC979" s="39" t="n">
        <f aca="false">Resumo!$B$12*CEILING(I979,1)</f>
        <v>2.52</v>
      </c>
      <c r="AD979" s="39" t="n">
        <f aca="false">Resumo!$B$14*CEILING(I979,1)</f>
        <v>18.9</v>
      </c>
      <c r="AE979" s="39" t="n">
        <f aca="false">SUM(X979:AD979)</f>
        <v>157.55997</v>
      </c>
      <c r="AF979" s="39" t="n">
        <f aca="false">AE979/(1-Resumo!$B$5)</f>
        <v>179.045420454545</v>
      </c>
      <c r="AG979" s="39" t="n">
        <f aca="false">AF979-W979</f>
        <v>50.5341045454545</v>
      </c>
      <c r="AH979" s="40" t="n">
        <f aca="false">AF979/W979-1</f>
        <v>0.393226885803601</v>
      </c>
      <c r="AI979" s="37" t="str">
        <f aca="false">IF(AF979&lt;W979,"SIM","NÃO")</f>
        <v>NÃO</v>
      </c>
      <c r="AJ979" s="37" t="n">
        <v>13</v>
      </c>
      <c r="AK979" s="37" t="n">
        <v>10</v>
      </c>
      <c r="AL979" s="37" t="s">
        <v>343</v>
      </c>
      <c r="AM979" s="39" t="n">
        <v>130.32</v>
      </c>
    </row>
    <row r="980" customFormat="false" ht="15" hidden="false" customHeight="false" outlineLevel="0" collapsed="false">
      <c r="A980" s="37" t="n">
        <v>376256435</v>
      </c>
      <c r="B980" s="38" t="n">
        <v>46248.3989467593</v>
      </c>
      <c r="C980" s="37" t="s">
        <v>340</v>
      </c>
      <c r="D980" s="37" t="s">
        <v>1278</v>
      </c>
      <c r="E980" s="37" t="n">
        <v>26510040</v>
      </c>
      <c r="F980" s="37" t="s">
        <v>238</v>
      </c>
      <c r="G980" s="37" t="s">
        <v>197</v>
      </c>
      <c r="H980" s="37" t="s">
        <v>185</v>
      </c>
      <c r="I980" s="37" t="n">
        <v>37.6</v>
      </c>
      <c r="J980" s="39" t="n">
        <v>391.05</v>
      </c>
      <c r="K980" s="37" t="s">
        <v>518</v>
      </c>
      <c r="L980" s="39" t="n">
        <v>113.83</v>
      </c>
      <c r="M980" s="39" t="n">
        <v>66.83</v>
      </c>
      <c r="N980" s="39" t="n">
        <f aca="false">J980*Resumo!$C$6</f>
        <v>0</v>
      </c>
      <c r="O980" s="39" t="n">
        <f aca="false">J980*Resumo!$C$7</f>
        <v>0.821205</v>
      </c>
      <c r="P980" s="39" t="n">
        <f aca="false">J980*Resumo!$C$8</f>
        <v>0.821205</v>
      </c>
      <c r="Q980" s="39" t="n">
        <f aca="false">Resumo!$C$10*CEILING(I980/100,1)</f>
        <v>1.05</v>
      </c>
      <c r="R980" s="39" t="n">
        <f aca="false">Resumo!$C$9</f>
        <v>0</v>
      </c>
      <c r="S980" s="39" t="n">
        <f aca="false">Resumo!$C$13</f>
        <v>13.55</v>
      </c>
      <c r="T980" s="39" t="n">
        <f aca="false">Resumo!$C$14*CEILING(I980,1)</f>
        <v>17.1</v>
      </c>
      <c r="U980" s="39" t="n">
        <f aca="false">SUM(M980:T980)*Resumo!$C$11</f>
        <v>0</v>
      </c>
      <c r="V980" s="39" t="n">
        <f aca="false">SUM(M980:U980)</f>
        <v>100.17241</v>
      </c>
      <c r="W980" s="39" t="n">
        <f aca="false">V980/(1-Resumo!$C$5)</f>
        <v>113.832284090909</v>
      </c>
      <c r="X980" s="39" t="n">
        <v>93.97</v>
      </c>
      <c r="Y980" s="39" t="n">
        <f aca="false">J980*Resumo!$B$6</f>
        <v>0.39105</v>
      </c>
      <c r="Z980" s="39" t="n">
        <f aca="false">J980*Resumo!$B$7</f>
        <v>0.7821</v>
      </c>
      <c r="AA980" s="39" t="n">
        <f aca="false">Resumo!$B$9</f>
        <v>1</v>
      </c>
      <c r="AB980" s="39" t="n">
        <f aca="false">Resumo!$B$10*CEILING(I980/100,1)</f>
        <v>4.5</v>
      </c>
      <c r="AC980" s="39" t="n">
        <f aca="false">Resumo!$B$12*CEILING(I980,1)</f>
        <v>2.28</v>
      </c>
      <c r="AD980" s="39" t="n">
        <f aca="false">Resumo!$B$14*CEILING(I980,1)</f>
        <v>17.1</v>
      </c>
      <c r="AE980" s="39" t="n">
        <f aca="false">SUM(X980:AD980)</f>
        <v>120.02315</v>
      </c>
      <c r="AF980" s="39" t="n">
        <f aca="false">AE980/(1-Resumo!$B$5)</f>
        <v>136.389943181818</v>
      </c>
      <c r="AG980" s="39" t="n">
        <f aca="false">AF980-W980</f>
        <v>22.557659090909</v>
      </c>
      <c r="AH980" s="40" t="n">
        <f aca="false">AF980/W980-1</f>
        <v>0.198165742443453</v>
      </c>
      <c r="AI980" s="37" t="str">
        <f aca="false">IF(AF980&lt;W980,"SIM","NÃO")</f>
        <v>NÃO</v>
      </c>
      <c r="AJ980" s="37" t="n">
        <v>2</v>
      </c>
      <c r="AK980" s="37" t="n">
        <v>5</v>
      </c>
      <c r="AL980" s="37" t="s">
        <v>347</v>
      </c>
      <c r="AM980" s="39" t="n">
        <v>112.83</v>
      </c>
    </row>
    <row r="981" customFormat="false" ht="15" hidden="false" customHeight="false" outlineLevel="0" collapsed="false">
      <c r="A981" s="37" t="n">
        <v>376269648</v>
      </c>
      <c r="B981" s="38" t="n">
        <v>46248.4164351852</v>
      </c>
      <c r="C981" s="37" t="s">
        <v>340</v>
      </c>
      <c r="D981" s="37" t="s">
        <v>1026</v>
      </c>
      <c r="E981" s="37" t="n">
        <v>22783124</v>
      </c>
      <c r="F981" s="37" t="s">
        <v>159</v>
      </c>
      <c r="G981" s="37" t="s">
        <v>196</v>
      </c>
      <c r="H981" s="37" t="s">
        <v>187</v>
      </c>
      <c r="I981" s="37" t="n">
        <v>52.3</v>
      </c>
      <c r="J981" s="39" t="n">
        <v>699.99</v>
      </c>
      <c r="K981" s="37" t="s">
        <v>342</v>
      </c>
      <c r="L981" s="39" t="n">
        <v>114.5</v>
      </c>
      <c r="M981" s="39" t="n">
        <v>58.6</v>
      </c>
      <c r="N981" s="39" t="n">
        <f aca="false">J981*Resumo!$C$6</f>
        <v>0</v>
      </c>
      <c r="O981" s="39" t="n">
        <f aca="false">J981*Resumo!$C$7</f>
        <v>1.469979</v>
      </c>
      <c r="P981" s="39" t="n">
        <f aca="false">J981*Resumo!$C$8</f>
        <v>1.469979</v>
      </c>
      <c r="Q981" s="39" t="n">
        <f aca="false">Resumo!$C$10*CEILING(I981/100,1)</f>
        <v>1.05</v>
      </c>
      <c r="R981" s="39" t="n">
        <f aca="false">Resumo!$C$9</f>
        <v>0</v>
      </c>
      <c r="S981" s="39" t="n">
        <f aca="false">Resumo!$C$13</f>
        <v>13.55</v>
      </c>
      <c r="T981" s="39" t="n">
        <f aca="false">Resumo!$C$14*CEILING(I981,1)</f>
        <v>23.85</v>
      </c>
      <c r="U981" s="39" t="n">
        <f aca="false">SUM(M981:T981)*Resumo!$C$11</f>
        <v>0</v>
      </c>
      <c r="V981" s="39" t="n">
        <f aca="false">SUM(M981:U981)</f>
        <v>99.989958</v>
      </c>
      <c r="W981" s="39" t="n">
        <f aca="false">V981/(1-Resumo!$C$5)</f>
        <v>113.624952272727</v>
      </c>
      <c r="X981" s="39" t="n">
        <v>112.3</v>
      </c>
      <c r="Y981" s="39" t="n">
        <f aca="false">J981*Resumo!$B$6</f>
        <v>0.69999</v>
      </c>
      <c r="Z981" s="39" t="n">
        <f aca="false">J981*Resumo!$B$7</f>
        <v>1.39998</v>
      </c>
      <c r="AA981" s="39" t="n">
        <f aca="false">Resumo!$B$9</f>
        <v>1</v>
      </c>
      <c r="AB981" s="39" t="n">
        <f aca="false">Resumo!$B$10*CEILING(I981/100,1)</f>
        <v>4.5</v>
      </c>
      <c r="AC981" s="39" t="n">
        <f aca="false">Resumo!$B$12*CEILING(I981,1)</f>
        <v>3.18</v>
      </c>
      <c r="AD981" s="39" t="n">
        <f aca="false">Resumo!$B$14*CEILING(I981,1)</f>
        <v>23.85</v>
      </c>
      <c r="AE981" s="39" t="n">
        <f aca="false">SUM(X981:AD981)</f>
        <v>146.92997</v>
      </c>
      <c r="AF981" s="39" t="n">
        <f aca="false">AE981/(1-Resumo!$B$5)</f>
        <v>166.965875</v>
      </c>
      <c r="AG981" s="39" t="n">
        <f aca="false">AF981-W981</f>
        <v>53.3409227272727</v>
      </c>
      <c r="AH981" s="40" t="n">
        <f aca="false">AF981/W981-1</f>
        <v>0.469447261894039</v>
      </c>
      <c r="AI981" s="37" t="str">
        <f aca="false">IF(AF981&lt;W981,"SIM","NÃO")</f>
        <v>NÃO</v>
      </c>
      <c r="AJ981" s="37" t="n">
        <v>2</v>
      </c>
      <c r="AK981" s="37" t="n">
        <v>5</v>
      </c>
      <c r="AL981" s="37" t="s">
        <v>343</v>
      </c>
      <c r="AM981" s="39" t="n">
        <v>114.5</v>
      </c>
    </row>
    <row r="982" customFormat="false" ht="15" hidden="false" customHeight="false" outlineLevel="0" collapsed="false">
      <c r="A982" s="37" t="n">
        <v>376270939</v>
      </c>
      <c r="B982" s="38" t="n">
        <v>46248.4182523148</v>
      </c>
      <c r="C982" s="37" t="s">
        <v>340</v>
      </c>
      <c r="D982" s="37" t="s">
        <v>1279</v>
      </c>
      <c r="E982" s="37" t="n">
        <v>26087095</v>
      </c>
      <c r="F982" s="37" t="s">
        <v>162</v>
      </c>
      <c r="G982" s="37" t="s">
        <v>197</v>
      </c>
      <c r="H982" s="37" t="s">
        <v>188</v>
      </c>
      <c r="I982" s="37" t="n">
        <v>63.9</v>
      </c>
      <c r="J982" s="39" t="n">
        <v>753.78</v>
      </c>
      <c r="K982" s="37" t="s">
        <v>342</v>
      </c>
      <c r="L982" s="39" t="n">
        <v>140.06</v>
      </c>
      <c r="M982" s="39" t="n">
        <v>76.55</v>
      </c>
      <c r="N982" s="39" t="n">
        <f aca="false">J982*Resumo!$C$6</f>
        <v>0</v>
      </c>
      <c r="O982" s="39" t="n">
        <f aca="false">J982*Resumo!$C$7</f>
        <v>1.582938</v>
      </c>
      <c r="P982" s="39" t="n">
        <f aca="false">J982*Resumo!$C$8</f>
        <v>1.582938</v>
      </c>
      <c r="Q982" s="39" t="n">
        <f aca="false">Resumo!$C$10*CEILING(I982/100,1)</f>
        <v>1.05</v>
      </c>
      <c r="R982" s="39" t="n">
        <f aca="false">Resumo!$C$9</f>
        <v>0</v>
      </c>
      <c r="S982" s="39" t="n">
        <f aca="false">Resumo!$C$13</f>
        <v>13.55</v>
      </c>
      <c r="T982" s="39" t="n">
        <f aca="false">Resumo!$C$14*CEILING(I982,1)</f>
        <v>28.8</v>
      </c>
      <c r="U982" s="39" t="n">
        <f aca="false">SUM(M982:T982)*Resumo!$C$11</f>
        <v>0</v>
      </c>
      <c r="V982" s="39" t="n">
        <f aca="false">SUM(M982:U982)</f>
        <v>123.115876</v>
      </c>
      <c r="W982" s="39" t="n">
        <f aca="false">V982/(1-Resumo!$C$5)</f>
        <v>139.904404545455</v>
      </c>
      <c r="X982" s="39" t="n">
        <v>131.02</v>
      </c>
      <c r="Y982" s="39" t="n">
        <f aca="false">J982*Resumo!$B$6</f>
        <v>0.75378</v>
      </c>
      <c r="Z982" s="39" t="n">
        <f aca="false">J982*Resumo!$B$7</f>
        <v>1.50756</v>
      </c>
      <c r="AA982" s="39" t="n">
        <f aca="false">Resumo!$B$9</f>
        <v>1</v>
      </c>
      <c r="AB982" s="39" t="n">
        <f aca="false">Resumo!$B$10*CEILING(I982/100,1)</f>
        <v>4.5</v>
      </c>
      <c r="AC982" s="39" t="n">
        <f aca="false">Resumo!$B$12*CEILING(I982,1)</f>
        <v>3.84</v>
      </c>
      <c r="AD982" s="39" t="n">
        <f aca="false">Resumo!$B$14*CEILING(I982,1)</f>
        <v>28.8</v>
      </c>
      <c r="AE982" s="39" t="n">
        <f aca="false">SUM(X982:AD982)</f>
        <v>171.42134</v>
      </c>
      <c r="AF982" s="39" t="n">
        <f aca="false">AE982/(1-Resumo!$B$5)</f>
        <v>194.796977272727</v>
      </c>
      <c r="AG982" s="39" t="n">
        <f aca="false">AF982-W982</f>
        <v>54.8925727272727</v>
      </c>
      <c r="AH982" s="40" t="n">
        <f aca="false">AF982/W982-1</f>
        <v>0.392357716725339</v>
      </c>
      <c r="AI982" s="37" t="str">
        <f aca="false">IF(AF982&lt;W982,"SIM","NÃO")</f>
        <v>NÃO</v>
      </c>
      <c r="AJ982" s="37" t="n">
        <v>2</v>
      </c>
      <c r="AK982" s="37" t="n">
        <v>5</v>
      </c>
      <c r="AL982" s="37" t="s">
        <v>343</v>
      </c>
      <c r="AM982" s="39" t="n">
        <v>140.05</v>
      </c>
    </row>
    <row r="983" customFormat="false" ht="15" hidden="false" customHeight="false" outlineLevel="0" collapsed="false">
      <c r="A983" s="37" t="n">
        <v>376291149</v>
      </c>
      <c r="B983" s="38" t="n">
        <v>46248.4437152778</v>
      </c>
      <c r="C983" s="37" t="s">
        <v>340</v>
      </c>
      <c r="D983" s="37" t="s">
        <v>1280</v>
      </c>
      <c r="E983" s="37" t="n">
        <v>23595290</v>
      </c>
      <c r="F983" s="37" t="s">
        <v>159</v>
      </c>
      <c r="G983" s="37" t="s">
        <v>196</v>
      </c>
      <c r="H983" s="37" t="s">
        <v>187</v>
      </c>
      <c r="I983" s="37" t="n">
        <v>52.3</v>
      </c>
      <c r="J983" s="39" t="n">
        <v>699.99</v>
      </c>
      <c r="K983" s="37" t="s">
        <v>518</v>
      </c>
      <c r="L983" s="39" t="n">
        <v>113.63</v>
      </c>
      <c r="M983" s="39" t="n">
        <v>58.6</v>
      </c>
      <c r="N983" s="39" t="n">
        <f aca="false">J983*Resumo!$C$6</f>
        <v>0</v>
      </c>
      <c r="O983" s="39" t="n">
        <f aca="false">J983*Resumo!$C$7</f>
        <v>1.469979</v>
      </c>
      <c r="P983" s="39" t="n">
        <f aca="false">J983*Resumo!$C$8</f>
        <v>1.469979</v>
      </c>
      <c r="Q983" s="39" t="n">
        <f aca="false">Resumo!$C$10*CEILING(I983/100,1)</f>
        <v>1.05</v>
      </c>
      <c r="R983" s="39" t="n">
        <f aca="false">Resumo!$C$9</f>
        <v>0</v>
      </c>
      <c r="S983" s="39" t="n">
        <f aca="false">Resumo!$C$13</f>
        <v>13.55</v>
      </c>
      <c r="T983" s="39" t="n">
        <f aca="false">Resumo!$C$14*CEILING(I983,1)</f>
        <v>23.85</v>
      </c>
      <c r="U983" s="39" t="n">
        <f aca="false">SUM(M983:T983)*Resumo!$C$11</f>
        <v>0</v>
      </c>
      <c r="V983" s="39" t="n">
        <f aca="false">SUM(M983:U983)</f>
        <v>99.989958</v>
      </c>
      <c r="W983" s="39" t="n">
        <f aca="false">V983/(1-Resumo!$C$5)</f>
        <v>113.624952272727</v>
      </c>
      <c r="X983" s="39" t="n">
        <v>112.3</v>
      </c>
      <c r="Y983" s="39" t="n">
        <f aca="false">J983*Resumo!$B$6</f>
        <v>0.69999</v>
      </c>
      <c r="Z983" s="39" t="n">
        <f aca="false">J983*Resumo!$B$7</f>
        <v>1.39998</v>
      </c>
      <c r="AA983" s="39" t="n">
        <f aca="false">Resumo!$B$9</f>
        <v>1</v>
      </c>
      <c r="AB983" s="39" t="n">
        <f aca="false">Resumo!$B$10*CEILING(I983/100,1)</f>
        <v>4.5</v>
      </c>
      <c r="AC983" s="39" t="n">
        <f aca="false">Resumo!$B$12*CEILING(I983,1)</f>
        <v>3.18</v>
      </c>
      <c r="AD983" s="39" t="n">
        <f aca="false">Resumo!$B$14*CEILING(I983,1)</f>
        <v>23.85</v>
      </c>
      <c r="AE983" s="39" t="n">
        <f aca="false">SUM(X983:AD983)</f>
        <v>146.92997</v>
      </c>
      <c r="AF983" s="39" t="n">
        <f aca="false">AE983/(1-Resumo!$B$5)</f>
        <v>166.965875</v>
      </c>
      <c r="AG983" s="39" t="n">
        <f aca="false">AF983-W983</f>
        <v>53.3409227272727</v>
      </c>
      <c r="AH983" s="40" t="n">
        <f aca="false">AF983/W983-1</f>
        <v>0.469447261894039</v>
      </c>
      <c r="AI983" s="37" t="str">
        <f aca="false">IF(AF983&lt;W983,"SIM","NÃO")</f>
        <v>NÃO</v>
      </c>
      <c r="AJ983" s="37" t="n">
        <v>2</v>
      </c>
      <c r="AK983" s="37" t="n">
        <v>5</v>
      </c>
      <c r="AL983" s="37" t="s">
        <v>343</v>
      </c>
      <c r="AM983" s="39" t="n">
        <v>114.5</v>
      </c>
    </row>
    <row r="984" customFormat="false" ht="15" hidden="false" customHeight="false" outlineLevel="0" collapsed="false">
      <c r="A984" s="37" t="n">
        <v>376322708</v>
      </c>
      <c r="B984" s="38" t="n">
        <v>46248.4835532407</v>
      </c>
      <c r="C984" s="37" t="s">
        <v>345</v>
      </c>
      <c r="D984" s="37" t="s">
        <v>1281</v>
      </c>
      <c r="E984" s="37" t="n">
        <v>21210002</v>
      </c>
      <c r="F984" s="37" t="s">
        <v>159</v>
      </c>
      <c r="G984" s="37" t="s">
        <v>196</v>
      </c>
      <c r="H984" s="37" t="s">
        <v>187</v>
      </c>
      <c r="I984" s="37" t="n">
        <v>53.5</v>
      </c>
      <c r="J984" s="39" t="n">
        <v>582.96</v>
      </c>
      <c r="K984" s="37" t="s">
        <v>342</v>
      </c>
      <c r="L984" s="39" t="n">
        <v>113.95</v>
      </c>
      <c r="M984" s="39" t="n">
        <v>58.6</v>
      </c>
      <c r="N984" s="39" t="n">
        <f aca="false">J984*Resumo!$C$6</f>
        <v>0</v>
      </c>
      <c r="O984" s="39" t="n">
        <f aca="false">J984*Resumo!$C$7</f>
        <v>1.224216</v>
      </c>
      <c r="P984" s="39" t="n">
        <f aca="false">J984*Resumo!$C$8</f>
        <v>1.224216</v>
      </c>
      <c r="Q984" s="39" t="n">
        <f aca="false">Resumo!$C$10*CEILING(I984/100,1)</f>
        <v>1.05</v>
      </c>
      <c r="R984" s="39" t="n">
        <f aca="false">Resumo!$C$9</f>
        <v>0</v>
      </c>
      <c r="S984" s="39" t="n">
        <f aca="false">Resumo!$C$13</f>
        <v>13.55</v>
      </c>
      <c r="T984" s="39" t="n">
        <f aca="false">Resumo!$C$14*CEILING(I984,1)</f>
        <v>24.3</v>
      </c>
      <c r="U984" s="39" t="n">
        <f aca="false">SUM(M984:T984)*Resumo!$C$11</f>
        <v>0</v>
      </c>
      <c r="V984" s="39" t="n">
        <f aca="false">SUM(M984:U984)</f>
        <v>99.948432</v>
      </c>
      <c r="W984" s="39" t="n">
        <f aca="false">V984/(1-Resumo!$C$5)</f>
        <v>113.577763636364</v>
      </c>
      <c r="X984" s="39" t="n">
        <v>112.3</v>
      </c>
      <c r="Y984" s="39" t="n">
        <f aca="false">J984*Resumo!$B$6</f>
        <v>0.58296</v>
      </c>
      <c r="Z984" s="39" t="n">
        <f aca="false">J984*Resumo!$B$7</f>
        <v>1.16592</v>
      </c>
      <c r="AA984" s="39" t="n">
        <f aca="false">Resumo!$B$9</f>
        <v>1</v>
      </c>
      <c r="AB984" s="39" t="n">
        <f aca="false">Resumo!$B$10*CEILING(I984/100,1)</f>
        <v>4.5</v>
      </c>
      <c r="AC984" s="39" t="n">
        <f aca="false">Resumo!$B$12*CEILING(I984,1)</f>
        <v>3.24</v>
      </c>
      <c r="AD984" s="39" t="n">
        <f aca="false">Resumo!$B$14*CEILING(I984,1)</f>
        <v>24.3</v>
      </c>
      <c r="AE984" s="39" t="n">
        <f aca="false">SUM(X984:AD984)</f>
        <v>147.08888</v>
      </c>
      <c r="AF984" s="39" t="n">
        <f aca="false">AE984/(1-Resumo!$B$5)</f>
        <v>167.146454545455</v>
      </c>
      <c r="AG984" s="39" t="n">
        <f aca="false">AF984-W984</f>
        <v>53.5686909090909</v>
      </c>
      <c r="AH984" s="40" t="n">
        <f aca="false">AF984/W984-1</f>
        <v>0.471647699285568</v>
      </c>
      <c r="AI984" s="37" t="str">
        <f aca="false">IF(AF984&lt;W984,"SIM","NÃO")</f>
        <v>NÃO</v>
      </c>
      <c r="AJ984" s="37" t="n">
        <v>2</v>
      </c>
      <c r="AK984" s="37" t="n">
        <v>5</v>
      </c>
      <c r="AL984" s="37" t="s">
        <v>343</v>
      </c>
      <c r="AM984" s="39" t="n">
        <v>113.94</v>
      </c>
    </row>
    <row r="985" customFormat="false" ht="15" hidden="false" customHeight="false" outlineLevel="0" collapsed="false">
      <c r="A985" s="37" t="n">
        <v>376329870</v>
      </c>
      <c r="B985" s="38" t="n">
        <v>46248.4919212963</v>
      </c>
      <c r="C985" s="37" t="s">
        <v>340</v>
      </c>
      <c r="D985" s="37" t="s">
        <v>1282</v>
      </c>
      <c r="E985" s="37" t="n">
        <v>27580180</v>
      </c>
      <c r="F985" s="37" t="s">
        <v>252</v>
      </c>
      <c r="G985" s="37" t="s">
        <v>198</v>
      </c>
      <c r="H985" s="37" t="s">
        <v>188</v>
      </c>
      <c r="I985" s="37" t="n">
        <v>69.45</v>
      </c>
      <c r="J985" s="39" t="n">
        <v>859.99</v>
      </c>
      <c r="K985" s="37" t="s">
        <v>518</v>
      </c>
      <c r="L985" s="39" t="n">
        <v>159</v>
      </c>
      <c r="M985" s="39" t="n">
        <v>90.2</v>
      </c>
      <c r="N985" s="39" t="n">
        <f aca="false">J985*Resumo!$C$6</f>
        <v>0</v>
      </c>
      <c r="O985" s="39" t="n">
        <f aca="false">J985*Resumo!$C$7</f>
        <v>1.805979</v>
      </c>
      <c r="P985" s="39" t="n">
        <f aca="false">J985*Resumo!$C$8</f>
        <v>1.805979</v>
      </c>
      <c r="Q985" s="39" t="n">
        <f aca="false">Resumo!$C$10*CEILING(I985/100,1)</f>
        <v>1.05</v>
      </c>
      <c r="R985" s="39" t="n">
        <f aca="false">Resumo!$C$9</f>
        <v>0</v>
      </c>
      <c r="S985" s="39" t="n">
        <f aca="false">Resumo!$C$13</f>
        <v>13.55</v>
      </c>
      <c r="T985" s="39" t="n">
        <f aca="false">Resumo!$C$14*CEILING(I985,1)</f>
        <v>31.5</v>
      </c>
      <c r="U985" s="39" t="n">
        <f aca="false">SUM(M985:T985)*Resumo!$C$11</f>
        <v>0</v>
      </c>
      <c r="V985" s="39" t="n">
        <f aca="false">SUM(M985:U985)</f>
        <v>139.911958</v>
      </c>
      <c r="W985" s="39" t="n">
        <f aca="false">V985/(1-Resumo!$C$5)</f>
        <v>158.990861363636</v>
      </c>
      <c r="X985" s="39" t="n">
        <v>166.05</v>
      </c>
      <c r="Y985" s="39" t="n">
        <f aca="false">J985*Resumo!$B$6</f>
        <v>0.85999</v>
      </c>
      <c r="Z985" s="39" t="n">
        <f aca="false">J985*Resumo!$B$7</f>
        <v>1.71998</v>
      </c>
      <c r="AA985" s="39" t="n">
        <f aca="false">Resumo!$B$9</f>
        <v>1</v>
      </c>
      <c r="AB985" s="39" t="n">
        <f aca="false">Resumo!$B$10*CEILING(I985/100,1)</f>
        <v>4.5</v>
      </c>
      <c r="AC985" s="39" t="n">
        <f aca="false">Resumo!$B$12*CEILING(I985,1)</f>
        <v>4.2</v>
      </c>
      <c r="AD985" s="39" t="n">
        <f aca="false">Resumo!$B$14*CEILING(I985,1)</f>
        <v>31.5</v>
      </c>
      <c r="AE985" s="39" t="n">
        <f aca="false">SUM(X985:AD985)</f>
        <v>209.82997</v>
      </c>
      <c r="AF985" s="39" t="n">
        <f aca="false">AE985/(1-Resumo!$B$5)</f>
        <v>238.443147727273</v>
      </c>
      <c r="AG985" s="39" t="n">
        <f aca="false">AF985-W985</f>
        <v>79.4522863636364</v>
      </c>
      <c r="AH985" s="40" t="n">
        <f aca="false">AF985/W985-1</f>
        <v>0.499728636490099</v>
      </c>
      <c r="AI985" s="37" t="str">
        <f aca="false">IF(AF985&lt;W985,"SIM","NÃO")</f>
        <v>NÃO</v>
      </c>
      <c r="AJ985" s="37" t="n">
        <v>13</v>
      </c>
      <c r="AK985" s="37" t="n">
        <v>10</v>
      </c>
      <c r="AL985" s="37" t="s">
        <v>347</v>
      </c>
      <c r="AM985" s="39" t="n">
        <v>156.14</v>
      </c>
    </row>
    <row r="986" customFormat="false" ht="15" hidden="false" customHeight="false" outlineLevel="0" collapsed="false">
      <c r="A986" s="37" t="n">
        <v>376329163</v>
      </c>
      <c r="B986" s="38" t="n">
        <v>46248.4941319445</v>
      </c>
      <c r="C986" s="37" t="s">
        <v>361</v>
      </c>
      <c r="D986" s="37" t="s">
        <v>1283</v>
      </c>
      <c r="E986" s="37" t="n">
        <v>21020160</v>
      </c>
      <c r="F986" s="37" t="s">
        <v>159</v>
      </c>
      <c r="G986" s="37" t="s">
        <v>196</v>
      </c>
      <c r="H986" s="37" t="s">
        <v>184</v>
      </c>
      <c r="I986" s="37" t="n">
        <v>33</v>
      </c>
      <c r="J986" s="39" t="n">
        <v>459.99</v>
      </c>
      <c r="K986" s="37" t="s">
        <v>342</v>
      </c>
      <c r="L986" s="39" t="n">
        <v>82.53</v>
      </c>
      <c r="M986" s="39" t="n">
        <v>42.11</v>
      </c>
      <c r="N986" s="39" t="n">
        <f aca="false">J986*Resumo!$C$6</f>
        <v>0</v>
      </c>
      <c r="O986" s="39" t="n">
        <f aca="false">J986*Resumo!$C$7</f>
        <v>0.965979</v>
      </c>
      <c r="P986" s="39" t="n">
        <f aca="false">J986*Resumo!$C$8</f>
        <v>0.965979</v>
      </c>
      <c r="Q986" s="39" t="n">
        <f aca="false">Resumo!$C$10*CEILING(I986/100,1)</f>
        <v>1.05</v>
      </c>
      <c r="R986" s="39" t="n">
        <f aca="false">Resumo!$C$9</f>
        <v>0</v>
      </c>
      <c r="S986" s="39" t="n">
        <f aca="false">Resumo!$C$13</f>
        <v>13.55</v>
      </c>
      <c r="T986" s="39" t="n">
        <f aca="false">Resumo!$C$14*CEILING(I986,1)</f>
        <v>14.85</v>
      </c>
      <c r="U986" s="39" t="n">
        <f aca="false">SUM(M986:T986)*Resumo!$C$11</f>
        <v>0</v>
      </c>
      <c r="V986" s="39" t="n">
        <f aca="false">SUM(M986:U986)</f>
        <v>73.491958</v>
      </c>
      <c r="W986" s="39" t="n">
        <f aca="false">V986/(1-Resumo!$C$5)</f>
        <v>83.5135886363636</v>
      </c>
      <c r="X986" s="39" t="n">
        <v>82.21</v>
      </c>
      <c r="Y986" s="39" t="n">
        <f aca="false">J986*Resumo!$B$6</f>
        <v>0.45999</v>
      </c>
      <c r="Z986" s="39" t="n">
        <f aca="false">J986*Resumo!$B$7</f>
        <v>0.91998</v>
      </c>
      <c r="AA986" s="39" t="n">
        <f aca="false">Resumo!$B$9</f>
        <v>1</v>
      </c>
      <c r="AB986" s="39" t="n">
        <f aca="false">Resumo!$B$10*CEILING(I986/100,1)</f>
        <v>4.5</v>
      </c>
      <c r="AC986" s="39" t="n">
        <f aca="false">Resumo!$B$12*CEILING(I986,1)</f>
        <v>1.98</v>
      </c>
      <c r="AD986" s="39" t="n">
        <f aca="false">Resumo!$B$14*CEILING(I986,1)</f>
        <v>14.85</v>
      </c>
      <c r="AE986" s="39" t="n">
        <f aca="false">SUM(X986:AD986)</f>
        <v>105.91997</v>
      </c>
      <c r="AF986" s="39" t="n">
        <f aca="false">AE986/(1-Resumo!$B$5)</f>
        <v>120.363602272727</v>
      </c>
      <c r="AG986" s="39" t="n">
        <f aca="false">AF986-W986</f>
        <v>36.8500136363636</v>
      </c>
      <c r="AH986" s="40" t="n">
        <f aca="false">AF986/W986-1</f>
        <v>0.441245721062432</v>
      </c>
      <c r="AI986" s="37" t="str">
        <f aca="false">IF(AF986&lt;W986,"SIM","NÃO")</f>
        <v>NÃO</v>
      </c>
      <c r="AJ986" s="37" t="n">
        <v>2</v>
      </c>
      <c r="AK986" s="37" t="n">
        <v>5</v>
      </c>
      <c r="AL986" s="37" t="s">
        <v>343</v>
      </c>
      <c r="AM986" s="39" t="n">
        <v>82.53</v>
      </c>
    </row>
    <row r="987" customFormat="false" ht="15" hidden="false" customHeight="false" outlineLevel="0" collapsed="false">
      <c r="A987" s="37" t="n">
        <v>376335434</v>
      </c>
      <c r="B987" s="38" t="n">
        <v>46248.49875</v>
      </c>
      <c r="C987" s="37" t="s">
        <v>340</v>
      </c>
      <c r="D987" s="37" t="s">
        <v>1022</v>
      </c>
      <c r="E987" s="37" t="n">
        <v>23025150</v>
      </c>
      <c r="F987" s="37" t="s">
        <v>159</v>
      </c>
      <c r="G987" s="37" t="s">
        <v>196</v>
      </c>
      <c r="H987" s="37" t="s">
        <v>185</v>
      </c>
      <c r="I987" s="37" t="n">
        <v>38.15</v>
      </c>
      <c r="J987" s="39" t="n">
        <v>459.99</v>
      </c>
      <c r="K987" s="37" t="s">
        <v>518</v>
      </c>
      <c r="L987" s="39" t="n">
        <v>93.68</v>
      </c>
      <c r="M987" s="39" t="n">
        <v>48.35</v>
      </c>
      <c r="N987" s="39" t="n">
        <f aca="false">J987*Resumo!$C$6</f>
        <v>0</v>
      </c>
      <c r="O987" s="39" t="n">
        <f aca="false">J987*Resumo!$C$7</f>
        <v>0.965979</v>
      </c>
      <c r="P987" s="39" t="n">
        <f aca="false">J987*Resumo!$C$8</f>
        <v>0.965979</v>
      </c>
      <c r="Q987" s="39" t="n">
        <f aca="false">Resumo!$C$10*CEILING(I987/100,1)</f>
        <v>1.05</v>
      </c>
      <c r="R987" s="39" t="n">
        <f aca="false">Resumo!$C$9</f>
        <v>0</v>
      </c>
      <c r="S987" s="39" t="n">
        <f aca="false">Resumo!$C$13</f>
        <v>13.55</v>
      </c>
      <c r="T987" s="39" t="n">
        <f aca="false">Resumo!$C$14*CEILING(I987,1)</f>
        <v>17.55</v>
      </c>
      <c r="U987" s="39" t="n">
        <f aca="false">SUM(M987:T987)*Resumo!$C$11</f>
        <v>0</v>
      </c>
      <c r="V987" s="39" t="n">
        <f aca="false">SUM(M987:U987)</f>
        <v>82.431958</v>
      </c>
      <c r="W987" s="39" t="n">
        <f aca="false">V987/(1-Resumo!$C$5)</f>
        <v>93.6726795454545</v>
      </c>
      <c r="X987" s="39" t="n">
        <v>93.97</v>
      </c>
      <c r="Y987" s="39" t="n">
        <f aca="false">J987*Resumo!$B$6</f>
        <v>0.45999</v>
      </c>
      <c r="Z987" s="39" t="n">
        <f aca="false">J987*Resumo!$B$7</f>
        <v>0.91998</v>
      </c>
      <c r="AA987" s="39" t="n">
        <f aca="false">Resumo!$B$9</f>
        <v>1</v>
      </c>
      <c r="AB987" s="39" t="n">
        <f aca="false">Resumo!$B$10*CEILING(I987/100,1)</f>
        <v>4.5</v>
      </c>
      <c r="AC987" s="39" t="n">
        <f aca="false">Resumo!$B$12*CEILING(I987,1)</f>
        <v>2.34</v>
      </c>
      <c r="AD987" s="39" t="n">
        <f aca="false">Resumo!$B$14*CEILING(I987,1)</f>
        <v>17.55</v>
      </c>
      <c r="AE987" s="39" t="n">
        <f aca="false">SUM(X987:AD987)</f>
        <v>120.73997</v>
      </c>
      <c r="AF987" s="39" t="n">
        <f aca="false">AE987/(1-Resumo!$B$5)</f>
        <v>137.204511363636</v>
      </c>
      <c r="AG987" s="39" t="n">
        <f aca="false">AF987-W987</f>
        <v>43.5318318181818</v>
      </c>
      <c r="AH987" s="40" t="n">
        <f aca="false">AF987/W987-1</f>
        <v>0.464722820244061</v>
      </c>
      <c r="AI987" s="37" t="str">
        <f aca="false">IF(AF987&lt;W987,"SIM","NÃO")</f>
        <v>NÃO</v>
      </c>
      <c r="AJ987" s="37" t="n">
        <v>2</v>
      </c>
      <c r="AK987" s="37" t="n">
        <v>5</v>
      </c>
      <c r="AL987" s="37" t="s">
        <v>343</v>
      </c>
      <c r="AM987" s="39" t="n">
        <v>92.06</v>
      </c>
    </row>
    <row r="988" customFormat="false" ht="15" hidden="false" customHeight="false" outlineLevel="0" collapsed="false">
      <c r="A988" s="37" t="n">
        <v>376350101</v>
      </c>
      <c r="B988" s="38" t="n">
        <v>46248.5171064815</v>
      </c>
      <c r="C988" s="37" t="s">
        <v>340</v>
      </c>
      <c r="D988" s="37" t="s">
        <v>1284</v>
      </c>
      <c r="E988" s="37" t="n">
        <v>23066550</v>
      </c>
      <c r="F988" s="37" t="s">
        <v>159</v>
      </c>
      <c r="G988" s="37" t="s">
        <v>196</v>
      </c>
      <c r="H988" s="37" t="s">
        <v>188</v>
      </c>
      <c r="I988" s="37" t="n">
        <v>63.9</v>
      </c>
      <c r="J988" s="39" t="n">
        <v>730.98</v>
      </c>
      <c r="K988" s="37" t="s">
        <v>518</v>
      </c>
      <c r="L988" s="39" t="n">
        <v>124.65</v>
      </c>
      <c r="M988" s="39" t="n">
        <v>63.21</v>
      </c>
      <c r="N988" s="39" t="n">
        <f aca="false">J988*Resumo!$C$6</f>
        <v>0</v>
      </c>
      <c r="O988" s="39" t="n">
        <f aca="false">J988*Resumo!$C$7</f>
        <v>1.535058</v>
      </c>
      <c r="P988" s="39" t="n">
        <f aca="false">J988*Resumo!$C$8</f>
        <v>1.535058</v>
      </c>
      <c r="Q988" s="39" t="n">
        <f aca="false">Resumo!$C$10*CEILING(I988/100,1)</f>
        <v>1.05</v>
      </c>
      <c r="R988" s="39" t="n">
        <f aca="false">Resumo!$C$9</f>
        <v>0</v>
      </c>
      <c r="S988" s="39" t="n">
        <f aca="false">Resumo!$C$13</f>
        <v>13.55</v>
      </c>
      <c r="T988" s="39" t="n">
        <f aca="false">Resumo!$C$14*CEILING(I988,1)</f>
        <v>28.8</v>
      </c>
      <c r="U988" s="39" t="n">
        <f aca="false">SUM(M988:T988)*Resumo!$C$11</f>
        <v>0</v>
      </c>
      <c r="V988" s="39" t="n">
        <f aca="false">SUM(M988:U988)</f>
        <v>109.680116</v>
      </c>
      <c r="W988" s="39" t="n">
        <f aca="false">V988/(1-Resumo!$C$5)</f>
        <v>124.636495454545</v>
      </c>
      <c r="X988" s="39" t="n">
        <v>131.02</v>
      </c>
      <c r="Y988" s="39" t="n">
        <f aca="false">J988*Resumo!$B$6</f>
        <v>0.73098</v>
      </c>
      <c r="Z988" s="39" t="n">
        <f aca="false">J988*Resumo!$B$7</f>
        <v>1.46196</v>
      </c>
      <c r="AA988" s="39" t="n">
        <f aca="false">Resumo!$B$9</f>
        <v>1</v>
      </c>
      <c r="AB988" s="39" t="n">
        <f aca="false">Resumo!$B$10*CEILING(I988/100,1)</f>
        <v>4.5</v>
      </c>
      <c r="AC988" s="39" t="n">
        <f aca="false">Resumo!$B$12*CEILING(I988,1)</f>
        <v>3.84</v>
      </c>
      <c r="AD988" s="39" t="n">
        <f aca="false">Resumo!$B$14*CEILING(I988,1)</f>
        <v>28.8</v>
      </c>
      <c r="AE988" s="39" t="n">
        <f aca="false">SUM(X988:AD988)</f>
        <v>171.35294</v>
      </c>
      <c r="AF988" s="39" t="n">
        <f aca="false">AE988/(1-Resumo!$B$5)</f>
        <v>194.71925</v>
      </c>
      <c r="AG988" s="39" t="n">
        <f aca="false">AF988-W988</f>
        <v>70.0827545454546</v>
      </c>
      <c r="AH988" s="40" t="n">
        <f aca="false">AF988/W988-1</f>
        <v>0.562297217118188</v>
      </c>
      <c r="AI988" s="37" t="str">
        <f aca="false">IF(AF988&lt;W988,"SIM","NÃO")</f>
        <v>NÃO</v>
      </c>
      <c r="AJ988" s="37" t="n">
        <v>2</v>
      </c>
      <c r="AK988" s="37" t="n">
        <v>5</v>
      </c>
      <c r="AL988" s="37" t="s">
        <v>343</v>
      </c>
      <c r="AM988" s="39" t="n">
        <v>124.71</v>
      </c>
    </row>
    <row r="989" customFormat="false" ht="15" hidden="false" customHeight="false" outlineLevel="0" collapsed="false">
      <c r="A989" s="37" t="n">
        <v>376351218</v>
      </c>
      <c r="B989" s="38" t="n">
        <v>46248.5183449074</v>
      </c>
      <c r="C989" s="37" t="s">
        <v>345</v>
      </c>
      <c r="D989" s="37" t="s">
        <v>1285</v>
      </c>
      <c r="E989" s="37" t="n">
        <v>24908780</v>
      </c>
      <c r="F989" s="37" t="s">
        <v>171</v>
      </c>
      <c r="G989" s="37" t="s">
        <v>198</v>
      </c>
      <c r="H989" s="37" t="s">
        <v>187</v>
      </c>
      <c r="I989" s="37" t="n">
        <v>58.5</v>
      </c>
      <c r="J989" s="39" t="n">
        <v>863.2</v>
      </c>
      <c r="K989" s="37" t="s">
        <v>518</v>
      </c>
      <c r="L989" s="39" t="n">
        <v>145.85</v>
      </c>
      <c r="M989" s="39" t="n">
        <v>83.58</v>
      </c>
      <c r="N989" s="39" t="n">
        <f aca="false">J989*Resumo!$C$6</f>
        <v>0</v>
      </c>
      <c r="O989" s="39" t="n">
        <f aca="false">J989*Resumo!$C$7</f>
        <v>1.81272</v>
      </c>
      <c r="P989" s="39" t="n">
        <f aca="false">J989*Resumo!$C$8</f>
        <v>1.81272</v>
      </c>
      <c r="Q989" s="39" t="n">
        <f aca="false">Resumo!$C$10*CEILING(I989/100,1)</f>
        <v>1.05</v>
      </c>
      <c r="R989" s="39" t="n">
        <f aca="false">Resumo!$C$9</f>
        <v>0</v>
      </c>
      <c r="S989" s="39" t="n">
        <f aca="false">Resumo!$C$13</f>
        <v>13.55</v>
      </c>
      <c r="T989" s="39" t="n">
        <f aca="false">Resumo!$C$14*CEILING(I989,1)</f>
        <v>26.55</v>
      </c>
      <c r="U989" s="39" t="n">
        <f aca="false">SUM(M989:T989)*Resumo!$C$11</f>
        <v>0</v>
      </c>
      <c r="V989" s="39" t="n">
        <f aca="false">SUM(M989:U989)</f>
        <v>128.35544</v>
      </c>
      <c r="W989" s="39" t="n">
        <f aca="false">V989/(1-Resumo!$C$5)</f>
        <v>145.858454545455</v>
      </c>
      <c r="X989" s="39" t="n">
        <v>128.14</v>
      </c>
      <c r="Y989" s="39" t="n">
        <f aca="false">J989*Resumo!$B$6</f>
        <v>0.8632</v>
      </c>
      <c r="Z989" s="39" t="n">
        <f aca="false">J989*Resumo!$B$7</f>
        <v>1.7264</v>
      </c>
      <c r="AA989" s="39" t="n">
        <f aca="false">Resumo!$B$9</f>
        <v>1</v>
      </c>
      <c r="AB989" s="39" t="n">
        <f aca="false">Resumo!$B$10*CEILING(I989/100,1)</f>
        <v>4.5</v>
      </c>
      <c r="AC989" s="39" t="n">
        <f aca="false">Resumo!$B$12*CEILING(I989,1)</f>
        <v>3.54</v>
      </c>
      <c r="AD989" s="39" t="n">
        <f aca="false">Resumo!$B$14*CEILING(I989,1)</f>
        <v>26.55</v>
      </c>
      <c r="AE989" s="39" t="n">
        <f aca="false">SUM(X989:AD989)</f>
        <v>166.3196</v>
      </c>
      <c r="AF989" s="39" t="n">
        <f aca="false">AE989/(1-Resumo!$B$5)</f>
        <v>188.999545454545</v>
      </c>
      <c r="AG989" s="39" t="n">
        <f aca="false">AF989-W989</f>
        <v>43.1410909090909</v>
      </c>
      <c r="AH989" s="40" t="n">
        <f aca="false">AF989/W989-1</f>
        <v>0.295773673480454</v>
      </c>
      <c r="AI989" s="37" t="str">
        <f aca="false">IF(AF989&lt;W989,"SIM","NÃO")</f>
        <v>NÃO</v>
      </c>
      <c r="AJ989" s="37" t="n">
        <v>13</v>
      </c>
      <c r="AK989" s="37" t="n">
        <v>7</v>
      </c>
      <c r="AL989" s="37" t="s">
        <v>343</v>
      </c>
      <c r="AM989" s="39" t="n">
        <v>143.81</v>
      </c>
    </row>
    <row r="990" customFormat="false" ht="15" hidden="false" customHeight="false" outlineLevel="0" collapsed="false">
      <c r="A990" s="37" t="n">
        <v>376363880</v>
      </c>
      <c r="B990" s="38" t="n">
        <v>46248.5362962963</v>
      </c>
      <c r="C990" s="37" t="s">
        <v>372</v>
      </c>
      <c r="D990" s="37" t="s">
        <v>1286</v>
      </c>
      <c r="E990" s="37" t="n">
        <v>23098393</v>
      </c>
      <c r="F990" s="37" t="s">
        <v>159</v>
      </c>
      <c r="G990" s="37" t="s">
        <v>196</v>
      </c>
      <c r="H990" s="37" t="s">
        <v>186</v>
      </c>
      <c r="I990" s="37" t="n">
        <v>48.3</v>
      </c>
      <c r="J990" s="39" t="n">
        <v>399.99</v>
      </c>
      <c r="K990" s="37" t="s">
        <v>518</v>
      </c>
      <c r="L990" s="39" t="n">
        <v>104.41</v>
      </c>
      <c r="M990" s="39" t="n">
        <v>53.55</v>
      </c>
      <c r="N990" s="39" t="n">
        <f aca="false">J990*Resumo!$C$6</f>
        <v>0</v>
      </c>
      <c r="O990" s="39" t="n">
        <f aca="false">J990*Resumo!$C$7</f>
        <v>0.839979</v>
      </c>
      <c r="P990" s="39" t="n">
        <f aca="false">J990*Resumo!$C$8</f>
        <v>0.839979</v>
      </c>
      <c r="Q990" s="39" t="n">
        <f aca="false">Resumo!$C$10*CEILING(I990/100,1)</f>
        <v>1.05</v>
      </c>
      <c r="R990" s="39" t="n">
        <f aca="false">Resumo!$C$9</f>
        <v>0</v>
      </c>
      <c r="S990" s="39" t="n">
        <f aca="false">Resumo!$C$13</f>
        <v>13.55</v>
      </c>
      <c r="T990" s="39" t="n">
        <f aca="false">Resumo!$C$14*CEILING(I990,1)</f>
        <v>22.05</v>
      </c>
      <c r="U990" s="39" t="n">
        <f aca="false">SUM(M990:T990)*Resumo!$C$11</f>
        <v>0</v>
      </c>
      <c r="V990" s="39" t="n">
        <f aca="false">SUM(M990:U990)</f>
        <v>91.879958</v>
      </c>
      <c r="W990" s="39" t="n">
        <f aca="false">V990/(1-Resumo!$C$5)</f>
        <v>104.409043181818</v>
      </c>
      <c r="X990" s="39" t="n">
        <v>93.97</v>
      </c>
      <c r="Y990" s="39" t="n">
        <f aca="false">J990*Resumo!$B$6</f>
        <v>0.39999</v>
      </c>
      <c r="Z990" s="39" t="n">
        <f aca="false">J990*Resumo!$B$7</f>
        <v>0.79998</v>
      </c>
      <c r="AA990" s="39" t="n">
        <f aca="false">Resumo!$B$9</f>
        <v>1</v>
      </c>
      <c r="AB990" s="39" t="n">
        <f aca="false">Resumo!$B$10*CEILING(I990/100,1)</f>
        <v>4.5</v>
      </c>
      <c r="AC990" s="39" t="n">
        <f aca="false">Resumo!$B$12*CEILING(I990,1)</f>
        <v>2.94</v>
      </c>
      <c r="AD990" s="39" t="n">
        <f aca="false">Resumo!$B$14*CEILING(I990,1)</f>
        <v>22.05</v>
      </c>
      <c r="AE990" s="39" t="n">
        <f aca="false">SUM(X990:AD990)</f>
        <v>125.65997</v>
      </c>
      <c r="AF990" s="39" t="n">
        <f aca="false">AE990/(1-Resumo!$B$5)</f>
        <v>142.795420454545</v>
      </c>
      <c r="AG990" s="39" t="n">
        <f aca="false">AF990-W990</f>
        <v>38.3863772727273</v>
      </c>
      <c r="AH990" s="40" t="n">
        <f aca="false">AF990/W990-1</f>
        <v>0.367653759702415</v>
      </c>
      <c r="AI990" s="37" t="str">
        <f aca="false">IF(AF990&lt;W990,"SIM","NÃO")</f>
        <v>NÃO</v>
      </c>
      <c r="AJ990" s="37" t="n">
        <v>2</v>
      </c>
      <c r="AK990" s="37" t="n">
        <v>5</v>
      </c>
      <c r="AL990" s="37" t="s">
        <v>343</v>
      </c>
      <c r="AM990" s="39" t="n">
        <v>102.5</v>
      </c>
    </row>
    <row r="991" customFormat="false" ht="15" hidden="false" customHeight="false" outlineLevel="0" collapsed="false">
      <c r="A991" s="37" t="n">
        <v>376388715</v>
      </c>
      <c r="B991" s="38" t="n">
        <v>46248.5650347222</v>
      </c>
      <c r="C991" s="37" t="s">
        <v>340</v>
      </c>
      <c r="D991" s="37" t="s">
        <v>1287</v>
      </c>
      <c r="E991" s="37" t="n">
        <v>22795355</v>
      </c>
      <c r="F991" s="37" t="s">
        <v>159</v>
      </c>
      <c r="G991" s="37" t="s">
        <v>196</v>
      </c>
      <c r="H991" s="37" t="s">
        <v>186</v>
      </c>
      <c r="I991" s="37" t="n">
        <v>41</v>
      </c>
      <c r="J991" s="39" t="n">
        <v>559.99</v>
      </c>
      <c r="K991" s="37" t="s">
        <v>342</v>
      </c>
      <c r="L991" s="39" t="n">
        <v>103.27</v>
      </c>
      <c r="M991" s="39" t="n">
        <v>53.55</v>
      </c>
      <c r="N991" s="39" t="n">
        <f aca="false">J991*Resumo!$C$6</f>
        <v>0</v>
      </c>
      <c r="O991" s="39" t="n">
        <f aca="false">J991*Resumo!$C$7</f>
        <v>1.175979</v>
      </c>
      <c r="P991" s="39" t="n">
        <f aca="false">J991*Resumo!$C$8</f>
        <v>1.175979</v>
      </c>
      <c r="Q991" s="39" t="n">
        <f aca="false">Resumo!$C$10*CEILING(I991/100,1)</f>
        <v>1.05</v>
      </c>
      <c r="R991" s="39" t="n">
        <f aca="false">Resumo!$C$9</f>
        <v>0</v>
      </c>
      <c r="S991" s="39" t="n">
        <f aca="false">Resumo!$C$13</f>
        <v>13.55</v>
      </c>
      <c r="T991" s="39" t="n">
        <f aca="false">Resumo!$C$14*CEILING(I991,1)</f>
        <v>18.45</v>
      </c>
      <c r="U991" s="39" t="n">
        <f aca="false">SUM(M991:T991)*Resumo!$C$11</f>
        <v>0</v>
      </c>
      <c r="V991" s="39" t="n">
        <f aca="false">SUM(M991:U991)</f>
        <v>88.951958</v>
      </c>
      <c r="W991" s="39" t="n">
        <f aca="false">V991/(1-Resumo!$C$5)</f>
        <v>101.081770454545</v>
      </c>
      <c r="X991" s="39" t="n">
        <v>93.97</v>
      </c>
      <c r="Y991" s="39" t="n">
        <f aca="false">J991*Resumo!$B$6</f>
        <v>0.55999</v>
      </c>
      <c r="Z991" s="39" t="n">
        <f aca="false">J991*Resumo!$B$7</f>
        <v>1.11998</v>
      </c>
      <c r="AA991" s="39" t="n">
        <f aca="false">Resumo!$B$9</f>
        <v>1</v>
      </c>
      <c r="AB991" s="39" t="n">
        <f aca="false">Resumo!$B$10*CEILING(I991/100,1)</f>
        <v>4.5</v>
      </c>
      <c r="AC991" s="39" t="n">
        <f aca="false">Resumo!$B$12*CEILING(I991,1)</f>
        <v>2.46</v>
      </c>
      <c r="AD991" s="39" t="n">
        <f aca="false">Resumo!$B$14*CEILING(I991,1)</f>
        <v>18.45</v>
      </c>
      <c r="AE991" s="39" t="n">
        <f aca="false">SUM(X991:AD991)</f>
        <v>122.05997</v>
      </c>
      <c r="AF991" s="39" t="n">
        <f aca="false">AE991/(1-Resumo!$B$5)</f>
        <v>138.704511363636</v>
      </c>
      <c r="AG991" s="39" t="n">
        <f aca="false">AF991-W991</f>
        <v>37.6227409090909</v>
      </c>
      <c r="AH991" s="40" t="n">
        <f aca="false">AF991/W991-1</f>
        <v>0.372201048120829</v>
      </c>
      <c r="AI991" s="37" t="str">
        <f aca="false">IF(AF991&lt;W991,"SIM","NÃO")</f>
        <v>NÃO</v>
      </c>
      <c r="AJ991" s="37" t="n">
        <v>2</v>
      </c>
      <c r="AK991" s="37" t="n">
        <v>5</v>
      </c>
      <c r="AL991" s="37" t="s">
        <v>343</v>
      </c>
      <c r="AM991" s="39" t="n">
        <v>103.27</v>
      </c>
    </row>
    <row r="992" customFormat="false" ht="15" hidden="false" customHeight="false" outlineLevel="0" collapsed="false">
      <c r="A992" s="37" t="n">
        <v>376400563</v>
      </c>
      <c r="B992" s="38" t="n">
        <v>46248.5833680556</v>
      </c>
      <c r="C992" s="37" t="s">
        <v>340</v>
      </c>
      <c r="D992" s="37" t="s">
        <v>1288</v>
      </c>
      <c r="E992" s="37" t="n">
        <v>21020123</v>
      </c>
      <c r="F992" s="37" t="s">
        <v>159</v>
      </c>
      <c r="G992" s="37" t="s">
        <v>196</v>
      </c>
      <c r="H992" s="37" t="s">
        <v>187</v>
      </c>
      <c r="I992" s="37" t="n">
        <v>52.3</v>
      </c>
      <c r="J992" s="39" t="n">
        <v>577.12</v>
      </c>
      <c r="K992" s="37" t="s">
        <v>342</v>
      </c>
      <c r="L992" s="39" t="n">
        <v>113.91</v>
      </c>
      <c r="M992" s="39" t="n">
        <v>58.6</v>
      </c>
      <c r="N992" s="39" t="n">
        <f aca="false">J992*Resumo!$C$6</f>
        <v>0</v>
      </c>
      <c r="O992" s="39" t="n">
        <f aca="false">J992*Resumo!$C$7</f>
        <v>1.211952</v>
      </c>
      <c r="P992" s="39" t="n">
        <f aca="false">J992*Resumo!$C$8</f>
        <v>1.211952</v>
      </c>
      <c r="Q992" s="39" t="n">
        <f aca="false">Resumo!$C$10*CEILING(I992/100,1)</f>
        <v>1.05</v>
      </c>
      <c r="R992" s="39" t="n">
        <f aca="false">Resumo!$C$9</f>
        <v>0</v>
      </c>
      <c r="S992" s="39" t="n">
        <f aca="false">Resumo!$C$13</f>
        <v>13.55</v>
      </c>
      <c r="T992" s="39" t="n">
        <f aca="false">Resumo!$C$14*CEILING(I992,1)</f>
        <v>23.85</v>
      </c>
      <c r="U992" s="39" t="n">
        <f aca="false">SUM(M992:T992)*Resumo!$C$11</f>
        <v>0</v>
      </c>
      <c r="V992" s="39" t="n">
        <f aca="false">SUM(M992:U992)</f>
        <v>99.473904</v>
      </c>
      <c r="W992" s="39" t="n">
        <f aca="false">V992/(1-Resumo!$C$5)</f>
        <v>113.038527272727</v>
      </c>
      <c r="X992" s="39" t="n">
        <v>112.3</v>
      </c>
      <c r="Y992" s="39" t="n">
        <f aca="false">J992*Resumo!$B$6</f>
        <v>0.57712</v>
      </c>
      <c r="Z992" s="39" t="n">
        <f aca="false">J992*Resumo!$B$7</f>
        <v>1.15424</v>
      </c>
      <c r="AA992" s="39" t="n">
        <f aca="false">Resumo!$B$9</f>
        <v>1</v>
      </c>
      <c r="AB992" s="39" t="n">
        <f aca="false">Resumo!$B$10*CEILING(I992/100,1)</f>
        <v>4.5</v>
      </c>
      <c r="AC992" s="39" t="n">
        <f aca="false">Resumo!$B$12*CEILING(I992,1)</f>
        <v>3.18</v>
      </c>
      <c r="AD992" s="39" t="n">
        <f aca="false">Resumo!$B$14*CEILING(I992,1)</f>
        <v>23.85</v>
      </c>
      <c r="AE992" s="39" t="n">
        <f aca="false">SUM(X992:AD992)</f>
        <v>146.56136</v>
      </c>
      <c r="AF992" s="39" t="n">
        <f aca="false">AE992/(1-Resumo!$B$5)</f>
        <v>166.547</v>
      </c>
      <c r="AG992" s="39" t="n">
        <f aca="false">AF992-W992</f>
        <v>53.5084727272727</v>
      </c>
      <c r="AH992" s="40" t="n">
        <f aca="false">AF992/W992-1</f>
        <v>0.473364913877312</v>
      </c>
      <c r="AI992" s="37" t="str">
        <f aca="false">IF(AF992&lt;W992,"SIM","NÃO")</f>
        <v>NÃO</v>
      </c>
      <c r="AJ992" s="37" t="n">
        <v>2</v>
      </c>
      <c r="AK992" s="37" t="n">
        <v>5</v>
      </c>
      <c r="AL992" s="37" t="s">
        <v>343</v>
      </c>
      <c r="AM992" s="39" t="n">
        <v>113.91</v>
      </c>
    </row>
    <row r="993" customFormat="false" ht="15" hidden="false" customHeight="false" outlineLevel="0" collapsed="false">
      <c r="A993" s="37" t="n">
        <v>376400804</v>
      </c>
      <c r="B993" s="38" t="n">
        <v>46248.5839236111</v>
      </c>
      <c r="C993" s="37" t="s">
        <v>340</v>
      </c>
      <c r="D993" s="37" t="s">
        <v>1289</v>
      </c>
      <c r="E993" s="37" t="n">
        <v>27522130</v>
      </c>
      <c r="F993" s="37" t="s">
        <v>250</v>
      </c>
      <c r="G993" s="37" t="s">
        <v>198</v>
      </c>
      <c r="H993" s="37" t="s">
        <v>184</v>
      </c>
      <c r="I993" s="37" t="n">
        <v>30.5</v>
      </c>
      <c r="J993" s="39" t="n">
        <v>413.55</v>
      </c>
      <c r="K993" s="37" t="s">
        <v>518</v>
      </c>
      <c r="L993" s="39" t="n">
        <v>109</v>
      </c>
      <c r="M993" s="39" t="n">
        <v>65.63</v>
      </c>
      <c r="N993" s="39" t="n">
        <f aca="false">J993*Resumo!$C$6</f>
        <v>0</v>
      </c>
      <c r="O993" s="39" t="n">
        <f aca="false">J993*Resumo!$C$7</f>
        <v>0.868455</v>
      </c>
      <c r="P993" s="39" t="n">
        <f aca="false">J993*Resumo!$C$8</f>
        <v>0.868455</v>
      </c>
      <c r="Q993" s="39" t="n">
        <f aca="false">Resumo!$C$10*CEILING(I993/100,1)</f>
        <v>1.05</v>
      </c>
      <c r="R993" s="39" t="n">
        <f aca="false">Resumo!$C$9</f>
        <v>0</v>
      </c>
      <c r="S993" s="39" t="n">
        <f aca="false">Resumo!$C$13</f>
        <v>13.55</v>
      </c>
      <c r="T993" s="39" t="n">
        <f aca="false">Resumo!$C$14*CEILING(I993,1)</f>
        <v>13.95</v>
      </c>
      <c r="U993" s="39" t="n">
        <f aca="false">SUM(M993:T993)*Resumo!$C$11</f>
        <v>0</v>
      </c>
      <c r="V993" s="39" t="n">
        <f aca="false">SUM(M993:U993)</f>
        <v>95.91691</v>
      </c>
      <c r="W993" s="39" t="n">
        <f aca="false">V993/(1-Resumo!$C$5)</f>
        <v>108.996488636364</v>
      </c>
      <c r="X993" s="39" t="n">
        <v>108.83</v>
      </c>
      <c r="Y993" s="39" t="n">
        <f aca="false">J993*Resumo!$B$6</f>
        <v>0.41355</v>
      </c>
      <c r="Z993" s="39" t="n">
        <f aca="false">J993*Resumo!$B$7</f>
        <v>0.8271</v>
      </c>
      <c r="AA993" s="39" t="n">
        <f aca="false">Resumo!$B$9</f>
        <v>1</v>
      </c>
      <c r="AB993" s="39" t="n">
        <f aca="false">Resumo!$B$10*CEILING(I993/100,1)</f>
        <v>4.5</v>
      </c>
      <c r="AC993" s="39" t="n">
        <f aca="false">Resumo!$B$12*CEILING(I993,1)</f>
        <v>1.86</v>
      </c>
      <c r="AD993" s="39" t="n">
        <f aca="false">Resumo!$B$14*CEILING(I993,1)</f>
        <v>13.95</v>
      </c>
      <c r="AE993" s="39" t="n">
        <f aca="false">SUM(X993:AD993)</f>
        <v>131.38065</v>
      </c>
      <c r="AF993" s="39" t="n">
        <f aca="false">AE993/(1-Resumo!$B$5)</f>
        <v>149.296193181818</v>
      </c>
      <c r="AG993" s="39" t="n">
        <f aca="false">AF993-W993</f>
        <v>40.2997045454545</v>
      </c>
      <c r="AH993" s="40" t="n">
        <f aca="false">AF993/W993-1</f>
        <v>0.369733970787841</v>
      </c>
      <c r="AI993" s="37" t="str">
        <f aca="false">IF(AF993&lt;W993,"SIM","NÃO")</f>
        <v>NÃO</v>
      </c>
      <c r="AJ993" s="37" t="n">
        <v>13</v>
      </c>
      <c r="AK993" s="37" t="n">
        <v>10</v>
      </c>
      <c r="AL993" s="37" t="s">
        <v>347</v>
      </c>
      <c r="AM993" s="39" t="n">
        <v>109.16</v>
      </c>
    </row>
    <row r="994" customFormat="false" ht="15" hidden="false" customHeight="false" outlineLevel="0" collapsed="false">
      <c r="A994" s="37" t="n">
        <v>376401079</v>
      </c>
      <c r="B994" s="38" t="n">
        <v>46248.5845023148</v>
      </c>
      <c r="C994" s="37" t="s">
        <v>340</v>
      </c>
      <c r="D994" s="37" t="s">
        <v>1290</v>
      </c>
      <c r="E994" s="37" t="n">
        <v>25946244</v>
      </c>
      <c r="F994" s="37" t="s">
        <v>234</v>
      </c>
      <c r="G994" s="37" t="s">
        <v>198</v>
      </c>
      <c r="H994" s="37" t="s">
        <v>184</v>
      </c>
      <c r="I994" s="37" t="n">
        <v>27.6</v>
      </c>
      <c r="J994" s="39" t="n">
        <v>579.59</v>
      </c>
      <c r="K994" s="37" t="s">
        <v>518</v>
      </c>
      <c r="L994" s="39" t="n">
        <v>108.26</v>
      </c>
      <c r="M994" s="39" t="n">
        <v>65.63</v>
      </c>
      <c r="N994" s="39" t="n">
        <f aca="false">J994*Resumo!$C$6</f>
        <v>0</v>
      </c>
      <c r="O994" s="39" t="n">
        <f aca="false">J994*Resumo!$C$7</f>
        <v>1.217139</v>
      </c>
      <c r="P994" s="39" t="n">
        <f aca="false">J994*Resumo!$C$8</f>
        <v>1.217139</v>
      </c>
      <c r="Q994" s="39" t="n">
        <f aca="false">Resumo!$C$10*CEILING(I994/100,1)</f>
        <v>1.05</v>
      </c>
      <c r="R994" s="39" t="n">
        <f aca="false">Resumo!$C$9</f>
        <v>0</v>
      </c>
      <c r="S994" s="39" t="n">
        <f aca="false">Resumo!$C$13</f>
        <v>13.55</v>
      </c>
      <c r="T994" s="39" t="n">
        <f aca="false">Resumo!$C$14*CEILING(I994,1)</f>
        <v>12.6</v>
      </c>
      <c r="U994" s="39" t="n">
        <f aca="false">SUM(M994:T994)*Resumo!$C$11</f>
        <v>0</v>
      </c>
      <c r="V994" s="39" t="n">
        <f aca="false">SUM(M994:U994)</f>
        <v>95.264278</v>
      </c>
      <c r="W994" s="39" t="n">
        <f aca="false">V994/(1-Resumo!$C$5)</f>
        <v>108.254861363636</v>
      </c>
      <c r="X994" s="39" t="n">
        <v>103.28</v>
      </c>
      <c r="Y994" s="39" t="n">
        <f aca="false">J994*Resumo!$B$6</f>
        <v>0.57959</v>
      </c>
      <c r="Z994" s="39" t="n">
        <f aca="false">J994*Resumo!$B$7</f>
        <v>1.15918</v>
      </c>
      <c r="AA994" s="39" t="n">
        <f aca="false">Resumo!$B$9</f>
        <v>1</v>
      </c>
      <c r="AB994" s="39" t="n">
        <f aca="false">Resumo!$B$10*CEILING(I994/100,1)</f>
        <v>4.5</v>
      </c>
      <c r="AC994" s="39" t="n">
        <f aca="false">Resumo!$B$12*CEILING(I994,1)</f>
        <v>1.68</v>
      </c>
      <c r="AD994" s="39" t="n">
        <f aca="false">Resumo!$B$14*CEILING(I994,1)</f>
        <v>12.6</v>
      </c>
      <c r="AE994" s="39" t="n">
        <f aca="false">SUM(X994:AD994)</f>
        <v>124.79877</v>
      </c>
      <c r="AF994" s="39" t="n">
        <f aca="false">AE994/(1-Resumo!$B$5)</f>
        <v>141.816784090909</v>
      </c>
      <c r="AG994" s="39" t="n">
        <f aca="false">AF994-W994</f>
        <v>33.5619227272727</v>
      </c>
      <c r="AH994" s="40" t="n">
        <f aca="false">AF994/W994-1</f>
        <v>0.310026933705413</v>
      </c>
      <c r="AI994" s="37" t="str">
        <f aca="false">IF(AF994&lt;W994,"SIM","NÃO")</f>
        <v>NÃO</v>
      </c>
      <c r="AJ994" s="37" t="n">
        <v>13</v>
      </c>
      <c r="AK994" s="37" t="n">
        <v>6</v>
      </c>
      <c r="AL994" s="37" t="s">
        <v>347</v>
      </c>
      <c r="AM994" s="39" t="n">
        <v>109.96</v>
      </c>
    </row>
    <row r="995" customFormat="false" ht="15" hidden="false" customHeight="false" outlineLevel="0" collapsed="false">
      <c r="A995" s="37" t="n">
        <v>376430225</v>
      </c>
      <c r="B995" s="38" t="n">
        <v>46248.6290162037</v>
      </c>
      <c r="C995" s="37" t="s">
        <v>340</v>
      </c>
      <c r="D995" s="37" t="s">
        <v>1291</v>
      </c>
      <c r="E995" s="37" t="n">
        <v>26510608</v>
      </c>
      <c r="F995" s="37" t="s">
        <v>238</v>
      </c>
      <c r="G995" s="37" t="s">
        <v>197</v>
      </c>
      <c r="H995" s="37" t="s">
        <v>183</v>
      </c>
      <c r="I995" s="37" t="n">
        <v>19.5</v>
      </c>
      <c r="J995" s="39" t="n">
        <v>379.99</v>
      </c>
      <c r="K995" s="37" t="s">
        <v>518</v>
      </c>
      <c r="L995" s="39" t="n">
        <v>77.18</v>
      </c>
      <c r="M995" s="39" t="n">
        <v>42.72</v>
      </c>
      <c r="N995" s="39" t="n">
        <f aca="false">J995*Resumo!$C$6</f>
        <v>0</v>
      </c>
      <c r="O995" s="39" t="n">
        <f aca="false">J995*Resumo!$C$7</f>
        <v>0.797979</v>
      </c>
      <c r="P995" s="39" t="n">
        <f aca="false">J995*Resumo!$C$8</f>
        <v>0.797979</v>
      </c>
      <c r="Q995" s="39" t="n">
        <f aca="false">Resumo!$C$10*CEILING(I995/100,1)</f>
        <v>1.05</v>
      </c>
      <c r="R995" s="39" t="n">
        <f aca="false">Resumo!$C$9</f>
        <v>0</v>
      </c>
      <c r="S995" s="39" t="n">
        <f aca="false">Resumo!$C$13</f>
        <v>13.55</v>
      </c>
      <c r="T995" s="39" t="n">
        <f aca="false">Resumo!$C$14*CEILING(I995,1)</f>
        <v>9</v>
      </c>
      <c r="U995" s="39" t="n">
        <f aca="false">SUM(M995:T995)*Resumo!$C$11</f>
        <v>0</v>
      </c>
      <c r="V995" s="39" t="n">
        <f aca="false">SUM(M995:U995)</f>
        <v>67.915958</v>
      </c>
      <c r="W995" s="39" t="n">
        <f aca="false">V995/(1-Resumo!$C$5)</f>
        <v>77.177225</v>
      </c>
      <c r="X995" s="39" t="n">
        <v>46.98</v>
      </c>
      <c r="Y995" s="39" t="n">
        <f aca="false">J995*Resumo!$B$6</f>
        <v>0.37999</v>
      </c>
      <c r="Z995" s="39" t="n">
        <f aca="false">J995*Resumo!$B$7</f>
        <v>0.75998</v>
      </c>
      <c r="AA995" s="39" t="n">
        <f aca="false">Resumo!$B$9</f>
        <v>1</v>
      </c>
      <c r="AB995" s="39" t="n">
        <f aca="false">Resumo!$B$10*CEILING(I995/100,1)</f>
        <v>4.5</v>
      </c>
      <c r="AC995" s="39" t="n">
        <f aca="false">Resumo!$B$12*CEILING(I995,1)</f>
        <v>1.2</v>
      </c>
      <c r="AD995" s="39" t="n">
        <f aca="false">Resumo!$B$14*CEILING(I995,1)</f>
        <v>9</v>
      </c>
      <c r="AE995" s="39" t="n">
        <f aca="false">SUM(X995:AD995)</f>
        <v>63.81997</v>
      </c>
      <c r="AF995" s="39" t="n">
        <f aca="false">AE995/(1-Resumo!$B$5)</f>
        <v>72.5226931818182</v>
      </c>
      <c r="AG995" s="39" t="n">
        <f aca="false">AF995-W995</f>
        <v>-4.65453181818181</v>
      </c>
      <c r="AH995" s="40" t="n">
        <f aca="false">AF995/W995-1</f>
        <v>-0.0603096550592718</v>
      </c>
      <c r="AI995" s="37" t="str">
        <f aca="false">IF(AF995&lt;W995,"SIM","NÃO")</f>
        <v>SIM</v>
      </c>
      <c r="AJ995" s="37" t="n">
        <v>2</v>
      </c>
      <c r="AK995" s="37" t="n">
        <v>5</v>
      </c>
      <c r="AL995" s="37" t="s">
        <v>347</v>
      </c>
      <c r="AM995" s="39" t="n">
        <v>75.66</v>
      </c>
    </row>
    <row r="996" customFormat="false" ht="15" hidden="false" customHeight="false" outlineLevel="0" collapsed="false">
      <c r="A996" s="37" t="n">
        <v>376436018</v>
      </c>
      <c r="B996" s="38" t="n">
        <v>46248.63875</v>
      </c>
      <c r="C996" s="37" t="s">
        <v>340</v>
      </c>
      <c r="D996" s="37" t="s">
        <v>1292</v>
      </c>
      <c r="E996" s="37" t="n">
        <v>24425470</v>
      </c>
      <c r="F996" s="37" t="s">
        <v>160</v>
      </c>
      <c r="G996" s="37" t="s">
        <v>197</v>
      </c>
      <c r="H996" s="37" t="s">
        <v>187</v>
      </c>
      <c r="I996" s="37" t="n">
        <v>52.3</v>
      </c>
      <c r="J996" s="39" t="n">
        <v>577.12</v>
      </c>
      <c r="K996" s="37" t="s">
        <v>518</v>
      </c>
      <c r="L996" s="39" t="n">
        <v>127.1</v>
      </c>
      <c r="M996" s="39" t="n">
        <v>70.98</v>
      </c>
      <c r="N996" s="39" t="n">
        <f aca="false">J996*Resumo!$C$6</f>
        <v>0</v>
      </c>
      <c r="O996" s="39" t="n">
        <f aca="false">J996*Resumo!$C$7</f>
        <v>1.211952</v>
      </c>
      <c r="P996" s="39" t="n">
        <f aca="false">J996*Resumo!$C$8</f>
        <v>1.211952</v>
      </c>
      <c r="Q996" s="39" t="n">
        <f aca="false">Resumo!$C$10*CEILING(I996/100,1)</f>
        <v>1.05</v>
      </c>
      <c r="R996" s="39" t="n">
        <f aca="false">Resumo!$C$9</f>
        <v>0</v>
      </c>
      <c r="S996" s="39" t="n">
        <f aca="false">Resumo!$C$13</f>
        <v>13.55</v>
      </c>
      <c r="T996" s="39" t="n">
        <f aca="false">Resumo!$C$14*CEILING(I996,1)</f>
        <v>23.85</v>
      </c>
      <c r="U996" s="39" t="n">
        <f aca="false">SUM(M996:T996)*Resumo!$C$11</f>
        <v>0</v>
      </c>
      <c r="V996" s="39" t="n">
        <f aca="false">SUM(M996:U996)</f>
        <v>111.853904</v>
      </c>
      <c r="W996" s="39" t="n">
        <f aca="false">V996/(1-Resumo!$C$5)</f>
        <v>127.106709090909</v>
      </c>
      <c r="X996" s="39" t="n">
        <v>128.14</v>
      </c>
      <c r="Y996" s="39" t="n">
        <f aca="false">J996*Resumo!$B$6</f>
        <v>0.57712</v>
      </c>
      <c r="Z996" s="39" t="n">
        <f aca="false">J996*Resumo!$B$7</f>
        <v>1.15424</v>
      </c>
      <c r="AA996" s="39" t="n">
        <f aca="false">Resumo!$B$9</f>
        <v>1</v>
      </c>
      <c r="AB996" s="39" t="n">
        <f aca="false">Resumo!$B$10*CEILING(I996/100,1)</f>
        <v>4.5</v>
      </c>
      <c r="AC996" s="39" t="n">
        <f aca="false">Resumo!$B$12*CEILING(I996,1)</f>
        <v>3.18</v>
      </c>
      <c r="AD996" s="39" t="n">
        <f aca="false">Resumo!$B$14*CEILING(I996,1)</f>
        <v>23.85</v>
      </c>
      <c r="AE996" s="39" t="n">
        <f aca="false">SUM(X996:AD996)</f>
        <v>162.40136</v>
      </c>
      <c r="AF996" s="39" t="n">
        <f aca="false">AE996/(1-Resumo!$B$5)</f>
        <v>184.547</v>
      </c>
      <c r="AG996" s="39" t="n">
        <f aca="false">AF996-W996</f>
        <v>57.4402909090909</v>
      </c>
      <c r="AH996" s="40" t="n">
        <f aca="false">AF996/W996-1</f>
        <v>0.451906050592566</v>
      </c>
      <c r="AI996" s="37" t="str">
        <f aca="false">IF(AF996&lt;W996,"SIM","NÃO")</f>
        <v>NÃO</v>
      </c>
      <c r="AJ996" s="37" t="n">
        <v>2</v>
      </c>
      <c r="AK996" s="37" t="n">
        <v>7</v>
      </c>
      <c r="AL996" s="37" t="s">
        <v>343</v>
      </c>
      <c r="AM996" s="39" t="n">
        <v>128.05</v>
      </c>
    </row>
    <row r="997" customFormat="false" ht="15" hidden="false" customHeight="false" outlineLevel="0" collapsed="false">
      <c r="A997" s="37" t="n">
        <v>376460320</v>
      </c>
      <c r="B997" s="38" t="n">
        <v>46248.689849537</v>
      </c>
      <c r="C997" s="37" t="s">
        <v>340</v>
      </c>
      <c r="D997" s="37" t="s">
        <v>1293</v>
      </c>
      <c r="E997" s="37" t="n">
        <v>24931740</v>
      </c>
      <c r="F997" s="37" t="s">
        <v>171</v>
      </c>
      <c r="G997" s="37" t="s">
        <v>198</v>
      </c>
      <c r="H997" s="37" t="s">
        <v>187</v>
      </c>
      <c r="I997" s="37" t="n">
        <v>52.3</v>
      </c>
      <c r="J997" s="39" t="n">
        <v>699.99</v>
      </c>
      <c r="K997" s="37" t="s">
        <v>518</v>
      </c>
      <c r="L997" s="39" t="n">
        <v>142.01</v>
      </c>
      <c r="M997" s="39" t="n">
        <v>83.58</v>
      </c>
      <c r="N997" s="39" t="n">
        <f aca="false">J997*Resumo!$C$6</f>
        <v>0</v>
      </c>
      <c r="O997" s="39" t="n">
        <f aca="false">J997*Resumo!$C$7</f>
        <v>1.469979</v>
      </c>
      <c r="P997" s="39" t="n">
        <f aca="false">J997*Resumo!$C$8</f>
        <v>1.469979</v>
      </c>
      <c r="Q997" s="39" t="n">
        <f aca="false">Resumo!$C$10*CEILING(I997/100,1)</f>
        <v>1.05</v>
      </c>
      <c r="R997" s="39" t="n">
        <f aca="false">Resumo!$C$9</f>
        <v>0</v>
      </c>
      <c r="S997" s="39" t="n">
        <f aca="false">Resumo!$C$13</f>
        <v>13.55</v>
      </c>
      <c r="T997" s="39" t="n">
        <f aca="false">Resumo!$C$14*CEILING(I997,1)</f>
        <v>23.85</v>
      </c>
      <c r="U997" s="39" t="n">
        <f aca="false">SUM(M997:T997)*Resumo!$C$11</f>
        <v>0</v>
      </c>
      <c r="V997" s="39" t="n">
        <f aca="false">SUM(M997:U997)</f>
        <v>124.969958</v>
      </c>
      <c r="W997" s="39" t="n">
        <f aca="false">V997/(1-Resumo!$C$5)</f>
        <v>142.011315909091</v>
      </c>
      <c r="X997" s="39" t="n">
        <v>128.14</v>
      </c>
      <c r="Y997" s="39" t="n">
        <f aca="false">J997*Resumo!$B$6</f>
        <v>0.69999</v>
      </c>
      <c r="Z997" s="39" t="n">
        <f aca="false">J997*Resumo!$B$7</f>
        <v>1.39998</v>
      </c>
      <c r="AA997" s="39" t="n">
        <f aca="false">Resumo!$B$9</f>
        <v>1</v>
      </c>
      <c r="AB997" s="39" t="n">
        <f aca="false">Resumo!$B$10*CEILING(I997/100,1)</f>
        <v>4.5</v>
      </c>
      <c r="AC997" s="39" t="n">
        <f aca="false">Resumo!$B$12*CEILING(I997,1)</f>
        <v>3.18</v>
      </c>
      <c r="AD997" s="39" t="n">
        <f aca="false">Resumo!$B$14*CEILING(I997,1)</f>
        <v>23.85</v>
      </c>
      <c r="AE997" s="39" t="n">
        <f aca="false">SUM(X997:AD997)</f>
        <v>162.76997</v>
      </c>
      <c r="AF997" s="39" t="n">
        <f aca="false">AE997/(1-Resumo!$B$5)</f>
        <v>184.965875</v>
      </c>
      <c r="AG997" s="39" t="n">
        <f aca="false">AF997-W997</f>
        <v>42.954559090909</v>
      </c>
      <c r="AH997" s="40" t="n">
        <f aca="false">AF997/W997-1</f>
        <v>0.302472791100722</v>
      </c>
      <c r="AI997" s="37" t="str">
        <f aca="false">IF(AF997&lt;W997,"SIM","NÃO")</f>
        <v>NÃO</v>
      </c>
      <c r="AJ997" s="37" t="n">
        <v>13</v>
      </c>
      <c r="AK997" s="37" t="n">
        <v>7</v>
      </c>
      <c r="AL997" s="37" t="s">
        <v>343</v>
      </c>
      <c r="AM997" s="39" t="n">
        <v>143.02</v>
      </c>
    </row>
    <row r="998" customFormat="false" ht="15" hidden="false" customHeight="false" outlineLevel="0" collapsed="false">
      <c r="A998" s="37" t="n">
        <v>376463395</v>
      </c>
      <c r="B998" s="38" t="n">
        <v>46248.6982523148</v>
      </c>
      <c r="C998" s="37" t="s">
        <v>361</v>
      </c>
      <c r="D998" s="37" t="s">
        <v>1294</v>
      </c>
      <c r="E998" s="37" t="n">
        <v>21921730</v>
      </c>
      <c r="F998" s="37" t="s">
        <v>159</v>
      </c>
      <c r="G998" s="37" t="s">
        <v>196</v>
      </c>
      <c r="H998" s="37" t="s">
        <v>184</v>
      </c>
      <c r="I998" s="37" t="n">
        <v>27.6</v>
      </c>
      <c r="J998" s="39" t="n">
        <v>659.99</v>
      </c>
      <c r="K998" s="37" t="s">
        <v>342</v>
      </c>
      <c r="L998" s="39" t="n">
        <v>83.49</v>
      </c>
      <c r="M998" s="39" t="n">
        <v>42.11</v>
      </c>
      <c r="N998" s="39" t="n">
        <f aca="false">J998*Resumo!$C$6</f>
        <v>0</v>
      </c>
      <c r="O998" s="39" t="n">
        <f aca="false">J998*Resumo!$C$7</f>
        <v>1.385979</v>
      </c>
      <c r="P998" s="39" t="n">
        <f aca="false">J998*Resumo!$C$8</f>
        <v>1.385979</v>
      </c>
      <c r="Q998" s="39" t="n">
        <f aca="false">Resumo!$C$10*CEILING(I998/100,1)</f>
        <v>1.05</v>
      </c>
      <c r="R998" s="39" t="n">
        <f aca="false">Resumo!$C$9</f>
        <v>0</v>
      </c>
      <c r="S998" s="39" t="n">
        <f aca="false">Resumo!$C$13</f>
        <v>13.55</v>
      </c>
      <c r="T998" s="39" t="n">
        <f aca="false">Resumo!$C$14*CEILING(I998,1)</f>
        <v>12.6</v>
      </c>
      <c r="U998" s="39" t="n">
        <f aca="false">SUM(M998:T998)*Resumo!$C$11</f>
        <v>0</v>
      </c>
      <c r="V998" s="39" t="n">
        <f aca="false">SUM(M998:U998)</f>
        <v>72.081958</v>
      </c>
      <c r="W998" s="39" t="n">
        <f aca="false">V998/(1-Resumo!$C$5)</f>
        <v>81.9113159090909</v>
      </c>
      <c r="X998" s="39" t="n">
        <v>82.21</v>
      </c>
      <c r="Y998" s="39" t="n">
        <f aca="false">J998*Resumo!$B$6</f>
        <v>0.65999</v>
      </c>
      <c r="Z998" s="39" t="n">
        <f aca="false">J998*Resumo!$B$7</f>
        <v>1.31998</v>
      </c>
      <c r="AA998" s="39" t="n">
        <f aca="false">Resumo!$B$9</f>
        <v>1</v>
      </c>
      <c r="AB998" s="39" t="n">
        <f aca="false">Resumo!$B$10*CEILING(I998/100,1)</f>
        <v>4.5</v>
      </c>
      <c r="AC998" s="39" t="n">
        <f aca="false">Resumo!$B$12*CEILING(I998,1)</f>
        <v>1.68</v>
      </c>
      <c r="AD998" s="39" t="n">
        <f aca="false">Resumo!$B$14*CEILING(I998,1)</f>
        <v>12.6</v>
      </c>
      <c r="AE998" s="39" t="n">
        <f aca="false">SUM(X998:AD998)</f>
        <v>103.96997</v>
      </c>
      <c r="AF998" s="39" t="n">
        <f aca="false">AE998/(1-Resumo!$B$5)</f>
        <v>118.147693181818</v>
      </c>
      <c r="AG998" s="39" t="n">
        <f aca="false">AF998-W998</f>
        <v>36.2363772727273</v>
      </c>
      <c r="AH998" s="40" t="n">
        <f aca="false">AF998/W998-1</f>
        <v>0.442385485699487</v>
      </c>
      <c r="AI998" s="37" t="str">
        <f aca="false">IF(AF998&lt;W998,"SIM","NÃO")</f>
        <v>NÃO</v>
      </c>
      <c r="AJ998" s="37" t="n">
        <v>2</v>
      </c>
      <c r="AK998" s="37" t="n">
        <v>5</v>
      </c>
      <c r="AL998" s="37" t="s">
        <v>343</v>
      </c>
      <c r="AM998" s="39" t="n">
        <v>83.49</v>
      </c>
    </row>
    <row r="999" customFormat="false" ht="15" hidden="false" customHeight="false" outlineLevel="0" collapsed="false">
      <c r="A999" s="37" t="n">
        <v>376471749</v>
      </c>
      <c r="B999" s="38" t="n">
        <v>46248.7050694445</v>
      </c>
      <c r="C999" s="37" t="s">
        <v>340</v>
      </c>
      <c r="D999" s="37" t="s">
        <v>1295</v>
      </c>
      <c r="E999" s="37" t="n">
        <v>21920001</v>
      </c>
      <c r="F999" s="37" t="s">
        <v>159</v>
      </c>
      <c r="G999" s="37" t="s">
        <v>196</v>
      </c>
      <c r="H999" s="37" t="s">
        <v>187</v>
      </c>
      <c r="I999" s="37" t="n">
        <v>52.3</v>
      </c>
      <c r="J999" s="39" t="n">
        <v>577.12</v>
      </c>
      <c r="K999" s="37" t="s">
        <v>342</v>
      </c>
      <c r="L999" s="39" t="n">
        <v>113.91</v>
      </c>
      <c r="M999" s="39" t="n">
        <v>58.6</v>
      </c>
      <c r="N999" s="39" t="n">
        <f aca="false">J999*Resumo!$C$6</f>
        <v>0</v>
      </c>
      <c r="O999" s="39" t="n">
        <f aca="false">J999*Resumo!$C$7</f>
        <v>1.211952</v>
      </c>
      <c r="P999" s="39" t="n">
        <f aca="false">J999*Resumo!$C$8</f>
        <v>1.211952</v>
      </c>
      <c r="Q999" s="39" t="n">
        <f aca="false">Resumo!$C$10*CEILING(I999/100,1)</f>
        <v>1.05</v>
      </c>
      <c r="R999" s="39" t="n">
        <f aca="false">Resumo!$C$9</f>
        <v>0</v>
      </c>
      <c r="S999" s="39" t="n">
        <f aca="false">Resumo!$C$13</f>
        <v>13.55</v>
      </c>
      <c r="T999" s="39" t="n">
        <f aca="false">Resumo!$C$14*CEILING(I999,1)</f>
        <v>23.85</v>
      </c>
      <c r="U999" s="39" t="n">
        <f aca="false">SUM(M999:T999)*Resumo!$C$11</f>
        <v>0</v>
      </c>
      <c r="V999" s="39" t="n">
        <f aca="false">SUM(M999:U999)</f>
        <v>99.473904</v>
      </c>
      <c r="W999" s="39" t="n">
        <f aca="false">V999/(1-Resumo!$C$5)</f>
        <v>113.038527272727</v>
      </c>
      <c r="X999" s="39" t="n">
        <v>112.3</v>
      </c>
      <c r="Y999" s="39" t="n">
        <f aca="false">J999*Resumo!$B$6</f>
        <v>0.57712</v>
      </c>
      <c r="Z999" s="39" t="n">
        <f aca="false">J999*Resumo!$B$7</f>
        <v>1.15424</v>
      </c>
      <c r="AA999" s="39" t="n">
        <f aca="false">Resumo!$B$9</f>
        <v>1</v>
      </c>
      <c r="AB999" s="39" t="n">
        <f aca="false">Resumo!$B$10*CEILING(I999/100,1)</f>
        <v>4.5</v>
      </c>
      <c r="AC999" s="39" t="n">
        <f aca="false">Resumo!$B$12*CEILING(I999,1)</f>
        <v>3.18</v>
      </c>
      <c r="AD999" s="39" t="n">
        <f aca="false">Resumo!$B$14*CEILING(I999,1)</f>
        <v>23.85</v>
      </c>
      <c r="AE999" s="39" t="n">
        <f aca="false">SUM(X999:AD999)</f>
        <v>146.56136</v>
      </c>
      <c r="AF999" s="39" t="n">
        <f aca="false">AE999/(1-Resumo!$B$5)</f>
        <v>166.547</v>
      </c>
      <c r="AG999" s="39" t="n">
        <f aca="false">AF999-W999</f>
        <v>53.5084727272727</v>
      </c>
      <c r="AH999" s="40" t="n">
        <f aca="false">AF999/W999-1</f>
        <v>0.473364913877312</v>
      </c>
      <c r="AI999" s="37" t="str">
        <f aca="false">IF(AF999&lt;W999,"SIM","NÃO")</f>
        <v>NÃO</v>
      </c>
      <c r="AJ999" s="37" t="n">
        <v>2</v>
      </c>
      <c r="AK999" s="37" t="n">
        <v>5</v>
      </c>
      <c r="AL999" s="37" t="s">
        <v>343</v>
      </c>
      <c r="AM999" s="39" t="n">
        <v>113.91</v>
      </c>
    </row>
    <row r="1000" customFormat="false" ht="15" hidden="false" customHeight="false" outlineLevel="0" collapsed="false">
      <c r="A1000" s="37" t="n">
        <v>376482644</v>
      </c>
      <c r="B1000" s="38" t="n">
        <v>46248.7369328704</v>
      </c>
      <c r="C1000" s="37" t="s">
        <v>375</v>
      </c>
      <c r="D1000" s="37" t="s">
        <v>1296</v>
      </c>
      <c r="E1000" s="37" t="n">
        <v>28040630</v>
      </c>
      <c r="F1000" s="37" t="s">
        <v>164</v>
      </c>
      <c r="G1000" s="37" t="s">
        <v>198</v>
      </c>
      <c r="H1000" s="37" t="s">
        <v>187</v>
      </c>
      <c r="I1000" s="37" t="n">
        <v>56.7</v>
      </c>
      <c r="J1000" s="39" t="n">
        <v>783.99</v>
      </c>
      <c r="K1000" s="37" t="s">
        <v>518</v>
      </c>
      <c r="L1000" s="39" t="n">
        <v>144.47</v>
      </c>
      <c r="M1000" s="39" t="n">
        <v>83.58</v>
      </c>
      <c r="N1000" s="39" t="n">
        <f aca="false">J1000*Resumo!$C$6</f>
        <v>0</v>
      </c>
      <c r="O1000" s="39" t="n">
        <f aca="false">J1000*Resumo!$C$7</f>
        <v>1.646379</v>
      </c>
      <c r="P1000" s="39" t="n">
        <f aca="false">J1000*Resumo!$C$8</f>
        <v>1.646379</v>
      </c>
      <c r="Q1000" s="39" t="n">
        <f aca="false">Resumo!$C$10*CEILING(I1000/100,1)</f>
        <v>1.05</v>
      </c>
      <c r="R1000" s="39" t="n">
        <f aca="false">Resumo!$C$9</f>
        <v>0</v>
      </c>
      <c r="S1000" s="39" t="n">
        <f aca="false">Resumo!$C$13</f>
        <v>13.55</v>
      </c>
      <c r="T1000" s="39" t="n">
        <f aca="false">Resumo!$C$14*CEILING(I1000,1)</f>
        <v>25.65</v>
      </c>
      <c r="U1000" s="39" t="n">
        <f aca="false">SUM(M1000:T1000)*Resumo!$C$11</f>
        <v>0</v>
      </c>
      <c r="V1000" s="39" t="n">
        <f aca="false">SUM(M1000:U1000)</f>
        <v>127.122758</v>
      </c>
      <c r="W1000" s="39" t="n">
        <f aca="false">V1000/(1-Resumo!$C$5)</f>
        <v>144.457679545455</v>
      </c>
      <c r="X1000" s="39" t="n">
        <v>162.04</v>
      </c>
      <c r="Y1000" s="39" t="n">
        <f aca="false">J1000*Resumo!$B$6</f>
        <v>0.78399</v>
      </c>
      <c r="Z1000" s="39" t="n">
        <f aca="false">J1000*Resumo!$B$7</f>
        <v>1.56798</v>
      </c>
      <c r="AA1000" s="39" t="n">
        <f aca="false">Resumo!$B$9</f>
        <v>1</v>
      </c>
      <c r="AB1000" s="39" t="n">
        <f aca="false">Resumo!$B$10*CEILING(I1000/100,1)</f>
        <v>4.5</v>
      </c>
      <c r="AC1000" s="39" t="n">
        <f aca="false">Resumo!$B$12*CEILING(I1000,1)</f>
        <v>3.42</v>
      </c>
      <c r="AD1000" s="39" t="n">
        <f aca="false">Resumo!$B$14*CEILING(I1000,1)</f>
        <v>25.65</v>
      </c>
      <c r="AE1000" s="39" t="n">
        <f aca="false">SUM(X1000:AD1000)</f>
        <v>198.96197</v>
      </c>
      <c r="AF1000" s="39" t="n">
        <f aca="false">AE1000/(1-Resumo!$B$5)</f>
        <v>226.093147727273</v>
      </c>
      <c r="AG1000" s="39" t="n">
        <f aca="false">AF1000-W1000</f>
        <v>81.6354681818182</v>
      </c>
      <c r="AH1000" s="40" t="n">
        <f aca="false">AF1000/W1000-1</f>
        <v>0.565116845561202</v>
      </c>
      <c r="AI1000" s="37" t="str">
        <f aca="false">IF(AF1000&lt;W1000,"SIM","NÃO")</f>
        <v>NÃO</v>
      </c>
      <c r="AJ1000" s="37" t="n">
        <v>13</v>
      </c>
      <c r="AK1000" s="37" t="n">
        <v>11</v>
      </c>
      <c r="AL1000" s="37" t="s">
        <v>343</v>
      </c>
      <c r="AM1000" s="39" t="n">
        <v>143.43</v>
      </c>
    </row>
    <row r="1001" customFormat="false" ht="15" hidden="false" customHeight="false" outlineLevel="0" collapsed="false">
      <c r="A1001" s="37" t="n">
        <v>376495168</v>
      </c>
      <c r="B1001" s="38" t="n">
        <v>46248.7449768519</v>
      </c>
      <c r="C1001" s="37" t="s">
        <v>340</v>
      </c>
      <c r="D1001" s="37" t="s">
        <v>1297</v>
      </c>
      <c r="E1001" s="37" t="n">
        <v>24944232</v>
      </c>
      <c r="F1001" s="37" t="s">
        <v>171</v>
      </c>
      <c r="G1001" s="37" t="s">
        <v>198</v>
      </c>
      <c r="H1001" s="37" t="s">
        <v>188</v>
      </c>
      <c r="I1001" s="37" t="n">
        <v>66.8</v>
      </c>
      <c r="J1001" s="39" t="n">
        <v>719.99</v>
      </c>
      <c r="K1001" s="37" t="s">
        <v>518</v>
      </c>
      <c r="L1001" s="39" t="n">
        <v>156.78</v>
      </c>
      <c r="M1001" s="39" t="n">
        <v>90.2</v>
      </c>
      <c r="N1001" s="39" t="n">
        <f aca="false">J1001*Resumo!$C$6</f>
        <v>0</v>
      </c>
      <c r="O1001" s="39" t="n">
        <f aca="false">J1001*Resumo!$C$7</f>
        <v>1.511979</v>
      </c>
      <c r="P1001" s="39" t="n">
        <f aca="false">J1001*Resumo!$C$8</f>
        <v>1.511979</v>
      </c>
      <c r="Q1001" s="39" t="n">
        <f aca="false">Resumo!$C$10*CEILING(I1001/100,1)</f>
        <v>1.05</v>
      </c>
      <c r="R1001" s="39" t="n">
        <f aca="false">Resumo!$C$9</f>
        <v>0</v>
      </c>
      <c r="S1001" s="39" t="n">
        <f aca="false">Resumo!$C$13</f>
        <v>13.55</v>
      </c>
      <c r="T1001" s="39" t="n">
        <f aca="false">Resumo!$C$14*CEILING(I1001,1)</f>
        <v>30.15</v>
      </c>
      <c r="U1001" s="39" t="n">
        <f aca="false">SUM(M1001:T1001)*Resumo!$C$11</f>
        <v>0</v>
      </c>
      <c r="V1001" s="39" t="n">
        <f aca="false">SUM(M1001:U1001)</f>
        <v>137.973958</v>
      </c>
      <c r="W1001" s="39" t="n">
        <f aca="false">V1001/(1-Resumo!$C$5)</f>
        <v>156.788588636364</v>
      </c>
      <c r="X1001" s="39" t="n">
        <v>149.5</v>
      </c>
      <c r="Y1001" s="39" t="n">
        <f aca="false">J1001*Resumo!$B$6</f>
        <v>0.71999</v>
      </c>
      <c r="Z1001" s="39" t="n">
        <f aca="false">J1001*Resumo!$B$7</f>
        <v>1.43998</v>
      </c>
      <c r="AA1001" s="39" t="n">
        <f aca="false">Resumo!$B$9</f>
        <v>1</v>
      </c>
      <c r="AB1001" s="39" t="n">
        <f aca="false">Resumo!$B$10*CEILING(I1001/100,1)</f>
        <v>4.5</v>
      </c>
      <c r="AC1001" s="39" t="n">
        <f aca="false">Resumo!$B$12*CEILING(I1001,1)</f>
        <v>4.02</v>
      </c>
      <c r="AD1001" s="39" t="n">
        <f aca="false">Resumo!$B$14*CEILING(I1001,1)</f>
        <v>30.15</v>
      </c>
      <c r="AE1001" s="39" t="n">
        <f aca="false">SUM(X1001:AD1001)</f>
        <v>191.32997</v>
      </c>
      <c r="AF1001" s="39" t="n">
        <f aca="false">AE1001/(1-Resumo!$B$5)</f>
        <v>217.420420454545</v>
      </c>
      <c r="AG1001" s="39" t="n">
        <f aca="false">AF1001-W1001</f>
        <v>60.6318318181818</v>
      </c>
      <c r="AH1001" s="40" t="n">
        <f aca="false">AF1001/W1001-1</f>
        <v>0.386710744356555</v>
      </c>
      <c r="AI1001" s="37" t="str">
        <f aca="false">IF(AF1001&lt;W1001,"SIM","NÃO")</f>
        <v>NÃO</v>
      </c>
      <c r="AJ1001" s="37" t="n">
        <v>13</v>
      </c>
      <c r="AK1001" s="37" t="n">
        <v>7</v>
      </c>
      <c r="AL1001" s="37" t="s">
        <v>343</v>
      </c>
      <c r="AM1001" s="39" t="n">
        <v>155.47</v>
      </c>
    </row>
    <row r="1002" customFormat="false" ht="15" hidden="false" customHeight="false" outlineLevel="0" collapsed="false">
      <c r="A1002" s="37" t="n">
        <v>376502286</v>
      </c>
      <c r="B1002" s="38" t="n">
        <v>46248.7605092593</v>
      </c>
      <c r="C1002" s="37" t="s">
        <v>340</v>
      </c>
      <c r="D1002" s="37" t="s">
        <v>1298</v>
      </c>
      <c r="E1002" s="37" t="n">
        <v>21720070</v>
      </c>
      <c r="F1002" s="37" t="s">
        <v>159</v>
      </c>
      <c r="G1002" s="37" t="s">
        <v>196</v>
      </c>
      <c r="H1002" s="37" t="s">
        <v>186</v>
      </c>
      <c r="I1002" s="37" t="n">
        <v>41</v>
      </c>
      <c r="J1002" s="39" t="n">
        <v>559.99</v>
      </c>
      <c r="K1002" s="37" t="s">
        <v>342</v>
      </c>
      <c r="L1002" s="39" t="n">
        <v>103.27</v>
      </c>
      <c r="M1002" s="39" t="n">
        <v>53.55</v>
      </c>
      <c r="N1002" s="39" t="n">
        <f aca="false">J1002*Resumo!$C$6</f>
        <v>0</v>
      </c>
      <c r="O1002" s="39" t="n">
        <f aca="false">J1002*Resumo!$C$7</f>
        <v>1.175979</v>
      </c>
      <c r="P1002" s="39" t="n">
        <f aca="false">J1002*Resumo!$C$8</f>
        <v>1.175979</v>
      </c>
      <c r="Q1002" s="39" t="n">
        <f aca="false">Resumo!$C$10*CEILING(I1002/100,1)</f>
        <v>1.05</v>
      </c>
      <c r="R1002" s="39" t="n">
        <f aca="false">Resumo!$C$9</f>
        <v>0</v>
      </c>
      <c r="S1002" s="39" t="n">
        <f aca="false">Resumo!$C$13</f>
        <v>13.55</v>
      </c>
      <c r="T1002" s="39" t="n">
        <f aca="false">Resumo!$C$14*CEILING(I1002,1)</f>
        <v>18.45</v>
      </c>
      <c r="U1002" s="39" t="n">
        <f aca="false">SUM(M1002:T1002)*Resumo!$C$11</f>
        <v>0</v>
      </c>
      <c r="V1002" s="39" t="n">
        <f aca="false">SUM(M1002:U1002)</f>
        <v>88.951958</v>
      </c>
      <c r="W1002" s="39" t="n">
        <f aca="false">V1002/(1-Resumo!$C$5)</f>
        <v>101.081770454545</v>
      </c>
      <c r="X1002" s="39" t="n">
        <v>93.97</v>
      </c>
      <c r="Y1002" s="39" t="n">
        <f aca="false">J1002*Resumo!$B$6</f>
        <v>0.55999</v>
      </c>
      <c r="Z1002" s="39" t="n">
        <f aca="false">J1002*Resumo!$B$7</f>
        <v>1.11998</v>
      </c>
      <c r="AA1002" s="39" t="n">
        <f aca="false">Resumo!$B$9</f>
        <v>1</v>
      </c>
      <c r="AB1002" s="39" t="n">
        <f aca="false">Resumo!$B$10*CEILING(I1002/100,1)</f>
        <v>4.5</v>
      </c>
      <c r="AC1002" s="39" t="n">
        <f aca="false">Resumo!$B$12*CEILING(I1002,1)</f>
        <v>2.46</v>
      </c>
      <c r="AD1002" s="39" t="n">
        <f aca="false">Resumo!$B$14*CEILING(I1002,1)</f>
        <v>18.45</v>
      </c>
      <c r="AE1002" s="39" t="n">
        <f aca="false">SUM(X1002:AD1002)</f>
        <v>122.05997</v>
      </c>
      <c r="AF1002" s="39" t="n">
        <f aca="false">AE1002/(1-Resumo!$B$5)</f>
        <v>138.704511363636</v>
      </c>
      <c r="AG1002" s="39" t="n">
        <f aca="false">AF1002-W1002</f>
        <v>37.6227409090909</v>
      </c>
      <c r="AH1002" s="40" t="n">
        <f aca="false">AF1002/W1002-1</f>
        <v>0.372201048120829</v>
      </c>
      <c r="AI1002" s="37" t="str">
        <f aca="false">IF(AF1002&lt;W1002,"SIM","NÃO")</f>
        <v>NÃO</v>
      </c>
      <c r="AJ1002" s="37" t="n">
        <v>2</v>
      </c>
      <c r="AK1002" s="37" t="n">
        <v>5</v>
      </c>
      <c r="AL1002" s="37" t="s">
        <v>343</v>
      </c>
      <c r="AM1002" s="39" t="n">
        <v>103.27</v>
      </c>
    </row>
    <row r="1003" customFormat="false" ht="15" hidden="false" customHeight="false" outlineLevel="0" collapsed="false">
      <c r="A1003" s="37" t="n">
        <v>376509832</v>
      </c>
      <c r="B1003" s="38" t="n">
        <v>46248.7758796296</v>
      </c>
      <c r="C1003" s="37" t="s">
        <v>340</v>
      </c>
      <c r="D1003" s="37" t="s">
        <v>1299</v>
      </c>
      <c r="E1003" s="37" t="n">
        <v>21920115</v>
      </c>
      <c r="F1003" s="37" t="s">
        <v>159</v>
      </c>
      <c r="G1003" s="37" t="s">
        <v>196</v>
      </c>
      <c r="H1003" s="37" t="s">
        <v>187</v>
      </c>
      <c r="I1003" s="37" t="n">
        <v>52.3</v>
      </c>
      <c r="J1003" s="39" t="n">
        <v>604.56</v>
      </c>
      <c r="K1003" s="37" t="s">
        <v>342</v>
      </c>
      <c r="L1003" s="39" t="n">
        <v>114.05</v>
      </c>
      <c r="M1003" s="39" t="n">
        <v>58.6</v>
      </c>
      <c r="N1003" s="39" t="n">
        <f aca="false">J1003*Resumo!$C$6</f>
        <v>0</v>
      </c>
      <c r="O1003" s="39" t="n">
        <f aca="false">J1003*Resumo!$C$7</f>
        <v>1.269576</v>
      </c>
      <c r="P1003" s="39" t="n">
        <f aca="false">J1003*Resumo!$C$8</f>
        <v>1.269576</v>
      </c>
      <c r="Q1003" s="39" t="n">
        <f aca="false">Resumo!$C$10*CEILING(I1003/100,1)</f>
        <v>1.05</v>
      </c>
      <c r="R1003" s="39" t="n">
        <f aca="false">Resumo!$C$9</f>
        <v>0</v>
      </c>
      <c r="S1003" s="39" t="n">
        <f aca="false">Resumo!$C$13</f>
        <v>13.55</v>
      </c>
      <c r="T1003" s="39" t="n">
        <f aca="false">Resumo!$C$14*CEILING(I1003,1)</f>
        <v>23.85</v>
      </c>
      <c r="U1003" s="39" t="n">
        <f aca="false">SUM(M1003:T1003)*Resumo!$C$11</f>
        <v>0</v>
      </c>
      <c r="V1003" s="39" t="n">
        <f aca="false">SUM(M1003:U1003)</f>
        <v>99.589152</v>
      </c>
      <c r="W1003" s="39" t="n">
        <f aca="false">V1003/(1-Resumo!$C$5)</f>
        <v>113.169490909091</v>
      </c>
      <c r="X1003" s="39" t="n">
        <v>112.3</v>
      </c>
      <c r="Y1003" s="39" t="n">
        <f aca="false">J1003*Resumo!$B$6</f>
        <v>0.60456</v>
      </c>
      <c r="Z1003" s="39" t="n">
        <f aca="false">J1003*Resumo!$B$7</f>
        <v>1.20912</v>
      </c>
      <c r="AA1003" s="39" t="n">
        <f aca="false">Resumo!$B$9</f>
        <v>1</v>
      </c>
      <c r="AB1003" s="39" t="n">
        <f aca="false">Resumo!$B$10*CEILING(I1003/100,1)</f>
        <v>4.5</v>
      </c>
      <c r="AC1003" s="39" t="n">
        <f aca="false">Resumo!$B$12*CEILING(I1003,1)</f>
        <v>3.18</v>
      </c>
      <c r="AD1003" s="39" t="n">
        <f aca="false">Resumo!$B$14*CEILING(I1003,1)</f>
        <v>23.85</v>
      </c>
      <c r="AE1003" s="39" t="n">
        <f aca="false">SUM(X1003:AD1003)</f>
        <v>146.64368</v>
      </c>
      <c r="AF1003" s="39" t="n">
        <f aca="false">AE1003/(1-Resumo!$B$5)</f>
        <v>166.640545454545</v>
      </c>
      <c r="AG1003" s="39" t="n">
        <f aca="false">AF1003-W1003</f>
        <v>53.4710545454545</v>
      </c>
      <c r="AH1003" s="40" t="n">
        <f aca="false">AF1003/W1003-1</f>
        <v>0.472486481258521</v>
      </c>
      <c r="AI1003" s="37" t="str">
        <f aca="false">IF(AF1003&lt;W1003,"SIM","NÃO")</f>
        <v>NÃO</v>
      </c>
      <c r="AJ1003" s="37" t="n">
        <v>2</v>
      </c>
      <c r="AK1003" s="37" t="n">
        <v>5</v>
      </c>
      <c r="AL1003" s="37" t="s">
        <v>343</v>
      </c>
      <c r="AM1003" s="39" t="n">
        <v>114.05</v>
      </c>
    </row>
    <row r="1004" customFormat="false" ht="15" hidden="false" customHeight="false" outlineLevel="0" collapsed="false">
      <c r="A1004" s="37" t="n">
        <v>376509854</v>
      </c>
      <c r="B1004" s="38" t="n">
        <v>46248.7759606482</v>
      </c>
      <c r="C1004" s="37" t="s">
        <v>340</v>
      </c>
      <c r="D1004" s="37" t="s">
        <v>1300</v>
      </c>
      <c r="E1004" s="37" t="n">
        <v>28090115</v>
      </c>
      <c r="F1004" s="37" t="s">
        <v>164</v>
      </c>
      <c r="G1004" s="37" t="s">
        <v>198</v>
      </c>
      <c r="H1004" s="37" t="s">
        <v>186</v>
      </c>
      <c r="I1004" s="37" t="n">
        <v>46.8</v>
      </c>
      <c r="J1004" s="39" t="n">
        <v>506.56</v>
      </c>
      <c r="K1004" s="37" t="s">
        <v>518</v>
      </c>
      <c r="L1004" s="39" t="n">
        <v>131.33</v>
      </c>
      <c r="M1004" s="39" t="n">
        <v>77.7</v>
      </c>
      <c r="N1004" s="39" t="n">
        <f aca="false">J1004*Resumo!$C$6</f>
        <v>0</v>
      </c>
      <c r="O1004" s="39" t="n">
        <f aca="false">J1004*Resumo!$C$7</f>
        <v>1.063776</v>
      </c>
      <c r="P1004" s="39" t="n">
        <f aca="false">J1004*Resumo!$C$8</f>
        <v>1.063776</v>
      </c>
      <c r="Q1004" s="39" t="n">
        <f aca="false">Resumo!$C$10*CEILING(I1004/100,1)</f>
        <v>1.05</v>
      </c>
      <c r="R1004" s="39" t="n">
        <f aca="false">Resumo!$C$9</f>
        <v>0</v>
      </c>
      <c r="S1004" s="39" t="n">
        <f aca="false">Resumo!$C$13</f>
        <v>13.55</v>
      </c>
      <c r="T1004" s="39" t="n">
        <f aca="false">Resumo!$C$14*CEILING(I1004,1)</f>
        <v>21.15</v>
      </c>
      <c r="U1004" s="39" t="n">
        <f aca="false">SUM(M1004:T1004)*Resumo!$C$11</f>
        <v>0</v>
      </c>
      <c r="V1004" s="39" t="n">
        <f aca="false">SUM(M1004:U1004)</f>
        <v>115.577552</v>
      </c>
      <c r="W1004" s="39" t="n">
        <f aca="false">V1004/(1-Resumo!$C$5)</f>
        <v>131.338127272727</v>
      </c>
      <c r="X1004" s="39" t="n">
        <v>152.54</v>
      </c>
      <c r="Y1004" s="39" t="n">
        <f aca="false">J1004*Resumo!$B$6</f>
        <v>0.50656</v>
      </c>
      <c r="Z1004" s="39" t="n">
        <f aca="false">J1004*Resumo!$B$7</f>
        <v>1.01312</v>
      </c>
      <c r="AA1004" s="39" t="n">
        <f aca="false">Resumo!$B$9</f>
        <v>1</v>
      </c>
      <c r="AB1004" s="39" t="n">
        <f aca="false">Resumo!$B$10*CEILING(I1004/100,1)</f>
        <v>4.5</v>
      </c>
      <c r="AC1004" s="39" t="n">
        <f aca="false">Resumo!$B$12*CEILING(I1004,1)</f>
        <v>2.82</v>
      </c>
      <c r="AD1004" s="39" t="n">
        <f aca="false">Resumo!$B$14*CEILING(I1004,1)</f>
        <v>21.15</v>
      </c>
      <c r="AE1004" s="39" t="n">
        <f aca="false">SUM(X1004:AD1004)</f>
        <v>183.52968</v>
      </c>
      <c r="AF1004" s="39" t="n">
        <f aca="false">AE1004/(1-Resumo!$B$5)</f>
        <v>208.556454545455</v>
      </c>
      <c r="AG1004" s="39" t="n">
        <f aca="false">AF1004-W1004</f>
        <v>77.2183272727272</v>
      </c>
      <c r="AH1004" s="40" t="n">
        <f aca="false">AF1004/W1004-1</f>
        <v>0.587935345784101</v>
      </c>
      <c r="AI1004" s="37" t="str">
        <f aca="false">IF(AF1004&lt;W1004,"SIM","NÃO")</f>
        <v>NÃO</v>
      </c>
      <c r="AJ1004" s="37" t="n">
        <v>13</v>
      </c>
      <c r="AK1004" s="37" t="n">
        <v>11</v>
      </c>
      <c r="AL1004" s="37" t="s">
        <v>343</v>
      </c>
      <c r="AM1004" s="39" t="n">
        <v>130.59</v>
      </c>
    </row>
    <row r="1005" customFormat="false" ht="15" hidden="false" customHeight="false" outlineLevel="0" collapsed="false">
      <c r="A1005" s="37" t="n">
        <v>376527254</v>
      </c>
      <c r="B1005" s="38" t="n">
        <v>46248.8066898148</v>
      </c>
      <c r="C1005" s="37" t="s">
        <v>345</v>
      </c>
      <c r="D1005" s="37" t="s">
        <v>1301</v>
      </c>
      <c r="E1005" s="37" t="n">
        <v>22470230</v>
      </c>
      <c r="F1005" s="37" t="s">
        <v>159</v>
      </c>
      <c r="G1005" s="37" t="s">
        <v>196</v>
      </c>
      <c r="H1005" s="37" t="s">
        <v>183</v>
      </c>
      <c r="I1005" s="37" t="n">
        <v>17.2</v>
      </c>
      <c r="J1005" s="39" t="n">
        <v>228</v>
      </c>
      <c r="K1005" s="37" t="s">
        <v>518</v>
      </c>
      <c r="L1005" s="39" t="n">
        <v>64.86</v>
      </c>
      <c r="M1005" s="39" t="n">
        <v>33.42</v>
      </c>
      <c r="N1005" s="39" t="n">
        <f aca="false">J1005*Resumo!$C$6</f>
        <v>0</v>
      </c>
      <c r="O1005" s="39" t="n">
        <f aca="false">J1005*Resumo!$C$7</f>
        <v>0.4788</v>
      </c>
      <c r="P1005" s="39" t="n">
        <f aca="false">J1005*Resumo!$C$8</f>
        <v>0.4788</v>
      </c>
      <c r="Q1005" s="39" t="n">
        <f aca="false">Resumo!$C$10*CEILING(I1005/100,1)</f>
        <v>1.05</v>
      </c>
      <c r="R1005" s="39" t="n">
        <f aca="false">Resumo!$C$9</f>
        <v>0</v>
      </c>
      <c r="S1005" s="39" t="n">
        <f aca="false">Resumo!$C$13</f>
        <v>13.55</v>
      </c>
      <c r="T1005" s="39" t="n">
        <f aca="false">Resumo!$C$14*CEILING(I1005,1)</f>
        <v>8.1</v>
      </c>
      <c r="U1005" s="39" t="n">
        <f aca="false">SUM(M1005:T1005)*Resumo!$C$11</f>
        <v>0</v>
      </c>
      <c r="V1005" s="39" t="n">
        <f aca="false">SUM(M1005:U1005)</f>
        <v>57.0776</v>
      </c>
      <c r="W1005" s="39" t="n">
        <f aca="false">V1005/(1-Resumo!$C$5)</f>
        <v>64.8609090909091</v>
      </c>
      <c r="X1005" s="39" t="n">
        <v>46.98</v>
      </c>
      <c r="Y1005" s="39" t="n">
        <f aca="false">J1005*Resumo!$B$6</f>
        <v>0.228</v>
      </c>
      <c r="Z1005" s="39" t="n">
        <f aca="false">J1005*Resumo!$B$7</f>
        <v>0.456</v>
      </c>
      <c r="AA1005" s="39" t="n">
        <f aca="false">Resumo!$B$9</f>
        <v>1</v>
      </c>
      <c r="AB1005" s="39" t="n">
        <f aca="false">Resumo!$B$10*CEILING(I1005/100,1)</f>
        <v>4.5</v>
      </c>
      <c r="AC1005" s="39" t="n">
        <f aca="false">Resumo!$B$12*CEILING(I1005,1)</f>
        <v>1.08</v>
      </c>
      <c r="AD1005" s="39" t="n">
        <f aca="false">Resumo!$B$14*CEILING(I1005,1)</f>
        <v>8.1</v>
      </c>
      <c r="AE1005" s="39" t="n">
        <f aca="false">SUM(X1005:AD1005)</f>
        <v>62.344</v>
      </c>
      <c r="AF1005" s="39" t="n">
        <f aca="false">AE1005/(1-Resumo!$B$5)</f>
        <v>70.8454545454545</v>
      </c>
      <c r="AG1005" s="39" t="n">
        <f aca="false">AF1005-W1005</f>
        <v>5.98454545454545</v>
      </c>
      <c r="AH1005" s="40" t="n">
        <f aca="false">AF1005/W1005-1</f>
        <v>0.0922673693357814</v>
      </c>
      <c r="AI1005" s="37" t="str">
        <f aca="false">IF(AF1005&lt;W1005,"SIM","NÃO")</f>
        <v>NÃO</v>
      </c>
      <c r="AJ1005" s="37" t="n">
        <v>2</v>
      </c>
      <c r="AK1005" s="37" t="n">
        <v>5</v>
      </c>
      <c r="AL1005" s="37" t="s">
        <v>343</v>
      </c>
      <c r="AM1005" s="39" t="n">
        <v>64.31</v>
      </c>
    </row>
    <row r="1006" customFormat="false" ht="15" hidden="false" customHeight="false" outlineLevel="0" collapsed="false">
      <c r="A1006" s="37" t="n">
        <v>376533384</v>
      </c>
      <c r="B1006" s="38" t="n">
        <v>46248.8166550926</v>
      </c>
      <c r="C1006" s="37" t="s">
        <v>340</v>
      </c>
      <c r="D1006" s="37" t="s">
        <v>414</v>
      </c>
      <c r="E1006" s="37" t="n">
        <v>24110310</v>
      </c>
      <c r="F1006" s="37" t="s">
        <v>163</v>
      </c>
      <c r="G1006" s="37" t="s">
        <v>197</v>
      </c>
      <c r="H1006" s="37" t="s">
        <v>187</v>
      </c>
      <c r="I1006" s="37" t="n">
        <v>52.3</v>
      </c>
      <c r="J1006" s="39" t="n">
        <v>604.56</v>
      </c>
      <c r="K1006" s="37" t="s">
        <v>342</v>
      </c>
      <c r="L1006" s="39" t="n">
        <v>128.18</v>
      </c>
      <c r="M1006" s="39" t="n">
        <v>70.98</v>
      </c>
      <c r="N1006" s="39" t="n">
        <f aca="false">J1006*Resumo!$C$6</f>
        <v>0</v>
      </c>
      <c r="O1006" s="39" t="n">
        <f aca="false">J1006*Resumo!$C$7</f>
        <v>1.269576</v>
      </c>
      <c r="P1006" s="39" t="n">
        <f aca="false">J1006*Resumo!$C$8</f>
        <v>1.269576</v>
      </c>
      <c r="Q1006" s="39" t="n">
        <f aca="false">Resumo!$C$10*CEILING(I1006/100,1)</f>
        <v>1.05</v>
      </c>
      <c r="R1006" s="39" t="n">
        <f aca="false">Resumo!$C$9</f>
        <v>0</v>
      </c>
      <c r="S1006" s="39" t="n">
        <f aca="false">Resumo!$C$13</f>
        <v>13.55</v>
      </c>
      <c r="T1006" s="39" t="n">
        <f aca="false">Resumo!$C$14*CEILING(I1006,1)</f>
        <v>23.85</v>
      </c>
      <c r="U1006" s="39" t="n">
        <f aca="false">SUM(M1006:T1006)*Resumo!$C$11</f>
        <v>0</v>
      </c>
      <c r="V1006" s="39" t="n">
        <f aca="false">SUM(M1006:U1006)</f>
        <v>111.969152</v>
      </c>
      <c r="W1006" s="39" t="n">
        <f aca="false">V1006/(1-Resumo!$C$5)</f>
        <v>127.237672727273</v>
      </c>
      <c r="X1006" s="39" t="n">
        <v>128.14</v>
      </c>
      <c r="Y1006" s="39" t="n">
        <f aca="false">J1006*Resumo!$B$6</f>
        <v>0.60456</v>
      </c>
      <c r="Z1006" s="39" t="n">
        <f aca="false">J1006*Resumo!$B$7</f>
        <v>1.20912</v>
      </c>
      <c r="AA1006" s="39" t="n">
        <f aca="false">Resumo!$B$9</f>
        <v>1</v>
      </c>
      <c r="AB1006" s="39" t="n">
        <f aca="false">Resumo!$B$10*CEILING(I1006/100,1)</f>
        <v>4.5</v>
      </c>
      <c r="AC1006" s="39" t="n">
        <f aca="false">Resumo!$B$12*CEILING(I1006,1)</f>
        <v>3.18</v>
      </c>
      <c r="AD1006" s="39" t="n">
        <f aca="false">Resumo!$B$14*CEILING(I1006,1)</f>
        <v>23.85</v>
      </c>
      <c r="AE1006" s="39" t="n">
        <f aca="false">SUM(X1006:AD1006)</f>
        <v>162.48368</v>
      </c>
      <c r="AF1006" s="39" t="n">
        <f aca="false">AE1006/(1-Resumo!$B$5)</f>
        <v>184.640545454545</v>
      </c>
      <c r="AG1006" s="39" t="n">
        <f aca="false">AF1006-W1006</f>
        <v>57.4028727272727</v>
      </c>
      <c r="AH1006" s="40" t="n">
        <f aca="false">AF1006/W1006-1</f>
        <v>0.451146830155506</v>
      </c>
      <c r="AI1006" s="37" t="str">
        <f aca="false">IF(AF1006&lt;W1006,"SIM","NÃO")</f>
        <v>NÃO</v>
      </c>
      <c r="AJ1006" s="37" t="n">
        <v>2</v>
      </c>
      <c r="AK1006" s="37" t="n">
        <v>7</v>
      </c>
      <c r="AL1006" s="37" t="s">
        <v>343</v>
      </c>
      <c r="AM1006" s="39" t="n">
        <v>128.18</v>
      </c>
    </row>
    <row r="1007" customFormat="false" ht="15" hidden="false" customHeight="false" outlineLevel="0" collapsed="false">
      <c r="A1007" s="37" t="n">
        <v>376539722</v>
      </c>
      <c r="B1007" s="38" t="n">
        <v>46248.8289467593</v>
      </c>
      <c r="C1007" s="37" t="s">
        <v>340</v>
      </c>
      <c r="D1007" s="37" t="s">
        <v>1059</v>
      </c>
      <c r="E1007" s="37" t="n">
        <v>28080095</v>
      </c>
      <c r="F1007" s="37" t="s">
        <v>164</v>
      </c>
      <c r="G1007" s="37" t="s">
        <v>198</v>
      </c>
      <c r="H1007" s="37" t="s">
        <v>186</v>
      </c>
      <c r="I1007" s="37" t="n">
        <v>46.8</v>
      </c>
      <c r="J1007" s="39" t="n">
        <v>506.56</v>
      </c>
      <c r="K1007" s="37" t="s">
        <v>518</v>
      </c>
      <c r="L1007" s="39" t="n">
        <v>131.33</v>
      </c>
      <c r="M1007" s="39" t="n">
        <v>77.7</v>
      </c>
      <c r="N1007" s="39" t="n">
        <f aca="false">J1007*Resumo!$C$6</f>
        <v>0</v>
      </c>
      <c r="O1007" s="39" t="n">
        <f aca="false">J1007*Resumo!$C$7</f>
        <v>1.063776</v>
      </c>
      <c r="P1007" s="39" t="n">
        <f aca="false">J1007*Resumo!$C$8</f>
        <v>1.063776</v>
      </c>
      <c r="Q1007" s="39" t="n">
        <f aca="false">Resumo!$C$10*CEILING(I1007/100,1)</f>
        <v>1.05</v>
      </c>
      <c r="R1007" s="39" t="n">
        <f aca="false">Resumo!$C$9</f>
        <v>0</v>
      </c>
      <c r="S1007" s="39" t="n">
        <f aca="false">Resumo!$C$13</f>
        <v>13.55</v>
      </c>
      <c r="T1007" s="39" t="n">
        <f aca="false">Resumo!$C$14*CEILING(I1007,1)</f>
        <v>21.15</v>
      </c>
      <c r="U1007" s="39" t="n">
        <f aca="false">SUM(M1007:T1007)*Resumo!$C$11</f>
        <v>0</v>
      </c>
      <c r="V1007" s="39" t="n">
        <f aca="false">SUM(M1007:U1007)</f>
        <v>115.577552</v>
      </c>
      <c r="W1007" s="39" t="n">
        <f aca="false">V1007/(1-Resumo!$C$5)</f>
        <v>131.338127272727</v>
      </c>
      <c r="X1007" s="39" t="n">
        <v>152.54</v>
      </c>
      <c r="Y1007" s="39" t="n">
        <f aca="false">J1007*Resumo!$B$6</f>
        <v>0.50656</v>
      </c>
      <c r="Z1007" s="39" t="n">
        <f aca="false">J1007*Resumo!$B$7</f>
        <v>1.01312</v>
      </c>
      <c r="AA1007" s="39" t="n">
        <f aca="false">Resumo!$B$9</f>
        <v>1</v>
      </c>
      <c r="AB1007" s="39" t="n">
        <f aca="false">Resumo!$B$10*CEILING(I1007/100,1)</f>
        <v>4.5</v>
      </c>
      <c r="AC1007" s="39" t="n">
        <f aca="false">Resumo!$B$12*CEILING(I1007,1)</f>
        <v>2.82</v>
      </c>
      <c r="AD1007" s="39" t="n">
        <f aca="false">Resumo!$B$14*CEILING(I1007,1)</f>
        <v>21.15</v>
      </c>
      <c r="AE1007" s="39" t="n">
        <f aca="false">SUM(X1007:AD1007)</f>
        <v>183.52968</v>
      </c>
      <c r="AF1007" s="39" t="n">
        <f aca="false">AE1007/(1-Resumo!$B$5)</f>
        <v>208.556454545455</v>
      </c>
      <c r="AG1007" s="39" t="n">
        <f aca="false">AF1007-W1007</f>
        <v>77.2183272727272</v>
      </c>
      <c r="AH1007" s="40" t="n">
        <f aca="false">AF1007/W1007-1</f>
        <v>0.587935345784101</v>
      </c>
      <c r="AI1007" s="37" t="str">
        <f aca="false">IF(AF1007&lt;W1007,"SIM","NÃO")</f>
        <v>NÃO</v>
      </c>
      <c r="AJ1007" s="37" t="n">
        <v>13</v>
      </c>
      <c r="AK1007" s="37" t="n">
        <v>11</v>
      </c>
      <c r="AL1007" s="37" t="s">
        <v>343</v>
      </c>
      <c r="AM1007" s="39" t="n">
        <v>130.59</v>
      </c>
    </row>
    <row r="1008" customFormat="false" ht="15" hidden="false" customHeight="false" outlineLevel="0" collapsed="false">
      <c r="A1008" s="37" t="n">
        <v>376546687</v>
      </c>
      <c r="B1008" s="38" t="n">
        <v>46248.8427662037</v>
      </c>
      <c r="C1008" s="37" t="s">
        <v>340</v>
      </c>
      <c r="D1008" s="37" t="s">
        <v>1302</v>
      </c>
      <c r="E1008" s="37" t="n">
        <v>20761120</v>
      </c>
      <c r="F1008" s="37" t="s">
        <v>159</v>
      </c>
      <c r="G1008" s="37" t="s">
        <v>196</v>
      </c>
      <c r="H1008" s="37" t="s">
        <v>184</v>
      </c>
      <c r="I1008" s="37" t="n">
        <v>27.5</v>
      </c>
      <c r="J1008" s="39" t="n">
        <v>369.99</v>
      </c>
      <c r="K1008" s="37" t="s">
        <v>342</v>
      </c>
      <c r="L1008" s="39" t="n">
        <v>82.1</v>
      </c>
      <c r="M1008" s="39" t="n">
        <v>42.11</v>
      </c>
      <c r="N1008" s="39" t="n">
        <f aca="false">J1008*Resumo!$C$6</f>
        <v>0</v>
      </c>
      <c r="O1008" s="39" t="n">
        <f aca="false">J1008*Resumo!$C$7</f>
        <v>0.776979</v>
      </c>
      <c r="P1008" s="39" t="n">
        <f aca="false">J1008*Resumo!$C$8</f>
        <v>0.776979</v>
      </c>
      <c r="Q1008" s="39" t="n">
        <f aca="false">Resumo!$C$10*CEILING(I1008/100,1)</f>
        <v>1.05</v>
      </c>
      <c r="R1008" s="39" t="n">
        <f aca="false">Resumo!$C$9</f>
        <v>0</v>
      </c>
      <c r="S1008" s="39" t="n">
        <f aca="false">Resumo!$C$13</f>
        <v>13.55</v>
      </c>
      <c r="T1008" s="39" t="n">
        <f aca="false">Resumo!$C$14*CEILING(I1008,1)</f>
        <v>12.6</v>
      </c>
      <c r="U1008" s="39" t="n">
        <f aca="false">SUM(M1008:T1008)*Resumo!$C$11</f>
        <v>0</v>
      </c>
      <c r="V1008" s="39" t="n">
        <f aca="false">SUM(M1008:U1008)</f>
        <v>70.863958</v>
      </c>
      <c r="W1008" s="39" t="n">
        <f aca="false">V1008/(1-Resumo!$C$5)</f>
        <v>80.527225</v>
      </c>
      <c r="X1008" s="39" t="n">
        <v>82.21</v>
      </c>
      <c r="Y1008" s="39" t="n">
        <f aca="false">J1008*Resumo!$B$6</f>
        <v>0.36999</v>
      </c>
      <c r="Z1008" s="39" t="n">
        <f aca="false">J1008*Resumo!$B$7</f>
        <v>0.73998</v>
      </c>
      <c r="AA1008" s="39" t="n">
        <f aca="false">Resumo!$B$9</f>
        <v>1</v>
      </c>
      <c r="AB1008" s="39" t="n">
        <f aca="false">Resumo!$B$10*CEILING(I1008/100,1)</f>
        <v>4.5</v>
      </c>
      <c r="AC1008" s="39" t="n">
        <f aca="false">Resumo!$B$12*CEILING(I1008,1)</f>
        <v>1.68</v>
      </c>
      <c r="AD1008" s="39" t="n">
        <f aca="false">Resumo!$B$14*CEILING(I1008,1)</f>
        <v>12.6</v>
      </c>
      <c r="AE1008" s="39" t="n">
        <f aca="false">SUM(X1008:AD1008)</f>
        <v>103.09997</v>
      </c>
      <c r="AF1008" s="39" t="n">
        <f aca="false">AE1008/(1-Resumo!$B$5)</f>
        <v>117.159056818182</v>
      </c>
      <c r="AG1008" s="39" t="n">
        <f aca="false">AF1008-W1008</f>
        <v>36.6318318181818</v>
      </c>
      <c r="AH1008" s="40" t="n">
        <f aca="false">AF1008/W1008-1</f>
        <v>0.454899964802982</v>
      </c>
      <c r="AI1008" s="37" t="str">
        <f aca="false">IF(AF1008&lt;W1008,"SIM","NÃO")</f>
        <v>NÃO</v>
      </c>
      <c r="AJ1008" s="37" t="n">
        <v>2</v>
      </c>
      <c r="AK1008" s="37" t="n">
        <v>5</v>
      </c>
      <c r="AL1008" s="37" t="s">
        <v>343</v>
      </c>
      <c r="AM1008" s="39" t="n">
        <v>82.1</v>
      </c>
    </row>
    <row r="1009" customFormat="false" ht="15" hidden="false" customHeight="false" outlineLevel="0" collapsed="false">
      <c r="A1009" s="37" t="n">
        <v>376564917</v>
      </c>
      <c r="B1009" s="38" t="n">
        <v>46248.8745949074</v>
      </c>
      <c r="C1009" s="37" t="s">
        <v>340</v>
      </c>
      <c r="D1009" s="37" t="s">
        <v>1303</v>
      </c>
      <c r="E1009" s="37" t="n">
        <v>28635360</v>
      </c>
      <c r="F1009" s="37" t="s">
        <v>177</v>
      </c>
      <c r="G1009" s="37" t="s">
        <v>198</v>
      </c>
      <c r="H1009" s="37" t="s">
        <v>184</v>
      </c>
      <c r="I1009" s="37" t="n">
        <v>31.9</v>
      </c>
      <c r="J1009" s="39" t="n">
        <v>518.79</v>
      </c>
      <c r="K1009" s="37" t="s">
        <v>518</v>
      </c>
      <c r="L1009" s="39" t="n">
        <v>110.01</v>
      </c>
      <c r="M1009" s="39" t="n">
        <v>65.63</v>
      </c>
      <c r="N1009" s="39" t="n">
        <f aca="false">J1009*Resumo!$C$6</f>
        <v>0</v>
      </c>
      <c r="O1009" s="39" t="n">
        <f aca="false">J1009*Resumo!$C$7</f>
        <v>1.089459</v>
      </c>
      <c r="P1009" s="39" t="n">
        <f aca="false">J1009*Resumo!$C$8</f>
        <v>1.089459</v>
      </c>
      <c r="Q1009" s="39" t="n">
        <f aca="false">Resumo!$C$10*CEILING(I1009/100,1)</f>
        <v>1.05</v>
      </c>
      <c r="R1009" s="39" t="n">
        <f aca="false">Resumo!$C$9</f>
        <v>0</v>
      </c>
      <c r="S1009" s="39" t="n">
        <f aca="false">Resumo!$C$13</f>
        <v>13.55</v>
      </c>
      <c r="T1009" s="39" t="n">
        <f aca="false">Resumo!$C$14*CEILING(I1009,1)</f>
        <v>14.4</v>
      </c>
      <c r="U1009" s="39" t="n">
        <f aca="false">SUM(M1009:T1009)*Resumo!$C$11</f>
        <v>0</v>
      </c>
      <c r="V1009" s="39" t="n">
        <f aca="false">SUM(M1009:U1009)</f>
        <v>96.808918</v>
      </c>
      <c r="W1009" s="39" t="n">
        <f aca="false">V1009/(1-Resumo!$C$5)</f>
        <v>110.010134090909</v>
      </c>
      <c r="X1009" s="39" t="n">
        <v>120.78</v>
      </c>
      <c r="Y1009" s="39" t="n">
        <f aca="false">J1009*Resumo!$B$6</f>
        <v>0.51879</v>
      </c>
      <c r="Z1009" s="39" t="n">
        <f aca="false">J1009*Resumo!$B$7</f>
        <v>1.03758</v>
      </c>
      <c r="AA1009" s="39" t="n">
        <f aca="false">Resumo!$B$9</f>
        <v>1</v>
      </c>
      <c r="AB1009" s="39" t="n">
        <f aca="false">Resumo!$B$10*CEILING(I1009/100,1)</f>
        <v>4.5</v>
      </c>
      <c r="AC1009" s="39" t="n">
        <f aca="false">Resumo!$B$12*CEILING(I1009,1)</f>
        <v>1.92</v>
      </c>
      <c r="AD1009" s="39" t="n">
        <f aca="false">Resumo!$B$14*CEILING(I1009,1)</f>
        <v>14.4</v>
      </c>
      <c r="AE1009" s="39" t="n">
        <f aca="false">SUM(X1009:AD1009)</f>
        <v>144.15637</v>
      </c>
      <c r="AF1009" s="39" t="n">
        <f aca="false">AE1009/(1-Resumo!$B$5)</f>
        <v>163.814056818182</v>
      </c>
      <c r="AG1009" s="39" t="n">
        <f aca="false">AF1009-W1009</f>
        <v>53.8039227272727</v>
      </c>
      <c r="AH1009" s="40" t="n">
        <f aca="false">AF1009/W1009-1</f>
        <v>0.489081512097884</v>
      </c>
      <c r="AI1009" s="37" t="str">
        <f aca="false">IF(AF1009&lt;W1009,"SIM","NÃO")</f>
        <v>NÃO</v>
      </c>
      <c r="AJ1009" s="37" t="n">
        <v>13</v>
      </c>
      <c r="AK1009" s="37" t="n">
        <v>10</v>
      </c>
      <c r="AL1009" s="37" t="s">
        <v>343</v>
      </c>
      <c r="AM1009" s="39" t="n">
        <v>109.67</v>
      </c>
    </row>
    <row r="1010" customFormat="false" ht="15" hidden="false" customHeight="false" outlineLevel="0" collapsed="false">
      <c r="A1010" s="37" t="n">
        <v>376570991</v>
      </c>
      <c r="B1010" s="38" t="n">
        <v>46248.8852199074</v>
      </c>
      <c r="C1010" s="37" t="s">
        <v>340</v>
      </c>
      <c r="D1010" s="37" t="s">
        <v>1304</v>
      </c>
      <c r="E1010" s="37" t="n">
        <v>26554300</v>
      </c>
      <c r="F1010" s="37" t="s">
        <v>175</v>
      </c>
      <c r="G1010" s="37" t="s">
        <v>197</v>
      </c>
      <c r="H1010" s="37" t="s">
        <v>187</v>
      </c>
      <c r="I1010" s="37" t="n">
        <v>59.9</v>
      </c>
      <c r="J1010" s="39" t="n">
        <v>901.58</v>
      </c>
      <c r="K1010" s="37" t="s">
        <v>518</v>
      </c>
      <c r="L1010" s="39" t="n">
        <v>132.23</v>
      </c>
      <c r="M1010" s="39" t="n">
        <v>70.98</v>
      </c>
      <c r="N1010" s="39" t="n">
        <f aca="false">J1010*Resumo!$C$6</f>
        <v>0</v>
      </c>
      <c r="O1010" s="39" t="n">
        <f aca="false">J1010*Resumo!$C$7</f>
        <v>1.893318</v>
      </c>
      <c r="P1010" s="39" t="n">
        <f aca="false">J1010*Resumo!$C$8</f>
        <v>1.893318</v>
      </c>
      <c r="Q1010" s="39" t="n">
        <f aca="false">Resumo!$C$10*CEILING(I1010/100,1)</f>
        <v>1.05</v>
      </c>
      <c r="R1010" s="39" t="n">
        <f aca="false">Resumo!$C$9</f>
        <v>0</v>
      </c>
      <c r="S1010" s="39" t="n">
        <f aca="false">Resumo!$C$13</f>
        <v>13.55</v>
      </c>
      <c r="T1010" s="39" t="n">
        <f aca="false">Resumo!$C$14*CEILING(I1010,1)</f>
        <v>27</v>
      </c>
      <c r="U1010" s="39" t="n">
        <f aca="false">SUM(M1010:T1010)*Resumo!$C$11</f>
        <v>0</v>
      </c>
      <c r="V1010" s="39" t="n">
        <f aca="false">SUM(M1010:U1010)</f>
        <v>116.366636</v>
      </c>
      <c r="W1010" s="39" t="n">
        <f aca="false">V1010/(1-Resumo!$C$5)</f>
        <v>132.234813636364</v>
      </c>
      <c r="X1010" s="39" t="n">
        <v>112.3</v>
      </c>
      <c r="Y1010" s="39" t="n">
        <f aca="false">J1010*Resumo!$B$6</f>
        <v>0.90158</v>
      </c>
      <c r="Z1010" s="39" t="n">
        <f aca="false">J1010*Resumo!$B$7</f>
        <v>1.80316</v>
      </c>
      <c r="AA1010" s="39" t="n">
        <f aca="false">Resumo!$B$9</f>
        <v>1</v>
      </c>
      <c r="AB1010" s="39" t="n">
        <f aca="false">Resumo!$B$10*CEILING(I1010/100,1)</f>
        <v>4.5</v>
      </c>
      <c r="AC1010" s="39" t="n">
        <f aca="false">Resumo!$B$12*CEILING(I1010,1)</f>
        <v>3.6</v>
      </c>
      <c r="AD1010" s="39" t="n">
        <f aca="false">Resumo!$B$14*CEILING(I1010,1)</f>
        <v>27</v>
      </c>
      <c r="AE1010" s="39" t="n">
        <f aca="false">SUM(X1010:AD1010)</f>
        <v>151.10474</v>
      </c>
      <c r="AF1010" s="39" t="n">
        <f aca="false">AE1010/(1-Resumo!$B$5)</f>
        <v>171.709931818182</v>
      </c>
      <c r="AG1010" s="39" t="n">
        <f aca="false">AF1010-W1010</f>
        <v>39.4751181818182</v>
      </c>
      <c r="AH1010" s="40" t="n">
        <f aca="false">AF1010/W1010-1</f>
        <v>0.298522885889732</v>
      </c>
      <c r="AI1010" s="37" t="str">
        <f aca="false">IF(AF1010&lt;W1010,"SIM","NÃO")</f>
        <v>NÃO</v>
      </c>
      <c r="AJ1010" s="37" t="n">
        <v>2</v>
      </c>
      <c r="AK1010" s="37" t="n">
        <v>5</v>
      </c>
      <c r="AL1010" s="37" t="s">
        <v>343</v>
      </c>
      <c r="AM1010" s="39" t="n">
        <v>129.6</v>
      </c>
    </row>
    <row r="1011" customFormat="false" ht="15" hidden="false" customHeight="false" outlineLevel="0" collapsed="false">
      <c r="A1011" s="37" t="n">
        <v>376578207</v>
      </c>
      <c r="B1011" s="38" t="n">
        <v>46248.8966203704</v>
      </c>
      <c r="C1011" s="37" t="s">
        <v>340</v>
      </c>
      <c r="D1011" s="37" t="s">
        <v>1305</v>
      </c>
      <c r="E1011" s="37" t="n">
        <v>27250005</v>
      </c>
      <c r="F1011" s="37" t="s">
        <v>168</v>
      </c>
      <c r="G1011" s="37" t="s">
        <v>198</v>
      </c>
      <c r="H1011" s="37" t="s">
        <v>187</v>
      </c>
      <c r="I1011" s="37" t="n">
        <v>52.3</v>
      </c>
      <c r="J1011" s="39" t="n">
        <v>577.12</v>
      </c>
      <c r="K1011" s="37" t="s">
        <v>518</v>
      </c>
      <c r="L1011" s="39" t="n">
        <v>141.42</v>
      </c>
      <c r="M1011" s="39" t="n">
        <v>83.58</v>
      </c>
      <c r="N1011" s="39" t="n">
        <f aca="false">J1011*Resumo!$C$6</f>
        <v>0</v>
      </c>
      <c r="O1011" s="39" t="n">
        <f aca="false">J1011*Resumo!$C$7</f>
        <v>1.211952</v>
      </c>
      <c r="P1011" s="39" t="n">
        <f aca="false">J1011*Resumo!$C$8</f>
        <v>1.211952</v>
      </c>
      <c r="Q1011" s="39" t="n">
        <f aca="false">Resumo!$C$10*CEILING(I1011/100,1)</f>
        <v>1.05</v>
      </c>
      <c r="R1011" s="39" t="n">
        <f aca="false">Resumo!$C$9</f>
        <v>0</v>
      </c>
      <c r="S1011" s="39" t="n">
        <f aca="false">Resumo!$C$13</f>
        <v>13.55</v>
      </c>
      <c r="T1011" s="39" t="n">
        <f aca="false">Resumo!$C$14*CEILING(I1011,1)</f>
        <v>23.85</v>
      </c>
      <c r="U1011" s="39" t="n">
        <f aca="false">SUM(M1011:T1011)*Resumo!$C$11</f>
        <v>0</v>
      </c>
      <c r="V1011" s="39" t="n">
        <f aca="false">SUM(M1011:U1011)</f>
        <v>124.453904</v>
      </c>
      <c r="W1011" s="39" t="n">
        <f aca="false">V1011/(1-Resumo!$C$5)</f>
        <v>141.424890909091</v>
      </c>
      <c r="X1011" s="39" t="n">
        <v>142.32</v>
      </c>
      <c r="Y1011" s="39" t="n">
        <f aca="false">J1011*Resumo!$B$6</f>
        <v>0.57712</v>
      </c>
      <c r="Z1011" s="39" t="n">
        <f aca="false">J1011*Resumo!$B$7</f>
        <v>1.15424</v>
      </c>
      <c r="AA1011" s="39" t="n">
        <f aca="false">Resumo!$B$9</f>
        <v>1</v>
      </c>
      <c r="AB1011" s="39" t="n">
        <f aca="false">Resumo!$B$10*CEILING(I1011/100,1)</f>
        <v>4.5</v>
      </c>
      <c r="AC1011" s="39" t="n">
        <f aca="false">Resumo!$B$12*CEILING(I1011,1)</f>
        <v>3.18</v>
      </c>
      <c r="AD1011" s="39" t="n">
        <f aca="false">Resumo!$B$14*CEILING(I1011,1)</f>
        <v>23.85</v>
      </c>
      <c r="AE1011" s="39" t="n">
        <f aca="false">SUM(X1011:AD1011)</f>
        <v>176.58136</v>
      </c>
      <c r="AF1011" s="39" t="n">
        <f aca="false">AE1011/(1-Resumo!$B$5)</f>
        <v>200.660636363636</v>
      </c>
      <c r="AG1011" s="39" t="n">
        <f aca="false">AF1011-W1011</f>
        <v>59.2357454545455</v>
      </c>
      <c r="AH1011" s="40" t="n">
        <f aca="false">AF1011/W1011-1</f>
        <v>0.418849504311251</v>
      </c>
      <c r="AI1011" s="37" t="str">
        <f aca="false">IF(AF1011&lt;W1011,"SIM","NÃO")</f>
        <v>NÃO</v>
      </c>
      <c r="AJ1011" s="37" t="n">
        <v>13</v>
      </c>
      <c r="AK1011" s="37" t="n">
        <v>10</v>
      </c>
      <c r="AL1011" s="37" t="s">
        <v>343</v>
      </c>
      <c r="AM1011" s="39" t="n">
        <v>142.44</v>
      </c>
    </row>
    <row r="1012" customFormat="false" ht="15" hidden="false" customHeight="false" outlineLevel="0" collapsed="false">
      <c r="A1012" s="37" t="n">
        <v>376585040</v>
      </c>
      <c r="B1012" s="38" t="n">
        <v>46248.909224537</v>
      </c>
      <c r="C1012" s="37" t="s">
        <v>345</v>
      </c>
      <c r="D1012" s="37" t="s">
        <v>1306</v>
      </c>
      <c r="E1012" s="37" t="n">
        <v>26215210</v>
      </c>
      <c r="F1012" s="37" t="s">
        <v>162</v>
      </c>
      <c r="G1012" s="37" t="s">
        <v>197</v>
      </c>
      <c r="H1012" s="37" t="s">
        <v>187</v>
      </c>
      <c r="I1012" s="37" t="n">
        <v>52.3</v>
      </c>
      <c r="J1012" s="39" t="n">
        <v>616.99</v>
      </c>
      <c r="K1012" s="37" t="s">
        <v>342</v>
      </c>
      <c r="L1012" s="39" t="n">
        <v>128.23</v>
      </c>
      <c r="M1012" s="39" t="n">
        <v>70.98</v>
      </c>
      <c r="N1012" s="39" t="n">
        <f aca="false">J1012*Resumo!$C$6</f>
        <v>0</v>
      </c>
      <c r="O1012" s="39" t="n">
        <f aca="false">J1012*Resumo!$C$7</f>
        <v>1.295679</v>
      </c>
      <c r="P1012" s="39" t="n">
        <f aca="false">J1012*Resumo!$C$8</f>
        <v>1.295679</v>
      </c>
      <c r="Q1012" s="39" t="n">
        <f aca="false">Resumo!$C$10*CEILING(I1012/100,1)</f>
        <v>1.05</v>
      </c>
      <c r="R1012" s="39" t="n">
        <f aca="false">Resumo!$C$9</f>
        <v>0</v>
      </c>
      <c r="S1012" s="39" t="n">
        <f aca="false">Resumo!$C$13</f>
        <v>13.55</v>
      </c>
      <c r="T1012" s="39" t="n">
        <f aca="false">Resumo!$C$14*CEILING(I1012,1)</f>
        <v>23.85</v>
      </c>
      <c r="U1012" s="39" t="n">
        <f aca="false">SUM(M1012:T1012)*Resumo!$C$11</f>
        <v>0</v>
      </c>
      <c r="V1012" s="39" t="n">
        <f aca="false">SUM(M1012:U1012)</f>
        <v>112.021358</v>
      </c>
      <c r="W1012" s="39" t="n">
        <f aca="false">V1012/(1-Resumo!$C$5)</f>
        <v>127.296997727273</v>
      </c>
      <c r="X1012" s="39" t="n">
        <v>112.3</v>
      </c>
      <c r="Y1012" s="39" t="n">
        <f aca="false">J1012*Resumo!$B$6</f>
        <v>0.61699</v>
      </c>
      <c r="Z1012" s="39" t="n">
        <f aca="false">J1012*Resumo!$B$7</f>
        <v>1.23398</v>
      </c>
      <c r="AA1012" s="39" t="n">
        <f aca="false">Resumo!$B$9</f>
        <v>1</v>
      </c>
      <c r="AB1012" s="39" t="n">
        <f aca="false">Resumo!$B$10*CEILING(I1012/100,1)</f>
        <v>4.5</v>
      </c>
      <c r="AC1012" s="39" t="n">
        <f aca="false">Resumo!$B$12*CEILING(I1012,1)</f>
        <v>3.18</v>
      </c>
      <c r="AD1012" s="39" t="n">
        <f aca="false">Resumo!$B$14*CEILING(I1012,1)</f>
        <v>23.85</v>
      </c>
      <c r="AE1012" s="39" t="n">
        <f aca="false">SUM(X1012:AD1012)</f>
        <v>146.68097</v>
      </c>
      <c r="AF1012" s="39" t="n">
        <f aca="false">AE1012/(1-Resumo!$B$5)</f>
        <v>166.682920454545</v>
      </c>
      <c r="AG1012" s="39" t="n">
        <f aca="false">AF1012-W1012</f>
        <v>39.3859227272727</v>
      </c>
      <c r="AH1012" s="40" t="n">
        <f aca="false">AF1012/W1012-1</f>
        <v>0.309401819606579</v>
      </c>
      <c r="AI1012" s="37" t="str">
        <f aca="false">IF(AF1012&lt;W1012,"SIM","NÃO")</f>
        <v>NÃO</v>
      </c>
      <c r="AJ1012" s="37" t="n">
        <v>2</v>
      </c>
      <c r="AK1012" s="37" t="n">
        <v>5</v>
      </c>
      <c r="AL1012" s="37" t="s">
        <v>343</v>
      </c>
      <c r="AM1012" s="39" t="n">
        <v>128.24</v>
      </c>
    </row>
    <row r="1013" customFormat="false" ht="15" hidden="false" customHeight="false" outlineLevel="0" collapsed="false">
      <c r="A1013" s="37" t="n">
        <v>376585074</v>
      </c>
      <c r="B1013" s="38" t="n">
        <v>46248.9093171296</v>
      </c>
      <c r="C1013" s="37" t="s">
        <v>340</v>
      </c>
      <c r="D1013" s="37" t="s">
        <v>1307</v>
      </c>
      <c r="E1013" s="37" t="n">
        <v>23575275</v>
      </c>
      <c r="F1013" s="37" t="s">
        <v>159</v>
      </c>
      <c r="G1013" s="37" t="s">
        <v>196</v>
      </c>
      <c r="H1013" s="37" t="s">
        <v>185</v>
      </c>
      <c r="I1013" s="37" t="n">
        <v>36</v>
      </c>
      <c r="J1013" s="39" t="n">
        <v>449.99</v>
      </c>
      <c r="K1013" s="37" t="s">
        <v>518</v>
      </c>
      <c r="L1013" s="39" t="n">
        <v>92.08</v>
      </c>
      <c r="M1013" s="39" t="n">
        <v>48.35</v>
      </c>
      <c r="N1013" s="39" t="n">
        <f aca="false">J1013*Resumo!$C$6</f>
        <v>0</v>
      </c>
      <c r="O1013" s="39" t="n">
        <f aca="false">J1013*Resumo!$C$7</f>
        <v>0.944979</v>
      </c>
      <c r="P1013" s="39" t="n">
        <f aca="false">J1013*Resumo!$C$8</f>
        <v>0.944979</v>
      </c>
      <c r="Q1013" s="39" t="n">
        <f aca="false">Resumo!$C$10*CEILING(I1013/100,1)</f>
        <v>1.05</v>
      </c>
      <c r="R1013" s="39" t="n">
        <f aca="false">Resumo!$C$9</f>
        <v>0</v>
      </c>
      <c r="S1013" s="39" t="n">
        <f aca="false">Resumo!$C$13</f>
        <v>13.55</v>
      </c>
      <c r="T1013" s="39" t="n">
        <f aca="false">Resumo!$C$14*CEILING(I1013,1)</f>
        <v>16.2</v>
      </c>
      <c r="U1013" s="39" t="n">
        <f aca="false">SUM(M1013:T1013)*Resumo!$C$11</f>
        <v>0</v>
      </c>
      <c r="V1013" s="39" t="n">
        <f aca="false">SUM(M1013:U1013)</f>
        <v>81.039958</v>
      </c>
      <c r="W1013" s="39" t="n">
        <f aca="false">V1013/(1-Resumo!$C$5)</f>
        <v>92.0908613636364</v>
      </c>
      <c r="X1013" s="39" t="n">
        <v>93.97</v>
      </c>
      <c r="Y1013" s="39" t="n">
        <f aca="false">J1013*Resumo!$B$6</f>
        <v>0.44999</v>
      </c>
      <c r="Z1013" s="39" t="n">
        <f aca="false">J1013*Resumo!$B$7</f>
        <v>0.89998</v>
      </c>
      <c r="AA1013" s="39" t="n">
        <f aca="false">Resumo!$B$9</f>
        <v>1</v>
      </c>
      <c r="AB1013" s="39" t="n">
        <f aca="false">Resumo!$B$10*CEILING(I1013/100,1)</f>
        <v>4.5</v>
      </c>
      <c r="AC1013" s="39" t="n">
        <f aca="false">Resumo!$B$12*CEILING(I1013,1)</f>
        <v>2.16</v>
      </c>
      <c r="AD1013" s="39" t="n">
        <f aca="false">Resumo!$B$14*CEILING(I1013,1)</f>
        <v>16.2</v>
      </c>
      <c r="AE1013" s="39" t="n">
        <f aca="false">SUM(X1013:AD1013)</f>
        <v>119.17997</v>
      </c>
      <c r="AF1013" s="39" t="n">
        <f aca="false">AE1013/(1-Resumo!$B$5)</f>
        <v>135.431784090909</v>
      </c>
      <c r="AG1013" s="39" t="n">
        <f aca="false">AF1013-W1013</f>
        <v>43.3409227272727</v>
      </c>
      <c r="AH1013" s="40" t="n">
        <f aca="false">AF1013/W1013-1</f>
        <v>0.470632178758039</v>
      </c>
      <c r="AI1013" s="37" t="str">
        <f aca="false">IF(AF1013&lt;W1013,"SIM","NÃO")</f>
        <v>NÃO</v>
      </c>
      <c r="AJ1013" s="37" t="n">
        <v>2</v>
      </c>
      <c r="AK1013" s="37" t="n">
        <v>5</v>
      </c>
      <c r="AL1013" s="37" t="s">
        <v>343</v>
      </c>
      <c r="AM1013" s="39" t="n">
        <v>92.01</v>
      </c>
    </row>
    <row r="1014" customFormat="false" ht="15" hidden="false" customHeight="false" outlineLevel="0" collapsed="false">
      <c r="A1014" s="37" t="n">
        <v>376588503</v>
      </c>
      <c r="B1014" s="38" t="n">
        <v>46248.9150925926</v>
      </c>
      <c r="C1014" s="37" t="s">
        <v>340</v>
      </c>
      <c r="D1014" s="37" t="s">
        <v>1308</v>
      </c>
      <c r="E1014" s="37" t="n">
        <v>21745350</v>
      </c>
      <c r="F1014" s="37" t="s">
        <v>159</v>
      </c>
      <c r="G1014" s="37" t="s">
        <v>196</v>
      </c>
      <c r="H1014" s="37" t="s">
        <v>184</v>
      </c>
      <c r="I1014" s="37" t="n">
        <v>27.6</v>
      </c>
      <c r="J1014" s="39" t="n">
        <v>579.59</v>
      </c>
      <c r="K1014" s="37" t="s">
        <v>342</v>
      </c>
      <c r="L1014" s="39" t="n">
        <v>83.1</v>
      </c>
      <c r="M1014" s="39" t="n">
        <v>42.11</v>
      </c>
      <c r="N1014" s="39" t="n">
        <f aca="false">J1014*Resumo!$C$6</f>
        <v>0</v>
      </c>
      <c r="O1014" s="39" t="n">
        <f aca="false">J1014*Resumo!$C$7</f>
        <v>1.217139</v>
      </c>
      <c r="P1014" s="39" t="n">
        <f aca="false">J1014*Resumo!$C$8</f>
        <v>1.217139</v>
      </c>
      <c r="Q1014" s="39" t="n">
        <f aca="false">Resumo!$C$10*CEILING(I1014/100,1)</f>
        <v>1.05</v>
      </c>
      <c r="R1014" s="39" t="n">
        <f aca="false">Resumo!$C$9</f>
        <v>0</v>
      </c>
      <c r="S1014" s="39" t="n">
        <f aca="false">Resumo!$C$13</f>
        <v>13.55</v>
      </c>
      <c r="T1014" s="39" t="n">
        <f aca="false">Resumo!$C$14*CEILING(I1014,1)</f>
        <v>12.6</v>
      </c>
      <c r="U1014" s="39" t="n">
        <f aca="false">SUM(M1014:T1014)*Resumo!$C$11</f>
        <v>0</v>
      </c>
      <c r="V1014" s="39" t="n">
        <f aca="false">SUM(M1014:U1014)</f>
        <v>71.744278</v>
      </c>
      <c r="W1014" s="39" t="n">
        <f aca="false">V1014/(1-Resumo!$C$5)</f>
        <v>81.5275886363636</v>
      </c>
      <c r="X1014" s="39" t="n">
        <v>82.21</v>
      </c>
      <c r="Y1014" s="39" t="n">
        <f aca="false">J1014*Resumo!$B$6</f>
        <v>0.57959</v>
      </c>
      <c r="Z1014" s="39" t="n">
        <f aca="false">J1014*Resumo!$B$7</f>
        <v>1.15918</v>
      </c>
      <c r="AA1014" s="39" t="n">
        <f aca="false">Resumo!$B$9</f>
        <v>1</v>
      </c>
      <c r="AB1014" s="39" t="n">
        <f aca="false">Resumo!$B$10*CEILING(I1014/100,1)</f>
        <v>4.5</v>
      </c>
      <c r="AC1014" s="39" t="n">
        <f aca="false">Resumo!$B$12*CEILING(I1014,1)</f>
        <v>1.68</v>
      </c>
      <c r="AD1014" s="39" t="n">
        <f aca="false">Resumo!$B$14*CEILING(I1014,1)</f>
        <v>12.6</v>
      </c>
      <c r="AE1014" s="39" t="n">
        <f aca="false">SUM(X1014:AD1014)</f>
        <v>103.72877</v>
      </c>
      <c r="AF1014" s="39" t="n">
        <f aca="false">AE1014/(1-Resumo!$B$5)</f>
        <v>117.873602272727</v>
      </c>
      <c r="AG1014" s="39" t="n">
        <f aca="false">AF1014-W1014</f>
        <v>36.3460136363636</v>
      </c>
      <c r="AH1014" s="40" t="n">
        <f aca="false">AF1014/W1014-1</f>
        <v>0.445812445140224</v>
      </c>
      <c r="AI1014" s="37" t="str">
        <f aca="false">IF(AF1014&lt;W1014,"SIM","NÃO")</f>
        <v>NÃO</v>
      </c>
      <c r="AJ1014" s="37" t="n">
        <v>2</v>
      </c>
      <c r="AK1014" s="37" t="n">
        <v>5</v>
      </c>
      <c r="AL1014" s="37" t="s">
        <v>343</v>
      </c>
      <c r="AM1014" s="39" t="n">
        <v>83.1</v>
      </c>
    </row>
    <row r="1015" customFormat="false" ht="15" hidden="false" customHeight="false" outlineLevel="0" collapsed="false">
      <c r="A1015" s="37" t="n">
        <v>376596718</v>
      </c>
      <c r="B1015" s="38" t="n">
        <v>46248.9294328704</v>
      </c>
      <c r="C1015" s="37" t="s">
        <v>340</v>
      </c>
      <c r="D1015" s="37" t="s">
        <v>924</v>
      </c>
      <c r="E1015" s="37" t="n">
        <v>22753053</v>
      </c>
      <c r="F1015" s="37" t="s">
        <v>159</v>
      </c>
      <c r="G1015" s="37" t="s">
        <v>196</v>
      </c>
      <c r="H1015" s="37" t="s">
        <v>186</v>
      </c>
      <c r="I1015" s="37" t="n">
        <v>45</v>
      </c>
      <c r="J1015" s="39" t="n">
        <v>659.99</v>
      </c>
      <c r="K1015" s="37" t="s">
        <v>342</v>
      </c>
      <c r="L1015" s="39" t="n">
        <v>103.75</v>
      </c>
      <c r="M1015" s="39" t="n">
        <v>53.55</v>
      </c>
      <c r="N1015" s="39" t="n">
        <f aca="false">J1015*Resumo!$C$6</f>
        <v>0</v>
      </c>
      <c r="O1015" s="39" t="n">
        <f aca="false">J1015*Resumo!$C$7</f>
        <v>1.385979</v>
      </c>
      <c r="P1015" s="39" t="n">
        <f aca="false">J1015*Resumo!$C$8</f>
        <v>1.385979</v>
      </c>
      <c r="Q1015" s="39" t="n">
        <f aca="false">Resumo!$C$10*CEILING(I1015/100,1)</f>
        <v>1.05</v>
      </c>
      <c r="R1015" s="39" t="n">
        <f aca="false">Resumo!$C$9</f>
        <v>0</v>
      </c>
      <c r="S1015" s="39" t="n">
        <f aca="false">Resumo!$C$13</f>
        <v>13.55</v>
      </c>
      <c r="T1015" s="39" t="n">
        <f aca="false">Resumo!$C$14*CEILING(I1015,1)</f>
        <v>20.25</v>
      </c>
      <c r="U1015" s="39" t="n">
        <f aca="false">SUM(M1015:T1015)*Resumo!$C$11</f>
        <v>0</v>
      </c>
      <c r="V1015" s="39" t="n">
        <f aca="false">SUM(M1015:U1015)</f>
        <v>91.171958</v>
      </c>
      <c r="W1015" s="39" t="n">
        <f aca="false">V1015/(1-Resumo!$C$5)</f>
        <v>103.604497727273</v>
      </c>
      <c r="X1015" s="39" t="n">
        <v>93.97</v>
      </c>
      <c r="Y1015" s="39" t="n">
        <f aca="false">J1015*Resumo!$B$6</f>
        <v>0.65999</v>
      </c>
      <c r="Z1015" s="39" t="n">
        <f aca="false">J1015*Resumo!$B$7</f>
        <v>1.31998</v>
      </c>
      <c r="AA1015" s="39" t="n">
        <f aca="false">Resumo!$B$9</f>
        <v>1</v>
      </c>
      <c r="AB1015" s="39" t="n">
        <f aca="false">Resumo!$B$10*CEILING(I1015/100,1)</f>
        <v>4.5</v>
      </c>
      <c r="AC1015" s="39" t="n">
        <f aca="false">Resumo!$B$12*CEILING(I1015,1)</f>
        <v>2.7</v>
      </c>
      <c r="AD1015" s="39" t="n">
        <f aca="false">Resumo!$B$14*CEILING(I1015,1)</f>
        <v>20.25</v>
      </c>
      <c r="AE1015" s="39" t="n">
        <f aca="false">SUM(X1015:AD1015)</f>
        <v>124.39997</v>
      </c>
      <c r="AF1015" s="39" t="n">
        <f aca="false">AE1015/(1-Resumo!$B$5)</f>
        <v>141.363602272727</v>
      </c>
      <c r="AG1015" s="39" t="n">
        <f aca="false">AF1015-W1015</f>
        <v>37.7591045454545</v>
      </c>
      <c r="AH1015" s="40" t="n">
        <f aca="false">AF1015/W1015-1</f>
        <v>0.364454298546489</v>
      </c>
      <c r="AI1015" s="37" t="str">
        <f aca="false">IF(AF1015&lt;W1015,"SIM","NÃO")</f>
        <v>NÃO</v>
      </c>
      <c r="AJ1015" s="37" t="n">
        <v>2</v>
      </c>
      <c r="AK1015" s="37" t="n">
        <v>5</v>
      </c>
      <c r="AL1015" s="37" t="s">
        <v>343</v>
      </c>
      <c r="AM1015" s="39" t="n">
        <v>103.75</v>
      </c>
    </row>
    <row r="1016" customFormat="false" ht="15" hidden="false" customHeight="false" outlineLevel="0" collapsed="false">
      <c r="A1016" s="37" t="n">
        <v>376604266</v>
      </c>
      <c r="B1016" s="38" t="n">
        <v>46248.9441666667</v>
      </c>
      <c r="C1016" s="37" t="s">
        <v>340</v>
      </c>
      <c r="D1016" s="37" t="s">
        <v>1309</v>
      </c>
      <c r="E1016" s="37" t="n">
        <v>21725020</v>
      </c>
      <c r="F1016" s="37" t="s">
        <v>159</v>
      </c>
      <c r="G1016" s="37" t="s">
        <v>196</v>
      </c>
      <c r="H1016" s="37" t="s">
        <v>185</v>
      </c>
      <c r="I1016" s="37" t="n">
        <v>37.2</v>
      </c>
      <c r="J1016" s="39" t="n">
        <v>419.99</v>
      </c>
      <c r="K1016" s="37" t="s">
        <v>342</v>
      </c>
      <c r="L1016" s="39" t="n">
        <v>91.86</v>
      </c>
      <c r="M1016" s="39" t="n">
        <v>48.35</v>
      </c>
      <c r="N1016" s="39" t="n">
        <f aca="false">J1016*Resumo!$C$6</f>
        <v>0</v>
      </c>
      <c r="O1016" s="39" t="n">
        <f aca="false">J1016*Resumo!$C$7</f>
        <v>0.881979</v>
      </c>
      <c r="P1016" s="39" t="n">
        <f aca="false">J1016*Resumo!$C$8</f>
        <v>0.881979</v>
      </c>
      <c r="Q1016" s="39" t="n">
        <f aca="false">Resumo!$C$10*CEILING(I1016/100,1)</f>
        <v>1.05</v>
      </c>
      <c r="R1016" s="39" t="n">
        <f aca="false">Resumo!$C$9</f>
        <v>0</v>
      </c>
      <c r="S1016" s="39" t="n">
        <f aca="false">Resumo!$C$13</f>
        <v>13.55</v>
      </c>
      <c r="T1016" s="39" t="n">
        <f aca="false">Resumo!$C$14*CEILING(I1016,1)</f>
        <v>17.1</v>
      </c>
      <c r="U1016" s="39" t="n">
        <f aca="false">SUM(M1016:T1016)*Resumo!$C$11</f>
        <v>0</v>
      </c>
      <c r="V1016" s="39" t="n">
        <f aca="false">SUM(M1016:U1016)</f>
        <v>81.813958</v>
      </c>
      <c r="W1016" s="39" t="n">
        <f aca="false">V1016/(1-Resumo!$C$5)</f>
        <v>92.9704068181818</v>
      </c>
      <c r="X1016" s="39" t="n">
        <v>93.97</v>
      </c>
      <c r="Y1016" s="39" t="n">
        <f aca="false">J1016*Resumo!$B$6</f>
        <v>0.41999</v>
      </c>
      <c r="Z1016" s="39" t="n">
        <f aca="false">J1016*Resumo!$B$7</f>
        <v>0.83998</v>
      </c>
      <c r="AA1016" s="39" t="n">
        <f aca="false">Resumo!$B$9</f>
        <v>1</v>
      </c>
      <c r="AB1016" s="39" t="n">
        <f aca="false">Resumo!$B$10*CEILING(I1016/100,1)</f>
        <v>4.5</v>
      </c>
      <c r="AC1016" s="39" t="n">
        <f aca="false">Resumo!$B$12*CEILING(I1016,1)</f>
        <v>2.28</v>
      </c>
      <c r="AD1016" s="39" t="n">
        <f aca="false">Resumo!$B$14*CEILING(I1016,1)</f>
        <v>17.1</v>
      </c>
      <c r="AE1016" s="39" t="n">
        <f aca="false">SUM(X1016:AD1016)</f>
        <v>120.10997</v>
      </c>
      <c r="AF1016" s="39" t="n">
        <f aca="false">AE1016/(1-Resumo!$B$5)</f>
        <v>136.488602272727</v>
      </c>
      <c r="AG1016" s="39" t="n">
        <f aca="false">AF1016-W1016</f>
        <v>43.5181954545454</v>
      </c>
      <c r="AH1016" s="40" t="n">
        <f aca="false">AF1016/W1016-1</f>
        <v>0.468086533596138</v>
      </c>
      <c r="AI1016" s="37" t="str">
        <f aca="false">IF(AF1016&lt;W1016,"SIM","NÃO")</f>
        <v>NÃO</v>
      </c>
      <c r="AJ1016" s="37" t="n">
        <v>2</v>
      </c>
      <c r="AK1016" s="37" t="n">
        <v>5</v>
      </c>
      <c r="AL1016" s="37" t="s">
        <v>343</v>
      </c>
      <c r="AM1016" s="39" t="n">
        <v>91.87</v>
      </c>
    </row>
    <row r="1017" customFormat="false" ht="15" hidden="false" customHeight="false" outlineLevel="0" collapsed="false">
      <c r="A1017" s="37" t="n">
        <v>376606296</v>
      </c>
      <c r="B1017" s="38" t="n">
        <v>46248.9483564815</v>
      </c>
      <c r="C1017" s="37" t="s">
        <v>340</v>
      </c>
      <c r="D1017" s="37" t="s">
        <v>895</v>
      </c>
      <c r="E1017" s="37" t="n">
        <v>26265090</v>
      </c>
      <c r="F1017" s="37" t="s">
        <v>162</v>
      </c>
      <c r="G1017" s="37" t="s">
        <v>197</v>
      </c>
      <c r="H1017" s="37" t="s">
        <v>184</v>
      </c>
      <c r="I1017" s="37" t="n">
        <v>31.9</v>
      </c>
      <c r="J1017" s="39" t="n">
        <v>518.79</v>
      </c>
      <c r="K1017" s="37" t="s">
        <v>342</v>
      </c>
      <c r="L1017" s="39" t="n">
        <v>101.87</v>
      </c>
      <c r="M1017" s="39" t="n">
        <v>58.8</v>
      </c>
      <c r="N1017" s="39" t="n">
        <f aca="false">J1017*Resumo!$C$6</f>
        <v>0</v>
      </c>
      <c r="O1017" s="39" t="n">
        <f aca="false">J1017*Resumo!$C$7</f>
        <v>1.089459</v>
      </c>
      <c r="P1017" s="39" t="n">
        <f aca="false">J1017*Resumo!$C$8</f>
        <v>1.089459</v>
      </c>
      <c r="Q1017" s="39" t="n">
        <f aca="false">Resumo!$C$10*CEILING(I1017/100,1)</f>
        <v>1.05</v>
      </c>
      <c r="R1017" s="39" t="n">
        <f aca="false">Resumo!$C$9</f>
        <v>0</v>
      </c>
      <c r="S1017" s="39" t="n">
        <f aca="false">Resumo!$C$13</f>
        <v>13.55</v>
      </c>
      <c r="T1017" s="39" t="n">
        <f aca="false">Resumo!$C$14*CEILING(I1017,1)</f>
        <v>14.4</v>
      </c>
      <c r="U1017" s="39" t="n">
        <f aca="false">SUM(M1017:T1017)*Resumo!$C$11</f>
        <v>0</v>
      </c>
      <c r="V1017" s="39" t="n">
        <f aca="false">SUM(M1017:U1017)</f>
        <v>89.978918</v>
      </c>
      <c r="W1017" s="39" t="n">
        <f aca="false">V1017/(1-Resumo!$C$5)</f>
        <v>102.248770454545</v>
      </c>
      <c r="X1017" s="39" t="n">
        <v>82.21</v>
      </c>
      <c r="Y1017" s="39" t="n">
        <f aca="false">J1017*Resumo!$B$6</f>
        <v>0.51879</v>
      </c>
      <c r="Z1017" s="39" t="n">
        <f aca="false">J1017*Resumo!$B$7</f>
        <v>1.03758</v>
      </c>
      <c r="AA1017" s="39" t="n">
        <f aca="false">Resumo!$B$9</f>
        <v>1</v>
      </c>
      <c r="AB1017" s="39" t="n">
        <f aca="false">Resumo!$B$10*CEILING(I1017/100,1)</f>
        <v>4.5</v>
      </c>
      <c r="AC1017" s="39" t="n">
        <f aca="false">Resumo!$B$12*CEILING(I1017,1)</f>
        <v>1.92</v>
      </c>
      <c r="AD1017" s="39" t="n">
        <f aca="false">Resumo!$B$14*CEILING(I1017,1)</f>
        <v>14.4</v>
      </c>
      <c r="AE1017" s="39" t="n">
        <f aca="false">SUM(X1017:AD1017)</f>
        <v>105.58637</v>
      </c>
      <c r="AF1017" s="39" t="n">
        <f aca="false">AE1017/(1-Resumo!$B$5)</f>
        <v>119.984511363636</v>
      </c>
      <c r="AG1017" s="39" t="n">
        <f aca="false">AF1017-W1017</f>
        <v>17.7357409090909</v>
      </c>
      <c r="AH1017" s="40" t="n">
        <f aca="false">AF1017/W1017-1</f>
        <v>0.173456764616796</v>
      </c>
      <c r="AI1017" s="37" t="str">
        <f aca="false">IF(AF1017&lt;W1017,"SIM","NÃO")</f>
        <v>NÃO</v>
      </c>
      <c r="AJ1017" s="37" t="n">
        <v>2</v>
      </c>
      <c r="AK1017" s="37" t="n">
        <v>5</v>
      </c>
      <c r="AL1017" s="37" t="s">
        <v>343</v>
      </c>
      <c r="AM1017" s="39" t="n">
        <v>101.87</v>
      </c>
    </row>
    <row r="1018" customFormat="false" ht="15" hidden="false" customHeight="false" outlineLevel="0" collapsed="false">
      <c r="A1018" s="37" t="n">
        <v>376614807</v>
      </c>
      <c r="B1018" s="38" t="n">
        <v>46248.9656944444</v>
      </c>
      <c r="C1018" s="37" t="s">
        <v>345</v>
      </c>
      <c r="D1018" s="37" t="s">
        <v>1310</v>
      </c>
      <c r="E1018" s="37" t="n">
        <v>25071070</v>
      </c>
      <c r="F1018" s="37" t="s">
        <v>161</v>
      </c>
      <c r="G1018" s="37" t="s">
        <v>197</v>
      </c>
      <c r="H1018" s="37" t="s">
        <v>192</v>
      </c>
      <c r="I1018" s="37" t="n">
        <v>145.8</v>
      </c>
      <c r="J1018" s="39" t="n">
        <v>1670.33</v>
      </c>
      <c r="K1018" s="37" t="s">
        <v>342</v>
      </c>
      <c r="L1018" s="39" t="n">
        <v>244.6</v>
      </c>
      <c r="M1018" s="39" t="n">
        <v>129.62</v>
      </c>
      <c r="N1018" s="39" t="n">
        <f aca="false">J1018*Resumo!$C$6</f>
        <v>0</v>
      </c>
      <c r="O1018" s="39" t="n">
        <f aca="false">J1018*Resumo!$C$7</f>
        <v>3.507693</v>
      </c>
      <c r="P1018" s="39" t="n">
        <f aca="false">J1018*Resumo!$C$8</f>
        <v>3.507693</v>
      </c>
      <c r="Q1018" s="39" t="n">
        <f aca="false">Resumo!$C$10*CEILING(I1018/100,1)</f>
        <v>2.1</v>
      </c>
      <c r="R1018" s="39" t="n">
        <f aca="false">Resumo!$C$9</f>
        <v>0</v>
      </c>
      <c r="S1018" s="39" t="n">
        <f aca="false">Resumo!$C$13</f>
        <v>13.55</v>
      </c>
      <c r="T1018" s="39" t="n">
        <f aca="false">Resumo!$C$14*CEILING(I1018,1)</f>
        <v>65.7</v>
      </c>
      <c r="U1018" s="39" t="n">
        <f aca="false">SUM(M1018:T1018)*Resumo!$C$11</f>
        <v>0</v>
      </c>
      <c r="V1018" s="39" t="n">
        <f aca="false">SUM(M1018:U1018)</f>
        <v>217.985386</v>
      </c>
      <c r="W1018" s="39" t="n">
        <f aca="false">V1018/(1-Resumo!$C$5)</f>
        <v>247.710665909091</v>
      </c>
      <c r="X1018" s="39" t="n">
        <v>239.25</v>
      </c>
      <c r="Y1018" s="39" t="n">
        <f aca="false">J1018*Resumo!$B$6</f>
        <v>1.67033</v>
      </c>
      <c r="Z1018" s="39" t="n">
        <f aca="false">J1018*Resumo!$B$7</f>
        <v>3.34066</v>
      </c>
      <c r="AA1018" s="39" t="n">
        <f aca="false">Resumo!$B$9</f>
        <v>1</v>
      </c>
      <c r="AB1018" s="39" t="n">
        <f aca="false">Resumo!$B$10*CEILING(I1018/100,1)</f>
        <v>9</v>
      </c>
      <c r="AC1018" s="39" t="n">
        <f aca="false">Resumo!$B$12*CEILING(I1018,1)</f>
        <v>8.76</v>
      </c>
      <c r="AD1018" s="39" t="n">
        <f aca="false">Resumo!$B$14*CEILING(I1018,1)</f>
        <v>65.7</v>
      </c>
      <c r="AE1018" s="39" t="n">
        <f aca="false">SUM(X1018:AD1018)</f>
        <v>328.72099</v>
      </c>
      <c r="AF1018" s="39" t="n">
        <f aca="false">AE1018/(1-Resumo!$B$5)</f>
        <v>373.546579545455</v>
      </c>
      <c r="AG1018" s="39" t="n">
        <f aca="false">AF1018-W1018</f>
        <v>125.835913636364</v>
      </c>
      <c r="AH1018" s="40" t="n">
        <f aca="false">AF1018/W1018-1</f>
        <v>0.507995540581789</v>
      </c>
      <c r="AI1018" s="37" t="str">
        <f aca="false">IF(AF1018&lt;W1018,"SIM","NÃO")</f>
        <v>NÃO</v>
      </c>
      <c r="AJ1018" s="37" t="n">
        <v>2</v>
      </c>
      <c r="AK1018" s="37" t="n">
        <v>5</v>
      </c>
      <c r="AL1018" s="37" t="s">
        <v>343</v>
      </c>
      <c r="AM1018" s="39" t="n">
        <v>244.61</v>
      </c>
    </row>
    <row r="1019" customFormat="false" ht="15" hidden="false" customHeight="false" outlineLevel="0" collapsed="false">
      <c r="A1019" s="37" t="n">
        <v>376646778</v>
      </c>
      <c r="B1019" s="38" t="n">
        <v>46249.0234953704</v>
      </c>
      <c r="C1019" s="37" t="s">
        <v>340</v>
      </c>
      <c r="D1019" s="37" t="s">
        <v>1311</v>
      </c>
      <c r="E1019" s="37" t="n">
        <v>23065004</v>
      </c>
      <c r="F1019" s="37" t="s">
        <v>159</v>
      </c>
      <c r="G1019" s="37" t="s">
        <v>196</v>
      </c>
      <c r="H1019" s="37" t="s">
        <v>184</v>
      </c>
      <c r="I1019" s="37" t="n">
        <v>24.4</v>
      </c>
      <c r="J1019" s="39" t="n">
        <v>329.99</v>
      </c>
      <c r="K1019" s="37" t="s">
        <v>518</v>
      </c>
      <c r="L1019" s="39" t="n">
        <v>78.8</v>
      </c>
      <c r="M1019" s="39" t="n">
        <v>42.11</v>
      </c>
      <c r="N1019" s="39" t="n">
        <f aca="false">J1019*Resumo!$C$6</f>
        <v>0</v>
      </c>
      <c r="O1019" s="39" t="n">
        <f aca="false">J1019*Resumo!$C$7</f>
        <v>0.692979</v>
      </c>
      <c r="P1019" s="39" t="n">
        <f aca="false">J1019*Resumo!$C$8</f>
        <v>0.692979</v>
      </c>
      <c r="Q1019" s="39" t="n">
        <f aca="false">Resumo!$C$10*CEILING(I1019/100,1)</f>
        <v>1.05</v>
      </c>
      <c r="R1019" s="39" t="n">
        <f aca="false">Resumo!$C$9</f>
        <v>0</v>
      </c>
      <c r="S1019" s="39" t="n">
        <f aca="false">Resumo!$C$13</f>
        <v>13.55</v>
      </c>
      <c r="T1019" s="39" t="n">
        <f aca="false">Resumo!$C$14*CEILING(I1019,1)</f>
        <v>11.25</v>
      </c>
      <c r="U1019" s="39" t="n">
        <f aca="false">SUM(M1019:T1019)*Resumo!$C$11</f>
        <v>0</v>
      </c>
      <c r="V1019" s="39" t="n">
        <f aca="false">SUM(M1019:U1019)</f>
        <v>69.345958</v>
      </c>
      <c r="W1019" s="39" t="n">
        <f aca="false">V1019/(1-Resumo!$C$5)</f>
        <v>78.802225</v>
      </c>
      <c r="X1019" s="39" t="n">
        <v>82.21</v>
      </c>
      <c r="Y1019" s="39" t="n">
        <f aca="false">J1019*Resumo!$B$6</f>
        <v>0.32999</v>
      </c>
      <c r="Z1019" s="39" t="n">
        <f aca="false">J1019*Resumo!$B$7</f>
        <v>0.65998</v>
      </c>
      <c r="AA1019" s="39" t="n">
        <f aca="false">Resumo!$B$9</f>
        <v>1</v>
      </c>
      <c r="AB1019" s="39" t="n">
        <f aca="false">Resumo!$B$10*CEILING(I1019/100,1)</f>
        <v>4.5</v>
      </c>
      <c r="AC1019" s="39" t="n">
        <f aca="false">Resumo!$B$12*CEILING(I1019,1)</f>
        <v>1.5</v>
      </c>
      <c r="AD1019" s="39" t="n">
        <f aca="false">Resumo!$B$14*CEILING(I1019,1)</f>
        <v>11.25</v>
      </c>
      <c r="AE1019" s="39" t="n">
        <f aca="false">SUM(X1019:AD1019)</f>
        <v>101.44997</v>
      </c>
      <c r="AF1019" s="39" t="n">
        <f aca="false">AE1019/(1-Resumo!$B$5)</f>
        <v>115.284056818182</v>
      </c>
      <c r="AG1019" s="39" t="n">
        <f aca="false">AF1019-W1019</f>
        <v>36.4818318181818</v>
      </c>
      <c r="AH1019" s="40" t="n">
        <f aca="false">AF1019/W1019-1</f>
        <v>0.46295433686272</v>
      </c>
      <c r="AI1019" s="37" t="str">
        <f aca="false">IF(AF1019&lt;W1019,"SIM","NÃO")</f>
        <v>NÃO</v>
      </c>
      <c r="AJ1019" s="37" t="n">
        <v>2</v>
      </c>
      <c r="AK1019" s="37" t="n">
        <v>5</v>
      </c>
      <c r="AL1019" s="37" t="s">
        <v>343</v>
      </c>
      <c r="AM1019" s="39" t="n">
        <v>81.91</v>
      </c>
    </row>
    <row r="1020" customFormat="false" ht="15" hidden="false" customHeight="false" outlineLevel="0" collapsed="false">
      <c r="A1020" s="37" t="n">
        <v>376807126</v>
      </c>
      <c r="B1020" s="38" t="n">
        <v>46249.3598032407</v>
      </c>
      <c r="C1020" s="37" t="s">
        <v>340</v>
      </c>
      <c r="D1020" s="37" t="s">
        <v>1312</v>
      </c>
      <c r="E1020" s="37" t="n">
        <v>25935546</v>
      </c>
      <c r="F1020" s="37" t="s">
        <v>176</v>
      </c>
      <c r="G1020" s="37" t="s">
        <v>198</v>
      </c>
      <c r="H1020" s="37" t="s">
        <v>190</v>
      </c>
      <c r="I1020" s="37" t="n">
        <v>90.8</v>
      </c>
      <c r="J1020" s="39" t="n">
        <v>1163.98</v>
      </c>
      <c r="K1020" s="37" t="s">
        <v>518</v>
      </c>
      <c r="L1020" s="39" t="n">
        <v>193.25</v>
      </c>
      <c r="M1020" s="39" t="n">
        <v>109.63</v>
      </c>
      <c r="N1020" s="39" t="n">
        <f aca="false">J1020*Resumo!$C$6</f>
        <v>0</v>
      </c>
      <c r="O1020" s="39" t="n">
        <f aca="false">J1020*Resumo!$C$7</f>
        <v>2.444358</v>
      </c>
      <c r="P1020" s="39" t="n">
        <f aca="false">J1020*Resumo!$C$8</f>
        <v>2.444358</v>
      </c>
      <c r="Q1020" s="39" t="n">
        <f aca="false">Resumo!$C$10*CEILING(I1020/100,1)</f>
        <v>1.05</v>
      </c>
      <c r="R1020" s="39" t="n">
        <f aca="false">Resumo!$C$9</f>
        <v>0</v>
      </c>
      <c r="S1020" s="39" t="n">
        <f aca="false">Resumo!$C$13</f>
        <v>13.55</v>
      </c>
      <c r="T1020" s="39" t="n">
        <f aca="false">Resumo!$C$14*CEILING(I1020,1)</f>
        <v>40.95</v>
      </c>
      <c r="U1020" s="39" t="n">
        <f aca="false">SUM(M1020:T1020)*Resumo!$C$11</f>
        <v>0</v>
      </c>
      <c r="V1020" s="39" t="n">
        <f aca="false">SUM(M1020:U1020)</f>
        <v>170.068716</v>
      </c>
      <c r="W1020" s="39" t="n">
        <f aca="false">V1020/(1-Resumo!$C$5)</f>
        <v>193.259904545455</v>
      </c>
      <c r="X1020" s="39" t="n">
        <v>167.99</v>
      </c>
      <c r="Y1020" s="39" t="n">
        <f aca="false">J1020*Resumo!$B$6</f>
        <v>1.16398</v>
      </c>
      <c r="Z1020" s="39" t="n">
        <f aca="false">J1020*Resumo!$B$7</f>
        <v>2.32796</v>
      </c>
      <c r="AA1020" s="39" t="n">
        <f aca="false">Resumo!$B$9</f>
        <v>1</v>
      </c>
      <c r="AB1020" s="39" t="n">
        <f aca="false">Resumo!$B$10*CEILING(I1020/100,1)</f>
        <v>4.5</v>
      </c>
      <c r="AC1020" s="39" t="n">
        <f aca="false">Resumo!$B$12*CEILING(I1020,1)</f>
        <v>5.46</v>
      </c>
      <c r="AD1020" s="39" t="n">
        <f aca="false">Resumo!$B$14*CEILING(I1020,1)</f>
        <v>40.95</v>
      </c>
      <c r="AE1020" s="39" t="n">
        <f aca="false">SUM(X1020:AD1020)</f>
        <v>223.39194</v>
      </c>
      <c r="AF1020" s="39" t="n">
        <f aca="false">AE1020/(1-Resumo!$B$5)</f>
        <v>253.854477272727</v>
      </c>
      <c r="AG1020" s="39" t="n">
        <f aca="false">AF1020-W1020</f>
        <v>60.5945727272728</v>
      </c>
      <c r="AH1020" s="40" t="n">
        <f aca="false">AF1020/W1020-1</f>
        <v>0.313539287260804</v>
      </c>
      <c r="AI1020" s="37" t="str">
        <f aca="false">IF(AF1020&lt;W1020,"SIM","NÃO")</f>
        <v>NÃO</v>
      </c>
      <c r="AJ1020" s="37" t="n">
        <v>13</v>
      </c>
      <c r="AK1020" s="37" t="n">
        <v>6</v>
      </c>
      <c r="AL1020" s="37" t="s">
        <v>343</v>
      </c>
      <c r="AM1020" s="39" t="n">
        <v>194.18</v>
      </c>
    </row>
    <row r="1021" customFormat="false" ht="15" hidden="false" customHeight="false" outlineLevel="0" collapsed="false">
      <c r="A1021" s="37" t="n">
        <v>376819747</v>
      </c>
      <c r="B1021" s="38" t="n">
        <v>46249.381712963</v>
      </c>
      <c r="C1021" s="37" t="s">
        <v>340</v>
      </c>
      <c r="D1021" s="37" t="s">
        <v>1313</v>
      </c>
      <c r="E1021" s="37" t="n">
        <v>24431720</v>
      </c>
      <c r="F1021" s="37" t="s">
        <v>160</v>
      </c>
      <c r="G1021" s="37" t="s">
        <v>197</v>
      </c>
      <c r="H1021" s="37" t="s">
        <v>186</v>
      </c>
      <c r="I1021" s="37" t="n">
        <v>41</v>
      </c>
      <c r="J1021" s="39" t="n">
        <v>559.99</v>
      </c>
      <c r="K1021" s="37" t="s">
        <v>518</v>
      </c>
      <c r="L1021" s="39" t="n">
        <v>114.51</v>
      </c>
      <c r="M1021" s="39" t="n">
        <v>65.36</v>
      </c>
      <c r="N1021" s="39" t="n">
        <f aca="false">J1021*Resumo!$C$6</f>
        <v>0</v>
      </c>
      <c r="O1021" s="39" t="n">
        <f aca="false">J1021*Resumo!$C$7</f>
        <v>1.175979</v>
      </c>
      <c r="P1021" s="39" t="n">
        <f aca="false">J1021*Resumo!$C$8</f>
        <v>1.175979</v>
      </c>
      <c r="Q1021" s="39" t="n">
        <f aca="false">Resumo!$C$10*CEILING(I1021/100,1)</f>
        <v>1.05</v>
      </c>
      <c r="R1021" s="39" t="n">
        <f aca="false">Resumo!$C$9</f>
        <v>0</v>
      </c>
      <c r="S1021" s="39" t="n">
        <f aca="false">Resumo!$C$13</f>
        <v>13.55</v>
      </c>
      <c r="T1021" s="39" t="n">
        <f aca="false">Resumo!$C$14*CEILING(I1021,1)</f>
        <v>18.45</v>
      </c>
      <c r="U1021" s="39" t="n">
        <f aca="false">SUM(M1021:T1021)*Resumo!$C$11</f>
        <v>0</v>
      </c>
      <c r="V1021" s="39" t="n">
        <f aca="false">SUM(M1021:U1021)</f>
        <v>100.761958</v>
      </c>
      <c r="W1021" s="39" t="n">
        <f aca="false">V1021/(1-Resumo!$C$5)</f>
        <v>114.502225</v>
      </c>
      <c r="X1021" s="39" t="n">
        <v>114.95</v>
      </c>
      <c r="Y1021" s="39" t="n">
        <f aca="false">J1021*Resumo!$B$6</f>
        <v>0.55999</v>
      </c>
      <c r="Z1021" s="39" t="n">
        <f aca="false">J1021*Resumo!$B$7</f>
        <v>1.11998</v>
      </c>
      <c r="AA1021" s="39" t="n">
        <f aca="false">Resumo!$B$9</f>
        <v>1</v>
      </c>
      <c r="AB1021" s="39" t="n">
        <f aca="false">Resumo!$B$10*CEILING(I1021/100,1)</f>
        <v>4.5</v>
      </c>
      <c r="AC1021" s="39" t="n">
        <f aca="false">Resumo!$B$12*CEILING(I1021,1)</f>
        <v>2.46</v>
      </c>
      <c r="AD1021" s="39" t="n">
        <f aca="false">Resumo!$B$14*CEILING(I1021,1)</f>
        <v>18.45</v>
      </c>
      <c r="AE1021" s="39" t="n">
        <f aca="false">SUM(X1021:AD1021)</f>
        <v>143.03997</v>
      </c>
      <c r="AF1021" s="39" t="n">
        <f aca="false">AE1021/(1-Resumo!$B$5)</f>
        <v>162.545420454545</v>
      </c>
      <c r="AG1021" s="39" t="n">
        <f aca="false">AF1021-W1021</f>
        <v>48.0431954545455</v>
      </c>
      <c r="AH1021" s="40" t="n">
        <f aca="false">AF1021/W1021-1</f>
        <v>0.419583073207053</v>
      </c>
      <c r="AI1021" s="37" t="str">
        <f aca="false">IF(AF1021&lt;W1021,"SIM","NÃO")</f>
        <v>NÃO</v>
      </c>
      <c r="AJ1021" s="37" t="n">
        <v>2</v>
      </c>
      <c r="AK1021" s="37" t="n">
        <v>7</v>
      </c>
      <c r="AL1021" s="37" t="s">
        <v>343</v>
      </c>
      <c r="AM1021" s="39" t="n">
        <v>116.76</v>
      </c>
    </row>
    <row r="1022" customFormat="false" ht="15" hidden="false" customHeight="false" outlineLevel="0" collapsed="false">
      <c r="A1022" s="37" t="n">
        <v>376819219</v>
      </c>
      <c r="B1022" s="38" t="n">
        <v>46249.3846759259</v>
      </c>
      <c r="C1022" s="37" t="s">
        <v>361</v>
      </c>
      <c r="D1022" s="37" t="s">
        <v>1314</v>
      </c>
      <c r="E1022" s="37" t="n">
        <v>21540690</v>
      </c>
      <c r="F1022" s="37" t="s">
        <v>159</v>
      </c>
      <c r="G1022" s="37" t="s">
        <v>196</v>
      </c>
      <c r="H1022" s="37" t="s">
        <v>184</v>
      </c>
      <c r="I1022" s="37" t="n">
        <v>33.3</v>
      </c>
      <c r="J1022" s="39" t="n">
        <v>433.49</v>
      </c>
      <c r="K1022" s="37" t="s">
        <v>342</v>
      </c>
      <c r="L1022" s="39" t="n">
        <v>82.41</v>
      </c>
      <c r="M1022" s="39" t="n">
        <v>42.11</v>
      </c>
      <c r="N1022" s="39" t="n">
        <f aca="false">J1022*Resumo!$C$6</f>
        <v>0</v>
      </c>
      <c r="O1022" s="39" t="n">
        <f aca="false">J1022*Resumo!$C$7</f>
        <v>0.910329</v>
      </c>
      <c r="P1022" s="39" t="n">
        <f aca="false">J1022*Resumo!$C$8</f>
        <v>0.910329</v>
      </c>
      <c r="Q1022" s="39" t="n">
        <f aca="false">Resumo!$C$10*CEILING(I1022/100,1)</f>
        <v>1.05</v>
      </c>
      <c r="R1022" s="39" t="n">
        <f aca="false">Resumo!$C$9</f>
        <v>0</v>
      </c>
      <c r="S1022" s="39" t="n">
        <f aca="false">Resumo!$C$13</f>
        <v>13.55</v>
      </c>
      <c r="T1022" s="39" t="n">
        <f aca="false">Resumo!$C$14*CEILING(I1022,1)</f>
        <v>15.3</v>
      </c>
      <c r="U1022" s="39" t="n">
        <f aca="false">SUM(M1022:T1022)*Resumo!$C$11</f>
        <v>0</v>
      </c>
      <c r="V1022" s="39" t="n">
        <f aca="false">SUM(M1022:U1022)</f>
        <v>73.830658</v>
      </c>
      <c r="W1022" s="39" t="n">
        <f aca="false">V1022/(1-Resumo!$C$5)</f>
        <v>83.898475</v>
      </c>
      <c r="X1022" s="39" t="n">
        <v>82.21</v>
      </c>
      <c r="Y1022" s="39" t="n">
        <f aca="false">J1022*Resumo!$B$6</f>
        <v>0.43349</v>
      </c>
      <c r="Z1022" s="39" t="n">
        <f aca="false">J1022*Resumo!$B$7</f>
        <v>0.86698</v>
      </c>
      <c r="AA1022" s="39" t="n">
        <f aca="false">Resumo!$B$9</f>
        <v>1</v>
      </c>
      <c r="AB1022" s="39" t="n">
        <f aca="false">Resumo!$B$10*CEILING(I1022/100,1)</f>
        <v>4.5</v>
      </c>
      <c r="AC1022" s="39" t="n">
        <f aca="false">Resumo!$B$12*CEILING(I1022,1)</f>
        <v>2.04</v>
      </c>
      <c r="AD1022" s="39" t="n">
        <f aca="false">Resumo!$B$14*CEILING(I1022,1)</f>
        <v>15.3</v>
      </c>
      <c r="AE1022" s="39" t="n">
        <f aca="false">SUM(X1022:AD1022)</f>
        <v>106.35047</v>
      </c>
      <c r="AF1022" s="39" t="n">
        <f aca="false">AE1022/(1-Resumo!$B$5)</f>
        <v>120.852806818182</v>
      </c>
      <c r="AG1022" s="39" t="n">
        <f aca="false">AF1022-W1022</f>
        <v>36.9543318181818</v>
      </c>
      <c r="AH1022" s="40" t="n">
        <f aca="false">AF1022/W1022-1</f>
        <v>0.440464881133797</v>
      </c>
      <c r="AI1022" s="37" t="str">
        <f aca="false">IF(AF1022&lt;W1022,"SIM","NÃO")</f>
        <v>NÃO</v>
      </c>
      <c r="AJ1022" s="37" t="n">
        <v>2</v>
      </c>
      <c r="AK1022" s="37" t="n">
        <v>5</v>
      </c>
      <c r="AL1022" s="37" t="s">
        <v>343</v>
      </c>
      <c r="AM1022" s="39" t="n">
        <v>82.4</v>
      </c>
    </row>
    <row r="1023" customFormat="false" ht="15" hidden="false" customHeight="false" outlineLevel="0" collapsed="false">
      <c r="A1023" s="37" t="n">
        <v>376828429</v>
      </c>
      <c r="B1023" s="38" t="n">
        <v>46249.3971527778</v>
      </c>
      <c r="C1023" s="37" t="s">
        <v>340</v>
      </c>
      <c r="D1023" s="37" t="s">
        <v>1315</v>
      </c>
      <c r="E1023" s="37" t="n">
        <v>23067438</v>
      </c>
      <c r="F1023" s="37" t="s">
        <v>159</v>
      </c>
      <c r="G1023" s="37" t="s">
        <v>196</v>
      </c>
      <c r="H1023" s="37" t="s">
        <v>187</v>
      </c>
      <c r="I1023" s="37" t="n">
        <v>52.3</v>
      </c>
      <c r="J1023" s="39" t="n">
        <v>699.99</v>
      </c>
      <c r="K1023" s="37" t="s">
        <v>518</v>
      </c>
      <c r="L1023" s="39" t="n">
        <v>113.63</v>
      </c>
      <c r="M1023" s="39" t="n">
        <v>58.6</v>
      </c>
      <c r="N1023" s="39" t="n">
        <f aca="false">J1023*Resumo!$C$6</f>
        <v>0</v>
      </c>
      <c r="O1023" s="39" t="n">
        <f aca="false">J1023*Resumo!$C$7</f>
        <v>1.469979</v>
      </c>
      <c r="P1023" s="39" t="n">
        <f aca="false">J1023*Resumo!$C$8</f>
        <v>1.469979</v>
      </c>
      <c r="Q1023" s="39" t="n">
        <f aca="false">Resumo!$C$10*CEILING(I1023/100,1)</f>
        <v>1.05</v>
      </c>
      <c r="R1023" s="39" t="n">
        <f aca="false">Resumo!$C$9</f>
        <v>0</v>
      </c>
      <c r="S1023" s="39" t="n">
        <f aca="false">Resumo!$C$13</f>
        <v>13.55</v>
      </c>
      <c r="T1023" s="39" t="n">
        <f aca="false">Resumo!$C$14*CEILING(I1023,1)</f>
        <v>23.85</v>
      </c>
      <c r="U1023" s="39" t="n">
        <f aca="false">SUM(M1023:T1023)*Resumo!$C$11</f>
        <v>0</v>
      </c>
      <c r="V1023" s="39" t="n">
        <f aca="false">SUM(M1023:U1023)</f>
        <v>99.989958</v>
      </c>
      <c r="W1023" s="39" t="n">
        <f aca="false">V1023/(1-Resumo!$C$5)</f>
        <v>113.624952272727</v>
      </c>
      <c r="X1023" s="39" t="n">
        <v>112.3</v>
      </c>
      <c r="Y1023" s="39" t="n">
        <f aca="false">J1023*Resumo!$B$6</f>
        <v>0.69999</v>
      </c>
      <c r="Z1023" s="39" t="n">
        <f aca="false">J1023*Resumo!$B$7</f>
        <v>1.39998</v>
      </c>
      <c r="AA1023" s="39" t="n">
        <f aca="false">Resumo!$B$9</f>
        <v>1</v>
      </c>
      <c r="AB1023" s="39" t="n">
        <f aca="false">Resumo!$B$10*CEILING(I1023/100,1)</f>
        <v>4.5</v>
      </c>
      <c r="AC1023" s="39" t="n">
        <f aca="false">Resumo!$B$12*CEILING(I1023,1)</f>
        <v>3.18</v>
      </c>
      <c r="AD1023" s="39" t="n">
        <f aca="false">Resumo!$B$14*CEILING(I1023,1)</f>
        <v>23.85</v>
      </c>
      <c r="AE1023" s="39" t="n">
        <f aca="false">SUM(X1023:AD1023)</f>
        <v>146.92997</v>
      </c>
      <c r="AF1023" s="39" t="n">
        <f aca="false">AE1023/(1-Resumo!$B$5)</f>
        <v>166.965875</v>
      </c>
      <c r="AG1023" s="39" t="n">
        <f aca="false">AF1023-W1023</f>
        <v>53.3409227272727</v>
      </c>
      <c r="AH1023" s="40" t="n">
        <f aca="false">AF1023/W1023-1</f>
        <v>0.469447261894039</v>
      </c>
      <c r="AI1023" s="37" t="str">
        <f aca="false">IF(AF1023&lt;W1023,"SIM","NÃO")</f>
        <v>NÃO</v>
      </c>
      <c r="AJ1023" s="37" t="n">
        <v>2</v>
      </c>
      <c r="AK1023" s="37" t="n">
        <v>5</v>
      </c>
      <c r="AL1023" s="37" t="s">
        <v>343</v>
      </c>
      <c r="AM1023" s="39" t="n">
        <v>114.5</v>
      </c>
    </row>
    <row r="1024" customFormat="false" ht="15" hidden="false" customHeight="false" outlineLevel="0" collapsed="false">
      <c r="A1024" s="37" t="n">
        <v>376838131</v>
      </c>
      <c r="B1024" s="38" t="n">
        <v>46249.4142708333</v>
      </c>
      <c r="C1024" s="37" t="s">
        <v>361</v>
      </c>
      <c r="D1024" s="37" t="s">
        <v>1316</v>
      </c>
      <c r="E1024" s="37" t="n">
        <v>24310260</v>
      </c>
      <c r="F1024" s="37" t="s">
        <v>163</v>
      </c>
      <c r="G1024" s="37" t="s">
        <v>197</v>
      </c>
      <c r="H1024" s="37" t="s">
        <v>184</v>
      </c>
      <c r="I1024" s="37" t="n">
        <v>33.3</v>
      </c>
      <c r="J1024" s="39" t="n">
        <v>433.49</v>
      </c>
      <c r="K1024" s="37" t="s">
        <v>342</v>
      </c>
      <c r="L1024" s="39" t="n">
        <v>101.48</v>
      </c>
      <c r="M1024" s="39" t="n">
        <v>58.8</v>
      </c>
      <c r="N1024" s="39" t="n">
        <f aca="false">J1024*Resumo!$C$6</f>
        <v>0</v>
      </c>
      <c r="O1024" s="39" t="n">
        <f aca="false">J1024*Resumo!$C$7</f>
        <v>0.910329</v>
      </c>
      <c r="P1024" s="39" t="n">
        <f aca="false">J1024*Resumo!$C$8</f>
        <v>0.910329</v>
      </c>
      <c r="Q1024" s="39" t="n">
        <f aca="false">Resumo!$C$10*CEILING(I1024/100,1)</f>
        <v>1.05</v>
      </c>
      <c r="R1024" s="39" t="n">
        <f aca="false">Resumo!$C$9</f>
        <v>0</v>
      </c>
      <c r="S1024" s="39" t="n">
        <f aca="false">Resumo!$C$13</f>
        <v>13.55</v>
      </c>
      <c r="T1024" s="39" t="n">
        <f aca="false">Resumo!$C$14*CEILING(I1024,1)</f>
        <v>15.3</v>
      </c>
      <c r="U1024" s="39" t="n">
        <f aca="false">SUM(M1024:T1024)*Resumo!$C$11</f>
        <v>0</v>
      </c>
      <c r="V1024" s="39" t="n">
        <f aca="false">SUM(M1024:U1024)</f>
        <v>90.520658</v>
      </c>
      <c r="W1024" s="39" t="n">
        <f aca="false">V1024/(1-Resumo!$C$5)</f>
        <v>102.864384090909</v>
      </c>
      <c r="X1024" s="39" t="n">
        <v>100.58</v>
      </c>
      <c r="Y1024" s="39" t="n">
        <f aca="false">J1024*Resumo!$B$6</f>
        <v>0.43349</v>
      </c>
      <c r="Z1024" s="39" t="n">
        <f aca="false">J1024*Resumo!$B$7</f>
        <v>0.86698</v>
      </c>
      <c r="AA1024" s="39" t="n">
        <f aca="false">Resumo!$B$9</f>
        <v>1</v>
      </c>
      <c r="AB1024" s="39" t="n">
        <f aca="false">Resumo!$B$10*CEILING(I1024/100,1)</f>
        <v>4.5</v>
      </c>
      <c r="AC1024" s="39" t="n">
        <f aca="false">Resumo!$B$12*CEILING(I1024,1)</f>
        <v>2.04</v>
      </c>
      <c r="AD1024" s="39" t="n">
        <f aca="false">Resumo!$B$14*CEILING(I1024,1)</f>
        <v>15.3</v>
      </c>
      <c r="AE1024" s="39" t="n">
        <f aca="false">SUM(X1024:AD1024)</f>
        <v>124.72047</v>
      </c>
      <c r="AF1024" s="39" t="n">
        <f aca="false">AE1024/(1-Resumo!$B$5)</f>
        <v>141.727806818182</v>
      </c>
      <c r="AG1024" s="39" t="n">
        <f aca="false">AF1024-W1024</f>
        <v>38.8634227272727</v>
      </c>
      <c r="AH1024" s="40" t="n">
        <f aca="false">AF1024/W1024-1</f>
        <v>0.377812233755526</v>
      </c>
      <c r="AI1024" s="37" t="str">
        <f aca="false">IF(AF1024&lt;W1024,"SIM","NÃO")</f>
        <v>NÃO</v>
      </c>
      <c r="AJ1024" s="37" t="n">
        <v>2</v>
      </c>
      <c r="AK1024" s="37" t="n">
        <v>7</v>
      </c>
      <c r="AL1024" s="37" t="s">
        <v>343</v>
      </c>
      <c r="AM1024" s="39" t="n">
        <v>101.46</v>
      </c>
    </row>
    <row r="1025" customFormat="false" ht="15" hidden="false" customHeight="false" outlineLevel="0" collapsed="false">
      <c r="A1025" s="37" t="n">
        <v>376840900</v>
      </c>
      <c r="B1025" s="38" t="n">
        <v>46249.4172222222</v>
      </c>
      <c r="C1025" s="37" t="s">
        <v>340</v>
      </c>
      <c r="D1025" s="37" t="s">
        <v>1317</v>
      </c>
      <c r="E1025" s="37" t="n">
        <v>22785276</v>
      </c>
      <c r="F1025" s="37" t="s">
        <v>159</v>
      </c>
      <c r="G1025" s="37" t="s">
        <v>196</v>
      </c>
      <c r="H1025" s="37" t="s">
        <v>187</v>
      </c>
      <c r="I1025" s="37" t="n">
        <v>52.3</v>
      </c>
      <c r="J1025" s="39" t="n">
        <v>699.99</v>
      </c>
      <c r="K1025" s="37" t="s">
        <v>342</v>
      </c>
      <c r="L1025" s="39" t="n">
        <v>114.5</v>
      </c>
      <c r="M1025" s="39" t="n">
        <v>58.6</v>
      </c>
      <c r="N1025" s="39" t="n">
        <f aca="false">J1025*Resumo!$C$6</f>
        <v>0</v>
      </c>
      <c r="O1025" s="39" t="n">
        <f aca="false">J1025*Resumo!$C$7</f>
        <v>1.469979</v>
      </c>
      <c r="P1025" s="39" t="n">
        <f aca="false">J1025*Resumo!$C$8</f>
        <v>1.469979</v>
      </c>
      <c r="Q1025" s="39" t="n">
        <f aca="false">Resumo!$C$10*CEILING(I1025/100,1)</f>
        <v>1.05</v>
      </c>
      <c r="R1025" s="39" t="n">
        <f aca="false">Resumo!$C$9</f>
        <v>0</v>
      </c>
      <c r="S1025" s="39" t="n">
        <f aca="false">Resumo!$C$13</f>
        <v>13.55</v>
      </c>
      <c r="T1025" s="39" t="n">
        <f aca="false">Resumo!$C$14*CEILING(I1025,1)</f>
        <v>23.85</v>
      </c>
      <c r="U1025" s="39" t="n">
        <f aca="false">SUM(M1025:T1025)*Resumo!$C$11</f>
        <v>0</v>
      </c>
      <c r="V1025" s="39" t="n">
        <f aca="false">SUM(M1025:U1025)</f>
        <v>99.989958</v>
      </c>
      <c r="W1025" s="39" t="n">
        <f aca="false">V1025/(1-Resumo!$C$5)</f>
        <v>113.624952272727</v>
      </c>
      <c r="X1025" s="39" t="n">
        <v>112.3</v>
      </c>
      <c r="Y1025" s="39" t="n">
        <f aca="false">J1025*Resumo!$B$6</f>
        <v>0.69999</v>
      </c>
      <c r="Z1025" s="39" t="n">
        <f aca="false">J1025*Resumo!$B$7</f>
        <v>1.39998</v>
      </c>
      <c r="AA1025" s="39" t="n">
        <f aca="false">Resumo!$B$9</f>
        <v>1</v>
      </c>
      <c r="AB1025" s="39" t="n">
        <f aca="false">Resumo!$B$10*CEILING(I1025/100,1)</f>
        <v>4.5</v>
      </c>
      <c r="AC1025" s="39" t="n">
        <f aca="false">Resumo!$B$12*CEILING(I1025,1)</f>
        <v>3.18</v>
      </c>
      <c r="AD1025" s="39" t="n">
        <f aca="false">Resumo!$B$14*CEILING(I1025,1)</f>
        <v>23.85</v>
      </c>
      <c r="AE1025" s="39" t="n">
        <f aca="false">SUM(X1025:AD1025)</f>
        <v>146.92997</v>
      </c>
      <c r="AF1025" s="39" t="n">
        <f aca="false">AE1025/(1-Resumo!$B$5)</f>
        <v>166.965875</v>
      </c>
      <c r="AG1025" s="39" t="n">
        <f aca="false">AF1025-W1025</f>
        <v>53.3409227272727</v>
      </c>
      <c r="AH1025" s="40" t="n">
        <f aca="false">AF1025/W1025-1</f>
        <v>0.469447261894039</v>
      </c>
      <c r="AI1025" s="37" t="str">
        <f aca="false">IF(AF1025&lt;W1025,"SIM","NÃO")</f>
        <v>NÃO</v>
      </c>
      <c r="AJ1025" s="37" t="n">
        <v>2</v>
      </c>
      <c r="AK1025" s="37" t="n">
        <v>5</v>
      </c>
      <c r="AL1025" s="37" t="s">
        <v>343</v>
      </c>
      <c r="AM1025" s="39" t="n">
        <v>114.5</v>
      </c>
    </row>
    <row r="1026" customFormat="false" ht="15" hidden="false" customHeight="false" outlineLevel="0" collapsed="false">
      <c r="A1026" s="37" t="n">
        <v>376855697</v>
      </c>
      <c r="B1026" s="38" t="n">
        <v>46249.4446412037</v>
      </c>
      <c r="C1026" s="37" t="s">
        <v>345</v>
      </c>
      <c r="D1026" s="37" t="s">
        <v>1318</v>
      </c>
      <c r="E1026" s="37" t="n">
        <v>21710510</v>
      </c>
      <c r="F1026" s="37" t="s">
        <v>159</v>
      </c>
      <c r="G1026" s="37" t="s">
        <v>196</v>
      </c>
      <c r="H1026" s="37" t="s">
        <v>188</v>
      </c>
      <c r="I1026" s="37" t="n">
        <v>66.8</v>
      </c>
      <c r="J1026" s="39" t="n">
        <v>578</v>
      </c>
      <c r="K1026" s="37" t="s">
        <v>342</v>
      </c>
      <c r="L1026" s="39" t="n">
        <v>123.99</v>
      </c>
      <c r="M1026" s="39" t="n">
        <v>63.21</v>
      </c>
      <c r="N1026" s="39" t="n">
        <f aca="false">J1026*Resumo!$C$6</f>
        <v>0</v>
      </c>
      <c r="O1026" s="39" t="n">
        <f aca="false">J1026*Resumo!$C$7</f>
        <v>1.2138</v>
      </c>
      <c r="P1026" s="39" t="n">
        <f aca="false">J1026*Resumo!$C$8</f>
        <v>1.2138</v>
      </c>
      <c r="Q1026" s="39" t="n">
        <f aca="false">Resumo!$C$10*CEILING(I1026/100,1)</f>
        <v>1.05</v>
      </c>
      <c r="R1026" s="39" t="n">
        <f aca="false">Resumo!$C$9</f>
        <v>0</v>
      </c>
      <c r="S1026" s="39" t="n">
        <f aca="false">Resumo!$C$13</f>
        <v>13.55</v>
      </c>
      <c r="T1026" s="39" t="n">
        <f aca="false">Resumo!$C$14*CEILING(I1026,1)</f>
        <v>30.15</v>
      </c>
      <c r="U1026" s="39" t="n">
        <f aca="false">SUM(M1026:T1026)*Resumo!$C$11</f>
        <v>0</v>
      </c>
      <c r="V1026" s="39" t="n">
        <f aca="false">SUM(M1026:U1026)</f>
        <v>110.3876</v>
      </c>
      <c r="W1026" s="39" t="n">
        <f aca="false">V1026/(1-Resumo!$C$5)</f>
        <v>125.440454545455</v>
      </c>
      <c r="X1026" s="39" t="n">
        <v>131.02</v>
      </c>
      <c r="Y1026" s="39" t="n">
        <f aca="false">J1026*Resumo!$B$6</f>
        <v>0.578</v>
      </c>
      <c r="Z1026" s="39" t="n">
        <f aca="false">J1026*Resumo!$B$7</f>
        <v>1.156</v>
      </c>
      <c r="AA1026" s="39" t="n">
        <f aca="false">Resumo!$B$9</f>
        <v>1</v>
      </c>
      <c r="AB1026" s="39" t="n">
        <f aca="false">Resumo!$B$10*CEILING(I1026/100,1)</f>
        <v>4.5</v>
      </c>
      <c r="AC1026" s="39" t="n">
        <f aca="false">Resumo!$B$12*CEILING(I1026,1)</f>
        <v>4.02</v>
      </c>
      <c r="AD1026" s="39" t="n">
        <f aca="false">Resumo!$B$14*CEILING(I1026,1)</f>
        <v>30.15</v>
      </c>
      <c r="AE1026" s="39" t="n">
        <f aca="false">SUM(X1026:AD1026)</f>
        <v>172.424</v>
      </c>
      <c r="AF1026" s="39" t="n">
        <f aca="false">AE1026/(1-Resumo!$B$5)</f>
        <v>195.936363636364</v>
      </c>
      <c r="AG1026" s="39" t="n">
        <f aca="false">AF1026-W1026</f>
        <v>70.4959090909091</v>
      </c>
      <c r="AH1026" s="40" t="n">
        <f aca="false">AF1026/W1026-1</f>
        <v>0.561987034775645</v>
      </c>
      <c r="AI1026" s="37" t="str">
        <f aca="false">IF(AF1026&lt;W1026,"SIM","NÃO")</f>
        <v>NÃO</v>
      </c>
      <c r="AJ1026" s="37" t="n">
        <v>2</v>
      </c>
      <c r="AK1026" s="37" t="n">
        <v>5</v>
      </c>
      <c r="AL1026" s="37" t="s">
        <v>343</v>
      </c>
      <c r="AM1026" s="39" t="n">
        <v>123.98</v>
      </c>
    </row>
    <row r="1027" customFormat="false" ht="15" hidden="false" customHeight="false" outlineLevel="0" collapsed="false">
      <c r="A1027" s="37" t="n">
        <v>376860151</v>
      </c>
      <c r="B1027" s="38" t="n">
        <v>46249.4536111111</v>
      </c>
      <c r="C1027" s="37" t="s">
        <v>345</v>
      </c>
      <c r="D1027" s="37" t="s">
        <v>1319</v>
      </c>
      <c r="E1027" s="37" t="n">
        <v>26445270</v>
      </c>
      <c r="F1027" s="37" t="s">
        <v>237</v>
      </c>
      <c r="G1027" s="37" t="s">
        <v>198</v>
      </c>
      <c r="H1027" s="37" t="s">
        <v>184</v>
      </c>
      <c r="I1027" s="37" t="n">
        <v>24.4</v>
      </c>
      <c r="J1027" s="39" t="n">
        <v>307.68</v>
      </c>
      <c r="K1027" s="37" t="s">
        <v>518</v>
      </c>
      <c r="L1027" s="39" t="n">
        <v>105.43</v>
      </c>
      <c r="M1027" s="39" t="n">
        <v>65.63</v>
      </c>
      <c r="N1027" s="39" t="n">
        <f aca="false">J1027*Resumo!$C$6</f>
        <v>0</v>
      </c>
      <c r="O1027" s="39" t="n">
        <f aca="false">J1027*Resumo!$C$7</f>
        <v>0.646128</v>
      </c>
      <c r="P1027" s="39" t="n">
        <f aca="false">J1027*Resumo!$C$8</f>
        <v>0.646128</v>
      </c>
      <c r="Q1027" s="39" t="n">
        <f aca="false">Resumo!$C$10*CEILING(I1027/100,1)</f>
        <v>1.05</v>
      </c>
      <c r="R1027" s="39" t="n">
        <f aca="false">Resumo!$C$9</f>
        <v>0</v>
      </c>
      <c r="S1027" s="39" t="n">
        <f aca="false">Resumo!$C$13</f>
        <v>13.55</v>
      </c>
      <c r="T1027" s="39" t="n">
        <f aca="false">Resumo!$C$14*CEILING(I1027,1)</f>
        <v>11.25</v>
      </c>
      <c r="U1027" s="39" t="n">
        <f aca="false">SUM(M1027:T1027)*Resumo!$C$11</f>
        <v>0</v>
      </c>
      <c r="V1027" s="39" t="n">
        <f aca="false">SUM(M1027:U1027)</f>
        <v>92.772256</v>
      </c>
      <c r="W1027" s="39" t="n">
        <f aca="false">V1027/(1-Resumo!$C$5)</f>
        <v>105.423018181818</v>
      </c>
      <c r="X1027" s="39" t="n">
        <v>82.21</v>
      </c>
      <c r="Y1027" s="39" t="n">
        <f aca="false">J1027*Resumo!$B$6</f>
        <v>0.30768</v>
      </c>
      <c r="Z1027" s="39" t="n">
        <f aca="false">J1027*Resumo!$B$7</f>
        <v>0.61536</v>
      </c>
      <c r="AA1027" s="39" t="n">
        <f aca="false">Resumo!$B$9</f>
        <v>1</v>
      </c>
      <c r="AB1027" s="39" t="n">
        <f aca="false">Resumo!$B$10*CEILING(I1027/100,1)</f>
        <v>4.5</v>
      </c>
      <c r="AC1027" s="39" t="n">
        <f aca="false">Resumo!$B$12*CEILING(I1027,1)</f>
        <v>1.5</v>
      </c>
      <c r="AD1027" s="39" t="n">
        <f aca="false">Resumo!$B$14*CEILING(I1027,1)</f>
        <v>11.25</v>
      </c>
      <c r="AE1027" s="39" t="n">
        <f aca="false">SUM(X1027:AD1027)</f>
        <v>101.38304</v>
      </c>
      <c r="AF1027" s="39" t="n">
        <f aca="false">AE1027/(1-Resumo!$B$5)</f>
        <v>115.208</v>
      </c>
      <c r="AG1027" s="39" t="n">
        <f aca="false">AF1027-W1027</f>
        <v>9.78498181818182</v>
      </c>
      <c r="AH1027" s="40" t="n">
        <f aca="false">AF1027/W1027-1</f>
        <v>0.0928163695835962</v>
      </c>
      <c r="AI1027" s="37" t="str">
        <f aca="false">IF(AF1027&lt;W1027,"SIM","NÃO")</f>
        <v>NÃO</v>
      </c>
      <c r="AJ1027" s="37" t="n">
        <v>13</v>
      </c>
      <c r="AK1027" s="37" t="n">
        <v>5</v>
      </c>
      <c r="AL1027" s="37" t="s">
        <v>347</v>
      </c>
      <c r="AM1027" s="39" t="n">
        <v>108.65</v>
      </c>
    </row>
    <row r="1028" customFormat="false" ht="15" hidden="false" customHeight="false" outlineLevel="0" collapsed="false">
      <c r="A1028" s="37" t="n">
        <v>376860287</v>
      </c>
      <c r="B1028" s="38" t="n">
        <v>46249.454224537</v>
      </c>
      <c r="C1028" s="37" t="s">
        <v>379</v>
      </c>
      <c r="D1028" s="37" t="s">
        <v>1320</v>
      </c>
      <c r="E1028" s="37" t="n">
        <v>22795200</v>
      </c>
      <c r="F1028" s="37" t="s">
        <v>159</v>
      </c>
      <c r="G1028" s="37" t="s">
        <v>196</v>
      </c>
      <c r="H1028" s="37" t="s">
        <v>186</v>
      </c>
      <c r="I1028" s="37" t="n">
        <v>43.5</v>
      </c>
      <c r="J1028" s="39" t="n">
        <v>699.99</v>
      </c>
      <c r="K1028" s="37" t="s">
        <v>342</v>
      </c>
      <c r="L1028" s="39" t="n">
        <v>103.94</v>
      </c>
      <c r="M1028" s="39" t="n">
        <v>53.55</v>
      </c>
      <c r="N1028" s="39" t="n">
        <f aca="false">J1028*Resumo!$C$6</f>
        <v>0</v>
      </c>
      <c r="O1028" s="39" t="n">
        <f aca="false">J1028*Resumo!$C$7</f>
        <v>1.469979</v>
      </c>
      <c r="P1028" s="39" t="n">
        <f aca="false">J1028*Resumo!$C$8</f>
        <v>1.469979</v>
      </c>
      <c r="Q1028" s="39" t="n">
        <f aca="false">Resumo!$C$10*CEILING(I1028/100,1)</f>
        <v>1.05</v>
      </c>
      <c r="R1028" s="39" t="n">
        <f aca="false">Resumo!$C$9</f>
        <v>0</v>
      </c>
      <c r="S1028" s="39" t="n">
        <f aca="false">Resumo!$C$13</f>
        <v>13.55</v>
      </c>
      <c r="T1028" s="39" t="n">
        <f aca="false">Resumo!$C$14*CEILING(I1028,1)</f>
        <v>19.8</v>
      </c>
      <c r="U1028" s="39" t="n">
        <f aca="false">SUM(M1028:T1028)*Resumo!$C$11</f>
        <v>0</v>
      </c>
      <c r="V1028" s="39" t="n">
        <f aca="false">SUM(M1028:U1028)</f>
        <v>90.889958</v>
      </c>
      <c r="W1028" s="39" t="n">
        <f aca="false">V1028/(1-Resumo!$C$5)</f>
        <v>103.284043181818</v>
      </c>
      <c r="X1028" s="39" t="n">
        <v>93.97</v>
      </c>
      <c r="Y1028" s="39" t="n">
        <f aca="false">J1028*Resumo!$B$6</f>
        <v>0.69999</v>
      </c>
      <c r="Z1028" s="39" t="n">
        <f aca="false">J1028*Resumo!$B$7</f>
        <v>1.39998</v>
      </c>
      <c r="AA1028" s="39" t="n">
        <f aca="false">Resumo!$B$9</f>
        <v>1</v>
      </c>
      <c r="AB1028" s="39" t="n">
        <f aca="false">Resumo!$B$10*CEILING(I1028/100,1)</f>
        <v>4.5</v>
      </c>
      <c r="AC1028" s="39" t="n">
        <f aca="false">Resumo!$B$12*CEILING(I1028,1)</f>
        <v>2.64</v>
      </c>
      <c r="AD1028" s="39" t="n">
        <f aca="false">Resumo!$B$14*CEILING(I1028,1)</f>
        <v>19.8</v>
      </c>
      <c r="AE1028" s="39" t="n">
        <f aca="false">SUM(X1028:AD1028)</f>
        <v>124.00997</v>
      </c>
      <c r="AF1028" s="39" t="n">
        <f aca="false">AE1028/(1-Resumo!$B$5)</f>
        <v>140.920420454545</v>
      </c>
      <c r="AG1028" s="39" t="n">
        <f aca="false">AF1028-W1028</f>
        <v>37.6363772727273</v>
      </c>
      <c r="AH1028" s="40" t="n">
        <f aca="false">AF1028/W1028-1</f>
        <v>0.364396823684306</v>
      </c>
      <c r="AI1028" s="37" t="str">
        <f aca="false">IF(AF1028&lt;W1028,"SIM","NÃO")</f>
        <v>NÃO</v>
      </c>
      <c r="AJ1028" s="37" t="n">
        <v>2</v>
      </c>
      <c r="AK1028" s="37" t="n">
        <v>5</v>
      </c>
      <c r="AL1028" s="37" t="s">
        <v>343</v>
      </c>
      <c r="AM1028" s="39" t="n">
        <v>103.94</v>
      </c>
    </row>
    <row r="1029" customFormat="false" ht="15" hidden="false" customHeight="false" outlineLevel="0" collapsed="false">
      <c r="A1029" s="37" t="n">
        <v>376884000</v>
      </c>
      <c r="B1029" s="38" t="n">
        <v>46249.4939236111</v>
      </c>
      <c r="C1029" s="37" t="s">
        <v>345</v>
      </c>
      <c r="D1029" s="37" t="s">
        <v>1321</v>
      </c>
      <c r="E1029" s="37" t="n">
        <v>21715075</v>
      </c>
      <c r="F1029" s="37" t="s">
        <v>159</v>
      </c>
      <c r="G1029" s="37" t="s">
        <v>196</v>
      </c>
      <c r="H1029" s="37" t="s">
        <v>192</v>
      </c>
      <c r="I1029" s="37" t="n">
        <v>124.2</v>
      </c>
      <c r="J1029" s="39" t="n">
        <v>1597.99</v>
      </c>
      <c r="K1029" s="37" t="s">
        <v>342</v>
      </c>
      <c r="L1029" s="39" t="n">
        <v>233.95</v>
      </c>
      <c r="M1029" s="39" t="n">
        <v>120.59</v>
      </c>
      <c r="N1029" s="39" t="n">
        <f aca="false">J1029*Resumo!$C$6</f>
        <v>0</v>
      </c>
      <c r="O1029" s="39" t="n">
        <f aca="false">J1029*Resumo!$C$7</f>
        <v>3.355779</v>
      </c>
      <c r="P1029" s="39" t="n">
        <f aca="false">J1029*Resumo!$C$8</f>
        <v>3.355779</v>
      </c>
      <c r="Q1029" s="39" t="n">
        <f aca="false">Resumo!$C$10*CEILING(I1029/100,1)</f>
        <v>2.1</v>
      </c>
      <c r="R1029" s="39" t="n">
        <f aca="false">Resumo!$C$9</f>
        <v>0</v>
      </c>
      <c r="S1029" s="39" t="n">
        <f aca="false">Resumo!$C$13</f>
        <v>13.55</v>
      </c>
      <c r="T1029" s="39" t="n">
        <f aca="false">Resumo!$C$14*CEILING(I1029,1)</f>
        <v>56.25</v>
      </c>
      <c r="U1029" s="39" t="n">
        <f aca="false">SUM(M1029:T1029)*Resumo!$C$11</f>
        <v>0</v>
      </c>
      <c r="V1029" s="39" t="n">
        <f aca="false">SUM(M1029:U1029)</f>
        <v>199.201558</v>
      </c>
      <c r="W1029" s="39" t="n">
        <f aca="false">V1029/(1-Resumo!$C$5)</f>
        <v>226.365406818182</v>
      </c>
      <c r="X1029" s="39" t="n">
        <v>239.25</v>
      </c>
      <c r="Y1029" s="39" t="n">
        <f aca="false">J1029*Resumo!$B$6</f>
        <v>1.59799</v>
      </c>
      <c r="Z1029" s="39" t="n">
        <f aca="false">J1029*Resumo!$B$7</f>
        <v>3.19598</v>
      </c>
      <c r="AA1029" s="39" t="n">
        <f aca="false">Resumo!$B$9</f>
        <v>1</v>
      </c>
      <c r="AB1029" s="39" t="n">
        <f aca="false">Resumo!$B$10*CEILING(I1029/100,1)</f>
        <v>9</v>
      </c>
      <c r="AC1029" s="39" t="n">
        <f aca="false">Resumo!$B$12*CEILING(I1029,1)</f>
        <v>7.5</v>
      </c>
      <c r="AD1029" s="39" t="n">
        <f aca="false">Resumo!$B$14*CEILING(I1029,1)</f>
        <v>56.25</v>
      </c>
      <c r="AE1029" s="39" t="n">
        <f aca="false">SUM(X1029:AD1029)</f>
        <v>317.79397</v>
      </c>
      <c r="AF1029" s="39" t="n">
        <f aca="false">AE1029/(1-Resumo!$B$5)</f>
        <v>361.129511363636</v>
      </c>
      <c r="AG1029" s="39" t="n">
        <f aca="false">AF1029-W1029</f>
        <v>134.764104545455</v>
      </c>
      <c r="AH1029" s="40" t="n">
        <f aca="false">AF1029/W1029-1</f>
        <v>0.595338777420607</v>
      </c>
      <c r="AI1029" s="37" t="str">
        <f aca="false">IF(AF1029&lt;W1029,"SIM","NÃO")</f>
        <v>NÃO</v>
      </c>
      <c r="AJ1029" s="37" t="n">
        <v>2</v>
      </c>
      <c r="AK1029" s="37" t="n">
        <v>5</v>
      </c>
      <c r="AL1029" s="37" t="s">
        <v>343</v>
      </c>
      <c r="AM1029" s="39" t="n">
        <v>233.95</v>
      </c>
    </row>
    <row r="1030" customFormat="false" ht="15" hidden="false" customHeight="false" outlineLevel="0" collapsed="false">
      <c r="A1030" s="37" t="n">
        <v>376886339</v>
      </c>
      <c r="B1030" s="38" t="n">
        <v>46249.4974189815</v>
      </c>
      <c r="C1030" s="37" t="s">
        <v>340</v>
      </c>
      <c r="D1030" s="37" t="s">
        <v>1322</v>
      </c>
      <c r="E1030" s="37" t="n">
        <v>22770280</v>
      </c>
      <c r="F1030" s="37" t="s">
        <v>159</v>
      </c>
      <c r="G1030" s="37" t="s">
        <v>196</v>
      </c>
      <c r="H1030" s="37" t="s">
        <v>187</v>
      </c>
      <c r="I1030" s="37" t="n">
        <v>52.3</v>
      </c>
      <c r="J1030" s="39" t="n">
        <v>699.99</v>
      </c>
      <c r="K1030" s="37" t="s">
        <v>342</v>
      </c>
      <c r="L1030" s="39" t="n">
        <v>114.5</v>
      </c>
      <c r="M1030" s="39" t="n">
        <v>58.6</v>
      </c>
      <c r="N1030" s="39" t="n">
        <f aca="false">J1030*Resumo!$C$6</f>
        <v>0</v>
      </c>
      <c r="O1030" s="39" t="n">
        <f aca="false">J1030*Resumo!$C$7</f>
        <v>1.469979</v>
      </c>
      <c r="P1030" s="39" t="n">
        <f aca="false">J1030*Resumo!$C$8</f>
        <v>1.469979</v>
      </c>
      <c r="Q1030" s="39" t="n">
        <f aca="false">Resumo!$C$10*CEILING(I1030/100,1)</f>
        <v>1.05</v>
      </c>
      <c r="R1030" s="39" t="n">
        <f aca="false">Resumo!$C$9</f>
        <v>0</v>
      </c>
      <c r="S1030" s="39" t="n">
        <f aca="false">Resumo!$C$13</f>
        <v>13.55</v>
      </c>
      <c r="T1030" s="39" t="n">
        <f aca="false">Resumo!$C$14*CEILING(I1030,1)</f>
        <v>23.85</v>
      </c>
      <c r="U1030" s="39" t="n">
        <f aca="false">SUM(M1030:T1030)*Resumo!$C$11</f>
        <v>0</v>
      </c>
      <c r="V1030" s="39" t="n">
        <f aca="false">SUM(M1030:U1030)</f>
        <v>99.989958</v>
      </c>
      <c r="W1030" s="39" t="n">
        <f aca="false">V1030/(1-Resumo!$C$5)</f>
        <v>113.624952272727</v>
      </c>
      <c r="X1030" s="39" t="n">
        <v>112.3</v>
      </c>
      <c r="Y1030" s="39" t="n">
        <f aca="false">J1030*Resumo!$B$6</f>
        <v>0.69999</v>
      </c>
      <c r="Z1030" s="39" t="n">
        <f aca="false">J1030*Resumo!$B$7</f>
        <v>1.39998</v>
      </c>
      <c r="AA1030" s="39" t="n">
        <f aca="false">Resumo!$B$9</f>
        <v>1</v>
      </c>
      <c r="AB1030" s="39" t="n">
        <f aca="false">Resumo!$B$10*CEILING(I1030/100,1)</f>
        <v>4.5</v>
      </c>
      <c r="AC1030" s="39" t="n">
        <f aca="false">Resumo!$B$12*CEILING(I1030,1)</f>
        <v>3.18</v>
      </c>
      <c r="AD1030" s="39" t="n">
        <f aca="false">Resumo!$B$14*CEILING(I1030,1)</f>
        <v>23.85</v>
      </c>
      <c r="AE1030" s="39" t="n">
        <f aca="false">SUM(X1030:AD1030)</f>
        <v>146.92997</v>
      </c>
      <c r="AF1030" s="39" t="n">
        <f aca="false">AE1030/(1-Resumo!$B$5)</f>
        <v>166.965875</v>
      </c>
      <c r="AG1030" s="39" t="n">
        <f aca="false">AF1030-W1030</f>
        <v>53.3409227272727</v>
      </c>
      <c r="AH1030" s="40" t="n">
        <f aca="false">AF1030/W1030-1</f>
        <v>0.469447261894039</v>
      </c>
      <c r="AI1030" s="37" t="str">
        <f aca="false">IF(AF1030&lt;W1030,"SIM","NÃO")</f>
        <v>NÃO</v>
      </c>
      <c r="AJ1030" s="37" t="n">
        <v>2</v>
      </c>
      <c r="AK1030" s="37" t="n">
        <v>5</v>
      </c>
      <c r="AL1030" s="37" t="s">
        <v>343</v>
      </c>
      <c r="AM1030" s="39" t="n">
        <v>114.5</v>
      </c>
    </row>
    <row r="1031" customFormat="false" ht="15" hidden="false" customHeight="false" outlineLevel="0" collapsed="false">
      <c r="A1031" s="37" t="n">
        <v>376888056</v>
      </c>
      <c r="B1031" s="38" t="n">
        <v>46249.5002314815</v>
      </c>
      <c r="C1031" s="37" t="s">
        <v>340</v>
      </c>
      <c r="D1031" s="37" t="s">
        <v>1323</v>
      </c>
      <c r="E1031" s="37" t="n">
        <v>26135300</v>
      </c>
      <c r="F1031" s="37" t="s">
        <v>165</v>
      </c>
      <c r="G1031" s="37" t="s">
        <v>197</v>
      </c>
      <c r="H1031" s="37" t="s">
        <v>188</v>
      </c>
      <c r="I1031" s="37" t="n">
        <v>63.9</v>
      </c>
      <c r="J1031" s="39" t="n">
        <v>730.98</v>
      </c>
      <c r="K1031" s="37" t="s">
        <v>518</v>
      </c>
      <c r="L1031" s="39" t="n">
        <v>139.81</v>
      </c>
      <c r="M1031" s="39" t="n">
        <v>76.55</v>
      </c>
      <c r="N1031" s="39" t="n">
        <f aca="false">J1031*Resumo!$C$6</f>
        <v>0</v>
      </c>
      <c r="O1031" s="39" t="n">
        <f aca="false">J1031*Resumo!$C$7</f>
        <v>1.535058</v>
      </c>
      <c r="P1031" s="39" t="n">
        <f aca="false">J1031*Resumo!$C$8</f>
        <v>1.535058</v>
      </c>
      <c r="Q1031" s="39" t="n">
        <f aca="false">Resumo!$C$10*CEILING(I1031/100,1)</f>
        <v>1.05</v>
      </c>
      <c r="R1031" s="39" t="n">
        <f aca="false">Resumo!$C$9</f>
        <v>0</v>
      </c>
      <c r="S1031" s="39" t="n">
        <f aca="false">Resumo!$C$13</f>
        <v>13.55</v>
      </c>
      <c r="T1031" s="39" t="n">
        <f aca="false">Resumo!$C$14*CEILING(I1031,1)</f>
        <v>28.8</v>
      </c>
      <c r="U1031" s="39" t="n">
        <f aca="false">SUM(M1031:T1031)*Resumo!$C$11</f>
        <v>0</v>
      </c>
      <c r="V1031" s="39" t="n">
        <f aca="false">SUM(M1031:U1031)</f>
        <v>123.020116</v>
      </c>
      <c r="W1031" s="39" t="n">
        <f aca="false">V1031/(1-Resumo!$C$5)</f>
        <v>139.795586363636</v>
      </c>
      <c r="X1031" s="39" t="n">
        <v>131.02</v>
      </c>
      <c r="Y1031" s="39" t="n">
        <f aca="false">J1031*Resumo!$B$6</f>
        <v>0.73098</v>
      </c>
      <c r="Z1031" s="39" t="n">
        <f aca="false">J1031*Resumo!$B$7</f>
        <v>1.46196</v>
      </c>
      <c r="AA1031" s="39" t="n">
        <f aca="false">Resumo!$B$9</f>
        <v>1</v>
      </c>
      <c r="AB1031" s="39" t="n">
        <f aca="false">Resumo!$B$10*CEILING(I1031/100,1)</f>
        <v>4.5</v>
      </c>
      <c r="AC1031" s="39" t="n">
        <f aca="false">Resumo!$B$12*CEILING(I1031,1)</f>
        <v>3.84</v>
      </c>
      <c r="AD1031" s="39" t="n">
        <f aca="false">Resumo!$B$14*CEILING(I1031,1)</f>
        <v>28.8</v>
      </c>
      <c r="AE1031" s="39" t="n">
        <f aca="false">SUM(X1031:AD1031)</f>
        <v>171.35294</v>
      </c>
      <c r="AF1031" s="39" t="n">
        <f aca="false">AE1031/(1-Resumo!$B$5)</f>
        <v>194.71925</v>
      </c>
      <c r="AG1031" s="39" t="n">
        <f aca="false">AF1031-W1031</f>
        <v>54.9236636363636</v>
      </c>
      <c r="AH1031" s="40" t="n">
        <f aca="false">AF1031/W1031-1</f>
        <v>0.392885534264982</v>
      </c>
      <c r="AI1031" s="37" t="str">
        <f aca="false">IF(AF1031&lt;W1031,"SIM","NÃO")</f>
        <v>NÃO</v>
      </c>
      <c r="AJ1031" s="37" t="n">
        <v>2</v>
      </c>
      <c r="AK1031" s="37" t="n">
        <v>5</v>
      </c>
      <c r="AL1031" s="37" t="s">
        <v>343</v>
      </c>
      <c r="AM1031" s="39" t="n">
        <v>139.94</v>
      </c>
    </row>
    <row r="1032" customFormat="false" ht="15" hidden="false" customHeight="false" outlineLevel="0" collapsed="false">
      <c r="A1032" s="37" t="n">
        <v>376888749</v>
      </c>
      <c r="B1032" s="38" t="n">
        <v>46249.5013310185</v>
      </c>
      <c r="C1032" s="37" t="s">
        <v>340</v>
      </c>
      <c r="D1032" s="37" t="s">
        <v>1324</v>
      </c>
      <c r="E1032" s="37" t="n">
        <v>23898093</v>
      </c>
      <c r="F1032" s="37" t="s">
        <v>221</v>
      </c>
      <c r="G1032" s="37" t="s">
        <v>198</v>
      </c>
      <c r="H1032" s="37" t="s">
        <v>187</v>
      </c>
      <c r="I1032" s="37" t="n">
        <v>52.3</v>
      </c>
      <c r="J1032" s="39" t="n">
        <v>699.99</v>
      </c>
      <c r="K1032" s="37" t="s">
        <v>518</v>
      </c>
      <c r="L1032" s="39" t="n">
        <v>142.01</v>
      </c>
      <c r="M1032" s="39" t="n">
        <v>83.58</v>
      </c>
      <c r="N1032" s="39" t="n">
        <f aca="false">J1032*Resumo!$C$6</f>
        <v>0</v>
      </c>
      <c r="O1032" s="39" t="n">
        <f aca="false">J1032*Resumo!$C$7</f>
        <v>1.469979</v>
      </c>
      <c r="P1032" s="39" t="n">
        <f aca="false">J1032*Resumo!$C$8</f>
        <v>1.469979</v>
      </c>
      <c r="Q1032" s="39" t="n">
        <f aca="false">Resumo!$C$10*CEILING(I1032/100,1)</f>
        <v>1.05</v>
      </c>
      <c r="R1032" s="39" t="n">
        <f aca="false">Resumo!$C$9</f>
        <v>0</v>
      </c>
      <c r="S1032" s="39" t="n">
        <f aca="false">Resumo!$C$13</f>
        <v>13.55</v>
      </c>
      <c r="T1032" s="39" t="n">
        <f aca="false">Resumo!$C$14*CEILING(I1032,1)</f>
        <v>23.85</v>
      </c>
      <c r="U1032" s="39" t="n">
        <f aca="false">SUM(M1032:T1032)*Resumo!$C$11</f>
        <v>0</v>
      </c>
      <c r="V1032" s="39" t="n">
        <f aca="false">SUM(M1032:U1032)</f>
        <v>124.969958</v>
      </c>
      <c r="W1032" s="39" t="n">
        <f aca="false">V1032/(1-Resumo!$C$5)</f>
        <v>142.011315909091</v>
      </c>
      <c r="X1032" s="39" t="n">
        <v>122.3</v>
      </c>
      <c r="Y1032" s="39" t="n">
        <f aca="false">J1032*Resumo!$B$6</f>
        <v>0.69999</v>
      </c>
      <c r="Z1032" s="39" t="n">
        <f aca="false">J1032*Resumo!$B$7</f>
        <v>1.39998</v>
      </c>
      <c r="AA1032" s="39" t="n">
        <f aca="false">Resumo!$B$9</f>
        <v>1</v>
      </c>
      <c r="AB1032" s="39" t="n">
        <f aca="false">Resumo!$B$10*CEILING(I1032/100,1)</f>
        <v>4.5</v>
      </c>
      <c r="AC1032" s="39" t="n">
        <f aca="false">Resumo!$B$12*CEILING(I1032,1)</f>
        <v>3.18</v>
      </c>
      <c r="AD1032" s="39" t="n">
        <f aca="false">Resumo!$B$14*CEILING(I1032,1)</f>
        <v>23.85</v>
      </c>
      <c r="AE1032" s="39" t="n">
        <f aca="false">SUM(X1032:AD1032)</f>
        <v>156.92997</v>
      </c>
      <c r="AF1032" s="39" t="n">
        <f aca="false">AE1032/(1-Resumo!$B$5)</f>
        <v>178.329511363636</v>
      </c>
      <c r="AG1032" s="39" t="n">
        <f aca="false">AF1032-W1032</f>
        <v>36.3181954545454</v>
      </c>
      <c r="AH1032" s="40" t="n">
        <f aca="false">AF1032/W1032-1</f>
        <v>0.255741559903541</v>
      </c>
      <c r="AI1032" s="37" t="str">
        <f aca="false">IF(AF1032&lt;W1032,"SIM","NÃO")</f>
        <v>NÃO</v>
      </c>
      <c r="AJ1032" s="37" t="n">
        <v>13</v>
      </c>
      <c r="AK1032" s="37" t="n">
        <v>5</v>
      </c>
      <c r="AL1032" s="37" t="s">
        <v>347</v>
      </c>
      <c r="AM1032" s="39" t="n">
        <v>143.02</v>
      </c>
    </row>
    <row r="1033" customFormat="false" ht="15" hidden="false" customHeight="false" outlineLevel="0" collapsed="false">
      <c r="A1033" s="37" t="n">
        <v>376889638</v>
      </c>
      <c r="B1033" s="38" t="n">
        <v>46249.5027199074</v>
      </c>
      <c r="C1033" s="37" t="s">
        <v>340</v>
      </c>
      <c r="D1033" s="37" t="s">
        <v>1325</v>
      </c>
      <c r="E1033" s="37" t="n">
        <v>25640550</v>
      </c>
      <c r="F1033" s="37" t="s">
        <v>170</v>
      </c>
      <c r="G1033" s="37" t="s">
        <v>198</v>
      </c>
      <c r="H1033" s="37" t="s">
        <v>192</v>
      </c>
      <c r="I1033" s="37" t="n">
        <v>124.2</v>
      </c>
      <c r="J1033" s="39" t="n">
        <v>1526.91</v>
      </c>
      <c r="K1033" s="37" t="s">
        <v>518</v>
      </c>
      <c r="L1033" s="39" t="n">
        <v>252.91</v>
      </c>
      <c r="M1033" s="39" t="n">
        <v>144.24</v>
      </c>
      <c r="N1033" s="39" t="n">
        <f aca="false">J1033*Resumo!$C$6</f>
        <v>0</v>
      </c>
      <c r="O1033" s="39" t="n">
        <f aca="false">J1033*Resumo!$C$7</f>
        <v>3.206511</v>
      </c>
      <c r="P1033" s="39" t="n">
        <f aca="false">J1033*Resumo!$C$8</f>
        <v>3.206511</v>
      </c>
      <c r="Q1033" s="39" t="n">
        <f aca="false">Resumo!$C$10*CEILING(I1033/100,1)</f>
        <v>2.1</v>
      </c>
      <c r="R1033" s="39" t="n">
        <f aca="false">Resumo!$C$9</f>
        <v>0</v>
      </c>
      <c r="S1033" s="39" t="n">
        <f aca="false">Resumo!$C$13</f>
        <v>13.55</v>
      </c>
      <c r="T1033" s="39" t="n">
        <f aca="false">Resumo!$C$14*CEILING(I1033,1)</f>
        <v>56.25</v>
      </c>
      <c r="U1033" s="39" t="n">
        <f aca="false">SUM(M1033:T1033)*Resumo!$C$11</f>
        <v>0</v>
      </c>
      <c r="V1033" s="39" t="n">
        <f aca="false">SUM(M1033:U1033)</f>
        <v>222.553022</v>
      </c>
      <c r="W1033" s="39" t="n">
        <f aca="false">V1033/(1-Resumo!$C$5)</f>
        <v>252.901161363636</v>
      </c>
      <c r="X1033" s="39" t="n">
        <v>264.84</v>
      </c>
      <c r="Y1033" s="39" t="n">
        <f aca="false">J1033*Resumo!$B$6</f>
        <v>1.52691</v>
      </c>
      <c r="Z1033" s="39" t="n">
        <f aca="false">J1033*Resumo!$B$7</f>
        <v>3.05382</v>
      </c>
      <c r="AA1033" s="39" t="n">
        <f aca="false">Resumo!$B$9</f>
        <v>1</v>
      </c>
      <c r="AB1033" s="39" t="n">
        <f aca="false">Resumo!$B$10*CEILING(I1033/100,1)</f>
        <v>9</v>
      </c>
      <c r="AC1033" s="39" t="n">
        <f aca="false">Resumo!$B$12*CEILING(I1033,1)</f>
        <v>7.5</v>
      </c>
      <c r="AD1033" s="39" t="n">
        <f aca="false">Resumo!$B$14*CEILING(I1033,1)</f>
        <v>56.25</v>
      </c>
      <c r="AE1033" s="39" t="n">
        <f aca="false">SUM(X1033:AD1033)</f>
        <v>343.17073</v>
      </c>
      <c r="AF1033" s="39" t="n">
        <f aca="false">AE1033/(1-Resumo!$B$5)</f>
        <v>389.966738636364</v>
      </c>
      <c r="AG1033" s="39" t="n">
        <f aca="false">AF1033-W1033</f>
        <v>137.065577272727</v>
      </c>
      <c r="AH1033" s="40" t="n">
        <f aca="false">AF1033/W1033-1</f>
        <v>0.541972905674586</v>
      </c>
      <c r="AI1033" s="37" t="str">
        <f aca="false">IF(AF1033&lt;W1033,"SIM","NÃO")</f>
        <v>NÃO</v>
      </c>
      <c r="AJ1033" s="37" t="n">
        <v>13</v>
      </c>
      <c r="AK1033" s="37" t="n">
        <v>8</v>
      </c>
      <c r="AL1033" s="37" t="s">
        <v>343</v>
      </c>
      <c r="AM1033" s="39" t="n">
        <v>260.61</v>
      </c>
    </row>
    <row r="1034" customFormat="false" ht="15" hidden="false" customHeight="false" outlineLevel="0" collapsed="false">
      <c r="A1034" s="37" t="n">
        <v>376890115</v>
      </c>
      <c r="B1034" s="38" t="n">
        <v>46249.5034490741</v>
      </c>
      <c r="C1034" s="37" t="s">
        <v>340</v>
      </c>
      <c r="D1034" s="37" t="s">
        <v>1326</v>
      </c>
      <c r="E1034" s="37" t="n">
        <v>21046160</v>
      </c>
      <c r="F1034" s="37" t="s">
        <v>159</v>
      </c>
      <c r="G1034" s="37" t="s">
        <v>196</v>
      </c>
      <c r="H1034" s="37" t="s">
        <v>187</v>
      </c>
      <c r="I1034" s="37" t="n">
        <v>52.2</v>
      </c>
      <c r="J1034" s="39" t="n">
        <v>719.99</v>
      </c>
      <c r="K1034" s="37" t="s">
        <v>342</v>
      </c>
      <c r="L1034" s="39" t="n">
        <v>114.6</v>
      </c>
      <c r="M1034" s="39" t="n">
        <v>58.6</v>
      </c>
      <c r="N1034" s="39" t="n">
        <f aca="false">J1034*Resumo!$C$6</f>
        <v>0</v>
      </c>
      <c r="O1034" s="39" t="n">
        <f aca="false">J1034*Resumo!$C$7</f>
        <v>1.511979</v>
      </c>
      <c r="P1034" s="39" t="n">
        <f aca="false">J1034*Resumo!$C$8</f>
        <v>1.511979</v>
      </c>
      <c r="Q1034" s="39" t="n">
        <f aca="false">Resumo!$C$10*CEILING(I1034/100,1)</f>
        <v>1.05</v>
      </c>
      <c r="R1034" s="39" t="n">
        <f aca="false">Resumo!$C$9</f>
        <v>0</v>
      </c>
      <c r="S1034" s="39" t="n">
        <f aca="false">Resumo!$C$13</f>
        <v>13.55</v>
      </c>
      <c r="T1034" s="39" t="n">
        <f aca="false">Resumo!$C$14*CEILING(I1034,1)</f>
        <v>23.85</v>
      </c>
      <c r="U1034" s="39" t="n">
        <f aca="false">SUM(M1034:T1034)*Resumo!$C$11</f>
        <v>0</v>
      </c>
      <c r="V1034" s="39" t="n">
        <f aca="false">SUM(M1034:U1034)</f>
        <v>100.073958</v>
      </c>
      <c r="W1034" s="39" t="n">
        <f aca="false">V1034/(1-Resumo!$C$5)</f>
        <v>113.720406818182</v>
      </c>
      <c r="X1034" s="39" t="n">
        <v>112.3</v>
      </c>
      <c r="Y1034" s="39" t="n">
        <f aca="false">J1034*Resumo!$B$6</f>
        <v>0.71999</v>
      </c>
      <c r="Z1034" s="39" t="n">
        <f aca="false">J1034*Resumo!$B$7</f>
        <v>1.43998</v>
      </c>
      <c r="AA1034" s="39" t="n">
        <f aca="false">Resumo!$B$9</f>
        <v>1</v>
      </c>
      <c r="AB1034" s="39" t="n">
        <f aca="false">Resumo!$B$10*CEILING(I1034/100,1)</f>
        <v>4.5</v>
      </c>
      <c r="AC1034" s="39" t="n">
        <f aca="false">Resumo!$B$12*CEILING(I1034,1)</f>
        <v>3.18</v>
      </c>
      <c r="AD1034" s="39" t="n">
        <f aca="false">Resumo!$B$14*CEILING(I1034,1)</f>
        <v>23.85</v>
      </c>
      <c r="AE1034" s="39" t="n">
        <f aca="false">SUM(X1034:AD1034)</f>
        <v>146.98997</v>
      </c>
      <c r="AF1034" s="39" t="n">
        <f aca="false">AE1034/(1-Resumo!$B$5)</f>
        <v>167.034056818182</v>
      </c>
      <c r="AG1034" s="39" t="n">
        <f aca="false">AF1034-W1034</f>
        <v>53.31365</v>
      </c>
      <c r="AH1034" s="40" t="n">
        <f aca="false">AF1034/W1034-1</f>
        <v>0.468813394989334</v>
      </c>
      <c r="AI1034" s="37" t="str">
        <f aca="false">IF(AF1034&lt;W1034,"SIM","NÃO")</f>
        <v>NÃO</v>
      </c>
      <c r="AJ1034" s="37" t="n">
        <v>2</v>
      </c>
      <c r="AK1034" s="37" t="n">
        <v>5</v>
      </c>
      <c r="AL1034" s="37" t="s">
        <v>343</v>
      </c>
      <c r="AM1034" s="39" t="n">
        <v>114.6</v>
      </c>
    </row>
    <row r="1035" customFormat="false" ht="15" hidden="false" customHeight="false" outlineLevel="0" collapsed="false">
      <c r="A1035" s="37" t="n">
        <v>376895250</v>
      </c>
      <c r="B1035" s="38" t="n">
        <v>46249.5113078704</v>
      </c>
      <c r="C1035" s="37" t="s">
        <v>340</v>
      </c>
      <c r="D1035" s="37" t="s">
        <v>1327</v>
      </c>
      <c r="E1035" s="37" t="n">
        <v>21051020</v>
      </c>
      <c r="F1035" s="37" t="s">
        <v>159</v>
      </c>
      <c r="G1035" s="37" t="s">
        <v>196</v>
      </c>
      <c r="H1035" s="37" t="s">
        <v>185</v>
      </c>
      <c r="I1035" s="37" t="n">
        <v>37.5</v>
      </c>
      <c r="J1035" s="39" t="n">
        <v>399.99</v>
      </c>
      <c r="K1035" s="37" t="s">
        <v>342</v>
      </c>
      <c r="L1035" s="39" t="n">
        <v>91.77</v>
      </c>
      <c r="M1035" s="39" t="n">
        <v>48.35</v>
      </c>
      <c r="N1035" s="39" t="n">
        <f aca="false">J1035*Resumo!$C$6</f>
        <v>0</v>
      </c>
      <c r="O1035" s="39" t="n">
        <f aca="false">J1035*Resumo!$C$7</f>
        <v>0.839979</v>
      </c>
      <c r="P1035" s="39" t="n">
        <f aca="false">J1035*Resumo!$C$8</f>
        <v>0.839979</v>
      </c>
      <c r="Q1035" s="39" t="n">
        <f aca="false">Resumo!$C$10*CEILING(I1035/100,1)</f>
        <v>1.05</v>
      </c>
      <c r="R1035" s="39" t="n">
        <f aca="false">Resumo!$C$9</f>
        <v>0</v>
      </c>
      <c r="S1035" s="39" t="n">
        <f aca="false">Resumo!$C$13</f>
        <v>13.55</v>
      </c>
      <c r="T1035" s="39" t="n">
        <f aca="false">Resumo!$C$14*CEILING(I1035,1)</f>
        <v>17.1</v>
      </c>
      <c r="U1035" s="39" t="n">
        <f aca="false">SUM(M1035:T1035)*Resumo!$C$11</f>
        <v>0</v>
      </c>
      <c r="V1035" s="39" t="n">
        <f aca="false">SUM(M1035:U1035)</f>
        <v>81.729958</v>
      </c>
      <c r="W1035" s="39" t="n">
        <f aca="false">V1035/(1-Resumo!$C$5)</f>
        <v>92.8749522727273</v>
      </c>
      <c r="X1035" s="39" t="n">
        <v>93.97</v>
      </c>
      <c r="Y1035" s="39" t="n">
        <f aca="false">J1035*Resumo!$B$6</f>
        <v>0.39999</v>
      </c>
      <c r="Z1035" s="39" t="n">
        <f aca="false">J1035*Resumo!$B$7</f>
        <v>0.79998</v>
      </c>
      <c r="AA1035" s="39" t="n">
        <f aca="false">Resumo!$B$9</f>
        <v>1</v>
      </c>
      <c r="AB1035" s="39" t="n">
        <f aca="false">Resumo!$B$10*CEILING(I1035/100,1)</f>
        <v>4.5</v>
      </c>
      <c r="AC1035" s="39" t="n">
        <f aca="false">Resumo!$B$12*CEILING(I1035,1)</f>
        <v>2.28</v>
      </c>
      <c r="AD1035" s="39" t="n">
        <f aca="false">Resumo!$B$14*CEILING(I1035,1)</f>
        <v>17.1</v>
      </c>
      <c r="AE1035" s="39" t="n">
        <f aca="false">SUM(X1035:AD1035)</f>
        <v>120.04997</v>
      </c>
      <c r="AF1035" s="39" t="n">
        <f aca="false">AE1035/(1-Resumo!$B$5)</f>
        <v>136.420420454545</v>
      </c>
      <c r="AG1035" s="39" t="n">
        <f aca="false">AF1035-W1035</f>
        <v>43.5454681818182</v>
      </c>
      <c r="AH1035" s="40" t="n">
        <f aca="false">AF1035/W1035-1</f>
        <v>0.468861271163262</v>
      </c>
      <c r="AI1035" s="37" t="str">
        <f aca="false">IF(AF1035&lt;W1035,"SIM","NÃO")</f>
        <v>NÃO</v>
      </c>
      <c r="AJ1035" s="37" t="n">
        <v>2</v>
      </c>
      <c r="AK1035" s="37" t="n">
        <v>5</v>
      </c>
      <c r="AL1035" s="37" t="s">
        <v>343</v>
      </c>
      <c r="AM1035" s="39" t="n">
        <v>91.77</v>
      </c>
    </row>
    <row r="1036" customFormat="false" ht="15" hidden="false" customHeight="false" outlineLevel="0" collapsed="false">
      <c r="A1036" s="37" t="n">
        <v>376895758</v>
      </c>
      <c r="B1036" s="38" t="n">
        <v>46249.5120023148</v>
      </c>
      <c r="C1036" s="37" t="s">
        <v>345</v>
      </c>
      <c r="D1036" s="37" t="s">
        <v>1328</v>
      </c>
      <c r="E1036" s="37" t="n">
        <v>28961777</v>
      </c>
      <c r="F1036" s="37" t="s">
        <v>294</v>
      </c>
      <c r="G1036" s="37" t="s">
        <v>198</v>
      </c>
      <c r="H1036" s="37" t="s">
        <v>186</v>
      </c>
      <c r="I1036" s="37" t="n">
        <v>41.4</v>
      </c>
      <c r="J1036" s="39" t="n">
        <v>418.29</v>
      </c>
      <c r="K1036" s="37" t="s">
        <v>518</v>
      </c>
      <c r="L1036" s="39" t="n">
        <v>128.36</v>
      </c>
      <c r="M1036" s="39" t="n">
        <v>77.7</v>
      </c>
      <c r="N1036" s="39" t="n">
        <f aca="false">J1036*Resumo!$C$6</f>
        <v>0</v>
      </c>
      <c r="O1036" s="39" t="n">
        <f aca="false">J1036*Resumo!$C$7</f>
        <v>0.878409</v>
      </c>
      <c r="P1036" s="39" t="n">
        <f aca="false">J1036*Resumo!$C$8</f>
        <v>0.878409</v>
      </c>
      <c r="Q1036" s="39" t="n">
        <f aca="false">Resumo!$C$10*CEILING(I1036/100,1)</f>
        <v>1.05</v>
      </c>
      <c r="R1036" s="39" t="n">
        <f aca="false">Resumo!$C$9</f>
        <v>0</v>
      </c>
      <c r="S1036" s="39" t="n">
        <f aca="false">Resumo!$C$13</f>
        <v>13.55</v>
      </c>
      <c r="T1036" s="39" t="n">
        <f aca="false">Resumo!$C$14*CEILING(I1036,1)</f>
        <v>18.9</v>
      </c>
      <c r="U1036" s="39" t="n">
        <f aca="false">SUM(M1036:T1036)*Resumo!$C$11</f>
        <v>0</v>
      </c>
      <c r="V1036" s="39" t="n">
        <f aca="false">SUM(M1036:U1036)</f>
        <v>112.956818</v>
      </c>
      <c r="W1036" s="39" t="n">
        <f aca="false">V1036/(1-Resumo!$C$5)</f>
        <v>128.360020454545</v>
      </c>
      <c r="X1036" s="39" t="n">
        <v>129.29</v>
      </c>
      <c r="Y1036" s="39" t="n">
        <f aca="false">J1036*Resumo!$B$6</f>
        <v>0.41829</v>
      </c>
      <c r="Z1036" s="39" t="n">
        <f aca="false">J1036*Resumo!$B$7</f>
        <v>0.83658</v>
      </c>
      <c r="AA1036" s="39" t="n">
        <f aca="false">Resumo!$B$9</f>
        <v>1</v>
      </c>
      <c r="AB1036" s="39" t="n">
        <f aca="false">Resumo!$B$10*CEILING(I1036/100,1)</f>
        <v>4.5</v>
      </c>
      <c r="AC1036" s="39" t="n">
        <f aca="false">Resumo!$B$12*CEILING(I1036,1)</f>
        <v>2.52</v>
      </c>
      <c r="AD1036" s="39" t="n">
        <f aca="false">Resumo!$B$14*CEILING(I1036,1)</f>
        <v>18.9</v>
      </c>
      <c r="AE1036" s="39" t="n">
        <f aca="false">SUM(X1036:AD1036)</f>
        <v>157.46487</v>
      </c>
      <c r="AF1036" s="39" t="n">
        <f aca="false">AE1036/(1-Resumo!$B$5)</f>
        <v>178.937352272727</v>
      </c>
      <c r="AG1036" s="39" t="n">
        <f aca="false">AF1036-W1036</f>
        <v>50.5773318181818</v>
      </c>
      <c r="AH1036" s="40" t="n">
        <f aca="false">AF1036/W1036-1</f>
        <v>0.394027140530818</v>
      </c>
      <c r="AI1036" s="37" t="str">
        <f aca="false">IF(AF1036&lt;W1036,"SIM","NÃO")</f>
        <v>NÃO</v>
      </c>
      <c r="AJ1036" s="37" t="n">
        <v>13</v>
      </c>
      <c r="AK1036" s="37" t="n">
        <v>10</v>
      </c>
      <c r="AL1036" s="37" t="s">
        <v>347</v>
      </c>
      <c r="AM1036" s="39" t="n">
        <v>130.16</v>
      </c>
    </row>
    <row r="1037" customFormat="false" ht="15" hidden="false" customHeight="false" outlineLevel="0" collapsed="false">
      <c r="A1037" s="37" t="n">
        <v>376907702</v>
      </c>
      <c r="B1037" s="38" t="n">
        <v>46249.5358449074</v>
      </c>
      <c r="C1037" s="37" t="s">
        <v>361</v>
      </c>
      <c r="D1037" s="37" t="s">
        <v>1329</v>
      </c>
      <c r="E1037" s="37" t="n">
        <v>26190281</v>
      </c>
      <c r="F1037" s="37" t="s">
        <v>165</v>
      </c>
      <c r="G1037" s="37" t="s">
        <v>197</v>
      </c>
      <c r="H1037" s="37" t="s">
        <v>189</v>
      </c>
      <c r="I1037" s="37" t="n">
        <v>72.7</v>
      </c>
      <c r="J1037" s="39" t="n">
        <v>1109.99</v>
      </c>
      <c r="K1037" s="37" t="s">
        <v>518</v>
      </c>
      <c r="L1037" s="39" t="n">
        <v>152.94</v>
      </c>
      <c r="M1037" s="39" t="n">
        <v>82.48</v>
      </c>
      <c r="N1037" s="39" t="n">
        <f aca="false">J1037*Resumo!$C$6</f>
        <v>0</v>
      </c>
      <c r="O1037" s="39" t="n">
        <f aca="false">J1037*Resumo!$C$7</f>
        <v>2.330979</v>
      </c>
      <c r="P1037" s="39" t="n">
        <f aca="false">J1037*Resumo!$C$8</f>
        <v>2.330979</v>
      </c>
      <c r="Q1037" s="39" t="n">
        <f aca="false">Resumo!$C$10*CEILING(I1037/100,1)</f>
        <v>1.05</v>
      </c>
      <c r="R1037" s="39" t="n">
        <f aca="false">Resumo!$C$9</f>
        <v>0</v>
      </c>
      <c r="S1037" s="39" t="n">
        <f aca="false">Resumo!$C$13</f>
        <v>13.55</v>
      </c>
      <c r="T1037" s="39" t="n">
        <f aca="false">Resumo!$C$14*CEILING(I1037,1)</f>
        <v>32.85</v>
      </c>
      <c r="U1037" s="39" t="n">
        <f aca="false">SUM(M1037:T1037)*Resumo!$C$11</f>
        <v>0</v>
      </c>
      <c r="V1037" s="39" t="n">
        <f aca="false">SUM(M1037:U1037)</f>
        <v>134.591958</v>
      </c>
      <c r="W1037" s="39" t="n">
        <f aca="false">V1037/(1-Resumo!$C$5)</f>
        <v>152.945406818182</v>
      </c>
      <c r="X1037" s="39" t="n">
        <v>134.39</v>
      </c>
      <c r="Y1037" s="39" t="n">
        <f aca="false">J1037*Resumo!$B$6</f>
        <v>1.10999</v>
      </c>
      <c r="Z1037" s="39" t="n">
        <f aca="false">J1037*Resumo!$B$7</f>
        <v>2.21998</v>
      </c>
      <c r="AA1037" s="39" t="n">
        <f aca="false">Resumo!$B$9</f>
        <v>1</v>
      </c>
      <c r="AB1037" s="39" t="n">
        <f aca="false">Resumo!$B$10*CEILING(I1037/100,1)</f>
        <v>4.5</v>
      </c>
      <c r="AC1037" s="39" t="n">
        <f aca="false">Resumo!$B$12*CEILING(I1037,1)</f>
        <v>4.38</v>
      </c>
      <c r="AD1037" s="39" t="n">
        <f aca="false">Resumo!$B$14*CEILING(I1037,1)</f>
        <v>32.85</v>
      </c>
      <c r="AE1037" s="39" t="n">
        <f aca="false">SUM(X1037:AD1037)</f>
        <v>180.44997</v>
      </c>
      <c r="AF1037" s="39" t="n">
        <f aca="false">AE1037/(1-Resumo!$B$5)</f>
        <v>205.056784090909</v>
      </c>
      <c r="AG1037" s="39" t="n">
        <f aca="false">AF1037-W1037</f>
        <v>52.1113772727273</v>
      </c>
      <c r="AH1037" s="40" t="n">
        <f aca="false">AF1037/W1037-1</f>
        <v>0.340718811743566</v>
      </c>
      <c r="AI1037" s="37" t="str">
        <f aca="false">IF(AF1037&lt;W1037,"SIM","NÃO")</f>
        <v>NÃO</v>
      </c>
      <c r="AJ1037" s="37" t="n">
        <v>2</v>
      </c>
      <c r="AK1037" s="37" t="n">
        <v>5</v>
      </c>
      <c r="AL1037" s="37" t="s">
        <v>343</v>
      </c>
      <c r="AM1037" s="39" t="n">
        <v>153.32</v>
      </c>
    </row>
    <row r="1038" customFormat="false" ht="15" hidden="false" customHeight="false" outlineLevel="0" collapsed="false">
      <c r="A1038" s="37" t="n">
        <v>376431023</v>
      </c>
      <c r="B1038" s="38" t="n">
        <v>46249.5430092593</v>
      </c>
      <c r="C1038" s="37" t="s">
        <v>361</v>
      </c>
      <c r="D1038" s="37" t="s">
        <v>1330</v>
      </c>
      <c r="E1038" s="37" t="n">
        <v>22713581</v>
      </c>
      <c r="F1038" s="37" t="s">
        <v>159</v>
      </c>
      <c r="G1038" s="37" t="s">
        <v>196</v>
      </c>
      <c r="H1038" s="37" t="s">
        <v>188</v>
      </c>
      <c r="I1038" s="37" t="n">
        <v>63</v>
      </c>
      <c r="J1038" s="39" t="n">
        <v>985.99</v>
      </c>
      <c r="K1038" s="37" t="s">
        <v>342</v>
      </c>
      <c r="L1038" s="39" t="n">
        <v>125.93</v>
      </c>
      <c r="M1038" s="39" t="n">
        <v>63.21</v>
      </c>
      <c r="N1038" s="39" t="n">
        <f aca="false">J1038*Resumo!$C$6</f>
        <v>0</v>
      </c>
      <c r="O1038" s="39" t="n">
        <f aca="false">J1038*Resumo!$C$7</f>
        <v>2.070579</v>
      </c>
      <c r="P1038" s="39" t="n">
        <f aca="false">J1038*Resumo!$C$8</f>
        <v>2.070579</v>
      </c>
      <c r="Q1038" s="39" t="n">
        <f aca="false">Resumo!$C$10*CEILING(I1038/100,1)</f>
        <v>1.05</v>
      </c>
      <c r="R1038" s="39" t="n">
        <f aca="false">Resumo!$C$9</f>
        <v>0</v>
      </c>
      <c r="S1038" s="39" t="n">
        <f aca="false">Resumo!$C$13</f>
        <v>13.55</v>
      </c>
      <c r="T1038" s="39" t="n">
        <f aca="false">Resumo!$C$14*CEILING(I1038,1)</f>
        <v>28.35</v>
      </c>
      <c r="U1038" s="39" t="n">
        <f aca="false">SUM(M1038:T1038)*Resumo!$C$11</f>
        <v>0</v>
      </c>
      <c r="V1038" s="39" t="n">
        <f aca="false">SUM(M1038:U1038)</f>
        <v>110.301158</v>
      </c>
      <c r="W1038" s="39" t="n">
        <f aca="false">V1038/(1-Resumo!$C$5)</f>
        <v>125.342225</v>
      </c>
      <c r="X1038" s="39" t="n">
        <v>131.02</v>
      </c>
      <c r="Y1038" s="39" t="n">
        <f aca="false">J1038*Resumo!$B$6</f>
        <v>0.98599</v>
      </c>
      <c r="Z1038" s="39" t="n">
        <f aca="false">J1038*Resumo!$B$7</f>
        <v>1.97198</v>
      </c>
      <c r="AA1038" s="39" t="n">
        <f aca="false">Resumo!$B$9</f>
        <v>1</v>
      </c>
      <c r="AB1038" s="39" t="n">
        <f aca="false">Resumo!$B$10*CEILING(I1038/100,1)</f>
        <v>4.5</v>
      </c>
      <c r="AC1038" s="39" t="n">
        <f aca="false">Resumo!$B$12*CEILING(I1038,1)</f>
        <v>3.78</v>
      </c>
      <c r="AD1038" s="39" t="n">
        <f aca="false">Resumo!$B$14*CEILING(I1038,1)</f>
        <v>28.35</v>
      </c>
      <c r="AE1038" s="39" t="n">
        <f aca="false">SUM(X1038:AD1038)</f>
        <v>171.60797</v>
      </c>
      <c r="AF1038" s="39" t="n">
        <f aca="false">AE1038/(1-Resumo!$B$5)</f>
        <v>195.009056818182</v>
      </c>
      <c r="AG1038" s="39" t="n">
        <f aca="false">AF1038-W1038</f>
        <v>69.6668318181818</v>
      </c>
      <c r="AH1038" s="40" t="n">
        <f aca="false">AF1038/W1038-1</f>
        <v>0.555812949851351</v>
      </c>
      <c r="AI1038" s="37" t="str">
        <f aca="false">IF(AF1038&lt;W1038,"SIM","NÃO")</f>
        <v>NÃO</v>
      </c>
      <c r="AJ1038" s="37" t="n">
        <v>2</v>
      </c>
      <c r="AK1038" s="37" t="n">
        <v>5</v>
      </c>
      <c r="AL1038" s="37" t="s">
        <v>343</v>
      </c>
      <c r="AM1038" s="39" t="n">
        <v>125.93</v>
      </c>
    </row>
    <row r="1039" customFormat="false" ht="15" hidden="false" customHeight="false" outlineLevel="0" collapsed="false">
      <c r="A1039" s="37" t="n">
        <v>376923711</v>
      </c>
      <c r="B1039" s="38" t="n">
        <v>46249.5549537037</v>
      </c>
      <c r="C1039" s="37" t="s">
        <v>345</v>
      </c>
      <c r="D1039" s="37" t="s">
        <v>1331</v>
      </c>
      <c r="E1039" s="37" t="n">
        <v>23025500</v>
      </c>
      <c r="F1039" s="37" t="s">
        <v>159</v>
      </c>
      <c r="G1039" s="37" t="s">
        <v>196</v>
      </c>
      <c r="H1039" s="37" t="s">
        <v>186</v>
      </c>
      <c r="I1039" s="37" t="n">
        <v>48.6</v>
      </c>
      <c r="J1039" s="39" t="n">
        <v>604.3</v>
      </c>
      <c r="K1039" s="37" t="s">
        <v>518</v>
      </c>
      <c r="L1039" s="39" t="n">
        <v>105.39</v>
      </c>
      <c r="M1039" s="39" t="n">
        <v>53.55</v>
      </c>
      <c r="N1039" s="39" t="n">
        <f aca="false">J1039*Resumo!$C$6</f>
        <v>0</v>
      </c>
      <c r="O1039" s="39" t="n">
        <f aca="false">J1039*Resumo!$C$7</f>
        <v>1.26903</v>
      </c>
      <c r="P1039" s="39" t="n">
        <f aca="false">J1039*Resumo!$C$8</f>
        <v>1.26903</v>
      </c>
      <c r="Q1039" s="39" t="n">
        <f aca="false">Resumo!$C$10*CEILING(I1039/100,1)</f>
        <v>1.05</v>
      </c>
      <c r="R1039" s="39" t="n">
        <f aca="false">Resumo!$C$9</f>
        <v>0</v>
      </c>
      <c r="S1039" s="39" t="n">
        <f aca="false">Resumo!$C$13</f>
        <v>13.55</v>
      </c>
      <c r="T1039" s="39" t="n">
        <f aca="false">Resumo!$C$14*CEILING(I1039,1)</f>
        <v>22.05</v>
      </c>
      <c r="U1039" s="39" t="n">
        <f aca="false">SUM(M1039:T1039)*Resumo!$C$11</f>
        <v>0</v>
      </c>
      <c r="V1039" s="39" t="n">
        <f aca="false">SUM(M1039:U1039)</f>
        <v>92.73806</v>
      </c>
      <c r="W1039" s="39" t="n">
        <f aca="false">V1039/(1-Resumo!$C$5)</f>
        <v>105.384159090909</v>
      </c>
      <c r="X1039" s="39" t="n">
        <v>93.97</v>
      </c>
      <c r="Y1039" s="39" t="n">
        <f aca="false">J1039*Resumo!$B$6</f>
        <v>0.6043</v>
      </c>
      <c r="Z1039" s="39" t="n">
        <f aca="false">J1039*Resumo!$B$7</f>
        <v>1.2086</v>
      </c>
      <c r="AA1039" s="39" t="n">
        <f aca="false">Resumo!$B$9</f>
        <v>1</v>
      </c>
      <c r="AB1039" s="39" t="n">
        <f aca="false">Resumo!$B$10*CEILING(I1039/100,1)</f>
        <v>4.5</v>
      </c>
      <c r="AC1039" s="39" t="n">
        <f aca="false">Resumo!$B$12*CEILING(I1039,1)</f>
        <v>2.94</v>
      </c>
      <c r="AD1039" s="39" t="n">
        <f aca="false">Resumo!$B$14*CEILING(I1039,1)</f>
        <v>22.05</v>
      </c>
      <c r="AE1039" s="39" t="n">
        <f aca="false">SUM(X1039:AD1039)</f>
        <v>126.2729</v>
      </c>
      <c r="AF1039" s="39" t="n">
        <f aca="false">AE1039/(1-Resumo!$B$5)</f>
        <v>143.491931818182</v>
      </c>
      <c r="AG1039" s="39" t="n">
        <f aca="false">AF1039-W1039</f>
        <v>38.1077727272727</v>
      </c>
      <c r="AH1039" s="40" t="n">
        <f aca="false">AF1039/W1039-1</f>
        <v>0.361608168210549</v>
      </c>
      <c r="AI1039" s="37" t="str">
        <f aca="false">IF(AF1039&lt;W1039,"SIM","NÃO")</f>
        <v>NÃO</v>
      </c>
      <c r="AJ1039" s="37" t="n">
        <v>2</v>
      </c>
      <c r="AK1039" s="37" t="n">
        <v>5</v>
      </c>
      <c r="AL1039" s="37" t="s">
        <v>343</v>
      </c>
      <c r="AM1039" s="39" t="n">
        <v>103.48</v>
      </c>
    </row>
    <row r="1040" customFormat="false" ht="15" hidden="false" customHeight="false" outlineLevel="0" collapsed="false">
      <c r="A1040" s="37" t="n">
        <v>376930366</v>
      </c>
      <c r="B1040" s="38" t="n">
        <v>46249.5652430556</v>
      </c>
      <c r="C1040" s="37" t="s">
        <v>340</v>
      </c>
      <c r="D1040" s="37" t="s">
        <v>1332</v>
      </c>
      <c r="E1040" s="37" t="n">
        <v>23040580</v>
      </c>
      <c r="F1040" s="37" t="s">
        <v>159</v>
      </c>
      <c r="G1040" s="37" t="s">
        <v>196</v>
      </c>
      <c r="H1040" s="37" t="s">
        <v>184</v>
      </c>
      <c r="I1040" s="37" t="n">
        <v>27.6</v>
      </c>
      <c r="J1040" s="39" t="n">
        <v>537.45</v>
      </c>
      <c r="K1040" s="37" t="s">
        <v>518</v>
      </c>
      <c r="L1040" s="39" t="n">
        <v>81.33</v>
      </c>
      <c r="M1040" s="39" t="n">
        <v>42.11</v>
      </c>
      <c r="N1040" s="39" t="n">
        <f aca="false">J1040*Resumo!$C$6</f>
        <v>0</v>
      </c>
      <c r="O1040" s="39" t="n">
        <f aca="false">J1040*Resumo!$C$7</f>
        <v>1.128645</v>
      </c>
      <c r="P1040" s="39" t="n">
        <f aca="false">J1040*Resumo!$C$8</f>
        <v>1.128645</v>
      </c>
      <c r="Q1040" s="39" t="n">
        <f aca="false">Resumo!$C$10*CEILING(I1040/100,1)</f>
        <v>1.05</v>
      </c>
      <c r="R1040" s="39" t="n">
        <f aca="false">Resumo!$C$9</f>
        <v>0</v>
      </c>
      <c r="S1040" s="39" t="n">
        <f aca="false">Resumo!$C$13</f>
        <v>13.55</v>
      </c>
      <c r="T1040" s="39" t="n">
        <f aca="false">Resumo!$C$14*CEILING(I1040,1)</f>
        <v>12.6</v>
      </c>
      <c r="U1040" s="39" t="n">
        <f aca="false">SUM(M1040:T1040)*Resumo!$C$11</f>
        <v>0</v>
      </c>
      <c r="V1040" s="39" t="n">
        <f aca="false">SUM(M1040:U1040)</f>
        <v>71.56729</v>
      </c>
      <c r="W1040" s="39" t="n">
        <f aca="false">V1040/(1-Resumo!$C$5)</f>
        <v>81.3264659090909</v>
      </c>
      <c r="X1040" s="39" t="n">
        <v>82.21</v>
      </c>
      <c r="Y1040" s="39" t="n">
        <f aca="false">J1040*Resumo!$B$6</f>
        <v>0.53745</v>
      </c>
      <c r="Z1040" s="39" t="n">
        <f aca="false">J1040*Resumo!$B$7</f>
        <v>1.0749</v>
      </c>
      <c r="AA1040" s="39" t="n">
        <f aca="false">Resumo!$B$9</f>
        <v>1</v>
      </c>
      <c r="AB1040" s="39" t="n">
        <f aca="false">Resumo!$B$10*CEILING(I1040/100,1)</f>
        <v>4.5</v>
      </c>
      <c r="AC1040" s="39" t="n">
        <f aca="false">Resumo!$B$12*CEILING(I1040,1)</f>
        <v>1.68</v>
      </c>
      <c r="AD1040" s="39" t="n">
        <f aca="false">Resumo!$B$14*CEILING(I1040,1)</f>
        <v>12.6</v>
      </c>
      <c r="AE1040" s="39" t="n">
        <f aca="false">SUM(X1040:AD1040)</f>
        <v>103.60235</v>
      </c>
      <c r="AF1040" s="39" t="n">
        <f aca="false">AE1040/(1-Resumo!$B$5)</f>
        <v>117.729943181818</v>
      </c>
      <c r="AG1040" s="39" t="n">
        <f aca="false">AF1040-W1040</f>
        <v>36.4034772727273</v>
      </c>
      <c r="AH1040" s="40" t="n">
        <f aca="false">AF1040/W1040-1</f>
        <v>0.447621532127317</v>
      </c>
      <c r="AI1040" s="37" t="str">
        <f aca="false">IF(AF1040&lt;W1040,"SIM","NÃO")</f>
        <v>NÃO</v>
      </c>
      <c r="AJ1040" s="37" t="n">
        <v>2</v>
      </c>
      <c r="AK1040" s="37" t="n">
        <v>5</v>
      </c>
      <c r="AL1040" s="37" t="s">
        <v>343</v>
      </c>
      <c r="AM1040" s="39" t="n">
        <v>82.9</v>
      </c>
    </row>
    <row r="1041" customFormat="false" ht="15" hidden="false" customHeight="false" outlineLevel="0" collapsed="false">
      <c r="A1041" s="37" t="n">
        <v>376934017</v>
      </c>
      <c r="B1041" s="38" t="n">
        <v>46249.5696296296</v>
      </c>
      <c r="C1041" s="37" t="s">
        <v>345</v>
      </c>
      <c r="D1041" s="37" t="s">
        <v>1333</v>
      </c>
      <c r="E1041" s="37" t="n">
        <v>24020240</v>
      </c>
      <c r="F1041" s="37" t="s">
        <v>163</v>
      </c>
      <c r="G1041" s="37" t="s">
        <v>197</v>
      </c>
      <c r="H1041" s="37" t="s">
        <v>188</v>
      </c>
      <c r="I1041" s="37" t="n">
        <v>69.15</v>
      </c>
      <c r="J1041" s="39" t="n">
        <v>707</v>
      </c>
      <c r="K1041" s="37" t="s">
        <v>342</v>
      </c>
      <c r="L1041" s="39" t="n">
        <v>139.81</v>
      </c>
      <c r="M1041" s="39" t="n">
        <v>76.55</v>
      </c>
      <c r="N1041" s="39" t="n">
        <f aca="false">J1041*Resumo!$C$6</f>
        <v>0</v>
      </c>
      <c r="O1041" s="39" t="n">
        <f aca="false">J1041*Resumo!$C$7</f>
        <v>1.4847</v>
      </c>
      <c r="P1041" s="39" t="n">
        <f aca="false">J1041*Resumo!$C$8</f>
        <v>1.4847</v>
      </c>
      <c r="Q1041" s="39" t="n">
        <f aca="false">Resumo!$C$10*CEILING(I1041/100,1)</f>
        <v>1.05</v>
      </c>
      <c r="R1041" s="39" t="n">
        <f aca="false">Resumo!$C$9</f>
        <v>0</v>
      </c>
      <c r="S1041" s="39" t="n">
        <f aca="false">Resumo!$C$13</f>
        <v>13.55</v>
      </c>
      <c r="T1041" s="39" t="n">
        <f aca="false">Resumo!$C$14*CEILING(I1041,1)</f>
        <v>31.5</v>
      </c>
      <c r="U1041" s="39" t="n">
        <f aca="false">SUM(M1041:T1041)*Resumo!$C$11</f>
        <v>0</v>
      </c>
      <c r="V1041" s="39" t="n">
        <f aca="false">SUM(M1041:U1041)</f>
        <v>125.6194</v>
      </c>
      <c r="W1041" s="39" t="n">
        <f aca="false">V1041/(1-Resumo!$C$5)</f>
        <v>142.749318181818</v>
      </c>
      <c r="X1041" s="39" t="n">
        <v>149.5</v>
      </c>
      <c r="Y1041" s="39" t="n">
        <f aca="false">J1041*Resumo!$B$6</f>
        <v>0.707</v>
      </c>
      <c r="Z1041" s="39" t="n">
        <f aca="false">J1041*Resumo!$B$7</f>
        <v>1.414</v>
      </c>
      <c r="AA1041" s="39" t="n">
        <f aca="false">Resumo!$B$9</f>
        <v>1</v>
      </c>
      <c r="AB1041" s="39" t="n">
        <f aca="false">Resumo!$B$10*CEILING(I1041/100,1)</f>
        <v>4.5</v>
      </c>
      <c r="AC1041" s="39" t="n">
        <f aca="false">Resumo!$B$12*CEILING(I1041,1)</f>
        <v>4.2</v>
      </c>
      <c r="AD1041" s="39" t="n">
        <f aca="false">Resumo!$B$14*CEILING(I1041,1)</f>
        <v>31.5</v>
      </c>
      <c r="AE1041" s="39" t="n">
        <f aca="false">SUM(X1041:AD1041)</f>
        <v>192.821</v>
      </c>
      <c r="AF1041" s="39" t="n">
        <f aca="false">AE1041/(1-Resumo!$B$5)</f>
        <v>219.114772727273</v>
      </c>
      <c r="AG1041" s="39" t="n">
        <f aca="false">AF1041-W1041</f>
        <v>76.3654545454546</v>
      </c>
      <c r="AH1041" s="40" t="n">
        <f aca="false">AF1041/W1041-1</f>
        <v>0.534961956513086</v>
      </c>
      <c r="AI1041" s="37" t="str">
        <f aca="false">IF(AF1041&lt;W1041,"SIM","NÃO")</f>
        <v>NÃO</v>
      </c>
      <c r="AJ1041" s="37" t="n">
        <v>2</v>
      </c>
      <c r="AK1041" s="37" t="n">
        <v>7</v>
      </c>
      <c r="AL1041" s="37" t="s">
        <v>343</v>
      </c>
      <c r="AM1041" s="39" t="n">
        <v>139.82</v>
      </c>
    </row>
    <row r="1042" customFormat="false" ht="15" hidden="false" customHeight="false" outlineLevel="0" collapsed="false">
      <c r="A1042" s="37" t="n">
        <v>376952978</v>
      </c>
      <c r="B1042" s="38" t="n">
        <v>46249.6006134259</v>
      </c>
      <c r="C1042" s="37" t="s">
        <v>345</v>
      </c>
      <c r="D1042" s="37" t="s">
        <v>1334</v>
      </c>
      <c r="E1042" s="37" t="n">
        <v>26112100</v>
      </c>
      <c r="F1042" s="37" t="s">
        <v>165</v>
      </c>
      <c r="G1042" s="37" t="s">
        <v>197</v>
      </c>
      <c r="H1042" s="37" t="s">
        <v>187</v>
      </c>
      <c r="I1042" s="37" t="n">
        <v>51.06</v>
      </c>
      <c r="J1042" s="39" t="n">
        <v>659.55</v>
      </c>
      <c r="K1042" s="37" t="s">
        <v>518</v>
      </c>
      <c r="L1042" s="39" t="n">
        <v>127</v>
      </c>
      <c r="M1042" s="39" t="n">
        <v>70.98</v>
      </c>
      <c r="N1042" s="39" t="n">
        <f aca="false">J1042*Resumo!$C$6</f>
        <v>0</v>
      </c>
      <c r="O1042" s="39" t="n">
        <f aca="false">J1042*Resumo!$C$7</f>
        <v>1.385055</v>
      </c>
      <c r="P1042" s="39" t="n">
        <f aca="false">J1042*Resumo!$C$8</f>
        <v>1.385055</v>
      </c>
      <c r="Q1042" s="39" t="n">
        <f aca="false">Resumo!$C$10*CEILING(I1042/100,1)</f>
        <v>1.05</v>
      </c>
      <c r="R1042" s="39" t="n">
        <f aca="false">Resumo!$C$9</f>
        <v>0</v>
      </c>
      <c r="S1042" s="39" t="n">
        <f aca="false">Resumo!$C$13</f>
        <v>13.55</v>
      </c>
      <c r="T1042" s="39" t="n">
        <f aca="false">Resumo!$C$14*CEILING(I1042,1)</f>
        <v>23.4</v>
      </c>
      <c r="U1042" s="39" t="n">
        <f aca="false">SUM(M1042:T1042)*Resumo!$C$11</f>
        <v>0</v>
      </c>
      <c r="V1042" s="39" t="n">
        <f aca="false">SUM(M1042:U1042)</f>
        <v>111.75011</v>
      </c>
      <c r="W1042" s="39" t="n">
        <f aca="false">V1042/(1-Resumo!$C$5)</f>
        <v>126.988761363636</v>
      </c>
      <c r="X1042" s="39" t="n">
        <v>112.3</v>
      </c>
      <c r="Y1042" s="39" t="n">
        <f aca="false">J1042*Resumo!$B$6</f>
        <v>0.65955</v>
      </c>
      <c r="Z1042" s="39" t="n">
        <f aca="false">J1042*Resumo!$B$7</f>
        <v>1.3191</v>
      </c>
      <c r="AA1042" s="39" t="n">
        <f aca="false">Resumo!$B$9</f>
        <v>1</v>
      </c>
      <c r="AB1042" s="39" t="n">
        <f aca="false">Resumo!$B$10*CEILING(I1042/100,1)</f>
        <v>4.5</v>
      </c>
      <c r="AC1042" s="39" t="n">
        <f aca="false">Resumo!$B$12*CEILING(I1042,1)</f>
        <v>3.12</v>
      </c>
      <c r="AD1042" s="39" t="n">
        <f aca="false">Resumo!$B$14*CEILING(I1042,1)</f>
        <v>23.4</v>
      </c>
      <c r="AE1042" s="39" t="n">
        <f aca="false">SUM(X1042:AD1042)</f>
        <v>146.29865</v>
      </c>
      <c r="AF1042" s="39" t="n">
        <f aca="false">AE1042/(1-Resumo!$B$5)</f>
        <v>166.248465909091</v>
      </c>
      <c r="AG1042" s="39" t="n">
        <f aca="false">AF1042-W1042</f>
        <v>39.2597045454546</v>
      </c>
      <c r="AH1042" s="40" t="n">
        <f aca="false">AF1042/W1042-1</f>
        <v>0.309158890313397</v>
      </c>
      <c r="AI1042" s="37" t="str">
        <f aca="false">IF(AF1042&lt;W1042,"SIM","NÃO")</f>
        <v>NÃO</v>
      </c>
      <c r="AJ1042" s="37" t="n">
        <v>2</v>
      </c>
      <c r="AK1042" s="37" t="n">
        <v>5</v>
      </c>
      <c r="AL1042" s="37" t="s">
        <v>343</v>
      </c>
      <c r="AM1042" s="39" t="n">
        <v>128.44</v>
      </c>
    </row>
    <row r="1043" customFormat="false" ht="15" hidden="false" customHeight="false" outlineLevel="0" collapsed="false">
      <c r="A1043" s="37" t="n">
        <v>376955060</v>
      </c>
      <c r="B1043" s="38" t="n">
        <v>46249.603900463</v>
      </c>
      <c r="C1043" s="37" t="s">
        <v>340</v>
      </c>
      <c r="D1043" s="37" t="s">
        <v>1335</v>
      </c>
      <c r="E1043" s="37" t="n">
        <v>23560050</v>
      </c>
      <c r="F1043" s="37" t="s">
        <v>159</v>
      </c>
      <c r="G1043" s="37" t="s">
        <v>196</v>
      </c>
      <c r="H1043" s="37" t="s">
        <v>184</v>
      </c>
      <c r="I1043" s="37" t="n">
        <v>22.9</v>
      </c>
      <c r="J1043" s="39" t="n">
        <v>369.99</v>
      </c>
      <c r="K1043" s="37" t="s">
        <v>518</v>
      </c>
      <c r="L1043" s="39" t="n">
        <v>77.98</v>
      </c>
      <c r="M1043" s="39" t="n">
        <v>42.11</v>
      </c>
      <c r="N1043" s="39" t="n">
        <f aca="false">J1043*Resumo!$C$6</f>
        <v>0</v>
      </c>
      <c r="O1043" s="39" t="n">
        <f aca="false">J1043*Resumo!$C$7</f>
        <v>0.776979</v>
      </c>
      <c r="P1043" s="39" t="n">
        <f aca="false">J1043*Resumo!$C$8</f>
        <v>0.776979</v>
      </c>
      <c r="Q1043" s="39" t="n">
        <f aca="false">Resumo!$C$10*CEILING(I1043/100,1)</f>
        <v>1.05</v>
      </c>
      <c r="R1043" s="39" t="n">
        <f aca="false">Resumo!$C$9</f>
        <v>0</v>
      </c>
      <c r="S1043" s="39" t="n">
        <f aca="false">Resumo!$C$13</f>
        <v>13.55</v>
      </c>
      <c r="T1043" s="39" t="n">
        <f aca="false">Resumo!$C$14*CEILING(I1043,1)</f>
        <v>10.35</v>
      </c>
      <c r="U1043" s="39" t="n">
        <f aca="false">SUM(M1043:T1043)*Resumo!$C$11</f>
        <v>0</v>
      </c>
      <c r="V1043" s="39" t="n">
        <f aca="false">SUM(M1043:U1043)</f>
        <v>68.613958</v>
      </c>
      <c r="W1043" s="39" t="n">
        <f aca="false">V1043/(1-Resumo!$C$5)</f>
        <v>77.9704068181818</v>
      </c>
      <c r="X1043" s="39" t="n">
        <v>82.21</v>
      </c>
      <c r="Y1043" s="39" t="n">
        <f aca="false">J1043*Resumo!$B$6</f>
        <v>0.36999</v>
      </c>
      <c r="Z1043" s="39" t="n">
        <f aca="false">J1043*Resumo!$B$7</f>
        <v>0.73998</v>
      </c>
      <c r="AA1043" s="39" t="n">
        <f aca="false">Resumo!$B$9</f>
        <v>1</v>
      </c>
      <c r="AB1043" s="39" t="n">
        <f aca="false">Resumo!$B$10*CEILING(I1043/100,1)</f>
        <v>4.5</v>
      </c>
      <c r="AC1043" s="39" t="n">
        <f aca="false">Resumo!$B$12*CEILING(I1043,1)</f>
        <v>1.38</v>
      </c>
      <c r="AD1043" s="39" t="n">
        <f aca="false">Resumo!$B$14*CEILING(I1043,1)</f>
        <v>10.35</v>
      </c>
      <c r="AE1043" s="39" t="n">
        <f aca="false">SUM(X1043:AD1043)</f>
        <v>100.54997</v>
      </c>
      <c r="AF1043" s="39" t="n">
        <f aca="false">AE1043/(1-Resumo!$B$5)</f>
        <v>114.261329545455</v>
      </c>
      <c r="AG1043" s="39" t="n">
        <f aca="false">AF1043-W1043</f>
        <v>36.2909227272727</v>
      </c>
      <c r="AH1043" s="40" t="n">
        <f aca="false">AF1043/W1043-1</f>
        <v>0.465444829753153</v>
      </c>
      <c r="AI1043" s="37" t="str">
        <f aca="false">IF(AF1043&lt;W1043,"SIM","NÃO")</f>
        <v>NÃO</v>
      </c>
      <c r="AJ1043" s="37" t="n">
        <v>2</v>
      </c>
      <c r="AK1043" s="37" t="n">
        <v>5</v>
      </c>
      <c r="AL1043" s="37" t="s">
        <v>343</v>
      </c>
      <c r="AM1043" s="39" t="n">
        <v>82.1</v>
      </c>
    </row>
    <row r="1044" customFormat="false" ht="15" hidden="false" customHeight="false" outlineLevel="0" collapsed="false">
      <c r="A1044" s="37" t="n">
        <v>376960207</v>
      </c>
      <c r="B1044" s="38" t="n">
        <v>46249.611724537</v>
      </c>
      <c r="C1044" s="37" t="s">
        <v>340</v>
      </c>
      <c r="D1044" s="37" t="s">
        <v>1336</v>
      </c>
      <c r="E1044" s="37" t="n">
        <v>25235160</v>
      </c>
      <c r="F1044" s="37" t="s">
        <v>161</v>
      </c>
      <c r="G1044" s="37" t="s">
        <v>197</v>
      </c>
      <c r="H1044" s="37" t="s">
        <v>184</v>
      </c>
      <c r="I1044" s="37" t="n">
        <v>22.4</v>
      </c>
      <c r="J1044" s="39" t="n">
        <v>489.88</v>
      </c>
      <c r="K1044" s="37" t="s">
        <v>342</v>
      </c>
      <c r="L1044" s="39" t="n">
        <v>101.74</v>
      </c>
      <c r="M1044" s="39" t="n">
        <v>58.8</v>
      </c>
      <c r="N1044" s="39" t="n">
        <f aca="false">J1044*Resumo!$C$6</f>
        <v>0</v>
      </c>
      <c r="O1044" s="39" t="n">
        <f aca="false">J1044*Resumo!$C$7</f>
        <v>1.028748</v>
      </c>
      <c r="P1044" s="39" t="n">
        <f aca="false">J1044*Resumo!$C$8</f>
        <v>1.028748</v>
      </c>
      <c r="Q1044" s="39" t="n">
        <f aca="false">Resumo!$C$10*CEILING(I1044/100,1)</f>
        <v>1.05</v>
      </c>
      <c r="R1044" s="39" t="n">
        <f aca="false">Resumo!$C$9</f>
        <v>0</v>
      </c>
      <c r="S1044" s="39" t="n">
        <f aca="false">Resumo!$C$13</f>
        <v>13.55</v>
      </c>
      <c r="T1044" s="39" t="n">
        <f aca="false">Resumo!$C$14*CEILING(I1044,1)</f>
        <v>10.35</v>
      </c>
      <c r="U1044" s="39" t="n">
        <f aca="false">SUM(M1044:T1044)*Resumo!$C$11</f>
        <v>0</v>
      </c>
      <c r="V1044" s="39" t="n">
        <f aca="false">SUM(M1044:U1044)</f>
        <v>85.807496</v>
      </c>
      <c r="W1044" s="39" t="n">
        <f aca="false">V1044/(1-Resumo!$C$5)</f>
        <v>97.5085181818182</v>
      </c>
      <c r="X1044" s="39" t="n">
        <v>82.21</v>
      </c>
      <c r="Y1044" s="39" t="n">
        <f aca="false">J1044*Resumo!$B$6</f>
        <v>0.48988</v>
      </c>
      <c r="Z1044" s="39" t="n">
        <f aca="false">J1044*Resumo!$B$7</f>
        <v>0.97976</v>
      </c>
      <c r="AA1044" s="39" t="n">
        <f aca="false">Resumo!$B$9</f>
        <v>1</v>
      </c>
      <c r="AB1044" s="39" t="n">
        <f aca="false">Resumo!$B$10*CEILING(I1044/100,1)</f>
        <v>4.5</v>
      </c>
      <c r="AC1044" s="39" t="n">
        <f aca="false">Resumo!$B$12*CEILING(I1044,1)</f>
        <v>1.38</v>
      </c>
      <c r="AD1044" s="39" t="n">
        <f aca="false">Resumo!$B$14*CEILING(I1044,1)</f>
        <v>10.35</v>
      </c>
      <c r="AE1044" s="39" t="n">
        <f aca="false">SUM(X1044:AD1044)</f>
        <v>100.90964</v>
      </c>
      <c r="AF1044" s="39" t="n">
        <f aca="false">AE1044/(1-Resumo!$B$5)</f>
        <v>114.670045454545</v>
      </c>
      <c r="AG1044" s="39" t="n">
        <f aca="false">AF1044-W1044</f>
        <v>17.1615272727273</v>
      </c>
      <c r="AH1044" s="40" t="n">
        <f aca="false">AF1044/W1044-1</f>
        <v>0.176000287900255</v>
      </c>
      <c r="AI1044" s="37" t="str">
        <f aca="false">IF(AF1044&lt;W1044,"SIM","NÃO")</f>
        <v>NÃO</v>
      </c>
      <c r="AJ1044" s="37" t="n">
        <v>2</v>
      </c>
      <c r="AK1044" s="37" t="n">
        <v>5</v>
      </c>
      <c r="AL1044" s="37" t="s">
        <v>343</v>
      </c>
      <c r="AM1044" s="39" t="n">
        <v>101.73</v>
      </c>
    </row>
    <row r="1045" customFormat="false" ht="15" hidden="false" customHeight="false" outlineLevel="0" collapsed="false">
      <c r="A1045" s="37" t="n">
        <v>376970170</v>
      </c>
      <c r="B1045" s="38" t="n">
        <v>46249.6269675926</v>
      </c>
      <c r="C1045" s="37" t="s">
        <v>345</v>
      </c>
      <c r="D1045" s="37" t="s">
        <v>1337</v>
      </c>
      <c r="E1045" s="37" t="n">
        <v>24732660</v>
      </c>
      <c r="F1045" s="37" t="s">
        <v>160</v>
      </c>
      <c r="G1045" s="37" t="s">
        <v>197</v>
      </c>
      <c r="H1045" s="37" t="s">
        <v>188</v>
      </c>
      <c r="I1045" s="37" t="n">
        <v>69.15</v>
      </c>
      <c r="J1045" s="39" t="n">
        <v>707</v>
      </c>
      <c r="K1045" s="37" t="s">
        <v>518</v>
      </c>
      <c r="L1045" s="39" t="n">
        <v>142.74</v>
      </c>
      <c r="M1045" s="39" t="n">
        <v>76.55</v>
      </c>
      <c r="N1045" s="39" t="n">
        <f aca="false">J1045*Resumo!$C$6</f>
        <v>0</v>
      </c>
      <c r="O1045" s="39" t="n">
        <f aca="false">J1045*Resumo!$C$7</f>
        <v>1.4847</v>
      </c>
      <c r="P1045" s="39" t="n">
        <f aca="false">J1045*Resumo!$C$8</f>
        <v>1.4847</v>
      </c>
      <c r="Q1045" s="39" t="n">
        <f aca="false">Resumo!$C$10*CEILING(I1045/100,1)</f>
        <v>1.05</v>
      </c>
      <c r="R1045" s="39" t="n">
        <f aca="false">Resumo!$C$9</f>
        <v>0</v>
      </c>
      <c r="S1045" s="39" t="n">
        <f aca="false">Resumo!$C$13</f>
        <v>13.55</v>
      </c>
      <c r="T1045" s="39" t="n">
        <f aca="false">Resumo!$C$14*CEILING(I1045,1)</f>
        <v>31.5</v>
      </c>
      <c r="U1045" s="39" t="n">
        <f aca="false">SUM(M1045:T1045)*Resumo!$C$11</f>
        <v>0</v>
      </c>
      <c r="V1045" s="39" t="n">
        <f aca="false">SUM(M1045:U1045)</f>
        <v>125.6194</v>
      </c>
      <c r="W1045" s="39" t="n">
        <f aca="false">V1045/(1-Resumo!$C$5)</f>
        <v>142.749318181818</v>
      </c>
      <c r="X1045" s="39" t="n">
        <v>149.5</v>
      </c>
      <c r="Y1045" s="39" t="n">
        <f aca="false">J1045*Resumo!$B$6</f>
        <v>0.707</v>
      </c>
      <c r="Z1045" s="39" t="n">
        <f aca="false">J1045*Resumo!$B$7</f>
        <v>1.414</v>
      </c>
      <c r="AA1045" s="39" t="n">
        <f aca="false">Resumo!$B$9</f>
        <v>1</v>
      </c>
      <c r="AB1045" s="39" t="n">
        <f aca="false">Resumo!$B$10*CEILING(I1045/100,1)</f>
        <v>4.5</v>
      </c>
      <c r="AC1045" s="39" t="n">
        <f aca="false">Resumo!$B$12*CEILING(I1045,1)</f>
        <v>4.2</v>
      </c>
      <c r="AD1045" s="39" t="n">
        <f aca="false">Resumo!$B$14*CEILING(I1045,1)</f>
        <v>31.5</v>
      </c>
      <c r="AE1045" s="39" t="n">
        <f aca="false">SUM(X1045:AD1045)</f>
        <v>192.821</v>
      </c>
      <c r="AF1045" s="39" t="n">
        <f aca="false">AE1045/(1-Resumo!$B$5)</f>
        <v>219.114772727273</v>
      </c>
      <c r="AG1045" s="39" t="n">
        <f aca="false">AF1045-W1045</f>
        <v>76.3654545454546</v>
      </c>
      <c r="AH1045" s="40" t="n">
        <f aca="false">AF1045/W1045-1</f>
        <v>0.534961956513086</v>
      </c>
      <c r="AI1045" s="37" t="str">
        <f aca="false">IF(AF1045&lt;W1045,"SIM","NÃO")</f>
        <v>NÃO</v>
      </c>
      <c r="AJ1045" s="37" t="n">
        <v>2</v>
      </c>
      <c r="AK1045" s="37" t="n">
        <v>7</v>
      </c>
      <c r="AL1045" s="37" t="s">
        <v>343</v>
      </c>
      <c r="AM1045" s="39" t="n">
        <v>139.82</v>
      </c>
    </row>
    <row r="1046" customFormat="false" ht="15" hidden="false" customHeight="false" outlineLevel="0" collapsed="false">
      <c r="A1046" s="37" t="n">
        <v>376971310</v>
      </c>
      <c r="B1046" s="38" t="n">
        <v>46249.628912037</v>
      </c>
      <c r="C1046" s="37" t="s">
        <v>340</v>
      </c>
      <c r="D1046" s="37" t="s">
        <v>963</v>
      </c>
      <c r="E1046" s="37" t="n">
        <v>21775410</v>
      </c>
      <c r="F1046" s="37" t="s">
        <v>159</v>
      </c>
      <c r="G1046" s="37" t="s">
        <v>196</v>
      </c>
      <c r="H1046" s="37" t="s">
        <v>185</v>
      </c>
      <c r="I1046" s="37" t="n">
        <v>36.8</v>
      </c>
      <c r="J1046" s="39" t="n">
        <v>439.99</v>
      </c>
      <c r="K1046" s="37" t="s">
        <v>342</v>
      </c>
      <c r="L1046" s="39" t="n">
        <v>91.97</v>
      </c>
      <c r="M1046" s="39" t="n">
        <v>48.35</v>
      </c>
      <c r="N1046" s="39" t="n">
        <f aca="false">J1046*Resumo!$C$6</f>
        <v>0</v>
      </c>
      <c r="O1046" s="39" t="n">
        <f aca="false">J1046*Resumo!$C$7</f>
        <v>0.923979</v>
      </c>
      <c r="P1046" s="39" t="n">
        <f aca="false">J1046*Resumo!$C$8</f>
        <v>0.923979</v>
      </c>
      <c r="Q1046" s="39" t="n">
        <f aca="false">Resumo!$C$10*CEILING(I1046/100,1)</f>
        <v>1.05</v>
      </c>
      <c r="R1046" s="39" t="n">
        <f aca="false">Resumo!$C$9</f>
        <v>0</v>
      </c>
      <c r="S1046" s="39" t="n">
        <f aca="false">Resumo!$C$13</f>
        <v>13.55</v>
      </c>
      <c r="T1046" s="39" t="n">
        <f aca="false">Resumo!$C$14*CEILING(I1046,1)</f>
        <v>16.65</v>
      </c>
      <c r="U1046" s="39" t="n">
        <f aca="false">SUM(M1046:T1046)*Resumo!$C$11</f>
        <v>0</v>
      </c>
      <c r="V1046" s="39" t="n">
        <f aca="false">SUM(M1046:U1046)</f>
        <v>81.447958</v>
      </c>
      <c r="W1046" s="39" t="n">
        <f aca="false">V1046/(1-Resumo!$C$5)</f>
        <v>92.5544977272728</v>
      </c>
      <c r="X1046" s="39" t="n">
        <v>93.97</v>
      </c>
      <c r="Y1046" s="39" t="n">
        <f aca="false">J1046*Resumo!$B$6</f>
        <v>0.43999</v>
      </c>
      <c r="Z1046" s="39" t="n">
        <f aca="false">J1046*Resumo!$B$7</f>
        <v>0.87998</v>
      </c>
      <c r="AA1046" s="39" t="n">
        <f aca="false">Resumo!$B$9</f>
        <v>1</v>
      </c>
      <c r="AB1046" s="39" t="n">
        <f aca="false">Resumo!$B$10*CEILING(I1046/100,1)</f>
        <v>4.5</v>
      </c>
      <c r="AC1046" s="39" t="n">
        <f aca="false">Resumo!$B$12*CEILING(I1046,1)</f>
        <v>2.22</v>
      </c>
      <c r="AD1046" s="39" t="n">
        <f aca="false">Resumo!$B$14*CEILING(I1046,1)</f>
        <v>16.65</v>
      </c>
      <c r="AE1046" s="39" t="n">
        <f aca="false">SUM(X1046:AD1046)</f>
        <v>119.65997</v>
      </c>
      <c r="AF1046" s="39" t="n">
        <f aca="false">AE1046/(1-Resumo!$B$5)</f>
        <v>135.977238636364</v>
      </c>
      <c r="AG1046" s="39" t="n">
        <f aca="false">AF1046-W1046</f>
        <v>43.4227409090909</v>
      </c>
      <c r="AH1046" s="40" t="n">
        <f aca="false">AF1046/W1046-1</f>
        <v>0.469158625192297</v>
      </c>
      <c r="AI1046" s="37" t="str">
        <f aca="false">IF(AF1046&lt;W1046,"SIM","NÃO")</f>
        <v>NÃO</v>
      </c>
      <c r="AJ1046" s="37" t="n">
        <v>2</v>
      </c>
      <c r="AK1046" s="37" t="n">
        <v>5</v>
      </c>
      <c r="AL1046" s="37" t="s">
        <v>343</v>
      </c>
      <c r="AM1046" s="39" t="n">
        <v>91.96</v>
      </c>
    </row>
    <row r="1047" customFormat="false" ht="15" hidden="false" customHeight="false" outlineLevel="0" collapsed="false">
      <c r="A1047" s="37" t="n">
        <v>376971351</v>
      </c>
      <c r="B1047" s="38" t="n">
        <v>46249.6289814815</v>
      </c>
      <c r="C1047" s="37" t="s">
        <v>340</v>
      </c>
      <c r="D1047" s="37" t="s">
        <v>1338</v>
      </c>
      <c r="E1047" s="37" t="n">
        <v>28899404</v>
      </c>
      <c r="F1047" s="37" t="s">
        <v>178</v>
      </c>
      <c r="G1047" s="37" t="s">
        <v>198</v>
      </c>
      <c r="H1047" s="37" t="s">
        <v>188</v>
      </c>
      <c r="I1047" s="37" t="n">
        <v>63.9</v>
      </c>
      <c r="J1047" s="39" t="n">
        <v>730.98</v>
      </c>
      <c r="K1047" s="37" t="s">
        <v>518</v>
      </c>
      <c r="L1047" s="39" t="n">
        <v>155.32</v>
      </c>
      <c r="M1047" s="39" t="n">
        <v>90.2</v>
      </c>
      <c r="N1047" s="39" t="n">
        <f aca="false">J1047*Resumo!$C$6</f>
        <v>0</v>
      </c>
      <c r="O1047" s="39" t="n">
        <f aca="false">J1047*Resumo!$C$7</f>
        <v>1.535058</v>
      </c>
      <c r="P1047" s="39" t="n">
        <f aca="false">J1047*Resumo!$C$8</f>
        <v>1.535058</v>
      </c>
      <c r="Q1047" s="39" t="n">
        <f aca="false">Resumo!$C$10*CEILING(I1047/100,1)</f>
        <v>1.05</v>
      </c>
      <c r="R1047" s="39" t="n">
        <f aca="false">Resumo!$C$9</f>
        <v>0</v>
      </c>
      <c r="S1047" s="39" t="n">
        <f aca="false">Resumo!$C$13</f>
        <v>13.55</v>
      </c>
      <c r="T1047" s="39" t="n">
        <f aca="false">Resumo!$C$14*CEILING(I1047,1)</f>
        <v>28.8</v>
      </c>
      <c r="U1047" s="39" t="n">
        <f aca="false">SUM(M1047:T1047)*Resumo!$C$11</f>
        <v>0</v>
      </c>
      <c r="V1047" s="39" t="n">
        <f aca="false">SUM(M1047:U1047)</f>
        <v>136.670116</v>
      </c>
      <c r="W1047" s="39" t="n">
        <f aca="false">V1047/(1-Resumo!$C$5)</f>
        <v>155.30695</v>
      </c>
      <c r="X1047" s="39" t="n">
        <v>166.05</v>
      </c>
      <c r="Y1047" s="39" t="n">
        <f aca="false">J1047*Resumo!$B$6</f>
        <v>0.73098</v>
      </c>
      <c r="Z1047" s="39" t="n">
        <f aca="false">J1047*Resumo!$B$7</f>
        <v>1.46196</v>
      </c>
      <c r="AA1047" s="39" t="n">
        <f aca="false">Resumo!$B$9</f>
        <v>1</v>
      </c>
      <c r="AB1047" s="39" t="n">
        <f aca="false">Resumo!$B$10*CEILING(I1047/100,1)</f>
        <v>4.5</v>
      </c>
      <c r="AC1047" s="39" t="n">
        <f aca="false">Resumo!$B$12*CEILING(I1047,1)</f>
        <v>3.84</v>
      </c>
      <c r="AD1047" s="39" t="n">
        <f aca="false">Resumo!$B$14*CEILING(I1047,1)</f>
        <v>28.8</v>
      </c>
      <c r="AE1047" s="39" t="n">
        <f aca="false">SUM(X1047:AD1047)</f>
        <v>206.38294</v>
      </c>
      <c r="AF1047" s="39" t="n">
        <f aca="false">AE1047/(1-Resumo!$B$5)</f>
        <v>234.526068181818</v>
      </c>
      <c r="AG1047" s="39" t="n">
        <f aca="false">AF1047-W1047</f>
        <v>79.2191181818182</v>
      </c>
      <c r="AH1047" s="40" t="n">
        <f aca="false">AF1047/W1047-1</f>
        <v>0.510080960200546</v>
      </c>
      <c r="AI1047" s="37" t="str">
        <f aca="false">IF(AF1047&lt;W1047,"SIM","NÃO")</f>
        <v>NÃO</v>
      </c>
      <c r="AJ1047" s="37" t="n">
        <v>13</v>
      </c>
      <c r="AK1047" s="37" t="n">
        <v>10</v>
      </c>
      <c r="AL1047" s="37" t="s">
        <v>343</v>
      </c>
      <c r="AM1047" s="39" t="n">
        <v>155.52</v>
      </c>
    </row>
    <row r="1048" customFormat="false" ht="15" hidden="false" customHeight="false" outlineLevel="0" collapsed="false">
      <c r="A1048" s="37" t="n">
        <v>377062391</v>
      </c>
      <c r="B1048" s="38" t="n">
        <v>46249.6528240741</v>
      </c>
      <c r="C1048" s="37" t="s">
        <v>345</v>
      </c>
      <c r="D1048" s="37" t="s">
        <v>1339</v>
      </c>
      <c r="E1048" s="37" t="n">
        <v>27963812</v>
      </c>
      <c r="F1048" s="37" t="s">
        <v>166</v>
      </c>
      <c r="G1048" s="37" t="s">
        <v>198</v>
      </c>
      <c r="H1048" s="37" t="s">
        <v>190</v>
      </c>
      <c r="I1048" s="37" t="n">
        <v>81.7</v>
      </c>
      <c r="J1048" s="39" t="n">
        <v>580</v>
      </c>
      <c r="K1048" s="37" t="s">
        <v>518</v>
      </c>
      <c r="L1048" s="39" t="n">
        <v>185.88</v>
      </c>
      <c r="M1048" s="39" t="n">
        <v>109.63</v>
      </c>
      <c r="N1048" s="39" t="n">
        <f aca="false">J1048*Resumo!$C$6</f>
        <v>0</v>
      </c>
      <c r="O1048" s="39" t="n">
        <f aca="false">J1048*Resumo!$C$7</f>
        <v>1.218</v>
      </c>
      <c r="P1048" s="39" t="n">
        <f aca="false">J1048*Resumo!$C$8</f>
        <v>1.218</v>
      </c>
      <c r="Q1048" s="39" t="n">
        <f aca="false">Resumo!$C$10*CEILING(I1048/100,1)</f>
        <v>1.05</v>
      </c>
      <c r="R1048" s="39" t="n">
        <f aca="false">Resumo!$C$9</f>
        <v>0</v>
      </c>
      <c r="S1048" s="39" t="n">
        <f aca="false">Resumo!$C$13</f>
        <v>13.55</v>
      </c>
      <c r="T1048" s="39" t="n">
        <f aca="false">Resumo!$C$14*CEILING(I1048,1)</f>
        <v>36.9</v>
      </c>
      <c r="U1048" s="39" t="n">
        <f aca="false">SUM(M1048:T1048)*Resumo!$C$11</f>
        <v>0</v>
      </c>
      <c r="V1048" s="39" t="n">
        <f aca="false">SUM(M1048:U1048)</f>
        <v>163.566</v>
      </c>
      <c r="W1048" s="39" t="n">
        <f aca="false">V1048/(1-Resumo!$C$5)</f>
        <v>185.870454545455</v>
      </c>
      <c r="X1048" s="39" t="n">
        <v>200.04</v>
      </c>
      <c r="Y1048" s="39" t="n">
        <f aca="false">J1048*Resumo!$B$6</f>
        <v>0.58</v>
      </c>
      <c r="Z1048" s="39" t="n">
        <f aca="false">J1048*Resumo!$B$7</f>
        <v>1.16</v>
      </c>
      <c r="AA1048" s="39" t="n">
        <f aca="false">Resumo!$B$9</f>
        <v>1</v>
      </c>
      <c r="AB1048" s="39" t="n">
        <f aca="false">Resumo!$B$10*CEILING(I1048/100,1)</f>
        <v>4.5</v>
      </c>
      <c r="AC1048" s="39" t="n">
        <f aca="false">Resumo!$B$12*CEILING(I1048,1)</f>
        <v>4.92</v>
      </c>
      <c r="AD1048" s="39" t="n">
        <f aca="false">Resumo!$B$14*CEILING(I1048,1)</f>
        <v>36.9</v>
      </c>
      <c r="AE1048" s="39" t="n">
        <f aca="false">SUM(X1048:AD1048)</f>
        <v>249.1</v>
      </c>
      <c r="AF1048" s="39" t="n">
        <f aca="false">AE1048/(1-Resumo!$B$5)</f>
        <v>283.068181818182</v>
      </c>
      <c r="AG1048" s="39" t="n">
        <f aca="false">AF1048-W1048</f>
        <v>97.1977272727273</v>
      </c>
      <c r="AH1048" s="40" t="n">
        <f aca="false">AF1048/W1048-1</f>
        <v>0.522932638812467</v>
      </c>
      <c r="AI1048" s="37" t="str">
        <f aca="false">IF(AF1048&lt;W1048,"SIM","NÃO")</f>
        <v>NÃO</v>
      </c>
      <c r="AJ1048" s="37" t="n">
        <v>13</v>
      </c>
      <c r="AK1048" s="37" t="n">
        <v>11</v>
      </c>
      <c r="AL1048" s="37" t="s">
        <v>343</v>
      </c>
      <c r="AM1048" s="39" t="n">
        <v>191.37</v>
      </c>
    </row>
    <row r="1049" customFormat="false" ht="15" hidden="false" customHeight="false" outlineLevel="0" collapsed="false">
      <c r="A1049" s="37" t="n">
        <v>376987305</v>
      </c>
      <c r="B1049" s="38" t="n">
        <v>46249.6542708333</v>
      </c>
      <c r="C1049" s="37" t="s">
        <v>345</v>
      </c>
      <c r="D1049" s="37" t="s">
        <v>1340</v>
      </c>
      <c r="E1049" s="37" t="n">
        <v>26271090</v>
      </c>
      <c r="F1049" s="37" t="s">
        <v>162</v>
      </c>
      <c r="G1049" s="37" t="s">
        <v>197</v>
      </c>
      <c r="H1049" s="37" t="s">
        <v>188</v>
      </c>
      <c r="I1049" s="37" t="n">
        <v>66.8</v>
      </c>
      <c r="J1049" s="39" t="n">
        <v>578</v>
      </c>
      <c r="K1049" s="37" t="s">
        <v>342</v>
      </c>
      <c r="L1049" s="39" t="n">
        <v>139.22</v>
      </c>
      <c r="M1049" s="39" t="n">
        <v>76.55</v>
      </c>
      <c r="N1049" s="39" t="n">
        <f aca="false">J1049*Resumo!$C$6</f>
        <v>0</v>
      </c>
      <c r="O1049" s="39" t="n">
        <f aca="false">J1049*Resumo!$C$7</f>
        <v>1.2138</v>
      </c>
      <c r="P1049" s="39" t="n">
        <f aca="false">J1049*Resumo!$C$8</f>
        <v>1.2138</v>
      </c>
      <c r="Q1049" s="39" t="n">
        <f aca="false">Resumo!$C$10*CEILING(I1049/100,1)</f>
        <v>1.05</v>
      </c>
      <c r="R1049" s="39" t="n">
        <f aca="false">Resumo!$C$9</f>
        <v>0</v>
      </c>
      <c r="S1049" s="39" t="n">
        <f aca="false">Resumo!$C$13</f>
        <v>13.55</v>
      </c>
      <c r="T1049" s="39" t="n">
        <f aca="false">Resumo!$C$14*CEILING(I1049,1)</f>
        <v>30.15</v>
      </c>
      <c r="U1049" s="39" t="n">
        <f aca="false">SUM(M1049:T1049)*Resumo!$C$11</f>
        <v>0</v>
      </c>
      <c r="V1049" s="39" t="n">
        <f aca="false">SUM(M1049:U1049)</f>
        <v>123.7276</v>
      </c>
      <c r="W1049" s="39" t="n">
        <f aca="false">V1049/(1-Resumo!$C$5)</f>
        <v>140.599545454545</v>
      </c>
      <c r="X1049" s="39" t="n">
        <v>131.02</v>
      </c>
      <c r="Y1049" s="39" t="n">
        <f aca="false">J1049*Resumo!$B$6</f>
        <v>0.578</v>
      </c>
      <c r="Z1049" s="39" t="n">
        <f aca="false">J1049*Resumo!$B$7</f>
        <v>1.156</v>
      </c>
      <c r="AA1049" s="39" t="n">
        <f aca="false">Resumo!$B$9</f>
        <v>1</v>
      </c>
      <c r="AB1049" s="39" t="n">
        <f aca="false">Resumo!$B$10*CEILING(I1049/100,1)</f>
        <v>4.5</v>
      </c>
      <c r="AC1049" s="39" t="n">
        <f aca="false">Resumo!$B$12*CEILING(I1049,1)</f>
        <v>4.02</v>
      </c>
      <c r="AD1049" s="39" t="n">
        <f aca="false">Resumo!$B$14*CEILING(I1049,1)</f>
        <v>30.15</v>
      </c>
      <c r="AE1049" s="39" t="n">
        <f aca="false">SUM(X1049:AD1049)</f>
        <v>172.424</v>
      </c>
      <c r="AF1049" s="39" t="n">
        <f aca="false">AE1049/(1-Resumo!$B$5)</f>
        <v>195.936363636364</v>
      </c>
      <c r="AG1049" s="39" t="n">
        <f aca="false">AF1049-W1049</f>
        <v>55.3368181818182</v>
      </c>
      <c r="AH1049" s="40" t="n">
        <f aca="false">AF1049/W1049-1</f>
        <v>0.39357750413004</v>
      </c>
      <c r="AI1049" s="37" t="str">
        <f aca="false">IF(AF1049&lt;W1049,"SIM","NÃO")</f>
        <v>NÃO</v>
      </c>
      <c r="AJ1049" s="37" t="n">
        <v>2</v>
      </c>
      <c r="AK1049" s="37" t="n">
        <v>5</v>
      </c>
      <c r="AL1049" s="37" t="s">
        <v>343</v>
      </c>
      <c r="AM1049" s="39" t="n">
        <v>139.2</v>
      </c>
    </row>
    <row r="1050" customFormat="false" ht="15" hidden="false" customHeight="false" outlineLevel="0" collapsed="false">
      <c r="A1050" s="37" t="n">
        <v>376987511</v>
      </c>
      <c r="B1050" s="38" t="n">
        <v>46249.6546527778</v>
      </c>
      <c r="C1050" s="37" t="s">
        <v>340</v>
      </c>
      <c r="D1050" s="37" t="s">
        <v>1341</v>
      </c>
      <c r="E1050" s="37" t="n">
        <v>26113660</v>
      </c>
      <c r="F1050" s="37" t="s">
        <v>165</v>
      </c>
      <c r="G1050" s="37" t="s">
        <v>197</v>
      </c>
      <c r="H1050" s="37" t="s">
        <v>185</v>
      </c>
      <c r="I1050" s="37" t="n">
        <v>37.5</v>
      </c>
      <c r="J1050" s="39" t="n">
        <v>429.99</v>
      </c>
      <c r="K1050" s="37" t="s">
        <v>518</v>
      </c>
      <c r="L1050" s="39" t="n">
        <v>114.01</v>
      </c>
      <c r="M1050" s="39" t="n">
        <v>66.83</v>
      </c>
      <c r="N1050" s="39" t="n">
        <f aca="false">J1050*Resumo!$C$6</f>
        <v>0</v>
      </c>
      <c r="O1050" s="39" t="n">
        <f aca="false">J1050*Resumo!$C$7</f>
        <v>0.902979</v>
      </c>
      <c r="P1050" s="39" t="n">
        <f aca="false">J1050*Resumo!$C$8</f>
        <v>0.902979</v>
      </c>
      <c r="Q1050" s="39" t="n">
        <f aca="false">Resumo!$C$10*CEILING(I1050/100,1)</f>
        <v>1.05</v>
      </c>
      <c r="R1050" s="39" t="n">
        <f aca="false">Resumo!$C$9</f>
        <v>0</v>
      </c>
      <c r="S1050" s="39" t="n">
        <f aca="false">Resumo!$C$13</f>
        <v>13.55</v>
      </c>
      <c r="T1050" s="39" t="n">
        <f aca="false">Resumo!$C$14*CEILING(I1050,1)</f>
        <v>17.1</v>
      </c>
      <c r="U1050" s="39" t="n">
        <f aca="false">SUM(M1050:T1050)*Resumo!$C$11</f>
        <v>0</v>
      </c>
      <c r="V1050" s="39" t="n">
        <f aca="false">SUM(M1050:U1050)</f>
        <v>100.335958</v>
      </c>
      <c r="W1050" s="39" t="n">
        <f aca="false">V1050/(1-Resumo!$C$5)</f>
        <v>114.018134090909</v>
      </c>
      <c r="X1050" s="39" t="n">
        <v>93.97</v>
      </c>
      <c r="Y1050" s="39" t="n">
        <f aca="false">J1050*Resumo!$B$6</f>
        <v>0.42999</v>
      </c>
      <c r="Z1050" s="39" t="n">
        <f aca="false">J1050*Resumo!$B$7</f>
        <v>0.85998</v>
      </c>
      <c r="AA1050" s="39" t="n">
        <f aca="false">Resumo!$B$9</f>
        <v>1</v>
      </c>
      <c r="AB1050" s="39" t="n">
        <f aca="false">Resumo!$B$10*CEILING(I1050/100,1)</f>
        <v>4.5</v>
      </c>
      <c r="AC1050" s="39" t="n">
        <f aca="false">Resumo!$B$12*CEILING(I1050,1)</f>
        <v>2.28</v>
      </c>
      <c r="AD1050" s="39" t="n">
        <f aca="false">Resumo!$B$14*CEILING(I1050,1)</f>
        <v>17.1</v>
      </c>
      <c r="AE1050" s="39" t="n">
        <f aca="false">SUM(X1050:AD1050)</f>
        <v>120.13997</v>
      </c>
      <c r="AF1050" s="39" t="n">
        <f aca="false">AE1050/(1-Resumo!$B$5)</f>
        <v>136.522693181818</v>
      </c>
      <c r="AG1050" s="39" t="n">
        <f aca="false">AF1050-W1050</f>
        <v>22.5045590909091</v>
      </c>
      <c r="AH1050" s="40" t="n">
        <f aca="false">AF1050/W1050-1</f>
        <v>0.19737701612417</v>
      </c>
      <c r="AI1050" s="37" t="str">
        <f aca="false">IF(AF1050&lt;W1050,"SIM","NÃO")</f>
        <v>NÃO</v>
      </c>
      <c r="AJ1050" s="37" t="n">
        <v>2</v>
      </c>
      <c r="AK1050" s="37" t="n">
        <v>5</v>
      </c>
      <c r="AL1050" s="37" t="s">
        <v>343</v>
      </c>
      <c r="AM1050" s="39" t="n">
        <v>113.02</v>
      </c>
    </row>
    <row r="1051" customFormat="false" ht="15" hidden="false" customHeight="false" outlineLevel="0" collapsed="false">
      <c r="A1051" s="37" t="n">
        <v>377008033</v>
      </c>
      <c r="B1051" s="38" t="n">
        <v>46249.6877314815</v>
      </c>
      <c r="C1051" s="37" t="s">
        <v>340</v>
      </c>
      <c r="D1051" s="37" t="s">
        <v>1342</v>
      </c>
      <c r="E1051" s="37" t="n">
        <v>22460300</v>
      </c>
      <c r="F1051" s="37" t="s">
        <v>159</v>
      </c>
      <c r="G1051" s="37" t="s">
        <v>196</v>
      </c>
      <c r="H1051" s="37" t="s">
        <v>191</v>
      </c>
      <c r="I1051" s="37" t="n">
        <v>106.5</v>
      </c>
      <c r="J1051" s="39" t="n">
        <v>1132.29</v>
      </c>
      <c r="K1051" s="37" t="s">
        <v>342</v>
      </c>
      <c r="L1051" s="39" t="n">
        <v>185.06</v>
      </c>
      <c r="M1051" s="39" t="n">
        <v>92.34</v>
      </c>
      <c r="N1051" s="39" t="n">
        <f aca="false">J1051*Resumo!$C$6</f>
        <v>0</v>
      </c>
      <c r="O1051" s="39" t="n">
        <f aca="false">J1051*Resumo!$C$7</f>
        <v>2.377809</v>
      </c>
      <c r="P1051" s="39" t="n">
        <f aca="false">J1051*Resumo!$C$8</f>
        <v>2.377809</v>
      </c>
      <c r="Q1051" s="39" t="n">
        <f aca="false">Resumo!$C$10*CEILING(I1051/100,1)</f>
        <v>2.1</v>
      </c>
      <c r="R1051" s="39" t="n">
        <f aca="false">Resumo!$C$9</f>
        <v>0</v>
      </c>
      <c r="S1051" s="39" t="n">
        <f aca="false">Resumo!$C$13</f>
        <v>13.55</v>
      </c>
      <c r="T1051" s="39" t="n">
        <f aca="false">Resumo!$C$14*CEILING(I1051,1)</f>
        <v>48.15</v>
      </c>
      <c r="U1051" s="39" t="n">
        <f aca="false">SUM(M1051:T1051)*Resumo!$C$11</f>
        <v>0</v>
      </c>
      <c r="V1051" s="39" t="n">
        <f aca="false">SUM(M1051:U1051)</f>
        <v>160.895618</v>
      </c>
      <c r="W1051" s="39" t="n">
        <f aca="false">V1051/(1-Resumo!$C$5)</f>
        <v>182.835929545455</v>
      </c>
      <c r="X1051" s="39" t="n">
        <v>201.59</v>
      </c>
      <c r="Y1051" s="39" t="n">
        <f aca="false">J1051*Resumo!$B$6</f>
        <v>1.13229</v>
      </c>
      <c r="Z1051" s="39" t="n">
        <f aca="false">J1051*Resumo!$B$7</f>
        <v>2.26458</v>
      </c>
      <c r="AA1051" s="39" t="n">
        <f aca="false">Resumo!$B$9</f>
        <v>1</v>
      </c>
      <c r="AB1051" s="39" t="n">
        <f aca="false">Resumo!$B$10*CEILING(I1051/100,1)</f>
        <v>9</v>
      </c>
      <c r="AC1051" s="39" t="n">
        <f aca="false">Resumo!$B$12*CEILING(I1051,1)</f>
        <v>6.42</v>
      </c>
      <c r="AD1051" s="39" t="n">
        <f aca="false">Resumo!$B$14*CEILING(I1051,1)</f>
        <v>48.15</v>
      </c>
      <c r="AE1051" s="39" t="n">
        <f aca="false">SUM(X1051:AD1051)</f>
        <v>269.55687</v>
      </c>
      <c r="AF1051" s="39" t="n">
        <f aca="false">AE1051/(1-Resumo!$B$5)</f>
        <v>306.314625</v>
      </c>
      <c r="AG1051" s="39" t="n">
        <f aca="false">AF1051-W1051</f>
        <v>123.478695454545</v>
      </c>
      <c r="AH1051" s="40" t="n">
        <f aca="false">AF1051/W1051-1</f>
        <v>0.675352463607803</v>
      </c>
      <c r="AI1051" s="37" t="str">
        <f aca="false">IF(AF1051&lt;W1051,"SIM","NÃO")</f>
        <v>NÃO</v>
      </c>
      <c r="AJ1051" s="37" t="n">
        <v>2</v>
      </c>
      <c r="AK1051" s="37" t="n">
        <v>5</v>
      </c>
      <c r="AL1051" s="37" t="s">
        <v>343</v>
      </c>
      <c r="AM1051" s="39" t="n">
        <v>185.07</v>
      </c>
    </row>
    <row r="1052" customFormat="false" ht="15" hidden="false" customHeight="false" outlineLevel="0" collapsed="false">
      <c r="A1052" s="37" t="n">
        <v>377009530</v>
      </c>
      <c r="B1052" s="38" t="n">
        <v>46249.6902314815</v>
      </c>
      <c r="C1052" s="37" t="s">
        <v>340</v>
      </c>
      <c r="D1052" s="37" t="s">
        <v>1343</v>
      </c>
      <c r="E1052" s="37" t="n">
        <v>21825183</v>
      </c>
      <c r="F1052" s="37" t="s">
        <v>159</v>
      </c>
      <c r="G1052" s="37" t="s">
        <v>196</v>
      </c>
      <c r="H1052" s="37" t="s">
        <v>188</v>
      </c>
      <c r="I1052" s="37" t="n">
        <v>63.9</v>
      </c>
      <c r="J1052" s="39" t="n">
        <v>730.98</v>
      </c>
      <c r="K1052" s="37" t="s">
        <v>342</v>
      </c>
      <c r="L1052" s="39" t="n">
        <v>124.7</v>
      </c>
      <c r="M1052" s="39" t="n">
        <v>63.21</v>
      </c>
      <c r="N1052" s="39" t="n">
        <f aca="false">J1052*Resumo!$C$6</f>
        <v>0</v>
      </c>
      <c r="O1052" s="39" t="n">
        <f aca="false">J1052*Resumo!$C$7</f>
        <v>1.535058</v>
      </c>
      <c r="P1052" s="39" t="n">
        <f aca="false">J1052*Resumo!$C$8</f>
        <v>1.535058</v>
      </c>
      <c r="Q1052" s="39" t="n">
        <f aca="false">Resumo!$C$10*CEILING(I1052/100,1)</f>
        <v>1.05</v>
      </c>
      <c r="R1052" s="39" t="n">
        <f aca="false">Resumo!$C$9</f>
        <v>0</v>
      </c>
      <c r="S1052" s="39" t="n">
        <f aca="false">Resumo!$C$13</f>
        <v>13.55</v>
      </c>
      <c r="T1052" s="39" t="n">
        <f aca="false">Resumo!$C$14*CEILING(I1052,1)</f>
        <v>28.8</v>
      </c>
      <c r="U1052" s="39" t="n">
        <f aca="false">SUM(M1052:T1052)*Resumo!$C$11</f>
        <v>0</v>
      </c>
      <c r="V1052" s="39" t="n">
        <f aca="false">SUM(M1052:U1052)</f>
        <v>109.680116</v>
      </c>
      <c r="W1052" s="39" t="n">
        <f aca="false">V1052/(1-Resumo!$C$5)</f>
        <v>124.636495454545</v>
      </c>
      <c r="X1052" s="39" t="n">
        <v>131.02</v>
      </c>
      <c r="Y1052" s="39" t="n">
        <f aca="false">J1052*Resumo!$B$6</f>
        <v>0.73098</v>
      </c>
      <c r="Z1052" s="39" t="n">
        <f aca="false">J1052*Resumo!$B$7</f>
        <v>1.46196</v>
      </c>
      <c r="AA1052" s="39" t="n">
        <f aca="false">Resumo!$B$9</f>
        <v>1</v>
      </c>
      <c r="AB1052" s="39" t="n">
        <f aca="false">Resumo!$B$10*CEILING(I1052/100,1)</f>
        <v>4.5</v>
      </c>
      <c r="AC1052" s="39" t="n">
        <f aca="false">Resumo!$B$12*CEILING(I1052,1)</f>
        <v>3.84</v>
      </c>
      <c r="AD1052" s="39" t="n">
        <f aca="false">Resumo!$B$14*CEILING(I1052,1)</f>
        <v>28.8</v>
      </c>
      <c r="AE1052" s="39" t="n">
        <f aca="false">SUM(X1052:AD1052)</f>
        <v>171.35294</v>
      </c>
      <c r="AF1052" s="39" t="n">
        <f aca="false">AE1052/(1-Resumo!$B$5)</f>
        <v>194.71925</v>
      </c>
      <c r="AG1052" s="39" t="n">
        <f aca="false">AF1052-W1052</f>
        <v>70.0827545454546</v>
      </c>
      <c r="AH1052" s="40" t="n">
        <f aca="false">AF1052/W1052-1</f>
        <v>0.562297217118188</v>
      </c>
      <c r="AI1052" s="37" t="str">
        <f aca="false">IF(AF1052&lt;W1052,"SIM","NÃO")</f>
        <v>NÃO</v>
      </c>
      <c r="AJ1052" s="37" t="n">
        <v>2</v>
      </c>
      <c r="AK1052" s="37" t="n">
        <v>5</v>
      </c>
      <c r="AL1052" s="37" t="s">
        <v>343</v>
      </c>
      <c r="AM1052" s="39" t="n">
        <v>124.71</v>
      </c>
    </row>
    <row r="1053" customFormat="false" ht="15" hidden="false" customHeight="false" outlineLevel="0" collapsed="false">
      <c r="A1053" s="37" t="n">
        <v>377017799</v>
      </c>
      <c r="B1053" s="38" t="n">
        <v>46249.7032060185</v>
      </c>
      <c r="C1053" s="37" t="s">
        <v>340</v>
      </c>
      <c r="D1053" s="37" t="s">
        <v>1344</v>
      </c>
      <c r="E1053" s="37" t="n">
        <v>27532328</v>
      </c>
      <c r="F1053" s="37" t="s">
        <v>250</v>
      </c>
      <c r="G1053" s="37" t="s">
        <v>198</v>
      </c>
      <c r="H1053" s="37" t="s">
        <v>187</v>
      </c>
      <c r="I1053" s="37" t="n">
        <v>52.3</v>
      </c>
      <c r="J1053" s="39" t="n">
        <v>699.99</v>
      </c>
      <c r="K1053" s="37" t="s">
        <v>518</v>
      </c>
      <c r="L1053" s="39" t="n">
        <v>142.01</v>
      </c>
      <c r="M1053" s="39" t="n">
        <v>83.58</v>
      </c>
      <c r="N1053" s="39" t="n">
        <f aca="false">J1053*Resumo!$C$6</f>
        <v>0</v>
      </c>
      <c r="O1053" s="39" t="n">
        <f aca="false">J1053*Resumo!$C$7</f>
        <v>1.469979</v>
      </c>
      <c r="P1053" s="39" t="n">
        <f aca="false">J1053*Resumo!$C$8</f>
        <v>1.469979</v>
      </c>
      <c r="Q1053" s="39" t="n">
        <f aca="false">Resumo!$C$10*CEILING(I1053/100,1)</f>
        <v>1.05</v>
      </c>
      <c r="R1053" s="39" t="n">
        <f aca="false">Resumo!$C$9</f>
        <v>0</v>
      </c>
      <c r="S1053" s="39" t="n">
        <f aca="false">Resumo!$C$13</f>
        <v>13.55</v>
      </c>
      <c r="T1053" s="39" t="n">
        <f aca="false">Resumo!$C$14*CEILING(I1053,1)</f>
        <v>23.85</v>
      </c>
      <c r="U1053" s="39" t="n">
        <f aca="false">SUM(M1053:T1053)*Resumo!$C$11</f>
        <v>0</v>
      </c>
      <c r="V1053" s="39" t="n">
        <f aca="false">SUM(M1053:U1053)</f>
        <v>124.969958</v>
      </c>
      <c r="W1053" s="39" t="n">
        <f aca="false">V1053/(1-Resumo!$C$5)</f>
        <v>142.011315909091</v>
      </c>
      <c r="X1053" s="39" t="n">
        <v>142.32</v>
      </c>
      <c r="Y1053" s="39" t="n">
        <f aca="false">J1053*Resumo!$B$6</f>
        <v>0.69999</v>
      </c>
      <c r="Z1053" s="39" t="n">
        <f aca="false">J1053*Resumo!$B$7</f>
        <v>1.39998</v>
      </c>
      <c r="AA1053" s="39" t="n">
        <f aca="false">Resumo!$B$9</f>
        <v>1</v>
      </c>
      <c r="AB1053" s="39" t="n">
        <f aca="false">Resumo!$B$10*CEILING(I1053/100,1)</f>
        <v>4.5</v>
      </c>
      <c r="AC1053" s="39" t="n">
        <f aca="false">Resumo!$B$12*CEILING(I1053,1)</f>
        <v>3.18</v>
      </c>
      <c r="AD1053" s="39" t="n">
        <f aca="false">Resumo!$B$14*CEILING(I1053,1)</f>
        <v>23.85</v>
      </c>
      <c r="AE1053" s="39" t="n">
        <f aca="false">SUM(X1053:AD1053)</f>
        <v>176.94997</v>
      </c>
      <c r="AF1053" s="39" t="n">
        <f aca="false">AE1053/(1-Resumo!$B$5)</f>
        <v>201.079511363636</v>
      </c>
      <c r="AG1053" s="39" t="n">
        <f aca="false">AF1053-W1053</f>
        <v>59.0681954545454</v>
      </c>
      <c r="AH1053" s="40" t="n">
        <f aca="false">AF1053/W1053-1</f>
        <v>0.415940061370589</v>
      </c>
      <c r="AI1053" s="37" t="str">
        <f aca="false">IF(AF1053&lt;W1053,"SIM","NÃO")</f>
        <v>NÃO</v>
      </c>
      <c r="AJ1053" s="37" t="n">
        <v>13</v>
      </c>
      <c r="AK1053" s="37" t="n">
        <v>10</v>
      </c>
      <c r="AL1053" s="37" t="s">
        <v>347</v>
      </c>
      <c r="AM1053" s="39" t="n">
        <v>143.02</v>
      </c>
    </row>
    <row r="1054" customFormat="false" ht="15" hidden="false" customHeight="false" outlineLevel="0" collapsed="false">
      <c r="A1054" s="37" t="n">
        <v>377026555</v>
      </c>
      <c r="B1054" s="38" t="n">
        <v>46249.7165625</v>
      </c>
      <c r="C1054" s="37" t="s">
        <v>340</v>
      </c>
      <c r="D1054" s="37" t="s">
        <v>1345</v>
      </c>
      <c r="E1054" s="37" t="n">
        <v>26160165</v>
      </c>
      <c r="F1054" s="37" t="s">
        <v>165</v>
      </c>
      <c r="G1054" s="37" t="s">
        <v>197</v>
      </c>
      <c r="H1054" s="37" t="s">
        <v>183</v>
      </c>
      <c r="I1054" s="37" t="n">
        <v>19.9</v>
      </c>
      <c r="J1054" s="39" t="n">
        <v>279.99</v>
      </c>
      <c r="K1054" s="37" t="s">
        <v>518</v>
      </c>
      <c r="L1054" s="39" t="n">
        <v>76.7</v>
      </c>
      <c r="M1054" s="39" t="n">
        <v>42.72</v>
      </c>
      <c r="N1054" s="39" t="n">
        <f aca="false">J1054*Resumo!$C$6</f>
        <v>0</v>
      </c>
      <c r="O1054" s="39" t="n">
        <f aca="false">J1054*Resumo!$C$7</f>
        <v>0.587979</v>
      </c>
      <c r="P1054" s="39" t="n">
        <f aca="false">J1054*Resumo!$C$8</f>
        <v>0.587979</v>
      </c>
      <c r="Q1054" s="39" t="n">
        <f aca="false">Resumo!$C$10*CEILING(I1054/100,1)</f>
        <v>1.05</v>
      </c>
      <c r="R1054" s="39" t="n">
        <f aca="false">Resumo!$C$9</f>
        <v>0</v>
      </c>
      <c r="S1054" s="39" t="n">
        <f aca="false">Resumo!$C$13</f>
        <v>13.55</v>
      </c>
      <c r="T1054" s="39" t="n">
        <f aca="false">Resumo!$C$14*CEILING(I1054,1)</f>
        <v>9</v>
      </c>
      <c r="U1054" s="39" t="n">
        <f aca="false">SUM(M1054:T1054)*Resumo!$C$11</f>
        <v>0</v>
      </c>
      <c r="V1054" s="39" t="n">
        <f aca="false">SUM(M1054:U1054)</f>
        <v>67.495958</v>
      </c>
      <c r="W1054" s="39" t="n">
        <f aca="false">V1054/(1-Resumo!$C$5)</f>
        <v>76.6999522727273</v>
      </c>
      <c r="X1054" s="39" t="n">
        <v>46.98</v>
      </c>
      <c r="Y1054" s="39" t="n">
        <f aca="false">J1054*Resumo!$B$6</f>
        <v>0.27999</v>
      </c>
      <c r="Z1054" s="39" t="n">
        <f aca="false">J1054*Resumo!$B$7</f>
        <v>0.55998</v>
      </c>
      <c r="AA1054" s="39" t="n">
        <f aca="false">Resumo!$B$9</f>
        <v>1</v>
      </c>
      <c r="AB1054" s="39" t="n">
        <f aca="false">Resumo!$B$10*CEILING(I1054/100,1)</f>
        <v>4.5</v>
      </c>
      <c r="AC1054" s="39" t="n">
        <f aca="false">Resumo!$B$12*CEILING(I1054,1)</f>
        <v>1.2</v>
      </c>
      <c r="AD1054" s="39" t="n">
        <f aca="false">Resumo!$B$14*CEILING(I1054,1)</f>
        <v>9</v>
      </c>
      <c r="AE1054" s="39" t="n">
        <f aca="false">SUM(X1054:AD1054)</f>
        <v>63.51997</v>
      </c>
      <c r="AF1054" s="39" t="n">
        <f aca="false">AE1054/(1-Resumo!$B$5)</f>
        <v>72.1817840909091</v>
      </c>
      <c r="AG1054" s="39" t="n">
        <f aca="false">AF1054-W1054</f>
        <v>-4.5181681818182</v>
      </c>
      <c r="AH1054" s="40" t="n">
        <f aca="false">AF1054/W1054-1</f>
        <v>-0.0589070533675515</v>
      </c>
      <c r="AI1054" s="37" t="str">
        <f aca="false">IF(AF1054&lt;W1054,"SIM","NÃO")</f>
        <v>SIM</v>
      </c>
      <c r="AJ1054" s="37" t="n">
        <v>2</v>
      </c>
      <c r="AK1054" s="37" t="n">
        <v>5</v>
      </c>
      <c r="AL1054" s="37" t="s">
        <v>343</v>
      </c>
      <c r="AM1054" s="39" t="n">
        <v>75.18</v>
      </c>
    </row>
    <row r="1055" customFormat="false" ht="15" hidden="false" customHeight="false" outlineLevel="0" collapsed="false">
      <c r="A1055" s="37" t="n">
        <v>377031323</v>
      </c>
      <c r="B1055" s="38" t="n">
        <v>46249.7238657407</v>
      </c>
      <c r="C1055" s="37" t="s">
        <v>340</v>
      </c>
      <c r="D1055" s="37" t="s">
        <v>1346</v>
      </c>
      <c r="E1055" s="37" t="n">
        <v>24130307</v>
      </c>
      <c r="F1055" s="37" t="s">
        <v>163</v>
      </c>
      <c r="G1055" s="37" t="s">
        <v>197</v>
      </c>
      <c r="H1055" s="37" t="s">
        <v>186</v>
      </c>
      <c r="I1055" s="37" t="n">
        <v>45</v>
      </c>
      <c r="J1055" s="39" t="n">
        <v>519.29</v>
      </c>
      <c r="K1055" s="37" t="s">
        <v>342</v>
      </c>
      <c r="L1055" s="39" t="n">
        <v>116.57</v>
      </c>
      <c r="M1055" s="39" t="n">
        <v>65.36</v>
      </c>
      <c r="N1055" s="39" t="n">
        <f aca="false">J1055*Resumo!$C$6</f>
        <v>0</v>
      </c>
      <c r="O1055" s="39" t="n">
        <f aca="false">J1055*Resumo!$C$7</f>
        <v>1.090509</v>
      </c>
      <c r="P1055" s="39" t="n">
        <f aca="false">J1055*Resumo!$C$8</f>
        <v>1.090509</v>
      </c>
      <c r="Q1055" s="39" t="n">
        <f aca="false">Resumo!$C$10*CEILING(I1055/100,1)</f>
        <v>1.05</v>
      </c>
      <c r="R1055" s="39" t="n">
        <f aca="false">Resumo!$C$9</f>
        <v>0</v>
      </c>
      <c r="S1055" s="39" t="n">
        <f aca="false">Resumo!$C$13</f>
        <v>13.55</v>
      </c>
      <c r="T1055" s="39" t="n">
        <f aca="false">Resumo!$C$14*CEILING(I1055,1)</f>
        <v>20.25</v>
      </c>
      <c r="U1055" s="39" t="n">
        <f aca="false">SUM(M1055:T1055)*Resumo!$C$11</f>
        <v>0</v>
      </c>
      <c r="V1055" s="39" t="n">
        <f aca="false">SUM(M1055:U1055)</f>
        <v>102.391018</v>
      </c>
      <c r="W1055" s="39" t="n">
        <f aca="false">V1055/(1-Resumo!$C$5)</f>
        <v>116.353429545455</v>
      </c>
      <c r="X1055" s="39" t="n">
        <v>114.95</v>
      </c>
      <c r="Y1055" s="39" t="n">
        <f aca="false">J1055*Resumo!$B$6</f>
        <v>0.51929</v>
      </c>
      <c r="Z1055" s="39" t="n">
        <f aca="false">J1055*Resumo!$B$7</f>
        <v>1.03858</v>
      </c>
      <c r="AA1055" s="39" t="n">
        <f aca="false">Resumo!$B$9</f>
        <v>1</v>
      </c>
      <c r="AB1055" s="39" t="n">
        <f aca="false">Resumo!$B$10*CEILING(I1055/100,1)</f>
        <v>4.5</v>
      </c>
      <c r="AC1055" s="39" t="n">
        <f aca="false">Resumo!$B$12*CEILING(I1055,1)</f>
        <v>2.7</v>
      </c>
      <c r="AD1055" s="39" t="n">
        <f aca="false">Resumo!$B$14*CEILING(I1055,1)</f>
        <v>20.25</v>
      </c>
      <c r="AE1055" s="39" t="n">
        <f aca="false">SUM(X1055:AD1055)</f>
        <v>144.95787</v>
      </c>
      <c r="AF1055" s="39" t="n">
        <f aca="false">AE1055/(1-Resumo!$B$5)</f>
        <v>164.724852272727</v>
      </c>
      <c r="AG1055" s="39" t="n">
        <f aca="false">AF1055-W1055</f>
        <v>48.3714227272727</v>
      </c>
      <c r="AH1055" s="40" t="n">
        <f aca="false">AF1055/W1055-1</f>
        <v>0.41572837961236</v>
      </c>
      <c r="AI1055" s="37" t="str">
        <f aca="false">IF(AF1055&lt;W1055,"SIM","NÃO")</f>
        <v>NÃO</v>
      </c>
      <c r="AJ1055" s="37" t="n">
        <v>2</v>
      </c>
      <c r="AK1055" s="37" t="n">
        <v>7</v>
      </c>
      <c r="AL1055" s="37" t="s">
        <v>343</v>
      </c>
      <c r="AM1055" s="39" t="n">
        <v>116.56</v>
      </c>
    </row>
    <row r="1056" customFormat="false" ht="15" hidden="false" customHeight="false" outlineLevel="0" collapsed="false">
      <c r="A1056" s="37" t="n">
        <v>377032521</v>
      </c>
      <c r="B1056" s="38" t="n">
        <v>46249.7259953704</v>
      </c>
      <c r="C1056" s="37" t="s">
        <v>340</v>
      </c>
      <c r="D1056" s="37" t="s">
        <v>1347</v>
      </c>
      <c r="E1056" s="37" t="n">
        <v>25221424</v>
      </c>
      <c r="F1056" s="37" t="s">
        <v>161</v>
      </c>
      <c r="G1056" s="37" t="s">
        <v>197</v>
      </c>
      <c r="H1056" s="37" t="s">
        <v>186</v>
      </c>
      <c r="I1056" s="37" t="n">
        <v>48</v>
      </c>
      <c r="J1056" s="39" t="n">
        <v>929.99</v>
      </c>
      <c r="K1056" s="37" t="s">
        <v>342</v>
      </c>
      <c r="L1056" s="39" t="n">
        <v>118.53</v>
      </c>
      <c r="M1056" s="39" t="n">
        <v>65.36</v>
      </c>
      <c r="N1056" s="39" t="n">
        <f aca="false">J1056*Resumo!$C$6</f>
        <v>0</v>
      </c>
      <c r="O1056" s="39" t="n">
        <f aca="false">J1056*Resumo!$C$7</f>
        <v>1.952979</v>
      </c>
      <c r="P1056" s="39" t="n">
        <f aca="false">J1056*Resumo!$C$8</f>
        <v>1.952979</v>
      </c>
      <c r="Q1056" s="39" t="n">
        <f aca="false">Resumo!$C$10*CEILING(I1056/100,1)</f>
        <v>1.05</v>
      </c>
      <c r="R1056" s="39" t="n">
        <f aca="false">Resumo!$C$9</f>
        <v>0</v>
      </c>
      <c r="S1056" s="39" t="n">
        <f aca="false">Resumo!$C$13</f>
        <v>13.55</v>
      </c>
      <c r="T1056" s="39" t="n">
        <f aca="false">Resumo!$C$14*CEILING(I1056,1)</f>
        <v>21.6</v>
      </c>
      <c r="U1056" s="39" t="n">
        <f aca="false">SUM(M1056:T1056)*Resumo!$C$11</f>
        <v>0</v>
      </c>
      <c r="V1056" s="39" t="n">
        <f aca="false">SUM(M1056:U1056)</f>
        <v>105.465958</v>
      </c>
      <c r="W1056" s="39" t="n">
        <f aca="false">V1056/(1-Resumo!$C$5)</f>
        <v>119.847679545455</v>
      </c>
      <c r="X1056" s="39" t="n">
        <v>93.97</v>
      </c>
      <c r="Y1056" s="39" t="n">
        <f aca="false">J1056*Resumo!$B$6</f>
        <v>0.92999</v>
      </c>
      <c r="Z1056" s="39" t="n">
        <f aca="false">J1056*Resumo!$B$7</f>
        <v>1.85998</v>
      </c>
      <c r="AA1056" s="39" t="n">
        <f aca="false">Resumo!$B$9</f>
        <v>1</v>
      </c>
      <c r="AB1056" s="39" t="n">
        <f aca="false">Resumo!$B$10*CEILING(I1056/100,1)</f>
        <v>4.5</v>
      </c>
      <c r="AC1056" s="39" t="n">
        <f aca="false">Resumo!$B$12*CEILING(I1056,1)</f>
        <v>2.88</v>
      </c>
      <c r="AD1056" s="39" t="n">
        <f aca="false">Resumo!$B$14*CEILING(I1056,1)</f>
        <v>21.6</v>
      </c>
      <c r="AE1056" s="39" t="n">
        <f aca="false">SUM(X1056:AD1056)</f>
        <v>126.73997</v>
      </c>
      <c r="AF1056" s="39" t="n">
        <f aca="false">AE1056/(1-Resumo!$B$5)</f>
        <v>144.022693181818</v>
      </c>
      <c r="AG1056" s="39" t="n">
        <f aca="false">AF1056-W1056</f>
        <v>24.1750136363636</v>
      </c>
      <c r="AH1056" s="40" t="n">
        <f aca="false">AF1056/W1056-1</f>
        <v>0.201714490660579</v>
      </c>
      <c r="AI1056" s="37" t="str">
        <f aca="false">IF(AF1056&lt;W1056,"SIM","NÃO")</f>
        <v>NÃO</v>
      </c>
      <c r="AJ1056" s="37" t="n">
        <v>2</v>
      </c>
      <c r="AK1056" s="37" t="n">
        <v>5</v>
      </c>
      <c r="AL1056" s="37" t="s">
        <v>343</v>
      </c>
      <c r="AM1056" s="39" t="n">
        <v>118.53</v>
      </c>
    </row>
    <row r="1057" customFormat="false" ht="15" hidden="false" customHeight="false" outlineLevel="0" collapsed="false">
      <c r="A1057" s="37" t="n">
        <v>377035264</v>
      </c>
      <c r="B1057" s="38" t="n">
        <v>46249.7301851852</v>
      </c>
      <c r="C1057" s="37" t="s">
        <v>340</v>
      </c>
      <c r="D1057" s="37" t="s">
        <v>1348</v>
      </c>
      <c r="E1057" s="37" t="n">
        <v>26032830</v>
      </c>
      <c r="F1057" s="37" t="s">
        <v>162</v>
      </c>
      <c r="G1057" s="37" t="s">
        <v>197</v>
      </c>
      <c r="H1057" s="37" t="s">
        <v>185</v>
      </c>
      <c r="I1057" s="37" t="n">
        <v>37.6</v>
      </c>
      <c r="J1057" s="39" t="n">
        <v>419.99</v>
      </c>
      <c r="K1057" s="37" t="s">
        <v>342</v>
      </c>
      <c r="L1057" s="39" t="n">
        <v>112.97</v>
      </c>
      <c r="M1057" s="39" t="n">
        <v>66.83</v>
      </c>
      <c r="N1057" s="39" t="n">
        <f aca="false">J1057*Resumo!$C$6</f>
        <v>0</v>
      </c>
      <c r="O1057" s="39" t="n">
        <f aca="false">J1057*Resumo!$C$7</f>
        <v>0.881979</v>
      </c>
      <c r="P1057" s="39" t="n">
        <f aca="false">J1057*Resumo!$C$8</f>
        <v>0.881979</v>
      </c>
      <c r="Q1057" s="39" t="n">
        <f aca="false">Resumo!$C$10*CEILING(I1057/100,1)</f>
        <v>1.05</v>
      </c>
      <c r="R1057" s="39" t="n">
        <f aca="false">Resumo!$C$9</f>
        <v>0</v>
      </c>
      <c r="S1057" s="39" t="n">
        <f aca="false">Resumo!$C$13</f>
        <v>13.55</v>
      </c>
      <c r="T1057" s="39" t="n">
        <f aca="false">Resumo!$C$14*CEILING(I1057,1)</f>
        <v>17.1</v>
      </c>
      <c r="U1057" s="39" t="n">
        <f aca="false">SUM(M1057:T1057)*Resumo!$C$11</f>
        <v>0</v>
      </c>
      <c r="V1057" s="39" t="n">
        <f aca="false">SUM(M1057:U1057)</f>
        <v>100.293958</v>
      </c>
      <c r="W1057" s="39" t="n">
        <f aca="false">V1057/(1-Resumo!$C$5)</f>
        <v>113.970406818182</v>
      </c>
      <c r="X1057" s="39" t="n">
        <v>93.97</v>
      </c>
      <c r="Y1057" s="39" t="n">
        <f aca="false">J1057*Resumo!$B$6</f>
        <v>0.41999</v>
      </c>
      <c r="Z1057" s="39" t="n">
        <f aca="false">J1057*Resumo!$B$7</f>
        <v>0.83998</v>
      </c>
      <c r="AA1057" s="39" t="n">
        <f aca="false">Resumo!$B$9</f>
        <v>1</v>
      </c>
      <c r="AB1057" s="39" t="n">
        <f aca="false">Resumo!$B$10*CEILING(I1057/100,1)</f>
        <v>4.5</v>
      </c>
      <c r="AC1057" s="39" t="n">
        <f aca="false">Resumo!$B$12*CEILING(I1057,1)</f>
        <v>2.28</v>
      </c>
      <c r="AD1057" s="39" t="n">
        <f aca="false">Resumo!$B$14*CEILING(I1057,1)</f>
        <v>17.1</v>
      </c>
      <c r="AE1057" s="39" t="n">
        <f aca="false">SUM(X1057:AD1057)</f>
        <v>120.10997</v>
      </c>
      <c r="AF1057" s="39" t="n">
        <f aca="false">AE1057/(1-Resumo!$B$5)</f>
        <v>136.488602272727</v>
      </c>
      <c r="AG1057" s="39" t="n">
        <f aca="false">AF1057-W1057</f>
        <v>22.5181954545454</v>
      </c>
      <c r="AH1057" s="40" t="n">
        <f aca="false">AF1057/W1057-1</f>
        <v>0.197579319783152</v>
      </c>
      <c r="AI1057" s="37" t="str">
        <f aca="false">IF(AF1057&lt;W1057,"SIM","NÃO")</f>
        <v>NÃO</v>
      </c>
      <c r="AJ1057" s="37" t="n">
        <v>2</v>
      </c>
      <c r="AK1057" s="37" t="n">
        <v>5</v>
      </c>
      <c r="AL1057" s="37" t="s">
        <v>343</v>
      </c>
      <c r="AM1057" s="39" t="n">
        <v>112.97</v>
      </c>
    </row>
    <row r="1058" customFormat="false" ht="15" hidden="false" customHeight="false" outlineLevel="0" collapsed="false">
      <c r="A1058" s="37" t="n">
        <v>377036030</v>
      </c>
      <c r="B1058" s="38" t="n">
        <v>46249.731412037</v>
      </c>
      <c r="C1058" s="37" t="s">
        <v>340</v>
      </c>
      <c r="D1058" s="37" t="s">
        <v>1349</v>
      </c>
      <c r="E1058" s="37" t="n">
        <v>25540540</v>
      </c>
      <c r="F1058" s="37" t="s">
        <v>167</v>
      </c>
      <c r="G1058" s="37" t="s">
        <v>197</v>
      </c>
      <c r="H1058" s="37" t="s">
        <v>184</v>
      </c>
      <c r="I1058" s="37" t="n">
        <v>20.9</v>
      </c>
      <c r="J1058" s="39" t="n">
        <v>465.69</v>
      </c>
      <c r="K1058" s="37" t="s">
        <v>385</v>
      </c>
      <c r="L1058" s="39" t="n">
        <v>86.81</v>
      </c>
      <c r="M1058" s="39" t="n">
        <v>58.8</v>
      </c>
      <c r="N1058" s="39" t="n">
        <f aca="false">J1058*Resumo!$C$6</f>
        <v>0</v>
      </c>
      <c r="O1058" s="39" t="n">
        <f aca="false">J1058*Resumo!$C$7</f>
        <v>0.977949</v>
      </c>
      <c r="P1058" s="39" t="n">
        <f aca="false">J1058*Resumo!$C$8</f>
        <v>0.977949</v>
      </c>
      <c r="Q1058" s="39" t="n">
        <f aca="false">Resumo!$C$10*CEILING(I1058/100,1)</f>
        <v>1.05</v>
      </c>
      <c r="R1058" s="39" t="n">
        <f aca="false">Resumo!$C$9</f>
        <v>0</v>
      </c>
      <c r="S1058" s="39" t="n">
        <f aca="false">Resumo!$C$13</f>
        <v>13.55</v>
      </c>
      <c r="T1058" s="39" t="n">
        <f aca="false">Resumo!$C$14*CEILING(I1058,1)</f>
        <v>9.45</v>
      </c>
      <c r="U1058" s="39" t="n">
        <f aca="false">SUM(M1058:T1058)*Resumo!$C$11</f>
        <v>0</v>
      </c>
      <c r="V1058" s="39" t="n">
        <f aca="false">SUM(M1058:U1058)</f>
        <v>84.805898</v>
      </c>
      <c r="W1058" s="39" t="n">
        <f aca="false">V1058/(1-Resumo!$C$5)</f>
        <v>96.3703386363636</v>
      </c>
      <c r="X1058" s="39" t="n">
        <v>82.21</v>
      </c>
      <c r="Y1058" s="39" t="n">
        <f aca="false">J1058*Resumo!$B$6</f>
        <v>0.46569</v>
      </c>
      <c r="Z1058" s="39" t="n">
        <f aca="false">J1058*Resumo!$B$7</f>
        <v>0.93138</v>
      </c>
      <c r="AA1058" s="39" t="n">
        <f aca="false">Resumo!$B$9</f>
        <v>1</v>
      </c>
      <c r="AB1058" s="39" t="n">
        <f aca="false">Resumo!$B$10*CEILING(I1058/100,1)</f>
        <v>4.5</v>
      </c>
      <c r="AC1058" s="39" t="n">
        <f aca="false">Resumo!$B$12*CEILING(I1058,1)</f>
        <v>1.26</v>
      </c>
      <c r="AD1058" s="39" t="n">
        <f aca="false">Resumo!$B$14*CEILING(I1058,1)</f>
        <v>9.45</v>
      </c>
      <c r="AE1058" s="39" t="n">
        <f aca="false">SUM(X1058:AD1058)</f>
        <v>99.81707</v>
      </c>
      <c r="AF1058" s="39" t="n">
        <f aca="false">AE1058/(1-Resumo!$B$5)</f>
        <v>113.428488636364</v>
      </c>
      <c r="AG1058" s="39" t="n">
        <f aca="false">AF1058-W1058</f>
        <v>17.05815</v>
      </c>
      <c r="AH1058" s="40" t="n">
        <f aca="false">AF1058/W1058-1</f>
        <v>0.177006226618814</v>
      </c>
      <c r="AI1058" s="37" t="str">
        <f aca="false">IF(AF1058&lt;W1058,"SIM","NÃO")</f>
        <v>NÃO</v>
      </c>
      <c r="AJ1058" s="37" t="n">
        <v>2</v>
      </c>
      <c r="AK1058" s="37" t="n">
        <v>5</v>
      </c>
      <c r="AL1058" s="37" t="s">
        <v>343</v>
      </c>
      <c r="AM1058" s="39" t="n">
        <v>101.62</v>
      </c>
    </row>
    <row r="1059" customFormat="false" ht="15" hidden="false" customHeight="false" outlineLevel="0" collapsed="false">
      <c r="A1059" s="37" t="n">
        <v>377042544</v>
      </c>
      <c r="B1059" s="38" t="n">
        <v>46249.7416319445</v>
      </c>
      <c r="C1059" s="37" t="s">
        <v>345</v>
      </c>
      <c r="D1059" s="37" t="s">
        <v>1350</v>
      </c>
      <c r="E1059" s="37" t="n">
        <v>26553190</v>
      </c>
      <c r="F1059" s="37" t="s">
        <v>175</v>
      </c>
      <c r="G1059" s="37" t="s">
        <v>197</v>
      </c>
      <c r="H1059" s="37" t="s">
        <v>188</v>
      </c>
      <c r="I1059" s="37" t="n">
        <v>66.8</v>
      </c>
      <c r="J1059" s="39" t="n">
        <v>574.1</v>
      </c>
      <c r="K1059" s="37" t="s">
        <v>518</v>
      </c>
      <c r="L1059" s="39" t="n">
        <v>140.59</v>
      </c>
      <c r="M1059" s="39" t="n">
        <v>76.55</v>
      </c>
      <c r="N1059" s="39" t="n">
        <f aca="false">J1059*Resumo!$C$6</f>
        <v>0</v>
      </c>
      <c r="O1059" s="39" t="n">
        <f aca="false">J1059*Resumo!$C$7</f>
        <v>1.20561</v>
      </c>
      <c r="P1059" s="39" t="n">
        <f aca="false">J1059*Resumo!$C$8</f>
        <v>1.20561</v>
      </c>
      <c r="Q1059" s="39" t="n">
        <f aca="false">Resumo!$C$10*CEILING(I1059/100,1)</f>
        <v>1.05</v>
      </c>
      <c r="R1059" s="39" t="n">
        <f aca="false">Resumo!$C$9</f>
        <v>0</v>
      </c>
      <c r="S1059" s="39" t="n">
        <f aca="false">Resumo!$C$13</f>
        <v>13.55</v>
      </c>
      <c r="T1059" s="39" t="n">
        <f aca="false">Resumo!$C$14*CEILING(I1059,1)</f>
        <v>30.15</v>
      </c>
      <c r="U1059" s="39" t="n">
        <f aca="false">SUM(M1059:T1059)*Resumo!$C$11</f>
        <v>0</v>
      </c>
      <c r="V1059" s="39" t="n">
        <f aca="false">SUM(M1059:U1059)</f>
        <v>123.71122</v>
      </c>
      <c r="W1059" s="39" t="n">
        <f aca="false">V1059/(1-Resumo!$C$5)</f>
        <v>140.580931818182</v>
      </c>
      <c r="X1059" s="39" t="n">
        <v>131.02</v>
      </c>
      <c r="Y1059" s="39" t="n">
        <f aca="false">J1059*Resumo!$B$6</f>
        <v>0.5741</v>
      </c>
      <c r="Z1059" s="39" t="n">
        <f aca="false">J1059*Resumo!$B$7</f>
        <v>1.1482</v>
      </c>
      <c r="AA1059" s="39" t="n">
        <f aca="false">Resumo!$B$9</f>
        <v>1</v>
      </c>
      <c r="AB1059" s="39" t="n">
        <f aca="false">Resumo!$B$10*CEILING(I1059/100,1)</f>
        <v>4.5</v>
      </c>
      <c r="AC1059" s="39" t="n">
        <f aca="false">Resumo!$B$12*CEILING(I1059,1)</f>
        <v>4.02</v>
      </c>
      <c r="AD1059" s="39" t="n">
        <f aca="false">Resumo!$B$14*CEILING(I1059,1)</f>
        <v>30.15</v>
      </c>
      <c r="AE1059" s="39" t="n">
        <f aca="false">SUM(X1059:AD1059)</f>
        <v>172.4123</v>
      </c>
      <c r="AF1059" s="39" t="n">
        <f aca="false">AE1059/(1-Resumo!$B$5)</f>
        <v>195.923068181818</v>
      </c>
      <c r="AG1059" s="39" t="n">
        <f aca="false">AF1059-W1059</f>
        <v>55.3421363636364</v>
      </c>
      <c r="AH1059" s="40" t="n">
        <f aca="false">AF1059/W1059-1</f>
        <v>0.393667445846868</v>
      </c>
      <c r="AI1059" s="37" t="str">
        <f aca="false">IF(AF1059&lt;W1059,"SIM","NÃO")</f>
        <v>NÃO</v>
      </c>
      <c r="AJ1059" s="37" t="n">
        <v>2</v>
      </c>
      <c r="AK1059" s="37" t="n">
        <v>5</v>
      </c>
      <c r="AL1059" s="37" t="s">
        <v>343</v>
      </c>
      <c r="AM1059" s="39" t="n">
        <v>139.18</v>
      </c>
    </row>
    <row r="1060" customFormat="false" ht="15" hidden="false" customHeight="false" outlineLevel="0" collapsed="false">
      <c r="A1060" s="37" t="n">
        <v>377036472</v>
      </c>
      <c r="B1060" s="38" t="n">
        <v>46249.7427199074</v>
      </c>
      <c r="C1060" s="37" t="s">
        <v>361</v>
      </c>
      <c r="D1060" s="37" t="s">
        <v>564</v>
      </c>
      <c r="E1060" s="37" t="n">
        <v>22451265</v>
      </c>
      <c r="F1060" s="37" t="s">
        <v>159</v>
      </c>
      <c r="G1060" s="37" t="s">
        <v>196</v>
      </c>
      <c r="H1060" s="37" t="s">
        <v>185</v>
      </c>
      <c r="I1060" s="37" t="n">
        <v>37.2</v>
      </c>
      <c r="J1060" s="39" t="n">
        <v>509.99</v>
      </c>
      <c r="K1060" s="37" t="s">
        <v>518</v>
      </c>
      <c r="L1060" s="39" t="n">
        <v>93.4</v>
      </c>
      <c r="M1060" s="39" t="n">
        <v>48.35</v>
      </c>
      <c r="N1060" s="39" t="n">
        <f aca="false">J1060*Resumo!$C$6</f>
        <v>0</v>
      </c>
      <c r="O1060" s="39" t="n">
        <f aca="false">J1060*Resumo!$C$7</f>
        <v>1.070979</v>
      </c>
      <c r="P1060" s="39" t="n">
        <f aca="false">J1060*Resumo!$C$8</f>
        <v>1.070979</v>
      </c>
      <c r="Q1060" s="39" t="n">
        <f aca="false">Resumo!$C$10*CEILING(I1060/100,1)</f>
        <v>1.05</v>
      </c>
      <c r="R1060" s="39" t="n">
        <f aca="false">Resumo!$C$9</f>
        <v>0</v>
      </c>
      <c r="S1060" s="39" t="n">
        <f aca="false">Resumo!$C$13</f>
        <v>13.55</v>
      </c>
      <c r="T1060" s="39" t="n">
        <f aca="false">Resumo!$C$14*CEILING(I1060,1)</f>
        <v>17.1</v>
      </c>
      <c r="U1060" s="39" t="n">
        <f aca="false">SUM(M1060:T1060)*Resumo!$C$11</f>
        <v>0</v>
      </c>
      <c r="V1060" s="39" t="n">
        <f aca="false">SUM(M1060:U1060)</f>
        <v>82.191958</v>
      </c>
      <c r="W1060" s="39" t="n">
        <f aca="false">V1060/(1-Resumo!$C$5)</f>
        <v>93.3999522727273</v>
      </c>
      <c r="X1060" s="39" t="n">
        <v>93.97</v>
      </c>
      <c r="Y1060" s="39" t="n">
        <f aca="false">J1060*Resumo!$B$6</f>
        <v>0.50999</v>
      </c>
      <c r="Z1060" s="39" t="n">
        <f aca="false">J1060*Resumo!$B$7</f>
        <v>1.01998</v>
      </c>
      <c r="AA1060" s="39" t="n">
        <f aca="false">Resumo!$B$9</f>
        <v>1</v>
      </c>
      <c r="AB1060" s="39" t="n">
        <f aca="false">Resumo!$B$10*CEILING(I1060/100,1)</f>
        <v>4.5</v>
      </c>
      <c r="AC1060" s="39" t="n">
        <f aca="false">Resumo!$B$12*CEILING(I1060,1)</f>
        <v>2.28</v>
      </c>
      <c r="AD1060" s="39" t="n">
        <f aca="false">Resumo!$B$14*CEILING(I1060,1)</f>
        <v>17.1</v>
      </c>
      <c r="AE1060" s="39" t="n">
        <f aca="false">SUM(X1060:AD1060)</f>
        <v>120.37997</v>
      </c>
      <c r="AF1060" s="39" t="n">
        <f aca="false">AE1060/(1-Resumo!$B$5)</f>
        <v>136.795420454545</v>
      </c>
      <c r="AG1060" s="39" t="n">
        <f aca="false">AF1060-W1060</f>
        <v>43.3954681818182</v>
      </c>
      <c r="AH1060" s="40" t="n">
        <f aca="false">AF1060/W1060-1</f>
        <v>0.464619811101227</v>
      </c>
      <c r="AI1060" s="37" t="str">
        <f aca="false">IF(AF1060&lt;W1060,"SIM","NÃO")</f>
        <v>NÃO</v>
      </c>
      <c r="AJ1060" s="37" t="n">
        <v>2</v>
      </c>
      <c r="AK1060" s="37" t="n">
        <v>5</v>
      </c>
      <c r="AL1060" s="37" t="s">
        <v>343</v>
      </c>
      <c r="AM1060" s="39" t="n">
        <v>92.3</v>
      </c>
    </row>
    <row r="1061" customFormat="false" ht="15" hidden="false" customHeight="false" outlineLevel="0" collapsed="false">
      <c r="A1061" s="37" t="n">
        <v>377043332</v>
      </c>
      <c r="B1061" s="38" t="n">
        <v>46249.7430208333</v>
      </c>
      <c r="C1061" s="37" t="s">
        <v>345</v>
      </c>
      <c r="D1061" s="37" t="s">
        <v>1351</v>
      </c>
      <c r="E1061" s="37" t="n">
        <v>28968485</v>
      </c>
      <c r="F1061" s="37" t="s">
        <v>294</v>
      </c>
      <c r="G1061" s="37" t="s">
        <v>198</v>
      </c>
      <c r="H1061" s="37" t="s">
        <v>190</v>
      </c>
      <c r="I1061" s="37" t="n">
        <v>81.7</v>
      </c>
      <c r="J1061" s="39" t="n">
        <v>623</v>
      </c>
      <c r="K1061" s="37" t="s">
        <v>518</v>
      </c>
      <c r="L1061" s="39" t="n">
        <v>186.08</v>
      </c>
      <c r="M1061" s="39" t="n">
        <v>109.63</v>
      </c>
      <c r="N1061" s="39" t="n">
        <f aca="false">J1061*Resumo!$C$6</f>
        <v>0</v>
      </c>
      <c r="O1061" s="39" t="n">
        <f aca="false">J1061*Resumo!$C$7</f>
        <v>1.3083</v>
      </c>
      <c r="P1061" s="39" t="n">
        <f aca="false">J1061*Resumo!$C$8</f>
        <v>1.3083</v>
      </c>
      <c r="Q1061" s="39" t="n">
        <f aca="false">Resumo!$C$10*CEILING(I1061/100,1)</f>
        <v>1.05</v>
      </c>
      <c r="R1061" s="39" t="n">
        <f aca="false">Resumo!$C$9</f>
        <v>0</v>
      </c>
      <c r="S1061" s="39" t="n">
        <f aca="false">Resumo!$C$13</f>
        <v>13.55</v>
      </c>
      <c r="T1061" s="39" t="n">
        <f aca="false">Resumo!$C$14*CEILING(I1061,1)</f>
        <v>36.9</v>
      </c>
      <c r="U1061" s="39" t="n">
        <f aca="false">SUM(M1061:T1061)*Resumo!$C$11</f>
        <v>0</v>
      </c>
      <c r="V1061" s="39" t="n">
        <f aca="false">SUM(M1061:U1061)</f>
        <v>163.7466</v>
      </c>
      <c r="W1061" s="39" t="n">
        <f aca="false">V1061/(1-Resumo!$C$5)</f>
        <v>186.075681818182</v>
      </c>
      <c r="X1061" s="39" t="n">
        <v>197.35</v>
      </c>
      <c r="Y1061" s="39" t="n">
        <f aca="false">J1061*Resumo!$B$6</f>
        <v>0.623</v>
      </c>
      <c r="Z1061" s="39" t="n">
        <f aca="false">J1061*Resumo!$B$7</f>
        <v>1.246</v>
      </c>
      <c r="AA1061" s="39" t="n">
        <f aca="false">Resumo!$B$9</f>
        <v>1</v>
      </c>
      <c r="AB1061" s="39" t="n">
        <f aca="false">Resumo!$B$10*CEILING(I1061/100,1)</f>
        <v>4.5</v>
      </c>
      <c r="AC1061" s="39" t="n">
        <f aca="false">Resumo!$B$12*CEILING(I1061,1)</f>
        <v>4.92</v>
      </c>
      <c r="AD1061" s="39" t="n">
        <f aca="false">Resumo!$B$14*CEILING(I1061,1)</f>
        <v>36.9</v>
      </c>
      <c r="AE1061" s="39" t="n">
        <f aca="false">SUM(X1061:AD1061)</f>
        <v>246.539</v>
      </c>
      <c r="AF1061" s="39" t="n">
        <f aca="false">AE1061/(1-Resumo!$B$5)</f>
        <v>280.157954545455</v>
      </c>
      <c r="AG1061" s="39" t="n">
        <f aca="false">AF1061-W1061</f>
        <v>94.0822727272727</v>
      </c>
      <c r="AH1061" s="40" t="n">
        <f aca="false">AF1061/W1061-1</f>
        <v>0.505612940970988</v>
      </c>
      <c r="AI1061" s="37" t="str">
        <f aca="false">IF(AF1061&lt;W1061,"SIM","NÃO")</f>
        <v>NÃO</v>
      </c>
      <c r="AJ1061" s="37" t="n">
        <v>13</v>
      </c>
      <c r="AK1061" s="37" t="n">
        <v>10</v>
      </c>
      <c r="AL1061" s="37" t="s">
        <v>347</v>
      </c>
      <c r="AM1061" s="39" t="n">
        <v>191.58</v>
      </c>
    </row>
    <row r="1062" customFormat="false" ht="15" hidden="false" customHeight="false" outlineLevel="0" collapsed="false">
      <c r="A1062" s="37" t="n">
        <v>377046320</v>
      </c>
      <c r="B1062" s="38" t="n">
        <v>46249.7478587963</v>
      </c>
      <c r="C1062" s="37" t="s">
        <v>345</v>
      </c>
      <c r="D1062" s="37" t="s">
        <v>1352</v>
      </c>
      <c r="E1062" s="37" t="n">
        <v>23075440</v>
      </c>
      <c r="F1062" s="37" t="s">
        <v>159</v>
      </c>
      <c r="G1062" s="37" t="s">
        <v>196</v>
      </c>
      <c r="H1062" s="37" t="s">
        <v>188</v>
      </c>
      <c r="I1062" s="37" t="n">
        <v>66.8</v>
      </c>
      <c r="J1062" s="39" t="n">
        <v>574.1</v>
      </c>
      <c r="K1062" s="37" t="s">
        <v>518</v>
      </c>
      <c r="L1062" s="39" t="n">
        <v>125.43</v>
      </c>
      <c r="M1062" s="39" t="n">
        <v>63.21</v>
      </c>
      <c r="N1062" s="39" t="n">
        <f aca="false">J1062*Resumo!$C$6</f>
        <v>0</v>
      </c>
      <c r="O1062" s="39" t="n">
        <f aca="false">J1062*Resumo!$C$7</f>
        <v>1.20561</v>
      </c>
      <c r="P1062" s="39" t="n">
        <f aca="false">J1062*Resumo!$C$8</f>
        <v>1.20561</v>
      </c>
      <c r="Q1062" s="39" t="n">
        <f aca="false">Resumo!$C$10*CEILING(I1062/100,1)</f>
        <v>1.05</v>
      </c>
      <c r="R1062" s="39" t="n">
        <f aca="false">Resumo!$C$9</f>
        <v>0</v>
      </c>
      <c r="S1062" s="39" t="n">
        <f aca="false">Resumo!$C$13</f>
        <v>13.55</v>
      </c>
      <c r="T1062" s="39" t="n">
        <f aca="false">Resumo!$C$14*CEILING(I1062,1)</f>
        <v>30.15</v>
      </c>
      <c r="U1062" s="39" t="n">
        <f aca="false">SUM(M1062:T1062)*Resumo!$C$11</f>
        <v>0</v>
      </c>
      <c r="V1062" s="39" t="n">
        <f aca="false">SUM(M1062:U1062)</f>
        <v>110.37122</v>
      </c>
      <c r="W1062" s="39" t="n">
        <f aca="false">V1062/(1-Resumo!$C$5)</f>
        <v>125.421840909091</v>
      </c>
      <c r="X1062" s="39" t="n">
        <v>131.02</v>
      </c>
      <c r="Y1062" s="39" t="n">
        <f aca="false">J1062*Resumo!$B$6</f>
        <v>0.5741</v>
      </c>
      <c r="Z1062" s="39" t="n">
        <f aca="false">J1062*Resumo!$B$7</f>
        <v>1.1482</v>
      </c>
      <c r="AA1062" s="39" t="n">
        <f aca="false">Resumo!$B$9</f>
        <v>1</v>
      </c>
      <c r="AB1062" s="39" t="n">
        <f aca="false">Resumo!$B$10*CEILING(I1062/100,1)</f>
        <v>4.5</v>
      </c>
      <c r="AC1062" s="39" t="n">
        <f aca="false">Resumo!$B$12*CEILING(I1062,1)</f>
        <v>4.02</v>
      </c>
      <c r="AD1062" s="39" t="n">
        <f aca="false">Resumo!$B$14*CEILING(I1062,1)</f>
        <v>30.15</v>
      </c>
      <c r="AE1062" s="39" t="n">
        <f aca="false">SUM(X1062:AD1062)</f>
        <v>172.4123</v>
      </c>
      <c r="AF1062" s="39" t="n">
        <f aca="false">AE1062/(1-Resumo!$B$5)</f>
        <v>195.923068181818</v>
      </c>
      <c r="AG1062" s="39" t="n">
        <f aca="false">AF1062-W1062</f>
        <v>70.5012272727273</v>
      </c>
      <c r="AH1062" s="40" t="n">
        <f aca="false">AF1062/W1062-1</f>
        <v>0.562112840648133</v>
      </c>
      <c r="AI1062" s="37" t="str">
        <f aca="false">IF(AF1062&lt;W1062,"SIM","NÃO")</f>
        <v>NÃO</v>
      </c>
      <c r="AJ1062" s="37" t="n">
        <v>2</v>
      </c>
      <c r="AK1062" s="37" t="n">
        <v>5</v>
      </c>
      <c r="AL1062" s="37" t="s">
        <v>343</v>
      </c>
      <c r="AM1062" s="39" t="n">
        <v>123.96</v>
      </c>
    </row>
    <row r="1063" customFormat="false" ht="15" hidden="false" customHeight="false" outlineLevel="0" collapsed="false">
      <c r="A1063" s="37" t="n">
        <v>377049879</v>
      </c>
      <c r="B1063" s="38" t="n">
        <v>46249.7538310185</v>
      </c>
      <c r="C1063" s="37" t="s">
        <v>340</v>
      </c>
      <c r="D1063" s="37" t="s">
        <v>1353</v>
      </c>
      <c r="E1063" s="37" t="n">
        <v>24812022</v>
      </c>
      <c r="F1063" s="37" t="s">
        <v>174</v>
      </c>
      <c r="G1063" s="37" t="s">
        <v>198</v>
      </c>
      <c r="H1063" s="37" t="s">
        <v>186</v>
      </c>
      <c r="I1063" s="37" t="n">
        <v>48.3</v>
      </c>
      <c r="J1063" s="39" t="n">
        <v>539.99</v>
      </c>
      <c r="K1063" s="37" t="s">
        <v>518</v>
      </c>
      <c r="L1063" s="39" t="n">
        <v>132.51</v>
      </c>
      <c r="M1063" s="39" t="n">
        <v>77.7</v>
      </c>
      <c r="N1063" s="39" t="n">
        <f aca="false">J1063*Resumo!$C$6</f>
        <v>0</v>
      </c>
      <c r="O1063" s="39" t="n">
        <f aca="false">J1063*Resumo!$C$7</f>
        <v>1.133979</v>
      </c>
      <c r="P1063" s="39" t="n">
        <f aca="false">J1063*Resumo!$C$8</f>
        <v>1.133979</v>
      </c>
      <c r="Q1063" s="39" t="n">
        <f aca="false">Resumo!$C$10*CEILING(I1063/100,1)</f>
        <v>1.05</v>
      </c>
      <c r="R1063" s="39" t="n">
        <f aca="false">Resumo!$C$9</f>
        <v>0</v>
      </c>
      <c r="S1063" s="39" t="n">
        <f aca="false">Resumo!$C$13</f>
        <v>13.55</v>
      </c>
      <c r="T1063" s="39" t="n">
        <f aca="false">Resumo!$C$14*CEILING(I1063,1)</f>
        <v>22.05</v>
      </c>
      <c r="U1063" s="39" t="n">
        <f aca="false">SUM(M1063:T1063)*Resumo!$C$11</f>
        <v>0</v>
      </c>
      <c r="V1063" s="39" t="n">
        <f aca="false">SUM(M1063:U1063)</f>
        <v>116.617958</v>
      </c>
      <c r="W1063" s="39" t="n">
        <f aca="false">V1063/(1-Resumo!$C$5)</f>
        <v>132.520406818182</v>
      </c>
      <c r="X1063" s="39" t="n">
        <v>114.95</v>
      </c>
      <c r="Y1063" s="39" t="n">
        <f aca="false">J1063*Resumo!$B$6</f>
        <v>0.53999</v>
      </c>
      <c r="Z1063" s="39" t="n">
        <f aca="false">J1063*Resumo!$B$7</f>
        <v>1.07998</v>
      </c>
      <c r="AA1063" s="39" t="n">
        <f aca="false">Resumo!$B$9</f>
        <v>1</v>
      </c>
      <c r="AB1063" s="39" t="n">
        <f aca="false">Resumo!$B$10*CEILING(I1063/100,1)</f>
        <v>4.5</v>
      </c>
      <c r="AC1063" s="39" t="n">
        <f aca="false">Resumo!$B$12*CEILING(I1063,1)</f>
        <v>2.94</v>
      </c>
      <c r="AD1063" s="39" t="n">
        <f aca="false">Resumo!$B$14*CEILING(I1063,1)</f>
        <v>22.05</v>
      </c>
      <c r="AE1063" s="39" t="n">
        <f aca="false">SUM(X1063:AD1063)</f>
        <v>147.05997</v>
      </c>
      <c r="AF1063" s="39" t="n">
        <f aca="false">AE1063/(1-Resumo!$B$5)</f>
        <v>167.113602272727</v>
      </c>
      <c r="AG1063" s="39" t="n">
        <f aca="false">AF1063-W1063</f>
        <v>34.5931954545455</v>
      </c>
      <c r="AH1063" s="40" t="n">
        <f aca="false">AF1063/W1063-1</f>
        <v>0.261040516590078</v>
      </c>
      <c r="AI1063" s="37" t="str">
        <f aca="false">IF(AF1063&lt;W1063,"SIM","NÃO")</f>
        <v>NÃO</v>
      </c>
      <c r="AJ1063" s="37" t="n">
        <v>13</v>
      </c>
      <c r="AK1063" s="37" t="n">
        <v>7</v>
      </c>
      <c r="AL1063" s="37" t="s">
        <v>343</v>
      </c>
      <c r="AM1063" s="39" t="n">
        <v>130.75</v>
      </c>
    </row>
    <row r="1064" customFormat="false" ht="15" hidden="false" customHeight="false" outlineLevel="0" collapsed="false">
      <c r="A1064" s="37" t="n">
        <v>377051439</v>
      </c>
      <c r="B1064" s="38" t="n">
        <v>46249.7563888889</v>
      </c>
      <c r="C1064" s="37" t="s">
        <v>340</v>
      </c>
      <c r="D1064" s="37" t="s">
        <v>1354</v>
      </c>
      <c r="E1064" s="37" t="n">
        <v>25780000</v>
      </c>
      <c r="F1064" s="37" t="s">
        <v>227</v>
      </c>
      <c r="G1064" s="37" t="s">
        <v>198</v>
      </c>
      <c r="H1064" s="37" t="s">
        <v>183</v>
      </c>
      <c r="I1064" s="37" t="n">
        <v>19.5</v>
      </c>
      <c r="J1064" s="39" t="n">
        <v>379.99</v>
      </c>
      <c r="K1064" s="37" t="s">
        <v>518</v>
      </c>
      <c r="L1064" s="39" t="n">
        <v>81.99</v>
      </c>
      <c r="M1064" s="39" t="n">
        <v>46.95</v>
      </c>
      <c r="N1064" s="39" t="n">
        <f aca="false">J1064*Resumo!$C$6</f>
        <v>0</v>
      </c>
      <c r="O1064" s="39" t="n">
        <f aca="false">J1064*Resumo!$C$7</f>
        <v>0.797979</v>
      </c>
      <c r="P1064" s="39" t="n">
        <f aca="false">J1064*Resumo!$C$8</f>
        <v>0.797979</v>
      </c>
      <c r="Q1064" s="39" t="n">
        <f aca="false">Resumo!$C$10*CEILING(I1064/100,1)</f>
        <v>1.05</v>
      </c>
      <c r="R1064" s="39" t="n">
        <f aca="false">Resumo!$C$9</f>
        <v>0</v>
      </c>
      <c r="S1064" s="39" t="n">
        <f aca="false">Resumo!$C$13</f>
        <v>13.55</v>
      </c>
      <c r="T1064" s="39" t="n">
        <f aca="false">Resumo!$C$14*CEILING(I1064,1)</f>
        <v>9</v>
      </c>
      <c r="U1064" s="39" t="n">
        <f aca="false">SUM(M1064:T1064)*Resumo!$C$11</f>
        <v>0</v>
      </c>
      <c r="V1064" s="39" t="n">
        <f aca="false">SUM(M1064:U1064)</f>
        <v>72.145958</v>
      </c>
      <c r="W1064" s="39" t="n">
        <f aca="false">V1064/(1-Resumo!$C$5)</f>
        <v>81.9840431818182</v>
      </c>
      <c r="X1064" s="39" t="n">
        <v>106.53</v>
      </c>
      <c r="Y1064" s="39" t="n">
        <f aca="false">J1064*Resumo!$B$6</f>
        <v>0.37999</v>
      </c>
      <c r="Z1064" s="39" t="n">
        <f aca="false">J1064*Resumo!$B$7</f>
        <v>0.75998</v>
      </c>
      <c r="AA1064" s="39" t="n">
        <f aca="false">Resumo!$B$9</f>
        <v>1</v>
      </c>
      <c r="AB1064" s="39" t="n">
        <f aca="false">Resumo!$B$10*CEILING(I1064/100,1)</f>
        <v>4.5</v>
      </c>
      <c r="AC1064" s="39" t="n">
        <f aca="false">Resumo!$B$12*CEILING(I1064,1)</f>
        <v>1.2</v>
      </c>
      <c r="AD1064" s="39" t="n">
        <f aca="false">Resumo!$B$14*CEILING(I1064,1)</f>
        <v>9</v>
      </c>
      <c r="AE1064" s="39" t="n">
        <f aca="false">SUM(X1064:AD1064)</f>
        <v>123.36997</v>
      </c>
      <c r="AF1064" s="39" t="n">
        <f aca="false">AE1064/(1-Resumo!$B$5)</f>
        <v>140.193147727273</v>
      </c>
      <c r="AG1064" s="39" t="n">
        <f aca="false">AF1064-W1064</f>
        <v>58.2091045454545</v>
      </c>
      <c r="AH1064" s="40" t="n">
        <f aca="false">AF1064/W1064-1</f>
        <v>0.71000529232698</v>
      </c>
      <c r="AI1064" s="37" t="str">
        <f aca="false">IF(AF1064&lt;W1064,"SIM","NÃO")</f>
        <v>NÃO</v>
      </c>
      <c r="AJ1064" s="37" t="n">
        <v>13</v>
      </c>
      <c r="AK1064" s="37" t="n">
        <v>10</v>
      </c>
      <c r="AL1064" s="37" t="s">
        <v>347</v>
      </c>
      <c r="AM1064" s="39" t="n">
        <v>80.48</v>
      </c>
    </row>
    <row r="1065" customFormat="false" ht="15" hidden="false" customHeight="false" outlineLevel="0" collapsed="false">
      <c r="A1065" s="37" t="n">
        <v>377053372</v>
      </c>
      <c r="B1065" s="38" t="n">
        <v>46249.7598032407</v>
      </c>
      <c r="C1065" s="37" t="s">
        <v>340</v>
      </c>
      <c r="D1065" s="37" t="s">
        <v>1355</v>
      </c>
      <c r="E1065" s="37" t="n">
        <v>26176050</v>
      </c>
      <c r="F1065" s="37" t="s">
        <v>165</v>
      </c>
      <c r="G1065" s="37" t="s">
        <v>197</v>
      </c>
      <c r="H1065" s="37" t="s">
        <v>186</v>
      </c>
      <c r="I1065" s="37" t="n">
        <v>48</v>
      </c>
      <c r="J1065" s="39" t="n">
        <v>806.69</v>
      </c>
      <c r="K1065" s="37" t="s">
        <v>518</v>
      </c>
      <c r="L1065" s="39" t="n">
        <v>119.25</v>
      </c>
      <c r="M1065" s="39" t="n">
        <v>65.36</v>
      </c>
      <c r="N1065" s="39" t="n">
        <f aca="false">J1065*Resumo!$C$6</f>
        <v>0</v>
      </c>
      <c r="O1065" s="39" t="n">
        <f aca="false">J1065*Resumo!$C$7</f>
        <v>1.694049</v>
      </c>
      <c r="P1065" s="39" t="n">
        <f aca="false">J1065*Resumo!$C$8</f>
        <v>1.694049</v>
      </c>
      <c r="Q1065" s="39" t="n">
        <f aca="false">Resumo!$C$10*CEILING(I1065/100,1)</f>
        <v>1.05</v>
      </c>
      <c r="R1065" s="39" t="n">
        <f aca="false">Resumo!$C$9</f>
        <v>0</v>
      </c>
      <c r="S1065" s="39" t="n">
        <f aca="false">Resumo!$C$13</f>
        <v>13.55</v>
      </c>
      <c r="T1065" s="39" t="n">
        <f aca="false">Resumo!$C$14*CEILING(I1065,1)</f>
        <v>21.6</v>
      </c>
      <c r="U1065" s="39" t="n">
        <f aca="false">SUM(M1065:T1065)*Resumo!$C$11</f>
        <v>0</v>
      </c>
      <c r="V1065" s="39" t="n">
        <f aca="false">SUM(M1065:U1065)</f>
        <v>104.948098</v>
      </c>
      <c r="W1065" s="39" t="n">
        <f aca="false">V1065/(1-Resumo!$C$5)</f>
        <v>119.259202272727</v>
      </c>
      <c r="X1065" s="39" t="n">
        <v>93.97</v>
      </c>
      <c r="Y1065" s="39" t="n">
        <f aca="false">J1065*Resumo!$B$6</f>
        <v>0.80669</v>
      </c>
      <c r="Z1065" s="39" t="n">
        <f aca="false">J1065*Resumo!$B$7</f>
        <v>1.61338</v>
      </c>
      <c r="AA1065" s="39" t="n">
        <f aca="false">Resumo!$B$9</f>
        <v>1</v>
      </c>
      <c r="AB1065" s="39" t="n">
        <f aca="false">Resumo!$B$10*CEILING(I1065/100,1)</f>
        <v>4.5</v>
      </c>
      <c r="AC1065" s="39" t="n">
        <f aca="false">Resumo!$B$12*CEILING(I1065,1)</f>
        <v>2.88</v>
      </c>
      <c r="AD1065" s="39" t="n">
        <f aca="false">Resumo!$B$14*CEILING(I1065,1)</f>
        <v>21.6</v>
      </c>
      <c r="AE1065" s="39" t="n">
        <f aca="false">SUM(X1065:AD1065)</f>
        <v>126.37007</v>
      </c>
      <c r="AF1065" s="39" t="n">
        <f aca="false">AE1065/(1-Resumo!$B$5)</f>
        <v>143.602352272727</v>
      </c>
      <c r="AG1065" s="39" t="n">
        <f aca="false">AF1065-W1065</f>
        <v>24.34315</v>
      </c>
      <c r="AH1065" s="40" t="n">
        <f aca="false">AF1065/W1065-1</f>
        <v>0.204119678281354</v>
      </c>
      <c r="AI1065" s="37" t="str">
        <f aca="false">IF(AF1065&lt;W1065,"SIM","NÃO")</f>
        <v>NÃO</v>
      </c>
      <c r="AJ1065" s="37" t="n">
        <v>2</v>
      </c>
      <c r="AK1065" s="37" t="n">
        <v>5</v>
      </c>
      <c r="AL1065" s="37" t="s">
        <v>343</v>
      </c>
      <c r="AM1065" s="39" t="n">
        <v>117.94</v>
      </c>
    </row>
    <row r="1066" customFormat="false" ht="15" hidden="false" customHeight="false" outlineLevel="0" collapsed="false">
      <c r="A1066" s="37" t="n">
        <v>377079923</v>
      </c>
      <c r="B1066" s="38" t="n">
        <v>46249.8114930556</v>
      </c>
      <c r="C1066" s="37" t="s">
        <v>340</v>
      </c>
      <c r="D1066" s="37" t="s">
        <v>1356</v>
      </c>
      <c r="E1066" s="37" t="n">
        <v>23027290</v>
      </c>
      <c r="F1066" s="37" t="s">
        <v>159</v>
      </c>
      <c r="G1066" s="37" t="s">
        <v>196</v>
      </c>
      <c r="H1066" s="37" t="s">
        <v>186</v>
      </c>
      <c r="I1066" s="37" t="n">
        <v>46.8</v>
      </c>
      <c r="J1066" s="39" t="n">
        <v>506.56</v>
      </c>
      <c r="K1066" s="37" t="s">
        <v>518</v>
      </c>
      <c r="L1066" s="39" t="n">
        <v>103.89</v>
      </c>
      <c r="M1066" s="39" t="n">
        <v>53.55</v>
      </c>
      <c r="N1066" s="39" t="n">
        <f aca="false">J1066*Resumo!$C$6</f>
        <v>0</v>
      </c>
      <c r="O1066" s="39" t="n">
        <f aca="false">J1066*Resumo!$C$7</f>
        <v>1.063776</v>
      </c>
      <c r="P1066" s="39" t="n">
        <f aca="false">J1066*Resumo!$C$8</f>
        <v>1.063776</v>
      </c>
      <c r="Q1066" s="39" t="n">
        <f aca="false">Resumo!$C$10*CEILING(I1066/100,1)</f>
        <v>1.05</v>
      </c>
      <c r="R1066" s="39" t="n">
        <f aca="false">Resumo!$C$9</f>
        <v>0</v>
      </c>
      <c r="S1066" s="39" t="n">
        <f aca="false">Resumo!$C$13</f>
        <v>13.55</v>
      </c>
      <c r="T1066" s="39" t="n">
        <f aca="false">Resumo!$C$14*CEILING(I1066,1)</f>
        <v>21.15</v>
      </c>
      <c r="U1066" s="39" t="n">
        <f aca="false">SUM(M1066:T1066)*Resumo!$C$11</f>
        <v>0</v>
      </c>
      <c r="V1066" s="39" t="n">
        <f aca="false">SUM(M1066:U1066)</f>
        <v>91.427552</v>
      </c>
      <c r="W1066" s="39" t="n">
        <f aca="false">V1066/(1-Resumo!$C$5)</f>
        <v>103.894945454545</v>
      </c>
      <c r="X1066" s="39" t="n">
        <v>93.97</v>
      </c>
      <c r="Y1066" s="39" t="n">
        <f aca="false">J1066*Resumo!$B$6</f>
        <v>0.50656</v>
      </c>
      <c r="Z1066" s="39" t="n">
        <f aca="false">J1066*Resumo!$B$7</f>
        <v>1.01312</v>
      </c>
      <c r="AA1066" s="39" t="n">
        <f aca="false">Resumo!$B$9</f>
        <v>1</v>
      </c>
      <c r="AB1066" s="39" t="n">
        <f aca="false">Resumo!$B$10*CEILING(I1066/100,1)</f>
        <v>4.5</v>
      </c>
      <c r="AC1066" s="39" t="n">
        <f aca="false">Resumo!$B$12*CEILING(I1066,1)</f>
        <v>2.82</v>
      </c>
      <c r="AD1066" s="39" t="n">
        <f aca="false">Resumo!$B$14*CEILING(I1066,1)</f>
        <v>21.15</v>
      </c>
      <c r="AE1066" s="39" t="n">
        <f aca="false">SUM(X1066:AD1066)</f>
        <v>124.95968</v>
      </c>
      <c r="AF1066" s="39" t="n">
        <f aca="false">AE1066/(1-Resumo!$B$5)</f>
        <v>141.999636363636</v>
      </c>
      <c r="AG1066" s="39" t="n">
        <f aca="false">AF1066-W1066</f>
        <v>38.1046909090909</v>
      </c>
      <c r="AH1066" s="40" t="n">
        <f aca="false">AF1066/W1066-1</f>
        <v>0.366761739393394</v>
      </c>
      <c r="AI1066" s="37" t="str">
        <f aca="false">IF(AF1066&lt;W1066,"SIM","NÃO")</f>
        <v>NÃO</v>
      </c>
      <c r="AJ1066" s="37" t="n">
        <v>2</v>
      </c>
      <c r="AK1066" s="37" t="n">
        <v>5</v>
      </c>
      <c r="AL1066" s="37" t="s">
        <v>343</v>
      </c>
      <c r="AM1066" s="39" t="n">
        <v>103.01</v>
      </c>
    </row>
    <row r="1067" customFormat="false" ht="15" hidden="false" customHeight="false" outlineLevel="0" collapsed="false">
      <c r="A1067" s="37" t="n">
        <v>377083577</v>
      </c>
      <c r="B1067" s="38" t="n">
        <v>46249.817962963</v>
      </c>
      <c r="C1067" s="37" t="s">
        <v>340</v>
      </c>
      <c r="D1067" s="37" t="s">
        <v>1357</v>
      </c>
      <c r="E1067" s="37" t="n">
        <v>20261063</v>
      </c>
      <c r="F1067" s="37" t="s">
        <v>159</v>
      </c>
      <c r="G1067" s="37" t="s">
        <v>196</v>
      </c>
      <c r="H1067" s="37" t="s">
        <v>191</v>
      </c>
      <c r="I1067" s="37" t="n">
        <v>116.6</v>
      </c>
      <c r="J1067" s="39" t="n">
        <v>1899.99</v>
      </c>
      <c r="K1067" s="37" t="s">
        <v>342</v>
      </c>
      <c r="L1067" s="39" t="n">
        <v>188.75</v>
      </c>
      <c r="M1067" s="39" t="n">
        <v>92.34</v>
      </c>
      <c r="N1067" s="39" t="n">
        <f aca="false">J1067*Resumo!$C$6</f>
        <v>0</v>
      </c>
      <c r="O1067" s="39" t="n">
        <f aca="false">J1067*Resumo!$C$7</f>
        <v>3.989979</v>
      </c>
      <c r="P1067" s="39" t="n">
        <f aca="false">J1067*Resumo!$C$8</f>
        <v>3.989979</v>
      </c>
      <c r="Q1067" s="39" t="n">
        <f aca="false">Resumo!$C$10*CEILING(I1067/100,1)</f>
        <v>2.1</v>
      </c>
      <c r="R1067" s="39" t="n">
        <f aca="false">Resumo!$C$9</f>
        <v>0</v>
      </c>
      <c r="S1067" s="39" t="n">
        <f aca="false">Resumo!$C$13</f>
        <v>13.55</v>
      </c>
      <c r="T1067" s="39" t="n">
        <f aca="false">Resumo!$C$14*CEILING(I1067,1)</f>
        <v>52.65</v>
      </c>
      <c r="U1067" s="39" t="n">
        <f aca="false">SUM(M1067:T1067)*Resumo!$C$11</f>
        <v>0</v>
      </c>
      <c r="V1067" s="39" t="n">
        <f aca="false">SUM(M1067:U1067)</f>
        <v>168.619958</v>
      </c>
      <c r="W1067" s="39" t="n">
        <f aca="false">V1067/(1-Resumo!$C$5)</f>
        <v>191.613588636364</v>
      </c>
      <c r="X1067" s="39" t="n">
        <v>201.59</v>
      </c>
      <c r="Y1067" s="39" t="n">
        <f aca="false">J1067*Resumo!$B$6</f>
        <v>1.89999</v>
      </c>
      <c r="Z1067" s="39" t="n">
        <f aca="false">J1067*Resumo!$B$7</f>
        <v>3.79998</v>
      </c>
      <c r="AA1067" s="39" t="n">
        <f aca="false">Resumo!$B$9</f>
        <v>1</v>
      </c>
      <c r="AB1067" s="39" t="n">
        <f aca="false">Resumo!$B$10*CEILING(I1067/100,1)</f>
        <v>9</v>
      </c>
      <c r="AC1067" s="39" t="n">
        <f aca="false">Resumo!$B$12*CEILING(I1067,1)</f>
        <v>7.02</v>
      </c>
      <c r="AD1067" s="39" t="n">
        <f aca="false">Resumo!$B$14*CEILING(I1067,1)</f>
        <v>52.65</v>
      </c>
      <c r="AE1067" s="39" t="n">
        <f aca="false">SUM(X1067:AD1067)</f>
        <v>276.95997</v>
      </c>
      <c r="AF1067" s="39" t="n">
        <f aca="false">AE1067/(1-Resumo!$B$5)</f>
        <v>314.727238636364</v>
      </c>
      <c r="AG1067" s="39" t="n">
        <f aca="false">AF1067-W1067</f>
        <v>123.11365</v>
      </c>
      <c r="AH1067" s="40" t="n">
        <f aca="false">AF1067/W1067-1</f>
        <v>0.642510016518922</v>
      </c>
      <c r="AI1067" s="37" t="str">
        <f aca="false">IF(AF1067&lt;W1067,"SIM","NÃO")</f>
        <v>NÃO</v>
      </c>
      <c r="AJ1067" s="37" t="n">
        <v>2</v>
      </c>
      <c r="AK1067" s="37" t="n">
        <v>5</v>
      </c>
      <c r="AL1067" s="37" t="s">
        <v>343</v>
      </c>
      <c r="AM1067" s="39" t="n">
        <v>188.75</v>
      </c>
    </row>
    <row r="1068" customFormat="false" ht="15" hidden="false" customHeight="false" outlineLevel="0" collapsed="false">
      <c r="A1068" s="37" t="n">
        <v>377085289</v>
      </c>
      <c r="B1068" s="38" t="n">
        <v>46249.821099537</v>
      </c>
      <c r="C1068" s="37" t="s">
        <v>340</v>
      </c>
      <c r="D1068" s="37" t="s">
        <v>1358</v>
      </c>
      <c r="E1068" s="37" t="n">
        <v>26050610</v>
      </c>
      <c r="F1068" s="37" t="s">
        <v>162</v>
      </c>
      <c r="G1068" s="37" t="s">
        <v>197</v>
      </c>
      <c r="H1068" s="37" t="s">
        <v>186</v>
      </c>
      <c r="I1068" s="37" t="n">
        <v>46.8</v>
      </c>
      <c r="J1068" s="39" t="n">
        <v>506.56</v>
      </c>
      <c r="K1068" s="37" t="s">
        <v>342</v>
      </c>
      <c r="L1068" s="39" t="n">
        <v>116.49</v>
      </c>
      <c r="M1068" s="39" t="n">
        <v>65.36</v>
      </c>
      <c r="N1068" s="39" t="n">
        <f aca="false">J1068*Resumo!$C$6</f>
        <v>0</v>
      </c>
      <c r="O1068" s="39" t="n">
        <f aca="false">J1068*Resumo!$C$7</f>
        <v>1.063776</v>
      </c>
      <c r="P1068" s="39" t="n">
        <f aca="false">J1068*Resumo!$C$8</f>
        <v>1.063776</v>
      </c>
      <c r="Q1068" s="39" t="n">
        <f aca="false">Resumo!$C$10*CEILING(I1068/100,1)</f>
        <v>1.05</v>
      </c>
      <c r="R1068" s="39" t="n">
        <f aca="false">Resumo!$C$9</f>
        <v>0</v>
      </c>
      <c r="S1068" s="39" t="n">
        <f aca="false">Resumo!$C$13</f>
        <v>13.55</v>
      </c>
      <c r="T1068" s="39" t="n">
        <f aca="false">Resumo!$C$14*CEILING(I1068,1)</f>
        <v>21.15</v>
      </c>
      <c r="U1068" s="39" t="n">
        <f aca="false">SUM(M1068:T1068)*Resumo!$C$11</f>
        <v>0</v>
      </c>
      <c r="V1068" s="39" t="n">
        <f aca="false">SUM(M1068:U1068)</f>
        <v>103.237552</v>
      </c>
      <c r="W1068" s="39" t="n">
        <f aca="false">V1068/(1-Resumo!$C$5)</f>
        <v>117.3154</v>
      </c>
      <c r="X1068" s="39" t="n">
        <v>93.97</v>
      </c>
      <c r="Y1068" s="39" t="n">
        <f aca="false">J1068*Resumo!$B$6</f>
        <v>0.50656</v>
      </c>
      <c r="Z1068" s="39" t="n">
        <f aca="false">J1068*Resumo!$B$7</f>
        <v>1.01312</v>
      </c>
      <c r="AA1068" s="39" t="n">
        <f aca="false">Resumo!$B$9</f>
        <v>1</v>
      </c>
      <c r="AB1068" s="39" t="n">
        <f aca="false">Resumo!$B$10*CEILING(I1068/100,1)</f>
        <v>4.5</v>
      </c>
      <c r="AC1068" s="39" t="n">
        <f aca="false">Resumo!$B$12*CEILING(I1068,1)</f>
        <v>2.82</v>
      </c>
      <c r="AD1068" s="39" t="n">
        <f aca="false">Resumo!$B$14*CEILING(I1068,1)</f>
        <v>21.15</v>
      </c>
      <c r="AE1068" s="39" t="n">
        <f aca="false">SUM(X1068:AD1068)</f>
        <v>124.95968</v>
      </c>
      <c r="AF1068" s="39" t="n">
        <f aca="false">AE1068/(1-Resumo!$B$5)</f>
        <v>141.999636363636</v>
      </c>
      <c r="AG1068" s="39" t="n">
        <f aca="false">AF1068-W1068</f>
        <v>24.6842363636364</v>
      </c>
      <c r="AH1068" s="40" t="n">
        <f aca="false">AF1068/W1068-1</f>
        <v>0.210409173592183</v>
      </c>
      <c r="AI1068" s="37" t="str">
        <f aca="false">IF(AF1068&lt;W1068,"SIM","NÃO")</f>
        <v>NÃO</v>
      </c>
      <c r="AJ1068" s="37" t="n">
        <v>2</v>
      </c>
      <c r="AK1068" s="37" t="n">
        <v>5</v>
      </c>
      <c r="AL1068" s="37" t="s">
        <v>343</v>
      </c>
      <c r="AM1068" s="39" t="n">
        <v>116.5</v>
      </c>
    </row>
    <row r="1069" customFormat="false" ht="15" hidden="false" customHeight="false" outlineLevel="0" collapsed="false">
      <c r="A1069" s="37" t="n">
        <v>377102944</v>
      </c>
      <c r="B1069" s="38" t="n">
        <v>46249.8334259259</v>
      </c>
      <c r="C1069" s="37" t="s">
        <v>537</v>
      </c>
      <c r="D1069" s="37" t="s">
        <v>1243</v>
      </c>
      <c r="E1069" s="37" t="n">
        <v>20550220</v>
      </c>
      <c r="F1069" s="37" t="s">
        <v>159</v>
      </c>
      <c r="G1069" s="37" t="s">
        <v>196</v>
      </c>
      <c r="H1069" s="37" t="s">
        <v>186</v>
      </c>
      <c r="I1069" s="37" t="n">
        <v>49.6</v>
      </c>
      <c r="J1069" s="39" t="n">
        <v>649.78</v>
      </c>
      <c r="K1069" s="37" t="s">
        <v>342</v>
      </c>
      <c r="L1069" s="39" t="n">
        <v>103.7</v>
      </c>
      <c r="M1069" s="39" t="n">
        <v>53.55</v>
      </c>
      <c r="N1069" s="39" t="n">
        <f aca="false">J1069*Resumo!$C$6</f>
        <v>0</v>
      </c>
      <c r="O1069" s="39" t="n">
        <f aca="false">J1069*Resumo!$C$7</f>
        <v>1.364538</v>
      </c>
      <c r="P1069" s="39" t="n">
        <f aca="false">J1069*Resumo!$C$8</f>
        <v>1.364538</v>
      </c>
      <c r="Q1069" s="39" t="n">
        <f aca="false">Resumo!$C$10*CEILING(I1069/100,1)</f>
        <v>1.05</v>
      </c>
      <c r="R1069" s="39" t="n">
        <f aca="false">Resumo!$C$9</f>
        <v>0</v>
      </c>
      <c r="S1069" s="39" t="n">
        <f aca="false">Resumo!$C$13</f>
        <v>13.55</v>
      </c>
      <c r="T1069" s="39" t="n">
        <f aca="false">Resumo!$C$14*CEILING(I1069,1)</f>
        <v>22.5</v>
      </c>
      <c r="U1069" s="39" t="n">
        <f aca="false">SUM(M1069:T1069)*Resumo!$C$11</f>
        <v>0</v>
      </c>
      <c r="V1069" s="39" t="n">
        <f aca="false">SUM(M1069:U1069)</f>
        <v>93.379076</v>
      </c>
      <c r="W1069" s="39" t="n">
        <f aca="false">V1069/(1-Resumo!$C$5)</f>
        <v>106.112586363636</v>
      </c>
      <c r="X1069" s="39" t="n">
        <v>93.97</v>
      </c>
      <c r="Y1069" s="39" t="n">
        <f aca="false">J1069*Resumo!$B$6</f>
        <v>0.64978</v>
      </c>
      <c r="Z1069" s="39" t="n">
        <f aca="false">J1069*Resumo!$B$7</f>
        <v>1.29956</v>
      </c>
      <c r="AA1069" s="39" t="n">
        <f aca="false">Resumo!$B$9</f>
        <v>1</v>
      </c>
      <c r="AB1069" s="39" t="n">
        <f aca="false">Resumo!$B$10*CEILING(I1069/100,1)</f>
        <v>4.5</v>
      </c>
      <c r="AC1069" s="39" t="n">
        <f aca="false">Resumo!$B$12*CEILING(I1069,1)</f>
        <v>3</v>
      </c>
      <c r="AD1069" s="39" t="n">
        <f aca="false">Resumo!$B$14*CEILING(I1069,1)</f>
        <v>22.5</v>
      </c>
      <c r="AE1069" s="39" t="n">
        <f aca="false">SUM(X1069:AD1069)</f>
        <v>126.91934</v>
      </c>
      <c r="AF1069" s="39" t="n">
        <f aca="false">AE1069/(1-Resumo!$B$5)</f>
        <v>144.226522727273</v>
      </c>
      <c r="AG1069" s="39" t="n">
        <f aca="false">AF1069-W1069</f>
        <v>38.1139363636364</v>
      </c>
      <c r="AH1069" s="40" t="n">
        <f aca="false">AF1069/W1069-1</f>
        <v>0.359183935381841</v>
      </c>
      <c r="AI1069" s="37" t="str">
        <f aca="false">IF(AF1069&lt;W1069,"SIM","NÃO")</f>
        <v>NÃO</v>
      </c>
      <c r="AJ1069" s="37" t="n">
        <v>2</v>
      </c>
      <c r="AK1069" s="37" t="n">
        <v>5</v>
      </c>
      <c r="AL1069" s="37" t="s">
        <v>343</v>
      </c>
      <c r="AM1069" s="39" t="n">
        <v>103.7</v>
      </c>
    </row>
    <row r="1070" customFormat="false" ht="15" hidden="false" customHeight="false" outlineLevel="0" collapsed="false">
      <c r="A1070" s="37" t="n">
        <v>377101906</v>
      </c>
      <c r="B1070" s="38" t="n">
        <v>46249.8506828704</v>
      </c>
      <c r="C1070" s="37" t="s">
        <v>345</v>
      </c>
      <c r="D1070" s="37" t="s">
        <v>1359</v>
      </c>
      <c r="E1070" s="37" t="n">
        <v>25650490</v>
      </c>
      <c r="F1070" s="37" t="s">
        <v>170</v>
      </c>
      <c r="G1070" s="37" t="s">
        <v>198</v>
      </c>
      <c r="H1070" s="37" t="s">
        <v>184</v>
      </c>
      <c r="I1070" s="37" t="n">
        <v>33.21</v>
      </c>
      <c r="J1070" s="39" t="n">
        <v>377.97</v>
      </c>
      <c r="K1070" s="37" t="s">
        <v>518</v>
      </c>
      <c r="L1070" s="39" t="n">
        <v>110.35</v>
      </c>
      <c r="M1070" s="39" t="n">
        <v>65.63</v>
      </c>
      <c r="N1070" s="39" t="n">
        <f aca="false">J1070*Resumo!$C$6</f>
        <v>0</v>
      </c>
      <c r="O1070" s="39" t="n">
        <f aca="false">J1070*Resumo!$C$7</f>
        <v>0.793737</v>
      </c>
      <c r="P1070" s="39" t="n">
        <f aca="false">J1070*Resumo!$C$8</f>
        <v>0.793737</v>
      </c>
      <c r="Q1070" s="39" t="n">
        <f aca="false">Resumo!$C$10*CEILING(I1070/100,1)</f>
        <v>1.05</v>
      </c>
      <c r="R1070" s="39" t="n">
        <f aca="false">Resumo!$C$9</f>
        <v>0</v>
      </c>
      <c r="S1070" s="39" t="n">
        <f aca="false">Resumo!$C$13</f>
        <v>13.55</v>
      </c>
      <c r="T1070" s="39" t="n">
        <f aca="false">Resumo!$C$14*CEILING(I1070,1)</f>
        <v>15.3</v>
      </c>
      <c r="U1070" s="39" t="n">
        <f aca="false">SUM(M1070:T1070)*Resumo!$C$11</f>
        <v>0</v>
      </c>
      <c r="V1070" s="39" t="n">
        <f aca="false">SUM(M1070:U1070)</f>
        <v>97.117474</v>
      </c>
      <c r="W1070" s="39" t="n">
        <f aca="false">V1070/(1-Resumo!$C$5)</f>
        <v>110.360765909091</v>
      </c>
      <c r="X1070" s="39" t="n">
        <v>108.83</v>
      </c>
      <c r="Y1070" s="39" t="n">
        <f aca="false">J1070*Resumo!$B$6</f>
        <v>0.37797</v>
      </c>
      <c r="Z1070" s="39" t="n">
        <f aca="false">J1070*Resumo!$B$7</f>
        <v>0.75594</v>
      </c>
      <c r="AA1070" s="39" t="n">
        <f aca="false">Resumo!$B$9</f>
        <v>1</v>
      </c>
      <c r="AB1070" s="39" t="n">
        <f aca="false">Resumo!$B$10*CEILING(I1070/100,1)</f>
        <v>4.5</v>
      </c>
      <c r="AC1070" s="39" t="n">
        <f aca="false">Resumo!$B$12*CEILING(I1070,1)</f>
        <v>2.04</v>
      </c>
      <c r="AD1070" s="39" t="n">
        <f aca="false">Resumo!$B$14*CEILING(I1070,1)</f>
        <v>15.3</v>
      </c>
      <c r="AE1070" s="39" t="n">
        <f aca="false">SUM(X1070:AD1070)</f>
        <v>132.80391</v>
      </c>
      <c r="AF1070" s="39" t="n">
        <f aca="false">AE1070/(1-Resumo!$B$5)</f>
        <v>150.913534090909</v>
      </c>
      <c r="AG1070" s="39" t="n">
        <f aca="false">AF1070-W1070</f>
        <v>40.5527681818182</v>
      </c>
      <c r="AH1070" s="40" t="n">
        <f aca="false">AF1070/W1070-1</f>
        <v>0.367456385861107</v>
      </c>
      <c r="AI1070" s="37" t="str">
        <f aca="false">IF(AF1070&lt;W1070,"SIM","NÃO")</f>
        <v>NÃO</v>
      </c>
      <c r="AJ1070" s="37" t="n">
        <v>13</v>
      </c>
      <c r="AK1070" s="37" t="n">
        <v>8</v>
      </c>
      <c r="AL1070" s="37" t="s">
        <v>343</v>
      </c>
      <c r="AM1070" s="39" t="n">
        <v>108.99</v>
      </c>
    </row>
    <row r="1071" customFormat="false" ht="15" hidden="false" customHeight="false" outlineLevel="0" collapsed="false">
      <c r="A1071" s="37" t="n">
        <v>377120470</v>
      </c>
      <c r="B1071" s="38" t="n">
        <v>46249.8873032407</v>
      </c>
      <c r="C1071" s="37" t="s">
        <v>345</v>
      </c>
      <c r="D1071" s="37" t="s">
        <v>1360</v>
      </c>
      <c r="E1071" s="37" t="n">
        <v>22713570</v>
      </c>
      <c r="F1071" s="37" t="s">
        <v>159</v>
      </c>
      <c r="G1071" s="37" t="s">
        <v>196</v>
      </c>
      <c r="H1071" s="37" t="s">
        <v>192</v>
      </c>
      <c r="I1071" s="37" t="n">
        <v>124.2</v>
      </c>
      <c r="J1071" s="39" t="n">
        <v>1749.98</v>
      </c>
      <c r="K1071" s="37" t="s">
        <v>342</v>
      </c>
      <c r="L1071" s="39" t="n">
        <v>234.68</v>
      </c>
      <c r="M1071" s="39" t="n">
        <v>120.59</v>
      </c>
      <c r="N1071" s="39" t="n">
        <f aca="false">J1071*Resumo!$C$6</f>
        <v>0</v>
      </c>
      <c r="O1071" s="39" t="n">
        <f aca="false">J1071*Resumo!$C$7</f>
        <v>3.674958</v>
      </c>
      <c r="P1071" s="39" t="n">
        <f aca="false">J1071*Resumo!$C$8</f>
        <v>3.674958</v>
      </c>
      <c r="Q1071" s="39" t="n">
        <f aca="false">Resumo!$C$10*CEILING(I1071/100,1)</f>
        <v>2.1</v>
      </c>
      <c r="R1071" s="39" t="n">
        <f aca="false">Resumo!$C$9</f>
        <v>0</v>
      </c>
      <c r="S1071" s="39" t="n">
        <f aca="false">Resumo!$C$13</f>
        <v>13.55</v>
      </c>
      <c r="T1071" s="39" t="n">
        <f aca="false">Resumo!$C$14*CEILING(I1071,1)</f>
        <v>56.25</v>
      </c>
      <c r="U1071" s="39" t="n">
        <f aca="false">SUM(M1071:T1071)*Resumo!$C$11</f>
        <v>0</v>
      </c>
      <c r="V1071" s="39" t="n">
        <f aca="false">SUM(M1071:U1071)</f>
        <v>199.839916</v>
      </c>
      <c r="W1071" s="39" t="n">
        <f aca="false">V1071/(1-Resumo!$C$5)</f>
        <v>227.090813636364</v>
      </c>
      <c r="X1071" s="39" t="n">
        <v>239.25</v>
      </c>
      <c r="Y1071" s="39" t="n">
        <f aca="false">J1071*Resumo!$B$6</f>
        <v>1.74998</v>
      </c>
      <c r="Z1071" s="39" t="n">
        <f aca="false">J1071*Resumo!$B$7</f>
        <v>3.49996</v>
      </c>
      <c r="AA1071" s="39" t="n">
        <f aca="false">Resumo!$B$9</f>
        <v>1</v>
      </c>
      <c r="AB1071" s="39" t="n">
        <f aca="false">Resumo!$B$10*CEILING(I1071/100,1)</f>
        <v>9</v>
      </c>
      <c r="AC1071" s="39" t="n">
        <f aca="false">Resumo!$B$12*CEILING(I1071,1)</f>
        <v>7.5</v>
      </c>
      <c r="AD1071" s="39" t="n">
        <f aca="false">Resumo!$B$14*CEILING(I1071,1)</f>
        <v>56.25</v>
      </c>
      <c r="AE1071" s="39" t="n">
        <f aca="false">SUM(X1071:AD1071)</f>
        <v>318.24994</v>
      </c>
      <c r="AF1071" s="39" t="n">
        <f aca="false">AE1071/(1-Resumo!$B$5)</f>
        <v>361.647659090909</v>
      </c>
      <c r="AG1071" s="39" t="n">
        <f aca="false">AF1071-W1071</f>
        <v>134.556845454545</v>
      </c>
      <c r="AH1071" s="40" t="n">
        <f aca="false">AF1071/W1071-1</f>
        <v>0.59252438837094</v>
      </c>
      <c r="AI1071" s="37" t="str">
        <f aca="false">IF(AF1071&lt;W1071,"SIM","NÃO")</f>
        <v>NÃO</v>
      </c>
      <c r="AJ1071" s="37" t="n">
        <v>2</v>
      </c>
      <c r="AK1071" s="37" t="n">
        <v>5</v>
      </c>
      <c r="AL1071" s="37" t="s">
        <v>343</v>
      </c>
      <c r="AM1071" s="39" t="n">
        <v>234.68</v>
      </c>
    </row>
    <row r="1072" customFormat="false" ht="15" hidden="false" customHeight="false" outlineLevel="0" collapsed="false">
      <c r="A1072" s="37" t="n">
        <v>377126631</v>
      </c>
      <c r="B1072" s="38" t="n">
        <v>46249.8963657407</v>
      </c>
      <c r="C1072" s="37" t="s">
        <v>345</v>
      </c>
      <c r="D1072" s="37" t="s">
        <v>1361</v>
      </c>
      <c r="E1072" s="37" t="n">
        <v>26130230</v>
      </c>
      <c r="F1072" s="37" t="s">
        <v>165</v>
      </c>
      <c r="G1072" s="37" t="s">
        <v>197</v>
      </c>
      <c r="H1072" s="37" t="s">
        <v>187</v>
      </c>
      <c r="I1072" s="37" t="n">
        <v>52.3</v>
      </c>
      <c r="J1072" s="39" t="n">
        <v>630</v>
      </c>
      <c r="K1072" s="37" t="s">
        <v>518</v>
      </c>
      <c r="L1072" s="39" t="n">
        <v>127.35</v>
      </c>
      <c r="M1072" s="39" t="n">
        <v>70.98</v>
      </c>
      <c r="N1072" s="39" t="n">
        <f aca="false">J1072*Resumo!$C$6</f>
        <v>0</v>
      </c>
      <c r="O1072" s="39" t="n">
        <f aca="false">J1072*Resumo!$C$7</f>
        <v>1.323</v>
      </c>
      <c r="P1072" s="39" t="n">
        <f aca="false">J1072*Resumo!$C$8</f>
        <v>1.323</v>
      </c>
      <c r="Q1072" s="39" t="n">
        <f aca="false">Resumo!$C$10*CEILING(I1072/100,1)</f>
        <v>1.05</v>
      </c>
      <c r="R1072" s="39" t="n">
        <f aca="false">Resumo!$C$9</f>
        <v>0</v>
      </c>
      <c r="S1072" s="39" t="n">
        <f aca="false">Resumo!$C$13</f>
        <v>13.55</v>
      </c>
      <c r="T1072" s="39" t="n">
        <f aca="false">Resumo!$C$14*CEILING(I1072,1)</f>
        <v>23.85</v>
      </c>
      <c r="U1072" s="39" t="n">
        <f aca="false">SUM(M1072:T1072)*Resumo!$C$11</f>
        <v>0</v>
      </c>
      <c r="V1072" s="39" t="n">
        <f aca="false">SUM(M1072:U1072)</f>
        <v>112.076</v>
      </c>
      <c r="W1072" s="39" t="n">
        <f aca="false">V1072/(1-Resumo!$C$5)</f>
        <v>127.359090909091</v>
      </c>
      <c r="X1072" s="39" t="n">
        <v>112.3</v>
      </c>
      <c r="Y1072" s="39" t="n">
        <f aca="false">J1072*Resumo!$B$6</f>
        <v>0.63</v>
      </c>
      <c r="Z1072" s="39" t="n">
        <f aca="false">J1072*Resumo!$B$7</f>
        <v>1.26</v>
      </c>
      <c r="AA1072" s="39" t="n">
        <f aca="false">Resumo!$B$9</f>
        <v>1</v>
      </c>
      <c r="AB1072" s="39" t="n">
        <f aca="false">Resumo!$B$10*CEILING(I1072/100,1)</f>
        <v>4.5</v>
      </c>
      <c r="AC1072" s="39" t="n">
        <f aca="false">Resumo!$B$12*CEILING(I1072,1)</f>
        <v>3.18</v>
      </c>
      <c r="AD1072" s="39" t="n">
        <f aca="false">Resumo!$B$14*CEILING(I1072,1)</f>
        <v>23.85</v>
      </c>
      <c r="AE1072" s="39" t="n">
        <f aca="false">SUM(X1072:AD1072)</f>
        <v>146.72</v>
      </c>
      <c r="AF1072" s="39" t="n">
        <f aca="false">AE1072/(1-Resumo!$B$5)</f>
        <v>166.727272727273</v>
      </c>
      <c r="AG1072" s="39" t="n">
        <f aca="false">AF1072-W1072</f>
        <v>39.3681818181818</v>
      </c>
      <c r="AH1072" s="40" t="n">
        <f aca="false">AF1072/W1072-1</f>
        <v>0.309111674221064</v>
      </c>
      <c r="AI1072" s="37" t="str">
        <f aca="false">IF(AF1072&lt;W1072,"SIM","NÃO")</f>
        <v>NÃO</v>
      </c>
      <c r="AJ1072" s="37" t="n">
        <v>2</v>
      </c>
      <c r="AK1072" s="37" t="n">
        <v>5</v>
      </c>
      <c r="AL1072" s="37" t="s">
        <v>343</v>
      </c>
      <c r="AM1072" s="39" t="n">
        <v>128.3</v>
      </c>
    </row>
    <row r="1073" customFormat="false" ht="15" hidden="false" customHeight="false" outlineLevel="0" collapsed="false">
      <c r="A1073" s="37" t="n">
        <v>377154301</v>
      </c>
      <c r="B1073" s="38" t="n">
        <v>46249.9426273148</v>
      </c>
      <c r="C1073" s="37" t="s">
        <v>340</v>
      </c>
      <c r="D1073" s="37" t="s">
        <v>1362</v>
      </c>
      <c r="E1073" s="37" t="n">
        <v>25565430</v>
      </c>
      <c r="F1073" s="37" t="s">
        <v>167</v>
      </c>
      <c r="G1073" s="37" t="s">
        <v>197</v>
      </c>
      <c r="H1073" s="37" t="s">
        <v>188</v>
      </c>
      <c r="I1073" s="37" t="n">
        <v>63.9</v>
      </c>
      <c r="J1073" s="39" t="n">
        <v>730.98</v>
      </c>
      <c r="K1073" s="37" t="s">
        <v>518</v>
      </c>
      <c r="L1073" s="39" t="n">
        <v>139.81</v>
      </c>
      <c r="M1073" s="39" t="n">
        <v>76.55</v>
      </c>
      <c r="N1073" s="39" t="n">
        <f aca="false">J1073*Resumo!$C$6</f>
        <v>0</v>
      </c>
      <c r="O1073" s="39" t="n">
        <f aca="false">J1073*Resumo!$C$7</f>
        <v>1.535058</v>
      </c>
      <c r="P1073" s="39" t="n">
        <f aca="false">J1073*Resumo!$C$8</f>
        <v>1.535058</v>
      </c>
      <c r="Q1073" s="39" t="n">
        <f aca="false">Resumo!$C$10*CEILING(I1073/100,1)</f>
        <v>1.05</v>
      </c>
      <c r="R1073" s="39" t="n">
        <f aca="false">Resumo!$C$9</f>
        <v>0</v>
      </c>
      <c r="S1073" s="39" t="n">
        <f aca="false">Resumo!$C$13</f>
        <v>13.55</v>
      </c>
      <c r="T1073" s="39" t="n">
        <f aca="false">Resumo!$C$14*CEILING(I1073,1)</f>
        <v>28.8</v>
      </c>
      <c r="U1073" s="39" t="n">
        <f aca="false">SUM(M1073:T1073)*Resumo!$C$11</f>
        <v>0</v>
      </c>
      <c r="V1073" s="39" t="n">
        <f aca="false">SUM(M1073:U1073)</f>
        <v>123.020116</v>
      </c>
      <c r="W1073" s="39" t="n">
        <f aca="false">V1073/(1-Resumo!$C$5)</f>
        <v>139.795586363636</v>
      </c>
      <c r="X1073" s="39" t="n">
        <v>131.02</v>
      </c>
      <c r="Y1073" s="39" t="n">
        <f aca="false">J1073*Resumo!$B$6</f>
        <v>0.73098</v>
      </c>
      <c r="Z1073" s="39" t="n">
        <f aca="false">J1073*Resumo!$B$7</f>
        <v>1.46196</v>
      </c>
      <c r="AA1073" s="39" t="n">
        <f aca="false">Resumo!$B$9</f>
        <v>1</v>
      </c>
      <c r="AB1073" s="39" t="n">
        <f aca="false">Resumo!$B$10*CEILING(I1073/100,1)</f>
        <v>4.5</v>
      </c>
      <c r="AC1073" s="39" t="n">
        <f aca="false">Resumo!$B$12*CEILING(I1073,1)</f>
        <v>3.84</v>
      </c>
      <c r="AD1073" s="39" t="n">
        <f aca="false">Resumo!$B$14*CEILING(I1073,1)</f>
        <v>28.8</v>
      </c>
      <c r="AE1073" s="39" t="n">
        <f aca="false">SUM(X1073:AD1073)</f>
        <v>171.35294</v>
      </c>
      <c r="AF1073" s="39" t="n">
        <f aca="false">AE1073/(1-Resumo!$B$5)</f>
        <v>194.71925</v>
      </c>
      <c r="AG1073" s="39" t="n">
        <f aca="false">AF1073-W1073</f>
        <v>54.9236636363636</v>
      </c>
      <c r="AH1073" s="40" t="n">
        <f aca="false">AF1073/W1073-1</f>
        <v>0.392885534264982</v>
      </c>
      <c r="AI1073" s="37" t="str">
        <f aca="false">IF(AF1073&lt;W1073,"SIM","NÃO")</f>
        <v>NÃO</v>
      </c>
      <c r="AJ1073" s="37" t="n">
        <v>2</v>
      </c>
      <c r="AK1073" s="37" t="n">
        <v>5</v>
      </c>
      <c r="AL1073" s="37" t="s">
        <v>343</v>
      </c>
      <c r="AM1073" s="39" t="n">
        <v>139.94</v>
      </c>
    </row>
    <row r="1074" customFormat="false" ht="15" hidden="false" customHeight="false" outlineLevel="0" collapsed="false">
      <c r="A1074" s="37" t="n">
        <v>377190211</v>
      </c>
      <c r="B1074" s="38" t="n">
        <v>46250.0084259259</v>
      </c>
      <c r="C1074" s="37" t="s">
        <v>340</v>
      </c>
      <c r="D1074" s="37" t="s">
        <v>1363</v>
      </c>
      <c r="E1074" s="37" t="n">
        <v>22743040</v>
      </c>
      <c r="F1074" s="37" t="s">
        <v>159</v>
      </c>
      <c r="G1074" s="37" t="s">
        <v>196</v>
      </c>
      <c r="H1074" s="37" t="s">
        <v>187</v>
      </c>
      <c r="I1074" s="37" t="n">
        <v>52.3</v>
      </c>
      <c r="J1074" s="39" t="n">
        <v>699.99</v>
      </c>
      <c r="K1074" s="37" t="s">
        <v>342</v>
      </c>
      <c r="L1074" s="39" t="n">
        <v>114.5</v>
      </c>
      <c r="M1074" s="39" t="n">
        <v>58.6</v>
      </c>
      <c r="N1074" s="39" t="n">
        <f aca="false">J1074*Resumo!$C$6</f>
        <v>0</v>
      </c>
      <c r="O1074" s="39" t="n">
        <f aca="false">J1074*Resumo!$C$7</f>
        <v>1.469979</v>
      </c>
      <c r="P1074" s="39" t="n">
        <f aca="false">J1074*Resumo!$C$8</f>
        <v>1.469979</v>
      </c>
      <c r="Q1074" s="39" t="n">
        <f aca="false">Resumo!$C$10*CEILING(I1074/100,1)</f>
        <v>1.05</v>
      </c>
      <c r="R1074" s="39" t="n">
        <f aca="false">Resumo!$C$9</f>
        <v>0</v>
      </c>
      <c r="S1074" s="39" t="n">
        <f aca="false">Resumo!$C$13</f>
        <v>13.55</v>
      </c>
      <c r="T1074" s="39" t="n">
        <f aca="false">Resumo!$C$14*CEILING(I1074,1)</f>
        <v>23.85</v>
      </c>
      <c r="U1074" s="39" t="n">
        <f aca="false">SUM(M1074:T1074)*Resumo!$C$11</f>
        <v>0</v>
      </c>
      <c r="V1074" s="39" t="n">
        <f aca="false">SUM(M1074:U1074)</f>
        <v>99.989958</v>
      </c>
      <c r="W1074" s="39" t="n">
        <f aca="false">V1074/(1-Resumo!$C$5)</f>
        <v>113.624952272727</v>
      </c>
      <c r="X1074" s="39" t="n">
        <v>112.3</v>
      </c>
      <c r="Y1074" s="39" t="n">
        <f aca="false">J1074*Resumo!$B$6</f>
        <v>0.69999</v>
      </c>
      <c r="Z1074" s="39" t="n">
        <f aca="false">J1074*Resumo!$B$7</f>
        <v>1.39998</v>
      </c>
      <c r="AA1074" s="39" t="n">
        <f aca="false">Resumo!$B$9</f>
        <v>1</v>
      </c>
      <c r="AB1074" s="39" t="n">
        <f aca="false">Resumo!$B$10*CEILING(I1074/100,1)</f>
        <v>4.5</v>
      </c>
      <c r="AC1074" s="39" t="n">
        <f aca="false">Resumo!$B$12*CEILING(I1074,1)</f>
        <v>3.18</v>
      </c>
      <c r="AD1074" s="39" t="n">
        <f aca="false">Resumo!$B$14*CEILING(I1074,1)</f>
        <v>23.85</v>
      </c>
      <c r="AE1074" s="39" t="n">
        <f aca="false">SUM(X1074:AD1074)</f>
        <v>146.92997</v>
      </c>
      <c r="AF1074" s="39" t="n">
        <f aca="false">AE1074/(1-Resumo!$B$5)</f>
        <v>166.965875</v>
      </c>
      <c r="AG1074" s="39" t="n">
        <f aca="false">AF1074-W1074</f>
        <v>53.3409227272727</v>
      </c>
      <c r="AH1074" s="40" t="n">
        <f aca="false">AF1074/W1074-1</f>
        <v>0.469447261894039</v>
      </c>
      <c r="AI1074" s="37" t="str">
        <f aca="false">IF(AF1074&lt;W1074,"SIM","NÃO")</f>
        <v>NÃO</v>
      </c>
      <c r="AJ1074" s="37" t="n">
        <v>2</v>
      </c>
      <c r="AK1074" s="37" t="n">
        <v>5</v>
      </c>
      <c r="AL1074" s="37" t="s">
        <v>343</v>
      </c>
      <c r="AM1074" s="39" t="n">
        <v>114.5</v>
      </c>
    </row>
    <row r="1075" customFormat="false" ht="15" hidden="false" customHeight="false" outlineLevel="0" collapsed="false">
      <c r="A1075" s="37" t="n">
        <v>377193013</v>
      </c>
      <c r="B1075" s="38" t="n">
        <v>46250.0137037037</v>
      </c>
      <c r="C1075" s="37" t="s">
        <v>340</v>
      </c>
      <c r="D1075" s="37" t="s">
        <v>1364</v>
      </c>
      <c r="E1075" s="37" t="n">
        <v>23097692</v>
      </c>
      <c r="F1075" s="37" t="s">
        <v>159</v>
      </c>
      <c r="G1075" s="37" t="s">
        <v>196</v>
      </c>
      <c r="H1075" s="37" t="s">
        <v>183</v>
      </c>
      <c r="I1075" s="37" t="n">
        <v>17.2</v>
      </c>
      <c r="J1075" s="39" t="n">
        <v>223.34</v>
      </c>
      <c r="K1075" s="37" t="s">
        <v>518</v>
      </c>
      <c r="L1075" s="39" t="n">
        <v>64.84</v>
      </c>
      <c r="M1075" s="39" t="n">
        <v>33.42</v>
      </c>
      <c r="N1075" s="39" t="n">
        <f aca="false">J1075*Resumo!$C$6</f>
        <v>0</v>
      </c>
      <c r="O1075" s="39" t="n">
        <f aca="false">J1075*Resumo!$C$7</f>
        <v>0.469014</v>
      </c>
      <c r="P1075" s="39" t="n">
        <f aca="false">J1075*Resumo!$C$8</f>
        <v>0.469014</v>
      </c>
      <c r="Q1075" s="39" t="n">
        <f aca="false">Resumo!$C$10*CEILING(I1075/100,1)</f>
        <v>1.05</v>
      </c>
      <c r="R1075" s="39" t="n">
        <f aca="false">Resumo!$C$9</f>
        <v>0</v>
      </c>
      <c r="S1075" s="39" t="n">
        <f aca="false">Resumo!$C$13</f>
        <v>13.55</v>
      </c>
      <c r="T1075" s="39" t="n">
        <f aca="false">Resumo!$C$14*CEILING(I1075,1)</f>
        <v>8.1</v>
      </c>
      <c r="U1075" s="39" t="n">
        <f aca="false">SUM(M1075:T1075)*Resumo!$C$11</f>
        <v>0</v>
      </c>
      <c r="V1075" s="39" t="n">
        <f aca="false">SUM(M1075:U1075)</f>
        <v>57.058028</v>
      </c>
      <c r="W1075" s="39" t="n">
        <f aca="false">V1075/(1-Resumo!$C$5)</f>
        <v>64.8386681818182</v>
      </c>
      <c r="X1075" s="39" t="n">
        <v>46.98</v>
      </c>
      <c r="Y1075" s="39" t="n">
        <f aca="false">J1075*Resumo!$B$6</f>
        <v>0.22334</v>
      </c>
      <c r="Z1075" s="39" t="n">
        <f aca="false">J1075*Resumo!$B$7</f>
        <v>0.44668</v>
      </c>
      <c r="AA1075" s="39" t="n">
        <f aca="false">Resumo!$B$9</f>
        <v>1</v>
      </c>
      <c r="AB1075" s="39" t="n">
        <f aca="false">Resumo!$B$10*CEILING(I1075/100,1)</f>
        <v>4.5</v>
      </c>
      <c r="AC1075" s="39" t="n">
        <f aca="false">Resumo!$B$12*CEILING(I1075,1)</f>
        <v>1.08</v>
      </c>
      <c r="AD1075" s="39" t="n">
        <f aca="false">Resumo!$B$14*CEILING(I1075,1)</f>
        <v>8.1</v>
      </c>
      <c r="AE1075" s="39" t="n">
        <f aca="false">SUM(X1075:AD1075)</f>
        <v>62.33002</v>
      </c>
      <c r="AF1075" s="39" t="n">
        <f aca="false">AE1075/(1-Resumo!$B$5)</f>
        <v>70.8295681818182</v>
      </c>
      <c r="AG1075" s="39" t="n">
        <f aca="false">AF1075-W1075</f>
        <v>5.99089999999998</v>
      </c>
      <c r="AH1075" s="40" t="n">
        <f aca="false">AF1075/W1075-1</f>
        <v>0.0923970243065531</v>
      </c>
      <c r="AI1075" s="37" t="str">
        <f aca="false">IF(AF1075&lt;W1075,"SIM","NÃO")</f>
        <v>NÃO</v>
      </c>
      <c r="AJ1075" s="37" t="n">
        <v>2</v>
      </c>
      <c r="AK1075" s="37" t="n">
        <v>5</v>
      </c>
      <c r="AL1075" s="37" t="s">
        <v>343</v>
      </c>
      <c r="AM1075" s="39" t="n">
        <v>64.29</v>
      </c>
    </row>
    <row r="1076" customFormat="false" ht="15" hidden="false" customHeight="false" outlineLevel="0" collapsed="false">
      <c r="A1076" s="37" t="n">
        <v>377209137</v>
      </c>
      <c r="B1076" s="38" t="n">
        <v>46250.0447569444</v>
      </c>
      <c r="C1076" s="37" t="s">
        <v>340</v>
      </c>
      <c r="D1076" s="37" t="s">
        <v>1365</v>
      </c>
      <c r="E1076" s="37" t="n">
        <v>21230330</v>
      </c>
      <c r="F1076" s="37" t="s">
        <v>159</v>
      </c>
      <c r="G1076" s="37" t="s">
        <v>196</v>
      </c>
      <c r="H1076" s="37" t="s">
        <v>185</v>
      </c>
      <c r="I1076" s="37" t="n">
        <v>37.6</v>
      </c>
      <c r="J1076" s="39" t="n">
        <v>383.12</v>
      </c>
      <c r="K1076" s="37" t="s">
        <v>342</v>
      </c>
      <c r="L1076" s="39" t="n">
        <v>91.7</v>
      </c>
      <c r="M1076" s="39" t="n">
        <v>48.35</v>
      </c>
      <c r="N1076" s="39" t="n">
        <f aca="false">J1076*Resumo!$C$6</f>
        <v>0</v>
      </c>
      <c r="O1076" s="39" t="n">
        <f aca="false">J1076*Resumo!$C$7</f>
        <v>0.804552</v>
      </c>
      <c r="P1076" s="39" t="n">
        <f aca="false">J1076*Resumo!$C$8</f>
        <v>0.804552</v>
      </c>
      <c r="Q1076" s="39" t="n">
        <f aca="false">Resumo!$C$10*CEILING(I1076/100,1)</f>
        <v>1.05</v>
      </c>
      <c r="R1076" s="39" t="n">
        <f aca="false">Resumo!$C$9</f>
        <v>0</v>
      </c>
      <c r="S1076" s="39" t="n">
        <f aca="false">Resumo!$C$13</f>
        <v>13.55</v>
      </c>
      <c r="T1076" s="39" t="n">
        <f aca="false">Resumo!$C$14*CEILING(I1076,1)</f>
        <v>17.1</v>
      </c>
      <c r="U1076" s="39" t="n">
        <f aca="false">SUM(M1076:T1076)*Resumo!$C$11</f>
        <v>0</v>
      </c>
      <c r="V1076" s="39" t="n">
        <f aca="false">SUM(M1076:U1076)</f>
        <v>81.659104</v>
      </c>
      <c r="W1076" s="39" t="n">
        <f aca="false">V1076/(1-Resumo!$C$5)</f>
        <v>92.7944363636364</v>
      </c>
      <c r="X1076" s="39" t="n">
        <v>93.97</v>
      </c>
      <c r="Y1076" s="39" t="n">
        <f aca="false">J1076*Resumo!$B$6</f>
        <v>0.38312</v>
      </c>
      <c r="Z1076" s="39" t="n">
        <f aca="false">J1076*Resumo!$B$7</f>
        <v>0.76624</v>
      </c>
      <c r="AA1076" s="39" t="n">
        <f aca="false">Resumo!$B$9</f>
        <v>1</v>
      </c>
      <c r="AB1076" s="39" t="n">
        <f aca="false">Resumo!$B$10*CEILING(I1076/100,1)</f>
        <v>4.5</v>
      </c>
      <c r="AC1076" s="39" t="n">
        <f aca="false">Resumo!$B$12*CEILING(I1076,1)</f>
        <v>2.28</v>
      </c>
      <c r="AD1076" s="39" t="n">
        <f aca="false">Resumo!$B$14*CEILING(I1076,1)</f>
        <v>17.1</v>
      </c>
      <c r="AE1076" s="39" t="n">
        <f aca="false">SUM(X1076:AD1076)</f>
        <v>119.99936</v>
      </c>
      <c r="AF1076" s="39" t="n">
        <f aca="false">AE1076/(1-Resumo!$B$5)</f>
        <v>136.362909090909</v>
      </c>
      <c r="AG1076" s="39" t="n">
        <f aca="false">AF1076-W1076</f>
        <v>43.5684727272727</v>
      </c>
      <c r="AH1076" s="40" t="n">
        <f aca="false">AF1076/W1076-1</f>
        <v>0.469516001547115</v>
      </c>
      <c r="AI1076" s="37" t="str">
        <f aca="false">IF(AF1076&lt;W1076,"SIM","NÃO")</f>
        <v>NÃO</v>
      </c>
      <c r="AJ1076" s="37" t="n">
        <v>2</v>
      </c>
      <c r="AK1076" s="37" t="n">
        <v>5</v>
      </c>
      <c r="AL1076" s="37" t="s">
        <v>343</v>
      </c>
      <c r="AM1076" s="39" t="n">
        <v>91.69</v>
      </c>
    </row>
    <row r="1077" customFormat="false" ht="15" hidden="false" customHeight="false" outlineLevel="0" collapsed="false">
      <c r="A1077" s="37" t="n">
        <v>377320412</v>
      </c>
      <c r="B1077" s="38" t="n">
        <v>46250.2839583333</v>
      </c>
      <c r="C1077" s="37" t="s">
        <v>340</v>
      </c>
      <c r="D1077" s="37" t="s">
        <v>1366</v>
      </c>
      <c r="E1077" s="37" t="n">
        <v>23033020</v>
      </c>
      <c r="F1077" s="37" t="s">
        <v>159</v>
      </c>
      <c r="G1077" s="37" t="s">
        <v>196</v>
      </c>
      <c r="H1077" s="37" t="s">
        <v>186</v>
      </c>
      <c r="I1077" s="37" t="n">
        <v>46.8</v>
      </c>
      <c r="J1077" s="39" t="n">
        <v>506.56</v>
      </c>
      <c r="K1077" s="37" t="s">
        <v>518</v>
      </c>
      <c r="L1077" s="39" t="n">
        <v>103.89</v>
      </c>
      <c r="M1077" s="39" t="n">
        <v>53.55</v>
      </c>
      <c r="N1077" s="39" t="n">
        <f aca="false">J1077*Resumo!$C$6</f>
        <v>0</v>
      </c>
      <c r="O1077" s="39" t="n">
        <f aca="false">J1077*Resumo!$C$7</f>
        <v>1.063776</v>
      </c>
      <c r="P1077" s="39" t="n">
        <f aca="false">J1077*Resumo!$C$8</f>
        <v>1.063776</v>
      </c>
      <c r="Q1077" s="39" t="n">
        <f aca="false">Resumo!$C$10*CEILING(I1077/100,1)</f>
        <v>1.05</v>
      </c>
      <c r="R1077" s="39" t="n">
        <f aca="false">Resumo!$C$9</f>
        <v>0</v>
      </c>
      <c r="S1077" s="39" t="n">
        <f aca="false">Resumo!$C$13</f>
        <v>13.55</v>
      </c>
      <c r="T1077" s="39" t="n">
        <f aca="false">Resumo!$C$14*CEILING(I1077,1)</f>
        <v>21.15</v>
      </c>
      <c r="U1077" s="39" t="n">
        <f aca="false">SUM(M1077:T1077)*Resumo!$C$11</f>
        <v>0</v>
      </c>
      <c r="V1077" s="39" t="n">
        <f aca="false">SUM(M1077:U1077)</f>
        <v>91.427552</v>
      </c>
      <c r="W1077" s="39" t="n">
        <f aca="false">V1077/(1-Resumo!$C$5)</f>
        <v>103.894945454545</v>
      </c>
      <c r="X1077" s="39" t="n">
        <v>93.97</v>
      </c>
      <c r="Y1077" s="39" t="n">
        <f aca="false">J1077*Resumo!$B$6</f>
        <v>0.50656</v>
      </c>
      <c r="Z1077" s="39" t="n">
        <f aca="false">J1077*Resumo!$B$7</f>
        <v>1.01312</v>
      </c>
      <c r="AA1077" s="39" t="n">
        <f aca="false">Resumo!$B$9</f>
        <v>1</v>
      </c>
      <c r="AB1077" s="39" t="n">
        <f aca="false">Resumo!$B$10*CEILING(I1077/100,1)</f>
        <v>4.5</v>
      </c>
      <c r="AC1077" s="39" t="n">
        <f aca="false">Resumo!$B$12*CEILING(I1077,1)</f>
        <v>2.82</v>
      </c>
      <c r="AD1077" s="39" t="n">
        <f aca="false">Resumo!$B$14*CEILING(I1077,1)</f>
        <v>21.15</v>
      </c>
      <c r="AE1077" s="39" t="n">
        <f aca="false">SUM(X1077:AD1077)</f>
        <v>124.95968</v>
      </c>
      <c r="AF1077" s="39" t="n">
        <f aca="false">AE1077/(1-Resumo!$B$5)</f>
        <v>141.999636363636</v>
      </c>
      <c r="AG1077" s="39" t="n">
        <f aca="false">AF1077-W1077</f>
        <v>38.1046909090909</v>
      </c>
      <c r="AH1077" s="40" t="n">
        <f aca="false">AF1077/W1077-1</f>
        <v>0.366761739393394</v>
      </c>
      <c r="AI1077" s="37" t="str">
        <f aca="false">IF(AF1077&lt;W1077,"SIM","NÃO")</f>
        <v>NÃO</v>
      </c>
      <c r="AJ1077" s="37" t="n">
        <v>2</v>
      </c>
      <c r="AK1077" s="37" t="n">
        <v>5</v>
      </c>
      <c r="AL1077" s="37" t="s">
        <v>343</v>
      </c>
      <c r="AM1077" s="39" t="n">
        <v>103.01</v>
      </c>
    </row>
    <row r="1078" customFormat="false" ht="15" hidden="false" customHeight="false" outlineLevel="0" collapsed="false">
      <c r="A1078" s="37" t="n">
        <v>377324801</v>
      </c>
      <c r="B1078" s="38" t="n">
        <v>46250.2933449074</v>
      </c>
      <c r="C1078" s="37" t="s">
        <v>340</v>
      </c>
      <c r="D1078" s="37" t="s">
        <v>1367</v>
      </c>
      <c r="E1078" s="37" t="n">
        <v>27135280</v>
      </c>
      <c r="F1078" s="37" t="s">
        <v>244</v>
      </c>
      <c r="G1078" s="37" t="s">
        <v>198</v>
      </c>
      <c r="H1078" s="37" t="s">
        <v>185</v>
      </c>
      <c r="I1078" s="37" t="n">
        <v>36.8</v>
      </c>
      <c r="J1078" s="39" t="n">
        <v>439.99</v>
      </c>
      <c r="K1078" s="37" t="s">
        <v>518</v>
      </c>
      <c r="L1078" s="39" t="n">
        <v>122.8</v>
      </c>
      <c r="M1078" s="39" t="n">
        <v>74.97</v>
      </c>
      <c r="N1078" s="39" t="n">
        <f aca="false">J1078*Resumo!$C$6</f>
        <v>0</v>
      </c>
      <c r="O1078" s="39" t="n">
        <f aca="false">J1078*Resumo!$C$7</f>
        <v>0.923979</v>
      </c>
      <c r="P1078" s="39" t="n">
        <f aca="false">J1078*Resumo!$C$8</f>
        <v>0.923979</v>
      </c>
      <c r="Q1078" s="39" t="n">
        <f aca="false">Resumo!$C$10*CEILING(I1078/100,1)</f>
        <v>1.05</v>
      </c>
      <c r="R1078" s="39" t="n">
        <f aca="false">Resumo!$C$9</f>
        <v>0</v>
      </c>
      <c r="S1078" s="39" t="n">
        <f aca="false">Resumo!$C$13</f>
        <v>13.55</v>
      </c>
      <c r="T1078" s="39" t="n">
        <f aca="false">Resumo!$C$14*CEILING(I1078,1)</f>
        <v>16.65</v>
      </c>
      <c r="U1078" s="39" t="n">
        <f aca="false">SUM(M1078:T1078)*Resumo!$C$11</f>
        <v>0</v>
      </c>
      <c r="V1078" s="39" t="n">
        <f aca="false">SUM(M1078:U1078)</f>
        <v>108.067958</v>
      </c>
      <c r="W1078" s="39" t="n">
        <f aca="false">V1078/(1-Resumo!$C$5)</f>
        <v>122.804497727273</v>
      </c>
      <c r="X1078" s="39" t="n">
        <v>124.38</v>
      </c>
      <c r="Y1078" s="39" t="n">
        <f aca="false">J1078*Resumo!$B$6</f>
        <v>0.43999</v>
      </c>
      <c r="Z1078" s="39" t="n">
        <f aca="false">J1078*Resumo!$B$7</f>
        <v>0.87998</v>
      </c>
      <c r="AA1078" s="39" t="n">
        <f aca="false">Resumo!$B$9</f>
        <v>1</v>
      </c>
      <c r="AB1078" s="39" t="n">
        <f aca="false">Resumo!$B$10*CEILING(I1078/100,1)</f>
        <v>4.5</v>
      </c>
      <c r="AC1078" s="39" t="n">
        <f aca="false">Resumo!$B$12*CEILING(I1078,1)</f>
        <v>2.22</v>
      </c>
      <c r="AD1078" s="39" t="n">
        <f aca="false">Resumo!$B$14*CEILING(I1078,1)</f>
        <v>16.65</v>
      </c>
      <c r="AE1078" s="39" t="n">
        <f aca="false">SUM(X1078:AD1078)</f>
        <v>150.06997</v>
      </c>
      <c r="AF1078" s="39" t="n">
        <f aca="false">AE1078/(1-Resumo!$B$5)</f>
        <v>170.534056818182</v>
      </c>
      <c r="AG1078" s="39" t="n">
        <f aca="false">AF1078-W1078</f>
        <v>47.7295590909091</v>
      </c>
      <c r="AH1078" s="40" t="n">
        <f aca="false">AF1078/W1078-1</f>
        <v>0.388662955952217</v>
      </c>
      <c r="AI1078" s="37" t="str">
        <f aca="false">IF(AF1078&lt;W1078,"SIM","NÃO")</f>
        <v>NÃO</v>
      </c>
      <c r="AJ1078" s="37" t="n">
        <v>13</v>
      </c>
      <c r="AK1078" s="37" t="n">
        <v>10</v>
      </c>
      <c r="AL1078" s="37" t="s">
        <v>347</v>
      </c>
      <c r="AM1078" s="39" t="n">
        <v>122.36</v>
      </c>
    </row>
    <row r="1079" customFormat="false" ht="15" hidden="false" customHeight="false" outlineLevel="0" collapsed="false">
      <c r="A1079" s="37" t="n">
        <v>377331088</v>
      </c>
      <c r="B1079" s="38" t="n">
        <v>46250.3071296296</v>
      </c>
      <c r="C1079" s="37" t="s">
        <v>340</v>
      </c>
      <c r="D1079" s="37" t="s">
        <v>1368</v>
      </c>
      <c r="E1079" s="37" t="n">
        <v>27277210</v>
      </c>
      <c r="F1079" s="37" t="s">
        <v>168</v>
      </c>
      <c r="G1079" s="37" t="s">
        <v>198</v>
      </c>
      <c r="H1079" s="37" t="s">
        <v>188</v>
      </c>
      <c r="I1079" s="37" t="n">
        <v>63.9</v>
      </c>
      <c r="J1079" s="39" t="n">
        <v>799.99</v>
      </c>
      <c r="K1079" s="37" t="s">
        <v>518</v>
      </c>
      <c r="L1079" s="39" t="n">
        <v>155.64</v>
      </c>
      <c r="M1079" s="39" t="n">
        <v>90.2</v>
      </c>
      <c r="N1079" s="39" t="n">
        <f aca="false">J1079*Resumo!$C$6</f>
        <v>0</v>
      </c>
      <c r="O1079" s="39" t="n">
        <f aca="false">J1079*Resumo!$C$7</f>
        <v>1.679979</v>
      </c>
      <c r="P1079" s="39" t="n">
        <f aca="false">J1079*Resumo!$C$8</f>
        <v>1.679979</v>
      </c>
      <c r="Q1079" s="39" t="n">
        <f aca="false">Resumo!$C$10*CEILING(I1079/100,1)</f>
        <v>1.05</v>
      </c>
      <c r="R1079" s="39" t="n">
        <f aca="false">Resumo!$C$9</f>
        <v>0</v>
      </c>
      <c r="S1079" s="39" t="n">
        <f aca="false">Resumo!$C$13</f>
        <v>13.55</v>
      </c>
      <c r="T1079" s="39" t="n">
        <f aca="false">Resumo!$C$14*CEILING(I1079,1)</f>
        <v>28.8</v>
      </c>
      <c r="U1079" s="39" t="n">
        <f aca="false">SUM(M1079:T1079)*Resumo!$C$11</f>
        <v>0</v>
      </c>
      <c r="V1079" s="39" t="n">
        <f aca="false">SUM(M1079:U1079)</f>
        <v>136.959958</v>
      </c>
      <c r="W1079" s="39" t="n">
        <f aca="false">V1079/(1-Resumo!$C$5)</f>
        <v>155.636315909091</v>
      </c>
      <c r="X1079" s="39" t="n">
        <v>166.05</v>
      </c>
      <c r="Y1079" s="39" t="n">
        <f aca="false">J1079*Resumo!$B$6</f>
        <v>0.79999</v>
      </c>
      <c r="Z1079" s="39" t="n">
        <f aca="false">J1079*Resumo!$B$7</f>
        <v>1.59998</v>
      </c>
      <c r="AA1079" s="39" t="n">
        <f aca="false">Resumo!$B$9</f>
        <v>1</v>
      </c>
      <c r="AB1079" s="39" t="n">
        <f aca="false">Resumo!$B$10*CEILING(I1079/100,1)</f>
        <v>4.5</v>
      </c>
      <c r="AC1079" s="39" t="n">
        <f aca="false">Resumo!$B$12*CEILING(I1079,1)</f>
        <v>3.84</v>
      </c>
      <c r="AD1079" s="39" t="n">
        <f aca="false">Resumo!$B$14*CEILING(I1079,1)</f>
        <v>28.8</v>
      </c>
      <c r="AE1079" s="39" t="n">
        <f aca="false">SUM(X1079:AD1079)</f>
        <v>206.58997</v>
      </c>
      <c r="AF1079" s="39" t="n">
        <f aca="false">AE1079/(1-Resumo!$B$5)</f>
        <v>234.761329545455</v>
      </c>
      <c r="AG1079" s="39" t="n">
        <f aca="false">AF1079-W1079</f>
        <v>79.1250136363637</v>
      </c>
      <c r="AH1079" s="40" t="n">
        <f aca="false">AF1079/W1079-1</f>
        <v>0.508396855670765</v>
      </c>
      <c r="AI1079" s="37" t="str">
        <f aca="false">IF(AF1079&lt;W1079,"SIM","NÃO")</f>
        <v>NÃO</v>
      </c>
      <c r="AJ1079" s="37" t="n">
        <v>13</v>
      </c>
      <c r="AK1079" s="37" t="n">
        <v>10</v>
      </c>
      <c r="AL1079" s="37" t="s">
        <v>343</v>
      </c>
      <c r="AM1079" s="39" t="n">
        <v>155.85</v>
      </c>
    </row>
    <row r="1080" customFormat="false" ht="15" hidden="false" customHeight="false" outlineLevel="0" collapsed="false">
      <c r="A1080" s="37" t="n">
        <v>377331245</v>
      </c>
      <c r="B1080" s="38" t="n">
        <v>46250.3098032407</v>
      </c>
      <c r="C1080" s="37" t="s">
        <v>372</v>
      </c>
      <c r="D1080" s="37" t="s">
        <v>1369</v>
      </c>
      <c r="E1080" s="37" t="n">
        <v>20960008</v>
      </c>
      <c r="F1080" s="37" t="s">
        <v>159</v>
      </c>
      <c r="G1080" s="37" t="s">
        <v>196</v>
      </c>
      <c r="H1080" s="37" t="s">
        <v>185</v>
      </c>
      <c r="I1080" s="37" t="n">
        <v>39</v>
      </c>
      <c r="J1080" s="39" t="n">
        <v>550.99</v>
      </c>
      <c r="K1080" s="37" t="s">
        <v>342</v>
      </c>
      <c r="L1080" s="39" t="n">
        <v>92.49</v>
      </c>
      <c r="M1080" s="39" t="n">
        <v>48.35</v>
      </c>
      <c r="N1080" s="39" t="n">
        <f aca="false">J1080*Resumo!$C$6</f>
        <v>0</v>
      </c>
      <c r="O1080" s="39" t="n">
        <f aca="false">J1080*Resumo!$C$7</f>
        <v>1.157079</v>
      </c>
      <c r="P1080" s="39" t="n">
        <f aca="false">J1080*Resumo!$C$8</f>
        <v>1.157079</v>
      </c>
      <c r="Q1080" s="39" t="n">
        <f aca="false">Resumo!$C$10*CEILING(I1080/100,1)</f>
        <v>1.05</v>
      </c>
      <c r="R1080" s="39" t="n">
        <f aca="false">Resumo!$C$9</f>
        <v>0</v>
      </c>
      <c r="S1080" s="39" t="n">
        <f aca="false">Resumo!$C$13</f>
        <v>13.55</v>
      </c>
      <c r="T1080" s="39" t="n">
        <f aca="false">Resumo!$C$14*CEILING(I1080,1)</f>
        <v>17.55</v>
      </c>
      <c r="U1080" s="39" t="n">
        <f aca="false">SUM(M1080:T1080)*Resumo!$C$11</f>
        <v>0</v>
      </c>
      <c r="V1080" s="39" t="n">
        <f aca="false">SUM(M1080:U1080)</f>
        <v>82.814158</v>
      </c>
      <c r="W1080" s="39" t="n">
        <f aca="false">V1080/(1-Resumo!$C$5)</f>
        <v>94.1069977272727</v>
      </c>
      <c r="X1080" s="39" t="n">
        <v>93.97</v>
      </c>
      <c r="Y1080" s="39" t="n">
        <f aca="false">J1080*Resumo!$B$6</f>
        <v>0.55099</v>
      </c>
      <c r="Z1080" s="39" t="n">
        <f aca="false">J1080*Resumo!$B$7</f>
        <v>1.10198</v>
      </c>
      <c r="AA1080" s="39" t="n">
        <f aca="false">Resumo!$B$9</f>
        <v>1</v>
      </c>
      <c r="AB1080" s="39" t="n">
        <f aca="false">Resumo!$B$10*CEILING(I1080/100,1)</f>
        <v>4.5</v>
      </c>
      <c r="AC1080" s="39" t="n">
        <f aca="false">Resumo!$B$12*CEILING(I1080,1)</f>
        <v>2.34</v>
      </c>
      <c r="AD1080" s="39" t="n">
        <f aca="false">Resumo!$B$14*CEILING(I1080,1)</f>
        <v>17.55</v>
      </c>
      <c r="AE1080" s="39" t="n">
        <f aca="false">SUM(X1080:AD1080)</f>
        <v>121.01297</v>
      </c>
      <c r="AF1080" s="39" t="n">
        <f aca="false">AE1080/(1-Resumo!$B$5)</f>
        <v>137.514738636364</v>
      </c>
      <c r="AG1080" s="39" t="n">
        <f aca="false">AF1080-W1080</f>
        <v>43.4077409090909</v>
      </c>
      <c r="AH1080" s="40" t="n">
        <f aca="false">AF1080/W1080-1</f>
        <v>0.461259438271412</v>
      </c>
      <c r="AI1080" s="37" t="str">
        <f aca="false">IF(AF1080&lt;W1080,"SIM","NÃO")</f>
        <v>NÃO</v>
      </c>
      <c r="AJ1080" s="37" t="n">
        <v>2</v>
      </c>
      <c r="AK1080" s="37" t="n">
        <v>5</v>
      </c>
      <c r="AL1080" s="37" t="s">
        <v>343</v>
      </c>
      <c r="AM1080" s="39" t="n">
        <v>92.5</v>
      </c>
    </row>
    <row r="1081" customFormat="false" ht="15" hidden="false" customHeight="false" outlineLevel="0" collapsed="false">
      <c r="A1081" s="37" t="n">
        <v>377348609</v>
      </c>
      <c r="B1081" s="38" t="n">
        <v>46250.3422222222</v>
      </c>
      <c r="C1081" s="37" t="s">
        <v>340</v>
      </c>
      <c r="D1081" s="37" t="s">
        <v>1370</v>
      </c>
      <c r="E1081" s="37" t="n">
        <v>21760360</v>
      </c>
      <c r="F1081" s="37" t="s">
        <v>159</v>
      </c>
      <c r="G1081" s="37" t="s">
        <v>196</v>
      </c>
      <c r="H1081" s="37" t="s">
        <v>183</v>
      </c>
      <c r="I1081" s="37" t="n">
        <v>19.5</v>
      </c>
      <c r="J1081" s="39" t="n">
        <v>379.99</v>
      </c>
      <c r="K1081" s="37" t="s">
        <v>342</v>
      </c>
      <c r="L1081" s="39" t="n">
        <v>65.03</v>
      </c>
      <c r="M1081" s="39" t="n">
        <v>33.42</v>
      </c>
      <c r="N1081" s="39" t="n">
        <f aca="false">J1081*Resumo!$C$6</f>
        <v>0</v>
      </c>
      <c r="O1081" s="39" t="n">
        <f aca="false">J1081*Resumo!$C$7</f>
        <v>0.797979</v>
      </c>
      <c r="P1081" s="39" t="n">
        <f aca="false">J1081*Resumo!$C$8</f>
        <v>0.797979</v>
      </c>
      <c r="Q1081" s="39" t="n">
        <f aca="false">Resumo!$C$10*CEILING(I1081/100,1)</f>
        <v>1.05</v>
      </c>
      <c r="R1081" s="39" t="n">
        <f aca="false">Resumo!$C$9</f>
        <v>0</v>
      </c>
      <c r="S1081" s="39" t="n">
        <f aca="false">Resumo!$C$13</f>
        <v>13.55</v>
      </c>
      <c r="T1081" s="39" t="n">
        <f aca="false">Resumo!$C$14*CEILING(I1081,1)</f>
        <v>9</v>
      </c>
      <c r="U1081" s="39" t="n">
        <f aca="false">SUM(M1081:T1081)*Resumo!$C$11</f>
        <v>0</v>
      </c>
      <c r="V1081" s="39" t="n">
        <f aca="false">SUM(M1081:U1081)</f>
        <v>58.615958</v>
      </c>
      <c r="W1081" s="39" t="n">
        <f aca="false">V1081/(1-Resumo!$C$5)</f>
        <v>66.6090431818182</v>
      </c>
      <c r="X1081" s="39" t="n">
        <v>46.98</v>
      </c>
      <c r="Y1081" s="39" t="n">
        <f aca="false">J1081*Resumo!$B$6</f>
        <v>0.37999</v>
      </c>
      <c r="Z1081" s="39" t="n">
        <f aca="false">J1081*Resumo!$B$7</f>
        <v>0.75998</v>
      </c>
      <c r="AA1081" s="39" t="n">
        <f aca="false">Resumo!$B$9</f>
        <v>1</v>
      </c>
      <c r="AB1081" s="39" t="n">
        <f aca="false">Resumo!$B$10*CEILING(I1081/100,1)</f>
        <v>4.5</v>
      </c>
      <c r="AC1081" s="39" t="n">
        <f aca="false">Resumo!$B$12*CEILING(I1081,1)</f>
        <v>1.2</v>
      </c>
      <c r="AD1081" s="39" t="n">
        <f aca="false">Resumo!$B$14*CEILING(I1081,1)</f>
        <v>9</v>
      </c>
      <c r="AE1081" s="39" t="n">
        <f aca="false">SUM(X1081:AD1081)</f>
        <v>63.81997</v>
      </c>
      <c r="AF1081" s="39" t="n">
        <f aca="false">AE1081/(1-Resumo!$B$5)</f>
        <v>72.5226931818182</v>
      </c>
      <c r="AG1081" s="39" t="n">
        <f aca="false">AF1081-W1081</f>
        <v>5.91365</v>
      </c>
      <c r="AH1081" s="40" t="n">
        <f aca="false">AF1081/W1081-1</f>
        <v>0.0887814884813449</v>
      </c>
      <c r="AI1081" s="37" t="str">
        <f aca="false">IF(AF1081&lt;W1081,"SIM","NÃO")</f>
        <v>NÃO</v>
      </c>
      <c r="AJ1081" s="37" t="n">
        <v>2</v>
      </c>
      <c r="AK1081" s="37" t="n">
        <v>5</v>
      </c>
      <c r="AL1081" s="37" t="s">
        <v>343</v>
      </c>
      <c r="AM1081" s="39" t="n">
        <v>65.04</v>
      </c>
    </row>
    <row r="1082" customFormat="false" ht="15" hidden="false" customHeight="false" outlineLevel="0" collapsed="false">
      <c r="A1082" s="37" t="n">
        <v>377434055</v>
      </c>
      <c r="B1082" s="38" t="n">
        <v>46250.4865162037</v>
      </c>
      <c r="C1082" s="37" t="s">
        <v>340</v>
      </c>
      <c r="D1082" s="37" t="s">
        <v>1371</v>
      </c>
      <c r="E1082" s="37" t="n">
        <v>20071002</v>
      </c>
      <c r="F1082" s="37" t="s">
        <v>159</v>
      </c>
      <c r="G1082" s="37" t="s">
        <v>196</v>
      </c>
      <c r="H1082" s="37" t="s">
        <v>184</v>
      </c>
      <c r="I1082" s="37" t="n">
        <v>28.6</v>
      </c>
      <c r="J1082" s="39" t="n">
        <v>529.99</v>
      </c>
      <c r="K1082" s="37" t="s">
        <v>342</v>
      </c>
      <c r="L1082" s="39" t="n">
        <v>82.86</v>
      </c>
      <c r="M1082" s="39" t="n">
        <v>42.11</v>
      </c>
      <c r="N1082" s="39" t="n">
        <f aca="false">J1082*Resumo!$C$6</f>
        <v>0</v>
      </c>
      <c r="O1082" s="39" t="n">
        <f aca="false">J1082*Resumo!$C$7</f>
        <v>1.112979</v>
      </c>
      <c r="P1082" s="39" t="n">
        <f aca="false">J1082*Resumo!$C$8</f>
        <v>1.112979</v>
      </c>
      <c r="Q1082" s="39" t="n">
        <f aca="false">Resumo!$C$10*CEILING(I1082/100,1)</f>
        <v>1.05</v>
      </c>
      <c r="R1082" s="39" t="n">
        <f aca="false">Resumo!$C$9</f>
        <v>0</v>
      </c>
      <c r="S1082" s="39" t="n">
        <f aca="false">Resumo!$C$13</f>
        <v>13.55</v>
      </c>
      <c r="T1082" s="39" t="n">
        <f aca="false">Resumo!$C$14*CEILING(I1082,1)</f>
        <v>13.05</v>
      </c>
      <c r="U1082" s="39" t="n">
        <f aca="false">SUM(M1082:T1082)*Resumo!$C$11</f>
        <v>0</v>
      </c>
      <c r="V1082" s="39" t="n">
        <f aca="false">SUM(M1082:U1082)</f>
        <v>71.985958</v>
      </c>
      <c r="W1082" s="39" t="n">
        <f aca="false">V1082/(1-Resumo!$C$5)</f>
        <v>81.802225</v>
      </c>
      <c r="X1082" s="39" t="n">
        <v>82.21</v>
      </c>
      <c r="Y1082" s="39" t="n">
        <f aca="false">J1082*Resumo!$B$6</f>
        <v>0.52999</v>
      </c>
      <c r="Z1082" s="39" t="n">
        <f aca="false">J1082*Resumo!$B$7</f>
        <v>1.05998</v>
      </c>
      <c r="AA1082" s="39" t="n">
        <f aca="false">Resumo!$B$9</f>
        <v>1</v>
      </c>
      <c r="AB1082" s="39" t="n">
        <f aca="false">Resumo!$B$10*CEILING(I1082/100,1)</f>
        <v>4.5</v>
      </c>
      <c r="AC1082" s="39" t="n">
        <f aca="false">Resumo!$B$12*CEILING(I1082,1)</f>
        <v>1.74</v>
      </c>
      <c r="AD1082" s="39" t="n">
        <f aca="false">Resumo!$B$14*CEILING(I1082,1)</f>
        <v>13.05</v>
      </c>
      <c r="AE1082" s="39" t="n">
        <f aca="false">SUM(X1082:AD1082)</f>
        <v>104.08997</v>
      </c>
      <c r="AF1082" s="39" t="n">
        <f aca="false">AE1082/(1-Resumo!$B$5)</f>
        <v>118.284056818182</v>
      </c>
      <c r="AG1082" s="39" t="n">
        <f aca="false">AF1082-W1082</f>
        <v>36.4818318181818</v>
      </c>
      <c r="AH1082" s="40" t="n">
        <f aca="false">AF1082/W1082-1</f>
        <v>0.445976033270266</v>
      </c>
      <c r="AI1082" s="37" t="str">
        <f aca="false">IF(AF1082&lt;W1082,"SIM","NÃO")</f>
        <v>NÃO</v>
      </c>
      <c r="AJ1082" s="37" t="n">
        <v>2</v>
      </c>
      <c r="AK1082" s="37" t="n">
        <v>5</v>
      </c>
      <c r="AL1082" s="37" t="s">
        <v>343</v>
      </c>
      <c r="AM1082" s="39" t="n">
        <v>82.87</v>
      </c>
    </row>
    <row r="1083" customFormat="false" ht="15" hidden="false" customHeight="false" outlineLevel="0" collapsed="false">
      <c r="A1083" s="37" t="n">
        <v>377441754</v>
      </c>
      <c r="B1083" s="38" t="n">
        <v>46250.4984490741</v>
      </c>
      <c r="C1083" s="37" t="s">
        <v>340</v>
      </c>
      <c r="D1083" s="37" t="s">
        <v>1372</v>
      </c>
      <c r="E1083" s="37" t="n">
        <v>25271755</v>
      </c>
      <c r="F1083" s="37" t="s">
        <v>161</v>
      </c>
      <c r="G1083" s="37" t="s">
        <v>197</v>
      </c>
      <c r="H1083" s="37" t="s">
        <v>186</v>
      </c>
      <c r="I1083" s="37" t="n">
        <v>46.8</v>
      </c>
      <c r="J1083" s="39" t="n">
        <v>506.56</v>
      </c>
      <c r="K1083" s="37" t="s">
        <v>342</v>
      </c>
      <c r="L1083" s="39" t="n">
        <v>116.49</v>
      </c>
      <c r="M1083" s="39" t="n">
        <v>65.36</v>
      </c>
      <c r="N1083" s="39" t="n">
        <f aca="false">J1083*Resumo!$C$6</f>
        <v>0</v>
      </c>
      <c r="O1083" s="39" t="n">
        <f aca="false">J1083*Resumo!$C$7</f>
        <v>1.063776</v>
      </c>
      <c r="P1083" s="39" t="n">
        <f aca="false">J1083*Resumo!$C$8</f>
        <v>1.063776</v>
      </c>
      <c r="Q1083" s="39" t="n">
        <f aca="false">Resumo!$C$10*CEILING(I1083/100,1)</f>
        <v>1.05</v>
      </c>
      <c r="R1083" s="39" t="n">
        <f aca="false">Resumo!$C$9</f>
        <v>0</v>
      </c>
      <c r="S1083" s="39" t="n">
        <f aca="false">Resumo!$C$13</f>
        <v>13.55</v>
      </c>
      <c r="T1083" s="39" t="n">
        <f aca="false">Resumo!$C$14*CEILING(I1083,1)</f>
        <v>21.15</v>
      </c>
      <c r="U1083" s="39" t="n">
        <f aca="false">SUM(M1083:T1083)*Resumo!$C$11</f>
        <v>0</v>
      </c>
      <c r="V1083" s="39" t="n">
        <f aca="false">SUM(M1083:U1083)</f>
        <v>103.237552</v>
      </c>
      <c r="W1083" s="39" t="n">
        <f aca="false">V1083/(1-Resumo!$C$5)</f>
        <v>117.3154</v>
      </c>
      <c r="X1083" s="39" t="n">
        <v>93.97</v>
      </c>
      <c r="Y1083" s="39" t="n">
        <f aca="false">J1083*Resumo!$B$6</f>
        <v>0.50656</v>
      </c>
      <c r="Z1083" s="39" t="n">
        <f aca="false">J1083*Resumo!$B$7</f>
        <v>1.01312</v>
      </c>
      <c r="AA1083" s="39" t="n">
        <f aca="false">Resumo!$B$9</f>
        <v>1</v>
      </c>
      <c r="AB1083" s="39" t="n">
        <f aca="false">Resumo!$B$10*CEILING(I1083/100,1)</f>
        <v>4.5</v>
      </c>
      <c r="AC1083" s="39" t="n">
        <f aca="false">Resumo!$B$12*CEILING(I1083,1)</f>
        <v>2.82</v>
      </c>
      <c r="AD1083" s="39" t="n">
        <f aca="false">Resumo!$B$14*CEILING(I1083,1)</f>
        <v>21.15</v>
      </c>
      <c r="AE1083" s="39" t="n">
        <f aca="false">SUM(X1083:AD1083)</f>
        <v>124.95968</v>
      </c>
      <c r="AF1083" s="39" t="n">
        <f aca="false">AE1083/(1-Resumo!$B$5)</f>
        <v>141.999636363636</v>
      </c>
      <c r="AG1083" s="39" t="n">
        <f aca="false">AF1083-W1083</f>
        <v>24.6842363636364</v>
      </c>
      <c r="AH1083" s="40" t="n">
        <f aca="false">AF1083/W1083-1</f>
        <v>0.210409173592183</v>
      </c>
      <c r="AI1083" s="37" t="str">
        <f aca="false">IF(AF1083&lt;W1083,"SIM","NÃO")</f>
        <v>NÃO</v>
      </c>
      <c r="AJ1083" s="37" t="n">
        <v>2</v>
      </c>
      <c r="AK1083" s="37" t="n">
        <v>5</v>
      </c>
      <c r="AL1083" s="37" t="s">
        <v>343</v>
      </c>
      <c r="AM1083" s="39" t="n">
        <v>116.5</v>
      </c>
    </row>
    <row r="1084" customFormat="false" ht="15" hidden="false" customHeight="false" outlineLevel="0" collapsed="false">
      <c r="A1084" s="37" t="n">
        <v>377444132</v>
      </c>
      <c r="B1084" s="38" t="n">
        <v>46250.5019328704</v>
      </c>
      <c r="C1084" s="37" t="s">
        <v>345</v>
      </c>
      <c r="D1084" s="37" t="s">
        <v>1373</v>
      </c>
      <c r="E1084" s="37" t="n">
        <v>21660620</v>
      </c>
      <c r="F1084" s="37" t="s">
        <v>159</v>
      </c>
      <c r="G1084" s="37" t="s">
        <v>196</v>
      </c>
      <c r="H1084" s="37" t="s">
        <v>192</v>
      </c>
      <c r="I1084" s="37" t="n">
        <v>124.2</v>
      </c>
      <c r="J1084" s="39" t="n">
        <v>1597.99</v>
      </c>
      <c r="K1084" s="37" t="s">
        <v>342</v>
      </c>
      <c r="L1084" s="39" t="n">
        <v>233.95</v>
      </c>
      <c r="M1084" s="39" t="n">
        <v>120.59</v>
      </c>
      <c r="N1084" s="39" t="n">
        <f aca="false">J1084*Resumo!$C$6</f>
        <v>0</v>
      </c>
      <c r="O1084" s="39" t="n">
        <f aca="false">J1084*Resumo!$C$7</f>
        <v>3.355779</v>
      </c>
      <c r="P1084" s="39" t="n">
        <f aca="false">J1084*Resumo!$C$8</f>
        <v>3.355779</v>
      </c>
      <c r="Q1084" s="39" t="n">
        <f aca="false">Resumo!$C$10*CEILING(I1084/100,1)</f>
        <v>2.1</v>
      </c>
      <c r="R1084" s="39" t="n">
        <f aca="false">Resumo!$C$9</f>
        <v>0</v>
      </c>
      <c r="S1084" s="39" t="n">
        <f aca="false">Resumo!$C$13</f>
        <v>13.55</v>
      </c>
      <c r="T1084" s="39" t="n">
        <f aca="false">Resumo!$C$14*CEILING(I1084,1)</f>
        <v>56.25</v>
      </c>
      <c r="U1084" s="39" t="n">
        <f aca="false">SUM(M1084:T1084)*Resumo!$C$11</f>
        <v>0</v>
      </c>
      <c r="V1084" s="39" t="n">
        <f aca="false">SUM(M1084:U1084)</f>
        <v>199.201558</v>
      </c>
      <c r="W1084" s="39" t="n">
        <f aca="false">V1084/(1-Resumo!$C$5)</f>
        <v>226.365406818182</v>
      </c>
      <c r="X1084" s="39" t="n">
        <v>239.25</v>
      </c>
      <c r="Y1084" s="39" t="n">
        <f aca="false">J1084*Resumo!$B$6</f>
        <v>1.59799</v>
      </c>
      <c r="Z1084" s="39" t="n">
        <f aca="false">J1084*Resumo!$B$7</f>
        <v>3.19598</v>
      </c>
      <c r="AA1084" s="39" t="n">
        <f aca="false">Resumo!$B$9</f>
        <v>1</v>
      </c>
      <c r="AB1084" s="39" t="n">
        <f aca="false">Resumo!$B$10*CEILING(I1084/100,1)</f>
        <v>9</v>
      </c>
      <c r="AC1084" s="39" t="n">
        <f aca="false">Resumo!$B$12*CEILING(I1084,1)</f>
        <v>7.5</v>
      </c>
      <c r="AD1084" s="39" t="n">
        <f aca="false">Resumo!$B$14*CEILING(I1084,1)</f>
        <v>56.25</v>
      </c>
      <c r="AE1084" s="39" t="n">
        <f aca="false">SUM(X1084:AD1084)</f>
        <v>317.79397</v>
      </c>
      <c r="AF1084" s="39" t="n">
        <f aca="false">AE1084/(1-Resumo!$B$5)</f>
        <v>361.129511363636</v>
      </c>
      <c r="AG1084" s="39" t="n">
        <f aca="false">AF1084-W1084</f>
        <v>134.764104545455</v>
      </c>
      <c r="AH1084" s="40" t="n">
        <f aca="false">AF1084/W1084-1</f>
        <v>0.595338777420607</v>
      </c>
      <c r="AI1084" s="37" t="str">
        <f aca="false">IF(AF1084&lt;W1084,"SIM","NÃO")</f>
        <v>NÃO</v>
      </c>
      <c r="AJ1084" s="37" t="n">
        <v>2</v>
      </c>
      <c r="AK1084" s="37" t="n">
        <v>5</v>
      </c>
      <c r="AL1084" s="37" t="s">
        <v>343</v>
      </c>
      <c r="AM1084" s="39" t="n">
        <v>233.95</v>
      </c>
    </row>
    <row r="1085" customFormat="false" ht="15" hidden="false" customHeight="false" outlineLevel="0" collapsed="false">
      <c r="A1085" s="37" t="n">
        <v>377446782</v>
      </c>
      <c r="B1085" s="38" t="n">
        <v>46250.5063425926</v>
      </c>
      <c r="C1085" s="37" t="s">
        <v>379</v>
      </c>
      <c r="D1085" s="37" t="s">
        <v>1374</v>
      </c>
      <c r="E1085" s="37" t="n">
        <v>24422400</v>
      </c>
      <c r="F1085" s="37" t="s">
        <v>160</v>
      </c>
      <c r="G1085" s="37" t="s">
        <v>197</v>
      </c>
      <c r="H1085" s="37" t="s">
        <v>191</v>
      </c>
      <c r="I1085" s="37" t="n">
        <v>106.5</v>
      </c>
      <c r="J1085" s="39" t="n">
        <v>1289.99</v>
      </c>
      <c r="K1085" s="37" t="s">
        <v>518</v>
      </c>
      <c r="L1085" s="39" t="n">
        <v>193.73</v>
      </c>
      <c r="M1085" s="39" t="n">
        <v>101.26</v>
      </c>
      <c r="N1085" s="39" t="n">
        <f aca="false">J1085*Resumo!$C$6</f>
        <v>0</v>
      </c>
      <c r="O1085" s="39" t="n">
        <f aca="false">J1085*Resumo!$C$7</f>
        <v>2.708979</v>
      </c>
      <c r="P1085" s="39" t="n">
        <f aca="false">J1085*Resumo!$C$8</f>
        <v>2.708979</v>
      </c>
      <c r="Q1085" s="39" t="n">
        <f aca="false">Resumo!$C$10*CEILING(I1085/100,1)</f>
        <v>2.1</v>
      </c>
      <c r="R1085" s="39" t="n">
        <f aca="false">Resumo!$C$9</f>
        <v>0</v>
      </c>
      <c r="S1085" s="39" t="n">
        <f aca="false">Resumo!$C$13</f>
        <v>13.55</v>
      </c>
      <c r="T1085" s="39" t="n">
        <f aca="false">Resumo!$C$14*CEILING(I1085,1)</f>
        <v>48.15</v>
      </c>
      <c r="U1085" s="39" t="n">
        <f aca="false">SUM(M1085:T1085)*Resumo!$C$11</f>
        <v>0</v>
      </c>
      <c r="V1085" s="39" t="n">
        <f aca="false">SUM(M1085:U1085)</f>
        <v>170.477958</v>
      </c>
      <c r="W1085" s="39" t="n">
        <f aca="false">V1085/(1-Resumo!$C$5)</f>
        <v>193.724952272727</v>
      </c>
      <c r="X1085" s="39" t="n">
        <v>214.11</v>
      </c>
      <c r="Y1085" s="39" t="n">
        <f aca="false">J1085*Resumo!$B$6</f>
        <v>1.28999</v>
      </c>
      <c r="Z1085" s="39" t="n">
        <f aca="false">J1085*Resumo!$B$7</f>
        <v>2.57998</v>
      </c>
      <c r="AA1085" s="39" t="n">
        <f aca="false">Resumo!$B$9</f>
        <v>1</v>
      </c>
      <c r="AB1085" s="39" t="n">
        <f aca="false">Resumo!$B$10*CEILING(I1085/100,1)</f>
        <v>9</v>
      </c>
      <c r="AC1085" s="39" t="n">
        <f aca="false">Resumo!$B$12*CEILING(I1085,1)</f>
        <v>6.42</v>
      </c>
      <c r="AD1085" s="39" t="n">
        <f aca="false">Resumo!$B$14*CEILING(I1085,1)</f>
        <v>48.15</v>
      </c>
      <c r="AE1085" s="39" t="n">
        <f aca="false">SUM(X1085:AD1085)</f>
        <v>282.54997</v>
      </c>
      <c r="AF1085" s="39" t="n">
        <f aca="false">AE1085/(1-Resumo!$B$5)</f>
        <v>321.079511363636</v>
      </c>
      <c r="AG1085" s="39" t="n">
        <f aca="false">AF1085-W1085</f>
        <v>127.354559090909</v>
      </c>
      <c r="AH1085" s="40" t="n">
        <f aca="false">AF1085/W1085-1</f>
        <v>0.657398840969224</v>
      </c>
      <c r="AI1085" s="37" t="str">
        <f aca="false">IF(AF1085&lt;W1085,"SIM","NÃO")</f>
        <v>NÃO</v>
      </c>
      <c r="AJ1085" s="37" t="n">
        <v>2</v>
      </c>
      <c r="AK1085" s="37" t="n">
        <v>7</v>
      </c>
      <c r="AL1085" s="37" t="s">
        <v>343</v>
      </c>
      <c r="AM1085" s="39" t="n">
        <v>196.01</v>
      </c>
    </row>
    <row r="1086" customFormat="false" ht="15" hidden="false" customHeight="false" outlineLevel="0" collapsed="false">
      <c r="A1086" s="37" t="n">
        <v>377448133</v>
      </c>
      <c r="B1086" s="38" t="n">
        <v>46250.5084143519</v>
      </c>
      <c r="C1086" s="37" t="s">
        <v>340</v>
      </c>
      <c r="D1086" s="37" t="s">
        <v>1375</v>
      </c>
      <c r="E1086" s="37" t="n">
        <v>20961020</v>
      </c>
      <c r="F1086" s="37" t="s">
        <v>159</v>
      </c>
      <c r="G1086" s="37" t="s">
        <v>196</v>
      </c>
      <c r="H1086" s="37" t="s">
        <v>187</v>
      </c>
      <c r="I1086" s="37" t="n">
        <v>51.7</v>
      </c>
      <c r="J1086" s="39" t="n">
        <v>659.99</v>
      </c>
      <c r="K1086" s="37" t="s">
        <v>342</v>
      </c>
      <c r="L1086" s="39" t="n">
        <v>114.31</v>
      </c>
      <c r="M1086" s="39" t="n">
        <v>58.6</v>
      </c>
      <c r="N1086" s="39" t="n">
        <f aca="false">J1086*Resumo!$C$6</f>
        <v>0</v>
      </c>
      <c r="O1086" s="39" t="n">
        <f aca="false">J1086*Resumo!$C$7</f>
        <v>1.385979</v>
      </c>
      <c r="P1086" s="39" t="n">
        <f aca="false">J1086*Resumo!$C$8</f>
        <v>1.385979</v>
      </c>
      <c r="Q1086" s="39" t="n">
        <f aca="false">Resumo!$C$10*CEILING(I1086/100,1)</f>
        <v>1.05</v>
      </c>
      <c r="R1086" s="39" t="n">
        <f aca="false">Resumo!$C$9</f>
        <v>0</v>
      </c>
      <c r="S1086" s="39" t="n">
        <f aca="false">Resumo!$C$13</f>
        <v>13.55</v>
      </c>
      <c r="T1086" s="39" t="n">
        <f aca="false">Resumo!$C$14*CEILING(I1086,1)</f>
        <v>23.4</v>
      </c>
      <c r="U1086" s="39" t="n">
        <f aca="false">SUM(M1086:T1086)*Resumo!$C$11</f>
        <v>0</v>
      </c>
      <c r="V1086" s="39" t="n">
        <f aca="false">SUM(M1086:U1086)</f>
        <v>99.371958</v>
      </c>
      <c r="W1086" s="39" t="n">
        <f aca="false">V1086/(1-Resumo!$C$5)</f>
        <v>112.922679545455</v>
      </c>
      <c r="X1086" s="39" t="n">
        <v>112.3</v>
      </c>
      <c r="Y1086" s="39" t="n">
        <f aca="false">J1086*Resumo!$B$6</f>
        <v>0.65999</v>
      </c>
      <c r="Z1086" s="39" t="n">
        <f aca="false">J1086*Resumo!$B$7</f>
        <v>1.31998</v>
      </c>
      <c r="AA1086" s="39" t="n">
        <f aca="false">Resumo!$B$9</f>
        <v>1</v>
      </c>
      <c r="AB1086" s="39" t="n">
        <f aca="false">Resumo!$B$10*CEILING(I1086/100,1)</f>
        <v>4.5</v>
      </c>
      <c r="AC1086" s="39" t="n">
        <f aca="false">Resumo!$B$12*CEILING(I1086,1)</f>
        <v>3.12</v>
      </c>
      <c r="AD1086" s="39" t="n">
        <f aca="false">Resumo!$B$14*CEILING(I1086,1)</f>
        <v>23.4</v>
      </c>
      <c r="AE1086" s="39" t="n">
        <f aca="false">SUM(X1086:AD1086)</f>
        <v>146.29997</v>
      </c>
      <c r="AF1086" s="39" t="n">
        <f aca="false">AE1086/(1-Resumo!$B$5)</f>
        <v>166.249965909091</v>
      </c>
      <c r="AG1086" s="39" t="n">
        <f aca="false">AF1086-W1086</f>
        <v>53.3272863636364</v>
      </c>
      <c r="AH1086" s="40" t="n">
        <f aca="false">AF1086/W1086-1</f>
        <v>0.472246023370094</v>
      </c>
      <c r="AI1086" s="37" t="str">
        <f aca="false">IF(AF1086&lt;W1086,"SIM","NÃO")</f>
        <v>NÃO</v>
      </c>
      <c r="AJ1086" s="37" t="n">
        <v>2</v>
      </c>
      <c r="AK1086" s="37" t="n">
        <v>5</v>
      </c>
      <c r="AL1086" s="37" t="s">
        <v>343</v>
      </c>
      <c r="AM1086" s="39" t="n">
        <v>114.31</v>
      </c>
    </row>
    <row r="1087" customFormat="false" ht="15" hidden="false" customHeight="false" outlineLevel="0" collapsed="false">
      <c r="A1087" s="37" t="n">
        <v>377458800</v>
      </c>
      <c r="B1087" s="38" t="n">
        <v>46250.5298611111</v>
      </c>
      <c r="C1087" s="37" t="s">
        <v>340</v>
      </c>
      <c r="D1087" s="37" t="s">
        <v>1376</v>
      </c>
      <c r="E1087" s="37" t="n">
        <v>21852540</v>
      </c>
      <c r="F1087" s="37" t="s">
        <v>159</v>
      </c>
      <c r="G1087" s="37" t="s">
        <v>196</v>
      </c>
      <c r="H1087" s="37" t="s">
        <v>189</v>
      </c>
      <c r="I1087" s="37" t="n">
        <v>78.7</v>
      </c>
      <c r="J1087" s="39" t="n">
        <v>1442.46</v>
      </c>
      <c r="K1087" s="37" t="s">
        <v>342</v>
      </c>
      <c r="L1087" s="39" t="n">
        <v>139.37</v>
      </c>
      <c r="M1087" s="39" t="n">
        <v>68.88</v>
      </c>
      <c r="N1087" s="39" t="n">
        <f aca="false">J1087*Resumo!$C$6</f>
        <v>0</v>
      </c>
      <c r="O1087" s="39" t="n">
        <f aca="false">J1087*Resumo!$C$7</f>
        <v>3.029166</v>
      </c>
      <c r="P1087" s="39" t="n">
        <f aca="false">J1087*Resumo!$C$8</f>
        <v>3.029166</v>
      </c>
      <c r="Q1087" s="39" t="n">
        <f aca="false">Resumo!$C$10*CEILING(I1087/100,1)</f>
        <v>1.05</v>
      </c>
      <c r="R1087" s="39" t="n">
        <f aca="false">Resumo!$C$9</f>
        <v>0</v>
      </c>
      <c r="S1087" s="39" t="n">
        <f aca="false">Resumo!$C$13</f>
        <v>13.55</v>
      </c>
      <c r="T1087" s="39" t="n">
        <f aca="false">Resumo!$C$14*CEILING(I1087,1)</f>
        <v>35.55</v>
      </c>
      <c r="U1087" s="39" t="n">
        <f aca="false">SUM(M1087:T1087)*Resumo!$C$11</f>
        <v>0</v>
      </c>
      <c r="V1087" s="39" t="n">
        <f aca="false">SUM(M1087:U1087)</f>
        <v>125.088332</v>
      </c>
      <c r="W1087" s="39" t="n">
        <f aca="false">V1087/(1-Resumo!$C$5)</f>
        <v>142.145831818182</v>
      </c>
      <c r="X1087" s="39" t="n">
        <v>134.39</v>
      </c>
      <c r="Y1087" s="39" t="n">
        <f aca="false">J1087*Resumo!$B$6</f>
        <v>1.44246</v>
      </c>
      <c r="Z1087" s="39" t="n">
        <f aca="false">J1087*Resumo!$B$7</f>
        <v>2.88492</v>
      </c>
      <c r="AA1087" s="39" t="n">
        <f aca="false">Resumo!$B$9</f>
        <v>1</v>
      </c>
      <c r="AB1087" s="39" t="n">
        <f aca="false">Resumo!$B$10*CEILING(I1087/100,1)</f>
        <v>4.5</v>
      </c>
      <c r="AC1087" s="39" t="n">
        <f aca="false">Resumo!$B$12*CEILING(I1087,1)</f>
        <v>4.74</v>
      </c>
      <c r="AD1087" s="39" t="n">
        <f aca="false">Resumo!$B$14*CEILING(I1087,1)</f>
        <v>35.55</v>
      </c>
      <c r="AE1087" s="39" t="n">
        <f aca="false">SUM(X1087:AD1087)</f>
        <v>184.50738</v>
      </c>
      <c r="AF1087" s="39" t="n">
        <f aca="false">AE1087/(1-Resumo!$B$5)</f>
        <v>209.667477272727</v>
      </c>
      <c r="AG1087" s="39" t="n">
        <f aca="false">AF1087-W1087</f>
        <v>67.5216454545455</v>
      </c>
      <c r="AH1087" s="40" t="n">
        <f aca="false">AF1087/W1087-1</f>
        <v>0.475016710591361</v>
      </c>
      <c r="AI1087" s="37" t="str">
        <f aca="false">IF(AF1087&lt;W1087,"SIM","NÃO")</f>
        <v>NÃO</v>
      </c>
      <c r="AJ1087" s="37" t="n">
        <v>2</v>
      </c>
      <c r="AK1087" s="37" t="n">
        <v>5</v>
      </c>
      <c r="AL1087" s="37" t="s">
        <v>343</v>
      </c>
      <c r="AM1087" s="39" t="n">
        <v>139.39</v>
      </c>
    </row>
    <row r="1088" customFormat="false" ht="15" hidden="false" customHeight="false" outlineLevel="0" collapsed="false">
      <c r="A1088" s="37" t="n">
        <v>377461632</v>
      </c>
      <c r="B1088" s="38" t="n">
        <v>46250.5355439815</v>
      </c>
      <c r="C1088" s="37" t="s">
        <v>345</v>
      </c>
      <c r="D1088" s="37" t="s">
        <v>1377</v>
      </c>
      <c r="E1088" s="37" t="n">
        <v>22270012</v>
      </c>
      <c r="F1088" s="37" t="s">
        <v>159</v>
      </c>
      <c r="G1088" s="37" t="s">
        <v>196</v>
      </c>
      <c r="H1088" s="37" t="s">
        <v>187</v>
      </c>
      <c r="I1088" s="37" t="n">
        <v>52.3</v>
      </c>
      <c r="J1088" s="39" t="n">
        <v>620</v>
      </c>
      <c r="K1088" s="37" t="s">
        <v>342</v>
      </c>
      <c r="L1088" s="39" t="n">
        <v>114.13</v>
      </c>
      <c r="M1088" s="39" t="n">
        <v>58.6</v>
      </c>
      <c r="N1088" s="39" t="n">
        <f aca="false">J1088*Resumo!$C$6</f>
        <v>0</v>
      </c>
      <c r="O1088" s="39" t="n">
        <f aca="false">J1088*Resumo!$C$7</f>
        <v>1.302</v>
      </c>
      <c r="P1088" s="39" t="n">
        <f aca="false">J1088*Resumo!$C$8</f>
        <v>1.302</v>
      </c>
      <c r="Q1088" s="39" t="n">
        <f aca="false">Resumo!$C$10*CEILING(I1088/100,1)</f>
        <v>1.05</v>
      </c>
      <c r="R1088" s="39" t="n">
        <f aca="false">Resumo!$C$9</f>
        <v>0</v>
      </c>
      <c r="S1088" s="39" t="n">
        <f aca="false">Resumo!$C$13</f>
        <v>13.55</v>
      </c>
      <c r="T1088" s="39" t="n">
        <f aca="false">Resumo!$C$14*CEILING(I1088,1)</f>
        <v>23.85</v>
      </c>
      <c r="U1088" s="39" t="n">
        <f aca="false">SUM(M1088:T1088)*Resumo!$C$11</f>
        <v>0</v>
      </c>
      <c r="V1088" s="39" t="n">
        <f aca="false">SUM(M1088:U1088)</f>
        <v>99.654</v>
      </c>
      <c r="W1088" s="39" t="n">
        <f aca="false">V1088/(1-Resumo!$C$5)</f>
        <v>113.243181818182</v>
      </c>
      <c r="X1088" s="39" t="n">
        <v>112.3</v>
      </c>
      <c r="Y1088" s="39" t="n">
        <f aca="false">J1088*Resumo!$B$6</f>
        <v>0.62</v>
      </c>
      <c r="Z1088" s="39" t="n">
        <f aca="false">J1088*Resumo!$B$7</f>
        <v>1.24</v>
      </c>
      <c r="AA1088" s="39" t="n">
        <f aca="false">Resumo!$B$9</f>
        <v>1</v>
      </c>
      <c r="AB1088" s="39" t="n">
        <f aca="false">Resumo!$B$10*CEILING(I1088/100,1)</f>
        <v>4.5</v>
      </c>
      <c r="AC1088" s="39" t="n">
        <f aca="false">Resumo!$B$12*CEILING(I1088,1)</f>
        <v>3.18</v>
      </c>
      <c r="AD1088" s="39" t="n">
        <f aca="false">Resumo!$B$14*CEILING(I1088,1)</f>
        <v>23.85</v>
      </c>
      <c r="AE1088" s="39" t="n">
        <f aca="false">SUM(X1088:AD1088)</f>
        <v>146.69</v>
      </c>
      <c r="AF1088" s="39" t="n">
        <f aca="false">AE1088/(1-Resumo!$B$5)</f>
        <v>166.693181818182</v>
      </c>
      <c r="AG1088" s="39" t="n">
        <f aca="false">AF1088-W1088</f>
        <v>53.45</v>
      </c>
      <c r="AH1088" s="40" t="n">
        <f aca="false">AF1088/W1088-1</f>
        <v>0.47199309611255</v>
      </c>
      <c r="AI1088" s="37" t="str">
        <f aca="false">IF(AF1088&lt;W1088,"SIM","NÃO")</f>
        <v>NÃO</v>
      </c>
      <c r="AJ1088" s="37" t="n">
        <v>2</v>
      </c>
      <c r="AK1088" s="37" t="n">
        <v>5</v>
      </c>
      <c r="AL1088" s="37" t="s">
        <v>343</v>
      </c>
      <c r="AM1088" s="39" t="n">
        <v>114.12</v>
      </c>
    </row>
    <row r="1089" customFormat="false" ht="15" hidden="false" customHeight="false" outlineLevel="0" collapsed="false">
      <c r="A1089" s="37" t="n">
        <v>377462623</v>
      </c>
      <c r="B1089" s="38" t="n">
        <v>46250.5373726852</v>
      </c>
      <c r="C1089" s="37" t="s">
        <v>345</v>
      </c>
      <c r="D1089" s="37" t="s">
        <v>1378</v>
      </c>
      <c r="E1089" s="37" t="n">
        <v>22260040</v>
      </c>
      <c r="F1089" s="37" t="s">
        <v>159</v>
      </c>
      <c r="G1089" s="37" t="s">
        <v>196</v>
      </c>
      <c r="H1089" s="37" t="s">
        <v>191</v>
      </c>
      <c r="I1089" s="37" t="n">
        <v>104.6</v>
      </c>
      <c r="J1089" s="39" t="n">
        <v>1280.36</v>
      </c>
      <c r="K1089" s="37" t="s">
        <v>342</v>
      </c>
      <c r="L1089" s="39" t="n">
        <v>185.77</v>
      </c>
      <c r="M1089" s="39" t="n">
        <v>92.34</v>
      </c>
      <c r="N1089" s="39" t="n">
        <f aca="false">J1089*Resumo!$C$6</f>
        <v>0</v>
      </c>
      <c r="O1089" s="39" t="n">
        <f aca="false">J1089*Resumo!$C$7</f>
        <v>2.688756</v>
      </c>
      <c r="P1089" s="39" t="n">
        <f aca="false">J1089*Resumo!$C$8</f>
        <v>2.688756</v>
      </c>
      <c r="Q1089" s="39" t="n">
        <f aca="false">Resumo!$C$10*CEILING(I1089/100,1)</f>
        <v>2.1</v>
      </c>
      <c r="R1089" s="39" t="n">
        <f aca="false">Resumo!$C$9</f>
        <v>0</v>
      </c>
      <c r="S1089" s="39" t="n">
        <f aca="false">Resumo!$C$13</f>
        <v>13.55</v>
      </c>
      <c r="T1089" s="39" t="n">
        <f aca="false">Resumo!$C$14*CEILING(I1089,1)</f>
        <v>47.25</v>
      </c>
      <c r="U1089" s="39" t="n">
        <f aca="false">SUM(M1089:T1089)*Resumo!$C$11</f>
        <v>0</v>
      </c>
      <c r="V1089" s="39" t="n">
        <f aca="false">SUM(M1089:U1089)</f>
        <v>160.617512</v>
      </c>
      <c r="W1089" s="39" t="n">
        <f aca="false">V1089/(1-Resumo!$C$5)</f>
        <v>182.5199</v>
      </c>
      <c r="X1089" s="39" t="n">
        <v>201.59</v>
      </c>
      <c r="Y1089" s="39" t="n">
        <f aca="false">J1089*Resumo!$B$6</f>
        <v>1.28036</v>
      </c>
      <c r="Z1089" s="39" t="n">
        <f aca="false">J1089*Resumo!$B$7</f>
        <v>2.56072</v>
      </c>
      <c r="AA1089" s="39" t="n">
        <f aca="false">Resumo!$B$9</f>
        <v>1</v>
      </c>
      <c r="AB1089" s="39" t="n">
        <f aca="false">Resumo!$B$10*CEILING(I1089/100,1)</f>
        <v>9</v>
      </c>
      <c r="AC1089" s="39" t="n">
        <f aca="false">Resumo!$B$12*CEILING(I1089,1)</f>
        <v>6.3</v>
      </c>
      <c r="AD1089" s="39" t="n">
        <f aca="false">Resumo!$B$14*CEILING(I1089,1)</f>
        <v>47.25</v>
      </c>
      <c r="AE1089" s="39" t="n">
        <f aca="false">SUM(X1089:AD1089)</f>
        <v>268.98108</v>
      </c>
      <c r="AF1089" s="39" t="n">
        <f aca="false">AE1089/(1-Resumo!$B$5)</f>
        <v>305.660318181818</v>
      </c>
      <c r="AG1089" s="39" t="n">
        <f aca="false">AF1089-W1089</f>
        <v>123.140418181818</v>
      </c>
      <c r="AH1089" s="40" t="n">
        <f aca="false">AF1089/W1089-1</f>
        <v>0.674668450847377</v>
      </c>
      <c r="AI1089" s="37" t="str">
        <f aca="false">IF(AF1089&lt;W1089,"SIM","NÃO")</f>
        <v>NÃO</v>
      </c>
      <c r="AJ1089" s="37" t="n">
        <v>2</v>
      </c>
      <c r="AK1089" s="37" t="n">
        <v>5</v>
      </c>
      <c r="AL1089" s="37" t="s">
        <v>343</v>
      </c>
      <c r="AM1089" s="39" t="n">
        <v>185.78</v>
      </c>
    </row>
    <row r="1090" customFormat="false" ht="15" hidden="false" customHeight="false" outlineLevel="0" collapsed="false">
      <c r="A1090" s="37" t="n">
        <v>377486574</v>
      </c>
      <c r="B1090" s="38" t="n">
        <v>46250.5784837963</v>
      </c>
      <c r="C1090" s="37" t="s">
        <v>345</v>
      </c>
      <c r="D1090" s="37" t="s">
        <v>1379</v>
      </c>
      <c r="E1090" s="37" t="n">
        <v>21380400</v>
      </c>
      <c r="F1090" s="37" t="s">
        <v>159</v>
      </c>
      <c r="G1090" s="37" t="s">
        <v>196</v>
      </c>
      <c r="H1090" s="37" t="s">
        <v>188</v>
      </c>
      <c r="I1090" s="37" t="n">
        <v>69.15</v>
      </c>
      <c r="J1090" s="39" t="n">
        <v>684</v>
      </c>
      <c r="K1090" s="37" t="s">
        <v>342</v>
      </c>
      <c r="L1090" s="39" t="n">
        <v>124.49</v>
      </c>
      <c r="M1090" s="39" t="n">
        <v>63.21</v>
      </c>
      <c r="N1090" s="39" t="n">
        <f aca="false">J1090*Resumo!$C$6</f>
        <v>0</v>
      </c>
      <c r="O1090" s="39" t="n">
        <f aca="false">J1090*Resumo!$C$7</f>
        <v>1.4364</v>
      </c>
      <c r="P1090" s="39" t="n">
        <f aca="false">J1090*Resumo!$C$8</f>
        <v>1.4364</v>
      </c>
      <c r="Q1090" s="39" t="n">
        <f aca="false">Resumo!$C$10*CEILING(I1090/100,1)</f>
        <v>1.05</v>
      </c>
      <c r="R1090" s="39" t="n">
        <f aca="false">Resumo!$C$9</f>
        <v>0</v>
      </c>
      <c r="S1090" s="39" t="n">
        <f aca="false">Resumo!$C$13</f>
        <v>13.55</v>
      </c>
      <c r="T1090" s="39" t="n">
        <f aca="false">Resumo!$C$14*CEILING(I1090,1)</f>
        <v>31.5</v>
      </c>
      <c r="U1090" s="39" t="n">
        <f aca="false">SUM(M1090:T1090)*Resumo!$C$11</f>
        <v>0</v>
      </c>
      <c r="V1090" s="39" t="n">
        <f aca="false">SUM(M1090:U1090)</f>
        <v>112.1828</v>
      </c>
      <c r="W1090" s="39" t="n">
        <f aca="false">V1090/(1-Resumo!$C$5)</f>
        <v>127.480454545455</v>
      </c>
      <c r="X1090" s="39" t="n">
        <v>131.02</v>
      </c>
      <c r="Y1090" s="39" t="n">
        <f aca="false">J1090*Resumo!$B$6</f>
        <v>0.684</v>
      </c>
      <c r="Z1090" s="39" t="n">
        <f aca="false">J1090*Resumo!$B$7</f>
        <v>1.368</v>
      </c>
      <c r="AA1090" s="39" t="n">
        <f aca="false">Resumo!$B$9</f>
        <v>1</v>
      </c>
      <c r="AB1090" s="39" t="n">
        <f aca="false">Resumo!$B$10*CEILING(I1090/100,1)</f>
        <v>4.5</v>
      </c>
      <c r="AC1090" s="39" t="n">
        <f aca="false">Resumo!$B$12*CEILING(I1090,1)</f>
        <v>4.2</v>
      </c>
      <c r="AD1090" s="39" t="n">
        <f aca="false">Resumo!$B$14*CEILING(I1090,1)</f>
        <v>31.5</v>
      </c>
      <c r="AE1090" s="39" t="n">
        <f aca="false">SUM(X1090:AD1090)</f>
        <v>174.272</v>
      </c>
      <c r="AF1090" s="39" t="n">
        <f aca="false">AE1090/(1-Resumo!$B$5)</f>
        <v>198.036363636364</v>
      </c>
      <c r="AG1090" s="39" t="n">
        <f aca="false">AF1090-W1090</f>
        <v>70.5559090909091</v>
      </c>
      <c r="AH1090" s="40" t="n">
        <f aca="false">AF1090/W1090-1</f>
        <v>0.553464523973372</v>
      </c>
      <c r="AI1090" s="37" t="str">
        <f aca="false">IF(AF1090&lt;W1090,"SIM","NÃO")</f>
        <v>NÃO</v>
      </c>
      <c r="AJ1090" s="37" t="n">
        <v>2</v>
      </c>
      <c r="AK1090" s="37" t="n">
        <v>5</v>
      </c>
      <c r="AL1090" s="37" t="s">
        <v>343</v>
      </c>
      <c r="AM1090" s="39" t="n">
        <v>124.49</v>
      </c>
    </row>
    <row r="1091" customFormat="false" ht="15" hidden="false" customHeight="false" outlineLevel="0" collapsed="false">
      <c r="A1091" s="37" t="n">
        <v>377579486</v>
      </c>
      <c r="B1091" s="38" t="n">
        <v>46250.5955092593</v>
      </c>
      <c r="C1091" s="37" t="s">
        <v>345</v>
      </c>
      <c r="D1091" s="37" t="s">
        <v>1380</v>
      </c>
      <c r="E1091" s="37" t="n">
        <v>21042120</v>
      </c>
      <c r="F1091" s="37" t="s">
        <v>159</v>
      </c>
      <c r="G1091" s="37" t="s">
        <v>196</v>
      </c>
      <c r="H1091" s="37" t="s">
        <v>188</v>
      </c>
      <c r="I1091" s="37" t="n">
        <v>66.8</v>
      </c>
      <c r="J1091" s="39" t="n">
        <v>574.1</v>
      </c>
      <c r="K1091" s="37" t="s">
        <v>342</v>
      </c>
      <c r="L1091" s="39" t="n">
        <v>123.97</v>
      </c>
      <c r="M1091" s="39" t="n">
        <v>63.21</v>
      </c>
      <c r="N1091" s="39" t="n">
        <f aca="false">J1091*Resumo!$C$6</f>
        <v>0</v>
      </c>
      <c r="O1091" s="39" t="n">
        <f aca="false">J1091*Resumo!$C$7</f>
        <v>1.20561</v>
      </c>
      <c r="P1091" s="39" t="n">
        <f aca="false">J1091*Resumo!$C$8</f>
        <v>1.20561</v>
      </c>
      <c r="Q1091" s="39" t="n">
        <f aca="false">Resumo!$C$10*CEILING(I1091/100,1)</f>
        <v>1.05</v>
      </c>
      <c r="R1091" s="39" t="n">
        <f aca="false">Resumo!$C$9</f>
        <v>0</v>
      </c>
      <c r="S1091" s="39" t="n">
        <f aca="false">Resumo!$C$13</f>
        <v>13.55</v>
      </c>
      <c r="T1091" s="39" t="n">
        <f aca="false">Resumo!$C$14*CEILING(I1091,1)</f>
        <v>30.15</v>
      </c>
      <c r="U1091" s="39" t="n">
        <f aca="false">SUM(M1091:T1091)*Resumo!$C$11</f>
        <v>0</v>
      </c>
      <c r="V1091" s="39" t="n">
        <f aca="false">SUM(M1091:U1091)</f>
        <v>110.37122</v>
      </c>
      <c r="W1091" s="39" t="n">
        <f aca="false">V1091/(1-Resumo!$C$5)</f>
        <v>125.421840909091</v>
      </c>
      <c r="X1091" s="39" t="n">
        <v>131.02</v>
      </c>
      <c r="Y1091" s="39" t="n">
        <f aca="false">J1091*Resumo!$B$6</f>
        <v>0.5741</v>
      </c>
      <c r="Z1091" s="39" t="n">
        <f aca="false">J1091*Resumo!$B$7</f>
        <v>1.1482</v>
      </c>
      <c r="AA1091" s="39" t="n">
        <f aca="false">Resumo!$B$9</f>
        <v>1</v>
      </c>
      <c r="AB1091" s="39" t="n">
        <f aca="false">Resumo!$B$10*CEILING(I1091/100,1)</f>
        <v>4.5</v>
      </c>
      <c r="AC1091" s="39" t="n">
        <f aca="false">Resumo!$B$12*CEILING(I1091,1)</f>
        <v>4.02</v>
      </c>
      <c r="AD1091" s="39" t="n">
        <f aca="false">Resumo!$B$14*CEILING(I1091,1)</f>
        <v>30.15</v>
      </c>
      <c r="AE1091" s="39" t="n">
        <f aca="false">SUM(X1091:AD1091)</f>
        <v>172.4123</v>
      </c>
      <c r="AF1091" s="39" t="n">
        <f aca="false">AE1091/(1-Resumo!$B$5)</f>
        <v>195.923068181818</v>
      </c>
      <c r="AG1091" s="39" t="n">
        <f aca="false">AF1091-W1091</f>
        <v>70.5012272727273</v>
      </c>
      <c r="AH1091" s="40" t="n">
        <f aca="false">AF1091/W1091-1</f>
        <v>0.562112840648133</v>
      </c>
      <c r="AI1091" s="37" t="str">
        <f aca="false">IF(AF1091&lt;W1091,"SIM","NÃO")</f>
        <v>NÃO</v>
      </c>
      <c r="AJ1091" s="37" t="n">
        <v>2</v>
      </c>
      <c r="AK1091" s="37" t="n">
        <v>5</v>
      </c>
      <c r="AL1091" s="37" t="s">
        <v>343</v>
      </c>
      <c r="AM1091" s="39" t="n">
        <v>123.96</v>
      </c>
    </row>
    <row r="1092" customFormat="false" ht="15" hidden="false" customHeight="false" outlineLevel="0" collapsed="false">
      <c r="A1092" s="37" t="n">
        <v>377500684</v>
      </c>
      <c r="B1092" s="38" t="n">
        <v>46250.6007986111</v>
      </c>
      <c r="C1092" s="37" t="s">
        <v>340</v>
      </c>
      <c r="D1092" s="37" t="s">
        <v>1381</v>
      </c>
      <c r="E1092" s="37" t="n">
        <v>23535230</v>
      </c>
      <c r="F1092" s="37" t="s">
        <v>159</v>
      </c>
      <c r="G1092" s="37" t="s">
        <v>196</v>
      </c>
      <c r="H1092" s="37" t="s">
        <v>184</v>
      </c>
      <c r="I1092" s="37" t="n">
        <v>27.5</v>
      </c>
      <c r="J1092" s="39" t="n">
        <v>342.07</v>
      </c>
      <c r="K1092" s="37" t="s">
        <v>518</v>
      </c>
      <c r="L1092" s="39" t="n">
        <v>80.4</v>
      </c>
      <c r="M1092" s="39" t="n">
        <v>42.11</v>
      </c>
      <c r="N1092" s="39" t="n">
        <f aca="false">J1092*Resumo!$C$6</f>
        <v>0</v>
      </c>
      <c r="O1092" s="39" t="n">
        <f aca="false">J1092*Resumo!$C$7</f>
        <v>0.718347</v>
      </c>
      <c r="P1092" s="39" t="n">
        <f aca="false">J1092*Resumo!$C$8</f>
        <v>0.718347</v>
      </c>
      <c r="Q1092" s="39" t="n">
        <f aca="false">Resumo!$C$10*CEILING(I1092/100,1)</f>
        <v>1.05</v>
      </c>
      <c r="R1092" s="39" t="n">
        <f aca="false">Resumo!$C$9</f>
        <v>0</v>
      </c>
      <c r="S1092" s="39" t="n">
        <f aca="false">Resumo!$C$13</f>
        <v>13.55</v>
      </c>
      <c r="T1092" s="39" t="n">
        <f aca="false">Resumo!$C$14*CEILING(I1092,1)</f>
        <v>12.6</v>
      </c>
      <c r="U1092" s="39" t="n">
        <f aca="false">SUM(M1092:T1092)*Resumo!$C$11</f>
        <v>0</v>
      </c>
      <c r="V1092" s="39" t="n">
        <f aca="false">SUM(M1092:U1092)</f>
        <v>70.746694</v>
      </c>
      <c r="W1092" s="39" t="n">
        <f aca="false">V1092/(1-Resumo!$C$5)</f>
        <v>80.3939704545454</v>
      </c>
      <c r="X1092" s="39" t="n">
        <v>82.21</v>
      </c>
      <c r="Y1092" s="39" t="n">
        <f aca="false">J1092*Resumo!$B$6</f>
        <v>0.34207</v>
      </c>
      <c r="Z1092" s="39" t="n">
        <f aca="false">J1092*Resumo!$B$7</f>
        <v>0.68414</v>
      </c>
      <c r="AA1092" s="39" t="n">
        <f aca="false">Resumo!$B$9</f>
        <v>1</v>
      </c>
      <c r="AB1092" s="39" t="n">
        <f aca="false">Resumo!$B$10*CEILING(I1092/100,1)</f>
        <v>4.5</v>
      </c>
      <c r="AC1092" s="39" t="n">
        <f aca="false">Resumo!$B$12*CEILING(I1092,1)</f>
        <v>1.68</v>
      </c>
      <c r="AD1092" s="39" t="n">
        <f aca="false">Resumo!$B$14*CEILING(I1092,1)</f>
        <v>12.6</v>
      </c>
      <c r="AE1092" s="39" t="n">
        <f aca="false">SUM(X1092:AD1092)</f>
        <v>103.01621</v>
      </c>
      <c r="AF1092" s="39" t="n">
        <f aca="false">AE1092/(1-Resumo!$B$5)</f>
        <v>117.063875</v>
      </c>
      <c r="AG1092" s="39" t="n">
        <f aca="false">AF1092-W1092</f>
        <v>36.6699045454545</v>
      </c>
      <c r="AH1092" s="40" t="n">
        <f aca="false">AF1092/W1092-1</f>
        <v>0.456127547104887</v>
      </c>
      <c r="AI1092" s="37" t="str">
        <f aca="false">IF(AF1092&lt;W1092,"SIM","NÃO")</f>
        <v>NÃO</v>
      </c>
      <c r="AJ1092" s="37" t="n">
        <v>2</v>
      </c>
      <c r="AK1092" s="37" t="n">
        <v>5</v>
      </c>
      <c r="AL1092" s="37" t="s">
        <v>343</v>
      </c>
      <c r="AM1092" s="39" t="n">
        <v>81.96</v>
      </c>
    </row>
    <row r="1093" customFormat="false" ht="15" hidden="false" customHeight="false" outlineLevel="0" collapsed="false">
      <c r="A1093" s="37" t="n">
        <v>377503996</v>
      </c>
      <c r="B1093" s="38" t="n">
        <v>46250.6123032407</v>
      </c>
      <c r="C1093" s="37" t="s">
        <v>375</v>
      </c>
      <c r="D1093" s="37" t="s">
        <v>1382</v>
      </c>
      <c r="E1093" s="37" t="n">
        <v>24726460</v>
      </c>
      <c r="F1093" s="37" t="s">
        <v>160</v>
      </c>
      <c r="G1093" s="37" t="s">
        <v>197</v>
      </c>
      <c r="H1093" s="37" t="s">
        <v>186</v>
      </c>
      <c r="I1093" s="37" t="n">
        <v>48.6</v>
      </c>
      <c r="J1093" s="39" t="n">
        <v>699.99</v>
      </c>
      <c r="K1093" s="37" t="s">
        <v>518</v>
      </c>
      <c r="L1093" s="39" t="n">
        <v>119.26</v>
      </c>
      <c r="M1093" s="39" t="n">
        <v>65.36</v>
      </c>
      <c r="N1093" s="39" t="n">
        <f aca="false">J1093*Resumo!$C$6</f>
        <v>0</v>
      </c>
      <c r="O1093" s="39" t="n">
        <f aca="false">J1093*Resumo!$C$7</f>
        <v>1.469979</v>
      </c>
      <c r="P1093" s="39" t="n">
        <f aca="false">J1093*Resumo!$C$8</f>
        <v>1.469979</v>
      </c>
      <c r="Q1093" s="39" t="n">
        <f aca="false">Resumo!$C$10*CEILING(I1093/100,1)</f>
        <v>1.05</v>
      </c>
      <c r="R1093" s="39" t="n">
        <f aca="false">Resumo!$C$9</f>
        <v>0</v>
      </c>
      <c r="S1093" s="39" t="n">
        <f aca="false">Resumo!$C$13</f>
        <v>13.55</v>
      </c>
      <c r="T1093" s="39" t="n">
        <f aca="false">Resumo!$C$14*CEILING(I1093,1)</f>
        <v>22.05</v>
      </c>
      <c r="U1093" s="39" t="n">
        <f aca="false">SUM(M1093:T1093)*Resumo!$C$11</f>
        <v>0</v>
      </c>
      <c r="V1093" s="39" t="n">
        <f aca="false">SUM(M1093:U1093)</f>
        <v>104.949958</v>
      </c>
      <c r="W1093" s="39" t="n">
        <f aca="false">V1093/(1-Resumo!$C$5)</f>
        <v>119.261315909091</v>
      </c>
      <c r="X1093" s="39" t="n">
        <v>114.95</v>
      </c>
      <c r="Y1093" s="39" t="n">
        <f aca="false">J1093*Resumo!$B$6</f>
        <v>0.69999</v>
      </c>
      <c r="Z1093" s="39" t="n">
        <f aca="false">J1093*Resumo!$B$7</f>
        <v>1.39998</v>
      </c>
      <c r="AA1093" s="39" t="n">
        <f aca="false">Resumo!$B$9</f>
        <v>1</v>
      </c>
      <c r="AB1093" s="39" t="n">
        <f aca="false">Resumo!$B$10*CEILING(I1093/100,1)</f>
        <v>4.5</v>
      </c>
      <c r="AC1093" s="39" t="n">
        <f aca="false">Resumo!$B$12*CEILING(I1093,1)</f>
        <v>2.94</v>
      </c>
      <c r="AD1093" s="39" t="n">
        <f aca="false">Resumo!$B$14*CEILING(I1093,1)</f>
        <v>22.05</v>
      </c>
      <c r="AE1093" s="39" t="n">
        <f aca="false">SUM(X1093:AD1093)</f>
        <v>147.53997</v>
      </c>
      <c r="AF1093" s="39" t="n">
        <f aca="false">AE1093/(1-Resumo!$B$5)</f>
        <v>167.659056818182</v>
      </c>
      <c r="AG1093" s="39" t="n">
        <f aca="false">AF1093-W1093</f>
        <v>48.3977409090909</v>
      </c>
      <c r="AH1093" s="40" t="n">
        <f aca="false">AF1093/W1093-1</f>
        <v>0.405812568309937</v>
      </c>
      <c r="AI1093" s="37" t="str">
        <f aca="false">IF(AF1093&lt;W1093,"SIM","NÃO")</f>
        <v>NÃO</v>
      </c>
      <c r="AJ1093" s="37" t="n">
        <v>2</v>
      </c>
      <c r="AK1093" s="37" t="n">
        <v>7</v>
      </c>
      <c r="AL1093" s="37" t="s">
        <v>343</v>
      </c>
      <c r="AM1093" s="39" t="n">
        <v>117.43</v>
      </c>
    </row>
    <row r="1094" customFormat="false" ht="15" hidden="false" customHeight="false" outlineLevel="0" collapsed="false">
      <c r="A1094" s="37" t="n">
        <v>377509946</v>
      </c>
      <c r="B1094" s="38" t="n">
        <v>46250.6146412037</v>
      </c>
      <c r="C1094" s="37" t="s">
        <v>340</v>
      </c>
      <c r="D1094" s="37" t="s">
        <v>1383</v>
      </c>
      <c r="E1094" s="37" t="n">
        <v>27343270</v>
      </c>
      <c r="F1094" s="37" t="s">
        <v>247</v>
      </c>
      <c r="G1094" s="37" t="s">
        <v>198</v>
      </c>
      <c r="H1094" s="37" t="s">
        <v>186</v>
      </c>
      <c r="I1094" s="37" t="n">
        <v>48.3</v>
      </c>
      <c r="J1094" s="39" t="n">
        <v>449.99</v>
      </c>
      <c r="K1094" s="37" t="s">
        <v>518</v>
      </c>
      <c r="L1094" s="39" t="n">
        <v>132.08</v>
      </c>
      <c r="M1094" s="39" t="n">
        <v>77.7</v>
      </c>
      <c r="N1094" s="39" t="n">
        <f aca="false">J1094*Resumo!$C$6</f>
        <v>0</v>
      </c>
      <c r="O1094" s="39" t="n">
        <f aca="false">J1094*Resumo!$C$7</f>
        <v>0.944979</v>
      </c>
      <c r="P1094" s="39" t="n">
        <f aca="false">J1094*Resumo!$C$8</f>
        <v>0.944979</v>
      </c>
      <c r="Q1094" s="39" t="n">
        <f aca="false">Resumo!$C$10*CEILING(I1094/100,1)</f>
        <v>1.05</v>
      </c>
      <c r="R1094" s="39" t="n">
        <f aca="false">Resumo!$C$9</f>
        <v>0</v>
      </c>
      <c r="S1094" s="39" t="n">
        <f aca="false">Resumo!$C$13</f>
        <v>13.55</v>
      </c>
      <c r="T1094" s="39" t="n">
        <f aca="false">Resumo!$C$14*CEILING(I1094,1)</f>
        <v>22.05</v>
      </c>
      <c r="U1094" s="39" t="n">
        <f aca="false">SUM(M1094:T1094)*Resumo!$C$11</f>
        <v>0</v>
      </c>
      <c r="V1094" s="39" t="n">
        <f aca="false">SUM(M1094:U1094)</f>
        <v>116.239958</v>
      </c>
      <c r="W1094" s="39" t="n">
        <f aca="false">V1094/(1-Resumo!$C$5)</f>
        <v>132.090861363636</v>
      </c>
      <c r="X1094" s="39" t="n">
        <v>124.38</v>
      </c>
      <c r="Y1094" s="39" t="n">
        <f aca="false">J1094*Resumo!$B$6</f>
        <v>0.44999</v>
      </c>
      <c r="Z1094" s="39" t="n">
        <f aca="false">J1094*Resumo!$B$7</f>
        <v>0.89998</v>
      </c>
      <c r="AA1094" s="39" t="n">
        <f aca="false">Resumo!$B$9</f>
        <v>1</v>
      </c>
      <c r="AB1094" s="39" t="n">
        <f aca="false">Resumo!$B$10*CEILING(I1094/100,1)</f>
        <v>4.5</v>
      </c>
      <c r="AC1094" s="39" t="n">
        <f aca="false">Resumo!$B$12*CEILING(I1094,1)</f>
        <v>2.94</v>
      </c>
      <c r="AD1094" s="39" t="n">
        <f aca="false">Resumo!$B$14*CEILING(I1094,1)</f>
        <v>22.05</v>
      </c>
      <c r="AE1094" s="39" t="n">
        <f aca="false">SUM(X1094:AD1094)</f>
        <v>156.21997</v>
      </c>
      <c r="AF1094" s="39" t="n">
        <f aca="false">AE1094/(1-Resumo!$B$5)</f>
        <v>177.522693181818</v>
      </c>
      <c r="AG1094" s="39" t="n">
        <f aca="false">AF1094-W1094</f>
        <v>45.4318318181818</v>
      </c>
      <c r="AH1094" s="40" t="n">
        <f aca="false">AF1094/W1094-1</f>
        <v>0.343943792546794</v>
      </c>
      <c r="AI1094" s="37" t="str">
        <f aca="false">IF(AF1094&lt;W1094,"SIM","NÃO")</f>
        <v>NÃO</v>
      </c>
      <c r="AJ1094" s="37" t="n">
        <v>13</v>
      </c>
      <c r="AK1094" s="37" t="n">
        <v>10</v>
      </c>
      <c r="AL1094" s="37" t="s">
        <v>347</v>
      </c>
      <c r="AM1094" s="39" t="n">
        <v>130.32</v>
      </c>
    </row>
    <row r="1095" customFormat="false" ht="15" hidden="false" customHeight="false" outlineLevel="0" collapsed="false">
      <c r="A1095" s="37" t="n">
        <v>377602185</v>
      </c>
      <c r="B1095" s="38" t="n">
        <v>46250.6302199074</v>
      </c>
      <c r="C1095" s="37" t="s">
        <v>345</v>
      </c>
      <c r="D1095" s="37" t="s">
        <v>1384</v>
      </c>
      <c r="E1095" s="37" t="n">
        <v>24804141</v>
      </c>
      <c r="F1095" s="37" t="s">
        <v>174</v>
      </c>
      <c r="G1095" s="37" t="s">
        <v>198</v>
      </c>
      <c r="H1095" s="37" t="s">
        <v>188</v>
      </c>
      <c r="I1095" s="37" t="n">
        <v>69.15</v>
      </c>
      <c r="J1095" s="39" t="n">
        <v>707</v>
      </c>
      <c r="K1095" s="37" t="s">
        <v>518</v>
      </c>
      <c r="L1095" s="39" t="n">
        <v>158.25</v>
      </c>
      <c r="M1095" s="39" t="n">
        <v>90.2</v>
      </c>
      <c r="N1095" s="39" t="n">
        <f aca="false">J1095*Resumo!$C$6</f>
        <v>0</v>
      </c>
      <c r="O1095" s="39" t="n">
        <f aca="false">J1095*Resumo!$C$7</f>
        <v>1.4847</v>
      </c>
      <c r="P1095" s="39" t="n">
        <f aca="false">J1095*Resumo!$C$8</f>
        <v>1.4847</v>
      </c>
      <c r="Q1095" s="39" t="n">
        <f aca="false">Resumo!$C$10*CEILING(I1095/100,1)</f>
        <v>1.05</v>
      </c>
      <c r="R1095" s="39" t="n">
        <f aca="false">Resumo!$C$9</f>
        <v>0</v>
      </c>
      <c r="S1095" s="39" t="n">
        <f aca="false">Resumo!$C$13</f>
        <v>13.55</v>
      </c>
      <c r="T1095" s="39" t="n">
        <f aca="false">Resumo!$C$14*CEILING(I1095,1)</f>
        <v>31.5</v>
      </c>
      <c r="U1095" s="39" t="n">
        <f aca="false">SUM(M1095:T1095)*Resumo!$C$11</f>
        <v>0</v>
      </c>
      <c r="V1095" s="39" t="n">
        <f aca="false">SUM(M1095:U1095)</f>
        <v>139.2694</v>
      </c>
      <c r="W1095" s="39" t="n">
        <f aca="false">V1095/(1-Resumo!$C$5)</f>
        <v>158.260681818182</v>
      </c>
      <c r="X1095" s="39" t="n">
        <v>149.5</v>
      </c>
      <c r="Y1095" s="39" t="n">
        <f aca="false">J1095*Resumo!$B$6</f>
        <v>0.707</v>
      </c>
      <c r="Z1095" s="39" t="n">
        <f aca="false">J1095*Resumo!$B$7</f>
        <v>1.414</v>
      </c>
      <c r="AA1095" s="39" t="n">
        <f aca="false">Resumo!$B$9</f>
        <v>1</v>
      </c>
      <c r="AB1095" s="39" t="n">
        <f aca="false">Resumo!$B$10*CEILING(I1095/100,1)</f>
        <v>4.5</v>
      </c>
      <c r="AC1095" s="39" t="n">
        <f aca="false">Resumo!$B$12*CEILING(I1095,1)</f>
        <v>4.2</v>
      </c>
      <c r="AD1095" s="39" t="n">
        <f aca="false">Resumo!$B$14*CEILING(I1095,1)</f>
        <v>31.5</v>
      </c>
      <c r="AE1095" s="39" t="n">
        <f aca="false">SUM(X1095:AD1095)</f>
        <v>192.821</v>
      </c>
      <c r="AF1095" s="39" t="n">
        <f aca="false">AE1095/(1-Resumo!$B$5)</f>
        <v>219.114772727273</v>
      </c>
      <c r="AG1095" s="39" t="n">
        <f aca="false">AF1095-W1095</f>
        <v>60.8540909090909</v>
      </c>
      <c r="AH1095" s="40" t="n">
        <f aca="false">AF1095/W1095-1</f>
        <v>0.384518063551649</v>
      </c>
      <c r="AI1095" s="37" t="str">
        <f aca="false">IF(AF1095&lt;W1095,"SIM","NÃO")</f>
        <v>NÃO</v>
      </c>
      <c r="AJ1095" s="37" t="n">
        <v>13</v>
      </c>
      <c r="AK1095" s="37" t="n">
        <v>7</v>
      </c>
      <c r="AL1095" s="37" t="s">
        <v>343</v>
      </c>
      <c r="AM1095" s="39" t="n">
        <v>155.41</v>
      </c>
    </row>
    <row r="1096" customFormat="false" ht="15" hidden="false" customHeight="false" outlineLevel="0" collapsed="false">
      <c r="A1096" s="37" t="n">
        <v>377540596</v>
      </c>
      <c r="B1096" s="38" t="n">
        <v>46250.6592592593</v>
      </c>
      <c r="C1096" s="37" t="s">
        <v>340</v>
      </c>
      <c r="D1096" s="37" t="s">
        <v>1385</v>
      </c>
      <c r="E1096" s="37" t="n">
        <v>26041070</v>
      </c>
      <c r="F1096" s="37" t="s">
        <v>162</v>
      </c>
      <c r="G1096" s="37" t="s">
        <v>197</v>
      </c>
      <c r="H1096" s="37" t="s">
        <v>185</v>
      </c>
      <c r="I1096" s="37" t="n">
        <v>37.2</v>
      </c>
      <c r="J1096" s="39" t="n">
        <v>429.99</v>
      </c>
      <c r="K1096" s="37" t="s">
        <v>342</v>
      </c>
      <c r="L1096" s="39" t="n">
        <v>113.01</v>
      </c>
      <c r="M1096" s="39" t="n">
        <v>66.83</v>
      </c>
      <c r="N1096" s="39" t="n">
        <f aca="false">J1096*Resumo!$C$6</f>
        <v>0</v>
      </c>
      <c r="O1096" s="39" t="n">
        <f aca="false">J1096*Resumo!$C$7</f>
        <v>0.902979</v>
      </c>
      <c r="P1096" s="39" t="n">
        <f aca="false">J1096*Resumo!$C$8</f>
        <v>0.902979</v>
      </c>
      <c r="Q1096" s="39" t="n">
        <f aca="false">Resumo!$C$10*CEILING(I1096/100,1)</f>
        <v>1.05</v>
      </c>
      <c r="R1096" s="39" t="n">
        <f aca="false">Resumo!$C$9</f>
        <v>0</v>
      </c>
      <c r="S1096" s="39" t="n">
        <f aca="false">Resumo!$C$13</f>
        <v>13.55</v>
      </c>
      <c r="T1096" s="39" t="n">
        <f aca="false">Resumo!$C$14*CEILING(I1096,1)</f>
        <v>17.1</v>
      </c>
      <c r="U1096" s="39" t="n">
        <f aca="false">SUM(M1096:T1096)*Resumo!$C$11</f>
        <v>0</v>
      </c>
      <c r="V1096" s="39" t="n">
        <f aca="false">SUM(M1096:U1096)</f>
        <v>100.335958</v>
      </c>
      <c r="W1096" s="39" t="n">
        <f aca="false">V1096/(1-Resumo!$C$5)</f>
        <v>114.018134090909</v>
      </c>
      <c r="X1096" s="39" t="n">
        <v>93.97</v>
      </c>
      <c r="Y1096" s="39" t="n">
        <f aca="false">J1096*Resumo!$B$6</f>
        <v>0.42999</v>
      </c>
      <c r="Z1096" s="39" t="n">
        <f aca="false">J1096*Resumo!$B$7</f>
        <v>0.85998</v>
      </c>
      <c r="AA1096" s="39" t="n">
        <f aca="false">Resumo!$B$9</f>
        <v>1</v>
      </c>
      <c r="AB1096" s="39" t="n">
        <f aca="false">Resumo!$B$10*CEILING(I1096/100,1)</f>
        <v>4.5</v>
      </c>
      <c r="AC1096" s="39" t="n">
        <f aca="false">Resumo!$B$12*CEILING(I1096,1)</f>
        <v>2.28</v>
      </c>
      <c r="AD1096" s="39" t="n">
        <f aca="false">Resumo!$B$14*CEILING(I1096,1)</f>
        <v>17.1</v>
      </c>
      <c r="AE1096" s="39" t="n">
        <f aca="false">SUM(X1096:AD1096)</f>
        <v>120.13997</v>
      </c>
      <c r="AF1096" s="39" t="n">
        <f aca="false">AE1096/(1-Resumo!$B$5)</f>
        <v>136.522693181818</v>
      </c>
      <c r="AG1096" s="39" t="n">
        <f aca="false">AF1096-W1096</f>
        <v>22.5045590909091</v>
      </c>
      <c r="AH1096" s="40" t="n">
        <f aca="false">AF1096/W1096-1</f>
        <v>0.19737701612417</v>
      </c>
      <c r="AI1096" s="37" t="str">
        <f aca="false">IF(AF1096&lt;W1096,"SIM","NÃO")</f>
        <v>NÃO</v>
      </c>
      <c r="AJ1096" s="37" t="n">
        <v>2</v>
      </c>
      <c r="AK1096" s="37" t="n">
        <v>5</v>
      </c>
      <c r="AL1096" s="37" t="s">
        <v>343</v>
      </c>
      <c r="AM1096" s="39" t="n">
        <v>113.02</v>
      </c>
    </row>
    <row r="1097" customFormat="false" ht="15" hidden="false" customHeight="false" outlineLevel="0" collapsed="false">
      <c r="A1097" s="37" t="n">
        <v>377547866</v>
      </c>
      <c r="B1097" s="38" t="n">
        <v>46250.6696643519</v>
      </c>
      <c r="C1097" s="37" t="s">
        <v>345</v>
      </c>
      <c r="D1097" s="37" t="s">
        <v>1386</v>
      </c>
      <c r="E1097" s="37" t="n">
        <v>26010390</v>
      </c>
      <c r="F1097" s="37" t="s">
        <v>162</v>
      </c>
      <c r="G1097" s="37" t="s">
        <v>197</v>
      </c>
      <c r="H1097" s="37" t="s">
        <v>185</v>
      </c>
      <c r="I1097" s="37" t="n">
        <v>36.8</v>
      </c>
      <c r="J1097" s="39" t="n">
        <v>444.99</v>
      </c>
      <c r="K1097" s="37" t="s">
        <v>342</v>
      </c>
      <c r="L1097" s="39" t="n">
        <v>113.09</v>
      </c>
      <c r="M1097" s="39" t="n">
        <v>66.83</v>
      </c>
      <c r="N1097" s="39" t="n">
        <f aca="false">J1097*Resumo!$C$6</f>
        <v>0</v>
      </c>
      <c r="O1097" s="39" t="n">
        <f aca="false">J1097*Resumo!$C$7</f>
        <v>0.934479</v>
      </c>
      <c r="P1097" s="39" t="n">
        <f aca="false">J1097*Resumo!$C$8</f>
        <v>0.934479</v>
      </c>
      <c r="Q1097" s="39" t="n">
        <f aca="false">Resumo!$C$10*CEILING(I1097/100,1)</f>
        <v>1.05</v>
      </c>
      <c r="R1097" s="39" t="n">
        <f aca="false">Resumo!$C$9</f>
        <v>0</v>
      </c>
      <c r="S1097" s="39" t="n">
        <f aca="false">Resumo!$C$13</f>
        <v>13.55</v>
      </c>
      <c r="T1097" s="39" t="n">
        <f aca="false">Resumo!$C$14*CEILING(I1097,1)</f>
        <v>16.65</v>
      </c>
      <c r="U1097" s="39" t="n">
        <f aca="false">SUM(M1097:T1097)*Resumo!$C$11</f>
        <v>0</v>
      </c>
      <c r="V1097" s="39" t="n">
        <f aca="false">SUM(M1097:U1097)</f>
        <v>99.948958</v>
      </c>
      <c r="W1097" s="39" t="n">
        <f aca="false">V1097/(1-Resumo!$C$5)</f>
        <v>113.578361363636</v>
      </c>
      <c r="X1097" s="39" t="n">
        <v>93.97</v>
      </c>
      <c r="Y1097" s="39" t="n">
        <f aca="false">J1097*Resumo!$B$6</f>
        <v>0.44499</v>
      </c>
      <c r="Z1097" s="39" t="n">
        <f aca="false">J1097*Resumo!$B$7</f>
        <v>0.88998</v>
      </c>
      <c r="AA1097" s="39" t="n">
        <f aca="false">Resumo!$B$9</f>
        <v>1</v>
      </c>
      <c r="AB1097" s="39" t="n">
        <f aca="false">Resumo!$B$10*CEILING(I1097/100,1)</f>
        <v>4.5</v>
      </c>
      <c r="AC1097" s="39" t="n">
        <f aca="false">Resumo!$B$12*CEILING(I1097,1)</f>
        <v>2.22</v>
      </c>
      <c r="AD1097" s="39" t="n">
        <f aca="false">Resumo!$B$14*CEILING(I1097,1)</f>
        <v>16.65</v>
      </c>
      <c r="AE1097" s="39" t="n">
        <f aca="false">SUM(X1097:AD1097)</f>
        <v>119.67497</v>
      </c>
      <c r="AF1097" s="39" t="n">
        <f aca="false">AE1097/(1-Resumo!$B$5)</f>
        <v>135.994284090909</v>
      </c>
      <c r="AG1097" s="39" t="n">
        <f aca="false">AF1097-W1097</f>
        <v>22.4159227272727</v>
      </c>
      <c r="AH1097" s="40" t="n">
        <f aca="false">AF1097/W1097-1</f>
        <v>0.197360856928593</v>
      </c>
      <c r="AI1097" s="37" t="str">
        <f aca="false">IF(AF1097&lt;W1097,"SIM","NÃO")</f>
        <v>NÃO</v>
      </c>
      <c r="AJ1097" s="37" t="n">
        <v>2</v>
      </c>
      <c r="AK1097" s="37" t="n">
        <v>5</v>
      </c>
      <c r="AL1097" s="37" t="s">
        <v>343</v>
      </c>
      <c r="AM1097" s="39" t="n">
        <v>113.09</v>
      </c>
    </row>
    <row r="1098" customFormat="false" ht="15" hidden="false" customHeight="false" outlineLevel="0" collapsed="false">
      <c r="A1098" s="37" t="n">
        <v>377547749</v>
      </c>
      <c r="B1098" s="38" t="n">
        <v>46250.6697222222</v>
      </c>
      <c r="C1098" s="37" t="s">
        <v>345</v>
      </c>
      <c r="D1098" s="37" t="s">
        <v>1387</v>
      </c>
      <c r="E1098" s="37" t="n">
        <v>22730170</v>
      </c>
      <c r="F1098" s="37" t="s">
        <v>159</v>
      </c>
      <c r="G1098" s="37" t="s">
        <v>196</v>
      </c>
      <c r="H1098" s="37" t="s">
        <v>190</v>
      </c>
      <c r="I1098" s="37" t="n">
        <v>81.7</v>
      </c>
      <c r="J1098" s="39" t="n">
        <v>563</v>
      </c>
      <c r="K1098" s="37" t="s">
        <v>342</v>
      </c>
      <c r="L1098" s="39" t="n">
        <v>161.8</v>
      </c>
      <c r="M1098" s="39" t="n">
        <v>83.79</v>
      </c>
      <c r="N1098" s="39" t="n">
        <f aca="false">J1098*Resumo!$C$6</f>
        <v>0</v>
      </c>
      <c r="O1098" s="39" t="n">
        <f aca="false">J1098*Resumo!$C$7</f>
        <v>1.1823</v>
      </c>
      <c r="P1098" s="39" t="n">
        <f aca="false">J1098*Resumo!$C$8</f>
        <v>1.1823</v>
      </c>
      <c r="Q1098" s="39" t="n">
        <f aca="false">Resumo!$C$10*CEILING(I1098/100,1)</f>
        <v>1.05</v>
      </c>
      <c r="R1098" s="39" t="n">
        <f aca="false">Resumo!$C$9</f>
        <v>0</v>
      </c>
      <c r="S1098" s="39" t="n">
        <f aca="false">Resumo!$C$13</f>
        <v>13.55</v>
      </c>
      <c r="T1098" s="39" t="n">
        <f aca="false">Resumo!$C$14*CEILING(I1098,1)</f>
        <v>36.9</v>
      </c>
      <c r="U1098" s="39" t="n">
        <f aca="false">SUM(M1098:T1098)*Resumo!$C$11</f>
        <v>0</v>
      </c>
      <c r="V1098" s="39" t="n">
        <f aca="false">SUM(M1098:U1098)</f>
        <v>137.6546</v>
      </c>
      <c r="W1098" s="39" t="n">
        <f aca="false">V1098/(1-Resumo!$C$5)</f>
        <v>156.425681818182</v>
      </c>
      <c r="X1098" s="39" t="n">
        <v>167.99</v>
      </c>
      <c r="Y1098" s="39" t="n">
        <f aca="false">J1098*Resumo!$B$6</f>
        <v>0.563</v>
      </c>
      <c r="Z1098" s="39" t="n">
        <f aca="false">J1098*Resumo!$B$7</f>
        <v>1.126</v>
      </c>
      <c r="AA1098" s="39" t="n">
        <f aca="false">Resumo!$B$9</f>
        <v>1</v>
      </c>
      <c r="AB1098" s="39" t="n">
        <f aca="false">Resumo!$B$10*CEILING(I1098/100,1)</f>
        <v>4.5</v>
      </c>
      <c r="AC1098" s="39" t="n">
        <f aca="false">Resumo!$B$12*CEILING(I1098,1)</f>
        <v>4.92</v>
      </c>
      <c r="AD1098" s="39" t="n">
        <f aca="false">Resumo!$B$14*CEILING(I1098,1)</f>
        <v>36.9</v>
      </c>
      <c r="AE1098" s="39" t="n">
        <f aca="false">SUM(X1098:AD1098)</f>
        <v>216.999</v>
      </c>
      <c r="AF1098" s="39" t="n">
        <f aca="false">AE1098/(1-Resumo!$B$5)</f>
        <v>246.589772727273</v>
      </c>
      <c r="AG1098" s="39" t="n">
        <f aca="false">AF1098-W1098</f>
        <v>90.1640909090909</v>
      </c>
      <c r="AH1098" s="40" t="n">
        <f aca="false">AF1098/W1098-1</f>
        <v>0.576402096261222</v>
      </c>
      <c r="AI1098" s="37" t="str">
        <f aca="false">IF(AF1098&lt;W1098,"SIM","NÃO")</f>
        <v>NÃO</v>
      </c>
      <c r="AJ1098" s="37" t="n">
        <v>2</v>
      </c>
      <c r="AK1098" s="37" t="n">
        <v>5</v>
      </c>
      <c r="AL1098" s="37" t="s">
        <v>343</v>
      </c>
      <c r="AM1098" s="39" t="n">
        <v>161.79</v>
      </c>
    </row>
    <row r="1099" customFormat="false" ht="15" hidden="false" customHeight="false" outlineLevel="0" collapsed="false">
      <c r="A1099" s="37" t="n">
        <v>377544315</v>
      </c>
      <c r="B1099" s="38" t="n">
        <v>46250.6702662037</v>
      </c>
      <c r="C1099" s="37" t="s">
        <v>375</v>
      </c>
      <c r="D1099" s="37" t="s">
        <v>1388</v>
      </c>
      <c r="E1099" s="37" t="n">
        <v>22450130</v>
      </c>
      <c r="F1099" s="37" t="s">
        <v>159</v>
      </c>
      <c r="G1099" s="37" t="s">
        <v>196</v>
      </c>
      <c r="H1099" s="37" t="s">
        <v>183</v>
      </c>
      <c r="I1099" s="37" t="n">
        <v>15.05</v>
      </c>
      <c r="J1099" s="39" t="n">
        <v>228.79</v>
      </c>
      <c r="K1099" s="37" t="s">
        <v>518</v>
      </c>
      <c r="L1099" s="39" t="n">
        <v>63.84</v>
      </c>
      <c r="M1099" s="39" t="n">
        <v>33.42</v>
      </c>
      <c r="N1099" s="39" t="n">
        <f aca="false">J1099*Resumo!$C$6</f>
        <v>0</v>
      </c>
      <c r="O1099" s="39" t="n">
        <f aca="false">J1099*Resumo!$C$7</f>
        <v>0.480459</v>
      </c>
      <c r="P1099" s="39" t="n">
        <f aca="false">J1099*Resumo!$C$8</f>
        <v>0.480459</v>
      </c>
      <c r="Q1099" s="39" t="n">
        <f aca="false">Resumo!$C$10*CEILING(I1099/100,1)</f>
        <v>1.05</v>
      </c>
      <c r="R1099" s="39" t="n">
        <f aca="false">Resumo!$C$9</f>
        <v>0</v>
      </c>
      <c r="S1099" s="39" t="n">
        <f aca="false">Resumo!$C$13</f>
        <v>13.55</v>
      </c>
      <c r="T1099" s="39" t="n">
        <f aca="false">Resumo!$C$14*CEILING(I1099,1)</f>
        <v>7.2</v>
      </c>
      <c r="U1099" s="39" t="n">
        <f aca="false">SUM(M1099:T1099)*Resumo!$C$11</f>
        <v>0</v>
      </c>
      <c r="V1099" s="39" t="n">
        <f aca="false">SUM(M1099:U1099)</f>
        <v>56.180918</v>
      </c>
      <c r="W1099" s="39" t="n">
        <f aca="false">V1099/(1-Resumo!$C$5)</f>
        <v>63.8419522727273</v>
      </c>
      <c r="X1099" s="39" t="n">
        <v>46.98</v>
      </c>
      <c r="Y1099" s="39" t="n">
        <f aca="false">J1099*Resumo!$B$6</f>
        <v>0.22879</v>
      </c>
      <c r="Z1099" s="39" t="n">
        <f aca="false">J1099*Resumo!$B$7</f>
        <v>0.45758</v>
      </c>
      <c r="AA1099" s="39" t="n">
        <f aca="false">Resumo!$B$9</f>
        <v>1</v>
      </c>
      <c r="AB1099" s="39" t="n">
        <f aca="false">Resumo!$B$10*CEILING(I1099/100,1)</f>
        <v>4.5</v>
      </c>
      <c r="AC1099" s="39" t="n">
        <f aca="false">Resumo!$B$12*CEILING(I1099,1)</f>
        <v>0.96</v>
      </c>
      <c r="AD1099" s="39" t="n">
        <f aca="false">Resumo!$B$14*CEILING(I1099,1)</f>
        <v>7.2</v>
      </c>
      <c r="AE1099" s="39" t="n">
        <f aca="false">SUM(X1099:AD1099)</f>
        <v>61.32637</v>
      </c>
      <c r="AF1099" s="39" t="n">
        <f aca="false">AE1099/(1-Resumo!$B$5)</f>
        <v>69.6890568181818</v>
      </c>
      <c r="AG1099" s="39" t="n">
        <f aca="false">AF1099-W1099</f>
        <v>5.84710454545454</v>
      </c>
      <c r="AH1099" s="40" t="n">
        <f aca="false">AF1099/W1099-1</f>
        <v>0.0915871826800692</v>
      </c>
      <c r="AI1099" s="37" t="str">
        <f aca="false">IF(AF1099&lt;W1099,"SIM","NÃO")</f>
        <v>NÃO</v>
      </c>
      <c r="AJ1099" s="37" t="n">
        <v>2</v>
      </c>
      <c r="AK1099" s="37" t="n">
        <v>5</v>
      </c>
      <c r="AL1099" s="37" t="s">
        <v>343</v>
      </c>
      <c r="AM1099" s="39" t="n">
        <v>64.31</v>
      </c>
    </row>
    <row r="1100" customFormat="false" ht="15" hidden="false" customHeight="false" outlineLevel="0" collapsed="false">
      <c r="A1100" s="37" t="n">
        <v>377553221</v>
      </c>
      <c r="B1100" s="38" t="n">
        <v>46250.6785069444</v>
      </c>
      <c r="C1100" s="37" t="s">
        <v>340</v>
      </c>
      <c r="D1100" s="37" t="s">
        <v>1389</v>
      </c>
      <c r="E1100" s="37" t="n">
        <v>28942820</v>
      </c>
      <c r="F1100" s="37" t="s">
        <v>292</v>
      </c>
      <c r="G1100" s="37" t="s">
        <v>198</v>
      </c>
      <c r="H1100" s="37" t="s">
        <v>184</v>
      </c>
      <c r="I1100" s="37" t="n">
        <v>30.5</v>
      </c>
      <c r="J1100" s="39" t="n">
        <v>499.99</v>
      </c>
      <c r="K1100" s="37" t="s">
        <v>518</v>
      </c>
      <c r="L1100" s="39" t="n">
        <v>109.41</v>
      </c>
      <c r="M1100" s="39" t="n">
        <v>65.63</v>
      </c>
      <c r="N1100" s="39" t="n">
        <f aca="false">J1100*Resumo!$C$6</f>
        <v>0</v>
      </c>
      <c r="O1100" s="39" t="n">
        <f aca="false">J1100*Resumo!$C$7</f>
        <v>1.049979</v>
      </c>
      <c r="P1100" s="39" t="n">
        <f aca="false">J1100*Resumo!$C$8</f>
        <v>1.049979</v>
      </c>
      <c r="Q1100" s="39" t="n">
        <f aca="false">Resumo!$C$10*CEILING(I1100/100,1)</f>
        <v>1.05</v>
      </c>
      <c r="R1100" s="39" t="n">
        <f aca="false">Resumo!$C$9</f>
        <v>0</v>
      </c>
      <c r="S1100" s="39" t="n">
        <f aca="false">Resumo!$C$13</f>
        <v>13.55</v>
      </c>
      <c r="T1100" s="39" t="n">
        <f aca="false">Resumo!$C$14*CEILING(I1100,1)</f>
        <v>13.95</v>
      </c>
      <c r="U1100" s="39" t="n">
        <f aca="false">SUM(M1100:T1100)*Resumo!$C$11</f>
        <v>0</v>
      </c>
      <c r="V1100" s="39" t="n">
        <f aca="false">SUM(M1100:U1100)</f>
        <v>96.279958</v>
      </c>
      <c r="W1100" s="39" t="n">
        <f aca="false">V1100/(1-Resumo!$C$5)</f>
        <v>109.409043181818</v>
      </c>
      <c r="X1100" s="39" t="n">
        <v>114.95</v>
      </c>
      <c r="Y1100" s="39" t="n">
        <f aca="false">J1100*Resumo!$B$6</f>
        <v>0.49999</v>
      </c>
      <c r="Z1100" s="39" t="n">
        <f aca="false">J1100*Resumo!$B$7</f>
        <v>0.99998</v>
      </c>
      <c r="AA1100" s="39" t="n">
        <f aca="false">Resumo!$B$9</f>
        <v>1</v>
      </c>
      <c r="AB1100" s="39" t="n">
        <f aca="false">Resumo!$B$10*CEILING(I1100/100,1)</f>
        <v>4.5</v>
      </c>
      <c r="AC1100" s="39" t="n">
        <f aca="false">Resumo!$B$12*CEILING(I1100,1)</f>
        <v>1.86</v>
      </c>
      <c r="AD1100" s="39" t="n">
        <f aca="false">Resumo!$B$14*CEILING(I1100,1)</f>
        <v>13.95</v>
      </c>
      <c r="AE1100" s="39" t="n">
        <f aca="false">SUM(X1100:AD1100)</f>
        <v>137.75997</v>
      </c>
      <c r="AF1100" s="39" t="n">
        <f aca="false">AE1100/(1-Resumo!$B$5)</f>
        <v>156.545420454545</v>
      </c>
      <c r="AG1100" s="39" t="n">
        <f aca="false">AF1100-W1100</f>
        <v>47.1363772727273</v>
      </c>
      <c r="AH1100" s="40" t="n">
        <f aca="false">AF1100/W1100-1</f>
        <v>0.430827067872215</v>
      </c>
      <c r="AI1100" s="37" t="str">
        <f aca="false">IF(AF1100&lt;W1100,"SIM","NÃO")</f>
        <v>NÃO</v>
      </c>
      <c r="AJ1100" s="37" t="n">
        <v>13</v>
      </c>
      <c r="AK1100" s="37" t="n">
        <v>10</v>
      </c>
      <c r="AL1100" s="37" t="s">
        <v>347</v>
      </c>
      <c r="AM1100" s="39" t="n">
        <v>109.58</v>
      </c>
    </row>
    <row r="1101" customFormat="false" ht="15" hidden="false" customHeight="false" outlineLevel="0" collapsed="false">
      <c r="A1101" s="37" t="n">
        <v>377554795</v>
      </c>
      <c r="B1101" s="38" t="n">
        <v>46250.6811111111</v>
      </c>
      <c r="C1101" s="37" t="s">
        <v>379</v>
      </c>
      <c r="D1101" s="37" t="s">
        <v>1390</v>
      </c>
      <c r="E1101" s="37" t="n">
        <v>22610001</v>
      </c>
      <c r="F1101" s="37" t="s">
        <v>159</v>
      </c>
      <c r="G1101" s="37" t="s">
        <v>196</v>
      </c>
      <c r="H1101" s="37" t="s">
        <v>186</v>
      </c>
      <c r="I1101" s="37" t="n">
        <v>41</v>
      </c>
      <c r="J1101" s="39" t="n">
        <v>509.99</v>
      </c>
      <c r="K1101" s="37" t="s">
        <v>518</v>
      </c>
      <c r="L1101" s="39" t="n">
        <v>100.84</v>
      </c>
      <c r="M1101" s="39" t="n">
        <v>53.55</v>
      </c>
      <c r="N1101" s="39" t="n">
        <f aca="false">J1101*Resumo!$C$6</f>
        <v>0</v>
      </c>
      <c r="O1101" s="39" t="n">
        <f aca="false">J1101*Resumo!$C$7</f>
        <v>1.070979</v>
      </c>
      <c r="P1101" s="39" t="n">
        <f aca="false">J1101*Resumo!$C$8</f>
        <v>1.070979</v>
      </c>
      <c r="Q1101" s="39" t="n">
        <f aca="false">Resumo!$C$10*CEILING(I1101/100,1)</f>
        <v>1.05</v>
      </c>
      <c r="R1101" s="39" t="n">
        <f aca="false">Resumo!$C$9</f>
        <v>0</v>
      </c>
      <c r="S1101" s="39" t="n">
        <f aca="false">Resumo!$C$13</f>
        <v>13.55</v>
      </c>
      <c r="T1101" s="39" t="n">
        <f aca="false">Resumo!$C$14*CEILING(I1101,1)</f>
        <v>18.45</v>
      </c>
      <c r="U1101" s="39" t="n">
        <f aca="false">SUM(M1101:T1101)*Resumo!$C$11</f>
        <v>0</v>
      </c>
      <c r="V1101" s="39" t="n">
        <f aca="false">SUM(M1101:U1101)</f>
        <v>88.741958</v>
      </c>
      <c r="W1101" s="39" t="n">
        <f aca="false">V1101/(1-Resumo!$C$5)</f>
        <v>100.843134090909</v>
      </c>
      <c r="X1101" s="39" t="n">
        <v>93.97</v>
      </c>
      <c r="Y1101" s="39" t="n">
        <f aca="false">J1101*Resumo!$B$6</f>
        <v>0.50999</v>
      </c>
      <c r="Z1101" s="39" t="n">
        <f aca="false">J1101*Resumo!$B$7</f>
        <v>1.01998</v>
      </c>
      <c r="AA1101" s="39" t="n">
        <f aca="false">Resumo!$B$9</f>
        <v>1</v>
      </c>
      <c r="AB1101" s="39" t="n">
        <f aca="false">Resumo!$B$10*CEILING(I1101/100,1)</f>
        <v>4.5</v>
      </c>
      <c r="AC1101" s="39" t="n">
        <f aca="false">Resumo!$B$12*CEILING(I1101,1)</f>
        <v>2.46</v>
      </c>
      <c r="AD1101" s="39" t="n">
        <f aca="false">Resumo!$B$14*CEILING(I1101,1)</f>
        <v>18.45</v>
      </c>
      <c r="AE1101" s="39" t="n">
        <f aca="false">SUM(X1101:AD1101)</f>
        <v>121.90997</v>
      </c>
      <c r="AF1101" s="39" t="n">
        <f aca="false">AE1101/(1-Resumo!$B$5)</f>
        <v>138.534056818182</v>
      </c>
      <c r="AG1101" s="39" t="n">
        <f aca="false">AF1101-W1101</f>
        <v>37.6909227272727</v>
      </c>
      <c r="AH1101" s="40" t="n">
        <f aca="false">AF1101/W1101-1</f>
        <v>0.373757946607399</v>
      </c>
      <c r="AI1101" s="37" t="str">
        <f aca="false">IF(AF1101&lt;W1101,"SIM","NÃO")</f>
        <v>NÃO</v>
      </c>
      <c r="AJ1101" s="37" t="n">
        <v>2</v>
      </c>
      <c r="AK1101" s="37" t="n">
        <v>5</v>
      </c>
      <c r="AL1101" s="37" t="s">
        <v>343</v>
      </c>
      <c r="AM1101" s="39" t="n">
        <v>103.03</v>
      </c>
    </row>
    <row r="1102" customFormat="false" ht="15" hidden="false" customHeight="false" outlineLevel="0" collapsed="false">
      <c r="A1102" s="37" t="n">
        <v>377575083</v>
      </c>
      <c r="B1102" s="38" t="n">
        <v>46250.7134143519</v>
      </c>
      <c r="C1102" s="37" t="s">
        <v>340</v>
      </c>
      <c r="D1102" s="37" t="s">
        <v>1391</v>
      </c>
      <c r="E1102" s="37" t="n">
        <v>21862560</v>
      </c>
      <c r="F1102" s="37" t="s">
        <v>159</v>
      </c>
      <c r="G1102" s="37" t="s">
        <v>196</v>
      </c>
      <c r="H1102" s="37" t="s">
        <v>184</v>
      </c>
      <c r="I1102" s="37" t="n">
        <v>30.5</v>
      </c>
      <c r="J1102" s="39" t="n">
        <v>413.55</v>
      </c>
      <c r="K1102" s="37" t="s">
        <v>342</v>
      </c>
      <c r="L1102" s="39" t="n">
        <v>82.32</v>
      </c>
      <c r="M1102" s="39" t="n">
        <v>42.11</v>
      </c>
      <c r="N1102" s="39" t="n">
        <f aca="false">J1102*Resumo!$C$6</f>
        <v>0</v>
      </c>
      <c r="O1102" s="39" t="n">
        <f aca="false">J1102*Resumo!$C$7</f>
        <v>0.868455</v>
      </c>
      <c r="P1102" s="39" t="n">
        <f aca="false">J1102*Resumo!$C$8</f>
        <v>0.868455</v>
      </c>
      <c r="Q1102" s="39" t="n">
        <f aca="false">Resumo!$C$10*CEILING(I1102/100,1)</f>
        <v>1.05</v>
      </c>
      <c r="R1102" s="39" t="n">
        <f aca="false">Resumo!$C$9</f>
        <v>0</v>
      </c>
      <c r="S1102" s="39" t="n">
        <f aca="false">Resumo!$C$13</f>
        <v>13.55</v>
      </c>
      <c r="T1102" s="39" t="n">
        <f aca="false">Resumo!$C$14*CEILING(I1102,1)</f>
        <v>13.95</v>
      </c>
      <c r="U1102" s="39" t="n">
        <f aca="false">SUM(M1102:T1102)*Resumo!$C$11</f>
        <v>0</v>
      </c>
      <c r="V1102" s="39" t="n">
        <f aca="false">SUM(M1102:U1102)</f>
        <v>72.39691</v>
      </c>
      <c r="W1102" s="39" t="n">
        <f aca="false">V1102/(1-Resumo!$C$5)</f>
        <v>82.2692159090909</v>
      </c>
      <c r="X1102" s="39" t="n">
        <v>82.21</v>
      </c>
      <c r="Y1102" s="39" t="n">
        <f aca="false">J1102*Resumo!$B$6</f>
        <v>0.41355</v>
      </c>
      <c r="Z1102" s="39" t="n">
        <f aca="false">J1102*Resumo!$B$7</f>
        <v>0.8271</v>
      </c>
      <c r="AA1102" s="39" t="n">
        <f aca="false">Resumo!$B$9</f>
        <v>1</v>
      </c>
      <c r="AB1102" s="39" t="n">
        <f aca="false">Resumo!$B$10*CEILING(I1102/100,1)</f>
        <v>4.5</v>
      </c>
      <c r="AC1102" s="39" t="n">
        <f aca="false">Resumo!$B$12*CEILING(I1102,1)</f>
        <v>1.86</v>
      </c>
      <c r="AD1102" s="39" t="n">
        <f aca="false">Resumo!$B$14*CEILING(I1102,1)</f>
        <v>13.95</v>
      </c>
      <c r="AE1102" s="39" t="n">
        <f aca="false">SUM(X1102:AD1102)</f>
        <v>104.76065</v>
      </c>
      <c r="AF1102" s="39" t="n">
        <f aca="false">AE1102/(1-Resumo!$B$5)</f>
        <v>119.046193181818</v>
      </c>
      <c r="AG1102" s="39" t="n">
        <f aca="false">AF1102-W1102</f>
        <v>36.7769772727273</v>
      </c>
      <c r="AH1102" s="40" t="n">
        <f aca="false">AF1102/W1102-1</f>
        <v>0.447032062556261</v>
      </c>
      <c r="AI1102" s="37" t="str">
        <f aca="false">IF(AF1102&lt;W1102,"SIM","NÃO")</f>
        <v>NÃO</v>
      </c>
      <c r="AJ1102" s="37" t="n">
        <v>2</v>
      </c>
      <c r="AK1102" s="37" t="n">
        <v>5</v>
      </c>
      <c r="AL1102" s="37" t="s">
        <v>343</v>
      </c>
      <c r="AM1102" s="39" t="n">
        <v>82.31</v>
      </c>
    </row>
    <row r="1103" customFormat="false" ht="15" hidden="false" customHeight="false" outlineLevel="0" collapsed="false">
      <c r="A1103" s="37" t="n">
        <v>377591884</v>
      </c>
      <c r="B1103" s="38" t="n">
        <v>46250.7393402778</v>
      </c>
      <c r="C1103" s="37" t="s">
        <v>340</v>
      </c>
      <c r="D1103" s="37" t="s">
        <v>1392</v>
      </c>
      <c r="E1103" s="37" t="n">
        <v>25212672</v>
      </c>
      <c r="F1103" s="37" t="s">
        <v>161</v>
      </c>
      <c r="G1103" s="37" t="s">
        <v>197</v>
      </c>
      <c r="H1103" s="37" t="s">
        <v>187</v>
      </c>
      <c r="I1103" s="37" t="n">
        <v>59.9</v>
      </c>
      <c r="J1103" s="39" t="n">
        <v>901.58</v>
      </c>
      <c r="K1103" s="37" t="s">
        <v>342</v>
      </c>
      <c r="L1103" s="39" t="n">
        <v>129.6</v>
      </c>
      <c r="M1103" s="39" t="n">
        <v>70.98</v>
      </c>
      <c r="N1103" s="39" t="n">
        <f aca="false">J1103*Resumo!$C$6</f>
        <v>0</v>
      </c>
      <c r="O1103" s="39" t="n">
        <f aca="false">J1103*Resumo!$C$7</f>
        <v>1.893318</v>
      </c>
      <c r="P1103" s="39" t="n">
        <f aca="false">J1103*Resumo!$C$8</f>
        <v>1.893318</v>
      </c>
      <c r="Q1103" s="39" t="n">
        <f aca="false">Resumo!$C$10*CEILING(I1103/100,1)</f>
        <v>1.05</v>
      </c>
      <c r="R1103" s="39" t="n">
        <f aca="false">Resumo!$C$9</f>
        <v>0</v>
      </c>
      <c r="S1103" s="39" t="n">
        <f aca="false">Resumo!$C$13</f>
        <v>13.55</v>
      </c>
      <c r="T1103" s="39" t="n">
        <f aca="false">Resumo!$C$14*CEILING(I1103,1)</f>
        <v>27</v>
      </c>
      <c r="U1103" s="39" t="n">
        <f aca="false">SUM(M1103:T1103)*Resumo!$C$11</f>
        <v>0</v>
      </c>
      <c r="V1103" s="39" t="n">
        <f aca="false">SUM(M1103:U1103)</f>
        <v>116.366636</v>
      </c>
      <c r="W1103" s="39" t="n">
        <f aca="false">V1103/(1-Resumo!$C$5)</f>
        <v>132.234813636364</v>
      </c>
      <c r="X1103" s="39" t="n">
        <v>112.3</v>
      </c>
      <c r="Y1103" s="39" t="n">
        <f aca="false">J1103*Resumo!$B$6</f>
        <v>0.90158</v>
      </c>
      <c r="Z1103" s="39" t="n">
        <f aca="false">J1103*Resumo!$B$7</f>
        <v>1.80316</v>
      </c>
      <c r="AA1103" s="39" t="n">
        <f aca="false">Resumo!$B$9</f>
        <v>1</v>
      </c>
      <c r="AB1103" s="39" t="n">
        <f aca="false">Resumo!$B$10*CEILING(I1103/100,1)</f>
        <v>4.5</v>
      </c>
      <c r="AC1103" s="39" t="n">
        <f aca="false">Resumo!$B$12*CEILING(I1103,1)</f>
        <v>3.6</v>
      </c>
      <c r="AD1103" s="39" t="n">
        <f aca="false">Resumo!$B$14*CEILING(I1103,1)</f>
        <v>27</v>
      </c>
      <c r="AE1103" s="39" t="n">
        <f aca="false">SUM(X1103:AD1103)</f>
        <v>151.10474</v>
      </c>
      <c r="AF1103" s="39" t="n">
        <f aca="false">AE1103/(1-Resumo!$B$5)</f>
        <v>171.709931818182</v>
      </c>
      <c r="AG1103" s="39" t="n">
        <f aca="false">AF1103-W1103</f>
        <v>39.4751181818182</v>
      </c>
      <c r="AH1103" s="40" t="n">
        <f aca="false">AF1103/W1103-1</f>
        <v>0.298522885889732</v>
      </c>
      <c r="AI1103" s="37" t="str">
        <f aca="false">IF(AF1103&lt;W1103,"SIM","NÃO")</f>
        <v>NÃO</v>
      </c>
      <c r="AJ1103" s="37" t="n">
        <v>2</v>
      </c>
      <c r="AK1103" s="37" t="n">
        <v>5</v>
      </c>
      <c r="AL1103" s="37" t="s">
        <v>343</v>
      </c>
      <c r="AM1103" s="39" t="n">
        <v>129.6</v>
      </c>
    </row>
    <row r="1104" customFormat="false" ht="15" hidden="false" customHeight="false" outlineLevel="0" collapsed="false">
      <c r="A1104" s="37" t="n">
        <v>377666582</v>
      </c>
      <c r="B1104" s="38" t="n">
        <v>46250.749375</v>
      </c>
      <c r="C1104" s="37" t="s">
        <v>345</v>
      </c>
      <c r="D1104" s="37" t="s">
        <v>1393</v>
      </c>
      <c r="E1104" s="37" t="n">
        <v>24430500</v>
      </c>
      <c r="F1104" s="37" t="s">
        <v>160</v>
      </c>
      <c r="G1104" s="37" t="s">
        <v>197</v>
      </c>
      <c r="H1104" s="37" t="s">
        <v>187</v>
      </c>
      <c r="I1104" s="37" t="n">
        <v>52.3</v>
      </c>
      <c r="J1104" s="39" t="n">
        <v>640.18</v>
      </c>
      <c r="K1104" s="37" t="s">
        <v>518</v>
      </c>
      <c r="L1104" s="39" t="n">
        <v>127.4</v>
      </c>
      <c r="M1104" s="39" t="n">
        <v>70.98</v>
      </c>
      <c r="N1104" s="39" t="n">
        <f aca="false">J1104*Resumo!$C$6</f>
        <v>0</v>
      </c>
      <c r="O1104" s="39" t="n">
        <f aca="false">J1104*Resumo!$C$7</f>
        <v>1.344378</v>
      </c>
      <c r="P1104" s="39" t="n">
        <f aca="false">J1104*Resumo!$C$8</f>
        <v>1.344378</v>
      </c>
      <c r="Q1104" s="39" t="n">
        <f aca="false">Resumo!$C$10*CEILING(I1104/100,1)</f>
        <v>1.05</v>
      </c>
      <c r="R1104" s="39" t="n">
        <f aca="false">Resumo!$C$9</f>
        <v>0</v>
      </c>
      <c r="S1104" s="39" t="n">
        <f aca="false">Resumo!$C$13</f>
        <v>13.55</v>
      </c>
      <c r="T1104" s="39" t="n">
        <f aca="false">Resumo!$C$14*CEILING(I1104,1)</f>
        <v>23.85</v>
      </c>
      <c r="U1104" s="39" t="n">
        <f aca="false">SUM(M1104:T1104)*Resumo!$C$11</f>
        <v>0</v>
      </c>
      <c r="V1104" s="39" t="n">
        <f aca="false">SUM(M1104:U1104)</f>
        <v>112.118756</v>
      </c>
      <c r="W1104" s="39" t="n">
        <f aca="false">V1104/(1-Resumo!$C$5)</f>
        <v>127.407677272727</v>
      </c>
      <c r="X1104" s="39" t="n">
        <v>128.14</v>
      </c>
      <c r="Y1104" s="39" t="n">
        <f aca="false">J1104*Resumo!$B$6</f>
        <v>0.64018</v>
      </c>
      <c r="Z1104" s="39" t="n">
        <f aca="false">J1104*Resumo!$B$7</f>
        <v>1.28036</v>
      </c>
      <c r="AA1104" s="39" t="n">
        <f aca="false">Resumo!$B$9</f>
        <v>1</v>
      </c>
      <c r="AB1104" s="39" t="n">
        <f aca="false">Resumo!$B$10*CEILING(I1104/100,1)</f>
        <v>4.5</v>
      </c>
      <c r="AC1104" s="39" t="n">
        <f aca="false">Resumo!$B$12*CEILING(I1104,1)</f>
        <v>3.18</v>
      </c>
      <c r="AD1104" s="39" t="n">
        <f aca="false">Resumo!$B$14*CEILING(I1104,1)</f>
        <v>23.85</v>
      </c>
      <c r="AE1104" s="39" t="n">
        <f aca="false">SUM(X1104:AD1104)</f>
        <v>162.59054</v>
      </c>
      <c r="AF1104" s="39" t="n">
        <f aca="false">AE1104/(1-Resumo!$B$5)</f>
        <v>184.761977272727</v>
      </c>
      <c r="AG1104" s="39" t="n">
        <f aca="false">AF1104-W1104</f>
        <v>57.3543</v>
      </c>
      <c r="AH1104" s="40" t="n">
        <f aca="false">AF1104/W1104-1</f>
        <v>0.450163610448906</v>
      </c>
      <c r="AI1104" s="37" t="str">
        <f aca="false">IF(AF1104&lt;W1104,"SIM","NÃO")</f>
        <v>NÃO</v>
      </c>
      <c r="AJ1104" s="37" t="n">
        <v>2</v>
      </c>
      <c r="AK1104" s="37" t="n">
        <v>7</v>
      </c>
      <c r="AL1104" s="37" t="s">
        <v>343</v>
      </c>
      <c r="AM1104" s="39" t="n">
        <v>128.35</v>
      </c>
    </row>
    <row r="1105" customFormat="false" ht="15" hidden="false" customHeight="false" outlineLevel="0" collapsed="false">
      <c r="A1105" s="37" t="n">
        <v>377603216</v>
      </c>
      <c r="B1105" s="38" t="n">
        <v>46250.7569328704</v>
      </c>
      <c r="C1105" s="37" t="s">
        <v>340</v>
      </c>
      <c r="D1105" s="37" t="s">
        <v>652</v>
      </c>
      <c r="E1105" s="37" t="n">
        <v>23860000</v>
      </c>
      <c r="F1105" s="37" t="s">
        <v>219</v>
      </c>
      <c r="G1105" s="37" t="s">
        <v>198</v>
      </c>
      <c r="H1105" s="37" t="s">
        <v>184</v>
      </c>
      <c r="I1105" s="37" t="n">
        <v>27</v>
      </c>
      <c r="J1105" s="39" t="n">
        <v>329.99</v>
      </c>
      <c r="K1105" s="37" t="s">
        <v>518</v>
      </c>
      <c r="L1105" s="39" t="n">
        <v>106.55</v>
      </c>
      <c r="M1105" s="39" t="n">
        <v>65.63</v>
      </c>
      <c r="N1105" s="39" t="n">
        <f aca="false">J1105*Resumo!$C$6</f>
        <v>0</v>
      </c>
      <c r="O1105" s="39" t="n">
        <f aca="false">J1105*Resumo!$C$7</f>
        <v>0.692979</v>
      </c>
      <c r="P1105" s="39" t="n">
        <f aca="false">J1105*Resumo!$C$8</f>
        <v>0.692979</v>
      </c>
      <c r="Q1105" s="39" t="n">
        <f aca="false">Resumo!$C$10*CEILING(I1105/100,1)</f>
        <v>1.05</v>
      </c>
      <c r="R1105" s="39" t="n">
        <f aca="false">Resumo!$C$9</f>
        <v>0</v>
      </c>
      <c r="S1105" s="39" t="n">
        <f aca="false">Resumo!$C$13</f>
        <v>13.55</v>
      </c>
      <c r="T1105" s="39" t="n">
        <f aca="false">Resumo!$C$14*CEILING(I1105,1)</f>
        <v>12.15</v>
      </c>
      <c r="U1105" s="39" t="n">
        <f aca="false">SUM(M1105:T1105)*Resumo!$C$11</f>
        <v>0</v>
      </c>
      <c r="V1105" s="39" t="n">
        <f aca="false">SUM(M1105:U1105)</f>
        <v>93.765958</v>
      </c>
      <c r="W1105" s="39" t="n">
        <f aca="false">V1105/(1-Resumo!$C$5)</f>
        <v>106.552225</v>
      </c>
      <c r="X1105" s="39" t="n">
        <v>108.83</v>
      </c>
      <c r="Y1105" s="39" t="n">
        <f aca="false">J1105*Resumo!$B$6</f>
        <v>0.32999</v>
      </c>
      <c r="Z1105" s="39" t="n">
        <f aca="false">J1105*Resumo!$B$7</f>
        <v>0.65998</v>
      </c>
      <c r="AA1105" s="39" t="n">
        <f aca="false">Resumo!$B$9</f>
        <v>1</v>
      </c>
      <c r="AB1105" s="39" t="n">
        <f aca="false">Resumo!$B$10*CEILING(I1105/100,1)</f>
        <v>4.5</v>
      </c>
      <c r="AC1105" s="39" t="n">
        <f aca="false">Resumo!$B$12*CEILING(I1105,1)</f>
        <v>1.62</v>
      </c>
      <c r="AD1105" s="39" t="n">
        <f aca="false">Resumo!$B$14*CEILING(I1105,1)</f>
        <v>12.15</v>
      </c>
      <c r="AE1105" s="39" t="n">
        <f aca="false">SUM(X1105:AD1105)</f>
        <v>129.08997</v>
      </c>
      <c r="AF1105" s="39" t="n">
        <f aca="false">AE1105/(1-Resumo!$B$5)</f>
        <v>146.693147727273</v>
      </c>
      <c r="AG1105" s="39" t="n">
        <f aca="false">AF1105-W1105</f>
        <v>40.1409227272727</v>
      </c>
      <c r="AH1105" s="40" t="n">
        <f aca="false">AF1105/W1105-1</f>
        <v>0.376725335649</v>
      </c>
      <c r="AI1105" s="37" t="str">
        <f aca="false">IF(AF1105&lt;W1105,"SIM","NÃO")</f>
        <v>NÃO</v>
      </c>
      <c r="AJ1105" s="37" t="n">
        <v>13</v>
      </c>
      <c r="AK1105" s="37" t="n">
        <v>10</v>
      </c>
      <c r="AL1105" s="37" t="s">
        <v>347</v>
      </c>
      <c r="AM1105" s="39" t="n">
        <v>108.76</v>
      </c>
    </row>
    <row r="1106" customFormat="false" ht="15" hidden="false" customHeight="false" outlineLevel="0" collapsed="false">
      <c r="A1106" s="37" t="n">
        <v>377614421</v>
      </c>
      <c r="B1106" s="38" t="n">
        <v>46250.7797106481</v>
      </c>
      <c r="C1106" s="37" t="s">
        <v>340</v>
      </c>
      <c r="D1106" s="37" t="s">
        <v>1394</v>
      </c>
      <c r="E1106" s="37" t="n">
        <v>21625060</v>
      </c>
      <c r="F1106" s="37" t="s">
        <v>159</v>
      </c>
      <c r="G1106" s="37" t="s">
        <v>196</v>
      </c>
      <c r="H1106" s="37" t="s">
        <v>187</v>
      </c>
      <c r="I1106" s="37" t="n">
        <v>52.3</v>
      </c>
      <c r="J1106" s="39" t="n">
        <v>577.12</v>
      </c>
      <c r="K1106" s="37" t="s">
        <v>342</v>
      </c>
      <c r="L1106" s="39" t="n">
        <v>113.91</v>
      </c>
      <c r="M1106" s="39" t="n">
        <v>58.6</v>
      </c>
      <c r="N1106" s="39" t="n">
        <f aca="false">J1106*Resumo!$C$6</f>
        <v>0</v>
      </c>
      <c r="O1106" s="39" t="n">
        <f aca="false">J1106*Resumo!$C$7</f>
        <v>1.211952</v>
      </c>
      <c r="P1106" s="39" t="n">
        <f aca="false">J1106*Resumo!$C$8</f>
        <v>1.211952</v>
      </c>
      <c r="Q1106" s="39" t="n">
        <f aca="false">Resumo!$C$10*CEILING(I1106/100,1)</f>
        <v>1.05</v>
      </c>
      <c r="R1106" s="39" t="n">
        <f aca="false">Resumo!$C$9</f>
        <v>0</v>
      </c>
      <c r="S1106" s="39" t="n">
        <f aca="false">Resumo!$C$13</f>
        <v>13.55</v>
      </c>
      <c r="T1106" s="39" t="n">
        <f aca="false">Resumo!$C$14*CEILING(I1106,1)</f>
        <v>23.85</v>
      </c>
      <c r="U1106" s="39" t="n">
        <f aca="false">SUM(M1106:T1106)*Resumo!$C$11</f>
        <v>0</v>
      </c>
      <c r="V1106" s="39" t="n">
        <f aca="false">SUM(M1106:U1106)</f>
        <v>99.473904</v>
      </c>
      <c r="W1106" s="39" t="n">
        <f aca="false">V1106/(1-Resumo!$C$5)</f>
        <v>113.038527272727</v>
      </c>
      <c r="X1106" s="39" t="n">
        <v>112.3</v>
      </c>
      <c r="Y1106" s="39" t="n">
        <f aca="false">J1106*Resumo!$B$6</f>
        <v>0.57712</v>
      </c>
      <c r="Z1106" s="39" t="n">
        <f aca="false">J1106*Resumo!$B$7</f>
        <v>1.15424</v>
      </c>
      <c r="AA1106" s="39" t="n">
        <f aca="false">Resumo!$B$9</f>
        <v>1</v>
      </c>
      <c r="AB1106" s="39" t="n">
        <f aca="false">Resumo!$B$10*CEILING(I1106/100,1)</f>
        <v>4.5</v>
      </c>
      <c r="AC1106" s="39" t="n">
        <f aca="false">Resumo!$B$12*CEILING(I1106,1)</f>
        <v>3.18</v>
      </c>
      <c r="AD1106" s="39" t="n">
        <f aca="false">Resumo!$B$14*CEILING(I1106,1)</f>
        <v>23.85</v>
      </c>
      <c r="AE1106" s="39" t="n">
        <f aca="false">SUM(X1106:AD1106)</f>
        <v>146.56136</v>
      </c>
      <c r="AF1106" s="39" t="n">
        <f aca="false">AE1106/(1-Resumo!$B$5)</f>
        <v>166.547</v>
      </c>
      <c r="AG1106" s="39" t="n">
        <f aca="false">AF1106-W1106</f>
        <v>53.5084727272727</v>
      </c>
      <c r="AH1106" s="40" t="n">
        <f aca="false">AF1106/W1106-1</f>
        <v>0.473364913877312</v>
      </c>
      <c r="AI1106" s="37" t="str">
        <f aca="false">IF(AF1106&lt;W1106,"SIM","NÃO")</f>
        <v>NÃO</v>
      </c>
      <c r="AJ1106" s="37" t="n">
        <v>2</v>
      </c>
      <c r="AK1106" s="37" t="n">
        <v>5</v>
      </c>
      <c r="AL1106" s="37" t="s">
        <v>343</v>
      </c>
      <c r="AM1106" s="39" t="n">
        <v>113.91</v>
      </c>
    </row>
    <row r="1107" customFormat="false" ht="15" hidden="false" customHeight="false" outlineLevel="0" collapsed="false">
      <c r="A1107" s="37" t="n">
        <v>377625507</v>
      </c>
      <c r="B1107" s="38" t="n">
        <v>46250.8038078704</v>
      </c>
      <c r="C1107" s="37" t="s">
        <v>340</v>
      </c>
      <c r="D1107" s="37" t="s">
        <v>1395</v>
      </c>
      <c r="E1107" s="37" t="n">
        <v>23933115</v>
      </c>
      <c r="F1107" s="37" t="s">
        <v>169</v>
      </c>
      <c r="G1107" s="37" t="s">
        <v>198</v>
      </c>
      <c r="H1107" s="37" t="s">
        <v>187</v>
      </c>
      <c r="I1107" s="37" t="n">
        <v>59.9</v>
      </c>
      <c r="J1107" s="39" t="n">
        <v>901.58</v>
      </c>
      <c r="K1107" s="37" t="s">
        <v>518</v>
      </c>
      <c r="L1107" s="39" t="n">
        <v>146.55</v>
      </c>
      <c r="M1107" s="39" t="n">
        <v>83.58</v>
      </c>
      <c r="N1107" s="39" t="n">
        <f aca="false">J1107*Resumo!$C$6</f>
        <v>0</v>
      </c>
      <c r="O1107" s="39" t="n">
        <f aca="false">J1107*Resumo!$C$7</f>
        <v>1.893318</v>
      </c>
      <c r="P1107" s="39" t="n">
        <f aca="false">J1107*Resumo!$C$8</f>
        <v>1.893318</v>
      </c>
      <c r="Q1107" s="39" t="n">
        <f aca="false">Resumo!$C$10*CEILING(I1107/100,1)</f>
        <v>1.05</v>
      </c>
      <c r="R1107" s="39" t="n">
        <f aca="false">Resumo!$C$9</f>
        <v>0</v>
      </c>
      <c r="S1107" s="39" t="n">
        <f aca="false">Resumo!$C$13</f>
        <v>13.55</v>
      </c>
      <c r="T1107" s="39" t="n">
        <f aca="false">Resumo!$C$14*CEILING(I1107,1)</f>
        <v>27</v>
      </c>
      <c r="U1107" s="39" t="n">
        <f aca="false">SUM(M1107:T1107)*Resumo!$C$11</f>
        <v>0</v>
      </c>
      <c r="V1107" s="39" t="n">
        <f aca="false">SUM(M1107:U1107)</f>
        <v>128.966636</v>
      </c>
      <c r="W1107" s="39" t="n">
        <f aca="false">V1107/(1-Resumo!$C$5)</f>
        <v>146.552995454545</v>
      </c>
      <c r="X1107" s="39" t="n">
        <v>142.32</v>
      </c>
      <c r="Y1107" s="39" t="n">
        <f aca="false">J1107*Resumo!$B$6</f>
        <v>0.90158</v>
      </c>
      <c r="Z1107" s="39" t="n">
        <f aca="false">J1107*Resumo!$B$7</f>
        <v>1.80316</v>
      </c>
      <c r="AA1107" s="39" t="n">
        <f aca="false">Resumo!$B$9</f>
        <v>1</v>
      </c>
      <c r="AB1107" s="39" t="n">
        <f aca="false">Resumo!$B$10*CEILING(I1107/100,1)</f>
        <v>4.5</v>
      </c>
      <c r="AC1107" s="39" t="n">
        <f aca="false">Resumo!$B$12*CEILING(I1107,1)</f>
        <v>3.6</v>
      </c>
      <c r="AD1107" s="39" t="n">
        <f aca="false">Resumo!$B$14*CEILING(I1107,1)</f>
        <v>27</v>
      </c>
      <c r="AE1107" s="39" t="n">
        <f aca="false">SUM(X1107:AD1107)</f>
        <v>181.12474</v>
      </c>
      <c r="AF1107" s="39" t="n">
        <f aca="false">AE1107/(1-Resumo!$B$5)</f>
        <v>205.823568181818</v>
      </c>
      <c r="AG1107" s="39" t="n">
        <f aca="false">AF1107-W1107</f>
        <v>59.2705727272727</v>
      </c>
      <c r="AH1107" s="40" t="n">
        <f aca="false">AF1107/W1107-1</f>
        <v>0.404430987871933</v>
      </c>
      <c r="AI1107" s="37" t="str">
        <f aca="false">IF(AF1107&lt;W1107,"SIM","NÃO")</f>
        <v>NÃO</v>
      </c>
      <c r="AJ1107" s="37" t="n">
        <v>13</v>
      </c>
      <c r="AK1107" s="37" t="n">
        <v>10</v>
      </c>
      <c r="AL1107" s="37" t="s">
        <v>343</v>
      </c>
      <c r="AM1107" s="39" t="n">
        <v>143.99</v>
      </c>
    </row>
    <row r="1108" customFormat="false" ht="15" hidden="false" customHeight="false" outlineLevel="0" collapsed="false">
      <c r="A1108" s="37" t="n">
        <v>377630378</v>
      </c>
      <c r="B1108" s="38" t="n">
        <v>46250.8123726852</v>
      </c>
      <c r="C1108" s="37" t="s">
        <v>340</v>
      </c>
      <c r="D1108" s="37" t="s">
        <v>961</v>
      </c>
      <c r="E1108" s="37" t="n">
        <v>21230354</v>
      </c>
      <c r="F1108" s="37" t="s">
        <v>159</v>
      </c>
      <c r="G1108" s="37" t="s">
        <v>196</v>
      </c>
      <c r="H1108" s="37" t="s">
        <v>184</v>
      </c>
      <c r="I1108" s="37" t="n">
        <v>27.5</v>
      </c>
      <c r="J1108" s="39" t="n">
        <v>342.07</v>
      </c>
      <c r="K1108" s="37" t="s">
        <v>342</v>
      </c>
      <c r="L1108" s="39" t="n">
        <v>81.95</v>
      </c>
      <c r="M1108" s="39" t="n">
        <v>42.11</v>
      </c>
      <c r="N1108" s="39" t="n">
        <f aca="false">J1108*Resumo!$C$6</f>
        <v>0</v>
      </c>
      <c r="O1108" s="39" t="n">
        <f aca="false">J1108*Resumo!$C$7</f>
        <v>0.718347</v>
      </c>
      <c r="P1108" s="39" t="n">
        <f aca="false">J1108*Resumo!$C$8</f>
        <v>0.718347</v>
      </c>
      <c r="Q1108" s="39" t="n">
        <f aca="false">Resumo!$C$10*CEILING(I1108/100,1)</f>
        <v>1.05</v>
      </c>
      <c r="R1108" s="39" t="n">
        <f aca="false">Resumo!$C$9</f>
        <v>0</v>
      </c>
      <c r="S1108" s="39" t="n">
        <f aca="false">Resumo!$C$13</f>
        <v>13.55</v>
      </c>
      <c r="T1108" s="39" t="n">
        <f aca="false">Resumo!$C$14*CEILING(I1108,1)</f>
        <v>12.6</v>
      </c>
      <c r="U1108" s="39" t="n">
        <f aca="false">SUM(M1108:T1108)*Resumo!$C$11</f>
        <v>0</v>
      </c>
      <c r="V1108" s="39" t="n">
        <f aca="false">SUM(M1108:U1108)</f>
        <v>70.746694</v>
      </c>
      <c r="W1108" s="39" t="n">
        <f aca="false">V1108/(1-Resumo!$C$5)</f>
        <v>80.3939704545454</v>
      </c>
      <c r="X1108" s="39" t="n">
        <v>82.21</v>
      </c>
      <c r="Y1108" s="39" t="n">
        <f aca="false">J1108*Resumo!$B$6</f>
        <v>0.34207</v>
      </c>
      <c r="Z1108" s="39" t="n">
        <f aca="false">J1108*Resumo!$B$7</f>
        <v>0.68414</v>
      </c>
      <c r="AA1108" s="39" t="n">
        <f aca="false">Resumo!$B$9</f>
        <v>1</v>
      </c>
      <c r="AB1108" s="39" t="n">
        <f aca="false">Resumo!$B$10*CEILING(I1108/100,1)</f>
        <v>4.5</v>
      </c>
      <c r="AC1108" s="39" t="n">
        <f aca="false">Resumo!$B$12*CEILING(I1108,1)</f>
        <v>1.68</v>
      </c>
      <c r="AD1108" s="39" t="n">
        <f aca="false">Resumo!$B$14*CEILING(I1108,1)</f>
        <v>12.6</v>
      </c>
      <c r="AE1108" s="39" t="n">
        <f aca="false">SUM(X1108:AD1108)</f>
        <v>103.01621</v>
      </c>
      <c r="AF1108" s="39" t="n">
        <f aca="false">AE1108/(1-Resumo!$B$5)</f>
        <v>117.063875</v>
      </c>
      <c r="AG1108" s="39" t="n">
        <f aca="false">AF1108-W1108</f>
        <v>36.6699045454545</v>
      </c>
      <c r="AH1108" s="40" t="n">
        <f aca="false">AF1108/W1108-1</f>
        <v>0.456127547104887</v>
      </c>
      <c r="AI1108" s="37" t="str">
        <f aca="false">IF(AF1108&lt;W1108,"SIM","NÃO")</f>
        <v>NÃO</v>
      </c>
      <c r="AJ1108" s="37" t="n">
        <v>2</v>
      </c>
      <c r="AK1108" s="37" t="n">
        <v>5</v>
      </c>
      <c r="AL1108" s="37" t="s">
        <v>343</v>
      </c>
      <c r="AM1108" s="39" t="n">
        <v>81.96</v>
      </c>
    </row>
    <row r="1109" customFormat="false" ht="15" hidden="false" customHeight="false" outlineLevel="0" collapsed="false">
      <c r="A1109" s="37" t="n">
        <v>377640403</v>
      </c>
      <c r="B1109" s="38" t="n">
        <v>46250.8284953704</v>
      </c>
      <c r="C1109" s="37" t="s">
        <v>340</v>
      </c>
      <c r="D1109" s="37" t="s">
        <v>1396</v>
      </c>
      <c r="E1109" s="37" t="n">
        <v>21073160</v>
      </c>
      <c r="F1109" s="37" t="s">
        <v>159</v>
      </c>
      <c r="G1109" s="37" t="s">
        <v>196</v>
      </c>
      <c r="H1109" s="37" t="s">
        <v>185</v>
      </c>
      <c r="I1109" s="37" t="n">
        <v>39.8</v>
      </c>
      <c r="J1109" s="39" t="n">
        <v>449.99</v>
      </c>
      <c r="K1109" s="37" t="s">
        <v>342</v>
      </c>
      <c r="L1109" s="39" t="n">
        <v>92.01</v>
      </c>
      <c r="M1109" s="39" t="n">
        <v>48.35</v>
      </c>
      <c r="N1109" s="39" t="n">
        <f aca="false">J1109*Resumo!$C$6</f>
        <v>0</v>
      </c>
      <c r="O1109" s="39" t="n">
        <f aca="false">J1109*Resumo!$C$7</f>
        <v>0.944979</v>
      </c>
      <c r="P1109" s="39" t="n">
        <f aca="false">J1109*Resumo!$C$8</f>
        <v>0.944979</v>
      </c>
      <c r="Q1109" s="39" t="n">
        <f aca="false">Resumo!$C$10*CEILING(I1109/100,1)</f>
        <v>1.05</v>
      </c>
      <c r="R1109" s="39" t="n">
        <f aca="false">Resumo!$C$9</f>
        <v>0</v>
      </c>
      <c r="S1109" s="39" t="n">
        <f aca="false">Resumo!$C$13</f>
        <v>13.55</v>
      </c>
      <c r="T1109" s="39" t="n">
        <f aca="false">Resumo!$C$14*CEILING(I1109,1)</f>
        <v>18</v>
      </c>
      <c r="U1109" s="39" t="n">
        <f aca="false">SUM(M1109:T1109)*Resumo!$C$11</f>
        <v>0</v>
      </c>
      <c r="V1109" s="39" t="n">
        <f aca="false">SUM(M1109:U1109)</f>
        <v>82.839958</v>
      </c>
      <c r="W1109" s="39" t="n">
        <f aca="false">V1109/(1-Resumo!$C$5)</f>
        <v>94.1363159090909</v>
      </c>
      <c r="X1109" s="39" t="n">
        <v>93.97</v>
      </c>
      <c r="Y1109" s="39" t="n">
        <f aca="false">J1109*Resumo!$B$6</f>
        <v>0.44999</v>
      </c>
      <c r="Z1109" s="39" t="n">
        <f aca="false">J1109*Resumo!$B$7</f>
        <v>0.89998</v>
      </c>
      <c r="AA1109" s="39" t="n">
        <f aca="false">Resumo!$B$9</f>
        <v>1</v>
      </c>
      <c r="AB1109" s="39" t="n">
        <f aca="false">Resumo!$B$10*CEILING(I1109/100,1)</f>
        <v>4.5</v>
      </c>
      <c r="AC1109" s="39" t="n">
        <f aca="false">Resumo!$B$12*CEILING(I1109,1)</f>
        <v>2.4</v>
      </c>
      <c r="AD1109" s="39" t="n">
        <f aca="false">Resumo!$B$14*CEILING(I1109,1)</f>
        <v>18</v>
      </c>
      <c r="AE1109" s="39" t="n">
        <f aca="false">SUM(X1109:AD1109)</f>
        <v>121.21997</v>
      </c>
      <c r="AF1109" s="39" t="n">
        <f aca="false">AE1109/(1-Resumo!$B$5)</f>
        <v>137.749965909091</v>
      </c>
      <c r="AG1109" s="39" t="n">
        <f aca="false">AF1109-W1109</f>
        <v>43.61365</v>
      </c>
      <c r="AH1109" s="40" t="n">
        <f aca="false">AF1109/W1109-1</f>
        <v>0.463303132046494</v>
      </c>
      <c r="AI1109" s="37" t="str">
        <f aca="false">IF(AF1109&lt;W1109,"SIM","NÃO")</f>
        <v>NÃO</v>
      </c>
      <c r="AJ1109" s="37" t="n">
        <v>2</v>
      </c>
      <c r="AK1109" s="37" t="n">
        <v>5</v>
      </c>
      <c r="AL1109" s="37" t="s">
        <v>343</v>
      </c>
      <c r="AM1109" s="39" t="n">
        <v>92.01</v>
      </c>
    </row>
    <row r="1110" customFormat="false" ht="15" hidden="false" customHeight="false" outlineLevel="0" collapsed="false">
      <c r="A1110" s="37" t="n">
        <v>377648057</v>
      </c>
      <c r="B1110" s="38" t="n">
        <v>46250.8415856482</v>
      </c>
      <c r="C1110" s="37" t="s">
        <v>340</v>
      </c>
      <c r="D1110" s="37" t="s">
        <v>1397</v>
      </c>
      <c r="E1110" s="37" t="n">
        <v>26296528</v>
      </c>
      <c r="F1110" s="37" t="s">
        <v>162</v>
      </c>
      <c r="G1110" s="37" t="s">
        <v>197</v>
      </c>
      <c r="H1110" s="37" t="s">
        <v>184</v>
      </c>
      <c r="I1110" s="37" t="n">
        <v>30.5</v>
      </c>
      <c r="J1110" s="39" t="n">
        <v>413.55</v>
      </c>
      <c r="K1110" s="37" t="s">
        <v>342</v>
      </c>
      <c r="L1110" s="39" t="n">
        <v>101.37</v>
      </c>
      <c r="M1110" s="39" t="n">
        <v>58.8</v>
      </c>
      <c r="N1110" s="39" t="n">
        <f aca="false">J1110*Resumo!$C$6</f>
        <v>0</v>
      </c>
      <c r="O1110" s="39" t="n">
        <f aca="false">J1110*Resumo!$C$7</f>
        <v>0.868455</v>
      </c>
      <c r="P1110" s="39" t="n">
        <f aca="false">J1110*Resumo!$C$8</f>
        <v>0.868455</v>
      </c>
      <c r="Q1110" s="39" t="n">
        <f aca="false">Resumo!$C$10*CEILING(I1110/100,1)</f>
        <v>1.05</v>
      </c>
      <c r="R1110" s="39" t="n">
        <f aca="false">Resumo!$C$9</f>
        <v>0</v>
      </c>
      <c r="S1110" s="39" t="n">
        <f aca="false">Resumo!$C$13</f>
        <v>13.55</v>
      </c>
      <c r="T1110" s="39" t="n">
        <f aca="false">Resumo!$C$14*CEILING(I1110,1)</f>
        <v>13.95</v>
      </c>
      <c r="U1110" s="39" t="n">
        <f aca="false">SUM(M1110:T1110)*Resumo!$C$11</f>
        <v>0</v>
      </c>
      <c r="V1110" s="39" t="n">
        <f aca="false">SUM(M1110:U1110)</f>
        <v>89.08691</v>
      </c>
      <c r="W1110" s="39" t="n">
        <f aca="false">V1110/(1-Resumo!$C$5)</f>
        <v>101.235125</v>
      </c>
      <c r="X1110" s="39" t="n">
        <v>82.21</v>
      </c>
      <c r="Y1110" s="39" t="n">
        <f aca="false">J1110*Resumo!$B$6</f>
        <v>0.41355</v>
      </c>
      <c r="Z1110" s="39" t="n">
        <f aca="false">J1110*Resumo!$B$7</f>
        <v>0.8271</v>
      </c>
      <c r="AA1110" s="39" t="n">
        <f aca="false">Resumo!$B$9</f>
        <v>1</v>
      </c>
      <c r="AB1110" s="39" t="n">
        <f aca="false">Resumo!$B$10*CEILING(I1110/100,1)</f>
        <v>4.5</v>
      </c>
      <c r="AC1110" s="39" t="n">
        <f aca="false">Resumo!$B$12*CEILING(I1110,1)</f>
        <v>1.86</v>
      </c>
      <c r="AD1110" s="39" t="n">
        <f aca="false">Resumo!$B$14*CEILING(I1110,1)</f>
        <v>13.95</v>
      </c>
      <c r="AE1110" s="39" t="n">
        <f aca="false">SUM(X1110:AD1110)</f>
        <v>104.76065</v>
      </c>
      <c r="AF1110" s="39" t="n">
        <f aca="false">AE1110/(1-Resumo!$B$5)</f>
        <v>119.046193181818</v>
      </c>
      <c r="AG1110" s="39" t="n">
        <f aca="false">AF1110-W1110</f>
        <v>17.8110681818182</v>
      </c>
      <c r="AH1110" s="40" t="n">
        <f aca="false">AF1110/W1110-1</f>
        <v>0.175937632139222</v>
      </c>
      <c r="AI1110" s="37" t="str">
        <f aca="false">IF(AF1110&lt;W1110,"SIM","NÃO")</f>
        <v>NÃO</v>
      </c>
      <c r="AJ1110" s="37" t="n">
        <v>2</v>
      </c>
      <c r="AK1110" s="37" t="n">
        <v>5</v>
      </c>
      <c r="AL1110" s="37" t="s">
        <v>343</v>
      </c>
      <c r="AM1110" s="39" t="n">
        <v>101.37</v>
      </c>
    </row>
    <row r="1111" customFormat="false" ht="15" hidden="false" customHeight="false" outlineLevel="0" collapsed="false">
      <c r="A1111" s="37" t="n">
        <v>377650352</v>
      </c>
      <c r="B1111" s="38" t="n">
        <v>46250.8458101852</v>
      </c>
      <c r="C1111" s="37" t="s">
        <v>340</v>
      </c>
      <c r="D1111" s="37" t="s">
        <v>1398</v>
      </c>
      <c r="E1111" s="37" t="n">
        <v>25812742</v>
      </c>
      <c r="F1111" s="37" t="s">
        <v>228</v>
      </c>
      <c r="G1111" s="37" t="s">
        <v>198</v>
      </c>
      <c r="H1111" s="37" t="s">
        <v>188</v>
      </c>
      <c r="I1111" s="37" t="n">
        <v>68.74</v>
      </c>
      <c r="J1111" s="39" t="n">
        <v>999.99</v>
      </c>
      <c r="K1111" s="37" t="s">
        <v>518</v>
      </c>
      <c r="L1111" s="39" t="n">
        <v>159.15</v>
      </c>
      <c r="M1111" s="39" t="n">
        <v>90.2</v>
      </c>
      <c r="N1111" s="39" t="n">
        <f aca="false">J1111*Resumo!$C$6</f>
        <v>0</v>
      </c>
      <c r="O1111" s="39" t="n">
        <f aca="false">J1111*Resumo!$C$7</f>
        <v>2.099979</v>
      </c>
      <c r="P1111" s="39" t="n">
        <f aca="false">J1111*Resumo!$C$8</f>
        <v>2.099979</v>
      </c>
      <c r="Q1111" s="39" t="n">
        <f aca="false">Resumo!$C$10*CEILING(I1111/100,1)</f>
        <v>1.05</v>
      </c>
      <c r="R1111" s="39" t="n">
        <f aca="false">Resumo!$C$9</f>
        <v>0</v>
      </c>
      <c r="S1111" s="39" t="n">
        <f aca="false">Resumo!$C$13</f>
        <v>13.55</v>
      </c>
      <c r="T1111" s="39" t="n">
        <f aca="false">Resumo!$C$14*CEILING(I1111,1)</f>
        <v>31.05</v>
      </c>
      <c r="U1111" s="39" t="n">
        <f aca="false">SUM(M1111:T1111)*Resumo!$C$11</f>
        <v>0</v>
      </c>
      <c r="V1111" s="39" t="n">
        <f aca="false">SUM(M1111:U1111)</f>
        <v>140.049958</v>
      </c>
      <c r="W1111" s="39" t="n">
        <f aca="false">V1111/(1-Resumo!$C$5)</f>
        <v>159.147679545455</v>
      </c>
      <c r="X1111" s="39" t="n">
        <v>166.05</v>
      </c>
      <c r="Y1111" s="39" t="n">
        <f aca="false">J1111*Resumo!$B$6</f>
        <v>0.99999</v>
      </c>
      <c r="Z1111" s="39" t="n">
        <f aca="false">J1111*Resumo!$B$7</f>
        <v>1.99998</v>
      </c>
      <c r="AA1111" s="39" t="n">
        <f aca="false">Resumo!$B$9</f>
        <v>1</v>
      </c>
      <c r="AB1111" s="39" t="n">
        <f aca="false">Resumo!$B$10*CEILING(I1111/100,1)</f>
        <v>4.5</v>
      </c>
      <c r="AC1111" s="39" t="n">
        <f aca="false">Resumo!$B$12*CEILING(I1111,1)</f>
        <v>4.14</v>
      </c>
      <c r="AD1111" s="39" t="n">
        <f aca="false">Resumo!$B$14*CEILING(I1111,1)</f>
        <v>31.05</v>
      </c>
      <c r="AE1111" s="39" t="n">
        <f aca="false">SUM(X1111:AD1111)</f>
        <v>209.73997</v>
      </c>
      <c r="AF1111" s="39" t="n">
        <f aca="false">AE1111/(1-Resumo!$B$5)</f>
        <v>238.340875</v>
      </c>
      <c r="AG1111" s="39" t="n">
        <f aca="false">AF1111-W1111</f>
        <v>79.1931954545455</v>
      </c>
      <c r="AH1111" s="40" t="n">
        <f aca="false">AF1111/W1111-1</f>
        <v>0.497608232056735</v>
      </c>
      <c r="AI1111" s="37" t="str">
        <f aca="false">IF(AF1111&lt;W1111,"SIM","NÃO")</f>
        <v>NÃO</v>
      </c>
      <c r="AJ1111" s="37" t="n">
        <v>13</v>
      </c>
      <c r="AK1111" s="37" t="n">
        <v>8</v>
      </c>
      <c r="AL1111" s="37" t="s">
        <v>347</v>
      </c>
      <c r="AM1111" s="39" t="n">
        <v>156.81</v>
      </c>
    </row>
    <row r="1112" customFormat="false" ht="15" hidden="false" customHeight="false" outlineLevel="0" collapsed="false">
      <c r="A1112" s="37" t="n">
        <v>377654012</v>
      </c>
      <c r="B1112" s="38" t="n">
        <v>46250.8520717593</v>
      </c>
      <c r="C1112" s="37" t="s">
        <v>340</v>
      </c>
      <c r="D1112" s="37" t="s">
        <v>1399</v>
      </c>
      <c r="E1112" s="37" t="n">
        <v>20920050</v>
      </c>
      <c r="F1112" s="37" t="s">
        <v>159</v>
      </c>
      <c r="G1112" s="37" t="s">
        <v>196</v>
      </c>
      <c r="H1112" s="37" t="s">
        <v>187</v>
      </c>
      <c r="I1112" s="37" t="n">
        <v>52.3</v>
      </c>
      <c r="J1112" s="39" t="n">
        <v>699.99</v>
      </c>
      <c r="K1112" s="37" t="s">
        <v>342</v>
      </c>
      <c r="L1112" s="39" t="n">
        <v>114.5</v>
      </c>
      <c r="M1112" s="39" t="n">
        <v>58.6</v>
      </c>
      <c r="N1112" s="39" t="n">
        <f aca="false">J1112*Resumo!$C$6</f>
        <v>0</v>
      </c>
      <c r="O1112" s="39" t="n">
        <f aca="false">J1112*Resumo!$C$7</f>
        <v>1.469979</v>
      </c>
      <c r="P1112" s="39" t="n">
        <f aca="false">J1112*Resumo!$C$8</f>
        <v>1.469979</v>
      </c>
      <c r="Q1112" s="39" t="n">
        <f aca="false">Resumo!$C$10*CEILING(I1112/100,1)</f>
        <v>1.05</v>
      </c>
      <c r="R1112" s="39" t="n">
        <f aca="false">Resumo!$C$9</f>
        <v>0</v>
      </c>
      <c r="S1112" s="39" t="n">
        <f aca="false">Resumo!$C$13</f>
        <v>13.55</v>
      </c>
      <c r="T1112" s="39" t="n">
        <f aca="false">Resumo!$C$14*CEILING(I1112,1)</f>
        <v>23.85</v>
      </c>
      <c r="U1112" s="39" t="n">
        <f aca="false">SUM(M1112:T1112)*Resumo!$C$11</f>
        <v>0</v>
      </c>
      <c r="V1112" s="39" t="n">
        <f aca="false">SUM(M1112:U1112)</f>
        <v>99.989958</v>
      </c>
      <c r="W1112" s="39" t="n">
        <f aca="false">V1112/(1-Resumo!$C$5)</f>
        <v>113.624952272727</v>
      </c>
      <c r="X1112" s="39" t="n">
        <v>112.3</v>
      </c>
      <c r="Y1112" s="39" t="n">
        <f aca="false">J1112*Resumo!$B$6</f>
        <v>0.69999</v>
      </c>
      <c r="Z1112" s="39" t="n">
        <f aca="false">J1112*Resumo!$B$7</f>
        <v>1.39998</v>
      </c>
      <c r="AA1112" s="39" t="n">
        <f aca="false">Resumo!$B$9</f>
        <v>1</v>
      </c>
      <c r="AB1112" s="39" t="n">
        <f aca="false">Resumo!$B$10*CEILING(I1112/100,1)</f>
        <v>4.5</v>
      </c>
      <c r="AC1112" s="39" t="n">
        <f aca="false">Resumo!$B$12*CEILING(I1112,1)</f>
        <v>3.18</v>
      </c>
      <c r="AD1112" s="39" t="n">
        <f aca="false">Resumo!$B$14*CEILING(I1112,1)</f>
        <v>23.85</v>
      </c>
      <c r="AE1112" s="39" t="n">
        <f aca="false">SUM(X1112:AD1112)</f>
        <v>146.92997</v>
      </c>
      <c r="AF1112" s="39" t="n">
        <f aca="false">AE1112/(1-Resumo!$B$5)</f>
        <v>166.965875</v>
      </c>
      <c r="AG1112" s="39" t="n">
        <f aca="false">AF1112-W1112</f>
        <v>53.3409227272727</v>
      </c>
      <c r="AH1112" s="40" t="n">
        <f aca="false">AF1112/W1112-1</f>
        <v>0.469447261894039</v>
      </c>
      <c r="AI1112" s="37" t="str">
        <f aca="false">IF(AF1112&lt;W1112,"SIM","NÃO")</f>
        <v>NÃO</v>
      </c>
      <c r="AJ1112" s="37" t="n">
        <v>2</v>
      </c>
      <c r="AK1112" s="37" t="n">
        <v>5</v>
      </c>
      <c r="AL1112" s="37" t="s">
        <v>343</v>
      </c>
      <c r="AM1112" s="39" t="n">
        <v>114.5</v>
      </c>
    </row>
    <row r="1113" customFormat="false" ht="15" hidden="false" customHeight="false" outlineLevel="0" collapsed="false">
      <c r="A1113" s="37" t="n">
        <v>377657527</v>
      </c>
      <c r="B1113" s="38" t="n">
        <v>46250.8632291667</v>
      </c>
      <c r="C1113" s="37" t="s">
        <v>372</v>
      </c>
      <c r="D1113" s="37" t="s">
        <v>1400</v>
      </c>
      <c r="E1113" s="37" t="n">
        <v>26115460</v>
      </c>
      <c r="F1113" s="37" t="s">
        <v>165</v>
      </c>
      <c r="G1113" s="37" t="s">
        <v>197</v>
      </c>
      <c r="H1113" s="37" t="s">
        <v>188</v>
      </c>
      <c r="I1113" s="37" t="n">
        <v>66.8</v>
      </c>
      <c r="J1113" s="39" t="n">
        <v>749.99</v>
      </c>
      <c r="K1113" s="37" t="s">
        <v>518</v>
      </c>
      <c r="L1113" s="39" t="n">
        <v>141.41</v>
      </c>
      <c r="M1113" s="39" t="n">
        <v>76.55</v>
      </c>
      <c r="N1113" s="39" t="n">
        <f aca="false">J1113*Resumo!$C$6</f>
        <v>0</v>
      </c>
      <c r="O1113" s="39" t="n">
        <f aca="false">J1113*Resumo!$C$7</f>
        <v>1.574979</v>
      </c>
      <c r="P1113" s="39" t="n">
        <f aca="false">J1113*Resumo!$C$8</f>
        <v>1.574979</v>
      </c>
      <c r="Q1113" s="39" t="n">
        <f aca="false">Resumo!$C$10*CEILING(I1113/100,1)</f>
        <v>1.05</v>
      </c>
      <c r="R1113" s="39" t="n">
        <f aca="false">Resumo!$C$9</f>
        <v>0</v>
      </c>
      <c r="S1113" s="39" t="n">
        <f aca="false">Resumo!$C$13</f>
        <v>13.55</v>
      </c>
      <c r="T1113" s="39" t="n">
        <f aca="false">Resumo!$C$14*CEILING(I1113,1)</f>
        <v>30.15</v>
      </c>
      <c r="U1113" s="39" t="n">
        <f aca="false">SUM(M1113:T1113)*Resumo!$C$11</f>
        <v>0</v>
      </c>
      <c r="V1113" s="39" t="n">
        <f aca="false">SUM(M1113:U1113)</f>
        <v>124.449958</v>
      </c>
      <c r="W1113" s="39" t="n">
        <f aca="false">V1113/(1-Resumo!$C$5)</f>
        <v>141.420406818182</v>
      </c>
      <c r="X1113" s="39" t="n">
        <v>131.02</v>
      </c>
      <c r="Y1113" s="39" t="n">
        <f aca="false">J1113*Resumo!$B$6</f>
        <v>0.74999</v>
      </c>
      <c r="Z1113" s="39" t="n">
        <f aca="false">J1113*Resumo!$B$7</f>
        <v>1.49998</v>
      </c>
      <c r="AA1113" s="39" t="n">
        <f aca="false">Resumo!$B$9</f>
        <v>1</v>
      </c>
      <c r="AB1113" s="39" t="n">
        <f aca="false">Resumo!$B$10*CEILING(I1113/100,1)</f>
        <v>4.5</v>
      </c>
      <c r="AC1113" s="39" t="n">
        <f aca="false">Resumo!$B$12*CEILING(I1113,1)</f>
        <v>4.02</v>
      </c>
      <c r="AD1113" s="39" t="n">
        <f aca="false">Resumo!$B$14*CEILING(I1113,1)</f>
        <v>30.15</v>
      </c>
      <c r="AE1113" s="39" t="n">
        <f aca="false">SUM(X1113:AD1113)</f>
        <v>172.93997</v>
      </c>
      <c r="AF1113" s="39" t="n">
        <f aca="false">AE1113/(1-Resumo!$B$5)</f>
        <v>196.522693181818</v>
      </c>
      <c r="AG1113" s="39" t="n">
        <f aca="false">AF1113-W1113</f>
        <v>55.1022863636364</v>
      </c>
      <c r="AH1113" s="40" t="n">
        <f aca="false">AF1113/W1113-1</f>
        <v>0.389634619241896</v>
      </c>
      <c r="AI1113" s="37" t="str">
        <f aca="false">IF(AF1113&lt;W1113,"SIM","NÃO")</f>
        <v>NÃO</v>
      </c>
      <c r="AJ1113" s="37" t="n">
        <v>2</v>
      </c>
      <c r="AK1113" s="37" t="n">
        <v>5</v>
      </c>
      <c r="AL1113" s="37" t="s">
        <v>343</v>
      </c>
      <c r="AM1113" s="39" t="n">
        <v>140.03</v>
      </c>
    </row>
    <row r="1114" customFormat="false" ht="15" hidden="false" customHeight="false" outlineLevel="0" collapsed="false">
      <c r="A1114" s="37" t="n">
        <v>377663501</v>
      </c>
      <c r="B1114" s="38" t="n">
        <v>46250.8693055556</v>
      </c>
      <c r="C1114" s="37" t="s">
        <v>340</v>
      </c>
      <c r="D1114" s="37" t="s">
        <v>558</v>
      </c>
      <c r="E1114" s="37" t="n">
        <v>22725441</v>
      </c>
      <c r="F1114" s="37" t="s">
        <v>159</v>
      </c>
      <c r="G1114" s="37" t="s">
        <v>196</v>
      </c>
      <c r="H1114" s="37" t="s">
        <v>183</v>
      </c>
      <c r="I1114" s="37" t="n">
        <v>17.2</v>
      </c>
      <c r="J1114" s="39" t="n">
        <v>269.99</v>
      </c>
      <c r="K1114" s="37" t="s">
        <v>342</v>
      </c>
      <c r="L1114" s="39" t="n">
        <v>64.51</v>
      </c>
      <c r="M1114" s="39" t="n">
        <v>33.42</v>
      </c>
      <c r="N1114" s="39" t="n">
        <f aca="false">J1114*Resumo!$C$6</f>
        <v>0</v>
      </c>
      <c r="O1114" s="39" t="n">
        <f aca="false">J1114*Resumo!$C$7</f>
        <v>0.566979</v>
      </c>
      <c r="P1114" s="39" t="n">
        <f aca="false">J1114*Resumo!$C$8</f>
        <v>0.566979</v>
      </c>
      <c r="Q1114" s="39" t="n">
        <f aca="false">Resumo!$C$10*CEILING(I1114/100,1)</f>
        <v>1.05</v>
      </c>
      <c r="R1114" s="39" t="n">
        <f aca="false">Resumo!$C$9</f>
        <v>0</v>
      </c>
      <c r="S1114" s="39" t="n">
        <f aca="false">Resumo!$C$13</f>
        <v>13.55</v>
      </c>
      <c r="T1114" s="39" t="n">
        <f aca="false">Resumo!$C$14*CEILING(I1114,1)</f>
        <v>8.1</v>
      </c>
      <c r="U1114" s="39" t="n">
        <f aca="false">SUM(M1114:T1114)*Resumo!$C$11</f>
        <v>0</v>
      </c>
      <c r="V1114" s="39" t="n">
        <f aca="false">SUM(M1114:U1114)</f>
        <v>57.253958</v>
      </c>
      <c r="W1114" s="39" t="n">
        <f aca="false">V1114/(1-Resumo!$C$5)</f>
        <v>65.0613159090909</v>
      </c>
      <c r="X1114" s="39" t="n">
        <v>46.98</v>
      </c>
      <c r="Y1114" s="39" t="n">
        <f aca="false">J1114*Resumo!$B$6</f>
        <v>0.26999</v>
      </c>
      <c r="Z1114" s="39" t="n">
        <f aca="false">J1114*Resumo!$B$7</f>
        <v>0.53998</v>
      </c>
      <c r="AA1114" s="39" t="n">
        <f aca="false">Resumo!$B$9</f>
        <v>1</v>
      </c>
      <c r="AB1114" s="39" t="n">
        <f aca="false">Resumo!$B$10*CEILING(I1114/100,1)</f>
        <v>4.5</v>
      </c>
      <c r="AC1114" s="39" t="n">
        <f aca="false">Resumo!$B$12*CEILING(I1114,1)</f>
        <v>1.08</v>
      </c>
      <c r="AD1114" s="39" t="n">
        <f aca="false">Resumo!$B$14*CEILING(I1114,1)</f>
        <v>8.1</v>
      </c>
      <c r="AE1114" s="39" t="n">
        <f aca="false">SUM(X1114:AD1114)</f>
        <v>62.46997</v>
      </c>
      <c r="AF1114" s="39" t="n">
        <f aca="false">AE1114/(1-Resumo!$B$5)</f>
        <v>70.9886022727273</v>
      </c>
      <c r="AG1114" s="39" t="n">
        <f aca="false">AF1114-W1114</f>
        <v>5.92728636363636</v>
      </c>
      <c r="AH1114" s="40" t="n">
        <f aca="false">AF1114/W1114-1</f>
        <v>0.0911030814673108</v>
      </c>
      <c r="AI1114" s="37" t="str">
        <f aca="false">IF(AF1114&lt;W1114,"SIM","NÃO")</f>
        <v>NÃO</v>
      </c>
      <c r="AJ1114" s="37" t="n">
        <v>2</v>
      </c>
      <c r="AK1114" s="37" t="n">
        <v>5</v>
      </c>
      <c r="AL1114" s="37" t="s">
        <v>343</v>
      </c>
      <c r="AM1114" s="39" t="n">
        <v>64.51</v>
      </c>
    </row>
    <row r="1115" customFormat="false" ht="15" hidden="false" customHeight="false" outlineLevel="0" collapsed="false">
      <c r="A1115" s="37" t="n">
        <v>377665813</v>
      </c>
      <c r="B1115" s="38" t="n">
        <v>46250.8774537037</v>
      </c>
      <c r="C1115" s="37" t="s">
        <v>361</v>
      </c>
      <c r="D1115" s="37" t="s">
        <v>1401</v>
      </c>
      <c r="E1115" s="37" t="n">
        <v>21330650</v>
      </c>
      <c r="F1115" s="37" t="s">
        <v>159</v>
      </c>
      <c r="G1115" s="37" t="s">
        <v>196</v>
      </c>
      <c r="H1115" s="37" t="s">
        <v>185</v>
      </c>
      <c r="I1115" s="37" t="n">
        <v>39.8</v>
      </c>
      <c r="J1115" s="39" t="n">
        <v>629.99</v>
      </c>
      <c r="K1115" s="37" t="s">
        <v>342</v>
      </c>
      <c r="L1115" s="39" t="n">
        <v>92.87</v>
      </c>
      <c r="M1115" s="39" t="n">
        <v>48.35</v>
      </c>
      <c r="N1115" s="39" t="n">
        <f aca="false">J1115*Resumo!$C$6</f>
        <v>0</v>
      </c>
      <c r="O1115" s="39" t="n">
        <f aca="false">J1115*Resumo!$C$7</f>
        <v>1.322979</v>
      </c>
      <c r="P1115" s="39" t="n">
        <f aca="false">J1115*Resumo!$C$8</f>
        <v>1.322979</v>
      </c>
      <c r="Q1115" s="39" t="n">
        <f aca="false">Resumo!$C$10*CEILING(I1115/100,1)</f>
        <v>1.05</v>
      </c>
      <c r="R1115" s="39" t="n">
        <f aca="false">Resumo!$C$9</f>
        <v>0</v>
      </c>
      <c r="S1115" s="39" t="n">
        <f aca="false">Resumo!$C$13</f>
        <v>13.55</v>
      </c>
      <c r="T1115" s="39" t="n">
        <f aca="false">Resumo!$C$14*CEILING(I1115,1)</f>
        <v>18</v>
      </c>
      <c r="U1115" s="39" t="n">
        <f aca="false">SUM(M1115:T1115)*Resumo!$C$11</f>
        <v>0</v>
      </c>
      <c r="V1115" s="39" t="n">
        <f aca="false">SUM(M1115:U1115)</f>
        <v>83.595958</v>
      </c>
      <c r="W1115" s="39" t="n">
        <f aca="false">V1115/(1-Resumo!$C$5)</f>
        <v>94.9954068181818</v>
      </c>
      <c r="X1115" s="39" t="n">
        <v>93.97</v>
      </c>
      <c r="Y1115" s="39" t="n">
        <f aca="false">J1115*Resumo!$B$6</f>
        <v>0.62999</v>
      </c>
      <c r="Z1115" s="39" t="n">
        <f aca="false">J1115*Resumo!$B$7</f>
        <v>1.25998</v>
      </c>
      <c r="AA1115" s="39" t="n">
        <f aca="false">Resumo!$B$9</f>
        <v>1</v>
      </c>
      <c r="AB1115" s="39" t="n">
        <f aca="false">Resumo!$B$10*CEILING(I1115/100,1)</f>
        <v>4.5</v>
      </c>
      <c r="AC1115" s="39" t="n">
        <f aca="false">Resumo!$B$12*CEILING(I1115,1)</f>
        <v>2.4</v>
      </c>
      <c r="AD1115" s="39" t="n">
        <f aca="false">Resumo!$B$14*CEILING(I1115,1)</f>
        <v>18</v>
      </c>
      <c r="AE1115" s="39" t="n">
        <f aca="false">SUM(X1115:AD1115)</f>
        <v>121.75997</v>
      </c>
      <c r="AF1115" s="39" t="n">
        <f aca="false">AE1115/(1-Resumo!$B$5)</f>
        <v>138.363602272727</v>
      </c>
      <c r="AG1115" s="39" t="n">
        <f aca="false">AF1115-W1115</f>
        <v>43.3681954545454</v>
      </c>
      <c r="AH1115" s="40" t="n">
        <f aca="false">AF1115/W1115-1</f>
        <v>0.456529393442683</v>
      </c>
      <c r="AI1115" s="37" t="str">
        <f aca="false">IF(AF1115&lt;W1115,"SIM","NÃO")</f>
        <v>NÃO</v>
      </c>
      <c r="AJ1115" s="37" t="n">
        <v>2</v>
      </c>
      <c r="AK1115" s="37" t="n">
        <v>5</v>
      </c>
      <c r="AL1115" s="37" t="s">
        <v>343</v>
      </c>
      <c r="AM1115" s="39" t="n">
        <v>92.88</v>
      </c>
    </row>
    <row r="1116" customFormat="false" ht="15" hidden="false" customHeight="false" outlineLevel="0" collapsed="false">
      <c r="A1116" s="37" t="n">
        <v>377681242</v>
      </c>
      <c r="B1116" s="38" t="n">
        <v>46250.9013541667</v>
      </c>
      <c r="C1116" s="37" t="s">
        <v>345</v>
      </c>
      <c r="D1116" s="37" t="s">
        <v>1402</v>
      </c>
      <c r="E1116" s="37" t="n">
        <v>24715330</v>
      </c>
      <c r="F1116" s="37" t="s">
        <v>160</v>
      </c>
      <c r="G1116" s="37" t="s">
        <v>197</v>
      </c>
      <c r="H1116" s="37" t="s">
        <v>187</v>
      </c>
      <c r="I1116" s="37" t="n">
        <v>56.7</v>
      </c>
      <c r="J1116" s="39" t="n">
        <v>613</v>
      </c>
      <c r="K1116" s="37" t="s">
        <v>518</v>
      </c>
      <c r="L1116" s="39" t="n">
        <v>129.33</v>
      </c>
      <c r="M1116" s="39" t="n">
        <v>70.98</v>
      </c>
      <c r="N1116" s="39" t="n">
        <f aca="false">J1116*Resumo!$C$6</f>
        <v>0</v>
      </c>
      <c r="O1116" s="39" t="n">
        <f aca="false">J1116*Resumo!$C$7</f>
        <v>1.2873</v>
      </c>
      <c r="P1116" s="39" t="n">
        <f aca="false">J1116*Resumo!$C$8</f>
        <v>1.2873</v>
      </c>
      <c r="Q1116" s="39" t="n">
        <f aca="false">Resumo!$C$10*CEILING(I1116/100,1)</f>
        <v>1.05</v>
      </c>
      <c r="R1116" s="39" t="n">
        <f aca="false">Resumo!$C$9</f>
        <v>0</v>
      </c>
      <c r="S1116" s="39" t="n">
        <f aca="false">Resumo!$C$13</f>
        <v>13.55</v>
      </c>
      <c r="T1116" s="39" t="n">
        <f aca="false">Resumo!$C$14*CEILING(I1116,1)</f>
        <v>25.65</v>
      </c>
      <c r="U1116" s="39" t="n">
        <f aca="false">SUM(M1116:T1116)*Resumo!$C$11</f>
        <v>0</v>
      </c>
      <c r="V1116" s="39" t="n">
        <f aca="false">SUM(M1116:U1116)</f>
        <v>113.8046</v>
      </c>
      <c r="W1116" s="39" t="n">
        <f aca="false">V1116/(1-Resumo!$C$5)</f>
        <v>129.323409090909</v>
      </c>
      <c r="X1116" s="39" t="n">
        <v>128.14</v>
      </c>
      <c r="Y1116" s="39" t="n">
        <f aca="false">J1116*Resumo!$B$6</f>
        <v>0.613</v>
      </c>
      <c r="Z1116" s="39" t="n">
        <f aca="false">J1116*Resumo!$B$7</f>
        <v>1.226</v>
      </c>
      <c r="AA1116" s="39" t="n">
        <f aca="false">Resumo!$B$9</f>
        <v>1</v>
      </c>
      <c r="AB1116" s="39" t="n">
        <f aca="false">Resumo!$B$10*CEILING(I1116/100,1)</f>
        <v>4.5</v>
      </c>
      <c r="AC1116" s="39" t="n">
        <f aca="false">Resumo!$B$12*CEILING(I1116,1)</f>
        <v>3.42</v>
      </c>
      <c r="AD1116" s="39" t="n">
        <f aca="false">Resumo!$B$14*CEILING(I1116,1)</f>
        <v>25.65</v>
      </c>
      <c r="AE1116" s="39" t="n">
        <f aca="false">SUM(X1116:AD1116)</f>
        <v>164.549</v>
      </c>
      <c r="AF1116" s="39" t="n">
        <f aca="false">AE1116/(1-Resumo!$B$5)</f>
        <v>186.9875</v>
      </c>
      <c r="AG1116" s="39" t="n">
        <f aca="false">AF1116-W1116</f>
        <v>57.6640909090909</v>
      </c>
      <c r="AH1116" s="40" t="n">
        <f aca="false">AF1116/W1116-1</f>
        <v>0.445890587902422</v>
      </c>
      <c r="AI1116" s="37" t="str">
        <f aca="false">IF(AF1116&lt;W1116,"SIM","NÃO")</f>
        <v>NÃO</v>
      </c>
      <c r="AJ1116" s="37" t="n">
        <v>2</v>
      </c>
      <c r="AK1116" s="37" t="n">
        <v>7</v>
      </c>
      <c r="AL1116" s="37" t="s">
        <v>343</v>
      </c>
      <c r="AM1116" s="39" t="n">
        <v>128.22</v>
      </c>
    </row>
    <row r="1117" customFormat="false" ht="15" hidden="false" customHeight="false" outlineLevel="0" collapsed="false">
      <c r="A1117" s="37" t="n">
        <v>377689287</v>
      </c>
      <c r="B1117" s="38" t="n">
        <v>46250.916724537</v>
      </c>
      <c r="C1117" s="37" t="s">
        <v>340</v>
      </c>
      <c r="D1117" s="37" t="s">
        <v>1403</v>
      </c>
      <c r="E1117" s="37" t="n">
        <v>22753315</v>
      </c>
      <c r="F1117" s="37" t="s">
        <v>159</v>
      </c>
      <c r="G1117" s="37" t="s">
        <v>196</v>
      </c>
      <c r="H1117" s="37" t="s">
        <v>191</v>
      </c>
      <c r="I1117" s="37" t="n">
        <v>106.5</v>
      </c>
      <c r="J1117" s="39" t="n">
        <v>1132.29</v>
      </c>
      <c r="K1117" s="37" t="s">
        <v>342</v>
      </c>
      <c r="L1117" s="39" t="n">
        <v>185.06</v>
      </c>
      <c r="M1117" s="39" t="n">
        <v>92.34</v>
      </c>
      <c r="N1117" s="39" t="n">
        <f aca="false">J1117*Resumo!$C$6</f>
        <v>0</v>
      </c>
      <c r="O1117" s="39" t="n">
        <f aca="false">J1117*Resumo!$C$7</f>
        <v>2.377809</v>
      </c>
      <c r="P1117" s="39" t="n">
        <f aca="false">J1117*Resumo!$C$8</f>
        <v>2.377809</v>
      </c>
      <c r="Q1117" s="39" t="n">
        <f aca="false">Resumo!$C$10*CEILING(I1117/100,1)</f>
        <v>2.1</v>
      </c>
      <c r="R1117" s="39" t="n">
        <f aca="false">Resumo!$C$9</f>
        <v>0</v>
      </c>
      <c r="S1117" s="39" t="n">
        <f aca="false">Resumo!$C$13</f>
        <v>13.55</v>
      </c>
      <c r="T1117" s="39" t="n">
        <f aca="false">Resumo!$C$14*CEILING(I1117,1)</f>
        <v>48.15</v>
      </c>
      <c r="U1117" s="39" t="n">
        <f aca="false">SUM(M1117:T1117)*Resumo!$C$11</f>
        <v>0</v>
      </c>
      <c r="V1117" s="39" t="n">
        <f aca="false">SUM(M1117:U1117)</f>
        <v>160.895618</v>
      </c>
      <c r="W1117" s="39" t="n">
        <f aca="false">V1117/(1-Resumo!$C$5)</f>
        <v>182.835929545455</v>
      </c>
      <c r="X1117" s="39" t="n">
        <v>201.59</v>
      </c>
      <c r="Y1117" s="39" t="n">
        <f aca="false">J1117*Resumo!$B$6</f>
        <v>1.13229</v>
      </c>
      <c r="Z1117" s="39" t="n">
        <f aca="false">J1117*Resumo!$B$7</f>
        <v>2.26458</v>
      </c>
      <c r="AA1117" s="39" t="n">
        <f aca="false">Resumo!$B$9</f>
        <v>1</v>
      </c>
      <c r="AB1117" s="39" t="n">
        <f aca="false">Resumo!$B$10*CEILING(I1117/100,1)</f>
        <v>9</v>
      </c>
      <c r="AC1117" s="39" t="n">
        <f aca="false">Resumo!$B$12*CEILING(I1117,1)</f>
        <v>6.42</v>
      </c>
      <c r="AD1117" s="39" t="n">
        <f aca="false">Resumo!$B$14*CEILING(I1117,1)</f>
        <v>48.15</v>
      </c>
      <c r="AE1117" s="39" t="n">
        <f aca="false">SUM(X1117:AD1117)</f>
        <v>269.55687</v>
      </c>
      <c r="AF1117" s="39" t="n">
        <f aca="false">AE1117/(1-Resumo!$B$5)</f>
        <v>306.314625</v>
      </c>
      <c r="AG1117" s="39" t="n">
        <f aca="false">AF1117-W1117</f>
        <v>123.478695454545</v>
      </c>
      <c r="AH1117" s="40" t="n">
        <f aca="false">AF1117/W1117-1</f>
        <v>0.675352463607803</v>
      </c>
      <c r="AI1117" s="37" t="str">
        <f aca="false">IF(AF1117&lt;W1117,"SIM","NÃO")</f>
        <v>NÃO</v>
      </c>
      <c r="AJ1117" s="37" t="n">
        <v>2</v>
      </c>
      <c r="AK1117" s="37" t="n">
        <v>5</v>
      </c>
      <c r="AL1117" s="37" t="s">
        <v>343</v>
      </c>
      <c r="AM1117" s="39" t="n">
        <v>185.07</v>
      </c>
    </row>
    <row r="1118" customFormat="false" ht="15" hidden="false" customHeight="false" outlineLevel="0" collapsed="false">
      <c r="A1118" s="37" t="n">
        <v>377695604</v>
      </c>
      <c r="B1118" s="38" t="n">
        <v>46250.9296643519</v>
      </c>
      <c r="C1118" s="37" t="s">
        <v>340</v>
      </c>
      <c r="D1118" s="37" t="s">
        <v>597</v>
      </c>
      <c r="E1118" s="37" t="n">
        <v>23970000</v>
      </c>
      <c r="F1118" s="37" t="s">
        <v>222</v>
      </c>
      <c r="G1118" s="37" t="s">
        <v>198</v>
      </c>
      <c r="H1118" s="37" t="s">
        <v>188</v>
      </c>
      <c r="I1118" s="37" t="n">
        <v>66.8</v>
      </c>
      <c r="J1118" s="39" t="n">
        <v>719.99</v>
      </c>
      <c r="K1118" s="37" t="s">
        <v>518</v>
      </c>
      <c r="L1118" s="39" t="n">
        <v>156.78</v>
      </c>
      <c r="M1118" s="39" t="n">
        <v>90.2</v>
      </c>
      <c r="N1118" s="39" t="n">
        <f aca="false">J1118*Resumo!$C$6</f>
        <v>0</v>
      </c>
      <c r="O1118" s="39" t="n">
        <f aca="false">J1118*Resumo!$C$7</f>
        <v>1.511979</v>
      </c>
      <c r="P1118" s="39" t="n">
        <f aca="false">J1118*Resumo!$C$8</f>
        <v>1.511979</v>
      </c>
      <c r="Q1118" s="39" t="n">
        <f aca="false">Resumo!$C$10*CEILING(I1118/100,1)</f>
        <v>1.05</v>
      </c>
      <c r="R1118" s="39" t="n">
        <f aca="false">Resumo!$C$9</f>
        <v>0</v>
      </c>
      <c r="S1118" s="39" t="n">
        <f aca="false">Resumo!$C$13</f>
        <v>13.55</v>
      </c>
      <c r="T1118" s="39" t="n">
        <f aca="false">Resumo!$C$14*CEILING(I1118,1)</f>
        <v>30.15</v>
      </c>
      <c r="U1118" s="39" t="n">
        <f aca="false">SUM(M1118:T1118)*Resumo!$C$11</f>
        <v>0</v>
      </c>
      <c r="V1118" s="39" t="n">
        <f aca="false">SUM(M1118:U1118)</f>
        <v>137.973958</v>
      </c>
      <c r="W1118" s="39" t="n">
        <f aca="false">V1118/(1-Resumo!$C$5)</f>
        <v>156.788588636364</v>
      </c>
      <c r="X1118" s="39" t="n">
        <v>166.05</v>
      </c>
      <c r="Y1118" s="39" t="n">
        <f aca="false">J1118*Resumo!$B$6</f>
        <v>0.71999</v>
      </c>
      <c r="Z1118" s="39" t="n">
        <f aca="false">J1118*Resumo!$B$7</f>
        <v>1.43998</v>
      </c>
      <c r="AA1118" s="39" t="n">
        <f aca="false">Resumo!$B$9</f>
        <v>1</v>
      </c>
      <c r="AB1118" s="39" t="n">
        <f aca="false">Resumo!$B$10*CEILING(I1118/100,1)</f>
        <v>4.5</v>
      </c>
      <c r="AC1118" s="39" t="n">
        <f aca="false">Resumo!$B$12*CEILING(I1118,1)</f>
        <v>4.02</v>
      </c>
      <c r="AD1118" s="39" t="n">
        <f aca="false">Resumo!$B$14*CEILING(I1118,1)</f>
        <v>30.15</v>
      </c>
      <c r="AE1118" s="39" t="n">
        <f aca="false">SUM(X1118:AD1118)</f>
        <v>207.87997</v>
      </c>
      <c r="AF1118" s="39" t="n">
        <f aca="false">AE1118/(1-Resumo!$B$5)</f>
        <v>236.227238636364</v>
      </c>
      <c r="AG1118" s="39" t="n">
        <f aca="false">AF1118-W1118</f>
        <v>79.43865</v>
      </c>
      <c r="AH1118" s="40" t="n">
        <f aca="false">AF1118/W1118-1</f>
        <v>0.50666091640279</v>
      </c>
      <c r="AI1118" s="37" t="str">
        <f aca="false">IF(AF1118&lt;W1118,"SIM","NÃO")</f>
        <v>NÃO</v>
      </c>
      <c r="AJ1118" s="37" t="n">
        <v>13</v>
      </c>
      <c r="AK1118" s="37" t="n">
        <v>10</v>
      </c>
      <c r="AL1118" s="37" t="s">
        <v>347</v>
      </c>
      <c r="AM1118" s="39" t="n">
        <v>155.47</v>
      </c>
    </row>
    <row r="1119" customFormat="false" ht="15" hidden="false" customHeight="false" outlineLevel="0" collapsed="false">
      <c r="A1119" s="37" t="n">
        <v>377708260</v>
      </c>
      <c r="B1119" s="38" t="n">
        <v>46250.953587963</v>
      </c>
      <c r="C1119" s="37" t="s">
        <v>345</v>
      </c>
      <c r="D1119" s="37" t="s">
        <v>1404</v>
      </c>
      <c r="E1119" s="37" t="n">
        <v>25555150</v>
      </c>
      <c r="F1119" s="37" t="s">
        <v>167</v>
      </c>
      <c r="G1119" s="37" t="s">
        <v>197</v>
      </c>
      <c r="H1119" s="37" t="s">
        <v>185</v>
      </c>
      <c r="I1119" s="37" t="n">
        <v>36.8</v>
      </c>
      <c r="J1119" s="39" t="n">
        <v>419</v>
      </c>
      <c r="K1119" s="37" t="s">
        <v>518</v>
      </c>
      <c r="L1119" s="39" t="n">
        <v>113.45</v>
      </c>
      <c r="M1119" s="39" t="n">
        <v>66.83</v>
      </c>
      <c r="N1119" s="39" t="n">
        <f aca="false">J1119*Resumo!$C$6</f>
        <v>0</v>
      </c>
      <c r="O1119" s="39" t="n">
        <f aca="false">J1119*Resumo!$C$7</f>
        <v>0.8799</v>
      </c>
      <c r="P1119" s="39" t="n">
        <f aca="false">J1119*Resumo!$C$8</f>
        <v>0.8799</v>
      </c>
      <c r="Q1119" s="39" t="n">
        <f aca="false">Resumo!$C$10*CEILING(I1119/100,1)</f>
        <v>1.05</v>
      </c>
      <c r="R1119" s="39" t="n">
        <f aca="false">Resumo!$C$9</f>
        <v>0</v>
      </c>
      <c r="S1119" s="39" t="n">
        <f aca="false">Resumo!$C$13</f>
        <v>13.55</v>
      </c>
      <c r="T1119" s="39" t="n">
        <f aca="false">Resumo!$C$14*CEILING(I1119,1)</f>
        <v>16.65</v>
      </c>
      <c r="U1119" s="39" t="n">
        <f aca="false">SUM(M1119:T1119)*Resumo!$C$11</f>
        <v>0</v>
      </c>
      <c r="V1119" s="39" t="n">
        <f aca="false">SUM(M1119:U1119)</f>
        <v>99.8398</v>
      </c>
      <c r="W1119" s="39" t="n">
        <f aca="false">V1119/(1-Resumo!$C$5)</f>
        <v>113.454318181818</v>
      </c>
      <c r="X1119" s="39" t="n">
        <v>93.97</v>
      </c>
      <c r="Y1119" s="39" t="n">
        <f aca="false">J1119*Resumo!$B$6</f>
        <v>0.419</v>
      </c>
      <c r="Z1119" s="39" t="n">
        <f aca="false">J1119*Resumo!$B$7</f>
        <v>0.838</v>
      </c>
      <c r="AA1119" s="39" t="n">
        <f aca="false">Resumo!$B$9</f>
        <v>1</v>
      </c>
      <c r="AB1119" s="39" t="n">
        <f aca="false">Resumo!$B$10*CEILING(I1119/100,1)</f>
        <v>4.5</v>
      </c>
      <c r="AC1119" s="39" t="n">
        <f aca="false">Resumo!$B$12*CEILING(I1119,1)</f>
        <v>2.22</v>
      </c>
      <c r="AD1119" s="39" t="n">
        <f aca="false">Resumo!$B$14*CEILING(I1119,1)</f>
        <v>16.65</v>
      </c>
      <c r="AE1119" s="39" t="n">
        <f aca="false">SUM(X1119:AD1119)</f>
        <v>119.597</v>
      </c>
      <c r="AF1119" s="39" t="n">
        <f aca="false">AE1119/(1-Resumo!$B$5)</f>
        <v>135.905681818182</v>
      </c>
      <c r="AG1119" s="39" t="n">
        <f aca="false">AF1119-W1119</f>
        <v>22.4513636363636</v>
      </c>
      <c r="AH1119" s="40" t="n">
        <f aca="false">AF1119/W1119-1</f>
        <v>0.197889018207168</v>
      </c>
      <c r="AI1119" s="37" t="str">
        <f aca="false">IF(AF1119&lt;W1119,"SIM","NÃO")</f>
        <v>NÃO</v>
      </c>
      <c r="AJ1119" s="37" t="n">
        <v>2</v>
      </c>
      <c r="AK1119" s="37" t="n">
        <v>5</v>
      </c>
      <c r="AL1119" s="37" t="s">
        <v>343</v>
      </c>
      <c r="AM1119" s="39" t="n">
        <v>112.96</v>
      </c>
    </row>
    <row r="1120" customFormat="false" ht="15" hidden="false" customHeight="false" outlineLevel="0" collapsed="false">
      <c r="A1120" s="37" t="n">
        <v>377708593</v>
      </c>
      <c r="B1120" s="38" t="n">
        <v>46250.9542592593</v>
      </c>
      <c r="C1120" s="37" t="s">
        <v>340</v>
      </c>
      <c r="D1120" s="37" t="s">
        <v>1405</v>
      </c>
      <c r="E1120" s="37" t="n">
        <v>21620590</v>
      </c>
      <c r="F1120" s="37" t="s">
        <v>159</v>
      </c>
      <c r="G1120" s="37" t="s">
        <v>196</v>
      </c>
      <c r="H1120" s="37" t="s">
        <v>184</v>
      </c>
      <c r="I1120" s="37" t="n">
        <v>34.4</v>
      </c>
      <c r="J1120" s="39" t="n">
        <v>439.69</v>
      </c>
      <c r="K1120" s="37" t="s">
        <v>342</v>
      </c>
      <c r="L1120" s="39" t="n">
        <v>82.43</v>
      </c>
      <c r="M1120" s="39" t="n">
        <v>42.11</v>
      </c>
      <c r="N1120" s="39" t="n">
        <f aca="false">J1120*Resumo!$C$6</f>
        <v>0</v>
      </c>
      <c r="O1120" s="39" t="n">
        <f aca="false">J1120*Resumo!$C$7</f>
        <v>0.923349</v>
      </c>
      <c r="P1120" s="39" t="n">
        <f aca="false">J1120*Resumo!$C$8</f>
        <v>0.923349</v>
      </c>
      <c r="Q1120" s="39" t="n">
        <f aca="false">Resumo!$C$10*CEILING(I1120/100,1)</f>
        <v>1.05</v>
      </c>
      <c r="R1120" s="39" t="n">
        <f aca="false">Resumo!$C$9</f>
        <v>0</v>
      </c>
      <c r="S1120" s="39" t="n">
        <f aca="false">Resumo!$C$13</f>
        <v>13.55</v>
      </c>
      <c r="T1120" s="39" t="n">
        <f aca="false">Resumo!$C$14*CEILING(I1120,1)</f>
        <v>15.75</v>
      </c>
      <c r="U1120" s="39" t="n">
        <f aca="false">SUM(M1120:T1120)*Resumo!$C$11</f>
        <v>0</v>
      </c>
      <c r="V1120" s="39" t="n">
        <f aca="false">SUM(M1120:U1120)</f>
        <v>74.306698</v>
      </c>
      <c r="W1120" s="39" t="n">
        <f aca="false">V1120/(1-Resumo!$C$5)</f>
        <v>84.4394295454545</v>
      </c>
      <c r="X1120" s="39" t="n">
        <v>82.21</v>
      </c>
      <c r="Y1120" s="39" t="n">
        <f aca="false">J1120*Resumo!$B$6</f>
        <v>0.43969</v>
      </c>
      <c r="Z1120" s="39" t="n">
        <f aca="false">J1120*Resumo!$B$7</f>
        <v>0.87938</v>
      </c>
      <c r="AA1120" s="39" t="n">
        <f aca="false">Resumo!$B$9</f>
        <v>1</v>
      </c>
      <c r="AB1120" s="39" t="n">
        <f aca="false">Resumo!$B$10*CEILING(I1120/100,1)</f>
        <v>4.5</v>
      </c>
      <c r="AC1120" s="39" t="n">
        <f aca="false">Resumo!$B$12*CEILING(I1120,1)</f>
        <v>2.1</v>
      </c>
      <c r="AD1120" s="39" t="n">
        <f aca="false">Resumo!$B$14*CEILING(I1120,1)</f>
        <v>15.75</v>
      </c>
      <c r="AE1120" s="39" t="n">
        <f aca="false">SUM(X1120:AD1120)</f>
        <v>106.87907</v>
      </c>
      <c r="AF1120" s="39" t="n">
        <f aca="false">AE1120/(1-Resumo!$B$5)</f>
        <v>121.453488636364</v>
      </c>
      <c r="AG1120" s="39" t="n">
        <f aca="false">AF1120-W1120</f>
        <v>37.0140590909091</v>
      </c>
      <c r="AH1120" s="40" t="n">
        <f aca="false">AF1120/W1120-1</f>
        <v>0.438350416270684</v>
      </c>
      <c r="AI1120" s="37" t="str">
        <f aca="false">IF(AF1120&lt;W1120,"SIM","NÃO")</f>
        <v>NÃO</v>
      </c>
      <c r="AJ1120" s="37" t="n">
        <v>2</v>
      </c>
      <c r="AK1120" s="37" t="n">
        <v>5</v>
      </c>
      <c r="AL1120" s="37" t="s">
        <v>343</v>
      </c>
      <c r="AM1120" s="39" t="n">
        <v>82.43</v>
      </c>
    </row>
    <row r="1121" customFormat="false" ht="15" hidden="false" customHeight="false" outlineLevel="0" collapsed="false">
      <c r="A1121" s="37" t="n">
        <v>377723161</v>
      </c>
      <c r="B1121" s="38" t="n">
        <v>46250.9854976852</v>
      </c>
      <c r="C1121" s="37" t="s">
        <v>345</v>
      </c>
      <c r="D1121" s="37" t="s">
        <v>839</v>
      </c>
      <c r="E1121" s="37" t="n">
        <v>23098006</v>
      </c>
      <c r="F1121" s="37" t="s">
        <v>159</v>
      </c>
      <c r="G1121" s="37" t="s">
        <v>196</v>
      </c>
      <c r="H1121" s="37" t="s">
        <v>184</v>
      </c>
      <c r="I1121" s="37" t="n">
        <v>31.4</v>
      </c>
      <c r="J1121" s="39" t="n">
        <v>368.32</v>
      </c>
      <c r="K1121" s="37" t="s">
        <v>518</v>
      </c>
      <c r="L1121" s="39" t="n">
        <v>82.56</v>
      </c>
      <c r="M1121" s="39" t="n">
        <v>42.11</v>
      </c>
      <c r="N1121" s="39" t="n">
        <f aca="false">J1121*Resumo!$C$6</f>
        <v>0</v>
      </c>
      <c r="O1121" s="39" t="n">
        <f aca="false">J1121*Resumo!$C$7</f>
        <v>0.773472</v>
      </c>
      <c r="P1121" s="39" t="n">
        <f aca="false">J1121*Resumo!$C$8</f>
        <v>0.773472</v>
      </c>
      <c r="Q1121" s="39" t="n">
        <f aca="false">Resumo!$C$10*CEILING(I1121/100,1)</f>
        <v>1.05</v>
      </c>
      <c r="R1121" s="39" t="n">
        <f aca="false">Resumo!$C$9</f>
        <v>0</v>
      </c>
      <c r="S1121" s="39" t="n">
        <f aca="false">Resumo!$C$13</f>
        <v>13.55</v>
      </c>
      <c r="T1121" s="39" t="n">
        <f aca="false">Resumo!$C$14*CEILING(I1121,1)</f>
        <v>14.4</v>
      </c>
      <c r="U1121" s="39" t="n">
        <f aca="false">SUM(M1121:T1121)*Resumo!$C$11</f>
        <v>0</v>
      </c>
      <c r="V1121" s="39" t="n">
        <f aca="false">SUM(M1121:U1121)</f>
        <v>72.656944</v>
      </c>
      <c r="W1121" s="39" t="n">
        <f aca="false">V1121/(1-Resumo!$C$5)</f>
        <v>82.5647090909091</v>
      </c>
      <c r="X1121" s="39" t="n">
        <v>82.21</v>
      </c>
      <c r="Y1121" s="39" t="n">
        <f aca="false">J1121*Resumo!$B$6</f>
        <v>0.36832</v>
      </c>
      <c r="Z1121" s="39" t="n">
        <f aca="false">J1121*Resumo!$B$7</f>
        <v>0.73664</v>
      </c>
      <c r="AA1121" s="39" t="n">
        <f aca="false">Resumo!$B$9</f>
        <v>1</v>
      </c>
      <c r="AB1121" s="39" t="n">
        <f aca="false">Resumo!$B$10*CEILING(I1121/100,1)</f>
        <v>4.5</v>
      </c>
      <c r="AC1121" s="39" t="n">
        <f aca="false">Resumo!$B$12*CEILING(I1121,1)</f>
        <v>1.92</v>
      </c>
      <c r="AD1121" s="39" t="n">
        <f aca="false">Resumo!$B$14*CEILING(I1121,1)</f>
        <v>14.4</v>
      </c>
      <c r="AE1121" s="39" t="n">
        <f aca="false">SUM(X1121:AD1121)</f>
        <v>105.13496</v>
      </c>
      <c r="AF1121" s="39" t="n">
        <f aca="false">AE1121/(1-Resumo!$B$5)</f>
        <v>119.471545454545</v>
      </c>
      <c r="AG1121" s="39" t="n">
        <f aca="false">AF1121-W1121</f>
        <v>36.9068363636364</v>
      </c>
      <c r="AH1121" s="40" t="n">
        <f aca="false">AF1121/W1121-1</f>
        <v>0.447004982758427</v>
      </c>
      <c r="AI1121" s="37" t="str">
        <f aca="false">IF(AF1121&lt;W1121,"SIM","NÃO")</f>
        <v>NÃO</v>
      </c>
      <c r="AJ1121" s="37" t="n">
        <v>2</v>
      </c>
      <c r="AK1121" s="37" t="n">
        <v>5</v>
      </c>
      <c r="AL1121" s="37" t="s">
        <v>343</v>
      </c>
      <c r="AM1121" s="39" t="n">
        <v>82.09</v>
      </c>
    </row>
    <row r="1122" customFormat="false" ht="15" hidden="false" customHeight="false" outlineLevel="0" collapsed="false">
      <c r="A1122" s="37" t="n">
        <v>377730968</v>
      </c>
      <c r="B1122" s="38" t="n">
        <v>46251.0041319444</v>
      </c>
      <c r="C1122" s="37" t="s">
        <v>340</v>
      </c>
      <c r="D1122" s="37" t="s">
        <v>1406</v>
      </c>
      <c r="E1122" s="37" t="n">
        <v>22785200</v>
      </c>
      <c r="F1122" s="37" t="s">
        <v>159</v>
      </c>
      <c r="G1122" s="37" t="s">
        <v>196</v>
      </c>
      <c r="H1122" s="37" t="s">
        <v>184</v>
      </c>
      <c r="I1122" s="37" t="n">
        <v>34.4</v>
      </c>
      <c r="J1122" s="39" t="n">
        <v>499.98</v>
      </c>
      <c r="K1122" s="37" t="s">
        <v>342</v>
      </c>
      <c r="L1122" s="39" t="n">
        <v>82.73</v>
      </c>
      <c r="M1122" s="39" t="n">
        <v>42.11</v>
      </c>
      <c r="N1122" s="39" t="n">
        <f aca="false">J1122*Resumo!$C$6</f>
        <v>0</v>
      </c>
      <c r="O1122" s="39" t="n">
        <f aca="false">J1122*Resumo!$C$7</f>
        <v>1.049958</v>
      </c>
      <c r="P1122" s="39" t="n">
        <f aca="false">J1122*Resumo!$C$8</f>
        <v>1.049958</v>
      </c>
      <c r="Q1122" s="39" t="n">
        <f aca="false">Resumo!$C$10*CEILING(I1122/100,1)</f>
        <v>1.05</v>
      </c>
      <c r="R1122" s="39" t="n">
        <f aca="false">Resumo!$C$9</f>
        <v>0</v>
      </c>
      <c r="S1122" s="39" t="n">
        <f aca="false">Resumo!$C$13</f>
        <v>13.55</v>
      </c>
      <c r="T1122" s="39" t="n">
        <f aca="false">Resumo!$C$14*CEILING(I1122,1)</f>
        <v>15.75</v>
      </c>
      <c r="U1122" s="39" t="n">
        <f aca="false">SUM(M1122:T1122)*Resumo!$C$11</f>
        <v>0</v>
      </c>
      <c r="V1122" s="39" t="n">
        <f aca="false">SUM(M1122:U1122)</f>
        <v>74.559916</v>
      </c>
      <c r="W1122" s="39" t="n">
        <f aca="false">V1122/(1-Resumo!$C$5)</f>
        <v>84.7271772727273</v>
      </c>
      <c r="X1122" s="39" t="n">
        <v>82.21</v>
      </c>
      <c r="Y1122" s="39" t="n">
        <f aca="false">J1122*Resumo!$B$6</f>
        <v>0.49998</v>
      </c>
      <c r="Z1122" s="39" t="n">
        <f aca="false">J1122*Resumo!$B$7</f>
        <v>0.99996</v>
      </c>
      <c r="AA1122" s="39" t="n">
        <f aca="false">Resumo!$B$9</f>
        <v>1</v>
      </c>
      <c r="AB1122" s="39" t="n">
        <f aca="false">Resumo!$B$10*CEILING(I1122/100,1)</f>
        <v>4.5</v>
      </c>
      <c r="AC1122" s="39" t="n">
        <f aca="false">Resumo!$B$12*CEILING(I1122,1)</f>
        <v>2.1</v>
      </c>
      <c r="AD1122" s="39" t="n">
        <f aca="false">Resumo!$B$14*CEILING(I1122,1)</f>
        <v>15.75</v>
      </c>
      <c r="AE1122" s="39" t="n">
        <f aca="false">SUM(X1122:AD1122)</f>
        <v>107.05994</v>
      </c>
      <c r="AF1122" s="39" t="n">
        <f aca="false">AE1122/(1-Resumo!$B$5)</f>
        <v>121.659022727273</v>
      </c>
      <c r="AG1122" s="39" t="n">
        <f aca="false">AF1122-W1122</f>
        <v>36.9318454545455</v>
      </c>
      <c r="AH1122" s="40" t="n">
        <f aca="false">AF1122/W1122-1</f>
        <v>0.43589137090766</v>
      </c>
      <c r="AI1122" s="37" t="str">
        <f aca="false">IF(AF1122&lt;W1122,"SIM","NÃO")</f>
        <v>NÃO</v>
      </c>
      <c r="AJ1122" s="37" t="n">
        <v>2</v>
      </c>
      <c r="AK1122" s="37" t="n">
        <v>5</v>
      </c>
      <c r="AL1122" s="37" t="s">
        <v>343</v>
      </c>
      <c r="AM1122" s="39" t="n">
        <v>82.72</v>
      </c>
    </row>
    <row r="1123" customFormat="false" ht="15" hidden="false" customHeight="false" outlineLevel="0" collapsed="false">
      <c r="A1123" s="37" t="n">
        <v>377827780</v>
      </c>
      <c r="B1123" s="38" t="n">
        <v>46251.2829861111</v>
      </c>
      <c r="C1123" s="37" t="s">
        <v>340</v>
      </c>
      <c r="D1123" s="37" t="s">
        <v>1407</v>
      </c>
      <c r="E1123" s="37" t="n">
        <v>23555100</v>
      </c>
      <c r="F1123" s="37" t="s">
        <v>159</v>
      </c>
      <c r="G1123" s="37" t="s">
        <v>196</v>
      </c>
      <c r="H1123" s="37" t="s">
        <v>186</v>
      </c>
      <c r="I1123" s="37" t="n">
        <v>45.3</v>
      </c>
      <c r="J1123" s="39" t="n">
        <v>630.04</v>
      </c>
      <c r="K1123" s="37" t="s">
        <v>518</v>
      </c>
      <c r="L1123" s="39" t="n">
        <v>103.97</v>
      </c>
      <c r="M1123" s="39" t="n">
        <v>53.55</v>
      </c>
      <c r="N1123" s="39" t="n">
        <f aca="false">J1123*Resumo!$C$6</f>
        <v>0</v>
      </c>
      <c r="O1123" s="39" t="n">
        <f aca="false">J1123*Resumo!$C$7</f>
        <v>1.323084</v>
      </c>
      <c r="P1123" s="39" t="n">
        <f aca="false">J1123*Resumo!$C$8</f>
        <v>1.323084</v>
      </c>
      <c r="Q1123" s="39" t="n">
        <f aca="false">Resumo!$C$10*CEILING(I1123/100,1)</f>
        <v>1.05</v>
      </c>
      <c r="R1123" s="39" t="n">
        <f aca="false">Resumo!$C$9</f>
        <v>0</v>
      </c>
      <c r="S1123" s="39" t="n">
        <f aca="false">Resumo!$C$13</f>
        <v>13.55</v>
      </c>
      <c r="T1123" s="39" t="n">
        <f aca="false">Resumo!$C$14*CEILING(I1123,1)</f>
        <v>20.7</v>
      </c>
      <c r="U1123" s="39" t="n">
        <f aca="false">SUM(M1123:T1123)*Resumo!$C$11</f>
        <v>0</v>
      </c>
      <c r="V1123" s="39" t="n">
        <f aca="false">SUM(M1123:U1123)</f>
        <v>91.496168</v>
      </c>
      <c r="W1123" s="39" t="n">
        <f aca="false">V1123/(1-Resumo!$C$5)</f>
        <v>103.972918181818</v>
      </c>
      <c r="X1123" s="39" t="n">
        <v>93.97</v>
      </c>
      <c r="Y1123" s="39" t="n">
        <f aca="false">J1123*Resumo!$B$6</f>
        <v>0.63004</v>
      </c>
      <c r="Z1123" s="39" t="n">
        <f aca="false">J1123*Resumo!$B$7</f>
        <v>1.26008</v>
      </c>
      <c r="AA1123" s="39" t="n">
        <f aca="false">Resumo!$B$9</f>
        <v>1</v>
      </c>
      <c r="AB1123" s="39" t="n">
        <f aca="false">Resumo!$B$10*CEILING(I1123/100,1)</f>
        <v>4.5</v>
      </c>
      <c r="AC1123" s="39" t="n">
        <f aca="false">Resumo!$B$12*CEILING(I1123,1)</f>
        <v>2.76</v>
      </c>
      <c r="AD1123" s="39" t="n">
        <f aca="false">Resumo!$B$14*CEILING(I1123,1)</f>
        <v>20.7</v>
      </c>
      <c r="AE1123" s="39" t="n">
        <f aca="false">SUM(X1123:AD1123)</f>
        <v>124.82012</v>
      </c>
      <c r="AF1123" s="39" t="n">
        <f aca="false">AE1123/(1-Resumo!$B$5)</f>
        <v>141.841045454545</v>
      </c>
      <c r="AG1123" s="39" t="n">
        <f aca="false">AF1123-W1123</f>
        <v>37.8681272727273</v>
      </c>
      <c r="AH1123" s="40" t="n">
        <f aca="false">AF1123/W1123-1</f>
        <v>0.364211449817221</v>
      </c>
      <c r="AI1123" s="37" t="str">
        <f aca="false">IF(AF1123&lt;W1123,"SIM","NÃO")</f>
        <v>NÃO</v>
      </c>
      <c r="AJ1123" s="37" t="n">
        <v>2</v>
      </c>
      <c r="AK1123" s="37" t="n">
        <v>5</v>
      </c>
      <c r="AL1123" s="37" t="s">
        <v>343</v>
      </c>
      <c r="AM1123" s="39" t="n">
        <v>103.61</v>
      </c>
    </row>
    <row r="1124" customFormat="false" ht="15" hidden="false" customHeight="false" outlineLevel="0" collapsed="false">
      <c r="A1124" s="37" t="n">
        <v>377842701</v>
      </c>
      <c r="B1124" s="38" t="n">
        <v>46251.3209375</v>
      </c>
      <c r="C1124" s="37" t="s">
        <v>340</v>
      </c>
      <c r="D1124" s="37" t="s">
        <v>1408</v>
      </c>
      <c r="E1124" s="37" t="n">
        <v>25212310</v>
      </c>
      <c r="F1124" s="37" t="s">
        <v>161</v>
      </c>
      <c r="G1124" s="37" t="s">
        <v>197</v>
      </c>
      <c r="H1124" s="37" t="s">
        <v>187</v>
      </c>
      <c r="I1124" s="37" t="n">
        <v>52.3</v>
      </c>
      <c r="J1124" s="39" t="n">
        <v>577.12</v>
      </c>
      <c r="K1124" s="37" t="s">
        <v>342</v>
      </c>
      <c r="L1124" s="39" t="n">
        <v>128.03</v>
      </c>
      <c r="M1124" s="39" t="n">
        <v>70.98</v>
      </c>
      <c r="N1124" s="39" t="n">
        <f aca="false">J1124*Resumo!$C$6</f>
        <v>0</v>
      </c>
      <c r="O1124" s="39" t="n">
        <f aca="false">J1124*Resumo!$C$7</f>
        <v>1.211952</v>
      </c>
      <c r="P1124" s="39" t="n">
        <f aca="false">J1124*Resumo!$C$8</f>
        <v>1.211952</v>
      </c>
      <c r="Q1124" s="39" t="n">
        <f aca="false">Resumo!$C$10*CEILING(I1124/100,1)</f>
        <v>1.05</v>
      </c>
      <c r="R1124" s="39" t="n">
        <f aca="false">Resumo!$C$9</f>
        <v>0</v>
      </c>
      <c r="S1124" s="39" t="n">
        <f aca="false">Resumo!$C$13</f>
        <v>13.55</v>
      </c>
      <c r="T1124" s="39" t="n">
        <f aca="false">Resumo!$C$14*CEILING(I1124,1)</f>
        <v>23.85</v>
      </c>
      <c r="U1124" s="39" t="n">
        <f aca="false">SUM(M1124:T1124)*Resumo!$C$11</f>
        <v>0</v>
      </c>
      <c r="V1124" s="39" t="n">
        <f aca="false">SUM(M1124:U1124)</f>
        <v>111.853904</v>
      </c>
      <c r="W1124" s="39" t="n">
        <f aca="false">V1124/(1-Resumo!$C$5)</f>
        <v>127.106709090909</v>
      </c>
      <c r="X1124" s="39" t="n">
        <v>112.3</v>
      </c>
      <c r="Y1124" s="39" t="n">
        <f aca="false">J1124*Resumo!$B$6</f>
        <v>0.57712</v>
      </c>
      <c r="Z1124" s="39" t="n">
        <f aca="false">J1124*Resumo!$B$7</f>
        <v>1.15424</v>
      </c>
      <c r="AA1124" s="39" t="n">
        <f aca="false">Resumo!$B$9</f>
        <v>1</v>
      </c>
      <c r="AB1124" s="39" t="n">
        <f aca="false">Resumo!$B$10*CEILING(I1124/100,1)</f>
        <v>4.5</v>
      </c>
      <c r="AC1124" s="39" t="n">
        <f aca="false">Resumo!$B$12*CEILING(I1124,1)</f>
        <v>3.18</v>
      </c>
      <c r="AD1124" s="39" t="n">
        <f aca="false">Resumo!$B$14*CEILING(I1124,1)</f>
        <v>23.85</v>
      </c>
      <c r="AE1124" s="39" t="n">
        <f aca="false">SUM(X1124:AD1124)</f>
        <v>146.56136</v>
      </c>
      <c r="AF1124" s="39" t="n">
        <f aca="false">AE1124/(1-Resumo!$B$5)</f>
        <v>166.547</v>
      </c>
      <c r="AG1124" s="39" t="n">
        <f aca="false">AF1124-W1124</f>
        <v>39.4402909090909</v>
      </c>
      <c r="AH1124" s="40" t="n">
        <f aca="false">AF1124/W1124-1</f>
        <v>0.310292754734783</v>
      </c>
      <c r="AI1124" s="37" t="str">
        <f aca="false">IF(AF1124&lt;W1124,"SIM","NÃO")</f>
        <v>NÃO</v>
      </c>
      <c r="AJ1124" s="37" t="n">
        <v>2</v>
      </c>
      <c r="AK1124" s="37" t="n">
        <v>5</v>
      </c>
      <c r="AL1124" s="37" t="s">
        <v>343</v>
      </c>
      <c r="AM1124" s="39" t="n">
        <v>128.05</v>
      </c>
    </row>
    <row r="1125" customFormat="false" ht="15" hidden="false" customHeight="false" outlineLevel="0" collapsed="false">
      <c r="A1125" s="37" t="n">
        <v>377866314</v>
      </c>
      <c r="B1125" s="38" t="n">
        <v>46251.3739699074</v>
      </c>
      <c r="C1125" s="37" t="s">
        <v>340</v>
      </c>
      <c r="D1125" s="37" t="s">
        <v>1409</v>
      </c>
      <c r="E1125" s="37" t="n">
        <v>21311281</v>
      </c>
      <c r="F1125" s="37" t="s">
        <v>159</v>
      </c>
      <c r="G1125" s="37" t="s">
        <v>196</v>
      </c>
      <c r="H1125" s="37" t="s">
        <v>187</v>
      </c>
      <c r="I1125" s="37" t="n">
        <v>52.3</v>
      </c>
      <c r="J1125" s="39" t="n">
        <v>699.99</v>
      </c>
      <c r="K1125" s="37" t="s">
        <v>342</v>
      </c>
      <c r="L1125" s="39" t="n">
        <v>114.5</v>
      </c>
      <c r="M1125" s="39" t="n">
        <v>58.6</v>
      </c>
      <c r="N1125" s="39" t="n">
        <f aca="false">J1125*Resumo!$C$6</f>
        <v>0</v>
      </c>
      <c r="O1125" s="39" t="n">
        <f aca="false">J1125*Resumo!$C$7</f>
        <v>1.469979</v>
      </c>
      <c r="P1125" s="39" t="n">
        <f aca="false">J1125*Resumo!$C$8</f>
        <v>1.469979</v>
      </c>
      <c r="Q1125" s="39" t="n">
        <f aca="false">Resumo!$C$10*CEILING(I1125/100,1)</f>
        <v>1.05</v>
      </c>
      <c r="R1125" s="39" t="n">
        <f aca="false">Resumo!$C$9</f>
        <v>0</v>
      </c>
      <c r="S1125" s="39" t="n">
        <f aca="false">Resumo!$C$13</f>
        <v>13.55</v>
      </c>
      <c r="T1125" s="39" t="n">
        <f aca="false">Resumo!$C$14*CEILING(I1125,1)</f>
        <v>23.85</v>
      </c>
      <c r="U1125" s="39" t="n">
        <f aca="false">SUM(M1125:T1125)*Resumo!$C$11</f>
        <v>0</v>
      </c>
      <c r="V1125" s="39" t="n">
        <f aca="false">SUM(M1125:U1125)</f>
        <v>99.989958</v>
      </c>
      <c r="W1125" s="39" t="n">
        <f aca="false">V1125/(1-Resumo!$C$5)</f>
        <v>113.624952272727</v>
      </c>
      <c r="X1125" s="39" t="n">
        <v>112.3</v>
      </c>
      <c r="Y1125" s="39" t="n">
        <f aca="false">J1125*Resumo!$B$6</f>
        <v>0.69999</v>
      </c>
      <c r="Z1125" s="39" t="n">
        <f aca="false">J1125*Resumo!$B$7</f>
        <v>1.39998</v>
      </c>
      <c r="AA1125" s="39" t="n">
        <f aca="false">Resumo!$B$9</f>
        <v>1</v>
      </c>
      <c r="AB1125" s="39" t="n">
        <f aca="false">Resumo!$B$10*CEILING(I1125/100,1)</f>
        <v>4.5</v>
      </c>
      <c r="AC1125" s="39" t="n">
        <f aca="false">Resumo!$B$12*CEILING(I1125,1)</f>
        <v>3.18</v>
      </c>
      <c r="AD1125" s="39" t="n">
        <f aca="false">Resumo!$B$14*CEILING(I1125,1)</f>
        <v>23.85</v>
      </c>
      <c r="AE1125" s="39" t="n">
        <f aca="false">SUM(X1125:AD1125)</f>
        <v>146.92997</v>
      </c>
      <c r="AF1125" s="39" t="n">
        <f aca="false">AE1125/(1-Resumo!$B$5)</f>
        <v>166.965875</v>
      </c>
      <c r="AG1125" s="39" t="n">
        <f aca="false">AF1125-W1125</f>
        <v>53.3409227272727</v>
      </c>
      <c r="AH1125" s="40" t="n">
        <f aca="false">AF1125/W1125-1</f>
        <v>0.469447261894039</v>
      </c>
      <c r="AI1125" s="37" t="str">
        <f aca="false">IF(AF1125&lt;W1125,"SIM","NÃO")</f>
        <v>NÃO</v>
      </c>
      <c r="AJ1125" s="37" t="n">
        <v>2</v>
      </c>
      <c r="AK1125" s="37" t="n">
        <v>5</v>
      </c>
      <c r="AL1125" s="37" t="s">
        <v>343</v>
      </c>
      <c r="AM1125" s="39" t="n">
        <v>114.5</v>
      </c>
    </row>
    <row r="1126" customFormat="false" ht="15" hidden="false" customHeight="false" outlineLevel="0" collapsed="false">
      <c r="A1126" s="37" t="n">
        <v>377889460</v>
      </c>
      <c r="B1126" s="38" t="n">
        <v>46251.4180671296</v>
      </c>
      <c r="C1126" s="37" t="s">
        <v>345</v>
      </c>
      <c r="D1126" s="37" t="s">
        <v>1410</v>
      </c>
      <c r="E1126" s="37" t="n">
        <v>23092370</v>
      </c>
      <c r="F1126" s="37" t="s">
        <v>159</v>
      </c>
      <c r="G1126" s="37" t="s">
        <v>196</v>
      </c>
      <c r="H1126" s="37" t="s">
        <v>184</v>
      </c>
      <c r="I1126" s="37" t="n">
        <v>27.6</v>
      </c>
      <c r="J1126" s="39" t="n">
        <v>599.99</v>
      </c>
      <c r="K1126" s="37" t="s">
        <v>518</v>
      </c>
      <c r="L1126" s="39" t="n">
        <v>81.63</v>
      </c>
      <c r="M1126" s="39" t="n">
        <v>42.11</v>
      </c>
      <c r="N1126" s="39" t="n">
        <f aca="false">J1126*Resumo!$C$6</f>
        <v>0</v>
      </c>
      <c r="O1126" s="39" t="n">
        <f aca="false">J1126*Resumo!$C$7</f>
        <v>1.259979</v>
      </c>
      <c r="P1126" s="39" t="n">
        <f aca="false">J1126*Resumo!$C$8</f>
        <v>1.259979</v>
      </c>
      <c r="Q1126" s="39" t="n">
        <f aca="false">Resumo!$C$10*CEILING(I1126/100,1)</f>
        <v>1.05</v>
      </c>
      <c r="R1126" s="39" t="n">
        <f aca="false">Resumo!$C$9</f>
        <v>0</v>
      </c>
      <c r="S1126" s="39" t="n">
        <f aca="false">Resumo!$C$13</f>
        <v>13.55</v>
      </c>
      <c r="T1126" s="39" t="n">
        <f aca="false">Resumo!$C$14*CEILING(I1126,1)</f>
        <v>12.6</v>
      </c>
      <c r="U1126" s="39" t="n">
        <f aca="false">SUM(M1126:T1126)*Resumo!$C$11</f>
        <v>0</v>
      </c>
      <c r="V1126" s="39" t="n">
        <f aca="false">SUM(M1126:U1126)</f>
        <v>71.829958</v>
      </c>
      <c r="W1126" s="39" t="n">
        <f aca="false">V1126/(1-Resumo!$C$5)</f>
        <v>81.6249522727273</v>
      </c>
      <c r="X1126" s="39" t="n">
        <v>82.21</v>
      </c>
      <c r="Y1126" s="39" t="n">
        <f aca="false">J1126*Resumo!$B$6</f>
        <v>0.59999</v>
      </c>
      <c r="Z1126" s="39" t="n">
        <f aca="false">J1126*Resumo!$B$7</f>
        <v>1.19998</v>
      </c>
      <c r="AA1126" s="39" t="n">
        <f aca="false">Resumo!$B$9</f>
        <v>1</v>
      </c>
      <c r="AB1126" s="39" t="n">
        <f aca="false">Resumo!$B$10*CEILING(I1126/100,1)</f>
        <v>4.5</v>
      </c>
      <c r="AC1126" s="39" t="n">
        <f aca="false">Resumo!$B$12*CEILING(I1126,1)</f>
        <v>1.68</v>
      </c>
      <c r="AD1126" s="39" t="n">
        <f aca="false">Resumo!$B$14*CEILING(I1126,1)</f>
        <v>12.6</v>
      </c>
      <c r="AE1126" s="39" t="n">
        <f aca="false">SUM(X1126:AD1126)</f>
        <v>103.78997</v>
      </c>
      <c r="AF1126" s="39" t="n">
        <f aca="false">AE1126/(1-Resumo!$B$5)</f>
        <v>117.943147727273</v>
      </c>
      <c r="AG1126" s="39" t="n">
        <f aca="false">AF1126-W1126</f>
        <v>36.3181954545454</v>
      </c>
      <c r="AH1126" s="40" t="n">
        <f aca="false">AF1126/W1126-1</f>
        <v>0.444939867568904</v>
      </c>
      <c r="AI1126" s="37" t="str">
        <f aca="false">IF(AF1126&lt;W1126,"SIM","NÃO")</f>
        <v>NÃO</v>
      </c>
      <c r="AJ1126" s="37" t="n">
        <v>2</v>
      </c>
      <c r="AK1126" s="37" t="n">
        <v>5</v>
      </c>
      <c r="AL1126" s="37" t="s">
        <v>343</v>
      </c>
      <c r="AM1126" s="39" t="n">
        <v>83.2</v>
      </c>
    </row>
    <row r="1127" customFormat="false" ht="15" hidden="false" customHeight="false" outlineLevel="0" collapsed="false">
      <c r="A1127" s="37" t="n">
        <v>377894933</v>
      </c>
      <c r="B1127" s="38" t="n">
        <v>46251.4285648148</v>
      </c>
      <c r="C1127" s="37" t="s">
        <v>375</v>
      </c>
      <c r="D1127" s="37" t="s">
        <v>1411</v>
      </c>
      <c r="E1127" s="37" t="n">
        <v>28024731</v>
      </c>
      <c r="F1127" s="37" t="s">
        <v>164</v>
      </c>
      <c r="G1127" s="37" t="s">
        <v>198</v>
      </c>
      <c r="H1127" s="37" t="s">
        <v>191</v>
      </c>
      <c r="I1127" s="37" t="n">
        <v>117</v>
      </c>
      <c r="J1127" s="39" t="n">
        <v>1300.8</v>
      </c>
      <c r="K1127" s="37" t="s">
        <v>518</v>
      </c>
      <c r="L1127" s="39" t="n">
        <v>219.61</v>
      </c>
      <c r="M1127" s="39" t="n">
        <v>119.5</v>
      </c>
      <c r="N1127" s="39" t="n">
        <f aca="false">J1127*Resumo!$C$6</f>
        <v>0</v>
      </c>
      <c r="O1127" s="39" t="n">
        <f aca="false">J1127*Resumo!$C$7</f>
        <v>2.73168</v>
      </c>
      <c r="P1127" s="39" t="n">
        <f aca="false">J1127*Resumo!$C$8</f>
        <v>2.73168</v>
      </c>
      <c r="Q1127" s="39" t="n">
        <f aca="false">Resumo!$C$10*CEILING(I1127/100,1)</f>
        <v>2.1</v>
      </c>
      <c r="R1127" s="39" t="n">
        <f aca="false">Resumo!$C$9</f>
        <v>0</v>
      </c>
      <c r="S1127" s="39" t="n">
        <f aca="false">Resumo!$C$13</f>
        <v>13.55</v>
      </c>
      <c r="T1127" s="39" t="n">
        <f aca="false">Resumo!$C$14*CEILING(I1127,1)</f>
        <v>52.65</v>
      </c>
      <c r="U1127" s="39" t="n">
        <f aca="false">SUM(M1127:T1127)*Resumo!$C$11</f>
        <v>0</v>
      </c>
      <c r="V1127" s="39" t="n">
        <f aca="false">SUM(M1127:U1127)</f>
        <v>193.26336</v>
      </c>
      <c r="W1127" s="39" t="n">
        <f aca="false">V1127/(1-Resumo!$C$5)</f>
        <v>219.617454545455</v>
      </c>
      <c r="X1127" s="39" t="n">
        <v>236.82</v>
      </c>
      <c r="Y1127" s="39" t="n">
        <f aca="false">J1127*Resumo!$B$6</f>
        <v>1.3008</v>
      </c>
      <c r="Z1127" s="39" t="n">
        <f aca="false">J1127*Resumo!$B$7</f>
        <v>2.6016</v>
      </c>
      <c r="AA1127" s="39" t="n">
        <f aca="false">Resumo!$B$9</f>
        <v>1</v>
      </c>
      <c r="AB1127" s="39" t="n">
        <f aca="false">Resumo!$B$10*CEILING(I1127/100,1)</f>
        <v>9</v>
      </c>
      <c r="AC1127" s="39" t="n">
        <f aca="false">Resumo!$B$12*CEILING(I1127,1)</f>
        <v>7.02</v>
      </c>
      <c r="AD1127" s="39" t="n">
        <f aca="false">Resumo!$B$14*CEILING(I1127,1)</f>
        <v>52.65</v>
      </c>
      <c r="AE1127" s="39" t="n">
        <f aca="false">SUM(X1127:AD1127)</f>
        <v>310.3924</v>
      </c>
      <c r="AF1127" s="39" t="n">
        <f aca="false">AE1127/(1-Resumo!$B$5)</f>
        <v>352.718636363636</v>
      </c>
      <c r="AG1127" s="39" t="n">
        <f aca="false">AF1127-W1127</f>
        <v>133.101181818182</v>
      </c>
      <c r="AH1127" s="40" t="n">
        <f aca="false">AF1127/W1127-1</f>
        <v>0.60605921370714</v>
      </c>
      <c r="AI1127" s="37" t="str">
        <f aca="false">IF(AF1127&lt;W1127,"SIM","NÃO")</f>
        <v>NÃO</v>
      </c>
      <c r="AJ1127" s="37" t="n">
        <v>13</v>
      </c>
      <c r="AK1127" s="37" t="n">
        <v>11</v>
      </c>
      <c r="AL1127" s="37" t="s">
        <v>343</v>
      </c>
      <c r="AM1127" s="39" t="n">
        <v>216.89</v>
      </c>
    </row>
    <row r="1128" customFormat="false" ht="15" hidden="false" customHeight="false" outlineLevel="0" collapsed="false">
      <c r="A1128" s="37" t="n">
        <v>377912090</v>
      </c>
      <c r="B1128" s="38" t="n">
        <v>46251.4525231482</v>
      </c>
      <c r="C1128" s="37" t="s">
        <v>340</v>
      </c>
      <c r="D1128" s="37" t="s">
        <v>1412</v>
      </c>
      <c r="E1128" s="37" t="n">
        <v>24725170</v>
      </c>
      <c r="F1128" s="37" t="s">
        <v>160</v>
      </c>
      <c r="G1128" s="37" t="s">
        <v>197</v>
      </c>
      <c r="H1128" s="37" t="s">
        <v>185</v>
      </c>
      <c r="I1128" s="37" t="n">
        <v>35.9</v>
      </c>
      <c r="J1128" s="39" t="n">
        <v>619.99</v>
      </c>
      <c r="K1128" s="37" t="s">
        <v>518</v>
      </c>
      <c r="L1128" s="39" t="n">
        <v>113.9</v>
      </c>
      <c r="M1128" s="39" t="n">
        <v>66.83</v>
      </c>
      <c r="N1128" s="39" t="n">
        <f aca="false">J1128*Resumo!$C$6</f>
        <v>0</v>
      </c>
      <c r="O1128" s="39" t="n">
        <f aca="false">J1128*Resumo!$C$7</f>
        <v>1.301979</v>
      </c>
      <c r="P1128" s="39" t="n">
        <f aca="false">J1128*Resumo!$C$8</f>
        <v>1.301979</v>
      </c>
      <c r="Q1128" s="39" t="n">
        <f aca="false">Resumo!$C$10*CEILING(I1128/100,1)</f>
        <v>1.05</v>
      </c>
      <c r="R1128" s="39" t="n">
        <f aca="false">Resumo!$C$9</f>
        <v>0</v>
      </c>
      <c r="S1128" s="39" t="n">
        <f aca="false">Resumo!$C$13</f>
        <v>13.55</v>
      </c>
      <c r="T1128" s="39" t="n">
        <f aca="false">Resumo!$C$14*CEILING(I1128,1)</f>
        <v>16.2</v>
      </c>
      <c r="U1128" s="39" t="n">
        <f aca="false">SUM(M1128:T1128)*Resumo!$C$11</f>
        <v>0</v>
      </c>
      <c r="V1128" s="39" t="n">
        <f aca="false">SUM(M1128:U1128)</f>
        <v>100.233958</v>
      </c>
      <c r="W1128" s="39" t="n">
        <f aca="false">V1128/(1-Resumo!$C$5)</f>
        <v>113.902225</v>
      </c>
      <c r="X1128" s="39" t="n">
        <v>114.95</v>
      </c>
      <c r="Y1128" s="39" t="n">
        <f aca="false">J1128*Resumo!$B$6</f>
        <v>0.61999</v>
      </c>
      <c r="Z1128" s="39" t="n">
        <f aca="false">J1128*Resumo!$B$7</f>
        <v>1.23998</v>
      </c>
      <c r="AA1128" s="39" t="n">
        <f aca="false">Resumo!$B$9</f>
        <v>1</v>
      </c>
      <c r="AB1128" s="39" t="n">
        <f aca="false">Resumo!$B$10*CEILING(I1128/100,1)</f>
        <v>4.5</v>
      </c>
      <c r="AC1128" s="39" t="n">
        <f aca="false">Resumo!$B$12*CEILING(I1128,1)</f>
        <v>2.16</v>
      </c>
      <c r="AD1128" s="39" t="n">
        <f aca="false">Resumo!$B$14*CEILING(I1128,1)</f>
        <v>16.2</v>
      </c>
      <c r="AE1128" s="39" t="n">
        <f aca="false">SUM(X1128:AD1128)</f>
        <v>140.66997</v>
      </c>
      <c r="AF1128" s="39" t="n">
        <f aca="false">AE1128/(1-Resumo!$B$5)</f>
        <v>159.852238636364</v>
      </c>
      <c r="AG1128" s="39" t="n">
        <f aca="false">AF1128-W1128</f>
        <v>45.9500136363636</v>
      </c>
      <c r="AH1128" s="40" t="n">
        <f aca="false">AF1128/W1128-1</f>
        <v>0.403416295303833</v>
      </c>
      <c r="AI1128" s="37" t="str">
        <f aca="false">IF(AF1128&lt;W1128,"SIM","NÃO")</f>
        <v>NÃO</v>
      </c>
      <c r="AJ1128" s="37" t="n">
        <v>2</v>
      </c>
      <c r="AK1128" s="37" t="n">
        <v>7</v>
      </c>
      <c r="AL1128" s="37" t="s">
        <v>343</v>
      </c>
      <c r="AM1128" s="39" t="n">
        <v>113.93</v>
      </c>
    </row>
    <row r="1129" customFormat="false" ht="15" hidden="false" customHeight="false" outlineLevel="0" collapsed="false">
      <c r="A1129" s="37" t="n">
        <v>377938667</v>
      </c>
      <c r="B1129" s="38" t="n">
        <v>46251.4942939815</v>
      </c>
      <c r="C1129" s="37" t="s">
        <v>340</v>
      </c>
      <c r="D1129" s="37" t="s">
        <v>429</v>
      </c>
      <c r="E1129" s="37" t="n">
        <v>28880000</v>
      </c>
      <c r="F1129" s="37" t="s">
        <v>290</v>
      </c>
      <c r="G1129" s="37" t="s">
        <v>198</v>
      </c>
      <c r="H1129" s="37" t="s">
        <v>187</v>
      </c>
      <c r="I1129" s="37" t="n">
        <v>52.3</v>
      </c>
      <c r="J1129" s="39" t="n">
        <v>699.99</v>
      </c>
      <c r="K1129" s="37" t="s">
        <v>518</v>
      </c>
      <c r="L1129" s="39" t="n">
        <v>142.01</v>
      </c>
      <c r="M1129" s="39" t="n">
        <v>83.58</v>
      </c>
      <c r="N1129" s="39" t="n">
        <f aca="false">J1129*Resumo!$C$6</f>
        <v>0</v>
      </c>
      <c r="O1129" s="39" t="n">
        <f aca="false">J1129*Resumo!$C$7</f>
        <v>1.469979</v>
      </c>
      <c r="P1129" s="39" t="n">
        <f aca="false">J1129*Resumo!$C$8</f>
        <v>1.469979</v>
      </c>
      <c r="Q1129" s="39" t="n">
        <f aca="false">Resumo!$C$10*CEILING(I1129/100,1)</f>
        <v>1.05</v>
      </c>
      <c r="R1129" s="39" t="n">
        <f aca="false">Resumo!$C$9</f>
        <v>0</v>
      </c>
      <c r="S1129" s="39" t="n">
        <f aca="false">Resumo!$C$13</f>
        <v>13.55</v>
      </c>
      <c r="T1129" s="39" t="n">
        <f aca="false">Resumo!$C$14*CEILING(I1129,1)</f>
        <v>23.85</v>
      </c>
      <c r="U1129" s="39" t="n">
        <f aca="false">SUM(M1129:T1129)*Resumo!$C$11</f>
        <v>0</v>
      </c>
      <c r="V1129" s="39" t="n">
        <f aca="false">SUM(M1129:U1129)</f>
        <v>124.969958</v>
      </c>
      <c r="W1129" s="39" t="n">
        <f aca="false">V1129/(1-Resumo!$C$5)</f>
        <v>142.011315909091</v>
      </c>
      <c r="X1129" s="39" t="n">
        <v>142.32</v>
      </c>
      <c r="Y1129" s="39" t="n">
        <f aca="false">J1129*Resumo!$B$6</f>
        <v>0.69999</v>
      </c>
      <c r="Z1129" s="39" t="n">
        <f aca="false">J1129*Resumo!$B$7</f>
        <v>1.39998</v>
      </c>
      <c r="AA1129" s="39" t="n">
        <f aca="false">Resumo!$B$9</f>
        <v>1</v>
      </c>
      <c r="AB1129" s="39" t="n">
        <f aca="false">Resumo!$B$10*CEILING(I1129/100,1)</f>
        <v>4.5</v>
      </c>
      <c r="AC1129" s="39" t="n">
        <f aca="false">Resumo!$B$12*CEILING(I1129,1)</f>
        <v>3.18</v>
      </c>
      <c r="AD1129" s="39" t="n">
        <f aca="false">Resumo!$B$14*CEILING(I1129,1)</f>
        <v>23.85</v>
      </c>
      <c r="AE1129" s="39" t="n">
        <f aca="false">SUM(X1129:AD1129)</f>
        <v>176.94997</v>
      </c>
      <c r="AF1129" s="39" t="n">
        <f aca="false">AE1129/(1-Resumo!$B$5)</f>
        <v>201.079511363636</v>
      </c>
      <c r="AG1129" s="39" t="n">
        <f aca="false">AF1129-W1129</f>
        <v>59.0681954545454</v>
      </c>
      <c r="AH1129" s="40" t="n">
        <f aca="false">AF1129/W1129-1</f>
        <v>0.415940061370589</v>
      </c>
      <c r="AI1129" s="37" t="str">
        <f aca="false">IF(AF1129&lt;W1129,"SIM","NÃO")</f>
        <v>NÃO</v>
      </c>
      <c r="AJ1129" s="37" t="n">
        <v>13</v>
      </c>
      <c r="AK1129" s="37" t="n">
        <v>10</v>
      </c>
      <c r="AL1129" s="37" t="s">
        <v>347</v>
      </c>
      <c r="AM1129" s="39" t="n">
        <v>143.02</v>
      </c>
    </row>
    <row r="1130" customFormat="false" ht="15" hidden="false" customHeight="false" outlineLevel="0" collapsed="false">
      <c r="A1130" s="37" t="n">
        <v>377955657</v>
      </c>
      <c r="B1130" s="38" t="n">
        <v>46251.5200462963</v>
      </c>
      <c r="C1130" s="37" t="s">
        <v>345</v>
      </c>
      <c r="D1130" s="37" t="s">
        <v>1413</v>
      </c>
      <c r="E1130" s="37" t="n">
        <v>21220410</v>
      </c>
      <c r="F1130" s="37" t="s">
        <v>159</v>
      </c>
      <c r="G1130" s="37" t="s">
        <v>196</v>
      </c>
      <c r="H1130" s="37" t="s">
        <v>191</v>
      </c>
      <c r="I1130" s="37" t="n">
        <v>106.5</v>
      </c>
      <c r="J1130" s="39" t="n">
        <v>1099.99</v>
      </c>
      <c r="K1130" s="37" t="s">
        <v>342</v>
      </c>
      <c r="L1130" s="39" t="n">
        <v>184.91</v>
      </c>
      <c r="M1130" s="39" t="n">
        <v>92.34</v>
      </c>
      <c r="N1130" s="39" t="n">
        <f aca="false">J1130*Resumo!$C$6</f>
        <v>0</v>
      </c>
      <c r="O1130" s="39" t="n">
        <f aca="false">J1130*Resumo!$C$7</f>
        <v>2.309979</v>
      </c>
      <c r="P1130" s="39" t="n">
        <f aca="false">J1130*Resumo!$C$8</f>
        <v>2.309979</v>
      </c>
      <c r="Q1130" s="39" t="n">
        <f aca="false">Resumo!$C$10*CEILING(I1130/100,1)</f>
        <v>2.1</v>
      </c>
      <c r="R1130" s="39" t="n">
        <f aca="false">Resumo!$C$9</f>
        <v>0</v>
      </c>
      <c r="S1130" s="39" t="n">
        <f aca="false">Resumo!$C$13</f>
        <v>13.55</v>
      </c>
      <c r="T1130" s="39" t="n">
        <f aca="false">Resumo!$C$14*CEILING(I1130,1)</f>
        <v>48.15</v>
      </c>
      <c r="U1130" s="39" t="n">
        <f aca="false">SUM(M1130:T1130)*Resumo!$C$11</f>
        <v>0</v>
      </c>
      <c r="V1130" s="39" t="n">
        <f aca="false">SUM(M1130:U1130)</f>
        <v>160.759958</v>
      </c>
      <c r="W1130" s="39" t="n">
        <f aca="false">V1130/(1-Resumo!$C$5)</f>
        <v>182.681770454545</v>
      </c>
      <c r="X1130" s="39" t="n">
        <v>201.59</v>
      </c>
      <c r="Y1130" s="39" t="n">
        <f aca="false">J1130*Resumo!$B$6</f>
        <v>1.09999</v>
      </c>
      <c r="Z1130" s="39" t="n">
        <f aca="false">J1130*Resumo!$B$7</f>
        <v>2.19998</v>
      </c>
      <c r="AA1130" s="39" t="n">
        <f aca="false">Resumo!$B$9</f>
        <v>1</v>
      </c>
      <c r="AB1130" s="39" t="n">
        <f aca="false">Resumo!$B$10*CEILING(I1130/100,1)</f>
        <v>9</v>
      </c>
      <c r="AC1130" s="39" t="n">
        <f aca="false">Resumo!$B$12*CEILING(I1130,1)</f>
        <v>6.42</v>
      </c>
      <c r="AD1130" s="39" t="n">
        <f aca="false">Resumo!$B$14*CEILING(I1130,1)</f>
        <v>48.15</v>
      </c>
      <c r="AE1130" s="39" t="n">
        <f aca="false">SUM(X1130:AD1130)</f>
        <v>269.45997</v>
      </c>
      <c r="AF1130" s="39" t="n">
        <f aca="false">AE1130/(1-Resumo!$B$5)</f>
        <v>306.204511363636</v>
      </c>
      <c r="AG1130" s="39" t="n">
        <f aca="false">AF1130-W1130</f>
        <v>123.522740909091</v>
      </c>
      <c r="AH1130" s="40" t="n">
        <f aca="false">AF1130/W1130-1</f>
        <v>0.676163475981998</v>
      </c>
      <c r="AI1130" s="37" t="str">
        <f aca="false">IF(AF1130&lt;W1130,"SIM","NÃO")</f>
        <v>NÃO</v>
      </c>
      <c r="AJ1130" s="37" t="n">
        <v>2</v>
      </c>
      <c r="AK1130" s="37" t="n">
        <v>5</v>
      </c>
      <c r="AL1130" s="37" t="s">
        <v>343</v>
      </c>
      <c r="AM1130" s="39" t="n">
        <v>184.91</v>
      </c>
    </row>
    <row r="1131" customFormat="false" ht="15" hidden="false" customHeight="false" outlineLevel="0" collapsed="false">
      <c r="A1131" s="37" t="n">
        <v>377963471</v>
      </c>
      <c r="B1131" s="38" t="n">
        <v>46251.5360069444</v>
      </c>
      <c r="C1131" s="37" t="s">
        <v>372</v>
      </c>
      <c r="D1131" s="37" t="s">
        <v>1127</v>
      </c>
      <c r="E1131" s="37" t="n">
        <v>21520050</v>
      </c>
      <c r="F1131" s="37" t="s">
        <v>159</v>
      </c>
      <c r="G1131" s="37" t="s">
        <v>196</v>
      </c>
      <c r="H1131" s="37" t="s">
        <v>193</v>
      </c>
      <c r="I1131" s="37" t="n">
        <v>158.8</v>
      </c>
      <c r="J1131" s="39" t="n">
        <v>1746.98</v>
      </c>
      <c r="K1131" s="37" t="s">
        <v>342</v>
      </c>
      <c r="L1131" s="39" t="n">
        <v>255.33</v>
      </c>
      <c r="M1131" s="39" t="n">
        <v>130.31</v>
      </c>
      <c r="N1131" s="39" t="n">
        <f aca="false">J1131*Resumo!$C$6</f>
        <v>0</v>
      </c>
      <c r="O1131" s="39" t="n">
        <f aca="false">J1131*Resumo!$C$7</f>
        <v>3.668658</v>
      </c>
      <c r="P1131" s="39" t="n">
        <f aca="false">J1131*Resumo!$C$8</f>
        <v>3.668658</v>
      </c>
      <c r="Q1131" s="39" t="n">
        <f aca="false">Resumo!$C$10*CEILING(I1131/100,1)</f>
        <v>2.1</v>
      </c>
      <c r="R1131" s="39" t="n">
        <f aca="false">Resumo!$C$9</f>
        <v>0</v>
      </c>
      <c r="S1131" s="39" t="n">
        <f aca="false">Resumo!$C$13</f>
        <v>13.55</v>
      </c>
      <c r="T1131" s="39" t="n">
        <f aca="false">Resumo!$C$14*CEILING(I1131,1)</f>
        <v>71.55</v>
      </c>
      <c r="U1131" s="39" t="n">
        <f aca="false">SUM(M1131:T1131)*Resumo!$C$11</f>
        <v>0</v>
      </c>
      <c r="V1131" s="39" t="n">
        <f aca="false">SUM(M1131:U1131)</f>
        <v>224.847316</v>
      </c>
      <c r="W1131" s="39" t="n">
        <f aca="false">V1131/(1-Resumo!$C$5)</f>
        <v>255.508313636364</v>
      </c>
      <c r="X1131" s="39" t="n">
        <v>271.15</v>
      </c>
      <c r="Y1131" s="39" t="n">
        <f aca="false">J1131*Resumo!$B$6</f>
        <v>1.74698</v>
      </c>
      <c r="Z1131" s="39" t="n">
        <f aca="false">J1131*Resumo!$B$7</f>
        <v>3.49396</v>
      </c>
      <c r="AA1131" s="39" t="n">
        <f aca="false">Resumo!$B$9</f>
        <v>1</v>
      </c>
      <c r="AB1131" s="39" t="n">
        <f aca="false">Resumo!$B$10*CEILING(I1131/100,1)</f>
        <v>9</v>
      </c>
      <c r="AC1131" s="39" t="n">
        <f aca="false">Resumo!$B$12*CEILING(I1131,1)</f>
        <v>9.54</v>
      </c>
      <c r="AD1131" s="39" t="n">
        <f aca="false">Resumo!$B$14*CEILING(I1131,1)</f>
        <v>71.55</v>
      </c>
      <c r="AE1131" s="39" t="n">
        <f aca="false">SUM(X1131:AD1131)</f>
        <v>367.48094</v>
      </c>
      <c r="AF1131" s="39" t="n">
        <f aca="false">AE1131/(1-Resumo!$B$5)</f>
        <v>417.591977272727</v>
      </c>
      <c r="AG1131" s="39" t="n">
        <f aca="false">AF1131-W1131</f>
        <v>162.083663636364</v>
      </c>
      <c r="AH1131" s="40" t="n">
        <f aca="false">AF1131/W1131-1</f>
        <v>0.634357690086903</v>
      </c>
      <c r="AI1131" s="37" t="str">
        <f aca="false">IF(AF1131&lt;W1131,"SIM","NÃO")</f>
        <v>NÃO</v>
      </c>
      <c r="AJ1131" s="37" t="n">
        <v>2</v>
      </c>
      <c r="AK1131" s="37" t="n">
        <v>5</v>
      </c>
      <c r="AL1131" s="37" t="s">
        <v>343</v>
      </c>
      <c r="AM1131" s="39" t="n">
        <v>255.34</v>
      </c>
    </row>
    <row r="1132" customFormat="false" ht="15" hidden="false" customHeight="false" outlineLevel="0" collapsed="false">
      <c r="A1132" s="37" t="n">
        <v>377967007</v>
      </c>
      <c r="B1132" s="38" t="n">
        <v>46251.5399884259</v>
      </c>
      <c r="C1132" s="37" t="s">
        <v>340</v>
      </c>
      <c r="D1132" s="37" t="s">
        <v>1414</v>
      </c>
      <c r="E1132" s="37" t="n">
        <v>27971791</v>
      </c>
      <c r="F1132" s="37" t="s">
        <v>166</v>
      </c>
      <c r="G1132" s="37" t="s">
        <v>198</v>
      </c>
      <c r="H1132" s="37" t="s">
        <v>187</v>
      </c>
      <c r="I1132" s="37" t="n">
        <v>60</v>
      </c>
      <c r="J1132" s="39" t="n">
        <v>793.39</v>
      </c>
      <c r="K1132" s="37" t="s">
        <v>518</v>
      </c>
      <c r="L1132" s="39" t="n">
        <v>146.05</v>
      </c>
      <c r="M1132" s="39" t="n">
        <v>83.58</v>
      </c>
      <c r="N1132" s="39" t="n">
        <f aca="false">J1132*Resumo!$C$6</f>
        <v>0</v>
      </c>
      <c r="O1132" s="39" t="n">
        <f aca="false">J1132*Resumo!$C$7</f>
        <v>1.666119</v>
      </c>
      <c r="P1132" s="39" t="n">
        <f aca="false">J1132*Resumo!$C$8</f>
        <v>1.666119</v>
      </c>
      <c r="Q1132" s="39" t="n">
        <f aca="false">Resumo!$C$10*CEILING(I1132/100,1)</f>
        <v>1.05</v>
      </c>
      <c r="R1132" s="39" t="n">
        <f aca="false">Resumo!$C$9</f>
        <v>0</v>
      </c>
      <c r="S1132" s="39" t="n">
        <f aca="false">Resumo!$C$13</f>
        <v>13.55</v>
      </c>
      <c r="T1132" s="39" t="n">
        <f aca="false">Resumo!$C$14*CEILING(I1132,1)</f>
        <v>27</v>
      </c>
      <c r="U1132" s="39" t="n">
        <f aca="false">SUM(M1132:T1132)*Resumo!$C$11</f>
        <v>0</v>
      </c>
      <c r="V1132" s="39" t="n">
        <f aca="false">SUM(M1132:U1132)</f>
        <v>128.512238</v>
      </c>
      <c r="W1132" s="39" t="n">
        <f aca="false">V1132/(1-Resumo!$C$5)</f>
        <v>146.036634090909</v>
      </c>
      <c r="X1132" s="39" t="n">
        <v>162.04</v>
      </c>
      <c r="Y1132" s="39" t="n">
        <f aca="false">J1132*Resumo!$B$6</f>
        <v>0.79339</v>
      </c>
      <c r="Z1132" s="39" t="n">
        <f aca="false">J1132*Resumo!$B$7</f>
        <v>1.58678</v>
      </c>
      <c r="AA1132" s="39" t="n">
        <f aca="false">Resumo!$B$9</f>
        <v>1</v>
      </c>
      <c r="AB1132" s="39" t="n">
        <f aca="false">Resumo!$B$10*CEILING(I1132/100,1)</f>
        <v>4.5</v>
      </c>
      <c r="AC1132" s="39" t="n">
        <f aca="false">Resumo!$B$12*CEILING(I1132,1)</f>
        <v>3.6</v>
      </c>
      <c r="AD1132" s="39" t="n">
        <f aca="false">Resumo!$B$14*CEILING(I1132,1)</f>
        <v>27</v>
      </c>
      <c r="AE1132" s="39" t="n">
        <f aca="false">SUM(X1132:AD1132)</f>
        <v>200.52017</v>
      </c>
      <c r="AF1132" s="39" t="n">
        <f aca="false">AE1132/(1-Resumo!$B$5)</f>
        <v>227.863829545455</v>
      </c>
      <c r="AG1132" s="39" t="n">
        <f aca="false">AF1132-W1132</f>
        <v>81.8271954545454</v>
      </c>
      <c r="AH1132" s="40" t="n">
        <f aca="false">AF1132/W1132-1</f>
        <v>0.560319648312404</v>
      </c>
      <c r="AI1132" s="37" t="str">
        <f aca="false">IF(AF1132&lt;W1132,"SIM","NÃO")</f>
        <v>NÃO</v>
      </c>
      <c r="AJ1132" s="37" t="n">
        <v>13</v>
      </c>
      <c r="AK1132" s="37" t="n">
        <v>11</v>
      </c>
      <c r="AL1132" s="37" t="s">
        <v>343</v>
      </c>
      <c r="AM1132" s="39" t="n">
        <v>143.47</v>
      </c>
    </row>
    <row r="1133" customFormat="false" ht="15" hidden="false" customHeight="false" outlineLevel="0" collapsed="false">
      <c r="A1133" s="37" t="n">
        <v>377973538</v>
      </c>
      <c r="B1133" s="38" t="n">
        <v>46251.5596990741</v>
      </c>
      <c r="C1133" s="37" t="s">
        <v>361</v>
      </c>
      <c r="D1133" s="37" t="s">
        <v>1415</v>
      </c>
      <c r="E1133" s="37" t="n">
        <v>21220220</v>
      </c>
      <c r="F1133" s="37" t="s">
        <v>159</v>
      </c>
      <c r="G1133" s="37" t="s">
        <v>196</v>
      </c>
      <c r="H1133" s="37" t="s">
        <v>184</v>
      </c>
      <c r="I1133" s="37" t="n">
        <v>33.3</v>
      </c>
      <c r="J1133" s="39" t="n">
        <v>509.99</v>
      </c>
      <c r="K1133" s="37" t="s">
        <v>342</v>
      </c>
      <c r="L1133" s="39" t="n">
        <v>82.77</v>
      </c>
      <c r="M1133" s="39" t="n">
        <v>42.11</v>
      </c>
      <c r="N1133" s="39" t="n">
        <f aca="false">J1133*Resumo!$C$6</f>
        <v>0</v>
      </c>
      <c r="O1133" s="39" t="n">
        <f aca="false">J1133*Resumo!$C$7</f>
        <v>1.070979</v>
      </c>
      <c r="P1133" s="39" t="n">
        <f aca="false">J1133*Resumo!$C$8</f>
        <v>1.070979</v>
      </c>
      <c r="Q1133" s="39" t="n">
        <f aca="false">Resumo!$C$10*CEILING(I1133/100,1)</f>
        <v>1.05</v>
      </c>
      <c r="R1133" s="39" t="n">
        <f aca="false">Resumo!$C$9</f>
        <v>0</v>
      </c>
      <c r="S1133" s="39" t="n">
        <f aca="false">Resumo!$C$13</f>
        <v>13.55</v>
      </c>
      <c r="T1133" s="39" t="n">
        <f aca="false">Resumo!$C$14*CEILING(I1133,1)</f>
        <v>15.3</v>
      </c>
      <c r="U1133" s="39" t="n">
        <f aca="false">SUM(M1133:T1133)*Resumo!$C$11</f>
        <v>0</v>
      </c>
      <c r="V1133" s="39" t="n">
        <f aca="false">SUM(M1133:U1133)</f>
        <v>74.151958</v>
      </c>
      <c r="W1133" s="39" t="n">
        <f aca="false">V1133/(1-Resumo!$C$5)</f>
        <v>84.2635886363637</v>
      </c>
      <c r="X1133" s="39" t="n">
        <v>82.21</v>
      </c>
      <c r="Y1133" s="39" t="n">
        <f aca="false">J1133*Resumo!$B$6</f>
        <v>0.50999</v>
      </c>
      <c r="Z1133" s="39" t="n">
        <f aca="false">J1133*Resumo!$B$7</f>
        <v>1.01998</v>
      </c>
      <c r="AA1133" s="39" t="n">
        <f aca="false">Resumo!$B$9</f>
        <v>1</v>
      </c>
      <c r="AB1133" s="39" t="n">
        <f aca="false">Resumo!$B$10*CEILING(I1133/100,1)</f>
        <v>4.5</v>
      </c>
      <c r="AC1133" s="39" t="n">
        <f aca="false">Resumo!$B$12*CEILING(I1133,1)</f>
        <v>2.04</v>
      </c>
      <c r="AD1133" s="39" t="n">
        <f aca="false">Resumo!$B$14*CEILING(I1133,1)</f>
        <v>15.3</v>
      </c>
      <c r="AE1133" s="39" t="n">
        <f aca="false">SUM(X1133:AD1133)</f>
        <v>106.57997</v>
      </c>
      <c r="AF1133" s="39" t="n">
        <f aca="false">AE1133/(1-Resumo!$B$5)</f>
        <v>121.113602272727</v>
      </c>
      <c r="AG1133" s="39" t="n">
        <f aca="false">AF1133-W1133</f>
        <v>36.8500136363636</v>
      </c>
      <c r="AH1133" s="40" t="n">
        <f aca="false">AF1133/W1133-1</f>
        <v>0.437318351054196</v>
      </c>
      <c r="AI1133" s="37" t="str">
        <f aca="false">IF(AF1133&lt;W1133,"SIM","NÃO")</f>
        <v>NÃO</v>
      </c>
      <c r="AJ1133" s="37" t="n">
        <v>2</v>
      </c>
      <c r="AK1133" s="37" t="n">
        <v>5</v>
      </c>
      <c r="AL1133" s="37" t="s">
        <v>343</v>
      </c>
      <c r="AM1133" s="39" t="n">
        <v>82.77</v>
      </c>
    </row>
    <row r="1134" customFormat="false" ht="15" hidden="false" customHeight="false" outlineLevel="0" collapsed="false">
      <c r="A1134" s="37" t="n">
        <v>377984575</v>
      </c>
      <c r="B1134" s="38" t="n">
        <v>46251.5732175926</v>
      </c>
      <c r="C1134" s="37" t="s">
        <v>345</v>
      </c>
      <c r="D1134" s="37" t="s">
        <v>1416</v>
      </c>
      <c r="E1134" s="37" t="n">
        <v>28908050</v>
      </c>
      <c r="F1134" s="37" t="s">
        <v>172</v>
      </c>
      <c r="G1134" s="37" t="s">
        <v>198</v>
      </c>
      <c r="H1134" s="37" t="s">
        <v>184</v>
      </c>
      <c r="I1134" s="37" t="n">
        <v>27.6</v>
      </c>
      <c r="J1134" s="39" t="n">
        <v>379.98</v>
      </c>
      <c r="K1134" s="37" t="s">
        <v>518</v>
      </c>
      <c r="L1134" s="39" t="n">
        <v>107.31</v>
      </c>
      <c r="M1134" s="39" t="n">
        <v>65.63</v>
      </c>
      <c r="N1134" s="39" t="n">
        <f aca="false">J1134*Resumo!$C$6</f>
        <v>0</v>
      </c>
      <c r="O1134" s="39" t="n">
        <f aca="false">J1134*Resumo!$C$7</f>
        <v>0.797958</v>
      </c>
      <c r="P1134" s="39" t="n">
        <f aca="false">J1134*Resumo!$C$8</f>
        <v>0.797958</v>
      </c>
      <c r="Q1134" s="39" t="n">
        <f aca="false">Resumo!$C$10*CEILING(I1134/100,1)</f>
        <v>1.05</v>
      </c>
      <c r="R1134" s="39" t="n">
        <f aca="false">Resumo!$C$9</f>
        <v>0</v>
      </c>
      <c r="S1134" s="39" t="n">
        <f aca="false">Resumo!$C$13</f>
        <v>13.55</v>
      </c>
      <c r="T1134" s="39" t="n">
        <f aca="false">Resumo!$C$14*CEILING(I1134,1)</f>
        <v>12.6</v>
      </c>
      <c r="U1134" s="39" t="n">
        <f aca="false">SUM(M1134:T1134)*Resumo!$C$11</f>
        <v>0</v>
      </c>
      <c r="V1134" s="39" t="n">
        <f aca="false">SUM(M1134:U1134)</f>
        <v>94.425916</v>
      </c>
      <c r="W1134" s="39" t="n">
        <f aca="false">V1134/(1-Resumo!$C$5)</f>
        <v>107.302177272727</v>
      </c>
      <c r="X1134" s="39" t="n">
        <v>114.95</v>
      </c>
      <c r="Y1134" s="39" t="n">
        <f aca="false">J1134*Resumo!$B$6</f>
        <v>0.37998</v>
      </c>
      <c r="Z1134" s="39" t="n">
        <f aca="false">J1134*Resumo!$B$7</f>
        <v>0.75996</v>
      </c>
      <c r="AA1134" s="39" t="n">
        <f aca="false">Resumo!$B$9</f>
        <v>1</v>
      </c>
      <c r="AB1134" s="39" t="n">
        <f aca="false">Resumo!$B$10*CEILING(I1134/100,1)</f>
        <v>4.5</v>
      </c>
      <c r="AC1134" s="39" t="n">
        <f aca="false">Resumo!$B$12*CEILING(I1134,1)</f>
        <v>1.68</v>
      </c>
      <c r="AD1134" s="39" t="n">
        <f aca="false">Resumo!$B$14*CEILING(I1134,1)</f>
        <v>12.6</v>
      </c>
      <c r="AE1134" s="39" t="n">
        <f aca="false">SUM(X1134:AD1134)</f>
        <v>135.86994</v>
      </c>
      <c r="AF1134" s="39" t="n">
        <f aca="false">AE1134/(1-Resumo!$B$5)</f>
        <v>154.397659090909</v>
      </c>
      <c r="AG1134" s="39" t="n">
        <f aca="false">AF1134-W1134</f>
        <v>47.0954818181819</v>
      </c>
      <c r="AH1134" s="40" t="n">
        <f aca="false">AF1134/W1134-1</f>
        <v>0.438905183615058</v>
      </c>
      <c r="AI1134" s="37" t="str">
        <f aca="false">IF(AF1134&lt;W1134,"SIM","NÃO")</f>
        <v>NÃO</v>
      </c>
      <c r="AJ1134" s="37" t="n">
        <v>13</v>
      </c>
      <c r="AK1134" s="37" t="n">
        <v>10</v>
      </c>
      <c r="AL1134" s="37" t="s">
        <v>343</v>
      </c>
      <c r="AM1134" s="39" t="n">
        <v>109</v>
      </c>
    </row>
    <row r="1135" customFormat="false" ht="15" hidden="false" customHeight="false" outlineLevel="0" collapsed="false">
      <c r="A1135" s="37" t="n">
        <v>377985822</v>
      </c>
      <c r="B1135" s="38" t="n">
        <v>46251.5751851852</v>
      </c>
      <c r="C1135" s="37" t="s">
        <v>372</v>
      </c>
      <c r="D1135" s="37" t="s">
        <v>1417</v>
      </c>
      <c r="E1135" s="37" t="n">
        <v>24417180</v>
      </c>
      <c r="F1135" s="37" t="s">
        <v>160</v>
      </c>
      <c r="G1135" s="37" t="s">
        <v>197</v>
      </c>
      <c r="H1135" s="37" t="s">
        <v>188</v>
      </c>
      <c r="I1135" s="37" t="n">
        <v>67.3</v>
      </c>
      <c r="J1135" s="39" t="n">
        <v>622.49</v>
      </c>
      <c r="K1135" s="37" t="s">
        <v>518</v>
      </c>
      <c r="L1135" s="39" t="n">
        <v>141.33</v>
      </c>
      <c r="M1135" s="39" t="n">
        <v>76.55</v>
      </c>
      <c r="N1135" s="39" t="n">
        <f aca="false">J1135*Resumo!$C$6</f>
        <v>0</v>
      </c>
      <c r="O1135" s="39" t="n">
        <f aca="false">J1135*Resumo!$C$7</f>
        <v>1.307229</v>
      </c>
      <c r="P1135" s="39" t="n">
        <f aca="false">J1135*Resumo!$C$8</f>
        <v>1.307229</v>
      </c>
      <c r="Q1135" s="39" t="n">
        <f aca="false">Resumo!$C$10*CEILING(I1135/100,1)</f>
        <v>1.05</v>
      </c>
      <c r="R1135" s="39" t="n">
        <f aca="false">Resumo!$C$9</f>
        <v>0</v>
      </c>
      <c r="S1135" s="39" t="n">
        <f aca="false">Resumo!$C$13</f>
        <v>13.55</v>
      </c>
      <c r="T1135" s="39" t="n">
        <f aca="false">Resumo!$C$14*CEILING(I1135,1)</f>
        <v>30.6</v>
      </c>
      <c r="U1135" s="39" t="n">
        <f aca="false">SUM(M1135:T1135)*Resumo!$C$11</f>
        <v>0</v>
      </c>
      <c r="V1135" s="39" t="n">
        <f aca="false">SUM(M1135:U1135)</f>
        <v>124.364458</v>
      </c>
      <c r="W1135" s="39" t="n">
        <f aca="false">V1135/(1-Resumo!$C$5)</f>
        <v>141.323247727273</v>
      </c>
      <c r="X1135" s="39" t="n">
        <v>149.5</v>
      </c>
      <c r="Y1135" s="39" t="n">
        <f aca="false">J1135*Resumo!$B$6</f>
        <v>0.62249</v>
      </c>
      <c r="Z1135" s="39" t="n">
        <f aca="false">J1135*Resumo!$B$7</f>
        <v>1.24498</v>
      </c>
      <c r="AA1135" s="39" t="n">
        <f aca="false">Resumo!$B$9</f>
        <v>1</v>
      </c>
      <c r="AB1135" s="39" t="n">
        <f aca="false">Resumo!$B$10*CEILING(I1135/100,1)</f>
        <v>4.5</v>
      </c>
      <c r="AC1135" s="39" t="n">
        <f aca="false">Resumo!$B$12*CEILING(I1135,1)</f>
        <v>4.08</v>
      </c>
      <c r="AD1135" s="39" t="n">
        <f aca="false">Resumo!$B$14*CEILING(I1135,1)</f>
        <v>30.6</v>
      </c>
      <c r="AE1135" s="39" t="n">
        <f aca="false">SUM(X1135:AD1135)</f>
        <v>191.54747</v>
      </c>
      <c r="AF1135" s="39" t="n">
        <f aca="false">AE1135/(1-Resumo!$B$5)</f>
        <v>217.667579545455</v>
      </c>
      <c r="AG1135" s="39" t="n">
        <f aca="false">AF1135-W1135</f>
        <v>76.3443318181818</v>
      </c>
      <c r="AH1135" s="40" t="n">
        <f aca="false">AF1135/W1135-1</f>
        <v>0.540210708754104</v>
      </c>
      <c r="AI1135" s="37" t="str">
        <f aca="false">IF(AF1135&lt;W1135,"SIM","NÃO")</f>
        <v>NÃO</v>
      </c>
      <c r="AJ1135" s="37" t="n">
        <v>2</v>
      </c>
      <c r="AK1135" s="37" t="n">
        <v>7</v>
      </c>
      <c r="AL1135" s="37" t="s">
        <v>343</v>
      </c>
      <c r="AM1135" s="39" t="n">
        <v>139.42</v>
      </c>
    </row>
    <row r="1136" customFormat="false" ht="15" hidden="false" customHeight="false" outlineLevel="0" collapsed="false">
      <c r="A1136" s="37" t="n">
        <v>377989186</v>
      </c>
      <c r="B1136" s="38" t="n">
        <v>46251.580625</v>
      </c>
      <c r="C1136" s="37" t="s">
        <v>340</v>
      </c>
      <c r="D1136" s="37" t="s">
        <v>1418</v>
      </c>
      <c r="E1136" s="37" t="n">
        <v>20251370</v>
      </c>
      <c r="F1136" s="37" t="s">
        <v>159</v>
      </c>
      <c r="G1136" s="37" t="s">
        <v>196</v>
      </c>
      <c r="H1136" s="37" t="s">
        <v>185</v>
      </c>
      <c r="I1136" s="37" t="n">
        <v>39</v>
      </c>
      <c r="J1136" s="39" t="n">
        <v>539.99</v>
      </c>
      <c r="K1136" s="37" t="s">
        <v>342</v>
      </c>
      <c r="L1136" s="39" t="n">
        <v>92.44</v>
      </c>
      <c r="M1136" s="39" t="n">
        <v>48.35</v>
      </c>
      <c r="N1136" s="39" t="n">
        <f aca="false">J1136*Resumo!$C$6</f>
        <v>0</v>
      </c>
      <c r="O1136" s="39" t="n">
        <f aca="false">J1136*Resumo!$C$7</f>
        <v>1.133979</v>
      </c>
      <c r="P1136" s="39" t="n">
        <f aca="false">J1136*Resumo!$C$8</f>
        <v>1.133979</v>
      </c>
      <c r="Q1136" s="39" t="n">
        <f aca="false">Resumo!$C$10*CEILING(I1136/100,1)</f>
        <v>1.05</v>
      </c>
      <c r="R1136" s="39" t="n">
        <f aca="false">Resumo!$C$9</f>
        <v>0</v>
      </c>
      <c r="S1136" s="39" t="n">
        <f aca="false">Resumo!$C$13</f>
        <v>13.55</v>
      </c>
      <c r="T1136" s="39" t="n">
        <f aca="false">Resumo!$C$14*CEILING(I1136,1)</f>
        <v>17.55</v>
      </c>
      <c r="U1136" s="39" t="n">
        <f aca="false">SUM(M1136:T1136)*Resumo!$C$11</f>
        <v>0</v>
      </c>
      <c r="V1136" s="39" t="n">
        <f aca="false">SUM(M1136:U1136)</f>
        <v>82.767958</v>
      </c>
      <c r="W1136" s="39" t="n">
        <f aca="false">V1136/(1-Resumo!$C$5)</f>
        <v>94.0544977272727</v>
      </c>
      <c r="X1136" s="39" t="n">
        <v>93.97</v>
      </c>
      <c r="Y1136" s="39" t="n">
        <f aca="false">J1136*Resumo!$B$6</f>
        <v>0.53999</v>
      </c>
      <c r="Z1136" s="39" t="n">
        <f aca="false">J1136*Resumo!$B$7</f>
        <v>1.07998</v>
      </c>
      <c r="AA1136" s="39" t="n">
        <f aca="false">Resumo!$B$9</f>
        <v>1</v>
      </c>
      <c r="AB1136" s="39" t="n">
        <f aca="false">Resumo!$B$10*CEILING(I1136/100,1)</f>
        <v>4.5</v>
      </c>
      <c r="AC1136" s="39" t="n">
        <f aca="false">Resumo!$B$12*CEILING(I1136,1)</f>
        <v>2.34</v>
      </c>
      <c r="AD1136" s="39" t="n">
        <f aca="false">Resumo!$B$14*CEILING(I1136,1)</f>
        <v>17.55</v>
      </c>
      <c r="AE1136" s="39" t="n">
        <f aca="false">SUM(X1136:AD1136)</f>
        <v>120.97997</v>
      </c>
      <c r="AF1136" s="39" t="n">
        <f aca="false">AE1136/(1-Resumo!$B$5)</f>
        <v>137.477238636364</v>
      </c>
      <c r="AG1136" s="39" t="n">
        <f aca="false">AF1136-W1136</f>
        <v>43.4227409090909</v>
      </c>
      <c r="AH1136" s="40" t="n">
        <f aca="false">AF1136/W1136-1</f>
        <v>0.461676389309979</v>
      </c>
      <c r="AI1136" s="37" t="str">
        <f aca="false">IF(AF1136&lt;W1136,"SIM","NÃO")</f>
        <v>NÃO</v>
      </c>
      <c r="AJ1136" s="37" t="n">
        <v>2</v>
      </c>
      <c r="AK1136" s="37" t="n">
        <v>5</v>
      </c>
      <c r="AL1136" s="37" t="s">
        <v>343</v>
      </c>
      <c r="AM1136" s="39" t="n">
        <v>92.44</v>
      </c>
    </row>
    <row r="1137" customFormat="false" ht="15" hidden="false" customHeight="false" outlineLevel="0" collapsed="false">
      <c r="A1137" s="37" t="n">
        <v>377990946</v>
      </c>
      <c r="B1137" s="38" t="n">
        <v>46251.5839351852</v>
      </c>
      <c r="C1137" s="37" t="s">
        <v>345</v>
      </c>
      <c r="D1137" s="37" t="s">
        <v>1419</v>
      </c>
      <c r="E1137" s="37" t="n">
        <v>28994172</v>
      </c>
      <c r="F1137" s="37" t="s">
        <v>295</v>
      </c>
      <c r="G1137" s="37" t="s">
        <v>198</v>
      </c>
      <c r="H1137" s="37" t="s">
        <v>184</v>
      </c>
      <c r="I1137" s="37" t="n">
        <v>27.5</v>
      </c>
      <c r="J1137" s="39" t="n">
        <v>399.98</v>
      </c>
      <c r="K1137" s="37" t="s">
        <v>518</v>
      </c>
      <c r="L1137" s="39" t="n">
        <v>107.4</v>
      </c>
      <c r="M1137" s="39" t="n">
        <v>65.63</v>
      </c>
      <c r="N1137" s="39" t="n">
        <f aca="false">J1137*Resumo!$C$6</f>
        <v>0</v>
      </c>
      <c r="O1137" s="39" t="n">
        <f aca="false">J1137*Resumo!$C$7</f>
        <v>0.839958</v>
      </c>
      <c r="P1137" s="39" t="n">
        <f aca="false">J1137*Resumo!$C$8</f>
        <v>0.839958</v>
      </c>
      <c r="Q1137" s="39" t="n">
        <f aca="false">Resumo!$C$10*CEILING(I1137/100,1)</f>
        <v>1.05</v>
      </c>
      <c r="R1137" s="39" t="n">
        <f aca="false">Resumo!$C$9</f>
        <v>0</v>
      </c>
      <c r="S1137" s="39" t="n">
        <f aca="false">Resumo!$C$13</f>
        <v>13.55</v>
      </c>
      <c r="T1137" s="39" t="n">
        <f aca="false">Resumo!$C$14*CEILING(I1137,1)</f>
        <v>12.6</v>
      </c>
      <c r="U1137" s="39" t="n">
        <f aca="false">SUM(M1137:T1137)*Resumo!$C$11</f>
        <v>0</v>
      </c>
      <c r="V1137" s="39" t="n">
        <f aca="false">SUM(M1137:U1137)</f>
        <v>94.509916</v>
      </c>
      <c r="W1137" s="39" t="n">
        <f aca="false">V1137/(1-Resumo!$C$5)</f>
        <v>107.397631818182</v>
      </c>
      <c r="X1137" s="39" t="n">
        <v>114.95</v>
      </c>
      <c r="Y1137" s="39" t="n">
        <f aca="false">J1137*Resumo!$B$6</f>
        <v>0.39998</v>
      </c>
      <c r="Z1137" s="39" t="n">
        <f aca="false">J1137*Resumo!$B$7</f>
        <v>0.79996</v>
      </c>
      <c r="AA1137" s="39" t="n">
        <f aca="false">Resumo!$B$9</f>
        <v>1</v>
      </c>
      <c r="AB1137" s="39" t="n">
        <f aca="false">Resumo!$B$10*CEILING(I1137/100,1)</f>
        <v>4.5</v>
      </c>
      <c r="AC1137" s="39" t="n">
        <f aca="false">Resumo!$B$12*CEILING(I1137,1)</f>
        <v>1.68</v>
      </c>
      <c r="AD1137" s="39" t="n">
        <f aca="false">Resumo!$B$14*CEILING(I1137,1)</f>
        <v>12.6</v>
      </c>
      <c r="AE1137" s="39" t="n">
        <f aca="false">SUM(X1137:AD1137)</f>
        <v>135.92994</v>
      </c>
      <c r="AF1137" s="39" t="n">
        <f aca="false">AE1137/(1-Resumo!$B$5)</f>
        <v>154.465840909091</v>
      </c>
      <c r="AG1137" s="39" t="n">
        <f aca="false">AF1137-W1137</f>
        <v>47.0682090909091</v>
      </c>
      <c r="AH1137" s="40" t="n">
        <f aca="false">AF1137/W1137-1</f>
        <v>0.438261144999854</v>
      </c>
      <c r="AI1137" s="37" t="str">
        <f aca="false">IF(AF1137&lt;W1137,"SIM","NÃO")</f>
        <v>NÃO</v>
      </c>
      <c r="AJ1137" s="37" t="n">
        <v>13</v>
      </c>
      <c r="AK1137" s="37" t="n">
        <v>10</v>
      </c>
      <c r="AL1137" s="37" t="s">
        <v>347</v>
      </c>
      <c r="AM1137" s="39" t="n">
        <v>109.1</v>
      </c>
    </row>
    <row r="1138" customFormat="false" ht="15" hidden="false" customHeight="false" outlineLevel="0" collapsed="false">
      <c r="A1138" s="37" t="n">
        <v>377990405</v>
      </c>
      <c r="B1138" s="38" t="n">
        <v>46251.5846643519</v>
      </c>
      <c r="C1138" s="37" t="s">
        <v>361</v>
      </c>
      <c r="D1138" s="37" t="s">
        <v>564</v>
      </c>
      <c r="E1138" s="37" t="n">
        <v>22451265</v>
      </c>
      <c r="F1138" s="37" t="s">
        <v>159</v>
      </c>
      <c r="G1138" s="37" t="s">
        <v>196</v>
      </c>
      <c r="H1138" s="37" t="s">
        <v>184</v>
      </c>
      <c r="I1138" s="37" t="n">
        <v>22.4</v>
      </c>
      <c r="J1138" s="39" t="n">
        <v>559.99</v>
      </c>
      <c r="K1138" s="37" t="s">
        <v>518</v>
      </c>
      <c r="L1138" s="39" t="n">
        <v>78.89</v>
      </c>
      <c r="M1138" s="39" t="n">
        <v>42.11</v>
      </c>
      <c r="N1138" s="39" t="n">
        <f aca="false">J1138*Resumo!$C$6</f>
        <v>0</v>
      </c>
      <c r="O1138" s="39" t="n">
        <f aca="false">J1138*Resumo!$C$7</f>
        <v>1.175979</v>
      </c>
      <c r="P1138" s="39" t="n">
        <f aca="false">J1138*Resumo!$C$8</f>
        <v>1.175979</v>
      </c>
      <c r="Q1138" s="39" t="n">
        <f aca="false">Resumo!$C$10*CEILING(I1138/100,1)</f>
        <v>1.05</v>
      </c>
      <c r="R1138" s="39" t="n">
        <f aca="false">Resumo!$C$9</f>
        <v>0</v>
      </c>
      <c r="S1138" s="39" t="n">
        <f aca="false">Resumo!$C$13</f>
        <v>13.55</v>
      </c>
      <c r="T1138" s="39" t="n">
        <f aca="false">Resumo!$C$14*CEILING(I1138,1)</f>
        <v>10.35</v>
      </c>
      <c r="U1138" s="39" t="n">
        <f aca="false">SUM(M1138:T1138)*Resumo!$C$11</f>
        <v>0</v>
      </c>
      <c r="V1138" s="39" t="n">
        <f aca="false">SUM(M1138:U1138)</f>
        <v>69.411958</v>
      </c>
      <c r="W1138" s="39" t="n">
        <f aca="false">V1138/(1-Resumo!$C$5)</f>
        <v>78.877225</v>
      </c>
      <c r="X1138" s="39" t="n">
        <v>82.21</v>
      </c>
      <c r="Y1138" s="39" t="n">
        <f aca="false">J1138*Resumo!$B$6</f>
        <v>0.55999</v>
      </c>
      <c r="Z1138" s="39" t="n">
        <f aca="false">J1138*Resumo!$B$7</f>
        <v>1.11998</v>
      </c>
      <c r="AA1138" s="39" t="n">
        <f aca="false">Resumo!$B$9</f>
        <v>1</v>
      </c>
      <c r="AB1138" s="39" t="n">
        <f aca="false">Resumo!$B$10*CEILING(I1138/100,1)</f>
        <v>4.5</v>
      </c>
      <c r="AC1138" s="39" t="n">
        <f aca="false">Resumo!$B$12*CEILING(I1138,1)</f>
        <v>1.38</v>
      </c>
      <c r="AD1138" s="39" t="n">
        <f aca="false">Resumo!$B$14*CEILING(I1138,1)</f>
        <v>10.35</v>
      </c>
      <c r="AE1138" s="39" t="n">
        <f aca="false">SUM(X1138:AD1138)</f>
        <v>101.11997</v>
      </c>
      <c r="AF1138" s="39" t="n">
        <f aca="false">AE1138/(1-Resumo!$B$5)</f>
        <v>114.909056818182</v>
      </c>
      <c r="AG1138" s="39" t="n">
        <f aca="false">AF1138-W1138</f>
        <v>36.0318318181818</v>
      </c>
      <c r="AH1138" s="40" t="n">
        <f aca="false">AF1138/W1138-1</f>
        <v>0.456809070275759</v>
      </c>
      <c r="AI1138" s="37" t="str">
        <f aca="false">IF(AF1138&lt;W1138,"SIM","NÃO")</f>
        <v>NÃO</v>
      </c>
      <c r="AJ1138" s="37" t="n">
        <v>2</v>
      </c>
      <c r="AK1138" s="37" t="n">
        <v>5</v>
      </c>
      <c r="AL1138" s="37" t="s">
        <v>343</v>
      </c>
      <c r="AM1138" s="39" t="n">
        <v>83.01</v>
      </c>
    </row>
    <row r="1139" customFormat="false" ht="15" hidden="false" customHeight="false" outlineLevel="0" collapsed="false">
      <c r="A1139" s="37" t="n">
        <v>377998376</v>
      </c>
      <c r="B1139" s="38" t="n">
        <v>46251.6241203704</v>
      </c>
      <c r="C1139" s="37" t="s">
        <v>372</v>
      </c>
      <c r="D1139" s="37" t="s">
        <v>1420</v>
      </c>
      <c r="E1139" s="37" t="n">
        <v>25884000</v>
      </c>
      <c r="F1139" s="37" t="s">
        <v>232</v>
      </c>
      <c r="G1139" s="37" t="s">
        <v>198</v>
      </c>
      <c r="H1139" s="37" t="s">
        <v>191</v>
      </c>
      <c r="I1139" s="37" t="n">
        <v>105.65</v>
      </c>
      <c r="J1139" s="39" t="n">
        <v>1279.99</v>
      </c>
      <c r="K1139" s="37" t="s">
        <v>518</v>
      </c>
      <c r="L1139" s="39" t="n">
        <v>213.9</v>
      </c>
      <c r="M1139" s="39" t="n">
        <v>119.5</v>
      </c>
      <c r="N1139" s="39" t="n">
        <f aca="false">J1139*Resumo!$C$6</f>
        <v>0</v>
      </c>
      <c r="O1139" s="39" t="n">
        <f aca="false">J1139*Resumo!$C$7</f>
        <v>2.687979</v>
      </c>
      <c r="P1139" s="39" t="n">
        <f aca="false">J1139*Resumo!$C$8</f>
        <v>2.687979</v>
      </c>
      <c r="Q1139" s="39" t="n">
        <f aca="false">Resumo!$C$10*CEILING(I1139/100,1)</f>
        <v>2.1</v>
      </c>
      <c r="R1139" s="39" t="n">
        <f aca="false">Resumo!$C$9</f>
        <v>0</v>
      </c>
      <c r="S1139" s="39" t="n">
        <f aca="false">Resumo!$C$13</f>
        <v>13.55</v>
      </c>
      <c r="T1139" s="39" t="n">
        <f aca="false">Resumo!$C$14*CEILING(I1139,1)</f>
        <v>47.7</v>
      </c>
      <c r="U1139" s="39" t="n">
        <f aca="false">SUM(M1139:T1139)*Resumo!$C$11</f>
        <v>0</v>
      </c>
      <c r="V1139" s="39" t="n">
        <f aca="false">SUM(M1139:U1139)</f>
        <v>188.225958</v>
      </c>
      <c r="W1139" s="39" t="n">
        <f aca="false">V1139/(1-Resumo!$C$5)</f>
        <v>213.893134090909</v>
      </c>
      <c r="X1139" s="39" t="n">
        <v>236.82</v>
      </c>
      <c r="Y1139" s="39" t="n">
        <f aca="false">J1139*Resumo!$B$6</f>
        <v>1.27999</v>
      </c>
      <c r="Z1139" s="39" t="n">
        <f aca="false">J1139*Resumo!$B$7</f>
        <v>2.55998</v>
      </c>
      <c r="AA1139" s="39" t="n">
        <f aca="false">Resumo!$B$9</f>
        <v>1</v>
      </c>
      <c r="AB1139" s="39" t="n">
        <f aca="false">Resumo!$B$10*CEILING(I1139/100,1)</f>
        <v>9</v>
      </c>
      <c r="AC1139" s="39" t="n">
        <f aca="false">Resumo!$B$12*CEILING(I1139,1)</f>
        <v>6.36</v>
      </c>
      <c r="AD1139" s="39" t="n">
        <f aca="false">Resumo!$B$14*CEILING(I1139,1)</f>
        <v>47.7</v>
      </c>
      <c r="AE1139" s="39" t="n">
        <f aca="false">SUM(X1139:AD1139)</f>
        <v>304.71997</v>
      </c>
      <c r="AF1139" s="39" t="n">
        <f aca="false">AE1139/(1-Resumo!$B$5)</f>
        <v>346.272693181818</v>
      </c>
      <c r="AG1139" s="39" t="n">
        <f aca="false">AF1139-W1139</f>
        <v>132.379559090909</v>
      </c>
      <c r="AH1139" s="40" t="n">
        <f aca="false">AF1139/W1139-1</f>
        <v>0.618905135284263</v>
      </c>
      <c r="AI1139" s="37" t="str">
        <f aca="false">IF(AF1139&lt;W1139,"SIM","NÃO")</f>
        <v>NÃO</v>
      </c>
      <c r="AJ1139" s="37" t="n">
        <v>13</v>
      </c>
      <c r="AK1139" s="37" t="n">
        <v>10</v>
      </c>
      <c r="AL1139" s="37" t="s">
        <v>347</v>
      </c>
      <c r="AM1139" s="39" t="n">
        <v>216.79</v>
      </c>
    </row>
    <row r="1140" customFormat="false" ht="15" hidden="false" customHeight="false" outlineLevel="0" collapsed="false">
      <c r="A1140" s="37" t="n">
        <v>378021939</v>
      </c>
      <c r="B1140" s="38" t="n">
        <v>46251.6386574074</v>
      </c>
      <c r="C1140" s="37" t="s">
        <v>340</v>
      </c>
      <c r="D1140" s="37" t="s">
        <v>1421</v>
      </c>
      <c r="E1140" s="37" t="n">
        <v>24315571</v>
      </c>
      <c r="F1140" s="37" t="s">
        <v>163</v>
      </c>
      <c r="G1140" s="37" t="s">
        <v>197</v>
      </c>
      <c r="H1140" s="37" t="s">
        <v>183</v>
      </c>
      <c r="I1140" s="37" t="n">
        <v>17.2</v>
      </c>
      <c r="J1140" s="39" t="n">
        <v>223.34</v>
      </c>
      <c r="K1140" s="37" t="s">
        <v>342</v>
      </c>
      <c r="L1140" s="39" t="n">
        <v>74.92</v>
      </c>
      <c r="M1140" s="39" t="n">
        <v>42.72</v>
      </c>
      <c r="N1140" s="39" t="n">
        <f aca="false">J1140*Resumo!$C$6</f>
        <v>0</v>
      </c>
      <c r="O1140" s="39" t="n">
        <f aca="false">J1140*Resumo!$C$7</f>
        <v>0.469014</v>
      </c>
      <c r="P1140" s="39" t="n">
        <f aca="false">J1140*Resumo!$C$8</f>
        <v>0.469014</v>
      </c>
      <c r="Q1140" s="39" t="n">
        <f aca="false">Resumo!$C$10*CEILING(I1140/100,1)</f>
        <v>1.05</v>
      </c>
      <c r="R1140" s="39" t="n">
        <f aca="false">Resumo!$C$9</f>
        <v>0</v>
      </c>
      <c r="S1140" s="39" t="n">
        <f aca="false">Resumo!$C$13</f>
        <v>13.55</v>
      </c>
      <c r="T1140" s="39" t="n">
        <f aca="false">Resumo!$C$14*CEILING(I1140,1)</f>
        <v>8.1</v>
      </c>
      <c r="U1140" s="39" t="n">
        <f aca="false">SUM(M1140:T1140)*Resumo!$C$11</f>
        <v>0</v>
      </c>
      <c r="V1140" s="39" t="n">
        <f aca="false">SUM(M1140:U1140)</f>
        <v>66.358028</v>
      </c>
      <c r="W1140" s="39" t="n">
        <f aca="false">V1140/(1-Resumo!$C$5)</f>
        <v>75.40685</v>
      </c>
      <c r="X1140" s="39" t="n">
        <v>57.47</v>
      </c>
      <c r="Y1140" s="39" t="n">
        <f aca="false">J1140*Resumo!$B$6</f>
        <v>0.22334</v>
      </c>
      <c r="Z1140" s="39" t="n">
        <f aca="false">J1140*Resumo!$B$7</f>
        <v>0.44668</v>
      </c>
      <c r="AA1140" s="39" t="n">
        <f aca="false">Resumo!$B$9</f>
        <v>1</v>
      </c>
      <c r="AB1140" s="39" t="n">
        <f aca="false">Resumo!$B$10*CEILING(I1140/100,1)</f>
        <v>4.5</v>
      </c>
      <c r="AC1140" s="39" t="n">
        <f aca="false">Resumo!$B$12*CEILING(I1140,1)</f>
        <v>1.08</v>
      </c>
      <c r="AD1140" s="39" t="n">
        <f aca="false">Resumo!$B$14*CEILING(I1140,1)</f>
        <v>8.1</v>
      </c>
      <c r="AE1140" s="39" t="n">
        <f aca="false">SUM(X1140:AD1140)</f>
        <v>72.82002</v>
      </c>
      <c r="AF1140" s="39" t="n">
        <f aca="false">AE1140/(1-Resumo!$B$5)</f>
        <v>82.7500227272727</v>
      </c>
      <c r="AG1140" s="39" t="n">
        <f aca="false">AF1140-W1140</f>
        <v>7.34317272727272</v>
      </c>
      <c r="AH1140" s="40" t="n">
        <f aca="false">AF1140/W1140-1</f>
        <v>0.0973807117957151</v>
      </c>
      <c r="AI1140" s="37" t="str">
        <f aca="false">IF(AF1140&lt;W1140,"SIM","NÃO")</f>
        <v>NÃO</v>
      </c>
      <c r="AJ1140" s="37" t="n">
        <v>2</v>
      </c>
      <c r="AK1140" s="37" t="n">
        <v>7</v>
      </c>
      <c r="AL1140" s="37" t="s">
        <v>343</v>
      </c>
      <c r="AM1140" s="39" t="n">
        <v>74.91</v>
      </c>
    </row>
    <row r="1141" customFormat="false" ht="15" hidden="false" customHeight="false" outlineLevel="0" collapsed="false">
      <c r="A1141" s="37" t="n">
        <v>378022429</v>
      </c>
      <c r="B1141" s="38" t="n">
        <v>46251.6394097222</v>
      </c>
      <c r="C1141" s="37" t="s">
        <v>345</v>
      </c>
      <c r="D1141" s="37" t="s">
        <v>1422</v>
      </c>
      <c r="E1141" s="37" t="n">
        <v>24456595</v>
      </c>
      <c r="F1141" s="37" t="s">
        <v>160</v>
      </c>
      <c r="G1141" s="37" t="s">
        <v>197</v>
      </c>
      <c r="H1141" s="37" t="s">
        <v>187</v>
      </c>
      <c r="I1141" s="37" t="n">
        <v>52.3</v>
      </c>
      <c r="J1141" s="39" t="n">
        <v>637.43</v>
      </c>
      <c r="K1141" s="37" t="s">
        <v>518</v>
      </c>
      <c r="L1141" s="39" t="n">
        <v>127.4</v>
      </c>
      <c r="M1141" s="39" t="n">
        <v>70.98</v>
      </c>
      <c r="N1141" s="39" t="n">
        <f aca="false">J1141*Resumo!$C$6</f>
        <v>0</v>
      </c>
      <c r="O1141" s="39" t="n">
        <f aca="false">J1141*Resumo!$C$7</f>
        <v>1.338603</v>
      </c>
      <c r="P1141" s="39" t="n">
        <f aca="false">J1141*Resumo!$C$8</f>
        <v>1.338603</v>
      </c>
      <c r="Q1141" s="39" t="n">
        <f aca="false">Resumo!$C$10*CEILING(I1141/100,1)</f>
        <v>1.05</v>
      </c>
      <c r="R1141" s="39" t="n">
        <f aca="false">Resumo!$C$9</f>
        <v>0</v>
      </c>
      <c r="S1141" s="39" t="n">
        <f aca="false">Resumo!$C$13</f>
        <v>13.55</v>
      </c>
      <c r="T1141" s="39" t="n">
        <f aca="false">Resumo!$C$14*CEILING(I1141,1)</f>
        <v>23.85</v>
      </c>
      <c r="U1141" s="39" t="n">
        <f aca="false">SUM(M1141:T1141)*Resumo!$C$11</f>
        <v>0</v>
      </c>
      <c r="V1141" s="39" t="n">
        <f aca="false">SUM(M1141:U1141)</f>
        <v>112.107206</v>
      </c>
      <c r="W1141" s="39" t="n">
        <f aca="false">V1141/(1-Resumo!$C$5)</f>
        <v>127.394552272727</v>
      </c>
      <c r="X1141" s="39" t="n">
        <v>128.14</v>
      </c>
      <c r="Y1141" s="39" t="n">
        <f aca="false">J1141*Resumo!$B$6</f>
        <v>0.63743</v>
      </c>
      <c r="Z1141" s="39" t="n">
        <f aca="false">J1141*Resumo!$B$7</f>
        <v>1.27486</v>
      </c>
      <c r="AA1141" s="39" t="n">
        <f aca="false">Resumo!$B$9</f>
        <v>1</v>
      </c>
      <c r="AB1141" s="39" t="n">
        <f aca="false">Resumo!$B$10*CEILING(I1141/100,1)</f>
        <v>4.5</v>
      </c>
      <c r="AC1141" s="39" t="n">
        <f aca="false">Resumo!$B$12*CEILING(I1141,1)</f>
        <v>3.18</v>
      </c>
      <c r="AD1141" s="39" t="n">
        <f aca="false">Resumo!$B$14*CEILING(I1141,1)</f>
        <v>23.85</v>
      </c>
      <c r="AE1141" s="39" t="n">
        <f aca="false">SUM(X1141:AD1141)</f>
        <v>162.58229</v>
      </c>
      <c r="AF1141" s="39" t="n">
        <f aca="false">AE1141/(1-Resumo!$B$5)</f>
        <v>184.752602272727</v>
      </c>
      <c r="AG1141" s="39" t="n">
        <f aca="false">AF1141-W1141</f>
        <v>57.35805</v>
      </c>
      <c r="AH1141" s="40" t="n">
        <f aca="false">AF1141/W1141-1</f>
        <v>0.450239425287255</v>
      </c>
      <c r="AI1141" s="37" t="str">
        <f aca="false">IF(AF1141&lt;W1141,"SIM","NÃO")</f>
        <v>NÃO</v>
      </c>
      <c r="AJ1141" s="37" t="n">
        <v>2</v>
      </c>
      <c r="AK1141" s="37" t="n">
        <v>7</v>
      </c>
      <c r="AL1141" s="37" t="s">
        <v>343</v>
      </c>
      <c r="AM1141" s="39" t="n">
        <v>128.34</v>
      </c>
    </row>
    <row r="1142" customFormat="false" ht="15" hidden="false" customHeight="false" outlineLevel="0" collapsed="false">
      <c r="A1142" s="37" t="n">
        <v>378022877</v>
      </c>
      <c r="B1142" s="38" t="n">
        <v>46251.6402199074</v>
      </c>
      <c r="C1142" s="37" t="s">
        <v>340</v>
      </c>
      <c r="D1142" s="37" t="s">
        <v>1423</v>
      </c>
      <c r="E1142" s="37" t="n">
        <v>22610020</v>
      </c>
      <c r="F1142" s="37" t="s">
        <v>159</v>
      </c>
      <c r="G1142" s="37" t="s">
        <v>196</v>
      </c>
      <c r="H1142" s="37" t="s">
        <v>186</v>
      </c>
      <c r="I1142" s="37" t="n">
        <v>41</v>
      </c>
      <c r="J1142" s="39" t="n">
        <v>559.99</v>
      </c>
      <c r="K1142" s="37" t="s">
        <v>518</v>
      </c>
      <c r="L1142" s="39" t="n">
        <v>101.09</v>
      </c>
      <c r="M1142" s="39" t="n">
        <v>53.55</v>
      </c>
      <c r="N1142" s="39" t="n">
        <f aca="false">J1142*Resumo!$C$6</f>
        <v>0</v>
      </c>
      <c r="O1142" s="39" t="n">
        <f aca="false">J1142*Resumo!$C$7</f>
        <v>1.175979</v>
      </c>
      <c r="P1142" s="39" t="n">
        <f aca="false">J1142*Resumo!$C$8</f>
        <v>1.175979</v>
      </c>
      <c r="Q1142" s="39" t="n">
        <f aca="false">Resumo!$C$10*CEILING(I1142/100,1)</f>
        <v>1.05</v>
      </c>
      <c r="R1142" s="39" t="n">
        <f aca="false">Resumo!$C$9</f>
        <v>0</v>
      </c>
      <c r="S1142" s="39" t="n">
        <f aca="false">Resumo!$C$13</f>
        <v>13.55</v>
      </c>
      <c r="T1142" s="39" t="n">
        <f aca="false">Resumo!$C$14*CEILING(I1142,1)</f>
        <v>18.45</v>
      </c>
      <c r="U1142" s="39" t="n">
        <f aca="false">SUM(M1142:T1142)*Resumo!$C$11</f>
        <v>0</v>
      </c>
      <c r="V1142" s="39" t="n">
        <f aca="false">SUM(M1142:U1142)</f>
        <v>88.951958</v>
      </c>
      <c r="W1142" s="39" t="n">
        <f aca="false">V1142/(1-Resumo!$C$5)</f>
        <v>101.081770454545</v>
      </c>
      <c r="X1142" s="39" t="n">
        <v>93.97</v>
      </c>
      <c r="Y1142" s="39" t="n">
        <f aca="false">J1142*Resumo!$B$6</f>
        <v>0.55999</v>
      </c>
      <c r="Z1142" s="39" t="n">
        <f aca="false">J1142*Resumo!$B$7</f>
        <v>1.11998</v>
      </c>
      <c r="AA1142" s="39" t="n">
        <f aca="false">Resumo!$B$9</f>
        <v>1</v>
      </c>
      <c r="AB1142" s="39" t="n">
        <f aca="false">Resumo!$B$10*CEILING(I1142/100,1)</f>
        <v>4.5</v>
      </c>
      <c r="AC1142" s="39" t="n">
        <f aca="false">Resumo!$B$12*CEILING(I1142,1)</f>
        <v>2.46</v>
      </c>
      <c r="AD1142" s="39" t="n">
        <f aca="false">Resumo!$B$14*CEILING(I1142,1)</f>
        <v>18.45</v>
      </c>
      <c r="AE1142" s="39" t="n">
        <f aca="false">SUM(X1142:AD1142)</f>
        <v>122.05997</v>
      </c>
      <c r="AF1142" s="39" t="n">
        <f aca="false">AE1142/(1-Resumo!$B$5)</f>
        <v>138.704511363636</v>
      </c>
      <c r="AG1142" s="39" t="n">
        <f aca="false">AF1142-W1142</f>
        <v>37.6227409090909</v>
      </c>
      <c r="AH1142" s="40" t="n">
        <f aca="false">AF1142/W1142-1</f>
        <v>0.372201048120829</v>
      </c>
      <c r="AI1142" s="37" t="str">
        <f aca="false">IF(AF1142&lt;W1142,"SIM","NÃO")</f>
        <v>NÃO</v>
      </c>
      <c r="AJ1142" s="37" t="n">
        <v>2</v>
      </c>
      <c r="AK1142" s="37" t="n">
        <v>5</v>
      </c>
      <c r="AL1142" s="37" t="s">
        <v>343</v>
      </c>
      <c r="AM1142" s="39" t="n">
        <v>103.27</v>
      </c>
    </row>
    <row r="1143" customFormat="false" ht="15" hidden="false" customHeight="false" outlineLevel="0" collapsed="false">
      <c r="A1143" s="37" t="n">
        <v>378024572</v>
      </c>
      <c r="B1143" s="38" t="n">
        <v>46251.6427199074</v>
      </c>
      <c r="C1143" s="37" t="s">
        <v>345</v>
      </c>
      <c r="D1143" s="37" t="s">
        <v>1424</v>
      </c>
      <c r="E1143" s="37" t="n">
        <v>26275010</v>
      </c>
      <c r="F1143" s="37" t="s">
        <v>162</v>
      </c>
      <c r="G1143" s="37" t="s">
        <v>197</v>
      </c>
      <c r="H1143" s="37" t="s">
        <v>187</v>
      </c>
      <c r="I1143" s="37" t="n">
        <v>52.3</v>
      </c>
      <c r="J1143" s="39" t="n">
        <v>640.44</v>
      </c>
      <c r="K1143" s="37" t="s">
        <v>342</v>
      </c>
      <c r="L1143" s="39" t="n">
        <v>128.35</v>
      </c>
      <c r="M1143" s="39" t="n">
        <v>70.98</v>
      </c>
      <c r="N1143" s="39" t="n">
        <f aca="false">J1143*Resumo!$C$6</f>
        <v>0</v>
      </c>
      <c r="O1143" s="39" t="n">
        <f aca="false">J1143*Resumo!$C$7</f>
        <v>1.344924</v>
      </c>
      <c r="P1143" s="39" t="n">
        <f aca="false">J1143*Resumo!$C$8</f>
        <v>1.344924</v>
      </c>
      <c r="Q1143" s="39" t="n">
        <f aca="false">Resumo!$C$10*CEILING(I1143/100,1)</f>
        <v>1.05</v>
      </c>
      <c r="R1143" s="39" t="n">
        <f aca="false">Resumo!$C$9</f>
        <v>0</v>
      </c>
      <c r="S1143" s="39" t="n">
        <f aca="false">Resumo!$C$13</f>
        <v>13.55</v>
      </c>
      <c r="T1143" s="39" t="n">
        <f aca="false">Resumo!$C$14*CEILING(I1143,1)</f>
        <v>23.85</v>
      </c>
      <c r="U1143" s="39" t="n">
        <f aca="false">SUM(M1143:T1143)*Resumo!$C$11</f>
        <v>0</v>
      </c>
      <c r="V1143" s="39" t="n">
        <f aca="false">SUM(M1143:U1143)</f>
        <v>112.119848</v>
      </c>
      <c r="W1143" s="39" t="n">
        <f aca="false">V1143/(1-Resumo!$C$5)</f>
        <v>127.408918181818</v>
      </c>
      <c r="X1143" s="39" t="n">
        <v>112.3</v>
      </c>
      <c r="Y1143" s="39" t="n">
        <f aca="false">J1143*Resumo!$B$6</f>
        <v>0.64044</v>
      </c>
      <c r="Z1143" s="39" t="n">
        <f aca="false">J1143*Resumo!$B$7</f>
        <v>1.28088</v>
      </c>
      <c r="AA1143" s="39" t="n">
        <f aca="false">Resumo!$B$9</f>
        <v>1</v>
      </c>
      <c r="AB1143" s="39" t="n">
        <f aca="false">Resumo!$B$10*CEILING(I1143/100,1)</f>
        <v>4.5</v>
      </c>
      <c r="AC1143" s="39" t="n">
        <f aca="false">Resumo!$B$12*CEILING(I1143,1)</f>
        <v>3.18</v>
      </c>
      <c r="AD1143" s="39" t="n">
        <f aca="false">Resumo!$B$14*CEILING(I1143,1)</f>
        <v>23.85</v>
      </c>
      <c r="AE1143" s="39" t="n">
        <f aca="false">SUM(X1143:AD1143)</f>
        <v>146.75132</v>
      </c>
      <c r="AF1143" s="39" t="n">
        <f aca="false">AE1143/(1-Resumo!$B$5)</f>
        <v>166.762863636364</v>
      </c>
      <c r="AG1143" s="39" t="n">
        <f aca="false">AF1143-W1143</f>
        <v>39.3539454545454</v>
      </c>
      <c r="AH1143" s="40" t="n">
        <f aca="false">AF1143/W1143-1</f>
        <v>0.308879048783583</v>
      </c>
      <c r="AI1143" s="37" t="str">
        <f aca="false">IF(AF1143&lt;W1143,"SIM","NÃO")</f>
        <v>NÃO</v>
      </c>
      <c r="AJ1143" s="37" t="n">
        <v>2</v>
      </c>
      <c r="AK1143" s="37" t="n">
        <v>5</v>
      </c>
      <c r="AL1143" s="37" t="s">
        <v>343</v>
      </c>
      <c r="AM1143" s="39" t="n">
        <v>128.35</v>
      </c>
    </row>
    <row r="1144" customFormat="false" ht="15" hidden="false" customHeight="false" outlineLevel="0" collapsed="false">
      <c r="A1144" s="37" t="n">
        <v>378024347</v>
      </c>
      <c r="B1144" s="38" t="n">
        <v>46251.6428935185</v>
      </c>
      <c r="C1144" s="37" t="s">
        <v>345</v>
      </c>
      <c r="D1144" s="37" t="s">
        <v>1425</v>
      </c>
      <c r="E1144" s="37" t="n">
        <v>21911430</v>
      </c>
      <c r="F1144" s="37" t="s">
        <v>159</v>
      </c>
      <c r="G1144" s="37" t="s">
        <v>196</v>
      </c>
      <c r="H1144" s="37" t="s">
        <v>187</v>
      </c>
      <c r="I1144" s="37" t="n">
        <v>57</v>
      </c>
      <c r="J1144" s="39" t="n">
        <v>692.99</v>
      </c>
      <c r="K1144" s="37" t="s">
        <v>342</v>
      </c>
      <c r="L1144" s="39" t="n">
        <v>114.48</v>
      </c>
      <c r="M1144" s="39" t="n">
        <v>58.6</v>
      </c>
      <c r="N1144" s="39" t="n">
        <f aca="false">J1144*Resumo!$C$6</f>
        <v>0</v>
      </c>
      <c r="O1144" s="39" t="n">
        <f aca="false">J1144*Resumo!$C$7</f>
        <v>1.455279</v>
      </c>
      <c r="P1144" s="39" t="n">
        <f aca="false">J1144*Resumo!$C$8</f>
        <v>1.455279</v>
      </c>
      <c r="Q1144" s="39" t="n">
        <f aca="false">Resumo!$C$10*CEILING(I1144/100,1)</f>
        <v>1.05</v>
      </c>
      <c r="R1144" s="39" t="n">
        <f aca="false">Resumo!$C$9</f>
        <v>0</v>
      </c>
      <c r="S1144" s="39" t="n">
        <f aca="false">Resumo!$C$13</f>
        <v>13.55</v>
      </c>
      <c r="T1144" s="39" t="n">
        <f aca="false">Resumo!$C$14*CEILING(I1144,1)</f>
        <v>25.65</v>
      </c>
      <c r="U1144" s="39" t="n">
        <f aca="false">SUM(M1144:T1144)*Resumo!$C$11</f>
        <v>0</v>
      </c>
      <c r="V1144" s="39" t="n">
        <f aca="false">SUM(M1144:U1144)</f>
        <v>101.760558</v>
      </c>
      <c r="W1144" s="39" t="n">
        <f aca="false">V1144/(1-Resumo!$C$5)</f>
        <v>115.636997727273</v>
      </c>
      <c r="X1144" s="39" t="n">
        <v>112.3</v>
      </c>
      <c r="Y1144" s="39" t="n">
        <f aca="false">J1144*Resumo!$B$6</f>
        <v>0.69299</v>
      </c>
      <c r="Z1144" s="39" t="n">
        <f aca="false">J1144*Resumo!$B$7</f>
        <v>1.38598</v>
      </c>
      <c r="AA1144" s="39" t="n">
        <f aca="false">Resumo!$B$9</f>
        <v>1</v>
      </c>
      <c r="AB1144" s="39" t="n">
        <f aca="false">Resumo!$B$10*CEILING(I1144/100,1)</f>
        <v>4.5</v>
      </c>
      <c r="AC1144" s="39" t="n">
        <f aca="false">Resumo!$B$12*CEILING(I1144,1)</f>
        <v>3.42</v>
      </c>
      <c r="AD1144" s="39" t="n">
        <f aca="false">Resumo!$B$14*CEILING(I1144,1)</f>
        <v>25.65</v>
      </c>
      <c r="AE1144" s="39" t="n">
        <f aca="false">SUM(X1144:AD1144)</f>
        <v>148.94897</v>
      </c>
      <c r="AF1144" s="39" t="n">
        <f aca="false">AE1144/(1-Resumo!$B$5)</f>
        <v>169.260193181818</v>
      </c>
      <c r="AG1144" s="39" t="n">
        <f aca="false">AF1144-W1144</f>
        <v>53.6231954545455</v>
      </c>
      <c r="AH1144" s="40" t="n">
        <f aca="false">AF1144/W1144-1</f>
        <v>0.463720059396687</v>
      </c>
      <c r="AI1144" s="37" t="str">
        <f aca="false">IF(AF1144&lt;W1144,"SIM","NÃO")</f>
        <v>NÃO</v>
      </c>
      <c r="AJ1144" s="37" t="n">
        <v>2</v>
      </c>
      <c r="AK1144" s="37" t="n">
        <v>5</v>
      </c>
      <c r="AL1144" s="37" t="s">
        <v>343</v>
      </c>
      <c r="AM1144" s="39" t="n">
        <v>114.47</v>
      </c>
    </row>
    <row r="1145" customFormat="false" ht="15" hidden="false" customHeight="false" outlineLevel="0" collapsed="false">
      <c r="A1145" s="37" t="n">
        <v>378036655</v>
      </c>
      <c r="B1145" s="38" t="n">
        <v>46251.6640856482</v>
      </c>
      <c r="C1145" s="37" t="s">
        <v>340</v>
      </c>
      <c r="D1145" s="37" t="s">
        <v>1426</v>
      </c>
      <c r="E1145" s="37" t="n">
        <v>25956120</v>
      </c>
      <c r="F1145" s="37" t="s">
        <v>235</v>
      </c>
      <c r="G1145" s="37" t="s">
        <v>198</v>
      </c>
      <c r="H1145" s="37" t="s">
        <v>184</v>
      </c>
      <c r="I1145" s="37" t="n">
        <v>31.9</v>
      </c>
      <c r="J1145" s="39" t="n">
        <v>518.79</v>
      </c>
      <c r="K1145" s="37" t="s">
        <v>518</v>
      </c>
      <c r="L1145" s="39" t="n">
        <v>110.01</v>
      </c>
      <c r="M1145" s="39" t="n">
        <v>65.63</v>
      </c>
      <c r="N1145" s="39" t="n">
        <f aca="false">J1145*Resumo!$C$6</f>
        <v>0</v>
      </c>
      <c r="O1145" s="39" t="n">
        <f aca="false">J1145*Resumo!$C$7</f>
        <v>1.089459</v>
      </c>
      <c r="P1145" s="39" t="n">
        <f aca="false">J1145*Resumo!$C$8</f>
        <v>1.089459</v>
      </c>
      <c r="Q1145" s="39" t="n">
        <f aca="false">Resumo!$C$10*CEILING(I1145/100,1)</f>
        <v>1.05</v>
      </c>
      <c r="R1145" s="39" t="n">
        <f aca="false">Resumo!$C$9</f>
        <v>0</v>
      </c>
      <c r="S1145" s="39" t="n">
        <f aca="false">Resumo!$C$13</f>
        <v>13.55</v>
      </c>
      <c r="T1145" s="39" t="n">
        <f aca="false">Resumo!$C$14*CEILING(I1145,1)</f>
        <v>14.4</v>
      </c>
      <c r="U1145" s="39" t="n">
        <f aca="false">SUM(M1145:T1145)*Resumo!$C$11</f>
        <v>0</v>
      </c>
      <c r="V1145" s="39" t="n">
        <f aca="false">SUM(M1145:U1145)</f>
        <v>96.808918</v>
      </c>
      <c r="W1145" s="39" t="n">
        <f aca="false">V1145/(1-Resumo!$C$5)</f>
        <v>110.010134090909</v>
      </c>
      <c r="X1145" s="39" t="n">
        <v>120.78</v>
      </c>
      <c r="Y1145" s="39" t="n">
        <f aca="false">J1145*Resumo!$B$6</f>
        <v>0.51879</v>
      </c>
      <c r="Z1145" s="39" t="n">
        <f aca="false">J1145*Resumo!$B$7</f>
        <v>1.03758</v>
      </c>
      <c r="AA1145" s="39" t="n">
        <f aca="false">Resumo!$B$9</f>
        <v>1</v>
      </c>
      <c r="AB1145" s="39" t="n">
        <f aca="false">Resumo!$B$10*CEILING(I1145/100,1)</f>
        <v>4.5</v>
      </c>
      <c r="AC1145" s="39" t="n">
        <f aca="false">Resumo!$B$12*CEILING(I1145,1)</f>
        <v>1.92</v>
      </c>
      <c r="AD1145" s="39" t="n">
        <f aca="false">Resumo!$B$14*CEILING(I1145,1)</f>
        <v>14.4</v>
      </c>
      <c r="AE1145" s="39" t="n">
        <f aca="false">SUM(X1145:AD1145)</f>
        <v>144.15637</v>
      </c>
      <c r="AF1145" s="39" t="n">
        <f aca="false">AE1145/(1-Resumo!$B$5)</f>
        <v>163.814056818182</v>
      </c>
      <c r="AG1145" s="39" t="n">
        <f aca="false">AF1145-W1145</f>
        <v>53.8039227272727</v>
      </c>
      <c r="AH1145" s="40" t="n">
        <f aca="false">AF1145/W1145-1</f>
        <v>0.489081512097884</v>
      </c>
      <c r="AI1145" s="37" t="str">
        <f aca="false">IF(AF1145&lt;W1145,"SIM","NÃO")</f>
        <v>NÃO</v>
      </c>
      <c r="AJ1145" s="37" t="n">
        <v>13</v>
      </c>
      <c r="AK1145" s="37" t="n">
        <v>10</v>
      </c>
      <c r="AL1145" s="37" t="s">
        <v>347</v>
      </c>
      <c r="AM1145" s="39" t="n">
        <v>109.67</v>
      </c>
    </row>
    <row r="1146" customFormat="false" ht="15" hidden="false" customHeight="false" outlineLevel="0" collapsed="false">
      <c r="A1146" s="37" t="n">
        <v>378047311</v>
      </c>
      <c r="B1146" s="38" t="n">
        <v>46251.6833101852</v>
      </c>
      <c r="C1146" s="37" t="s">
        <v>340</v>
      </c>
      <c r="D1146" s="37" t="s">
        <v>683</v>
      </c>
      <c r="E1146" s="37" t="n">
        <v>28300000</v>
      </c>
      <c r="F1146" s="37" t="s">
        <v>262</v>
      </c>
      <c r="G1146" s="37" t="s">
        <v>198</v>
      </c>
      <c r="H1146" s="37" t="s">
        <v>184</v>
      </c>
      <c r="I1146" s="37" t="n">
        <v>28.8</v>
      </c>
      <c r="J1146" s="39" t="n">
        <v>929.99</v>
      </c>
      <c r="K1146" s="37" t="s">
        <v>518</v>
      </c>
      <c r="L1146" s="39" t="n">
        <v>110.43</v>
      </c>
      <c r="M1146" s="39" t="n">
        <v>65.63</v>
      </c>
      <c r="N1146" s="39" t="n">
        <f aca="false">J1146*Resumo!$C$6</f>
        <v>0</v>
      </c>
      <c r="O1146" s="39" t="n">
        <f aca="false">J1146*Resumo!$C$7</f>
        <v>1.952979</v>
      </c>
      <c r="P1146" s="39" t="n">
        <f aca="false">J1146*Resumo!$C$8</f>
        <v>1.952979</v>
      </c>
      <c r="Q1146" s="39" t="n">
        <f aca="false">Resumo!$C$10*CEILING(I1146/100,1)</f>
        <v>1.05</v>
      </c>
      <c r="R1146" s="39" t="n">
        <f aca="false">Resumo!$C$9</f>
        <v>0</v>
      </c>
      <c r="S1146" s="39" t="n">
        <f aca="false">Resumo!$C$13</f>
        <v>13.55</v>
      </c>
      <c r="T1146" s="39" t="n">
        <f aca="false">Resumo!$C$14*CEILING(I1146,1)</f>
        <v>13.05</v>
      </c>
      <c r="U1146" s="39" t="n">
        <f aca="false">SUM(M1146:T1146)*Resumo!$C$11</f>
        <v>0</v>
      </c>
      <c r="V1146" s="39" t="n">
        <f aca="false">SUM(M1146:U1146)</f>
        <v>97.185958</v>
      </c>
      <c r="W1146" s="39" t="n">
        <f aca="false">V1146/(1-Resumo!$C$5)</f>
        <v>110.438588636364</v>
      </c>
      <c r="X1146" s="39" t="n">
        <v>138.29</v>
      </c>
      <c r="Y1146" s="39" t="n">
        <f aca="false">J1146*Resumo!$B$6</f>
        <v>0.92999</v>
      </c>
      <c r="Z1146" s="39" t="n">
        <f aca="false">J1146*Resumo!$B$7</f>
        <v>1.85998</v>
      </c>
      <c r="AA1146" s="39" t="n">
        <f aca="false">Resumo!$B$9</f>
        <v>1</v>
      </c>
      <c r="AB1146" s="39" t="n">
        <f aca="false">Resumo!$B$10*CEILING(I1146/100,1)</f>
        <v>4.5</v>
      </c>
      <c r="AC1146" s="39" t="n">
        <f aca="false">Resumo!$B$12*CEILING(I1146,1)</f>
        <v>1.74</v>
      </c>
      <c r="AD1146" s="39" t="n">
        <f aca="false">Resumo!$B$14*CEILING(I1146,1)</f>
        <v>13.05</v>
      </c>
      <c r="AE1146" s="39" t="n">
        <f aca="false">SUM(X1146:AD1146)</f>
        <v>161.36997</v>
      </c>
      <c r="AF1146" s="39" t="n">
        <f aca="false">AE1146/(1-Resumo!$B$5)</f>
        <v>183.374965909091</v>
      </c>
      <c r="AG1146" s="39" t="n">
        <f aca="false">AF1146-W1146</f>
        <v>72.9363772727273</v>
      </c>
      <c r="AH1146" s="40" t="n">
        <f aca="false">AF1146/W1146-1</f>
        <v>0.66042474983886</v>
      </c>
      <c r="AI1146" s="37" t="str">
        <f aca="false">IF(AF1146&lt;W1146,"SIM","NÃO")</f>
        <v>NÃO</v>
      </c>
      <c r="AJ1146" s="37" t="n">
        <v>13</v>
      </c>
      <c r="AK1146" s="37" t="n">
        <v>11</v>
      </c>
      <c r="AL1146" s="37" t="s">
        <v>347</v>
      </c>
      <c r="AM1146" s="39" t="n">
        <v>111.64</v>
      </c>
    </row>
    <row r="1147" customFormat="false" ht="15" hidden="false" customHeight="false" outlineLevel="0" collapsed="false">
      <c r="A1147" s="37" t="n">
        <v>378052959</v>
      </c>
      <c r="B1147" s="38" t="n">
        <v>46251.6934375</v>
      </c>
      <c r="C1147" s="37" t="s">
        <v>340</v>
      </c>
      <c r="D1147" s="37" t="s">
        <v>1427</v>
      </c>
      <c r="E1147" s="37" t="n">
        <v>28981446</v>
      </c>
      <c r="F1147" s="37" t="s">
        <v>173</v>
      </c>
      <c r="G1147" s="37" t="s">
        <v>198</v>
      </c>
      <c r="H1147" s="37" t="s">
        <v>184</v>
      </c>
      <c r="I1147" s="37" t="n">
        <v>27</v>
      </c>
      <c r="J1147" s="39" t="n">
        <v>349.99</v>
      </c>
      <c r="K1147" s="37" t="s">
        <v>518</v>
      </c>
      <c r="L1147" s="39" t="n">
        <v>106.64</v>
      </c>
      <c r="M1147" s="39" t="n">
        <v>65.63</v>
      </c>
      <c r="N1147" s="39" t="n">
        <f aca="false">J1147*Resumo!$C$6</f>
        <v>0</v>
      </c>
      <c r="O1147" s="39" t="n">
        <f aca="false">J1147*Resumo!$C$7</f>
        <v>0.734979</v>
      </c>
      <c r="P1147" s="39" t="n">
        <f aca="false">J1147*Resumo!$C$8</f>
        <v>0.734979</v>
      </c>
      <c r="Q1147" s="39" t="n">
        <f aca="false">Resumo!$C$10*CEILING(I1147/100,1)</f>
        <v>1.05</v>
      </c>
      <c r="R1147" s="39" t="n">
        <f aca="false">Resumo!$C$9</f>
        <v>0</v>
      </c>
      <c r="S1147" s="39" t="n">
        <f aca="false">Resumo!$C$13</f>
        <v>13.55</v>
      </c>
      <c r="T1147" s="39" t="n">
        <f aca="false">Resumo!$C$14*CEILING(I1147,1)</f>
        <v>12.15</v>
      </c>
      <c r="U1147" s="39" t="n">
        <f aca="false">SUM(M1147:T1147)*Resumo!$C$11</f>
        <v>0</v>
      </c>
      <c r="V1147" s="39" t="n">
        <f aca="false">SUM(M1147:U1147)</f>
        <v>93.849958</v>
      </c>
      <c r="W1147" s="39" t="n">
        <f aca="false">V1147/(1-Resumo!$C$5)</f>
        <v>106.647679545455</v>
      </c>
      <c r="X1147" s="39" t="n">
        <v>114.95</v>
      </c>
      <c r="Y1147" s="39" t="n">
        <f aca="false">J1147*Resumo!$B$6</f>
        <v>0.34999</v>
      </c>
      <c r="Z1147" s="39" t="n">
        <f aca="false">J1147*Resumo!$B$7</f>
        <v>0.69998</v>
      </c>
      <c r="AA1147" s="39" t="n">
        <f aca="false">Resumo!$B$9</f>
        <v>1</v>
      </c>
      <c r="AB1147" s="39" t="n">
        <f aca="false">Resumo!$B$10*CEILING(I1147/100,1)</f>
        <v>4.5</v>
      </c>
      <c r="AC1147" s="39" t="n">
        <f aca="false">Resumo!$B$12*CEILING(I1147,1)</f>
        <v>1.62</v>
      </c>
      <c r="AD1147" s="39" t="n">
        <f aca="false">Resumo!$B$14*CEILING(I1147,1)</f>
        <v>12.15</v>
      </c>
      <c r="AE1147" s="39" t="n">
        <f aca="false">SUM(X1147:AD1147)</f>
        <v>135.26997</v>
      </c>
      <c r="AF1147" s="39" t="n">
        <f aca="false">AE1147/(1-Resumo!$B$5)</f>
        <v>153.715875</v>
      </c>
      <c r="AG1147" s="39" t="n">
        <f aca="false">AF1147-W1147</f>
        <v>47.0681954545455</v>
      </c>
      <c r="AH1147" s="40" t="n">
        <f aca="false">AF1147/W1147-1</f>
        <v>0.441342893302094</v>
      </c>
      <c r="AI1147" s="37" t="str">
        <f aca="false">IF(AF1147&lt;W1147,"SIM","NÃO")</f>
        <v>NÃO</v>
      </c>
      <c r="AJ1147" s="37" t="n">
        <v>13</v>
      </c>
      <c r="AK1147" s="37" t="n">
        <v>10</v>
      </c>
      <c r="AL1147" s="37" t="s">
        <v>343</v>
      </c>
      <c r="AM1147" s="39" t="n">
        <v>108.86</v>
      </c>
    </row>
    <row r="1148" customFormat="false" ht="15" hidden="false" customHeight="false" outlineLevel="0" collapsed="false">
      <c r="A1148" s="37" t="n">
        <v>378053402</v>
      </c>
      <c r="B1148" s="38" t="n">
        <v>46251.6972222222</v>
      </c>
      <c r="C1148" s="37" t="s">
        <v>372</v>
      </c>
      <c r="D1148" s="37" t="s">
        <v>1428</v>
      </c>
      <c r="E1148" s="37" t="n">
        <v>25571210</v>
      </c>
      <c r="F1148" s="37" t="s">
        <v>167</v>
      </c>
      <c r="G1148" s="37" t="s">
        <v>197</v>
      </c>
      <c r="H1148" s="37" t="s">
        <v>186</v>
      </c>
      <c r="I1148" s="37" t="n">
        <v>46.8</v>
      </c>
      <c r="J1148" s="39" t="n">
        <v>587.49</v>
      </c>
      <c r="K1148" s="37" t="s">
        <v>518</v>
      </c>
      <c r="L1148" s="39" t="n">
        <v>117.69</v>
      </c>
      <c r="M1148" s="39" t="n">
        <v>65.36</v>
      </c>
      <c r="N1148" s="39" t="n">
        <f aca="false">J1148*Resumo!$C$6</f>
        <v>0</v>
      </c>
      <c r="O1148" s="39" t="n">
        <f aca="false">J1148*Resumo!$C$7</f>
        <v>1.233729</v>
      </c>
      <c r="P1148" s="39" t="n">
        <f aca="false">J1148*Resumo!$C$8</f>
        <v>1.233729</v>
      </c>
      <c r="Q1148" s="39" t="n">
        <f aca="false">Resumo!$C$10*CEILING(I1148/100,1)</f>
        <v>1.05</v>
      </c>
      <c r="R1148" s="39" t="n">
        <f aca="false">Resumo!$C$9</f>
        <v>0</v>
      </c>
      <c r="S1148" s="39" t="n">
        <f aca="false">Resumo!$C$13</f>
        <v>13.55</v>
      </c>
      <c r="T1148" s="39" t="n">
        <f aca="false">Resumo!$C$14*CEILING(I1148,1)</f>
        <v>21.15</v>
      </c>
      <c r="U1148" s="39" t="n">
        <f aca="false">SUM(M1148:T1148)*Resumo!$C$11</f>
        <v>0</v>
      </c>
      <c r="V1148" s="39" t="n">
        <f aca="false">SUM(M1148:U1148)</f>
        <v>103.577458</v>
      </c>
      <c r="W1148" s="39" t="n">
        <f aca="false">V1148/(1-Resumo!$C$5)</f>
        <v>117.701656818182</v>
      </c>
      <c r="X1148" s="39" t="n">
        <v>93.97</v>
      </c>
      <c r="Y1148" s="39" t="n">
        <f aca="false">J1148*Resumo!$B$6</f>
        <v>0.58749</v>
      </c>
      <c r="Z1148" s="39" t="n">
        <f aca="false">J1148*Resumo!$B$7</f>
        <v>1.17498</v>
      </c>
      <c r="AA1148" s="39" t="n">
        <f aca="false">Resumo!$B$9</f>
        <v>1</v>
      </c>
      <c r="AB1148" s="39" t="n">
        <f aca="false">Resumo!$B$10*CEILING(I1148/100,1)</f>
        <v>4.5</v>
      </c>
      <c r="AC1148" s="39" t="n">
        <f aca="false">Resumo!$B$12*CEILING(I1148,1)</f>
        <v>2.82</v>
      </c>
      <c r="AD1148" s="39" t="n">
        <f aca="false">Resumo!$B$14*CEILING(I1148,1)</f>
        <v>21.15</v>
      </c>
      <c r="AE1148" s="39" t="n">
        <f aca="false">SUM(X1148:AD1148)</f>
        <v>125.20247</v>
      </c>
      <c r="AF1148" s="39" t="n">
        <f aca="false">AE1148/(1-Resumo!$B$5)</f>
        <v>142.275534090909</v>
      </c>
      <c r="AG1148" s="39" t="n">
        <f aca="false">AF1148-W1148</f>
        <v>24.5738772727273</v>
      </c>
      <c r="AH1148" s="40" t="n">
        <f aca="false">AF1148/W1148-1</f>
        <v>0.208781065084644</v>
      </c>
      <c r="AI1148" s="37" t="str">
        <f aca="false">IF(AF1148&lt;W1148,"SIM","NÃO")</f>
        <v>NÃO</v>
      </c>
      <c r="AJ1148" s="37" t="n">
        <v>2</v>
      </c>
      <c r="AK1148" s="37" t="n">
        <v>5</v>
      </c>
      <c r="AL1148" s="37" t="s">
        <v>343</v>
      </c>
      <c r="AM1148" s="39" t="n">
        <v>116.89</v>
      </c>
    </row>
    <row r="1149" customFormat="false" ht="15" hidden="false" customHeight="false" outlineLevel="0" collapsed="false">
      <c r="A1149" s="37" t="n">
        <v>378066536</v>
      </c>
      <c r="B1149" s="38" t="n">
        <v>46251.7174652778</v>
      </c>
      <c r="C1149" s="37" t="s">
        <v>340</v>
      </c>
      <c r="D1149" s="37" t="s">
        <v>1429</v>
      </c>
      <c r="E1149" s="37" t="n">
        <v>20760120</v>
      </c>
      <c r="F1149" s="37" t="s">
        <v>159</v>
      </c>
      <c r="G1149" s="37" t="s">
        <v>196</v>
      </c>
      <c r="H1149" s="37" t="s">
        <v>185</v>
      </c>
      <c r="I1149" s="37" t="n">
        <v>35.3</v>
      </c>
      <c r="J1149" s="39" t="n">
        <v>441.87</v>
      </c>
      <c r="K1149" s="37" t="s">
        <v>342</v>
      </c>
      <c r="L1149" s="39" t="n">
        <v>91.97</v>
      </c>
      <c r="M1149" s="39" t="n">
        <v>48.35</v>
      </c>
      <c r="N1149" s="39" t="n">
        <f aca="false">J1149*Resumo!$C$6</f>
        <v>0</v>
      </c>
      <c r="O1149" s="39" t="n">
        <f aca="false">J1149*Resumo!$C$7</f>
        <v>0.927927</v>
      </c>
      <c r="P1149" s="39" t="n">
        <f aca="false">J1149*Resumo!$C$8</f>
        <v>0.927927</v>
      </c>
      <c r="Q1149" s="39" t="n">
        <f aca="false">Resumo!$C$10*CEILING(I1149/100,1)</f>
        <v>1.05</v>
      </c>
      <c r="R1149" s="39" t="n">
        <f aca="false">Resumo!$C$9</f>
        <v>0</v>
      </c>
      <c r="S1149" s="39" t="n">
        <f aca="false">Resumo!$C$13</f>
        <v>13.55</v>
      </c>
      <c r="T1149" s="39" t="n">
        <f aca="false">Resumo!$C$14*CEILING(I1149,1)</f>
        <v>16.2</v>
      </c>
      <c r="U1149" s="39" t="n">
        <f aca="false">SUM(M1149:T1149)*Resumo!$C$11</f>
        <v>0</v>
      </c>
      <c r="V1149" s="39" t="n">
        <f aca="false">SUM(M1149:U1149)</f>
        <v>81.005854</v>
      </c>
      <c r="W1149" s="39" t="n">
        <f aca="false">V1149/(1-Resumo!$C$5)</f>
        <v>92.0521068181818</v>
      </c>
      <c r="X1149" s="39" t="n">
        <v>93.97</v>
      </c>
      <c r="Y1149" s="39" t="n">
        <f aca="false">J1149*Resumo!$B$6</f>
        <v>0.44187</v>
      </c>
      <c r="Z1149" s="39" t="n">
        <f aca="false">J1149*Resumo!$B$7</f>
        <v>0.88374</v>
      </c>
      <c r="AA1149" s="39" t="n">
        <f aca="false">Resumo!$B$9</f>
        <v>1</v>
      </c>
      <c r="AB1149" s="39" t="n">
        <f aca="false">Resumo!$B$10*CEILING(I1149/100,1)</f>
        <v>4.5</v>
      </c>
      <c r="AC1149" s="39" t="n">
        <f aca="false">Resumo!$B$12*CEILING(I1149,1)</f>
        <v>2.16</v>
      </c>
      <c r="AD1149" s="39" t="n">
        <f aca="false">Resumo!$B$14*CEILING(I1149,1)</f>
        <v>16.2</v>
      </c>
      <c r="AE1149" s="39" t="n">
        <f aca="false">SUM(X1149:AD1149)</f>
        <v>119.15561</v>
      </c>
      <c r="AF1149" s="39" t="n">
        <f aca="false">AE1149/(1-Resumo!$B$5)</f>
        <v>135.404102272727</v>
      </c>
      <c r="AG1149" s="39" t="n">
        <f aca="false">AF1149-W1149</f>
        <v>43.3519954545455</v>
      </c>
      <c r="AH1149" s="40" t="n">
        <f aca="false">AF1149/W1149-1</f>
        <v>0.470950605619194</v>
      </c>
      <c r="AI1149" s="37" t="str">
        <f aca="false">IF(AF1149&lt;W1149,"SIM","NÃO")</f>
        <v>NÃO</v>
      </c>
      <c r="AJ1149" s="37" t="n">
        <v>2</v>
      </c>
      <c r="AK1149" s="37" t="n">
        <v>5</v>
      </c>
      <c r="AL1149" s="37" t="s">
        <v>343</v>
      </c>
      <c r="AM1149" s="39" t="n">
        <v>91.97</v>
      </c>
    </row>
    <row r="1150" customFormat="false" ht="15" hidden="false" customHeight="false" outlineLevel="0" collapsed="false">
      <c r="A1150" s="37" t="n">
        <v>378067473</v>
      </c>
      <c r="B1150" s="38" t="n">
        <v>46251.719212963</v>
      </c>
      <c r="C1150" s="37" t="s">
        <v>340</v>
      </c>
      <c r="D1150" s="37" t="s">
        <v>907</v>
      </c>
      <c r="E1150" s="37" t="n">
        <v>22740362</v>
      </c>
      <c r="F1150" s="37" t="s">
        <v>159</v>
      </c>
      <c r="G1150" s="37" t="s">
        <v>196</v>
      </c>
      <c r="H1150" s="37" t="s">
        <v>183</v>
      </c>
      <c r="I1150" s="37" t="n">
        <v>17.2</v>
      </c>
      <c r="J1150" s="39" t="n">
        <v>223.34</v>
      </c>
      <c r="K1150" s="37" t="s">
        <v>342</v>
      </c>
      <c r="L1150" s="39" t="n">
        <v>64.3</v>
      </c>
      <c r="M1150" s="39" t="n">
        <v>33.42</v>
      </c>
      <c r="N1150" s="39" t="n">
        <f aca="false">J1150*Resumo!$C$6</f>
        <v>0</v>
      </c>
      <c r="O1150" s="39" t="n">
        <f aca="false">J1150*Resumo!$C$7</f>
        <v>0.469014</v>
      </c>
      <c r="P1150" s="39" t="n">
        <f aca="false">J1150*Resumo!$C$8</f>
        <v>0.469014</v>
      </c>
      <c r="Q1150" s="39" t="n">
        <f aca="false">Resumo!$C$10*CEILING(I1150/100,1)</f>
        <v>1.05</v>
      </c>
      <c r="R1150" s="39" t="n">
        <f aca="false">Resumo!$C$9</f>
        <v>0</v>
      </c>
      <c r="S1150" s="39" t="n">
        <f aca="false">Resumo!$C$13</f>
        <v>13.55</v>
      </c>
      <c r="T1150" s="39" t="n">
        <f aca="false">Resumo!$C$14*CEILING(I1150,1)</f>
        <v>8.1</v>
      </c>
      <c r="U1150" s="39" t="n">
        <f aca="false">SUM(M1150:T1150)*Resumo!$C$11</f>
        <v>0</v>
      </c>
      <c r="V1150" s="39" t="n">
        <f aca="false">SUM(M1150:U1150)</f>
        <v>57.058028</v>
      </c>
      <c r="W1150" s="39" t="n">
        <f aca="false">V1150/(1-Resumo!$C$5)</f>
        <v>64.8386681818182</v>
      </c>
      <c r="X1150" s="39" t="n">
        <v>46.98</v>
      </c>
      <c r="Y1150" s="39" t="n">
        <f aca="false">J1150*Resumo!$B$6</f>
        <v>0.22334</v>
      </c>
      <c r="Z1150" s="39" t="n">
        <f aca="false">J1150*Resumo!$B$7</f>
        <v>0.44668</v>
      </c>
      <c r="AA1150" s="39" t="n">
        <f aca="false">Resumo!$B$9</f>
        <v>1</v>
      </c>
      <c r="AB1150" s="39" t="n">
        <f aca="false">Resumo!$B$10*CEILING(I1150/100,1)</f>
        <v>4.5</v>
      </c>
      <c r="AC1150" s="39" t="n">
        <f aca="false">Resumo!$B$12*CEILING(I1150,1)</f>
        <v>1.08</v>
      </c>
      <c r="AD1150" s="39" t="n">
        <f aca="false">Resumo!$B$14*CEILING(I1150,1)</f>
        <v>8.1</v>
      </c>
      <c r="AE1150" s="39" t="n">
        <f aca="false">SUM(X1150:AD1150)</f>
        <v>62.33002</v>
      </c>
      <c r="AF1150" s="39" t="n">
        <f aca="false">AE1150/(1-Resumo!$B$5)</f>
        <v>70.8295681818182</v>
      </c>
      <c r="AG1150" s="39" t="n">
        <f aca="false">AF1150-W1150</f>
        <v>5.99089999999998</v>
      </c>
      <c r="AH1150" s="40" t="n">
        <f aca="false">AF1150/W1150-1</f>
        <v>0.0923970243065531</v>
      </c>
      <c r="AI1150" s="37" t="str">
        <f aca="false">IF(AF1150&lt;W1150,"SIM","NÃO")</f>
        <v>NÃO</v>
      </c>
      <c r="AJ1150" s="37" t="n">
        <v>2</v>
      </c>
      <c r="AK1150" s="37" t="n">
        <v>5</v>
      </c>
      <c r="AL1150" s="37" t="s">
        <v>343</v>
      </c>
      <c r="AM1150" s="39" t="n">
        <v>64.29</v>
      </c>
    </row>
    <row r="1151" customFormat="false" ht="15" hidden="false" customHeight="false" outlineLevel="0" collapsed="false">
      <c r="A1151" s="37" t="n">
        <v>378079460</v>
      </c>
      <c r="B1151" s="38" t="n">
        <v>46251.7431018519</v>
      </c>
      <c r="C1151" s="37" t="s">
        <v>345</v>
      </c>
      <c r="D1151" s="37" t="s">
        <v>1430</v>
      </c>
      <c r="E1151" s="37" t="n">
        <v>26435160</v>
      </c>
      <c r="F1151" s="37" t="s">
        <v>237</v>
      </c>
      <c r="G1151" s="37" t="s">
        <v>198</v>
      </c>
      <c r="H1151" s="37" t="s">
        <v>189</v>
      </c>
      <c r="I1151" s="37" t="n">
        <v>79.26</v>
      </c>
      <c r="J1151" s="39" t="n">
        <v>746</v>
      </c>
      <c r="K1151" s="37" t="s">
        <v>518</v>
      </c>
      <c r="L1151" s="39" t="n">
        <v>171.03</v>
      </c>
      <c r="M1151" s="39" t="n">
        <v>96.77</v>
      </c>
      <c r="N1151" s="39" t="n">
        <f aca="false">J1151*Resumo!$C$6</f>
        <v>0</v>
      </c>
      <c r="O1151" s="39" t="n">
        <f aca="false">J1151*Resumo!$C$7</f>
        <v>1.5666</v>
      </c>
      <c r="P1151" s="39" t="n">
        <f aca="false">J1151*Resumo!$C$8</f>
        <v>1.5666</v>
      </c>
      <c r="Q1151" s="39" t="n">
        <f aca="false">Resumo!$C$10*CEILING(I1151/100,1)</f>
        <v>1.05</v>
      </c>
      <c r="R1151" s="39" t="n">
        <f aca="false">Resumo!$C$9</f>
        <v>0</v>
      </c>
      <c r="S1151" s="39" t="n">
        <f aca="false">Resumo!$C$13</f>
        <v>13.55</v>
      </c>
      <c r="T1151" s="39" t="n">
        <f aca="false">Resumo!$C$14*CEILING(I1151,1)</f>
        <v>36</v>
      </c>
      <c r="U1151" s="39" t="n">
        <f aca="false">SUM(M1151:T1151)*Resumo!$C$11</f>
        <v>0</v>
      </c>
      <c r="V1151" s="39" t="n">
        <f aca="false">SUM(M1151:U1151)</f>
        <v>150.5032</v>
      </c>
      <c r="W1151" s="39" t="n">
        <f aca="false">V1151/(1-Resumo!$C$5)</f>
        <v>171.026363636364</v>
      </c>
      <c r="X1151" s="39" t="n">
        <v>134.39</v>
      </c>
      <c r="Y1151" s="39" t="n">
        <f aca="false">J1151*Resumo!$B$6</f>
        <v>0.746</v>
      </c>
      <c r="Z1151" s="39" t="n">
        <f aca="false">J1151*Resumo!$B$7</f>
        <v>1.492</v>
      </c>
      <c r="AA1151" s="39" t="n">
        <f aca="false">Resumo!$B$9</f>
        <v>1</v>
      </c>
      <c r="AB1151" s="39" t="n">
        <f aca="false">Resumo!$B$10*CEILING(I1151/100,1)</f>
        <v>4.5</v>
      </c>
      <c r="AC1151" s="39" t="n">
        <f aca="false">Resumo!$B$12*CEILING(I1151,1)</f>
        <v>4.8</v>
      </c>
      <c r="AD1151" s="39" t="n">
        <f aca="false">Resumo!$B$14*CEILING(I1151,1)</f>
        <v>36</v>
      </c>
      <c r="AE1151" s="39" t="n">
        <f aca="false">SUM(X1151:AD1151)</f>
        <v>182.928</v>
      </c>
      <c r="AF1151" s="39" t="n">
        <f aca="false">AE1151/(1-Resumo!$B$5)</f>
        <v>207.872727272727</v>
      </c>
      <c r="AG1151" s="39" t="n">
        <f aca="false">AF1151-W1151</f>
        <v>36.8463636363636</v>
      </c>
      <c r="AH1151" s="40" t="n">
        <f aca="false">AF1151/W1151-1</f>
        <v>0.2154425952405</v>
      </c>
      <c r="AI1151" s="37" t="str">
        <f aca="false">IF(AF1151&lt;W1151,"SIM","NÃO")</f>
        <v>NÃO</v>
      </c>
      <c r="AJ1151" s="37" t="n">
        <v>13</v>
      </c>
      <c r="AK1151" s="37" t="n">
        <v>5</v>
      </c>
      <c r="AL1151" s="37" t="s">
        <v>347</v>
      </c>
      <c r="AM1151" s="39" t="n">
        <v>167.89</v>
      </c>
    </row>
    <row r="1152" customFormat="false" ht="15" hidden="false" customHeight="false" outlineLevel="0" collapsed="false">
      <c r="A1152" s="37" t="n">
        <v>378087939</v>
      </c>
      <c r="B1152" s="38" t="n">
        <v>46251.759849537</v>
      </c>
      <c r="C1152" s="37" t="s">
        <v>345</v>
      </c>
      <c r="D1152" s="37" t="s">
        <v>1431</v>
      </c>
      <c r="E1152" s="37" t="n">
        <v>23515162</v>
      </c>
      <c r="F1152" s="37" t="s">
        <v>159</v>
      </c>
      <c r="G1152" s="37" t="s">
        <v>196</v>
      </c>
      <c r="H1152" s="37" t="s">
        <v>184</v>
      </c>
      <c r="I1152" s="37" t="n">
        <v>22.6</v>
      </c>
      <c r="J1152" s="39" t="n">
        <v>474</v>
      </c>
      <c r="K1152" s="37" t="s">
        <v>518</v>
      </c>
      <c r="L1152" s="39" t="n">
        <v>78.48</v>
      </c>
      <c r="M1152" s="39" t="n">
        <v>42.11</v>
      </c>
      <c r="N1152" s="39" t="n">
        <f aca="false">J1152*Resumo!$C$6</f>
        <v>0</v>
      </c>
      <c r="O1152" s="39" t="n">
        <f aca="false">J1152*Resumo!$C$7</f>
        <v>0.9954</v>
      </c>
      <c r="P1152" s="39" t="n">
        <f aca="false">J1152*Resumo!$C$8</f>
        <v>0.9954</v>
      </c>
      <c r="Q1152" s="39" t="n">
        <f aca="false">Resumo!$C$10*CEILING(I1152/100,1)</f>
        <v>1.05</v>
      </c>
      <c r="R1152" s="39" t="n">
        <f aca="false">Resumo!$C$9</f>
        <v>0</v>
      </c>
      <c r="S1152" s="39" t="n">
        <f aca="false">Resumo!$C$13</f>
        <v>13.55</v>
      </c>
      <c r="T1152" s="39" t="n">
        <f aca="false">Resumo!$C$14*CEILING(I1152,1)</f>
        <v>10.35</v>
      </c>
      <c r="U1152" s="39" t="n">
        <f aca="false">SUM(M1152:T1152)*Resumo!$C$11</f>
        <v>0</v>
      </c>
      <c r="V1152" s="39" t="n">
        <f aca="false">SUM(M1152:U1152)</f>
        <v>69.0508</v>
      </c>
      <c r="W1152" s="39" t="n">
        <f aca="false">V1152/(1-Resumo!$C$5)</f>
        <v>78.4668181818182</v>
      </c>
      <c r="X1152" s="39" t="n">
        <v>82.21</v>
      </c>
      <c r="Y1152" s="39" t="n">
        <f aca="false">J1152*Resumo!$B$6</f>
        <v>0.474</v>
      </c>
      <c r="Z1152" s="39" t="n">
        <f aca="false">J1152*Resumo!$B$7</f>
        <v>0.948</v>
      </c>
      <c r="AA1152" s="39" t="n">
        <f aca="false">Resumo!$B$9</f>
        <v>1</v>
      </c>
      <c r="AB1152" s="39" t="n">
        <f aca="false">Resumo!$B$10*CEILING(I1152/100,1)</f>
        <v>4.5</v>
      </c>
      <c r="AC1152" s="39" t="n">
        <f aca="false">Resumo!$B$12*CEILING(I1152,1)</f>
        <v>1.38</v>
      </c>
      <c r="AD1152" s="39" t="n">
        <f aca="false">Resumo!$B$14*CEILING(I1152,1)</f>
        <v>10.35</v>
      </c>
      <c r="AE1152" s="39" t="n">
        <f aca="false">SUM(X1152:AD1152)</f>
        <v>100.862</v>
      </c>
      <c r="AF1152" s="39" t="n">
        <f aca="false">AE1152/(1-Resumo!$B$5)</f>
        <v>114.615909090909</v>
      </c>
      <c r="AG1152" s="39" t="n">
        <f aca="false">AF1152-W1152</f>
        <v>36.1490909090909</v>
      </c>
      <c r="AH1152" s="40" t="n">
        <f aca="false">AF1152/W1152-1</f>
        <v>0.460692707398032</v>
      </c>
      <c r="AI1152" s="37" t="str">
        <f aca="false">IF(AF1152&lt;W1152,"SIM","NÃO")</f>
        <v>NÃO</v>
      </c>
      <c r="AJ1152" s="37" t="n">
        <v>2</v>
      </c>
      <c r="AK1152" s="37" t="n">
        <v>5</v>
      </c>
      <c r="AL1152" s="37" t="s">
        <v>343</v>
      </c>
      <c r="AM1152" s="39" t="n">
        <v>82.6</v>
      </c>
    </row>
    <row r="1153" customFormat="false" ht="15" hidden="false" customHeight="false" outlineLevel="0" collapsed="false">
      <c r="A1153" s="37" t="n">
        <v>378087984</v>
      </c>
      <c r="B1153" s="38" t="n">
        <v>46251.7599537037</v>
      </c>
      <c r="C1153" s="37" t="s">
        <v>345</v>
      </c>
      <c r="D1153" s="37" t="s">
        <v>1432</v>
      </c>
      <c r="E1153" s="37" t="n">
        <v>25245640</v>
      </c>
      <c r="F1153" s="37" t="s">
        <v>161</v>
      </c>
      <c r="G1153" s="37" t="s">
        <v>197</v>
      </c>
      <c r="H1153" s="37" t="s">
        <v>187</v>
      </c>
      <c r="I1153" s="37" t="n">
        <v>51.3</v>
      </c>
      <c r="J1153" s="39" t="n">
        <v>993.71</v>
      </c>
      <c r="K1153" s="37" t="s">
        <v>342</v>
      </c>
      <c r="L1153" s="39" t="n">
        <v>130.06</v>
      </c>
      <c r="M1153" s="39" t="n">
        <v>70.98</v>
      </c>
      <c r="N1153" s="39" t="n">
        <f aca="false">J1153*Resumo!$C$6</f>
        <v>0</v>
      </c>
      <c r="O1153" s="39" t="n">
        <f aca="false">J1153*Resumo!$C$7</f>
        <v>2.086791</v>
      </c>
      <c r="P1153" s="39" t="n">
        <f aca="false">J1153*Resumo!$C$8</f>
        <v>2.086791</v>
      </c>
      <c r="Q1153" s="39" t="n">
        <f aca="false">Resumo!$C$10*CEILING(I1153/100,1)</f>
        <v>1.05</v>
      </c>
      <c r="R1153" s="39" t="n">
        <f aca="false">Resumo!$C$9</f>
        <v>0</v>
      </c>
      <c r="S1153" s="39" t="n">
        <f aca="false">Resumo!$C$13</f>
        <v>13.55</v>
      </c>
      <c r="T1153" s="39" t="n">
        <f aca="false">Resumo!$C$14*CEILING(I1153,1)</f>
        <v>23.4</v>
      </c>
      <c r="U1153" s="39" t="n">
        <f aca="false">SUM(M1153:T1153)*Resumo!$C$11</f>
        <v>0</v>
      </c>
      <c r="V1153" s="39" t="n">
        <f aca="false">SUM(M1153:U1153)</f>
        <v>113.153582</v>
      </c>
      <c r="W1153" s="39" t="n">
        <f aca="false">V1153/(1-Resumo!$C$5)</f>
        <v>128.583615909091</v>
      </c>
      <c r="X1153" s="39" t="n">
        <v>112.3</v>
      </c>
      <c r="Y1153" s="39" t="n">
        <f aca="false">J1153*Resumo!$B$6</f>
        <v>0.99371</v>
      </c>
      <c r="Z1153" s="39" t="n">
        <f aca="false">J1153*Resumo!$B$7</f>
        <v>1.98742</v>
      </c>
      <c r="AA1153" s="39" t="n">
        <f aca="false">Resumo!$B$9</f>
        <v>1</v>
      </c>
      <c r="AB1153" s="39" t="n">
        <f aca="false">Resumo!$B$10*CEILING(I1153/100,1)</f>
        <v>4.5</v>
      </c>
      <c r="AC1153" s="39" t="n">
        <f aca="false">Resumo!$B$12*CEILING(I1153,1)</f>
        <v>3.12</v>
      </c>
      <c r="AD1153" s="39" t="n">
        <f aca="false">Resumo!$B$14*CEILING(I1153,1)</f>
        <v>23.4</v>
      </c>
      <c r="AE1153" s="39" t="n">
        <f aca="false">SUM(X1153:AD1153)</f>
        <v>147.30113</v>
      </c>
      <c r="AF1153" s="39" t="n">
        <f aca="false">AE1153/(1-Resumo!$B$5)</f>
        <v>167.387647727273</v>
      </c>
      <c r="AG1153" s="39" t="n">
        <f aca="false">AF1153-W1153</f>
        <v>38.8040318181818</v>
      </c>
      <c r="AH1153" s="40" t="n">
        <f aca="false">AF1153/W1153-1</f>
        <v>0.301780530465222</v>
      </c>
      <c r="AI1153" s="37" t="str">
        <f aca="false">IF(AF1153&lt;W1153,"SIM","NÃO")</f>
        <v>NÃO</v>
      </c>
      <c r="AJ1153" s="37" t="n">
        <v>2</v>
      </c>
      <c r="AK1153" s="37" t="n">
        <v>5</v>
      </c>
      <c r="AL1153" s="37" t="s">
        <v>343</v>
      </c>
      <c r="AM1153" s="39" t="n">
        <v>130.05</v>
      </c>
    </row>
    <row r="1154" customFormat="false" ht="15" hidden="false" customHeight="false" outlineLevel="0" collapsed="false">
      <c r="A1154" s="37" t="n">
        <v>378090390</v>
      </c>
      <c r="B1154" s="38" t="n">
        <v>46251.7650231482</v>
      </c>
      <c r="C1154" s="37" t="s">
        <v>340</v>
      </c>
      <c r="D1154" s="37" t="s">
        <v>1433</v>
      </c>
      <c r="E1154" s="37" t="n">
        <v>28895622</v>
      </c>
      <c r="F1154" s="37" t="s">
        <v>178</v>
      </c>
      <c r="G1154" s="37" t="s">
        <v>198</v>
      </c>
      <c r="H1154" s="37" t="s">
        <v>186</v>
      </c>
      <c r="I1154" s="37" t="n">
        <v>41</v>
      </c>
      <c r="J1154" s="39" t="n">
        <v>559.99</v>
      </c>
      <c r="K1154" s="37" t="s">
        <v>518</v>
      </c>
      <c r="L1154" s="39" t="n">
        <v>128.53</v>
      </c>
      <c r="M1154" s="39" t="n">
        <v>77.7</v>
      </c>
      <c r="N1154" s="39" t="n">
        <f aca="false">J1154*Resumo!$C$6</f>
        <v>0</v>
      </c>
      <c r="O1154" s="39" t="n">
        <f aca="false">J1154*Resumo!$C$7</f>
        <v>1.175979</v>
      </c>
      <c r="P1154" s="39" t="n">
        <f aca="false">J1154*Resumo!$C$8</f>
        <v>1.175979</v>
      </c>
      <c r="Q1154" s="39" t="n">
        <f aca="false">Resumo!$C$10*CEILING(I1154/100,1)</f>
        <v>1.05</v>
      </c>
      <c r="R1154" s="39" t="n">
        <f aca="false">Resumo!$C$9</f>
        <v>0</v>
      </c>
      <c r="S1154" s="39" t="n">
        <f aca="false">Resumo!$C$13</f>
        <v>13.55</v>
      </c>
      <c r="T1154" s="39" t="n">
        <f aca="false">Resumo!$C$14*CEILING(I1154,1)</f>
        <v>18.45</v>
      </c>
      <c r="U1154" s="39" t="n">
        <f aca="false">SUM(M1154:T1154)*Resumo!$C$11</f>
        <v>0</v>
      </c>
      <c r="V1154" s="39" t="n">
        <f aca="false">SUM(M1154:U1154)</f>
        <v>113.101958</v>
      </c>
      <c r="W1154" s="39" t="n">
        <f aca="false">V1154/(1-Resumo!$C$5)</f>
        <v>128.524952272727</v>
      </c>
      <c r="X1154" s="39" t="n">
        <v>129.29</v>
      </c>
      <c r="Y1154" s="39" t="n">
        <f aca="false">J1154*Resumo!$B$6</f>
        <v>0.55999</v>
      </c>
      <c r="Z1154" s="39" t="n">
        <f aca="false">J1154*Resumo!$B$7</f>
        <v>1.11998</v>
      </c>
      <c r="AA1154" s="39" t="n">
        <f aca="false">Resumo!$B$9</f>
        <v>1</v>
      </c>
      <c r="AB1154" s="39" t="n">
        <f aca="false">Resumo!$B$10*CEILING(I1154/100,1)</f>
        <v>4.5</v>
      </c>
      <c r="AC1154" s="39" t="n">
        <f aca="false">Resumo!$B$12*CEILING(I1154,1)</f>
        <v>2.46</v>
      </c>
      <c r="AD1154" s="39" t="n">
        <f aca="false">Resumo!$B$14*CEILING(I1154,1)</f>
        <v>18.45</v>
      </c>
      <c r="AE1154" s="39" t="n">
        <f aca="false">SUM(X1154:AD1154)</f>
        <v>157.37997</v>
      </c>
      <c r="AF1154" s="39" t="n">
        <f aca="false">AE1154/(1-Resumo!$B$5)</f>
        <v>178.840875</v>
      </c>
      <c r="AG1154" s="39" t="n">
        <f aca="false">AF1154-W1154</f>
        <v>50.3159227272727</v>
      </c>
      <c r="AH1154" s="40" t="n">
        <f aca="false">AF1154/W1154-1</f>
        <v>0.391487581497042</v>
      </c>
      <c r="AI1154" s="37" t="str">
        <f aca="false">IF(AF1154&lt;W1154,"SIM","NÃO")</f>
        <v>NÃO</v>
      </c>
      <c r="AJ1154" s="37" t="n">
        <v>13</v>
      </c>
      <c r="AK1154" s="37" t="n">
        <v>10</v>
      </c>
      <c r="AL1154" s="37" t="s">
        <v>343</v>
      </c>
      <c r="AM1154" s="39" t="n">
        <v>130.84</v>
      </c>
    </row>
    <row r="1155" customFormat="false" ht="15" hidden="false" customHeight="false" outlineLevel="0" collapsed="false">
      <c r="A1155" s="37" t="n">
        <v>378095002</v>
      </c>
      <c r="B1155" s="38" t="n">
        <v>46251.7744328704</v>
      </c>
      <c r="C1155" s="37" t="s">
        <v>340</v>
      </c>
      <c r="D1155" s="37" t="s">
        <v>1434</v>
      </c>
      <c r="E1155" s="37" t="n">
        <v>26510110</v>
      </c>
      <c r="F1155" s="37" t="s">
        <v>238</v>
      </c>
      <c r="G1155" s="37" t="s">
        <v>197</v>
      </c>
      <c r="H1155" s="37" t="s">
        <v>192</v>
      </c>
      <c r="I1155" s="37" t="n">
        <v>124.2</v>
      </c>
      <c r="J1155" s="39" t="n">
        <v>1567.98</v>
      </c>
      <c r="K1155" s="37" t="s">
        <v>518</v>
      </c>
      <c r="L1155" s="39" t="n">
        <v>236.48</v>
      </c>
      <c r="M1155" s="39" t="n">
        <v>129.62</v>
      </c>
      <c r="N1155" s="39" t="n">
        <f aca="false">J1155*Resumo!$C$6</f>
        <v>0</v>
      </c>
      <c r="O1155" s="39" t="n">
        <f aca="false">J1155*Resumo!$C$7</f>
        <v>3.292758</v>
      </c>
      <c r="P1155" s="39" t="n">
        <f aca="false">J1155*Resumo!$C$8</f>
        <v>3.292758</v>
      </c>
      <c r="Q1155" s="39" t="n">
        <f aca="false">Resumo!$C$10*CEILING(I1155/100,1)</f>
        <v>2.1</v>
      </c>
      <c r="R1155" s="39" t="n">
        <f aca="false">Resumo!$C$9</f>
        <v>0</v>
      </c>
      <c r="S1155" s="39" t="n">
        <f aca="false">Resumo!$C$13</f>
        <v>13.55</v>
      </c>
      <c r="T1155" s="39" t="n">
        <f aca="false">Resumo!$C$14*CEILING(I1155,1)</f>
        <v>56.25</v>
      </c>
      <c r="U1155" s="39" t="n">
        <f aca="false">SUM(M1155:T1155)*Resumo!$C$11</f>
        <v>0</v>
      </c>
      <c r="V1155" s="39" t="n">
        <f aca="false">SUM(M1155:U1155)</f>
        <v>208.105516</v>
      </c>
      <c r="W1155" s="39" t="n">
        <f aca="false">V1155/(1-Resumo!$C$5)</f>
        <v>236.483540909091</v>
      </c>
      <c r="X1155" s="39" t="n">
        <v>239.25</v>
      </c>
      <c r="Y1155" s="39" t="n">
        <f aca="false">J1155*Resumo!$B$6</f>
        <v>1.56798</v>
      </c>
      <c r="Z1155" s="39" t="n">
        <f aca="false">J1155*Resumo!$B$7</f>
        <v>3.13596</v>
      </c>
      <c r="AA1155" s="39" t="n">
        <f aca="false">Resumo!$B$9</f>
        <v>1</v>
      </c>
      <c r="AB1155" s="39" t="n">
        <f aca="false">Resumo!$B$10*CEILING(I1155/100,1)</f>
        <v>9</v>
      </c>
      <c r="AC1155" s="39" t="n">
        <f aca="false">Resumo!$B$12*CEILING(I1155,1)</f>
        <v>7.5</v>
      </c>
      <c r="AD1155" s="39" t="n">
        <f aca="false">Resumo!$B$14*CEILING(I1155,1)</f>
        <v>56.25</v>
      </c>
      <c r="AE1155" s="39" t="n">
        <f aca="false">SUM(X1155:AD1155)</f>
        <v>317.70394</v>
      </c>
      <c r="AF1155" s="39" t="n">
        <f aca="false">AE1155/(1-Resumo!$B$5)</f>
        <v>361.027204545455</v>
      </c>
      <c r="AG1155" s="39" t="n">
        <f aca="false">AF1155-W1155</f>
        <v>124.543663636364</v>
      </c>
      <c r="AH1155" s="40" t="n">
        <f aca="false">AF1155/W1155-1</f>
        <v>0.526648337375161</v>
      </c>
      <c r="AI1155" s="37" t="str">
        <f aca="false">IF(AF1155&lt;W1155,"SIM","NÃO")</f>
        <v>NÃO</v>
      </c>
      <c r="AJ1155" s="37" t="n">
        <v>2</v>
      </c>
      <c r="AK1155" s="37" t="n">
        <v>5</v>
      </c>
      <c r="AL1155" s="37" t="s">
        <v>347</v>
      </c>
      <c r="AM1155" s="39" t="n">
        <v>244.11</v>
      </c>
    </row>
    <row r="1156" customFormat="false" ht="15" hidden="false" customHeight="false" outlineLevel="0" collapsed="false">
      <c r="A1156" s="37" t="n">
        <v>378099978</v>
      </c>
      <c r="B1156" s="38" t="n">
        <v>46251.7840277778</v>
      </c>
      <c r="C1156" s="37" t="s">
        <v>340</v>
      </c>
      <c r="D1156" s="37" t="s">
        <v>1435</v>
      </c>
      <c r="E1156" s="37" t="n">
        <v>25615061</v>
      </c>
      <c r="F1156" s="37" t="s">
        <v>170</v>
      </c>
      <c r="G1156" s="37" t="s">
        <v>198</v>
      </c>
      <c r="H1156" s="37" t="s">
        <v>185</v>
      </c>
      <c r="I1156" s="37" t="n">
        <v>37.6</v>
      </c>
      <c r="J1156" s="39" t="n">
        <v>459.99</v>
      </c>
      <c r="K1156" s="37" t="s">
        <v>518</v>
      </c>
      <c r="L1156" s="39" t="n">
        <v>123.42</v>
      </c>
      <c r="M1156" s="39" t="n">
        <v>74.97</v>
      </c>
      <c r="N1156" s="39" t="n">
        <f aca="false">J1156*Resumo!$C$6</f>
        <v>0</v>
      </c>
      <c r="O1156" s="39" t="n">
        <f aca="false">J1156*Resumo!$C$7</f>
        <v>0.965979</v>
      </c>
      <c r="P1156" s="39" t="n">
        <f aca="false">J1156*Resumo!$C$8</f>
        <v>0.965979</v>
      </c>
      <c r="Q1156" s="39" t="n">
        <f aca="false">Resumo!$C$10*CEILING(I1156/100,1)</f>
        <v>1.05</v>
      </c>
      <c r="R1156" s="39" t="n">
        <f aca="false">Resumo!$C$9</f>
        <v>0</v>
      </c>
      <c r="S1156" s="39" t="n">
        <f aca="false">Resumo!$C$13</f>
        <v>13.55</v>
      </c>
      <c r="T1156" s="39" t="n">
        <f aca="false">Resumo!$C$14*CEILING(I1156,1)</f>
        <v>17.1</v>
      </c>
      <c r="U1156" s="39" t="n">
        <f aca="false">SUM(M1156:T1156)*Resumo!$C$11</f>
        <v>0</v>
      </c>
      <c r="V1156" s="39" t="n">
        <f aca="false">SUM(M1156:U1156)</f>
        <v>108.601958</v>
      </c>
      <c r="W1156" s="39" t="n">
        <f aca="false">V1156/(1-Resumo!$C$5)</f>
        <v>123.411315909091</v>
      </c>
      <c r="X1156" s="39" t="n">
        <v>124.38</v>
      </c>
      <c r="Y1156" s="39" t="n">
        <f aca="false">J1156*Resumo!$B$6</f>
        <v>0.45999</v>
      </c>
      <c r="Z1156" s="39" t="n">
        <f aca="false">J1156*Resumo!$B$7</f>
        <v>0.91998</v>
      </c>
      <c r="AA1156" s="39" t="n">
        <f aca="false">Resumo!$B$9</f>
        <v>1</v>
      </c>
      <c r="AB1156" s="39" t="n">
        <f aca="false">Resumo!$B$10*CEILING(I1156/100,1)</f>
        <v>4.5</v>
      </c>
      <c r="AC1156" s="39" t="n">
        <f aca="false">Resumo!$B$12*CEILING(I1156,1)</f>
        <v>2.28</v>
      </c>
      <c r="AD1156" s="39" t="n">
        <f aca="false">Resumo!$B$14*CEILING(I1156,1)</f>
        <v>17.1</v>
      </c>
      <c r="AE1156" s="39" t="n">
        <f aca="false">SUM(X1156:AD1156)</f>
        <v>150.63997</v>
      </c>
      <c r="AF1156" s="39" t="n">
        <f aca="false">AE1156/(1-Resumo!$B$5)</f>
        <v>171.181784090909</v>
      </c>
      <c r="AG1156" s="39" t="n">
        <f aca="false">AF1156-W1156</f>
        <v>47.7704681818182</v>
      </c>
      <c r="AH1156" s="40" t="n">
        <f aca="false">AF1156/W1156-1</f>
        <v>0.387083371001469</v>
      </c>
      <c r="AI1156" s="37" t="str">
        <f aca="false">IF(AF1156&lt;W1156,"SIM","NÃO")</f>
        <v>NÃO</v>
      </c>
      <c r="AJ1156" s="37" t="n">
        <v>13</v>
      </c>
      <c r="AK1156" s="37" t="n">
        <v>8</v>
      </c>
      <c r="AL1156" s="37" t="s">
        <v>343</v>
      </c>
      <c r="AM1156" s="39" t="n">
        <v>122.45</v>
      </c>
    </row>
    <row r="1157" customFormat="false" ht="15" hidden="false" customHeight="false" outlineLevel="0" collapsed="false">
      <c r="A1157" s="37" t="n">
        <v>378104113</v>
      </c>
      <c r="B1157" s="38" t="n">
        <v>46251.7923148148</v>
      </c>
      <c r="C1157" s="37" t="s">
        <v>340</v>
      </c>
      <c r="D1157" s="37" t="s">
        <v>1436</v>
      </c>
      <c r="E1157" s="37" t="n">
        <v>21853031</v>
      </c>
      <c r="F1157" s="37" t="s">
        <v>159</v>
      </c>
      <c r="G1157" s="37" t="s">
        <v>196</v>
      </c>
      <c r="H1157" s="37" t="s">
        <v>192</v>
      </c>
      <c r="I1157" s="37" t="n">
        <v>124.2</v>
      </c>
      <c r="J1157" s="39" t="n">
        <v>1567.98</v>
      </c>
      <c r="K1157" s="37" t="s">
        <v>342</v>
      </c>
      <c r="L1157" s="39" t="n">
        <v>233.82</v>
      </c>
      <c r="M1157" s="39" t="n">
        <v>120.59</v>
      </c>
      <c r="N1157" s="39" t="n">
        <f aca="false">J1157*Resumo!$C$6</f>
        <v>0</v>
      </c>
      <c r="O1157" s="39" t="n">
        <f aca="false">J1157*Resumo!$C$7</f>
        <v>3.292758</v>
      </c>
      <c r="P1157" s="39" t="n">
        <f aca="false">J1157*Resumo!$C$8</f>
        <v>3.292758</v>
      </c>
      <c r="Q1157" s="39" t="n">
        <f aca="false">Resumo!$C$10*CEILING(I1157/100,1)</f>
        <v>2.1</v>
      </c>
      <c r="R1157" s="39" t="n">
        <f aca="false">Resumo!$C$9</f>
        <v>0</v>
      </c>
      <c r="S1157" s="39" t="n">
        <f aca="false">Resumo!$C$13</f>
        <v>13.55</v>
      </c>
      <c r="T1157" s="39" t="n">
        <f aca="false">Resumo!$C$14*CEILING(I1157,1)</f>
        <v>56.25</v>
      </c>
      <c r="U1157" s="39" t="n">
        <f aca="false">SUM(M1157:T1157)*Resumo!$C$11</f>
        <v>0</v>
      </c>
      <c r="V1157" s="39" t="n">
        <f aca="false">SUM(M1157:U1157)</f>
        <v>199.075516</v>
      </c>
      <c r="W1157" s="39" t="n">
        <f aca="false">V1157/(1-Resumo!$C$5)</f>
        <v>226.222177272727</v>
      </c>
      <c r="X1157" s="39" t="n">
        <v>239.25</v>
      </c>
      <c r="Y1157" s="39" t="n">
        <f aca="false">J1157*Resumo!$B$6</f>
        <v>1.56798</v>
      </c>
      <c r="Z1157" s="39" t="n">
        <f aca="false">J1157*Resumo!$B$7</f>
        <v>3.13596</v>
      </c>
      <c r="AA1157" s="39" t="n">
        <f aca="false">Resumo!$B$9</f>
        <v>1</v>
      </c>
      <c r="AB1157" s="39" t="n">
        <f aca="false">Resumo!$B$10*CEILING(I1157/100,1)</f>
        <v>9</v>
      </c>
      <c r="AC1157" s="39" t="n">
        <f aca="false">Resumo!$B$12*CEILING(I1157,1)</f>
        <v>7.5</v>
      </c>
      <c r="AD1157" s="39" t="n">
        <f aca="false">Resumo!$B$14*CEILING(I1157,1)</f>
        <v>56.25</v>
      </c>
      <c r="AE1157" s="39" t="n">
        <f aca="false">SUM(X1157:AD1157)</f>
        <v>317.70394</v>
      </c>
      <c r="AF1157" s="39" t="n">
        <f aca="false">AE1157/(1-Resumo!$B$5)</f>
        <v>361.027204545455</v>
      </c>
      <c r="AG1157" s="39" t="n">
        <f aca="false">AF1157-W1157</f>
        <v>134.805027272727</v>
      </c>
      <c r="AH1157" s="40" t="n">
        <f aca="false">AF1157/W1157-1</f>
        <v>0.595896604382028</v>
      </c>
      <c r="AI1157" s="37" t="str">
        <f aca="false">IF(AF1157&lt;W1157,"SIM","NÃO")</f>
        <v>NÃO</v>
      </c>
      <c r="AJ1157" s="37" t="n">
        <v>2</v>
      </c>
      <c r="AK1157" s="37" t="n">
        <v>5</v>
      </c>
      <c r="AL1157" s="37" t="s">
        <v>343</v>
      </c>
      <c r="AM1157" s="39" t="n">
        <v>233.8</v>
      </c>
    </row>
    <row r="1158" customFormat="false" ht="15" hidden="false" customHeight="false" outlineLevel="0" collapsed="false">
      <c r="A1158" s="37" t="n">
        <v>378105251</v>
      </c>
      <c r="B1158" s="38" t="n">
        <v>46251.794537037</v>
      </c>
      <c r="C1158" s="37" t="s">
        <v>340</v>
      </c>
      <c r="D1158" s="37" t="s">
        <v>1437</v>
      </c>
      <c r="E1158" s="37" t="n">
        <v>28949460</v>
      </c>
      <c r="F1158" s="37" t="s">
        <v>292</v>
      </c>
      <c r="G1158" s="37" t="s">
        <v>198</v>
      </c>
      <c r="H1158" s="37" t="s">
        <v>187</v>
      </c>
      <c r="I1158" s="37" t="n">
        <v>52.3</v>
      </c>
      <c r="J1158" s="39" t="n">
        <v>577.12</v>
      </c>
      <c r="K1158" s="37" t="s">
        <v>518</v>
      </c>
      <c r="L1158" s="39" t="n">
        <v>141.42</v>
      </c>
      <c r="M1158" s="39" t="n">
        <v>83.58</v>
      </c>
      <c r="N1158" s="39" t="n">
        <f aca="false">J1158*Resumo!$C$6</f>
        <v>0</v>
      </c>
      <c r="O1158" s="39" t="n">
        <f aca="false">J1158*Resumo!$C$7</f>
        <v>1.211952</v>
      </c>
      <c r="P1158" s="39" t="n">
        <f aca="false">J1158*Resumo!$C$8</f>
        <v>1.211952</v>
      </c>
      <c r="Q1158" s="39" t="n">
        <f aca="false">Resumo!$C$10*CEILING(I1158/100,1)</f>
        <v>1.05</v>
      </c>
      <c r="R1158" s="39" t="n">
        <f aca="false">Resumo!$C$9</f>
        <v>0</v>
      </c>
      <c r="S1158" s="39" t="n">
        <f aca="false">Resumo!$C$13</f>
        <v>13.55</v>
      </c>
      <c r="T1158" s="39" t="n">
        <f aca="false">Resumo!$C$14*CEILING(I1158,1)</f>
        <v>23.85</v>
      </c>
      <c r="U1158" s="39" t="n">
        <f aca="false">SUM(M1158:T1158)*Resumo!$C$11</f>
        <v>0</v>
      </c>
      <c r="V1158" s="39" t="n">
        <f aca="false">SUM(M1158:U1158)</f>
        <v>124.453904</v>
      </c>
      <c r="W1158" s="39" t="n">
        <f aca="false">V1158/(1-Resumo!$C$5)</f>
        <v>141.424890909091</v>
      </c>
      <c r="X1158" s="39" t="n">
        <v>142.32</v>
      </c>
      <c r="Y1158" s="39" t="n">
        <f aca="false">J1158*Resumo!$B$6</f>
        <v>0.57712</v>
      </c>
      <c r="Z1158" s="39" t="n">
        <f aca="false">J1158*Resumo!$B$7</f>
        <v>1.15424</v>
      </c>
      <c r="AA1158" s="39" t="n">
        <f aca="false">Resumo!$B$9</f>
        <v>1</v>
      </c>
      <c r="AB1158" s="39" t="n">
        <f aca="false">Resumo!$B$10*CEILING(I1158/100,1)</f>
        <v>4.5</v>
      </c>
      <c r="AC1158" s="39" t="n">
        <f aca="false">Resumo!$B$12*CEILING(I1158,1)</f>
        <v>3.18</v>
      </c>
      <c r="AD1158" s="39" t="n">
        <f aca="false">Resumo!$B$14*CEILING(I1158,1)</f>
        <v>23.85</v>
      </c>
      <c r="AE1158" s="39" t="n">
        <f aca="false">SUM(X1158:AD1158)</f>
        <v>176.58136</v>
      </c>
      <c r="AF1158" s="39" t="n">
        <f aca="false">AE1158/(1-Resumo!$B$5)</f>
        <v>200.660636363636</v>
      </c>
      <c r="AG1158" s="39" t="n">
        <f aca="false">AF1158-W1158</f>
        <v>59.2357454545455</v>
      </c>
      <c r="AH1158" s="40" t="n">
        <f aca="false">AF1158/W1158-1</f>
        <v>0.418849504311251</v>
      </c>
      <c r="AI1158" s="37" t="str">
        <f aca="false">IF(AF1158&lt;W1158,"SIM","NÃO")</f>
        <v>NÃO</v>
      </c>
      <c r="AJ1158" s="37" t="n">
        <v>13</v>
      </c>
      <c r="AK1158" s="37" t="n">
        <v>10</v>
      </c>
      <c r="AL1158" s="37" t="s">
        <v>347</v>
      </c>
      <c r="AM1158" s="39" t="n">
        <v>142.44</v>
      </c>
    </row>
    <row r="1159" customFormat="false" ht="15" hidden="false" customHeight="false" outlineLevel="0" collapsed="false">
      <c r="A1159" s="37" t="n">
        <v>378110430</v>
      </c>
      <c r="B1159" s="38" t="n">
        <v>46251.8034606482</v>
      </c>
      <c r="C1159" s="37" t="s">
        <v>340</v>
      </c>
      <c r="D1159" s="37" t="s">
        <v>1438</v>
      </c>
      <c r="E1159" s="37" t="n">
        <v>27995000</v>
      </c>
      <c r="F1159" s="37"/>
      <c r="G1159" s="37" t="s">
        <v>198</v>
      </c>
      <c r="H1159" s="37" t="s">
        <v>186</v>
      </c>
      <c r="I1159" s="37" t="n">
        <v>44.6</v>
      </c>
      <c r="J1159" s="39" t="n">
        <v>579.99</v>
      </c>
      <c r="K1159" s="37" t="s">
        <v>518</v>
      </c>
      <c r="L1159" s="39" t="n">
        <v>130.67</v>
      </c>
      <c r="M1159" s="39" t="n">
        <v>77.7</v>
      </c>
      <c r="N1159" s="39" t="n">
        <f aca="false">J1159*Resumo!$C$6</f>
        <v>0</v>
      </c>
      <c r="O1159" s="39" t="n">
        <f aca="false">J1159*Resumo!$C$7</f>
        <v>1.217979</v>
      </c>
      <c r="P1159" s="39" t="n">
        <f aca="false">J1159*Resumo!$C$8</f>
        <v>1.217979</v>
      </c>
      <c r="Q1159" s="39" t="n">
        <f aca="false">Resumo!$C$10*CEILING(I1159/100,1)</f>
        <v>1.05</v>
      </c>
      <c r="R1159" s="39" t="n">
        <f aca="false">Resumo!$C$9</f>
        <v>0</v>
      </c>
      <c r="S1159" s="39" t="n">
        <f aca="false">Resumo!$C$13</f>
        <v>13.55</v>
      </c>
      <c r="T1159" s="39" t="n">
        <f aca="false">Resumo!$C$14*CEILING(I1159,1)</f>
        <v>20.25</v>
      </c>
      <c r="U1159" s="39" t="n">
        <f aca="false">SUM(M1159:T1159)*Resumo!$C$11</f>
        <v>0</v>
      </c>
      <c r="V1159" s="39" t="n">
        <f aca="false">SUM(M1159:U1159)</f>
        <v>114.985958</v>
      </c>
      <c r="W1159" s="39" t="n">
        <f aca="false">V1159/(1-Resumo!$C$5)</f>
        <v>130.665861363636</v>
      </c>
      <c r="X1159" s="39" t="n">
        <v>152.54</v>
      </c>
      <c r="Y1159" s="39" t="n">
        <f aca="false">J1159*Resumo!$B$6</f>
        <v>0.57999</v>
      </c>
      <c r="Z1159" s="39" t="n">
        <f aca="false">J1159*Resumo!$B$7</f>
        <v>1.15998</v>
      </c>
      <c r="AA1159" s="39" t="n">
        <f aca="false">Resumo!$B$9</f>
        <v>1</v>
      </c>
      <c r="AB1159" s="39" t="n">
        <f aca="false">Resumo!$B$10*CEILING(I1159/100,1)</f>
        <v>4.5</v>
      </c>
      <c r="AC1159" s="39" t="n">
        <f aca="false">Resumo!$B$12*CEILING(I1159,1)</f>
        <v>2.7</v>
      </c>
      <c r="AD1159" s="39" t="n">
        <f aca="false">Resumo!$B$14*CEILING(I1159,1)</f>
        <v>20.25</v>
      </c>
      <c r="AE1159" s="39" t="n">
        <f aca="false">SUM(X1159:AD1159)</f>
        <v>182.72997</v>
      </c>
      <c r="AF1159" s="39" t="n">
        <f aca="false">AE1159/(1-Resumo!$B$5)</f>
        <v>207.647693181818</v>
      </c>
      <c r="AG1159" s="39" t="n">
        <f aca="false">AF1159-W1159</f>
        <v>76.9818318181818</v>
      </c>
      <c r="AH1159" s="40" t="n">
        <f aca="false">AF1159/W1159-1</f>
        <v>0.589150303030914</v>
      </c>
      <c r="AI1159" s="37" t="str">
        <f aca="false">IF(AF1159&lt;W1159,"SIM","NÃO")</f>
        <v>NÃO</v>
      </c>
      <c r="AJ1159" s="37" t="n">
        <v>13</v>
      </c>
      <c r="AK1159" s="37" t="n">
        <v>11</v>
      </c>
      <c r="AL1159" s="37" t="s">
        <v>347</v>
      </c>
      <c r="AM1159" s="39" t="n">
        <v>130.94</v>
      </c>
    </row>
    <row r="1160" customFormat="false" ht="15" hidden="false" customHeight="false" outlineLevel="0" collapsed="false">
      <c r="A1160" s="37" t="n">
        <v>378114617</v>
      </c>
      <c r="B1160" s="38" t="n">
        <v>46251.8103587963</v>
      </c>
      <c r="C1160" s="37" t="s">
        <v>345</v>
      </c>
      <c r="D1160" s="37" t="s">
        <v>1439</v>
      </c>
      <c r="E1160" s="37" t="n">
        <v>23595200</v>
      </c>
      <c r="F1160" s="37" t="s">
        <v>159</v>
      </c>
      <c r="G1160" s="37" t="s">
        <v>196</v>
      </c>
      <c r="H1160" s="37" t="s">
        <v>185</v>
      </c>
      <c r="I1160" s="37" t="n">
        <v>37.6</v>
      </c>
      <c r="J1160" s="39" t="n">
        <v>399.59</v>
      </c>
      <c r="K1160" s="37" t="s">
        <v>518</v>
      </c>
      <c r="L1160" s="39" t="n">
        <v>92.87</v>
      </c>
      <c r="M1160" s="39" t="n">
        <v>48.35</v>
      </c>
      <c r="N1160" s="39" t="n">
        <f aca="false">J1160*Resumo!$C$6</f>
        <v>0</v>
      </c>
      <c r="O1160" s="39" t="n">
        <f aca="false">J1160*Resumo!$C$7</f>
        <v>0.839139</v>
      </c>
      <c r="P1160" s="39" t="n">
        <f aca="false">J1160*Resumo!$C$8</f>
        <v>0.839139</v>
      </c>
      <c r="Q1160" s="39" t="n">
        <f aca="false">Resumo!$C$10*CEILING(I1160/100,1)</f>
        <v>1.05</v>
      </c>
      <c r="R1160" s="39" t="n">
        <f aca="false">Resumo!$C$9</f>
        <v>0</v>
      </c>
      <c r="S1160" s="39" t="n">
        <f aca="false">Resumo!$C$13</f>
        <v>13.55</v>
      </c>
      <c r="T1160" s="39" t="n">
        <f aca="false">Resumo!$C$14*CEILING(I1160,1)</f>
        <v>17.1</v>
      </c>
      <c r="U1160" s="39" t="n">
        <f aca="false">SUM(M1160:T1160)*Resumo!$C$11</f>
        <v>0</v>
      </c>
      <c r="V1160" s="39" t="n">
        <f aca="false">SUM(M1160:U1160)</f>
        <v>81.728278</v>
      </c>
      <c r="W1160" s="39" t="n">
        <f aca="false">V1160/(1-Resumo!$C$5)</f>
        <v>92.8730431818182</v>
      </c>
      <c r="X1160" s="39" t="n">
        <v>93.97</v>
      </c>
      <c r="Y1160" s="39" t="n">
        <f aca="false">J1160*Resumo!$B$6</f>
        <v>0.39959</v>
      </c>
      <c r="Z1160" s="39" t="n">
        <f aca="false">J1160*Resumo!$B$7</f>
        <v>0.79918</v>
      </c>
      <c r="AA1160" s="39" t="n">
        <f aca="false">Resumo!$B$9</f>
        <v>1</v>
      </c>
      <c r="AB1160" s="39" t="n">
        <f aca="false">Resumo!$B$10*CEILING(I1160/100,1)</f>
        <v>4.5</v>
      </c>
      <c r="AC1160" s="39" t="n">
        <f aca="false">Resumo!$B$12*CEILING(I1160,1)</f>
        <v>2.28</v>
      </c>
      <c r="AD1160" s="39" t="n">
        <f aca="false">Resumo!$B$14*CEILING(I1160,1)</f>
        <v>17.1</v>
      </c>
      <c r="AE1160" s="39" t="n">
        <f aca="false">SUM(X1160:AD1160)</f>
        <v>120.04877</v>
      </c>
      <c r="AF1160" s="39" t="n">
        <f aca="false">AE1160/(1-Resumo!$B$5)</f>
        <v>136.419056818182</v>
      </c>
      <c r="AG1160" s="39" t="n">
        <f aca="false">AF1160-W1160</f>
        <v>43.5460136363636</v>
      </c>
      <c r="AH1160" s="40" t="n">
        <f aca="false">AF1160/W1160-1</f>
        <v>0.468876782158557</v>
      </c>
      <c r="AI1160" s="37" t="str">
        <f aca="false">IF(AF1160&lt;W1160,"SIM","NÃO")</f>
        <v>NÃO</v>
      </c>
      <c r="AJ1160" s="37" t="n">
        <v>2</v>
      </c>
      <c r="AK1160" s="37" t="n">
        <v>5</v>
      </c>
      <c r="AL1160" s="37" t="s">
        <v>343</v>
      </c>
      <c r="AM1160" s="39" t="n">
        <v>91.77</v>
      </c>
    </row>
    <row r="1161" customFormat="false" ht="15" hidden="false" customHeight="false" outlineLevel="0" collapsed="false">
      <c r="A1161" s="37" t="n">
        <v>378123047</v>
      </c>
      <c r="B1161" s="38" t="n">
        <v>46251.8245717593</v>
      </c>
      <c r="C1161" s="37" t="s">
        <v>340</v>
      </c>
      <c r="D1161" s="37" t="s">
        <v>1440</v>
      </c>
      <c r="E1161" s="37" t="n">
        <v>28634110</v>
      </c>
      <c r="F1161" s="37" t="s">
        <v>177</v>
      </c>
      <c r="G1161" s="37" t="s">
        <v>198</v>
      </c>
      <c r="H1161" s="37" t="s">
        <v>192</v>
      </c>
      <c r="I1161" s="37" t="n">
        <v>141.5</v>
      </c>
      <c r="J1161" s="39" t="n">
        <v>1599.99</v>
      </c>
      <c r="K1161" s="37" t="s">
        <v>518</v>
      </c>
      <c r="L1161" s="39" t="n">
        <v>261.94</v>
      </c>
      <c r="M1161" s="39" t="n">
        <v>144.24</v>
      </c>
      <c r="N1161" s="39" t="n">
        <f aca="false">J1161*Resumo!$C$6</f>
        <v>0</v>
      </c>
      <c r="O1161" s="39" t="n">
        <f aca="false">J1161*Resumo!$C$7</f>
        <v>3.359979</v>
      </c>
      <c r="P1161" s="39" t="n">
        <f aca="false">J1161*Resumo!$C$8</f>
        <v>3.359979</v>
      </c>
      <c r="Q1161" s="39" t="n">
        <f aca="false">Resumo!$C$10*CEILING(I1161/100,1)</f>
        <v>2.1</v>
      </c>
      <c r="R1161" s="39" t="n">
        <f aca="false">Resumo!$C$9</f>
        <v>0</v>
      </c>
      <c r="S1161" s="39" t="n">
        <f aca="false">Resumo!$C$13</f>
        <v>13.55</v>
      </c>
      <c r="T1161" s="39" t="n">
        <f aca="false">Resumo!$C$14*CEILING(I1161,1)</f>
        <v>63.9</v>
      </c>
      <c r="U1161" s="39" t="n">
        <f aca="false">SUM(M1161:T1161)*Resumo!$C$11</f>
        <v>0</v>
      </c>
      <c r="V1161" s="39" t="n">
        <f aca="false">SUM(M1161:U1161)</f>
        <v>230.509958</v>
      </c>
      <c r="W1161" s="39" t="n">
        <f aca="false">V1161/(1-Resumo!$C$5)</f>
        <v>261.943134090909</v>
      </c>
      <c r="X1161" s="39" t="n">
        <v>264.84</v>
      </c>
      <c r="Y1161" s="39" t="n">
        <f aca="false">J1161*Resumo!$B$6</f>
        <v>1.59999</v>
      </c>
      <c r="Z1161" s="39" t="n">
        <f aca="false">J1161*Resumo!$B$7</f>
        <v>3.19998</v>
      </c>
      <c r="AA1161" s="39" t="n">
        <f aca="false">Resumo!$B$9</f>
        <v>1</v>
      </c>
      <c r="AB1161" s="39" t="n">
        <f aca="false">Resumo!$B$10*CEILING(I1161/100,1)</f>
        <v>9</v>
      </c>
      <c r="AC1161" s="39" t="n">
        <f aca="false">Resumo!$B$12*CEILING(I1161,1)</f>
        <v>8.52</v>
      </c>
      <c r="AD1161" s="39" t="n">
        <f aca="false">Resumo!$B$14*CEILING(I1161,1)</f>
        <v>63.9</v>
      </c>
      <c r="AE1161" s="39" t="n">
        <f aca="false">SUM(X1161:AD1161)</f>
        <v>352.05997</v>
      </c>
      <c r="AF1161" s="39" t="n">
        <f aca="false">AE1161/(1-Resumo!$B$5)</f>
        <v>400.068147727273</v>
      </c>
      <c r="AG1161" s="39" t="n">
        <f aca="false">AF1161-W1161</f>
        <v>138.125013636364</v>
      </c>
      <c r="AH1161" s="40" t="n">
        <f aca="false">AF1161/W1161-1</f>
        <v>0.527309158591751</v>
      </c>
      <c r="AI1161" s="37" t="str">
        <f aca="false">IF(AF1161&lt;W1161,"SIM","NÃO")</f>
        <v>NÃO</v>
      </c>
      <c r="AJ1161" s="37" t="n">
        <v>13</v>
      </c>
      <c r="AK1161" s="37" t="n">
        <v>10</v>
      </c>
      <c r="AL1161" s="37" t="s">
        <v>343</v>
      </c>
      <c r="AM1161" s="39" t="n">
        <v>260.96</v>
      </c>
    </row>
    <row r="1162" customFormat="false" ht="15" hidden="false" customHeight="false" outlineLevel="0" collapsed="false">
      <c r="A1162" s="37" t="n">
        <v>378135699</v>
      </c>
      <c r="B1162" s="38" t="n">
        <v>46251.8458101852</v>
      </c>
      <c r="C1162" s="37" t="s">
        <v>345</v>
      </c>
      <c r="D1162" s="37" t="s">
        <v>1441</v>
      </c>
      <c r="E1162" s="37" t="n">
        <v>24751000</v>
      </c>
      <c r="F1162" s="37" t="s">
        <v>160</v>
      </c>
      <c r="G1162" s="37" t="s">
        <v>197</v>
      </c>
      <c r="H1162" s="37" t="s">
        <v>187</v>
      </c>
      <c r="I1162" s="37" t="n">
        <v>52.3</v>
      </c>
      <c r="J1162" s="39" t="n">
        <v>637.3</v>
      </c>
      <c r="K1162" s="37" t="s">
        <v>518</v>
      </c>
      <c r="L1162" s="39" t="n">
        <v>127.4</v>
      </c>
      <c r="M1162" s="39" t="n">
        <v>70.98</v>
      </c>
      <c r="N1162" s="39" t="n">
        <f aca="false">J1162*Resumo!$C$6</f>
        <v>0</v>
      </c>
      <c r="O1162" s="39" t="n">
        <f aca="false">J1162*Resumo!$C$7</f>
        <v>1.33833</v>
      </c>
      <c r="P1162" s="39" t="n">
        <f aca="false">J1162*Resumo!$C$8</f>
        <v>1.33833</v>
      </c>
      <c r="Q1162" s="39" t="n">
        <f aca="false">Resumo!$C$10*CEILING(I1162/100,1)</f>
        <v>1.05</v>
      </c>
      <c r="R1162" s="39" t="n">
        <f aca="false">Resumo!$C$9</f>
        <v>0</v>
      </c>
      <c r="S1162" s="39" t="n">
        <f aca="false">Resumo!$C$13</f>
        <v>13.55</v>
      </c>
      <c r="T1162" s="39" t="n">
        <f aca="false">Resumo!$C$14*CEILING(I1162,1)</f>
        <v>23.85</v>
      </c>
      <c r="U1162" s="39" t="n">
        <f aca="false">SUM(M1162:T1162)*Resumo!$C$11</f>
        <v>0</v>
      </c>
      <c r="V1162" s="39" t="n">
        <f aca="false">SUM(M1162:U1162)</f>
        <v>112.10666</v>
      </c>
      <c r="W1162" s="39" t="n">
        <f aca="false">V1162/(1-Resumo!$C$5)</f>
        <v>127.393931818182</v>
      </c>
      <c r="X1162" s="39" t="n">
        <v>128.14</v>
      </c>
      <c r="Y1162" s="39" t="n">
        <f aca="false">J1162*Resumo!$B$6</f>
        <v>0.6373</v>
      </c>
      <c r="Z1162" s="39" t="n">
        <f aca="false">J1162*Resumo!$B$7</f>
        <v>1.2746</v>
      </c>
      <c r="AA1162" s="39" t="n">
        <f aca="false">Resumo!$B$9</f>
        <v>1</v>
      </c>
      <c r="AB1162" s="39" t="n">
        <f aca="false">Resumo!$B$10*CEILING(I1162/100,1)</f>
        <v>4.5</v>
      </c>
      <c r="AC1162" s="39" t="n">
        <f aca="false">Resumo!$B$12*CEILING(I1162,1)</f>
        <v>3.18</v>
      </c>
      <c r="AD1162" s="39" t="n">
        <f aca="false">Resumo!$B$14*CEILING(I1162,1)</f>
        <v>23.85</v>
      </c>
      <c r="AE1162" s="39" t="n">
        <f aca="false">SUM(X1162:AD1162)</f>
        <v>162.5819</v>
      </c>
      <c r="AF1162" s="39" t="n">
        <f aca="false">AE1162/(1-Resumo!$B$5)</f>
        <v>184.752159090909</v>
      </c>
      <c r="AG1162" s="39" t="n">
        <f aca="false">AF1162-W1162</f>
        <v>57.3582272727273</v>
      </c>
      <c r="AH1162" s="40" t="n">
        <f aca="false">AF1162/W1162-1</f>
        <v>0.450243009648133</v>
      </c>
      <c r="AI1162" s="37" t="str">
        <f aca="false">IF(AF1162&lt;W1162,"SIM","NÃO")</f>
        <v>NÃO</v>
      </c>
      <c r="AJ1162" s="37" t="n">
        <v>2</v>
      </c>
      <c r="AK1162" s="37" t="n">
        <v>7</v>
      </c>
      <c r="AL1162" s="37" t="s">
        <v>343</v>
      </c>
      <c r="AM1162" s="39" t="n">
        <v>128.34</v>
      </c>
    </row>
    <row r="1163" customFormat="false" ht="15" hidden="false" customHeight="false" outlineLevel="0" collapsed="false">
      <c r="A1163" s="37" t="n">
        <v>378145147</v>
      </c>
      <c r="B1163" s="38" t="n">
        <v>46251.8638541667</v>
      </c>
      <c r="C1163" s="37" t="s">
        <v>340</v>
      </c>
      <c r="D1163" s="37" t="s">
        <v>1442</v>
      </c>
      <c r="E1163" s="37" t="n">
        <v>27240559</v>
      </c>
      <c r="F1163" s="37" t="s">
        <v>168</v>
      </c>
      <c r="G1163" s="37" t="s">
        <v>198</v>
      </c>
      <c r="H1163" s="37" t="s">
        <v>187</v>
      </c>
      <c r="I1163" s="37" t="n">
        <v>51.3</v>
      </c>
      <c r="J1163" s="39" t="n">
        <v>649.99</v>
      </c>
      <c r="K1163" s="37" t="s">
        <v>518</v>
      </c>
      <c r="L1163" s="39" t="n">
        <v>141.25</v>
      </c>
      <c r="M1163" s="39" t="n">
        <v>83.58</v>
      </c>
      <c r="N1163" s="39" t="n">
        <f aca="false">J1163*Resumo!$C$6</f>
        <v>0</v>
      </c>
      <c r="O1163" s="39" t="n">
        <f aca="false">J1163*Resumo!$C$7</f>
        <v>1.364979</v>
      </c>
      <c r="P1163" s="39" t="n">
        <f aca="false">J1163*Resumo!$C$8</f>
        <v>1.364979</v>
      </c>
      <c r="Q1163" s="39" t="n">
        <f aca="false">Resumo!$C$10*CEILING(I1163/100,1)</f>
        <v>1.05</v>
      </c>
      <c r="R1163" s="39" t="n">
        <f aca="false">Resumo!$C$9</f>
        <v>0</v>
      </c>
      <c r="S1163" s="39" t="n">
        <f aca="false">Resumo!$C$13</f>
        <v>13.55</v>
      </c>
      <c r="T1163" s="39" t="n">
        <f aca="false">Resumo!$C$14*CEILING(I1163,1)</f>
        <v>23.4</v>
      </c>
      <c r="U1163" s="39" t="n">
        <f aca="false">SUM(M1163:T1163)*Resumo!$C$11</f>
        <v>0</v>
      </c>
      <c r="V1163" s="39" t="n">
        <f aca="false">SUM(M1163:U1163)</f>
        <v>124.309958</v>
      </c>
      <c r="W1163" s="39" t="n">
        <f aca="false">V1163/(1-Resumo!$C$5)</f>
        <v>141.261315909091</v>
      </c>
      <c r="X1163" s="39" t="n">
        <v>142.32</v>
      </c>
      <c r="Y1163" s="39" t="n">
        <f aca="false">J1163*Resumo!$B$6</f>
        <v>0.64999</v>
      </c>
      <c r="Z1163" s="39" t="n">
        <f aca="false">J1163*Resumo!$B$7</f>
        <v>1.29998</v>
      </c>
      <c r="AA1163" s="39" t="n">
        <f aca="false">Resumo!$B$9</f>
        <v>1</v>
      </c>
      <c r="AB1163" s="39" t="n">
        <f aca="false">Resumo!$B$10*CEILING(I1163/100,1)</f>
        <v>4.5</v>
      </c>
      <c r="AC1163" s="39" t="n">
        <f aca="false">Resumo!$B$12*CEILING(I1163,1)</f>
        <v>3.12</v>
      </c>
      <c r="AD1163" s="39" t="n">
        <f aca="false">Resumo!$B$14*CEILING(I1163,1)</f>
        <v>23.4</v>
      </c>
      <c r="AE1163" s="39" t="n">
        <f aca="false">SUM(X1163:AD1163)</f>
        <v>176.28997</v>
      </c>
      <c r="AF1163" s="39" t="n">
        <f aca="false">AE1163/(1-Resumo!$B$5)</f>
        <v>200.329511363636</v>
      </c>
      <c r="AG1163" s="39" t="n">
        <f aca="false">AF1163-W1163</f>
        <v>59.0681954545455</v>
      </c>
      <c r="AH1163" s="40" t="n">
        <f aca="false">AF1163/W1163-1</f>
        <v>0.418148415752823</v>
      </c>
      <c r="AI1163" s="37" t="str">
        <f aca="false">IF(AF1163&lt;W1163,"SIM","NÃO")</f>
        <v>NÃO</v>
      </c>
      <c r="AJ1163" s="37" t="n">
        <v>13</v>
      </c>
      <c r="AK1163" s="37" t="n">
        <v>10</v>
      </c>
      <c r="AL1163" s="37" t="s">
        <v>343</v>
      </c>
      <c r="AM1163" s="39" t="n">
        <v>142.78</v>
      </c>
    </row>
    <row r="1164" customFormat="false" ht="15" hidden="false" customHeight="false" outlineLevel="0" collapsed="false">
      <c r="A1164" s="37" t="n">
        <v>378146674</v>
      </c>
      <c r="B1164" s="38" t="n">
        <v>46251.8667939815</v>
      </c>
      <c r="C1164" s="37" t="s">
        <v>340</v>
      </c>
      <c r="D1164" s="37" t="s">
        <v>1443</v>
      </c>
      <c r="E1164" s="37" t="n">
        <v>24934275</v>
      </c>
      <c r="F1164" s="37" t="s">
        <v>171</v>
      </c>
      <c r="G1164" s="37" t="s">
        <v>198</v>
      </c>
      <c r="H1164" s="37" t="s">
        <v>187</v>
      </c>
      <c r="I1164" s="37" t="n">
        <v>52.3</v>
      </c>
      <c r="J1164" s="39" t="n">
        <v>699.99</v>
      </c>
      <c r="K1164" s="37" t="s">
        <v>518</v>
      </c>
      <c r="L1164" s="39" t="n">
        <v>142.01</v>
      </c>
      <c r="M1164" s="39" t="n">
        <v>83.58</v>
      </c>
      <c r="N1164" s="39" t="n">
        <f aca="false">J1164*Resumo!$C$6</f>
        <v>0</v>
      </c>
      <c r="O1164" s="39" t="n">
        <f aca="false">J1164*Resumo!$C$7</f>
        <v>1.469979</v>
      </c>
      <c r="P1164" s="39" t="n">
        <f aca="false">J1164*Resumo!$C$8</f>
        <v>1.469979</v>
      </c>
      <c r="Q1164" s="39" t="n">
        <f aca="false">Resumo!$C$10*CEILING(I1164/100,1)</f>
        <v>1.05</v>
      </c>
      <c r="R1164" s="39" t="n">
        <f aca="false">Resumo!$C$9</f>
        <v>0</v>
      </c>
      <c r="S1164" s="39" t="n">
        <f aca="false">Resumo!$C$13</f>
        <v>13.55</v>
      </c>
      <c r="T1164" s="39" t="n">
        <f aca="false">Resumo!$C$14*CEILING(I1164,1)</f>
        <v>23.85</v>
      </c>
      <c r="U1164" s="39" t="n">
        <f aca="false">SUM(M1164:T1164)*Resumo!$C$11</f>
        <v>0</v>
      </c>
      <c r="V1164" s="39" t="n">
        <f aca="false">SUM(M1164:U1164)</f>
        <v>124.969958</v>
      </c>
      <c r="W1164" s="39" t="n">
        <f aca="false">V1164/(1-Resumo!$C$5)</f>
        <v>142.011315909091</v>
      </c>
      <c r="X1164" s="39" t="n">
        <v>128.14</v>
      </c>
      <c r="Y1164" s="39" t="n">
        <f aca="false">J1164*Resumo!$B$6</f>
        <v>0.69999</v>
      </c>
      <c r="Z1164" s="39" t="n">
        <f aca="false">J1164*Resumo!$B$7</f>
        <v>1.39998</v>
      </c>
      <c r="AA1164" s="39" t="n">
        <f aca="false">Resumo!$B$9</f>
        <v>1</v>
      </c>
      <c r="AB1164" s="39" t="n">
        <f aca="false">Resumo!$B$10*CEILING(I1164/100,1)</f>
        <v>4.5</v>
      </c>
      <c r="AC1164" s="39" t="n">
        <f aca="false">Resumo!$B$12*CEILING(I1164,1)</f>
        <v>3.18</v>
      </c>
      <c r="AD1164" s="39" t="n">
        <f aca="false">Resumo!$B$14*CEILING(I1164,1)</f>
        <v>23.85</v>
      </c>
      <c r="AE1164" s="39" t="n">
        <f aca="false">SUM(X1164:AD1164)</f>
        <v>162.76997</v>
      </c>
      <c r="AF1164" s="39" t="n">
        <f aca="false">AE1164/(1-Resumo!$B$5)</f>
        <v>184.965875</v>
      </c>
      <c r="AG1164" s="39" t="n">
        <f aca="false">AF1164-W1164</f>
        <v>42.954559090909</v>
      </c>
      <c r="AH1164" s="40" t="n">
        <f aca="false">AF1164/W1164-1</f>
        <v>0.302472791100722</v>
      </c>
      <c r="AI1164" s="37" t="str">
        <f aca="false">IF(AF1164&lt;W1164,"SIM","NÃO")</f>
        <v>NÃO</v>
      </c>
      <c r="AJ1164" s="37" t="n">
        <v>13</v>
      </c>
      <c r="AK1164" s="37" t="n">
        <v>7</v>
      </c>
      <c r="AL1164" s="37" t="s">
        <v>343</v>
      </c>
      <c r="AM1164" s="39" t="n">
        <v>143.02</v>
      </c>
    </row>
    <row r="1165" customFormat="false" ht="15" hidden="false" customHeight="false" outlineLevel="0" collapsed="false">
      <c r="A1165" s="37" t="n">
        <v>378153112</v>
      </c>
      <c r="B1165" s="38" t="n">
        <v>46251.8783564815</v>
      </c>
      <c r="C1165" s="37" t="s">
        <v>340</v>
      </c>
      <c r="D1165" s="37" t="s">
        <v>1444</v>
      </c>
      <c r="E1165" s="37" t="n">
        <v>21875240</v>
      </c>
      <c r="F1165" s="37" t="s">
        <v>159</v>
      </c>
      <c r="G1165" s="37" t="s">
        <v>196</v>
      </c>
      <c r="H1165" s="37" t="s">
        <v>186</v>
      </c>
      <c r="I1165" s="37" t="n">
        <v>46.8</v>
      </c>
      <c r="J1165" s="39" t="n">
        <v>506.56</v>
      </c>
      <c r="K1165" s="37" t="s">
        <v>342</v>
      </c>
      <c r="L1165" s="39" t="n">
        <v>103.01</v>
      </c>
      <c r="M1165" s="39" t="n">
        <v>53.55</v>
      </c>
      <c r="N1165" s="39" t="n">
        <f aca="false">J1165*Resumo!$C$6</f>
        <v>0</v>
      </c>
      <c r="O1165" s="39" t="n">
        <f aca="false">J1165*Resumo!$C$7</f>
        <v>1.063776</v>
      </c>
      <c r="P1165" s="39" t="n">
        <f aca="false">J1165*Resumo!$C$8</f>
        <v>1.063776</v>
      </c>
      <c r="Q1165" s="39" t="n">
        <f aca="false">Resumo!$C$10*CEILING(I1165/100,1)</f>
        <v>1.05</v>
      </c>
      <c r="R1165" s="39" t="n">
        <f aca="false">Resumo!$C$9</f>
        <v>0</v>
      </c>
      <c r="S1165" s="39" t="n">
        <f aca="false">Resumo!$C$13</f>
        <v>13.55</v>
      </c>
      <c r="T1165" s="39" t="n">
        <f aca="false">Resumo!$C$14*CEILING(I1165,1)</f>
        <v>21.15</v>
      </c>
      <c r="U1165" s="39" t="n">
        <f aca="false">SUM(M1165:T1165)*Resumo!$C$11</f>
        <v>0</v>
      </c>
      <c r="V1165" s="39" t="n">
        <f aca="false">SUM(M1165:U1165)</f>
        <v>91.427552</v>
      </c>
      <c r="W1165" s="39" t="n">
        <f aca="false">V1165/(1-Resumo!$C$5)</f>
        <v>103.894945454545</v>
      </c>
      <c r="X1165" s="39" t="n">
        <v>93.97</v>
      </c>
      <c r="Y1165" s="39" t="n">
        <f aca="false">J1165*Resumo!$B$6</f>
        <v>0.50656</v>
      </c>
      <c r="Z1165" s="39" t="n">
        <f aca="false">J1165*Resumo!$B$7</f>
        <v>1.01312</v>
      </c>
      <c r="AA1165" s="39" t="n">
        <f aca="false">Resumo!$B$9</f>
        <v>1</v>
      </c>
      <c r="AB1165" s="39" t="n">
        <f aca="false">Resumo!$B$10*CEILING(I1165/100,1)</f>
        <v>4.5</v>
      </c>
      <c r="AC1165" s="39" t="n">
        <f aca="false">Resumo!$B$12*CEILING(I1165,1)</f>
        <v>2.82</v>
      </c>
      <c r="AD1165" s="39" t="n">
        <f aca="false">Resumo!$B$14*CEILING(I1165,1)</f>
        <v>21.15</v>
      </c>
      <c r="AE1165" s="39" t="n">
        <f aca="false">SUM(X1165:AD1165)</f>
        <v>124.95968</v>
      </c>
      <c r="AF1165" s="39" t="n">
        <f aca="false">AE1165/(1-Resumo!$B$5)</f>
        <v>141.999636363636</v>
      </c>
      <c r="AG1165" s="39" t="n">
        <f aca="false">AF1165-W1165</f>
        <v>38.1046909090909</v>
      </c>
      <c r="AH1165" s="40" t="n">
        <f aca="false">AF1165/W1165-1</f>
        <v>0.366761739393394</v>
      </c>
      <c r="AI1165" s="37" t="str">
        <f aca="false">IF(AF1165&lt;W1165,"SIM","NÃO")</f>
        <v>NÃO</v>
      </c>
      <c r="AJ1165" s="37" t="n">
        <v>2</v>
      </c>
      <c r="AK1165" s="37" t="n">
        <v>5</v>
      </c>
      <c r="AL1165" s="37" t="s">
        <v>343</v>
      </c>
      <c r="AM1165" s="39" t="n">
        <v>103.01</v>
      </c>
    </row>
    <row r="1166" customFormat="false" ht="15" hidden="false" customHeight="false" outlineLevel="0" collapsed="false">
      <c r="A1166" s="37" t="n">
        <v>378155516</v>
      </c>
      <c r="B1166" s="38" t="n">
        <v>46251.8824652778</v>
      </c>
      <c r="C1166" s="37" t="s">
        <v>340</v>
      </c>
      <c r="D1166" s="37" t="s">
        <v>1445</v>
      </c>
      <c r="E1166" s="37" t="n">
        <v>25268376</v>
      </c>
      <c r="F1166" s="37" t="s">
        <v>161</v>
      </c>
      <c r="G1166" s="37" t="s">
        <v>197</v>
      </c>
      <c r="H1166" s="37" t="s">
        <v>188</v>
      </c>
      <c r="I1166" s="37" t="n">
        <v>66.8</v>
      </c>
      <c r="J1166" s="39" t="n">
        <v>719.99</v>
      </c>
      <c r="K1166" s="37" t="s">
        <v>342</v>
      </c>
      <c r="L1166" s="39" t="n">
        <v>139.89</v>
      </c>
      <c r="M1166" s="39" t="n">
        <v>76.55</v>
      </c>
      <c r="N1166" s="39" t="n">
        <f aca="false">J1166*Resumo!$C$6</f>
        <v>0</v>
      </c>
      <c r="O1166" s="39" t="n">
        <f aca="false">J1166*Resumo!$C$7</f>
        <v>1.511979</v>
      </c>
      <c r="P1166" s="39" t="n">
        <f aca="false">J1166*Resumo!$C$8</f>
        <v>1.511979</v>
      </c>
      <c r="Q1166" s="39" t="n">
        <f aca="false">Resumo!$C$10*CEILING(I1166/100,1)</f>
        <v>1.05</v>
      </c>
      <c r="R1166" s="39" t="n">
        <f aca="false">Resumo!$C$9</f>
        <v>0</v>
      </c>
      <c r="S1166" s="39" t="n">
        <f aca="false">Resumo!$C$13</f>
        <v>13.55</v>
      </c>
      <c r="T1166" s="39" t="n">
        <f aca="false">Resumo!$C$14*CEILING(I1166,1)</f>
        <v>30.15</v>
      </c>
      <c r="U1166" s="39" t="n">
        <f aca="false">SUM(M1166:T1166)*Resumo!$C$11</f>
        <v>0</v>
      </c>
      <c r="V1166" s="39" t="n">
        <f aca="false">SUM(M1166:U1166)</f>
        <v>124.323958</v>
      </c>
      <c r="W1166" s="39" t="n">
        <f aca="false">V1166/(1-Resumo!$C$5)</f>
        <v>141.277225</v>
      </c>
      <c r="X1166" s="39" t="n">
        <v>131.02</v>
      </c>
      <c r="Y1166" s="39" t="n">
        <f aca="false">J1166*Resumo!$B$6</f>
        <v>0.71999</v>
      </c>
      <c r="Z1166" s="39" t="n">
        <f aca="false">J1166*Resumo!$B$7</f>
        <v>1.43998</v>
      </c>
      <c r="AA1166" s="39" t="n">
        <f aca="false">Resumo!$B$9</f>
        <v>1</v>
      </c>
      <c r="AB1166" s="39" t="n">
        <f aca="false">Resumo!$B$10*CEILING(I1166/100,1)</f>
        <v>4.5</v>
      </c>
      <c r="AC1166" s="39" t="n">
        <f aca="false">Resumo!$B$12*CEILING(I1166,1)</f>
        <v>4.02</v>
      </c>
      <c r="AD1166" s="39" t="n">
        <f aca="false">Resumo!$B$14*CEILING(I1166,1)</f>
        <v>30.15</v>
      </c>
      <c r="AE1166" s="39" t="n">
        <f aca="false">SUM(X1166:AD1166)</f>
        <v>172.84997</v>
      </c>
      <c r="AF1166" s="39" t="n">
        <f aca="false">AE1166/(1-Resumo!$B$5)</f>
        <v>196.420420454545</v>
      </c>
      <c r="AG1166" s="39" t="n">
        <f aca="false">AF1166-W1166</f>
        <v>55.1431954545455</v>
      </c>
      <c r="AH1166" s="40" t="n">
        <f aca="false">AF1166/W1166-1</f>
        <v>0.390319072692328</v>
      </c>
      <c r="AI1166" s="37" t="str">
        <f aca="false">IF(AF1166&lt;W1166,"SIM","NÃO")</f>
        <v>NÃO</v>
      </c>
      <c r="AJ1166" s="37" t="n">
        <v>2</v>
      </c>
      <c r="AK1166" s="37" t="n">
        <v>5</v>
      </c>
      <c r="AL1166" s="37" t="s">
        <v>343</v>
      </c>
      <c r="AM1166" s="39" t="n">
        <v>139.88</v>
      </c>
    </row>
    <row r="1167" customFormat="false" ht="15" hidden="false" customHeight="false" outlineLevel="0" collapsed="false">
      <c r="A1167" s="37" t="n">
        <v>378156146</v>
      </c>
      <c r="B1167" s="38" t="n">
        <v>46251.8836111111</v>
      </c>
      <c r="C1167" s="37" t="s">
        <v>340</v>
      </c>
      <c r="D1167" s="37" t="s">
        <v>1446</v>
      </c>
      <c r="E1167" s="37" t="n">
        <v>25268370</v>
      </c>
      <c r="F1167" s="37" t="s">
        <v>161</v>
      </c>
      <c r="G1167" s="37" t="s">
        <v>197</v>
      </c>
      <c r="H1167" s="37" t="s">
        <v>187</v>
      </c>
      <c r="I1167" s="37" t="n">
        <v>56.7</v>
      </c>
      <c r="J1167" s="39" t="n">
        <v>673.1</v>
      </c>
      <c r="K1167" s="37" t="s">
        <v>342</v>
      </c>
      <c r="L1167" s="39" t="n">
        <v>128.52</v>
      </c>
      <c r="M1167" s="39" t="n">
        <v>70.98</v>
      </c>
      <c r="N1167" s="39" t="n">
        <f aca="false">J1167*Resumo!$C$6</f>
        <v>0</v>
      </c>
      <c r="O1167" s="39" t="n">
        <f aca="false">J1167*Resumo!$C$7</f>
        <v>1.41351</v>
      </c>
      <c r="P1167" s="39" t="n">
        <f aca="false">J1167*Resumo!$C$8</f>
        <v>1.41351</v>
      </c>
      <c r="Q1167" s="39" t="n">
        <f aca="false">Resumo!$C$10*CEILING(I1167/100,1)</f>
        <v>1.05</v>
      </c>
      <c r="R1167" s="39" t="n">
        <f aca="false">Resumo!$C$9</f>
        <v>0</v>
      </c>
      <c r="S1167" s="39" t="n">
        <f aca="false">Resumo!$C$13</f>
        <v>13.55</v>
      </c>
      <c r="T1167" s="39" t="n">
        <f aca="false">Resumo!$C$14*CEILING(I1167,1)</f>
        <v>25.65</v>
      </c>
      <c r="U1167" s="39" t="n">
        <f aca="false">SUM(M1167:T1167)*Resumo!$C$11</f>
        <v>0</v>
      </c>
      <c r="V1167" s="39" t="n">
        <f aca="false">SUM(M1167:U1167)</f>
        <v>114.05702</v>
      </c>
      <c r="W1167" s="39" t="n">
        <f aca="false">V1167/(1-Resumo!$C$5)</f>
        <v>129.61025</v>
      </c>
      <c r="X1167" s="39" t="n">
        <v>112.3</v>
      </c>
      <c r="Y1167" s="39" t="n">
        <f aca="false">J1167*Resumo!$B$6</f>
        <v>0.6731</v>
      </c>
      <c r="Z1167" s="39" t="n">
        <f aca="false">J1167*Resumo!$B$7</f>
        <v>1.3462</v>
      </c>
      <c r="AA1167" s="39" t="n">
        <f aca="false">Resumo!$B$9</f>
        <v>1</v>
      </c>
      <c r="AB1167" s="39" t="n">
        <f aca="false">Resumo!$B$10*CEILING(I1167/100,1)</f>
        <v>4.5</v>
      </c>
      <c r="AC1167" s="39" t="n">
        <f aca="false">Resumo!$B$12*CEILING(I1167,1)</f>
        <v>3.42</v>
      </c>
      <c r="AD1167" s="39" t="n">
        <f aca="false">Resumo!$B$14*CEILING(I1167,1)</f>
        <v>25.65</v>
      </c>
      <c r="AE1167" s="39" t="n">
        <f aca="false">SUM(X1167:AD1167)</f>
        <v>148.8893</v>
      </c>
      <c r="AF1167" s="39" t="n">
        <f aca="false">AE1167/(1-Resumo!$B$5)</f>
        <v>169.192386363636</v>
      </c>
      <c r="AG1167" s="39" t="n">
        <f aca="false">AF1167-W1167</f>
        <v>39.5821363636364</v>
      </c>
      <c r="AH1167" s="40" t="n">
        <f aca="false">AF1167/W1167-1</f>
        <v>0.305393565428941</v>
      </c>
      <c r="AI1167" s="37" t="str">
        <f aca="false">IF(AF1167&lt;W1167,"SIM","NÃO")</f>
        <v>NÃO</v>
      </c>
      <c r="AJ1167" s="37" t="n">
        <v>2</v>
      </c>
      <c r="AK1167" s="37" t="n">
        <v>5</v>
      </c>
      <c r="AL1167" s="37" t="s">
        <v>343</v>
      </c>
      <c r="AM1167" s="39" t="n">
        <v>128.51</v>
      </c>
    </row>
    <row r="1168" customFormat="false" ht="15" hidden="false" customHeight="false" outlineLevel="0" collapsed="false">
      <c r="A1168" s="37" t="n">
        <v>378178860</v>
      </c>
      <c r="B1168" s="38" t="n">
        <v>46251.9265277778</v>
      </c>
      <c r="C1168" s="37" t="s">
        <v>345</v>
      </c>
      <c r="D1168" s="37" t="s">
        <v>1447</v>
      </c>
      <c r="E1168" s="37" t="n">
        <v>22451264</v>
      </c>
      <c r="F1168" s="37" t="s">
        <v>159</v>
      </c>
      <c r="G1168" s="37" t="s">
        <v>196</v>
      </c>
      <c r="H1168" s="37" t="s">
        <v>188</v>
      </c>
      <c r="I1168" s="37" t="n">
        <v>66.8</v>
      </c>
      <c r="J1168" s="39" t="n">
        <v>592</v>
      </c>
      <c r="K1168" s="37" t="s">
        <v>518</v>
      </c>
      <c r="L1168" s="39" t="n">
        <v>125.5</v>
      </c>
      <c r="M1168" s="39" t="n">
        <v>63.21</v>
      </c>
      <c r="N1168" s="39" t="n">
        <f aca="false">J1168*Resumo!$C$6</f>
        <v>0</v>
      </c>
      <c r="O1168" s="39" t="n">
        <f aca="false">J1168*Resumo!$C$7</f>
        <v>1.2432</v>
      </c>
      <c r="P1168" s="39" t="n">
        <f aca="false">J1168*Resumo!$C$8</f>
        <v>1.2432</v>
      </c>
      <c r="Q1168" s="39" t="n">
        <f aca="false">Resumo!$C$10*CEILING(I1168/100,1)</f>
        <v>1.05</v>
      </c>
      <c r="R1168" s="39" t="n">
        <f aca="false">Resumo!$C$9</f>
        <v>0</v>
      </c>
      <c r="S1168" s="39" t="n">
        <f aca="false">Resumo!$C$13</f>
        <v>13.55</v>
      </c>
      <c r="T1168" s="39" t="n">
        <f aca="false">Resumo!$C$14*CEILING(I1168,1)</f>
        <v>30.15</v>
      </c>
      <c r="U1168" s="39" t="n">
        <f aca="false">SUM(M1168:T1168)*Resumo!$C$11</f>
        <v>0</v>
      </c>
      <c r="V1168" s="39" t="n">
        <f aca="false">SUM(M1168:U1168)</f>
        <v>110.4464</v>
      </c>
      <c r="W1168" s="39" t="n">
        <f aca="false">V1168/(1-Resumo!$C$5)</f>
        <v>125.507272727273</v>
      </c>
      <c r="X1168" s="39" t="n">
        <v>131.02</v>
      </c>
      <c r="Y1168" s="39" t="n">
        <f aca="false">J1168*Resumo!$B$6</f>
        <v>0.592</v>
      </c>
      <c r="Z1168" s="39" t="n">
        <f aca="false">J1168*Resumo!$B$7</f>
        <v>1.184</v>
      </c>
      <c r="AA1168" s="39" t="n">
        <f aca="false">Resumo!$B$9</f>
        <v>1</v>
      </c>
      <c r="AB1168" s="39" t="n">
        <f aca="false">Resumo!$B$10*CEILING(I1168/100,1)</f>
        <v>4.5</v>
      </c>
      <c r="AC1168" s="39" t="n">
        <f aca="false">Resumo!$B$12*CEILING(I1168,1)</f>
        <v>4.02</v>
      </c>
      <c r="AD1168" s="39" t="n">
        <f aca="false">Resumo!$B$14*CEILING(I1168,1)</f>
        <v>30.15</v>
      </c>
      <c r="AE1168" s="39" t="n">
        <f aca="false">SUM(X1168:AD1168)</f>
        <v>172.466</v>
      </c>
      <c r="AF1168" s="39" t="n">
        <f aca="false">AE1168/(1-Resumo!$B$5)</f>
        <v>195.984090909091</v>
      </c>
      <c r="AG1168" s="39" t="n">
        <f aca="false">AF1168-W1168</f>
        <v>70.4768181818182</v>
      </c>
      <c r="AH1168" s="40" t="n">
        <f aca="false">AF1168/W1168-1</f>
        <v>0.561535731359284</v>
      </c>
      <c r="AI1168" s="37" t="str">
        <f aca="false">IF(AF1168&lt;W1168,"SIM","NÃO")</f>
        <v>NÃO</v>
      </c>
      <c r="AJ1168" s="37" t="n">
        <v>2</v>
      </c>
      <c r="AK1168" s="37" t="n">
        <v>5</v>
      </c>
      <c r="AL1168" s="37" t="s">
        <v>343</v>
      </c>
      <c r="AM1168" s="39" t="n">
        <v>124.04</v>
      </c>
    </row>
    <row r="1169" customFormat="false" ht="15" hidden="false" customHeight="false" outlineLevel="0" collapsed="false">
      <c r="A1169" s="37" t="n">
        <v>378188496</v>
      </c>
      <c r="B1169" s="38" t="n">
        <v>46251.9455208333</v>
      </c>
      <c r="C1169" s="37" t="s">
        <v>345</v>
      </c>
      <c r="D1169" s="37" t="s">
        <v>1448</v>
      </c>
      <c r="E1169" s="37" t="n">
        <v>21720140</v>
      </c>
      <c r="F1169" s="37" t="s">
        <v>159</v>
      </c>
      <c r="G1169" s="37" t="s">
        <v>196</v>
      </c>
      <c r="H1169" s="37" t="s">
        <v>192</v>
      </c>
      <c r="I1169" s="37" t="n">
        <v>134.4</v>
      </c>
      <c r="J1169" s="39" t="n">
        <v>1632.55</v>
      </c>
      <c r="K1169" s="37" t="s">
        <v>342</v>
      </c>
      <c r="L1169" s="39" t="n">
        <v>234.13</v>
      </c>
      <c r="M1169" s="39" t="n">
        <v>120.59</v>
      </c>
      <c r="N1169" s="39" t="n">
        <f aca="false">J1169*Resumo!$C$6</f>
        <v>0</v>
      </c>
      <c r="O1169" s="39" t="n">
        <f aca="false">J1169*Resumo!$C$7</f>
        <v>3.428355</v>
      </c>
      <c r="P1169" s="39" t="n">
        <f aca="false">J1169*Resumo!$C$8</f>
        <v>3.428355</v>
      </c>
      <c r="Q1169" s="39" t="n">
        <f aca="false">Resumo!$C$10*CEILING(I1169/100,1)</f>
        <v>2.1</v>
      </c>
      <c r="R1169" s="39" t="n">
        <f aca="false">Resumo!$C$9</f>
        <v>0</v>
      </c>
      <c r="S1169" s="39" t="n">
        <f aca="false">Resumo!$C$13</f>
        <v>13.55</v>
      </c>
      <c r="T1169" s="39" t="n">
        <f aca="false">Resumo!$C$14*CEILING(I1169,1)</f>
        <v>60.75</v>
      </c>
      <c r="U1169" s="39" t="n">
        <f aca="false">SUM(M1169:T1169)*Resumo!$C$11</f>
        <v>0</v>
      </c>
      <c r="V1169" s="39" t="n">
        <f aca="false">SUM(M1169:U1169)</f>
        <v>203.84671</v>
      </c>
      <c r="W1169" s="39" t="n">
        <f aca="false">V1169/(1-Resumo!$C$5)</f>
        <v>231.643988636364</v>
      </c>
      <c r="X1169" s="39" t="n">
        <v>239.25</v>
      </c>
      <c r="Y1169" s="39" t="n">
        <f aca="false">J1169*Resumo!$B$6</f>
        <v>1.63255</v>
      </c>
      <c r="Z1169" s="39" t="n">
        <f aca="false">J1169*Resumo!$B$7</f>
        <v>3.2651</v>
      </c>
      <c r="AA1169" s="39" t="n">
        <f aca="false">Resumo!$B$9</f>
        <v>1</v>
      </c>
      <c r="AB1169" s="39" t="n">
        <f aca="false">Resumo!$B$10*CEILING(I1169/100,1)</f>
        <v>9</v>
      </c>
      <c r="AC1169" s="39" t="n">
        <f aca="false">Resumo!$B$12*CEILING(I1169,1)</f>
        <v>8.1</v>
      </c>
      <c r="AD1169" s="39" t="n">
        <f aca="false">Resumo!$B$14*CEILING(I1169,1)</f>
        <v>60.75</v>
      </c>
      <c r="AE1169" s="39" t="n">
        <f aca="false">SUM(X1169:AD1169)</f>
        <v>322.99765</v>
      </c>
      <c r="AF1169" s="39" t="n">
        <f aca="false">AE1169/(1-Resumo!$B$5)</f>
        <v>367.042784090909</v>
      </c>
      <c r="AG1169" s="39" t="n">
        <f aca="false">AF1169-W1169</f>
        <v>135.398795454545</v>
      </c>
      <c r="AH1169" s="40" t="n">
        <f aca="false">AF1169/W1169-1</f>
        <v>0.584512450556597</v>
      </c>
      <c r="AI1169" s="37" t="str">
        <f aca="false">IF(AF1169&lt;W1169,"SIM","NÃO")</f>
        <v>NÃO</v>
      </c>
      <c r="AJ1169" s="37" t="n">
        <v>2</v>
      </c>
      <c r="AK1169" s="37" t="n">
        <v>5</v>
      </c>
      <c r="AL1169" s="37" t="s">
        <v>343</v>
      </c>
      <c r="AM1169" s="39" t="n">
        <v>234.11</v>
      </c>
    </row>
    <row r="1170" customFormat="false" ht="15" hidden="false" customHeight="false" outlineLevel="0" collapsed="false">
      <c r="A1170" s="37" t="n">
        <v>378193239</v>
      </c>
      <c r="B1170" s="38" t="n">
        <v>46251.9557523148</v>
      </c>
      <c r="C1170" s="37" t="s">
        <v>340</v>
      </c>
      <c r="D1170" s="37" t="s">
        <v>1449</v>
      </c>
      <c r="E1170" s="37" t="n">
        <v>23936170</v>
      </c>
      <c r="F1170" s="37" t="s">
        <v>169</v>
      </c>
      <c r="G1170" s="37" t="s">
        <v>198</v>
      </c>
      <c r="H1170" s="37" t="s">
        <v>186</v>
      </c>
      <c r="I1170" s="37" t="n">
        <v>44.6</v>
      </c>
      <c r="J1170" s="39" t="n">
        <v>579.99</v>
      </c>
      <c r="K1170" s="37" t="s">
        <v>518</v>
      </c>
      <c r="L1170" s="39" t="n">
        <v>130.67</v>
      </c>
      <c r="M1170" s="39" t="n">
        <v>77.7</v>
      </c>
      <c r="N1170" s="39" t="n">
        <f aca="false">J1170*Resumo!$C$6</f>
        <v>0</v>
      </c>
      <c r="O1170" s="39" t="n">
        <f aca="false">J1170*Resumo!$C$7</f>
        <v>1.217979</v>
      </c>
      <c r="P1170" s="39" t="n">
        <f aca="false">J1170*Resumo!$C$8</f>
        <v>1.217979</v>
      </c>
      <c r="Q1170" s="39" t="n">
        <f aca="false">Resumo!$C$10*CEILING(I1170/100,1)</f>
        <v>1.05</v>
      </c>
      <c r="R1170" s="39" t="n">
        <f aca="false">Resumo!$C$9</f>
        <v>0</v>
      </c>
      <c r="S1170" s="39" t="n">
        <f aca="false">Resumo!$C$13</f>
        <v>13.55</v>
      </c>
      <c r="T1170" s="39" t="n">
        <f aca="false">Resumo!$C$14*CEILING(I1170,1)</f>
        <v>20.25</v>
      </c>
      <c r="U1170" s="39" t="n">
        <f aca="false">SUM(M1170:T1170)*Resumo!$C$11</f>
        <v>0</v>
      </c>
      <c r="V1170" s="39" t="n">
        <f aca="false">SUM(M1170:U1170)</f>
        <v>114.985958</v>
      </c>
      <c r="W1170" s="39" t="n">
        <f aca="false">V1170/(1-Resumo!$C$5)</f>
        <v>130.665861363636</v>
      </c>
      <c r="X1170" s="39" t="n">
        <v>124.38</v>
      </c>
      <c r="Y1170" s="39" t="n">
        <f aca="false">J1170*Resumo!$B$6</f>
        <v>0.57999</v>
      </c>
      <c r="Z1170" s="39" t="n">
        <f aca="false">J1170*Resumo!$B$7</f>
        <v>1.15998</v>
      </c>
      <c r="AA1170" s="39" t="n">
        <f aca="false">Resumo!$B$9</f>
        <v>1</v>
      </c>
      <c r="AB1170" s="39" t="n">
        <f aca="false">Resumo!$B$10*CEILING(I1170/100,1)</f>
        <v>4.5</v>
      </c>
      <c r="AC1170" s="39" t="n">
        <f aca="false">Resumo!$B$12*CEILING(I1170,1)</f>
        <v>2.7</v>
      </c>
      <c r="AD1170" s="39" t="n">
        <f aca="false">Resumo!$B$14*CEILING(I1170,1)</f>
        <v>20.25</v>
      </c>
      <c r="AE1170" s="39" t="n">
        <f aca="false">SUM(X1170:AD1170)</f>
        <v>154.56997</v>
      </c>
      <c r="AF1170" s="39" t="n">
        <f aca="false">AE1170/(1-Resumo!$B$5)</f>
        <v>175.647693181818</v>
      </c>
      <c r="AG1170" s="39" t="n">
        <f aca="false">AF1170-W1170</f>
        <v>44.9818318181818</v>
      </c>
      <c r="AH1170" s="40" t="n">
        <f aca="false">AF1170/W1170-1</f>
        <v>0.344250834523638</v>
      </c>
      <c r="AI1170" s="37" t="str">
        <f aca="false">IF(AF1170&lt;W1170,"SIM","NÃO")</f>
        <v>NÃO</v>
      </c>
      <c r="AJ1170" s="37" t="n">
        <v>13</v>
      </c>
      <c r="AK1170" s="37" t="n">
        <v>10</v>
      </c>
      <c r="AL1170" s="37" t="s">
        <v>343</v>
      </c>
      <c r="AM1170" s="39" t="n">
        <v>130.94</v>
      </c>
    </row>
    <row r="1171" customFormat="false" ht="15" hidden="false" customHeight="false" outlineLevel="0" collapsed="false">
      <c r="A1171" s="37" t="n">
        <v>378208287</v>
      </c>
      <c r="B1171" s="38" t="n">
        <v>46251.9904166667</v>
      </c>
      <c r="C1171" s="37" t="s">
        <v>345</v>
      </c>
      <c r="D1171" s="37" t="s">
        <v>1450</v>
      </c>
      <c r="E1171" s="37" t="n">
        <v>26115729</v>
      </c>
      <c r="F1171" s="37" t="s">
        <v>165</v>
      </c>
      <c r="G1171" s="37" t="s">
        <v>197</v>
      </c>
      <c r="H1171" s="37" t="s">
        <v>191</v>
      </c>
      <c r="I1171" s="37" t="n">
        <v>109.7</v>
      </c>
      <c r="J1171" s="39" t="n">
        <v>1091</v>
      </c>
      <c r="K1171" s="37" t="s">
        <v>518</v>
      </c>
      <c r="L1171" s="39" t="n">
        <v>194.31</v>
      </c>
      <c r="M1171" s="39" t="n">
        <v>101.26</v>
      </c>
      <c r="N1171" s="39" t="n">
        <f aca="false">J1171*Resumo!$C$6</f>
        <v>0</v>
      </c>
      <c r="O1171" s="39" t="n">
        <f aca="false">J1171*Resumo!$C$7</f>
        <v>2.2911</v>
      </c>
      <c r="P1171" s="39" t="n">
        <f aca="false">J1171*Resumo!$C$8</f>
        <v>2.2911</v>
      </c>
      <c r="Q1171" s="39" t="n">
        <f aca="false">Resumo!$C$10*CEILING(I1171/100,1)</f>
        <v>2.1</v>
      </c>
      <c r="R1171" s="39" t="n">
        <f aca="false">Resumo!$C$9</f>
        <v>0</v>
      </c>
      <c r="S1171" s="39" t="n">
        <f aca="false">Resumo!$C$13</f>
        <v>13.55</v>
      </c>
      <c r="T1171" s="39" t="n">
        <f aca="false">Resumo!$C$14*CEILING(I1171,1)</f>
        <v>49.5</v>
      </c>
      <c r="U1171" s="39" t="n">
        <f aca="false">SUM(M1171:T1171)*Resumo!$C$11</f>
        <v>0</v>
      </c>
      <c r="V1171" s="39" t="n">
        <f aca="false">SUM(M1171:U1171)</f>
        <v>170.9922</v>
      </c>
      <c r="W1171" s="39" t="n">
        <f aca="false">V1171/(1-Resumo!$C$5)</f>
        <v>194.309318181818</v>
      </c>
      <c r="X1171" s="39" t="n">
        <v>201.59</v>
      </c>
      <c r="Y1171" s="39" t="n">
        <f aca="false">J1171*Resumo!$B$6</f>
        <v>1.091</v>
      </c>
      <c r="Z1171" s="39" t="n">
        <f aca="false">J1171*Resumo!$B$7</f>
        <v>2.182</v>
      </c>
      <c r="AA1171" s="39" t="n">
        <f aca="false">Resumo!$B$9</f>
        <v>1</v>
      </c>
      <c r="AB1171" s="39" t="n">
        <f aca="false">Resumo!$B$10*CEILING(I1171/100,1)</f>
        <v>9</v>
      </c>
      <c r="AC1171" s="39" t="n">
        <f aca="false">Resumo!$B$12*CEILING(I1171,1)</f>
        <v>6.6</v>
      </c>
      <c r="AD1171" s="39" t="n">
        <f aca="false">Resumo!$B$14*CEILING(I1171,1)</f>
        <v>49.5</v>
      </c>
      <c r="AE1171" s="39" t="n">
        <f aca="false">SUM(X1171:AD1171)</f>
        <v>270.963</v>
      </c>
      <c r="AF1171" s="39" t="n">
        <f aca="false">AE1171/(1-Resumo!$B$5)</f>
        <v>307.9125</v>
      </c>
      <c r="AG1171" s="39" t="n">
        <f aca="false">AF1171-W1171</f>
        <v>113.603181818182</v>
      </c>
      <c r="AH1171" s="40" t="n">
        <f aca="false">AF1171/W1171-1</f>
        <v>0.584651229705214</v>
      </c>
      <c r="AI1171" s="37" t="str">
        <f aca="false">IF(AF1171&lt;W1171,"SIM","NÃO")</f>
        <v>NÃO</v>
      </c>
      <c r="AJ1171" s="37" t="n">
        <v>2</v>
      </c>
      <c r="AK1171" s="37" t="n">
        <v>5</v>
      </c>
      <c r="AL1171" s="37" t="s">
        <v>343</v>
      </c>
      <c r="AM1171" s="39" t="n">
        <v>195.06</v>
      </c>
    </row>
    <row r="1172" customFormat="false" ht="15" hidden="false" customHeight="false" outlineLevel="0" collapsed="false">
      <c r="A1172" s="37" t="n">
        <v>378234963</v>
      </c>
      <c r="B1172" s="38" t="n">
        <v>46252.0706597222</v>
      </c>
      <c r="C1172" s="37" t="s">
        <v>340</v>
      </c>
      <c r="D1172" s="37" t="s">
        <v>1451</v>
      </c>
      <c r="E1172" s="37" t="n">
        <v>23070221</v>
      </c>
      <c r="F1172" s="37" t="s">
        <v>159</v>
      </c>
      <c r="G1172" s="37" t="s">
        <v>196</v>
      </c>
      <c r="H1172" s="37" t="s">
        <v>187</v>
      </c>
      <c r="I1172" s="37" t="n">
        <v>52.3</v>
      </c>
      <c r="J1172" s="39" t="n">
        <v>616.39</v>
      </c>
      <c r="K1172" s="37" t="s">
        <v>518</v>
      </c>
      <c r="L1172" s="39" t="n">
        <v>113.22</v>
      </c>
      <c r="M1172" s="39" t="n">
        <v>58.6</v>
      </c>
      <c r="N1172" s="39" t="n">
        <f aca="false">J1172*Resumo!$C$6</f>
        <v>0</v>
      </c>
      <c r="O1172" s="39" t="n">
        <f aca="false">J1172*Resumo!$C$7</f>
        <v>1.294419</v>
      </c>
      <c r="P1172" s="39" t="n">
        <f aca="false">J1172*Resumo!$C$8</f>
        <v>1.294419</v>
      </c>
      <c r="Q1172" s="39" t="n">
        <f aca="false">Resumo!$C$10*CEILING(I1172/100,1)</f>
        <v>1.05</v>
      </c>
      <c r="R1172" s="39" t="n">
        <f aca="false">Resumo!$C$9</f>
        <v>0</v>
      </c>
      <c r="S1172" s="39" t="n">
        <f aca="false">Resumo!$C$13</f>
        <v>13.55</v>
      </c>
      <c r="T1172" s="39" t="n">
        <f aca="false">Resumo!$C$14*CEILING(I1172,1)</f>
        <v>23.85</v>
      </c>
      <c r="U1172" s="39" t="n">
        <f aca="false">SUM(M1172:T1172)*Resumo!$C$11</f>
        <v>0</v>
      </c>
      <c r="V1172" s="39" t="n">
        <f aca="false">SUM(M1172:U1172)</f>
        <v>99.638838</v>
      </c>
      <c r="W1172" s="39" t="n">
        <f aca="false">V1172/(1-Resumo!$C$5)</f>
        <v>113.225952272727</v>
      </c>
      <c r="X1172" s="39" t="n">
        <v>112.3</v>
      </c>
      <c r="Y1172" s="39" t="n">
        <f aca="false">J1172*Resumo!$B$6</f>
        <v>0.61639</v>
      </c>
      <c r="Z1172" s="39" t="n">
        <f aca="false">J1172*Resumo!$B$7</f>
        <v>1.23278</v>
      </c>
      <c r="AA1172" s="39" t="n">
        <f aca="false">Resumo!$B$9</f>
        <v>1</v>
      </c>
      <c r="AB1172" s="39" t="n">
        <f aca="false">Resumo!$B$10*CEILING(I1172/100,1)</f>
        <v>4.5</v>
      </c>
      <c r="AC1172" s="39" t="n">
        <f aca="false">Resumo!$B$12*CEILING(I1172,1)</f>
        <v>3.18</v>
      </c>
      <c r="AD1172" s="39" t="n">
        <f aca="false">Resumo!$B$14*CEILING(I1172,1)</f>
        <v>23.85</v>
      </c>
      <c r="AE1172" s="39" t="n">
        <f aca="false">SUM(X1172:AD1172)</f>
        <v>146.67917</v>
      </c>
      <c r="AF1172" s="39" t="n">
        <f aca="false">AE1172/(1-Resumo!$B$5)</f>
        <v>166.680875</v>
      </c>
      <c r="AG1172" s="39" t="n">
        <f aca="false">AF1172-W1172</f>
        <v>53.4549227272727</v>
      </c>
      <c r="AH1172" s="40" t="n">
        <f aca="false">AF1172/W1172-1</f>
        <v>0.472108396125615</v>
      </c>
      <c r="AI1172" s="37" t="str">
        <f aca="false">IF(AF1172&lt;W1172,"SIM","NÃO")</f>
        <v>NÃO</v>
      </c>
      <c r="AJ1172" s="37" t="n">
        <v>2</v>
      </c>
      <c r="AK1172" s="37" t="n">
        <v>5</v>
      </c>
      <c r="AL1172" s="37" t="s">
        <v>343</v>
      </c>
      <c r="AM1172" s="39" t="n">
        <v>114.1</v>
      </c>
    </row>
    <row r="1173" customFormat="false" ht="15" hidden="false" customHeight="false" outlineLevel="0" collapsed="false">
      <c r="A1173" s="37" t="n">
        <v>378245299</v>
      </c>
      <c r="B1173" s="38" t="n">
        <v>46252.109849537</v>
      </c>
      <c r="C1173" s="37" t="s">
        <v>340</v>
      </c>
      <c r="D1173" s="37" t="s">
        <v>1452</v>
      </c>
      <c r="E1173" s="37" t="n">
        <v>23025110</v>
      </c>
      <c r="F1173" s="37" t="s">
        <v>159</v>
      </c>
      <c r="G1173" s="37" t="s">
        <v>196</v>
      </c>
      <c r="H1173" s="37" t="s">
        <v>185</v>
      </c>
      <c r="I1173" s="37" t="n">
        <v>37.5</v>
      </c>
      <c r="J1173" s="39" t="n">
        <v>399.99</v>
      </c>
      <c r="K1173" s="37" t="s">
        <v>518</v>
      </c>
      <c r="L1173" s="39" t="n">
        <v>92.87</v>
      </c>
      <c r="M1173" s="39" t="n">
        <v>48.35</v>
      </c>
      <c r="N1173" s="39" t="n">
        <f aca="false">J1173*Resumo!$C$6</f>
        <v>0</v>
      </c>
      <c r="O1173" s="39" t="n">
        <f aca="false">J1173*Resumo!$C$7</f>
        <v>0.839979</v>
      </c>
      <c r="P1173" s="39" t="n">
        <f aca="false">J1173*Resumo!$C$8</f>
        <v>0.839979</v>
      </c>
      <c r="Q1173" s="39" t="n">
        <f aca="false">Resumo!$C$10*CEILING(I1173/100,1)</f>
        <v>1.05</v>
      </c>
      <c r="R1173" s="39" t="n">
        <f aca="false">Resumo!$C$9</f>
        <v>0</v>
      </c>
      <c r="S1173" s="39" t="n">
        <f aca="false">Resumo!$C$13</f>
        <v>13.55</v>
      </c>
      <c r="T1173" s="39" t="n">
        <f aca="false">Resumo!$C$14*CEILING(I1173,1)</f>
        <v>17.1</v>
      </c>
      <c r="U1173" s="39" t="n">
        <f aca="false">SUM(M1173:T1173)*Resumo!$C$11</f>
        <v>0</v>
      </c>
      <c r="V1173" s="39" t="n">
        <f aca="false">SUM(M1173:U1173)</f>
        <v>81.729958</v>
      </c>
      <c r="W1173" s="39" t="n">
        <f aca="false">V1173/(1-Resumo!$C$5)</f>
        <v>92.8749522727273</v>
      </c>
      <c r="X1173" s="39" t="n">
        <v>93.97</v>
      </c>
      <c r="Y1173" s="39" t="n">
        <f aca="false">J1173*Resumo!$B$6</f>
        <v>0.39999</v>
      </c>
      <c r="Z1173" s="39" t="n">
        <f aca="false">J1173*Resumo!$B$7</f>
        <v>0.79998</v>
      </c>
      <c r="AA1173" s="39" t="n">
        <f aca="false">Resumo!$B$9</f>
        <v>1</v>
      </c>
      <c r="AB1173" s="39" t="n">
        <f aca="false">Resumo!$B$10*CEILING(I1173/100,1)</f>
        <v>4.5</v>
      </c>
      <c r="AC1173" s="39" t="n">
        <f aca="false">Resumo!$B$12*CEILING(I1173,1)</f>
        <v>2.28</v>
      </c>
      <c r="AD1173" s="39" t="n">
        <f aca="false">Resumo!$B$14*CEILING(I1173,1)</f>
        <v>17.1</v>
      </c>
      <c r="AE1173" s="39" t="n">
        <f aca="false">SUM(X1173:AD1173)</f>
        <v>120.04997</v>
      </c>
      <c r="AF1173" s="39" t="n">
        <f aca="false">AE1173/(1-Resumo!$B$5)</f>
        <v>136.420420454545</v>
      </c>
      <c r="AG1173" s="39" t="n">
        <f aca="false">AF1173-W1173</f>
        <v>43.5454681818182</v>
      </c>
      <c r="AH1173" s="40" t="n">
        <f aca="false">AF1173/W1173-1</f>
        <v>0.468861271163262</v>
      </c>
      <c r="AI1173" s="37" t="str">
        <f aca="false">IF(AF1173&lt;W1173,"SIM","NÃO")</f>
        <v>NÃO</v>
      </c>
      <c r="AJ1173" s="37" t="n">
        <v>2</v>
      </c>
      <c r="AK1173" s="37" t="n">
        <v>5</v>
      </c>
      <c r="AL1173" s="37" t="s">
        <v>343</v>
      </c>
      <c r="AM1173" s="39" t="n">
        <v>91.77</v>
      </c>
    </row>
    <row r="1174" customFormat="false" ht="15" hidden="false" customHeight="false" outlineLevel="0" collapsed="false">
      <c r="A1174" s="37" t="n">
        <v>378281268</v>
      </c>
      <c r="B1174" s="38" t="n">
        <v>46252.2446180556</v>
      </c>
      <c r="C1174" s="37" t="s">
        <v>345</v>
      </c>
      <c r="D1174" s="37" t="s">
        <v>1453</v>
      </c>
      <c r="E1174" s="37" t="n">
        <v>21540440</v>
      </c>
      <c r="F1174" s="37" t="s">
        <v>159</v>
      </c>
      <c r="G1174" s="37" t="s">
        <v>196</v>
      </c>
      <c r="H1174" s="37" t="s">
        <v>186</v>
      </c>
      <c r="I1174" s="37" t="n">
        <v>48</v>
      </c>
      <c r="J1174" s="39" t="n">
        <v>806.69</v>
      </c>
      <c r="K1174" s="37" t="s">
        <v>342</v>
      </c>
      <c r="L1174" s="39" t="n">
        <v>104.44</v>
      </c>
      <c r="M1174" s="39" t="n">
        <v>53.55</v>
      </c>
      <c r="N1174" s="39" t="n">
        <f aca="false">J1174*Resumo!$C$6</f>
        <v>0</v>
      </c>
      <c r="O1174" s="39" t="n">
        <f aca="false">J1174*Resumo!$C$7</f>
        <v>1.694049</v>
      </c>
      <c r="P1174" s="39" t="n">
        <f aca="false">J1174*Resumo!$C$8</f>
        <v>1.694049</v>
      </c>
      <c r="Q1174" s="39" t="n">
        <f aca="false">Resumo!$C$10*CEILING(I1174/100,1)</f>
        <v>1.05</v>
      </c>
      <c r="R1174" s="39" t="n">
        <f aca="false">Resumo!$C$9</f>
        <v>0</v>
      </c>
      <c r="S1174" s="39" t="n">
        <f aca="false">Resumo!$C$13</f>
        <v>13.55</v>
      </c>
      <c r="T1174" s="39" t="n">
        <f aca="false">Resumo!$C$14*CEILING(I1174,1)</f>
        <v>21.6</v>
      </c>
      <c r="U1174" s="39" t="n">
        <f aca="false">SUM(M1174:T1174)*Resumo!$C$11</f>
        <v>0</v>
      </c>
      <c r="V1174" s="39" t="n">
        <f aca="false">SUM(M1174:U1174)</f>
        <v>93.138098</v>
      </c>
      <c r="W1174" s="39" t="n">
        <f aca="false">V1174/(1-Resumo!$C$5)</f>
        <v>105.838747727273</v>
      </c>
      <c r="X1174" s="39" t="n">
        <v>93.97</v>
      </c>
      <c r="Y1174" s="39" t="n">
        <f aca="false">J1174*Resumo!$B$6</f>
        <v>0.80669</v>
      </c>
      <c r="Z1174" s="39" t="n">
        <f aca="false">J1174*Resumo!$B$7</f>
        <v>1.61338</v>
      </c>
      <c r="AA1174" s="39" t="n">
        <f aca="false">Resumo!$B$9</f>
        <v>1</v>
      </c>
      <c r="AB1174" s="39" t="n">
        <f aca="false">Resumo!$B$10*CEILING(I1174/100,1)</f>
        <v>4.5</v>
      </c>
      <c r="AC1174" s="39" t="n">
        <f aca="false">Resumo!$B$12*CEILING(I1174,1)</f>
        <v>2.88</v>
      </c>
      <c r="AD1174" s="39" t="n">
        <f aca="false">Resumo!$B$14*CEILING(I1174,1)</f>
        <v>21.6</v>
      </c>
      <c r="AE1174" s="39" t="n">
        <f aca="false">SUM(X1174:AD1174)</f>
        <v>126.37007</v>
      </c>
      <c r="AF1174" s="39" t="n">
        <f aca="false">AE1174/(1-Resumo!$B$5)</f>
        <v>143.602352272727</v>
      </c>
      <c r="AG1174" s="39" t="n">
        <f aca="false">AF1174-W1174</f>
        <v>37.7636045454546</v>
      </c>
      <c r="AH1174" s="40" t="n">
        <f aca="false">AF1174/W1174-1</f>
        <v>0.356803206352786</v>
      </c>
      <c r="AI1174" s="37" t="str">
        <f aca="false">IF(AF1174&lt;W1174,"SIM","NÃO")</f>
        <v>NÃO</v>
      </c>
      <c r="AJ1174" s="37" t="n">
        <v>2</v>
      </c>
      <c r="AK1174" s="37" t="n">
        <v>5</v>
      </c>
      <c r="AL1174" s="37" t="s">
        <v>343</v>
      </c>
      <c r="AM1174" s="39" t="n">
        <v>104.45</v>
      </c>
    </row>
    <row r="1175" customFormat="false" ht="15" hidden="false" customHeight="false" outlineLevel="0" collapsed="false">
      <c r="A1175" s="37" t="n">
        <v>378294697</v>
      </c>
      <c r="B1175" s="38" t="n">
        <v>46252.2835185185</v>
      </c>
      <c r="C1175" s="37" t="s">
        <v>340</v>
      </c>
      <c r="D1175" s="37" t="s">
        <v>1454</v>
      </c>
      <c r="E1175" s="37" t="n">
        <v>26298629</v>
      </c>
      <c r="F1175" s="37" t="s">
        <v>162</v>
      </c>
      <c r="G1175" s="37" t="s">
        <v>197</v>
      </c>
      <c r="H1175" s="37" t="s">
        <v>188</v>
      </c>
      <c r="I1175" s="37" t="n">
        <v>63.9</v>
      </c>
      <c r="J1175" s="39" t="n">
        <v>730.98</v>
      </c>
      <c r="K1175" s="37" t="s">
        <v>342</v>
      </c>
      <c r="L1175" s="39" t="n">
        <v>139.93</v>
      </c>
      <c r="M1175" s="39" t="n">
        <v>76.55</v>
      </c>
      <c r="N1175" s="39" t="n">
        <f aca="false">J1175*Resumo!$C$6</f>
        <v>0</v>
      </c>
      <c r="O1175" s="39" t="n">
        <f aca="false">J1175*Resumo!$C$7</f>
        <v>1.535058</v>
      </c>
      <c r="P1175" s="39" t="n">
        <f aca="false">J1175*Resumo!$C$8</f>
        <v>1.535058</v>
      </c>
      <c r="Q1175" s="39" t="n">
        <f aca="false">Resumo!$C$10*CEILING(I1175/100,1)</f>
        <v>1.05</v>
      </c>
      <c r="R1175" s="39" t="n">
        <f aca="false">Resumo!$C$9</f>
        <v>0</v>
      </c>
      <c r="S1175" s="39" t="n">
        <f aca="false">Resumo!$C$13</f>
        <v>13.55</v>
      </c>
      <c r="T1175" s="39" t="n">
        <f aca="false">Resumo!$C$14*CEILING(I1175,1)</f>
        <v>28.8</v>
      </c>
      <c r="U1175" s="39" t="n">
        <f aca="false">SUM(M1175:T1175)*Resumo!$C$11</f>
        <v>0</v>
      </c>
      <c r="V1175" s="39" t="n">
        <f aca="false">SUM(M1175:U1175)</f>
        <v>123.020116</v>
      </c>
      <c r="W1175" s="39" t="n">
        <f aca="false">V1175/(1-Resumo!$C$5)</f>
        <v>139.795586363636</v>
      </c>
      <c r="X1175" s="39" t="n">
        <v>131.02</v>
      </c>
      <c r="Y1175" s="39" t="n">
        <f aca="false">J1175*Resumo!$B$6</f>
        <v>0.73098</v>
      </c>
      <c r="Z1175" s="39" t="n">
        <f aca="false">J1175*Resumo!$B$7</f>
        <v>1.46196</v>
      </c>
      <c r="AA1175" s="39" t="n">
        <f aca="false">Resumo!$B$9</f>
        <v>1</v>
      </c>
      <c r="AB1175" s="39" t="n">
        <f aca="false">Resumo!$B$10*CEILING(I1175/100,1)</f>
        <v>4.5</v>
      </c>
      <c r="AC1175" s="39" t="n">
        <f aca="false">Resumo!$B$12*CEILING(I1175,1)</f>
        <v>3.84</v>
      </c>
      <c r="AD1175" s="39" t="n">
        <f aca="false">Resumo!$B$14*CEILING(I1175,1)</f>
        <v>28.8</v>
      </c>
      <c r="AE1175" s="39" t="n">
        <f aca="false">SUM(X1175:AD1175)</f>
        <v>171.35294</v>
      </c>
      <c r="AF1175" s="39" t="n">
        <f aca="false">AE1175/(1-Resumo!$B$5)</f>
        <v>194.71925</v>
      </c>
      <c r="AG1175" s="39" t="n">
        <f aca="false">AF1175-W1175</f>
        <v>54.9236636363636</v>
      </c>
      <c r="AH1175" s="40" t="n">
        <f aca="false">AF1175/W1175-1</f>
        <v>0.392885534264982</v>
      </c>
      <c r="AI1175" s="37" t="str">
        <f aca="false">IF(AF1175&lt;W1175,"SIM","NÃO")</f>
        <v>NÃO</v>
      </c>
      <c r="AJ1175" s="37" t="n">
        <v>2</v>
      </c>
      <c r="AK1175" s="37" t="n">
        <v>5</v>
      </c>
      <c r="AL1175" s="37" t="s">
        <v>343</v>
      </c>
      <c r="AM1175" s="39" t="n">
        <v>139.94</v>
      </c>
    </row>
    <row r="1176" customFormat="false" ht="15" hidden="false" customHeight="false" outlineLevel="0" collapsed="false">
      <c r="A1176" s="37" t="n">
        <v>378295556</v>
      </c>
      <c r="B1176" s="38" t="n">
        <v>46252.2859027778</v>
      </c>
      <c r="C1176" s="37" t="s">
        <v>340</v>
      </c>
      <c r="D1176" s="37" t="s">
        <v>828</v>
      </c>
      <c r="E1176" s="37" t="n">
        <v>21040005</v>
      </c>
      <c r="F1176" s="37" t="s">
        <v>159</v>
      </c>
      <c r="G1176" s="37" t="s">
        <v>196</v>
      </c>
      <c r="H1176" s="37" t="s">
        <v>184</v>
      </c>
      <c r="I1176" s="37" t="n">
        <v>33</v>
      </c>
      <c r="J1176" s="39" t="n">
        <v>589.99</v>
      </c>
      <c r="K1176" s="37" t="s">
        <v>342</v>
      </c>
      <c r="L1176" s="39" t="n">
        <v>83.15</v>
      </c>
      <c r="M1176" s="39" t="n">
        <v>42.11</v>
      </c>
      <c r="N1176" s="39" t="n">
        <f aca="false">J1176*Resumo!$C$6</f>
        <v>0</v>
      </c>
      <c r="O1176" s="39" t="n">
        <f aca="false">J1176*Resumo!$C$7</f>
        <v>1.238979</v>
      </c>
      <c r="P1176" s="39" t="n">
        <f aca="false">J1176*Resumo!$C$8</f>
        <v>1.238979</v>
      </c>
      <c r="Q1176" s="39" t="n">
        <f aca="false">Resumo!$C$10*CEILING(I1176/100,1)</f>
        <v>1.05</v>
      </c>
      <c r="R1176" s="39" t="n">
        <f aca="false">Resumo!$C$9</f>
        <v>0</v>
      </c>
      <c r="S1176" s="39" t="n">
        <f aca="false">Resumo!$C$13</f>
        <v>13.55</v>
      </c>
      <c r="T1176" s="39" t="n">
        <f aca="false">Resumo!$C$14*CEILING(I1176,1)</f>
        <v>14.85</v>
      </c>
      <c r="U1176" s="39" t="n">
        <f aca="false">SUM(M1176:T1176)*Resumo!$C$11</f>
        <v>0</v>
      </c>
      <c r="V1176" s="39" t="n">
        <f aca="false">SUM(M1176:U1176)</f>
        <v>74.037958</v>
      </c>
      <c r="W1176" s="39" t="n">
        <f aca="false">V1176/(1-Resumo!$C$5)</f>
        <v>84.1340431818182</v>
      </c>
      <c r="X1176" s="39" t="n">
        <v>82.21</v>
      </c>
      <c r="Y1176" s="39" t="n">
        <f aca="false">J1176*Resumo!$B$6</f>
        <v>0.58999</v>
      </c>
      <c r="Z1176" s="39" t="n">
        <f aca="false">J1176*Resumo!$B$7</f>
        <v>1.17998</v>
      </c>
      <c r="AA1176" s="39" t="n">
        <f aca="false">Resumo!$B$9</f>
        <v>1</v>
      </c>
      <c r="AB1176" s="39" t="n">
        <f aca="false">Resumo!$B$10*CEILING(I1176/100,1)</f>
        <v>4.5</v>
      </c>
      <c r="AC1176" s="39" t="n">
        <f aca="false">Resumo!$B$12*CEILING(I1176,1)</f>
        <v>1.98</v>
      </c>
      <c r="AD1176" s="39" t="n">
        <f aca="false">Resumo!$B$14*CEILING(I1176,1)</f>
        <v>14.85</v>
      </c>
      <c r="AE1176" s="39" t="n">
        <f aca="false">SUM(X1176:AD1176)</f>
        <v>106.30997</v>
      </c>
      <c r="AF1176" s="39" t="n">
        <f aca="false">AE1176/(1-Resumo!$B$5)</f>
        <v>120.806784090909</v>
      </c>
      <c r="AG1176" s="39" t="n">
        <f aca="false">AF1176-W1176</f>
        <v>36.6727409090909</v>
      </c>
      <c r="AH1176" s="40" t="n">
        <f aca="false">AF1176/W1176-1</f>
        <v>0.435884684988205</v>
      </c>
      <c r="AI1176" s="37" t="str">
        <f aca="false">IF(AF1176&lt;W1176,"SIM","NÃO")</f>
        <v>NÃO</v>
      </c>
      <c r="AJ1176" s="37" t="n">
        <v>2</v>
      </c>
      <c r="AK1176" s="37" t="n">
        <v>5</v>
      </c>
      <c r="AL1176" s="37" t="s">
        <v>343</v>
      </c>
      <c r="AM1176" s="39" t="n">
        <v>83.15</v>
      </c>
    </row>
    <row r="1177" customFormat="false" ht="15" hidden="false" customHeight="false" outlineLevel="0" collapsed="false">
      <c r="A1177" s="37" t="n">
        <v>378321587</v>
      </c>
      <c r="B1177" s="38" t="n">
        <v>46252.3464351852</v>
      </c>
      <c r="C1177" s="37" t="s">
        <v>340</v>
      </c>
      <c r="D1177" s="37" t="s">
        <v>1455</v>
      </c>
      <c r="E1177" s="37" t="n">
        <v>28500000</v>
      </c>
      <c r="F1177" s="37" t="s">
        <v>274</v>
      </c>
      <c r="G1177" s="37" t="s">
        <v>198</v>
      </c>
      <c r="H1177" s="37" t="s">
        <v>187</v>
      </c>
      <c r="I1177" s="37" t="n">
        <v>58.6</v>
      </c>
      <c r="J1177" s="39" t="n">
        <v>769.99</v>
      </c>
      <c r="K1177" s="37" t="s">
        <v>518</v>
      </c>
      <c r="L1177" s="39" t="n">
        <v>145.42</v>
      </c>
      <c r="M1177" s="39" t="n">
        <v>83.58</v>
      </c>
      <c r="N1177" s="39" t="n">
        <f aca="false">J1177*Resumo!$C$6</f>
        <v>0</v>
      </c>
      <c r="O1177" s="39" t="n">
        <f aca="false">J1177*Resumo!$C$7</f>
        <v>1.616979</v>
      </c>
      <c r="P1177" s="39" t="n">
        <f aca="false">J1177*Resumo!$C$8</f>
        <v>1.616979</v>
      </c>
      <c r="Q1177" s="39" t="n">
        <f aca="false">Resumo!$C$10*CEILING(I1177/100,1)</f>
        <v>1.05</v>
      </c>
      <c r="R1177" s="39" t="n">
        <f aca="false">Resumo!$C$9</f>
        <v>0</v>
      </c>
      <c r="S1177" s="39" t="n">
        <f aca="false">Resumo!$C$13</f>
        <v>13.55</v>
      </c>
      <c r="T1177" s="39" t="n">
        <f aca="false">Resumo!$C$14*CEILING(I1177,1)</f>
        <v>26.55</v>
      </c>
      <c r="U1177" s="39" t="n">
        <f aca="false">SUM(M1177:T1177)*Resumo!$C$11</f>
        <v>0</v>
      </c>
      <c r="V1177" s="39" t="n">
        <f aca="false">SUM(M1177:U1177)</f>
        <v>127.963958</v>
      </c>
      <c r="W1177" s="39" t="n">
        <f aca="false">V1177/(1-Resumo!$C$5)</f>
        <v>145.413588636364</v>
      </c>
      <c r="X1177" s="39" t="n">
        <v>162.04</v>
      </c>
      <c r="Y1177" s="39" t="n">
        <f aca="false">J1177*Resumo!$B$6</f>
        <v>0.76999</v>
      </c>
      <c r="Z1177" s="39" t="n">
        <f aca="false">J1177*Resumo!$B$7</f>
        <v>1.53998</v>
      </c>
      <c r="AA1177" s="39" t="n">
        <f aca="false">Resumo!$B$9</f>
        <v>1</v>
      </c>
      <c r="AB1177" s="39" t="n">
        <f aca="false">Resumo!$B$10*CEILING(I1177/100,1)</f>
        <v>4.5</v>
      </c>
      <c r="AC1177" s="39" t="n">
        <f aca="false">Resumo!$B$12*CEILING(I1177,1)</f>
        <v>3.54</v>
      </c>
      <c r="AD1177" s="39" t="n">
        <f aca="false">Resumo!$B$14*CEILING(I1177,1)</f>
        <v>26.55</v>
      </c>
      <c r="AE1177" s="39" t="n">
        <f aca="false">SUM(X1177:AD1177)</f>
        <v>199.93997</v>
      </c>
      <c r="AF1177" s="39" t="n">
        <f aca="false">AE1177/(1-Resumo!$B$5)</f>
        <v>227.204511363636</v>
      </c>
      <c r="AG1177" s="39" t="n">
        <f aca="false">AF1177-W1177</f>
        <v>81.7909227272728</v>
      </c>
      <c r="AH1177" s="40" t="n">
        <f aca="false">AF1177/W1177-1</f>
        <v>0.562470973272021</v>
      </c>
      <c r="AI1177" s="37" t="str">
        <f aca="false">IF(AF1177&lt;W1177,"SIM","NÃO")</f>
        <v>NÃO</v>
      </c>
      <c r="AJ1177" s="37" t="n">
        <v>13</v>
      </c>
      <c r="AK1177" s="37" t="n">
        <v>11</v>
      </c>
      <c r="AL1177" s="37" t="s">
        <v>347</v>
      </c>
      <c r="AM1177" s="39" t="n">
        <v>143.36</v>
      </c>
    </row>
    <row r="1178" customFormat="false" ht="15" hidden="false" customHeight="false" outlineLevel="0" collapsed="false">
      <c r="A1178" s="37" t="n">
        <v>378095442</v>
      </c>
      <c r="B1178" s="38" t="n">
        <v>46252.3469444444</v>
      </c>
      <c r="C1178" s="37" t="s">
        <v>361</v>
      </c>
      <c r="D1178" s="37" t="s">
        <v>429</v>
      </c>
      <c r="E1178" s="37" t="n">
        <v>28880000</v>
      </c>
      <c r="F1178" s="37" t="s">
        <v>290</v>
      </c>
      <c r="G1178" s="37" t="s">
        <v>198</v>
      </c>
      <c r="H1178" s="37" t="s">
        <v>185</v>
      </c>
      <c r="I1178" s="37" t="n">
        <v>37.2</v>
      </c>
      <c r="J1178" s="39" t="n">
        <v>433.49</v>
      </c>
      <c r="K1178" s="37" t="s">
        <v>518</v>
      </c>
      <c r="L1178" s="39" t="n">
        <v>123.28</v>
      </c>
      <c r="M1178" s="39" t="n">
        <v>74.97</v>
      </c>
      <c r="N1178" s="39" t="n">
        <f aca="false">J1178*Resumo!$C$6</f>
        <v>0</v>
      </c>
      <c r="O1178" s="39" t="n">
        <f aca="false">J1178*Resumo!$C$7</f>
        <v>0.910329</v>
      </c>
      <c r="P1178" s="39" t="n">
        <f aca="false">J1178*Resumo!$C$8</f>
        <v>0.910329</v>
      </c>
      <c r="Q1178" s="39" t="n">
        <f aca="false">Resumo!$C$10*CEILING(I1178/100,1)</f>
        <v>1.05</v>
      </c>
      <c r="R1178" s="39" t="n">
        <f aca="false">Resumo!$C$9</f>
        <v>0</v>
      </c>
      <c r="S1178" s="39" t="n">
        <f aca="false">Resumo!$C$13</f>
        <v>13.55</v>
      </c>
      <c r="T1178" s="39" t="n">
        <f aca="false">Resumo!$C$14*CEILING(I1178,1)</f>
        <v>17.1</v>
      </c>
      <c r="U1178" s="39" t="n">
        <f aca="false">SUM(M1178:T1178)*Resumo!$C$11</f>
        <v>0</v>
      </c>
      <c r="V1178" s="39" t="n">
        <f aca="false">SUM(M1178:U1178)</f>
        <v>108.490658</v>
      </c>
      <c r="W1178" s="39" t="n">
        <f aca="false">V1178/(1-Resumo!$C$5)</f>
        <v>123.284838636364</v>
      </c>
      <c r="X1178" s="39" t="n">
        <v>124.38</v>
      </c>
      <c r="Y1178" s="39" t="n">
        <f aca="false">J1178*Resumo!$B$6</f>
        <v>0.43349</v>
      </c>
      <c r="Z1178" s="39" t="n">
        <f aca="false">J1178*Resumo!$B$7</f>
        <v>0.86698</v>
      </c>
      <c r="AA1178" s="39" t="n">
        <f aca="false">Resumo!$B$9</f>
        <v>1</v>
      </c>
      <c r="AB1178" s="39" t="n">
        <f aca="false">Resumo!$B$10*CEILING(I1178/100,1)</f>
        <v>4.5</v>
      </c>
      <c r="AC1178" s="39" t="n">
        <f aca="false">Resumo!$B$12*CEILING(I1178,1)</f>
        <v>2.28</v>
      </c>
      <c r="AD1178" s="39" t="n">
        <f aca="false">Resumo!$B$14*CEILING(I1178,1)</f>
        <v>17.1</v>
      </c>
      <c r="AE1178" s="39" t="n">
        <f aca="false">SUM(X1178:AD1178)</f>
        <v>150.56047</v>
      </c>
      <c r="AF1178" s="39" t="n">
        <f aca="false">AE1178/(1-Resumo!$B$5)</f>
        <v>171.091443181818</v>
      </c>
      <c r="AG1178" s="39" t="n">
        <f aca="false">AF1178-W1178</f>
        <v>47.8066045454545</v>
      </c>
      <c r="AH1178" s="40" t="n">
        <f aca="false">AF1178/W1178-1</f>
        <v>0.387773590607221</v>
      </c>
      <c r="AI1178" s="37" t="str">
        <f aca="false">IF(AF1178&lt;W1178,"SIM","NÃO")</f>
        <v>NÃO</v>
      </c>
      <c r="AJ1178" s="37" t="n">
        <v>13</v>
      </c>
      <c r="AK1178" s="37" t="n">
        <v>10</v>
      </c>
      <c r="AL1178" s="37" t="s">
        <v>347</v>
      </c>
      <c r="AM1178" s="39" t="n">
        <v>122.32</v>
      </c>
    </row>
    <row r="1179" customFormat="false" ht="15" hidden="false" customHeight="false" outlineLevel="0" collapsed="false">
      <c r="A1179" s="37" t="n">
        <v>378324984</v>
      </c>
      <c r="B1179" s="38" t="n">
        <v>46252.3548148148</v>
      </c>
      <c r="C1179" s="37" t="s">
        <v>340</v>
      </c>
      <c r="D1179" s="37" t="s">
        <v>1456</v>
      </c>
      <c r="E1179" s="37" t="n">
        <v>28634450</v>
      </c>
      <c r="F1179" s="37" t="s">
        <v>177</v>
      </c>
      <c r="G1179" s="37" t="s">
        <v>198</v>
      </c>
      <c r="H1179" s="37" t="s">
        <v>187</v>
      </c>
      <c r="I1179" s="37" t="n">
        <v>52.3</v>
      </c>
      <c r="J1179" s="39" t="n">
        <v>699.99</v>
      </c>
      <c r="K1179" s="37" t="s">
        <v>518</v>
      </c>
      <c r="L1179" s="39" t="n">
        <v>142.01</v>
      </c>
      <c r="M1179" s="39" t="n">
        <v>83.58</v>
      </c>
      <c r="N1179" s="39" t="n">
        <f aca="false">J1179*Resumo!$C$6</f>
        <v>0</v>
      </c>
      <c r="O1179" s="39" t="n">
        <f aca="false">J1179*Resumo!$C$7</f>
        <v>1.469979</v>
      </c>
      <c r="P1179" s="39" t="n">
        <f aca="false">J1179*Resumo!$C$8</f>
        <v>1.469979</v>
      </c>
      <c r="Q1179" s="39" t="n">
        <f aca="false">Resumo!$C$10*CEILING(I1179/100,1)</f>
        <v>1.05</v>
      </c>
      <c r="R1179" s="39" t="n">
        <f aca="false">Resumo!$C$9</f>
        <v>0</v>
      </c>
      <c r="S1179" s="39" t="n">
        <f aca="false">Resumo!$C$13</f>
        <v>13.55</v>
      </c>
      <c r="T1179" s="39" t="n">
        <f aca="false">Resumo!$C$14*CEILING(I1179,1)</f>
        <v>23.85</v>
      </c>
      <c r="U1179" s="39" t="n">
        <f aca="false">SUM(M1179:T1179)*Resumo!$C$11</f>
        <v>0</v>
      </c>
      <c r="V1179" s="39" t="n">
        <f aca="false">SUM(M1179:U1179)</f>
        <v>124.969958</v>
      </c>
      <c r="W1179" s="39" t="n">
        <f aca="false">V1179/(1-Resumo!$C$5)</f>
        <v>142.011315909091</v>
      </c>
      <c r="X1179" s="39" t="n">
        <v>144.53</v>
      </c>
      <c r="Y1179" s="39" t="n">
        <f aca="false">J1179*Resumo!$B$6</f>
        <v>0.69999</v>
      </c>
      <c r="Z1179" s="39" t="n">
        <f aca="false">J1179*Resumo!$B$7</f>
        <v>1.39998</v>
      </c>
      <c r="AA1179" s="39" t="n">
        <f aca="false">Resumo!$B$9</f>
        <v>1</v>
      </c>
      <c r="AB1179" s="39" t="n">
        <f aca="false">Resumo!$B$10*CEILING(I1179/100,1)</f>
        <v>4.5</v>
      </c>
      <c r="AC1179" s="39" t="n">
        <f aca="false">Resumo!$B$12*CEILING(I1179,1)</f>
        <v>3.18</v>
      </c>
      <c r="AD1179" s="39" t="n">
        <f aca="false">Resumo!$B$14*CEILING(I1179,1)</f>
        <v>23.85</v>
      </c>
      <c r="AE1179" s="39" t="n">
        <f aca="false">SUM(X1179:AD1179)</f>
        <v>179.15997</v>
      </c>
      <c r="AF1179" s="39" t="n">
        <f aca="false">AE1179/(1-Resumo!$B$5)</f>
        <v>203.590875</v>
      </c>
      <c r="AG1179" s="39" t="n">
        <f aca="false">AF1179-W1179</f>
        <v>61.5795590909091</v>
      </c>
      <c r="AH1179" s="40" t="n">
        <f aca="false">AF1179/W1179-1</f>
        <v>0.433624311532536</v>
      </c>
      <c r="AI1179" s="37" t="str">
        <f aca="false">IF(AF1179&lt;W1179,"SIM","NÃO")</f>
        <v>NÃO</v>
      </c>
      <c r="AJ1179" s="37" t="n">
        <v>13</v>
      </c>
      <c r="AK1179" s="37" t="n">
        <v>10</v>
      </c>
      <c r="AL1179" s="37" t="s">
        <v>343</v>
      </c>
      <c r="AM1179" s="39" t="n">
        <v>143.02</v>
      </c>
    </row>
    <row r="1180" customFormat="false" ht="15" hidden="false" customHeight="false" outlineLevel="0" collapsed="false">
      <c r="A1180" s="37" t="n">
        <v>378334227</v>
      </c>
      <c r="B1180" s="38" t="n">
        <v>46252.3785069444</v>
      </c>
      <c r="C1180" s="37" t="s">
        <v>372</v>
      </c>
      <c r="D1180" s="37" t="s">
        <v>1457</v>
      </c>
      <c r="E1180" s="37" t="n">
        <v>24900485</v>
      </c>
      <c r="F1180" s="37" t="s">
        <v>171</v>
      </c>
      <c r="G1180" s="37" t="s">
        <v>198</v>
      </c>
      <c r="H1180" s="37" t="s">
        <v>185</v>
      </c>
      <c r="I1180" s="37" t="n">
        <v>36.8</v>
      </c>
      <c r="J1180" s="39" t="n">
        <v>479.99</v>
      </c>
      <c r="K1180" s="37" t="s">
        <v>518</v>
      </c>
      <c r="L1180" s="39" t="n">
        <v>123</v>
      </c>
      <c r="M1180" s="39" t="n">
        <v>74.97</v>
      </c>
      <c r="N1180" s="39" t="n">
        <f aca="false">J1180*Resumo!$C$6</f>
        <v>0</v>
      </c>
      <c r="O1180" s="39" t="n">
        <f aca="false">J1180*Resumo!$C$7</f>
        <v>1.007979</v>
      </c>
      <c r="P1180" s="39" t="n">
        <f aca="false">J1180*Resumo!$C$8</f>
        <v>1.007979</v>
      </c>
      <c r="Q1180" s="39" t="n">
        <f aca="false">Resumo!$C$10*CEILING(I1180/100,1)</f>
        <v>1.05</v>
      </c>
      <c r="R1180" s="39" t="n">
        <f aca="false">Resumo!$C$9</f>
        <v>0</v>
      </c>
      <c r="S1180" s="39" t="n">
        <f aca="false">Resumo!$C$13</f>
        <v>13.55</v>
      </c>
      <c r="T1180" s="39" t="n">
        <f aca="false">Resumo!$C$14*CEILING(I1180,1)</f>
        <v>16.65</v>
      </c>
      <c r="U1180" s="39" t="n">
        <f aca="false">SUM(M1180:T1180)*Resumo!$C$11</f>
        <v>0</v>
      </c>
      <c r="V1180" s="39" t="n">
        <f aca="false">SUM(M1180:U1180)</f>
        <v>108.235958</v>
      </c>
      <c r="W1180" s="39" t="n">
        <f aca="false">V1180/(1-Resumo!$C$5)</f>
        <v>122.995406818182</v>
      </c>
      <c r="X1180" s="39" t="n">
        <v>114.95</v>
      </c>
      <c r="Y1180" s="39" t="n">
        <f aca="false">J1180*Resumo!$B$6</f>
        <v>0.47999</v>
      </c>
      <c r="Z1180" s="39" t="n">
        <f aca="false">J1180*Resumo!$B$7</f>
        <v>0.95998</v>
      </c>
      <c r="AA1180" s="39" t="n">
        <f aca="false">Resumo!$B$9</f>
        <v>1</v>
      </c>
      <c r="AB1180" s="39" t="n">
        <f aca="false">Resumo!$B$10*CEILING(I1180/100,1)</f>
        <v>4.5</v>
      </c>
      <c r="AC1180" s="39" t="n">
        <f aca="false">Resumo!$B$12*CEILING(I1180,1)</f>
        <v>2.22</v>
      </c>
      <c r="AD1180" s="39" t="n">
        <f aca="false">Resumo!$B$14*CEILING(I1180,1)</f>
        <v>16.65</v>
      </c>
      <c r="AE1180" s="39" t="n">
        <f aca="false">SUM(X1180:AD1180)</f>
        <v>140.75997</v>
      </c>
      <c r="AF1180" s="39" t="n">
        <f aca="false">AE1180/(1-Resumo!$B$5)</f>
        <v>159.954511363636</v>
      </c>
      <c r="AG1180" s="39" t="n">
        <f aca="false">AF1180-W1180</f>
        <v>36.9591045454546</v>
      </c>
      <c r="AH1180" s="40" t="n">
        <f aca="false">AF1180/W1180-1</f>
        <v>0.300491746005519</v>
      </c>
      <c r="AI1180" s="37" t="str">
        <f aca="false">IF(AF1180&lt;W1180,"SIM","NÃO")</f>
        <v>NÃO</v>
      </c>
      <c r="AJ1180" s="37" t="n">
        <v>13</v>
      </c>
      <c r="AK1180" s="37" t="n">
        <v>7</v>
      </c>
      <c r="AL1180" s="37" t="s">
        <v>343</v>
      </c>
      <c r="AM1180" s="39" t="n">
        <v>122.55</v>
      </c>
    </row>
    <row r="1181" customFormat="false" ht="15" hidden="false" customHeight="false" outlineLevel="0" collapsed="false">
      <c r="A1181" s="37" t="n">
        <v>378373643</v>
      </c>
      <c r="B1181" s="38" t="n">
        <v>46252.4573611111</v>
      </c>
      <c r="C1181" s="37" t="s">
        <v>345</v>
      </c>
      <c r="D1181" s="37" t="s">
        <v>1458</v>
      </c>
      <c r="E1181" s="37" t="n">
        <v>21735210</v>
      </c>
      <c r="F1181" s="37" t="s">
        <v>159</v>
      </c>
      <c r="G1181" s="37" t="s">
        <v>196</v>
      </c>
      <c r="H1181" s="37" t="s">
        <v>184</v>
      </c>
      <c r="I1181" s="37" t="n">
        <v>31.9</v>
      </c>
      <c r="J1181" s="39" t="n">
        <v>466.39</v>
      </c>
      <c r="K1181" s="37" t="s">
        <v>342</v>
      </c>
      <c r="L1181" s="39" t="n">
        <v>82.56</v>
      </c>
      <c r="M1181" s="39" t="n">
        <v>42.11</v>
      </c>
      <c r="N1181" s="39" t="n">
        <f aca="false">J1181*Resumo!$C$6</f>
        <v>0</v>
      </c>
      <c r="O1181" s="39" t="n">
        <f aca="false">J1181*Resumo!$C$7</f>
        <v>0.979419</v>
      </c>
      <c r="P1181" s="39" t="n">
        <f aca="false">J1181*Resumo!$C$8</f>
        <v>0.979419</v>
      </c>
      <c r="Q1181" s="39" t="n">
        <f aca="false">Resumo!$C$10*CEILING(I1181/100,1)</f>
        <v>1.05</v>
      </c>
      <c r="R1181" s="39" t="n">
        <f aca="false">Resumo!$C$9</f>
        <v>0</v>
      </c>
      <c r="S1181" s="39" t="n">
        <f aca="false">Resumo!$C$13</f>
        <v>13.55</v>
      </c>
      <c r="T1181" s="39" t="n">
        <f aca="false">Resumo!$C$14*CEILING(I1181,1)</f>
        <v>14.4</v>
      </c>
      <c r="U1181" s="39" t="n">
        <f aca="false">SUM(M1181:T1181)*Resumo!$C$11</f>
        <v>0</v>
      </c>
      <c r="V1181" s="39" t="n">
        <f aca="false">SUM(M1181:U1181)</f>
        <v>73.068838</v>
      </c>
      <c r="W1181" s="39" t="n">
        <f aca="false">V1181/(1-Resumo!$C$5)</f>
        <v>83.0327704545455</v>
      </c>
      <c r="X1181" s="39" t="n">
        <v>82.21</v>
      </c>
      <c r="Y1181" s="39" t="n">
        <f aca="false">J1181*Resumo!$B$6</f>
        <v>0.46639</v>
      </c>
      <c r="Z1181" s="39" t="n">
        <f aca="false">J1181*Resumo!$B$7</f>
        <v>0.93278</v>
      </c>
      <c r="AA1181" s="39" t="n">
        <f aca="false">Resumo!$B$9</f>
        <v>1</v>
      </c>
      <c r="AB1181" s="39" t="n">
        <f aca="false">Resumo!$B$10*CEILING(I1181/100,1)</f>
        <v>4.5</v>
      </c>
      <c r="AC1181" s="39" t="n">
        <f aca="false">Resumo!$B$12*CEILING(I1181,1)</f>
        <v>1.92</v>
      </c>
      <c r="AD1181" s="39" t="n">
        <f aca="false">Resumo!$B$14*CEILING(I1181,1)</f>
        <v>14.4</v>
      </c>
      <c r="AE1181" s="39" t="n">
        <f aca="false">SUM(X1181:AD1181)</f>
        <v>105.42917</v>
      </c>
      <c r="AF1181" s="39" t="n">
        <f aca="false">AE1181/(1-Resumo!$B$5)</f>
        <v>119.805875</v>
      </c>
      <c r="AG1181" s="39" t="n">
        <f aca="false">AF1181-W1181</f>
        <v>36.7731045454545</v>
      </c>
      <c r="AH1181" s="40" t="n">
        <f aca="false">AF1181/W1181-1</f>
        <v>0.442874594502242</v>
      </c>
      <c r="AI1181" s="37" t="str">
        <f aca="false">IF(AF1181&lt;W1181,"SIM","NÃO")</f>
        <v>NÃO</v>
      </c>
      <c r="AJ1181" s="37" t="n">
        <v>2</v>
      </c>
      <c r="AK1181" s="37" t="n">
        <v>5</v>
      </c>
      <c r="AL1181" s="37" t="s">
        <v>343</v>
      </c>
      <c r="AM1181" s="39" t="n">
        <v>82.56</v>
      </c>
    </row>
    <row r="1182" customFormat="false" ht="15" hidden="false" customHeight="false" outlineLevel="0" collapsed="false">
      <c r="A1182" s="37" t="n">
        <v>378375605</v>
      </c>
      <c r="B1182" s="38" t="n">
        <v>46252.4615625</v>
      </c>
      <c r="C1182" s="37" t="s">
        <v>340</v>
      </c>
      <c r="D1182" s="37" t="s">
        <v>1459</v>
      </c>
      <c r="E1182" s="37" t="n">
        <v>22723535</v>
      </c>
      <c r="F1182" s="37" t="s">
        <v>159</v>
      </c>
      <c r="G1182" s="37" t="s">
        <v>196</v>
      </c>
      <c r="H1182" s="37" t="s">
        <v>185</v>
      </c>
      <c r="I1182" s="37" t="n">
        <v>36.8</v>
      </c>
      <c r="J1182" s="39" t="n">
        <v>479.99</v>
      </c>
      <c r="K1182" s="37" t="s">
        <v>342</v>
      </c>
      <c r="L1182" s="39" t="n">
        <v>92.16</v>
      </c>
      <c r="M1182" s="39" t="n">
        <v>48.35</v>
      </c>
      <c r="N1182" s="39" t="n">
        <f aca="false">J1182*Resumo!$C$6</f>
        <v>0</v>
      </c>
      <c r="O1182" s="39" t="n">
        <f aca="false">J1182*Resumo!$C$7</f>
        <v>1.007979</v>
      </c>
      <c r="P1182" s="39" t="n">
        <f aca="false">J1182*Resumo!$C$8</f>
        <v>1.007979</v>
      </c>
      <c r="Q1182" s="39" t="n">
        <f aca="false">Resumo!$C$10*CEILING(I1182/100,1)</f>
        <v>1.05</v>
      </c>
      <c r="R1182" s="39" t="n">
        <f aca="false">Resumo!$C$9</f>
        <v>0</v>
      </c>
      <c r="S1182" s="39" t="n">
        <f aca="false">Resumo!$C$13</f>
        <v>13.55</v>
      </c>
      <c r="T1182" s="39" t="n">
        <f aca="false">Resumo!$C$14*CEILING(I1182,1)</f>
        <v>16.65</v>
      </c>
      <c r="U1182" s="39" t="n">
        <f aca="false">SUM(M1182:T1182)*Resumo!$C$11</f>
        <v>0</v>
      </c>
      <c r="V1182" s="39" t="n">
        <f aca="false">SUM(M1182:U1182)</f>
        <v>81.615958</v>
      </c>
      <c r="W1182" s="39" t="n">
        <f aca="false">V1182/(1-Resumo!$C$5)</f>
        <v>92.7454068181818</v>
      </c>
      <c r="X1182" s="39" t="n">
        <v>93.97</v>
      </c>
      <c r="Y1182" s="39" t="n">
        <f aca="false">J1182*Resumo!$B$6</f>
        <v>0.47999</v>
      </c>
      <c r="Z1182" s="39" t="n">
        <f aca="false">J1182*Resumo!$B$7</f>
        <v>0.95998</v>
      </c>
      <c r="AA1182" s="39" t="n">
        <f aca="false">Resumo!$B$9</f>
        <v>1</v>
      </c>
      <c r="AB1182" s="39" t="n">
        <f aca="false">Resumo!$B$10*CEILING(I1182/100,1)</f>
        <v>4.5</v>
      </c>
      <c r="AC1182" s="39" t="n">
        <f aca="false">Resumo!$B$12*CEILING(I1182,1)</f>
        <v>2.22</v>
      </c>
      <c r="AD1182" s="39" t="n">
        <f aca="false">Resumo!$B$14*CEILING(I1182,1)</f>
        <v>16.65</v>
      </c>
      <c r="AE1182" s="39" t="n">
        <f aca="false">SUM(X1182:AD1182)</f>
        <v>119.77997</v>
      </c>
      <c r="AF1182" s="39" t="n">
        <f aca="false">AE1182/(1-Resumo!$B$5)</f>
        <v>136.113602272727</v>
      </c>
      <c r="AG1182" s="39" t="n">
        <f aca="false">AF1182-W1182</f>
        <v>43.3681954545455</v>
      </c>
      <c r="AH1182" s="40" t="n">
        <f aca="false">AF1182/W1182-1</f>
        <v>0.467604778957566</v>
      </c>
      <c r="AI1182" s="37" t="str">
        <f aca="false">IF(AF1182&lt;W1182,"SIM","NÃO")</f>
        <v>NÃO</v>
      </c>
      <c r="AJ1182" s="37" t="n">
        <v>2</v>
      </c>
      <c r="AK1182" s="37" t="n">
        <v>5</v>
      </c>
      <c r="AL1182" s="37" t="s">
        <v>343</v>
      </c>
      <c r="AM1182" s="39" t="n">
        <v>92.16</v>
      </c>
    </row>
    <row r="1183" customFormat="false" ht="15" hidden="false" customHeight="false" outlineLevel="0" collapsed="false">
      <c r="A1183" s="37" t="n">
        <v>378396742</v>
      </c>
      <c r="B1183" s="38" t="n">
        <v>46252.5057638889</v>
      </c>
      <c r="C1183" s="37" t="s">
        <v>340</v>
      </c>
      <c r="D1183" s="37" t="s">
        <v>1460</v>
      </c>
      <c r="E1183" s="37" t="n">
        <v>26215090</v>
      </c>
      <c r="F1183" s="37" t="s">
        <v>162</v>
      </c>
      <c r="G1183" s="37" t="s">
        <v>197</v>
      </c>
      <c r="H1183" s="37" t="s">
        <v>188</v>
      </c>
      <c r="I1183" s="37" t="n">
        <v>69.15</v>
      </c>
      <c r="J1183" s="39" t="n">
        <v>829.99</v>
      </c>
      <c r="K1183" s="37" t="s">
        <v>342</v>
      </c>
      <c r="L1183" s="39" t="n">
        <v>140.41</v>
      </c>
      <c r="M1183" s="39" t="n">
        <v>76.55</v>
      </c>
      <c r="N1183" s="39" t="n">
        <f aca="false">J1183*Resumo!$C$6</f>
        <v>0</v>
      </c>
      <c r="O1183" s="39" t="n">
        <f aca="false">J1183*Resumo!$C$7</f>
        <v>1.742979</v>
      </c>
      <c r="P1183" s="39" t="n">
        <f aca="false">J1183*Resumo!$C$8</f>
        <v>1.742979</v>
      </c>
      <c r="Q1183" s="39" t="n">
        <f aca="false">Resumo!$C$10*CEILING(I1183/100,1)</f>
        <v>1.05</v>
      </c>
      <c r="R1183" s="39" t="n">
        <f aca="false">Resumo!$C$9</f>
        <v>0</v>
      </c>
      <c r="S1183" s="39" t="n">
        <f aca="false">Resumo!$C$13</f>
        <v>13.55</v>
      </c>
      <c r="T1183" s="39" t="n">
        <f aca="false">Resumo!$C$14*CEILING(I1183,1)</f>
        <v>31.5</v>
      </c>
      <c r="U1183" s="39" t="n">
        <f aca="false">SUM(M1183:T1183)*Resumo!$C$11</f>
        <v>0</v>
      </c>
      <c r="V1183" s="39" t="n">
        <f aca="false">SUM(M1183:U1183)</f>
        <v>126.135958</v>
      </c>
      <c r="W1183" s="39" t="n">
        <f aca="false">V1183/(1-Resumo!$C$5)</f>
        <v>143.336315909091</v>
      </c>
      <c r="X1183" s="39" t="n">
        <v>131.02</v>
      </c>
      <c r="Y1183" s="39" t="n">
        <f aca="false">J1183*Resumo!$B$6</f>
        <v>0.82999</v>
      </c>
      <c r="Z1183" s="39" t="n">
        <f aca="false">J1183*Resumo!$B$7</f>
        <v>1.65998</v>
      </c>
      <c r="AA1183" s="39" t="n">
        <f aca="false">Resumo!$B$9</f>
        <v>1</v>
      </c>
      <c r="AB1183" s="39" t="n">
        <f aca="false">Resumo!$B$10*CEILING(I1183/100,1)</f>
        <v>4.5</v>
      </c>
      <c r="AC1183" s="39" t="n">
        <f aca="false">Resumo!$B$12*CEILING(I1183,1)</f>
        <v>4.2</v>
      </c>
      <c r="AD1183" s="39" t="n">
        <f aca="false">Resumo!$B$14*CEILING(I1183,1)</f>
        <v>31.5</v>
      </c>
      <c r="AE1183" s="39" t="n">
        <f aca="false">SUM(X1183:AD1183)</f>
        <v>174.70997</v>
      </c>
      <c r="AF1183" s="39" t="n">
        <f aca="false">AE1183/(1-Resumo!$B$5)</f>
        <v>198.534056818182</v>
      </c>
      <c r="AG1183" s="39" t="n">
        <f aca="false">AF1183-W1183</f>
        <v>55.1977409090909</v>
      </c>
      <c r="AH1183" s="40" t="n">
        <f aca="false">AF1183/W1183-1</f>
        <v>0.385092504708293</v>
      </c>
      <c r="AI1183" s="37" t="str">
        <f aca="false">IF(AF1183&lt;W1183,"SIM","NÃO")</f>
        <v>NÃO</v>
      </c>
      <c r="AJ1183" s="37" t="n">
        <v>2</v>
      </c>
      <c r="AK1183" s="37" t="n">
        <v>5</v>
      </c>
      <c r="AL1183" s="37" t="s">
        <v>343</v>
      </c>
      <c r="AM1183" s="39" t="n">
        <v>140.41</v>
      </c>
    </row>
    <row r="1184" customFormat="false" ht="15" hidden="false" customHeight="false" outlineLevel="0" collapsed="false">
      <c r="A1184" s="37" t="n">
        <v>378401570</v>
      </c>
      <c r="B1184" s="38" t="n">
        <v>46252.5139583333</v>
      </c>
      <c r="C1184" s="37" t="s">
        <v>345</v>
      </c>
      <c r="D1184" s="37" t="s">
        <v>1461</v>
      </c>
      <c r="E1184" s="37" t="n">
        <v>25056130</v>
      </c>
      <c r="F1184" s="37" t="s">
        <v>161</v>
      </c>
      <c r="G1184" s="37" t="s">
        <v>197</v>
      </c>
      <c r="H1184" s="37" t="s">
        <v>184</v>
      </c>
      <c r="I1184" s="37" t="n">
        <v>26</v>
      </c>
      <c r="J1184" s="39" t="n">
        <v>483.83</v>
      </c>
      <c r="K1184" s="37" t="s">
        <v>342</v>
      </c>
      <c r="L1184" s="39" t="n">
        <v>101.72</v>
      </c>
      <c r="M1184" s="39" t="n">
        <v>58.8</v>
      </c>
      <c r="N1184" s="39" t="n">
        <f aca="false">J1184*Resumo!$C$6</f>
        <v>0</v>
      </c>
      <c r="O1184" s="39" t="n">
        <f aca="false">J1184*Resumo!$C$7</f>
        <v>1.016043</v>
      </c>
      <c r="P1184" s="39" t="n">
        <f aca="false">J1184*Resumo!$C$8</f>
        <v>1.016043</v>
      </c>
      <c r="Q1184" s="39" t="n">
        <f aca="false">Resumo!$C$10*CEILING(I1184/100,1)</f>
        <v>1.05</v>
      </c>
      <c r="R1184" s="39" t="n">
        <f aca="false">Resumo!$C$9</f>
        <v>0</v>
      </c>
      <c r="S1184" s="39" t="n">
        <f aca="false">Resumo!$C$13</f>
        <v>13.55</v>
      </c>
      <c r="T1184" s="39" t="n">
        <f aca="false">Resumo!$C$14*CEILING(I1184,1)</f>
        <v>11.7</v>
      </c>
      <c r="U1184" s="39" t="n">
        <f aca="false">SUM(M1184:T1184)*Resumo!$C$11</f>
        <v>0</v>
      </c>
      <c r="V1184" s="39" t="n">
        <f aca="false">SUM(M1184:U1184)</f>
        <v>87.132086</v>
      </c>
      <c r="W1184" s="39" t="n">
        <f aca="false">V1184/(1-Resumo!$C$5)</f>
        <v>99.0137340909091</v>
      </c>
      <c r="X1184" s="39" t="n">
        <v>82.21</v>
      </c>
      <c r="Y1184" s="39" t="n">
        <f aca="false">J1184*Resumo!$B$6</f>
        <v>0.48383</v>
      </c>
      <c r="Z1184" s="39" t="n">
        <f aca="false">J1184*Resumo!$B$7</f>
        <v>0.96766</v>
      </c>
      <c r="AA1184" s="39" t="n">
        <f aca="false">Resumo!$B$9</f>
        <v>1</v>
      </c>
      <c r="AB1184" s="39" t="n">
        <f aca="false">Resumo!$B$10*CEILING(I1184/100,1)</f>
        <v>4.5</v>
      </c>
      <c r="AC1184" s="39" t="n">
        <f aca="false">Resumo!$B$12*CEILING(I1184,1)</f>
        <v>1.56</v>
      </c>
      <c r="AD1184" s="39" t="n">
        <f aca="false">Resumo!$B$14*CEILING(I1184,1)</f>
        <v>11.7</v>
      </c>
      <c r="AE1184" s="39" t="n">
        <f aca="false">SUM(X1184:AD1184)</f>
        <v>102.42149</v>
      </c>
      <c r="AF1184" s="39" t="n">
        <f aca="false">AE1184/(1-Resumo!$B$5)</f>
        <v>116.388056818182</v>
      </c>
      <c r="AG1184" s="39" t="n">
        <f aca="false">AF1184-W1184</f>
        <v>17.3743227272727</v>
      </c>
      <c r="AH1184" s="40" t="n">
        <f aca="false">AF1184/W1184-1</f>
        <v>0.175473866194366</v>
      </c>
      <c r="AI1184" s="37" t="str">
        <f aca="false">IF(AF1184&lt;W1184,"SIM","NÃO")</f>
        <v>NÃO</v>
      </c>
      <c r="AJ1184" s="37" t="n">
        <v>2</v>
      </c>
      <c r="AK1184" s="37" t="n">
        <v>5</v>
      </c>
      <c r="AL1184" s="37" t="s">
        <v>343</v>
      </c>
      <c r="AM1184" s="39" t="n">
        <v>101.71</v>
      </c>
    </row>
    <row r="1185" customFormat="false" ht="15" hidden="false" customHeight="false" outlineLevel="0" collapsed="false">
      <c r="A1185" s="37" t="n">
        <v>378401556</v>
      </c>
      <c r="B1185" s="38" t="n">
        <v>46252.5142592593</v>
      </c>
      <c r="C1185" s="37" t="s">
        <v>340</v>
      </c>
      <c r="D1185" s="37" t="s">
        <v>494</v>
      </c>
      <c r="E1185" s="37" t="n">
        <v>23520132</v>
      </c>
      <c r="F1185" s="37" t="s">
        <v>159</v>
      </c>
      <c r="G1185" s="37" t="s">
        <v>196</v>
      </c>
      <c r="H1185" s="37" t="s">
        <v>184</v>
      </c>
      <c r="I1185" s="37" t="n">
        <v>27.5</v>
      </c>
      <c r="J1185" s="39" t="n">
        <v>379.99</v>
      </c>
      <c r="K1185" s="37" t="s">
        <v>342</v>
      </c>
      <c r="L1185" s="39" t="n">
        <v>82.15</v>
      </c>
      <c r="M1185" s="39" t="n">
        <v>42.11</v>
      </c>
      <c r="N1185" s="39" t="n">
        <f aca="false">J1185*Resumo!$C$6</f>
        <v>0</v>
      </c>
      <c r="O1185" s="39" t="n">
        <f aca="false">J1185*Resumo!$C$7</f>
        <v>0.797979</v>
      </c>
      <c r="P1185" s="39" t="n">
        <f aca="false">J1185*Resumo!$C$8</f>
        <v>0.797979</v>
      </c>
      <c r="Q1185" s="39" t="n">
        <f aca="false">Resumo!$C$10*CEILING(I1185/100,1)</f>
        <v>1.05</v>
      </c>
      <c r="R1185" s="39" t="n">
        <f aca="false">Resumo!$C$9</f>
        <v>0</v>
      </c>
      <c r="S1185" s="39" t="n">
        <f aca="false">Resumo!$C$13</f>
        <v>13.55</v>
      </c>
      <c r="T1185" s="39" t="n">
        <f aca="false">Resumo!$C$14*CEILING(I1185,1)</f>
        <v>12.6</v>
      </c>
      <c r="U1185" s="39" t="n">
        <f aca="false">SUM(M1185:T1185)*Resumo!$C$11</f>
        <v>0</v>
      </c>
      <c r="V1185" s="39" t="n">
        <f aca="false">SUM(M1185:U1185)</f>
        <v>70.905958</v>
      </c>
      <c r="W1185" s="39" t="n">
        <f aca="false">V1185/(1-Resumo!$C$5)</f>
        <v>80.5749522727273</v>
      </c>
      <c r="X1185" s="39" t="n">
        <v>82.21</v>
      </c>
      <c r="Y1185" s="39" t="n">
        <f aca="false">J1185*Resumo!$B$6</f>
        <v>0.37999</v>
      </c>
      <c r="Z1185" s="39" t="n">
        <f aca="false">J1185*Resumo!$B$7</f>
        <v>0.75998</v>
      </c>
      <c r="AA1185" s="39" t="n">
        <f aca="false">Resumo!$B$9</f>
        <v>1</v>
      </c>
      <c r="AB1185" s="39" t="n">
        <f aca="false">Resumo!$B$10*CEILING(I1185/100,1)</f>
        <v>4.5</v>
      </c>
      <c r="AC1185" s="39" t="n">
        <f aca="false">Resumo!$B$12*CEILING(I1185,1)</f>
        <v>1.68</v>
      </c>
      <c r="AD1185" s="39" t="n">
        <f aca="false">Resumo!$B$14*CEILING(I1185,1)</f>
        <v>12.6</v>
      </c>
      <c r="AE1185" s="39" t="n">
        <f aca="false">SUM(X1185:AD1185)</f>
        <v>103.12997</v>
      </c>
      <c r="AF1185" s="39" t="n">
        <f aca="false">AE1185/(1-Resumo!$B$5)</f>
        <v>117.193147727273</v>
      </c>
      <c r="AG1185" s="39" t="n">
        <f aca="false">AF1185-W1185</f>
        <v>36.6181954545454</v>
      </c>
      <c r="AH1185" s="40" t="n">
        <f aca="false">AF1185/W1185-1</f>
        <v>0.454461273903104</v>
      </c>
      <c r="AI1185" s="37" t="str">
        <f aca="false">IF(AF1185&lt;W1185,"SIM","NÃO")</f>
        <v>NÃO</v>
      </c>
      <c r="AJ1185" s="37" t="n">
        <v>2</v>
      </c>
      <c r="AK1185" s="37" t="n">
        <v>5</v>
      </c>
      <c r="AL1185" s="37" t="s">
        <v>343</v>
      </c>
      <c r="AM1185" s="39" t="n">
        <v>82.15</v>
      </c>
    </row>
    <row r="1186" customFormat="false" ht="15" hidden="false" customHeight="false" outlineLevel="0" collapsed="false">
      <c r="A1186" s="37" t="n">
        <v>378406542</v>
      </c>
      <c r="B1186" s="38" t="n">
        <v>46252.5229976852</v>
      </c>
      <c r="C1186" s="37" t="s">
        <v>379</v>
      </c>
      <c r="D1186" s="37" t="s">
        <v>756</v>
      </c>
      <c r="E1186" s="37" t="n">
        <v>28650000</v>
      </c>
      <c r="F1186" s="37" t="s">
        <v>281</v>
      </c>
      <c r="G1186" s="37" t="s">
        <v>198</v>
      </c>
      <c r="H1186" s="37" t="s">
        <v>191</v>
      </c>
      <c r="I1186" s="37" t="n">
        <v>107</v>
      </c>
      <c r="J1186" s="39" t="n">
        <v>3059.98</v>
      </c>
      <c r="K1186" s="37" t="s">
        <v>342</v>
      </c>
      <c r="L1186" s="39" t="n">
        <v>225.33</v>
      </c>
      <c r="M1186" s="39" t="n">
        <v>119.5</v>
      </c>
      <c r="N1186" s="39" t="n">
        <f aca="false">J1186*Resumo!$C$6</f>
        <v>0</v>
      </c>
      <c r="O1186" s="39" t="n">
        <f aca="false">J1186*Resumo!$C$7</f>
        <v>6.425958</v>
      </c>
      <c r="P1186" s="39" t="n">
        <f aca="false">J1186*Resumo!$C$8</f>
        <v>6.425958</v>
      </c>
      <c r="Q1186" s="39" t="n">
        <f aca="false">Resumo!$C$10*CEILING(I1186/100,1)</f>
        <v>2.1</v>
      </c>
      <c r="R1186" s="39" t="n">
        <f aca="false">Resumo!$C$9</f>
        <v>0</v>
      </c>
      <c r="S1186" s="39" t="n">
        <f aca="false">Resumo!$C$13</f>
        <v>13.55</v>
      </c>
      <c r="T1186" s="39" t="n">
        <f aca="false">Resumo!$C$14*CEILING(I1186,1)</f>
        <v>48.15</v>
      </c>
      <c r="U1186" s="39" t="n">
        <f aca="false">SUM(M1186:T1186)*Resumo!$C$11</f>
        <v>0</v>
      </c>
      <c r="V1186" s="39" t="n">
        <f aca="false">SUM(M1186:U1186)</f>
        <v>196.151916</v>
      </c>
      <c r="W1186" s="39" t="n">
        <f aca="false">V1186/(1-Resumo!$C$5)</f>
        <v>222.899904545455</v>
      </c>
      <c r="X1186" s="39" t="n">
        <v>236.82</v>
      </c>
      <c r="Y1186" s="39" t="n">
        <f aca="false">J1186*Resumo!$B$6</f>
        <v>3.05998</v>
      </c>
      <c r="Z1186" s="39" t="n">
        <f aca="false">J1186*Resumo!$B$7</f>
        <v>6.11996</v>
      </c>
      <c r="AA1186" s="39" t="n">
        <f aca="false">Resumo!$B$9</f>
        <v>1</v>
      </c>
      <c r="AB1186" s="39" t="n">
        <f aca="false">Resumo!$B$10*CEILING(I1186/100,1)</f>
        <v>9</v>
      </c>
      <c r="AC1186" s="39" t="n">
        <f aca="false">Resumo!$B$12*CEILING(I1186,1)</f>
        <v>6.42</v>
      </c>
      <c r="AD1186" s="39" t="n">
        <f aca="false">Resumo!$B$14*CEILING(I1186,1)</f>
        <v>48.15</v>
      </c>
      <c r="AE1186" s="39" t="n">
        <f aca="false">SUM(X1186:AD1186)</f>
        <v>310.56994</v>
      </c>
      <c r="AF1186" s="39" t="n">
        <f aca="false">AE1186/(1-Resumo!$B$5)</f>
        <v>352.920386363636</v>
      </c>
      <c r="AG1186" s="39" t="n">
        <f aca="false">AF1186-W1186</f>
        <v>130.020481818182</v>
      </c>
      <c r="AH1186" s="40" t="n">
        <f aca="false">AF1186/W1186-1</f>
        <v>0.583313313136334</v>
      </c>
      <c r="AI1186" s="37" t="str">
        <f aca="false">IF(AF1186&lt;W1186,"SIM","NÃO")</f>
        <v>NÃO</v>
      </c>
      <c r="AJ1186" s="37" t="n">
        <v>13</v>
      </c>
      <c r="AK1186" s="37" t="n">
        <v>10</v>
      </c>
      <c r="AL1186" s="37" t="s">
        <v>347</v>
      </c>
      <c r="AM1186" s="39" t="n">
        <v>225.33</v>
      </c>
    </row>
    <row r="1187" customFormat="false" ht="15" hidden="false" customHeight="false" outlineLevel="0" collapsed="false">
      <c r="A1187" s="37" t="n">
        <v>378433768</v>
      </c>
      <c r="B1187" s="38" t="n">
        <v>46252.5720601852</v>
      </c>
      <c r="C1187" s="37" t="s">
        <v>340</v>
      </c>
      <c r="D1187" s="37" t="s">
        <v>1462</v>
      </c>
      <c r="E1187" s="37" t="n">
        <v>25555050</v>
      </c>
      <c r="F1187" s="37" t="s">
        <v>167</v>
      </c>
      <c r="G1187" s="37" t="s">
        <v>197</v>
      </c>
      <c r="H1187" s="37" t="s">
        <v>186</v>
      </c>
      <c r="I1187" s="37" t="n">
        <v>46.8</v>
      </c>
      <c r="J1187" s="39" t="n">
        <v>506.56</v>
      </c>
      <c r="K1187" s="37" t="s">
        <v>342</v>
      </c>
      <c r="L1187" s="39" t="n">
        <v>116.49</v>
      </c>
      <c r="M1187" s="39" t="n">
        <v>65.36</v>
      </c>
      <c r="N1187" s="39" t="n">
        <f aca="false">J1187*Resumo!$C$6</f>
        <v>0</v>
      </c>
      <c r="O1187" s="39" t="n">
        <f aca="false">J1187*Resumo!$C$7</f>
        <v>1.063776</v>
      </c>
      <c r="P1187" s="39" t="n">
        <f aca="false">J1187*Resumo!$C$8</f>
        <v>1.063776</v>
      </c>
      <c r="Q1187" s="39" t="n">
        <f aca="false">Resumo!$C$10*CEILING(I1187/100,1)</f>
        <v>1.05</v>
      </c>
      <c r="R1187" s="39" t="n">
        <f aca="false">Resumo!$C$9</f>
        <v>0</v>
      </c>
      <c r="S1187" s="39" t="n">
        <f aca="false">Resumo!$C$13</f>
        <v>13.55</v>
      </c>
      <c r="T1187" s="39" t="n">
        <f aca="false">Resumo!$C$14*CEILING(I1187,1)</f>
        <v>21.15</v>
      </c>
      <c r="U1187" s="39" t="n">
        <f aca="false">SUM(M1187:T1187)*Resumo!$C$11</f>
        <v>0</v>
      </c>
      <c r="V1187" s="39" t="n">
        <f aca="false">SUM(M1187:U1187)</f>
        <v>103.237552</v>
      </c>
      <c r="W1187" s="39" t="n">
        <f aca="false">V1187/(1-Resumo!$C$5)</f>
        <v>117.3154</v>
      </c>
      <c r="X1187" s="39" t="n">
        <v>93.97</v>
      </c>
      <c r="Y1187" s="39" t="n">
        <f aca="false">J1187*Resumo!$B$6</f>
        <v>0.50656</v>
      </c>
      <c r="Z1187" s="39" t="n">
        <f aca="false">J1187*Resumo!$B$7</f>
        <v>1.01312</v>
      </c>
      <c r="AA1187" s="39" t="n">
        <f aca="false">Resumo!$B$9</f>
        <v>1</v>
      </c>
      <c r="AB1187" s="39" t="n">
        <f aca="false">Resumo!$B$10*CEILING(I1187/100,1)</f>
        <v>4.5</v>
      </c>
      <c r="AC1187" s="39" t="n">
        <f aca="false">Resumo!$B$12*CEILING(I1187,1)</f>
        <v>2.82</v>
      </c>
      <c r="AD1187" s="39" t="n">
        <f aca="false">Resumo!$B$14*CEILING(I1187,1)</f>
        <v>21.15</v>
      </c>
      <c r="AE1187" s="39" t="n">
        <f aca="false">SUM(X1187:AD1187)</f>
        <v>124.95968</v>
      </c>
      <c r="AF1187" s="39" t="n">
        <f aca="false">AE1187/(1-Resumo!$B$5)</f>
        <v>141.999636363636</v>
      </c>
      <c r="AG1187" s="39" t="n">
        <f aca="false">AF1187-W1187</f>
        <v>24.6842363636364</v>
      </c>
      <c r="AH1187" s="40" t="n">
        <f aca="false">AF1187/W1187-1</f>
        <v>0.210409173592183</v>
      </c>
      <c r="AI1187" s="37" t="str">
        <f aca="false">IF(AF1187&lt;W1187,"SIM","NÃO")</f>
        <v>NÃO</v>
      </c>
      <c r="AJ1187" s="37" t="n">
        <v>2</v>
      </c>
      <c r="AK1187" s="37" t="n">
        <v>5</v>
      </c>
      <c r="AL1187" s="37" t="s">
        <v>343</v>
      </c>
      <c r="AM1187" s="39" t="n">
        <v>116.5</v>
      </c>
    </row>
    <row r="1188" customFormat="false" ht="15" hidden="false" customHeight="false" outlineLevel="0" collapsed="false">
      <c r="A1188" s="37" t="n">
        <v>378436882</v>
      </c>
      <c r="B1188" s="38" t="n">
        <v>46252.5786921296</v>
      </c>
      <c r="C1188" s="37" t="s">
        <v>340</v>
      </c>
      <c r="D1188" s="37" t="s">
        <v>1463</v>
      </c>
      <c r="E1188" s="37" t="n">
        <v>26298611</v>
      </c>
      <c r="F1188" s="37" t="s">
        <v>162</v>
      </c>
      <c r="G1188" s="37" t="s">
        <v>197</v>
      </c>
      <c r="H1188" s="37" t="s">
        <v>188</v>
      </c>
      <c r="I1188" s="37" t="n">
        <v>63.9</v>
      </c>
      <c r="J1188" s="39" t="n">
        <v>730.98</v>
      </c>
      <c r="K1188" s="37" t="s">
        <v>342</v>
      </c>
      <c r="L1188" s="39" t="n">
        <v>139.93</v>
      </c>
      <c r="M1188" s="39" t="n">
        <v>76.55</v>
      </c>
      <c r="N1188" s="39" t="n">
        <f aca="false">J1188*Resumo!$C$6</f>
        <v>0</v>
      </c>
      <c r="O1188" s="39" t="n">
        <f aca="false">J1188*Resumo!$C$7</f>
        <v>1.535058</v>
      </c>
      <c r="P1188" s="39" t="n">
        <f aca="false">J1188*Resumo!$C$8</f>
        <v>1.535058</v>
      </c>
      <c r="Q1188" s="39" t="n">
        <f aca="false">Resumo!$C$10*CEILING(I1188/100,1)</f>
        <v>1.05</v>
      </c>
      <c r="R1188" s="39" t="n">
        <f aca="false">Resumo!$C$9</f>
        <v>0</v>
      </c>
      <c r="S1188" s="39" t="n">
        <f aca="false">Resumo!$C$13</f>
        <v>13.55</v>
      </c>
      <c r="T1188" s="39" t="n">
        <f aca="false">Resumo!$C$14*CEILING(I1188,1)</f>
        <v>28.8</v>
      </c>
      <c r="U1188" s="39" t="n">
        <f aca="false">SUM(M1188:T1188)*Resumo!$C$11</f>
        <v>0</v>
      </c>
      <c r="V1188" s="39" t="n">
        <f aca="false">SUM(M1188:U1188)</f>
        <v>123.020116</v>
      </c>
      <c r="W1188" s="39" t="n">
        <f aca="false">V1188/(1-Resumo!$C$5)</f>
        <v>139.795586363636</v>
      </c>
      <c r="X1188" s="39" t="n">
        <v>131.02</v>
      </c>
      <c r="Y1188" s="39" t="n">
        <f aca="false">J1188*Resumo!$B$6</f>
        <v>0.73098</v>
      </c>
      <c r="Z1188" s="39" t="n">
        <f aca="false">J1188*Resumo!$B$7</f>
        <v>1.46196</v>
      </c>
      <c r="AA1188" s="39" t="n">
        <f aca="false">Resumo!$B$9</f>
        <v>1</v>
      </c>
      <c r="AB1188" s="39" t="n">
        <f aca="false">Resumo!$B$10*CEILING(I1188/100,1)</f>
        <v>4.5</v>
      </c>
      <c r="AC1188" s="39" t="n">
        <f aca="false">Resumo!$B$12*CEILING(I1188,1)</f>
        <v>3.84</v>
      </c>
      <c r="AD1188" s="39" t="n">
        <f aca="false">Resumo!$B$14*CEILING(I1188,1)</f>
        <v>28.8</v>
      </c>
      <c r="AE1188" s="39" t="n">
        <f aca="false">SUM(X1188:AD1188)</f>
        <v>171.35294</v>
      </c>
      <c r="AF1188" s="39" t="n">
        <f aca="false">AE1188/(1-Resumo!$B$5)</f>
        <v>194.71925</v>
      </c>
      <c r="AG1188" s="39" t="n">
        <f aca="false">AF1188-W1188</f>
        <v>54.9236636363636</v>
      </c>
      <c r="AH1188" s="40" t="n">
        <f aca="false">AF1188/W1188-1</f>
        <v>0.392885534264982</v>
      </c>
      <c r="AI1188" s="37" t="str">
        <f aca="false">IF(AF1188&lt;W1188,"SIM","NÃO")</f>
        <v>NÃO</v>
      </c>
      <c r="AJ1188" s="37" t="n">
        <v>2</v>
      </c>
      <c r="AK1188" s="37" t="n">
        <v>5</v>
      </c>
      <c r="AL1188" s="37" t="s">
        <v>343</v>
      </c>
      <c r="AM1188" s="39" t="n">
        <v>139.94</v>
      </c>
    </row>
    <row r="1189" customFormat="false" ht="15" hidden="false" customHeight="false" outlineLevel="0" collapsed="false">
      <c r="A1189" s="37" t="n">
        <v>378452214</v>
      </c>
      <c r="B1189" s="38" t="n">
        <v>46252.6090277778</v>
      </c>
      <c r="C1189" s="37" t="s">
        <v>340</v>
      </c>
      <c r="D1189" s="37" t="s">
        <v>1464</v>
      </c>
      <c r="E1189" s="37" t="n">
        <v>22211230</v>
      </c>
      <c r="F1189" s="37" t="s">
        <v>159</v>
      </c>
      <c r="G1189" s="37" t="s">
        <v>196</v>
      </c>
      <c r="H1189" s="37" t="s">
        <v>187</v>
      </c>
      <c r="I1189" s="37" t="n">
        <v>52.3</v>
      </c>
      <c r="J1189" s="39" t="n">
        <v>699.99</v>
      </c>
      <c r="K1189" s="37" t="s">
        <v>342</v>
      </c>
      <c r="L1189" s="39" t="n">
        <v>114.5</v>
      </c>
      <c r="M1189" s="39" t="n">
        <v>58.6</v>
      </c>
      <c r="N1189" s="39" t="n">
        <f aca="false">J1189*Resumo!$C$6</f>
        <v>0</v>
      </c>
      <c r="O1189" s="39" t="n">
        <f aca="false">J1189*Resumo!$C$7</f>
        <v>1.469979</v>
      </c>
      <c r="P1189" s="39" t="n">
        <f aca="false">J1189*Resumo!$C$8</f>
        <v>1.469979</v>
      </c>
      <c r="Q1189" s="39" t="n">
        <f aca="false">Resumo!$C$10*CEILING(I1189/100,1)</f>
        <v>1.05</v>
      </c>
      <c r="R1189" s="39" t="n">
        <f aca="false">Resumo!$C$9</f>
        <v>0</v>
      </c>
      <c r="S1189" s="39" t="n">
        <f aca="false">Resumo!$C$13</f>
        <v>13.55</v>
      </c>
      <c r="T1189" s="39" t="n">
        <f aca="false">Resumo!$C$14*CEILING(I1189,1)</f>
        <v>23.85</v>
      </c>
      <c r="U1189" s="39" t="n">
        <f aca="false">SUM(M1189:T1189)*Resumo!$C$11</f>
        <v>0</v>
      </c>
      <c r="V1189" s="39" t="n">
        <f aca="false">SUM(M1189:U1189)</f>
        <v>99.989958</v>
      </c>
      <c r="W1189" s="39" t="n">
        <f aca="false">V1189/(1-Resumo!$C$5)</f>
        <v>113.624952272727</v>
      </c>
      <c r="X1189" s="39" t="n">
        <v>112.3</v>
      </c>
      <c r="Y1189" s="39" t="n">
        <f aca="false">J1189*Resumo!$B$6</f>
        <v>0.69999</v>
      </c>
      <c r="Z1189" s="39" t="n">
        <f aca="false">J1189*Resumo!$B$7</f>
        <v>1.39998</v>
      </c>
      <c r="AA1189" s="39" t="n">
        <f aca="false">Resumo!$B$9</f>
        <v>1</v>
      </c>
      <c r="AB1189" s="39" t="n">
        <f aca="false">Resumo!$B$10*CEILING(I1189/100,1)</f>
        <v>4.5</v>
      </c>
      <c r="AC1189" s="39" t="n">
        <f aca="false">Resumo!$B$12*CEILING(I1189,1)</f>
        <v>3.18</v>
      </c>
      <c r="AD1189" s="39" t="n">
        <f aca="false">Resumo!$B$14*CEILING(I1189,1)</f>
        <v>23.85</v>
      </c>
      <c r="AE1189" s="39" t="n">
        <f aca="false">SUM(X1189:AD1189)</f>
        <v>146.92997</v>
      </c>
      <c r="AF1189" s="39" t="n">
        <f aca="false">AE1189/(1-Resumo!$B$5)</f>
        <v>166.965875</v>
      </c>
      <c r="AG1189" s="39" t="n">
        <f aca="false">AF1189-W1189</f>
        <v>53.3409227272727</v>
      </c>
      <c r="AH1189" s="40" t="n">
        <f aca="false">AF1189/W1189-1</f>
        <v>0.469447261894039</v>
      </c>
      <c r="AI1189" s="37" t="str">
        <f aca="false">IF(AF1189&lt;W1189,"SIM","NÃO")</f>
        <v>NÃO</v>
      </c>
      <c r="AJ1189" s="37" t="n">
        <v>2</v>
      </c>
      <c r="AK1189" s="37" t="n">
        <v>5</v>
      </c>
      <c r="AL1189" s="37" t="s">
        <v>343</v>
      </c>
      <c r="AM1189" s="39" t="n">
        <v>114.5</v>
      </c>
    </row>
    <row r="1190" customFormat="false" ht="15" hidden="false" customHeight="false" outlineLevel="0" collapsed="false">
      <c r="A1190" s="37" t="n">
        <v>378457966</v>
      </c>
      <c r="B1190" s="38" t="n">
        <v>46252.620162037</v>
      </c>
      <c r="C1190" s="37" t="s">
        <v>345</v>
      </c>
      <c r="D1190" s="37" t="s">
        <v>1465</v>
      </c>
      <c r="E1190" s="37" t="n">
        <v>27536220</v>
      </c>
      <c r="F1190" s="37" t="s">
        <v>250</v>
      </c>
      <c r="G1190" s="37" t="s">
        <v>198</v>
      </c>
      <c r="H1190" s="37" t="s">
        <v>188</v>
      </c>
      <c r="I1190" s="37" t="n">
        <v>66.8</v>
      </c>
      <c r="J1190" s="39" t="n">
        <v>631.66</v>
      </c>
      <c r="K1190" s="37" t="s">
        <v>342</v>
      </c>
      <c r="L1190" s="39" t="n">
        <v>155.03</v>
      </c>
      <c r="M1190" s="39" t="n">
        <v>90.2</v>
      </c>
      <c r="N1190" s="39" t="n">
        <f aca="false">J1190*Resumo!$C$6</f>
        <v>0</v>
      </c>
      <c r="O1190" s="39" t="n">
        <f aca="false">J1190*Resumo!$C$7</f>
        <v>1.326486</v>
      </c>
      <c r="P1190" s="39" t="n">
        <f aca="false">J1190*Resumo!$C$8</f>
        <v>1.326486</v>
      </c>
      <c r="Q1190" s="39" t="n">
        <f aca="false">Resumo!$C$10*CEILING(I1190/100,1)</f>
        <v>1.05</v>
      </c>
      <c r="R1190" s="39" t="n">
        <f aca="false">Resumo!$C$9</f>
        <v>0</v>
      </c>
      <c r="S1190" s="39" t="n">
        <f aca="false">Resumo!$C$13</f>
        <v>13.55</v>
      </c>
      <c r="T1190" s="39" t="n">
        <f aca="false">Resumo!$C$14*CEILING(I1190,1)</f>
        <v>30.15</v>
      </c>
      <c r="U1190" s="39" t="n">
        <f aca="false">SUM(M1190:T1190)*Resumo!$C$11</f>
        <v>0</v>
      </c>
      <c r="V1190" s="39" t="n">
        <f aca="false">SUM(M1190:U1190)</f>
        <v>137.602972</v>
      </c>
      <c r="W1190" s="39" t="n">
        <f aca="false">V1190/(1-Resumo!$C$5)</f>
        <v>156.367013636364</v>
      </c>
      <c r="X1190" s="39" t="n">
        <v>166.05</v>
      </c>
      <c r="Y1190" s="39" t="n">
        <f aca="false">J1190*Resumo!$B$6</f>
        <v>0.63166</v>
      </c>
      <c r="Z1190" s="39" t="n">
        <f aca="false">J1190*Resumo!$B$7</f>
        <v>1.26332</v>
      </c>
      <c r="AA1190" s="39" t="n">
        <f aca="false">Resumo!$B$9</f>
        <v>1</v>
      </c>
      <c r="AB1190" s="39" t="n">
        <f aca="false">Resumo!$B$10*CEILING(I1190/100,1)</f>
        <v>4.5</v>
      </c>
      <c r="AC1190" s="39" t="n">
        <f aca="false">Resumo!$B$12*CEILING(I1190,1)</f>
        <v>4.02</v>
      </c>
      <c r="AD1190" s="39" t="n">
        <f aca="false">Resumo!$B$14*CEILING(I1190,1)</f>
        <v>30.15</v>
      </c>
      <c r="AE1190" s="39" t="n">
        <f aca="false">SUM(X1190:AD1190)</f>
        <v>207.61498</v>
      </c>
      <c r="AF1190" s="39" t="n">
        <f aca="false">AE1190/(1-Resumo!$B$5)</f>
        <v>235.926113636364</v>
      </c>
      <c r="AG1190" s="39" t="n">
        <f aca="false">AF1190-W1190</f>
        <v>79.5591</v>
      </c>
      <c r="AH1190" s="40" t="n">
        <f aca="false">AF1190/W1190-1</f>
        <v>0.508797208246345</v>
      </c>
      <c r="AI1190" s="37" t="str">
        <f aca="false">IF(AF1190&lt;W1190,"SIM","NÃO")</f>
        <v>NÃO</v>
      </c>
      <c r="AJ1190" s="37" t="n">
        <v>13</v>
      </c>
      <c r="AK1190" s="37" t="n">
        <v>10</v>
      </c>
      <c r="AL1190" s="37" t="s">
        <v>347</v>
      </c>
      <c r="AM1190" s="39" t="n">
        <v>155.05</v>
      </c>
    </row>
    <row r="1191" customFormat="false" ht="15" hidden="false" customHeight="false" outlineLevel="0" collapsed="false">
      <c r="A1191" s="37" t="n">
        <v>378461671</v>
      </c>
      <c r="B1191" s="38" t="n">
        <v>46252.6272106482</v>
      </c>
      <c r="C1191" s="37" t="s">
        <v>340</v>
      </c>
      <c r="D1191" s="37" t="s">
        <v>1466</v>
      </c>
      <c r="E1191" s="37" t="n">
        <v>20250450</v>
      </c>
      <c r="F1191" s="37" t="s">
        <v>159</v>
      </c>
      <c r="G1191" s="37" t="s">
        <v>196</v>
      </c>
      <c r="H1191" s="37" t="s">
        <v>186</v>
      </c>
      <c r="I1191" s="37" t="n">
        <v>41.4</v>
      </c>
      <c r="J1191" s="39" t="n">
        <v>449.99</v>
      </c>
      <c r="K1191" s="37" t="s">
        <v>342</v>
      </c>
      <c r="L1191" s="39" t="n">
        <v>102.74</v>
      </c>
      <c r="M1191" s="39" t="n">
        <v>53.55</v>
      </c>
      <c r="N1191" s="39" t="n">
        <f aca="false">J1191*Resumo!$C$6</f>
        <v>0</v>
      </c>
      <c r="O1191" s="39" t="n">
        <f aca="false">J1191*Resumo!$C$7</f>
        <v>0.944979</v>
      </c>
      <c r="P1191" s="39" t="n">
        <f aca="false">J1191*Resumo!$C$8</f>
        <v>0.944979</v>
      </c>
      <c r="Q1191" s="39" t="n">
        <f aca="false">Resumo!$C$10*CEILING(I1191/100,1)</f>
        <v>1.05</v>
      </c>
      <c r="R1191" s="39" t="n">
        <f aca="false">Resumo!$C$9</f>
        <v>0</v>
      </c>
      <c r="S1191" s="39" t="n">
        <f aca="false">Resumo!$C$13</f>
        <v>13.55</v>
      </c>
      <c r="T1191" s="39" t="n">
        <f aca="false">Resumo!$C$14*CEILING(I1191,1)</f>
        <v>18.9</v>
      </c>
      <c r="U1191" s="39" t="n">
        <f aca="false">SUM(M1191:T1191)*Resumo!$C$11</f>
        <v>0</v>
      </c>
      <c r="V1191" s="39" t="n">
        <f aca="false">SUM(M1191:U1191)</f>
        <v>88.939958</v>
      </c>
      <c r="W1191" s="39" t="n">
        <f aca="false">V1191/(1-Resumo!$C$5)</f>
        <v>101.068134090909</v>
      </c>
      <c r="X1191" s="39" t="n">
        <v>93.97</v>
      </c>
      <c r="Y1191" s="39" t="n">
        <f aca="false">J1191*Resumo!$B$6</f>
        <v>0.44999</v>
      </c>
      <c r="Z1191" s="39" t="n">
        <f aca="false">J1191*Resumo!$B$7</f>
        <v>0.89998</v>
      </c>
      <c r="AA1191" s="39" t="n">
        <f aca="false">Resumo!$B$9</f>
        <v>1</v>
      </c>
      <c r="AB1191" s="39" t="n">
        <f aca="false">Resumo!$B$10*CEILING(I1191/100,1)</f>
        <v>4.5</v>
      </c>
      <c r="AC1191" s="39" t="n">
        <f aca="false">Resumo!$B$12*CEILING(I1191,1)</f>
        <v>2.52</v>
      </c>
      <c r="AD1191" s="39" t="n">
        <f aca="false">Resumo!$B$14*CEILING(I1191,1)</f>
        <v>18.9</v>
      </c>
      <c r="AE1191" s="39" t="n">
        <f aca="false">SUM(X1191:AD1191)</f>
        <v>122.23997</v>
      </c>
      <c r="AF1191" s="39" t="n">
        <f aca="false">AE1191/(1-Resumo!$B$5)</f>
        <v>138.909056818182</v>
      </c>
      <c r="AG1191" s="39" t="n">
        <f aca="false">AF1191-W1191</f>
        <v>37.8409227272727</v>
      </c>
      <c r="AH1191" s="40" t="n">
        <f aca="false">AF1191/W1191-1</f>
        <v>0.374410026143705</v>
      </c>
      <c r="AI1191" s="37" t="str">
        <f aca="false">IF(AF1191&lt;W1191,"SIM","NÃO")</f>
        <v>NÃO</v>
      </c>
      <c r="AJ1191" s="37" t="n">
        <v>2</v>
      </c>
      <c r="AK1191" s="37" t="n">
        <v>5</v>
      </c>
      <c r="AL1191" s="37" t="s">
        <v>343</v>
      </c>
      <c r="AM1191" s="39" t="n">
        <v>102.74</v>
      </c>
    </row>
    <row r="1192" customFormat="false" ht="15" hidden="false" customHeight="false" outlineLevel="0" collapsed="false">
      <c r="A1192" s="37" t="n">
        <v>378468371</v>
      </c>
      <c r="B1192" s="38" t="n">
        <v>46252.6396412037</v>
      </c>
      <c r="C1192" s="37" t="s">
        <v>340</v>
      </c>
      <c r="D1192" s="37" t="s">
        <v>1467</v>
      </c>
      <c r="E1192" s="37" t="n">
        <v>28985445</v>
      </c>
      <c r="F1192" s="37" t="s">
        <v>173</v>
      </c>
      <c r="G1192" s="37" t="s">
        <v>198</v>
      </c>
      <c r="H1192" s="37" t="s">
        <v>185</v>
      </c>
      <c r="I1192" s="37" t="n">
        <v>39.8</v>
      </c>
      <c r="J1192" s="39" t="n">
        <v>559.98</v>
      </c>
      <c r="K1192" s="37" t="s">
        <v>342</v>
      </c>
      <c r="L1192" s="39" t="n">
        <v>122.93</v>
      </c>
      <c r="M1192" s="39" t="n">
        <v>74.97</v>
      </c>
      <c r="N1192" s="39" t="n">
        <f aca="false">J1192*Resumo!$C$6</f>
        <v>0</v>
      </c>
      <c r="O1192" s="39" t="n">
        <f aca="false">J1192*Resumo!$C$7</f>
        <v>1.175958</v>
      </c>
      <c r="P1192" s="39" t="n">
        <f aca="false">J1192*Resumo!$C$8</f>
        <v>1.175958</v>
      </c>
      <c r="Q1192" s="39" t="n">
        <f aca="false">Resumo!$C$10*CEILING(I1192/100,1)</f>
        <v>1.05</v>
      </c>
      <c r="R1192" s="39" t="n">
        <f aca="false">Resumo!$C$9</f>
        <v>0</v>
      </c>
      <c r="S1192" s="39" t="n">
        <f aca="false">Resumo!$C$13</f>
        <v>13.55</v>
      </c>
      <c r="T1192" s="39" t="n">
        <f aca="false">Resumo!$C$14*CEILING(I1192,1)</f>
        <v>18</v>
      </c>
      <c r="U1192" s="39" t="n">
        <f aca="false">SUM(M1192:T1192)*Resumo!$C$11</f>
        <v>0</v>
      </c>
      <c r="V1192" s="39" t="n">
        <f aca="false">SUM(M1192:U1192)</f>
        <v>109.921916</v>
      </c>
      <c r="W1192" s="39" t="n">
        <f aca="false">V1192/(1-Resumo!$C$5)</f>
        <v>124.911268181818</v>
      </c>
      <c r="X1192" s="39" t="n">
        <v>124.38</v>
      </c>
      <c r="Y1192" s="39" t="n">
        <f aca="false">J1192*Resumo!$B$6</f>
        <v>0.55998</v>
      </c>
      <c r="Z1192" s="39" t="n">
        <f aca="false">J1192*Resumo!$B$7</f>
        <v>1.11996</v>
      </c>
      <c r="AA1192" s="39" t="n">
        <f aca="false">Resumo!$B$9</f>
        <v>1</v>
      </c>
      <c r="AB1192" s="39" t="n">
        <f aca="false">Resumo!$B$10*CEILING(I1192/100,1)</f>
        <v>4.5</v>
      </c>
      <c r="AC1192" s="39" t="n">
        <f aca="false">Resumo!$B$12*CEILING(I1192,1)</f>
        <v>2.4</v>
      </c>
      <c r="AD1192" s="39" t="n">
        <f aca="false">Resumo!$B$14*CEILING(I1192,1)</f>
        <v>18</v>
      </c>
      <c r="AE1192" s="39" t="n">
        <f aca="false">SUM(X1192:AD1192)</f>
        <v>151.95994</v>
      </c>
      <c r="AF1192" s="39" t="n">
        <f aca="false">AE1192/(1-Resumo!$B$5)</f>
        <v>172.68175</v>
      </c>
      <c r="AG1192" s="39" t="n">
        <f aca="false">AF1192-W1192</f>
        <v>47.7704818181818</v>
      </c>
      <c r="AH1192" s="40" t="n">
        <f aca="false">AF1192/W1192-1</f>
        <v>0.382435328001379</v>
      </c>
      <c r="AI1192" s="37" t="str">
        <f aca="false">IF(AF1192&lt;W1192,"SIM","NÃO")</f>
        <v>NÃO</v>
      </c>
      <c r="AJ1192" s="37" t="n">
        <v>13</v>
      </c>
      <c r="AK1192" s="37" t="n">
        <v>10</v>
      </c>
      <c r="AL1192" s="37" t="s">
        <v>343</v>
      </c>
      <c r="AM1192" s="39" t="n">
        <v>122.93</v>
      </c>
    </row>
    <row r="1193" customFormat="false" ht="15" hidden="false" customHeight="false" outlineLevel="0" collapsed="false">
      <c r="A1193" s="37" t="n">
        <v>378474918</v>
      </c>
      <c r="B1193" s="38" t="n">
        <v>46252.6521064815</v>
      </c>
      <c r="C1193" s="37" t="s">
        <v>345</v>
      </c>
      <c r="D1193" s="37" t="s">
        <v>1468</v>
      </c>
      <c r="E1193" s="37" t="n">
        <v>23085600</v>
      </c>
      <c r="F1193" s="37" t="s">
        <v>159</v>
      </c>
      <c r="G1193" s="37" t="s">
        <v>196</v>
      </c>
      <c r="H1193" s="37" t="s">
        <v>189</v>
      </c>
      <c r="I1193" s="37" t="n">
        <v>74.4</v>
      </c>
      <c r="J1193" s="39" t="n">
        <v>879.99</v>
      </c>
      <c r="K1193" s="37" t="s">
        <v>342</v>
      </c>
      <c r="L1193" s="39" t="n">
        <v>136.69</v>
      </c>
      <c r="M1193" s="39" t="n">
        <v>68.88</v>
      </c>
      <c r="N1193" s="39" t="n">
        <f aca="false">J1193*Resumo!$C$6</f>
        <v>0</v>
      </c>
      <c r="O1193" s="39" t="n">
        <f aca="false">J1193*Resumo!$C$7</f>
        <v>1.847979</v>
      </c>
      <c r="P1193" s="39" t="n">
        <f aca="false">J1193*Resumo!$C$8</f>
        <v>1.847979</v>
      </c>
      <c r="Q1193" s="39" t="n">
        <f aca="false">Resumo!$C$10*CEILING(I1193/100,1)</f>
        <v>1.05</v>
      </c>
      <c r="R1193" s="39" t="n">
        <f aca="false">Resumo!$C$9</f>
        <v>0</v>
      </c>
      <c r="S1193" s="39" t="n">
        <f aca="false">Resumo!$C$13</f>
        <v>13.55</v>
      </c>
      <c r="T1193" s="39" t="n">
        <f aca="false">Resumo!$C$14*CEILING(I1193,1)</f>
        <v>33.75</v>
      </c>
      <c r="U1193" s="39" t="n">
        <f aca="false">SUM(M1193:T1193)*Resumo!$C$11</f>
        <v>0</v>
      </c>
      <c r="V1193" s="39" t="n">
        <f aca="false">SUM(M1193:U1193)</f>
        <v>120.925958</v>
      </c>
      <c r="W1193" s="39" t="n">
        <f aca="false">V1193/(1-Resumo!$C$5)</f>
        <v>137.415861363636</v>
      </c>
      <c r="X1193" s="39" t="n">
        <v>134.39</v>
      </c>
      <c r="Y1193" s="39" t="n">
        <f aca="false">J1193*Resumo!$B$6</f>
        <v>0.87999</v>
      </c>
      <c r="Z1193" s="39" t="n">
        <f aca="false">J1193*Resumo!$B$7</f>
        <v>1.75998</v>
      </c>
      <c r="AA1193" s="39" t="n">
        <f aca="false">Resumo!$B$9</f>
        <v>1</v>
      </c>
      <c r="AB1193" s="39" t="n">
        <f aca="false">Resumo!$B$10*CEILING(I1193/100,1)</f>
        <v>4.5</v>
      </c>
      <c r="AC1193" s="39" t="n">
        <f aca="false">Resumo!$B$12*CEILING(I1193,1)</f>
        <v>4.5</v>
      </c>
      <c r="AD1193" s="39" t="n">
        <f aca="false">Resumo!$B$14*CEILING(I1193,1)</f>
        <v>33.75</v>
      </c>
      <c r="AE1193" s="39" t="n">
        <f aca="false">SUM(X1193:AD1193)</f>
        <v>180.77997</v>
      </c>
      <c r="AF1193" s="39" t="n">
        <f aca="false">AE1193/(1-Resumo!$B$5)</f>
        <v>205.431784090909</v>
      </c>
      <c r="AG1193" s="39" t="n">
        <f aca="false">AF1193-W1193</f>
        <v>68.0159227272727</v>
      </c>
      <c r="AH1193" s="40" t="n">
        <f aca="false">AF1193/W1193-1</f>
        <v>0.494964133341826</v>
      </c>
      <c r="AI1193" s="37" t="str">
        <f aca="false">IF(AF1193&lt;W1193,"SIM","NÃO")</f>
        <v>NÃO</v>
      </c>
      <c r="AJ1193" s="37" t="n">
        <v>2</v>
      </c>
      <c r="AK1193" s="37" t="n">
        <v>5</v>
      </c>
      <c r="AL1193" s="37" t="s">
        <v>343</v>
      </c>
      <c r="AM1193" s="39" t="n">
        <v>136.69</v>
      </c>
    </row>
    <row r="1194" customFormat="false" ht="15" hidden="false" customHeight="false" outlineLevel="0" collapsed="false">
      <c r="A1194" s="37" t="n">
        <v>378518026</v>
      </c>
      <c r="B1194" s="38" t="n">
        <v>46252.7386921296</v>
      </c>
      <c r="C1194" s="37" t="s">
        <v>340</v>
      </c>
      <c r="D1194" s="37" t="s">
        <v>1469</v>
      </c>
      <c r="E1194" s="37" t="n">
        <v>24934510</v>
      </c>
      <c r="F1194" s="37" t="s">
        <v>171</v>
      </c>
      <c r="G1194" s="37" t="s">
        <v>198</v>
      </c>
      <c r="H1194" s="37" t="s">
        <v>188</v>
      </c>
      <c r="I1194" s="37" t="n">
        <v>61.4</v>
      </c>
      <c r="J1194" s="39" t="n">
        <v>999.99</v>
      </c>
      <c r="K1194" s="37" t="s">
        <v>342</v>
      </c>
      <c r="L1194" s="39" t="n">
        <v>156.81</v>
      </c>
      <c r="M1194" s="39" t="n">
        <v>90.2</v>
      </c>
      <c r="N1194" s="39" t="n">
        <f aca="false">J1194*Resumo!$C$6</f>
        <v>0</v>
      </c>
      <c r="O1194" s="39" t="n">
        <f aca="false">J1194*Resumo!$C$7</f>
        <v>2.099979</v>
      </c>
      <c r="P1194" s="39" t="n">
        <f aca="false">J1194*Resumo!$C$8</f>
        <v>2.099979</v>
      </c>
      <c r="Q1194" s="39" t="n">
        <f aca="false">Resumo!$C$10*CEILING(I1194/100,1)</f>
        <v>1.05</v>
      </c>
      <c r="R1194" s="39" t="n">
        <f aca="false">Resumo!$C$9</f>
        <v>0</v>
      </c>
      <c r="S1194" s="39" t="n">
        <f aca="false">Resumo!$C$13</f>
        <v>13.55</v>
      </c>
      <c r="T1194" s="39" t="n">
        <f aca="false">Resumo!$C$14*CEILING(I1194,1)</f>
        <v>27.9</v>
      </c>
      <c r="U1194" s="39" t="n">
        <f aca="false">SUM(M1194:T1194)*Resumo!$C$11</f>
        <v>0</v>
      </c>
      <c r="V1194" s="39" t="n">
        <f aca="false">SUM(M1194:U1194)</f>
        <v>136.899958</v>
      </c>
      <c r="W1194" s="39" t="n">
        <f aca="false">V1194/(1-Resumo!$C$5)</f>
        <v>155.568134090909</v>
      </c>
      <c r="X1194" s="39" t="n">
        <v>149.5</v>
      </c>
      <c r="Y1194" s="39" t="n">
        <f aca="false">J1194*Resumo!$B$6</f>
        <v>0.99999</v>
      </c>
      <c r="Z1194" s="39" t="n">
        <f aca="false">J1194*Resumo!$B$7</f>
        <v>1.99998</v>
      </c>
      <c r="AA1194" s="39" t="n">
        <f aca="false">Resumo!$B$9</f>
        <v>1</v>
      </c>
      <c r="AB1194" s="39" t="n">
        <f aca="false">Resumo!$B$10*CEILING(I1194/100,1)</f>
        <v>4.5</v>
      </c>
      <c r="AC1194" s="39" t="n">
        <f aca="false">Resumo!$B$12*CEILING(I1194,1)</f>
        <v>3.72</v>
      </c>
      <c r="AD1194" s="39" t="n">
        <f aca="false">Resumo!$B$14*CEILING(I1194,1)</f>
        <v>27.9</v>
      </c>
      <c r="AE1194" s="39" t="n">
        <f aca="false">SUM(X1194:AD1194)</f>
        <v>189.61997</v>
      </c>
      <c r="AF1194" s="39" t="n">
        <f aca="false">AE1194/(1-Resumo!$B$5)</f>
        <v>215.477238636364</v>
      </c>
      <c r="AG1194" s="39" t="n">
        <f aca="false">AF1194-W1194</f>
        <v>59.9091045454545</v>
      </c>
      <c r="AH1194" s="40" t="n">
        <f aca="false">AF1194/W1194-1</f>
        <v>0.385098817926591</v>
      </c>
      <c r="AI1194" s="37" t="str">
        <f aca="false">IF(AF1194&lt;W1194,"SIM","NÃO")</f>
        <v>NÃO</v>
      </c>
      <c r="AJ1194" s="37" t="n">
        <v>13</v>
      </c>
      <c r="AK1194" s="37" t="n">
        <v>7</v>
      </c>
      <c r="AL1194" s="37" t="s">
        <v>343</v>
      </c>
      <c r="AM1194" s="39" t="n">
        <v>156.81</v>
      </c>
    </row>
    <row r="1195" customFormat="false" ht="15" hidden="false" customHeight="false" outlineLevel="0" collapsed="false">
      <c r="A1195" s="37" t="n">
        <v>378520801</v>
      </c>
      <c r="B1195" s="38" t="n">
        <v>46252.7437268519</v>
      </c>
      <c r="C1195" s="37" t="s">
        <v>340</v>
      </c>
      <c r="D1195" s="37" t="s">
        <v>727</v>
      </c>
      <c r="E1195" s="37" t="n">
        <v>24310340</v>
      </c>
      <c r="F1195" s="37" t="s">
        <v>163</v>
      </c>
      <c r="G1195" s="37" t="s">
        <v>197</v>
      </c>
      <c r="H1195" s="37" t="s">
        <v>186</v>
      </c>
      <c r="I1195" s="37" t="n">
        <v>48</v>
      </c>
      <c r="J1195" s="39" t="n">
        <v>806.69</v>
      </c>
      <c r="K1195" s="37" t="s">
        <v>342</v>
      </c>
      <c r="L1195" s="39" t="n">
        <v>117.93</v>
      </c>
      <c r="M1195" s="39" t="n">
        <v>65.36</v>
      </c>
      <c r="N1195" s="39" t="n">
        <f aca="false">J1195*Resumo!$C$6</f>
        <v>0</v>
      </c>
      <c r="O1195" s="39" t="n">
        <f aca="false">J1195*Resumo!$C$7</f>
        <v>1.694049</v>
      </c>
      <c r="P1195" s="39" t="n">
        <f aca="false">J1195*Resumo!$C$8</f>
        <v>1.694049</v>
      </c>
      <c r="Q1195" s="39" t="n">
        <f aca="false">Resumo!$C$10*CEILING(I1195/100,1)</f>
        <v>1.05</v>
      </c>
      <c r="R1195" s="39" t="n">
        <f aca="false">Resumo!$C$9</f>
        <v>0</v>
      </c>
      <c r="S1195" s="39" t="n">
        <f aca="false">Resumo!$C$13</f>
        <v>13.55</v>
      </c>
      <c r="T1195" s="39" t="n">
        <f aca="false">Resumo!$C$14*CEILING(I1195,1)</f>
        <v>21.6</v>
      </c>
      <c r="U1195" s="39" t="n">
        <f aca="false">SUM(M1195:T1195)*Resumo!$C$11</f>
        <v>0</v>
      </c>
      <c r="V1195" s="39" t="n">
        <f aca="false">SUM(M1195:U1195)</f>
        <v>104.948098</v>
      </c>
      <c r="W1195" s="39" t="n">
        <f aca="false">V1195/(1-Resumo!$C$5)</f>
        <v>119.259202272727</v>
      </c>
      <c r="X1195" s="39" t="n">
        <v>114.95</v>
      </c>
      <c r="Y1195" s="39" t="n">
        <f aca="false">J1195*Resumo!$B$6</f>
        <v>0.80669</v>
      </c>
      <c r="Z1195" s="39" t="n">
        <f aca="false">J1195*Resumo!$B$7</f>
        <v>1.61338</v>
      </c>
      <c r="AA1195" s="39" t="n">
        <f aca="false">Resumo!$B$9</f>
        <v>1</v>
      </c>
      <c r="AB1195" s="39" t="n">
        <f aca="false">Resumo!$B$10*CEILING(I1195/100,1)</f>
        <v>4.5</v>
      </c>
      <c r="AC1195" s="39" t="n">
        <f aca="false">Resumo!$B$12*CEILING(I1195,1)</f>
        <v>2.88</v>
      </c>
      <c r="AD1195" s="39" t="n">
        <f aca="false">Resumo!$B$14*CEILING(I1195,1)</f>
        <v>21.6</v>
      </c>
      <c r="AE1195" s="39" t="n">
        <f aca="false">SUM(X1195:AD1195)</f>
        <v>147.35007</v>
      </c>
      <c r="AF1195" s="39" t="n">
        <f aca="false">AE1195/(1-Resumo!$B$5)</f>
        <v>167.443261363636</v>
      </c>
      <c r="AG1195" s="39" t="n">
        <f aca="false">AF1195-W1195</f>
        <v>48.1840590909091</v>
      </c>
      <c r="AH1195" s="40" t="n">
        <f aca="false">AF1195/W1195-1</f>
        <v>0.404028017735014</v>
      </c>
      <c r="AI1195" s="37" t="str">
        <f aca="false">IF(AF1195&lt;W1195,"SIM","NÃO")</f>
        <v>NÃO</v>
      </c>
      <c r="AJ1195" s="37" t="n">
        <v>2</v>
      </c>
      <c r="AK1195" s="37" t="n">
        <v>7</v>
      </c>
      <c r="AL1195" s="37" t="s">
        <v>343</v>
      </c>
      <c r="AM1195" s="39" t="n">
        <v>117.94</v>
      </c>
    </row>
    <row r="1196" customFormat="false" ht="15" hidden="false" customHeight="false" outlineLevel="0" collapsed="false">
      <c r="A1196" s="37" t="n">
        <v>378528500</v>
      </c>
      <c r="B1196" s="38" t="n">
        <v>46252.7577083333</v>
      </c>
      <c r="C1196" s="37" t="s">
        <v>340</v>
      </c>
      <c r="D1196" s="37" t="s">
        <v>1470</v>
      </c>
      <c r="E1196" s="37" t="n">
        <v>21540400</v>
      </c>
      <c r="F1196" s="37" t="s">
        <v>159</v>
      </c>
      <c r="G1196" s="37" t="s">
        <v>196</v>
      </c>
      <c r="H1196" s="37" t="s">
        <v>187</v>
      </c>
      <c r="I1196" s="37" t="n">
        <v>59.9</v>
      </c>
      <c r="J1196" s="39" t="n">
        <v>959.31</v>
      </c>
      <c r="K1196" s="37" t="s">
        <v>342</v>
      </c>
      <c r="L1196" s="39" t="n">
        <v>115.75</v>
      </c>
      <c r="M1196" s="39" t="n">
        <v>58.6</v>
      </c>
      <c r="N1196" s="39" t="n">
        <f aca="false">J1196*Resumo!$C$6</f>
        <v>0</v>
      </c>
      <c r="O1196" s="39" t="n">
        <f aca="false">J1196*Resumo!$C$7</f>
        <v>2.014551</v>
      </c>
      <c r="P1196" s="39" t="n">
        <f aca="false">J1196*Resumo!$C$8</f>
        <v>2.014551</v>
      </c>
      <c r="Q1196" s="39" t="n">
        <f aca="false">Resumo!$C$10*CEILING(I1196/100,1)</f>
        <v>1.05</v>
      </c>
      <c r="R1196" s="39" t="n">
        <f aca="false">Resumo!$C$9</f>
        <v>0</v>
      </c>
      <c r="S1196" s="39" t="n">
        <f aca="false">Resumo!$C$13</f>
        <v>13.55</v>
      </c>
      <c r="T1196" s="39" t="n">
        <f aca="false">Resumo!$C$14*CEILING(I1196,1)</f>
        <v>27</v>
      </c>
      <c r="U1196" s="39" t="n">
        <f aca="false">SUM(M1196:T1196)*Resumo!$C$11</f>
        <v>0</v>
      </c>
      <c r="V1196" s="39" t="n">
        <f aca="false">SUM(M1196:U1196)</f>
        <v>104.229102</v>
      </c>
      <c r="W1196" s="39" t="n">
        <f aca="false">V1196/(1-Resumo!$C$5)</f>
        <v>118.442161363636</v>
      </c>
      <c r="X1196" s="39" t="n">
        <v>112.3</v>
      </c>
      <c r="Y1196" s="39" t="n">
        <f aca="false">J1196*Resumo!$B$6</f>
        <v>0.95931</v>
      </c>
      <c r="Z1196" s="39" t="n">
        <f aca="false">J1196*Resumo!$B$7</f>
        <v>1.91862</v>
      </c>
      <c r="AA1196" s="39" t="n">
        <f aca="false">Resumo!$B$9</f>
        <v>1</v>
      </c>
      <c r="AB1196" s="39" t="n">
        <f aca="false">Resumo!$B$10*CEILING(I1196/100,1)</f>
        <v>4.5</v>
      </c>
      <c r="AC1196" s="39" t="n">
        <f aca="false">Resumo!$B$12*CEILING(I1196,1)</f>
        <v>3.6</v>
      </c>
      <c r="AD1196" s="39" t="n">
        <f aca="false">Resumo!$B$14*CEILING(I1196,1)</f>
        <v>27</v>
      </c>
      <c r="AE1196" s="39" t="n">
        <f aca="false">SUM(X1196:AD1196)</f>
        <v>151.27793</v>
      </c>
      <c r="AF1196" s="39" t="n">
        <f aca="false">AE1196/(1-Resumo!$B$5)</f>
        <v>171.906738636364</v>
      </c>
      <c r="AG1196" s="39" t="n">
        <f aca="false">AF1196-W1196</f>
        <v>53.4645772727273</v>
      </c>
      <c r="AH1196" s="40" t="n">
        <f aca="false">AF1196/W1196-1</f>
        <v>0.451398190113928</v>
      </c>
      <c r="AI1196" s="37" t="str">
        <f aca="false">IF(AF1196&lt;W1196,"SIM","NÃO")</f>
        <v>NÃO</v>
      </c>
      <c r="AJ1196" s="37" t="n">
        <v>2</v>
      </c>
      <c r="AK1196" s="37" t="n">
        <v>5</v>
      </c>
      <c r="AL1196" s="37" t="s">
        <v>343</v>
      </c>
      <c r="AM1196" s="39" t="n">
        <v>115.75</v>
      </c>
    </row>
    <row r="1197" customFormat="false" ht="15" hidden="false" customHeight="false" outlineLevel="0" collapsed="false">
      <c r="A1197" s="37" t="n">
        <v>378539232</v>
      </c>
      <c r="B1197" s="38" t="n">
        <v>46252.7765277778</v>
      </c>
      <c r="C1197" s="37" t="s">
        <v>340</v>
      </c>
      <c r="D1197" s="37" t="s">
        <v>1471</v>
      </c>
      <c r="E1197" s="37" t="n">
        <v>27580001</v>
      </c>
      <c r="F1197" s="37" t="s">
        <v>252</v>
      </c>
      <c r="G1197" s="37" t="s">
        <v>198</v>
      </c>
      <c r="H1197" s="37" t="s">
        <v>184</v>
      </c>
      <c r="I1197" s="37" t="n">
        <v>30.5</v>
      </c>
      <c r="J1197" s="39" t="n">
        <v>439.99</v>
      </c>
      <c r="K1197" s="37" t="s">
        <v>342</v>
      </c>
      <c r="L1197" s="39" t="n">
        <v>109.28</v>
      </c>
      <c r="M1197" s="39" t="n">
        <v>65.63</v>
      </c>
      <c r="N1197" s="39" t="n">
        <f aca="false">J1197*Resumo!$C$6</f>
        <v>0</v>
      </c>
      <c r="O1197" s="39" t="n">
        <f aca="false">J1197*Resumo!$C$7</f>
        <v>0.923979</v>
      </c>
      <c r="P1197" s="39" t="n">
        <f aca="false">J1197*Resumo!$C$8</f>
        <v>0.923979</v>
      </c>
      <c r="Q1197" s="39" t="n">
        <f aca="false">Resumo!$C$10*CEILING(I1197/100,1)</f>
        <v>1.05</v>
      </c>
      <c r="R1197" s="39" t="n">
        <f aca="false">Resumo!$C$9</f>
        <v>0</v>
      </c>
      <c r="S1197" s="39" t="n">
        <f aca="false">Resumo!$C$13</f>
        <v>13.55</v>
      </c>
      <c r="T1197" s="39" t="n">
        <f aca="false">Resumo!$C$14*CEILING(I1197,1)</f>
        <v>13.95</v>
      </c>
      <c r="U1197" s="39" t="n">
        <f aca="false">SUM(M1197:T1197)*Resumo!$C$11</f>
        <v>0</v>
      </c>
      <c r="V1197" s="39" t="n">
        <f aca="false">SUM(M1197:U1197)</f>
        <v>96.027958</v>
      </c>
      <c r="W1197" s="39" t="n">
        <f aca="false">V1197/(1-Resumo!$C$5)</f>
        <v>109.122679545455</v>
      </c>
      <c r="X1197" s="39" t="n">
        <v>108.83</v>
      </c>
      <c r="Y1197" s="39" t="n">
        <f aca="false">J1197*Resumo!$B$6</f>
        <v>0.43999</v>
      </c>
      <c r="Z1197" s="39" t="n">
        <f aca="false">J1197*Resumo!$B$7</f>
        <v>0.87998</v>
      </c>
      <c r="AA1197" s="39" t="n">
        <f aca="false">Resumo!$B$9</f>
        <v>1</v>
      </c>
      <c r="AB1197" s="39" t="n">
        <f aca="false">Resumo!$B$10*CEILING(I1197/100,1)</f>
        <v>4.5</v>
      </c>
      <c r="AC1197" s="39" t="n">
        <f aca="false">Resumo!$B$12*CEILING(I1197,1)</f>
        <v>1.86</v>
      </c>
      <c r="AD1197" s="39" t="n">
        <f aca="false">Resumo!$B$14*CEILING(I1197,1)</f>
        <v>13.95</v>
      </c>
      <c r="AE1197" s="39" t="n">
        <f aca="false">SUM(X1197:AD1197)</f>
        <v>131.45997</v>
      </c>
      <c r="AF1197" s="39" t="n">
        <f aca="false">AE1197/(1-Resumo!$B$5)</f>
        <v>149.386329545455</v>
      </c>
      <c r="AG1197" s="39" t="n">
        <f aca="false">AF1197-W1197</f>
        <v>40.26365</v>
      </c>
      <c r="AH1197" s="40" t="n">
        <f aca="false">AF1197/W1197-1</f>
        <v>0.368976001759821</v>
      </c>
      <c r="AI1197" s="37" t="str">
        <f aca="false">IF(AF1197&lt;W1197,"SIM","NÃO")</f>
        <v>NÃO</v>
      </c>
      <c r="AJ1197" s="37" t="n">
        <v>13</v>
      </c>
      <c r="AK1197" s="37" t="n">
        <v>10</v>
      </c>
      <c r="AL1197" s="37" t="s">
        <v>347</v>
      </c>
      <c r="AM1197" s="39" t="n">
        <v>109.29</v>
      </c>
    </row>
    <row r="1198" customFormat="false" ht="15" hidden="false" customHeight="false" outlineLevel="0" collapsed="false">
      <c r="A1198" s="37" t="n">
        <v>378546732</v>
      </c>
      <c r="B1198" s="38" t="n">
        <v>46252.7908564815</v>
      </c>
      <c r="C1198" s="37" t="s">
        <v>340</v>
      </c>
      <c r="D1198" s="37" t="s">
        <v>1472</v>
      </c>
      <c r="E1198" s="37" t="n">
        <v>27943120</v>
      </c>
      <c r="F1198" s="37" t="s">
        <v>166</v>
      </c>
      <c r="G1198" s="37" t="s">
        <v>198</v>
      </c>
      <c r="H1198" s="37" t="s">
        <v>187</v>
      </c>
      <c r="I1198" s="37" t="n">
        <v>52.3</v>
      </c>
      <c r="J1198" s="39" t="n">
        <v>616.39</v>
      </c>
      <c r="K1198" s="37" t="s">
        <v>342</v>
      </c>
      <c r="L1198" s="39" t="n">
        <v>142.61</v>
      </c>
      <c r="M1198" s="39" t="n">
        <v>83.58</v>
      </c>
      <c r="N1198" s="39" t="n">
        <f aca="false">J1198*Resumo!$C$6</f>
        <v>0</v>
      </c>
      <c r="O1198" s="39" t="n">
        <f aca="false">J1198*Resumo!$C$7</f>
        <v>1.294419</v>
      </c>
      <c r="P1198" s="39" t="n">
        <f aca="false">J1198*Resumo!$C$8</f>
        <v>1.294419</v>
      </c>
      <c r="Q1198" s="39" t="n">
        <f aca="false">Resumo!$C$10*CEILING(I1198/100,1)</f>
        <v>1.05</v>
      </c>
      <c r="R1198" s="39" t="n">
        <f aca="false">Resumo!$C$9</f>
        <v>0</v>
      </c>
      <c r="S1198" s="39" t="n">
        <f aca="false">Resumo!$C$13</f>
        <v>13.55</v>
      </c>
      <c r="T1198" s="39" t="n">
        <f aca="false">Resumo!$C$14*CEILING(I1198,1)</f>
        <v>23.85</v>
      </c>
      <c r="U1198" s="39" t="n">
        <f aca="false">SUM(M1198:T1198)*Resumo!$C$11</f>
        <v>0</v>
      </c>
      <c r="V1198" s="39" t="n">
        <f aca="false">SUM(M1198:U1198)</f>
        <v>124.618838</v>
      </c>
      <c r="W1198" s="39" t="n">
        <f aca="false">V1198/(1-Resumo!$C$5)</f>
        <v>141.612315909091</v>
      </c>
      <c r="X1198" s="39" t="n">
        <v>162.04</v>
      </c>
      <c r="Y1198" s="39" t="n">
        <f aca="false">J1198*Resumo!$B$6</f>
        <v>0.61639</v>
      </c>
      <c r="Z1198" s="39" t="n">
        <f aca="false">J1198*Resumo!$B$7</f>
        <v>1.23278</v>
      </c>
      <c r="AA1198" s="39" t="n">
        <f aca="false">Resumo!$B$9</f>
        <v>1</v>
      </c>
      <c r="AB1198" s="39" t="n">
        <f aca="false">Resumo!$B$10*CEILING(I1198/100,1)</f>
        <v>4.5</v>
      </c>
      <c r="AC1198" s="39" t="n">
        <f aca="false">Resumo!$B$12*CEILING(I1198,1)</f>
        <v>3.18</v>
      </c>
      <c r="AD1198" s="39" t="n">
        <f aca="false">Resumo!$B$14*CEILING(I1198,1)</f>
        <v>23.85</v>
      </c>
      <c r="AE1198" s="39" t="n">
        <f aca="false">SUM(X1198:AD1198)</f>
        <v>196.41917</v>
      </c>
      <c r="AF1198" s="39" t="n">
        <f aca="false">AE1198/(1-Resumo!$B$5)</f>
        <v>223.203602272727</v>
      </c>
      <c r="AG1198" s="39" t="n">
        <f aca="false">AF1198-W1198</f>
        <v>81.5912863636363</v>
      </c>
      <c r="AH1198" s="40" t="n">
        <f aca="false">AF1198/W1198-1</f>
        <v>0.576159536971449</v>
      </c>
      <c r="AI1198" s="37" t="str">
        <f aca="false">IF(AF1198&lt;W1198,"SIM","NÃO")</f>
        <v>NÃO</v>
      </c>
      <c r="AJ1198" s="37" t="n">
        <v>13</v>
      </c>
      <c r="AK1198" s="37" t="n">
        <v>11</v>
      </c>
      <c r="AL1198" s="37" t="s">
        <v>343</v>
      </c>
      <c r="AM1198" s="39" t="n">
        <v>142.62</v>
      </c>
    </row>
    <row r="1199" customFormat="false" ht="15" hidden="false" customHeight="false" outlineLevel="0" collapsed="false">
      <c r="A1199" s="37" t="n">
        <v>378551274</v>
      </c>
      <c r="B1199" s="38" t="n">
        <v>46252.8006481482</v>
      </c>
      <c r="C1199" s="37" t="s">
        <v>340</v>
      </c>
      <c r="D1199" s="37" t="s">
        <v>894</v>
      </c>
      <c r="E1199" s="37" t="n">
        <v>26291320</v>
      </c>
      <c r="F1199" s="37" t="s">
        <v>162</v>
      </c>
      <c r="G1199" s="37" t="s">
        <v>197</v>
      </c>
      <c r="H1199" s="37" t="s">
        <v>186</v>
      </c>
      <c r="I1199" s="37" t="n">
        <v>48</v>
      </c>
      <c r="J1199" s="39" t="n">
        <v>929.99</v>
      </c>
      <c r="K1199" s="37" t="s">
        <v>342</v>
      </c>
      <c r="L1199" s="39" t="n">
        <v>118.53</v>
      </c>
      <c r="M1199" s="39" t="n">
        <v>65.36</v>
      </c>
      <c r="N1199" s="39" t="n">
        <f aca="false">J1199*Resumo!$C$6</f>
        <v>0</v>
      </c>
      <c r="O1199" s="39" t="n">
        <f aca="false">J1199*Resumo!$C$7</f>
        <v>1.952979</v>
      </c>
      <c r="P1199" s="39" t="n">
        <f aca="false">J1199*Resumo!$C$8</f>
        <v>1.952979</v>
      </c>
      <c r="Q1199" s="39" t="n">
        <f aca="false">Resumo!$C$10*CEILING(I1199/100,1)</f>
        <v>1.05</v>
      </c>
      <c r="R1199" s="39" t="n">
        <f aca="false">Resumo!$C$9</f>
        <v>0</v>
      </c>
      <c r="S1199" s="39" t="n">
        <f aca="false">Resumo!$C$13</f>
        <v>13.55</v>
      </c>
      <c r="T1199" s="39" t="n">
        <f aca="false">Resumo!$C$14*CEILING(I1199,1)</f>
        <v>21.6</v>
      </c>
      <c r="U1199" s="39" t="n">
        <f aca="false">SUM(M1199:T1199)*Resumo!$C$11</f>
        <v>0</v>
      </c>
      <c r="V1199" s="39" t="n">
        <f aca="false">SUM(M1199:U1199)</f>
        <v>105.465958</v>
      </c>
      <c r="W1199" s="39" t="n">
        <f aca="false">V1199/(1-Resumo!$C$5)</f>
        <v>119.847679545455</v>
      </c>
      <c r="X1199" s="39" t="n">
        <v>93.97</v>
      </c>
      <c r="Y1199" s="39" t="n">
        <f aca="false">J1199*Resumo!$B$6</f>
        <v>0.92999</v>
      </c>
      <c r="Z1199" s="39" t="n">
        <f aca="false">J1199*Resumo!$B$7</f>
        <v>1.85998</v>
      </c>
      <c r="AA1199" s="39" t="n">
        <f aca="false">Resumo!$B$9</f>
        <v>1</v>
      </c>
      <c r="AB1199" s="39" t="n">
        <f aca="false">Resumo!$B$10*CEILING(I1199/100,1)</f>
        <v>4.5</v>
      </c>
      <c r="AC1199" s="39" t="n">
        <f aca="false">Resumo!$B$12*CEILING(I1199,1)</f>
        <v>2.88</v>
      </c>
      <c r="AD1199" s="39" t="n">
        <f aca="false">Resumo!$B$14*CEILING(I1199,1)</f>
        <v>21.6</v>
      </c>
      <c r="AE1199" s="39" t="n">
        <f aca="false">SUM(X1199:AD1199)</f>
        <v>126.73997</v>
      </c>
      <c r="AF1199" s="39" t="n">
        <f aca="false">AE1199/(1-Resumo!$B$5)</f>
        <v>144.022693181818</v>
      </c>
      <c r="AG1199" s="39" t="n">
        <f aca="false">AF1199-W1199</f>
        <v>24.1750136363636</v>
      </c>
      <c r="AH1199" s="40" t="n">
        <f aca="false">AF1199/W1199-1</f>
        <v>0.201714490660579</v>
      </c>
      <c r="AI1199" s="37" t="str">
        <f aca="false">IF(AF1199&lt;W1199,"SIM","NÃO")</f>
        <v>NÃO</v>
      </c>
      <c r="AJ1199" s="37" t="n">
        <v>2</v>
      </c>
      <c r="AK1199" s="37" t="n">
        <v>5</v>
      </c>
      <c r="AL1199" s="37" t="s">
        <v>343</v>
      </c>
      <c r="AM1199" s="39" t="n">
        <v>118.53</v>
      </c>
    </row>
    <row r="1200" customFormat="false" ht="15" hidden="false" customHeight="false" outlineLevel="0" collapsed="false">
      <c r="A1200" s="37" t="n">
        <v>378577128</v>
      </c>
      <c r="B1200" s="38" t="n">
        <v>46252.8498032407</v>
      </c>
      <c r="C1200" s="37" t="s">
        <v>340</v>
      </c>
      <c r="D1200" s="37" t="s">
        <v>1473</v>
      </c>
      <c r="E1200" s="37" t="n">
        <v>24736120</v>
      </c>
      <c r="F1200" s="37" t="s">
        <v>160</v>
      </c>
      <c r="G1200" s="37" t="s">
        <v>197</v>
      </c>
      <c r="H1200" s="37" t="s">
        <v>193</v>
      </c>
      <c r="I1200" s="37" t="n">
        <v>165.2</v>
      </c>
      <c r="J1200" s="39" t="n">
        <v>2059.99</v>
      </c>
      <c r="K1200" s="37" t="s">
        <v>342</v>
      </c>
      <c r="L1200" s="39" t="n">
        <v>267.69</v>
      </c>
      <c r="M1200" s="39" t="n">
        <v>139.81</v>
      </c>
      <c r="N1200" s="39" t="n">
        <f aca="false">J1200*Resumo!$C$6</f>
        <v>0</v>
      </c>
      <c r="O1200" s="39" t="n">
        <f aca="false">J1200*Resumo!$C$7</f>
        <v>4.325979</v>
      </c>
      <c r="P1200" s="39" t="n">
        <f aca="false">J1200*Resumo!$C$8</f>
        <v>4.325979</v>
      </c>
      <c r="Q1200" s="39" t="n">
        <f aca="false">Resumo!$C$10*CEILING(I1200/100,1)</f>
        <v>2.1</v>
      </c>
      <c r="R1200" s="39" t="n">
        <f aca="false">Resumo!$C$9</f>
        <v>0</v>
      </c>
      <c r="S1200" s="39" t="n">
        <f aca="false">Resumo!$C$13</f>
        <v>13.55</v>
      </c>
      <c r="T1200" s="39" t="n">
        <f aca="false">Resumo!$C$14*CEILING(I1200,1)</f>
        <v>74.7</v>
      </c>
      <c r="U1200" s="39" t="n">
        <f aca="false">SUM(M1200:T1200)*Resumo!$C$11</f>
        <v>0</v>
      </c>
      <c r="V1200" s="39" t="n">
        <f aca="false">SUM(M1200:U1200)</f>
        <v>238.811958</v>
      </c>
      <c r="W1200" s="39" t="n">
        <f aca="false">V1200/(1-Resumo!$C$5)</f>
        <v>271.377225</v>
      </c>
      <c r="X1200" s="39" t="n">
        <v>282.23</v>
      </c>
      <c r="Y1200" s="39" t="n">
        <f aca="false">J1200*Resumo!$B$6</f>
        <v>2.05999</v>
      </c>
      <c r="Z1200" s="39" t="n">
        <f aca="false">J1200*Resumo!$B$7</f>
        <v>4.11998</v>
      </c>
      <c r="AA1200" s="39" t="n">
        <f aca="false">Resumo!$B$9</f>
        <v>1</v>
      </c>
      <c r="AB1200" s="39" t="n">
        <f aca="false">Resumo!$B$10*CEILING(I1200/100,1)</f>
        <v>9</v>
      </c>
      <c r="AC1200" s="39" t="n">
        <f aca="false">Resumo!$B$12*CEILING(I1200,1)</f>
        <v>9.96</v>
      </c>
      <c r="AD1200" s="39" t="n">
        <f aca="false">Resumo!$B$14*CEILING(I1200,1)</f>
        <v>74.7</v>
      </c>
      <c r="AE1200" s="39" t="n">
        <f aca="false">SUM(X1200:AD1200)</f>
        <v>383.06997</v>
      </c>
      <c r="AF1200" s="39" t="n">
        <f aca="false">AE1200/(1-Resumo!$B$5)</f>
        <v>435.306784090909</v>
      </c>
      <c r="AG1200" s="39" t="n">
        <f aca="false">AF1200-W1200</f>
        <v>163.929559090909</v>
      </c>
      <c r="AH1200" s="40" t="n">
        <f aca="false">AF1200/W1200-1</f>
        <v>0.60406527884169</v>
      </c>
      <c r="AI1200" s="37" t="str">
        <f aca="false">IF(AF1200&lt;W1200,"SIM","NÃO")</f>
        <v>NÃO</v>
      </c>
      <c r="AJ1200" s="37" t="n">
        <v>2</v>
      </c>
      <c r="AK1200" s="37" t="n">
        <v>7</v>
      </c>
      <c r="AL1200" s="37" t="s">
        <v>343</v>
      </c>
      <c r="AM1200" s="39" t="n">
        <v>267.69</v>
      </c>
    </row>
    <row r="1201" customFormat="false" ht="15" hidden="false" customHeight="false" outlineLevel="0" collapsed="false">
      <c r="A1201" s="37" t="n">
        <v>378583272</v>
      </c>
      <c r="B1201" s="38" t="n">
        <v>46252.8602662037</v>
      </c>
      <c r="C1201" s="37" t="s">
        <v>340</v>
      </c>
      <c r="D1201" s="37" t="s">
        <v>1474</v>
      </c>
      <c r="E1201" s="37" t="n">
        <v>24860100</v>
      </c>
      <c r="F1201" s="37" t="s">
        <v>174</v>
      </c>
      <c r="G1201" s="37" t="s">
        <v>198</v>
      </c>
      <c r="H1201" s="37" t="s">
        <v>184</v>
      </c>
      <c r="I1201" s="37" t="n">
        <v>27.6</v>
      </c>
      <c r="J1201" s="39" t="n">
        <v>629.99</v>
      </c>
      <c r="K1201" s="37" t="s">
        <v>342</v>
      </c>
      <c r="L1201" s="39" t="n">
        <v>110.2</v>
      </c>
      <c r="M1201" s="39" t="n">
        <v>65.63</v>
      </c>
      <c r="N1201" s="39" t="n">
        <f aca="false">J1201*Resumo!$C$6</f>
        <v>0</v>
      </c>
      <c r="O1201" s="39" t="n">
        <f aca="false">J1201*Resumo!$C$7</f>
        <v>1.322979</v>
      </c>
      <c r="P1201" s="39" t="n">
        <f aca="false">J1201*Resumo!$C$8</f>
        <v>1.322979</v>
      </c>
      <c r="Q1201" s="39" t="n">
        <f aca="false">Resumo!$C$10*CEILING(I1201/100,1)</f>
        <v>1.05</v>
      </c>
      <c r="R1201" s="39" t="n">
        <f aca="false">Resumo!$C$9</f>
        <v>0</v>
      </c>
      <c r="S1201" s="39" t="n">
        <f aca="false">Resumo!$C$13</f>
        <v>13.55</v>
      </c>
      <c r="T1201" s="39" t="n">
        <f aca="false">Resumo!$C$14*CEILING(I1201,1)</f>
        <v>12.6</v>
      </c>
      <c r="U1201" s="39" t="n">
        <f aca="false">SUM(M1201:T1201)*Resumo!$C$11</f>
        <v>0</v>
      </c>
      <c r="V1201" s="39" t="n">
        <f aca="false">SUM(M1201:U1201)</f>
        <v>95.475958</v>
      </c>
      <c r="W1201" s="39" t="n">
        <f aca="false">V1201/(1-Resumo!$C$5)</f>
        <v>108.495406818182</v>
      </c>
      <c r="X1201" s="39" t="n">
        <v>100.58</v>
      </c>
      <c r="Y1201" s="39" t="n">
        <f aca="false">J1201*Resumo!$B$6</f>
        <v>0.62999</v>
      </c>
      <c r="Z1201" s="39" t="n">
        <f aca="false">J1201*Resumo!$B$7</f>
        <v>1.25998</v>
      </c>
      <c r="AA1201" s="39" t="n">
        <f aca="false">Resumo!$B$9</f>
        <v>1</v>
      </c>
      <c r="AB1201" s="39" t="n">
        <f aca="false">Resumo!$B$10*CEILING(I1201/100,1)</f>
        <v>4.5</v>
      </c>
      <c r="AC1201" s="39" t="n">
        <f aca="false">Resumo!$B$12*CEILING(I1201,1)</f>
        <v>1.68</v>
      </c>
      <c r="AD1201" s="39" t="n">
        <f aca="false">Resumo!$B$14*CEILING(I1201,1)</f>
        <v>12.6</v>
      </c>
      <c r="AE1201" s="39" t="n">
        <f aca="false">SUM(X1201:AD1201)</f>
        <v>122.24997</v>
      </c>
      <c r="AF1201" s="39" t="n">
        <f aca="false">AE1201/(1-Resumo!$B$5)</f>
        <v>138.920420454545</v>
      </c>
      <c r="AG1201" s="39" t="n">
        <f aca="false">AF1201-W1201</f>
        <v>30.4250136363636</v>
      </c>
      <c r="AH1201" s="40" t="n">
        <f aca="false">AF1201/W1201-1</f>
        <v>0.280426743662525</v>
      </c>
      <c r="AI1201" s="37" t="str">
        <f aca="false">IF(AF1201&lt;W1201,"SIM","NÃO")</f>
        <v>NÃO</v>
      </c>
      <c r="AJ1201" s="37" t="n">
        <v>13</v>
      </c>
      <c r="AK1201" s="37" t="n">
        <v>7</v>
      </c>
      <c r="AL1201" s="37" t="s">
        <v>343</v>
      </c>
      <c r="AM1201" s="39" t="n">
        <v>110.2</v>
      </c>
    </row>
    <row r="1202" customFormat="false" ht="15" hidden="false" customHeight="false" outlineLevel="0" collapsed="false">
      <c r="A1202" s="37" t="n">
        <v>378593684</v>
      </c>
      <c r="B1202" s="38" t="n">
        <v>46252.8788310185</v>
      </c>
      <c r="C1202" s="37" t="s">
        <v>345</v>
      </c>
      <c r="D1202" s="37" t="s">
        <v>1475</v>
      </c>
      <c r="E1202" s="37" t="n">
        <v>21341332</v>
      </c>
      <c r="F1202" s="37" t="s">
        <v>159</v>
      </c>
      <c r="G1202" s="37" t="s">
        <v>196</v>
      </c>
      <c r="H1202" s="37" t="s">
        <v>186</v>
      </c>
      <c r="I1202" s="37" t="n">
        <v>41.4</v>
      </c>
      <c r="J1202" s="39" t="n">
        <v>387</v>
      </c>
      <c r="K1202" s="37" t="s">
        <v>342</v>
      </c>
      <c r="L1202" s="39" t="n">
        <v>102.43</v>
      </c>
      <c r="M1202" s="39" t="n">
        <v>53.55</v>
      </c>
      <c r="N1202" s="39" t="n">
        <f aca="false">J1202*Resumo!$C$6</f>
        <v>0</v>
      </c>
      <c r="O1202" s="39" t="n">
        <f aca="false">J1202*Resumo!$C$7</f>
        <v>0.8127</v>
      </c>
      <c r="P1202" s="39" t="n">
        <f aca="false">J1202*Resumo!$C$8</f>
        <v>0.8127</v>
      </c>
      <c r="Q1202" s="39" t="n">
        <f aca="false">Resumo!$C$10*CEILING(I1202/100,1)</f>
        <v>1.05</v>
      </c>
      <c r="R1202" s="39" t="n">
        <f aca="false">Resumo!$C$9</f>
        <v>0</v>
      </c>
      <c r="S1202" s="39" t="n">
        <f aca="false">Resumo!$C$13</f>
        <v>13.55</v>
      </c>
      <c r="T1202" s="39" t="n">
        <f aca="false">Resumo!$C$14*CEILING(I1202,1)</f>
        <v>18.9</v>
      </c>
      <c r="U1202" s="39" t="n">
        <f aca="false">SUM(M1202:T1202)*Resumo!$C$11</f>
        <v>0</v>
      </c>
      <c r="V1202" s="39" t="n">
        <f aca="false">SUM(M1202:U1202)</f>
        <v>88.6754</v>
      </c>
      <c r="W1202" s="39" t="n">
        <f aca="false">V1202/(1-Resumo!$C$5)</f>
        <v>100.7675</v>
      </c>
      <c r="X1202" s="39" t="n">
        <v>93.97</v>
      </c>
      <c r="Y1202" s="39" t="n">
        <f aca="false">J1202*Resumo!$B$6</f>
        <v>0.387</v>
      </c>
      <c r="Z1202" s="39" t="n">
        <f aca="false">J1202*Resumo!$B$7</f>
        <v>0.774</v>
      </c>
      <c r="AA1202" s="39" t="n">
        <f aca="false">Resumo!$B$9</f>
        <v>1</v>
      </c>
      <c r="AB1202" s="39" t="n">
        <f aca="false">Resumo!$B$10*CEILING(I1202/100,1)</f>
        <v>4.5</v>
      </c>
      <c r="AC1202" s="39" t="n">
        <f aca="false">Resumo!$B$12*CEILING(I1202,1)</f>
        <v>2.52</v>
      </c>
      <c r="AD1202" s="39" t="n">
        <f aca="false">Resumo!$B$14*CEILING(I1202,1)</f>
        <v>18.9</v>
      </c>
      <c r="AE1202" s="39" t="n">
        <f aca="false">SUM(X1202:AD1202)</f>
        <v>122.051</v>
      </c>
      <c r="AF1202" s="39" t="n">
        <f aca="false">AE1202/(1-Resumo!$B$5)</f>
        <v>138.694318181818</v>
      </c>
      <c r="AG1202" s="39" t="n">
        <f aca="false">AF1202-W1202</f>
        <v>37.9268181818182</v>
      </c>
      <c r="AH1202" s="40" t="n">
        <f aca="false">AF1202/W1202-1</f>
        <v>0.376379469390609</v>
      </c>
      <c r="AI1202" s="37" t="str">
        <f aca="false">IF(AF1202&lt;W1202,"SIM","NÃO")</f>
        <v>NÃO</v>
      </c>
      <c r="AJ1202" s="37" t="n">
        <v>2</v>
      </c>
      <c r="AK1202" s="37" t="n">
        <v>5</v>
      </c>
      <c r="AL1202" s="37" t="s">
        <v>343</v>
      </c>
      <c r="AM1202" s="39" t="n">
        <v>102.44</v>
      </c>
    </row>
    <row r="1203" customFormat="false" ht="15" hidden="false" customHeight="false" outlineLevel="0" collapsed="false">
      <c r="A1203" s="37" t="n">
        <v>378603847</v>
      </c>
      <c r="B1203" s="38" t="n">
        <v>46252.8999768519</v>
      </c>
      <c r="C1203" s="37" t="s">
        <v>340</v>
      </c>
      <c r="D1203" s="37" t="s">
        <v>1476</v>
      </c>
      <c r="E1203" s="37" t="n">
        <v>26175007</v>
      </c>
      <c r="F1203" s="37" t="s">
        <v>165</v>
      </c>
      <c r="G1203" s="37" t="s">
        <v>197</v>
      </c>
      <c r="H1203" s="37" t="s">
        <v>187</v>
      </c>
      <c r="I1203" s="37" t="n">
        <v>52.3</v>
      </c>
      <c r="J1203" s="39" t="n">
        <v>669.99</v>
      </c>
      <c r="K1203" s="37" t="s">
        <v>342</v>
      </c>
      <c r="L1203" s="39" t="n">
        <v>128.49</v>
      </c>
      <c r="M1203" s="39" t="n">
        <v>70.98</v>
      </c>
      <c r="N1203" s="39" t="n">
        <f aca="false">J1203*Resumo!$C$6</f>
        <v>0</v>
      </c>
      <c r="O1203" s="39" t="n">
        <f aca="false">J1203*Resumo!$C$7</f>
        <v>1.406979</v>
      </c>
      <c r="P1203" s="39" t="n">
        <f aca="false">J1203*Resumo!$C$8</f>
        <v>1.406979</v>
      </c>
      <c r="Q1203" s="39" t="n">
        <f aca="false">Resumo!$C$10*CEILING(I1203/100,1)</f>
        <v>1.05</v>
      </c>
      <c r="R1203" s="39" t="n">
        <f aca="false">Resumo!$C$9</f>
        <v>0</v>
      </c>
      <c r="S1203" s="39" t="n">
        <f aca="false">Resumo!$C$13</f>
        <v>13.55</v>
      </c>
      <c r="T1203" s="39" t="n">
        <f aca="false">Resumo!$C$14*CEILING(I1203,1)</f>
        <v>23.85</v>
      </c>
      <c r="U1203" s="39" t="n">
        <f aca="false">SUM(M1203:T1203)*Resumo!$C$11</f>
        <v>0</v>
      </c>
      <c r="V1203" s="39" t="n">
        <f aca="false">SUM(M1203:U1203)</f>
        <v>112.243958</v>
      </c>
      <c r="W1203" s="39" t="n">
        <f aca="false">V1203/(1-Resumo!$C$5)</f>
        <v>127.549952272727</v>
      </c>
      <c r="X1203" s="39" t="n">
        <v>112.3</v>
      </c>
      <c r="Y1203" s="39" t="n">
        <f aca="false">J1203*Resumo!$B$6</f>
        <v>0.66999</v>
      </c>
      <c r="Z1203" s="39" t="n">
        <f aca="false">J1203*Resumo!$B$7</f>
        <v>1.33998</v>
      </c>
      <c r="AA1203" s="39" t="n">
        <f aca="false">Resumo!$B$9</f>
        <v>1</v>
      </c>
      <c r="AB1203" s="39" t="n">
        <f aca="false">Resumo!$B$10*CEILING(I1203/100,1)</f>
        <v>4.5</v>
      </c>
      <c r="AC1203" s="39" t="n">
        <f aca="false">Resumo!$B$12*CEILING(I1203,1)</f>
        <v>3.18</v>
      </c>
      <c r="AD1203" s="39" t="n">
        <f aca="false">Resumo!$B$14*CEILING(I1203,1)</f>
        <v>23.85</v>
      </c>
      <c r="AE1203" s="39" t="n">
        <f aca="false">SUM(X1203:AD1203)</f>
        <v>146.83997</v>
      </c>
      <c r="AF1203" s="39" t="n">
        <f aca="false">AE1203/(1-Resumo!$B$5)</f>
        <v>166.863602272727</v>
      </c>
      <c r="AG1203" s="39" t="n">
        <f aca="false">AF1203-W1203</f>
        <v>39.31365</v>
      </c>
      <c r="AH1203" s="40" t="n">
        <f aca="false">AF1203/W1203-1</f>
        <v>0.308221597103694</v>
      </c>
      <c r="AI1203" s="37" t="str">
        <f aca="false">IF(AF1203&lt;W1203,"SIM","NÃO")</f>
        <v>NÃO</v>
      </c>
      <c r="AJ1203" s="37" t="n">
        <v>2</v>
      </c>
      <c r="AK1203" s="37" t="n">
        <v>5</v>
      </c>
      <c r="AL1203" s="37" t="s">
        <v>343</v>
      </c>
      <c r="AM1203" s="39" t="n">
        <v>128.49</v>
      </c>
    </row>
    <row r="1204" customFormat="false" ht="15" hidden="false" customHeight="false" outlineLevel="0" collapsed="false">
      <c r="A1204" s="37" t="n">
        <v>378611177</v>
      </c>
      <c r="B1204" s="38" t="n">
        <v>46252.9142824074</v>
      </c>
      <c r="C1204" s="37" t="s">
        <v>345</v>
      </c>
      <c r="D1204" s="37" t="s">
        <v>1477</v>
      </c>
      <c r="E1204" s="37" t="n">
        <v>24440670</v>
      </c>
      <c r="F1204" s="37" t="s">
        <v>160</v>
      </c>
      <c r="G1204" s="37" t="s">
        <v>197</v>
      </c>
      <c r="H1204" s="37" t="s">
        <v>188</v>
      </c>
      <c r="I1204" s="37" t="n">
        <v>66.8</v>
      </c>
      <c r="J1204" s="39" t="n">
        <v>649.99</v>
      </c>
      <c r="K1204" s="37" t="s">
        <v>342</v>
      </c>
      <c r="L1204" s="39" t="n">
        <v>139.55</v>
      </c>
      <c r="M1204" s="39" t="n">
        <v>76.55</v>
      </c>
      <c r="N1204" s="39" t="n">
        <f aca="false">J1204*Resumo!$C$6</f>
        <v>0</v>
      </c>
      <c r="O1204" s="39" t="n">
        <f aca="false">J1204*Resumo!$C$7</f>
        <v>1.364979</v>
      </c>
      <c r="P1204" s="39" t="n">
        <f aca="false">J1204*Resumo!$C$8</f>
        <v>1.364979</v>
      </c>
      <c r="Q1204" s="39" t="n">
        <f aca="false">Resumo!$C$10*CEILING(I1204/100,1)</f>
        <v>1.05</v>
      </c>
      <c r="R1204" s="39" t="n">
        <f aca="false">Resumo!$C$9</f>
        <v>0</v>
      </c>
      <c r="S1204" s="39" t="n">
        <f aca="false">Resumo!$C$13</f>
        <v>13.55</v>
      </c>
      <c r="T1204" s="39" t="n">
        <f aca="false">Resumo!$C$14*CEILING(I1204,1)</f>
        <v>30.15</v>
      </c>
      <c r="U1204" s="39" t="n">
        <f aca="false">SUM(M1204:T1204)*Resumo!$C$11</f>
        <v>0</v>
      </c>
      <c r="V1204" s="39" t="n">
        <f aca="false">SUM(M1204:U1204)</f>
        <v>124.029958</v>
      </c>
      <c r="W1204" s="39" t="n">
        <f aca="false">V1204/(1-Resumo!$C$5)</f>
        <v>140.943134090909</v>
      </c>
      <c r="X1204" s="39" t="n">
        <v>149.5</v>
      </c>
      <c r="Y1204" s="39" t="n">
        <f aca="false">J1204*Resumo!$B$6</f>
        <v>0.64999</v>
      </c>
      <c r="Z1204" s="39" t="n">
        <f aca="false">J1204*Resumo!$B$7</f>
        <v>1.29998</v>
      </c>
      <c r="AA1204" s="39" t="n">
        <f aca="false">Resumo!$B$9</f>
        <v>1</v>
      </c>
      <c r="AB1204" s="39" t="n">
        <f aca="false">Resumo!$B$10*CEILING(I1204/100,1)</f>
        <v>4.5</v>
      </c>
      <c r="AC1204" s="39" t="n">
        <f aca="false">Resumo!$B$12*CEILING(I1204,1)</f>
        <v>4.02</v>
      </c>
      <c r="AD1204" s="39" t="n">
        <f aca="false">Resumo!$B$14*CEILING(I1204,1)</f>
        <v>30.15</v>
      </c>
      <c r="AE1204" s="39" t="n">
        <f aca="false">SUM(X1204:AD1204)</f>
        <v>191.11997</v>
      </c>
      <c r="AF1204" s="39" t="n">
        <f aca="false">AE1204/(1-Resumo!$B$5)</f>
        <v>217.181784090909</v>
      </c>
      <c r="AG1204" s="39" t="n">
        <f aca="false">AF1204-W1204</f>
        <v>76.23865</v>
      </c>
      <c r="AH1204" s="40" t="n">
        <f aca="false">AF1204/W1204-1</f>
        <v>0.540917799875414</v>
      </c>
      <c r="AI1204" s="37" t="str">
        <f aca="false">IF(AF1204&lt;W1204,"SIM","NÃO")</f>
        <v>NÃO</v>
      </c>
      <c r="AJ1204" s="37" t="n">
        <v>2</v>
      </c>
      <c r="AK1204" s="37" t="n">
        <v>7</v>
      </c>
      <c r="AL1204" s="37" t="s">
        <v>343</v>
      </c>
      <c r="AM1204" s="39" t="n">
        <v>139.55</v>
      </c>
    </row>
    <row r="1205" customFormat="false" ht="15" hidden="false" customHeight="false" outlineLevel="0" collapsed="false">
      <c r="A1205" s="37" t="n">
        <v>378630555</v>
      </c>
      <c r="B1205" s="38" t="n">
        <v>46252.9506134259</v>
      </c>
      <c r="C1205" s="37" t="s">
        <v>345</v>
      </c>
      <c r="D1205" s="37" t="s">
        <v>1478</v>
      </c>
      <c r="E1205" s="37" t="n">
        <v>21675090</v>
      </c>
      <c r="F1205" s="37" t="s">
        <v>159</v>
      </c>
      <c r="G1205" s="37" t="s">
        <v>196</v>
      </c>
      <c r="H1205" s="37" t="s">
        <v>184</v>
      </c>
      <c r="I1205" s="37" t="n">
        <v>31.9</v>
      </c>
      <c r="J1205" s="39" t="n">
        <v>510.17</v>
      </c>
      <c r="K1205" s="37" t="s">
        <v>342</v>
      </c>
      <c r="L1205" s="39" t="n">
        <v>82.77</v>
      </c>
      <c r="M1205" s="39" t="n">
        <v>42.11</v>
      </c>
      <c r="N1205" s="39" t="n">
        <f aca="false">J1205*Resumo!$C$6</f>
        <v>0</v>
      </c>
      <c r="O1205" s="39" t="n">
        <f aca="false">J1205*Resumo!$C$7</f>
        <v>1.071357</v>
      </c>
      <c r="P1205" s="39" t="n">
        <f aca="false">J1205*Resumo!$C$8</f>
        <v>1.071357</v>
      </c>
      <c r="Q1205" s="39" t="n">
        <f aca="false">Resumo!$C$10*CEILING(I1205/100,1)</f>
        <v>1.05</v>
      </c>
      <c r="R1205" s="39" t="n">
        <f aca="false">Resumo!$C$9</f>
        <v>0</v>
      </c>
      <c r="S1205" s="39" t="n">
        <f aca="false">Resumo!$C$13</f>
        <v>13.55</v>
      </c>
      <c r="T1205" s="39" t="n">
        <f aca="false">Resumo!$C$14*CEILING(I1205,1)</f>
        <v>14.4</v>
      </c>
      <c r="U1205" s="39" t="n">
        <f aca="false">SUM(M1205:T1205)*Resumo!$C$11</f>
        <v>0</v>
      </c>
      <c r="V1205" s="39" t="n">
        <f aca="false">SUM(M1205:U1205)</f>
        <v>73.252714</v>
      </c>
      <c r="W1205" s="39" t="n">
        <f aca="false">V1205/(1-Resumo!$C$5)</f>
        <v>83.2417204545455</v>
      </c>
      <c r="X1205" s="39" t="n">
        <v>82.21</v>
      </c>
      <c r="Y1205" s="39" t="n">
        <f aca="false">J1205*Resumo!$B$6</f>
        <v>0.51017</v>
      </c>
      <c r="Z1205" s="39" t="n">
        <f aca="false">J1205*Resumo!$B$7</f>
        <v>1.02034</v>
      </c>
      <c r="AA1205" s="39" t="n">
        <f aca="false">Resumo!$B$9</f>
        <v>1</v>
      </c>
      <c r="AB1205" s="39" t="n">
        <f aca="false">Resumo!$B$10*CEILING(I1205/100,1)</f>
        <v>4.5</v>
      </c>
      <c r="AC1205" s="39" t="n">
        <f aca="false">Resumo!$B$12*CEILING(I1205,1)</f>
        <v>1.92</v>
      </c>
      <c r="AD1205" s="39" t="n">
        <f aca="false">Resumo!$B$14*CEILING(I1205,1)</f>
        <v>14.4</v>
      </c>
      <c r="AE1205" s="39" t="n">
        <f aca="false">SUM(X1205:AD1205)</f>
        <v>105.56051</v>
      </c>
      <c r="AF1205" s="39" t="n">
        <f aca="false">AE1205/(1-Resumo!$B$5)</f>
        <v>119.955125</v>
      </c>
      <c r="AG1205" s="39" t="n">
        <f aca="false">AF1205-W1205</f>
        <v>36.7134045454545</v>
      </c>
      <c r="AH1205" s="40" t="n">
        <f aca="false">AF1205/W1205-1</f>
        <v>0.441045720162669</v>
      </c>
      <c r="AI1205" s="37" t="str">
        <f aca="false">IF(AF1205&lt;W1205,"SIM","NÃO")</f>
        <v>NÃO</v>
      </c>
      <c r="AJ1205" s="37" t="n">
        <v>2</v>
      </c>
      <c r="AK1205" s="37" t="n">
        <v>5</v>
      </c>
      <c r="AL1205" s="37" t="s">
        <v>343</v>
      </c>
      <c r="AM1205" s="39" t="n">
        <v>82.77</v>
      </c>
    </row>
    <row r="1206" customFormat="false" ht="15" hidden="false" customHeight="false" outlineLevel="0" collapsed="false">
      <c r="A1206" s="37" t="n">
        <v>378635365</v>
      </c>
      <c r="B1206" s="38" t="n">
        <v>46252.9605555556</v>
      </c>
      <c r="C1206" s="37" t="s">
        <v>340</v>
      </c>
      <c r="D1206" s="37" t="s">
        <v>1479</v>
      </c>
      <c r="E1206" s="37" t="n">
        <v>21044340</v>
      </c>
      <c r="F1206" s="37" t="s">
        <v>159</v>
      </c>
      <c r="G1206" s="37" t="s">
        <v>196</v>
      </c>
      <c r="H1206" s="37" t="s">
        <v>185</v>
      </c>
      <c r="I1206" s="37" t="n">
        <v>37.2</v>
      </c>
      <c r="J1206" s="39" t="n">
        <v>399.99</v>
      </c>
      <c r="K1206" s="37" t="s">
        <v>342</v>
      </c>
      <c r="L1206" s="39" t="n">
        <v>91.77</v>
      </c>
      <c r="M1206" s="39" t="n">
        <v>48.35</v>
      </c>
      <c r="N1206" s="39" t="n">
        <f aca="false">J1206*Resumo!$C$6</f>
        <v>0</v>
      </c>
      <c r="O1206" s="39" t="n">
        <f aca="false">J1206*Resumo!$C$7</f>
        <v>0.839979</v>
      </c>
      <c r="P1206" s="39" t="n">
        <f aca="false">J1206*Resumo!$C$8</f>
        <v>0.839979</v>
      </c>
      <c r="Q1206" s="39" t="n">
        <f aca="false">Resumo!$C$10*CEILING(I1206/100,1)</f>
        <v>1.05</v>
      </c>
      <c r="R1206" s="39" t="n">
        <f aca="false">Resumo!$C$9</f>
        <v>0</v>
      </c>
      <c r="S1206" s="39" t="n">
        <f aca="false">Resumo!$C$13</f>
        <v>13.55</v>
      </c>
      <c r="T1206" s="39" t="n">
        <f aca="false">Resumo!$C$14*CEILING(I1206,1)</f>
        <v>17.1</v>
      </c>
      <c r="U1206" s="39" t="n">
        <f aca="false">SUM(M1206:T1206)*Resumo!$C$11</f>
        <v>0</v>
      </c>
      <c r="V1206" s="39" t="n">
        <f aca="false">SUM(M1206:U1206)</f>
        <v>81.729958</v>
      </c>
      <c r="W1206" s="39" t="n">
        <f aca="false">V1206/(1-Resumo!$C$5)</f>
        <v>92.8749522727273</v>
      </c>
      <c r="X1206" s="39" t="n">
        <v>93.97</v>
      </c>
      <c r="Y1206" s="39" t="n">
        <f aca="false">J1206*Resumo!$B$6</f>
        <v>0.39999</v>
      </c>
      <c r="Z1206" s="39" t="n">
        <f aca="false">J1206*Resumo!$B$7</f>
        <v>0.79998</v>
      </c>
      <c r="AA1206" s="39" t="n">
        <f aca="false">Resumo!$B$9</f>
        <v>1</v>
      </c>
      <c r="AB1206" s="39" t="n">
        <f aca="false">Resumo!$B$10*CEILING(I1206/100,1)</f>
        <v>4.5</v>
      </c>
      <c r="AC1206" s="39" t="n">
        <f aca="false">Resumo!$B$12*CEILING(I1206,1)</f>
        <v>2.28</v>
      </c>
      <c r="AD1206" s="39" t="n">
        <f aca="false">Resumo!$B$14*CEILING(I1206,1)</f>
        <v>17.1</v>
      </c>
      <c r="AE1206" s="39" t="n">
        <f aca="false">SUM(X1206:AD1206)</f>
        <v>120.04997</v>
      </c>
      <c r="AF1206" s="39" t="n">
        <f aca="false">AE1206/(1-Resumo!$B$5)</f>
        <v>136.420420454545</v>
      </c>
      <c r="AG1206" s="39" t="n">
        <f aca="false">AF1206-W1206</f>
        <v>43.5454681818182</v>
      </c>
      <c r="AH1206" s="40" t="n">
        <f aca="false">AF1206/W1206-1</f>
        <v>0.468861271163262</v>
      </c>
      <c r="AI1206" s="37" t="str">
        <f aca="false">IF(AF1206&lt;W1206,"SIM","NÃO")</f>
        <v>NÃO</v>
      </c>
      <c r="AJ1206" s="37" t="n">
        <v>2</v>
      </c>
      <c r="AK1206" s="37" t="n">
        <v>5</v>
      </c>
      <c r="AL1206" s="37" t="s">
        <v>343</v>
      </c>
      <c r="AM1206" s="39" t="n">
        <v>91.77</v>
      </c>
    </row>
    <row r="1207" customFormat="false" ht="15" hidden="false" customHeight="false" outlineLevel="0" collapsed="false">
      <c r="A1207" s="37" t="n">
        <v>378661232</v>
      </c>
      <c r="B1207" s="38" t="n">
        <v>46253.004837963</v>
      </c>
      <c r="C1207" s="37" t="s">
        <v>340</v>
      </c>
      <c r="D1207" s="37" t="s">
        <v>1480</v>
      </c>
      <c r="E1207" s="37" t="n">
        <v>24813006</v>
      </c>
      <c r="F1207" s="37" t="s">
        <v>174</v>
      </c>
      <c r="G1207" s="37" t="s">
        <v>198</v>
      </c>
      <c r="H1207" s="37" t="s">
        <v>184</v>
      </c>
      <c r="I1207" s="37" t="n">
        <v>31.9</v>
      </c>
      <c r="J1207" s="39" t="n">
        <v>599.99</v>
      </c>
      <c r="K1207" s="37" t="s">
        <v>342</v>
      </c>
      <c r="L1207" s="39" t="n">
        <v>110.06</v>
      </c>
      <c r="M1207" s="39" t="n">
        <v>65.63</v>
      </c>
      <c r="N1207" s="39" t="n">
        <f aca="false">J1207*Resumo!$C$6</f>
        <v>0</v>
      </c>
      <c r="O1207" s="39" t="n">
        <f aca="false">J1207*Resumo!$C$7</f>
        <v>1.259979</v>
      </c>
      <c r="P1207" s="39" t="n">
        <f aca="false">J1207*Resumo!$C$8</f>
        <v>1.259979</v>
      </c>
      <c r="Q1207" s="39" t="n">
        <f aca="false">Resumo!$C$10*CEILING(I1207/100,1)</f>
        <v>1.05</v>
      </c>
      <c r="R1207" s="39" t="n">
        <f aca="false">Resumo!$C$9</f>
        <v>0</v>
      </c>
      <c r="S1207" s="39" t="n">
        <f aca="false">Resumo!$C$13</f>
        <v>13.55</v>
      </c>
      <c r="T1207" s="39" t="n">
        <f aca="false">Resumo!$C$14*CEILING(I1207,1)</f>
        <v>14.4</v>
      </c>
      <c r="U1207" s="39" t="n">
        <f aca="false">SUM(M1207:T1207)*Resumo!$C$11</f>
        <v>0</v>
      </c>
      <c r="V1207" s="39" t="n">
        <f aca="false">SUM(M1207:U1207)</f>
        <v>97.149958</v>
      </c>
      <c r="W1207" s="39" t="n">
        <f aca="false">V1207/(1-Resumo!$C$5)</f>
        <v>110.397679545455</v>
      </c>
      <c r="X1207" s="39" t="n">
        <v>100.58</v>
      </c>
      <c r="Y1207" s="39" t="n">
        <f aca="false">J1207*Resumo!$B$6</f>
        <v>0.59999</v>
      </c>
      <c r="Z1207" s="39" t="n">
        <f aca="false">J1207*Resumo!$B$7</f>
        <v>1.19998</v>
      </c>
      <c r="AA1207" s="39" t="n">
        <f aca="false">Resumo!$B$9</f>
        <v>1</v>
      </c>
      <c r="AB1207" s="39" t="n">
        <f aca="false">Resumo!$B$10*CEILING(I1207/100,1)</f>
        <v>4.5</v>
      </c>
      <c r="AC1207" s="39" t="n">
        <f aca="false">Resumo!$B$12*CEILING(I1207,1)</f>
        <v>1.92</v>
      </c>
      <c r="AD1207" s="39" t="n">
        <f aca="false">Resumo!$B$14*CEILING(I1207,1)</f>
        <v>14.4</v>
      </c>
      <c r="AE1207" s="39" t="n">
        <f aca="false">SUM(X1207:AD1207)</f>
        <v>124.19997</v>
      </c>
      <c r="AF1207" s="39" t="n">
        <f aca="false">AE1207/(1-Resumo!$B$5)</f>
        <v>141.136329545455</v>
      </c>
      <c r="AG1207" s="39" t="n">
        <f aca="false">AF1207-W1207</f>
        <v>30.73865</v>
      </c>
      <c r="AH1207" s="40" t="n">
        <f aca="false">AF1207/W1207-1</f>
        <v>0.278435653055043</v>
      </c>
      <c r="AI1207" s="37" t="str">
        <f aca="false">IF(AF1207&lt;W1207,"SIM","NÃO")</f>
        <v>NÃO</v>
      </c>
      <c r="AJ1207" s="37" t="n">
        <v>13</v>
      </c>
      <c r="AK1207" s="37" t="n">
        <v>7</v>
      </c>
      <c r="AL1207" s="37" t="s">
        <v>343</v>
      </c>
      <c r="AM1207" s="39" t="n">
        <v>110.06</v>
      </c>
    </row>
    <row r="1208" customFormat="false" ht="15" hidden="false" customHeight="false" outlineLevel="0" collapsed="false">
      <c r="A1208" s="37" t="n">
        <v>378670035</v>
      </c>
      <c r="B1208" s="38" t="n">
        <v>46253.0251157407</v>
      </c>
      <c r="C1208" s="37" t="s">
        <v>340</v>
      </c>
      <c r="D1208" s="37" t="s">
        <v>733</v>
      </c>
      <c r="E1208" s="37" t="n">
        <v>21250150</v>
      </c>
      <c r="F1208" s="37" t="s">
        <v>159</v>
      </c>
      <c r="G1208" s="37" t="s">
        <v>196</v>
      </c>
      <c r="H1208" s="37" t="s">
        <v>185</v>
      </c>
      <c r="I1208" s="37" t="n">
        <v>37.6</v>
      </c>
      <c r="J1208" s="39" t="n">
        <v>383.12</v>
      </c>
      <c r="K1208" s="37" t="s">
        <v>342</v>
      </c>
      <c r="L1208" s="39" t="n">
        <v>91.7</v>
      </c>
      <c r="M1208" s="39" t="n">
        <v>48.35</v>
      </c>
      <c r="N1208" s="39" t="n">
        <f aca="false">J1208*Resumo!$C$6</f>
        <v>0</v>
      </c>
      <c r="O1208" s="39" t="n">
        <f aca="false">J1208*Resumo!$C$7</f>
        <v>0.804552</v>
      </c>
      <c r="P1208" s="39" t="n">
        <f aca="false">J1208*Resumo!$C$8</f>
        <v>0.804552</v>
      </c>
      <c r="Q1208" s="39" t="n">
        <f aca="false">Resumo!$C$10*CEILING(I1208/100,1)</f>
        <v>1.05</v>
      </c>
      <c r="R1208" s="39" t="n">
        <f aca="false">Resumo!$C$9</f>
        <v>0</v>
      </c>
      <c r="S1208" s="39" t="n">
        <f aca="false">Resumo!$C$13</f>
        <v>13.55</v>
      </c>
      <c r="T1208" s="39" t="n">
        <f aca="false">Resumo!$C$14*CEILING(I1208,1)</f>
        <v>17.1</v>
      </c>
      <c r="U1208" s="39" t="n">
        <f aca="false">SUM(M1208:T1208)*Resumo!$C$11</f>
        <v>0</v>
      </c>
      <c r="V1208" s="39" t="n">
        <f aca="false">SUM(M1208:U1208)</f>
        <v>81.659104</v>
      </c>
      <c r="W1208" s="39" t="n">
        <f aca="false">V1208/(1-Resumo!$C$5)</f>
        <v>92.7944363636364</v>
      </c>
      <c r="X1208" s="39" t="n">
        <v>93.97</v>
      </c>
      <c r="Y1208" s="39" t="n">
        <f aca="false">J1208*Resumo!$B$6</f>
        <v>0.38312</v>
      </c>
      <c r="Z1208" s="39" t="n">
        <f aca="false">J1208*Resumo!$B$7</f>
        <v>0.76624</v>
      </c>
      <c r="AA1208" s="39" t="n">
        <f aca="false">Resumo!$B$9</f>
        <v>1</v>
      </c>
      <c r="AB1208" s="39" t="n">
        <f aca="false">Resumo!$B$10*CEILING(I1208/100,1)</f>
        <v>4.5</v>
      </c>
      <c r="AC1208" s="39" t="n">
        <f aca="false">Resumo!$B$12*CEILING(I1208,1)</f>
        <v>2.28</v>
      </c>
      <c r="AD1208" s="39" t="n">
        <f aca="false">Resumo!$B$14*CEILING(I1208,1)</f>
        <v>17.1</v>
      </c>
      <c r="AE1208" s="39" t="n">
        <f aca="false">SUM(X1208:AD1208)</f>
        <v>119.99936</v>
      </c>
      <c r="AF1208" s="39" t="n">
        <f aca="false">AE1208/(1-Resumo!$B$5)</f>
        <v>136.362909090909</v>
      </c>
      <c r="AG1208" s="39" t="n">
        <f aca="false">AF1208-W1208</f>
        <v>43.5684727272727</v>
      </c>
      <c r="AH1208" s="40" t="n">
        <f aca="false">AF1208/W1208-1</f>
        <v>0.469516001547115</v>
      </c>
      <c r="AI1208" s="37" t="str">
        <f aca="false">IF(AF1208&lt;W1208,"SIM","NÃO")</f>
        <v>NÃO</v>
      </c>
      <c r="AJ1208" s="37" t="n">
        <v>2</v>
      </c>
      <c r="AK1208" s="37" t="n">
        <v>5</v>
      </c>
      <c r="AL1208" s="37" t="s">
        <v>343</v>
      </c>
      <c r="AM1208" s="39" t="n">
        <v>91.69</v>
      </c>
    </row>
    <row r="1209" customFormat="false" ht="15" hidden="false" customHeight="false" outlineLevel="0" collapsed="false">
      <c r="A1209" s="37" t="n">
        <v>378689059</v>
      </c>
      <c r="B1209" s="38" t="n">
        <v>46253.0837847222</v>
      </c>
      <c r="C1209" s="37" t="s">
        <v>345</v>
      </c>
      <c r="D1209" s="37" t="s">
        <v>1481</v>
      </c>
      <c r="E1209" s="37" t="n">
        <v>21815340</v>
      </c>
      <c r="F1209" s="37" t="s">
        <v>159</v>
      </c>
      <c r="G1209" s="37" t="s">
        <v>196</v>
      </c>
      <c r="H1209" s="37" t="s">
        <v>187</v>
      </c>
      <c r="I1209" s="37" t="n">
        <v>52.3</v>
      </c>
      <c r="J1209" s="39" t="n">
        <v>616.99</v>
      </c>
      <c r="K1209" s="37" t="s">
        <v>342</v>
      </c>
      <c r="L1209" s="39" t="n">
        <v>114.09</v>
      </c>
      <c r="M1209" s="39" t="n">
        <v>58.6</v>
      </c>
      <c r="N1209" s="39" t="n">
        <f aca="false">J1209*Resumo!$C$6</f>
        <v>0</v>
      </c>
      <c r="O1209" s="39" t="n">
        <f aca="false">J1209*Resumo!$C$7</f>
        <v>1.295679</v>
      </c>
      <c r="P1209" s="39" t="n">
        <f aca="false">J1209*Resumo!$C$8</f>
        <v>1.295679</v>
      </c>
      <c r="Q1209" s="39" t="n">
        <f aca="false">Resumo!$C$10*CEILING(I1209/100,1)</f>
        <v>1.05</v>
      </c>
      <c r="R1209" s="39" t="n">
        <f aca="false">Resumo!$C$9</f>
        <v>0</v>
      </c>
      <c r="S1209" s="39" t="n">
        <f aca="false">Resumo!$C$13</f>
        <v>13.55</v>
      </c>
      <c r="T1209" s="39" t="n">
        <f aca="false">Resumo!$C$14*CEILING(I1209,1)</f>
        <v>23.85</v>
      </c>
      <c r="U1209" s="39" t="n">
        <f aca="false">SUM(M1209:T1209)*Resumo!$C$11</f>
        <v>0</v>
      </c>
      <c r="V1209" s="39" t="n">
        <f aca="false">SUM(M1209:U1209)</f>
        <v>99.641358</v>
      </c>
      <c r="W1209" s="39" t="n">
        <f aca="false">V1209/(1-Resumo!$C$5)</f>
        <v>113.228815909091</v>
      </c>
      <c r="X1209" s="39" t="n">
        <v>112.3</v>
      </c>
      <c r="Y1209" s="39" t="n">
        <f aca="false">J1209*Resumo!$B$6</f>
        <v>0.61699</v>
      </c>
      <c r="Z1209" s="39" t="n">
        <f aca="false">J1209*Resumo!$B$7</f>
        <v>1.23398</v>
      </c>
      <c r="AA1209" s="39" t="n">
        <f aca="false">Resumo!$B$9</f>
        <v>1</v>
      </c>
      <c r="AB1209" s="39" t="n">
        <f aca="false">Resumo!$B$10*CEILING(I1209/100,1)</f>
        <v>4.5</v>
      </c>
      <c r="AC1209" s="39" t="n">
        <f aca="false">Resumo!$B$12*CEILING(I1209,1)</f>
        <v>3.18</v>
      </c>
      <c r="AD1209" s="39" t="n">
        <f aca="false">Resumo!$B$14*CEILING(I1209,1)</f>
        <v>23.85</v>
      </c>
      <c r="AE1209" s="39" t="n">
        <f aca="false">SUM(X1209:AD1209)</f>
        <v>146.68097</v>
      </c>
      <c r="AF1209" s="39" t="n">
        <f aca="false">AE1209/(1-Resumo!$B$5)</f>
        <v>166.682920454545</v>
      </c>
      <c r="AG1209" s="39" t="n">
        <f aca="false">AF1209-W1209</f>
        <v>53.4541045454546</v>
      </c>
      <c r="AH1209" s="40" t="n">
        <f aca="false">AF1209/W1209-1</f>
        <v>0.472089230257179</v>
      </c>
      <c r="AI1209" s="37" t="str">
        <f aca="false">IF(AF1209&lt;W1209,"SIM","NÃO")</f>
        <v>NÃO</v>
      </c>
      <c r="AJ1209" s="37" t="n">
        <v>2</v>
      </c>
      <c r="AK1209" s="37" t="n">
        <v>5</v>
      </c>
      <c r="AL1209" s="37" t="s">
        <v>343</v>
      </c>
      <c r="AM1209" s="39" t="n">
        <v>114.11</v>
      </c>
    </row>
    <row r="1210" customFormat="false" ht="15" hidden="false" customHeight="false" outlineLevel="0" collapsed="false">
      <c r="A1210" s="37" t="n">
        <v>378698722</v>
      </c>
      <c r="B1210" s="38" t="n">
        <v>46253.2136111111</v>
      </c>
      <c r="C1210" s="37" t="s">
        <v>361</v>
      </c>
      <c r="D1210" s="37" t="s">
        <v>1482</v>
      </c>
      <c r="E1210" s="37" t="n">
        <v>25015301</v>
      </c>
      <c r="F1210" s="37" t="s">
        <v>161</v>
      </c>
      <c r="G1210" s="37" t="s">
        <v>197</v>
      </c>
      <c r="H1210" s="37" t="s">
        <v>184</v>
      </c>
      <c r="I1210" s="37" t="n">
        <v>22.4</v>
      </c>
      <c r="J1210" s="39" t="n">
        <v>475.99</v>
      </c>
      <c r="K1210" s="37" t="s">
        <v>342</v>
      </c>
      <c r="L1210" s="39" t="n">
        <v>101.66</v>
      </c>
      <c r="M1210" s="39" t="n">
        <v>58.8</v>
      </c>
      <c r="N1210" s="39" t="n">
        <f aca="false">J1210*Resumo!$C$6</f>
        <v>0</v>
      </c>
      <c r="O1210" s="39" t="n">
        <f aca="false">J1210*Resumo!$C$7</f>
        <v>0.999579</v>
      </c>
      <c r="P1210" s="39" t="n">
        <f aca="false">J1210*Resumo!$C$8</f>
        <v>0.999579</v>
      </c>
      <c r="Q1210" s="39" t="n">
        <f aca="false">Resumo!$C$10*CEILING(I1210/100,1)</f>
        <v>1.05</v>
      </c>
      <c r="R1210" s="39" t="n">
        <f aca="false">Resumo!$C$9</f>
        <v>0</v>
      </c>
      <c r="S1210" s="39" t="n">
        <f aca="false">Resumo!$C$13</f>
        <v>13.55</v>
      </c>
      <c r="T1210" s="39" t="n">
        <f aca="false">Resumo!$C$14*CEILING(I1210,1)</f>
        <v>10.35</v>
      </c>
      <c r="U1210" s="39" t="n">
        <f aca="false">SUM(M1210:T1210)*Resumo!$C$11</f>
        <v>0</v>
      </c>
      <c r="V1210" s="39" t="n">
        <f aca="false">SUM(M1210:U1210)</f>
        <v>85.749158</v>
      </c>
      <c r="W1210" s="39" t="n">
        <f aca="false">V1210/(1-Resumo!$C$5)</f>
        <v>97.442225</v>
      </c>
      <c r="X1210" s="39" t="n">
        <v>82.21</v>
      </c>
      <c r="Y1210" s="39" t="n">
        <f aca="false">J1210*Resumo!$B$6</f>
        <v>0.47599</v>
      </c>
      <c r="Z1210" s="39" t="n">
        <f aca="false">J1210*Resumo!$B$7</f>
        <v>0.95198</v>
      </c>
      <c r="AA1210" s="39" t="n">
        <f aca="false">Resumo!$B$9</f>
        <v>1</v>
      </c>
      <c r="AB1210" s="39" t="n">
        <f aca="false">Resumo!$B$10*CEILING(I1210/100,1)</f>
        <v>4.5</v>
      </c>
      <c r="AC1210" s="39" t="n">
        <f aca="false">Resumo!$B$12*CEILING(I1210,1)</f>
        <v>1.38</v>
      </c>
      <c r="AD1210" s="39" t="n">
        <f aca="false">Resumo!$B$14*CEILING(I1210,1)</f>
        <v>10.35</v>
      </c>
      <c r="AE1210" s="39" t="n">
        <f aca="false">SUM(X1210:AD1210)</f>
        <v>100.86797</v>
      </c>
      <c r="AF1210" s="39" t="n">
        <f aca="false">AE1210/(1-Resumo!$B$5)</f>
        <v>114.622693181818</v>
      </c>
      <c r="AG1210" s="39" t="n">
        <f aca="false">AF1210-W1210</f>
        <v>17.1804681818182</v>
      </c>
      <c r="AH1210" s="40" t="n">
        <f aca="false">AF1210/W1210-1</f>
        <v>0.176314407658673</v>
      </c>
      <c r="AI1210" s="37" t="str">
        <f aca="false">IF(AF1210&lt;W1210,"SIM","NÃO")</f>
        <v>NÃO</v>
      </c>
      <c r="AJ1210" s="37" t="n">
        <v>2</v>
      </c>
      <c r="AK1210" s="37" t="n">
        <v>5</v>
      </c>
      <c r="AL1210" s="37" t="s">
        <v>343</v>
      </c>
      <c r="AM1210" s="39" t="n">
        <v>101.67</v>
      </c>
    </row>
    <row r="1211" customFormat="false" ht="15" hidden="false" customHeight="false" outlineLevel="0" collapsed="false">
      <c r="A1211" s="37" t="n">
        <v>378738400</v>
      </c>
      <c r="B1211" s="38" t="n">
        <v>46253.2766435185</v>
      </c>
      <c r="C1211" s="37" t="s">
        <v>340</v>
      </c>
      <c r="D1211" s="37" t="s">
        <v>1483</v>
      </c>
      <c r="E1211" s="37" t="n">
        <v>28948878</v>
      </c>
      <c r="F1211" s="37" t="s">
        <v>292</v>
      </c>
      <c r="G1211" s="37" t="s">
        <v>198</v>
      </c>
      <c r="H1211" s="37" t="s">
        <v>185</v>
      </c>
      <c r="I1211" s="37" t="n">
        <v>37.5</v>
      </c>
      <c r="J1211" s="39" t="n">
        <v>439.99</v>
      </c>
      <c r="K1211" s="37" t="s">
        <v>342</v>
      </c>
      <c r="L1211" s="39" t="n">
        <v>122.35</v>
      </c>
      <c r="M1211" s="39" t="n">
        <v>74.97</v>
      </c>
      <c r="N1211" s="39" t="n">
        <f aca="false">J1211*Resumo!$C$6</f>
        <v>0</v>
      </c>
      <c r="O1211" s="39" t="n">
        <f aca="false">J1211*Resumo!$C$7</f>
        <v>0.923979</v>
      </c>
      <c r="P1211" s="39" t="n">
        <f aca="false">J1211*Resumo!$C$8</f>
        <v>0.923979</v>
      </c>
      <c r="Q1211" s="39" t="n">
        <f aca="false">Resumo!$C$10*CEILING(I1211/100,1)</f>
        <v>1.05</v>
      </c>
      <c r="R1211" s="39" t="n">
        <f aca="false">Resumo!$C$9</f>
        <v>0</v>
      </c>
      <c r="S1211" s="39" t="n">
        <f aca="false">Resumo!$C$13</f>
        <v>13.55</v>
      </c>
      <c r="T1211" s="39" t="n">
        <f aca="false">Resumo!$C$14*CEILING(I1211,1)</f>
        <v>17.1</v>
      </c>
      <c r="U1211" s="39" t="n">
        <f aca="false">SUM(M1211:T1211)*Resumo!$C$11</f>
        <v>0</v>
      </c>
      <c r="V1211" s="39" t="n">
        <f aca="false">SUM(M1211:U1211)</f>
        <v>108.517958</v>
      </c>
      <c r="W1211" s="39" t="n">
        <f aca="false">V1211/(1-Resumo!$C$5)</f>
        <v>123.315861363636</v>
      </c>
      <c r="X1211" s="39" t="n">
        <v>124.38</v>
      </c>
      <c r="Y1211" s="39" t="n">
        <f aca="false">J1211*Resumo!$B$6</f>
        <v>0.43999</v>
      </c>
      <c r="Z1211" s="39" t="n">
        <f aca="false">J1211*Resumo!$B$7</f>
        <v>0.87998</v>
      </c>
      <c r="AA1211" s="39" t="n">
        <f aca="false">Resumo!$B$9</f>
        <v>1</v>
      </c>
      <c r="AB1211" s="39" t="n">
        <f aca="false">Resumo!$B$10*CEILING(I1211/100,1)</f>
        <v>4.5</v>
      </c>
      <c r="AC1211" s="39" t="n">
        <f aca="false">Resumo!$B$12*CEILING(I1211,1)</f>
        <v>2.28</v>
      </c>
      <c r="AD1211" s="39" t="n">
        <f aca="false">Resumo!$B$14*CEILING(I1211,1)</f>
        <v>17.1</v>
      </c>
      <c r="AE1211" s="39" t="n">
        <f aca="false">SUM(X1211:AD1211)</f>
        <v>150.57997</v>
      </c>
      <c r="AF1211" s="39" t="n">
        <f aca="false">AE1211/(1-Resumo!$B$5)</f>
        <v>171.113602272727</v>
      </c>
      <c r="AG1211" s="39" t="n">
        <f aca="false">AF1211-W1211</f>
        <v>47.7977409090909</v>
      </c>
      <c r="AH1211" s="40" t="n">
        <f aca="false">AF1211/W1211-1</f>
        <v>0.387604160410022</v>
      </c>
      <c r="AI1211" s="37" t="str">
        <f aca="false">IF(AF1211&lt;W1211,"SIM","NÃO")</f>
        <v>NÃO</v>
      </c>
      <c r="AJ1211" s="37" t="n">
        <v>13</v>
      </c>
      <c r="AK1211" s="37" t="n">
        <v>10</v>
      </c>
      <c r="AL1211" s="37" t="s">
        <v>347</v>
      </c>
      <c r="AM1211" s="39" t="n">
        <v>122.36</v>
      </c>
    </row>
    <row r="1212" customFormat="false" ht="15" hidden="false" customHeight="false" outlineLevel="0" collapsed="false">
      <c r="A1212" s="37" t="n">
        <v>378773626</v>
      </c>
      <c r="B1212" s="38" t="n">
        <v>46253.375150463</v>
      </c>
      <c r="C1212" s="37" t="s">
        <v>340</v>
      </c>
      <c r="D1212" s="37" t="s">
        <v>1484</v>
      </c>
      <c r="E1212" s="37" t="n">
        <v>25223500</v>
      </c>
      <c r="F1212" s="37" t="s">
        <v>161</v>
      </c>
      <c r="G1212" s="37" t="s">
        <v>197</v>
      </c>
      <c r="H1212" s="37" t="s">
        <v>184</v>
      </c>
      <c r="I1212" s="37" t="n">
        <v>27.6</v>
      </c>
      <c r="J1212" s="39" t="n">
        <v>551.99</v>
      </c>
      <c r="K1212" s="37" t="s">
        <v>342</v>
      </c>
      <c r="L1212" s="39" t="n">
        <v>102.02</v>
      </c>
      <c r="M1212" s="39" t="n">
        <v>58.8</v>
      </c>
      <c r="N1212" s="39" t="n">
        <f aca="false">J1212*Resumo!$C$6</f>
        <v>0</v>
      </c>
      <c r="O1212" s="39" t="n">
        <f aca="false">J1212*Resumo!$C$7</f>
        <v>1.159179</v>
      </c>
      <c r="P1212" s="39" t="n">
        <f aca="false">J1212*Resumo!$C$8</f>
        <v>1.159179</v>
      </c>
      <c r="Q1212" s="39" t="n">
        <f aca="false">Resumo!$C$10*CEILING(I1212/100,1)</f>
        <v>1.05</v>
      </c>
      <c r="R1212" s="39" t="n">
        <f aca="false">Resumo!$C$9</f>
        <v>0</v>
      </c>
      <c r="S1212" s="39" t="n">
        <f aca="false">Resumo!$C$13</f>
        <v>13.55</v>
      </c>
      <c r="T1212" s="39" t="n">
        <f aca="false">Resumo!$C$14*CEILING(I1212,1)</f>
        <v>12.6</v>
      </c>
      <c r="U1212" s="39" t="n">
        <f aca="false">SUM(M1212:T1212)*Resumo!$C$11</f>
        <v>0</v>
      </c>
      <c r="V1212" s="39" t="n">
        <f aca="false">SUM(M1212:U1212)</f>
        <v>88.318358</v>
      </c>
      <c r="W1212" s="39" t="n">
        <f aca="false">V1212/(1-Resumo!$C$5)</f>
        <v>100.361770454545</v>
      </c>
      <c r="X1212" s="39" t="n">
        <v>82.21</v>
      </c>
      <c r="Y1212" s="39" t="n">
        <f aca="false">J1212*Resumo!$B$6</f>
        <v>0.55199</v>
      </c>
      <c r="Z1212" s="39" t="n">
        <f aca="false">J1212*Resumo!$B$7</f>
        <v>1.10398</v>
      </c>
      <c r="AA1212" s="39" t="n">
        <f aca="false">Resumo!$B$9</f>
        <v>1</v>
      </c>
      <c r="AB1212" s="39" t="n">
        <f aca="false">Resumo!$B$10*CEILING(I1212/100,1)</f>
        <v>4.5</v>
      </c>
      <c r="AC1212" s="39" t="n">
        <f aca="false">Resumo!$B$12*CEILING(I1212,1)</f>
        <v>1.68</v>
      </c>
      <c r="AD1212" s="39" t="n">
        <f aca="false">Resumo!$B$14*CEILING(I1212,1)</f>
        <v>12.6</v>
      </c>
      <c r="AE1212" s="39" t="n">
        <f aca="false">SUM(X1212:AD1212)</f>
        <v>103.64597</v>
      </c>
      <c r="AF1212" s="39" t="n">
        <f aca="false">AE1212/(1-Resumo!$B$5)</f>
        <v>117.779511363636</v>
      </c>
      <c r="AG1212" s="39" t="n">
        <f aca="false">AF1212-W1212</f>
        <v>17.4177409090909</v>
      </c>
      <c r="AH1212" s="40" t="n">
        <f aca="false">AF1212/W1212-1</f>
        <v>0.173549558065833</v>
      </c>
      <c r="AI1212" s="37" t="str">
        <f aca="false">IF(AF1212&lt;W1212,"SIM","NÃO")</f>
        <v>NÃO</v>
      </c>
      <c r="AJ1212" s="37" t="n">
        <v>2</v>
      </c>
      <c r="AK1212" s="37" t="n">
        <v>5</v>
      </c>
      <c r="AL1212" s="37" t="s">
        <v>343</v>
      </c>
      <c r="AM1212" s="39" t="n">
        <v>102.03</v>
      </c>
    </row>
    <row r="1213" customFormat="false" ht="15" hidden="false" customHeight="false" outlineLevel="0" collapsed="false">
      <c r="A1213" s="37" t="n">
        <v>378795883</v>
      </c>
      <c r="B1213" s="38" t="n">
        <v>46253.4211111111</v>
      </c>
      <c r="C1213" s="37" t="s">
        <v>340</v>
      </c>
      <c r="D1213" s="37" t="s">
        <v>1485</v>
      </c>
      <c r="E1213" s="37" t="n">
        <v>28692600</v>
      </c>
      <c r="F1213" s="37" t="s">
        <v>283</v>
      </c>
      <c r="G1213" s="37" t="s">
        <v>198</v>
      </c>
      <c r="H1213" s="37" t="s">
        <v>188</v>
      </c>
      <c r="I1213" s="37" t="n">
        <v>63.9</v>
      </c>
      <c r="J1213" s="39" t="n">
        <v>717.59</v>
      </c>
      <c r="K1213" s="37" t="s">
        <v>342</v>
      </c>
      <c r="L1213" s="39" t="n">
        <v>155.47</v>
      </c>
      <c r="M1213" s="39" t="n">
        <v>90.2</v>
      </c>
      <c r="N1213" s="39" t="n">
        <f aca="false">J1213*Resumo!$C$6</f>
        <v>0</v>
      </c>
      <c r="O1213" s="39" t="n">
        <f aca="false">J1213*Resumo!$C$7</f>
        <v>1.506939</v>
      </c>
      <c r="P1213" s="39" t="n">
        <f aca="false">J1213*Resumo!$C$8</f>
        <v>1.506939</v>
      </c>
      <c r="Q1213" s="39" t="n">
        <f aca="false">Resumo!$C$10*CEILING(I1213/100,1)</f>
        <v>1.05</v>
      </c>
      <c r="R1213" s="39" t="n">
        <f aca="false">Resumo!$C$9</f>
        <v>0</v>
      </c>
      <c r="S1213" s="39" t="n">
        <f aca="false">Resumo!$C$13</f>
        <v>13.55</v>
      </c>
      <c r="T1213" s="39" t="n">
        <f aca="false">Resumo!$C$14*CEILING(I1213,1)</f>
        <v>28.8</v>
      </c>
      <c r="U1213" s="39" t="n">
        <f aca="false">SUM(M1213:T1213)*Resumo!$C$11</f>
        <v>0</v>
      </c>
      <c r="V1213" s="39" t="n">
        <f aca="false">SUM(M1213:U1213)</f>
        <v>136.613878</v>
      </c>
      <c r="W1213" s="39" t="n">
        <f aca="false">V1213/(1-Resumo!$C$5)</f>
        <v>155.243043181818</v>
      </c>
      <c r="X1213" s="39" t="n">
        <v>166.05</v>
      </c>
      <c r="Y1213" s="39" t="n">
        <f aca="false">J1213*Resumo!$B$6</f>
        <v>0.71759</v>
      </c>
      <c r="Z1213" s="39" t="n">
        <f aca="false">J1213*Resumo!$B$7</f>
        <v>1.43518</v>
      </c>
      <c r="AA1213" s="39" t="n">
        <f aca="false">Resumo!$B$9</f>
        <v>1</v>
      </c>
      <c r="AB1213" s="39" t="n">
        <f aca="false">Resumo!$B$10*CEILING(I1213/100,1)</f>
        <v>4.5</v>
      </c>
      <c r="AC1213" s="39" t="n">
        <f aca="false">Resumo!$B$12*CEILING(I1213,1)</f>
        <v>3.84</v>
      </c>
      <c r="AD1213" s="39" t="n">
        <f aca="false">Resumo!$B$14*CEILING(I1213,1)</f>
        <v>28.8</v>
      </c>
      <c r="AE1213" s="39" t="n">
        <f aca="false">SUM(X1213:AD1213)</f>
        <v>206.34277</v>
      </c>
      <c r="AF1213" s="39" t="n">
        <f aca="false">AE1213/(1-Resumo!$B$5)</f>
        <v>234.480420454545</v>
      </c>
      <c r="AG1213" s="39" t="n">
        <f aca="false">AF1213-W1213</f>
        <v>79.2373772727273</v>
      </c>
      <c r="AH1213" s="40" t="n">
        <f aca="false">AF1213/W1213-1</f>
        <v>0.510408554539386</v>
      </c>
      <c r="AI1213" s="37" t="str">
        <f aca="false">IF(AF1213&lt;W1213,"SIM","NÃO")</f>
        <v>NÃO</v>
      </c>
      <c r="AJ1213" s="37" t="n">
        <v>13</v>
      </c>
      <c r="AK1213" s="37" t="n">
        <v>10</v>
      </c>
      <c r="AL1213" s="37" t="s">
        <v>347</v>
      </c>
      <c r="AM1213" s="39" t="n">
        <v>155.46</v>
      </c>
    </row>
    <row r="1214" customFormat="false" ht="15" hidden="false" customHeight="false" outlineLevel="0" collapsed="false">
      <c r="A1214" s="37" t="n">
        <v>378804508</v>
      </c>
      <c r="B1214" s="38" t="n">
        <v>46253.4362384259</v>
      </c>
      <c r="C1214" s="37" t="s">
        <v>345</v>
      </c>
      <c r="D1214" s="37" t="s">
        <v>1309</v>
      </c>
      <c r="E1214" s="37" t="n">
        <v>21725020</v>
      </c>
      <c r="F1214" s="37" t="s">
        <v>159</v>
      </c>
      <c r="G1214" s="37" t="s">
        <v>196</v>
      </c>
      <c r="H1214" s="37" t="s">
        <v>184</v>
      </c>
      <c r="I1214" s="37" t="n">
        <v>20.8</v>
      </c>
      <c r="J1214" s="39" t="n">
        <v>289.24</v>
      </c>
      <c r="K1214" s="37" t="s">
        <v>342</v>
      </c>
      <c r="L1214" s="39" t="n">
        <v>81.72</v>
      </c>
      <c r="M1214" s="39" t="n">
        <v>42.11</v>
      </c>
      <c r="N1214" s="39" t="n">
        <f aca="false">J1214*Resumo!$C$6</f>
        <v>0</v>
      </c>
      <c r="O1214" s="39" t="n">
        <f aca="false">J1214*Resumo!$C$7</f>
        <v>0.607404</v>
      </c>
      <c r="P1214" s="39" t="n">
        <f aca="false">J1214*Resumo!$C$8</f>
        <v>0.607404</v>
      </c>
      <c r="Q1214" s="39" t="n">
        <f aca="false">Resumo!$C$10*CEILING(I1214/100,1)</f>
        <v>1.05</v>
      </c>
      <c r="R1214" s="39" t="n">
        <f aca="false">Resumo!$C$9</f>
        <v>0</v>
      </c>
      <c r="S1214" s="39" t="n">
        <f aca="false">Resumo!$C$13</f>
        <v>13.55</v>
      </c>
      <c r="T1214" s="39" t="n">
        <f aca="false">Resumo!$C$14*CEILING(I1214,1)</f>
        <v>9.45</v>
      </c>
      <c r="U1214" s="39" t="n">
        <f aca="false">SUM(M1214:T1214)*Resumo!$C$11</f>
        <v>0</v>
      </c>
      <c r="V1214" s="39" t="n">
        <f aca="false">SUM(M1214:U1214)</f>
        <v>67.374808</v>
      </c>
      <c r="W1214" s="39" t="n">
        <f aca="false">V1214/(1-Resumo!$C$5)</f>
        <v>76.5622818181818</v>
      </c>
      <c r="X1214" s="39" t="n">
        <v>82.21</v>
      </c>
      <c r="Y1214" s="39" t="n">
        <f aca="false">J1214*Resumo!$B$6</f>
        <v>0.28924</v>
      </c>
      <c r="Z1214" s="39" t="n">
        <f aca="false">J1214*Resumo!$B$7</f>
        <v>0.57848</v>
      </c>
      <c r="AA1214" s="39" t="n">
        <f aca="false">Resumo!$B$9</f>
        <v>1</v>
      </c>
      <c r="AB1214" s="39" t="n">
        <f aca="false">Resumo!$B$10*CEILING(I1214/100,1)</f>
        <v>4.5</v>
      </c>
      <c r="AC1214" s="39" t="n">
        <f aca="false">Resumo!$B$12*CEILING(I1214,1)</f>
        <v>1.26</v>
      </c>
      <c r="AD1214" s="39" t="n">
        <f aca="false">Resumo!$B$14*CEILING(I1214,1)</f>
        <v>9.45</v>
      </c>
      <c r="AE1214" s="39" t="n">
        <f aca="false">SUM(X1214:AD1214)</f>
        <v>99.28772</v>
      </c>
      <c r="AF1214" s="39" t="n">
        <f aca="false">AE1214/(1-Resumo!$B$5)</f>
        <v>112.826954545455</v>
      </c>
      <c r="AG1214" s="39" t="n">
        <f aca="false">AF1214-W1214</f>
        <v>36.2646727272727</v>
      </c>
      <c r="AH1214" s="40" t="n">
        <f aca="false">AF1214/W1214-1</f>
        <v>0.473662381345859</v>
      </c>
      <c r="AI1214" s="37" t="str">
        <f aca="false">IF(AF1214&lt;W1214,"SIM","NÃO")</f>
        <v>NÃO</v>
      </c>
      <c r="AJ1214" s="37" t="n">
        <v>2</v>
      </c>
      <c r="AK1214" s="37" t="n">
        <v>5</v>
      </c>
      <c r="AL1214" s="37" t="s">
        <v>343</v>
      </c>
      <c r="AM1214" s="39" t="n">
        <v>81.71</v>
      </c>
    </row>
    <row r="1215" customFormat="false" ht="15" hidden="false" customHeight="false" outlineLevel="0" collapsed="false">
      <c r="A1215" s="37" t="n">
        <v>378844308</v>
      </c>
      <c r="B1215" s="38" t="n">
        <v>46253.510787037</v>
      </c>
      <c r="C1215" s="37" t="s">
        <v>340</v>
      </c>
      <c r="D1215" s="37" t="s">
        <v>1486</v>
      </c>
      <c r="E1215" s="37" t="n">
        <v>22221000</v>
      </c>
      <c r="F1215" s="37" t="s">
        <v>159</v>
      </c>
      <c r="G1215" s="37" t="s">
        <v>196</v>
      </c>
      <c r="H1215" s="37" t="s">
        <v>187</v>
      </c>
      <c r="I1215" s="37" t="n">
        <v>52.3</v>
      </c>
      <c r="J1215" s="39" t="n">
        <v>616.39</v>
      </c>
      <c r="K1215" s="37" t="s">
        <v>342</v>
      </c>
      <c r="L1215" s="39" t="n">
        <v>114.09</v>
      </c>
      <c r="M1215" s="39" t="n">
        <v>58.6</v>
      </c>
      <c r="N1215" s="39" t="n">
        <f aca="false">J1215*Resumo!$C$6</f>
        <v>0</v>
      </c>
      <c r="O1215" s="39" t="n">
        <f aca="false">J1215*Resumo!$C$7</f>
        <v>1.294419</v>
      </c>
      <c r="P1215" s="39" t="n">
        <f aca="false">J1215*Resumo!$C$8</f>
        <v>1.294419</v>
      </c>
      <c r="Q1215" s="39" t="n">
        <f aca="false">Resumo!$C$10*CEILING(I1215/100,1)</f>
        <v>1.05</v>
      </c>
      <c r="R1215" s="39" t="n">
        <f aca="false">Resumo!$C$9</f>
        <v>0</v>
      </c>
      <c r="S1215" s="39" t="n">
        <f aca="false">Resumo!$C$13</f>
        <v>13.55</v>
      </c>
      <c r="T1215" s="39" t="n">
        <f aca="false">Resumo!$C$14*CEILING(I1215,1)</f>
        <v>23.85</v>
      </c>
      <c r="U1215" s="39" t="n">
        <f aca="false">SUM(M1215:T1215)*Resumo!$C$11</f>
        <v>0</v>
      </c>
      <c r="V1215" s="39" t="n">
        <f aca="false">SUM(M1215:U1215)</f>
        <v>99.638838</v>
      </c>
      <c r="W1215" s="39" t="n">
        <f aca="false">V1215/(1-Resumo!$C$5)</f>
        <v>113.225952272727</v>
      </c>
      <c r="X1215" s="39" t="n">
        <v>112.3</v>
      </c>
      <c r="Y1215" s="39" t="n">
        <f aca="false">J1215*Resumo!$B$6</f>
        <v>0.61639</v>
      </c>
      <c r="Z1215" s="39" t="n">
        <f aca="false">J1215*Resumo!$B$7</f>
        <v>1.23278</v>
      </c>
      <c r="AA1215" s="39" t="n">
        <f aca="false">Resumo!$B$9</f>
        <v>1</v>
      </c>
      <c r="AB1215" s="39" t="n">
        <f aca="false">Resumo!$B$10*CEILING(I1215/100,1)</f>
        <v>4.5</v>
      </c>
      <c r="AC1215" s="39" t="n">
        <f aca="false">Resumo!$B$12*CEILING(I1215,1)</f>
        <v>3.18</v>
      </c>
      <c r="AD1215" s="39" t="n">
        <f aca="false">Resumo!$B$14*CEILING(I1215,1)</f>
        <v>23.85</v>
      </c>
      <c r="AE1215" s="39" t="n">
        <f aca="false">SUM(X1215:AD1215)</f>
        <v>146.67917</v>
      </c>
      <c r="AF1215" s="39" t="n">
        <f aca="false">AE1215/(1-Resumo!$B$5)</f>
        <v>166.680875</v>
      </c>
      <c r="AG1215" s="39" t="n">
        <f aca="false">AF1215-W1215</f>
        <v>53.4549227272727</v>
      </c>
      <c r="AH1215" s="40" t="n">
        <f aca="false">AF1215/W1215-1</f>
        <v>0.472108396125615</v>
      </c>
      <c r="AI1215" s="37" t="str">
        <f aca="false">IF(AF1215&lt;W1215,"SIM","NÃO")</f>
        <v>NÃO</v>
      </c>
      <c r="AJ1215" s="37" t="n">
        <v>2</v>
      </c>
      <c r="AK1215" s="37" t="n">
        <v>5</v>
      </c>
      <c r="AL1215" s="37" t="s">
        <v>343</v>
      </c>
      <c r="AM1215" s="39" t="n">
        <v>114.1</v>
      </c>
    </row>
    <row r="1216" customFormat="false" ht="15" hidden="false" customHeight="false" outlineLevel="0" collapsed="false">
      <c r="A1216" s="37" t="n">
        <v>378845254</v>
      </c>
      <c r="B1216" s="38" t="n">
        <v>46253.5123148148</v>
      </c>
      <c r="C1216" s="37" t="s">
        <v>345</v>
      </c>
      <c r="D1216" s="37" t="s">
        <v>1487</v>
      </c>
      <c r="E1216" s="37" t="n">
        <v>27913260</v>
      </c>
      <c r="F1216" s="37" t="s">
        <v>166</v>
      </c>
      <c r="G1216" s="37" t="s">
        <v>198</v>
      </c>
      <c r="H1216" s="37" t="s">
        <v>186</v>
      </c>
      <c r="I1216" s="37" t="n">
        <v>44.7</v>
      </c>
      <c r="J1216" s="39" t="n">
        <v>511.57</v>
      </c>
      <c r="K1216" s="37" t="s">
        <v>342</v>
      </c>
      <c r="L1216" s="39" t="n">
        <v>130.6</v>
      </c>
      <c r="M1216" s="39" t="n">
        <v>77.7</v>
      </c>
      <c r="N1216" s="39" t="n">
        <f aca="false">J1216*Resumo!$C$6</f>
        <v>0</v>
      </c>
      <c r="O1216" s="39" t="n">
        <f aca="false">J1216*Resumo!$C$7</f>
        <v>1.074297</v>
      </c>
      <c r="P1216" s="39" t="n">
        <f aca="false">J1216*Resumo!$C$8</f>
        <v>1.074297</v>
      </c>
      <c r="Q1216" s="39" t="n">
        <f aca="false">Resumo!$C$10*CEILING(I1216/100,1)</f>
        <v>1.05</v>
      </c>
      <c r="R1216" s="39" t="n">
        <f aca="false">Resumo!$C$9</f>
        <v>0</v>
      </c>
      <c r="S1216" s="39" t="n">
        <f aca="false">Resumo!$C$13</f>
        <v>13.55</v>
      </c>
      <c r="T1216" s="39" t="n">
        <f aca="false">Resumo!$C$14*CEILING(I1216,1)</f>
        <v>20.25</v>
      </c>
      <c r="U1216" s="39" t="n">
        <f aca="false">SUM(M1216:T1216)*Resumo!$C$11</f>
        <v>0</v>
      </c>
      <c r="V1216" s="39" t="n">
        <f aca="false">SUM(M1216:U1216)</f>
        <v>114.698594</v>
      </c>
      <c r="W1216" s="39" t="n">
        <f aca="false">V1216/(1-Resumo!$C$5)</f>
        <v>130.339311363636</v>
      </c>
      <c r="X1216" s="39" t="n">
        <v>152.54</v>
      </c>
      <c r="Y1216" s="39" t="n">
        <f aca="false">J1216*Resumo!$B$6</f>
        <v>0.51157</v>
      </c>
      <c r="Z1216" s="39" t="n">
        <f aca="false">J1216*Resumo!$B$7</f>
        <v>1.02314</v>
      </c>
      <c r="AA1216" s="39" t="n">
        <f aca="false">Resumo!$B$9</f>
        <v>1</v>
      </c>
      <c r="AB1216" s="39" t="n">
        <f aca="false">Resumo!$B$10*CEILING(I1216/100,1)</f>
        <v>4.5</v>
      </c>
      <c r="AC1216" s="39" t="n">
        <f aca="false">Resumo!$B$12*CEILING(I1216,1)</f>
        <v>2.7</v>
      </c>
      <c r="AD1216" s="39" t="n">
        <f aca="false">Resumo!$B$14*CEILING(I1216,1)</f>
        <v>20.25</v>
      </c>
      <c r="AE1216" s="39" t="n">
        <f aca="false">SUM(X1216:AD1216)</f>
        <v>182.52471</v>
      </c>
      <c r="AF1216" s="39" t="n">
        <f aca="false">AE1216/(1-Resumo!$B$5)</f>
        <v>207.414443181818</v>
      </c>
      <c r="AG1216" s="39" t="n">
        <f aca="false">AF1216-W1216</f>
        <v>77.0751318181818</v>
      </c>
      <c r="AH1216" s="40" t="n">
        <f aca="false">AF1216/W1216-1</f>
        <v>0.591342174604163</v>
      </c>
      <c r="AI1216" s="37" t="str">
        <f aca="false">IF(AF1216&lt;W1216,"SIM","NÃO")</f>
        <v>NÃO</v>
      </c>
      <c r="AJ1216" s="37" t="n">
        <v>13</v>
      </c>
      <c r="AK1216" s="37" t="n">
        <v>11</v>
      </c>
      <c r="AL1216" s="37" t="s">
        <v>343</v>
      </c>
      <c r="AM1216" s="39" t="n">
        <v>130.61</v>
      </c>
    </row>
    <row r="1217" customFormat="false" ht="15" hidden="false" customHeight="false" outlineLevel="0" collapsed="false">
      <c r="A1217" s="37" t="n">
        <v>378867247</v>
      </c>
      <c r="B1217" s="38" t="n">
        <v>46253.5539814815</v>
      </c>
      <c r="C1217" s="37" t="s">
        <v>345</v>
      </c>
      <c r="D1217" s="37" t="s">
        <v>1488</v>
      </c>
      <c r="E1217" s="37" t="n">
        <v>20740570</v>
      </c>
      <c r="F1217" s="37" t="s">
        <v>159</v>
      </c>
      <c r="G1217" s="37" t="s">
        <v>196</v>
      </c>
      <c r="H1217" s="37" t="s">
        <v>184</v>
      </c>
      <c r="I1217" s="37" t="n">
        <v>25.8</v>
      </c>
      <c r="J1217" s="39" t="n">
        <v>316</v>
      </c>
      <c r="K1217" s="37" t="s">
        <v>342</v>
      </c>
      <c r="L1217" s="39" t="n">
        <v>81.83</v>
      </c>
      <c r="M1217" s="39" t="n">
        <v>42.11</v>
      </c>
      <c r="N1217" s="39" t="n">
        <f aca="false">J1217*Resumo!$C$6</f>
        <v>0</v>
      </c>
      <c r="O1217" s="39" t="n">
        <f aca="false">J1217*Resumo!$C$7</f>
        <v>0.6636</v>
      </c>
      <c r="P1217" s="39" t="n">
        <f aca="false">J1217*Resumo!$C$8</f>
        <v>0.6636</v>
      </c>
      <c r="Q1217" s="39" t="n">
        <f aca="false">Resumo!$C$10*CEILING(I1217/100,1)</f>
        <v>1.05</v>
      </c>
      <c r="R1217" s="39" t="n">
        <f aca="false">Resumo!$C$9</f>
        <v>0</v>
      </c>
      <c r="S1217" s="39" t="n">
        <f aca="false">Resumo!$C$13</f>
        <v>13.55</v>
      </c>
      <c r="T1217" s="39" t="n">
        <f aca="false">Resumo!$C$14*CEILING(I1217,1)</f>
        <v>11.7</v>
      </c>
      <c r="U1217" s="39" t="n">
        <f aca="false">SUM(M1217:T1217)*Resumo!$C$11</f>
        <v>0</v>
      </c>
      <c r="V1217" s="39" t="n">
        <f aca="false">SUM(M1217:U1217)</f>
        <v>69.7372</v>
      </c>
      <c r="W1217" s="39" t="n">
        <f aca="false">V1217/(1-Resumo!$C$5)</f>
        <v>79.2468181818182</v>
      </c>
      <c r="X1217" s="39" t="n">
        <v>82.21</v>
      </c>
      <c r="Y1217" s="39" t="n">
        <f aca="false">J1217*Resumo!$B$6</f>
        <v>0.316</v>
      </c>
      <c r="Z1217" s="39" t="n">
        <f aca="false">J1217*Resumo!$B$7</f>
        <v>0.632</v>
      </c>
      <c r="AA1217" s="39" t="n">
        <f aca="false">Resumo!$B$9</f>
        <v>1</v>
      </c>
      <c r="AB1217" s="39" t="n">
        <f aca="false">Resumo!$B$10*CEILING(I1217/100,1)</f>
        <v>4.5</v>
      </c>
      <c r="AC1217" s="39" t="n">
        <f aca="false">Resumo!$B$12*CEILING(I1217,1)</f>
        <v>1.56</v>
      </c>
      <c r="AD1217" s="39" t="n">
        <f aca="false">Resumo!$B$14*CEILING(I1217,1)</f>
        <v>11.7</v>
      </c>
      <c r="AE1217" s="39" t="n">
        <f aca="false">SUM(X1217:AD1217)</f>
        <v>101.918</v>
      </c>
      <c r="AF1217" s="39" t="n">
        <f aca="false">AE1217/(1-Resumo!$B$5)</f>
        <v>115.815909090909</v>
      </c>
      <c r="AG1217" s="39" t="n">
        <f aca="false">AF1217-W1217</f>
        <v>36.5690909090909</v>
      </c>
      <c r="AH1217" s="40" t="n">
        <f aca="false">AF1217/W1217-1</f>
        <v>0.461458160063782</v>
      </c>
      <c r="AI1217" s="37" t="str">
        <f aca="false">IF(AF1217&lt;W1217,"SIM","NÃO")</f>
        <v>NÃO</v>
      </c>
      <c r="AJ1217" s="37" t="n">
        <v>2</v>
      </c>
      <c r="AK1217" s="37" t="n">
        <v>5</v>
      </c>
      <c r="AL1217" s="37" t="s">
        <v>343</v>
      </c>
      <c r="AM1217" s="39" t="n">
        <v>81.84</v>
      </c>
    </row>
    <row r="1218" customFormat="false" ht="15" hidden="false" customHeight="false" outlineLevel="0" collapsed="false">
      <c r="A1218" s="37" t="n">
        <v>378897227</v>
      </c>
      <c r="B1218" s="38" t="n">
        <v>46253.6125810185</v>
      </c>
      <c r="C1218" s="37" t="s">
        <v>340</v>
      </c>
      <c r="D1218" s="37" t="s">
        <v>661</v>
      </c>
      <c r="E1218" s="37" t="n">
        <v>22783123</v>
      </c>
      <c r="F1218" s="37" t="s">
        <v>159</v>
      </c>
      <c r="G1218" s="37" t="s">
        <v>196</v>
      </c>
      <c r="H1218" s="37" t="s">
        <v>187</v>
      </c>
      <c r="I1218" s="37" t="n">
        <v>52.3</v>
      </c>
      <c r="J1218" s="39" t="n">
        <v>669.99</v>
      </c>
      <c r="K1218" s="37" t="s">
        <v>342</v>
      </c>
      <c r="L1218" s="39" t="n">
        <v>114.36</v>
      </c>
      <c r="M1218" s="39" t="n">
        <v>58.6</v>
      </c>
      <c r="N1218" s="39" t="n">
        <f aca="false">J1218*Resumo!$C$6</f>
        <v>0</v>
      </c>
      <c r="O1218" s="39" t="n">
        <f aca="false">J1218*Resumo!$C$7</f>
        <v>1.406979</v>
      </c>
      <c r="P1218" s="39" t="n">
        <f aca="false">J1218*Resumo!$C$8</f>
        <v>1.406979</v>
      </c>
      <c r="Q1218" s="39" t="n">
        <f aca="false">Resumo!$C$10*CEILING(I1218/100,1)</f>
        <v>1.05</v>
      </c>
      <c r="R1218" s="39" t="n">
        <f aca="false">Resumo!$C$9</f>
        <v>0</v>
      </c>
      <c r="S1218" s="39" t="n">
        <f aca="false">Resumo!$C$13</f>
        <v>13.55</v>
      </c>
      <c r="T1218" s="39" t="n">
        <f aca="false">Resumo!$C$14*CEILING(I1218,1)</f>
        <v>23.85</v>
      </c>
      <c r="U1218" s="39" t="n">
        <f aca="false">SUM(M1218:T1218)*Resumo!$C$11</f>
        <v>0</v>
      </c>
      <c r="V1218" s="39" t="n">
        <f aca="false">SUM(M1218:U1218)</f>
        <v>99.863958</v>
      </c>
      <c r="W1218" s="39" t="n">
        <f aca="false">V1218/(1-Resumo!$C$5)</f>
        <v>113.481770454545</v>
      </c>
      <c r="X1218" s="39" t="n">
        <v>112.3</v>
      </c>
      <c r="Y1218" s="39" t="n">
        <f aca="false">J1218*Resumo!$B$6</f>
        <v>0.66999</v>
      </c>
      <c r="Z1218" s="39" t="n">
        <f aca="false">J1218*Resumo!$B$7</f>
        <v>1.33998</v>
      </c>
      <c r="AA1218" s="39" t="n">
        <f aca="false">Resumo!$B$9</f>
        <v>1</v>
      </c>
      <c r="AB1218" s="39" t="n">
        <f aca="false">Resumo!$B$10*CEILING(I1218/100,1)</f>
        <v>4.5</v>
      </c>
      <c r="AC1218" s="39" t="n">
        <f aca="false">Resumo!$B$12*CEILING(I1218,1)</f>
        <v>3.18</v>
      </c>
      <c r="AD1218" s="39" t="n">
        <f aca="false">Resumo!$B$14*CEILING(I1218,1)</f>
        <v>23.85</v>
      </c>
      <c r="AE1218" s="39" t="n">
        <f aca="false">SUM(X1218:AD1218)</f>
        <v>146.83997</v>
      </c>
      <c r="AF1218" s="39" t="n">
        <f aca="false">AE1218/(1-Resumo!$B$5)</f>
        <v>166.863602272727</v>
      </c>
      <c r="AG1218" s="39" t="n">
        <f aca="false">AF1218-W1218</f>
        <v>53.3818318181818</v>
      </c>
      <c r="AH1218" s="40" t="n">
        <f aca="false">AF1218/W1218-1</f>
        <v>0.470400061651872</v>
      </c>
      <c r="AI1218" s="37" t="str">
        <f aca="false">IF(AF1218&lt;W1218,"SIM","NÃO")</f>
        <v>NÃO</v>
      </c>
      <c r="AJ1218" s="37" t="n">
        <v>2</v>
      </c>
      <c r="AK1218" s="37" t="n">
        <v>5</v>
      </c>
      <c r="AL1218" s="37" t="s">
        <v>343</v>
      </c>
      <c r="AM1218" s="39" t="n">
        <v>114.36</v>
      </c>
    </row>
    <row r="1219" customFormat="false" ht="15" hidden="false" customHeight="false" outlineLevel="0" collapsed="false">
      <c r="A1219" s="37" t="n">
        <v>378907770</v>
      </c>
      <c r="B1219" s="38" t="n">
        <v>46253.6332523148</v>
      </c>
      <c r="C1219" s="37" t="s">
        <v>345</v>
      </c>
      <c r="D1219" s="37" t="s">
        <v>1489</v>
      </c>
      <c r="E1219" s="37" t="n">
        <v>25030040</v>
      </c>
      <c r="F1219" s="37" t="s">
        <v>161</v>
      </c>
      <c r="G1219" s="37" t="s">
        <v>197</v>
      </c>
      <c r="H1219" s="37" t="s">
        <v>184</v>
      </c>
      <c r="I1219" s="37" t="n">
        <v>31.9</v>
      </c>
      <c r="J1219" s="39" t="n">
        <v>518.79</v>
      </c>
      <c r="K1219" s="37" t="s">
        <v>342</v>
      </c>
      <c r="L1219" s="39" t="n">
        <v>101.87</v>
      </c>
      <c r="M1219" s="39" t="n">
        <v>58.8</v>
      </c>
      <c r="N1219" s="39" t="n">
        <f aca="false">J1219*Resumo!$C$6</f>
        <v>0</v>
      </c>
      <c r="O1219" s="39" t="n">
        <f aca="false">J1219*Resumo!$C$7</f>
        <v>1.089459</v>
      </c>
      <c r="P1219" s="39" t="n">
        <f aca="false">J1219*Resumo!$C$8</f>
        <v>1.089459</v>
      </c>
      <c r="Q1219" s="39" t="n">
        <f aca="false">Resumo!$C$10*CEILING(I1219/100,1)</f>
        <v>1.05</v>
      </c>
      <c r="R1219" s="39" t="n">
        <f aca="false">Resumo!$C$9</f>
        <v>0</v>
      </c>
      <c r="S1219" s="39" t="n">
        <f aca="false">Resumo!$C$13</f>
        <v>13.55</v>
      </c>
      <c r="T1219" s="39" t="n">
        <f aca="false">Resumo!$C$14*CEILING(I1219,1)</f>
        <v>14.4</v>
      </c>
      <c r="U1219" s="39" t="n">
        <f aca="false">SUM(M1219:T1219)*Resumo!$C$11</f>
        <v>0</v>
      </c>
      <c r="V1219" s="39" t="n">
        <f aca="false">SUM(M1219:U1219)</f>
        <v>89.978918</v>
      </c>
      <c r="W1219" s="39" t="n">
        <f aca="false">V1219/(1-Resumo!$C$5)</f>
        <v>102.248770454545</v>
      </c>
      <c r="X1219" s="39" t="n">
        <v>82.21</v>
      </c>
      <c r="Y1219" s="39" t="n">
        <f aca="false">J1219*Resumo!$B$6</f>
        <v>0.51879</v>
      </c>
      <c r="Z1219" s="39" t="n">
        <f aca="false">J1219*Resumo!$B$7</f>
        <v>1.03758</v>
      </c>
      <c r="AA1219" s="39" t="n">
        <f aca="false">Resumo!$B$9</f>
        <v>1</v>
      </c>
      <c r="AB1219" s="39" t="n">
        <f aca="false">Resumo!$B$10*CEILING(I1219/100,1)</f>
        <v>4.5</v>
      </c>
      <c r="AC1219" s="39" t="n">
        <f aca="false">Resumo!$B$12*CEILING(I1219,1)</f>
        <v>1.92</v>
      </c>
      <c r="AD1219" s="39" t="n">
        <f aca="false">Resumo!$B$14*CEILING(I1219,1)</f>
        <v>14.4</v>
      </c>
      <c r="AE1219" s="39" t="n">
        <f aca="false">SUM(X1219:AD1219)</f>
        <v>105.58637</v>
      </c>
      <c r="AF1219" s="39" t="n">
        <f aca="false">AE1219/(1-Resumo!$B$5)</f>
        <v>119.984511363636</v>
      </c>
      <c r="AG1219" s="39" t="n">
        <f aca="false">AF1219-W1219</f>
        <v>17.7357409090909</v>
      </c>
      <c r="AH1219" s="40" t="n">
        <f aca="false">AF1219/W1219-1</f>
        <v>0.173456764616796</v>
      </c>
      <c r="AI1219" s="37" t="str">
        <f aca="false">IF(AF1219&lt;W1219,"SIM","NÃO")</f>
        <v>NÃO</v>
      </c>
      <c r="AJ1219" s="37" t="n">
        <v>2</v>
      </c>
      <c r="AK1219" s="37" t="n">
        <v>5</v>
      </c>
      <c r="AL1219" s="37" t="s">
        <v>343</v>
      </c>
      <c r="AM1219" s="39" t="n">
        <v>101.87</v>
      </c>
    </row>
    <row r="1220" customFormat="false" ht="15" hidden="false" customHeight="false" outlineLevel="0" collapsed="false">
      <c r="A1220" s="37" t="n">
        <v>378917403</v>
      </c>
      <c r="B1220" s="38" t="n">
        <v>46253.650462963</v>
      </c>
      <c r="C1220" s="37" t="s">
        <v>345</v>
      </c>
      <c r="D1220" s="37" t="s">
        <v>1490</v>
      </c>
      <c r="E1220" s="37" t="n">
        <v>23036061</v>
      </c>
      <c r="F1220" s="37" t="s">
        <v>159</v>
      </c>
      <c r="G1220" s="37" t="s">
        <v>196</v>
      </c>
      <c r="H1220" s="37" t="s">
        <v>188</v>
      </c>
      <c r="I1220" s="37" t="n">
        <v>66.8</v>
      </c>
      <c r="J1220" s="39" t="n">
        <v>609.99</v>
      </c>
      <c r="K1220" s="37" t="s">
        <v>342</v>
      </c>
      <c r="L1220" s="39" t="n">
        <v>124.12</v>
      </c>
      <c r="M1220" s="39" t="n">
        <v>63.21</v>
      </c>
      <c r="N1220" s="39" t="n">
        <f aca="false">J1220*Resumo!$C$6</f>
        <v>0</v>
      </c>
      <c r="O1220" s="39" t="n">
        <f aca="false">J1220*Resumo!$C$7</f>
        <v>1.280979</v>
      </c>
      <c r="P1220" s="39" t="n">
        <f aca="false">J1220*Resumo!$C$8</f>
        <v>1.280979</v>
      </c>
      <c r="Q1220" s="39" t="n">
        <f aca="false">Resumo!$C$10*CEILING(I1220/100,1)</f>
        <v>1.05</v>
      </c>
      <c r="R1220" s="39" t="n">
        <f aca="false">Resumo!$C$9</f>
        <v>0</v>
      </c>
      <c r="S1220" s="39" t="n">
        <f aca="false">Resumo!$C$13</f>
        <v>13.55</v>
      </c>
      <c r="T1220" s="39" t="n">
        <f aca="false">Resumo!$C$14*CEILING(I1220,1)</f>
        <v>30.15</v>
      </c>
      <c r="U1220" s="39" t="n">
        <f aca="false">SUM(M1220:T1220)*Resumo!$C$11</f>
        <v>0</v>
      </c>
      <c r="V1220" s="39" t="n">
        <f aca="false">SUM(M1220:U1220)</f>
        <v>110.521958</v>
      </c>
      <c r="W1220" s="39" t="n">
        <f aca="false">V1220/(1-Resumo!$C$5)</f>
        <v>125.593134090909</v>
      </c>
      <c r="X1220" s="39" t="n">
        <v>131.02</v>
      </c>
      <c r="Y1220" s="39" t="n">
        <f aca="false">J1220*Resumo!$B$6</f>
        <v>0.60999</v>
      </c>
      <c r="Z1220" s="39" t="n">
        <f aca="false">J1220*Resumo!$B$7</f>
        <v>1.21998</v>
      </c>
      <c r="AA1220" s="39" t="n">
        <f aca="false">Resumo!$B$9</f>
        <v>1</v>
      </c>
      <c r="AB1220" s="39" t="n">
        <f aca="false">Resumo!$B$10*CEILING(I1220/100,1)</f>
        <v>4.5</v>
      </c>
      <c r="AC1220" s="39" t="n">
        <f aca="false">Resumo!$B$12*CEILING(I1220,1)</f>
        <v>4.02</v>
      </c>
      <c r="AD1220" s="39" t="n">
        <f aca="false">Resumo!$B$14*CEILING(I1220,1)</f>
        <v>30.15</v>
      </c>
      <c r="AE1220" s="39" t="n">
        <f aca="false">SUM(X1220:AD1220)</f>
        <v>172.51997</v>
      </c>
      <c r="AF1220" s="39" t="n">
        <f aca="false">AE1220/(1-Resumo!$B$5)</f>
        <v>196.045420454545</v>
      </c>
      <c r="AG1220" s="39" t="n">
        <f aca="false">AF1220-W1220</f>
        <v>70.4522863636364</v>
      </c>
      <c r="AH1220" s="40" t="n">
        <f aca="false">AF1220/W1220-1</f>
        <v>0.560956511465351</v>
      </c>
      <c r="AI1220" s="37" t="str">
        <f aca="false">IF(AF1220&lt;W1220,"SIM","NÃO")</f>
        <v>NÃO</v>
      </c>
      <c r="AJ1220" s="37" t="n">
        <v>2</v>
      </c>
      <c r="AK1220" s="37" t="n">
        <v>5</v>
      </c>
      <c r="AL1220" s="37" t="s">
        <v>343</v>
      </c>
      <c r="AM1220" s="39" t="n">
        <v>124.13</v>
      </c>
    </row>
    <row r="1221" customFormat="false" ht="15" hidden="false" customHeight="false" outlineLevel="0" collapsed="false">
      <c r="A1221" s="37" t="n">
        <v>378918381</v>
      </c>
      <c r="B1221" s="38" t="n">
        <v>46253.652349537</v>
      </c>
      <c r="C1221" s="37" t="s">
        <v>340</v>
      </c>
      <c r="D1221" s="37" t="s">
        <v>1491</v>
      </c>
      <c r="E1221" s="37" t="n">
        <v>26574391</v>
      </c>
      <c r="F1221" s="37" t="s">
        <v>175</v>
      </c>
      <c r="G1221" s="37" t="s">
        <v>197</v>
      </c>
      <c r="H1221" s="37" t="s">
        <v>186</v>
      </c>
      <c r="I1221" s="37" t="n">
        <v>48</v>
      </c>
      <c r="J1221" s="39" t="n">
        <v>899.99</v>
      </c>
      <c r="K1221" s="37" t="s">
        <v>342</v>
      </c>
      <c r="L1221" s="39" t="n">
        <v>118.39</v>
      </c>
      <c r="M1221" s="39" t="n">
        <v>65.36</v>
      </c>
      <c r="N1221" s="39" t="n">
        <f aca="false">J1221*Resumo!$C$6</f>
        <v>0</v>
      </c>
      <c r="O1221" s="39" t="n">
        <f aca="false">J1221*Resumo!$C$7</f>
        <v>1.889979</v>
      </c>
      <c r="P1221" s="39" t="n">
        <f aca="false">J1221*Resumo!$C$8</f>
        <v>1.889979</v>
      </c>
      <c r="Q1221" s="39" t="n">
        <f aca="false">Resumo!$C$10*CEILING(I1221/100,1)</f>
        <v>1.05</v>
      </c>
      <c r="R1221" s="39" t="n">
        <f aca="false">Resumo!$C$9</f>
        <v>0</v>
      </c>
      <c r="S1221" s="39" t="n">
        <f aca="false">Resumo!$C$13</f>
        <v>13.55</v>
      </c>
      <c r="T1221" s="39" t="n">
        <f aca="false">Resumo!$C$14*CEILING(I1221,1)</f>
        <v>21.6</v>
      </c>
      <c r="U1221" s="39" t="n">
        <f aca="false">SUM(M1221:T1221)*Resumo!$C$11</f>
        <v>0</v>
      </c>
      <c r="V1221" s="39" t="n">
        <f aca="false">SUM(M1221:U1221)</f>
        <v>105.339958</v>
      </c>
      <c r="W1221" s="39" t="n">
        <f aca="false">V1221/(1-Resumo!$C$5)</f>
        <v>119.704497727273</v>
      </c>
      <c r="X1221" s="39" t="n">
        <v>93.97</v>
      </c>
      <c r="Y1221" s="39" t="n">
        <f aca="false">J1221*Resumo!$B$6</f>
        <v>0.89999</v>
      </c>
      <c r="Z1221" s="39" t="n">
        <f aca="false">J1221*Resumo!$B$7</f>
        <v>1.79998</v>
      </c>
      <c r="AA1221" s="39" t="n">
        <f aca="false">Resumo!$B$9</f>
        <v>1</v>
      </c>
      <c r="AB1221" s="39" t="n">
        <f aca="false">Resumo!$B$10*CEILING(I1221/100,1)</f>
        <v>4.5</v>
      </c>
      <c r="AC1221" s="39" t="n">
        <f aca="false">Resumo!$B$12*CEILING(I1221,1)</f>
        <v>2.88</v>
      </c>
      <c r="AD1221" s="39" t="n">
        <f aca="false">Resumo!$B$14*CEILING(I1221,1)</f>
        <v>21.6</v>
      </c>
      <c r="AE1221" s="39" t="n">
        <f aca="false">SUM(X1221:AD1221)</f>
        <v>126.64997</v>
      </c>
      <c r="AF1221" s="39" t="n">
        <f aca="false">AE1221/(1-Resumo!$B$5)</f>
        <v>143.920420454545</v>
      </c>
      <c r="AG1221" s="39" t="n">
        <f aca="false">AF1221-W1221</f>
        <v>24.2159227272727</v>
      </c>
      <c r="AH1221" s="40" t="n">
        <f aca="false">AF1221/W1221-1</f>
        <v>0.202297517528913</v>
      </c>
      <c r="AI1221" s="37" t="str">
        <f aca="false">IF(AF1221&lt;W1221,"SIM","NÃO")</f>
        <v>NÃO</v>
      </c>
      <c r="AJ1221" s="37" t="n">
        <v>2</v>
      </c>
      <c r="AK1221" s="37" t="n">
        <v>5</v>
      </c>
      <c r="AL1221" s="37" t="s">
        <v>343</v>
      </c>
      <c r="AM1221" s="39" t="n">
        <v>118.39</v>
      </c>
    </row>
    <row r="1222" customFormat="false" ht="15" hidden="false" customHeight="false" outlineLevel="0" collapsed="false">
      <c r="A1222" s="37" t="n">
        <v>378931671</v>
      </c>
      <c r="B1222" s="38" t="n">
        <v>46253.6731597222</v>
      </c>
      <c r="C1222" s="37" t="s">
        <v>340</v>
      </c>
      <c r="D1222" s="37" t="s">
        <v>1492</v>
      </c>
      <c r="E1222" s="37" t="n">
        <v>25575050</v>
      </c>
      <c r="F1222" s="37" t="s">
        <v>167</v>
      </c>
      <c r="G1222" s="37" t="s">
        <v>197</v>
      </c>
      <c r="H1222" s="37" t="s">
        <v>186</v>
      </c>
      <c r="I1222" s="37" t="n">
        <v>46.8</v>
      </c>
      <c r="J1222" s="39" t="n">
        <v>506.56</v>
      </c>
      <c r="K1222" s="37" t="s">
        <v>342</v>
      </c>
      <c r="L1222" s="39" t="n">
        <v>116.49</v>
      </c>
      <c r="M1222" s="39" t="n">
        <v>65.36</v>
      </c>
      <c r="N1222" s="39" t="n">
        <f aca="false">J1222*Resumo!$C$6</f>
        <v>0</v>
      </c>
      <c r="O1222" s="39" t="n">
        <f aca="false">J1222*Resumo!$C$7</f>
        <v>1.063776</v>
      </c>
      <c r="P1222" s="39" t="n">
        <f aca="false">J1222*Resumo!$C$8</f>
        <v>1.063776</v>
      </c>
      <c r="Q1222" s="39" t="n">
        <f aca="false">Resumo!$C$10*CEILING(I1222/100,1)</f>
        <v>1.05</v>
      </c>
      <c r="R1222" s="39" t="n">
        <f aca="false">Resumo!$C$9</f>
        <v>0</v>
      </c>
      <c r="S1222" s="39" t="n">
        <f aca="false">Resumo!$C$13</f>
        <v>13.55</v>
      </c>
      <c r="T1222" s="39" t="n">
        <f aca="false">Resumo!$C$14*CEILING(I1222,1)</f>
        <v>21.15</v>
      </c>
      <c r="U1222" s="39" t="n">
        <f aca="false">SUM(M1222:T1222)*Resumo!$C$11</f>
        <v>0</v>
      </c>
      <c r="V1222" s="39" t="n">
        <f aca="false">SUM(M1222:U1222)</f>
        <v>103.237552</v>
      </c>
      <c r="W1222" s="39" t="n">
        <f aca="false">V1222/(1-Resumo!$C$5)</f>
        <v>117.3154</v>
      </c>
      <c r="X1222" s="39" t="n">
        <v>93.97</v>
      </c>
      <c r="Y1222" s="39" t="n">
        <f aca="false">J1222*Resumo!$B$6</f>
        <v>0.50656</v>
      </c>
      <c r="Z1222" s="39" t="n">
        <f aca="false">J1222*Resumo!$B$7</f>
        <v>1.01312</v>
      </c>
      <c r="AA1222" s="39" t="n">
        <f aca="false">Resumo!$B$9</f>
        <v>1</v>
      </c>
      <c r="AB1222" s="39" t="n">
        <f aca="false">Resumo!$B$10*CEILING(I1222/100,1)</f>
        <v>4.5</v>
      </c>
      <c r="AC1222" s="39" t="n">
        <f aca="false">Resumo!$B$12*CEILING(I1222,1)</f>
        <v>2.82</v>
      </c>
      <c r="AD1222" s="39" t="n">
        <f aca="false">Resumo!$B$14*CEILING(I1222,1)</f>
        <v>21.15</v>
      </c>
      <c r="AE1222" s="39" t="n">
        <f aca="false">SUM(X1222:AD1222)</f>
        <v>124.95968</v>
      </c>
      <c r="AF1222" s="39" t="n">
        <f aca="false">AE1222/(1-Resumo!$B$5)</f>
        <v>141.999636363636</v>
      </c>
      <c r="AG1222" s="39" t="n">
        <f aca="false">AF1222-W1222</f>
        <v>24.6842363636364</v>
      </c>
      <c r="AH1222" s="40" t="n">
        <f aca="false">AF1222/W1222-1</f>
        <v>0.210409173592183</v>
      </c>
      <c r="AI1222" s="37" t="str">
        <f aca="false">IF(AF1222&lt;W1222,"SIM","NÃO")</f>
        <v>NÃO</v>
      </c>
      <c r="AJ1222" s="37" t="n">
        <v>2</v>
      </c>
      <c r="AK1222" s="37" t="n">
        <v>5</v>
      </c>
      <c r="AL1222" s="37" t="s">
        <v>343</v>
      </c>
      <c r="AM1222" s="39" t="n">
        <v>116.5</v>
      </c>
    </row>
    <row r="1223" customFormat="false" ht="15" hidden="false" customHeight="false" outlineLevel="0" collapsed="false">
      <c r="A1223" s="37" t="n">
        <v>378490666</v>
      </c>
      <c r="B1223" s="38" t="n">
        <v>46253.6790856482</v>
      </c>
      <c r="C1223" s="37" t="s">
        <v>372</v>
      </c>
      <c r="D1223" s="37" t="s">
        <v>1493</v>
      </c>
      <c r="E1223" s="37" t="n">
        <v>24715392</v>
      </c>
      <c r="F1223" s="37" t="s">
        <v>160</v>
      </c>
      <c r="G1223" s="37" t="s">
        <v>197</v>
      </c>
      <c r="H1223" s="37" t="s">
        <v>186</v>
      </c>
      <c r="I1223" s="37" t="n">
        <v>45.3</v>
      </c>
      <c r="J1223" s="39" t="n">
        <v>679.99</v>
      </c>
      <c r="K1223" s="37" t="s">
        <v>342</v>
      </c>
      <c r="L1223" s="39" t="n">
        <v>117.33</v>
      </c>
      <c r="M1223" s="39" t="n">
        <v>65.36</v>
      </c>
      <c r="N1223" s="39" t="n">
        <f aca="false">J1223*Resumo!$C$6</f>
        <v>0</v>
      </c>
      <c r="O1223" s="39" t="n">
        <f aca="false">J1223*Resumo!$C$7</f>
        <v>1.427979</v>
      </c>
      <c r="P1223" s="39" t="n">
        <f aca="false">J1223*Resumo!$C$8</f>
        <v>1.427979</v>
      </c>
      <c r="Q1223" s="39" t="n">
        <f aca="false">Resumo!$C$10*CEILING(I1223/100,1)</f>
        <v>1.05</v>
      </c>
      <c r="R1223" s="39" t="n">
        <f aca="false">Resumo!$C$9</f>
        <v>0</v>
      </c>
      <c r="S1223" s="39" t="n">
        <f aca="false">Resumo!$C$13</f>
        <v>13.55</v>
      </c>
      <c r="T1223" s="39" t="n">
        <f aca="false">Resumo!$C$14*CEILING(I1223,1)</f>
        <v>20.7</v>
      </c>
      <c r="U1223" s="39" t="n">
        <f aca="false">SUM(M1223:T1223)*Resumo!$C$11</f>
        <v>0</v>
      </c>
      <c r="V1223" s="39" t="n">
        <f aca="false">SUM(M1223:U1223)</f>
        <v>103.515958</v>
      </c>
      <c r="W1223" s="39" t="n">
        <f aca="false">V1223/(1-Resumo!$C$5)</f>
        <v>117.631770454545</v>
      </c>
      <c r="X1223" s="39" t="n">
        <v>114.95</v>
      </c>
      <c r="Y1223" s="39" t="n">
        <f aca="false">J1223*Resumo!$B$6</f>
        <v>0.67999</v>
      </c>
      <c r="Z1223" s="39" t="n">
        <f aca="false">J1223*Resumo!$B$7</f>
        <v>1.35998</v>
      </c>
      <c r="AA1223" s="39" t="n">
        <f aca="false">Resumo!$B$9</f>
        <v>1</v>
      </c>
      <c r="AB1223" s="39" t="n">
        <f aca="false">Resumo!$B$10*CEILING(I1223/100,1)</f>
        <v>4.5</v>
      </c>
      <c r="AC1223" s="39" t="n">
        <f aca="false">Resumo!$B$12*CEILING(I1223,1)</f>
        <v>2.76</v>
      </c>
      <c r="AD1223" s="39" t="n">
        <f aca="false">Resumo!$B$14*CEILING(I1223,1)</f>
        <v>20.7</v>
      </c>
      <c r="AE1223" s="39" t="n">
        <f aca="false">SUM(X1223:AD1223)</f>
        <v>145.94997</v>
      </c>
      <c r="AF1223" s="39" t="n">
        <f aca="false">AE1223/(1-Resumo!$B$5)</f>
        <v>165.852238636364</v>
      </c>
      <c r="AG1223" s="39" t="n">
        <f aca="false">AF1223-W1223</f>
        <v>48.2204681818182</v>
      </c>
      <c r="AH1223" s="40" t="n">
        <f aca="false">AF1223/W1223-1</f>
        <v>0.409927250057426</v>
      </c>
      <c r="AI1223" s="37" t="str">
        <f aca="false">IF(AF1223&lt;W1223,"SIM","NÃO")</f>
        <v>NÃO</v>
      </c>
      <c r="AJ1223" s="37" t="n">
        <v>2</v>
      </c>
      <c r="AK1223" s="37" t="n">
        <v>7</v>
      </c>
      <c r="AL1223" s="37" t="s">
        <v>343</v>
      </c>
      <c r="AM1223" s="39" t="n">
        <v>117.33</v>
      </c>
    </row>
    <row r="1224" customFormat="false" ht="15" hidden="false" customHeight="false" outlineLevel="0" collapsed="false">
      <c r="A1224" s="37" t="n">
        <v>378938820</v>
      </c>
      <c r="B1224" s="38" t="n">
        <v>46253.6843055556</v>
      </c>
      <c r="C1224" s="37" t="s">
        <v>340</v>
      </c>
      <c r="D1224" s="37" t="s">
        <v>1494</v>
      </c>
      <c r="E1224" s="37" t="n">
        <v>28899386</v>
      </c>
      <c r="F1224" s="37" t="s">
        <v>178</v>
      </c>
      <c r="G1224" s="37" t="s">
        <v>198</v>
      </c>
      <c r="H1224" s="37" t="s">
        <v>184</v>
      </c>
      <c r="I1224" s="37" t="n">
        <v>33</v>
      </c>
      <c r="J1224" s="39" t="n">
        <v>389.99</v>
      </c>
      <c r="K1224" s="37" t="s">
        <v>342</v>
      </c>
      <c r="L1224" s="39" t="n">
        <v>109.05</v>
      </c>
      <c r="M1224" s="39" t="n">
        <v>65.63</v>
      </c>
      <c r="N1224" s="39" t="n">
        <f aca="false">J1224*Resumo!$C$6</f>
        <v>0</v>
      </c>
      <c r="O1224" s="39" t="n">
        <f aca="false">J1224*Resumo!$C$7</f>
        <v>0.818979</v>
      </c>
      <c r="P1224" s="39" t="n">
        <f aca="false">J1224*Resumo!$C$8</f>
        <v>0.818979</v>
      </c>
      <c r="Q1224" s="39" t="n">
        <f aca="false">Resumo!$C$10*CEILING(I1224/100,1)</f>
        <v>1.05</v>
      </c>
      <c r="R1224" s="39" t="n">
        <f aca="false">Resumo!$C$9</f>
        <v>0</v>
      </c>
      <c r="S1224" s="39" t="n">
        <f aca="false">Resumo!$C$13</f>
        <v>13.55</v>
      </c>
      <c r="T1224" s="39" t="n">
        <f aca="false">Resumo!$C$14*CEILING(I1224,1)</f>
        <v>14.85</v>
      </c>
      <c r="U1224" s="39" t="n">
        <f aca="false">SUM(M1224:T1224)*Resumo!$C$11</f>
        <v>0</v>
      </c>
      <c r="V1224" s="39" t="n">
        <f aca="false">SUM(M1224:U1224)</f>
        <v>96.717958</v>
      </c>
      <c r="W1224" s="39" t="n">
        <f aca="false">V1224/(1-Resumo!$C$5)</f>
        <v>109.906770454545</v>
      </c>
      <c r="X1224" s="39" t="n">
        <v>114.95</v>
      </c>
      <c r="Y1224" s="39" t="n">
        <f aca="false">J1224*Resumo!$B$6</f>
        <v>0.38999</v>
      </c>
      <c r="Z1224" s="39" t="n">
        <f aca="false">J1224*Resumo!$B$7</f>
        <v>0.77998</v>
      </c>
      <c r="AA1224" s="39" t="n">
        <f aca="false">Resumo!$B$9</f>
        <v>1</v>
      </c>
      <c r="AB1224" s="39" t="n">
        <f aca="false">Resumo!$B$10*CEILING(I1224/100,1)</f>
        <v>4.5</v>
      </c>
      <c r="AC1224" s="39" t="n">
        <f aca="false">Resumo!$B$12*CEILING(I1224,1)</f>
        <v>1.98</v>
      </c>
      <c r="AD1224" s="39" t="n">
        <f aca="false">Resumo!$B$14*CEILING(I1224,1)</f>
        <v>14.85</v>
      </c>
      <c r="AE1224" s="39" t="n">
        <f aca="false">SUM(X1224:AD1224)</f>
        <v>138.44997</v>
      </c>
      <c r="AF1224" s="39" t="n">
        <f aca="false">AE1224/(1-Resumo!$B$5)</f>
        <v>157.329511363636</v>
      </c>
      <c r="AG1224" s="39" t="n">
        <f aca="false">AF1224-W1224</f>
        <v>47.4227409090909</v>
      </c>
      <c r="AH1224" s="40" t="n">
        <f aca="false">AF1224/W1224-1</f>
        <v>0.431481524868422</v>
      </c>
      <c r="AI1224" s="37" t="str">
        <f aca="false">IF(AF1224&lt;W1224,"SIM","NÃO")</f>
        <v>NÃO</v>
      </c>
      <c r="AJ1224" s="37" t="n">
        <v>13</v>
      </c>
      <c r="AK1224" s="37" t="n">
        <v>10</v>
      </c>
      <c r="AL1224" s="37" t="s">
        <v>343</v>
      </c>
      <c r="AM1224" s="39" t="n">
        <v>109.05</v>
      </c>
    </row>
    <row r="1225" customFormat="false" ht="15" hidden="false" customHeight="false" outlineLevel="0" collapsed="false">
      <c r="A1225" s="37" t="n">
        <v>378957391</v>
      </c>
      <c r="B1225" s="38" t="n">
        <v>46253.7299652778</v>
      </c>
      <c r="C1225" s="37" t="s">
        <v>375</v>
      </c>
      <c r="D1225" s="37" t="s">
        <v>1495</v>
      </c>
      <c r="E1225" s="37" t="n">
        <v>21061500</v>
      </c>
      <c r="F1225" s="37" t="s">
        <v>159</v>
      </c>
      <c r="G1225" s="37" t="s">
        <v>196</v>
      </c>
      <c r="H1225" s="37" t="s">
        <v>186</v>
      </c>
      <c r="I1225" s="37" t="n">
        <v>48</v>
      </c>
      <c r="J1225" s="39" t="n">
        <v>879.99</v>
      </c>
      <c r="K1225" s="37" t="s">
        <v>342</v>
      </c>
      <c r="L1225" s="39" t="n">
        <v>104.81</v>
      </c>
      <c r="M1225" s="39" t="n">
        <v>53.55</v>
      </c>
      <c r="N1225" s="39" t="n">
        <f aca="false">J1225*Resumo!$C$6</f>
        <v>0</v>
      </c>
      <c r="O1225" s="39" t="n">
        <f aca="false">J1225*Resumo!$C$7</f>
        <v>1.847979</v>
      </c>
      <c r="P1225" s="39" t="n">
        <f aca="false">J1225*Resumo!$C$8</f>
        <v>1.847979</v>
      </c>
      <c r="Q1225" s="39" t="n">
        <f aca="false">Resumo!$C$10*CEILING(I1225/100,1)</f>
        <v>1.05</v>
      </c>
      <c r="R1225" s="39" t="n">
        <f aca="false">Resumo!$C$9</f>
        <v>0</v>
      </c>
      <c r="S1225" s="39" t="n">
        <f aca="false">Resumo!$C$13</f>
        <v>13.55</v>
      </c>
      <c r="T1225" s="39" t="n">
        <f aca="false">Resumo!$C$14*CEILING(I1225,1)</f>
        <v>21.6</v>
      </c>
      <c r="U1225" s="39" t="n">
        <f aca="false">SUM(M1225:T1225)*Resumo!$C$11</f>
        <v>0</v>
      </c>
      <c r="V1225" s="39" t="n">
        <f aca="false">SUM(M1225:U1225)</f>
        <v>93.445958</v>
      </c>
      <c r="W1225" s="39" t="n">
        <f aca="false">V1225/(1-Resumo!$C$5)</f>
        <v>106.188588636364</v>
      </c>
      <c r="X1225" s="39" t="n">
        <v>93.97</v>
      </c>
      <c r="Y1225" s="39" t="n">
        <f aca="false">J1225*Resumo!$B$6</f>
        <v>0.87999</v>
      </c>
      <c r="Z1225" s="39" t="n">
        <f aca="false">J1225*Resumo!$B$7</f>
        <v>1.75998</v>
      </c>
      <c r="AA1225" s="39" t="n">
        <f aca="false">Resumo!$B$9</f>
        <v>1</v>
      </c>
      <c r="AB1225" s="39" t="n">
        <f aca="false">Resumo!$B$10*CEILING(I1225/100,1)</f>
        <v>4.5</v>
      </c>
      <c r="AC1225" s="39" t="n">
        <f aca="false">Resumo!$B$12*CEILING(I1225,1)</f>
        <v>2.88</v>
      </c>
      <c r="AD1225" s="39" t="n">
        <f aca="false">Resumo!$B$14*CEILING(I1225,1)</f>
        <v>21.6</v>
      </c>
      <c r="AE1225" s="39" t="n">
        <f aca="false">SUM(X1225:AD1225)</f>
        <v>126.58997</v>
      </c>
      <c r="AF1225" s="39" t="n">
        <f aca="false">AE1225/(1-Resumo!$B$5)</f>
        <v>143.852238636364</v>
      </c>
      <c r="AG1225" s="39" t="n">
        <f aca="false">AF1225-W1225</f>
        <v>37.66365</v>
      </c>
      <c r="AH1225" s="40" t="n">
        <f aca="false">AF1225/W1225-1</f>
        <v>0.354686416720133</v>
      </c>
      <c r="AI1225" s="37" t="str">
        <f aca="false">IF(AF1225&lt;W1225,"SIM","NÃO")</f>
        <v>NÃO</v>
      </c>
      <c r="AJ1225" s="37" t="n">
        <v>2</v>
      </c>
      <c r="AK1225" s="37" t="n">
        <v>5</v>
      </c>
      <c r="AL1225" s="37" t="s">
        <v>343</v>
      </c>
      <c r="AM1225" s="39" t="n">
        <v>104.8</v>
      </c>
    </row>
    <row r="1226" customFormat="false" ht="15" hidden="false" customHeight="false" outlineLevel="0" collapsed="false">
      <c r="A1226" s="37" t="n">
        <v>378965942</v>
      </c>
      <c r="B1226" s="38" t="n">
        <v>46253.7386921296</v>
      </c>
      <c r="C1226" s="37" t="s">
        <v>340</v>
      </c>
      <c r="D1226" s="37" t="s">
        <v>1496</v>
      </c>
      <c r="E1226" s="37" t="n">
        <v>20961150</v>
      </c>
      <c r="F1226" s="37" t="s">
        <v>159</v>
      </c>
      <c r="G1226" s="37" t="s">
        <v>196</v>
      </c>
      <c r="H1226" s="37" t="s">
        <v>186</v>
      </c>
      <c r="I1226" s="37" t="n">
        <v>46.8</v>
      </c>
      <c r="J1226" s="39" t="n">
        <v>559.99</v>
      </c>
      <c r="K1226" s="37" t="s">
        <v>342</v>
      </c>
      <c r="L1226" s="39" t="n">
        <v>103.27</v>
      </c>
      <c r="M1226" s="39" t="n">
        <v>53.55</v>
      </c>
      <c r="N1226" s="39" t="n">
        <f aca="false">J1226*Resumo!$C$6</f>
        <v>0</v>
      </c>
      <c r="O1226" s="39" t="n">
        <f aca="false">J1226*Resumo!$C$7</f>
        <v>1.175979</v>
      </c>
      <c r="P1226" s="39" t="n">
        <f aca="false">J1226*Resumo!$C$8</f>
        <v>1.175979</v>
      </c>
      <c r="Q1226" s="39" t="n">
        <f aca="false">Resumo!$C$10*CEILING(I1226/100,1)</f>
        <v>1.05</v>
      </c>
      <c r="R1226" s="39" t="n">
        <f aca="false">Resumo!$C$9</f>
        <v>0</v>
      </c>
      <c r="S1226" s="39" t="n">
        <f aca="false">Resumo!$C$13</f>
        <v>13.55</v>
      </c>
      <c r="T1226" s="39" t="n">
        <f aca="false">Resumo!$C$14*CEILING(I1226,1)</f>
        <v>21.15</v>
      </c>
      <c r="U1226" s="39" t="n">
        <f aca="false">SUM(M1226:T1226)*Resumo!$C$11</f>
        <v>0</v>
      </c>
      <c r="V1226" s="39" t="n">
        <f aca="false">SUM(M1226:U1226)</f>
        <v>91.651958</v>
      </c>
      <c r="W1226" s="39" t="n">
        <f aca="false">V1226/(1-Resumo!$C$5)</f>
        <v>104.149952272727</v>
      </c>
      <c r="X1226" s="39" t="n">
        <v>93.97</v>
      </c>
      <c r="Y1226" s="39" t="n">
        <f aca="false">J1226*Resumo!$B$6</f>
        <v>0.55999</v>
      </c>
      <c r="Z1226" s="39" t="n">
        <f aca="false">J1226*Resumo!$B$7</f>
        <v>1.11998</v>
      </c>
      <c r="AA1226" s="39" t="n">
        <f aca="false">Resumo!$B$9</f>
        <v>1</v>
      </c>
      <c r="AB1226" s="39" t="n">
        <f aca="false">Resumo!$B$10*CEILING(I1226/100,1)</f>
        <v>4.5</v>
      </c>
      <c r="AC1226" s="39" t="n">
        <f aca="false">Resumo!$B$12*CEILING(I1226,1)</f>
        <v>2.82</v>
      </c>
      <c r="AD1226" s="39" t="n">
        <f aca="false">Resumo!$B$14*CEILING(I1226,1)</f>
        <v>21.15</v>
      </c>
      <c r="AE1226" s="39" t="n">
        <f aca="false">SUM(X1226:AD1226)</f>
        <v>125.11997</v>
      </c>
      <c r="AF1226" s="39" t="n">
        <f aca="false">AE1226/(1-Resumo!$B$5)</f>
        <v>142.181784090909</v>
      </c>
      <c r="AG1226" s="39" t="n">
        <f aca="false">AF1226-W1226</f>
        <v>38.0318318181818</v>
      </c>
      <c r="AH1226" s="40" t="n">
        <f aca="false">AF1226/W1226-1</f>
        <v>0.365164179034779</v>
      </c>
      <c r="AI1226" s="37" t="str">
        <f aca="false">IF(AF1226&lt;W1226,"SIM","NÃO")</f>
        <v>NÃO</v>
      </c>
      <c r="AJ1226" s="37" t="n">
        <v>2</v>
      </c>
      <c r="AK1226" s="37" t="n">
        <v>5</v>
      </c>
      <c r="AL1226" s="37" t="s">
        <v>343</v>
      </c>
      <c r="AM1226" s="39" t="n">
        <v>103.27</v>
      </c>
    </row>
    <row r="1227" customFormat="false" ht="15" hidden="false" customHeight="false" outlineLevel="0" collapsed="false">
      <c r="A1227" s="37" t="n">
        <v>378966313</v>
      </c>
      <c r="B1227" s="38" t="n">
        <v>46253.7393518519</v>
      </c>
      <c r="C1227" s="37" t="s">
        <v>340</v>
      </c>
      <c r="D1227" s="37" t="s">
        <v>1497</v>
      </c>
      <c r="E1227" s="37" t="n">
        <v>21852330</v>
      </c>
      <c r="F1227" s="37" t="s">
        <v>159</v>
      </c>
      <c r="G1227" s="37" t="s">
        <v>196</v>
      </c>
      <c r="H1227" s="37" t="s">
        <v>184</v>
      </c>
      <c r="I1227" s="37" t="n">
        <v>30.5</v>
      </c>
      <c r="J1227" s="39" t="n">
        <v>386.99</v>
      </c>
      <c r="K1227" s="37" t="s">
        <v>342</v>
      </c>
      <c r="L1227" s="39" t="n">
        <v>82.17</v>
      </c>
      <c r="M1227" s="39" t="n">
        <v>42.11</v>
      </c>
      <c r="N1227" s="39" t="n">
        <f aca="false">J1227*Resumo!$C$6</f>
        <v>0</v>
      </c>
      <c r="O1227" s="39" t="n">
        <f aca="false">J1227*Resumo!$C$7</f>
        <v>0.812679</v>
      </c>
      <c r="P1227" s="39" t="n">
        <f aca="false">J1227*Resumo!$C$8</f>
        <v>0.812679</v>
      </c>
      <c r="Q1227" s="39" t="n">
        <f aca="false">Resumo!$C$10*CEILING(I1227/100,1)</f>
        <v>1.05</v>
      </c>
      <c r="R1227" s="39" t="n">
        <f aca="false">Resumo!$C$9</f>
        <v>0</v>
      </c>
      <c r="S1227" s="39" t="n">
        <f aca="false">Resumo!$C$13</f>
        <v>13.55</v>
      </c>
      <c r="T1227" s="39" t="n">
        <f aca="false">Resumo!$C$14*CEILING(I1227,1)</f>
        <v>13.95</v>
      </c>
      <c r="U1227" s="39" t="n">
        <f aca="false">SUM(M1227:T1227)*Resumo!$C$11</f>
        <v>0</v>
      </c>
      <c r="V1227" s="39" t="n">
        <f aca="false">SUM(M1227:U1227)</f>
        <v>72.285358</v>
      </c>
      <c r="W1227" s="39" t="n">
        <f aca="false">V1227/(1-Resumo!$C$5)</f>
        <v>82.1424522727273</v>
      </c>
      <c r="X1227" s="39" t="n">
        <v>82.21</v>
      </c>
      <c r="Y1227" s="39" t="n">
        <f aca="false">J1227*Resumo!$B$6</f>
        <v>0.38699</v>
      </c>
      <c r="Z1227" s="39" t="n">
        <f aca="false">J1227*Resumo!$B$7</f>
        <v>0.77398</v>
      </c>
      <c r="AA1227" s="39" t="n">
        <f aca="false">Resumo!$B$9</f>
        <v>1</v>
      </c>
      <c r="AB1227" s="39" t="n">
        <f aca="false">Resumo!$B$10*CEILING(I1227/100,1)</f>
        <v>4.5</v>
      </c>
      <c r="AC1227" s="39" t="n">
        <f aca="false">Resumo!$B$12*CEILING(I1227,1)</f>
        <v>1.86</v>
      </c>
      <c r="AD1227" s="39" t="n">
        <f aca="false">Resumo!$B$14*CEILING(I1227,1)</f>
        <v>13.95</v>
      </c>
      <c r="AE1227" s="39" t="n">
        <f aca="false">SUM(X1227:AD1227)</f>
        <v>104.68097</v>
      </c>
      <c r="AF1227" s="39" t="n">
        <f aca="false">AE1227/(1-Resumo!$B$5)</f>
        <v>118.955647727273</v>
      </c>
      <c r="AG1227" s="39" t="n">
        <f aca="false">AF1227-W1227</f>
        <v>36.8131954545455</v>
      </c>
      <c r="AH1227" s="40" t="n">
        <f aca="false">AF1227/W1227-1</f>
        <v>0.448162849245348</v>
      </c>
      <c r="AI1227" s="37" t="str">
        <f aca="false">IF(AF1227&lt;W1227,"SIM","NÃO")</f>
        <v>NÃO</v>
      </c>
      <c r="AJ1227" s="37" t="n">
        <v>2</v>
      </c>
      <c r="AK1227" s="37" t="n">
        <v>5</v>
      </c>
      <c r="AL1227" s="37" t="s">
        <v>343</v>
      </c>
      <c r="AM1227" s="39" t="n">
        <v>82.18</v>
      </c>
    </row>
    <row r="1228" customFormat="false" ht="15" hidden="false" customHeight="false" outlineLevel="0" collapsed="false">
      <c r="A1228" s="37" t="n">
        <v>378972742</v>
      </c>
      <c r="B1228" s="38" t="n">
        <v>46253.7522337963</v>
      </c>
      <c r="C1228" s="37" t="s">
        <v>340</v>
      </c>
      <c r="D1228" s="37" t="s">
        <v>1498</v>
      </c>
      <c r="E1228" s="37" t="n">
        <v>20950004</v>
      </c>
      <c r="F1228" s="37" t="s">
        <v>159</v>
      </c>
      <c r="G1228" s="37" t="s">
        <v>196</v>
      </c>
      <c r="H1228" s="37" t="s">
        <v>187</v>
      </c>
      <c r="I1228" s="37" t="n">
        <v>52.3</v>
      </c>
      <c r="J1228" s="39" t="n">
        <v>669.99</v>
      </c>
      <c r="K1228" s="37" t="s">
        <v>342</v>
      </c>
      <c r="L1228" s="39" t="n">
        <v>114.36</v>
      </c>
      <c r="M1228" s="39" t="n">
        <v>58.6</v>
      </c>
      <c r="N1228" s="39" t="n">
        <f aca="false">J1228*Resumo!$C$6</f>
        <v>0</v>
      </c>
      <c r="O1228" s="39" t="n">
        <f aca="false">J1228*Resumo!$C$7</f>
        <v>1.406979</v>
      </c>
      <c r="P1228" s="39" t="n">
        <f aca="false">J1228*Resumo!$C$8</f>
        <v>1.406979</v>
      </c>
      <c r="Q1228" s="39" t="n">
        <f aca="false">Resumo!$C$10*CEILING(I1228/100,1)</f>
        <v>1.05</v>
      </c>
      <c r="R1228" s="39" t="n">
        <f aca="false">Resumo!$C$9</f>
        <v>0</v>
      </c>
      <c r="S1228" s="39" t="n">
        <f aca="false">Resumo!$C$13</f>
        <v>13.55</v>
      </c>
      <c r="T1228" s="39" t="n">
        <f aca="false">Resumo!$C$14*CEILING(I1228,1)</f>
        <v>23.85</v>
      </c>
      <c r="U1228" s="39" t="n">
        <f aca="false">SUM(M1228:T1228)*Resumo!$C$11</f>
        <v>0</v>
      </c>
      <c r="V1228" s="39" t="n">
        <f aca="false">SUM(M1228:U1228)</f>
        <v>99.863958</v>
      </c>
      <c r="W1228" s="39" t="n">
        <f aca="false">V1228/(1-Resumo!$C$5)</f>
        <v>113.481770454545</v>
      </c>
      <c r="X1228" s="39" t="n">
        <v>112.3</v>
      </c>
      <c r="Y1228" s="39" t="n">
        <f aca="false">J1228*Resumo!$B$6</f>
        <v>0.66999</v>
      </c>
      <c r="Z1228" s="39" t="n">
        <f aca="false">J1228*Resumo!$B$7</f>
        <v>1.33998</v>
      </c>
      <c r="AA1228" s="39" t="n">
        <f aca="false">Resumo!$B$9</f>
        <v>1</v>
      </c>
      <c r="AB1228" s="39" t="n">
        <f aca="false">Resumo!$B$10*CEILING(I1228/100,1)</f>
        <v>4.5</v>
      </c>
      <c r="AC1228" s="39" t="n">
        <f aca="false">Resumo!$B$12*CEILING(I1228,1)</f>
        <v>3.18</v>
      </c>
      <c r="AD1228" s="39" t="n">
        <f aca="false">Resumo!$B$14*CEILING(I1228,1)</f>
        <v>23.85</v>
      </c>
      <c r="AE1228" s="39" t="n">
        <f aca="false">SUM(X1228:AD1228)</f>
        <v>146.83997</v>
      </c>
      <c r="AF1228" s="39" t="n">
        <f aca="false">AE1228/(1-Resumo!$B$5)</f>
        <v>166.863602272727</v>
      </c>
      <c r="AG1228" s="39" t="n">
        <f aca="false">AF1228-W1228</f>
        <v>53.3818318181818</v>
      </c>
      <c r="AH1228" s="40" t="n">
        <f aca="false">AF1228/W1228-1</f>
        <v>0.470400061651872</v>
      </c>
      <c r="AI1228" s="37" t="str">
        <f aca="false">IF(AF1228&lt;W1228,"SIM","NÃO")</f>
        <v>NÃO</v>
      </c>
      <c r="AJ1228" s="37" t="n">
        <v>2</v>
      </c>
      <c r="AK1228" s="37" t="n">
        <v>5</v>
      </c>
      <c r="AL1228" s="37" t="s">
        <v>343</v>
      </c>
      <c r="AM1228" s="39" t="n">
        <v>114.36</v>
      </c>
    </row>
    <row r="1229" customFormat="false" ht="15" hidden="false" customHeight="false" outlineLevel="0" collapsed="false">
      <c r="A1229" s="37" t="n">
        <v>379150753</v>
      </c>
      <c r="B1229" s="38" t="n">
        <v>46253.771099537</v>
      </c>
      <c r="C1229" s="37" t="s">
        <v>340</v>
      </c>
      <c r="D1229" s="37" t="s">
        <v>1499</v>
      </c>
      <c r="E1229" s="37" t="n">
        <v>24806100</v>
      </c>
      <c r="F1229" s="37" t="s">
        <v>174</v>
      </c>
      <c r="G1229" s="37" t="s">
        <v>198</v>
      </c>
      <c r="H1229" s="37" t="s">
        <v>188</v>
      </c>
      <c r="I1229" s="37" t="n">
        <v>63.9</v>
      </c>
      <c r="J1229" s="39" t="n">
        <v>717.59</v>
      </c>
      <c r="K1229" s="37" t="s">
        <v>342</v>
      </c>
      <c r="L1229" s="39" t="n">
        <v>155.47</v>
      </c>
      <c r="M1229" s="39" t="n">
        <v>90.2</v>
      </c>
      <c r="N1229" s="39" t="n">
        <f aca="false">J1229*Resumo!$C$6</f>
        <v>0</v>
      </c>
      <c r="O1229" s="39" t="n">
        <f aca="false">J1229*Resumo!$C$7</f>
        <v>1.506939</v>
      </c>
      <c r="P1229" s="39" t="n">
        <f aca="false">J1229*Resumo!$C$8</f>
        <v>1.506939</v>
      </c>
      <c r="Q1229" s="39" t="n">
        <f aca="false">Resumo!$C$10*CEILING(I1229/100,1)</f>
        <v>1.05</v>
      </c>
      <c r="R1229" s="39" t="n">
        <f aca="false">Resumo!$C$9</f>
        <v>0</v>
      </c>
      <c r="S1229" s="39" t="n">
        <f aca="false">Resumo!$C$13</f>
        <v>13.55</v>
      </c>
      <c r="T1229" s="39" t="n">
        <f aca="false">Resumo!$C$14*CEILING(I1229,1)</f>
        <v>28.8</v>
      </c>
      <c r="U1229" s="39" t="n">
        <f aca="false">SUM(M1229:T1229)*Resumo!$C$11</f>
        <v>0</v>
      </c>
      <c r="V1229" s="39" t="n">
        <f aca="false">SUM(M1229:U1229)</f>
        <v>136.613878</v>
      </c>
      <c r="W1229" s="39" t="n">
        <f aca="false">V1229/(1-Resumo!$C$5)</f>
        <v>155.243043181818</v>
      </c>
      <c r="X1229" s="39" t="n">
        <v>149.5</v>
      </c>
      <c r="Y1229" s="39" t="n">
        <f aca="false">J1229*Resumo!$B$6</f>
        <v>0.71759</v>
      </c>
      <c r="Z1229" s="39" t="n">
        <f aca="false">J1229*Resumo!$B$7</f>
        <v>1.43518</v>
      </c>
      <c r="AA1229" s="39" t="n">
        <f aca="false">Resumo!$B$9</f>
        <v>1</v>
      </c>
      <c r="AB1229" s="39" t="n">
        <f aca="false">Resumo!$B$10*CEILING(I1229/100,1)</f>
        <v>4.5</v>
      </c>
      <c r="AC1229" s="39" t="n">
        <f aca="false">Resumo!$B$12*CEILING(I1229,1)</f>
        <v>3.84</v>
      </c>
      <c r="AD1229" s="39" t="n">
        <f aca="false">Resumo!$B$14*CEILING(I1229,1)</f>
        <v>28.8</v>
      </c>
      <c r="AE1229" s="39" t="n">
        <f aca="false">SUM(X1229:AD1229)</f>
        <v>189.79277</v>
      </c>
      <c r="AF1229" s="39" t="n">
        <f aca="false">AE1229/(1-Resumo!$B$5)</f>
        <v>215.673602272727</v>
      </c>
      <c r="AG1229" s="39" t="n">
        <f aca="false">AF1229-W1229</f>
        <v>60.4305590909091</v>
      </c>
      <c r="AH1229" s="40" t="n">
        <f aca="false">AF1229/W1229-1</f>
        <v>0.389264200522878</v>
      </c>
      <c r="AI1229" s="37" t="str">
        <f aca="false">IF(AF1229&lt;W1229,"SIM","NÃO")</f>
        <v>NÃO</v>
      </c>
      <c r="AJ1229" s="37" t="n">
        <v>13</v>
      </c>
      <c r="AK1229" s="37" t="n">
        <v>7</v>
      </c>
      <c r="AL1229" s="37" t="s">
        <v>343</v>
      </c>
      <c r="AM1229" s="39" t="n">
        <v>155.46</v>
      </c>
    </row>
    <row r="1230" customFormat="false" ht="15" hidden="false" customHeight="false" outlineLevel="0" collapsed="false">
      <c r="A1230" s="37" t="n">
        <v>378983243</v>
      </c>
      <c r="B1230" s="38" t="n">
        <v>46253.7728009259</v>
      </c>
      <c r="C1230" s="37" t="s">
        <v>340</v>
      </c>
      <c r="D1230" s="37" t="s">
        <v>1500</v>
      </c>
      <c r="E1230" s="37" t="n">
        <v>25930860</v>
      </c>
      <c r="F1230" s="37" t="s">
        <v>176</v>
      </c>
      <c r="G1230" s="37" t="s">
        <v>198</v>
      </c>
      <c r="H1230" s="37" t="s">
        <v>184</v>
      </c>
      <c r="I1230" s="37" t="n">
        <v>20.6</v>
      </c>
      <c r="J1230" s="39" t="n">
        <v>297.59</v>
      </c>
      <c r="K1230" s="37" t="s">
        <v>342</v>
      </c>
      <c r="L1230" s="39" t="n">
        <v>108.61</v>
      </c>
      <c r="M1230" s="39" t="n">
        <v>65.63</v>
      </c>
      <c r="N1230" s="39" t="n">
        <f aca="false">J1230*Resumo!$C$6</f>
        <v>0</v>
      </c>
      <c r="O1230" s="39" t="n">
        <f aca="false">J1230*Resumo!$C$7</f>
        <v>0.624939</v>
      </c>
      <c r="P1230" s="39" t="n">
        <f aca="false">J1230*Resumo!$C$8</f>
        <v>0.624939</v>
      </c>
      <c r="Q1230" s="39" t="n">
        <f aca="false">Resumo!$C$10*CEILING(I1230/100,1)</f>
        <v>1.05</v>
      </c>
      <c r="R1230" s="39" t="n">
        <f aca="false">Resumo!$C$9</f>
        <v>0</v>
      </c>
      <c r="S1230" s="39" t="n">
        <f aca="false">Resumo!$C$13</f>
        <v>13.55</v>
      </c>
      <c r="T1230" s="39" t="n">
        <f aca="false">Resumo!$C$14*CEILING(I1230,1)</f>
        <v>9.45</v>
      </c>
      <c r="U1230" s="39" t="n">
        <f aca="false">SUM(M1230:T1230)*Resumo!$C$11</f>
        <v>0</v>
      </c>
      <c r="V1230" s="39" t="n">
        <f aca="false">SUM(M1230:U1230)</f>
        <v>90.929878</v>
      </c>
      <c r="W1230" s="39" t="n">
        <f aca="false">V1230/(1-Resumo!$C$5)</f>
        <v>103.329406818182</v>
      </c>
      <c r="X1230" s="39" t="n">
        <v>103.28</v>
      </c>
      <c r="Y1230" s="39" t="n">
        <f aca="false">J1230*Resumo!$B$6</f>
        <v>0.29759</v>
      </c>
      <c r="Z1230" s="39" t="n">
        <f aca="false">J1230*Resumo!$B$7</f>
        <v>0.59518</v>
      </c>
      <c r="AA1230" s="39" t="n">
        <f aca="false">Resumo!$B$9</f>
        <v>1</v>
      </c>
      <c r="AB1230" s="39" t="n">
        <f aca="false">Resumo!$B$10*CEILING(I1230/100,1)</f>
        <v>4.5</v>
      </c>
      <c r="AC1230" s="39" t="n">
        <f aca="false">Resumo!$B$12*CEILING(I1230,1)</f>
        <v>1.26</v>
      </c>
      <c r="AD1230" s="39" t="n">
        <f aca="false">Resumo!$B$14*CEILING(I1230,1)</f>
        <v>9.45</v>
      </c>
      <c r="AE1230" s="39" t="n">
        <f aca="false">SUM(X1230:AD1230)</f>
        <v>120.38277</v>
      </c>
      <c r="AF1230" s="39" t="n">
        <f aca="false">AE1230/(1-Resumo!$B$5)</f>
        <v>136.798602272727</v>
      </c>
      <c r="AG1230" s="39" t="n">
        <f aca="false">AF1230-W1230</f>
        <v>33.4691954545455</v>
      </c>
      <c r="AH1230" s="40" t="n">
        <f aca="false">AF1230/W1230-1</f>
        <v>0.32390774790218</v>
      </c>
      <c r="AI1230" s="37" t="str">
        <f aca="false">IF(AF1230&lt;W1230,"SIM","NÃO")</f>
        <v>NÃO</v>
      </c>
      <c r="AJ1230" s="37" t="n">
        <v>13</v>
      </c>
      <c r="AK1230" s="37" t="n">
        <v>6</v>
      </c>
      <c r="AL1230" s="37" t="s">
        <v>343</v>
      </c>
      <c r="AM1230" s="39" t="n">
        <v>108.61</v>
      </c>
    </row>
    <row r="1231" customFormat="false" ht="15" hidden="false" customHeight="false" outlineLevel="0" collapsed="false">
      <c r="A1231" s="37" t="n">
        <v>379004157</v>
      </c>
      <c r="B1231" s="38" t="n">
        <v>46253.8066550926</v>
      </c>
      <c r="C1231" s="37" t="s">
        <v>340</v>
      </c>
      <c r="D1231" s="37" t="s">
        <v>1501</v>
      </c>
      <c r="E1231" s="37" t="n">
        <v>24450170</v>
      </c>
      <c r="F1231" s="37" t="s">
        <v>160</v>
      </c>
      <c r="G1231" s="37" t="s">
        <v>197</v>
      </c>
      <c r="H1231" s="37" t="s">
        <v>188</v>
      </c>
      <c r="I1231" s="37" t="n">
        <v>63.9</v>
      </c>
      <c r="J1231" s="39" t="n">
        <v>717.59</v>
      </c>
      <c r="K1231" s="37" t="s">
        <v>342</v>
      </c>
      <c r="L1231" s="39" t="n">
        <v>139.89</v>
      </c>
      <c r="M1231" s="39" t="n">
        <v>76.55</v>
      </c>
      <c r="N1231" s="39" t="n">
        <f aca="false">J1231*Resumo!$C$6</f>
        <v>0</v>
      </c>
      <c r="O1231" s="39" t="n">
        <f aca="false">J1231*Resumo!$C$7</f>
        <v>1.506939</v>
      </c>
      <c r="P1231" s="39" t="n">
        <f aca="false">J1231*Resumo!$C$8</f>
        <v>1.506939</v>
      </c>
      <c r="Q1231" s="39" t="n">
        <f aca="false">Resumo!$C$10*CEILING(I1231/100,1)</f>
        <v>1.05</v>
      </c>
      <c r="R1231" s="39" t="n">
        <f aca="false">Resumo!$C$9</f>
        <v>0</v>
      </c>
      <c r="S1231" s="39" t="n">
        <f aca="false">Resumo!$C$13</f>
        <v>13.55</v>
      </c>
      <c r="T1231" s="39" t="n">
        <f aca="false">Resumo!$C$14*CEILING(I1231,1)</f>
        <v>28.8</v>
      </c>
      <c r="U1231" s="39" t="n">
        <f aca="false">SUM(M1231:T1231)*Resumo!$C$11</f>
        <v>0</v>
      </c>
      <c r="V1231" s="39" t="n">
        <f aca="false">SUM(M1231:U1231)</f>
        <v>122.963878</v>
      </c>
      <c r="W1231" s="39" t="n">
        <f aca="false">V1231/(1-Resumo!$C$5)</f>
        <v>139.731679545455</v>
      </c>
      <c r="X1231" s="39" t="n">
        <v>149.5</v>
      </c>
      <c r="Y1231" s="39" t="n">
        <f aca="false">J1231*Resumo!$B$6</f>
        <v>0.71759</v>
      </c>
      <c r="Z1231" s="39" t="n">
        <f aca="false">J1231*Resumo!$B$7</f>
        <v>1.43518</v>
      </c>
      <c r="AA1231" s="39" t="n">
        <f aca="false">Resumo!$B$9</f>
        <v>1</v>
      </c>
      <c r="AB1231" s="39" t="n">
        <f aca="false">Resumo!$B$10*CEILING(I1231/100,1)</f>
        <v>4.5</v>
      </c>
      <c r="AC1231" s="39" t="n">
        <f aca="false">Resumo!$B$12*CEILING(I1231,1)</f>
        <v>3.84</v>
      </c>
      <c r="AD1231" s="39" t="n">
        <f aca="false">Resumo!$B$14*CEILING(I1231,1)</f>
        <v>28.8</v>
      </c>
      <c r="AE1231" s="39" t="n">
        <f aca="false">SUM(X1231:AD1231)</f>
        <v>189.79277</v>
      </c>
      <c r="AF1231" s="39" t="n">
        <f aca="false">AE1231/(1-Resumo!$B$5)</f>
        <v>215.673602272727</v>
      </c>
      <c r="AG1231" s="39" t="n">
        <f aca="false">AF1231-W1231</f>
        <v>75.9419227272728</v>
      </c>
      <c r="AH1231" s="40" t="n">
        <f aca="false">AF1231/W1231-1</f>
        <v>0.543483932736735</v>
      </c>
      <c r="AI1231" s="37" t="str">
        <f aca="false">IF(AF1231&lt;W1231,"SIM","NÃO")</f>
        <v>NÃO</v>
      </c>
      <c r="AJ1231" s="37" t="n">
        <v>2</v>
      </c>
      <c r="AK1231" s="37" t="n">
        <v>7</v>
      </c>
      <c r="AL1231" s="37" t="s">
        <v>343</v>
      </c>
      <c r="AM1231" s="39" t="n">
        <v>139.87</v>
      </c>
    </row>
    <row r="1232" customFormat="false" ht="15" hidden="false" customHeight="false" outlineLevel="0" collapsed="false">
      <c r="A1232" s="37" t="n">
        <v>379019621</v>
      </c>
      <c r="B1232" s="38" t="n">
        <v>46253.818125</v>
      </c>
      <c r="C1232" s="37" t="s">
        <v>537</v>
      </c>
      <c r="D1232" s="37" t="s">
        <v>1502</v>
      </c>
      <c r="E1232" s="37" t="n">
        <v>25225330</v>
      </c>
      <c r="F1232" s="37" t="s">
        <v>161</v>
      </c>
      <c r="G1232" s="37" t="s">
        <v>197</v>
      </c>
      <c r="H1232" s="37" t="s">
        <v>187</v>
      </c>
      <c r="I1232" s="37" t="n">
        <v>52.3</v>
      </c>
      <c r="J1232" s="39" t="n">
        <v>659.99</v>
      </c>
      <c r="K1232" s="37" t="s">
        <v>342</v>
      </c>
      <c r="L1232" s="39" t="n">
        <v>128.44</v>
      </c>
      <c r="M1232" s="39" t="n">
        <v>70.98</v>
      </c>
      <c r="N1232" s="39" t="n">
        <f aca="false">J1232*Resumo!$C$6</f>
        <v>0</v>
      </c>
      <c r="O1232" s="39" t="n">
        <f aca="false">J1232*Resumo!$C$7</f>
        <v>1.385979</v>
      </c>
      <c r="P1232" s="39" t="n">
        <f aca="false">J1232*Resumo!$C$8</f>
        <v>1.385979</v>
      </c>
      <c r="Q1232" s="39" t="n">
        <f aca="false">Resumo!$C$10*CEILING(I1232/100,1)</f>
        <v>1.05</v>
      </c>
      <c r="R1232" s="39" t="n">
        <f aca="false">Resumo!$C$9</f>
        <v>0</v>
      </c>
      <c r="S1232" s="39" t="n">
        <f aca="false">Resumo!$C$13</f>
        <v>13.55</v>
      </c>
      <c r="T1232" s="39" t="n">
        <f aca="false">Resumo!$C$14*CEILING(I1232,1)</f>
        <v>23.85</v>
      </c>
      <c r="U1232" s="39" t="n">
        <f aca="false">SUM(M1232:T1232)*Resumo!$C$11</f>
        <v>0</v>
      </c>
      <c r="V1232" s="39" t="n">
        <f aca="false">SUM(M1232:U1232)</f>
        <v>112.201958</v>
      </c>
      <c r="W1232" s="39" t="n">
        <f aca="false">V1232/(1-Resumo!$C$5)</f>
        <v>127.502225</v>
      </c>
      <c r="X1232" s="39" t="n">
        <v>112.3</v>
      </c>
      <c r="Y1232" s="39" t="n">
        <f aca="false">J1232*Resumo!$B$6</f>
        <v>0.65999</v>
      </c>
      <c r="Z1232" s="39" t="n">
        <f aca="false">J1232*Resumo!$B$7</f>
        <v>1.31998</v>
      </c>
      <c r="AA1232" s="39" t="n">
        <f aca="false">Resumo!$B$9</f>
        <v>1</v>
      </c>
      <c r="AB1232" s="39" t="n">
        <f aca="false">Resumo!$B$10*CEILING(I1232/100,1)</f>
        <v>4.5</v>
      </c>
      <c r="AC1232" s="39" t="n">
        <f aca="false">Resumo!$B$12*CEILING(I1232,1)</f>
        <v>3.18</v>
      </c>
      <c r="AD1232" s="39" t="n">
        <f aca="false">Resumo!$B$14*CEILING(I1232,1)</f>
        <v>23.85</v>
      </c>
      <c r="AE1232" s="39" t="n">
        <f aca="false">SUM(X1232:AD1232)</f>
        <v>146.80997</v>
      </c>
      <c r="AF1232" s="39" t="n">
        <f aca="false">AE1232/(1-Resumo!$B$5)</f>
        <v>166.829511363636</v>
      </c>
      <c r="AG1232" s="39" t="n">
        <f aca="false">AF1232-W1232</f>
        <v>39.3272863636363</v>
      </c>
      <c r="AH1232" s="40" t="n">
        <f aca="false">AF1232/W1232-1</f>
        <v>0.308443922163996</v>
      </c>
      <c r="AI1232" s="37" t="str">
        <f aca="false">IF(AF1232&lt;W1232,"SIM","NÃO")</f>
        <v>NÃO</v>
      </c>
      <c r="AJ1232" s="37" t="n">
        <v>2</v>
      </c>
      <c r="AK1232" s="37" t="n">
        <v>5</v>
      </c>
      <c r="AL1232" s="37" t="s">
        <v>343</v>
      </c>
      <c r="AM1232" s="39" t="n">
        <v>128.45</v>
      </c>
    </row>
    <row r="1233" customFormat="false" ht="15" hidden="false" customHeight="false" outlineLevel="0" collapsed="false">
      <c r="A1233" s="37" t="n">
        <v>379011346</v>
      </c>
      <c r="B1233" s="38" t="n">
        <v>46253.8211574074</v>
      </c>
      <c r="C1233" s="37" t="s">
        <v>345</v>
      </c>
      <c r="D1233" s="37" t="s">
        <v>630</v>
      </c>
      <c r="E1233" s="37" t="n">
        <v>23520560</v>
      </c>
      <c r="F1233" s="37" t="s">
        <v>159</v>
      </c>
      <c r="G1233" s="37" t="s">
        <v>196</v>
      </c>
      <c r="H1233" s="37" t="s">
        <v>184</v>
      </c>
      <c r="I1233" s="37" t="n">
        <v>33.21</v>
      </c>
      <c r="J1233" s="39" t="n">
        <v>387.25</v>
      </c>
      <c r="K1233" s="37" t="s">
        <v>342</v>
      </c>
      <c r="L1233" s="39" t="n">
        <v>82.17</v>
      </c>
      <c r="M1233" s="39" t="n">
        <v>42.11</v>
      </c>
      <c r="N1233" s="39" t="n">
        <f aca="false">J1233*Resumo!$C$6</f>
        <v>0</v>
      </c>
      <c r="O1233" s="39" t="n">
        <f aca="false">J1233*Resumo!$C$7</f>
        <v>0.813225</v>
      </c>
      <c r="P1233" s="39" t="n">
        <f aca="false">J1233*Resumo!$C$8</f>
        <v>0.813225</v>
      </c>
      <c r="Q1233" s="39" t="n">
        <f aca="false">Resumo!$C$10*CEILING(I1233/100,1)</f>
        <v>1.05</v>
      </c>
      <c r="R1233" s="39" t="n">
        <f aca="false">Resumo!$C$9</f>
        <v>0</v>
      </c>
      <c r="S1233" s="39" t="n">
        <f aca="false">Resumo!$C$13</f>
        <v>13.55</v>
      </c>
      <c r="T1233" s="39" t="n">
        <f aca="false">Resumo!$C$14*CEILING(I1233,1)</f>
        <v>15.3</v>
      </c>
      <c r="U1233" s="39" t="n">
        <f aca="false">SUM(M1233:T1233)*Resumo!$C$11</f>
        <v>0</v>
      </c>
      <c r="V1233" s="39" t="n">
        <f aca="false">SUM(M1233:U1233)</f>
        <v>73.63645</v>
      </c>
      <c r="W1233" s="39" t="n">
        <f aca="false">V1233/(1-Resumo!$C$5)</f>
        <v>83.6777840909091</v>
      </c>
      <c r="X1233" s="39" t="n">
        <v>82.21</v>
      </c>
      <c r="Y1233" s="39" t="n">
        <f aca="false">J1233*Resumo!$B$6</f>
        <v>0.38725</v>
      </c>
      <c r="Z1233" s="39" t="n">
        <f aca="false">J1233*Resumo!$B$7</f>
        <v>0.7745</v>
      </c>
      <c r="AA1233" s="39" t="n">
        <f aca="false">Resumo!$B$9</f>
        <v>1</v>
      </c>
      <c r="AB1233" s="39" t="n">
        <f aca="false">Resumo!$B$10*CEILING(I1233/100,1)</f>
        <v>4.5</v>
      </c>
      <c r="AC1233" s="39" t="n">
        <f aca="false">Resumo!$B$12*CEILING(I1233,1)</f>
        <v>2.04</v>
      </c>
      <c r="AD1233" s="39" t="n">
        <f aca="false">Resumo!$B$14*CEILING(I1233,1)</f>
        <v>15.3</v>
      </c>
      <c r="AE1233" s="39" t="n">
        <f aca="false">SUM(X1233:AD1233)</f>
        <v>106.21175</v>
      </c>
      <c r="AF1233" s="39" t="n">
        <f aca="false">AE1233/(1-Resumo!$B$5)</f>
        <v>120.695170454545</v>
      </c>
      <c r="AG1233" s="39" t="n">
        <f aca="false">AF1233-W1233</f>
        <v>37.0173863636364</v>
      </c>
      <c r="AH1233" s="40" t="n">
        <f aca="false">AF1233/W1233-1</f>
        <v>0.442380098443094</v>
      </c>
      <c r="AI1233" s="37" t="str">
        <f aca="false">IF(AF1233&lt;W1233,"SIM","NÃO")</f>
        <v>NÃO</v>
      </c>
      <c r="AJ1233" s="37" t="n">
        <v>2</v>
      </c>
      <c r="AK1233" s="37" t="n">
        <v>5</v>
      </c>
      <c r="AL1233" s="37" t="s">
        <v>343</v>
      </c>
      <c r="AM1233" s="39" t="n">
        <v>82.18</v>
      </c>
    </row>
    <row r="1234" customFormat="false" ht="15" hidden="false" customHeight="false" outlineLevel="0" collapsed="false">
      <c r="A1234" s="37" t="n">
        <v>379018455</v>
      </c>
      <c r="B1234" s="38" t="n">
        <v>46253.8365162037</v>
      </c>
      <c r="C1234" s="37" t="s">
        <v>340</v>
      </c>
      <c r="D1234" s="37" t="s">
        <v>1503</v>
      </c>
      <c r="E1234" s="37" t="n">
        <v>25610011</v>
      </c>
      <c r="F1234" s="37" t="s">
        <v>170</v>
      </c>
      <c r="G1234" s="37" t="s">
        <v>198</v>
      </c>
      <c r="H1234" s="37" t="s">
        <v>187</v>
      </c>
      <c r="I1234" s="37" t="n">
        <v>57</v>
      </c>
      <c r="J1234" s="39" t="n">
        <v>643.99</v>
      </c>
      <c r="K1234" s="37" t="s">
        <v>342</v>
      </c>
      <c r="L1234" s="39" t="n">
        <v>142.76</v>
      </c>
      <c r="M1234" s="39" t="n">
        <v>83.58</v>
      </c>
      <c r="N1234" s="39" t="n">
        <f aca="false">J1234*Resumo!$C$6</f>
        <v>0</v>
      </c>
      <c r="O1234" s="39" t="n">
        <f aca="false">J1234*Resumo!$C$7</f>
        <v>1.352379</v>
      </c>
      <c r="P1234" s="39" t="n">
        <f aca="false">J1234*Resumo!$C$8</f>
        <v>1.352379</v>
      </c>
      <c r="Q1234" s="39" t="n">
        <f aca="false">Resumo!$C$10*CEILING(I1234/100,1)</f>
        <v>1.05</v>
      </c>
      <c r="R1234" s="39" t="n">
        <f aca="false">Resumo!$C$9</f>
        <v>0</v>
      </c>
      <c r="S1234" s="39" t="n">
        <f aca="false">Resumo!$C$13</f>
        <v>13.55</v>
      </c>
      <c r="T1234" s="39" t="n">
        <f aca="false">Resumo!$C$14*CEILING(I1234,1)</f>
        <v>25.65</v>
      </c>
      <c r="U1234" s="39" t="n">
        <f aca="false">SUM(M1234:T1234)*Resumo!$C$11</f>
        <v>0</v>
      </c>
      <c r="V1234" s="39" t="n">
        <f aca="false">SUM(M1234:U1234)</f>
        <v>126.534758</v>
      </c>
      <c r="W1234" s="39" t="n">
        <f aca="false">V1234/(1-Resumo!$C$5)</f>
        <v>143.789497727273</v>
      </c>
      <c r="X1234" s="39" t="n">
        <v>142.32</v>
      </c>
      <c r="Y1234" s="39" t="n">
        <f aca="false">J1234*Resumo!$B$6</f>
        <v>0.64399</v>
      </c>
      <c r="Z1234" s="39" t="n">
        <f aca="false">J1234*Resumo!$B$7</f>
        <v>1.28798</v>
      </c>
      <c r="AA1234" s="39" t="n">
        <f aca="false">Resumo!$B$9</f>
        <v>1</v>
      </c>
      <c r="AB1234" s="39" t="n">
        <f aca="false">Resumo!$B$10*CEILING(I1234/100,1)</f>
        <v>4.5</v>
      </c>
      <c r="AC1234" s="39" t="n">
        <f aca="false">Resumo!$B$12*CEILING(I1234,1)</f>
        <v>3.42</v>
      </c>
      <c r="AD1234" s="39" t="n">
        <f aca="false">Resumo!$B$14*CEILING(I1234,1)</f>
        <v>25.65</v>
      </c>
      <c r="AE1234" s="39" t="n">
        <f aca="false">SUM(X1234:AD1234)</f>
        <v>178.82197</v>
      </c>
      <c r="AF1234" s="39" t="n">
        <f aca="false">AE1234/(1-Resumo!$B$5)</f>
        <v>203.206784090909</v>
      </c>
      <c r="AG1234" s="39" t="n">
        <f aca="false">AF1234-W1234</f>
        <v>59.4172863636364</v>
      </c>
      <c r="AH1234" s="40" t="n">
        <f aca="false">AF1234/W1234-1</f>
        <v>0.413224104004688</v>
      </c>
      <c r="AI1234" s="37" t="str">
        <f aca="false">IF(AF1234&lt;W1234,"SIM","NÃO")</f>
        <v>NÃO</v>
      </c>
      <c r="AJ1234" s="37" t="n">
        <v>13</v>
      </c>
      <c r="AK1234" s="37" t="n">
        <v>8</v>
      </c>
      <c r="AL1234" s="37" t="s">
        <v>343</v>
      </c>
      <c r="AM1234" s="39" t="n">
        <v>142.76</v>
      </c>
    </row>
    <row r="1235" customFormat="false" ht="15" hidden="false" customHeight="false" outlineLevel="0" collapsed="false">
      <c r="A1235" s="37" t="n">
        <v>379045638</v>
      </c>
      <c r="B1235" s="38" t="n">
        <v>46253.8780092593</v>
      </c>
      <c r="C1235" s="37" t="s">
        <v>345</v>
      </c>
      <c r="D1235" s="37" t="s">
        <v>1504</v>
      </c>
      <c r="E1235" s="37" t="n">
        <v>21740230</v>
      </c>
      <c r="F1235" s="37" t="s">
        <v>159</v>
      </c>
      <c r="G1235" s="37" t="s">
        <v>196</v>
      </c>
      <c r="H1235" s="37" t="s">
        <v>187</v>
      </c>
      <c r="I1235" s="37" t="n">
        <v>52.3</v>
      </c>
      <c r="J1235" s="39" t="n">
        <v>616.99</v>
      </c>
      <c r="K1235" s="37" t="s">
        <v>342</v>
      </c>
      <c r="L1235" s="39" t="n">
        <v>114.09</v>
      </c>
      <c r="M1235" s="39" t="n">
        <v>58.6</v>
      </c>
      <c r="N1235" s="39" t="n">
        <f aca="false">J1235*Resumo!$C$6</f>
        <v>0</v>
      </c>
      <c r="O1235" s="39" t="n">
        <f aca="false">J1235*Resumo!$C$7</f>
        <v>1.295679</v>
      </c>
      <c r="P1235" s="39" t="n">
        <f aca="false">J1235*Resumo!$C$8</f>
        <v>1.295679</v>
      </c>
      <c r="Q1235" s="39" t="n">
        <f aca="false">Resumo!$C$10*CEILING(I1235/100,1)</f>
        <v>1.05</v>
      </c>
      <c r="R1235" s="39" t="n">
        <f aca="false">Resumo!$C$9</f>
        <v>0</v>
      </c>
      <c r="S1235" s="39" t="n">
        <f aca="false">Resumo!$C$13</f>
        <v>13.55</v>
      </c>
      <c r="T1235" s="39" t="n">
        <f aca="false">Resumo!$C$14*CEILING(I1235,1)</f>
        <v>23.85</v>
      </c>
      <c r="U1235" s="39" t="n">
        <f aca="false">SUM(M1235:T1235)*Resumo!$C$11</f>
        <v>0</v>
      </c>
      <c r="V1235" s="39" t="n">
        <f aca="false">SUM(M1235:U1235)</f>
        <v>99.641358</v>
      </c>
      <c r="W1235" s="39" t="n">
        <f aca="false">V1235/(1-Resumo!$C$5)</f>
        <v>113.228815909091</v>
      </c>
      <c r="X1235" s="39" t="n">
        <v>112.3</v>
      </c>
      <c r="Y1235" s="39" t="n">
        <f aca="false">J1235*Resumo!$B$6</f>
        <v>0.61699</v>
      </c>
      <c r="Z1235" s="39" t="n">
        <f aca="false">J1235*Resumo!$B$7</f>
        <v>1.23398</v>
      </c>
      <c r="AA1235" s="39" t="n">
        <f aca="false">Resumo!$B$9</f>
        <v>1</v>
      </c>
      <c r="AB1235" s="39" t="n">
        <f aca="false">Resumo!$B$10*CEILING(I1235/100,1)</f>
        <v>4.5</v>
      </c>
      <c r="AC1235" s="39" t="n">
        <f aca="false">Resumo!$B$12*CEILING(I1235,1)</f>
        <v>3.18</v>
      </c>
      <c r="AD1235" s="39" t="n">
        <f aca="false">Resumo!$B$14*CEILING(I1235,1)</f>
        <v>23.85</v>
      </c>
      <c r="AE1235" s="39" t="n">
        <f aca="false">SUM(X1235:AD1235)</f>
        <v>146.68097</v>
      </c>
      <c r="AF1235" s="39" t="n">
        <f aca="false">AE1235/(1-Resumo!$B$5)</f>
        <v>166.682920454545</v>
      </c>
      <c r="AG1235" s="39" t="n">
        <f aca="false">AF1235-W1235</f>
        <v>53.4541045454546</v>
      </c>
      <c r="AH1235" s="40" t="n">
        <f aca="false">AF1235/W1235-1</f>
        <v>0.472089230257179</v>
      </c>
      <c r="AI1235" s="37" t="str">
        <f aca="false">IF(AF1235&lt;W1235,"SIM","NÃO")</f>
        <v>NÃO</v>
      </c>
      <c r="AJ1235" s="37" t="n">
        <v>2</v>
      </c>
      <c r="AK1235" s="37" t="n">
        <v>5</v>
      </c>
      <c r="AL1235" s="37" t="s">
        <v>343</v>
      </c>
      <c r="AM1235" s="39" t="n">
        <v>114.11</v>
      </c>
    </row>
    <row r="1236" customFormat="false" ht="15" hidden="false" customHeight="false" outlineLevel="0" collapsed="false">
      <c r="A1236" s="37" t="n">
        <v>379045629</v>
      </c>
      <c r="B1236" s="38" t="n">
        <v>46253.8783101852</v>
      </c>
      <c r="C1236" s="37" t="s">
        <v>340</v>
      </c>
      <c r="D1236" s="37" t="s">
        <v>1505</v>
      </c>
      <c r="E1236" s="37" t="n">
        <v>21843790</v>
      </c>
      <c r="F1236" s="37" t="s">
        <v>159</v>
      </c>
      <c r="G1236" s="37" t="s">
        <v>196</v>
      </c>
      <c r="H1236" s="37" t="s">
        <v>187</v>
      </c>
      <c r="I1236" s="37" t="n">
        <v>51.7</v>
      </c>
      <c r="J1236" s="39" t="n">
        <v>679.99</v>
      </c>
      <c r="K1236" s="37" t="s">
        <v>342</v>
      </c>
      <c r="L1236" s="39" t="n">
        <v>114.41</v>
      </c>
      <c r="M1236" s="39" t="n">
        <v>58.6</v>
      </c>
      <c r="N1236" s="39" t="n">
        <f aca="false">J1236*Resumo!$C$6</f>
        <v>0</v>
      </c>
      <c r="O1236" s="39" t="n">
        <f aca="false">J1236*Resumo!$C$7</f>
        <v>1.427979</v>
      </c>
      <c r="P1236" s="39" t="n">
        <f aca="false">J1236*Resumo!$C$8</f>
        <v>1.427979</v>
      </c>
      <c r="Q1236" s="39" t="n">
        <f aca="false">Resumo!$C$10*CEILING(I1236/100,1)</f>
        <v>1.05</v>
      </c>
      <c r="R1236" s="39" t="n">
        <f aca="false">Resumo!$C$9</f>
        <v>0</v>
      </c>
      <c r="S1236" s="39" t="n">
        <f aca="false">Resumo!$C$13</f>
        <v>13.55</v>
      </c>
      <c r="T1236" s="39" t="n">
        <f aca="false">Resumo!$C$14*CEILING(I1236,1)</f>
        <v>23.4</v>
      </c>
      <c r="U1236" s="39" t="n">
        <f aca="false">SUM(M1236:T1236)*Resumo!$C$11</f>
        <v>0</v>
      </c>
      <c r="V1236" s="39" t="n">
        <f aca="false">SUM(M1236:U1236)</f>
        <v>99.455958</v>
      </c>
      <c r="W1236" s="39" t="n">
        <f aca="false">V1236/(1-Resumo!$C$5)</f>
        <v>113.018134090909</v>
      </c>
      <c r="X1236" s="39" t="n">
        <v>112.3</v>
      </c>
      <c r="Y1236" s="39" t="n">
        <f aca="false">J1236*Resumo!$B$6</f>
        <v>0.67999</v>
      </c>
      <c r="Z1236" s="39" t="n">
        <f aca="false">J1236*Resumo!$B$7</f>
        <v>1.35998</v>
      </c>
      <c r="AA1236" s="39" t="n">
        <f aca="false">Resumo!$B$9</f>
        <v>1</v>
      </c>
      <c r="AB1236" s="39" t="n">
        <f aca="false">Resumo!$B$10*CEILING(I1236/100,1)</f>
        <v>4.5</v>
      </c>
      <c r="AC1236" s="39" t="n">
        <f aca="false">Resumo!$B$12*CEILING(I1236,1)</f>
        <v>3.12</v>
      </c>
      <c r="AD1236" s="39" t="n">
        <f aca="false">Resumo!$B$14*CEILING(I1236,1)</f>
        <v>23.4</v>
      </c>
      <c r="AE1236" s="39" t="n">
        <f aca="false">SUM(X1236:AD1236)</f>
        <v>146.35997</v>
      </c>
      <c r="AF1236" s="39" t="n">
        <f aca="false">AE1236/(1-Resumo!$B$5)</f>
        <v>166.318147727273</v>
      </c>
      <c r="AG1236" s="39" t="n">
        <f aca="false">AF1236-W1236</f>
        <v>53.3000136363636</v>
      </c>
      <c r="AH1236" s="40" t="n">
        <f aca="false">AF1236/W1236-1</f>
        <v>0.471605853919782</v>
      </c>
      <c r="AI1236" s="37" t="str">
        <f aca="false">IF(AF1236&lt;W1236,"SIM","NÃO")</f>
        <v>NÃO</v>
      </c>
      <c r="AJ1236" s="37" t="n">
        <v>2</v>
      </c>
      <c r="AK1236" s="37" t="n">
        <v>5</v>
      </c>
      <c r="AL1236" s="37" t="s">
        <v>343</v>
      </c>
      <c r="AM1236" s="39" t="n">
        <v>114.41</v>
      </c>
    </row>
    <row r="1237" customFormat="false" ht="15" hidden="false" customHeight="false" outlineLevel="0" collapsed="false">
      <c r="A1237" s="37" t="n">
        <v>379054557</v>
      </c>
      <c r="B1237" s="38" t="n">
        <v>46253.8909027778</v>
      </c>
      <c r="C1237" s="37" t="s">
        <v>345</v>
      </c>
      <c r="D1237" s="37" t="s">
        <v>1506</v>
      </c>
      <c r="E1237" s="37" t="n">
        <v>25576220</v>
      </c>
      <c r="F1237" s="37" t="s">
        <v>167</v>
      </c>
      <c r="G1237" s="37" t="s">
        <v>197</v>
      </c>
      <c r="H1237" s="37" t="s">
        <v>188</v>
      </c>
      <c r="I1237" s="37" t="n">
        <v>66.8</v>
      </c>
      <c r="J1237" s="39" t="n">
        <v>609.99</v>
      </c>
      <c r="K1237" s="37" t="s">
        <v>342</v>
      </c>
      <c r="L1237" s="39" t="n">
        <v>139.35</v>
      </c>
      <c r="M1237" s="39" t="n">
        <v>76.55</v>
      </c>
      <c r="N1237" s="39" t="n">
        <f aca="false">J1237*Resumo!$C$6</f>
        <v>0</v>
      </c>
      <c r="O1237" s="39" t="n">
        <f aca="false">J1237*Resumo!$C$7</f>
        <v>1.280979</v>
      </c>
      <c r="P1237" s="39" t="n">
        <f aca="false">J1237*Resumo!$C$8</f>
        <v>1.280979</v>
      </c>
      <c r="Q1237" s="39" t="n">
        <f aca="false">Resumo!$C$10*CEILING(I1237/100,1)</f>
        <v>1.05</v>
      </c>
      <c r="R1237" s="39" t="n">
        <f aca="false">Resumo!$C$9</f>
        <v>0</v>
      </c>
      <c r="S1237" s="39" t="n">
        <f aca="false">Resumo!$C$13</f>
        <v>13.55</v>
      </c>
      <c r="T1237" s="39" t="n">
        <f aca="false">Resumo!$C$14*CEILING(I1237,1)</f>
        <v>30.15</v>
      </c>
      <c r="U1237" s="39" t="n">
        <f aca="false">SUM(M1237:T1237)*Resumo!$C$11</f>
        <v>0</v>
      </c>
      <c r="V1237" s="39" t="n">
        <f aca="false">SUM(M1237:U1237)</f>
        <v>123.861958</v>
      </c>
      <c r="W1237" s="39" t="n">
        <f aca="false">V1237/(1-Resumo!$C$5)</f>
        <v>140.752225</v>
      </c>
      <c r="X1237" s="39" t="n">
        <v>131.02</v>
      </c>
      <c r="Y1237" s="39" t="n">
        <f aca="false">J1237*Resumo!$B$6</f>
        <v>0.60999</v>
      </c>
      <c r="Z1237" s="39" t="n">
        <f aca="false">J1237*Resumo!$B$7</f>
        <v>1.21998</v>
      </c>
      <c r="AA1237" s="39" t="n">
        <f aca="false">Resumo!$B$9</f>
        <v>1</v>
      </c>
      <c r="AB1237" s="39" t="n">
        <f aca="false">Resumo!$B$10*CEILING(I1237/100,1)</f>
        <v>4.5</v>
      </c>
      <c r="AC1237" s="39" t="n">
        <f aca="false">Resumo!$B$12*CEILING(I1237,1)</f>
        <v>4.02</v>
      </c>
      <c r="AD1237" s="39" t="n">
        <f aca="false">Resumo!$B$14*CEILING(I1237,1)</f>
        <v>30.15</v>
      </c>
      <c r="AE1237" s="39" t="n">
        <f aca="false">SUM(X1237:AD1237)</f>
        <v>172.51997</v>
      </c>
      <c r="AF1237" s="39" t="n">
        <f aca="false">AE1237/(1-Resumo!$B$5)</f>
        <v>196.045420454545</v>
      </c>
      <c r="AG1237" s="39" t="n">
        <f aca="false">AF1237-W1237</f>
        <v>55.2931954545455</v>
      </c>
      <c r="AH1237" s="40" t="n">
        <f aca="false">AF1237/W1237-1</f>
        <v>0.39284064926537</v>
      </c>
      <c r="AI1237" s="37" t="str">
        <f aca="false">IF(AF1237&lt;W1237,"SIM","NÃO")</f>
        <v>NÃO</v>
      </c>
      <c r="AJ1237" s="37" t="n">
        <v>2</v>
      </c>
      <c r="AK1237" s="37" t="n">
        <v>5</v>
      </c>
      <c r="AL1237" s="37" t="s">
        <v>343</v>
      </c>
      <c r="AM1237" s="39" t="n">
        <v>139.36</v>
      </c>
    </row>
    <row r="1238" customFormat="false" ht="15" hidden="false" customHeight="false" outlineLevel="0" collapsed="false">
      <c r="A1238" s="37" t="n">
        <v>379072845</v>
      </c>
      <c r="B1238" s="38" t="n">
        <v>46253.9171759259</v>
      </c>
      <c r="C1238" s="37" t="s">
        <v>340</v>
      </c>
      <c r="D1238" s="37" t="s">
        <v>1507</v>
      </c>
      <c r="E1238" s="37" t="n">
        <v>25220005</v>
      </c>
      <c r="F1238" s="37" t="s">
        <v>161</v>
      </c>
      <c r="G1238" s="37" t="s">
        <v>197</v>
      </c>
      <c r="H1238" s="37" t="s">
        <v>183</v>
      </c>
      <c r="I1238" s="37" t="n">
        <v>19.5</v>
      </c>
      <c r="J1238" s="39" t="n">
        <v>332.99</v>
      </c>
      <c r="K1238" s="37" t="s">
        <v>342</v>
      </c>
      <c r="L1238" s="39" t="n">
        <v>75.44</v>
      </c>
      <c r="M1238" s="39" t="n">
        <v>42.72</v>
      </c>
      <c r="N1238" s="39" t="n">
        <f aca="false">J1238*Resumo!$C$6</f>
        <v>0</v>
      </c>
      <c r="O1238" s="39" t="n">
        <f aca="false">J1238*Resumo!$C$7</f>
        <v>0.699279</v>
      </c>
      <c r="P1238" s="39" t="n">
        <f aca="false">J1238*Resumo!$C$8</f>
        <v>0.699279</v>
      </c>
      <c r="Q1238" s="39" t="n">
        <f aca="false">Resumo!$C$10*CEILING(I1238/100,1)</f>
        <v>1.05</v>
      </c>
      <c r="R1238" s="39" t="n">
        <f aca="false">Resumo!$C$9</f>
        <v>0</v>
      </c>
      <c r="S1238" s="39" t="n">
        <f aca="false">Resumo!$C$13</f>
        <v>13.55</v>
      </c>
      <c r="T1238" s="39" t="n">
        <f aca="false">Resumo!$C$14*CEILING(I1238,1)</f>
        <v>9</v>
      </c>
      <c r="U1238" s="39" t="n">
        <f aca="false">SUM(M1238:T1238)*Resumo!$C$11</f>
        <v>0</v>
      </c>
      <c r="V1238" s="39" t="n">
        <f aca="false">SUM(M1238:U1238)</f>
        <v>67.718558</v>
      </c>
      <c r="W1238" s="39" t="n">
        <f aca="false">V1238/(1-Resumo!$C$5)</f>
        <v>76.9529068181818</v>
      </c>
      <c r="X1238" s="39" t="n">
        <v>46.98</v>
      </c>
      <c r="Y1238" s="39" t="n">
        <f aca="false">J1238*Resumo!$B$6</f>
        <v>0.33299</v>
      </c>
      <c r="Z1238" s="39" t="n">
        <f aca="false">J1238*Resumo!$B$7</f>
        <v>0.66598</v>
      </c>
      <c r="AA1238" s="39" t="n">
        <f aca="false">Resumo!$B$9</f>
        <v>1</v>
      </c>
      <c r="AB1238" s="39" t="n">
        <f aca="false">Resumo!$B$10*CEILING(I1238/100,1)</f>
        <v>4.5</v>
      </c>
      <c r="AC1238" s="39" t="n">
        <f aca="false">Resumo!$B$12*CEILING(I1238,1)</f>
        <v>1.2</v>
      </c>
      <c r="AD1238" s="39" t="n">
        <f aca="false">Resumo!$B$14*CEILING(I1238,1)</f>
        <v>9</v>
      </c>
      <c r="AE1238" s="39" t="n">
        <f aca="false">SUM(X1238:AD1238)</f>
        <v>63.67897</v>
      </c>
      <c r="AF1238" s="39" t="n">
        <f aca="false">AE1238/(1-Resumo!$B$5)</f>
        <v>72.3624659090909</v>
      </c>
      <c r="AG1238" s="39" t="n">
        <f aca="false">AF1238-W1238</f>
        <v>-4.5904409090909</v>
      </c>
      <c r="AH1238" s="40" t="n">
        <f aca="false">AF1238/W1238-1</f>
        <v>-0.0596525992180754</v>
      </c>
      <c r="AI1238" s="37" t="str">
        <f aca="false">IF(AF1238&lt;W1238,"SIM","NÃO")</f>
        <v>SIM</v>
      </c>
      <c r="AJ1238" s="37" t="n">
        <v>2</v>
      </c>
      <c r="AK1238" s="37" t="n">
        <v>5</v>
      </c>
      <c r="AL1238" s="37" t="s">
        <v>343</v>
      </c>
      <c r="AM1238" s="39" t="n">
        <v>75.43</v>
      </c>
    </row>
    <row r="1239" customFormat="false" ht="15" hidden="false" customHeight="false" outlineLevel="0" collapsed="false">
      <c r="A1239" s="37" t="n">
        <v>379078049</v>
      </c>
      <c r="B1239" s="38" t="n">
        <v>46253.9249537037</v>
      </c>
      <c r="C1239" s="37" t="s">
        <v>340</v>
      </c>
      <c r="D1239" s="37" t="s">
        <v>696</v>
      </c>
      <c r="E1239" s="37" t="n">
        <v>23092080</v>
      </c>
      <c r="F1239" s="37" t="s">
        <v>159</v>
      </c>
      <c r="G1239" s="37" t="s">
        <v>196</v>
      </c>
      <c r="H1239" s="37" t="s">
        <v>187</v>
      </c>
      <c r="I1239" s="37" t="n">
        <v>52.3</v>
      </c>
      <c r="J1239" s="39" t="n">
        <v>669.99</v>
      </c>
      <c r="K1239" s="37" t="s">
        <v>342</v>
      </c>
      <c r="L1239" s="39" t="n">
        <v>114.36</v>
      </c>
      <c r="M1239" s="39" t="n">
        <v>58.6</v>
      </c>
      <c r="N1239" s="39" t="n">
        <f aca="false">J1239*Resumo!$C$6</f>
        <v>0</v>
      </c>
      <c r="O1239" s="39" t="n">
        <f aca="false">J1239*Resumo!$C$7</f>
        <v>1.406979</v>
      </c>
      <c r="P1239" s="39" t="n">
        <f aca="false">J1239*Resumo!$C$8</f>
        <v>1.406979</v>
      </c>
      <c r="Q1239" s="39" t="n">
        <f aca="false">Resumo!$C$10*CEILING(I1239/100,1)</f>
        <v>1.05</v>
      </c>
      <c r="R1239" s="39" t="n">
        <f aca="false">Resumo!$C$9</f>
        <v>0</v>
      </c>
      <c r="S1239" s="39" t="n">
        <f aca="false">Resumo!$C$13</f>
        <v>13.55</v>
      </c>
      <c r="T1239" s="39" t="n">
        <f aca="false">Resumo!$C$14*CEILING(I1239,1)</f>
        <v>23.85</v>
      </c>
      <c r="U1239" s="39" t="n">
        <f aca="false">SUM(M1239:T1239)*Resumo!$C$11</f>
        <v>0</v>
      </c>
      <c r="V1239" s="39" t="n">
        <f aca="false">SUM(M1239:U1239)</f>
        <v>99.863958</v>
      </c>
      <c r="W1239" s="39" t="n">
        <f aca="false">V1239/(1-Resumo!$C$5)</f>
        <v>113.481770454545</v>
      </c>
      <c r="X1239" s="39" t="n">
        <v>112.3</v>
      </c>
      <c r="Y1239" s="39" t="n">
        <f aca="false">J1239*Resumo!$B$6</f>
        <v>0.66999</v>
      </c>
      <c r="Z1239" s="39" t="n">
        <f aca="false">J1239*Resumo!$B$7</f>
        <v>1.33998</v>
      </c>
      <c r="AA1239" s="39" t="n">
        <f aca="false">Resumo!$B$9</f>
        <v>1</v>
      </c>
      <c r="AB1239" s="39" t="n">
        <f aca="false">Resumo!$B$10*CEILING(I1239/100,1)</f>
        <v>4.5</v>
      </c>
      <c r="AC1239" s="39" t="n">
        <f aca="false">Resumo!$B$12*CEILING(I1239,1)</f>
        <v>3.18</v>
      </c>
      <c r="AD1239" s="39" t="n">
        <f aca="false">Resumo!$B$14*CEILING(I1239,1)</f>
        <v>23.85</v>
      </c>
      <c r="AE1239" s="39" t="n">
        <f aca="false">SUM(X1239:AD1239)</f>
        <v>146.83997</v>
      </c>
      <c r="AF1239" s="39" t="n">
        <f aca="false">AE1239/(1-Resumo!$B$5)</f>
        <v>166.863602272727</v>
      </c>
      <c r="AG1239" s="39" t="n">
        <f aca="false">AF1239-W1239</f>
        <v>53.3818318181818</v>
      </c>
      <c r="AH1239" s="40" t="n">
        <f aca="false">AF1239/W1239-1</f>
        <v>0.470400061651872</v>
      </c>
      <c r="AI1239" s="37" t="str">
        <f aca="false">IF(AF1239&lt;W1239,"SIM","NÃO")</f>
        <v>NÃO</v>
      </c>
      <c r="AJ1239" s="37" t="n">
        <v>2</v>
      </c>
      <c r="AK1239" s="37" t="n">
        <v>5</v>
      </c>
      <c r="AL1239" s="37" t="s">
        <v>343</v>
      </c>
      <c r="AM1239" s="39" t="n">
        <v>114.36</v>
      </c>
    </row>
    <row r="1240" customFormat="false" ht="15" hidden="false" customHeight="false" outlineLevel="0" collapsed="false">
      <c r="A1240" s="37" t="n">
        <v>379084466</v>
      </c>
      <c r="B1240" s="38" t="n">
        <v>46253.935775463</v>
      </c>
      <c r="C1240" s="37" t="s">
        <v>340</v>
      </c>
      <c r="D1240" s="37" t="s">
        <v>1508</v>
      </c>
      <c r="E1240" s="37" t="n">
        <v>22770190</v>
      </c>
      <c r="F1240" s="37" t="s">
        <v>159</v>
      </c>
      <c r="G1240" s="37" t="s">
        <v>196</v>
      </c>
      <c r="H1240" s="37" t="s">
        <v>189</v>
      </c>
      <c r="I1240" s="37" t="n">
        <v>71.9</v>
      </c>
      <c r="J1240" s="39" t="n">
        <v>711.38</v>
      </c>
      <c r="K1240" s="37" t="s">
        <v>342</v>
      </c>
      <c r="L1240" s="39" t="n">
        <v>135.88</v>
      </c>
      <c r="M1240" s="39" t="n">
        <v>68.88</v>
      </c>
      <c r="N1240" s="39" t="n">
        <f aca="false">J1240*Resumo!$C$6</f>
        <v>0</v>
      </c>
      <c r="O1240" s="39" t="n">
        <f aca="false">J1240*Resumo!$C$7</f>
        <v>1.493898</v>
      </c>
      <c r="P1240" s="39" t="n">
        <f aca="false">J1240*Resumo!$C$8</f>
        <v>1.493898</v>
      </c>
      <c r="Q1240" s="39" t="n">
        <f aca="false">Resumo!$C$10*CEILING(I1240/100,1)</f>
        <v>1.05</v>
      </c>
      <c r="R1240" s="39" t="n">
        <f aca="false">Resumo!$C$9</f>
        <v>0</v>
      </c>
      <c r="S1240" s="39" t="n">
        <f aca="false">Resumo!$C$13</f>
        <v>13.55</v>
      </c>
      <c r="T1240" s="39" t="n">
        <f aca="false">Resumo!$C$14*CEILING(I1240,1)</f>
        <v>32.4</v>
      </c>
      <c r="U1240" s="39" t="n">
        <f aca="false">SUM(M1240:T1240)*Resumo!$C$11</f>
        <v>0</v>
      </c>
      <c r="V1240" s="39" t="n">
        <f aca="false">SUM(M1240:U1240)</f>
        <v>118.867796</v>
      </c>
      <c r="W1240" s="39" t="n">
        <f aca="false">V1240/(1-Resumo!$C$5)</f>
        <v>135.077040909091</v>
      </c>
      <c r="X1240" s="39" t="n">
        <v>134.39</v>
      </c>
      <c r="Y1240" s="39" t="n">
        <f aca="false">J1240*Resumo!$B$6</f>
        <v>0.71138</v>
      </c>
      <c r="Z1240" s="39" t="n">
        <f aca="false">J1240*Resumo!$B$7</f>
        <v>1.42276</v>
      </c>
      <c r="AA1240" s="39" t="n">
        <f aca="false">Resumo!$B$9</f>
        <v>1</v>
      </c>
      <c r="AB1240" s="39" t="n">
        <f aca="false">Resumo!$B$10*CEILING(I1240/100,1)</f>
        <v>4.5</v>
      </c>
      <c r="AC1240" s="39" t="n">
        <f aca="false">Resumo!$B$12*CEILING(I1240,1)</f>
        <v>4.32</v>
      </c>
      <c r="AD1240" s="39" t="n">
        <f aca="false">Resumo!$B$14*CEILING(I1240,1)</f>
        <v>32.4</v>
      </c>
      <c r="AE1240" s="39" t="n">
        <f aca="false">SUM(X1240:AD1240)</f>
        <v>178.74414</v>
      </c>
      <c r="AF1240" s="39" t="n">
        <f aca="false">AE1240/(1-Resumo!$B$5)</f>
        <v>203.118340909091</v>
      </c>
      <c r="AG1240" s="39" t="n">
        <f aca="false">AF1240-W1240</f>
        <v>68.0413</v>
      </c>
      <c r="AH1240" s="40" t="n">
        <f aca="false">AF1240/W1240-1</f>
        <v>0.503722168786574</v>
      </c>
      <c r="AI1240" s="37" t="str">
        <f aca="false">IF(AF1240&lt;W1240,"SIM","NÃO")</f>
        <v>NÃO</v>
      </c>
      <c r="AJ1240" s="37" t="n">
        <v>2</v>
      </c>
      <c r="AK1240" s="37" t="n">
        <v>5</v>
      </c>
      <c r="AL1240" s="37" t="s">
        <v>343</v>
      </c>
      <c r="AM1240" s="39" t="n">
        <v>135.89</v>
      </c>
    </row>
    <row r="1241" customFormat="false" ht="15" hidden="false" customHeight="false" outlineLevel="0" collapsed="false">
      <c r="A1241" s="37" t="n">
        <v>379089832</v>
      </c>
      <c r="B1241" s="38" t="n">
        <v>46253.9453703704</v>
      </c>
      <c r="C1241" s="37" t="s">
        <v>340</v>
      </c>
      <c r="D1241" s="37" t="s">
        <v>580</v>
      </c>
      <c r="E1241" s="37" t="n">
        <v>23040400</v>
      </c>
      <c r="F1241" s="37" t="s">
        <v>159</v>
      </c>
      <c r="G1241" s="37" t="s">
        <v>196</v>
      </c>
      <c r="H1241" s="37" t="s">
        <v>188</v>
      </c>
      <c r="I1241" s="37" t="n">
        <v>63.9</v>
      </c>
      <c r="J1241" s="39" t="n">
        <v>717.59</v>
      </c>
      <c r="K1241" s="37" t="s">
        <v>342</v>
      </c>
      <c r="L1241" s="39" t="n">
        <v>124.66</v>
      </c>
      <c r="M1241" s="39" t="n">
        <v>63.21</v>
      </c>
      <c r="N1241" s="39" t="n">
        <f aca="false">J1241*Resumo!$C$6</f>
        <v>0</v>
      </c>
      <c r="O1241" s="39" t="n">
        <f aca="false">J1241*Resumo!$C$7</f>
        <v>1.506939</v>
      </c>
      <c r="P1241" s="39" t="n">
        <f aca="false">J1241*Resumo!$C$8</f>
        <v>1.506939</v>
      </c>
      <c r="Q1241" s="39" t="n">
        <f aca="false">Resumo!$C$10*CEILING(I1241/100,1)</f>
        <v>1.05</v>
      </c>
      <c r="R1241" s="39" t="n">
        <f aca="false">Resumo!$C$9</f>
        <v>0</v>
      </c>
      <c r="S1241" s="39" t="n">
        <f aca="false">Resumo!$C$13</f>
        <v>13.55</v>
      </c>
      <c r="T1241" s="39" t="n">
        <f aca="false">Resumo!$C$14*CEILING(I1241,1)</f>
        <v>28.8</v>
      </c>
      <c r="U1241" s="39" t="n">
        <f aca="false">SUM(M1241:T1241)*Resumo!$C$11</f>
        <v>0</v>
      </c>
      <c r="V1241" s="39" t="n">
        <f aca="false">SUM(M1241:U1241)</f>
        <v>109.623878</v>
      </c>
      <c r="W1241" s="39" t="n">
        <f aca="false">V1241/(1-Resumo!$C$5)</f>
        <v>124.572588636364</v>
      </c>
      <c r="X1241" s="39" t="n">
        <v>131.02</v>
      </c>
      <c r="Y1241" s="39" t="n">
        <f aca="false">J1241*Resumo!$B$6</f>
        <v>0.71759</v>
      </c>
      <c r="Z1241" s="39" t="n">
        <f aca="false">J1241*Resumo!$B$7</f>
        <v>1.43518</v>
      </c>
      <c r="AA1241" s="39" t="n">
        <f aca="false">Resumo!$B$9</f>
        <v>1</v>
      </c>
      <c r="AB1241" s="39" t="n">
        <f aca="false">Resumo!$B$10*CEILING(I1241/100,1)</f>
        <v>4.5</v>
      </c>
      <c r="AC1241" s="39" t="n">
        <f aca="false">Resumo!$B$12*CEILING(I1241,1)</f>
        <v>3.84</v>
      </c>
      <c r="AD1241" s="39" t="n">
        <f aca="false">Resumo!$B$14*CEILING(I1241,1)</f>
        <v>28.8</v>
      </c>
      <c r="AE1241" s="39" t="n">
        <f aca="false">SUM(X1241:AD1241)</f>
        <v>171.31277</v>
      </c>
      <c r="AF1241" s="39" t="n">
        <f aca="false">AE1241/(1-Resumo!$B$5)</f>
        <v>194.673602272727</v>
      </c>
      <c r="AG1241" s="39" t="n">
        <f aca="false">AF1241-W1241</f>
        <v>70.1010136363637</v>
      </c>
      <c r="AH1241" s="40" t="n">
        <f aca="false">AF1241/W1241-1</f>
        <v>0.562732254372537</v>
      </c>
      <c r="AI1241" s="37" t="str">
        <f aca="false">IF(AF1241&lt;W1241,"SIM","NÃO")</f>
        <v>NÃO</v>
      </c>
      <c r="AJ1241" s="37" t="n">
        <v>2</v>
      </c>
      <c r="AK1241" s="37" t="n">
        <v>5</v>
      </c>
      <c r="AL1241" s="37" t="s">
        <v>343</v>
      </c>
      <c r="AM1241" s="39" t="n">
        <v>124.65</v>
      </c>
    </row>
    <row r="1242" customFormat="false" ht="15" hidden="false" customHeight="false" outlineLevel="0" collapsed="false">
      <c r="A1242" s="37" t="n">
        <v>379095165</v>
      </c>
      <c r="B1242" s="38" t="n">
        <v>46253.9555208333</v>
      </c>
      <c r="C1242" s="37" t="s">
        <v>340</v>
      </c>
      <c r="D1242" s="37" t="s">
        <v>1509</v>
      </c>
      <c r="E1242" s="37" t="n">
        <v>24230541</v>
      </c>
      <c r="F1242" s="37" t="s">
        <v>163</v>
      </c>
      <c r="G1242" s="37" t="s">
        <v>197</v>
      </c>
      <c r="H1242" s="37" t="s">
        <v>186</v>
      </c>
      <c r="I1242" s="37" t="n">
        <v>45</v>
      </c>
      <c r="J1242" s="39" t="n">
        <v>519.29</v>
      </c>
      <c r="K1242" s="37" t="s">
        <v>342</v>
      </c>
      <c r="L1242" s="39" t="n">
        <v>116.57</v>
      </c>
      <c r="M1242" s="39" t="n">
        <v>65.36</v>
      </c>
      <c r="N1242" s="39" t="n">
        <f aca="false">J1242*Resumo!$C$6</f>
        <v>0</v>
      </c>
      <c r="O1242" s="39" t="n">
        <f aca="false">J1242*Resumo!$C$7</f>
        <v>1.090509</v>
      </c>
      <c r="P1242" s="39" t="n">
        <f aca="false">J1242*Resumo!$C$8</f>
        <v>1.090509</v>
      </c>
      <c r="Q1242" s="39" t="n">
        <f aca="false">Resumo!$C$10*CEILING(I1242/100,1)</f>
        <v>1.05</v>
      </c>
      <c r="R1242" s="39" t="n">
        <f aca="false">Resumo!$C$9</f>
        <v>0</v>
      </c>
      <c r="S1242" s="39" t="n">
        <f aca="false">Resumo!$C$13</f>
        <v>13.55</v>
      </c>
      <c r="T1242" s="39" t="n">
        <f aca="false">Resumo!$C$14*CEILING(I1242,1)</f>
        <v>20.25</v>
      </c>
      <c r="U1242" s="39" t="n">
        <f aca="false">SUM(M1242:T1242)*Resumo!$C$11</f>
        <v>0</v>
      </c>
      <c r="V1242" s="39" t="n">
        <f aca="false">SUM(M1242:U1242)</f>
        <v>102.391018</v>
      </c>
      <c r="W1242" s="39" t="n">
        <f aca="false">V1242/(1-Resumo!$C$5)</f>
        <v>116.353429545455</v>
      </c>
      <c r="X1242" s="39" t="n">
        <v>114.95</v>
      </c>
      <c r="Y1242" s="39" t="n">
        <f aca="false">J1242*Resumo!$B$6</f>
        <v>0.51929</v>
      </c>
      <c r="Z1242" s="39" t="n">
        <f aca="false">J1242*Resumo!$B$7</f>
        <v>1.03858</v>
      </c>
      <c r="AA1242" s="39" t="n">
        <f aca="false">Resumo!$B$9</f>
        <v>1</v>
      </c>
      <c r="AB1242" s="39" t="n">
        <f aca="false">Resumo!$B$10*CEILING(I1242/100,1)</f>
        <v>4.5</v>
      </c>
      <c r="AC1242" s="39" t="n">
        <f aca="false">Resumo!$B$12*CEILING(I1242,1)</f>
        <v>2.7</v>
      </c>
      <c r="AD1242" s="39" t="n">
        <f aca="false">Resumo!$B$14*CEILING(I1242,1)</f>
        <v>20.25</v>
      </c>
      <c r="AE1242" s="39" t="n">
        <f aca="false">SUM(X1242:AD1242)</f>
        <v>144.95787</v>
      </c>
      <c r="AF1242" s="39" t="n">
        <f aca="false">AE1242/(1-Resumo!$B$5)</f>
        <v>164.724852272727</v>
      </c>
      <c r="AG1242" s="39" t="n">
        <f aca="false">AF1242-W1242</f>
        <v>48.3714227272727</v>
      </c>
      <c r="AH1242" s="40" t="n">
        <f aca="false">AF1242/W1242-1</f>
        <v>0.41572837961236</v>
      </c>
      <c r="AI1242" s="37" t="str">
        <f aca="false">IF(AF1242&lt;W1242,"SIM","NÃO")</f>
        <v>NÃO</v>
      </c>
      <c r="AJ1242" s="37" t="n">
        <v>2</v>
      </c>
      <c r="AK1242" s="37" t="n">
        <v>7</v>
      </c>
      <c r="AL1242" s="37" t="s">
        <v>343</v>
      </c>
      <c r="AM1242" s="39" t="n">
        <v>116.56</v>
      </c>
    </row>
    <row r="1243" customFormat="false" ht="15" hidden="false" customHeight="false" outlineLevel="0" collapsed="false">
      <c r="A1243" s="37" t="n">
        <v>379156618</v>
      </c>
      <c r="B1243" s="38" t="n">
        <v>46254.0703125</v>
      </c>
      <c r="C1243" s="37" t="s">
        <v>340</v>
      </c>
      <c r="D1243" s="37" t="s">
        <v>940</v>
      </c>
      <c r="E1243" s="37" t="n">
        <v>22753050</v>
      </c>
      <c r="F1243" s="37" t="s">
        <v>159</v>
      </c>
      <c r="G1243" s="37" t="s">
        <v>196</v>
      </c>
      <c r="H1243" s="37" t="s">
        <v>187</v>
      </c>
      <c r="I1243" s="37" t="n">
        <v>52.3</v>
      </c>
      <c r="J1243" s="39" t="n">
        <v>669.99</v>
      </c>
      <c r="K1243" s="37" t="s">
        <v>342</v>
      </c>
      <c r="L1243" s="39" t="n">
        <v>114.36</v>
      </c>
      <c r="M1243" s="39" t="n">
        <v>58.6</v>
      </c>
      <c r="N1243" s="39" t="n">
        <f aca="false">J1243*Resumo!$C$6</f>
        <v>0</v>
      </c>
      <c r="O1243" s="39" t="n">
        <f aca="false">J1243*Resumo!$C$7</f>
        <v>1.406979</v>
      </c>
      <c r="P1243" s="39" t="n">
        <f aca="false">J1243*Resumo!$C$8</f>
        <v>1.406979</v>
      </c>
      <c r="Q1243" s="39" t="n">
        <f aca="false">Resumo!$C$10*CEILING(I1243/100,1)</f>
        <v>1.05</v>
      </c>
      <c r="R1243" s="39" t="n">
        <f aca="false">Resumo!$C$9</f>
        <v>0</v>
      </c>
      <c r="S1243" s="39" t="n">
        <f aca="false">Resumo!$C$13</f>
        <v>13.55</v>
      </c>
      <c r="T1243" s="39" t="n">
        <f aca="false">Resumo!$C$14*CEILING(I1243,1)</f>
        <v>23.85</v>
      </c>
      <c r="U1243" s="39" t="n">
        <f aca="false">SUM(M1243:T1243)*Resumo!$C$11</f>
        <v>0</v>
      </c>
      <c r="V1243" s="39" t="n">
        <f aca="false">SUM(M1243:U1243)</f>
        <v>99.863958</v>
      </c>
      <c r="W1243" s="39" t="n">
        <f aca="false">V1243/(1-Resumo!$C$5)</f>
        <v>113.481770454545</v>
      </c>
      <c r="X1243" s="39" t="n">
        <v>112.3</v>
      </c>
      <c r="Y1243" s="39" t="n">
        <f aca="false">J1243*Resumo!$B$6</f>
        <v>0.66999</v>
      </c>
      <c r="Z1243" s="39" t="n">
        <f aca="false">J1243*Resumo!$B$7</f>
        <v>1.33998</v>
      </c>
      <c r="AA1243" s="39" t="n">
        <f aca="false">Resumo!$B$9</f>
        <v>1</v>
      </c>
      <c r="AB1243" s="39" t="n">
        <f aca="false">Resumo!$B$10*CEILING(I1243/100,1)</f>
        <v>4.5</v>
      </c>
      <c r="AC1243" s="39" t="n">
        <f aca="false">Resumo!$B$12*CEILING(I1243,1)</f>
        <v>3.18</v>
      </c>
      <c r="AD1243" s="39" t="n">
        <f aca="false">Resumo!$B$14*CEILING(I1243,1)</f>
        <v>23.85</v>
      </c>
      <c r="AE1243" s="39" t="n">
        <f aca="false">SUM(X1243:AD1243)</f>
        <v>146.83997</v>
      </c>
      <c r="AF1243" s="39" t="n">
        <f aca="false">AE1243/(1-Resumo!$B$5)</f>
        <v>166.863602272727</v>
      </c>
      <c r="AG1243" s="39" t="n">
        <f aca="false">AF1243-W1243</f>
        <v>53.3818318181818</v>
      </c>
      <c r="AH1243" s="40" t="n">
        <f aca="false">AF1243/W1243-1</f>
        <v>0.470400061651872</v>
      </c>
      <c r="AI1243" s="37" t="str">
        <f aca="false">IF(AF1243&lt;W1243,"SIM","NÃO")</f>
        <v>NÃO</v>
      </c>
      <c r="AJ1243" s="37" t="n">
        <v>2</v>
      </c>
      <c r="AK1243" s="37" t="n">
        <v>5</v>
      </c>
      <c r="AL1243" s="37" t="s">
        <v>343</v>
      </c>
      <c r="AM1243" s="39" t="n">
        <v>114.36</v>
      </c>
    </row>
    <row r="1244" customFormat="false" ht="15" hidden="false" customHeight="false" outlineLevel="0" collapsed="false">
      <c r="A1244" s="37" t="n">
        <v>379198565</v>
      </c>
      <c r="B1244" s="38" t="n">
        <v>46254.1309722222</v>
      </c>
      <c r="C1244" s="37" t="s">
        <v>340</v>
      </c>
      <c r="D1244" s="37" t="s">
        <v>893</v>
      </c>
      <c r="E1244" s="37" t="n">
        <v>26600000</v>
      </c>
      <c r="F1244" s="37" t="s">
        <v>239</v>
      </c>
      <c r="G1244" s="37" t="s">
        <v>198</v>
      </c>
      <c r="H1244" s="37" t="s">
        <v>183</v>
      </c>
      <c r="I1244" s="37" t="n">
        <v>19.5</v>
      </c>
      <c r="J1244" s="39" t="n">
        <v>369.99</v>
      </c>
      <c r="K1244" s="37" t="s">
        <v>342</v>
      </c>
      <c r="L1244" s="39" t="n">
        <v>80.43</v>
      </c>
      <c r="M1244" s="39" t="n">
        <v>46.95</v>
      </c>
      <c r="N1244" s="39" t="n">
        <f aca="false">J1244*Resumo!$C$6</f>
        <v>0</v>
      </c>
      <c r="O1244" s="39" t="n">
        <f aca="false">J1244*Resumo!$C$7</f>
        <v>0.776979</v>
      </c>
      <c r="P1244" s="39" t="n">
        <f aca="false">J1244*Resumo!$C$8</f>
        <v>0.776979</v>
      </c>
      <c r="Q1244" s="39" t="n">
        <f aca="false">Resumo!$C$10*CEILING(I1244/100,1)</f>
        <v>1.05</v>
      </c>
      <c r="R1244" s="39" t="n">
        <f aca="false">Resumo!$C$9</f>
        <v>0</v>
      </c>
      <c r="S1244" s="39" t="n">
        <f aca="false">Resumo!$C$13</f>
        <v>13.55</v>
      </c>
      <c r="T1244" s="39" t="n">
        <f aca="false">Resumo!$C$14*CEILING(I1244,1)</f>
        <v>9</v>
      </c>
      <c r="U1244" s="39" t="n">
        <f aca="false">SUM(M1244:T1244)*Resumo!$C$11</f>
        <v>0</v>
      </c>
      <c r="V1244" s="39" t="n">
        <f aca="false">SUM(M1244:U1244)</f>
        <v>72.103958</v>
      </c>
      <c r="W1244" s="39" t="n">
        <f aca="false">V1244/(1-Resumo!$C$5)</f>
        <v>81.9363159090909</v>
      </c>
      <c r="X1244" s="39" t="n">
        <v>77.35</v>
      </c>
      <c r="Y1244" s="39" t="n">
        <f aca="false">J1244*Resumo!$B$6</f>
        <v>0.36999</v>
      </c>
      <c r="Z1244" s="39" t="n">
        <f aca="false">J1244*Resumo!$B$7</f>
        <v>0.73998</v>
      </c>
      <c r="AA1244" s="39" t="n">
        <f aca="false">Resumo!$B$9</f>
        <v>1</v>
      </c>
      <c r="AB1244" s="39" t="n">
        <f aca="false">Resumo!$B$10*CEILING(I1244/100,1)</f>
        <v>4.5</v>
      </c>
      <c r="AC1244" s="39" t="n">
        <f aca="false">Resumo!$B$12*CEILING(I1244,1)</f>
        <v>1.2</v>
      </c>
      <c r="AD1244" s="39" t="n">
        <f aca="false">Resumo!$B$14*CEILING(I1244,1)</f>
        <v>9</v>
      </c>
      <c r="AE1244" s="39" t="n">
        <f aca="false">SUM(X1244:AD1244)</f>
        <v>94.15997</v>
      </c>
      <c r="AF1244" s="39" t="n">
        <f aca="false">AE1244/(1-Resumo!$B$5)</f>
        <v>106.999965909091</v>
      </c>
      <c r="AG1244" s="39" t="n">
        <f aca="false">AF1244-W1244</f>
        <v>25.06365</v>
      </c>
      <c r="AH1244" s="40" t="n">
        <f aca="false">AF1244/W1244-1</f>
        <v>0.305891834675705</v>
      </c>
      <c r="AI1244" s="37" t="str">
        <f aca="false">IF(AF1244&lt;W1244,"SIM","NÃO")</f>
        <v>NÃO</v>
      </c>
      <c r="AJ1244" s="37" t="n">
        <v>13</v>
      </c>
      <c r="AK1244" s="37" t="n">
        <v>10</v>
      </c>
      <c r="AL1244" s="37" t="s">
        <v>347</v>
      </c>
      <c r="AM1244" s="39" t="n">
        <v>80.43</v>
      </c>
    </row>
    <row r="1245" customFormat="false" ht="15" hidden="false" customHeight="false" outlineLevel="0" collapsed="false">
      <c r="A1245" s="37" t="n">
        <v>379369765</v>
      </c>
      <c r="B1245" s="38" t="n">
        <v>46254.2963541667</v>
      </c>
      <c r="C1245" s="37" t="s">
        <v>345</v>
      </c>
      <c r="D1245" s="37" t="s">
        <v>1022</v>
      </c>
      <c r="E1245" s="37" t="n">
        <v>23025150</v>
      </c>
      <c r="F1245" s="37" t="s">
        <v>159</v>
      </c>
      <c r="G1245" s="37" t="s">
        <v>196</v>
      </c>
      <c r="H1245" s="37" t="s">
        <v>184</v>
      </c>
      <c r="I1245" s="37" t="n">
        <v>33</v>
      </c>
      <c r="J1245" s="39" t="n">
        <v>395.99</v>
      </c>
      <c r="K1245" s="37" t="s">
        <v>342</v>
      </c>
      <c r="L1245" s="39" t="n">
        <v>82.22</v>
      </c>
      <c r="M1245" s="39" t="n">
        <v>42.11</v>
      </c>
      <c r="N1245" s="39" t="n">
        <f aca="false">J1245*Resumo!$C$6</f>
        <v>0</v>
      </c>
      <c r="O1245" s="39" t="n">
        <f aca="false">J1245*Resumo!$C$7</f>
        <v>0.831579</v>
      </c>
      <c r="P1245" s="39" t="n">
        <f aca="false">J1245*Resumo!$C$8</f>
        <v>0.831579</v>
      </c>
      <c r="Q1245" s="39" t="n">
        <f aca="false">Resumo!$C$10*CEILING(I1245/100,1)</f>
        <v>1.05</v>
      </c>
      <c r="R1245" s="39" t="n">
        <f aca="false">Resumo!$C$9</f>
        <v>0</v>
      </c>
      <c r="S1245" s="39" t="n">
        <f aca="false">Resumo!$C$13</f>
        <v>13.55</v>
      </c>
      <c r="T1245" s="39" t="n">
        <f aca="false">Resumo!$C$14*CEILING(I1245,1)</f>
        <v>14.85</v>
      </c>
      <c r="U1245" s="39" t="n">
        <f aca="false">SUM(M1245:T1245)*Resumo!$C$11</f>
        <v>0</v>
      </c>
      <c r="V1245" s="39" t="n">
        <f aca="false">SUM(M1245:U1245)</f>
        <v>73.223158</v>
      </c>
      <c r="W1245" s="39" t="n">
        <f aca="false">V1245/(1-Resumo!$C$5)</f>
        <v>83.2081340909091</v>
      </c>
      <c r="X1245" s="39" t="n">
        <v>82.21</v>
      </c>
      <c r="Y1245" s="39" t="n">
        <f aca="false">J1245*Resumo!$B$6</f>
        <v>0.39599</v>
      </c>
      <c r="Z1245" s="39" t="n">
        <f aca="false">J1245*Resumo!$B$7</f>
        <v>0.79198</v>
      </c>
      <c r="AA1245" s="39" t="n">
        <f aca="false">Resumo!$B$9</f>
        <v>1</v>
      </c>
      <c r="AB1245" s="39" t="n">
        <f aca="false">Resumo!$B$10*CEILING(I1245/100,1)</f>
        <v>4.5</v>
      </c>
      <c r="AC1245" s="39" t="n">
        <f aca="false">Resumo!$B$12*CEILING(I1245,1)</f>
        <v>1.98</v>
      </c>
      <c r="AD1245" s="39" t="n">
        <f aca="false">Resumo!$B$14*CEILING(I1245,1)</f>
        <v>14.85</v>
      </c>
      <c r="AE1245" s="39" t="n">
        <f aca="false">SUM(X1245:AD1245)</f>
        <v>105.72797</v>
      </c>
      <c r="AF1245" s="39" t="n">
        <f aca="false">AE1245/(1-Resumo!$B$5)</f>
        <v>120.145420454545</v>
      </c>
      <c r="AG1245" s="39" t="n">
        <f aca="false">AF1245-W1245</f>
        <v>36.9372863636363</v>
      </c>
      <c r="AH1245" s="40" t="n">
        <f aca="false">AF1245/W1245-1</f>
        <v>0.443914369276452</v>
      </c>
      <c r="AI1245" s="37" t="str">
        <f aca="false">IF(AF1245&lt;W1245,"SIM","NÃO")</f>
        <v>NÃO</v>
      </c>
      <c r="AJ1245" s="37" t="n">
        <v>2</v>
      </c>
      <c r="AK1245" s="37" t="n">
        <v>5</v>
      </c>
      <c r="AL1245" s="37" t="s">
        <v>343</v>
      </c>
      <c r="AM1245" s="39" t="n">
        <v>82.22</v>
      </c>
    </row>
    <row r="1246" customFormat="false" ht="15" hidden="false" customHeight="false" outlineLevel="0" collapsed="false">
      <c r="A1246" s="37" t="n">
        <v>379309618</v>
      </c>
      <c r="B1246" s="38" t="n">
        <v>46254.3196527778</v>
      </c>
      <c r="C1246" s="37" t="s">
        <v>340</v>
      </c>
      <c r="D1246" s="37" t="s">
        <v>1510</v>
      </c>
      <c r="E1246" s="37" t="n">
        <v>24422640</v>
      </c>
      <c r="F1246" s="37" t="s">
        <v>160</v>
      </c>
      <c r="G1246" s="37" t="s">
        <v>197</v>
      </c>
      <c r="H1246" s="37" t="s">
        <v>188</v>
      </c>
      <c r="I1246" s="37" t="n">
        <v>63.9</v>
      </c>
      <c r="J1246" s="39" t="n">
        <v>779.99</v>
      </c>
      <c r="K1246" s="37" t="s">
        <v>342</v>
      </c>
      <c r="L1246" s="39" t="n">
        <v>140.17</v>
      </c>
      <c r="M1246" s="39" t="n">
        <v>76.55</v>
      </c>
      <c r="N1246" s="39" t="n">
        <f aca="false">J1246*Resumo!$C$6</f>
        <v>0</v>
      </c>
      <c r="O1246" s="39" t="n">
        <f aca="false">J1246*Resumo!$C$7</f>
        <v>1.637979</v>
      </c>
      <c r="P1246" s="39" t="n">
        <f aca="false">J1246*Resumo!$C$8</f>
        <v>1.637979</v>
      </c>
      <c r="Q1246" s="39" t="n">
        <f aca="false">Resumo!$C$10*CEILING(I1246/100,1)</f>
        <v>1.05</v>
      </c>
      <c r="R1246" s="39" t="n">
        <f aca="false">Resumo!$C$9</f>
        <v>0</v>
      </c>
      <c r="S1246" s="39" t="n">
        <f aca="false">Resumo!$C$13</f>
        <v>13.55</v>
      </c>
      <c r="T1246" s="39" t="n">
        <f aca="false">Resumo!$C$14*CEILING(I1246,1)</f>
        <v>28.8</v>
      </c>
      <c r="U1246" s="39" t="n">
        <f aca="false">SUM(M1246:T1246)*Resumo!$C$11</f>
        <v>0</v>
      </c>
      <c r="V1246" s="39" t="n">
        <f aca="false">SUM(M1246:U1246)</f>
        <v>123.225958</v>
      </c>
      <c r="W1246" s="39" t="n">
        <f aca="false">V1246/(1-Resumo!$C$5)</f>
        <v>140.029497727273</v>
      </c>
      <c r="X1246" s="39" t="n">
        <v>149.5</v>
      </c>
      <c r="Y1246" s="39" t="n">
        <f aca="false">J1246*Resumo!$B$6</f>
        <v>0.77999</v>
      </c>
      <c r="Z1246" s="39" t="n">
        <f aca="false">J1246*Resumo!$B$7</f>
        <v>1.55998</v>
      </c>
      <c r="AA1246" s="39" t="n">
        <f aca="false">Resumo!$B$9</f>
        <v>1</v>
      </c>
      <c r="AB1246" s="39" t="n">
        <f aca="false">Resumo!$B$10*CEILING(I1246/100,1)</f>
        <v>4.5</v>
      </c>
      <c r="AC1246" s="39" t="n">
        <f aca="false">Resumo!$B$12*CEILING(I1246,1)</f>
        <v>3.84</v>
      </c>
      <c r="AD1246" s="39" t="n">
        <f aca="false">Resumo!$B$14*CEILING(I1246,1)</f>
        <v>28.8</v>
      </c>
      <c r="AE1246" s="39" t="n">
        <f aca="false">SUM(X1246:AD1246)</f>
        <v>189.97997</v>
      </c>
      <c r="AF1246" s="39" t="n">
        <f aca="false">AE1246/(1-Resumo!$B$5)</f>
        <v>215.886329545455</v>
      </c>
      <c r="AG1246" s="39" t="n">
        <f aca="false">AF1246-W1246</f>
        <v>75.8568318181818</v>
      </c>
      <c r="AH1246" s="40" t="n">
        <f aca="false">AF1246/W1246-1</f>
        <v>0.541720373559604</v>
      </c>
      <c r="AI1246" s="37" t="str">
        <f aca="false">IF(AF1246&lt;W1246,"SIM","NÃO")</f>
        <v>NÃO</v>
      </c>
      <c r="AJ1246" s="37" t="n">
        <v>2</v>
      </c>
      <c r="AK1246" s="37" t="n">
        <v>7</v>
      </c>
      <c r="AL1246" s="37" t="s">
        <v>343</v>
      </c>
      <c r="AM1246" s="39" t="n">
        <v>140.17</v>
      </c>
    </row>
    <row r="1247" customFormat="false" ht="15" hidden="false" customHeight="false" outlineLevel="0" collapsed="false">
      <c r="A1247" s="37" t="n">
        <v>379316321</v>
      </c>
      <c r="B1247" s="38" t="n">
        <v>46254.3385648148</v>
      </c>
      <c r="C1247" s="37" t="s">
        <v>340</v>
      </c>
      <c r="D1247" s="37" t="s">
        <v>1511</v>
      </c>
      <c r="E1247" s="37" t="n">
        <v>24858500</v>
      </c>
      <c r="F1247" s="37" t="s">
        <v>174</v>
      </c>
      <c r="G1247" s="37" t="s">
        <v>198</v>
      </c>
      <c r="H1247" s="37" t="s">
        <v>184</v>
      </c>
      <c r="I1247" s="37" t="n">
        <v>27.5</v>
      </c>
      <c r="J1247" s="39" t="n">
        <v>379.99</v>
      </c>
      <c r="K1247" s="37" t="s">
        <v>342</v>
      </c>
      <c r="L1247" s="39" t="n">
        <v>109</v>
      </c>
      <c r="M1247" s="39" t="n">
        <v>65.63</v>
      </c>
      <c r="N1247" s="39" t="n">
        <f aca="false">J1247*Resumo!$C$6</f>
        <v>0</v>
      </c>
      <c r="O1247" s="39" t="n">
        <f aca="false">J1247*Resumo!$C$7</f>
        <v>0.797979</v>
      </c>
      <c r="P1247" s="39" t="n">
        <f aca="false">J1247*Resumo!$C$8</f>
        <v>0.797979</v>
      </c>
      <c r="Q1247" s="39" t="n">
        <f aca="false">Resumo!$C$10*CEILING(I1247/100,1)</f>
        <v>1.05</v>
      </c>
      <c r="R1247" s="39" t="n">
        <f aca="false">Resumo!$C$9</f>
        <v>0</v>
      </c>
      <c r="S1247" s="39" t="n">
        <f aca="false">Resumo!$C$13</f>
        <v>13.55</v>
      </c>
      <c r="T1247" s="39" t="n">
        <f aca="false">Resumo!$C$14*CEILING(I1247,1)</f>
        <v>12.6</v>
      </c>
      <c r="U1247" s="39" t="n">
        <f aca="false">SUM(M1247:T1247)*Resumo!$C$11</f>
        <v>0</v>
      </c>
      <c r="V1247" s="39" t="n">
        <f aca="false">SUM(M1247:U1247)</f>
        <v>94.425958</v>
      </c>
      <c r="W1247" s="39" t="n">
        <f aca="false">V1247/(1-Resumo!$C$5)</f>
        <v>107.302225</v>
      </c>
      <c r="X1247" s="39" t="n">
        <v>100.58</v>
      </c>
      <c r="Y1247" s="39" t="n">
        <f aca="false">J1247*Resumo!$B$6</f>
        <v>0.37999</v>
      </c>
      <c r="Z1247" s="39" t="n">
        <f aca="false">J1247*Resumo!$B$7</f>
        <v>0.75998</v>
      </c>
      <c r="AA1247" s="39" t="n">
        <f aca="false">Resumo!$B$9</f>
        <v>1</v>
      </c>
      <c r="AB1247" s="39" t="n">
        <f aca="false">Resumo!$B$10*CEILING(I1247/100,1)</f>
        <v>4.5</v>
      </c>
      <c r="AC1247" s="39" t="n">
        <f aca="false">Resumo!$B$12*CEILING(I1247,1)</f>
        <v>1.68</v>
      </c>
      <c r="AD1247" s="39" t="n">
        <f aca="false">Resumo!$B$14*CEILING(I1247,1)</f>
        <v>12.6</v>
      </c>
      <c r="AE1247" s="39" t="n">
        <f aca="false">SUM(X1247:AD1247)</f>
        <v>121.49997</v>
      </c>
      <c r="AF1247" s="39" t="n">
        <f aca="false">AE1247/(1-Resumo!$B$5)</f>
        <v>138.068147727273</v>
      </c>
      <c r="AG1247" s="39" t="n">
        <f aca="false">AF1247-W1247</f>
        <v>30.7659227272727</v>
      </c>
      <c r="AH1247" s="40" t="n">
        <f aca="false">AF1247/W1247-1</f>
        <v>0.286722132064575</v>
      </c>
      <c r="AI1247" s="37" t="str">
        <f aca="false">IF(AF1247&lt;W1247,"SIM","NÃO")</f>
        <v>NÃO</v>
      </c>
      <c r="AJ1247" s="37" t="n">
        <v>13</v>
      </c>
      <c r="AK1247" s="37" t="n">
        <v>7</v>
      </c>
      <c r="AL1247" s="37" t="s">
        <v>343</v>
      </c>
      <c r="AM1247" s="39" t="n">
        <v>109</v>
      </c>
    </row>
    <row r="1248" customFormat="false" ht="15" hidden="false" customHeight="false" outlineLevel="0" collapsed="false">
      <c r="A1248" s="37" t="n">
        <v>379358334</v>
      </c>
      <c r="B1248" s="38" t="n">
        <v>46254.4017361111</v>
      </c>
      <c r="C1248" s="37" t="s">
        <v>345</v>
      </c>
      <c r="D1248" s="37" t="s">
        <v>1512</v>
      </c>
      <c r="E1248" s="37" t="n">
        <v>26010421</v>
      </c>
      <c r="F1248" s="37" t="s">
        <v>162</v>
      </c>
      <c r="G1248" s="37" t="s">
        <v>197</v>
      </c>
      <c r="H1248" s="37" t="s">
        <v>184</v>
      </c>
      <c r="I1248" s="37" t="n">
        <v>30.5</v>
      </c>
      <c r="J1248" s="39" t="n">
        <v>399</v>
      </c>
      <c r="K1248" s="37" t="s">
        <v>342</v>
      </c>
      <c r="L1248" s="39" t="n">
        <v>101.31</v>
      </c>
      <c r="M1248" s="39" t="n">
        <v>58.8</v>
      </c>
      <c r="N1248" s="39" t="n">
        <f aca="false">J1248*Resumo!$C$6</f>
        <v>0</v>
      </c>
      <c r="O1248" s="39" t="n">
        <f aca="false">J1248*Resumo!$C$7</f>
        <v>0.8379</v>
      </c>
      <c r="P1248" s="39" t="n">
        <f aca="false">J1248*Resumo!$C$8</f>
        <v>0.8379</v>
      </c>
      <c r="Q1248" s="39" t="n">
        <f aca="false">Resumo!$C$10*CEILING(I1248/100,1)</f>
        <v>1.05</v>
      </c>
      <c r="R1248" s="39" t="n">
        <f aca="false">Resumo!$C$9</f>
        <v>0</v>
      </c>
      <c r="S1248" s="39" t="n">
        <f aca="false">Resumo!$C$13</f>
        <v>13.55</v>
      </c>
      <c r="T1248" s="39" t="n">
        <f aca="false">Resumo!$C$14*CEILING(I1248,1)</f>
        <v>13.95</v>
      </c>
      <c r="U1248" s="39" t="n">
        <f aca="false">SUM(M1248:T1248)*Resumo!$C$11</f>
        <v>0</v>
      </c>
      <c r="V1248" s="39" t="n">
        <f aca="false">SUM(M1248:U1248)</f>
        <v>89.0258</v>
      </c>
      <c r="W1248" s="39" t="n">
        <f aca="false">V1248/(1-Resumo!$C$5)</f>
        <v>101.165681818182</v>
      </c>
      <c r="X1248" s="39" t="n">
        <v>82.21</v>
      </c>
      <c r="Y1248" s="39" t="n">
        <f aca="false">J1248*Resumo!$B$6</f>
        <v>0.399</v>
      </c>
      <c r="Z1248" s="39" t="n">
        <f aca="false">J1248*Resumo!$B$7</f>
        <v>0.798</v>
      </c>
      <c r="AA1248" s="39" t="n">
        <f aca="false">Resumo!$B$9</f>
        <v>1</v>
      </c>
      <c r="AB1248" s="39" t="n">
        <f aca="false">Resumo!$B$10*CEILING(I1248/100,1)</f>
        <v>4.5</v>
      </c>
      <c r="AC1248" s="39" t="n">
        <f aca="false">Resumo!$B$12*CEILING(I1248,1)</f>
        <v>1.86</v>
      </c>
      <c r="AD1248" s="39" t="n">
        <f aca="false">Resumo!$B$14*CEILING(I1248,1)</f>
        <v>13.95</v>
      </c>
      <c r="AE1248" s="39" t="n">
        <f aca="false">SUM(X1248:AD1248)</f>
        <v>104.717</v>
      </c>
      <c r="AF1248" s="39" t="n">
        <f aca="false">AE1248/(1-Resumo!$B$5)</f>
        <v>118.996590909091</v>
      </c>
      <c r="AG1248" s="39" t="n">
        <f aca="false">AF1248-W1248</f>
        <v>17.8309090909091</v>
      </c>
      <c r="AH1248" s="40" t="n">
        <f aca="false">AF1248/W1248-1</f>
        <v>0.176254523969456</v>
      </c>
      <c r="AI1248" s="37" t="str">
        <f aca="false">IF(AF1248&lt;W1248,"SIM","NÃO")</f>
        <v>NÃO</v>
      </c>
      <c r="AJ1248" s="37" t="n">
        <v>2</v>
      </c>
      <c r="AK1248" s="37" t="n">
        <v>5</v>
      </c>
      <c r="AL1248" s="37" t="s">
        <v>343</v>
      </c>
      <c r="AM1248" s="39" t="n">
        <v>101.3</v>
      </c>
    </row>
    <row r="1249" customFormat="false" ht="15" hidden="false" customHeight="false" outlineLevel="0" collapsed="false">
      <c r="A1249" s="37" t="n">
        <v>379368051</v>
      </c>
      <c r="B1249" s="38" t="n">
        <v>46254.4180208333</v>
      </c>
      <c r="C1249" s="37" t="s">
        <v>340</v>
      </c>
      <c r="D1249" s="37" t="s">
        <v>1513</v>
      </c>
      <c r="E1249" s="37" t="n">
        <v>22790710</v>
      </c>
      <c r="F1249" s="37" t="s">
        <v>159</v>
      </c>
      <c r="G1249" s="37" t="s">
        <v>196</v>
      </c>
      <c r="H1249" s="37" t="s">
        <v>186</v>
      </c>
      <c r="I1249" s="37" t="n">
        <v>41</v>
      </c>
      <c r="J1249" s="39" t="n">
        <v>529.99</v>
      </c>
      <c r="K1249" s="37" t="s">
        <v>342</v>
      </c>
      <c r="L1249" s="39" t="n">
        <v>103.13</v>
      </c>
      <c r="M1249" s="39" t="n">
        <v>53.55</v>
      </c>
      <c r="N1249" s="39" t="n">
        <f aca="false">J1249*Resumo!$C$6</f>
        <v>0</v>
      </c>
      <c r="O1249" s="39" t="n">
        <f aca="false">J1249*Resumo!$C$7</f>
        <v>1.112979</v>
      </c>
      <c r="P1249" s="39" t="n">
        <f aca="false">J1249*Resumo!$C$8</f>
        <v>1.112979</v>
      </c>
      <c r="Q1249" s="39" t="n">
        <f aca="false">Resumo!$C$10*CEILING(I1249/100,1)</f>
        <v>1.05</v>
      </c>
      <c r="R1249" s="39" t="n">
        <f aca="false">Resumo!$C$9</f>
        <v>0</v>
      </c>
      <c r="S1249" s="39" t="n">
        <f aca="false">Resumo!$C$13</f>
        <v>13.55</v>
      </c>
      <c r="T1249" s="39" t="n">
        <f aca="false">Resumo!$C$14*CEILING(I1249,1)</f>
        <v>18.45</v>
      </c>
      <c r="U1249" s="39" t="n">
        <f aca="false">SUM(M1249:T1249)*Resumo!$C$11</f>
        <v>0</v>
      </c>
      <c r="V1249" s="39" t="n">
        <f aca="false">SUM(M1249:U1249)</f>
        <v>88.825958</v>
      </c>
      <c r="W1249" s="39" t="n">
        <f aca="false">V1249/(1-Resumo!$C$5)</f>
        <v>100.938588636364</v>
      </c>
      <c r="X1249" s="39" t="n">
        <v>93.97</v>
      </c>
      <c r="Y1249" s="39" t="n">
        <f aca="false">J1249*Resumo!$B$6</f>
        <v>0.52999</v>
      </c>
      <c r="Z1249" s="39" t="n">
        <f aca="false">J1249*Resumo!$B$7</f>
        <v>1.05998</v>
      </c>
      <c r="AA1249" s="39" t="n">
        <f aca="false">Resumo!$B$9</f>
        <v>1</v>
      </c>
      <c r="AB1249" s="39" t="n">
        <f aca="false">Resumo!$B$10*CEILING(I1249/100,1)</f>
        <v>4.5</v>
      </c>
      <c r="AC1249" s="39" t="n">
        <f aca="false">Resumo!$B$12*CEILING(I1249,1)</f>
        <v>2.46</v>
      </c>
      <c r="AD1249" s="39" t="n">
        <f aca="false">Resumo!$B$14*CEILING(I1249,1)</f>
        <v>18.45</v>
      </c>
      <c r="AE1249" s="39" t="n">
        <f aca="false">SUM(X1249:AD1249)</f>
        <v>121.96997</v>
      </c>
      <c r="AF1249" s="39" t="n">
        <f aca="false">AE1249/(1-Resumo!$B$5)</f>
        <v>138.602238636364</v>
      </c>
      <c r="AG1249" s="39" t="n">
        <f aca="false">AF1249-W1249</f>
        <v>37.66365</v>
      </c>
      <c r="AH1249" s="40" t="n">
        <f aca="false">AF1249/W1249-1</f>
        <v>0.373134303825915</v>
      </c>
      <c r="AI1249" s="37" t="str">
        <f aca="false">IF(AF1249&lt;W1249,"SIM","NÃO")</f>
        <v>NÃO</v>
      </c>
      <c r="AJ1249" s="37" t="n">
        <v>2</v>
      </c>
      <c r="AK1249" s="37" t="n">
        <v>5</v>
      </c>
      <c r="AL1249" s="37" t="s">
        <v>343</v>
      </c>
      <c r="AM1249" s="39" t="n">
        <v>103.13</v>
      </c>
    </row>
    <row r="1250" customFormat="false" ht="15" hidden="false" customHeight="false" outlineLevel="0" collapsed="false">
      <c r="A1250" s="37" t="n">
        <v>379386179</v>
      </c>
      <c r="B1250" s="38" t="n">
        <v>46254.4486689815</v>
      </c>
      <c r="C1250" s="37" t="s">
        <v>340</v>
      </c>
      <c r="D1250" s="37" t="s">
        <v>1514</v>
      </c>
      <c r="E1250" s="37" t="n">
        <v>28570000</v>
      </c>
      <c r="F1250" s="37" t="s">
        <v>278</v>
      </c>
      <c r="G1250" s="37" t="s">
        <v>198</v>
      </c>
      <c r="H1250" s="37" t="s">
        <v>187</v>
      </c>
      <c r="I1250" s="37" t="n">
        <v>52.3</v>
      </c>
      <c r="J1250" s="39" t="n">
        <v>669.99</v>
      </c>
      <c r="K1250" s="37" t="s">
        <v>342</v>
      </c>
      <c r="L1250" s="39" t="n">
        <v>142.87</v>
      </c>
      <c r="M1250" s="39" t="n">
        <v>83.58</v>
      </c>
      <c r="N1250" s="39" t="n">
        <f aca="false">J1250*Resumo!$C$6</f>
        <v>0</v>
      </c>
      <c r="O1250" s="39" t="n">
        <f aca="false">J1250*Resumo!$C$7</f>
        <v>1.406979</v>
      </c>
      <c r="P1250" s="39" t="n">
        <f aca="false">J1250*Resumo!$C$8</f>
        <v>1.406979</v>
      </c>
      <c r="Q1250" s="39" t="n">
        <f aca="false">Resumo!$C$10*CEILING(I1250/100,1)</f>
        <v>1.05</v>
      </c>
      <c r="R1250" s="39" t="n">
        <f aca="false">Resumo!$C$9</f>
        <v>0</v>
      </c>
      <c r="S1250" s="39" t="n">
        <f aca="false">Resumo!$C$13</f>
        <v>13.55</v>
      </c>
      <c r="T1250" s="39" t="n">
        <f aca="false">Resumo!$C$14*CEILING(I1250,1)</f>
        <v>23.85</v>
      </c>
      <c r="U1250" s="39" t="n">
        <f aca="false">SUM(M1250:T1250)*Resumo!$C$11</f>
        <v>0</v>
      </c>
      <c r="V1250" s="39" t="n">
        <f aca="false">SUM(M1250:U1250)</f>
        <v>124.843958</v>
      </c>
      <c r="W1250" s="39" t="n">
        <f aca="false">V1250/(1-Resumo!$C$5)</f>
        <v>141.868134090909</v>
      </c>
      <c r="X1250" s="39" t="n">
        <v>162.04</v>
      </c>
      <c r="Y1250" s="39" t="n">
        <f aca="false">J1250*Resumo!$B$6</f>
        <v>0.66999</v>
      </c>
      <c r="Z1250" s="39" t="n">
        <f aca="false">J1250*Resumo!$B$7</f>
        <v>1.33998</v>
      </c>
      <c r="AA1250" s="39" t="n">
        <f aca="false">Resumo!$B$9</f>
        <v>1</v>
      </c>
      <c r="AB1250" s="39" t="n">
        <f aca="false">Resumo!$B$10*CEILING(I1250/100,1)</f>
        <v>4.5</v>
      </c>
      <c r="AC1250" s="39" t="n">
        <f aca="false">Resumo!$B$12*CEILING(I1250,1)</f>
        <v>3.18</v>
      </c>
      <c r="AD1250" s="39" t="n">
        <f aca="false">Resumo!$B$14*CEILING(I1250,1)</f>
        <v>23.85</v>
      </c>
      <c r="AE1250" s="39" t="n">
        <f aca="false">SUM(X1250:AD1250)</f>
        <v>196.57997</v>
      </c>
      <c r="AF1250" s="39" t="n">
        <f aca="false">AE1250/(1-Resumo!$B$5)</f>
        <v>223.386329545455</v>
      </c>
      <c r="AG1250" s="39" t="n">
        <f aca="false">AF1250-W1250</f>
        <v>81.5181954545454</v>
      </c>
      <c r="AH1250" s="40" t="n">
        <f aca="false">AF1250/W1250-1</f>
        <v>0.574605396602373</v>
      </c>
      <c r="AI1250" s="37" t="str">
        <f aca="false">IF(AF1250&lt;W1250,"SIM","NÃO")</f>
        <v>NÃO</v>
      </c>
      <c r="AJ1250" s="37" t="n">
        <v>13</v>
      </c>
      <c r="AK1250" s="37" t="n">
        <v>11</v>
      </c>
      <c r="AL1250" s="37" t="s">
        <v>347</v>
      </c>
      <c r="AM1250" s="39" t="n">
        <v>142.88</v>
      </c>
    </row>
    <row r="1251" customFormat="false" ht="15" hidden="false" customHeight="false" outlineLevel="0" collapsed="false">
      <c r="A1251" s="37" t="n">
        <v>379391208</v>
      </c>
      <c r="B1251" s="38" t="n">
        <v>46254.4569097222</v>
      </c>
      <c r="C1251" s="37" t="s">
        <v>340</v>
      </c>
      <c r="D1251" s="37" t="s">
        <v>1515</v>
      </c>
      <c r="E1251" s="37" t="n">
        <v>20540341</v>
      </c>
      <c r="F1251" s="37" t="s">
        <v>159</v>
      </c>
      <c r="G1251" s="37" t="s">
        <v>196</v>
      </c>
      <c r="H1251" s="37" t="s">
        <v>186</v>
      </c>
      <c r="I1251" s="37" t="n">
        <v>46.8</v>
      </c>
      <c r="J1251" s="39" t="n">
        <v>559.99</v>
      </c>
      <c r="K1251" s="37" t="s">
        <v>342</v>
      </c>
      <c r="L1251" s="39" t="n">
        <v>103.27</v>
      </c>
      <c r="M1251" s="39" t="n">
        <v>53.55</v>
      </c>
      <c r="N1251" s="39" t="n">
        <f aca="false">J1251*Resumo!$C$6</f>
        <v>0</v>
      </c>
      <c r="O1251" s="39" t="n">
        <f aca="false">J1251*Resumo!$C$7</f>
        <v>1.175979</v>
      </c>
      <c r="P1251" s="39" t="n">
        <f aca="false">J1251*Resumo!$C$8</f>
        <v>1.175979</v>
      </c>
      <c r="Q1251" s="39" t="n">
        <f aca="false">Resumo!$C$10*CEILING(I1251/100,1)</f>
        <v>1.05</v>
      </c>
      <c r="R1251" s="39" t="n">
        <f aca="false">Resumo!$C$9</f>
        <v>0</v>
      </c>
      <c r="S1251" s="39" t="n">
        <f aca="false">Resumo!$C$13</f>
        <v>13.55</v>
      </c>
      <c r="T1251" s="39" t="n">
        <f aca="false">Resumo!$C$14*CEILING(I1251,1)</f>
        <v>21.15</v>
      </c>
      <c r="U1251" s="39" t="n">
        <f aca="false">SUM(M1251:T1251)*Resumo!$C$11</f>
        <v>0</v>
      </c>
      <c r="V1251" s="39" t="n">
        <f aca="false">SUM(M1251:U1251)</f>
        <v>91.651958</v>
      </c>
      <c r="W1251" s="39" t="n">
        <f aca="false">V1251/(1-Resumo!$C$5)</f>
        <v>104.149952272727</v>
      </c>
      <c r="X1251" s="39" t="n">
        <v>93.97</v>
      </c>
      <c r="Y1251" s="39" t="n">
        <f aca="false">J1251*Resumo!$B$6</f>
        <v>0.55999</v>
      </c>
      <c r="Z1251" s="39" t="n">
        <f aca="false">J1251*Resumo!$B$7</f>
        <v>1.11998</v>
      </c>
      <c r="AA1251" s="39" t="n">
        <f aca="false">Resumo!$B$9</f>
        <v>1</v>
      </c>
      <c r="AB1251" s="39" t="n">
        <f aca="false">Resumo!$B$10*CEILING(I1251/100,1)</f>
        <v>4.5</v>
      </c>
      <c r="AC1251" s="39" t="n">
        <f aca="false">Resumo!$B$12*CEILING(I1251,1)</f>
        <v>2.82</v>
      </c>
      <c r="AD1251" s="39" t="n">
        <f aca="false">Resumo!$B$14*CEILING(I1251,1)</f>
        <v>21.15</v>
      </c>
      <c r="AE1251" s="39" t="n">
        <f aca="false">SUM(X1251:AD1251)</f>
        <v>125.11997</v>
      </c>
      <c r="AF1251" s="39" t="n">
        <f aca="false">AE1251/(1-Resumo!$B$5)</f>
        <v>142.181784090909</v>
      </c>
      <c r="AG1251" s="39" t="n">
        <f aca="false">AF1251-W1251</f>
        <v>38.0318318181818</v>
      </c>
      <c r="AH1251" s="40" t="n">
        <f aca="false">AF1251/W1251-1</f>
        <v>0.365164179034779</v>
      </c>
      <c r="AI1251" s="37" t="str">
        <f aca="false">IF(AF1251&lt;W1251,"SIM","NÃO")</f>
        <v>NÃO</v>
      </c>
      <c r="AJ1251" s="37" t="n">
        <v>2</v>
      </c>
      <c r="AK1251" s="37" t="n">
        <v>5</v>
      </c>
      <c r="AL1251" s="37" t="s">
        <v>343</v>
      </c>
      <c r="AM1251" s="39" t="n">
        <v>103.27</v>
      </c>
    </row>
    <row r="1252" customFormat="false" ht="15" hidden="false" customHeight="false" outlineLevel="0" collapsed="false">
      <c r="A1252" s="37" t="n">
        <v>379391894</v>
      </c>
      <c r="B1252" s="38" t="n">
        <v>46254.4578472222</v>
      </c>
      <c r="C1252" s="37" t="s">
        <v>345</v>
      </c>
      <c r="D1252" s="37" t="s">
        <v>1516</v>
      </c>
      <c r="E1252" s="37" t="n">
        <v>25555490</v>
      </c>
      <c r="F1252" s="37" t="s">
        <v>167</v>
      </c>
      <c r="G1252" s="37" t="s">
        <v>197</v>
      </c>
      <c r="H1252" s="37" t="s">
        <v>187</v>
      </c>
      <c r="I1252" s="37" t="n">
        <v>52.3</v>
      </c>
      <c r="J1252" s="39" t="n">
        <v>649.99</v>
      </c>
      <c r="K1252" s="37" t="s">
        <v>342</v>
      </c>
      <c r="L1252" s="39" t="n">
        <v>128.4</v>
      </c>
      <c r="M1252" s="39" t="n">
        <v>70.98</v>
      </c>
      <c r="N1252" s="39" t="n">
        <f aca="false">J1252*Resumo!$C$6</f>
        <v>0</v>
      </c>
      <c r="O1252" s="39" t="n">
        <f aca="false">J1252*Resumo!$C$7</f>
        <v>1.364979</v>
      </c>
      <c r="P1252" s="39" t="n">
        <f aca="false">J1252*Resumo!$C$8</f>
        <v>1.364979</v>
      </c>
      <c r="Q1252" s="39" t="n">
        <f aca="false">Resumo!$C$10*CEILING(I1252/100,1)</f>
        <v>1.05</v>
      </c>
      <c r="R1252" s="39" t="n">
        <f aca="false">Resumo!$C$9</f>
        <v>0</v>
      </c>
      <c r="S1252" s="39" t="n">
        <f aca="false">Resumo!$C$13</f>
        <v>13.55</v>
      </c>
      <c r="T1252" s="39" t="n">
        <f aca="false">Resumo!$C$14*CEILING(I1252,1)</f>
        <v>23.85</v>
      </c>
      <c r="U1252" s="39" t="n">
        <f aca="false">SUM(M1252:T1252)*Resumo!$C$11</f>
        <v>0</v>
      </c>
      <c r="V1252" s="39" t="n">
        <f aca="false">SUM(M1252:U1252)</f>
        <v>112.159958</v>
      </c>
      <c r="W1252" s="39" t="n">
        <f aca="false">V1252/(1-Resumo!$C$5)</f>
        <v>127.454497727273</v>
      </c>
      <c r="X1252" s="39" t="n">
        <v>112.3</v>
      </c>
      <c r="Y1252" s="39" t="n">
        <f aca="false">J1252*Resumo!$B$6</f>
        <v>0.64999</v>
      </c>
      <c r="Z1252" s="39" t="n">
        <f aca="false">J1252*Resumo!$B$7</f>
        <v>1.29998</v>
      </c>
      <c r="AA1252" s="39" t="n">
        <f aca="false">Resumo!$B$9</f>
        <v>1</v>
      </c>
      <c r="AB1252" s="39" t="n">
        <f aca="false">Resumo!$B$10*CEILING(I1252/100,1)</f>
        <v>4.5</v>
      </c>
      <c r="AC1252" s="39" t="n">
        <f aca="false">Resumo!$B$12*CEILING(I1252,1)</f>
        <v>3.18</v>
      </c>
      <c r="AD1252" s="39" t="n">
        <f aca="false">Resumo!$B$14*CEILING(I1252,1)</f>
        <v>23.85</v>
      </c>
      <c r="AE1252" s="39" t="n">
        <f aca="false">SUM(X1252:AD1252)</f>
        <v>146.77997</v>
      </c>
      <c r="AF1252" s="39" t="n">
        <f aca="false">AE1252/(1-Resumo!$B$5)</f>
        <v>166.795420454545</v>
      </c>
      <c r="AG1252" s="39" t="n">
        <f aca="false">AF1252-W1252</f>
        <v>39.3409227272727</v>
      </c>
      <c r="AH1252" s="40" t="n">
        <f aca="false">AF1252/W1252-1</f>
        <v>0.30866641373029</v>
      </c>
      <c r="AI1252" s="37" t="str">
        <f aca="false">IF(AF1252&lt;W1252,"SIM","NÃO")</f>
        <v>NÃO</v>
      </c>
      <c r="AJ1252" s="37" t="n">
        <v>2</v>
      </c>
      <c r="AK1252" s="37" t="n">
        <v>5</v>
      </c>
      <c r="AL1252" s="37" t="s">
        <v>343</v>
      </c>
      <c r="AM1252" s="39" t="n">
        <v>128.4</v>
      </c>
    </row>
    <row r="1253" customFormat="false" ht="15" hidden="false" customHeight="false" outlineLevel="0" collapsed="false">
      <c r="A1253" s="37" t="n">
        <v>379393628</v>
      </c>
      <c r="B1253" s="38" t="n">
        <v>46254.46125</v>
      </c>
      <c r="C1253" s="37" t="s">
        <v>340</v>
      </c>
      <c r="D1253" s="37" t="s">
        <v>1517</v>
      </c>
      <c r="E1253" s="37" t="n">
        <v>21520030</v>
      </c>
      <c r="F1253" s="37" t="s">
        <v>159</v>
      </c>
      <c r="G1253" s="37" t="s">
        <v>196</v>
      </c>
      <c r="H1253" s="37" t="s">
        <v>183</v>
      </c>
      <c r="I1253" s="37" t="n">
        <v>19.5</v>
      </c>
      <c r="J1253" s="39" t="n">
        <v>499.99</v>
      </c>
      <c r="K1253" s="37" t="s">
        <v>342</v>
      </c>
      <c r="L1253" s="39" t="n">
        <v>65.61</v>
      </c>
      <c r="M1253" s="39" t="n">
        <v>33.42</v>
      </c>
      <c r="N1253" s="39" t="n">
        <f aca="false">J1253*Resumo!$C$6</f>
        <v>0</v>
      </c>
      <c r="O1253" s="39" t="n">
        <f aca="false">J1253*Resumo!$C$7</f>
        <v>1.049979</v>
      </c>
      <c r="P1253" s="39" t="n">
        <f aca="false">J1253*Resumo!$C$8</f>
        <v>1.049979</v>
      </c>
      <c r="Q1253" s="39" t="n">
        <f aca="false">Resumo!$C$10*CEILING(I1253/100,1)</f>
        <v>1.05</v>
      </c>
      <c r="R1253" s="39" t="n">
        <f aca="false">Resumo!$C$9</f>
        <v>0</v>
      </c>
      <c r="S1253" s="39" t="n">
        <f aca="false">Resumo!$C$13</f>
        <v>13.55</v>
      </c>
      <c r="T1253" s="39" t="n">
        <f aca="false">Resumo!$C$14*CEILING(I1253,1)</f>
        <v>9</v>
      </c>
      <c r="U1253" s="39" t="n">
        <f aca="false">SUM(M1253:T1253)*Resumo!$C$11</f>
        <v>0</v>
      </c>
      <c r="V1253" s="39" t="n">
        <f aca="false">SUM(M1253:U1253)</f>
        <v>59.119958</v>
      </c>
      <c r="W1253" s="39" t="n">
        <f aca="false">V1253/(1-Resumo!$C$5)</f>
        <v>67.1817704545455</v>
      </c>
      <c r="X1253" s="39" t="n">
        <v>46.98</v>
      </c>
      <c r="Y1253" s="39" t="n">
        <f aca="false">J1253*Resumo!$B$6</f>
        <v>0.49999</v>
      </c>
      <c r="Z1253" s="39" t="n">
        <f aca="false">J1253*Resumo!$B$7</f>
        <v>0.99998</v>
      </c>
      <c r="AA1253" s="39" t="n">
        <f aca="false">Resumo!$B$9</f>
        <v>1</v>
      </c>
      <c r="AB1253" s="39" t="n">
        <f aca="false">Resumo!$B$10*CEILING(I1253/100,1)</f>
        <v>4.5</v>
      </c>
      <c r="AC1253" s="39" t="n">
        <f aca="false">Resumo!$B$12*CEILING(I1253,1)</f>
        <v>1.2</v>
      </c>
      <c r="AD1253" s="39" t="n">
        <f aca="false">Resumo!$B$14*CEILING(I1253,1)</f>
        <v>9</v>
      </c>
      <c r="AE1253" s="39" t="n">
        <f aca="false">SUM(X1253:AD1253)</f>
        <v>64.17997</v>
      </c>
      <c r="AF1253" s="39" t="n">
        <f aca="false">AE1253/(1-Resumo!$B$5)</f>
        <v>72.9317840909091</v>
      </c>
      <c r="AG1253" s="39" t="n">
        <f aca="false">AF1253-W1253</f>
        <v>5.75001363636363</v>
      </c>
      <c r="AH1253" s="40" t="n">
        <f aca="false">AF1253/W1253-1</f>
        <v>0.0855888970692436</v>
      </c>
      <c r="AI1253" s="37" t="str">
        <f aca="false">IF(AF1253&lt;W1253,"SIM","NÃO")</f>
        <v>NÃO</v>
      </c>
      <c r="AJ1253" s="37" t="n">
        <v>2</v>
      </c>
      <c r="AK1253" s="37" t="n">
        <v>5</v>
      </c>
      <c r="AL1253" s="37" t="s">
        <v>343</v>
      </c>
      <c r="AM1253" s="39" t="n">
        <v>65.61</v>
      </c>
    </row>
    <row r="1254" customFormat="false" ht="15" hidden="false" customHeight="false" outlineLevel="0" collapsed="false">
      <c r="A1254" s="37" t="n">
        <v>379394254</v>
      </c>
      <c r="B1254" s="38" t="n">
        <v>46254.4620138889</v>
      </c>
      <c r="C1254" s="37" t="s">
        <v>340</v>
      </c>
      <c r="D1254" s="37" t="s">
        <v>1518</v>
      </c>
      <c r="E1254" s="37" t="n">
        <v>21665090</v>
      </c>
      <c r="F1254" s="37" t="s">
        <v>159</v>
      </c>
      <c r="G1254" s="37" t="s">
        <v>196</v>
      </c>
      <c r="H1254" s="37" t="s">
        <v>186</v>
      </c>
      <c r="I1254" s="37" t="n">
        <v>48.3</v>
      </c>
      <c r="J1254" s="39" t="n">
        <v>449.99</v>
      </c>
      <c r="K1254" s="37" t="s">
        <v>342</v>
      </c>
      <c r="L1254" s="39" t="n">
        <v>102.74</v>
      </c>
      <c r="M1254" s="39" t="n">
        <v>53.55</v>
      </c>
      <c r="N1254" s="39" t="n">
        <f aca="false">J1254*Resumo!$C$6</f>
        <v>0</v>
      </c>
      <c r="O1254" s="39" t="n">
        <f aca="false">J1254*Resumo!$C$7</f>
        <v>0.944979</v>
      </c>
      <c r="P1254" s="39" t="n">
        <f aca="false">J1254*Resumo!$C$8</f>
        <v>0.944979</v>
      </c>
      <c r="Q1254" s="39" t="n">
        <f aca="false">Resumo!$C$10*CEILING(I1254/100,1)</f>
        <v>1.05</v>
      </c>
      <c r="R1254" s="39" t="n">
        <f aca="false">Resumo!$C$9</f>
        <v>0</v>
      </c>
      <c r="S1254" s="39" t="n">
        <f aca="false">Resumo!$C$13</f>
        <v>13.55</v>
      </c>
      <c r="T1254" s="39" t="n">
        <f aca="false">Resumo!$C$14*CEILING(I1254,1)</f>
        <v>22.05</v>
      </c>
      <c r="U1254" s="39" t="n">
        <f aca="false">SUM(M1254:T1254)*Resumo!$C$11</f>
        <v>0</v>
      </c>
      <c r="V1254" s="39" t="n">
        <f aca="false">SUM(M1254:U1254)</f>
        <v>92.089958</v>
      </c>
      <c r="W1254" s="39" t="n">
        <f aca="false">V1254/(1-Resumo!$C$5)</f>
        <v>104.647679545455</v>
      </c>
      <c r="X1254" s="39" t="n">
        <v>93.97</v>
      </c>
      <c r="Y1254" s="39" t="n">
        <f aca="false">J1254*Resumo!$B$6</f>
        <v>0.44999</v>
      </c>
      <c r="Z1254" s="39" t="n">
        <f aca="false">J1254*Resumo!$B$7</f>
        <v>0.89998</v>
      </c>
      <c r="AA1254" s="39" t="n">
        <f aca="false">Resumo!$B$9</f>
        <v>1</v>
      </c>
      <c r="AB1254" s="39" t="n">
        <f aca="false">Resumo!$B$10*CEILING(I1254/100,1)</f>
        <v>4.5</v>
      </c>
      <c r="AC1254" s="39" t="n">
        <f aca="false">Resumo!$B$12*CEILING(I1254,1)</f>
        <v>2.94</v>
      </c>
      <c r="AD1254" s="39" t="n">
        <f aca="false">Resumo!$B$14*CEILING(I1254,1)</f>
        <v>22.05</v>
      </c>
      <c r="AE1254" s="39" t="n">
        <f aca="false">SUM(X1254:AD1254)</f>
        <v>125.80997</v>
      </c>
      <c r="AF1254" s="39" t="n">
        <f aca="false">AE1254/(1-Resumo!$B$5)</f>
        <v>142.965875</v>
      </c>
      <c r="AG1254" s="39" t="n">
        <f aca="false">AF1254-W1254</f>
        <v>38.3181954545454</v>
      </c>
      <c r="AH1254" s="40" t="n">
        <f aca="false">AF1254/W1254-1</f>
        <v>0.366163832977315</v>
      </c>
      <c r="AI1254" s="37" t="str">
        <f aca="false">IF(AF1254&lt;W1254,"SIM","NÃO")</f>
        <v>NÃO</v>
      </c>
      <c r="AJ1254" s="37" t="n">
        <v>2</v>
      </c>
      <c r="AK1254" s="37" t="n">
        <v>5</v>
      </c>
      <c r="AL1254" s="37" t="s">
        <v>343</v>
      </c>
      <c r="AM1254" s="39" t="n">
        <v>102.74</v>
      </c>
    </row>
    <row r="1255" customFormat="false" ht="15" hidden="false" customHeight="false" outlineLevel="0" collapsed="false">
      <c r="A1255" s="37" t="n">
        <v>379408999</v>
      </c>
      <c r="B1255" s="38" t="n">
        <v>46254.4674537037</v>
      </c>
      <c r="C1255" s="37" t="s">
        <v>537</v>
      </c>
      <c r="D1255" s="37" t="s">
        <v>1519</v>
      </c>
      <c r="E1255" s="37" t="n">
        <v>28982265</v>
      </c>
      <c r="F1255" s="37" t="s">
        <v>173</v>
      </c>
      <c r="G1255" s="37" t="s">
        <v>198</v>
      </c>
      <c r="H1255" s="37" t="s">
        <v>184</v>
      </c>
      <c r="I1255" s="37" t="n">
        <v>29.2</v>
      </c>
      <c r="J1255" s="39" t="n">
        <v>359.99</v>
      </c>
      <c r="K1255" s="37" t="s">
        <v>342</v>
      </c>
      <c r="L1255" s="39" t="n">
        <v>108.91</v>
      </c>
      <c r="M1255" s="39" t="n">
        <v>65.63</v>
      </c>
      <c r="N1255" s="39" t="n">
        <f aca="false">J1255*Resumo!$C$6</f>
        <v>0</v>
      </c>
      <c r="O1255" s="39" t="n">
        <f aca="false">J1255*Resumo!$C$7</f>
        <v>0.755979</v>
      </c>
      <c r="P1255" s="39" t="n">
        <f aca="false">J1255*Resumo!$C$8</f>
        <v>0.755979</v>
      </c>
      <c r="Q1255" s="39" t="n">
        <f aca="false">Resumo!$C$10*CEILING(I1255/100,1)</f>
        <v>1.05</v>
      </c>
      <c r="R1255" s="39" t="n">
        <f aca="false">Resumo!$C$9</f>
        <v>0</v>
      </c>
      <c r="S1255" s="39" t="n">
        <f aca="false">Resumo!$C$13</f>
        <v>13.55</v>
      </c>
      <c r="T1255" s="39" t="n">
        <f aca="false">Resumo!$C$14*CEILING(I1255,1)</f>
        <v>13.5</v>
      </c>
      <c r="U1255" s="39" t="n">
        <f aca="false">SUM(M1255:T1255)*Resumo!$C$11</f>
        <v>0</v>
      </c>
      <c r="V1255" s="39" t="n">
        <f aca="false">SUM(M1255:U1255)</f>
        <v>95.241958</v>
      </c>
      <c r="W1255" s="39" t="n">
        <f aca="false">V1255/(1-Resumo!$C$5)</f>
        <v>108.229497727273</v>
      </c>
      <c r="X1255" s="39" t="n">
        <v>114.95</v>
      </c>
      <c r="Y1255" s="39" t="n">
        <f aca="false">J1255*Resumo!$B$6</f>
        <v>0.35999</v>
      </c>
      <c r="Z1255" s="39" t="n">
        <f aca="false">J1255*Resumo!$B$7</f>
        <v>0.71998</v>
      </c>
      <c r="AA1255" s="39" t="n">
        <f aca="false">Resumo!$B$9</f>
        <v>1</v>
      </c>
      <c r="AB1255" s="39" t="n">
        <f aca="false">Resumo!$B$10*CEILING(I1255/100,1)</f>
        <v>4.5</v>
      </c>
      <c r="AC1255" s="39" t="n">
        <f aca="false">Resumo!$B$12*CEILING(I1255,1)</f>
        <v>1.8</v>
      </c>
      <c r="AD1255" s="39" t="n">
        <f aca="false">Resumo!$B$14*CEILING(I1255,1)</f>
        <v>13.5</v>
      </c>
      <c r="AE1255" s="39" t="n">
        <f aca="false">SUM(X1255:AD1255)</f>
        <v>136.82997</v>
      </c>
      <c r="AF1255" s="39" t="n">
        <f aca="false">AE1255/(1-Resumo!$B$5)</f>
        <v>155.488602272727</v>
      </c>
      <c r="AG1255" s="39" t="n">
        <f aca="false">AF1255-W1255</f>
        <v>47.2591045454545</v>
      </c>
      <c r="AH1255" s="40" t="n">
        <f aca="false">AF1255/W1255-1</f>
        <v>0.436656415652438</v>
      </c>
      <c r="AI1255" s="37" t="str">
        <f aca="false">IF(AF1255&lt;W1255,"SIM","NÃO")</f>
        <v>NÃO</v>
      </c>
      <c r="AJ1255" s="37" t="n">
        <v>13</v>
      </c>
      <c r="AK1255" s="37" t="n">
        <v>10</v>
      </c>
      <c r="AL1255" s="37" t="s">
        <v>343</v>
      </c>
      <c r="AM1255" s="39" t="n">
        <v>108.9</v>
      </c>
    </row>
    <row r="1256" customFormat="false" ht="15" hidden="false" customHeight="false" outlineLevel="0" collapsed="false">
      <c r="A1256" s="37" t="n">
        <v>379414120</v>
      </c>
      <c r="B1256" s="38" t="n">
        <v>46254.4969328704</v>
      </c>
      <c r="C1256" s="37" t="s">
        <v>340</v>
      </c>
      <c r="D1256" s="37" t="s">
        <v>1520</v>
      </c>
      <c r="E1256" s="37" t="n">
        <v>24856660</v>
      </c>
      <c r="F1256" s="37" t="s">
        <v>174</v>
      </c>
      <c r="G1256" s="37" t="s">
        <v>198</v>
      </c>
      <c r="H1256" s="37" t="s">
        <v>184</v>
      </c>
      <c r="I1256" s="37" t="n">
        <v>31.4</v>
      </c>
      <c r="J1256" s="39" t="n">
        <v>399.99</v>
      </c>
      <c r="K1256" s="37" t="s">
        <v>342</v>
      </c>
      <c r="L1256" s="39" t="n">
        <v>109.1</v>
      </c>
      <c r="M1256" s="39" t="n">
        <v>65.63</v>
      </c>
      <c r="N1256" s="39" t="n">
        <f aca="false">J1256*Resumo!$C$6</f>
        <v>0</v>
      </c>
      <c r="O1256" s="39" t="n">
        <f aca="false">J1256*Resumo!$C$7</f>
        <v>0.839979</v>
      </c>
      <c r="P1256" s="39" t="n">
        <f aca="false">J1256*Resumo!$C$8</f>
        <v>0.839979</v>
      </c>
      <c r="Q1256" s="39" t="n">
        <f aca="false">Resumo!$C$10*CEILING(I1256/100,1)</f>
        <v>1.05</v>
      </c>
      <c r="R1256" s="39" t="n">
        <f aca="false">Resumo!$C$9</f>
        <v>0</v>
      </c>
      <c r="S1256" s="39" t="n">
        <f aca="false">Resumo!$C$13</f>
        <v>13.55</v>
      </c>
      <c r="T1256" s="39" t="n">
        <f aca="false">Resumo!$C$14*CEILING(I1256,1)</f>
        <v>14.4</v>
      </c>
      <c r="U1256" s="39" t="n">
        <f aca="false">SUM(M1256:T1256)*Resumo!$C$11</f>
        <v>0</v>
      </c>
      <c r="V1256" s="39" t="n">
        <f aca="false">SUM(M1256:U1256)</f>
        <v>96.309958</v>
      </c>
      <c r="W1256" s="39" t="n">
        <f aca="false">V1256/(1-Resumo!$C$5)</f>
        <v>109.443134090909</v>
      </c>
      <c r="X1256" s="39" t="n">
        <v>100.58</v>
      </c>
      <c r="Y1256" s="39" t="n">
        <f aca="false">J1256*Resumo!$B$6</f>
        <v>0.39999</v>
      </c>
      <c r="Z1256" s="39" t="n">
        <f aca="false">J1256*Resumo!$B$7</f>
        <v>0.79998</v>
      </c>
      <c r="AA1256" s="39" t="n">
        <f aca="false">Resumo!$B$9</f>
        <v>1</v>
      </c>
      <c r="AB1256" s="39" t="n">
        <f aca="false">Resumo!$B$10*CEILING(I1256/100,1)</f>
        <v>4.5</v>
      </c>
      <c r="AC1256" s="39" t="n">
        <f aca="false">Resumo!$B$12*CEILING(I1256,1)</f>
        <v>1.92</v>
      </c>
      <c r="AD1256" s="39" t="n">
        <f aca="false">Resumo!$B$14*CEILING(I1256,1)</f>
        <v>14.4</v>
      </c>
      <c r="AE1256" s="39" t="n">
        <f aca="false">SUM(X1256:AD1256)</f>
        <v>123.59997</v>
      </c>
      <c r="AF1256" s="39" t="n">
        <f aca="false">AE1256/(1-Resumo!$B$5)</f>
        <v>140.454511363636</v>
      </c>
      <c r="AG1256" s="39" t="n">
        <f aca="false">AF1256-W1256</f>
        <v>31.0113772727273</v>
      </c>
      <c r="AH1256" s="40" t="n">
        <f aca="false">AF1256/W1256-1</f>
        <v>0.283356078298778</v>
      </c>
      <c r="AI1256" s="37" t="str">
        <f aca="false">IF(AF1256&lt;W1256,"SIM","NÃO")</f>
        <v>NÃO</v>
      </c>
      <c r="AJ1256" s="37" t="n">
        <v>13</v>
      </c>
      <c r="AK1256" s="37" t="n">
        <v>7</v>
      </c>
      <c r="AL1256" s="37" t="s">
        <v>343</v>
      </c>
      <c r="AM1256" s="39" t="n">
        <v>109.1</v>
      </c>
    </row>
    <row r="1257" customFormat="false" ht="15" hidden="false" customHeight="false" outlineLevel="0" collapsed="false">
      <c r="A1257" s="37" t="n">
        <v>379423360</v>
      </c>
      <c r="B1257" s="38" t="n">
        <v>46254.5118865741</v>
      </c>
      <c r="C1257" s="37" t="s">
        <v>340</v>
      </c>
      <c r="D1257" s="37" t="s">
        <v>1521</v>
      </c>
      <c r="E1257" s="37" t="n">
        <v>26553360</v>
      </c>
      <c r="F1257" s="37" t="s">
        <v>175</v>
      </c>
      <c r="G1257" s="37" t="s">
        <v>197</v>
      </c>
      <c r="H1257" s="37" t="s">
        <v>185</v>
      </c>
      <c r="I1257" s="37" t="n">
        <v>40</v>
      </c>
      <c r="J1257" s="39" t="n">
        <v>529.99</v>
      </c>
      <c r="K1257" s="37" t="s">
        <v>342</v>
      </c>
      <c r="L1257" s="39" t="n">
        <v>113.5</v>
      </c>
      <c r="M1257" s="39" t="n">
        <v>66.83</v>
      </c>
      <c r="N1257" s="39" t="n">
        <f aca="false">J1257*Resumo!$C$6</f>
        <v>0</v>
      </c>
      <c r="O1257" s="39" t="n">
        <f aca="false">J1257*Resumo!$C$7</f>
        <v>1.112979</v>
      </c>
      <c r="P1257" s="39" t="n">
        <f aca="false">J1257*Resumo!$C$8</f>
        <v>1.112979</v>
      </c>
      <c r="Q1257" s="39" t="n">
        <f aca="false">Resumo!$C$10*CEILING(I1257/100,1)</f>
        <v>1.05</v>
      </c>
      <c r="R1257" s="39" t="n">
        <f aca="false">Resumo!$C$9</f>
        <v>0</v>
      </c>
      <c r="S1257" s="39" t="n">
        <f aca="false">Resumo!$C$13</f>
        <v>13.55</v>
      </c>
      <c r="T1257" s="39" t="n">
        <f aca="false">Resumo!$C$14*CEILING(I1257,1)</f>
        <v>18</v>
      </c>
      <c r="U1257" s="39" t="n">
        <f aca="false">SUM(M1257:T1257)*Resumo!$C$11</f>
        <v>0</v>
      </c>
      <c r="V1257" s="39" t="n">
        <f aca="false">SUM(M1257:U1257)</f>
        <v>101.655958</v>
      </c>
      <c r="W1257" s="39" t="n">
        <f aca="false">V1257/(1-Resumo!$C$5)</f>
        <v>115.518134090909</v>
      </c>
      <c r="X1257" s="39" t="n">
        <v>93.97</v>
      </c>
      <c r="Y1257" s="39" t="n">
        <f aca="false">J1257*Resumo!$B$6</f>
        <v>0.52999</v>
      </c>
      <c r="Z1257" s="39" t="n">
        <f aca="false">J1257*Resumo!$B$7</f>
        <v>1.05998</v>
      </c>
      <c r="AA1257" s="39" t="n">
        <f aca="false">Resumo!$B$9</f>
        <v>1</v>
      </c>
      <c r="AB1257" s="39" t="n">
        <f aca="false">Resumo!$B$10*CEILING(I1257/100,1)</f>
        <v>4.5</v>
      </c>
      <c r="AC1257" s="39" t="n">
        <f aca="false">Resumo!$B$12*CEILING(I1257,1)</f>
        <v>2.4</v>
      </c>
      <c r="AD1257" s="39" t="n">
        <f aca="false">Resumo!$B$14*CEILING(I1257,1)</f>
        <v>18</v>
      </c>
      <c r="AE1257" s="39" t="n">
        <f aca="false">SUM(X1257:AD1257)</f>
        <v>121.45997</v>
      </c>
      <c r="AF1257" s="39" t="n">
        <f aca="false">AE1257/(1-Resumo!$B$5)</f>
        <v>138.022693181818</v>
      </c>
      <c r="AG1257" s="39" t="n">
        <f aca="false">AF1257-W1257</f>
        <v>22.5045590909091</v>
      </c>
      <c r="AH1257" s="40" t="n">
        <f aca="false">AF1257/W1257-1</f>
        <v>0.194814080646409</v>
      </c>
      <c r="AI1257" s="37" t="str">
        <f aca="false">IF(AF1257&lt;W1257,"SIM","NÃO")</f>
        <v>NÃO</v>
      </c>
      <c r="AJ1257" s="37" t="n">
        <v>2</v>
      </c>
      <c r="AK1257" s="37" t="n">
        <v>5</v>
      </c>
      <c r="AL1257" s="37" t="s">
        <v>343</v>
      </c>
      <c r="AM1257" s="39" t="n">
        <v>113.5</v>
      </c>
    </row>
    <row r="1258" customFormat="false" ht="15" hidden="false" customHeight="false" outlineLevel="0" collapsed="false">
      <c r="A1258" s="37" t="n">
        <v>379425659</v>
      </c>
      <c r="B1258" s="38" t="n">
        <v>46254.5158333333</v>
      </c>
      <c r="C1258" s="37" t="s">
        <v>345</v>
      </c>
      <c r="D1258" s="37" t="s">
        <v>1522</v>
      </c>
      <c r="E1258" s="37" t="n">
        <v>28980816</v>
      </c>
      <c r="F1258" s="37" t="s">
        <v>173</v>
      </c>
      <c r="G1258" s="37" t="s">
        <v>198</v>
      </c>
      <c r="H1258" s="37" t="s">
        <v>185</v>
      </c>
      <c r="I1258" s="37" t="n">
        <v>37.5</v>
      </c>
      <c r="J1258" s="39" t="n">
        <v>389</v>
      </c>
      <c r="K1258" s="37" t="s">
        <v>342</v>
      </c>
      <c r="L1258" s="39" t="n">
        <v>122.11</v>
      </c>
      <c r="M1258" s="39" t="n">
        <v>74.97</v>
      </c>
      <c r="N1258" s="39" t="n">
        <f aca="false">J1258*Resumo!$C$6</f>
        <v>0</v>
      </c>
      <c r="O1258" s="39" t="n">
        <f aca="false">J1258*Resumo!$C$7</f>
        <v>0.8169</v>
      </c>
      <c r="P1258" s="39" t="n">
        <f aca="false">J1258*Resumo!$C$8</f>
        <v>0.8169</v>
      </c>
      <c r="Q1258" s="39" t="n">
        <f aca="false">Resumo!$C$10*CEILING(I1258/100,1)</f>
        <v>1.05</v>
      </c>
      <c r="R1258" s="39" t="n">
        <f aca="false">Resumo!$C$9</f>
        <v>0</v>
      </c>
      <c r="S1258" s="39" t="n">
        <f aca="false">Resumo!$C$13</f>
        <v>13.55</v>
      </c>
      <c r="T1258" s="39" t="n">
        <f aca="false">Resumo!$C$14*CEILING(I1258,1)</f>
        <v>17.1</v>
      </c>
      <c r="U1258" s="39" t="n">
        <f aca="false">SUM(M1258:T1258)*Resumo!$C$11</f>
        <v>0</v>
      </c>
      <c r="V1258" s="39" t="n">
        <f aca="false">SUM(M1258:U1258)</f>
        <v>108.3038</v>
      </c>
      <c r="W1258" s="39" t="n">
        <f aca="false">V1258/(1-Resumo!$C$5)</f>
        <v>123.0725</v>
      </c>
      <c r="X1258" s="39" t="n">
        <v>124.38</v>
      </c>
      <c r="Y1258" s="39" t="n">
        <f aca="false">J1258*Resumo!$B$6</f>
        <v>0.389</v>
      </c>
      <c r="Z1258" s="39" t="n">
        <f aca="false">J1258*Resumo!$B$7</f>
        <v>0.778</v>
      </c>
      <c r="AA1258" s="39" t="n">
        <f aca="false">Resumo!$B$9</f>
        <v>1</v>
      </c>
      <c r="AB1258" s="39" t="n">
        <f aca="false">Resumo!$B$10*CEILING(I1258/100,1)</f>
        <v>4.5</v>
      </c>
      <c r="AC1258" s="39" t="n">
        <f aca="false">Resumo!$B$12*CEILING(I1258,1)</f>
        <v>2.28</v>
      </c>
      <c r="AD1258" s="39" t="n">
        <f aca="false">Resumo!$B$14*CEILING(I1258,1)</f>
        <v>17.1</v>
      </c>
      <c r="AE1258" s="39" t="n">
        <f aca="false">SUM(X1258:AD1258)</f>
        <v>150.427</v>
      </c>
      <c r="AF1258" s="39" t="n">
        <f aca="false">AE1258/(1-Resumo!$B$5)</f>
        <v>170.939772727273</v>
      </c>
      <c r="AG1258" s="39" t="n">
        <f aca="false">AF1258-W1258</f>
        <v>47.8672727272727</v>
      </c>
      <c r="AH1258" s="40" t="n">
        <f aca="false">AF1258/W1258-1</f>
        <v>0.388935568281076</v>
      </c>
      <c r="AI1258" s="37" t="str">
        <f aca="false">IF(AF1258&lt;W1258,"SIM","NÃO")</f>
        <v>NÃO</v>
      </c>
      <c r="AJ1258" s="37" t="n">
        <v>13</v>
      </c>
      <c r="AK1258" s="37" t="n">
        <v>10</v>
      </c>
      <c r="AL1258" s="37" t="s">
        <v>343</v>
      </c>
      <c r="AM1258" s="39" t="n">
        <v>122.11</v>
      </c>
    </row>
    <row r="1259" customFormat="false" ht="15" hidden="false" customHeight="false" outlineLevel="0" collapsed="false">
      <c r="A1259" s="37" t="n">
        <v>379427296</v>
      </c>
      <c r="B1259" s="38" t="n">
        <v>46254.518599537</v>
      </c>
      <c r="C1259" s="37" t="s">
        <v>340</v>
      </c>
      <c r="D1259" s="37" t="s">
        <v>1523</v>
      </c>
      <c r="E1259" s="37" t="n">
        <v>26110260</v>
      </c>
      <c r="F1259" s="37" t="s">
        <v>165</v>
      </c>
      <c r="G1259" s="37" t="s">
        <v>197</v>
      </c>
      <c r="H1259" s="37" t="s">
        <v>187</v>
      </c>
      <c r="I1259" s="37" t="n">
        <v>60</v>
      </c>
      <c r="J1259" s="39" t="n">
        <v>849.99</v>
      </c>
      <c r="K1259" s="37" t="s">
        <v>342</v>
      </c>
      <c r="L1259" s="39" t="n">
        <v>129.35</v>
      </c>
      <c r="M1259" s="39" t="n">
        <v>70.98</v>
      </c>
      <c r="N1259" s="39" t="n">
        <f aca="false">J1259*Resumo!$C$6</f>
        <v>0</v>
      </c>
      <c r="O1259" s="39" t="n">
        <f aca="false">J1259*Resumo!$C$7</f>
        <v>1.784979</v>
      </c>
      <c r="P1259" s="39" t="n">
        <f aca="false">J1259*Resumo!$C$8</f>
        <v>1.784979</v>
      </c>
      <c r="Q1259" s="39" t="n">
        <f aca="false">Resumo!$C$10*CEILING(I1259/100,1)</f>
        <v>1.05</v>
      </c>
      <c r="R1259" s="39" t="n">
        <f aca="false">Resumo!$C$9</f>
        <v>0</v>
      </c>
      <c r="S1259" s="39" t="n">
        <f aca="false">Resumo!$C$13</f>
        <v>13.55</v>
      </c>
      <c r="T1259" s="39" t="n">
        <f aca="false">Resumo!$C$14*CEILING(I1259,1)</f>
        <v>27</v>
      </c>
      <c r="U1259" s="39" t="n">
        <f aca="false">SUM(M1259:T1259)*Resumo!$C$11</f>
        <v>0</v>
      </c>
      <c r="V1259" s="39" t="n">
        <f aca="false">SUM(M1259:U1259)</f>
        <v>116.149958</v>
      </c>
      <c r="W1259" s="39" t="n">
        <f aca="false">V1259/(1-Resumo!$C$5)</f>
        <v>131.988588636364</v>
      </c>
      <c r="X1259" s="39" t="n">
        <v>112.3</v>
      </c>
      <c r="Y1259" s="39" t="n">
        <f aca="false">J1259*Resumo!$B$6</f>
        <v>0.84999</v>
      </c>
      <c r="Z1259" s="39" t="n">
        <f aca="false">J1259*Resumo!$B$7</f>
        <v>1.69998</v>
      </c>
      <c r="AA1259" s="39" t="n">
        <f aca="false">Resumo!$B$9</f>
        <v>1</v>
      </c>
      <c r="AB1259" s="39" t="n">
        <f aca="false">Resumo!$B$10*CEILING(I1259/100,1)</f>
        <v>4.5</v>
      </c>
      <c r="AC1259" s="39" t="n">
        <f aca="false">Resumo!$B$12*CEILING(I1259,1)</f>
        <v>3.6</v>
      </c>
      <c r="AD1259" s="39" t="n">
        <f aca="false">Resumo!$B$14*CEILING(I1259,1)</f>
        <v>27</v>
      </c>
      <c r="AE1259" s="39" t="n">
        <f aca="false">SUM(X1259:AD1259)</f>
        <v>150.94997</v>
      </c>
      <c r="AF1259" s="39" t="n">
        <f aca="false">AE1259/(1-Resumo!$B$5)</f>
        <v>171.534056818182</v>
      </c>
      <c r="AG1259" s="39" t="n">
        <f aca="false">AF1259-W1259</f>
        <v>39.5454681818182</v>
      </c>
      <c r="AH1259" s="40" t="n">
        <f aca="false">AF1259/W1259-1</f>
        <v>0.299612781607721</v>
      </c>
      <c r="AI1259" s="37" t="str">
        <f aca="false">IF(AF1259&lt;W1259,"SIM","NÃO")</f>
        <v>NÃO</v>
      </c>
      <c r="AJ1259" s="37" t="n">
        <v>2</v>
      </c>
      <c r="AK1259" s="37" t="n">
        <v>5</v>
      </c>
      <c r="AL1259" s="37" t="s">
        <v>343</v>
      </c>
      <c r="AM1259" s="39" t="n">
        <v>129.36</v>
      </c>
    </row>
    <row r="1260" customFormat="false" ht="15" hidden="false" customHeight="false" outlineLevel="0" collapsed="false">
      <c r="A1260" s="37" t="n">
        <v>379453169</v>
      </c>
      <c r="B1260" s="38" t="n">
        <v>46254.5636226852</v>
      </c>
      <c r="C1260" s="37" t="s">
        <v>340</v>
      </c>
      <c r="D1260" s="37" t="s">
        <v>1524</v>
      </c>
      <c r="E1260" s="37" t="n">
        <v>28057290</v>
      </c>
      <c r="F1260" s="37" t="s">
        <v>164</v>
      </c>
      <c r="G1260" s="37" t="s">
        <v>198</v>
      </c>
      <c r="H1260" s="37" t="s">
        <v>186</v>
      </c>
      <c r="I1260" s="37" t="n">
        <v>41</v>
      </c>
      <c r="J1260" s="39" t="n">
        <v>529.99</v>
      </c>
      <c r="K1260" s="37" t="s">
        <v>342</v>
      </c>
      <c r="L1260" s="39" t="n">
        <v>130.7</v>
      </c>
      <c r="M1260" s="39" t="n">
        <v>77.7</v>
      </c>
      <c r="N1260" s="39" t="n">
        <f aca="false">J1260*Resumo!$C$6</f>
        <v>0</v>
      </c>
      <c r="O1260" s="39" t="n">
        <f aca="false">J1260*Resumo!$C$7</f>
        <v>1.112979</v>
      </c>
      <c r="P1260" s="39" t="n">
        <f aca="false">J1260*Resumo!$C$8</f>
        <v>1.112979</v>
      </c>
      <c r="Q1260" s="39" t="n">
        <f aca="false">Resumo!$C$10*CEILING(I1260/100,1)</f>
        <v>1.05</v>
      </c>
      <c r="R1260" s="39" t="n">
        <f aca="false">Resumo!$C$9</f>
        <v>0</v>
      </c>
      <c r="S1260" s="39" t="n">
        <f aca="false">Resumo!$C$13</f>
        <v>13.55</v>
      </c>
      <c r="T1260" s="39" t="n">
        <f aca="false">Resumo!$C$14*CEILING(I1260,1)</f>
        <v>18.45</v>
      </c>
      <c r="U1260" s="39" t="n">
        <f aca="false">SUM(M1260:T1260)*Resumo!$C$11</f>
        <v>0</v>
      </c>
      <c r="V1260" s="39" t="n">
        <f aca="false">SUM(M1260:U1260)</f>
        <v>112.975958</v>
      </c>
      <c r="W1260" s="39" t="n">
        <f aca="false">V1260/(1-Resumo!$C$5)</f>
        <v>128.381770454545</v>
      </c>
      <c r="X1260" s="39" t="n">
        <v>152.54</v>
      </c>
      <c r="Y1260" s="39" t="n">
        <f aca="false">J1260*Resumo!$B$6</f>
        <v>0.52999</v>
      </c>
      <c r="Z1260" s="39" t="n">
        <f aca="false">J1260*Resumo!$B$7</f>
        <v>1.05998</v>
      </c>
      <c r="AA1260" s="39" t="n">
        <f aca="false">Resumo!$B$9</f>
        <v>1</v>
      </c>
      <c r="AB1260" s="39" t="n">
        <f aca="false">Resumo!$B$10*CEILING(I1260/100,1)</f>
        <v>4.5</v>
      </c>
      <c r="AC1260" s="39" t="n">
        <f aca="false">Resumo!$B$12*CEILING(I1260,1)</f>
        <v>2.46</v>
      </c>
      <c r="AD1260" s="39" t="n">
        <f aca="false">Resumo!$B$14*CEILING(I1260,1)</f>
        <v>18.45</v>
      </c>
      <c r="AE1260" s="39" t="n">
        <f aca="false">SUM(X1260:AD1260)</f>
        <v>180.53997</v>
      </c>
      <c r="AF1260" s="39" t="n">
        <f aca="false">AE1260/(1-Resumo!$B$5)</f>
        <v>205.159056818182</v>
      </c>
      <c r="AG1260" s="39" t="n">
        <f aca="false">AF1260-W1260</f>
        <v>76.7772863636363</v>
      </c>
      <c r="AH1260" s="40" t="n">
        <f aca="false">AF1260/W1260-1</f>
        <v>0.598038850000281</v>
      </c>
      <c r="AI1260" s="37" t="str">
        <f aca="false">IF(AF1260&lt;W1260,"SIM","NÃO")</f>
        <v>NÃO</v>
      </c>
      <c r="AJ1260" s="37" t="n">
        <v>13</v>
      </c>
      <c r="AK1260" s="37" t="n">
        <v>11</v>
      </c>
      <c r="AL1260" s="37" t="s">
        <v>343</v>
      </c>
      <c r="AM1260" s="39" t="n">
        <v>130.7</v>
      </c>
    </row>
    <row r="1261" customFormat="false" ht="15" hidden="false" customHeight="false" outlineLevel="0" collapsed="false">
      <c r="A1261" s="37" t="n">
        <v>379463827</v>
      </c>
      <c r="B1261" s="38" t="n">
        <v>46254.5819791667</v>
      </c>
      <c r="C1261" s="37" t="s">
        <v>340</v>
      </c>
      <c r="D1261" s="37" t="s">
        <v>1525</v>
      </c>
      <c r="E1261" s="37" t="n">
        <v>26510140</v>
      </c>
      <c r="F1261" s="37" t="s">
        <v>238</v>
      </c>
      <c r="G1261" s="37" t="s">
        <v>197</v>
      </c>
      <c r="H1261" s="37" t="s">
        <v>187</v>
      </c>
      <c r="I1261" s="37" t="n">
        <v>52.3</v>
      </c>
      <c r="J1261" s="39" t="n">
        <v>669.99</v>
      </c>
      <c r="K1261" s="37" t="s">
        <v>342</v>
      </c>
      <c r="L1261" s="39" t="n">
        <v>128.49</v>
      </c>
      <c r="M1261" s="39" t="n">
        <v>70.98</v>
      </c>
      <c r="N1261" s="39" t="n">
        <f aca="false">J1261*Resumo!$C$6</f>
        <v>0</v>
      </c>
      <c r="O1261" s="39" t="n">
        <f aca="false">J1261*Resumo!$C$7</f>
        <v>1.406979</v>
      </c>
      <c r="P1261" s="39" t="n">
        <f aca="false">J1261*Resumo!$C$8</f>
        <v>1.406979</v>
      </c>
      <c r="Q1261" s="39" t="n">
        <f aca="false">Resumo!$C$10*CEILING(I1261/100,1)</f>
        <v>1.05</v>
      </c>
      <c r="R1261" s="39" t="n">
        <f aca="false">Resumo!$C$9</f>
        <v>0</v>
      </c>
      <c r="S1261" s="39" t="n">
        <f aca="false">Resumo!$C$13</f>
        <v>13.55</v>
      </c>
      <c r="T1261" s="39" t="n">
        <f aca="false">Resumo!$C$14*CEILING(I1261,1)</f>
        <v>23.85</v>
      </c>
      <c r="U1261" s="39" t="n">
        <f aca="false">SUM(M1261:T1261)*Resumo!$C$11</f>
        <v>0</v>
      </c>
      <c r="V1261" s="39" t="n">
        <f aca="false">SUM(M1261:U1261)</f>
        <v>112.243958</v>
      </c>
      <c r="W1261" s="39" t="n">
        <f aca="false">V1261/(1-Resumo!$C$5)</f>
        <v>127.549952272727</v>
      </c>
      <c r="X1261" s="39" t="n">
        <v>112.3</v>
      </c>
      <c r="Y1261" s="39" t="n">
        <f aca="false">J1261*Resumo!$B$6</f>
        <v>0.66999</v>
      </c>
      <c r="Z1261" s="39" t="n">
        <f aca="false">J1261*Resumo!$B$7</f>
        <v>1.33998</v>
      </c>
      <c r="AA1261" s="39" t="n">
        <f aca="false">Resumo!$B$9</f>
        <v>1</v>
      </c>
      <c r="AB1261" s="39" t="n">
        <f aca="false">Resumo!$B$10*CEILING(I1261/100,1)</f>
        <v>4.5</v>
      </c>
      <c r="AC1261" s="39" t="n">
        <f aca="false">Resumo!$B$12*CEILING(I1261,1)</f>
        <v>3.18</v>
      </c>
      <c r="AD1261" s="39" t="n">
        <f aca="false">Resumo!$B$14*CEILING(I1261,1)</f>
        <v>23.85</v>
      </c>
      <c r="AE1261" s="39" t="n">
        <f aca="false">SUM(X1261:AD1261)</f>
        <v>146.83997</v>
      </c>
      <c r="AF1261" s="39" t="n">
        <f aca="false">AE1261/(1-Resumo!$B$5)</f>
        <v>166.863602272727</v>
      </c>
      <c r="AG1261" s="39" t="n">
        <f aca="false">AF1261-W1261</f>
        <v>39.31365</v>
      </c>
      <c r="AH1261" s="40" t="n">
        <f aca="false">AF1261/W1261-1</f>
        <v>0.308221597103694</v>
      </c>
      <c r="AI1261" s="37" t="str">
        <f aca="false">IF(AF1261&lt;W1261,"SIM","NÃO")</f>
        <v>NÃO</v>
      </c>
      <c r="AJ1261" s="37" t="n">
        <v>2</v>
      </c>
      <c r="AK1261" s="37" t="n">
        <v>5</v>
      </c>
      <c r="AL1261" s="37" t="s">
        <v>347</v>
      </c>
      <c r="AM1261" s="39" t="n">
        <v>128.49</v>
      </c>
    </row>
    <row r="1262" customFormat="false" ht="15" hidden="false" customHeight="false" outlineLevel="0" collapsed="false">
      <c r="A1262" s="37" t="n">
        <v>379542415</v>
      </c>
      <c r="B1262" s="38" t="n">
        <v>46254.5851388889</v>
      </c>
      <c r="C1262" s="37" t="s">
        <v>345</v>
      </c>
      <c r="D1262" s="37" t="s">
        <v>1526</v>
      </c>
      <c r="E1262" s="37" t="n">
        <v>28800101</v>
      </c>
      <c r="F1262" s="37" t="s">
        <v>288</v>
      </c>
      <c r="G1262" s="37" t="s">
        <v>198</v>
      </c>
      <c r="H1262" s="37" t="s">
        <v>186</v>
      </c>
      <c r="I1262" s="37" t="n">
        <v>43.5</v>
      </c>
      <c r="J1262" s="39" t="n">
        <v>599.55</v>
      </c>
      <c r="K1262" s="37" t="s">
        <v>342</v>
      </c>
      <c r="L1262" s="39" t="n">
        <v>131.03</v>
      </c>
      <c r="M1262" s="39" t="n">
        <v>77.7</v>
      </c>
      <c r="N1262" s="39" t="n">
        <f aca="false">J1262*Resumo!$C$6</f>
        <v>0</v>
      </c>
      <c r="O1262" s="39" t="n">
        <f aca="false">J1262*Resumo!$C$7</f>
        <v>1.259055</v>
      </c>
      <c r="P1262" s="39" t="n">
        <f aca="false">J1262*Resumo!$C$8</f>
        <v>1.259055</v>
      </c>
      <c r="Q1262" s="39" t="n">
        <f aca="false">Resumo!$C$10*CEILING(I1262/100,1)</f>
        <v>1.05</v>
      </c>
      <c r="R1262" s="39" t="n">
        <f aca="false">Resumo!$C$9</f>
        <v>0</v>
      </c>
      <c r="S1262" s="39" t="n">
        <f aca="false">Resumo!$C$13</f>
        <v>13.55</v>
      </c>
      <c r="T1262" s="39" t="n">
        <f aca="false">Resumo!$C$14*CEILING(I1262,1)</f>
        <v>19.8</v>
      </c>
      <c r="U1262" s="39" t="n">
        <f aca="false">SUM(M1262:T1262)*Resumo!$C$11</f>
        <v>0</v>
      </c>
      <c r="V1262" s="39" t="n">
        <f aca="false">SUM(M1262:U1262)</f>
        <v>114.61811</v>
      </c>
      <c r="W1262" s="39" t="n">
        <f aca="false">V1262/(1-Resumo!$C$5)</f>
        <v>130.247852272727</v>
      </c>
      <c r="X1262" s="39" t="n">
        <v>114.95</v>
      </c>
      <c r="Y1262" s="39" t="n">
        <f aca="false">J1262*Resumo!$B$6</f>
        <v>0.59955</v>
      </c>
      <c r="Z1262" s="39" t="n">
        <f aca="false">J1262*Resumo!$B$7</f>
        <v>1.1991</v>
      </c>
      <c r="AA1262" s="39" t="n">
        <f aca="false">Resumo!$B$9</f>
        <v>1</v>
      </c>
      <c r="AB1262" s="39" t="n">
        <f aca="false">Resumo!$B$10*CEILING(I1262/100,1)</f>
        <v>4.5</v>
      </c>
      <c r="AC1262" s="39" t="n">
        <f aca="false">Resumo!$B$12*CEILING(I1262,1)</f>
        <v>2.64</v>
      </c>
      <c r="AD1262" s="39" t="n">
        <f aca="false">Resumo!$B$14*CEILING(I1262,1)</f>
        <v>19.8</v>
      </c>
      <c r="AE1262" s="39" t="n">
        <f aca="false">SUM(X1262:AD1262)</f>
        <v>144.68865</v>
      </c>
      <c r="AF1262" s="39" t="n">
        <f aca="false">AE1262/(1-Resumo!$B$5)</f>
        <v>164.418920454545</v>
      </c>
      <c r="AG1262" s="39" t="n">
        <f aca="false">AF1262-W1262</f>
        <v>34.1710681818182</v>
      </c>
      <c r="AH1262" s="40" t="n">
        <f aca="false">AF1262/W1262-1</f>
        <v>0.262354177712405</v>
      </c>
      <c r="AI1262" s="37" t="str">
        <f aca="false">IF(AF1262&lt;W1262,"SIM","NÃO")</f>
        <v>NÃO</v>
      </c>
      <c r="AJ1262" s="37" t="n">
        <v>13</v>
      </c>
      <c r="AK1262" s="37" t="n">
        <v>7</v>
      </c>
      <c r="AL1262" s="37" t="s">
        <v>347</v>
      </c>
      <c r="AM1262" s="39" t="n">
        <v>131.03</v>
      </c>
    </row>
    <row r="1263" customFormat="false" ht="15" hidden="false" customHeight="false" outlineLevel="0" collapsed="false">
      <c r="A1263" s="37" t="n">
        <v>379466347</v>
      </c>
      <c r="B1263" s="38" t="n">
        <v>46254.5868171296</v>
      </c>
      <c r="C1263" s="37" t="s">
        <v>345</v>
      </c>
      <c r="D1263" s="37" t="s">
        <v>1527</v>
      </c>
      <c r="E1263" s="37" t="n">
        <v>21350250</v>
      </c>
      <c r="F1263" s="37" t="s">
        <v>159</v>
      </c>
      <c r="G1263" s="37" t="s">
        <v>196</v>
      </c>
      <c r="H1263" s="37" t="s">
        <v>189</v>
      </c>
      <c r="I1263" s="37" t="n">
        <v>74.4</v>
      </c>
      <c r="J1263" s="39" t="n">
        <v>879.99</v>
      </c>
      <c r="K1263" s="37" t="s">
        <v>342</v>
      </c>
      <c r="L1263" s="39" t="n">
        <v>136.69</v>
      </c>
      <c r="M1263" s="39" t="n">
        <v>68.88</v>
      </c>
      <c r="N1263" s="39" t="n">
        <f aca="false">J1263*Resumo!$C$6</f>
        <v>0</v>
      </c>
      <c r="O1263" s="39" t="n">
        <f aca="false">J1263*Resumo!$C$7</f>
        <v>1.847979</v>
      </c>
      <c r="P1263" s="39" t="n">
        <f aca="false">J1263*Resumo!$C$8</f>
        <v>1.847979</v>
      </c>
      <c r="Q1263" s="39" t="n">
        <f aca="false">Resumo!$C$10*CEILING(I1263/100,1)</f>
        <v>1.05</v>
      </c>
      <c r="R1263" s="39" t="n">
        <f aca="false">Resumo!$C$9</f>
        <v>0</v>
      </c>
      <c r="S1263" s="39" t="n">
        <f aca="false">Resumo!$C$13</f>
        <v>13.55</v>
      </c>
      <c r="T1263" s="39" t="n">
        <f aca="false">Resumo!$C$14*CEILING(I1263,1)</f>
        <v>33.75</v>
      </c>
      <c r="U1263" s="39" t="n">
        <f aca="false">SUM(M1263:T1263)*Resumo!$C$11</f>
        <v>0</v>
      </c>
      <c r="V1263" s="39" t="n">
        <f aca="false">SUM(M1263:U1263)</f>
        <v>120.925958</v>
      </c>
      <c r="W1263" s="39" t="n">
        <f aca="false">V1263/(1-Resumo!$C$5)</f>
        <v>137.415861363636</v>
      </c>
      <c r="X1263" s="39" t="n">
        <v>134.39</v>
      </c>
      <c r="Y1263" s="39" t="n">
        <f aca="false">J1263*Resumo!$B$6</f>
        <v>0.87999</v>
      </c>
      <c r="Z1263" s="39" t="n">
        <f aca="false">J1263*Resumo!$B$7</f>
        <v>1.75998</v>
      </c>
      <c r="AA1263" s="39" t="n">
        <f aca="false">Resumo!$B$9</f>
        <v>1</v>
      </c>
      <c r="AB1263" s="39" t="n">
        <f aca="false">Resumo!$B$10*CEILING(I1263/100,1)</f>
        <v>4.5</v>
      </c>
      <c r="AC1263" s="39" t="n">
        <f aca="false">Resumo!$B$12*CEILING(I1263,1)</f>
        <v>4.5</v>
      </c>
      <c r="AD1263" s="39" t="n">
        <f aca="false">Resumo!$B$14*CEILING(I1263,1)</f>
        <v>33.75</v>
      </c>
      <c r="AE1263" s="39" t="n">
        <f aca="false">SUM(X1263:AD1263)</f>
        <v>180.77997</v>
      </c>
      <c r="AF1263" s="39" t="n">
        <f aca="false">AE1263/(1-Resumo!$B$5)</f>
        <v>205.431784090909</v>
      </c>
      <c r="AG1263" s="39" t="n">
        <f aca="false">AF1263-W1263</f>
        <v>68.0159227272727</v>
      </c>
      <c r="AH1263" s="40" t="n">
        <f aca="false">AF1263/W1263-1</f>
        <v>0.494964133341826</v>
      </c>
      <c r="AI1263" s="37" t="str">
        <f aca="false">IF(AF1263&lt;W1263,"SIM","NÃO")</f>
        <v>NÃO</v>
      </c>
      <c r="AJ1263" s="37" t="n">
        <v>2</v>
      </c>
      <c r="AK1263" s="37" t="n">
        <v>5</v>
      </c>
      <c r="AL1263" s="37" t="s">
        <v>343</v>
      </c>
      <c r="AM1263" s="39" t="n">
        <v>136.69</v>
      </c>
    </row>
    <row r="1264" customFormat="false" ht="15" hidden="false" customHeight="false" outlineLevel="0" collapsed="false">
      <c r="A1264" s="37" t="n">
        <v>379466272</v>
      </c>
      <c r="B1264" s="38" t="n">
        <v>46254.586875</v>
      </c>
      <c r="C1264" s="37" t="s">
        <v>340</v>
      </c>
      <c r="D1264" s="37" t="s">
        <v>486</v>
      </c>
      <c r="E1264" s="37" t="n">
        <v>22765240</v>
      </c>
      <c r="F1264" s="37" t="s">
        <v>159</v>
      </c>
      <c r="G1264" s="37" t="s">
        <v>196</v>
      </c>
      <c r="H1264" s="37" t="s">
        <v>186</v>
      </c>
      <c r="I1264" s="37" t="n">
        <v>48.3</v>
      </c>
      <c r="J1264" s="39" t="n">
        <v>449.99</v>
      </c>
      <c r="K1264" s="37" t="s">
        <v>342</v>
      </c>
      <c r="L1264" s="39" t="n">
        <v>102.74</v>
      </c>
      <c r="M1264" s="39" t="n">
        <v>53.55</v>
      </c>
      <c r="N1264" s="39" t="n">
        <f aca="false">J1264*Resumo!$C$6</f>
        <v>0</v>
      </c>
      <c r="O1264" s="39" t="n">
        <f aca="false">J1264*Resumo!$C$7</f>
        <v>0.944979</v>
      </c>
      <c r="P1264" s="39" t="n">
        <f aca="false">J1264*Resumo!$C$8</f>
        <v>0.944979</v>
      </c>
      <c r="Q1264" s="39" t="n">
        <f aca="false">Resumo!$C$10*CEILING(I1264/100,1)</f>
        <v>1.05</v>
      </c>
      <c r="R1264" s="39" t="n">
        <f aca="false">Resumo!$C$9</f>
        <v>0</v>
      </c>
      <c r="S1264" s="39" t="n">
        <f aca="false">Resumo!$C$13</f>
        <v>13.55</v>
      </c>
      <c r="T1264" s="39" t="n">
        <f aca="false">Resumo!$C$14*CEILING(I1264,1)</f>
        <v>22.05</v>
      </c>
      <c r="U1264" s="39" t="n">
        <f aca="false">SUM(M1264:T1264)*Resumo!$C$11</f>
        <v>0</v>
      </c>
      <c r="V1264" s="39" t="n">
        <f aca="false">SUM(M1264:U1264)</f>
        <v>92.089958</v>
      </c>
      <c r="W1264" s="39" t="n">
        <f aca="false">V1264/(1-Resumo!$C$5)</f>
        <v>104.647679545455</v>
      </c>
      <c r="X1264" s="39" t="n">
        <v>93.97</v>
      </c>
      <c r="Y1264" s="39" t="n">
        <f aca="false">J1264*Resumo!$B$6</f>
        <v>0.44999</v>
      </c>
      <c r="Z1264" s="39" t="n">
        <f aca="false">J1264*Resumo!$B$7</f>
        <v>0.89998</v>
      </c>
      <c r="AA1264" s="39" t="n">
        <f aca="false">Resumo!$B$9</f>
        <v>1</v>
      </c>
      <c r="AB1264" s="39" t="n">
        <f aca="false">Resumo!$B$10*CEILING(I1264/100,1)</f>
        <v>4.5</v>
      </c>
      <c r="AC1264" s="39" t="n">
        <f aca="false">Resumo!$B$12*CEILING(I1264,1)</f>
        <v>2.94</v>
      </c>
      <c r="AD1264" s="39" t="n">
        <f aca="false">Resumo!$B$14*CEILING(I1264,1)</f>
        <v>22.05</v>
      </c>
      <c r="AE1264" s="39" t="n">
        <f aca="false">SUM(X1264:AD1264)</f>
        <v>125.80997</v>
      </c>
      <c r="AF1264" s="39" t="n">
        <f aca="false">AE1264/(1-Resumo!$B$5)</f>
        <v>142.965875</v>
      </c>
      <c r="AG1264" s="39" t="n">
        <f aca="false">AF1264-W1264</f>
        <v>38.3181954545454</v>
      </c>
      <c r="AH1264" s="40" t="n">
        <f aca="false">AF1264/W1264-1</f>
        <v>0.366163832977315</v>
      </c>
      <c r="AI1264" s="37" t="str">
        <f aca="false">IF(AF1264&lt;W1264,"SIM","NÃO")</f>
        <v>NÃO</v>
      </c>
      <c r="AJ1264" s="37" t="n">
        <v>2</v>
      </c>
      <c r="AK1264" s="37" t="n">
        <v>5</v>
      </c>
      <c r="AL1264" s="37" t="s">
        <v>343</v>
      </c>
      <c r="AM1264" s="39" t="n">
        <v>102.74</v>
      </c>
    </row>
    <row r="1265" customFormat="false" ht="15" hidden="false" customHeight="false" outlineLevel="0" collapsed="false">
      <c r="A1265" s="37" t="n">
        <v>379475538</v>
      </c>
      <c r="B1265" s="38" t="n">
        <v>46254.6011805556</v>
      </c>
      <c r="C1265" s="37" t="s">
        <v>340</v>
      </c>
      <c r="D1265" s="37" t="s">
        <v>1528</v>
      </c>
      <c r="E1265" s="37" t="n">
        <v>26086460</v>
      </c>
      <c r="F1265" s="37" t="s">
        <v>162</v>
      </c>
      <c r="G1265" s="37" t="s">
        <v>197</v>
      </c>
      <c r="H1265" s="37" t="s">
        <v>186</v>
      </c>
      <c r="I1265" s="37" t="n">
        <v>48.3</v>
      </c>
      <c r="J1265" s="39" t="n">
        <v>449.99</v>
      </c>
      <c r="K1265" s="37" t="s">
        <v>342</v>
      </c>
      <c r="L1265" s="39" t="n">
        <v>116.23</v>
      </c>
      <c r="M1265" s="39" t="n">
        <v>65.36</v>
      </c>
      <c r="N1265" s="39" t="n">
        <f aca="false">J1265*Resumo!$C$6</f>
        <v>0</v>
      </c>
      <c r="O1265" s="39" t="n">
        <f aca="false">J1265*Resumo!$C$7</f>
        <v>0.944979</v>
      </c>
      <c r="P1265" s="39" t="n">
        <f aca="false">J1265*Resumo!$C$8</f>
        <v>0.944979</v>
      </c>
      <c r="Q1265" s="39" t="n">
        <f aca="false">Resumo!$C$10*CEILING(I1265/100,1)</f>
        <v>1.05</v>
      </c>
      <c r="R1265" s="39" t="n">
        <f aca="false">Resumo!$C$9</f>
        <v>0</v>
      </c>
      <c r="S1265" s="39" t="n">
        <f aca="false">Resumo!$C$13</f>
        <v>13.55</v>
      </c>
      <c r="T1265" s="39" t="n">
        <f aca="false">Resumo!$C$14*CEILING(I1265,1)</f>
        <v>22.05</v>
      </c>
      <c r="U1265" s="39" t="n">
        <f aca="false">SUM(M1265:T1265)*Resumo!$C$11</f>
        <v>0</v>
      </c>
      <c r="V1265" s="39" t="n">
        <f aca="false">SUM(M1265:U1265)</f>
        <v>103.899958</v>
      </c>
      <c r="W1265" s="39" t="n">
        <f aca="false">V1265/(1-Resumo!$C$5)</f>
        <v>118.068134090909</v>
      </c>
      <c r="X1265" s="39" t="n">
        <v>93.97</v>
      </c>
      <c r="Y1265" s="39" t="n">
        <f aca="false">J1265*Resumo!$B$6</f>
        <v>0.44999</v>
      </c>
      <c r="Z1265" s="39" t="n">
        <f aca="false">J1265*Resumo!$B$7</f>
        <v>0.89998</v>
      </c>
      <c r="AA1265" s="39" t="n">
        <f aca="false">Resumo!$B$9</f>
        <v>1</v>
      </c>
      <c r="AB1265" s="39" t="n">
        <f aca="false">Resumo!$B$10*CEILING(I1265/100,1)</f>
        <v>4.5</v>
      </c>
      <c r="AC1265" s="39" t="n">
        <f aca="false">Resumo!$B$12*CEILING(I1265,1)</f>
        <v>2.94</v>
      </c>
      <c r="AD1265" s="39" t="n">
        <f aca="false">Resumo!$B$14*CEILING(I1265,1)</f>
        <v>22.05</v>
      </c>
      <c r="AE1265" s="39" t="n">
        <f aca="false">SUM(X1265:AD1265)</f>
        <v>125.80997</v>
      </c>
      <c r="AF1265" s="39" t="n">
        <f aca="false">AE1265/(1-Resumo!$B$5)</f>
        <v>142.965875</v>
      </c>
      <c r="AG1265" s="39" t="n">
        <f aca="false">AF1265-W1265</f>
        <v>24.8977409090909</v>
      </c>
      <c r="AH1265" s="40" t="n">
        <f aca="false">AF1265/W1265-1</f>
        <v>0.210876042895032</v>
      </c>
      <c r="AI1265" s="37" t="str">
        <f aca="false">IF(AF1265&lt;W1265,"SIM","NÃO")</f>
        <v>NÃO</v>
      </c>
      <c r="AJ1265" s="37" t="n">
        <v>2</v>
      </c>
      <c r="AK1265" s="37" t="n">
        <v>5</v>
      </c>
      <c r="AL1265" s="37" t="s">
        <v>343</v>
      </c>
      <c r="AM1265" s="39" t="n">
        <v>116.23</v>
      </c>
    </row>
    <row r="1266" customFormat="false" ht="15" hidden="false" customHeight="false" outlineLevel="0" collapsed="false">
      <c r="A1266" s="37" t="n">
        <v>379483261</v>
      </c>
      <c r="B1266" s="38" t="n">
        <v>46254.608587963</v>
      </c>
      <c r="C1266" s="37" t="s">
        <v>372</v>
      </c>
      <c r="D1266" s="37" t="s">
        <v>487</v>
      </c>
      <c r="E1266" s="37" t="n">
        <v>22763627</v>
      </c>
      <c r="F1266" s="37" t="s">
        <v>159</v>
      </c>
      <c r="G1266" s="37" t="s">
        <v>196</v>
      </c>
      <c r="H1266" s="37" t="s">
        <v>186</v>
      </c>
      <c r="I1266" s="37" t="n">
        <v>46.8</v>
      </c>
      <c r="J1266" s="39" t="n">
        <v>499.37</v>
      </c>
      <c r="K1266" s="37" t="s">
        <v>342</v>
      </c>
      <c r="L1266" s="39" t="n">
        <v>102.98</v>
      </c>
      <c r="M1266" s="39" t="n">
        <v>53.55</v>
      </c>
      <c r="N1266" s="39" t="n">
        <f aca="false">J1266*Resumo!$C$6</f>
        <v>0</v>
      </c>
      <c r="O1266" s="39" t="n">
        <f aca="false">J1266*Resumo!$C$7</f>
        <v>1.048677</v>
      </c>
      <c r="P1266" s="39" t="n">
        <f aca="false">J1266*Resumo!$C$8</f>
        <v>1.048677</v>
      </c>
      <c r="Q1266" s="39" t="n">
        <f aca="false">Resumo!$C$10*CEILING(I1266/100,1)</f>
        <v>1.05</v>
      </c>
      <c r="R1266" s="39" t="n">
        <f aca="false">Resumo!$C$9</f>
        <v>0</v>
      </c>
      <c r="S1266" s="39" t="n">
        <f aca="false">Resumo!$C$13</f>
        <v>13.55</v>
      </c>
      <c r="T1266" s="39" t="n">
        <f aca="false">Resumo!$C$14*CEILING(I1266,1)</f>
        <v>21.15</v>
      </c>
      <c r="U1266" s="39" t="n">
        <f aca="false">SUM(M1266:T1266)*Resumo!$C$11</f>
        <v>0</v>
      </c>
      <c r="V1266" s="39" t="n">
        <f aca="false">SUM(M1266:U1266)</f>
        <v>91.397354</v>
      </c>
      <c r="W1266" s="39" t="n">
        <f aca="false">V1266/(1-Resumo!$C$5)</f>
        <v>103.860629545455</v>
      </c>
      <c r="X1266" s="39" t="n">
        <v>93.97</v>
      </c>
      <c r="Y1266" s="39" t="n">
        <f aca="false">J1266*Resumo!$B$6</f>
        <v>0.49937</v>
      </c>
      <c r="Z1266" s="39" t="n">
        <f aca="false">J1266*Resumo!$B$7</f>
        <v>0.99874</v>
      </c>
      <c r="AA1266" s="39" t="n">
        <f aca="false">Resumo!$B$9</f>
        <v>1</v>
      </c>
      <c r="AB1266" s="39" t="n">
        <f aca="false">Resumo!$B$10*CEILING(I1266/100,1)</f>
        <v>4.5</v>
      </c>
      <c r="AC1266" s="39" t="n">
        <f aca="false">Resumo!$B$12*CEILING(I1266,1)</f>
        <v>2.82</v>
      </c>
      <c r="AD1266" s="39" t="n">
        <f aca="false">Resumo!$B$14*CEILING(I1266,1)</f>
        <v>21.15</v>
      </c>
      <c r="AE1266" s="39" t="n">
        <f aca="false">SUM(X1266:AD1266)</f>
        <v>124.93811</v>
      </c>
      <c r="AF1266" s="39" t="n">
        <f aca="false">AE1266/(1-Resumo!$B$5)</f>
        <v>141.975125</v>
      </c>
      <c r="AG1266" s="39" t="n">
        <f aca="false">AF1266-W1266</f>
        <v>38.1144954545455</v>
      </c>
      <c r="AH1266" s="40" t="n">
        <f aca="false">AF1266/W1266-1</f>
        <v>0.366977319715405</v>
      </c>
      <c r="AI1266" s="37" t="str">
        <f aca="false">IF(AF1266&lt;W1266,"SIM","NÃO")</f>
        <v>NÃO</v>
      </c>
      <c r="AJ1266" s="37" t="n">
        <v>2</v>
      </c>
      <c r="AK1266" s="37" t="n">
        <v>5</v>
      </c>
      <c r="AL1266" s="37" t="s">
        <v>343</v>
      </c>
      <c r="AM1266" s="39" t="n">
        <v>102.98</v>
      </c>
    </row>
    <row r="1267" customFormat="false" ht="15" hidden="false" customHeight="false" outlineLevel="0" collapsed="false">
      <c r="A1267" s="37" t="n">
        <v>379484552</v>
      </c>
      <c r="B1267" s="38" t="n">
        <v>46254.6122685185</v>
      </c>
      <c r="C1267" s="37" t="s">
        <v>340</v>
      </c>
      <c r="D1267" s="37" t="s">
        <v>1529</v>
      </c>
      <c r="E1267" s="37" t="n">
        <v>28070406</v>
      </c>
      <c r="F1267" s="37" t="s">
        <v>164</v>
      </c>
      <c r="G1267" s="37" t="s">
        <v>198</v>
      </c>
      <c r="H1267" s="37" t="s">
        <v>187</v>
      </c>
      <c r="I1267" s="37" t="n">
        <v>52.3</v>
      </c>
      <c r="J1267" s="39" t="n">
        <v>669.99</v>
      </c>
      <c r="K1267" s="37" t="s">
        <v>342</v>
      </c>
      <c r="L1267" s="39" t="n">
        <v>142.87</v>
      </c>
      <c r="M1267" s="39" t="n">
        <v>83.58</v>
      </c>
      <c r="N1267" s="39" t="n">
        <f aca="false">J1267*Resumo!$C$6</f>
        <v>0</v>
      </c>
      <c r="O1267" s="39" t="n">
        <f aca="false">J1267*Resumo!$C$7</f>
        <v>1.406979</v>
      </c>
      <c r="P1267" s="39" t="n">
        <f aca="false">J1267*Resumo!$C$8</f>
        <v>1.406979</v>
      </c>
      <c r="Q1267" s="39" t="n">
        <f aca="false">Resumo!$C$10*CEILING(I1267/100,1)</f>
        <v>1.05</v>
      </c>
      <c r="R1267" s="39" t="n">
        <f aca="false">Resumo!$C$9</f>
        <v>0</v>
      </c>
      <c r="S1267" s="39" t="n">
        <f aca="false">Resumo!$C$13</f>
        <v>13.55</v>
      </c>
      <c r="T1267" s="39" t="n">
        <f aca="false">Resumo!$C$14*CEILING(I1267,1)</f>
        <v>23.85</v>
      </c>
      <c r="U1267" s="39" t="n">
        <f aca="false">SUM(M1267:T1267)*Resumo!$C$11</f>
        <v>0</v>
      </c>
      <c r="V1267" s="39" t="n">
        <f aca="false">SUM(M1267:U1267)</f>
        <v>124.843958</v>
      </c>
      <c r="W1267" s="39" t="n">
        <f aca="false">V1267/(1-Resumo!$C$5)</f>
        <v>141.868134090909</v>
      </c>
      <c r="X1267" s="39" t="n">
        <v>162.04</v>
      </c>
      <c r="Y1267" s="39" t="n">
        <f aca="false">J1267*Resumo!$B$6</f>
        <v>0.66999</v>
      </c>
      <c r="Z1267" s="39" t="n">
        <f aca="false">J1267*Resumo!$B$7</f>
        <v>1.33998</v>
      </c>
      <c r="AA1267" s="39" t="n">
        <f aca="false">Resumo!$B$9</f>
        <v>1</v>
      </c>
      <c r="AB1267" s="39" t="n">
        <f aca="false">Resumo!$B$10*CEILING(I1267/100,1)</f>
        <v>4.5</v>
      </c>
      <c r="AC1267" s="39" t="n">
        <f aca="false">Resumo!$B$12*CEILING(I1267,1)</f>
        <v>3.18</v>
      </c>
      <c r="AD1267" s="39" t="n">
        <f aca="false">Resumo!$B$14*CEILING(I1267,1)</f>
        <v>23.85</v>
      </c>
      <c r="AE1267" s="39" t="n">
        <f aca="false">SUM(X1267:AD1267)</f>
        <v>196.57997</v>
      </c>
      <c r="AF1267" s="39" t="n">
        <f aca="false">AE1267/(1-Resumo!$B$5)</f>
        <v>223.386329545455</v>
      </c>
      <c r="AG1267" s="39" t="n">
        <f aca="false">AF1267-W1267</f>
        <v>81.5181954545454</v>
      </c>
      <c r="AH1267" s="40" t="n">
        <f aca="false">AF1267/W1267-1</f>
        <v>0.574605396602373</v>
      </c>
      <c r="AI1267" s="37" t="str">
        <f aca="false">IF(AF1267&lt;W1267,"SIM","NÃO")</f>
        <v>NÃO</v>
      </c>
      <c r="AJ1267" s="37" t="n">
        <v>13</v>
      </c>
      <c r="AK1267" s="37" t="n">
        <v>11</v>
      </c>
      <c r="AL1267" s="37" t="s">
        <v>343</v>
      </c>
      <c r="AM1267" s="39" t="n">
        <v>142.88</v>
      </c>
    </row>
    <row r="1268" customFormat="false" ht="15" hidden="false" customHeight="false" outlineLevel="0" collapsed="false">
      <c r="A1268" s="37" t="n">
        <v>379487360</v>
      </c>
      <c r="B1268" s="38" t="n">
        <v>46254.6159259259</v>
      </c>
      <c r="C1268" s="37" t="s">
        <v>340</v>
      </c>
      <c r="D1268" s="37" t="s">
        <v>1133</v>
      </c>
      <c r="E1268" s="37" t="n">
        <v>22641004</v>
      </c>
      <c r="F1268" s="37" t="s">
        <v>159</v>
      </c>
      <c r="G1268" s="37" t="s">
        <v>196</v>
      </c>
      <c r="H1268" s="37" t="s">
        <v>187</v>
      </c>
      <c r="I1268" s="37" t="n">
        <v>52.3</v>
      </c>
      <c r="J1268" s="39" t="n">
        <v>669.99</v>
      </c>
      <c r="K1268" s="37" t="s">
        <v>342</v>
      </c>
      <c r="L1268" s="39" t="n">
        <v>114.36</v>
      </c>
      <c r="M1268" s="39" t="n">
        <v>58.6</v>
      </c>
      <c r="N1268" s="39" t="n">
        <f aca="false">J1268*Resumo!$C$6</f>
        <v>0</v>
      </c>
      <c r="O1268" s="39" t="n">
        <f aca="false">J1268*Resumo!$C$7</f>
        <v>1.406979</v>
      </c>
      <c r="P1268" s="39" t="n">
        <f aca="false">J1268*Resumo!$C$8</f>
        <v>1.406979</v>
      </c>
      <c r="Q1268" s="39" t="n">
        <f aca="false">Resumo!$C$10*CEILING(I1268/100,1)</f>
        <v>1.05</v>
      </c>
      <c r="R1268" s="39" t="n">
        <f aca="false">Resumo!$C$9</f>
        <v>0</v>
      </c>
      <c r="S1268" s="39" t="n">
        <f aca="false">Resumo!$C$13</f>
        <v>13.55</v>
      </c>
      <c r="T1268" s="39" t="n">
        <f aca="false">Resumo!$C$14*CEILING(I1268,1)</f>
        <v>23.85</v>
      </c>
      <c r="U1268" s="39" t="n">
        <f aca="false">SUM(M1268:T1268)*Resumo!$C$11</f>
        <v>0</v>
      </c>
      <c r="V1268" s="39" t="n">
        <f aca="false">SUM(M1268:U1268)</f>
        <v>99.863958</v>
      </c>
      <c r="W1268" s="39" t="n">
        <f aca="false">V1268/(1-Resumo!$C$5)</f>
        <v>113.481770454545</v>
      </c>
      <c r="X1268" s="39" t="n">
        <v>112.3</v>
      </c>
      <c r="Y1268" s="39" t="n">
        <f aca="false">J1268*Resumo!$B$6</f>
        <v>0.66999</v>
      </c>
      <c r="Z1268" s="39" t="n">
        <f aca="false">J1268*Resumo!$B$7</f>
        <v>1.33998</v>
      </c>
      <c r="AA1268" s="39" t="n">
        <f aca="false">Resumo!$B$9</f>
        <v>1</v>
      </c>
      <c r="AB1268" s="39" t="n">
        <f aca="false">Resumo!$B$10*CEILING(I1268/100,1)</f>
        <v>4.5</v>
      </c>
      <c r="AC1268" s="39" t="n">
        <f aca="false">Resumo!$B$12*CEILING(I1268,1)</f>
        <v>3.18</v>
      </c>
      <c r="AD1268" s="39" t="n">
        <f aca="false">Resumo!$B$14*CEILING(I1268,1)</f>
        <v>23.85</v>
      </c>
      <c r="AE1268" s="39" t="n">
        <f aca="false">SUM(X1268:AD1268)</f>
        <v>146.83997</v>
      </c>
      <c r="AF1268" s="39" t="n">
        <f aca="false">AE1268/(1-Resumo!$B$5)</f>
        <v>166.863602272727</v>
      </c>
      <c r="AG1268" s="39" t="n">
        <f aca="false">AF1268-W1268</f>
        <v>53.3818318181818</v>
      </c>
      <c r="AH1268" s="40" t="n">
        <f aca="false">AF1268/W1268-1</f>
        <v>0.470400061651872</v>
      </c>
      <c r="AI1268" s="37" t="str">
        <f aca="false">IF(AF1268&lt;W1268,"SIM","NÃO")</f>
        <v>NÃO</v>
      </c>
      <c r="AJ1268" s="37" t="n">
        <v>2</v>
      </c>
      <c r="AK1268" s="37" t="n">
        <v>5</v>
      </c>
      <c r="AL1268" s="37" t="s">
        <v>343</v>
      </c>
      <c r="AM1268" s="39" t="n">
        <v>114.36</v>
      </c>
    </row>
    <row r="1269" customFormat="false" ht="15" hidden="false" customHeight="false" outlineLevel="0" collapsed="false">
      <c r="A1269" s="37" t="n">
        <v>379500061</v>
      </c>
      <c r="B1269" s="38" t="n">
        <v>46254.633125</v>
      </c>
      <c r="C1269" s="37" t="s">
        <v>340</v>
      </c>
      <c r="D1269" s="37" t="s">
        <v>1530</v>
      </c>
      <c r="E1269" s="37" t="n">
        <v>25035160</v>
      </c>
      <c r="F1269" s="37" t="s">
        <v>161</v>
      </c>
      <c r="G1269" s="37" t="s">
        <v>197</v>
      </c>
      <c r="H1269" s="37" t="s">
        <v>188</v>
      </c>
      <c r="I1269" s="37" t="n">
        <v>63.9</v>
      </c>
      <c r="J1269" s="39" t="n">
        <v>730.98</v>
      </c>
      <c r="K1269" s="37" t="s">
        <v>342</v>
      </c>
      <c r="L1269" s="39" t="n">
        <v>139.93</v>
      </c>
      <c r="M1269" s="39" t="n">
        <v>76.55</v>
      </c>
      <c r="N1269" s="39" t="n">
        <f aca="false">J1269*Resumo!$C$6</f>
        <v>0</v>
      </c>
      <c r="O1269" s="39" t="n">
        <f aca="false">J1269*Resumo!$C$7</f>
        <v>1.535058</v>
      </c>
      <c r="P1269" s="39" t="n">
        <f aca="false">J1269*Resumo!$C$8</f>
        <v>1.535058</v>
      </c>
      <c r="Q1269" s="39" t="n">
        <f aca="false">Resumo!$C$10*CEILING(I1269/100,1)</f>
        <v>1.05</v>
      </c>
      <c r="R1269" s="39" t="n">
        <f aca="false">Resumo!$C$9</f>
        <v>0</v>
      </c>
      <c r="S1269" s="39" t="n">
        <f aca="false">Resumo!$C$13</f>
        <v>13.55</v>
      </c>
      <c r="T1269" s="39" t="n">
        <f aca="false">Resumo!$C$14*CEILING(I1269,1)</f>
        <v>28.8</v>
      </c>
      <c r="U1269" s="39" t="n">
        <f aca="false">SUM(M1269:T1269)*Resumo!$C$11</f>
        <v>0</v>
      </c>
      <c r="V1269" s="39" t="n">
        <f aca="false">SUM(M1269:U1269)</f>
        <v>123.020116</v>
      </c>
      <c r="W1269" s="39" t="n">
        <f aca="false">V1269/(1-Resumo!$C$5)</f>
        <v>139.795586363636</v>
      </c>
      <c r="X1269" s="39" t="n">
        <v>131.02</v>
      </c>
      <c r="Y1269" s="39" t="n">
        <f aca="false">J1269*Resumo!$B$6</f>
        <v>0.73098</v>
      </c>
      <c r="Z1269" s="39" t="n">
        <f aca="false">J1269*Resumo!$B$7</f>
        <v>1.46196</v>
      </c>
      <c r="AA1269" s="39" t="n">
        <f aca="false">Resumo!$B$9</f>
        <v>1</v>
      </c>
      <c r="AB1269" s="39" t="n">
        <f aca="false">Resumo!$B$10*CEILING(I1269/100,1)</f>
        <v>4.5</v>
      </c>
      <c r="AC1269" s="39" t="n">
        <f aca="false">Resumo!$B$12*CEILING(I1269,1)</f>
        <v>3.84</v>
      </c>
      <c r="AD1269" s="39" t="n">
        <f aca="false">Resumo!$B$14*CEILING(I1269,1)</f>
        <v>28.8</v>
      </c>
      <c r="AE1269" s="39" t="n">
        <f aca="false">SUM(X1269:AD1269)</f>
        <v>171.35294</v>
      </c>
      <c r="AF1269" s="39" t="n">
        <f aca="false">AE1269/(1-Resumo!$B$5)</f>
        <v>194.71925</v>
      </c>
      <c r="AG1269" s="39" t="n">
        <f aca="false">AF1269-W1269</f>
        <v>54.9236636363636</v>
      </c>
      <c r="AH1269" s="40" t="n">
        <f aca="false">AF1269/W1269-1</f>
        <v>0.392885534264982</v>
      </c>
      <c r="AI1269" s="37" t="str">
        <f aca="false">IF(AF1269&lt;W1269,"SIM","NÃO")</f>
        <v>NÃO</v>
      </c>
      <c r="AJ1269" s="37" t="n">
        <v>2</v>
      </c>
      <c r="AK1269" s="37" t="n">
        <v>5</v>
      </c>
      <c r="AL1269" s="37" t="s">
        <v>343</v>
      </c>
      <c r="AM1269" s="39" t="n">
        <v>139.94</v>
      </c>
    </row>
    <row r="1270" customFormat="false" ht="15" hidden="false" customHeight="false" outlineLevel="0" collapsed="false">
      <c r="A1270" s="37" t="n">
        <v>379505098</v>
      </c>
      <c r="B1270" s="38" t="n">
        <v>46254.6410648148</v>
      </c>
      <c r="C1270" s="37" t="s">
        <v>340</v>
      </c>
      <c r="D1270" s="37" t="s">
        <v>1531</v>
      </c>
      <c r="E1270" s="37" t="n">
        <v>22750443</v>
      </c>
      <c r="F1270" s="37" t="s">
        <v>159</v>
      </c>
      <c r="G1270" s="37" t="s">
        <v>196</v>
      </c>
      <c r="H1270" s="37" t="s">
        <v>187</v>
      </c>
      <c r="I1270" s="37" t="n">
        <v>52.3</v>
      </c>
      <c r="J1270" s="39" t="n">
        <v>669.99</v>
      </c>
      <c r="K1270" s="37" t="s">
        <v>342</v>
      </c>
      <c r="L1270" s="39" t="n">
        <v>114.36</v>
      </c>
      <c r="M1270" s="39" t="n">
        <v>58.6</v>
      </c>
      <c r="N1270" s="39" t="n">
        <f aca="false">J1270*Resumo!$C$6</f>
        <v>0</v>
      </c>
      <c r="O1270" s="39" t="n">
        <f aca="false">J1270*Resumo!$C$7</f>
        <v>1.406979</v>
      </c>
      <c r="P1270" s="39" t="n">
        <f aca="false">J1270*Resumo!$C$8</f>
        <v>1.406979</v>
      </c>
      <c r="Q1270" s="39" t="n">
        <f aca="false">Resumo!$C$10*CEILING(I1270/100,1)</f>
        <v>1.05</v>
      </c>
      <c r="R1270" s="39" t="n">
        <f aca="false">Resumo!$C$9</f>
        <v>0</v>
      </c>
      <c r="S1270" s="39" t="n">
        <f aca="false">Resumo!$C$13</f>
        <v>13.55</v>
      </c>
      <c r="T1270" s="39" t="n">
        <f aca="false">Resumo!$C$14*CEILING(I1270,1)</f>
        <v>23.85</v>
      </c>
      <c r="U1270" s="39" t="n">
        <f aca="false">SUM(M1270:T1270)*Resumo!$C$11</f>
        <v>0</v>
      </c>
      <c r="V1270" s="39" t="n">
        <f aca="false">SUM(M1270:U1270)</f>
        <v>99.863958</v>
      </c>
      <c r="W1270" s="39" t="n">
        <f aca="false">V1270/(1-Resumo!$C$5)</f>
        <v>113.481770454545</v>
      </c>
      <c r="X1270" s="39" t="n">
        <v>112.3</v>
      </c>
      <c r="Y1270" s="39" t="n">
        <f aca="false">J1270*Resumo!$B$6</f>
        <v>0.66999</v>
      </c>
      <c r="Z1270" s="39" t="n">
        <f aca="false">J1270*Resumo!$B$7</f>
        <v>1.33998</v>
      </c>
      <c r="AA1270" s="39" t="n">
        <f aca="false">Resumo!$B$9</f>
        <v>1</v>
      </c>
      <c r="AB1270" s="39" t="n">
        <f aca="false">Resumo!$B$10*CEILING(I1270/100,1)</f>
        <v>4.5</v>
      </c>
      <c r="AC1270" s="39" t="n">
        <f aca="false">Resumo!$B$12*CEILING(I1270,1)</f>
        <v>3.18</v>
      </c>
      <c r="AD1270" s="39" t="n">
        <f aca="false">Resumo!$B$14*CEILING(I1270,1)</f>
        <v>23.85</v>
      </c>
      <c r="AE1270" s="39" t="n">
        <f aca="false">SUM(X1270:AD1270)</f>
        <v>146.83997</v>
      </c>
      <c r="AF1270" s="39" t="n">
        <f aca="false">AE1270/(1-Resumo!$B$5)</f>
        <v>166.863602272727</v>
      </c>
      <c r="AG1270" s="39" t="n">
        <f aca="false">AF1270-W1270</f>
        <v>53.3818318181818</v>
      </c>
      <c r="AH1270" s="40" t="n">
        <f aca="false">AF1270/W1270-1</f>
        <v>0.470400061651872</v>
      </c>
      <c r="AI1270" s="37" t="str">
        <f aca="false">IF(AF1270&lt;W1270,"SIM","NÃO")</f>
        <v>NÃO</v>
      </c>
      <c r="AJ1270" s="37" t="n">
        <v>2</v>
      </c>
      <c r="AK1270" s="37" t="n">
        <v>5</v>
      </c>
      <c r="AL1270" s="37" t="s">
        <v>343</v>
      </c>
      <c r="AM1270" s="39" t="n">
        <v>114.36</v>
      </c>
    </row>
    <row r="1271" customFormat="false" ht="15" hidden="false" customHeight="false" outlineLevel="0" collapsed="false">
      <c r="A1271" s="37" t="n">
        <v>379506040</v>
      </c>
      <c r="B1271" s="38" t="n">
        <v>46254.6428703704</v>
      </c>
      <c r="C1271" s="37" t="s">
        <v>345</v>
      </c>
      <c r="D1271" s="37" t="s">
        <v>1532</v>
      </c>
      <c r="E1271" s="37" t="n">
        <v>21020260</v>
      </c>
      <c r="F1271" s="37" t="s">
        <v>159</v>
      </c>
      <c r="G1271" s="37" t="s">
        <v>196</v>
      </c>
      <c r="H1271" s="37" t="s">
        <v>187</v>
      </c>
      <c r="I1271" s="37" t="n">
        <v>52.3</v>
      </c>
      <c r="J1271" s="39" t="n">
        <v>604.56</v>
      </c>
      <c r="K1271" s="37" t="s">
        <v>342</v>
      </c>
      <c r="L1271" s="39" t="n">
        <v>114.05</v>
      </c>
      <c r="M1271" s="39" t="n">
        <v>58.6</v>
      </c>
      <c r="N1271" s="39" t="n">
        <f aca="false">J1271*Resumo!$C$6</f>
        <v>0</v>
      </c>
      <c r="O1271" s="39" t="n">
        <f aca="false">J1271*Resumo!$C$7</f>
        <v>1.269576</v>
      </c>
      <c r="P1271" s="39" t="n">
        <f aca="false">J1271*Resumo!$C$8</f>
        <v>1.269576</v>
      </c>
      <c r="Q1271" s="39" t="n">
        <f aca="false">Resumo!$C$10*CEILING(I1271/100,1)</f>
        <v>1.05</v>
      </c>
      <c r="R1271" s="39" t="n">
        <f aca="false">Resumo!$C$9</f>
        <v>0</v>
      </c>
      <c r="S1271" s="39" t="n">
        <f aca="false">Resumo!$C$13</f>
        <v>13.55</v>
      </c>
      <c r="T1271" s="39" t="n">
        <f aca="false">Resumo!$C$14*CEILING(I1271,1)</f>
        <v>23.85</v>
      </c>
      <c r="U1271" s="39" t="n">
        <f aca="false">SUM(M1271:T1271)*Resumo!$C$11</f>
        <v>0</v>
      </c>
      <c r="V1271" s="39" t="n">
        <f aca="false">SUM(M1271:U1271)</f>
        <v>99.589152</v>
      </c>
      <c r="W1271" s="39" t="n">
        <f aca="false">V1271/(1-Resumo!$C$5)</f>
        <v>113.169490909091</v>
      </c>
      <c r="X1271" s="39" t="n">
        <v>112.3</v>
      </c>
      <c r="Y1271" s="39" t="n">
        <f aca="false">J1271*Resumo!$B$6</f>
        <v>0.60456</v>
      </c>
      <c r="Z1271" s="39" t="n">
        <f aca="false">J1271*Resumo!$B$7</f>
        <v>1.20912</v>
      </c>
      <c r="AA1271" s="39" t="n">
        <f aca="false">Resumo!$B$9</f>
        <v>1</v>
      </c>
      <c r="AB1271" s="39" t="n">
        <f aca="false">Resumo!$B$10*CEILING(I1271/100,1)</f>
        <v>4.5</v>
      </c>
      <c r="AC1271" s="39" t="n">
        <f aca="false">Resumo!$B$12*CEILING(I1271,1)</f>
        <v>3.18</v>
      </c>
      <c r="AD1271" s="39" t="n">
        <f aca="false">Resumo!$B$14*CEILING(I1271,1)</f>
        <v>23.85</v>
      </c>
      <c r="AE1271" s="39" t="n">
        <f aca="false">SUM(X1271:AD1271)</f>
        <v>146.64368</v>
      </c>
      <c r="AF1271" s="39" t="n">
        <f aca="false">AE1271/(1-Resumo!$B$5)</f>
        <v>166.640545454545</v>
      </c>
      <c r="AG1271" s="39" t="n">
        <f aca="false">AF1271-W1271</f>
        <v>53.4710545454545</v>
      </c>
      <c r="AH1271" s="40" t="n">
        <f aca="false">AF1271/W1271-1</f>
        <v>0.472486481258521</v>
      </c>
      <c r="AI1271" s="37" t="str">
        <f aca="false">IF(AF1271&lt;W1271,"SIM","NÃO")</f>
        <v>NÃO</v>
      </c>
      <c r="AJ1271" s="37" t="n">
        <v>2</v>
      </c>
      <c r="AK1271" s="37" t="n">
        <v>5</v>
      </c>
      <c r="AL1271" s="37" t="s">
        <v>343</v>
      </c>
      <c r="AM1271" s="39" t="n">
        <v>114.05</v>
      </c>
    </row>
    <row r="1272" customFormat="false" ht="15" hidden="false" customHeight="false" outlineLevel="0" collapsed="false">
      <c r="A1272" s="37" t="n">
        <v>379517052</v>
      </c>
      <c r="B1272" s="38" t="n">
        <v>46254.6625810185</v>
      </c>
      <c r="C1272" s="37" t="s">
        <v>379</v>
      </c>
      <c r="D1272" s="37" t="s">
        <v>1533</v>
      </c>
      <c r="E1272" s="37" t="n">
        <v>27213250</v>
      </c>
      <c r="F1272" s="37" t="s">
        <v>168</v>
      </c>
      <c r="G1272" s="37" t="s">
        <v>198</v>
      </c>
      <c r="H1272" s="37" t="s">
        <v>184</v>
      </c>
      <c r="I1272" s="37" t="n">
        <v>27.6</v>
      </c>
      <c r="J1272" s="39" t="n">
        <v>593.99</v>
      </c>
      <c r="K1272" s="37" t="s">
        <v>342</v>
      </c>
      <c r="L1272" s="39" t="n">
        <v>110.03</v>
      </c>
      <c r="M1272" s="39" t="n">
        <v>65.63</v>
      </c>
      <c r="N1272" s="39" t="n">
        <f aca="false">J1272*Resumo!$C$6</f>
        <v>0</v>
      </c>
      <c r="O1272" s="39" t="n">
        <f aca="false">J1272*Resumo!$C$7</f>
        <v>1.247379</v>
      </c>
      <c r="P1272" s="39" t="n">
        <f aca="false">J1272*Resumo!$C$8</f>
        <v>1.247379</v>
      </c>
      <c r="Q1272" s="39" t="n">
        <f aca="false">Resumo!$C$10*CEILING(I1272/100,1)</f>
        <v>1.05</v>
      </c>
      <c r="R1272" s="39" t="n">
        <f aca="false">Resumo!$C$9</f>
        <v>0</v>
      </c>
      <c r="S1272" s="39" t="n">
        <f aca="false">Resumo!$C$13</f>
        <v>13.55</v>
      </c>
      <c r="T1272" s="39" t="n">
        <f aca="false">Resumo!$C$14*CEILING(I1272,1)</f>
        <v>12.6</v>
      </c>
      <c r="U1272" s="39" t="n">
        <f aca="false">SUM(M1272:T1272)*Resumo!$C$11</f>
        <v>0</v>
      </c>
      <c r="V1272" s="39" t="n">
        <f aca="false">SUM(M1272:U1272)</f>
        <v>95.324758</v>
      </c>
      <c r="W1272" s="39" t="n">
        <f aca="false">V1272/(1-Resumo!$C$5)</f>
        <v>108.323588636364</v>
      </c>
      <c r="X1272" s="39" t="n">
        <v>108.83</v>
      </c>
      <c r="Y1272" s="39" t="n">
        <f aca="false">J1272*Resumo!$B$6</f>
        <v>0.59399</v>
      </c>
      <c r="Z1272" s="39" t="n">
        <f aca="false">J1272*Resumo!$B$7</f>
        <v>1.18798</v>
      </c>
      <c r="AA1272" s="39" t="n">
        <f aca="false">Resumo!$B$9</f>
        <v>1</v>
      </c>
      <c r="AB1272" s="39" t="n">
        <f aca="false">Resumo!$B$10*CEILING(I1272/100,1)</f>
        <v>4.5</v>
      </c>
      <c r="AC1272" s="39" t="n">
        <f aca="false">Resumo!$B$12*CEILING(I1272,1)</f>
        <v>1.68</v>
      </c>
      <c r="AD1272" s="39" t="n">
        <f aca="false">Resumo!$B$14*CEILING(I1272,1)</f>
        <v>12.6</v>
      </c>
      <c r="AE1272" s="39" t="n">
        <f aca="false">SUM(X1272:AD1272)</f>
        <v>130.39197</v>
      </c>
      <c r="AF1272" s="39" t="n">
        <f aca="false">AE1272/(1-Resumo!$B$5)</f>
        <v>148.172693181818</v>
      </c>
      <c r="AG1272" s="39" t="n">
        <f aca="false">AF1272-W1272</f>
        <v>39.8491045454546</v>
      </c>
      <c r="AH1272" s="40" t="n">
        <f aca="false">AF1272/W1272-1</f>
        <v>0.367870978492282</v>
      </c>
      <c r="AI1272" s="37" t="str">
        <f aca="false">IF(AF1272&lt;W1272,"SIM","NÃO")</f>
        <v>NÃO</v>
      </c>
      <c r="AJ1272" s="37" t="n">
        <v>13</v>
      </c>
      <c r="AK1272" s="37" t="n">
        <v>10</v>
      </c>
      <c r="AL1272" s="37" t="s">
        <v>343</v>
      </c>
      <c r="AM1272" s="39" t="n">
        <v>110.03</v>
      </c>
    </row>
    <row r="1273" customFormat="false" ht="15" hidden="false" customHeight="false" outlineLevel="0" collapsed="false">
      <c r="A1273" s="37" t="n">
        <v>379520540</v>
      </c>
      <c r="B1273" s="38" t="n">
        <v>46254.6690509259</v>
      </c>
      <c r="C1273" s="37" t="s">
        <v>340</v>
      </c>
      <c r="D1273" s="37" t="s">
        <v>1534</v>
      </c>
      <c r="E1273" s="37" t="n">
        <v>26042310</v>
      </c>
      <c r="F1273" s="37" t="s">
        <v>162</v>
      </c>
      <c r="G1273" s="37" t="s">
        <v>197</v>
      </c>
      <c r="H1273" s="37" t="s">
        <v>186</v>
      </c>
      <c r="I1273" s="37" t="n">
        <v>49.6</v>
      </c>
      <c r="J1273" s="39" t="n">
        <v>749.99</v>
      </c>
      <c r="K1273" s="37" t="s">
        <v>342</v>
      </c>
      <c r="L1273" s="39" t="n">
        <v>117.67</v>
      </c>
      <c r="M1273" s="39" t="n">
        <v>65.36</v>
      </c>
      <c r="N1273" s="39" t="n">
        <f aca="false">J1273*Resumo!$C$6</f>
        <v>0</v>
      </c>
      <c r="O1273" s="39" t="n">
        <f aca="false">J1273*Resumo!$C$7</f>
        <v>1.574979</v>
      </c>
      <c r="P1273" s="39" t="n">
        <f aca="false">J1273*Resumo!$C$8</f>
        <v>1.574979</v>
      </c>
      <c r="Q1273" s="39" t="n">
        <f aca="false">Resumo!$C$10*CEILING(I1273/100,1)</f>
        <v>1.05</v>
      </c>
      <c r="R1273" s="39" t="n">
        <f aca="false">Resumo!$C$9</f>
        <v>0</v>
      </c>
      <c r="S1273" s="39" t="n">
        <f aca="false">Resumo!$C$13</f>
        <v>13.55</v>
      </c>
      <c r="T1273" s="39" t="n">
        <f aca="false">Resumo!$C$14*CEILING(I1273,1)</f>
        <v>22.5</v>
      </c>
      <c r="U1273" s="39" t="n">
        <f aca="false">SUM(M1273:T1273)*Resumo!$C$11</f>
        <v>0</v>
      </c>
      <c r="V1273" s="39" t="n">
        <f aca="false">SUM(M1273:U1273)</f>
        <v>105.609958</v>
      </c>
      <c r="W1273" s="39" t="n">
        <f aca="false">V1273/(1-Resumo!$C$5)</f>
        <v>120.011315909091</v>
      </c>
      <c r="X1273" s="39" t="n">
        <v>93.97</v>
      </c>
      <c r="Y1273" s="39" t="n">
        <f aca="false">J1273*Resumo!$B$6</f>
        <v>0.74999</v>
      </c>
      <c r="Z1273" s="39" t="n">
        <f aca="false">J1273*Resumo!$B$7</f>
        <v>1.49998</v>
      </c>
      <c r="AA1273" s="39" t="n">
        <f aca="false">Resumo!$B$9</f>
        <v>1</v>
      </c>
      <c r="AB1273" s="39" t="n">
        <f aca="false">Resumo!$B$10*CEILING(I1273/100,1)</f>
        <v>4.5</v>
      </c>
      <c r="AC1273" s="39" t="n">
        <f aca="false">Resumo!$B$12*CEILING(I1273,1)</f>
        <v>3</v>
      </c>
      <c r="AD1273" s="39" t="n">
        <f aca="false">Resumo!$B$14*CEILING(I1273,1)</f>
        <v>22.5</v>
      </c>
      <c r="AE1273" s="39" t="n">
        <f aca="false">SUM(X1273:AD1273)</f>
        <v>127.21997</v>
      </c>
      <c r="AF1273" s="39" t="n">
        <f aca="false">AE1273/(1-Resumo!$B$5)</f>
        <v>144.568147727273</v>
      </c>
      <c r="AG1273" s="39" t="n">
        <f aca="false">AF1273-W1273</f>
        <v>24.5568318181818</v>
      </c>
      <c r="AH1273" s="40" t="n">
        <f aca="false">AF1273/W1273-1</f>
        <v>0.204620969549103</v>
      </c>
      <c r="AI1273" s="37" t="str">
        <f aca="false">IF(AF1273&lt;W1273,"SIM","NÃO")</f>
        <v>NÃO</v>
      </c>
      <c r="AJ1273" s="37" t="n">
        <v>2</v>
      </c>
      <c r="AK1273" s="37" t="n">
        <v>5</v>
      </c>
      <c r="AL1273" s="37" t="s">
        <v>343</v>
      </c>
      <c r="AM1273" s="39" t="n">
        <v>117.67</v>
      </c>
    </row>
    <row r="1274" customFormat="false" ht="15" hidden="false" customHeight="false" outlineLevel="0" collapsed="false">
      <c r="A1274" s="37" t="n">
        <v>379531388</v>
      </c>
      <c r="B1274" s="38" t="n">
        <v>46254.6900115741</v>
      </c>
      <c r="C1274" s="37" t="s">
        <v>345</v>
      </c>
      <c r="D1274" s="37" t="s">
        <v>1535</v>
      </c>
      <c r="E1274" s="37" t="n">
        <v>22451030</v>
      </c>
      <c r="F1274" s="37" t="s">
        <v>159</v>
      </c>
      <c r="G1274" s="37" t="s">
        <v>196</v>
      </c>
      <c r="H1274" s="37" t="s">
        <v>187</v>
      </c>
      <c r="I1274" s="37" t="n">
        <v>52.3</v>
      </c>
      <c r="J1274" s="39" t="n">
        <v>616.99</v>
      </c>
      <c r="K1274" s="37" t="s">
        <v>342</v>
      </c>
      <c r="L1274" s="39" t="n">
        <v>114.09</v>
      </c>
      <c r="M1274" s="39" t="n">
        <v>58.6</v>
      </c>
      <c r="N1274" s="39" t="n">
        <f aca="false">J1274*Resumo!$C$6</f>
        <v>0</v>
      </c>
      <c r="O1274" s="39" t="n">
        <f aca="false">J1274*Resumo!$C$7</f>
        <v>1.295679</v>
      </c>
      <c r="P1274" s="39" t="n">
        <f aca="false">J1274*Resumo!$C$8</f>
        <v>1.295679</v>
      </c>
      <c r="Q1274" s="39" t="n">
        <f aca="false">Resumo!$C$10*CEILING(I1274/100,1)</f>
        <v>1.05</v>
      </c>
      <c r="R1274" s="39" t="n">
        <f aca="false">Resumo!$C$9</f>
        <v>0</v>
      </c>
      <c r="S1274" s="39" t="n">
        <f aca="false">Resumo!$C$13</f>
        <v>13.55</v>
      </c>
      <c r="T1274" s="39" t="n">
        <f aca="false">Resumo!$C$14*CEILING(I1274,1)</f>
        <v>23.85</v>
      </c>
      <c r="U1274" s="39" t="n">
        <f aca="false">SUM(M1274:T1274)*Resumo!$C$11</f>
        <v>0</v>
      </c>
      <c r="V1274" s="39" t="n">
        <f aca="false">SUM(M1274:U1274)</f>
        <v>99.641358</v>
      </c>
      <c r="W1274" s="39" t="n">
        <f aca="false">V1274/(1-Resumo!$C$5)</f>
        <v>113.228815909091</v>
      </c>
      <c r="X1274" s="39" t="n">
        <v>112.3</v>
      </c>
      <c r="Y1274" s="39" t="n">
        <f aca="false">J1274*Resumo!$B$6</f>
        <v>0.61699</v>
      </c>
      <c r="Z1274" s="39" t="n">
        <f aca="false">J1274*Resumo!$B$7</f>
        <v>1.23398</v>
      </c>
      <c r="AA1274" s="39" t="n">
        <f aca="false">Resumo!$B$9</f>
        <v>1</v>
      </c>
      <c r="AB1274" s="39" t="n">
        <f aca="false">Resumo!$B$10*CEILING(I1274/100,1)</f>
        <v>4.5</v>
      </c>
      <c r="AC1274" s="39" t="n">
        <f aca="false">Resumo!$B$12*CEILING(I1274,1)</f>
        <v>3.18</v>
      </c>
      <c r="AD1274" s="39" t="n">
        <f aca="false">Resumo!$B$14*CEILING(I1274,1)</f>
        <v>23.85</v>
      </c>
      <c r="AE1274" s="39" t="n">
        <f aca="false">SUM(X1274:AD1274)</f>
        <v>146.68097</v>
      </c>
      <c r="AF1274" s="39" t="n">
        <f aca="false">AE1274/(1-Resumo!$B$5)</f>
        <v>166.682920454545</v>
      </c>
      <c r="AG1274" s="39" t="n">
        <f aca="false">AF1274-W1274</f>
        <v>53.4541045454546</v>
      </c>
      <c r="AH1274" s="40" t="n">
        <f aca="false">AF1274/W1274-1</f>
        <v>0.472089230257179</v>
      </c>
      <c r="AI1274" s="37" t="str">
        <f aca="false">IF(AF1274&lt;W1274,"SIM","NÃO")</f>
        <v>NÃO</v>
      </c>
      <c r="AJ1274" s="37" t="n">
        <v>2</v>
      </c>
      <c r="AK1274" s="37" t="n">
        <v>5</v>
      </c>
      <c r="AL1274" s="37" t="s">
        <v>343</v>
      </c>
      <c r="AM1274" s="39" t="n">
        <v>114.11</v>
      </c>
    </row>
    <row r="1275" customFormat="false" ht="15" hidden="false" customHeight="false" outlineLevel="0" collapsed="false">
      <c r="A1275" s="37" t="n">
        <v>379559166</v>
      </c>
      <c r="B1275" s="38" t="n">
        <v>46254.7420601852</v>
      </c>
      <c r="C1275" s="37" t="s">
        <v>345</v>
      </c>
      <c r="D1275" s="37" t="s">
        <v>1536</v>
      </c>
      <c r="E1275" s="37" t="n">
        <v>22420030</v>
      </c>
      <c r="F1275" s="37" t="s">
        <v>159</v>
      </c>
      <c r="G1275" s="37" t="s">
        <v>196</v>
      </c>
      <c r="H1275" s="37" t="s">
        <v>187</v>
      </c>
      <c r="I1275" s="37" t="n">
        <v>55</v>
      </c>
      <c r="J1275" s="39" t="n">
        <v>799.96</v>
      </c>
      <c r="K1275" s="37" t="s">
        <v>342</v>
      </c>
      <c r="L1275" s="39" t="n">
        <v>114.99</v>
      </c>
      <c r="M1275" s="39" t="n">
        <v>58.6</v>
      </c>
      <c r="N1275" s="39" t="n">
        <f aca="false">J1275*Resumo!$C$6</f>
        <v>0</v>
      </c>
      <c r="O1275" s="39" t="n">
        <f aca="false">J1275*Resumo!$C$7</f>
        <v>1.679916</v>
      </c>
      <c r="P1275" s="39" t="n">
        <f aca="false">J1275*Resumo!$C$8</f>
        <v>1.679916</v>
      </c>
      <c r="Q1275" s="39" t="n">
        <f aca="false">Resumo!$C$10*CEILING(I1275/100,1)</f>
        <v>1.05</v>
      </c>
      <c r="R1275" s="39" t="n">
        <f aca="false">Resumo!$C$9</f>
        <v>0</v>
      </c>
      <c r="S1275" s="39" t="n">
        <f aca="false">Resumo!$C$13</f>
        <v>13.55</v>
      </c>
      <c r="T1275" s="39" t="n">
        <f aca="false">Resumo!$C$14*CEILING(I1275,1)</f>
        <v>24.75</v>
      </c>
      <c r="U1275" s="39" t="n">
        <f aca="false">SUM(M1275:T1275)*Resumo!$C$11</f>
        <v>0</v>
      </c>
      <c r="V1275" s="39" t="n">
        <f aca="false">SUM(M1275:U1275)</f>
        <v>101.309832</v>
      </c>
      <c r="W1275" s="39" t="n">
        <f aca="false">V1275/(1-Resumo!$C$5)</f>
        <v>115.124809090909</v>
      </c>
      <c r="X1275" s="39" t="n">
        <v>112.3</v>
      </c>
      <c r="Y1275" s="39" t="n">
        <f aca="false">J1275*Resumo!$B$6</f>
        <v>0.79996</v>
      </c>
      <c r="Z1275" s="39" t="n">
        <f aca="false">J1275*Resumo!$B$7</f>
        <v>1.59992</v>
      </c>
      <c r="AA1275" s="39" t="n">
        <f aca="false">Resumo!$B$9</f>
        <v>1</v>
      </c>
      <c r="AB1275" s="39" t="n">
        <f aca="false">Resumo!$B$10*CEILING(I1275/100,1)</f>
        <v>4.5</v>
      </c>
      <c r="AC1275" s="39" t="n">
        <f aca="false">Resumo!$B$12*CEILING(I1275,1)</f>
        <v>3.3</v>
      </c>
      <c r="AD1275" s="39" t="n">
        <f aca="false">Resumo!$B$14*CEILING(I1275,1)</f>
        <v>24.75</v>
      </c>
      <c r="AE1275" s="39" t="n">
        <f aca="false">SUM(X1275:AD1275)</f>
        <v>148.24988</v>
      </c>
      <c r="AF1275" s="39" t="n">
        <f aca="false">AE1275/(1-Resumo!$B$5)</f>
        <v>168.465772727273</v>
      </c>
      <c r="AG1275" s="39" t="n">
        <f aca="false">AF1275-W1275</f>
        <v>53.3409636363636</v>
      </c>
      <c r="AH1275" s="40" t="n">
        <f aca="false">AF1275/W1275-1</f>
        <v>0.463331614250431</v>
      </c>
      <c r="AI1275" s="37" t="str">
        <f aca="false">IF(AF1275&lt;W1275,"SIM","NÃO")</f>
        <v>NÃO</v>
      </c>
      <c r="AJ1275" s="37" t="n">
        <v>2</v>
      </c>
      <c r="AK1275" s="37" t="n">
        <v>5</v>
      </c>
      <c r="AL1275" s="37" t="s">
        <v>343</v>
      </c>
      <c r="AM1275" s="39" t="n">
        <v>114.98</v>
      </c>
    </row>
    <row r="1276" customFormat="false" ht="15" hidden="false" customHeight="false" outlineLevel="0" collapsed="false">
      <c r="A1276" s="37" t="n">
        <v>379565278</v>
      </c>
      <c r="B1276" s="38" t="n">
        <v>46254.7513541667</v>
      </c>
      <c r="C1276" s="37" t="s">
        <v>372</v>
      </c>
      <c r="D1276" s="37" t="s">
        <v>1537</v>
      </c>
      <c r="E1276" s="37" t="n">
        <v>22795255</v>
      </c>
      <c r="F1276" s="37" t="s">
        <v>159</v>
      </c>
      <c r="G1276" s="37" t="s">
        <v>196</v>
      </c>
      <c r="H1276" s="37" t="s">
        <v>184</v>
      </c>
      <c r="I1276" s="37" t="n">
        <v>22.4</v>
      </c>
      <c r="J1276" s="39" t="n">
        <v>495.99</v>
      </c>
      <c r="K1276" s="37" t="s">
        <v>342</v>
      </c>
      <c r="L1276" s="39" t="n">
        <v>82.69</v>
      </c>
      <c r="M1276" s="39" t="n">
        <v>42.11</v>
      </c>
      <c r="N1276" s="39" t="n">
        <f aca="false">J1276*Resumo!$C$6</f>
        <v>0</v>
      </c>
      <c r="O1276" s="39" t="n">
        <f aca="false">J1276*Resumo!$C$7</f>
        <v>1.041579</v>
      </c>
      <c r="P1276" s="39" t="n">
        <f aca="false">J1276*Resumo!$C$8</f>
        <v>1.041579</v>
      </c>
      <c r="Q1276" s="39" t="n">
        <f aca="false">Resumo!$C$10*CEILING(I1276/100,1)</f>
        <v>1.05</v>
      </c>
      <c r="R1276" s="39" t="n">
        <f aca="false">Resumo!$C$9</f>
        <v>0</v>
      </c>
      <c r="S1276" s="39" t="n">
        <f aca="false">Resumo!$C$13</f>
        <v>13.55</v>
      </c>
      <c r="T1276" s="39" t="n">
        <f aca="false">Resumo!$C$14*CEILING(I1276,1)</f>
        <v>10.35</v>
      </c>
      <c r="U1276" s="39" t="n">
        <f aca="false">SUM(M1276:T1276)*Resumo!$C$11</f>
        <v>0</v>
      </c>
      <c r="V1276" s="39" t="n">
        <f aca="false">SUM(M1276:U1276)</f>
        <v>69.143158</v>
      </c>
      <c r="W1276" s="39" t="n">
        <f aca="false">V1276/(1-Resumo!$C$5)</f>
        <v>78.5717704545455</v>
      </c>
      <c r="X1276" s="39" t="n">
        <v>82.21</v>
      </c>
      <c r="Y1276" s="39" t="n">
        <f aca="false">J1276*Resumo!$B$6</f>
        <v>0.49599</v>
      </c>
      <c r="Z1276" s="39" t="n">
        <f aca="false">J1276*Resumo!$B$7</f>
        <v>0.99198</v>
      </c>
      <c r="AA1276" s="39" t="n">
        <f aca="false">Resumo!$B$9</f>
        <v>1</v>
      </c>
      <c r="AB1276" s="39" t="n">
        <f aca="false">Resumo!$B$10*CEILING(I1276/100,1)</f>
        <v>4.5</v>
      </c>
      <c r="AC1276" s="39" t="n">
        <f aca="false">Resumo!$B$12*CEILING(I1276,1)</f>
        <v>1.38</v>
      </c>
      <c r="AD1276" s="39" t="n">
        <f aca="false">Resumo!$B$14*CEILING(I1276,1)</f>
        <v>10.35</v>
      </c>
      <c r="AE1276" s="39" t="n">
        <f aca="false">SUM(X1276:AD1276)</f>
        <v>100.92797</v>
      </c>
      <c r="AF1276" s="39" t="n">
        <f aca="false">AE1276/(1-Resumo!$B$5)</f>
        <v>114.690875</v>
      </c>
      <c r="AG1276" s="39" t="n">
        <f aca="false">AF1276-W1276</f>
        <v>36.1191045454545</v>
      </c>
      <c r="AH1276" s="40" t="n">
        <f aca="false">AF1276/W1276-1</f>
        <v>0.459695693968736</v>
      </c>
      <c r="AI1276" s="37" t="str">
        <f aca="false">IF(AF1276&lt;W1276,"SIM","NÃO")</f>
        <v>NÃO</v>
      </c>
      <c r="AJ1276" s="37" t="n">
        <v>2</v>
      </c>
      <c r="AK1276" s="37" t="n">
        <v>5</v>
      </c>
      <c r="AL1276" s="37" t="s">
        <v>343</v>
      </c>
      <c r="AM1276" s="39" t="n">
        <v>82.7</v>
      </c>
    </row>
    <row r="1277" customFormat="false" ht="15" hidden="false" customHeight="false" outlineLevel="0" collapsed="false">
      <c r="A1277" s="37" t="n">
        <v>379575951</v>
      </c>
      <c r="B1277" s="38" t="n">
        <v>46254.7682291667</v>
      </c>
      <c r="C1277" s="37" t="s">
        <v>340</v>
      </c>
      <c r="D1277" s="37" t="s">
        <v>1538</v>
      </c>
      <c r="E1277" s="37" t="n">
        <v>28950800</v>
      </c>
      <c r="F1277" s="37" t="s">
        <v>293</v>
      </c>
      <c r="G1277" s="37" t="s">
        <v>198</v>
      </c>
      <c r="H1277" s="37" t="s">
        <v>188</v>
      </c>
      <c r="I1277" s="37" t="n">
        <v>63.9</v>
      </c>
      <c r="J1277" s="39" t="n">
        <v>730.98</v>
      </c>
      <c r="K1277" s="37" t="s">
        <v>342</v>
      </c>
      <c r="L1277" s="39" t="n">
        <v>155.51</v>
      </c>
      <c r="M1277" s="39" t="n">
        <v>90.2</v>
      </c>
      <c r="N1277" s="39" t="n">
        <f aca="false">J1277*Resumo!$C$6</f>
        <v>0</v>
      </c>
      <c r="O1277" s="39" t="n">
        <f aca="false">J1277*Resumo!$C$7</f>
        <v>1.535058</v>
      </c>
      <c r="P1277" s="39" t="n">
        <f aca="false">J1277*Resumo!$C$8</f>
        <v>1.535058</v>
      </c>
      <c r="Q1277" s="39" t="n">
        <f aca="false">Resumo!$C$10*CEILING(I1277/100,1)</f>
        <v>1.05</v>
      </c>
      <c r="R1277" s="39" t="n">
        <f aca="false">Resumo!$C$9</f>
        <v>0</v>
      </c>
      <c r="S1277" s="39" t="n">
        <f aca="false">Resumo!$C$13</f>
        <v>13.55</v>
      </c>
      <c r="T1277" s="39" t="n">
        <f aca="false">Resumo!$C$14*CEILING(I1277,1)</f>
        <v>28.8</v>
      </c>
      <c r="U1277" s="39" t="n">
        <f aca="false">SUM(M1277:T1277)*Resumo!$C$11</f>
        <v>0</v>
      </c>
      <c r="V1277" s="39" t="n">
        <f aca="false">SUM(M1277:U1277)</f>
        <v>136.670116</v>
      </c>
      <c r="W1277" s="39" t="n">
        <f aca="false">V1277/(1-Resumo!$C$5)</f>
        <v>155.30695</v>
      </c>
      <c r="X1277" s="39" t="n">
        <v>166.05</v>
      </c>
      <c r="Y1277" s="39" t="n">
        <f aca="false">J1277*Resumo!$B$6</f>
        <v>0.73098</v>
      </c>
      <c r="Z1277" s="39" t="n">
        <f aca="false">J1277*Resumo!$B$7</f>
        <v>1.46196</v>
      </c>
      <c r="AA1277" s="39" t="n">
        <f aca="false">Resumo!$B$9</f>
        <v>1</v>
      </c>
      <c r="AB1277" s="39" t="n">
        <f aca="false">Resumo!$B$10*CEILING(I1277/100,1)</f>
        <v>4.5</v>
      </c>
      <c r="AC1277" s="39" t="n">
        <f aca="false">Resumo!$B$12*CEILING(I1277,1)</f>
        <v>3.84</v>
      </c>
      <c r="AD1277" s="39" t="n">
        <f aca="false">Resumo!$B$14*CEILING(I1277,1)</f>
        <v>28.8</v>
      </c>
      <c r="AE1277" s="39" t="n">
        <f aca="false">SUM(X1277:AD1277)</f>
        <v>206.38294</v>
      </c>
      <c r="AF1277" s="39" t="n">
        <f aca="false">AE1277/(1-Resumo!$B$5)</f>
        <v>234.526068181818</v>
      </c>
      <c r="AG1277" s="39" t="n">
        <f aca="false">AF1277-W1277</f>
        <v>79.2191181818182</v>
      </c>
      <c r="AH1277" s="40" t="n">
        <f aca="false">AF1277/W1277-1</f>
        <v>0.510080960200546</v>
      </c>
      <c r="AI1277" s="37" t="str">
        <f aca="false">IF(AF1277&lt;W1277,"SIM","NÃO")</f>
        <v>NÃO</v>
      </c>
      <c r="AJ1277" s="37" t="n">
        <v>13</v>
      </c>
      <c r="AK1277" s="37" t="n">
        <v>10</v>
      </c>
      <c r="AL1277" s="37" t="s">
        <v>347</v>
      </c>
      <c r="AM1277" s="39" t="n">
        <v>155.52</v>
      </c>
    </row>
    <row r="1278" customFormat="false" ht="15" hidden="false" customHeight="false" outlineLevel="0" collapsed="false">
      <c r="A1278" s="37" t="n">
        <v>379595131</v>
      </c>
      <c r="B1278" s="38" t="n">
        <v>46254.7933680556</v>
      </c>
      <c r="C1278" s="37" t="s">
        <v>340</v>
      </c>
      <c r="D1278" s="37" t="s">
        <v>1539</v>
      </c>
      <c r="E1278" s="37" t="n">
        <v>26062025</v>
      </c>
      <c r="F1278" s="37" t="s">
        <v>162</v>
      </c>
      <c r="G1278" s="37" t="s">
        <v>197</v>
      </c>
      <c r="H1278" s="37" t="s">
        <v>185</v>
      </c>
      <c r="I1278" s="37" t="n">
        <v>37.2</v>
      </c>
      <c r="J1278" s="39" t="n">
        <v>399.99</v>
      </c>
      <c r="K1278" s="37" t="s">
        <v>342</v>
      </c>
      <c r="L1278" s="39" t="n">
        <v>112.88</v>
      </c>
      <c r="M1278" s="39" t="n">
        <v>66.83</v>
      </c>
      <c r="N1278" s="39" t="n">
        <f aca="false">J1278*Resumo!$C$6</f>
        <v>0</v>
      </c>
      <c r="O1278" s="39" t="n">
        <f aca="false">J1278*Resumo!$C$7</f>
        <v>0.839979</v>
      </c>
      <c r="P1278" s="39" t="n">
        <f aca="false">J1278*Resumo!$C$8</f>
        <v>0.839979</v>
      </c>
      <c r="Q1278" s="39" t="n">
        <f aca="false">Resumo!$C$10*CEILING(I1278/100,1)</f>
        <v>1.05</v>
      </c>
      <c r="R1278" s="39" t="n">
        <f aca="false">Resumo!$C$9</f>
        <v>0</v>
      </c>
      <c r="S1278" s="39" t="n">
        <f aca="false">Resumo!$C$13</f>
        <v>13.55</v>
      </c>
      <c r="T1278" s="39" t="n">
        <f aca="false">Resumo!$C$14*CEILING(I1278,1)</f>
        <v>17.1</v>
      </c>
      <c r="U1278" s="39" t="n">
        <f aca="false">SUM(M1278:T1278)*Resumo!$C$11</f>
        <v>0</v>
      </c>
      <c r="V1278" s="39" t="n">
        <f aca="false">SUM(M1278:U1278)</f>
        <v>100.209958</v>
      </c>
      <c r="W1278" s="39" t="n">
        <f aca="false">V1278/(1-Resumo!$C$5)</f>
        <v>113.874952272727</v>
      </c>
      <c r="X1278" s="39" t="n">
        <v>93.97</v>
      </c>
      <c r="Y1278" s="39" t="n">
        <f aca="false">J1278*Resumo!$B$6</f>
        <v>0.39999</v>
      </c>
      <c r="Z1278" s="39" t="n">
        <f aca="false">J1278*Resumo!$B$7</f>
        <v>0.79998</v>
      </c>
      <c r="AA1278" s="39" t="n">
        <f aca="false">Resumo!$B$9</f>
        <v>1</v>
      </c>
      <c r="AB1278" s="39" t="n">
        <f aca="false">Resumo!$B$10*CEILING(I1278/100,1)</f>
        <v>4.5</v>
      </c>
      <c r="AC1278" s="39" t="n">
        <f aca="false">Resumo!$B$12*CEILING(I1278,1)</f>
        <v>2.28</v>
      </c>
      <c r="AD1278" s="39" t="n">
        <f aca="false">Resumo!$B$14*CEILING(I1278,1)</f>
        <v>17.1</v>
      </c>
      <c r="AE1278" s="39" t="n">
        <f aca="false">SUM(X1278:AD1278)</f>
        <v>120.04997</v>
      </c>
      <c r="AF1278" s="39" t="n">
        <f aca="false">AE1278/(1-Resumo!$B$5)</f>
        <v>136.420420454545</v>
      </c>
      <c r="AG1278" s="39" t="n">
        <f aca="false">AF1278-W1278</f>
        <v>22.5454681818182</v>
      </c>
      <c r="AH1278" s="40" t="n">
        <f aca="false">AF1278/W1278-1</f>
        <v>0.197984435838203</v>
      </c>
      <c r="AI1278" s="37" t="str">
        <f aca="false">IF(AF1278&lt;W1278,"SIM","NÃO")</f>
        <v>NÃO</v>
      </c>
      <c r="AJ1278" s="37" t="n">
        <v>2</v>
      </c>
      <c r="AK1278" s="37" t="n">
        <v>5</v>
      </c>
      <c r="AL1278" s="37" t="s">
        <v>343</v>
      </c>
      <c r="AM1278" s="39" t="n">
        <v>112.87</v>
      </c>
    </row>
    <row r="1279" customFormat="false" ht="15" hidden="false" customHeight="false" outlineLevel="0" collapsed="false">
      <c r="A1279" s="37" t="n">
        <v>379602282</v>
      </c>
      <c r="B1279" s="38" t="n">
        <v>46254.8034953704</v>
      </c>
      <c r="C1279" s="37" t="s">
        <v>340</v>
      </c>
      <c r="D1279" s="37" t="s">
        <v>1540</v>
      </c>
      <c r="E1279" s="37" t="n">
        <v>23820390</v>
      </c>
      <c r="F1279" s="37" t="s">
        <v>217</v>
      </c>
      <c r="G1279" s="37" t="s">
        <v>198</v>
      </c>
      <c r="H1279" s="37" t="s">
        <v>186</v>
      </c>
      <c r="I1279" s="37" t="n">
        <v>45</v>
      </c>
      <c r="J1279" s="39" t="n">
        <v>599.99</v>
      </c>
      <c r="K1279" s="37" t="s">
        <v>342</v>
      </c>
      <c r="L1279" s="39" t="n">
        <v>131.03</v>
      </c>
      <c r="M1279" s="39" t="n">
        <v>77.7</v>
      </c>
      <c r="N1279" s="39" t="n">
        <f aca="false">J1279*Resumo!$C$6</f>
        <v>0</v>
      </c>
      <c r="O1279" s="39" t="n">
        <f aca="false">J1279*Resumo!$C$7</f>
        <v>1.259979</v>
      </c>
      <c r="P1279" s="39" t="n">
        <f aca="false">J1279*Resumo!$C$8</f>
        <v>1.259979</v>
      </c>
      <c r="Q1279" s="39" t="n">
        <f aca="false">Resumo!$C$10*CEILING(I1279/100,1)</f>
        <v>1.05</v>
      </c>
      <c r="R1279" s="39" t="n">
        <f aca="false">Resumo!$C$9</f>
        <v>0</v>
      </c>
      <c r="S1279" s="39" t="n">
        <f aca="false">Resumo!$C$13</f>
        <v>13.55</v>
      </c>
      <c r="T1279" s="39" t="n">
        <f aca="false">Resumo!$C$14*CEILING(I1279,1)</f>
        <v>20.25</v>
      </c>
      <c r="U1279" s="39" t="n">
        <f aca="false">SUM(M1279:T1279)*Resumo!$C$11</f>
        <v>0</v>
      </c>
      <c r="V1279" s="39" t="n">
        <f aca="false">SUM(M1279:U1279)</f>
        <v>115.069958</v>
      </c>
      <c r="W1279" s="39" t="n">
        <f aca="false">V1279/(1-Resumo!$C$5)</f>
        <v>130.761315909091</v>
      </c>
      <c r="X1279" s="39" t="n">
        <v>103.97</v>
      </c>
      <c r="Y1279" s="39" t="n">
        <f aca="false">J1279*Resumo!$B$6</f>
        <v>0.59999</v>
      </c>
      <c r="Z1279" s="39" t="n">
        <f aca="false">J1279*Resumo!$B$7</f>
        <v>1.19998</v>
      </c>
      <c r="AA1279" s="39" t="n">
        <f aca="false">Resumo!$B$9</f>
        <v>1</v>
      </c>
      <c r="AB1279" s="39" t="n">
        <f aca="false">Resumo!$B$10*CEILING(I1279/100,1)</f>
        <v>4.5</v>
      </c>
      <c r="AC1279" s="39" t="n">
        <f aca="false">Resumo!$B$12*CEILING(I1279,1)</f>
        <v>2.7</v>
      </c>
      <c r="AD1279" s="39" t="n">
        <f aca="false">Resumo!$B$14*CEILING(I1279,1)</f>
        <v>20.25</v>
      </c>
      <c r="AE1279" s="39" t="n">
        <f aca="false">SUM(X1279:AD1279)</f>
        <v>134.21997</v>
      </c>
      <c r="AF1279" s="39" t="n">
        <f aca="false">AE1279/(1-Resumo!$B$5)</f>
        <v>152.522693181818</v>
      </c>
      <c r="AG1279" s="39" t="n">
        <f aca="false">AF1279-W1279</f>
        <v>21.7613772727273</v>
      </c>
      <c r="AH1279" s="40" t="n">
        <f aca="false">AF1279/W1279-1</f>
        <v>0.166420604759411</v>
      </c>
      <c r="AI1279" s="37" t="str">
        <f aca="false">IF(AF1279&lt;W1279,"SIM","NÃO")</f>
        <v>NÃO</v>
      </c>
      <c r="AJ1279" s="37" t="n">
        <v>13</v>
      </c>
      <c r="AK1279" s="37" t="n">
        <v>5</v>
      </c>
      <c r="AL1279" s="37" t="s">
        <v>347</v>
      </c>
      <c r="AM1279" s="39" t="n">
        <v>131.04</v>
      </c>
    </row>
    <row r="1280" customFormat="false" ht="15" hidden="false" customHeight="false" outlineLevel="0" collapsed="false">
      <c r="A1280" s="37" t="n">
        <v>379603182</v>
      </c>
      <c r="B1280" s="38" t="n">
        <v>46254.8053356482</v>
      </c>
      <c r="C1280" s="37" t="s">
        <v>345</v>
      </c>
      <c r="D1280" s="37" t="s">
        <v>1541</v>
      </c>
      <c r="E1280" s="37" t="n">
        <v>20730430</v>
      </c>
      <c r="F1280" s="37" t="s">
        <v>159</v>
      </c>
      <c r="G1280" s="37" t="s">
        <v>196</v>
      </c>
      <c r="H1280" s="37" t="s">
        <v>190</v>
      </c>
      <c r="I1280" s="37" t="n">
        <v>81.7</v>
      </c>
      <c r="J1280" s="39" t="n">
        <v>623</v>
      </c>
      <c r="K1280" s="37" t="s">
        <v>342</v>
      </c>
      <c r="L1280" s="39" t="n">
        <v>162.09</v>
      </c>
      <c r="M1280" s="39" t="n">
        <v>83.79</v>
      </c>
      <c r="N1280" s="39" t="n">
        <f aca="false">J1280*Resumo!$C$6</f>
        <v>0</v>
      </c>
      <c r="O1280" s="39" t="n">
        <f aca="false">J1280*Resumo!$C$7</f>
        <v>1.3083</v>
      </c>
      <c r="P1280" s="39" t="n">
        <f aca="false">J1280*Resumo!$C$8</f>
        <v>1.3083</v>
      </c>
      <c r="Q1280" s="39" t="n">
        <f aca="false">Resumo!$C$10*CEILING(I1280/100,1)</f>
        <v>1.05</v>
      </c>
      <c r="R1280" s="39" t="n">
        <f aca="false">Resumo!$C$9</f>
        <v>0</v>
      </c>
      <c r="S1280" s="39" t="n">
        <f aca="false">Resumo!$C$13</f>
        <v>13.55</v>
      </c>
      <c r="T1280" s="39" t="n">
        <f aca="false">Resumo!$C$14*CEILING(I1280,1)</f>
        <v>36.9</v>
      </c>
      <c r="U1280" s="39" t="n">
        <f aca="false">SUM(M1280:T1280)*Resumo!$C$11</f>
        <v>0</v>
      </c>
      <c r="V1280" s="39" t="n">
        <f aca="false">SUM(M1280:U1280)</f>
        <v>137.9066</v>
      </c>
      <c r="W1280" s="39" t="n">
        <f aca="false">V1280/(1-Resumo!$C$5)</f>
        <v>156.712045454545</v>
      </c>
      <c r="X1280" s="39" t="n">
        <v>167.99</v>
      </c>
      <c r="Y1280" s="39" t="n">
        <f aca="false">J1280*Resumo!$B$6</f>
        <v>0.623</v>
      </c>
      <c r="Z1280" s="39" t="n">
        <f aca="false">J1280*Resumo!$B$7</f>
        <v>1.246</v>
      </c>
      <c r="AA1280" s="39" t="n">
        <f aca="false">Resumo!$B$9</f>
        <v>1</v>
      </c>
      <c r="AB1280" s="39" t="n">
        <f aca="false">Resumo!$B$10*CEILING(I1280/100,1)</f>
        <v>4.5</v>
      </c>
      <c r="AC1280" s="39" t="n">
        <f aca="false">Resumo!$B$12*CEILING(I1280,1)</f>
        <v>4.92</v>
      </c>
      <c r="AD1280" s="39" t="n">
        <f aca="false">Resumo!$B$14*CEILING(I1280,1)</f>
        <v>36.9</v>
      </c>
      <c r="AE1280" s="39" t="n">
        <f aca="false">SUM(X1280:AD1280)</f>
        <v>217.179</v>
      </c>
      <c r="AF1280" s="39" t="n">
        <f aca="false">AE1280/(1-Resumo!$B$5)</f>
        <v>246.794318181818</v>
      </c>
      <c r="AG1280" s="39" t="n">
        <f aca="false">AF1280-W1280</f>
        <v>90.0822727272727</v>
      </c>
      <c r="AH1280" s="40" t="n">
        <f aca="false">AF1280/W1280-1</f>
        <v>0.574826730555318</v>
      </c>
      <c r="AI1280" s="37" t="str">
        <f aca="false">IF(AF1280&lt;W1280,"SIM","NÃO")</f>
        <v>NÃO</v>
      </c>
      <c r="AJ1280" s="37" t="n">
        <v>2</v>
      </c>
      <c r="AK1280" s="37" t="n">
        <v>5</v>
      </c>
      <c r="AL1280" s="37" t="s">
        <v>343</v>
      </c>
      <c r="AM1280" s="39" t="n">
        <v>162.08</v>
      </c>
    </row>
    <row r="1281" customFormat="false" ht="15" hidden="false" customHeight="false" outlineLevel="0" collapsed="false">
      <c r="A1281" s="37" t="n">
        <v>379606766</v>
      </c>
      <c r="B1281" s="38" t="n">
        <v>46254.8145833333</v>
      </c>
      <c r="C1281" s="37" t="s">
        <v>372</v>
      </c>
      <c r="D1281" s="37" t="s">
        <v>1542</v>
      </c>
      <c r="E1281" s="37" t="n">
        <v>27971209</v>
      </c>
      <c r="F1281" s="37" t="s">
        <v>166</v>
      </c>
      <c r="G1281" s="37" t="s">
        <v>198</v>
      </c>
      <c r="H1281" s="37" t="s">
        <v>192</v>
      </c>
      <c r="I1281" s="37" t="n">
        <v>124.2</v>
      </c>
      <c r="J1281" s="39" t="n">
        <v>1999.99</v>
      </c>
      <c r="K1281" s="37" t="s">
        <v>342</v>
      </c>
      <c r="L1281" s="39" t="n">
        <v>262.87</v>
      </c>
      <c r="M1281" s="39" t="n">
        <v>144.24</v>
      </c>
      <c r="N1281" s="39" t="n">
        <f aca="false">J1281*Resumo!$C$6</f>
        <v>0</v>
      </c>
      <c r="O1281" s="39" t="n">
        <f aca="false">J1281*Resumo!$C$7</f>
        <v>4.199979</v>
      </c>
      <c r="P1281" s="39" t="n">
        <f aca="false">J1281*Resumo!$C$8</f>
        <v>4.199979</v>
      </c>
      <c r="Q1281" s="39" t="n">
        <f aca="false">Resumo!$C$10*CEILING(I1281/100,1)</f>
        <v>2.1</v>
      </c>
      <c r="R1281" s="39" t="n">
        <f aca="false">Resumo!$C$9</f>
        <v>0</v>
      </c>
      <c r="S1281" s="39" t="n">
        <f aca="false">Resumo!$C$13</f>
        <v>13.55</v>
      </c>
      <c r="T1281" s="39" t="n">
        <f aca="false">Resumo!$C$14*CEILING(I1281,1)</f>
        <v>56.25</v>
      </c>
      <c r="U1281" s="39" t="n">
        <f aca="false">SUM(M1281:T1281)*Resumo!$C$11</f>
        <v>0</v>
      </c>
      <c r="V1281" s="39" t="n">
        <f aca="false">SUM(M1281:U1281)</f>
        <v>224.539958</v>
      </c>
      <c r="W1281" s="39" t="n">
        <f aca="false">V1281/(1-Resumo!$C$5)</f>
        <v>255.159043181818</v>
      </c>
      <c r="X1281" s="39" t="n">
        <v>264.84</v>
      </c>
      <c r="Y1281" s="39" t="n">
        <f aca="false">J1281*Resumo!$B$6</f>
        <v>1.99999</v>
      </c>
      <c r="Z1281" s="39" t="n">
        <f aca="false">J1281*Resumo!$B$7</f>
        <v>3.99998</v>
      </c>
      <c r="AA1281" s="39" t="n">
        <f aca="false">Resumo!$B$9</f>
        <v>1</v>
      </c>
      <c r="AB1281" s="39" t="n">
        <f aca="false">Resumo!$B$10*CEILING(I1281/100,1)</f>
        <v>9</v>
      </c>
      <c r="AC1281" s="39" t="n">
        <f aca="false">Resumo!$B$12*CEILING(I1281,1)</f>
        <v>7.5</v>
      </c>
      <c r="AD1281" s="39" t="n">
        <f aca="false">Resumo!$B$14*CEILING(I1281,1)</f>
        <v>56.25</v>
      </c>
      <c r="AE1281" s="39" t="n">
        <f aca="false">SUM(X1281:AD1281)</f>
        <v>344.58997</v>
      </c>
      <c r="AF1281" s="39" t="n">
        <f aca="false">AE1281/(1-Resumo!$B$5)</f>
        <v>391.579511363636</v>
      </c>
      <c r="AG1281" s="39" t="n">
        <f aca="false">AF1281-W1281</f>
        <v>136.420468181818</v>
      </c>
      <c r="AH1281" s="40" t="n">
        <f aca="false">AF1281/W1281-1</f>
        <v>0.534648768394265</v>
      </c>
      <c r="AI1281" s="37" t="str">
        <f aca="false">IF(AF1281&lt;W1281,"SIM","NÃO")</f>
        <v>NÃO</v>
      </c>
      <c r="AJ1281" s="37" t="n">
        <v>13</v>
      </c>
      <c r="AK1281" s="37" t="n">
        <v>11</v>
      </c>
      <c r="AL1281" s="37" t="s">
        <v>343</v>
      </c>
      <c r="AM1281" s="39" t="n">
        <v>262.87</v>
      </c>
    </row>
    <row r="1282" customFormat="false" ht="15" hidden="false" customHeight="false" outlineLevel="0" collapsed="false">
      <c r="A1282" s="37" t="n">
        <v>379612717</v>
      </c>
      <c r="B1282" s="38" t="n">
        <v>46254.824212963</v>
      </c>
      <c r="C1282" s="37" t="s">
        <v>372</v>
      </c>
      <c r="D1282" s="37" t="s">
        <v>1543</v>
      </c>
      <c r="E1282" s="37" t="n">
        <v>24220120</v>
      </c>
      <c r="F1282" s="37" t="s">
        <v>163</v>
      </c>
      <c r="G1282" s="37" t="s">
        <v>197</v>
      </c>
      <c r="H1282" s="37" t="s">
        <v>186</v>
      </c>
      <c r="I1282" s="37" t="n">
        <v>41</v>
      </c>
      <c r="J1282" s="39" t="n">
        <v>475.99</v>
      </c>
      <c r="K1282" s="37" t="s">
        <v>342</v>
      </c>
      <c r="L1282" s="39" t="n">
        <v>116.35</v>
      </c>
      <c r="M1282" s="39" t="n">
        <v>65.36</v>
      </c>
      <c r="N1282" s="39" t="n">
        <f aca="false">J1282*Resumo!$C$6</f>
        <v>0</v>
      </c>
      <c r="O1282" s="39" t="n">
        <f aca="false">J1282*Resumo!$C$7</f>
        <v>0.999579</v>
      </c>
      <c r="P1282" s="39" t="n">
        <f aca="false">J1282*Resumo!$C$8</f>
        <v>0.999579</v>
      </c>
      <c r="Q1282" s="39" t="n">
        <f aca="false">Resumo!$C$10*CEILING(I1282/100,1)</f>
        <v>1.05</v>
      </c>
      <c r="R1282" s="39" t="n">
        <f aca="false">Resumo!$C$9</f>
        <v>0</v>
      </c>
      <c r="S1282" s="39" t="n">
        <f aca="false">Resumo!$C$13</f>
        <v>13.55</v>
      </c>
      <c r="T1282" s="39" t="n">
        <f aca="false">Resumo!$C$14*CEILING(I1282,1)</f>
        <v>18.45</v>
      </c>
      <c r="U1282" s="39" t="n">
        <f aca="false">SUM(M1282:T1282)*Resumo!$C$11</f>
        <v>0</v>
      </c>
      <c r="V1282" s="39" t="n">
        <f aca="false">SUM(M1282:U1282)</f>
        <v>100.409158</v>
      </c>
      <c r="W1282" s="39" t="n">
        <f aca="false">V1282/(1-Resumo!$C$5)</f>
        <v>114.101315909091</v>
      </c>
      <c r="X1282" s="39" t="n">
        <v>114.95</v>
      </c>
      <c r="Y1282" s="39" t="n">
        <f aca="false">J1282*Resumo!$B$6</f>
        <v>0.47599</v>
      </c>
      <c r="Z1282" s="39" t="n">
        <f aca="false">J1282*Resumo!$B$7</f>
        <v>0.95198</v>
      </c>
      <c r="AA1282" s="39" t="n">
        <f aca="false">Resumo!$B$9</f>
        <v>1</v>
      </c>
      <c r="AB1282" s="39" t="n">
        <f aca="false">Resumo!$B$10*CEILING(I1282/100,1)</f>
        <v>4.5</v>
      </c>
      <c r="AC1282" s="39" t="n">
        <f aca="false">Resumo!$B$12*CEILING(I1282,1)</f>
        <v>2.46</v>
      </c>
      <c r="AD1282" s="39" t="n">
        <f aca="false">Resumo!$B$14*CEILING(I1282,1)</f>
        <v>18.45</v>
      </c>
      <c r="AE1282" s="39" t="n">
        <f aca="false">SUM(X1282:AD1282)</f>
        <v>142.78797</v>
      </c>
      <c r="AF1282" s="39" t="n">
        <f aca="false">AE1282/(1-Resumo!$B$5)</f>
        <v>162.259056818182</v>
      </c>
      <c r="AG1282" s="39" t="n">
        <f aca="false">AF1282-W1282</f>
        <v>48.1577409090909</v>
      </c>
      <c r="AH1282" s="40" t="n">
        <f aca="false">AF1282/W1282-1</f>
        <v>0.422061222742252</v>
      </c>
      <c r="AI1282" s="37" t="str">
        <f aca="false">IF(AF1282&lt;W1282,"SIM","NÃO")</f>
        <v>NÃO</v>
      </c>
      <c r="AJ1282" s="37" t="n">
        <v>2</v>
      </c>
      <c r="AK1282" s="37" t="n">
        <v>7</v>
      </c>
      <c r="AL1282" s="37" t="s">
        <v>343</v>
      </c>
      <c r="AM1282" s="39" t="n">
        <v>116.35</v>
      </c>
    </row>
    <row r="1283" customFormat="false" ht="15" hidden="false" customHeight="false" outlineLevel="0" collapsed="false">
      <c r="A1283" s="37" t="n">
        <v>379636311</v>
      </c>
      <c r="B1283" s="38" t="n">
        <v>46254.8656597222</v>
      </c>
      <c r="C1283" s="37" t="s">
        <v>345</v>
      </c>
      <c r="D1283" s="37" t="s">
        <v>1544</v>
      </c>
      <c r="E1283" s="37" t="n">
        <v>28090100</v>
      </c>
      <c r="F1283" s="37" t="s">
        <v>164</v>
      </c>
      <c r="G1283" s="37" t="s">
        <v>198</v>
      </c>
      <c r="H1283" s="37" t="s">
        <v>190</v>
      </c>
      <c r="I1283" s="37" t="n">
        <v>81.7</v>
      </c>
      <c r="J1283" s="39" t="n">
        <v>669.99</v>
      </c>
      <c r="K1283" s="37" t="s">
        <v>342</v>
      </c>
      <c r="L1283" s="39" t="n">
        <v>191.81</v>
      </c>
      <c r="M1283" s="39" t="n">
        <v>109.63</v>
      </c>
      <c r="N1283" s="39" t="n">
        <f aca="false">J1283*Resumo!$C$6</f>
        <v>0</v>
      </c>
      <c r="O1283" s="39" t="n">
        <f aca="false">J1283*Resumo!$C$7</f>
        <v>1.406979</v>
      </c>
      <c r="P1283" s="39" t="n">
        <f aca="false">J1283*Resumo!$C$8</f>
        <v>1.406979</v>
      </c>
      <c r="Q1283" s="39" t="n">
        <f aca="false">Resumo!$C$10*CEILING(I1283/100,1)</f>
        <v>1.05</v>
      </c>
      <c r="R1283" s="39" t="n">
        <f aca="false">Resumo!$C$9</f>
        <v>0</v>
      </c>
      <c r="S1283" s="39" t="n">
        <f aca="false">Resumo!$C$13</f>
        <v>13.55</v>
      </c>
      <c r="T1283" s="39" t="n">
        <f aca="false">Resumo!$C$14*CEILING(I1283,1)</f>
        <v>36.9</v>
      </c>
      <c r="U1283" s="39" t="n">
        <f aca="false">SUM(M1283:T1283)*Resumo!$C$11</f>
        <v>0</v>
      </c>
      <c r="V1283" s="39" t="n">
        <f aca="false">SUM(M1283:U1283)</f>
        <v>163.943958</v>
      </c>
      <c r="W1283" s="39" t="n">
        <f aca="false">V1283/(1-Resumo!$C$5)</f>
        <v>186.299952272727</v>
      </c>
      <c r="X1283" s="39" t="n">
        <v>200.04</v>
      </c>
      <c r="Y1283" s="39" t="n">
        <f aca="false">J1283*Resumo!$B$6</f>
        <v>0.66999</v>
      </c>
      <c r="Z1283" s="39" t="n">
        <f aca="false">J1283*Resumo!$B$7</f>
        <v>1.33998</v>
      </c>
      <c r="AA1283" s="39" t="n">
        <f aca="false">Resumo!$B$9</f>
        <v>1</v>
      </c>
      <c r="AB1283" s="39" t="n">
        <f aca="false">Resumo!$B$10*CEILING(I1283/100,1)</f>
        <v>4.5</v>
      </c>
      <c r="AC1283" s="39" t="n">
        <f aca="false">Resumo!$B$12*CEILING(I1283,1)</f>
        <v>4.92</v>
      </c>
      <c r="AD1283" s="39" t="n">
        <f aca="false">Resumo!$B$14*CEILING(I1283,1)</f>
        <v>36.9</v>
      </c>
      <c r="AE1283" s="39" t="n">
        <f aca="false">SUM(X1283:AD1283)</f>
        <v>249.36997</v>
      </c>
      <c r="AF1283" s="39" t="n">
        <f aca="false">AE1283/(1-Resumo!$B$5)</f>
        <v>283.374965909091</v>
      </c>
      <c r="AG1283" s="39" t="n">
        <f aca="false">AF1283-W1283</f>
        <v>97.0750136363637</v>
      </c>
      <c r="AH1283" s="40" t="n">
        <f aca="false">AF1283/W1283-1</f>
        <v>0.521068376304542</v>
      </c>
      <c r="AI1283" s="37" t="str">
        <f aca="false">IF(AF1283&lt;W1283,"SIM","NÃO")</f>
        <v>NÃO</v>
      </c>
      <c r="AJ1283" s="37" t="n">
        <v>13</v>
      </c>
      <c r="AK1283" s="37" t="n">
        <v>11</v>
      </c>
      <c r="AL1283" s="37" t="s">
        <v>343</v>
      </c>
      <c r="AM1283" s="39" t="n">
        <v>191.81</v>
      </c>
    </row>
    <row r="1284" customFormat="false" ht="15" hidden="false" customHeight="false" outlineLevel="0" collapsed="false">
      <c r="A1284" s="37" t="n">
        <v>379662374</v>
      </c>
      <c r="B1284" s="38" t="n">
        <v>46254.9103819444</v>
      </c>
      <c r="C1284" s="37" t="s">
        <v>340</v>
      </c>
      <c r="D1284" s="37" t="s">
        <v>1545</v>
      </c>
      <c r="E1284" s="37" t="n">
        <v>21870220</v>
      </c>
      <c r="F1284" s="37" t="s">
        <v>159</v>
      </c>
      <c r="G1284" s="37" t="s">
        <v>196</v>
      </c>
      <c r="H1284" s="37" t="s">
        <v>186</v>
      </c>
      <c r="I1284" s="37" t="n">
        <v>48.3</v>
      </c>
      <c r="J1284" s="39" t="n">
        <v>439.99</v>
      </c>
      <c r="K1284" s="37" t="s">
        <v>342</v>
      </c>
      <c r="L1284" s="39" t="n">
        <v>102.69</v>
      </c>
      <c r="M1284" s="39" t="n">
        <v>53.55</v>
      </c>
      <c r="N1284" s="39" t="n">
        <f aca="false">J1284*Resumo!$C$6</f>
        <v>0</v>
      </c>
      <c r="O1284" s="39" t="n">
        <f aca="false">J1284*Resumo!$C$7</f>
        <v>0.923979</v>
      </c>
      <c r="P1284" s="39" t="n">
        <f aca="false">J1284*Resumo!$C$8</f>
        <v>0.923979</v>
      </c>
      <c r="Q1284" s="39" t="n">
        <f aca="false">Resumo!$C$10*CEILING(I1284/100,1)</f>
        <v>1.05</v>
      </c>
      <c r="R1284" s="39" t="n">
        <f aca="false">Resumo!$C$9</f>
        <v>0</v>
      </c>
      <c r="S1284" s="39" t="n">
        <f aca="false">Resumo!$C$13</f>
        <v>13.55</v>
      </c>
      <c r="T1284" s="39" t="n">
        <f aca="false">Resumo!$C$14*CEILING(I1284,1)</f>
        <v>22.05</v>
      </c>
      <c r="U1284" s="39" t="n">
        <f aca="false">SUM(M1284:T1284)*Resumo!$C$11</f>
        <v>0</v>
      </c>
      <c r="V1284" s="39" t="n">
        <f aca="false">SUM(M1284:U1284)</f>
        <v>92.047958</v>
      </c>
      <c r="W1284" s="39" t="n">
        <f aca="false">V1284/(1-Resumo!$C$5)</f>
        <v>104.599952272727</v>
      </c>
      <c r="X1284" s="39" t="n">
        <v>93.97</v>
      </c>
      <c r="Y1284" s="39" t="n">
        <f aca="false">J1284*Resumo!$B$6</f>
        <v>0.43999</v>
      </c>
      <c r="Z1284" s="39" t="n">
        <f aca="false">J1284*Resumo!$B$7</f>
        <v>0.87998</v>
      </c>
      <c r="AA1284" s="39" t="n">
        <f aca="false">Resumo!$B$9</f>
        <v>1</v>
      </c>
      <c r="AB1284" s="39" t="n">
        <f aca="false">Resumo!$B$10*CEILING(I1284/100,1)</f>
        <v>4.5</v>
      </c>
      <c r="AC1284" s="39" t="n">
        <f aca="false">Resumo!$B$12*CEILING(I1284,1)</f>
        <v>2.94</v>
      </c>
      <c r="AD1284" s="39" t="n">
        <f aca="false">Resumo!$B$14*CEILING(I1284,1)</f>
        <v>22.05</v>
      </c>
      <c r="AE1284" s="39" t="n">
        <f aca="false">SUM(X1284:AD1284)</f>
        <v>125.77997</v>
      </c>
      <c r="AF1284" s="39" t="n">
        <f aca="false">AE1284/(1-Resumo!$B$5)</f>
        <v>142.931784090909</v>
      </c>
      <c r="AG1284" s="39" t="n">
        <f aca="false">AF1284-W1284</f>
        <v>38.3318318181818</v>
      </c>
      <c r="AH1284" s="40" t="n">
        <f aca="false">AF1284/W1284-1</f>
        <v>0.36646127445869</v>
      </c>
      <c r="AI1284" s="37" t="str">
        <f aca="false">IF(AF1284&lt;W1284,"SIM","NÃO")</f>
        <v>NÃO</v>
      </c>
      <c r="AJ1284" s="37" t="n">
        <v>2</v>
      </c>
      <c r="AK1284" s="37" t="n">
        <v>5</v>
      </c>
      <c r="AL1284" s="37" t="s">
        <v>343</v>
      </c>
      <c r="AM1284" s="39" t="n">
        <v>102.69</v>
      </c>
    </row>
    <row r="1285" customFormat="false" ht="15" hidden="false" customHeight="false" outlineLevel="0" collapsed="false">
      <c r="A1285" s="37" t="n">
        <v>379667573</v>
      </c>
      <c r="B1285" s="38" t="n">
        <v>46254.9159027778</v>
      </c>
      <c r="C1285" s="37" t="s">
        <v>340</v>
      </c>
      <c r="D1285" s="37" t="s">
        <v>1546</v>
      </c>
      <c r="E1285" s="37" t="n">
        <v>28630080</v>
      </c>
      <c r="F1285" s="37" t="s">
        <v>177</v>
      </c>
      <c r="G1285" s="37" t="s">
        <v>198</v>
      </c>
      <c r="H1285" s="37" t="s">
        <v>187</v>
      </c>
      <c r="I1285" s="37" t="n">
        <v>55</v>
      </c>
      <c r="J1285" s="39" t="n">
        <v>739.98</v>
      </c>
      <c r="K1285" s="37" t="s">
        <v>342</v>
      </c>
      <c r="L1285" s="39" t="n">
        <v>143.22</v>
      </c>
      <c r="M1285" s="39" t="n">
        <v>83.58</v>
      </c>
      <c r="N1285" s="39" t="n">
        <f aca="false">J1285*Resumo!$C$6</f>
        <v>0</v>
      </c>
      <c r="O1285" s="39" t="n">
        <f aca="false">J1285*Resumo!$C$7</f>
        <v>1.553958</v>
      </c>
      <c r="P1285" s="39" t="n">
        <f aca="false">J1285*Resumo!$C$8</f>
        <v>1.553958</v>
      </c>
      <c r="Q1285" s="39" t="n">
        <f aca="false">Resumo!$C$10*CEILING(I1285/100,1)</f>
        <v>1.05</v>
      </c>
      <c r="R1285" s="39" t="n">
        <f aca="false">Resumo!$C$9</f>
        <v>0</v>
      </c>
      <c r="S1285" s="39" t="n">
        <f aca="false">Resumo!$C$13</f>
        <v>13.55</v>
      </c>
      <c r="T1285" s="39" t="n">
        <f aca="false">Resumo!$C$14*CEILING(I1285,1)</f>
        <v>24.75</v>
      </c>
      <c r="U1285" s="39" t="n">
        <f aca="false">SUM(M1285:T1285)*Resumo!$C$11</f>
        <v>0</v>
      </c>
      <c r="V1285" s="39" t="n">
        <f aca="false">SUM(M1285:U1285)</f>
        <v>126.037916</v>
      </c>
      <c r="W1285" s="39" t="n">
        <f aca="false">V1285/(1-Resumo!$C$5)</f>
        <v>143.224904545455</v>
      </c>
      <c r="X1285" s="39" t="n">
        <v>144.53</v>
      </c>
      <c r="Y1285" s="39" t="n">
        <f aca="false">J1285*Resumo!$B$6</f>
        <v>0.73998</v>
      </c>
      <c r="Z1285" s="39" t="n">
        <f aca="false">J1285*Resumo!$B$7</f>
        <v>1.47996</v>
      </c>
      <c r="AA1285" s="39" t="n">
        <f aca="false">Resumo!$B$9</f>
        <v>1</v>
      </c>
      <c r="AB1285" s="39" t="n">
        <f aca="false">Resumo!$B$10*CEILING(I1285/100,1)</f>
        <v>4.5</v>
      </c>
      <c r="AC1285" s="39" t="n">
        <f aca="false">Resumo!$B$12*CEILING(I1285,1)</f>
        <v>3.3</v>
      </c>
      <c r="AD1285" s="39" t="n">
        <f aca="false">Resumo!$B$14*CEILING(I1285,1)</f>
        <v>24.75</v>
      </c>
      <c r="AE1285" s="39" t="n">
        <f aca="false">SUM(X1285:AD1285)</f>
        <v>180.29994</v>
      </c>
      <c r="AF1285" s="39" t="n">
        <f aca="false">AE1285/(1-Resumo!$B$5)</f>
        <v>204.886295454545</v>
      </c>
      <c r="AG1285" s="39" t="n">
        <f aca="false">AF1285-W1285</f>
        <v>61.6613909090909</v>
      </c>
      <c r="AH1285" s="40" t="n">
        <f aca="false">AF1285/W1285-1</f>
        <v>0.430521431344517</v>
      </c>
      <c r="AI1285" s="37" t="str">
        <f aca="false">IF(AF1285&lt;W1285,"SIM","NÃO")</f>
        <v>NÃO</v>
      </c>
      <c r="AJ1285" s="37" t="n">
        <v>13</v>
      </c>
      <c r="AK1285" s="37" t="n">
        <v>10</v>
      </c>
      <c r="AL1285" s="37" t="s">
        <v>343</v>
      </c>
      <c r="AM1285" s="39" t="n">
        <v>143.22</v>
      </c>
    </row>
    <row r="1286" customFormat="false" ht="15" hidden="false" customHeight="false" outlineLevel="0" collapsed="false">
      <c r="A1286" s="37" t="n">
        <v>379674329</v>
      </c>
      <c r="B1286" s="38" t="n">
        <v>46254.9231828704</v>
      </c>
      <c r="C1286" s="37" t="s">
        <v>340</v>
      </c>
      <c r="D1286" s="37" t="s">
        <v>626</v>
      </c>
      <c r="E1286" s="37" t="n">
        <v>22775033</v>
      </c>
      <c r="F1286" s="37" t="s">
        <v>159</v>
      </c>
      <c r="G1286" s="37" t="s">
        <v>196</v>
      </c>
      <c r="H1286" s="37" t="s">
        <v>183</v>
      </c>
      <c r="I1286" s="37" t="n">
        <v>17</v>
      </c>
      <c r="J1286" s="39" t="n">
        <v>249.99</v>
      </c>
      <c r="K1286" s="37" t="s">
        <v>342</v>
      </c>
      <c r="L1286" s="39" t="n">
        <v>64.42</v>
      </c>
      <c r="M1286" s="39" t="n">
        <v>33.42</v>
      </c>
      <c r="N1286" s="39" t="n">
        <f aca="false">J1286*Resumo!$C$6</f>
        <v>0</v>
      </c>
      <c r="O1286" s="39" t="n">
        <f aca="false">J1286*Resumo!$C$7</f>
        <v>0.524979</v>
      </c>
      <c r="P1286" s="39" t="n">
        <f aca="false">J1286*Resumo!$C$8</f>
        <v>0.524979</v>
      </c>
      <c r="Q1286" s="39" t="n">
        <f aca="false">Resumo!$C$10*CEILING(I1286/100,1)</f>
        <v>1.05</v>
      </c>
      <c r="R1286" s="39" t="n">
        <f aca="false">Resumo!$C$9</f>
        <v>0</v>
      </c>
      <c r="S1286" s="39" t="n">
        <f aca="false">Resumo!$C$13</f>
        <v>13.55</v>
      </c>
      <c r="T1286" s="39" t="n">
        <f aca="false">Resumo!$C$14*CEILING(I1286,1)</f>
        <v>7.65</v>
      </c>
      <c r="U1286" s="39" t="n">
        <f aca="false">SUM(M1286:T1286)*Resumo!$C$11</f>
        <v>0</v>
      </c>
      <c r="V1286" s="39" t="n">
        <f aca="false">SUM(M1286:U1286)</f>
        <v>56.719958</v>
      </c>
      <c r="W1286" s="39" t="n">
        <f aca="false">V1286/(1-Resumo!$C$5)</f>
        <v>64.4544977272727</v>
      </c>
      <c r="X1286" s="39" t="n">
        <v>46.98</v>
      </c>
      <c r="Y1286" s="39" t="n">
        <f aca="false">J1286*Resumo!$B$6</f>
        <v>0.24999</v>
      </c>
      <c r="Z1286" s="39" t="n">
        <f aca="false">J1286*Resumo!$B$7</f>
        <v>0.49998</v>
      </c>
      <c r="AA1286" s="39" t="n">
        <f aca="false">Resumo!$B$9</f>
        <v>1</v>
      </c>
      <c r="AB1286" s="39" t="n">
        <f aca="false">Resumo!$B$10*CEILING(I1286/100,1)</f>
        <v>4.5</v>
      </c>
      <c r="AC1286" s="39" t="n">
        <f aca="false">Resumo!$B$12*CEILING(I1286,1)</f>
        <v>1.02</v>
      </c>
      <c r="AD1286" s="39" t="n">
        <f aca="false">Resumo!$B$14*CEILING(I1286,1)</f>
        <v>7.65</v>
      </c>
      <c r="AE1286" s="39" t="n">
        <f aca="false">SUM(X1286:AD1286)</f>
        <v>61.89997</v>
      </c>
      <c r="AF1286" s="39" t="n">
        <f aca="false">AE1286/(1-Resumo!$B$5)</f>
        <v>70.340875</v>
      </c>
      <c r="AG1286" s="39" t="n">
        <f aca="false">AF1286-W1286</f>
        <v>5.88637727272727</v>
      </c>
      <c r="AH1286" s="40" t="n">
        <f aca="false">AF1286/W1286-1</f>
        <v>0.0913260901920978</v>
      </c>
      <c r="AI1286" s="37" t="str">
        <f aca="false">IF(AF1286&lt;W1286,"SIM","NÃO")</f>
        <v>NÃO</v>
      </c>
      <c r="AJ1286" s="37" t="n">
        <v>2</v>
      </c>
      <c r="AK1286" s="37" t="n">
        <v>5</v>
      </c>
      <c r="AL1286" s="37" t="s">
        <v>343</v>
      </c>
      <c r="AM1286" s="39" t="n">
        <v>64.41</v>
      </c>
    </row>
    <row r="1287" customFormat="false" ht="15" hidden="false" customHeight="false" outlineLevel="0" collapsed="false">
      <c r="A1287" s="37" t="n">
        <v>379685148</v>
      </c>
      <c r="B1287" s="38" t="n">
        <v>46254.9397916667</v>
      </c>
      <c r="C1287" s="37" t="s">
        <v>340</v>
      </c>
      <c r="D1287" s="37" t="s">
        <v>1547</v>
      </c>
      <c r="E1287" s="37" t="n">
        <v>25906890</v>
      </c>
      <c r="F1287" s="37" t="s">
        <v>176</v>
      </c>
      <c r="G1287" s="37" t="s">
        <v>198</v>
      </c>
      <c r="H1287" s="37" t="s">
        <v>185</v>
      </c>
      <c r="I1287" s="37" t="n">
        <v>39</v>
      </c>
      <c r="J1287" s="39" t="n">
        <v>529.99</v>
      </c>
      <c r="K1287" s="37" t="s">
        <v>342</v>
      </c>
      <c r="L1287" s="39" t="n">
        <v>122.78</v>
      </c>
      <c r="M1287" s="39" t="n">
        <v>74.97</v>
      </c>
      <c r="N1287" s="39" t="n">
        <f aca="false">J1287*Resumo!$C$6</f>
        <v>0</v>
      </c>
      <c r="O1287" s="39" t="n">
        <f aca="false">J1287*Resumo!$C$7</f>
        <v>1.112979</v>
      </c>
      <c r="P1287" s="39" t="n">
        <f aca="false">J1287*Resumo!$C$8</f>
        <v>1.112979</v>
      </c>
      <c r="Q1287" s="39" t="n">
        <f aca="false">Resumo!$C$10*CEILING(I1287/100,1)</f>
        <v>1.05</v>
      </c>
      <c r="R1287" s="39" t="n">
        <f aca="false">Resumo!$C$9</f>
        <v>0</v>
      </c>
      <c r="S1287" s="39" t="n">
        <f aca="false">Resumo!$C$13</f>
        <v>13.55</v>
      </c>
      <c r="T1287" s="39" t="n">
        <f aca="false">Resumo!$C$14*CEILING(I1287,1)</f>
        <v>17.55</v>
      </c>
      <c r="U1287" s="39" t="n">
        <f aca="false">SUM(M1287:T1287)*Resumo!$C$11</f>
        <v>0</v>
      </c>
      <c r="V1287" s="39" t="n">
        <f aca="false">SUM(M1287:U1287)</f>
        <v>109.345958</v>
      </c>
      <c r="W1287" s="39" t="n">
        <f aca="false">V1287/(1-Resumo!$C$5)</f>
        <v>124.256770454545</v>
      </c>
      <c r="X1287" s="39" t="n">
        <v>108.03</v>
      </c>
      <c r="Y1287" s="39" t="n">
        <f aca="false">J1287*Resumo!$B$6</f>
        <v>0.52999</v>
      </c>
      <c r="Z1287" s="39" t="n">
        <f aca="false">J1287*Resumo!$B$7</f>
        <v>1.05998</v>
      </c>
      <c r="AA1287" s="39" t="n">
        <f aca="false">Resumo!$B$9</f>
        <v>1</v>
      </c>
      <c r="AB1287" s="39" t="n">
        <f aca="false">Resumo!$B$10*CEILING(I1287/100,1)</f>
        <v>4.5</v>
      </c>
      <c r="AC1287" s="39" t="n">
        <f aca="false">Resumo!$B$12*CEILING(I1287,1)</f>
        <v>2.34</v>
      </c>
      <c r="AD1287" s="39" t="n">
        <f aca="false">Resumo!$B$14*CEILING(I1287,1)</f>
        <v>17.55</v>
      </c>
      <c r="AE1287" s="39" t="n">
        <f aca="false">SUM(X1287:AD1287)</f>
        <v>135.00997</v>
      </c>
      <c r="AF1287" s="39" t="n">
        <f aca="false">AE1287/(1-Resumo!$B$5)</f>
        <v>153.420420454545</v>
      </c>
      <c r="AG1287" s="39" t="n">
        <f aca="false">AF1287-W1287</f>
        <v>29.16365</v>
      </c>
      <c r="AH1287" s="40" t="n">
        <f aca="false">AF1287/W1287-1</f>
        <v>0.234704715834124</v>
      </c>
      <c r="AI1287" s="37" t="str">
        <f aca="false">IF(AF1287&lt;W1287,"SIM","NÃO")</f>
        <v>NÃO</v>
      </c>
      <c r="AJ1287" s="37" t="n">
        <v>13</v>
      </c>
      <c r="AK1287" s="37" t="n">
        <v>6</v>
      </c>
      <c r="AL1287" s="37" t="s">
        <v>343</v>
      </c>
      <c r="AM1287" s="39" t="n">
        <v>122.79</v>
      </c>
    </row>
    <row r="1288" customFormat="false" ht="15" hidden="false" customHeight="false" outlineLevel="0" collapsed="false">
      <c r="A1288" s="37" t="n">
        <v>379687834</v>
      </c>
      <c r="B1288" s="38" t="n">
        <v>46254.9446064815</v>
      </c>
      <c r="C1288" s="37" t="s">
        <v>340</v>
      </c>
      <c r="D1288" s="37" t="s">
        <v>1548</v>
      </c>
      <c r="E1288" s="37" t="n">
        <v>26290723</v>
      </c>
      <c r="F1288" s="37" t="s">
        <v>162</v>
      </c>
      <c r="G1288" s="37" t="s">
        <v>197</v>
      </c>
      <c r="H1288" s="37" t="s">
        <v>185</v>
      </c>
      <c r="I1288" s="37" t="n">
        <v>36.8</v>
      </c>
      <c r="J1288" s="39" t="n">
        <v>439.99</v>
      </c>
      <c r="K1288" s="37" t="s">
        <v>342</v>
      </c>
      <c r="L1288" s="39" t="n">
        <v>113.07</v>
      </c>
      <c r="M1288" s="39" t="n">
        <v>66.83</v>
      </c>
      <c r="N1288" s="39" t="n">
        <f aca="false">J1288*Resumo!$C$6</f>
        <v>0</v>
      </c>
      <c r="O1288" s="39" t="n">
        <f aca="false">J1288*Resumo!$C$7</f>
        <v>0.923979</v>
      </c>
      <c r="P1288" s="39" t="n">
        <f aca="false">J1288*Resumo!$C$8</f>
        <v>0.923979</v>
      </c>
      <c r="Q1288" s="39" t="n">
        <f aca="false">Resumo!$C$10*CEILING(I1288/100,1)</f>
        <v>1.05</v>
      </c>
      <c r="R1288" s="39" t="n">
        <f aca="false">Resumo!$C$9</f>
        <v>0</v>
      </c>
      <c r="S1288" s="39" t="n">
        <f aca="false">Resumo!$C$13</f>
        <v>13.55</v>
      </c>
      <c r="T1288" s="39" t="n">
        <f aca="false">Resumo!$C$14*CEILING(I1288,1)</f>
        <v>16.65</v>
      </c>
      <c r="U1288" s="39" t="n">
        <f aca="false">SUM(M1288:T1288)*Resumo!$C$11</f>
        <v>0</v>
      </c>
      <c r="V1288" s="39" t="n">
        <f aca="false">SUM(M1288:U1288)</f>
        <v>99.927958</v>
      </c>
      <c r="W1288" s="39" t="n">
        <f aca="false">V1288/(1-Resumo!$C$5)</f>
        <v>113.554497727273</v>
      </c>
      <c r="X1288" s="39" t="n">
        <v>93.97</v>
      </c>
      <c r="Y1288" s="39" t="n">
        <f aca="false">J1288*Resumo!$B$6</f>
        <v>0.43999</v>
      </c>
      <c r="Z1288" s="39" t="n">
        <f aca="false">J1288*Resumo!$B$7</f>
        <v>0.87998</v>
      </c>
      <c r="AA1288" s="39" t="n">
        <f aca="false">Resumo!$B$9</f>
        <v>1</v>
      </c>
      <c r="AB1288" s="39" t="n">
        <f aca="false">Resumo!$B$10*CEILING(I1288/100,1)</f>
        <v>4.5</v>
      </c>
      <c r="AC1288" s="39" t="n">
        <f aca="false">Resumo!$B$12*CEILING(I1288,1)</f>
        <v>2.22</v>
      </c>
      <c r="AD1288" s="39" t="n">
        <f aca="false">Resumo!$B$14*CEILING(I1288,1)</f>
        <v>16.65</v>
      </c>
      <c r="AE1288" s="39" t="n">
        <f aca="false">SUM(X1288:AD1288)</f>
        <v>119.65997</v>
      </c>
      <c r="AF1288" s="39" t="n">
        <f aca="false">AE1288/(1-Resumo!$B$5)</f>
        <v>135.977238636364</v>
      </c>
      <c r="AG1288" s="39" t="n">
        <f aca="false">AF1288-W1288</f>
        <v>22.4227409090909</v>
      </c>
      <c r="AH1288" s="40" t="n">
        <f aca="false">AF1288/W1288-1</f>
        <v>0.197462375844806</v>
      </c>
      <c r="AI1288" s="37" t="str">
        <f aca="false">IF(AF1288&lt;W1288,"SIM","NÃO")</f>
        <v>NÃO</v>
      </c>
      <c r="AJ1288" s="37" t="n">
        <v>2</v>
      </c>
      <c r="AK1288" s="37" t="n">
        <v>5</v>
      </c>
      <c r="AL1288" s="37" t="s">
        <v>343</v>
      </c>
      <c r="AM1288" s="39" t="n">
        <v>113.06</v>
      </c>
    </row>
    <row r="1289" customFormat="false" ht="15" hidden="false" customHeight="false" outlineLevel="0" collapsed="false">
      <c r="A1289" s="37" t="n">
        <v>379687841</v>
      </c>
      <c r="B1289" s="38" t="n">
        <v>46254.9446064815</v>
      </c>
      <c r="C1289" s="37" t="s">
        <v>340</v>
      </c>
      <c r="D1289" s="37" t="s">
        <v>1548</v>
      </c>
      <c r="E1289" s="37" t="n">
        <v>26290723</v>
      </c>
      <c r="F1289" s="37" t="s">
        <v>162</v>
      </c>
      <c r="G1289" s="37" t="s">
        <v>197</v>
      </c>
      <c r="H1289" s="37" t="s">
        <v>192</v>
      </c>
      <c r="I1289" s="37" t="n">
        <v>141.5</v>
      </c>
      <c r="J1289" s="39" t="n">
        <v>1549.99</v>
      </c>
      <c r="K1289" s="37" t="s">
        <v>342</v>
      </c>
      <c r="L1289" s="39" t="n">
        <v>244.03</v>
      </c>
      <c r="M1289" s="39" t="n">
        <v>129.62</v>
      </c>
      <c r="N1289" s="39" t="n">
        <f aca="false">J1289*Resumo!$C$6</f>
        <v>0</v>
      </c>
      <c r="O1289" s="39" t="n">
        <f aca="false">J1289*Resumo!$C$7</f>
        <v>3.254979</v>
      </c>
      <c r="P1289" s="39" t="n">
        <f aca="false">J1289*Resumo!$C$8</f>
        <v>3.254979</v>
      </c>
      <c r="Q1289" s="39" t="n">
        <f aca="false">Resumo!$C$10*CEILING(I1289/100,1)</f>
        <v>2.1</v>
      </c>
      <c r="R1289" s="39" t="n">
        <f aca="false">Resumo!$C$9</f>
        <v>0</v>
      </c>
      <c r="S1289" s="39" t="n">
        <f aca="false">Resumo!$C$13</f>
        <v>13.55</v>
      </c>
      <c r="T1289" s="39" t="n">
        <f aca="false">Resumo!$C$14*CEILING(I1289,1)</f>
        <v>63.9</v>
      </c>
      <c r="U1289" s="39" t="n">
        <f aca="false">SUM(M1289:T1289)*Resumo!$C$11</f>
        <v>0</v>
      </c>
      <c r="V1289" s="39" t="n">
        <f aca="false">SUM(M1289:U1289)</f>
        <v>215.679958</v>
      </c>
      <c r="W1289" s="39" t="n">
        <f aca="false">V1289/(1-Resumo!$C$5)</f>
        <v>245.090861363636</v>
      </c>
      <c r="X1289" s="39" t="n">
        <v>239.25</v>
      </c>
      <c r="Y1289" s="39" t="n">
        <f aca="false">J1289*Resumo!$B$6</f>
        <v>1.54999</v>
      </c>
      <c r="Z1289" s="39" t="n">
        <f aca="false">J1289*Resumo!$B$7</f>
        <v>3.09998</v>
      </c>
      <c r="AA1289" s="39" t="n">
        <f aca="false">Resumo!$B$9</f>
        <v>1</v>
      </c>
      <c r="AB1289" s="39" t="n">
        <f aca="false">Resumo!$B$10*CEILING(I1289/100,1)</f>
        <v>9</v>
      </c>
      <c r="AC1289" s="39" t="n">
        <f aca="false">Resumo!$B$12*CEILING(I1289,1)</f>
        <v>8.52</v>
      </c>
      <c r="AD1289" s="39" t="n">
        <f aca="false">Resumo!$B$14*CEILING(I1289,1)</f>
        <v>63.9</v>
      </c>
      <c r="AE1289" s="39" t="n">
        <f aca="false">SUM(X1289:AD1289)</f>
        <v>326.31997</v>
      </c>
      <c r="AF1289" s="39" t="n">
        <f aca="false">AE1289/(1-Resumo!$B$5)</f>
        <v>370.818147727273</v>
      </c>
      <c r="AG1289" s="39" t="n">
        <f aca="false">AF1289-W1289</f>
        <v>125.727286363636</v>
      </c>
      <c r="AH1289" s="40" t="n">
        <f aca="false">AF1289/W1289-1</f>
        <v>0.51298235137824</v>
      </c>
      <c r="AI1289" s="37" t="str">
        <f aca="false">IF(AF1289&lt;W1289,"SIM","NÃO")</f>
        <v>NÃO</v>
      </c>
      <c r="AJ1289" s="37" t="n">
        <v>2</v>
      </c>
      <c r="AK1289" s="37" t="n">
        <v>5</v>
      </c>
      <c r="AL1289" s="37" t="s">
        <v>343</v>
      </c>
      <c r="AM1289" s="39" t="n">
        <v>244.03</v>
      </c>
    </row>
    <row r="1290" customFormat="false" ht="15" hidden="false" customHeight="false" outlineLevel="0" collapsed="false">
      <c r="A1290" s="37" t="n">
        <v>379731384</v>
      </c>
      <c r="B1290" s="38" t="n">
        <v>46255.0257291667</v>
      </c>
      <c r="C1290" s="37" t="s">
        <v>340</v>
      </c>
      <c r="D1290" s="37" t="s">
        <v>1549</v>
      </c>
      <c r="E1290" s="37" t="n">
        <v>26140450</v>
      </c>
      <c r="F1290" s="37" t="s">
        <v>165</v>
      </c>
      <c r="G1290" s="37" t="s">
        <v>197</v>
      </c>
      <c r="H1290" s="37" t="s">
        <v>190</v>
      </c>
      <c r="I1290" s="37" t="n">
        <v>89.3</v>
      </c>
      <c r="J1290" s="39" t="n">
        <v>1149.99</v>
      </c>
      <c r="K1290" s="37" t="s">
        <v>342</v>
      </c>
      <c r="L1290" s="39" t="n">
        <v>174.34</v>
      </c>
      <c r="M1290" s="39" t="n">
        <v>92.32</v>
      </c>
      <c r="N1290" s="39" t="n">
        <f aca="false">J1290*Resumo!$C$6</f>
        <v>0</v>
      </c>
      <c r="O1290" s="39" t="n">
        <f aca="false">J1290*Resumo!$C$7</f>
        <v>2.414979</v>
      </c>
      <c r="P1290" s="39" t="n">
        <f aca="false">J1290*Resumo!$C$8</f>
        <v>2.414979</v>
      </c>
      <c r="Q1290" s="39" t="n">
        <f aca="false">Resumo!$C$10*CEILING(I1290/100,1)</f>
        <v>1.05</v>
      </c>
      <c r="R1290" s="39" t="n">
        <f aca="false">Resumo!$C$9</f>
        <v>0</v>
      </c>
      <c r="S1290" s="39" t="n">
        <f aca="false">Resumo!$C$13</f>
        <v>13.55</v>
      </c>
      <c r="T1290" s="39" t="n">
        <f aca="false">Resumo!$C$14*CEILING(I1290,1)</f>
        <v>40.5</v>
      </c>
      <c r="U1290" s="39" t="n">
        <f aca="false">SUM(M1290:T1290)*Resumo!$C$11</f>
        <v>0</v>
      </c>
      <c r="V1290" s="39" t="n">
        <f aca="false">SUM(M1290:U1290)</f>
        <v>152.249958</v>
      </c>
      <c r="W1290" s="39" t="n">
        <f aca="false">V1290/(1-Resumo!$C$5)</f>
        <v>173.011315909091</v>
      </c>
      <c r="X1290" s="39" t="n">
        <v>167.99</v>
      </c>
      <c r="Y1290" s="39" t="n">
        <f aca="false">J1290*Resumo!$B$6</f>
        <v>1.14999</v>
      </c>
      <c r="Z1290" s="39" t="n">
        <f aca="false">J1290*Resumo!$B$7</f>
        <v>2.29998</v>
      </c>
      <c r="AA1290" s="39" t="n">
        <f aca="false">Resumo!$B$9</f>
        <v>1</v>
      </c>
      <c r="AB1290" s="39" t="n">
        <f aca="false">Resumo!$B$10*CEILING(I1290/100,1)</f>
        <v>4.5</v>
      </c>
      <c r="AC1290" s="39" t="n">
        <f aca="false">Resumo!$B$12*CEILING(I1290,1)</f>
        <v>5.4</v>
      </c>
      <c r="AD1290" s="39" t="n">
        <f aca="false">Resumo!$B$14*CEILING(I1290,1)</f>
        <v>40.5</v>
      </c>
      <c r="AE1290" s="39" t="n">
        <f aca="false">SUM(X1290:AD1290)</f>
        <v>222.83997</v>
      </c>
      <c r="AF1290" s="39" t="n">
        <f aca="false">AE1290/(1-Resumo!$B$5)</f>
        <v>253.227238636364</v>
      </c>
      <c r="AG1290" s="39" t="n">
        <f aca="false">AF1290-W1290</f>
        <v>80.2159227272728</v>
      </c>
      <c r="AH1290" s="40" t="n">
        <f aca="false">AF1290/W1290-1</f>
        <v>0.463645526916993</v>
      </c>
      <c r="AI1290" s="37" t="str">
        <f aca="false">IF(AF1290&lt;W1290,"SIM","NÃO")</f>
        <v>NÃO</v>
      </c>
      <c r="AJ1290" s="37" t="n">
        <v>2</v>
      </c>
      <c r="AK1290" s="37" t="n">
        <v>5</v>
      </c>
      <c r="AL1290" s="37" t="s">
        <v>343</v>
      </c>
      <c r="AM1290" s="39" t="n">
        <v>174.34</v>
      </c>
    </row>
    <row r="1291" customFormat="false" ht="15" hidden="false" customHeight="false" outlineLevel="0" collapsed="false">
      <c r="A1291" s="37" t="n">
        <v>379903388</v>
      </c>
      <c r="B1291" s="38" t="n">
        <v>46255.2978356482</v>
      </c>
      <c r="C1291" s="37" t="s">
        <v>345</v>
      </c>
      <c r="D1291" s="37" t="s">
        <v>1227</v>
      </c>
      <c r="E1291" s="37" t="n">
        <v>23907205</v>
      </c>
      <c r="F1291" s="37" t="s">
        <v>169</v>
      </c>
      <c r="G1291" s="37" t="s">
        <v>198</v>
      </c>
      <c r="H1291" s="37" t="s">
        <v>187</v>
      </c>
      <c r="I1291" s="37" t="n">
        <v>52.3</v>
      </c>
      <c r="J1291" s="39" t="n">
        <v>620</v>
      </c>
      <c r="K1291" s="37" t="s">
        <v>342</v>
      </c>
      <c r="L1291" s="39" t="n">
        <v>142.64</v>
      </c>
      <c r="M1291" s="39" t="n">
        <v>83.58</v>
      </c>
      <c r="N1291" s="39" t="n">
        <f aca="false">J1291*Resumo!$C$6</f>
        <v>0</v>
      </c>
      <c r="O1291" s="39" t="n">
        <f aca="false">J1291*Resumo!$C$7</f>
        <v>1.302</v>
      </c>
      <c r="P1291" s="39" t="n">
        <f aca="false">J1291*Resumo!$C$8</f>
        <v>1.302</v>
      </c>
      <c r="Q1291" s="39" t="n">
        <f aca="false">Resumo!$C$10*CEILING(I1291/100,1)</f>
        <v>1.05</v>
      </c>
      <c r="R1291" s="39" t="n">
        <f aca="false">Resumo!$C$9</f>
        <v>0</v>
      </c>
      <c r="S1291" s="39" t="n">
        <f aca="false">Resumo!$C$13</f>
        <v>13.55</v>
      </c>
      <c r="T1291" s="39" t="n">
        <f aca="false">Resumo!$C$14*CEILING(I1291,1)</f>
        <v>23.85</v>
      </c>
      <c r="U1291" s="39" t="n">
        <f aca="false">SUM(M1291:T1291)*Resumo!$C$11</f>
        <v>0</v>
      </c>
      <c r="V1291" s="39" t="n">
        <f aca="false">SUM(M1291:U1291)</f>
        <v>124.634</v>
      </c>
      <c r="W1291" s="39" t="n">
        <f aca="false">V1291/(1-Resumo!$C$5)</f>
        <v>141.629545454545</v>
      </c>
      <c r="X1291" s="39" t="n">
        <v>142.32</v>
      </c>
      <c r="Y1291" s="39" t="n">
        <f aca="false">J1291*Resumo!$B$6</f>
        <v>0.62</v>
      </c>
      <c r="Z1291" s="39" t="n">
        <f aca="false">J1291*Resumo!$B$7</f>
        <v>1.24</v>
      </c>
      <c r="AA1291" s="39" t="n">
        <f aca="false">Resumo!$B$9</f>
        <v>1</v>
      </c>
      <c r="AB1291" s="39" t="n">
        <f aca="false">Resumo!$B$10*CEILING(I1291/100,1)</f>
        <v>4.5</v>
      </c>
      <c r="AC1291" s="39" t="n">
        <f aca="false">Resumo!$B$12*CEILING(I1291,1)</f>
        <v>3.18</v>
      </c>
      <c r="AD1291" s="39" t="n">
        <f aca="false">Resumo!$B$14*CEILING(I1291,1)</f>
        <v>23.85</v>
      </c>
      <c r="AE1291" s="39" t="n">
        <f aca="false">SUM(X1291:AD1291)</f>
        <v>176.71</v>
      </c>
      <c r="AF1291" s="39" t="n">
        <f aca="false">AE1291/(1-Resumo!$B$5)</f>
        <v>200.806818181818</v>
      </c>
      <c r="AG1291" s="39" t="n">
        <f aca="false">AF1291-W1291</f>
        <v>59.1772727272727</v>
      </c>
      <c r="AH1291" s="40" t="n">
        <f aca="false">AF1291/W1291-1</f>
        <v>0.417831410369562</v>
      </c>
      <c r="AI1291" s="37" t="str">
        <f aca="false">IF(AF1291&lt;W1291,"SIM","NÃO")</f>
        <v>NÃO</v>
      </c>
      <c r="AJ1291" s="37" t="n">
        <v>13</v>
      </c>
      <c r="AK1291" s="37" t="n">
        <v>10</v>
      </c>
      <c r="AL1291" s="37" t="s">
        <v>343</v>
      </c>
      <c r="AM1291" s="39" t="n">
        <v>142.64</v>
      </c>
    </row>
    <row r="1292" customFormat="false" ht="15" hidden="false" customHeight="false" outlineLevel="0" collapsed="false">
      <c r="A1292" s="37" t="n">
        <v>379903457</v>
      </c>
      <c r="B1292" s="38" t="n">
        <v>46255.2983564815</v>
      </c>
      <c r="C1292" s="37" t="s">
        <v>345</v>
      </c>
      <c r="D1292" s="37" t="s">
        <v>1227</v>
      </c>
      <c r="E1292" s="37" t="n">
        <v>23907205</v>
      </c>
      <c r="F1292" s="37" t="s">
        <v>169</v>
      </c>
      <c r="G1292" s="37" t="s">
        <v>198</v>
      </c>
      <c r="H1292" s="37" t="s">
        <v>187</v>
      </c>
      <c r="I1292" s="37" t="n">
        <v>52.3</v>
      </c>
      <c r="J1292" s="39" t="n">
        <v>640.18</v>
      </c>
      <c r="K1292" s="37" t="s">
        <v>342</v>
      </c>
      <c r="L1292" s="39" t="n">
        <v>142.74</v>
      </c>
      <c r="M1292" s="39" t="n">
        <v>83.58</v>
      </c>
      <c r="N1292" s="39" t="n">
        <f aca="false">J1292*Resumo!$C$6</f>
        <v>0</v>
      </c>
      <c r="O1292" s="39" t="n">
        <f aca="false">J1292*Resumo!$C$7</f>
        <v>1.344378</v>
      </c>
      <c r="P1292" s="39" t="n">
        <f aca="false">J1292*Resumo!$C$8</f>
        <v>1.344378</v>
      </c>
      <c r="Q1292" s="39" t="n">
        <f aca="false">Resumo!$C$10*CEILING(I1292/100,1)</f>
        <v>1.05</v>
      </c>
      <c r="R1292" s="39" t="n">
        <f aca="false">Resumo!$C$9</f>
        <v>0</v>
      </c>
      <c r="S1292" s="39" t="n">
        <f aca="false">Resumo!$C$13</f>
        <v>13.55</v>
      </c>
      <c r="T1292" s="39" t="n">
        <f aca="false">Resumo!$C$14*CEILING(I1292,1)</f>
        <v>23.85</v>
      </c>
      <c r="U1292" s="39" t="n">
        <f aca="false">SUM(M1292:T1292)*Resumo!$C$11</f>
        <v>0</v>
      </c>
      <c r="V1292" s="39" t="n">
        <f aca="false">SUM(M1292:U1292)</f>
        <v>124.718756</v>
      </c>
      <c r="W1292" s="39" t="n">
        <f aca="false">V1292/(1-Resumo!$C$5)</f>
        <v>141.725859090909</v>
      </c>
      <c r="X1292" s="39" t="n">
        <v>142.32</v>
      </c>
      <c r="Y1292" s="39" t="n">
        <f aca="false">J1292*Resumo!$B$6</f>
        <v>0.64018</v>
      </c>
      <c r="Z1292" s="39" t="n">
        <f aca="false">J1292*Resumo!$B$7</f>
        <v>1.28036</v>
      </c>
      <c r="AA1292" s="39" t="n">
        <f aca="false">Resumo!$B$9</f>
        <v>1</v>
      </c>
      <c r="AB1292" s="39" t="n">
        <f aca="false">Resumo!$B$10*CEILING(I1292/100,1)</f>
        <v>4.5</v>
      </c>
      <c r="AC1292" s="39" t="n">
        <f aca="false">Resumo!$B$12*CEILING(I1292,1)</f>
        <v>3.18</v>
      </c>
      <c r="AD1292" s="39" t="n">
        <f aca="false">Resumo!$B$14*CEILING(I1292,1)</f>
        <v>23.85</v>
      </c>
      <c r="AE1292" s="39" t="n">
        <f aca="false">SUM(X1292:AD1292)</f>
        <v>176.77054</v>
      </c>
      <c r="AF1292" s="39" t="n">
        <f aca="false">AE1292/(1-Resumo!$B$5)</f>
        <v>200.875613636364</v>
      </c>
      <c r="AG1292" s="39" t="n">
        <f aca="false">AF1292-W1292</f>
        <v>59.1497545454545</v>
      </c>
      <c r="AH1292" s="40" t="n">
        <f aca="false">AF1292/W1292-1</f>
        <v>0.417353296885033</v>
      </c>
      <c r="AI1292" s="37" t="str">
        <f aca="false">IF(AF1292&lt;W1292,"SIM","NÃO")</f>
        <v>NÃO</v>
      </c>
      <c r="AJ1292" s="37" t="n">
        <v>13</v>
      </c>
      <c r="AK1292" s="37" t="n">
        <v>10</v>
      </c>
      <c r="AL1292" s="37" t="s">
        <v>343</v>
      </c>
      <c r="AM1292" s="39" t="n">
        <v>142.74</v>
      </c>
    </row>
    <row r="1293" customFormat="false" ht="15" hidden="false" customHeight="false" outlineLevel="0" collapsed="false">
      <c r="A1293" s="37" t="n">
        <v>379853829</v>
      </c>
      <c r="B1293" s="38" t="n">
        <v>46255.333287037</v>
      </c>
      <c r="C1293" s="37" t="s">
        <v>340</v>
      </c>
      <c r="D1293" s="37" t="s">
        <v>1550</v>
      </c>
      <c r="E1293" s="37" t="n">
        <v>26157579</v>
      </c>
      <c r="F1293" s="37" t="s">
        <v>165</v>
      </c>
      <c r="G1293" s="37" t="s">
        <v>197</v>
      </c>
      <c r="H1293" s="37" t="s">
        <v>185</v>
      </c>
      <c r="I1293" s="37" t="n">
        <v>39</v>
      </c>
      <c r="J1293" s="39" t="n">
        <v>519.99</v>
      </c>
      <c r="K1293" s="37" t="s">
        <v>342</v>
      </c>
      <c r="L1293" s="39" t="n">
        <v>113.44</v>
      </c>
      <c r="M1293" s="39" t="n">
        <v>66.83</v>
      </c>
      <c r="N1293" s="39" t="n">
        <f aca="false">J1293*Resumo!$C$6</f>
        <v>0</v>
      </c>
      <c r="O1293" s="39" t="n">
        <f aca="false">J1293*Resumo!$C$7</f>
        <v>1.091979</v>
      </c>
      <c r="P1293" s="39" t="n">
        <f aca="false">J1293*Resumo!$C$8</f>
        <v>1.091979</v>
      </c>
      <c r="Q1293" s="39" t="n">
        <f aca="false">Resumo!$C$10*CEILING(I1293/100,1)</f>
        <v>1.05</v>
      </c>
      <c r="R1293" s="39" t="n">
        <f aca="false">Resumo!$C$9</f>
        <v>0</v>
      </c>
      <c r="S1293" s="39" t="n">
        <f aca="false">Resumo!$C$13</f>
        <v>13.55</v>
      </c>
      <c r="T1293" s="39" t="n">
        <f aca="false">Resumo!$C$14*CEILING(I1293,1)</f>
        <v>17.55</v>
      </c>
      <c r="U1293" s="39" t="n">
        <f aca="false">SUM(M1293:T1293)*Resumo!$C$11</f>
        <v>0</v>
      </c>
      <c r="V1293" s="39" t="n">
        <f aca="false">SUM(M1293:U1293)</f>
        <v>101.163958</v>
      </c>
      <c r="W1293" s="39" t="n">
        <f aca="false">V1293/(1-Resumo!$C$5)</f>
        <v>114.959043181818</v>
      </c>
      <c r="X1293" s="39" t="n">
        <v>93.97</v>
      </c>
      <c r="Y1293" s="39" t="n">
        <f aca="false">J1293*Resumo!$B$6</f>
        <v>0.51999</v>
      </c>
      <c r="Z1293" s="39" t="n">
        <f aca="false">J1293*Resumo!$B$7</f>
        <v>1.03998</v>
      </c>
      <c r="AA1293" s="39" t="n">
        <f aca="false">Resumo!$B$9</f>
        <v>1</v>
      </c>
      <c r="AB1293" s="39" t="n">
        <f aca="false">Resumo!$B$10*CEILING(I1293/100,1)</f>
        <v>4.5</v>
      </c>
      <c r="AC1293" s="39" t="n">
        <f aca="false">Resumo!$B$12*CEILING(I1293,1)</f>
        <v>2.34</v>
      </c>
      <c r="AD1293" s="39" t="n">
        <f aca="false">Resumo!$B$14*CEILING(I1293,1)</f>
        <v>17.55</v>
      </c>
      <c r="AE1293" s="39" t="n">
        <f aca="false">SUM(X1293:AD1293)</f>
        <v>120.91997</v>
      </c>
      <c r="AF1293" s="39" t="n">
        <f aca="false">AE1293/(1-Resumo!$B$5)</f>
        <v>137.409056818182</v>
      </c>
      <c r="AG1293" s="39" t="n">
        <f aca="false">AF1293-W1293</f>
        <v>22.4500136363636</v>
      </c>
      <c r="AH1293" s="40" t="n">
        <f aca="false">AF1293/W1293-1</f>
        <v>0.195287060634777</v>
      </c>
      <c r="AI1293" s="37" t="str">
        <f aca="false">IF(AF1293&lt;W1293,"SIM","NÃO")</f>
        <v>NÃO</v>
      </c>
      <c r="AJ1293" s="37" t="n">
        <v>2</v>
      </c>
      <c r="AK1293" s="37" t="n">
        <v>5</v>
      </c>
      <c r="AL1293" s="37" t="s">
        <v>343</v>
      </c>
      <c r="AM1293" s="39" t="n">
        <v>113.45</v>
      </c>
    </row>
    <row r="1294" customFormat="false" ht="15" hidden="false" customHeight="false" outlineLevel="0" collapsed="false">
      <c r="A1294" s="37" t="n">
        <v>379875700</v>
      </c>
      <c r="B1294" s="38" t="n">
        <v>46255.3768634259</v>
      </c>
      <c r="C1294" s="37" t="s">
        <v>340</v>
      </c>
      <c r="D1294" s="37" t="s">
        <v>1551</v>
      </c>
      <c r="E1294" s="37" t="n">
        <v>26089225</v>
      </c>
      <c r="F1294" s="37" t="s">
        <v>162</v>
      </c>
      <c r="G1294" s="37" t="s">
        <v>197</v>
      </c>
      <c r="H1294" s="37" t="s">
        <v>186</v>
      </c>
      <c r="I1294" s="37" t="n">
        <v>48.3</v>
      </c>
      <c r="J1294" s="39" t="n">
        <v>449.99</v>
      </c>
      <c r="K1294" s="37" t="s">
        <v>342</v>
      </c>
      <c r="L1294" s="39" t="n">
        <v>116.23</v>
      </c>
      <c r="M1294" s="39" t="n">
        <v>65.36</v>
      </c>
      <c r="N1294" s="39" t="n">
        <f aca="false">J1294*Resumo!$C$6</f>
        <v>0</v>
      </c>
      <c r="O1294" s="39" t="n">
        <f aca="false">J1294*Resumo!$C$7</f>
        <v>0.944979</v>
      </c>
      <c r="P1294" s="39" t="n">
        <f aca="false">J1294*Resumo!$C$8</f>
        <v>0.944979</v>
      </c>
      <c r="Q1294" s="39" t="n">
        <f aca="false">Resumo!$C$10*CEILING(I1294/100,1)</f>
        <v>1.05</v>
      </c>
      <c r="R1294" s="39" t="n">
        <f aca="false">Resumo!$C$9</f>
        <v>0</v>
      </c>
      <c r="S1294" s="39" t="n">
        <f aca="false">Resumo!$C$13</f>
        <v>13.55</v>
      </c>
      <c r="T1294" s="39" t="n">
        <f aca="false">Resumo!$C$14*CEILING(I1294,1)</f>
        <v>22.05</v>
      </c>
      <c r="U1294" s="39" t="n">
        <f aca="false">SUM(M1294:T1294)*Resumo!$C$11</f>
        <v>0</v>
      </c>
      <c r="V1294" s="39" t="n">
        <f aca="false">SUM(M1294:U1294)</f>
        <v>103.899958</v>
      </c>
      <c r="W1294" s="39" t="n">
        <f aca="false">V1294/(1-Resumo!$C$5)</f>
        <v>118.068134090909</v>
      </c>
      <c r="X1294" s="39" t="n">
        <v>93.97</v>
      </c>
      <c r="Y1294" s="39" t="n">
        <f aca="false">J1294*Resumo!$B$6</f>
        <v>0.44999</v>
      </c>
      <c r="Z1294" s="39" t="n">
        <f aca="false">J1294*Resumo!$B$7</f>
        <v>0.89998</v>
      </c>
      <c r="AA1294" s="39" t="n">
        <f aca="false">Resumo!$B$9</f>
        <v>1</v>
      </c>
      <c r="AB1294" s="39" t="n">
        <f aca="false">Resumo!$B$10*CEILING(I1294/100,1)</f>
        <v>4.5</v>
      </c>
      <c r="AC1294" s="39" t="n">
        <f aca="false">Resumo!$B$12*CEILING(I1294,1)</f>
        <v>2.94</v>
      </c>
      <c r="AD1294" s="39" t="n">
        <f aca="false">Resumo!$B$14*CEILING(I1294,1)</f>
        <v>22.05</v>
      </c>
      <c r="AE1294" s="39" t="n">
        <f aca="false">SUM(X1294:AD1294)</f>
        <v>125.80997</v>
      </c>
      <c r="AF1294" s="39" t="n">
        <f aca="false">AE1294/(1-Resumo!$B$5)</f>
        <v>142.965875</v>
      </c>
      <c r="AG1294" s="39" t="n">
        <f aca="false">AF1294-W1294</f>
        <v>24.8977409090909</v>
      </c>
      <c r="AH1294" s="40" t="n">
        <f aca="false">AF1294/W1294-1</f>
        <v>0.210876042895032</v>
      </c>
      <c r="AI1294" s="37" t="str">
        <f aca="false">IF(AF1294&lt;W1294,"SIM","NÃO")</f>
        <v>NÃO</v>
      </c>
      <c r="AJ1294" s="37" t="n">
        <v>2</v>
      </c>
      <c r="AK1294" s="37" t="n">
        <v>5</v>
      </c>
      <c r="AL1294" s="37" t="s">
        <v>343</v>
      </c>
      <c r="AM1294" s="39" t="n">
        <v>116.23</v>
      </c>
    </row>
    <row r="1295" customFormat="false" ht="15" hidden="false" customHeight="false" outlineLevel="0" collapsed="false">
      <c r="A1295" s="37" t="n">
        <v>379876251</v>
      </c>
      <c r="B1295" s="38" t="n">
        <v>46255.377962963</v>
      </c>
      <c r="C1295" s="37" t="s">
        <v>340</v>
      </c>
      <c r="D1295" s="37" t="s">
        <v>1552</v>
      </c>
      <c r="E1295" s="37" t="n">
        <v>21511140</v>
      </c>
      <c r="F1295" s="37" t="s">
        <v>159</v>
      </c>
      <c r="G1295" s="37" t="s">
        <v>196</v>
      </c>
      <c r="H1295" s="37" t="s">
        <v>185</v>
      </c>
      <c r="I1295" s="37" t="n">
        <v>40</v>
      </c>
      <c r="J1295" s="39" t="n">
        <v>529.99</v>
      </c>
      <c r="K1295" s="37" t="s">
        <v>342</v>
      </c>
      <c r="L1295" s="39" t="n">
        <v>92.4</v>
      </c>
      <c r="M1295" s="39" t="n">
        <v>48.35</v>
      </c>
      <c r="N1295" s="39" t="n">
        <f aca="false">J1295*Resumo!$C$6</f>
        <v>0</v>
      </c>
      <c r="O1295" s="39" t="n">
        <f aca="false">J1295*Resumo!$C$7</f>
        <v>1.112979</v>
      </c>
      <c r="P1295" s="39" t="n">
        <f aca="false">J1295*Resumo!$C$8</f>
        <v>1.112979</v>
      </c>
      <c r="Q1295" s="39" t="n">
        <f aca="false">Resumo!$C$10*CEILING(I1295/100,1)</f>
        <v>1.05</v>
      </c>
      <c r="R1295" s="39" t="n">
        <f aca="false">Resumo!$C$9</f>
        <v>0</v>
      </c>
      <c r="S1295" s="39" t="n">
        <f aca="false">Resumo!$C$13</f>
        <v>13.55</v>
      </c>
      <c r="T1295" s="39" t="n">
        <f aca="false">Resumo!$C$14*CEILING(I1295,1)</f>
        <v>18</v>
      </c>
      <c r="U1295" s="39" t="n">
        <f aca="false">SUM(M1295:T1295)*Resumo!$C$11</f>
        <v>0</v>
      </c>
      <c r="V1295" s="39" t="n">
        <f aca="false">SUM(M1295:U1295)</f>
        <v>83.175958</v>
      </c>
      <c r="W1295" s="39" t="n">
        <f aca="false">V1295/(1-Resumo!$C$5)</f>
        <v>94.5181340909091</v>
      </c>
      <c r="X1295" s="39" t="n">
        <v>93.97</v>
      </c>
      <c r="Y1295" s="39" t="n">
        <f aca="false">J1295*Resumo!$B$6</f>
        <v>0.52999</v>
      </c>
      <c r="Z1295" s="39" t="n">
        <f aca="false">J1295*Resumo!$B$7</f>
        <v>1.05998</v>
      </c>
      <c r="AA1295" s="39" t="n">
        <f aca="false">Resumo!$B$9</f>
        <v>1</v>
      </c>
      <c r="AB1295" s="39" t="n">
        <f aca="false">Resumo!$B$10*CEILING(I1295/100,1)</f>
        <v>4.5</v>
      </c>
      <c r="AC1295" s="39" t="n">
        <f aca="false">Resumo!$B$12*CEILING(I1295,1)</f>
        <v>2.4</v>
      </c>
      <c r="AD1295" s="39" t="n">
        <f aca="false">Resumo!$B$14*CEILING(I1295,1)</f>
        <v>18</v>
      </c>
      <c r="AE1295" s="39" t="n">
        <f aca="false">SUM(X1295:AD1295)</f>
        <v>121.45997</v>
      </c>
      <c r="AF1295" s="39" t="n">
        <f aca="false">AE1295/(1-Resumo!$B$5)</f>
        <v>138.022693181818</v>
      </c>
      <c r="AG1295" s="39" t="n">
        <f aca="false">AF1295-W1295</f>
        <v>43.5045590909091</v>
      </c>
      <c r="AH1295" s="40" t="n">
        <f aca="false">AF1295/W1295-1</f>
        <v>0.460277379672621</v>
      </c>
      <c r="AI1295" s="37" t="str">
        <f aca="false">IF(AF1295&lt;W1295,"SIM","NÃO")</f>
        <v>NÃO</v>
      </c>
      <c r="AJ1295" s="37" t="n">
        <v>2</v>
      </c>
      <c r="AK1295" s="37" t="n">
        <v>5</v>
      </c>
      <c r="AL1295" s="37" t="s">
        <v>343</v>
      </c>
      <c r="AM1295" s="39" t="n">
        <v>92.4</v>
      </c>
    </row>
    <row r="1296" customFormat="false" ht="15" hidden="false" customHeight="false" outlineLevel="0" collapsed="false">
      <c r="A1296" s="37" t="n">
        <v>379878949</v>
      </c>
      <c r="B1296" s="38" t="n">
        <v>46255.3830439815</v>
      </c>
      <c r="C1296" s="37" t="s">
        <v>345</v>
      </c>
      <c r="D1296" s="37" t="s">
        <v>1273</v>
      </c>
      <c r="E1296" s="37" t="n">
        <v>20961050</v>
      </c>
      <c r="F1296" s="37" t="s">
        <v>159</v>
      </c>
      <c r="G1296" s="37" t="s">
        <v>196</v>
      </c>
      <c r="H1296" s="37" t="s">
        <v>187</v>
      </c>
      <c r="I1296" s="37" t="n">
        <v>58.5</v>
      </c>
      <c r="J1296" s="39" t="n">
        <v>855.95</v>
      </c>
      <c r="K1296" s="37" t="s">
        <v>342</v>
      </c>
      <c r="L1296" s="39" t="n">
        <v>115.25</v>
      </c>
      <c r="M1296" s="39" t="n">
        <v>58.6</v>
      </c>
      <c r="N1296" s="39" t="n">
        <f aca="false">J1296*Resumo!$C$6</f>
        <v>0</v>
      </c>
      <c r="O1296" s="39" t="n">
        <f aca="false">J1296*Resumo!$C$7</f>
        <v>1.797495</v>
      </c>
      <c r="P1296" s="39" t="n">
        <f aca="false">J1296*Resumo!$C$8</f>
        <v>1.797495</v>
      </c>
      <c r="Q1296" s="39" t="n">
        <f aca="false">Resumo!$C$10*CEILING(I1296/100,1)</f>
        <v>1.05</v>
      </c>
      <c r="R1296" s="39" t="n">
        <f aca="false">Resumo!$C$9</f>
        <v>0</v>
      </c>
      <c r="S1296" s="39" t="n">
        <f aca="false">Resumo!$C$13</f>
        <v>13.55</v>
      </c>
      <c r="T1296" s="39" t="n">
        <f aca="false">Resumo!$C$14*CEILING(I1296,1)</f>
        <v>26.55</v>
      </c>
      <c r="U1296" s="39" t="n">
        <f aca="false">SUM(M1296:T1296)*Resumo!$C$11</f>
        <v>0</v>
      </c>
      <c r="V1296" s="39" t="n">
        <f aca="false">SUM(M1296:U1296)</f>
        <v>103.34499</v>
      </c>
      <c r="W1296" s="39" t="n">
        <f aca="false">V1296/(1-Resumo!$C$5)</f>
        <v>117.437488636364</v>
      </c>
      <c r="X1296" s="39" t="n">
        <v>112.3</v>
      </c>
      <c r="Y1296" s="39" t="n">
        <f aca="false">J1296*Resumo!$B$6</f>
        <v>0.85595</v>
      </c>
      <c r="Z1296" s="39" t="n">
        <f aca="false">J1296*Resumo!$B$7</f>
        <v>1.7119</v>
      </c>
      <c r="AA1296" s="39" t="n">
        <f aca="false">Resumo!$B$9</f>
        <v>1</v>
      </c>
      <c r="AB1296" s="39" t="n">
        <f aca="false">Resumo!$B$10*CEILING(I1296/100,1)</f>
        <v>4.5</v>
      </c>
      <c r="AC1296" s="39" t="n">
        <f aca="false">Resumo!$B$12*CEILING(I1296,1)</f>
        <v>3.54</v>
      </c>
      <c r="AD1296" s="39" t="n">
        <f aca="false">Resumo!$B$14*CEILING(I1296,1)</f>
        <v>26.55</v>
      </c>
      <c r="AE1296" s="39" t="n">
        <f aca="false">SUM(X1296:AD1296)</f>
        <v>150.45785</v>
      </c>
      <c r="AF1296" s="39" t="n">
        <f aca="false">AE1296/(1-Resumo!$B$5)</f>
        <v>170.974829545455</v>
      </c>
      <c r="AG1296" s="39" t="n">
        <f aca="false">AF1296-W1296</f>
        <v>53.5373409090909</v>
      </c>
      <c r="AH1296" s="40" t="n">
        <f aca="false">AF1296/W1296-1</f>
        <v>0.455879477079634</v>
      </c>
      <c r="AI1296" s="37" t="str">
        <f aca="false">IF(AF1296&lt;W1296,"SIM","NÃO")</f>
        <v>NÃO</v>
      </c>
      <c r="AJ1296" s="37" t="n">
        <v>2</v>
      </c>
      <c r="AK1296" s="37" t="n">
        <v>5</v>
      </c>
      <c r="AL1296" s="37" t="s">
        <v>343</v>
      </c>
      <c r="AM1296" s="39" t="n">
        <v>115.25</v>
      </c>
    </row>
    <row r="1297" customFormat="false" ht="15" hidden="false" customHeight="false" outlineLevel="0" collapsed="false">
      <c r="A1297" s="37" t="n">
        <v>379905804</v>
      </c>
      <c r="B1297" s="38" t="n">
        <v>46255.4273263889</v>
      </c>
      <c r="C1297" s="37" t="s">
        <v>345</v>
      </c>
      <c r="D1297" s="37" t="s">
        <v>1553</v>
      </c>
      <c r="E1297" s="37" t="n">
        <v>25075240</v>
      </c>
      <c r="F1297" s="37" t="s">
        <v>161</v>
      </c>
      <c r="G1297" s="37" t="s">
        <v>197</v>
      </c>
      <c r="H1297" s="37" t="s">
        <v>186</v>
      </c>
      <c r="I1297" s="37" t="n">
        <v>43.5</v>
      </c>
      <c r="J1297" s="39" t="n">
        <v>604.3</v>
      </c>
      <c r="K1297" s="37" t="s">
        <v>342</v>
      </c>
      <c r="L1297" s="39" t="n">
        <v>116.98</v>
      </c>
      <c r="M1297" s="39" t="n">
        <v>65.36</v>
      </c>
      <c r="N1297" s="39" t="n">
        <f aca="false">J1297*Resumo!$C$6</f>
        <v>0</v>
      </c>
      <c r="O1297" s="39" t="n">
        <f aca="false">J1297*Resumo!$C$7</f>
        <v>1.26903</v>
      </c>
      <c r="P1297" s="39" t="n">
        <f aca="false">J1297*Resumo!$C$8</f>
        <v>1.26903</v>
      </c>
      <c r="Q1297" s="39" t="n">
        <f aca="false">Resumo!$C$10*CEILING(I1297/100,1)</f>
        <v>1.05</v>
      </c>
      <c r="R1297" s="39" t="n">
        <f aca="false">Resumo!$C$9</f>
        <v>0</v>
      </c>
      <c r="S1297" s="39" t="n">
        <f aca="false">Resumo!$C$13</f>
        <v>13.55</v>
      </c>
      <c r="T1297" s="39" t="n">
        <f aca="false">Resumo!$C$14*CEILING(I1297,1)</f>
        <v>19.8</v>
      </c>
      <c r="U1297" s="39" t="n">
        <f aca="false">SUM(M1297:T1297)*Resumo!$C$11</f>
        <v>0</v>
      </c>
      <c r="V1297" s="39" t="n">
        <f aca="false">SUM(M1297:U1297)</f>
        <v>102.29806</v>
      </c>
      <c r="W1297" s="39" t="n">
        <f aca="false">V1297/(1-Resumo!$C$5)</f>
        <v>116.247795454545</v>
      </c>
      <c r="X1297" s="39" t="n">
        <v>93.97</v>
      </c>
      <c r="Y1297" s="39" t="n">
        <f aca="false">J1297*Resumo!$B$6</f>
        <v>0.6043</v>
      </c>
      <c r="Z1297" s="39" t="n">
        <f aca="false">J1297*Resumo!$B$7</f>
        <v>1.2086</v>
      </c>
      <c r="AA1297" s="39" t="n">
        <f aca="false">Resumo!$B$9</f>
        <v>1</v>
      </c>
      <c r="AB1297" s="39" t="n">
        <f aca="false">Resumo!$B$10*CEILING(I1297/100,1)</f>
        <v>4.5</v>
      </c>
      <c r="AC1297" s="39" t="n">
        <f aca="false">Resumo!$B$12*CEILING(I1297,1)</f>
        <v>2.64</v>
      </c>
      <c r="AD1297" s="39" t="n">
        <f aca="false">Resumo!$B$14*CEILING(I1297,1)</f>
        <v>19.8</v>
      </c>
      <c r="AE1297" s="39" t="n">
        <f aca="false">SUM(X1297:AD1297)</f>
        <v>123.7229</v>
      </c>
      <c r="AF1297" s="39" t="n">
        <f aca="false">AE1297/(1-Resumo!$B$5)</f>
        <v>140.594204545455</v>
      </c>
      <c r="AG1297" s="39" t="n">
        <f aca="false">AF1297-W1297</f>
        <v>24.3464090909091</v>
      </c>
      <c r="AH1297" s="40" t="n">
        <f aca="false">AF1297/W1297-1</f>
        <v>0.209435447749449</v>
      </c>
      <c r="AI1297" s="37" t="str">
        <f aca="false">IF(AF1297&lt;W1297,"SIM","NÃO")</f>
        <v>NÃO</v>
      </c>
      <c r="AJ1297" s="37" t="n">
        <v>2</v>
      </c>
      <c r="AK1297" s="37" t="n">
        <v>5</v>
      </c>
      <c r="AL1297" s="37" t="s">
        <v>343</v>
      </c>
      <c r="AM1297" s="39" t="n">
        <v>116.97</v>
      </c>
    </row>
    <row r="1298" customFormat="false" ht="15" hidden="false" customHeight="false" outlineLevel="0" collapsed="false">
      <c r="A1298" s="37" t="n">
        <v>379916375</v>
      </c>
      <c r="B1298" s="38" t="n">
        <v>46255.4436111111</v>
      </c>
      <c r="C1298" s="37" t="s">
        <v>345</v>
      </c>
      <c r="D1298" s="37" t="s">
        <v>1554</v>
      </c>
      <c r="E1298" s="37" t="n">
        <v>28890052</v>
      </c>
      <c r="F1298" s="37" t="s">
        <v>178</v>
      </c>
      <c r="G1298" s="37" t="s">
        <v>198</v>
      </c>
      <c r="H1298" s="37" t="s">
        <v>190</v>
      </c>
      <c r="I1298" s="37" t="n">
        <v>81.7</v>
      </c>
      <c r="J1298" s="39" t="n">
        <v>639.76</v>
      </c>
      <c r="K1298" s="37" t="s">
        <v>342</v>
      </c>
      <c r="L1298" s="39" t="n">
        <v>191.66</v>
      </c>
      <c r="M1298" s="39" t="n">
        <v>109.63</v>
      </c>
      <c r="N1298" s="39" t="n">
        <f aca="false">J1298*Resumo!$C$6</f>
        <v>0</v>
      </c>
      <c r="O1298" s="39" t="n">
        <f aca="false">J1298*Resumo!$C$7</f>
        <v>1.343496</v>
      </c>
      <c r="P1298" s="39" t="n">
        <f aca="false">J1298*Resumo!$C$8</f>
        <v>1.343496</v>
      </c>
      <c r="Q1298" s="39" t="n">
        <f aca="false">Resumo!$C$10*CEILING(I1298/100,1)</f>
        <v>1.05</v>
      </c>
      <c r="R1298" s="39" t="n">
        <f aca="false">Resumo!$C$9</f>
        <v>0</v>
      </c>
      <c r="S1298" s="39" t="n">
        <f aca="false">Resumo!$C$13</f>
        <v>13.55</v>
      </c>
      <c r="T1298" s="39" t="n">
        <f aca="false">Resumo!$C$14*CEILING(I1298,1)</f>
        <v>36.9</v>
      </c>
      <c r="U1298" s="39" t="n">
        <f aca="false">SUM(M1298:T1298)*Resumo!$C$11</f>
        <v>0</v>
      </c>
      <c r="V1298" s="39" t="n">
        <f aca="false">SUM(M1298:U1298)</f>
        <v>163.816992</v>
      </c>
      <c r="W1298" s="39" t="n">
        <f aca="false">V1298/(1-Resumo!$C$5)</f>
        <v>186.155672727273</v>
      </c>
      <c r="X1298" s="39" t="n">
        <v>197.35</v>
      </c>
      <c r="Y1298" s="39" t="n">
        <f aca="false">J1298*Resumo!$B$6</f>
        <v>0.63976</v>
      </c>
      <c r="Z1298" s="39" t="n">
        <f aca="false">J1298*Resumo!$B$7</f>
        <v>1.27952</v>
      </c>
      <c r="AA1298" s="39" t="n">
        <f aca="false">Resumo!$B$9</f>
        <v>1</v>
      </c>
      <c r="AB1298" s="39" t="n">
        <f aca="false">Resumo!$B$10*CEILING(I1298/100,1)</f>
        <v>4.5</v>
      </c>
      <c r="AC1298" s="39" t="n">
        <f aca="false">Resumo!$B$12*CEILING(I1298,1)</f>
        <v>4.92</v>
      </c>
      <c r="AD1298" s="39" t="n">
        <f aca="false">Resumo!$B$14*CEILING(I1298,1)</f>
        <v>36.9</v>
      </c>
      <c r="AE1298" s="39" t="n">
        <f aca="false">SUM(X1298:AD1298)</f>
        <v>246.58928</v>
      </c>
      <c r="AF1298" s="39" t="n">
        <f aca="false">AE1298/(1-Resumo!$B$5)</f>
        <v>280.215090909091</v>
      </c>
      <c r="AG1298" s="39" t="n">
        <f aca="false">AF1298-W1298</f>
        <v>94.0594181818182</v>
      </c>
      <c r="AH1298" s="40" t="n">
        <f aca="false">AF1298/W1298-1</f>
        <v>0.505272908441635</v>
      </c>
      <c r="AI1298" s="37" t="str">
        <f aca="false">IF(AF1298&lt;W1298,"SIM","NÃO")</f>
        <v>NÃO</v>
      </c>
      <c r="AJ1298" s="37" t="n">
        <v>13</v>
      </c>
      <c r="AK1298" s="37" t="n">
        <v>10</v>
      </c>
      <c r="AL1298" s="37" t="s">
        <v>343</v>
      </c>
      <c r="AM1298" s="39" t="n">
        <v>191.66</v>
      </c>
    </row>
    <row r="1299" customFormat="false" ht="15" hidden="false" customHeight="false" outlineLevel="0" collapsed="false">
      <c r="A1299" s="37" t="n">
        <v>379916994</v>
      </c>
      <c r="B1299" s="38" t="n">
        <v>46255.4446412037</v>
      </c>
      <c r="C1299" s="37" t="s">
        <v>340</v>
      </c>
      <c r="D1299" s="37" t="s">
        <v>1555</v>
      </c>
      <c r="E1299" s="37" t="n">
        <v>22793580</v>
      </c>
      <c r="F1299" s="37" t="s">
        <v>159</v>
      </c>
      <c r="G1299" s="37" t="s">
        <v>196</v>
      </c>
      <c r="H1299" s="37" t="s">
        <v>183</v>
      </c>
      <c r="I1299" s="37" t="n">
        <v>17.2</v>
      </c>
      <c r="J1299" s="39" t="n">
        <v>243.21</v>
      </c>
      <c r="K1299" s="37" t="s">
        <v>342</v>
      </c>
      <c r="L1299" s="39" t="n">
        <v>64.39</v>
      </c>
      <c r="M1299" s="39" t="n">
        <v>33.42</v>
      </c>
      <c r="N1299" s="39" t="n">
        <f aca="false">J1299*Resumo!$C$6</f>
        <v>0</v>
      </c>
      <c r="O1299" s="39" t="n">
        <f aca="false">J1299*Resumo!$C$7</f>
        <v>0.510741</v>
      </c>
      <c r="P1299" s="39" t="n">
        <f aca="false">J1299*Resumo!$C$8</f>
        <v>0.510741</v>
      </c>
      <c r="Q1299" s="39" t="n">
        <f aca="false">Resumo!$C$10*CEILING(I1299/100,1)</f>
        <v>1.05</v>
      </c>
      <c r="R1299" s="39" t="n">
        <f aca="false">Resumo!$C$9</f>
        <v>0</v>
      </c>
      <c r="S1299" s="39" t="n">
        <f aca="false">Resumo!$C$13</f>
        <v>13.55</v>
      </c>
      <c r="T1299" s="39" t="n">
        <f aca="false">Resumo!$C$14*CEILING(I1299,1)</f>
        <v>8.1</v>
      </c>
      <c r="U1299" s="39" t="n">
        <f aca="false">SUM(M1299:T1299)*Resumo!$C$11</f>
        <v>0</v>
      </c>
      <c r="V1299" s="39" t="n">
        <f aca="false">SUM(M1299:U1299)</f>
        <v>57.141482</v>
      </c>
      <c r="W1299" s="39" t="n">
        <f aca="false">V1299/(1-Resumo!$C$5)</f>
        <v>64.9335022727273</v>
      </c>
      <c r="X1299" s="39" t="n">
        <v>46.98</v>
      </c>
      <c r="Y1299" s="39" t="n">
        <f aca="false">J1299*Resumo!$B$6</f>
        <v>0.24321</v>
      </c>
      <c r="Z1299" s="39" t="n">
        <f aca="false">J1299*Resumo!$B$7</f>
        <v>0.48642</v>
      </c>
      <c r="AA1299" s="39" t="n">
        <f aca="false">Resumo!$B$9</f>
        <v>1</v>
      </c>
      <c r="AB1299" s="39" t="n">
        <f aca="false">Resumo!$B$10*CEILING(I1299/100,1)</f>
        <v>4.5</v>
      </c>
      <c r="AC1299" s="39" t="n">
        <f aca="false">Resumo!$B$12*CEILING(I1299,1)</f>
        <v>1.08</v>
      </c>
      <c r="AD1299" s="39" t="n">
        <f aca="false">Resumo!$B$14*CEILING(I1299,1)</f>
        <v>8.1</v>
      </c>
      <c r="AE1299" s="39" t="n">
        <f aca="false">SUM(X1299:AD1299)</f>
        <v>62.38963</v>
      </c>
      <c r="AF1299" s="39" t="n">
        <f aca="false">AE1299/(1-Resumo!$B$5)</f>
        <v>70.8973068181818</v>
      </c>
      <c r="AG1299" s="39" t="n">
        <f aca="false">AF1299-W1299</f>
        <v>5.96380454545454</v>
      </c>
      <c r="AH1299" s="40" t="n">
        <f aca="false">AF1299/W1299-1</f>
        <v>0.0918448002451178</v>
      </c>
      <c r="AI1299" s="37" t="str">
        <f aca="false">IF(AF1299&lt;W1299,"SIM","NÃO")</f>
        <v>NÃO</v>
      </c>
      <c r="AJ1299" s="37" t="n">
        <v>2</v>
      </c>
      <c r="AK1299" s="37" t="n">
        <v>5</v>
      </c>
      <c r="AL1299" s="37" t="s">
        <v>343</v>
      </c>
      <c r="AM1299" s="39" t="n">
        <v>64.38</v>
      </c>
    </row>
    <row r="1300" customFormat="false" ht="15" hidden="false" customHeight="false" outlineLevel="0" collapsed="false">
      <c r="A1300" s="37" t="n">
        <v>379923507</v>
      </c>
      <c r="B1300" s="38" t="n">
        <v>46255.4545717593</v>
      </c>
      <c r="C1300" s="37" t="s">
        <v>345</v>
      </c>
      <c r="D1300" s="37" t="s">
        <v>1556</v>
      </c>
      <c r="E1300" s="37" t="n">
        <v>26263175</v>
      </c>
      <c r="F1300" s="37" t="s">
        <v>162</v>
      </c>
      <c r="G1300" s="37" t="s">
        <v>197</v>
      </c>
      <c r="H1300" s="37" t="s">
        <v>192</v>
      </c>
      <c r="I1300" s="37" t="n">
        <v>124.2</v>
      </c>
      <c r="J1300" s="39" t="n">
        <v>1526.91</v>
      </c>
      <c r="K1300" s="37" t="s">
        <v>342</v>
      </c>
      <c r="L1300" s="39" t="n">
        <v>243.91</v>
      </c>
      <c r="M1300" s="39" t="n">
        <v>129.62</v>
      </c>
      <c r="N1300" s="39" t="n">
        <f aca="false">J1300*Resumo!$C$6</f>
        <v>0</v>
      </c>
      <c r="O1300" s="39" t="n">
        <f aca="false">J1300*Resumo!$C$7</f>
        <v>3.206511</v>
      </c>
      <c r="P1300" s="39" t="n">
        <f aca="false">J1300*Resumo!$C$8</f>
        <v>3.206511</v>
      </c>
      <c r="Q1300" s="39" t="n">
        <f aca="false">Resumo!$C$10*CEILING(I1300/100,1)</f>
        <v>2.1</v>
      </c>
      <c r="R1300" s="39" t="n">
        <f aca="false">Resumo!$C$9</f>
        <v>0</v>
      </c>
      <c r="S1300" s="39" t="n">
        <f aca="false">Resumo!$C$13</f>
        <v>13.55</v>
      </c>
      <c r="T1300" s="39" t="n">
        <f aca="false">Resumo!$C$14*CEILING(I1300,1)</f>
        <v>56.25</v>
      </c>
      <c r="U1300" s="39" t="n">
        <f aca="false">SUM(M1300:T1300)*Resumo!$C$11</f>
        <v>0</v>
      </c>
      <c r="V1300" s="39" t="n">
        <f aca="false">SUM(M1300:U1300)</f>
        <v>207.933022</v>
      </c>
      <c r="W1300" s="39" t="n">
        <f aca="false">V1300/(1-Resumo!$C$5)</f>
        <v>236.287525</v>
      </c>
      <c r="X1300" s="39" t="n">
        <v>239.25</v>
      </c>
      <c r="Y1300" s="39" t="n">
        <f aca="false">J1300*Resumo!$B$6</f>
        <v>1.52691</v>
      </c>
      <c r="Z1300" s="39" t="n">
        <f aca="false">J1300*Resumo!$B$7</f>
        <v>3.05382</v>
      </c>
      <c r="AA1300" s="39" t="n">
        <f aca="false">Resumo!$B$9</f>
        <v>1</v>
      </c>
      <c r="AB1300" s="39" t="n">
        <f aca="false">Resumo!$B$10*CEILING(I1300/100,1)</f>
        <v>9</v>
      </c>
      <c r="AC1300" s="39" t="n">
        <f aca="false">Resumo!$B$12*CEILING(I1300,1)</f>
        <v>7.5</v>
      </c>
      <c r="AD1300" s="39" t="n">
        <f aca="false">Resumo!$B$14*CEILING(I1300,1)</f>
        <v>56.25</v>
      </c>
      <c r="AE1300" s="39" t="n">
        <f aca="false">SUM(X1300:AD1300)</f>
        <v>317.58073</v>
      </c>
      <c r="AF1300" s="39" t="n">
        <f aca="false">AE1300/(1-Resumo!$B$5)</f>
        <v>360.887193181818</v>
      </c>
      <c r="AG1300" s="39" t="n">
        <f aca="false">AF1300-W1300</f>
        <v>124.599668181818</v>
      </c>
      <c r="AH1300" s="40" t="n">
        <f aca="false">AF1300/W1300-1</f>
        <v>0.527322245141034</v>
      </c>
      <c r="AI1300" s="37" t="str">
        <f aca="false">IF(AF1300&lt;W1300,"SIM","NÃO")</f>
        <v>NÃO</v>
      </c>
      <c r="AJ1300" s="37" t="n">
        <v>2</v>
      </c>
      <c r="AK1300" s="37" t="n">
        <v>5</v>
      </c>
      <c r="AL1300" s="37" t="s">
        <v>343</v>
      </c>
      <c r="AM1300" s="39" t="n">
        <v>243.92</v>
      </c>
    </row>
    <row r="1301" customFormat="false" ht="15" hidden="false" customHeight="false" outlineLevel="0" collapsed="false">
      <c r="A1301" s="37" t="n">
        <v>379950170</v>
      </c>
      <c r="B1301" s="38" t="n">
        <v>46255.4953472222</v>
      </c>
      <c r="C1301" s="37" t="s">
        <v>340</v>
      </c>
      <c r="D1301" s="37" t="s">
        <v>1557</v>
      </c>
      <c r="E1301" s="37" t="n">
        <v>20745040</v>
      </c>
      <c r="F1301" s="37" t="s">
        <v>159</v>
      </c>
      <c r="G1301" s="37" t="s">
        <v>196</v>
      </c>
      <c r="H1301" s="37" t="s">
        <v>188</v>
      </c>
      <c r="I1301" s="37" t="n">
        <v>67.03</v>
      </c>
      <c r="J1301" s="39" t="n">
        <v>729.99</v>
      </c>
      <c r="K1301" s="37" t="s">
        <v>342</v>
      </c>
      <c r="L1301" s="39" t="n">
        <v>124.7</v>
      </c>
      <c r="M1301" s="39" t="n">
        <v>63.21</v>
      </c>
      <c r="N1301" s="39" t="n">
        <f aca="false">J1301*Resumo!$C$6</f>
        <v>0</v>
      </c>
      <c r="O1301" s="39" t="n">
        <f aca="false">J1301*Resumo!$C$7</f>
        <v>1.532979</v>
      </c>
      <c r="P1301" s="39" t="n">
        <f aca="false">J1301*Resumo!$C$8</f>
        <v>1.532979</v>
      </c>
      <c r="Q1301" s="39" t="n">
        <f aca="false">Resumo!$C$10*CEILING(I1301/100,1)</f>
        <v>1.05</v>
      </c>
      <c r="R1301" s="39" t="n">
        <f aca="false">Resumo!$C$9</f>
        <v>0</v>
      </c>
      <c r="S1301" s="39" t="n">
        <f aca="false">Resumo!$C$13</f>
        <v>13.55</v>
      </c>
      <c r="T1301" s="39" t="n">
        <f aca="false">Resumo!$C$14*CEILING(I1301,1)</f>
        <v>30.6</v>
      </c>
      <c r="U1301" s="39" t="n">
        <f aca="false">SUM(M1301:T1301)*Resumo!$C$11</f>
        <v>0</v>
      </c>
      <c r="V1301" s="39" t="n">
        <f aca="false">SUM(M1301:U1301)</f>
        <v>111.475958</v>
      </c>
      <c r="W1301" s="39" t="n">
        <f aca="false">V1301/(1-Resumo!$C$5)</f>
        <v>126.677225</v>
      </c>
      <c r="X1301" s="39" t="n">
        <v>131.02</v>
      </c>
      <c r="Y1301" s="39" t="n">
        <f aca="false">J1301*Resumo!$B$6</f>
        <v>0.72999</v>
      </c>
      <c r="Z1301" s="39" t="n">
        <f aca="false">J1301*Resumo!$B$7</f>
        <v>1.45998</v>
      </c>
      <c r="AA1301" s="39" t="n">
        <f aca="false">Resumo!$B$9</f>
        <v>1</v>
      </c>
      <c r="AB1301" s="39" t="n">
        <f aca="false">Resumo!$B$10*CEILING(I1301/100,1)</f>
        <v>4.5</v>
      </c>
      <c r="AC1301" s="39" t="n">
        <f aca="false">Resumo!$B$12*CEILING(I1301,1)</f>
        <v>4.08</v>
      </c>
      <c r="AD1301" s="39" t="n">
        <f aca="false">Resumo!$B$14*CEILING(I1301,1)</f>
        <v>30.6</v>
      </c>
      <c r="AE1301" s="39" t="n">
        <f aca="false">SUM(X1301:AD1301)</f>
        <v>173.38997</v>
      </c>
      <c r="AF1301" s="39" t="n">
        <f aca="false">AE1301/(1-Resumo!$B$5)</f>
        <v>197.034056818182</v>
      </c>
      <c r="AG1301" s="39" t="n">
        <f aca="false">AF1301-W1301</f>
        <v>70.3568318181818</v>
      </c>
      <c r="AH1301" s="40" t="n">
        <f aca="false">AF1301/W1301-1</f>
        <v>0.555402376537549</v>
      </c>
      <c r="AI1301" s="37" t="str">
        <f aca="false">IF(AF1301&lt;W1301,"SIM","NÃO")</f>
        <v>NÃO</v>
      </c>
      <c r="AJ1301" s="37" t="n">
        <v>2</v>
      </c>
      <c r="AK1301" s="37" t="n">
        <v>5</v>
      </c>
      <c r="AL1301" s="37" t="s">
        <v>343</v>
      </c>
      <c r="AM1301" s="39" t="n">
        <v>124.71</v>
      </c>
    </row>
    <row r="1302" customFormat="false" ht="15" hidden="false" customHeight="false" outlineLevel="0" collapsed="false">
      <c r="A1302" s="37" t="n">
        <v>379955288</v>
      </c>
      <c r="B1302" s="38" t="n">
        <v>46255.5027083333</v>
      </c>
      <c r="C1302" s="37" t="s">
        <v>340</v>
      </c>
      <c r="D1302" s="37" t="s">
        <v>1558</v>
      </c>
      <c r="E1302" s="37" t="n">
        <v>21770190</v>
      </c>
      <c r="F1302" s="37" t="s">
        <v>159</v>
      </c>
      <c r="G1302" s="37" t="s">
        <v>196</v>
      </c>
      <c r="H1302" s="37" t="s">
        <v>187</v>
      </c>
      <c r="I1302" s="37" t="n">
        <v>52.3</v>
      </c>
      <c r="J1302" s="39" t="n">
        <v>669.99</v>
      </c>
      <c r="K1302" s="37" t="s">
        <v>342</v>
      </c>
      <c r="L1302" s="39" t="n">
        <v>114.36</v>
      </c>
      <c r="M1302" s="39" t="n">
        <v>58.6</v>
      </c>
      <c r="N1302" s="39" t="n">
        <f aca="false">J1302*Resumo!$C$6</f>
        <v>0</v>
      </c>
      <c r="O1302" s="39" t="n">
        <f aca="false">J1302*Resumo!$C$7</f>
        <v>1.406979</v>
      </c>
      <c r="P1302" s="39" t="n">
        <f aca="false">J1302*Resumo!$C$8</f>
        <v>1.406979</v>
      </c>
      <c r="Q1302" s="39" t="n">
        <f aca="false">Resumo!$C$10*CEILING(I1302/100,1)</f>
        <v>1.05</v>
      </c>
      <c r="R1302" s="39" t="n">
        <f aca="false">Resumo!$C$9</f>
        <v>0</v>
      </c>
      <c r="S1302" s="39" t="n">
        <f aca="false">Resumo!$C$13</f>
        <v>13.55</v>
      </c>
      <c r="T1302" s="39" t="n">
        <f aca="false">Resumo!$C$14*CEILING(I1302,1)</f>
        <v>23.85</v>
      </c>
      <c r="U1302" s="39" t="n">
        <f aca="false">SUM(M1302:T1302)*Resumo!$C$11</f>
        <v>0</v>
      </c>
      <c r="V1302" s="39" t="n">
        <f aca="false">SUM(M1302:U1302)</f>
        <v>99.863958</v>
      </c>
      <c r="W1302" s="39" t="n">
        <f aca="false">V1302/(1-Resumo!$C$5)</f>
        <v>113.481770454545</v>
      </c>
      <c r="X1302" s="39" t="n">
        <v>112.3</v>
      </c>
      <c r="Y1302" s="39" t="n">
        <f aca="false">J1302*Resumo!$B$6</f>
        <v>0.66999</v>
      </c>
      <c r="Z1302" s="39" t="n">
        <f aca="false">J1302*Resumo!$B$7</f>
        <v>1.33998</v>
      </c>
      <c r="AA1302" s="39" t="n">
        <f aca="false">Resumo!$B$9</f>
        <v>1</v>
      </c>
      <c r="AB1302" s="39" t="n">
        <f aca="false">Resumo!$B$10*CEILING(I1302/100,1)</f>
        <v>4.5</v>
      </c>
      <c r="AC1302" s="39" t="n">
        <f aca="false">Resumo!$B$12*CEILING(I1302,1)</f>
        <v>3.18</v>
      </c>
      <c r="AD1302" s="39" t="n">
        <f aca="false">Resumo!$B$14*CEILING(I1302,1)</f>
        <v>23.85</v>
      </c>
      <c r="AE1302" s="39" t="n">
        <f aca="false">SUM(X1302:AD1302)</f>
        <v>146.83997</v>
      </c>
      <c r="AF1302" s="39" t="n">
        <f aca="false">AE1302/(1-Resumo!$B$5)</f>
        <v>166.863602272727</v>
      </c>
      <c r="AG1302" s="39" t="n">
        <f aca="false">AF1302-W1302</f>
        <v>53.3818318181818</v>
      </c>
      <c r="AH1302" s="40" t="n">
        <f aca="false">AF1302/W1302-1</f>
        <v>0.470400061651872</v>
      </c>
      <c r="AI1302" s="37" t="str">
        <f aca="false">IF(AF1302&lt;W1302,"SIM","NÃO")</f>
        <v>NÃO</v>
      </c>
      <c r="AJ1302" s="37" t="n">
        <v>2</v>
      </c>
      <c r="AK1302" s="37" t="n">
        <v>5</v>
      </c>
      <c r="AL1302" s="37" t="s">
        <v>343</v>
      </c>
      <c r="AM1302" s="39" t="n">
        <v>114.36</v>
      </c>
    </row>
    <row r="1303" customFormat="false" ht="15" hidden="false" customHeight="false" outlineLevel="0" collapsed="false">
      <c r="A1303" s="37" t="n">
        <v>379956030</v>
      </c>
      <c r="B1303" s="38" t="n">
        <v>46255.5040972222</v>
      </c>
      <c r="C1303" s="37" t="s">
        <v>340</v>
      </c>
      <c r="D1303" s="37" t="s">
        <v>1559</v>
      </c>
      <c r="E1303" s="37" t="n">
        <v>25565040</v>
      </c>
      <c r="F1303" s="37" t="s">
        <v>167</v>
      </c>
      <c r="G1303" s="37" t="s">
        <v>197</v>
      </c>
      <c r="H1303" s="37" t="s">
        <v>185</v>
      </c>
      <c r="I1303" s="37" t="n">
        <v>36.8</v>
      </c>
      <c r="J1303" s="39" t="n">
        <v>439.99</v>
      </c>
      <c r="K1303" s="37" t="s">
        <v>342</v>
      </c>
      <c r="L1303" s="39" t="n">
        <v>113.07</v>
      </c>
      <c r="M1303" s="39" t="n">
        <v>66.83</v>
      </c>
      <c r="N1303" s="39" t="n">
        <f aca="false">J1303*Resumo!$C$6</f>
        <v>0</v>
      </c>
      <c r="O1303" s="39" t="n">
        <f aca="false">J1303*Resumo!$C$7</f>
        <v>0.923979</v>
      </c>
      <c r="P1303" s="39" t="n">
        <f aca="false">J1303*Resumo!$C$8</f>
        <v>0.923979</v>
      </c>
      <c r="Q1303" s="39" t="n">
        <f aca="false">Resumo!$C$10*CEILING(I1303/100,1)</f>
        <v>1.05</v>
      </c>
      <c r="R1303" s="39" t="n">
        <f aca="false">Resumo!$C$9</f>
        <v>0</v>
      </c>
      <c r="S1303" s="39" t="n">
        <f aca="false">Resumo!$C$13</f>
        <v>13.55</v>
      </c>
      <c r="T1303" s="39" t="n">
        <f aca="false">Resumo!$C$14*CEILING(I1303,1)</f>
        <v>16.65</v>
      </c>
      <c r="U1303" s="39" t="n">
        <f aca="false">SUM(M1303:T1303)*Resumo!$C$11</f>
        <v>0</v>
      </c>
      <c r="V1303" s="39" t="n">
        <f aca="false">SUM(M1303:U1303)</f>
        <v>99.927958</v>
      </c>
      <c r="W1303" s="39" t="n">
        <f aca="false">V1303/(1-Resumo!$C$5)</f>
        <v>113.554497727273</v>
      </c>
      <c r="X1303" s="39" t="n">
        <v>93.97</v>
      </c>
      <c r="Y1303" s="39" t="n">
        <f aca="false">J1303*Resumo!$B$6</f>
        <v>0.43999</v>
      </c>
      <c r="Z1303" s="39" t="n">
        <f aca="false">J1303*Resumo!$B$7</f>
        <v>0.87998</v>
      </c>
      <c r="AA1303" s="39" t="n">
        <f aca="false">Resumo!$B$9</f>
        <v>1</v>
      </c>
      <c r="AB1303" s="39" t="n">
        <f aca="false">Resumo!$B$10*CEILING(I1303/100,1)</f>
        <v>4.5</v>
      </c>
      <c r="AC1303" s="39" t="n">
        <f aca="false">Resumo!$B$12*CEILING(I1303,1)</f>
        <v>2.22</v>
      </c>
      <c r="AD1303" s="39" t="n">
        <f aca="false">Resumo!$B$14*CEILING(I1303,1)</f>
        <v>16.65</v>
      </c>
      <c r="AE1303" s="39" t="n">
        <f aca="false">SUM(X1303:AD1303)</f>
        <v>119.65997</v>
      </c>
      <c r="AF1303" s="39" t="n">
        <f aca="false">AE1303/(1-Resumo!$B$5)</f>
        <v>135.977238636364</v>
      </c>
      <c r="AG1303" s="39" t="n">
        <f aca="false">AF1303-W1303</f>
        <v>22.4227409090909</v>
      </c>
      <c r="AH1303" s="40" t="n">
        <f aca="false">AF1303/W1303-1</f>
        <v>0.197462375844806</v>
      </c>
      <c r="AI1303" s="37" t="str">
        <f aca="false">IF(AF1303&lt;W1303,"SIM","NÃO")</f>
        <v>NÃO</v>
      </c>
      <c r="AJ1303" s="37" t="n">
        <v>2</v>
      </c>
      <c r="AK1303" s="37" t="n">
        <v>5</v>
      </c>
      <c r="AL1303" s="37" t="s">
        <v>343</v>
      </c>
      <c r="AM1303" s="39" t="n">
        <v>113.06</v>
      </c>
    </row>
    <row r="1304" customFormat="false" ht="15" hidden="false" customHeight="false" outlineLevel="0" collapsed="false">
      <c r="A1304" s="37" t="n">
        <v>379971236</v>
      </c>
      <c r="B1304" s="38" t="n">
        <v>46255.5226388889</v>
      </c>
      <c r="C1304" s="37" t="s">
        <v>340</v>
      </c>
      <c r="D1304" s="37" t="s">
        <v>1560</v>
      </c>
      <c r="E1304" s="37" t="n">
        <v>28623583</v>
      </c>
      <c r="F1304" s="37" t="s">
        <v>177</v>
      </c>
      <c r="G1304" s="37" t="s">
        <v>198</v>
      </c>
      <c r="H1304" s="37" t="s">
        <v>190</v>
      </c>
      <c r="I1304" s="37" t="n">
        <v>82</v>
      </c>
      <c r="J1304" s="39" t="n">
        <v>1059.98</v>
      </c>
      <c r="K1304" s="37" t="s">
        <v>342</v>
      </c>
      <c r="L1304" s="39" t="n">
        <v>193.68</v>
      </c>
      <c r="M1304" s="39" t="n">
        <v>109.63</v>
      </c>
      <c r="N1304" s="39" t="n">
        <f aca="false">J1304*Resumo!$C$6</f>
        <v>0</v>
      </c>
      <c r="O1304" s="39" t="n">
        <f aca="false">J1304*Resumo!$C$7</f>
        <v>2.225958</v>
      </c>
      <c r="P1304" s="39" t="n">
        <f aca="false">J1304*Resumo!$C$8</f>
        <v>2.225958</v>
      </c>
      <c r="Q1304" s="39" t="n">
        <f aca="false">Resumo!$C$10*CEILING(I1304/100,1)</f>
        <v>1.05</v>
      </c>
      <c r="R1304" s="39" t="n">
        <f aca="false">Resumo!$C$9</f>
        <v>0</v>
      </c>
      <c r="S1304" s="39" t="n">
        <f aca="false">Resumo!$C$13</f>
        <v>13.55</v>
      </c>
      <c r="T1304" s="39" t="n">
        <f aca="false">Resumo!$C$14*CEILING(I1304,1)</f>
        <v>36.9</v>
      </c>
      <c r="U1304" s="39" t="n">
        <f aca="false">SUM(M1304:T1304)*Resumo!$C$11</f>
        <v>0</v>
      </c>
      <c r="V1304" s="39" t="n">
        <f aca="false">SUM(M1304:U1304)</f>
        <v>165.581916</v>
      </c>
      <c r="W1304" s="39" t="n">
        <f aca="false">V1304/(1-Resumo!$C$5)</f>
        <v>188.161268181818</v>
      </c>
      <c r="X1304" s="39" t="n">
        <v>197.35</v>
      </c>
      <c r="Y1304" s="39" t="n">
        <f aca="false">J1304*Resumo!$B$6</f>
        <v>1.05998</v>
      </c>
      <c r="Z1304" s="39" t="n">
        <f aca="false">J1304*Resumo!$B$7</f>
        <v>2.11996</v>
      </c>
      <c r="AA1304" s="39" t="n">
        <f aca="false">Resumo!$B$9</f>
        <v>1</v>
      </c>
      <c r="AB1304" s="39" t="n">
        <f aca="false">Resumo!$B$10*CEILING(I1304/100,1)</f>
        <v>4.5</v>
      </c>
      <c r="AC1304" s="39" t="n">
        <f aca="false">Resumo!$B$12*CEILING(I1304,1)</f>
        <v>4.92</v>
      </c>
      <c r="AD1304" s="39" t="n">
        <f aca="false">Resumo!$B$14*CEILING(I1304,1)</f>
        <v>36.9</v>
      </c>
      <c r="AE1304" s="39" t="n">
        <f aca="false">SUM(X1304:AD1304)</f>
        <v>247.84994</v>
      </c>
      <c r="AF1304" s="39" t="n">
        <f aca="false">AE1304/(1-Resumo!$B$5)</f>
        <v>281.647659090909</v>
      </c>
      <c r="AG1304" s="39" t="n">
        <f aca="false">AF1304-W1304</f>
        <v>93.4863909090909</v>
      </c>
      <c r="AH1304" s="40" t="n">
        <f aca="false">AF1304/W1304-1</f>
        <v>0.496841841110233</v>
      </c>
      <c r="AI1304" s="37" t="str">
        <f aca="false">IF(AF1304&lt;W1304,"SIM","NÃO")</f>
        <v>NÃO</v>
      </c>
      <c r="AJ1304" s="37" t="n">
        <v>13</v>
      </c>
      <c r="AK1304" s="37" t="n">
        <v>10</v>
      </c>
      <c r="AL1304" s="37" t="s">
        <v>343</v>
      </c>
      <c r="AM1304" s="39" t="n">
        <v>193.68</v>
      </c>
    </row>
    <row r="1305" customFormat="false" ht="15" hidden="false" customHeight="false" outlineLevel="0" collapsed="false">
      <c r="A1305" s="37" t="n">
        <v>379972305</v>
      </c>
      <c r="B1305" s="38" t="n">
        <v>46255.5236342593</v>
      </c>
      <c r="C1305" s="37" t="s">
        <v>345</v>
      </c>
      <c r="D1305" s="37" t="s">
        <v>1561</v>
      </c>
      <c r="E1305" s="37" t="n">
        <v>23059318</v>
      </c>
      <c r="F1305" s="37" t="s">
        <v>159</v>
      </c>
      <c r="G1305" s="37" t="s">
        <v>196</v>
      </c>
      <c r="H1305" s="37" t="s">
        <v>190</v>
      </c>
      <c r="I1305" s="37" t="n">
        <v>81.7</v>
      </c>
      <c r="J1305" s="39" t="n">
        <v>639.76</v>
      </c>
      <c r="K1305" s="37" t="s">
        <v>342</v>
      </c>
      <c r="L1305" s="39" t="n">
        <v>162.16</v>
      </c>
      <c r="M1305" s="39" t="n">
        <v>83.79</v>
      </c>
      <c r="N1305" s="39" t="n">
        <f aca="false">J1305*Resumo!$C$6</f>
        <v>0</v>
      </c>
      <c r="O1305" s="39" t="n">
        <f aca="false">J1305*Resumo!$C$7</f>
        <v>1.343496</v>
      </c>
      <c r="P1305" s="39" t="n">
        <f aca="false">J1305*Resumo!$C$8</f>
        <v>1.343496</v>
      </c>
      <c r="Q1305" s="39" t="n">
        <f aca="false">Resumo!$C$10*CEILING(I1305/100,1)</f>
        <v>1.05</v>
      </c>
      <c r="R1305" s="39" t="n">
        <f aca="false">Resumo!$C$9</f>
        <v>0</v>
      </c>
      <c r="S1305" s="39" t="n">
        <f aca="false">Resumo!$C$13</f>
        <v>13.55</v>
      </c>
      <c r="T1305" s="39" t="n">
        <f aca="false">Resumo!$C$14*CEILING(I1305,1)</f>
        <v>36.9</v>
      </c>
      <c r="U1305" s="39" t="n">
        <f aca="false">SUM(M1305:T1305)*Resumo!$C$11</f>
        <v>0</v>
      </c>
      <c r="V1305" s="39" t="n">
        <f aca="false">SUM(M1305:U1305)</f>
        <v>137.976992</v>
      </c>
      <c r="W1305" s="39" t="n">
        <f aca="false">V1305/(1-Resumo!$C$5)</f>
        <v>156.792036363636</v>
      </c>
      <c r="X1305" s="39" t="n">
        <v>167.99</v>
      </c>
      <c r="Y1305" s="39" t="n">
        <f aca="false">J1305*Resumo!$B$6</f>
        <v>0.63976</v>
      </c>
      <c r="Z1305" s="39" t="n">
        <f aca="false">J1305*Resumo!$B$7</f>
        <v>1.27952</v>
      </c>
      <c r="AA1305" s="39" t="n">
        <f aca="false">Resumo!$B$9</f>
        <v>1</v>
      </c>
      <c r="AB1305" s="39" t="n">
        <f aca="false">Resumo!$B$10*CEILING(I1305/100,1)</f>
        <v>4.5</v>
      </c>
      <c r="AC1305" s="39" t="n">
        <f aca="false">Resumo!$B$12*CEILING(I1305,1)</f>
        <v>4.92</v>
      </c>
      <c r="AD1305" s="39" t="n">
        <f aca="false">Resumo!$B$14*CEILING(I1305,1)</f>
        <v>36.9</v>
      </c>
      <c r="AE1305" s="39" t="n">
        <f aca="false">SUM(X1305:AD1305)</f>
        <v>217.22928</v>
      </c>
      <c r="AF1305" s="39" t="n">
        <f aca="false">AE1305/(1-Resumo!$B$5)</f>
        <v>246.851454545455</v>
      </c>
      <c r="AG1305" s="39" t="n">
        <f aca="false">AF1305-W1305</f>
        <v>90.0594181818182</v>
      </c>
      <c r="AH1305" s="40" t="n">
        <f aca="false">AF1305/W1305-1</f>
        <v>0.574387706611259</v>
      </c>
      <c r="AI1305" s="37" t="str">
        <f aca="false">IF(AF1305&lt;W1305,"SIM","NÃO")</f>
        <v>NÃO</v>
      </c>
      <c r="AJ1305" s="37" t="n">
        <v>2</v>
      </c>
      <c r="AK1305" s="37" t="n">
        <v>5</v>
      </c>
      <c r="AL1305" s="37" t="s">
        <v>343</v>
      </c>
      <c r="AM1305" s="39" t="n">
        <v>162.16</v>
      </c>
    </row>
    <row r="1306" customFormat="false" ht="15" hidden="false" customHeight="false" outlineLevel="0" collapsed="false">
      <c r="A1306" s="37" t="n">
        <v>379983076</v>
      </c>
      <c r="B1306" s="38" t="n">
        <v>46255.536412037</v>
      </c>
      <c r="C1306" s="37" t="s">
        <v>340</v>
      </c>
      <c r="D1306" s="37" t="s">
        <v>1562</v>
      </c>
      <c r="E1306" s="37" t="n">
        <v>24740110</v>
      </c>
      <c r="F1306" s="37" t="s">
        <v>160</v>
      </c>
      <c r="G1306" s="37" t="s">
        <v>197</v>
      </c>
      <c r="H1306" s="37" t="s">
        <v>186</v>
      </c>
      <c r="I1306" s="37" t="n">
        <v>46.8</v>
      </c>
      <c r="J1306" s="39" t="n">
        <v>506.56</v>
      </c>
      <c r="K1306" s="37" t="s">
        <v>342</v>
      </c>
      <c r="L1306" s="39" t="n">
        <v>116.49</v>
      </c>
      <c r="M1306" s="39" t="n">
        <v>65.36</v>
      </c>
      <c r="N1306" s="39" t="n">
        <f aca="false">J1306*Resumo!$C$6</f>
        <v>0</v>
      </c>
      <c r="O1306" s="39" t="n">
        <f aca="false">J1306*Resumo!$C$7</f>
        <v>1.063776</v>
      </c>
      <c r="P1306" s="39" t="n">
        <f aca="false">J1306*Resumo!$C$8</f>
        <v>1.063776</v>
      </c>
      <c r="Q1306" s="39" t="n">
        <f aca="false">Resumo!$C$10*CEILING(I1306/100,1)</f>
        <v>1.05</v>
      </c>
      <c r="R1306" s="39" t="n">
        <f aca="false">Resumo!$C$9</f>
        <v>0</v>
      </c>
      <c r="S1306" s="39" t="n">
        <f aca="false">Resumo!$C$13</f>
        <v>13.55</v>
      </c>
      <c r="T1306" s="39" t="n">
        <f aca="false">Resumo!$C$14*CEILING(I1306,1)</f>
        <v>21.15</v>
      </c>
      <c r="U1306" s="39" t="n">
        <f aca="false">SUM(M1306:T1306)*Resumo!$C$11</f>
        <v>0</v>
      </c>
      <c r="V1306" s="39" t="n">
        <f aca="false">SUM(M1306:U1306)</f>
        <v>103.237552</v>
      </c>
      <c r="W1306" s="39" t="n">
        <f aca="false">V1306/(1-Resumo!$C$5)</f>
        <v>117.3154</v>
      </c>
      <c r="X1306" s="39" t="n">
        <v>114.95</v>
      </c>
      <c r="Y1306" s="39" t="n">
        <f aca="false">J1306*Resumo!$B$6</f>
        <v>0.50656</v>
      </c>
      <c r="Z1306" s="39" t="n">
        <f aca="false">J1306*Resumo!$B$7</f>
        <v>1.01312</v>
      </c>
      <c r="AA1306" s="39" t="n">
        <f aca="false">Resumo!$B$9</f>
        <v>1</v>
      </c>
      <c r="AB1306" s="39" t="n">
        <f aca="false">Resumo!$B$10*CEILING(I1306/100,1)</f>
        <v>4.5</v>
      </c>
      <c r="AC1306" s="39" t="n">
        <f aca="false">Resumo!$B$12*CEILING(I1306,1)</f>
        <v>2.82</v>
      </c>
      <c r="AD1306" s="39" t="n">
        <f aca="false">Resumo!$B$14*CEILING(I1306,1)</f>
        <v>21.15</v>
      </c>
      <c r="AE1306" s="39" t="n">
        <f aca="false">SUM(X1306:AD1306)</f>
        <v>145.93968</v>
      </c>
      <c r="AF1306" s="39" t="n">
        <f aca="false">AE1306/(1-Resumo!$B$5)</f>
        <v>165.840545454545</v>
      </c>
      <c r="AG1306" s="39" t="n">
        <f aca="false">AF1306-W1306</f>
        <v>48.5251454545455</v>
      </c>
      <c r="AH1306" s="40" t="n">
        <f aca="false">AF1306/W1306-1</f>
        <v>0.413629800133192</v>
      </c>
      <c r="AI1306" s="37" t="str">
        <f aca="false">IF(AF1306&lt;W1306,"SIM","NÃO")</f>
        <v>NÃO</v>
      </c>
      <c r="AJ1306" s="37" t="n">
        <v>2</v>
      </c>
      <c r="AK1306" s="37" t="n">
        <v>7</v>
      </c>
      <c r="AL1306" s="37" t="s">
        <v>343</v>
      </c>
      <c r="AM1306" s="39" t="n">
        <v>116.5</v>
      </c>
    </row>
    <row r="1307" customFormat="false" ht="15" hidden="false" customHeight="false" outlineLevel="0" collapsed="false">
      <c r="A1307" s="37" t="n">
        <v>380003751</v>
      </c>
      <c r="B1307" s="38" t="n">
        <v>46255.5615393519</v>
      </c>
      <c r="C1307" s="37" t="s">
        <v>340</v>
      </c>
      <c r="D1307" s="37" t="s">
        <v>1563</v>
      </c>
      <c r="E1307" s="37" t="n">
        <v>24722315</v>
      </c>
      <c r="F1307" s="37" t="s">
        <v>160</v>
      </c>
      <c r="G1307" s="37" t="s">
        <v>197</v>
      </c>
      <c r="H1307" s="37" t="s">
        <v>187</v>
      </c>
      <c r="I1307" s="37" t="n">
        <v>52.3</v>
      </c>
      <c r="J1307" s="39" t="n">
        <v>669.99</v>
      </c>
      <c r="K1307" s="37" t="s">
        <v>342</v>
      </c>
      <c r="L1307" s="39" t="n">
        <v>128.49</v>
      </c>
      <c r="M1307" s="39" t="n">
        <v>70.98</v>
      </c>
      <c r="N1307" s="39" t="n">
        <f aca="false">J1307*Resumo!$C$6</f>
        <v>0</v>
      </c>
      <c r="O1307" s="39" t="n">
        <f aca="false">J1307*Resumo!$C$7</f>
        <v>1.406979</v>
      </c>
      <c r="P1307" s="39" t="n">
        <f aca="false">J1307*Resumo!$C$8</f>
        <v>1.406979</v>
      </c>
      <c r="Q1307" s="39" t="n">
        <f aca="false">Resumo!$C$10*CEILING(I1307/100,1)</f>
        <v>1.05</v>
      </c>
      <c r="R1307" s="39" t="n">
        <f aca="false">Resumo!$C$9</f>
        <v>0</v>
      </c>
      <c r="S1307" s="39" t="n">
        <f aca="false">Resumo!$C$13</f>
        <v>13.55</v>
      </c>
      <c r="T1307" s="39" t="n">
        <f aca="false">Resumo!$C$14*CEILING(I1307,1)</f>
        <v>23.85</v>
      </c>
      <c r="U1307" s="39" t="n">
        <f aca="false">SUM(M1307:T1307)*Resumo!$C$11</f>
        <v>0</v>
      </c>
      <c r="V1307" s="39" t="n">
        <f aca="false">SUM(M1307:U1307)</f>
        <v>112.243958</v>
      </c>
      <c r="W1307" s="39" t="n">
        <f aca="false">V1307/(1-Resumo!$C$5)</f>
        <v>127.549952272727</v>
      </c>
      <c r="X1307" s="39" t="n">
        <v>128.14</v>
      </c>
      <c r="Y1307" s="39" t="n">
        <f aca="false">J1307*Resumo!$B$6</f>
        <v>0.66999</v>
      </c>
      <c r="Z1307" s="39" t="n">
        <f aca="false">J1307*Resumo!$B$7</f>
        <v>1.33998</v>
      </c>
      <c r="AA1307" s="39" t="n">
        <f aca="false">Resumo!$B$9</f>
        <v>1</v>
      </c>
      <c r="AB1307" s="39" t="n">
        <f aca="false">Resumo!$B$10*CEILING(I1307/100,1)</f>
        <v>4.5</v>
      </c>
      <c r="AC1307" s="39" t="n">
        <f aca="false">Resumo!$B$12*CEILING(I1307,1)</f>
        <v>3.18</v>
      </c>
      <c r="AD1307" s="39" t="n">
        <f aca="false">Resumo!$B$14*CEILING(I1307,1)</f>
        <v>23.85</v>
      </c>
      <c r="AE1307" s="39" t="n">
        <f aca="false">SUM(X1307:AD1307)</f>
        <v>162.67997</v>
      </c>
      <c r="AF1307" s="39" t="n">
        <f aca="false">AE1307/(1-Resumo!$B$5)</f>
        <v>184.863602272727</v>
      </c>
      <c r="AG1307" s="39" t="n">
        <f aca="false">AF1307-W1307</f>
        <v>57.31365</v>
      </c>
      <c r="AH1307" s="40" t="n">
        <f aca="false">AF1307/W1307-1</f>
        <v>0.449342778878129</v>
      </c>
      <c r="AI1307" s="37" t="str">
        <f aca="false">IF(AF1307&lt;W1307,"SIM","NÃO")</f>
        <v>NÃO</v>
      </c>
      <c r="AJ1307" s="37" t="n">
        <v>2</v>
      </c>
      <c r="AK1307" s="37" t="n">
        <v>7</v>
      </c>
      <c r="AL1307" s="37" t="s">
        <v>343</v>
      </c>
      <c r="AM1307" s="39" t="n">
        <v>128.49</v>
      </c>
    </row>
    <row r="1308" customFormat="false" ht="15" hidden="false" customHeight="false" outlineLevel="0" collapsed="false">
      <c r="A1308" s="37" t="n">
        <v>380004316</v>
      </c>
      <c r="B1308" s="38" t="n">
        <v>46255.5623958333</v>
      </c>
      <c r="C1308" s="37" t="s">
        <v>340</v>
      </c>
      <c r="D1308" s="37" t="s">
        <v>1564</v>
      </c>
      <c r="E1308" s="37" t="n">
        <v>26278670</v>
      </c>
      <c r="F1308" s="37" t="s">
        <v>162</v>
      </c>
      <c r="G1308" s="37" t="s">
        <v>197</v>
      </c>
      <c r="H1308" s="37" t="s">
        <v>188</v>
      </c>
      <c r="I1308" s="37" t="n">
        <v>68.8</v>
      </c>
      <c r="J1308" s="39" t="n">
        <v>879.98</v>
      </c>
      <c r="K1308" s="37" t="s">
        <v>342</v>
      </c>
      <c r="L1308" s="39" t="n">
        <v>140.65</v>
      </c>
      <c r="M1308" s="39" t="n">
        <v>76.55</v>
      </c>
      <c r="N1308" s="39" t="n">
        <f aca="false">J1308*Resumo!$C$6</f>
        <v>0</v>
      </c>
      <c r="O1308" s="39" t="n">
        <f aca="false">J1308*Resumo!$C$7</f>
        <v>1.847958</v>
      </c>
      <c r="P1308" s="39" t="n">
        <f aca="false">J1308*Resumo!$C$8</f>
        <v>1.847958</v>
      </c>
      <c r="Q1308" s="39" t="n">
        <f aca="false">Resumo!$C$10*CEILING(I1308/100,1)</f>
        <v>1.05</v>
      </c>
      <c r="R1308" s="39" t="n">
        <f aca="false">Resumo!$C$9</f>
        <v>0</v>
      </c>
      <c r="S1308" s="39" t="n">
        <f aca="false">Resumo!$C$13</f>
        <v>13.55</v>
      </c>
      <c r="T1308" s="39" t="n">
        <f aca="false">Resumo!$C$14*CEILING(I1308,1)</f>
        <v>31.05</v>
      </c>
      <c r="U1308" s="39" t="n">
        <f aca="false">SUM(M1308:T1308)*Resumo!$C$11</f>
        <v>0</v>
      </c>
      <c r="V1308" s="39" t="n">
        <f aca="false">SUM(M1308:U1308)</f>
        <v>125.895916</v>
      </c>
      <c r="W1308" s="39" t="n">
        <f aca="false">V1308/(1-Resumo!$C$5)</f>
        <v>143.063540909091</v>
      </c>
      <c r="X1308" s="39" t="n">
        <v>131.02</v>
      </c>
      <c r="Y1308" s="39" t="n">
        <f aca="false">J1308*Resumo!$B$6</f>
        <v>0.87998</v>
      </c>
      <c r="Z1308" s="39" t="n">
        <f aca="false">J1308*Resumo!$B$7</f>
        <v>1.75996</v>
      </c>
      <c r="AA1308" s="39" t="n">
        <f aca="false">Resumo!$B$9</f>
        <v>1</v>
      </c>
      <c r="AB1308" s="39" t="n">
        <f aca="false">Resumo!$B$10*CEILING(I1308/100,1)</f>
        <v>4.5</v>
      </c>
      <c r="AC1308" s="39" t="n">
        <f aca="false">Resumo!$B$12*CEILING(I1308,1)</f>
        <v>4.14</v>
      </c>
      <c r="AD1308" s="39" t="n">
        <f aca="false">Resumo!$B$14*CEILING(I1308,1)</f>
        <v>31.05</v>
      </c>
      <c r="AE1308" s="39" t="n">
        <f aca="false">SUM(X1308:AD1308)</f>
        <v>174.34994</v>
      </c>
      <c r="AF1308" s="39" t="n">
        <f aca="false">AE1308/(1-Resumo!$B$5)</f>
        <v>198.124931818182</v>
      </c>
      <c r="AG1308" s="39" t="n">
        <f aca="false">AF1308-W1308</f>
        <v>55.061390909091</v>
      </c>
      <c r="AH1308" s="40" t="n">
        <f aca="false">AF1308/W1308-1</f>
        <v>0.384873676124649</v>
      </c>
      <c r="AI1308" s="37" t="str">
        <f aca="false">IF(AF1308&lt;W1308,"SIM","NÃO")</f>
        <v>NÃO</v>
      </c>
      <c r="AJ1308" s="37" t="n">
        <v>2</v>
      </c>
      <c r="AK1308" s="37" t="n">
        <v>5</v>
      </c>
      <c r="AL1308" s="37" t="s">
        <v>343</v>
      </c>
      <c r="AM1308" s="39" t="n">
        <v>140.65</v>
      </c>
    </row>
    <row r="1309" customFormat="false" ht="15" hidden="false" customHeight="false" outlineLevel="0" collapsed="false">
      <c r="A1309" s="37" t="n">
        <v>380098807</v>
      </c>
      <c r="B1309" s="38" t="n">
        <v>46255.5630555556</v>
      </c>
      <c r="C1309" s="37" t="s">
        <v>345</v>
      </c>
      <c r="D1309" s="37" t="s">
        <v>821</v>
      </c>
      <c r="E1309" s="37" t="n">
        <v>21061020</v>
      </c>
      <c r="F1309" s="37" t="s">
        <v>159</v>
      </c>
      <c r="G1309" s="37" t="s">
        <v>196</v>
      </c>
      <c r="H1309" s="37" t="s">
        <v>190</v>
      </c>
      <c r="I1309" s="37" t="n">
        <v>94.8</v>
      </c>
      <c r="J1309" s="39" t="n">
        <v>1056.2</v>
      </c>
      <c r="K1309" s="37" t="s">
        <v>342</v>
      </c>
      <c r="L1309" s="39" t="n">
        <v>164.15</v>
      </c>
      <c r="M1309" s="39" t="n">
        <v>83.79</v>
      </c>
      <c r="N1309" s="39" t="n">
        <f aca="false">J1309*Resumo!$C$6</f>
        <v>0</v>
      </c>
      <c r="O1309" s="39" t="n">
        <f aca="false">J1309*Resumo!$C$7</f>
        <v>2.21802</v>
      </c>
      <c r="P1309" s="39" t="n">
        <f aca="false">J1309*Resumo!$C$8</f>
        <v>2.21802</v>
      </c>
      <c r="Q1309" s="39" t="n">
        <f aca="false">Resumo!$C$10*CEILING(I1309/100,1)</f>
        <v>1.05</v>
      </c>
      <c r="R1309" s="39" t="n">
        <f aca="false">Resumo!$C$9</f>
        <v>0</v>
      </c>
      <c r="S1309" s="39" t="n">
        <f aca="false">Resumo!$C$13</f>
        <v>13.55</v>
      </c>
      <c r="T1309" s="39" t="n">
        <f aca="false">Resumo!$C$14*CEILING(I1309,1)</f>
        <v>42.75</v>
      </c>
      <c r="U1309" s="39" t="n">
        <f aca="false">SUM(M1309:T1309)*Resumo!$C$11</f>
        <v>0</v>
      </c>
      <c r="V1309" s="39" t="n">
        <f aca="false">SUM(M1309:U1309)</f>
        <v>145.57604</v>
      </c>
      <c r="W1309" s="39" t="n">
        <f aca="false">V1309/(1-Resumo!$C$5)</f>
        <v>165.427318181818</v>
      </c>
      <c r="X1309" s="39" t="n">
        <v>167.99</v>
      </c>
      <c r="Y1309" s="39" t="n">
        <f aca="false">J1309*Resumo!$B$6</f>
        <v>1.0562</v>
      </c>
      <c r="Z1309" s="39" t="n">
        <f aca="false">J1309*Resumo!$B$7</f>
        <v>2.1124</v>
      </c>
      <c r="AA1309" s="39" t="n">
        <f aca="false">Resumo!$B$9</f>
        <v>1</v>
      </c>
      <c r="AB1309" s="39" t="n">
        <f aca="false">Resumo!$B$10*CEILING(I1309/100,1)</f>
        <v>4.5</v>
      </c>
      <c r="AC1309" s="39" t="n">
        <f aca="false">Resumo!$B$12*CEILING(I1309,1)</f>
        <v>5.7</v>
      </c>
      <c r="AD1309" s="39" t="n">
        <f aca="false">Resumo!$B$14*CEILING(I1309,1)</f>
        <v>42.75</v>
      </c>
      <c r="AE1309" s="39" t="n">
        <f aca="false">SUM(X1309:AD1309)</f>
        <v>225.1086</v>
      </c>
      <c r="AF1309" s="39" t="n">
        <f aca="false">AE1309/(1-Resumo!$B$5)</f>
        <v>255.805227272727</v>
      </c>
      <c r="AG1309" s="39" t="n">
        <f aca="false">AF1309-W1309</f>
        <v>90.3779090909091</v>
      </c>
      <c r="AH1309" s="40" t="n">
        <f aca="false">AF1309/W1309-1</f>
        <v>0.546330014197391</v>
      </c>
      <c r="AI1309" s="37" t="str">
        <f aca="false">IF(AF1309&lt;W1309,"SIM","NÃO")</f>
        <v>NÃO</v>
      </c>
      <c r="AJ1309" s="37" t="n">
        <v>2</v>
      </c>
      <c r="AK1309" s="37" t="n">
        <v>5</v>
      </c>
      <c r="AL1309" s="37" t="s">
        <v>343</v>
      </c>
      <c r="AM1309" s="39" t="n">
        <v>164.15</v>
      </c>
    </row>
    <row r="1310" customFormat="false" ht="15" hidden="false" customHeight="false" outlineLevel="0" collapsed="false">
      <c r="A1310" s="37" t="n">
        <v>380027413</v>
      </c>
      <c r="B1310" s="38" t="n">
        <v>46255.5907638889</v>
      </c>
      <c r="C1310" s="37" t="s">
        <v>340</v>
      </c>
      <c r="D1310" s="37" t="s">
        <v>1565</v>
      </c>
      <c r="E1310" s="37" t="n">
        <v>28908120</v>
      </c>
      <c r="F1310" s="37" t="s">
        <v>172</v>
      </c>
      <c r="G1310" s="37" t="s">
        <v>198</v>
      </c>
      <c r="H1310" s="37" t="s">
        <v>185</v>
      </c>
      <c r="I1310" s="37" t="n">
        <v>37.2</v>
      </c>
      <c r="J1310" s="39" t="n">
        <v>399.99</v>
      </c>
      <c r="K1310" s="37" t="s">
        <v>342</v>
      </c>
      <c r="L1310" s="39" t="n">
        <v>122.16</v>
      </c>
      <c r="M1310" s="39" t="n">
        <v>74.97</v>
      </c>
      <c r="N1310" s="39" t="n">
        <f aca="false">J1310*Resumo!$C$6</f>
        <v>0</v>
      </c>
      <c r="O1310" s="39" t="n">
        <f aca="false">J1310*Resumo!$C$7</f>
        <v>0.839979</v>
      </c>
      <c r="P1310" s="39" t="n">
        <f aca="false">J1310*Resumo!$C$8</f>
        <v>0.839979</v>
      </c>
      <c r="Q1310" s="39" t="n">
        <f aca="false">Resumo!$C$10*CEILING(I1310/100,1)</f>
        <v>1.05</v>
      </c>
      <c r="R1310" s="39" t="n">
        <f aca="false">Resumo!$C$9</f>
        <v>0</v>
      </c>
      <c r="S1310" s="39" t="n">
        <f aca="false">Resumo!$C$13</f>
        <v>13.55</v>
      </c>
      <c r="T1310" s="39" t="n">
        <f aca="false">Resumo!$C$14*CEILING(I1310,1)</f>
        <v>17.1</v>
      </c>
      <c r="U1310" s="39" t="n">
        <f aca="false">SUM(M1310:T1310)*Resumo!$C$11</f>
        <v>0</v>
      </c>
      <c r="V1310" s="39" t="n">
        <f aca="false">SUM(M1310:U1310)</f>
        <v>108.349958</v>
      </c>
      <c r="W1310" s="39" t="n">
        <f aca="false">V1310/(1-Resumo!$C$5)</f>
        <v>123.124952272727</v>
      </c>
      <c r="X1310" s="39" t="n">
        <v>124.38</v>
      </c>
      <c r="Y1310" s="39" t="n">
        <f aca="false">J1310*Resumo!$B$6</f>
        <v>0.39999</v>
      </c>
      <c r="Z1310" s="39" t="n">
        <f aca="false">J1310*Resumo!$B$7</f>
        <v>0.79998</v>
      </c>
      <c r="AA1310" s="39" t="n">
        <f aca="false">Resumo!$B$9</f>
        <v>1</v>
      </c>
      <c r="AB1310" s="39" t="n">
        <f aca="false">Resumo!$B$10*CEILING(I1310/100,1)</f>
        <v>4.5</v>
      </c>
      <c r="AC1310" s="39" t="n">
        <f aca="false">Resumo!$B$12*CEILING(I1310,1)</f>
        <v>2.28</v>
      </c>
      <c r="AD1310" s="39" t="n">
        <f aca="false">Resumo!$B$14*CEILING(I1310,1)</f>
        <v>17.1</v>
      </c>
      <c r="AE1310" s="39" t="n">
        <f aca="false">SUM(X1310:AD1310)</f>
        <v>150.45997</v>
      </c>
      <c r="AF1310" s="39" t="n">
        <f aca="false">AE1310/(1-Resumo!$B$5)</f>
        <v>170.977238636364</v>
      </c>
      <c r="AG1310" s="39" t="n">
        <f aca="false">AF1310-W1310</f>
        <v>47.8522863636364</v>
      </c>
      <c r="AH1310" s="40" t="n">
        <f aca="false">AF1310/W1310-1</f>
        <v>0.388648161727945</v>
      </c>
      <c r="AI1310" s="37" t="str">
        <f aca="false">IF(AF1310&lt;W1310,"SIM","NÃO")</f>
        <v>NÃO</v>
      </c>
      <c r="AJ1310" s="37" t="n">
        <v>13</v>
      </c>
      <c r="AK1310" s="37" t="n">
        <v>10</v>
      </c>
      <c r="AL1310" s="37" t="s">
        <v>343</v>
      </c>
      <c r="AM1310" s="39" t="n">
        <v>122.16</v>
      </c>
    </row>
    <row r="1311" customFormat="false" ht="15" hidden="false" customHeight="false" outlineLevel="0" collapsed="false">
      <c r="A1311" s="37" t="n">
        <v>380031038</v>
      </c>
      <c r="B1311" s="38" t="n">
        <v>46255.5972106482</v>
      </c>
      <c r="C1311" s="37" t="s">
        <v>340</v>
      </c>
      <c r="D1311" s="37" t="s">
        <v>1566</v>
      </c>
      <c r="E1311" s="37" t="n">
        <v>28250000</v>
      </c>
      <c r="F1311" s="37" t="s">
        <v>261</v>
      </c>
      <c r="G1311" s="37" t="s">
        <v>198</v>
      </c>
      <c r="H1311" s="37" t="s">
        <v>185</v>
      </c>
      <c r="I1311" s="37" t="n">
        <v>37.2</v>
      </c>
      <c r="J1311" s="39" t="n">
        <v>366.49</v>
      </c>
      <c r="K1311" s="37" t="s">
        <v>342</v>
      </c>
      <c r="L1311" s="39" t="n">
        <v>122</v>
      </c>
      <c r="M1311" s="39" t="n">
        <v>74.97</v>
      </c>
      <c r="N1311" s="39" t="n">
        <f aca="false">J1311*Resumo!$C$6</f>
        <v>0</v>
      </c>
      <c r="O1311" s="39" t="n">
        <f aca="false">J1311*Resumo!$C$7</f>
        <v>0.769629</v>
      </c>
      <c r="P1311" s="39" t="n">
        <f aca="false">J1311*Resumo!$C$8</f>
        <v>0.769629</v>
      </c>
      <c r="Q1311" s="39" t="n">
        <f aca="false">Resumo!$C$10*CEILING(I1311/100,1)</f>
        <v>1.05</v>
      </c>
      <c r="R1311" s="39" t="n">
        <f aca="false">Resumo!$C$9</f>
        <v>0</v>
      </c>
      <c r="S1311" s="39" t="n">
        <f aca="false">Resumo!$C$13</f>
        <v>13.55</v>
      </c>
      <c r="T1311" s="39" t="n">
        <f aca="false">Resumo!$C$14*CEILING(I1311,1)</f>
        <v>17.1</v>
      </c>
      <c r="U1311" s="39" t="n">
        <f aca="false">SUM(M1311:T1311)*Resumo!$C$11</f>
        <v>0</v>
      </c>
      <c r="V1311" s="39" t="n">
        <f aca="false">SUM(M1311:U1311)</f>
        <v>108.209258</v>
      </c>
      <c r="W1311" s="39" t="n">
        <f aca="false">V1311/(1-Resumo!$C$5)</f>
        <v>122.965065909091</v>
      </c>
      <c r="X1311" s="39" t="n">
        <v>143.04</v>
      </c>
      <c r="Y1311" s="39" t="n">
        <f aca="false">J1311*Resumo!$B$6</f>
        <v>0.36649</v>
      </c>
      <c r="Z1311" s="39" t="n">
        <f aca="false">J1311*Resumo!$B$7</f>
        <v>0.73298</v>
      </c>
      <c r="AA1311" s="39" t="n">
        <f aca="false">Resumo!$B$9</f>
        <v>1</v>
      </c>
      <c r="AB1311" s="39" t="n">
        <f aca="false">Resumo!$B$10*CEILING(I1311/100,1)</f>
        <v>4.5</v>
      </c>
      <c r="AC1311" s="39" t="n">
        <f aca="false">Resumo!$B$12*CEILING(I1311,1)</f>
        <v>2.28</v>
      </c>
      <c r="AD1311" s="39" t="n">
        <f aca="false">Resumo!$B$14*CEILING(I1311,1)</f>
        <v>17.1</v>
      </c>
      <c r="AE1311" s="39" t="n">
        <f aca="false">SUM(X1311:AD1311)</f>
        <v>169.01947</v>
      </c>
      <c r="AF1311" s="39" t="n">
        <f aca="false">AE1311/(1-Resumo!$B$5)</f>
        <v>192.067579545455</v>
      </c>
      <c r="AG1311" s="39" t="n">
        <f aca="false">AF1311-W1311</f>
        <v>69.1025136363636</v>
      </c>
      <c r="AH1311" s="40" t="n">
        <f aca="false">AF1311/W1311-1</f>
        <v>0.561968662607408</v>
      </c>
      <c r="AI1311" s="37" t="str">
        <f aca="false">IF(AF1311&lt;W1311,"SIM","NÃO")</f>
        <v>NÃO</v>
      </c>
      <c r="AJ1311" s="37" t="n">
        <v>13</v>
      </c>
      <c r="AK1311" s="37" t="n">
        <v>11</v>
      </c>
      <c r="AL1311" s="37" t="s">
        <v>347</v>
      </c>
      <c r="AM1311" s="39" t="n">
        <v>122</v>
      </c>
    </row>
    <row r="1312" customFormat="false" ht="15" hidden="false" customHeight="false" outlineLevel="0" collapsed="false">
      <c r="A1312" s="37" t="n">
        <v>380031983</v>
      </c>
      <c r="B1312" s="38" t="n">
        <v>46255.5985069444</v>
      </c>
      <c r="C1312" s="37" t="s">
        <v>340</v>
      </c>
      <c r="D1312" s="37" t="s">
        <v>630</v>
      </c>
      <c r="E1312" s="37" t="n">
        <v>23520560</v>
      </c>
      <c r="F1312" s="37" t="s">
        <v>159</v>
      </c>
      <c r="G1312" s="37" t="s">
        <v>196</v>
      </c>
      <c r="H1312" s="37" t="s">
        <v>190</v>
      </c>
      <c r="I1312" s="37" t="n">
        <v>81.7</v>
      </c>
      <c r="J1312" s="39" t="n">
        <v>759.99</v>
      </c>
      <c r="K1312" s="37" t="s">
        <v>342</v>
      </c>
      <c r="L1312" s="39" t="n">
        <v>162.74</v>
      </c>
      <c r="M1312" s="39" t="n">
        <v>83.79</v>
      </c>
      <c r="N1312" s="39" t="n">
        <f aca="false">J1312*Resumo!$C$6</f>
        <v>0</v>
      </c>
      <c r="O1312" s="39" t="n">
        <f aca="false">J1312*Resumo!$C$7</f>
        <v>1.595979</v>
      </c>
      <c r="P1312" s="39" t="n">
        <f aca="false">J1312*Resumo!$C$8</f>
        <v>1.595979</v>
      </c>
      <c r="Q1312" s="39" t="n">
        <f aca="false">Resumo!$C$10*CEILING(I1312/100,1)</f>
        <v>1.05</v>
      </c>
      <c r="R1312" s="39" t="n">
        <f aca="false">Resumo!$C$9</f>
        <v>0</v>
      </c>
      <c r="S1312" s="39" t="n">
        <f aca="false">Resumo!$C$13</f>
        <v>13.55</v>
      </c>
      <c r="T1312" s="39" t="n">
        <f aca="false">Resumo!$C$14*CEILING(I1312,1)</f>
        <v>36.9</v>
      </c>
      <c r="U1312" s="39" t="n">
        <f aca="false">SUM(M1312:T1312)*Resumo!$C$11</f>
        <v>0</v>
      </c>
      <c r="V1312" s="39" t="n">
        <f aca="false">SUM(M1312:U1312)</f>
        <v>138.481958</v>
      </c>
      <c r="W1312" s="39" t="n">
        <f aca="false">V1312/(1-Resumo!$C$5)</f>
        <v>157.365861363636</v>
      </c>
      <c r="X1312" s="39" t="n">
        <v>167.99</v>
      </c>
      <c r="Y1312" s="39" t="n">
        <f aca="false">J1312*Resumo!$B$6</f>
        <v>0.75999</v>
      </c>
      <c r="Z1312" s="39" t="n">
        <f aca="false">J1312*Resumo!$B$7</f>
        <v>1.51998</v>
      </c>
      <c r="AA1312" s="39" t="n">
        <f aca="false">Resumo!$B$9</f>
        <v>1</v>
      </c>
      <c r="AB1312" s="39" t="n">
        <f aca="false">Resumo!$B$10*CEILING(I1312/100,1)</f>
        <v>4.5</v>
      </c>
      <c r="AC1312" s="39" t="n">
        <f aca="false">Resumo!$B$12*CEILING(I1312,1)</f>
        <v>4.92</v>
      </c>
      <c r="AD1312" s="39" t="n">
        <f aca="false">Resumo!$B$14*CEILING(I1312,1)</f>
        <v>36.9</v>
      </c>
      <c r="AE1312" s="39" t="n">
        <f aca="false">SUM(X1312:AD1312)</f>
        <v>217.58997</v>
      </c>
      <c r="AF1312" s="39" t="n">
        <f aca="false">AE1312/(1-Resumo!$B$5)</f>
        <v>247.261329545455</v>
      </c>
      <c r="AG1312" s="39" t="n">
        <f aca="false">AF1312-W1312</f>
        <v>89.8954681818182</v>
      </c>
      <c r="AH1312" s="40" t="n">
        <f aca="false">AF1312/W1312-1</f>
        <v>0.571251397239776</v>
      </c>
      <c r="AI1312" s="37" t="str">
        <f aca="false">IF(AF1312&lt;W1312,"SIM","NÃO")</f>
        <v>NÃO</v>
      </c>
      <c r="AJ1312" s="37" t="n">
        <v>2</v>
      </c>
      <c r="AK1312" s="37" t="n">
        <v>5</v>
      </c>
      <c r="AL1312" s="37" t="s">
        <v>343</v>
      </c>
      <c r="AM1312" s="39" t="n">
        <v>162.73</v>
      </c>
    </row>
    <row r="1313" customFormat="false" ht="15" hidden="false" customHeight="false" outlineLevel="0" collapsed="false">
      <c r="A1313" s="37" t="n">
        <v>380040768</v>
      </c>
      <c r="B1313" s="38" t="n">
        <v>46255.6113773148</v>
      </c>
      <c r="C1313" s="37" t="s">
        <v>340</v>
      </c>
      <c r="D1313" s="37" t="s">
        <v>888</v>
      </c>
      <c r="E1313" s="37" t="n">
        <v>28360000</v>
      </c>
      <c r="F1313" s="37" t="s">
        <v>264</v>
      </c>
      <c r="G1313" s="37" t="s">
        <v>198</v>
      </c>
      <c r="H1313" s="37" t="s">
        <v>185</v>
      </c>
      <c r="I1313" s="37" t="n">
        <v>37.2</v>
      </c>
      <c r="J1313" s="39" t="n">
        <v>366.49</v>
      </c>
      <c r="K1313" s="37" t="s">
        <v>342</v>
      </c>
      <c r="L1313" s="39" t="n">
        <v>122</v>
      </c>
      <c r="M1313" s="39" t="n">
        <v>74.97</v>
      </c>
      <c r="N1313" s="39" t="n">
        <f aca="false">J1313*Resumo!$C$6</f>
        <v>0</v>
      </c>
      <c r="O1313" s="39" t="n">
        <f aca="false">J1313*Resumo!$C$7</f>
        <v>0.769629</v>
      </c>
      <c r="P1313" s="39" t="n">
        <f aca="false">J1313*Resumo!$C$8</f>
        <v>0.769629</v>
      </c>
      <c r="Q1313" s="39" t="n">
        <f aca="false">Resumo!$C$10*CEILING(I1313/100,1)</f>
        <v>1.05</v>
      </c>
      <c r="R1313" s="39" t="n">
        <f aca="false">Resumo!$C$9</f>
        <v>0</v>
      </c>
      <c r="S1313" s="39" t="n">
        <f aca="false">Resumo!$C$13</f>
        <v>13.55</v>
      </c>
      <c r="T1313" s="39" t="n">
        <f aca="false">Resumo!$C$14*CEILING(I1313,1)</f>
        <v>17.1</v>
      </c>
      <c r="U1313" s="39" t="n">
        <f aca="false">SUM(M1313:T1313)*Resumo!$C$11</f>
        <v>0</v>
      </c>
      <c r="V1313" s="39" t="n">
        <f aca="false">SUM(M1313:U1313)</f>
        <v>108.209258</v>
      </c>
      <c r="W1313" s="39" t="n">
        <f aca="false">V1313/(1-Resumo!$C$5)</f>
        <v>122.965065909091</v>
      </c>
      <c r="X1313" s="39" t="n">
        <v>143.04</v>
      </c>
      <c r="Y1313" s="39" t="n">
        <f aca="false">J1313*Resumo!$B$6</f>
        <v>0.36649</v>
      </c>
      <c r="Z1313" s="39" t="n">
        <f aca="false">J1313*Resumo!$B$7</f>
        <v>0.73298</v>
      </c>
      <c r="AA1313" s="39" t="n">
        <f aca="false">Resumo!$B$9</f>
        <v>1</v>
      </c>
      <c r="AB1313" s="39" t="n">
        <f aca="false">Resumo!$B$10*CEILING(I1313/100,1)</f>
        <v>4.5</v>
      </c>
      <c r="AC1313" s="39" t="n">
        <f aca="false">Resumo!$B$12*CEILING(I1313,1)</f>
        <v>2.28</v>
      </c>
      <c r="AD1313" s="39" t="n">
        <f aca="false">Resumo!$B$14*CEILING(I1313,1)</f>
        <v>17.1</v>
      </c>
      <c r="AE1313" s="39" t="n">
        <f aca="false">SUM(X1313:AD1313)</f>
        <v>169.01947</v>
      </c>
      <c r="AF1313" s="39" t="n">
        <f aca="false">AE1313/(1-Resumo!$B$5)</f>
        <v>192.067579545455</v>
      </c>
      <c r="AG1313" s="39" t="n">
        <f aca="false">AF1313-W1313</f>
        <v>69.1025136363636</v>
      </c>
      <c r="AH1313" s="40" t="n">
        <f aca="false">AF1313/W1313-1</f>
        <v>0.561968662607408</v>
      </c>
      <c r="AI1313" s="37" t="str">
        <f aca="false">IF(AF1313&lt;W1313,"SIM","NÃO")</f>
        <v>NÃO</v>
      </c>
      <c r="AJ1313" s="37" t="n">
        <v>13</v>
      </c>
      <c r="AK1313" s="37" t="n">
        <v>11</v>
      </c>
      <c r="AL1313" s="37" t="s">
        <v>347</v>
      </c>
      <c r="AM1313" s="39" t="n">
        <v>122</v>
      </c>
    </row>
    <row r="1314" customFormat="false" ht="15" hidden="false" customHeight="false" outlineLevel="0" collapsed="false">
      <c r="A1314" s="37" t="n">
        <v>380041057</v>
      </c>
      <c r="B1314" s="38" t="n">
        <v>46255.6145717593</v>
      </c>
      <c r="C1314" s="37" t="s">
        <v>372</v>
      </c>
      <c r="D1314" s="37" t="s">
        <v>1567</v>
      </c>
      <c r="E1314" s="37" t="n">
        <v>21341331</v>
      </c>
      <c r="F1314" s="37" t="s">
        <v>159</v>
      </c>
      <c r="G1314" s="37" t="s">
        <v>196</v>
      </c>
      <c r="H1314" s="37" t="s">
        <v>188</v>
      </c>
      <c r="I1314" s="37" t="n">
        <v>63</v>
      </c>
      <c r="J1314" s="39" t="n">
        <v>839.99</v>
      </c>
      <c r="K1314" s="37" t="s">
        <v>342</v>
      </c>
      <c r="L1314" s="39" t="n">
        <v>125.24</v>
      </c>
      <c r="M1314" s="39" t="n">
        <v>63.21</v>
      </c>
      <c r="N1314" s="39" t="n">
        <f aca="false">J1314*Resumo!$C$6</f>
        <v>0</v>
      </c>
      <c r="O1314" s="39" t="n">
        <f aca="false">J1314*Resumo!$C$7</f>
        <v>1.763979</v>
      </c>
      <c r="P1314" s="39" t="n">
        <f aca="false">J1314*Resumo!$C$8</f>
        <v>1.763979</v>
      </c>
      <c r="Q1314" s="39" t="n">
        <f aca="false">Resumo!$C$10*CEILING(I1314/100,1)</f>
        <v>1.05</v>
      </c>
      <c r="R1314" s="39" t="n">
        <f aca="false">Resumo!$C$9</f>
        <v>0</v>
      </c>
      <c r="S1314" s="39" t="n">
        <f aca="false">Resumo!$C$13</f>
        <v>13.55</v>
      </c>
      <c r="T1314" s="39" t="n">
        <f aca="false">Resumo!$C$14*CEILING(I1314,1)</f>
        <v>28.35</v>
      </c>
      <c r="U1314" s="39" t="n">
        <f aca="false">SUM(M1314:T1314)*Resumo!$C$11</f>
        <v>0</v>
      </c>
      <c r="V1314" s="39" t="n">
        <f aca="false">SUM(M1314:U1314)</f>
        <v>109.687958</v>
      </c>
      <c r="W1314" s="39" t="n">
        <f aca="false">V1314/(1-Resumo!$C$5)</f>
        <v>124.645406818182</v>
      </c>
      <c r="X1314" s="39" t="n">
        <v>131.02</v>
      </c>
      <c r="Y1314" s="39" t="n">
        <f aca="false">J1314*Resumo!$B$6</f>
        <v>0.83999</v>
      </c>
      <c r="Z1314" s="39" t="n">
        <f aca="false">J1314*Resumo!$B$7</f>
        <v>1.67998</v>
      </c>
      <c r="AA1314" s="39" t="n">
        <f aca="false">Resumo!$B$9</f>
        <v>1</v>
      </c>
      <c r="AB1314" s="39" t="n">
        <f aca="false">Resumo!$B$10*CEILING(I1314/100,1)</f>
        <v>4.5</v>
      </c>
      <c r="AC1314" s="39" t="n">
        <f aca="false">Resumo!$B$12*CEILING(I1314,1)</f>
        <v>3.78</v>
      </c>
      <c r="AD1314" s="39" t="n">
        <f aca="false">Resumo!$B$14*CEILING(I1314,1)</f>
        <v>28.35</v>
      </c>
      <c r="AE1314" s="39" t="n">
        <f aca="false">SUM(X1314:AD1314)</f>
        <v>171.16997</v>
      </c>
      <c r="AF1314" s="39" t="n">
        <f aca="false">AE1314/(1-Resumo!$B$5)</f>
        <v>194.511329545455</v>
      </c>
      <c r="AG1314" s="39" t="n">
        <f aca="false">AF1314-W1314</f>
        <v>69.8659227272727</v>
      </c>
      <c r="AH1314" s="40" t="n">
        <f aca="false">AF1314/W1314-1</f>
        <v>0.560517427081649</v>
      </c>
      <c r="AI1314" s="37" t="str">
        <f aca="false">IF(AF1314&lt;W1314,"SIM","NÃO")</f>
        <v>NÃO</v>
      </c>
      <c r="AJ1314" s="37" t="n">
        <v>2</v>
      </c>
      <c r="AK1314" s="37" t="n">
        <v>5</v>
      </c>
      <c r="AL1314" s="37" t="s">
        <v>343</v>
      </c>
      <c r="AM1314" s="39" t="n">
        <v>125.23</v>
      </c>
    </row>
    <row r="1315" customFormat="false" ht="15" hidden="false" customHeight="false" outlineLevel="0" collapsed="false">
      <c r="A1315" s="37" t="n">
        <v>380125752</v>
      </c>
      <c r="B1315" s="38" t="n">
        <v>46255.7231944444</v>
      </c>
      <c r="C1315" s="37" t="s">
        <v>340</v>
      </c>
      <c r="D1315" s="37" t="s">
        <v>1568</v>
      </c>
      <c r="E1315" s="37" t="n">
        <v>24230131</v>
      </c>
      <c r="F1315" s="37" t="s">
        <v>163</v>
      </c>
      <c r="G1315" s="37" t="s">
        <v>197</v>
      </c>
      <c r="H1315" s="37" t="s">
        <v>186</v>
      </c>
      <c r="I1315" s="37" t="n">
        <v>41</v>
      </c>
      <c r="J1315" s="39" t="n">
        <v>529.99</v>
      </c>
      <c r="K1315" s="37" t="s">
        <v>342</v>
      </c>
      <c r="L1315" s="39" t="n">
        <v>116.61</v>
      </c>
      <c r="M1315" s="39" t="n">
        <v>65.36</v>
      </c>
      <c r="N1315" s="39" t="n">
        <f aca="false">J1315*Resumo!$C$6</f>
        <v>0</v>
      </c>
      <c r="O1315" s="39" t="n">
        <f aca="false">J1315*Resumo!$C$7</f>
        <v>1.112979</v>
      </c>
      <c r="P1315" s="39" t="n">
        <f aca="false">J1315*Resumo!$C$8</f>
        <v>1.112979</v>
      </c>
      <c r="Q1315" s="39" t="n">
        <f aca="false">Resumo!$C$10*CEILING(I1315/100,1)</f>
        <v>1.05</v>
      </c>
      <c r="R1315" s="39" t="n">
        <f aca="false">Resumo!$C$9</f>
        <v>0</v>
      </c>
      <c r="S1315" s="39" t="n">
        <f aca="false">Resumo!$C$13</f>
        <v>13.55</v>
      </c>
      <c r="T1315" s="39" t="n">
        <f aca="false">Resumo!$C$14*CEILING(I1315,1)</f>
        <v>18.45</v>
      </c>
      <c r="U1315" s="39" t="n">
        <f aca="false">SUM(M1315:T1315)*Resumo!$C$11</f>
        <v>0</v>
      </c>
      <c r="V1315" s="39" t="n">
        <f aca="false">SUM(M1315:U1315)</f>
        <v>100.635958</v>
      </c>
      <c r="W1315" s="39" t="n">
        <f aca="false">V1315/(1-Resumo!$C$5)</f>
        <v>114.359043181818</v>
      </c>
      <c r="X1315" s="39" t="n">
        <v>114.95</v>
      </c>
      <c r="Y1315" s="39" t="n">
        <f aca="false">J1315*Resumo!$B$6</f>
        <v>0.52999</v>
      </c>
      <c r="Z1315" s="39" t="n">
        <f aca="false">J1315*Resumo!$B$7</f>
        <v>1.05998</v>
      </c>
      <c r="AA1315" s="39" t="n">
        <f aca="false">Resumo!$B$9</f>
        <v>1</v>
      </c>
      <c r="AB1315" s="39" t="n">
        <f aca="false">Resumo!$B$10*CEILING(I1315/100,1)</f>
        <v>4.5</v>
      </c>
      <c r="AC1315" s="39" t="n">
        <f aca="false">Resumo!$B$12*CEILING(I1315,1)</f>
        <v>2.46</v>
      </c>
      <c r="AD1315" s="39" t="n">
        <f aca="false">Resumo!$B$14*CEILING(I1315,1)</f>
        <v>18.45</v>
      </c>
      <c r="AE1315" s="39" t="n">
        <f aca="false">SUM(X1315:AD1315)</f>
        <v>142.94997</v>
      </c>
      <c r="AF1315" s="39" t="n">
        <f aca="false">AE1315/(1-Resumo!$B$5)</f>
        <v>162.443147727273</v>
      </c>
      <c r="AG1315" s="39" t="n">
        <f aca="false">AF1315-W1315</f>
        <v>48.0841045454546</v>
      </c>
      <c r="AH1315" s="40" t="n">
        <f aca="false">AF1315/W1315-1</f>
        <v>0.420466131996279</v>
      </c>
      <c r="AI1315" s="37" t="str">
        <f aca="false">IF(AF1315&lt;W1315,"SIM","NÃO")</f>
        <v>NÃO</v>
      </c>
      <c r="AJ1315" s="37" t="n">
        <v>2</v>
      </c>
      <c r="AK1315" s="37" t="n">
        <v>7</v>
      </c>
      <c r="AL1315" s="37" t="s">
        <v>343</v>
      </c>
      <c r="AM1315" s="39" t="n">
        <v>116.61</v>
      </c>
    </row>
    <row r="1316" customFormat="false" ht="15" hidden="false" customHeight="false" outlineLevel="0" collapsed="false">
      <c r="A1316" s="37" t="n">
        <v>380190648</v>
      </c>
      <c r="B1316" s="38" t="n">
        <v>46255.8125694445</v>
      </c>
      <c r="C1316" s="37" t="s">
        <v>372</v>
      </c>
      <c r="D1316" s="37" t="s">
        <v>1569</v>
      </c>
      <c r="E1316" s="37" t="n">
        <v>22793325</v>
      </c>
      <c r="F1316" s="37" t="s">
        <v>159</v>
      </c>
      <c r="G1316" s="37" t="s">
        <v>196</v>
      </c>
      <c r="H1316" s="37" t="s">
        <v>190</v>
      </c>
      <c r="I1316" s="37" t="n">
        <v>82</v>
      </c>
      <c r="J1316" s="39" t="n">
        <v>909.98</v>
      </c>
      <c r="K1316" s="37" t="s">
        <v>342</v>
      </c>
      <c r="L1316" s="39" t="n">
        <v>163.45</v>
      </c>
      <c r="M1316" s="39" t="n">
        <v>83.79</v>
      </c>
      <c r="N1316" s="39" t="n">
        <f aca="false">J1316*Resumo!$C$6</f>
        <v>0</v>
      </c>
      <c r="O1316" s="39" t="n">
        <f aca="false">J1316*Resumo!$C$7</f>
        <v>1.910958</v>
      </c>
      <c r="P1316" s="39" t="n">
        <f aca="false">J1316*Resumo!$C$8</f>
        <v>1.910958</v>
      </c>
      <c r="Q1316" s="39" t="n">
        <f aca="false">Resumo!$C$10*CEILING(I1316/100,1)</f>
        <v>1.05</v>
      </c>
      <c r="R1316" s="39" t="n">
        <f aca="false">Resumo!$C$9</f>
        <v>0</v>
      </c>
      <c r="S1316" s="39" t="n">
        <f aca="false">Resumo!$C$13</f>
        <v>13.55</v>
      </c>
      <c r="T1316" s="39" t="n">
        <f aca="false">Resumo!$C$14*CEILING(I1316,1)</f>
        <v>36.9</v>
      </c>
      <c r="U1316" s="39" t="n">
        <f aca="false">SUM(M1316:T1316)*Resumo!$C$11</f>
        <v>0</v>
      </c>
      <c r="V1316" s="39" t="n">
        <f aca="false">SUM(M1316:U1316)</f>
        <v>139.111916</v>
      </c>
      <c r="W1316" s="39" t="n">
        <f aca="false">V1316/(1-Resumo!$C$5)</f>
        <v>158.081722727273</v>
      </c>
      <c r="X1316" s="39" t="n">
        <v>167.99</v>
      </c>
      <c r="Y1316" s="39" t="n">
        <f aca="false">J1316*Resumo!$B$6</f>
        <v>0.90998</v>
      </c>
      <c r="Z1316" s="39" t="n">
        <f aca="false">J1316*Resumo!$B$7</f>
        <v>1.81996</v>
      </c>
      <c r="AA1316" s="39" t="n">
        <f aca="false">Resumo!$B$9</f>
        <v>1</v>
      </c>
      <c r="AB1316" s="39" t="n">
        <f aca="false">Resumo!$B$10*CEILING(I1316/100,1)</f>
        <v>4.5</v>
      </c>
      <c r="AC1316" s="39" t="n">
        <f aca="false">Resumo!$B$12*CEILING(I1316,1)</f>
        <v>4.92</v>
      </c>
      <c r="AD1316" s="39" t="n">
        <f aca="false">Resumo!$B$14*CEILING(I1316,1)</f>
        <v>36.9</v>
      </c>
      <c r="AE1316" s="39" t="n">
        <f aca="false">SUM(X1316:AD1316)</f>
        <v>218.03994</v>
      </c>
      <c r="AF1316" s="39" t="n">
        <f aca="false">AE1316/(1-Resumo!$B$5)</f>
        <v>247.772659090909</v>
      </c>
      <c r="AG1316" s="39" t="n">
        <f aca="false">AF1316-W1316</f>
        <v>89.6909363636364</v>
      </c>
      <c r="AH1316" s="40" t="n">
        <f aca="false">AF1316/W1316-1</f>
        <v>0.567370691666701</v>
      </c>
      <c r="AI1316" s="37" t="str">
        <f aca="false">IF(AF1316&lt;W1316,"SIM","NÃO")</f>
        <v>NÃO</v>
      </c>
      <c r="AJ1316" s="37" t="n">
        <v>2</v>
      </c>
      <c r="AK1316" s="37" t="n">
        <v>5</v>
      </c>
      <c r="AL1316" s="37" t="s">
        <v>343</v>
      </c>
      <c r="AM1316" s="39" t="n">
        <v>163.45</v>
      </c>
    </row>
    <row r="1317" customFormat="false" ht="15" hidden="false" customHeight="false" outlineLevel="0" collapsed="false">
      <c r="A1317" s="37" t="n">
        <v>380203552</v>
      </c>
      <c r="B1317" s="38" t="n">
        <v>46255.8262037037</v>
      </c>
      <c r="C1317" s="37" t="s">
        <v>345</v>
      </c>
      <c r="D1317" s="37" t="s">
        <v>1570</v>
      </c>
      <c r="E1317" s="37" t="n">
        <v>26261130</v>
      </c>
      <c r="F1317" s="37" t="s">
        <v>162</v>
      </c>
      <c r="G1317" s="37" t="s">
        <v>197</v>
      </c>
      <c r="H1317" s="37" t="s">
        <v>187</v>
      </c>
      <c r="I1317" s="37" t="n">
        <v>52.3</v>
      </c>
      <c r="J1317" s="39" t="n">
        <v>640.44</v>
      </c>
      <c r="K1317" s="37" t="s">
        <v>342</v>
      </c>
      <c r="L1317" s="39" t="n">
        <v>128.35</v>
      </c>
      <c r="M1317" s="39" t="n">
        <v>70.98</v>
      </c>
      <c r="N1317" s="39" t="n">
        <f aca="false">J1317*Resumo!$C$6</f>
        <v>0</v>
      </c>
      <c r="O1317" s="39" t="n">
        <f aca="false">J1317*Resumo!$C$7</f>
        <v>1.344924</v>
      </c>
      <c r="P1317" s="39" t="n">
        <f aca="false">J1317*Resumo!$C$8</f>
        <v>1.344924</v>
      </c>
      <c r="Q1317" s="39" t="n">
        <f aca="false">Resumo!$C$10*CEILING(I1317/100,1)</f>
        <v>1.05</v>
      </c>
      <c r="R1317" s="39" t="n">
        <f aca="false">Resumo!$C$9</f>
        <v>0</v>
      </c>
      <c r="S1317" s="39" t="n">
        <f aca="false">Resumo!$C$13</f>
        <v>13.55</v>
      </c>
      <c r="T1317" s="39" t="n">
        <f aca="false">Resumo!$C$14*CEILING(I1317,1)</f>
        <v>23.85</v>
      </c>
      <c r="U1317" s="39" t="n">
        <f aca="false">SUM(M1317:T1317)*Resumo!$C$11</f>
        <v>0</v>
      </c>
      <c r="V1317" s="39" t="n">
        <f aca="false">SUM(M1317:U1317)</f>
        <v>112.119848</v>
      </c>
      <c r="W1317" s="39" t="n">
        <f aca="false">V1317/(1-Resumo!$C$5)</f>
        <v>127.408918181818</v>
      </c>
      <c r="X1317" s="39" t="n">
        <v>112.3</v>
      </c>
      <c r="Y1317" s="39" t="n">
        <f aca="false">J1317*Resumo!$B$6</f>
        <v>0.64044</v>
      </c>
      <c r="Z1317" s="39" t="n">
        <f aca="false">J1317*Resumo!$B$7</f>
        <v>1.28088</v>
      </c>
      <c r="AA1317" s="39" t="n">
        <f aca="false">Resumo!$B$9</f>
        <v>1</v>
      </c>
      <c r="AB1317" s="39" t="n">
        <f aca="false">Resumo!$B$10*CEILING(I1317/100,1)</f>
        <v>4.5</v>
      </c>
      <c r="AC1317" s="39" t="n">
        <f aca="false">Resumo!$B$12*CEILING(I1317,1)</f>
        <v>3.18</v>
      </c>
      <c r="AD1317" s="39" t="n">
        <f aca="false">Resumo!$B$14*CEILING(I1317,1)</f>
        <v>23.85</v>
      </c>
      <c r="AE1317" s="39" t="n">
        <f aca="false">SUM(X1317:AD1317)</f>
        <v>146.75132</v>
      </c>
      <c r="AF1317" s="39" t="n">
        <f aca="false">AE1317/(1-Resumo!$B$5)</f>
        <v>166.762863636364</v>
      </c>
      <c r="AG1317" s="39" t="n">
        <f aca="false">AF1317-W1317</f>
        <v>39.3539454545454</v>
      </c>
      <c r="AH1317" s="40" t="n">
        <f aca="false">AF1317/W1317-1</f>
        <v>0.308879048783583</v>
      </c>
      <c r="AI1317" s="37" t="str">
        <f aca="false">IF(AF1317&lt;W1317,"SIM","NÃO")</f>
        <v>NÃO</v>
      </c>
      <c r="AJ1317" s="37" t="n">
        <v>2</v>
      </c>
      <c r="AK1317" s="37" t="n">
        <v>5</v>
      </c>
      <c r="AL1317" s="37" t="s">
        <v>343</v>
      </c>
      <c r="AM1317" s="39" t="n">
        <v>128.35</v>
      </c>
    </row>
    <row r="1318" customFormat="false" ht="15" hidden="false" customHeight="false" outlineLevel="0" collapsed="false">
      <c r="A1318" s="37" t="n">
        <v>380210046</v>
      </c>
      <c r="B1318" s="38" t="n">
        <v>46255.8344328704</v>
      </c>
      <c r="C1318" s="37" t="s">
        <v>340</v>
      </c>
      <c r="D1318" s="37" t="s">
        <v>1571</v>
      </c>
      <c r="E1318" s="37" t="n">
        <v>25730736</v>
      </c>
      <c r="F1318" s="37" t="s">
        <v>170</v>
      </c>
      <c r="G1318" s="37" t="s">
        <v>198</v>
      </c>
      <c r="H1318" s="37" t="s">
        <v>185</v>
      </c>
      <c r="I1318" s="37" t="n">
        <v>39.9</v>
      </c>
      <c r="J1318" s="39" t="n">
        <v>599.99</v>
      </c>
      <c r="K1318" s="37" t="s">
        <v>342</v>
      </c>
      <c r="L1318" s="39" t="n">
        <v>123.13</v>
      </c>
      <c r="M1318" s="39" t="n">
        <v>74.97</v>
      </c>
      <c r="N1318" s="39" t="n">
        <f aca="false">J1318*Resumo!$C$6</f>
        <v>0</v>
      </c>
      <c r="O1318" s="39" t="n">
        <f aca="false">J1318*Resumo!$C$7</f>
        <v>1.259979</v>
      </c>
      <c r="P1318" s="39" t="n">
        <f aca="false">J1318*Resumo!$C$8</f>
        <v>1.259979</v>
      </c>
      <c r="Q1318" s="39" t="n">
        <f aca="false">Resumo!$C$10*CEILING(I1318/100,1)</f>
        <v>1.05</v>
      </c>
      <c r="R1318" s="39" t="n">
        <f aca="false">Resumo!$C$9</f>
        <v>0</v>
      </c>
      <c r="S1318" s="39" t="n">
        <f aca="false">Resumo!$C$13</f>
        <v>13.55</v>
      </c>
      <c r="T1318" s="39" t="n">
        <f aca="false">Resumo!$C$14*CEILING(I1318,1)</f>
        <v>18</v>
      </c>
      <c r="U1318" s="39" t="n">
        <f aca="false">SUM(M1318:T1318)*Resumo!$C$11</f>
        <v>0</v>
      </c>
      <c r="V1318" s="39" t="n">
        <f aca="false">SUM(M1318:U1318)</f>
        <v>110.089958</v>
      </c>
      <c r="W1318" s="39" t="n">
        <f aca="false">V1318/(1-Resumo!$C$5)</f>
        <v>125.102225</v>
      </c>
      <c r="X1318" s="39" t="n">
        <v>124.38</v>
      </c>
      <c r="Y1318" s="39" t="n">
        <f aca="false">J1318*Resumo!$B$6</f>
        <v>0.59999</v>
      </c>
      <c r="Z1318" s="39" t="n">
        <f aca="false">J1318*Resumo!$B$7</f>
        <v>1.19998</v>
      </c>
      <c r="AA1318" s="39" t="n">
        <f aca="false">Resumo!$B$9</f>
        <v>1</v>
      </c>
      <c r="AB1318" s="39" t="n">
        <f aca="false">Resumo!$B$10*CEILING(I1318/100,1)</f>
        <v>4.5</v>
      </c>
      <c r="AC1318" s="39" t="n">
        <f aca="false">Resumo!$B$12*CEILING(I1318,1)</f>
        <v>2.4</v>
      </c>
      <c r="AD1318" s="39" t="n">
        <f aca="false">Resumo!$B$14*CEILING(I1318,1)</f>
        <v>18</v>
      </c>
      <c r="AE1318" s="39" t="n">
        <f aca="false">SUM(X1318:AD1318)</f>
        <v>152.07997</v>
      </c>
      <c r="AF1318" s="39" t="n">
        <f aca="false">AE1318/(1-Resumo!$B$5)</f>
        <v>172.818147727273</v>
      </c>
      <c r="AG1318" s="39" t="n">
        <f aca="false">AF1318-W1318</f>
        <v>47.7159227272727</v>
      </c>
      <c r="AH1318" s="40" t="n">
        <f aca="false">AF1318/W1318-1</f>
        <v>0.381415460254786</v>
      </c>
      <c r="AI1318" s="37" t="str">
        <f aca="false">IF(AF1318&lt;W1318,"SIM","NÃO")</f>
        <v>NÃO</v>
      </c>
      <c r="AJ1318" s="37" t="n">
        <v>13</v>
      </c>
      <c r="AK1318" s="37" t="n">
        <v>8</v>
      </c>
      <c r="AL1318" s="37" t="s">
        <v>343</v>
      </c>
      <c r="AM1318" s="39" t="n">
        <v>123.12</v>
      </c>
    </row>
    <row r="1319" customFormat="false" ht="15" hidden="false" customHeight="false" outlineLevel="0" collapsed="false">
      <c r="A1319" s="37" t="n">
        <v>380207274</v>
      </c>
      <c r="B1319" s="38" t="n">
        <v>46255.837037037</v>
      </c>
      <c r="C1319" s="37" t="s">
        <v>375</v>
      </c>
      <c r="D1319" s="37" t="s">
        <v>1572</v>
      </c>
      <c r="E1319" s="37" t="n">
        <v>24426410</v>
      </c>
      <c r="F1319" s="37" t="s">
        <v>160</v>
      </c>
      <c r="G1319" s="37" t="s">
        <v>197</v>
      </c>
      <c r="H1319" s="37" t="s">
        <v>186</v>
      </c>
      <c r="I1319" s="37" t="n">
        <v>48.45</v>
      </c>
      <c r="J1319" s="39" t="n">
        <v>549.99</v>
      </c>
      <c r="K1319" s="37" t="s">
        <v>342</v>
      </c>
      <c r="L1319" s="39" t="n">
        <v>116.7</v>
      </c>
      <c r="M1319" s="39" t="n">
        <v>65.36</v>
      </c>
      <c r="N1319" s="39" t="n">
        <f aca="false">J1319*Resumo!$C$6</f>
        <v>0</v>
      </c>
      <c r="O1319" s="39" t="n">
        <f aca="false">J1319*Resumo!$C$7</f>
        <v>1.154979</v>
      </c>
      <c r="P1319" s="39" t="n">
        <f aca="false">J1319*Resumo!$C$8</f>
        <v>1.154979</v>
      </c>
      <c r="Q1319" s="39" t="n">
        <f aca="false">Resumo!$C$10*CEILING(I1319/100,1)</f>
        <v>1.05</v>
      </c>
      <c r="R1319" s="39" t="n">
        <f aca="false">Resumo!$C$9</f>
        <v>0</v>
      </c>
      <c r="S1319" s="39" t="n">
        <f aca="false">Resumo!$C$13</f>
        <v>13.55</v>
      </c>
      <c r="T1319" s="39" t="n">
        <f aca="false">Resumo!$C$14*CEILING(I1319,1)</f>
        <v>22.05</v>
      </c>
      <c r="U1319" s="39" t="n">
        <f aca="false">SUM(M1319:T1319)*Resumo!$C$11</f>
        <v>0</v>
      </c>
      <c r="V1319" s="39" t="n">
        <f aca="false">SUM(M1319:U1319)</f>
        <v>104.319958</v>
      </c>
      <c r="W1319" s="39" t="n">
        <f aca="false">V1319/(1-Resumo!$C$5)</f>
        <v>118.545406818182</v>
      </c>
      <c r="X1319" s="39" t="n">
        <v>114.95</v>
      </c>
      <c r="Y1319" s="39" t="n">
        <f aca="false">J1319*Resumo!$B$6</f>
        <v>0.54999</v>
      </c>
      <c r="Z1319" s="39" t="n">
        <f aca="false">J1319*Resumo!$B$7</f>
        <v>1.09998</v>
      </c>
      <c r="AA1319" s="39" t="n">
        <f aca="false">Resumo!$B$9</f>
        <v>1</v>
      </c>
      <c r="AB1319" s="39" t="n">
        <f aca="false">Resumo!$B$10*CEILING(I1319/100,1)</f>
        <v>4.5</v>
      </c>
      <c r="AC1319" s="39" t="n">
        <f aca="false">Resumo!$B$12*CEILING(I1319,1)</f>
        <v>2.94</v>
      </c>
      <c r="AD1319" s="39" t="n">
        <f aca="false">Resumo!$B$14*CEILING(I1319,1)</f>
        <v>22.05</v>
      </c>
      <c r="AE1319" s="39" t="n">
        <f aca="false">SUM(X1319:AD1319)</f>
        <v>147.08997</v>
      </c>
      <c r="AF1319" s="39" t="n">
        <f aca="false">AE1319/(1-Resumo!$B$5)</f>
        <v>167.147693181818</v>
      </c>
      <c r="AG1319" s="39" t="n">
        <f aca="false">AF1319-W1319</f>
        <v>48.6022863636364</v>
      </c>
      <c r="AH1319" s="40" t="n">
        <f aca="false">AF1319/W1319-1</f>
        <v>0.40998877702769</v>
      </c>
      <c r="AI1319" s="37" t="str">
        <f aca="false">IF(AF1319&lt;W1319,"SIM","NÃO")</f>
        <v>NÃO</v>
      </c>
      <c r="AJ1319" s="37" t="n">
        <v>2</v>
      </c>
      <c r="AK1319" s="37" t="n">
        <v>7</v>
      </c>
      <c r="AL1319" s="37" t="s">
        <v>343</v>
      </c>
      <c r="AM1319" s="39" t="n">
        <v>116.71</v>
      </c>
    </row>
    <row r="1320" customFormat="false" ht="15" hidden="false" customHeight="false" outlineLevel="0" collapsed="false">
      <c r="A1320" s="37" t="n">
        <v>380222426</v>
      </c>
      <c r="B1320" s="38" t="n">
        <v>46255.8530092593</v>
      </c>
      <c r="C1320" s="37" t="s">
        <v>372</v>
      </c>
      <c r="D1320" s="37" t="s">
        <v>1573</v>
      </c>
      <c r="E1320" s="37" t="n">
        <v>23575437</v>
      </c>
      <c r="F1320" s="37" t="s">
        <v>159</v>
      </c>
      <c r="G1320" s="37" t="s">
        <v>196</v>
      </c>
      <c r="H1320" s="37" t="s">
        <v>190</v>
      </c>
      <c r="I1320" s="37" t="n">
        <v>81.7</v>
      </c>
      <c r="J1320" s="39" t="n">
        <v>769.99</v>
      </c>
      <c r="K1320" s="37" t="s">
        <v>342</v>
      </c>
      <c r="L1320" s="39" t="n">
        <v>162.78</v>
      </c>
      <c r="M1320" s="39" t="n">
        <v>83.79</v>
      </c>
      <c r="N1320" s="39" t="n">
        <f aca="false">J1320*Resumo!$C$6</f>
        <v>0</v>
      </c>
      <c r="O1320" s="39" t="n">
        <f aca="false">J1320*Resumo!$C$7</f>
        <v>1.616979</v>
      </c>
      <c r="P1320" s="39" t="n">
        <f aca="false">J1320*Resumo!$C$8</f>
        <v>1.616979</v>
      </c>
      <c r="Q1320" s="39" t="n">
        <f aca="false">Resumo!$C$10*CEILING(I1320/100,1)</f>
        <v>1.05</v>
      </c>
      <c r="R1320" s="39" t="n">
        <f aca="false">Resumo!$C$9</f>
        <v>0</v>
      </c>
      <c r="S1320" s="39" t="n">
        <f aca="false">Resumo!$C$13</f>
        <v>13.55</v>
      </c>
      <c r="T1320" s="39" t="n">
        <f aca="false">Resumo!$C$14*CEILING(I1320,1)</f>
        <v>36.9</v>
      </c>
      <c r="U1320" s="39" t="n">
        <f aca="false">SUM(M1320:T1320)*Resumo!$C$11</f>
        <v>0</v>
      </c>
      <c r="V1320" s="39" t="n">
        <f aca="false">SUM(M1320:U1320)</f>
        <v>138.523958</v>
      </c>
      <c r="W1320" s="39" t="n">
        <f aca="false">V1320/(1-Resumo!$C$5)</f>
        <v>157.413588636364</v>
      </c>
      <c r="X1320" s="39" t="n">
        <v>167.99</v>
      </c>
      <c r="Y1320" s="39" t="n">
        <f aca="false">J1320*Resumo!$B$6</f>
        <v>0.76999</v>
      </c>
      <c r="Z1320" s="39" t="n">
        <f aca="false">J1320*Resumo!$B$7</f>
        <v>1.53998</v>
      </c>
      <c r="AA1320" s="39" t="n">
        <f aca="false">Resumo!$B$9</f>
        <v>1</v>
      </c>
      <c r="AB1320" s="39" t="n">
        <f aca="false">Resumo!$B$10*CEILING(I1320/100,1)</f>
        <v>4.5</v>
      </c>
      <c r="AC1320" s="39" t="n">
        <f aca="false">Resumo!$B$12*CEILING(I1320,1)</f>
        <v>4.92</v>
      </c>
      <c r="AD1320" s="39" t="n">
        <f aca="false">Resumo!$B$14*CEILING(I1320,1)</f>
        <v>36.9</v>
      </c>
      <c r="AE1320" s="39" t="n">
        <f aca="false">SUM(X1320:AD1320)</f>
        <v>217.61997</v>
      </c>
      <c r="AF1320" s="39" t="n">
        <f aca="false">AE1320/(1-Resumo!$B$5)</f>
        <v>247.295420454545</v>
      </c>
      <c r="AG1320" s="39" t="n">
        <f aca="false">AF1320-W1320</f>
        <v>89.8818318181818</v>
      </c>
      <c r="AH1320" s="40" t="n">
        <f aca="false">AF1320/W1320-1</f>
        <v>0.570991568115604</v>
      </c>
      <c r="AI1320" s="37" t="str">
        <f aca="false">IF(AF1320&lt;W1320,"SIM","NÃO")</f>
        <v>NÃO</v>
      </c>
      <c r="AJ1320" s="37" t="n">
        <v>2</v>
      </c>
      <c r="AK1320" s="37" t="n">
        <v>5</v>
      </c>
      <c r="AL1320" s="37" t="s">
        <v>343</v>
      </c>
      <c r="AM1320" s="39" t="n">
        <v>162.78</v>
      </c>
    </row>
    <row r="1321" customFormat="false" ht="15" hidden="false" customHeight="false" outlineLevel="0" collapsed="false">
      <c r="A1321" s="37" t="n">
        <v>380276234</v>
      </c>
      <c r="B1321" s="38" t="n">
        <v>46255.9127083333</v>
      </c>
      <c r="C1321" s="37" t="s">
        <v>340</v>
      </c>
      <c r="D1321" s="37" t="s">
        <v>1574</v>
      </c>
      <c r="E1321" s="37" t="n">
        <v>27240440</v>
      </c>
      <c r="F1321" s="37" t="s">
        <v>168</v>
      </c>
      <c r="G1321" s="37" t="s">
        <v>198</v>
      </c>
      <c r="H1321" s="37" t="s">
        <v>185</v>
      </c>
      <c r="I1321" s="37" t="n">
        <v>36.8</v>
      </c>
      <c r="J1321" s="39" t="n">
        <v>439.99</v>
      </c>
      <c r="K1321" s="37" t="s">
        <v>342</v>
      </c>
      <c r="L1321" s="39" t="n">
        <v>122.35</v>
      </c>
      <c r="M1321" s="39" t="n">
        <v>74.97</v>
      </c>
      <c r="N1321" s="39" t="n">
        <f aca="false">J1321*Resumo!$C$6</f>
        <v>0</v>
      </c>
      <c r="O1321" s="39" t="n">
        <f aca="false">J1321*Resumo!$C$7</f>
        <v>0.923979</v>
      </c>
      <c r="P1321" s="39" t="n">
        <f aca="false">J1321*Resumo!$C$8</f>
        <v>0.923979</v>
      </c>
      <c r="Q1321" s="39" t="n">
        <f aca="false">Resumo!$C$10*CEILING(I1321/100,1)</f>
        <v>1.05</v>
      </c>
      <c r="R1321" s="39" t="n">
        <f aca="false">Resumo!$C$9</f>
        <v>0</v>
      </c>
      <c r="S1321" s="39" t="n">
        <f aca="false">Resumo!$C$13</f>
        <v>13.55</v>
      </c>
      <c r="T1321" s="39" t="n">
        <f aca="false">Resumo!$C$14*CEILING(I1321,1)</f>
        <v>16.65</v>
      </c>
      <c r="U1321" s="39" t="n">
        <f aca="false">SUM(M1321:T1321)*Resumo!$C$11</f>
        <v>0</v>
      </c>
      <c r="V1321" s="39" t="n">
        <f aca="false">SUM(M1321:U1321)</f>
        <v>108.067958</v>
      </c>
      <c r="W1321" s="39" t="n">
        <f aca="false">V1321/(1-Resumo!$C$5)</f>
        <v>122.804497727273</v>
      </c>
      <c r="X1321" s="39" t="n">
        <v>124.38</v>
      </c>
      <c r="Y1321" s="39" t="n">
        <f aca="false">J1321*Resumo!$B$6</f>
        <v>0.43999</v>
      </c>
      <c r="Z1321" s="39" t="n">
        <f aca="false">J1321*Resumo!$B$7</f>
        <v>0.87998</v>
      </c>
      <c r="AA1321" s="39" t="n">
        <f aca="false">Resumo!$B$9</f>
        <v>1</v>
      </c>
      <c r="AB1321" s="39" t="n">
        <f aca="false">Resumo!$B$10*CEILING(I1321/100,1)</f>
        <v>4.5</v>
      </c>
      <c r="AC1321" s="39" t="n">
        <f aca="false">Resumo!$B$12*CEILING(I1321,1)</f>
        <v>2.22</v>
      </c>
      <c r="AD1321" s="39" t="n">
        <f aca="false">Resumo!$B$14*CEILING(I1321,1)</f>
        <v>16.65</v>
      </c>
      <c r="AE1321" s="39" t="n">
        <f aca="false">SUM(X1321:AD1321)</f>
        <v>150.06997</v>
      </c>
      <c r="AF1321" s="39" t="n">
        <f aca="false">AE1321/(1-Resumo!$B$5)</f>
        <v>170.534056818182</v>
      </c>
      <c r="AG1321" s="39" t="n">
        <f aca="false">AF1321-W1321</f>
        <v>47.7295590909091</v>
      </c>
      <c r="AH1321" s="40" t="n">
        <f aca="false">AF1321/W1321-1</f>
        <v>0.388662955952217</v>
      </c>
      <c r="AI1321" s="37" t="str">
        <f aca="false">IF(AF1321&lt;W1321,"SIM","NÃO")</f>
        <v>NÃO</v>
      </c>
      <c r="AJ1321" s="37" t="n">
        <v>13</v>
      </c>
      <c r="AK1321" s="37" t="n">
        <v>10</v>
      </c>
      <c r="AL1321" s="37" t="s">
        <v>343</v>
      </c>
      <c r="AM1321" s="39" t="n">
        <v>122.36</v>
      </c>
    </row>
    <row r="1322" customFormat="false" ht="15" hidden="false" customHeight="false" outlineLevel="0" collapsed="false">
      <c r="A1322" s="37" t="n">
        <v>380276233</v>
      </c>
      <c r="B1322" s="38" t="n">
        <v>46255.9127083333</v>
      </c>
      <c r="C1322" s="37" t="s">
        <v>340</v>
      </c>
      <c r="D1322" s="37" t="s">
        <v>1574</v>
      </c>
      <c r="E1322" s="37" t="n">
        <v>27240440</v>
      </c>
      <c r="F1322" s="37" t="s">
        <v>168</v>
      </c>
      <c r="G1322" s="37" t="s">
        <v>198</v>
      </c>
      <c r="H1322" s="37" t="s">
        <v>187</v>
      </c>
      <c r="I1322" s="37" t="n">
        <v>58.6</v>
      </c>
      <c r="J1322" s="39" t="n">
        <v>645.7</v>
      </c>
      <c r="K1322" s="37" t="s">
        <v>342</v>
      </c>
      <c r="L1322" s="39" t="n">
        <v>142.76</v>
      </c>
      <c r="M1322" s="39" t="n">
        <v>83.58</v>
      </c>
      <c r="N1322" s="39" t="n">
        <f aca="false">J1322*Resumo!$C$6</f>
        <v>0</v>
      </c>
      <c r="O1322" s="39" t="n">
        <f aca="false">J1322*Resumo!$C$7</f>
        <v>1.35597</v>
      </c>
      <c r="P1322" s="39" t="n">
        <f aca="false">J1322*Resumo!$C$8</f>
        <v>1.35597</v>
      </c>
      <c r="Q1322" s="39" t="n">
        <f aca="false">Resumo!$C$10*CEILING(I1322/100,1)</f>
        <v>1.05</v>
      </c>
      <c r="R1322" s="39" t="n">
        <f aca="false">Resumo!$C$9</f>
        <v>0</v>
      </c>
      <c r="S1322" s="39" t="n">
        <f aca="false">Resumo!$C$13</f>
        <v>13.55</v>
      </c>
      <c r="T1322" s="39" t="n">
        <f aca="false">Resumo!$C$14*CEILING(I1322,1)</f>
        <v>26.55</v>
      </c>
      <c r="U1322" s="39" t="n">
        <f aca="false">SUM(M1322:T1322)*Resumo!$C$11</f>
        <v>0</v>
      </c>
      <c r="V1322" s="39" t="n">
        <f aca="false">SUM(M1322:U1322)</f>
        <v>127.44194</v>
      </c>
      <c r="W1322" s="39" t="n">
        <f aca="false">V1322/(1-Resumo!$C$5)</f>
        <v>144.820386363636</v>
      </c>
      <c r="X1322" s="39" t="n">
        <v>142.32</v>
      </c>
      <c r="Y1322" s="39" t="n">
        <f aca="false">J1322*Resumo!$B$6</f>
        <v>0.6457</v>
      </c>
      <c r="Z1322" s="39" t="n">
        <f aca="false">J1322*Resumo!$B$7</f>
        <v>1.2914</v>
      </c>
      <c r="AA1322" s="39" t="n">
        <f aca="false">Resumo!$B$9</f>
        <v>1</v>
      </c>
      <c r="AB1322" s="39" t="n">
        <f aca="false">Resumo!$B$10*CEILING(I1322/100,1)</f>
        <v>4.5</v>
      </c>
      <c r="AC1322" s="39" t="n">
        <f aca="false">Resumo!$B$12*CEILING(I1322,1)</f>
        <v>3.54</v>
      </c>
      <c r="AD1322" s="39" t="n">
        <f aca="false">Resumo!$B$14*CEILING(I1322,1)</f>
        <v>26.55</v>
      </c>
      <c r="AE1322" s="39" t="n">
        <f aca="false">SUM(X1322:AD1322)</f>
        <v>179.8471</v>
      </c>
      <c r="AF1322" s="39" t="n">
        <f aca="false">AE1322/(1-Resumo!$B$5)</f>
        <v>204.371704545455</v>
      </c>
      <c r="AG1322" s="39" t="n">
        <f aca="false">AF1322-W1322</f>
        <v>59.5513181818182</v>
      </c>
      <c r="AH1322" s="40" t="n">
        <f aca="false">AF1322/W1322-1</f>
        <v>0.411208115632891</v>
      </c>
      <c r="AI1322" s="37" t="str">
        <f aca="false">IF(AF1322&lt;W1322,"SIM","NÃO")</f>
        <v>NÃO</v>
      </c>
      <c r="AJ1322" s="37" t="n">
        <v>13</v>
      </c>
      <c r="AK1322" s="37" t="n">
        <v>10</v>
      </c>
      <c r="AL1322" s="37" t="s">
        <v>343</v>
      </c>
      <c r="AM1322" s="39" t="n">
        <v>142.76</v>
      </c>
    </row>
    <row r="1323" customFormat="false" ht="15" hidden="false" customHeight="false" outlineLevel="0" collapsed="false">
      <c r="A1323" s="37" t="n">
        <v>380288539</v>
      </c>
      <c r="B1323" s="38" t="n">
        <v>46255.9264351852</v>
      </c>
      <c r="C1323" s="37" t="s">
        <v>345</v>
      </c>
      <c r="D1323" s="37" t="s">
        <v>1575</v>
      </c>
      <c r="E1323" s="37" t="n">
        <v>28943628</v>
      </c>
      <c r="F1323" s="37" t="s">
        <v>292</v>
      </c>
      <c r="G1323" s="37" t="s">
        <v>198</v>
      </c>
      <c r="H1323" s="37" t="s">
        <v>187</v>
      </c>
      <c r="I1323" s="37" t="n">
        <v>58.5</v>
      </c>
      <c r="J1323" s="39" t="n">
        <v>855.95</v>
      </c>
      <c r="K1323" s="37" t="s">
        <v>342</v>
      </c>
      <c r="L1323" s="39" t="n">
        <v>143.77</v>
      </c>
      <c r="M1323" s="39" t="n">
        <v>83.58</v>
      </c>
      <c r="N1323" s="39" t="n">
        <f aca="false">J1323*Resumo!$C$6</f>
        <v>0</v>
      </c>
      <c r="O1323" s="39" t="n">
        <f aca="false">J1323*Resumo!$C$7</f>
        <v>1.797495</v>
      </c>
      <c r="P1323" s="39" t="n">
        <f aca="false">J1323*Resumo!$C$8</f>
        <v>1.797495</v>
      </c>
      <c r="Q1323" s="39" t="n">
        <f aca="false">Resumo!$C$10*CEILING(I1323/100,1)</f>
        <v>1.05</v>
      </c>
      <c r="R1323" s="39" t="n">
        <f aca="false">Resumo!$C$9</f>
        <v>0</v>
      </c>
      <c r="S1323" s="39" t="n">
        <f aca="false">Resumo!$C$13</f>
        <v>13.55</v>
      </c>
      <c r="T1323" s="39" t="n">
        <f aca="false">Resumo!$C$14*CEILING(I1323,1)</f>
        <v>26.55</v>
      </c>
      <c r="U1323" s="39" t="n">
        <f aca="false">SUM(M1323:T1323)*Resumo!$C$11</f>
        <v>0</v>
      </c>
      <c r="V1323" s="39" t="n">
        <f aca="false">SUM(M1323:U1323)</f>
        <v>128.32499</v>
      </c>
      <c r="W1323" s="39" t="n">
        <f aca="false">V1323/(1-Resumo!$C$5)</f>
        <v>145.823852272727</v>
      </c>
      <c r="X1323" s="39" t="n">
        <v>142.32</v>
      </c>
      <c r="Y1323" s="39" t="n">
        <f aca="false">J1323*Resumo!$B$6</f>
        <v>0.85595</v>
      </c>
      <c r="Z1323" s="39" t="n">
        <f aca="false">J1323*Resumo!$B$7</f>
        <v>1.7119</v>
      </c>
      <c r="AA1323" s="39" t="n">
        <f aca="false">Resumo!$B$9</f>
        <v>1</v>
      </c>
      <c r="AB1323" s="39" t="n">
        <f aca="false">Resumo!$B$10*CEILING(I1323/100,1)</f>
        <v>4.5</v>
      </c>
      <c r="AC1323" s="39" t="n">
        <f aca="false">Resumo!$B$12*CEILING(I1323,1)</f>
        <v>3.54</v>
      </c>
      <c r="AD1323" s="39" t="n">
        <f aca="false">Resumo!$B$14*CEILING(I1323,1)</f>
        <v>26.55</v>
      </c>
      <c r="AE1323" s="39" t="n">
        <f aca="false">SUM(X1323:AD1323)</f>
        <v>180.47785</v>
      </c>
      <c r="AF1323" s="39" t="n">
        <f aca="false">AE1323/(1-Resumo!$B$5)</f>
        <v>205.088465909091</v>
      </c>
      <c r="AG1323" s="39" t="n">
        <f aca="false">AF1323-W1323</f>
        <v>59.2646136363636</v>
      </c>
      <c r="AH1323" s="40" t="n">
        <f aca="false">AF1323/W1323-1</f>
        <v>0.406412344158375</v>
      </c>
      <c r="AI1323" s="37" t="str">
        <f aca="false">IF(AF1323&lt;W1323,"SIM","NÃO")</f>
        <v>NÃO</v>
      </c>
      <c r="AJ1323" s="37" t="n">
        <v>13</v>
      </c>
      <c r="AK1323" s="37" t="n">
        <v>10</v>
      </c>
      <c r="AL1323" s="37" t="s">
        <v>347</v>
      </c>
      <c r="AM1323" s="39" t="n">
        <v>143.77</v>
      </c>
    </row>
    <row r="1324" customFormat="false" ht="15" hidden="false" customHeight="false" outlineLevel="0" collapsed="false">
      <c r="A1324" s="37" t="n">
        <v>380304737</v>
      </c>
      <c r="B1324" s="38" t="n">
        <v>46255.9441898148</v>
      </c>
      <c r="C1324" s="37" t="s">
        <v>340</v>
      </c>
      <c r="D1324" s="37" t="s">
        <v>1576</v>
      </c>
      <c r="E1324" s="37" t="n">
        <v>27963111</v>
      </c>
      <c r="F1324" s="37" t="s">
        <v>166</v>
      </c>
      <c r="G1324" s="37" t="s">
        <v>198</v>
      </c>
      <c r="H1324" s="37" t="s">
        <v>190</v>
      </c>
      <c r="I1324" s="37" t="n">
        <v>82.7</v>
      </c>
      <c r="J1324" s="39" t="n">
        <v>979.99</v>
      </c>
      <c r="K1324" s="37" t="s">
        <v>342</v>
      </c>
      <c r="L1324" s="39" t="n">
        <v>193.3</v>
      </c>
      <c r="M1324" s="39" t="n">
        <v>109.63</v>
      </c>
      <c r="N1324" s="39" t="n">
        <f aca="false">J1324*Resumo!$C$6</f>
        <v>0</v>
      </c>
      <c r="O1324" s="39" t="n">
        <f aca="false">J1324*Resumo!$C$7</f>
        <v>2.057979</v>
      </c>
      <c r="P1324" s="39" t="n">
        <f aca="false">J1324*Resumo!$C$8</f>
        <v>2.057979</v>
      </c>
      <c r="Q1324" s="39" t="n">
        <f aca="false">Resumo!$C$10*CEILING(I1324/100,1)</f>
        <v>1.05</v>
      </c>
      <c r="R1324" s="39" t="n">
        <f aca="false">Resumo!$C$9</f>
        <v>0</v>
      </c>
      <c r="S1324" s="39" t="n">
        <f aca="false">Resumo!$C$13</f>
        <v>13.55</v>
      </c>
      <c r="T1324" s="39" t="n">
        <f aca="false">Resumo!$C$14*CEILING(I1324,1)</f>
        <v>37.35</v>
      </c>
      <c r="U1324" s="39" t="n">
        <f aca="false">SUM(M1324:T1324)*Resumo!$C$11</f>
        <v>0</v>
      </c>
      <c r="V1324" s="39" t="n">
        <f aca="false">SUM(M1324:U1324)</f>
        <v>165.695958</v>
      </c>
      <c r="W1324" s="39" t="n">
        <f aca="false">V1324/(1-Resumo!$C$5)</f>
        <v>188.290861363636</v>
      </c>
      <c r="X1324" s="39" t="n">
        <v>200.04</v>
      </c>
      <c r="Y1324" s="39" t="n">
        <f aca="false">J1324*Resumo!$B$6</f>
        <v>0.97999</v>
      </c>
      <c r="Z1324" s="39" t="n">
        <f aca="false">J1324*Resumo!$B$7</f>
        <v>1.95998</v>
      </c>
      <c r="AA1324" s="39" t="n">
        <f aca="false">Resumo!$B$9</f>
        <v>1</v>
      </c>
      <c r="AB1324" s="39" t="n">
        <f aca="false">Resumo!$B$10*CEILING(I1324/100,1)</f>
        <v>4.5</v>
      </c>
      <c r="AC1324" s="39" t="n">
        <f aca="false">Resumo!$B$12*CEILING(I1324,1)</f>
        <v>4.98</v>
      </c>
      <c r="AD1324" s="39" t="n">
        <f aca="false">Resumo!$B$14*CEILING(I1324,1)</f>
        <v>37.35</v>
      </c>
      <c r="AE1324" s="39" t="n">
        <f aca="false">SUM(X1324:AD1324)</f>
        <v>250.80997</v>
      </c>
      <c r="AF1324" s="39" t="n">
        <f aca="false">AE1324/(1-Resumo!$B$5)</f>
        <v>285.011329545455</v>
      </c>
      <c r="AG1324" s="39" t="n">
        <f aca="false">AF1324-W1324</f>
        <v>96.7204681818182</v>
      </c>
      <c r="AH1324" s="40" t="n">
        <f aca="false">AF1324/W1324-1</f>
        <v>0.513675849594352</v>
      </c>
      <c r="AI1324" s="37" t="str">
        <f aca="false">IF(AF1324&lt;W1324,"SIM","NÃO")</f>
        <v>NÃO</v>
      </c>
      <c r="AJ1324" s="37" t="n">
        <v>13</v>
      </c>
      <c r="AK1324" s="37" t="n">
        <v>11</v>
      </c>
      <c r="AL1324" s="37" t="s">
        <v>343</v>
      </c>
      <c r="AM1324" s="39" t="n">
        <v>193.29</v>
      </c>
    </row>
    <row r="1325" customFormat="false" ht="15" hidden="false" customHeight="false" outlineLevel="0" collapsed="false">
      <c r="A1325" s="37" t="n">
        <v>380351316</v>
      </c>
      <c r="B1325" s="38" t="n">
        <v>46256.0080324074</v>
      </c>
      <c r="C1325" s="37" t="s">
        <v>361</v>
      </c>
      <c r="D1325" s="37" t="s">
        <v>1577</v>
      </c>
      <c r="E1325" s="37" t="n">
        <v>23934010</v>
      </c>
      <c r="F1325" s="37" t="s">
        <v>169</v>
      </c>
      <c r="G1325" s="37" t="s">
        <v>198</v>
      </c>
      <c r="H1325" s="37" t="s">
        <v>185</v>
      </c>
      <c r="I1325" s="37" t="n">
        <v>36.8</v>
      </c>
      <c r="J1325" s="39" t="n">
        <v>475.99</v>
      </c>
      <c r="K1325" s="37" t="s">
        <v>342</v>
      </c>
      <c r="L1325" s="39" t="n">
        <v>122.52</v>
      </c>
      <c r="M1325" s="39" t="n">
        <v>74.97</v>
      </c>
      <c r="N1325" s="39" t="n">
        <f aca="false">J1325*Resumo!$C$6</f>
        <v>0</v>
      </c>
      <c r="O1325" s="39" t="n">
        <f aca="false">J1325*Resumo!$C$7</f>
        <v>0.999579</v>
      </c>
      <c r="P1325" s="39" t="n">
        <f aca="false">J1325*Resumo!$C$8</f>
        <v>0.999579</v>
      </c>
      <c r="Q1325" s="39" t="n">
        <f aca="false">Resumo!$C$10*CEILING(I1325/100,1)</f>
        <v>1.05</v>
      </c>
      <c r="R1325" s="39" t="n">
        <f aca="false">Resumo!$C$9</f>
        <v>0</v>
      </c>
      <c r="S1325" s="39" t="n">
        <f aca="false">Resumo!$C$13</f>
        <v>13.55</v>
      </c>
      <c r="T1325" s="39" t="n">
        <f aca="false">Resumo!$C$14*CEILING(I1325,1)</f>
        <v>16.65</v>
      </c>
      <c r="U1325" s="39" t="n">
        <f aca="false">SUM(M1325:T1325)*Resumo!$C$11</f>
        <v>0</v>
      </c>
      <c r="V1325" s="39" t="n">
        <f aca="false">SUM(M1325:U1325)</f>
        <v>108.219158</v>
      </c>
      <c r="W1325" s="39" t="n">
        <f aca="false">V1325/(1-Resumo!$C$5)</f>
        <v>122.976315909091</v>
      </c>
      <c r="X1325" s="39" t="n">
        <v>124.38</v>
      </c>
      <c r="Y1325" s="39" t="n">
        <f aca="false">J1325*Resumo!$B$6</f>
        <v>0.47599</v>
      </c>
      <c r="Z1325" s="39" t="n">
        <f aca="false">J1325*Resumo!$B$7</f>
        <v>0.95198</v>
      </c>
      <c r="AA1325" s="39" t="n">
        <f aca="false">Resumo!$B$9</f>
        <v>1</v>
      </c>
      <c r="AB1325" s="39" t="n">
        <f aca="false">Resumo!$B$10*CEILING(I1325/100,1)</f>
        <v>4.5</v>
      </c>
      <c r="AC1325" s="39" t="n">
        <f aca="false">Resumo!$B$12*CEILING(I1325,1)</f>
        <v>2.22</v>
      </c>
      <c r="AD1325" s="39" t="n">
        <f aca="false">Resumo!$B$14*CEILING(I1325,1)</f>
        <v>16.65</v>
      </c>
      <c r="AE1325" s="39" t="n">
        <f aca="false">SUM(X1325:AD1325)</f>
        <v>150.17797</v>
      </c>
      <c r="AF1325" s="39" t="n">
        <f aca="false">AE1325/(1-Resumo!$B$5)</f>
        <v>170.656784090909</v>
      </c>
      <c r="AG1325" s="39" t="n">
        <f aca="false">AF1325-W1325</f>
        <v>47.6804681818182</v>
      </c>
      <c r="AH1325" s="40" t="n">
        <f aca="false">AF1325/W1325-1</f>
        <v>0.387720739797292</v>
      </c>
      <c r="AI1325" s="37" t="str">
        <f aca="false">IF(AF1325&lt;W1325,"SIM","NÃO")</f>
        <v>NÃO</v>
      </c>
      <c r="AJ1325" s="37" t="n">
        <v>13</v>
      </c>
      <c r="AK1325" s="37" t="n">
        <v>10</v>
      </c>
      <c r="AL1325" s="37" t="s">
        <v>343</v>
      </c>
      <c r="AM1325" s="39" t="n">
        <v>122.53</v>
      </c>
    </row>
    <row r="1326" customFormat="false" ht="15" hidden="false" customHeight="false" outlineLevel="0" collapsed="false">
      <c r="A1326" s="37" t="n">
        <v>380372914</v>
      </c>
      <c r="B1326" s="38" t="n">
        <v>46256.0241203704</v>
      </c>
      <c r="C1326" s="37" t="s">
        <v>340</v>
      </c>
      <c r="D1326" s="37" t="s">
        <v>1578</v>
      </c>
      <c r="E1326" s="37" t="n">
        <v>25710130</v>
      </c>
      <c r="F1326" s="37" t="s">
        <v>170</v>
      </c>
      <c r="G1326" s="37" t="s">
        <v>198</v>
      </c>
      <c r="H1326" s="37" t="s">
        <v>187</v>
      </c>
      <c r="I1326" s="37" t="n">
        <v>52.3</v>
      </c>
      <c r="J1326" s="39" t="n">
        <v>669.99</v>
      </c>
      <c r="K1326" s="37" t="s">
        <v>342</v>
      </c>
      <c r="L1326" s="39" t="n">
        <v>142.87</v>
      </c>
      <c r="M1326" s="39" t="n">
        <v>83.58</v>
      </c>
      <c r="N1326" s="39" t="n">
        <f aca="false">J1326*Resumo!$C$6</f>
        <v>0</v>
      </c>
      <c r="O1326" s="39" t="n">
        <f aca="false">J1326*Resumo!$C$7</f>
        <v>1.406979</v>
      </c>
      <c r="P1326" s="39" t="n">
        <f aca="false">J1326*Resumo!$C$8</f>
        <v>1.406979</v>
      </c>
      <c r="Q1326" s="39" t="n">
        <f aca="false">Resumo!$C$10*CEILING(I1326/100,1)</f>
        <v>1.05</v>
      </c>
      <c r="R1326" s="39" t="n">
        <f aca="false">Resumo!$C$9</f>
        <v>0</v>
      </c>
      <c r="S1326" s="39" t="n">
        <f aca="false">Resumo!$C$13</f>
        <v>13.55</v>
      </c>
      <c r="T1326" s="39" t="n">
        <f aca="false">Resumo!$C$14*CEILING(I1326,1)</f>
        <v>23.85</v>
      </c>
      <c r="U1326" s="39" t="n">
        <f aca="false">SUM(M1326:T1326)*Resumo!$C$11</f>
        <v>0</v>
      </c>
      <c r="V1326" s="39" t="n">
        <f aca="false">SUM(M1326:U1326)</f>
        <v>124.843958</v>
      </c>
      <c r="W1326" s="39" t="n">
        <f aca="false">V1326/(1-Resumo!$C$5)</f>
        <v>141.868134090909</v>
      </c>
      <c r="X1326" s="39" t="n">
        <v>142.32</v>
      </c>
      <c r="Y1326" s="39" t="n">
        <f aca="false">J1326*Resumo!$B$6</f>
        <v>0.66999</v>
      </c>
      <c r="Z1326" s="39" t="n">
        <f aca="false">J1326*Resumo!$B$7</f>
        <v>1.33998</v>
      </c>
      <c r="AA1326" s="39" t="n">
        <f aca="false">Resumo!$B$9</f>
        <v>1</v>
      </c>
      <c r="AB1326" s="39" t="n">
        <f aca="false">Resumo!$B$10*CEILING(I1326/100,1)</f>
        <v>4.5</v>
      </c>
      <c r="AC1326" s="39" t="n">
        <f aca="false">Resumo!$B$12*CEILING(I1326,1)</f>
        <v>3.18</v>
      </c>
      <c r="AD1326" s="39" t="n">
        <f aca="false">Resumo!$B$14*CEILING(I1326,1)</f>
        <v>23.85</v>
      </c>
      <c r="AE1326" s="39" t="n">
        <f aca="false">SUM(X1326:AD1326)</f>
        <v>176.85997</v>
      </c>
      <c r="AF1326" s="39" t="n">
        <f aca="false">AE1326/(1-Resumo!$B$5)</f>
        <v>200.977238636364</v>
      </c>
      <c r="AG1326" s="39" t="n">
        <f aca="false">AF1326-W1326</f>
        <v>59.1091045454545</v>
      </c>
      <c r="AH1326" s="40" t="n">
        <f aca="false">AF1326/W1326-1</f>
        <v>0.416648212963578</v>
      </c>
      <c r="AI1326" s="37" t="str">
        <f aca="false">IF(AF1326&lt;W1326,"SIM","NÃO")</f>
        <v>NÃO</v>
      </c>
      <c r="AJ1326" s="37" t="n">
        <v>13</v>
      </c>
      <c r="AK1326" s="37" t="n">
        <v>8</v>
      </c>
      <c r="AL1326" s="37" t="s">
        <v>343</v>
      </c>
      <c r="AM1326" s="39" t="n">
        <v>142.88</v>
      </c>
    </row>
    <row r="1327" customFormat="false" ht="15" hidden="false" customHeight="false" outlineLevel="0" collapsed="false">
      <c r="A1327" s="37" t="n">
        <v>380506346</v>
      </c>
      <c r="B1327" s="38" t="n">
        <v>46256.246712963</v>
      </c>
      <c r="C1327" s="37" t="s">
        <v>340</v>
      </c>
      <c r="D1327" s="37" t="s">
        <v>749</v>
      </c>
      <c r="E1327" s="37" t="n">
        <v>20911300</v>
      </c>
      <c r="F1327" s="37" t="s">
        <v>159</v>
      </c>
      <c r="G1327" s="37" t="s">
        <v>196</v>
      </c>
      <c r="H1327" s="37" t="s">
        <v>187</v>
      </c>
      <c r="I1327" s="37" t="n">
        <v>60</v>
      </c>
      <c r="J1327" s="39" t="n">
        <v>793.29</v>
      </c>
      <c r="K1327" s="37" t="s">
        <v>342</v>
      </c>
      <c r="L1327" s="39" t="n">
        <v>114.95</v>
      </c>
      <c r="M1327" s="39" t="n">
        <v>58.6</v>
      </c>
      <c r="N1327" s="39" t="n">
        <f aca="false">J1327*Resumo!$C$6</f>
        <v>0</v>
      </c>
      <c r="O1327" s="39" t="n">
        <f aca="false">J1327*Resumo!$C$7</f>
        <v>1.665909</v>
      </c>
      <c r="P1327" s="39" t="n">
        <f aca="false">J1327*Resumo!$C$8</f>
        <v>1.665909</v>
      </c>
      <c r="Q1327" s="39" t="n">
        <f aca="false">Resumo!$C$10*CEILING(I1327/100,1)</f>
        <v>1.05</v>
      </c>
      <c r="R1327" s="39" t="n">
        <f aca="false">Resumo!$C$9</f>
        <v>0</v>
      </c>
      <c r="S1327" s="39" t="n">
        <f aca="false">Resumo!$C$13</f>
        <v>13.55</v>
      </c>
      <c r="T1327" s="39" t="n">
        <f aca="false">Resumo!$C$14*CEILING(I1327,1)</f>
        <v>27</v>
      </c>
      <c r="U1327" s="39" t="n">
        <f aca="false">SUM(M1327:T1327)*Resumo!$C$11</f>
        <v>0</v>
      </c>
      <c r="V1327" s="39" t="n">
        <f aca="false">SUM(M1327:U1327)</f>
        <v>103.531818</v>
      </c>
      <c r="W1327" s="39" t="n">
        <f aca="false">V1327/(1-Resumo!$C$5)</f>
        <v>117.649793181818</v>
      </c>
      <c r="X1327" s="39" t="n">
        <v>112.3</v>
      </c>
      <c r="Y1327" s="39" t="n">
        <f aca="false">J1327*Resumo!$B$6</f>
        <v>0.79329</v>
      </c>
      <c r="Z1327" s="39" t="n">
        <f aca="false">J1327*Resumo!$B$7</f>
        <v>1.58658</v>
      </c>
      <c r="AA1327" s="39" t="n">
        <f aca="false">Resumo!$B$9</f>
        <v>1</v>
      </c>
      <c r="AB1327" s="39" t="n">
        <f aca="false">Resumo!$B$10*CEILING(I1327/100,1)</f>
        <v>4.5</v>
      </c>
      <c r="AC1327" s="39" t="n">
        <f aca="false">Resumo!$B$12*CEILING(I1327,1)</f>
        <v>3.6</v>
      </c>
      <c r="AD1327" s="39" t="n">
        <f aca="false">Resumo!$B$14*CEILING(I1327,1)</f>
        <v>27</v>
      </c>
      <c r="AE1327" s="39" t="n">
        <f aca="false">SUM(X1327:AD1327)</f>
        <v>150.77987</v>
      </c>
      <c r="AF1327" s="39" t="n">
        <f aca="false">AE1327/(1-Resumo!$B$5)</f>
        <v>171.340761363636</v>
      </c>
      <c r="AG1327" s="39" t="n">
        <f aca="false">AF1327-W1327</f>
        <v>53.6909681818182</v>
      </c>
      <c r="AH1327" s="40" t="n">
        <f aca="false">AF1327/W1327-1</f>
        <v>0.456362622744633</v>
      </c>
      <c r="AI1327" s="37" t="str">
        <f aca="false">IF(AF1327&lt;W1327,"SIM","NÃO")</f>
        <v>NÃO</v>
      </c>
      <c r="AJ1327" s="37" t="n">
        <v>2</v>
      </c>
      <c r="AK1327" s="37" t="n">
        <v>5</v>
      </c>
      <c r="AL1327" s="37" t="s">
        <v>343</v>
      </c>
      <c r="AM1327" s="39" t="n">
        <v>114.95</v>
      </c>
    </row>
    <row r="1328" customFormat="false" ht="15" hidden="false" customHeight="false" outlineLevel="0" collapsed="false">
      <c r="A1328" s="37" t="n">
        <v>380552275</v>
      </c>
      <c r="B1328" s="38" t="n">
        <v>46256.335775463</v>
      </c>
      <c r="C1328" s="37" t="s">
        <v>361</v>
      </c>
      <c r="D1328" s="37" t="s">
        <v>1579</v>
      </c>
      <c r="E1328" s="37" t="n">
        <v>25030020</v>
      </c>
      <c r="F1328" s="37" t="s">
        <v>161</v>
      </c>
      <c r="G1328" s="37" t="s">
        <v>197</v>
      </c>
      <c r="H1328" s="37" t="s">
        <v>186</v>
      </c>
      <c r="I1328" s="37" t="n">
        <v>46.8</v>
      </c>
      <c r="J1328" s="39" t="n">
        <v>535.49</v>
      </c>
      <c r="K1328" s="37" t="s">
        <v>342</v>
      </c>
      <c r="L1328" s="39" t="n">
        <v>116.64</v>
      </c>
      <c r="M1328" s="39" t="n">
        <v>65.36</v>
      </c>
      <c r="N1328" s="39" t="n">
        <f aca="false">J1328*Resumo!$C$6</f>
        <v>0</v>
      </c>
      <c r="O1328" s="39" t="n">
        <f aca="false">J1328*Resumo!$C$7</f>
        <v>1.124529</v>
      </c>
      <c r="P1328" s="39" t="n">
        <f aca="false">J1328*Resumo!$C$8</f>
        <v>1.124529</v>
      </c>
      <c r="Q1328" s="39" t="n">
        <f aca="false">Resumo!$C$10*CEILING(I1328/100,1)</f>
        <v>1.05</v>
      </c>
      <c r="R1328" s="39" t="n">
        <f aca="false">Resumo!$C$9</f>
        <v>0</v>
      </c>
      <c r="S1328" s="39" t="n">
        <f aca="false">Resumo!$C$13</f>
        <v>13.55</v>
      </c>
      <c r="T1328" s="39" t="n">
        <f aca="false">Resumo!$C$14*CEILING(I1328,1)</f>
        <v>21.15</v>
      </c>
      <c r="U1328" s="39" t="n">
        <f aca="false">SUM(M1328:T1328)*Resumo!$C$11</f>
        <v>0</v>
      </c>
      <c r="V1328" s="39" t="n">
        <f aca="false">SUM(M1328:U1328)</f>
        <v>103.359058</v>
      </c>
      <c r="W1328" s="39" t="n">
        <f aca="false">V1328/(1-Resumo!$C$5)</f>
        <v>117.453475</v>
      </c>
      <c r="X1328" s="39" t="n">
        <v>93.97</v>
      </c>
      <c r="Y1328" s="39" t="n">
        <f aca="false">J1328*Resumo!$B$6</f>
        <v>0.53549</v>
      </c>
      <c r="Z1328" s="39" t="n">
        <f aca="false">J1328*Resumo!$B$7</f>
        <v>1.07098</v>
      </c>
      <c r="AA1328" s="39" t="n">
        <f aca="false">Resumo!$B$9</f>
        <v>1</v>
      </c>
      <c r="AB1328" s="39" t="n">
        <f aca="false">Resumo!$B$10*CEILING(I1328/100,1)</f>
        <v>4.5</v>
      </c>
      <c r="AC1328" s="39" t="n">
        <f aca="false">Resumo!$B$12*CEILING(I1328,1)</f>
        <v>2.82</v>
      </c>
      <c r="AD1328" s="39" t="n">
        <f aca="false">Resumo!$B$14*CEILING(I1328,1)</f>
        <v>21.15</v>
      </c>
      <c r="AE1328" s="39" t="n">
        <f aca="false">SUM(X1328:AD1328)</f>
        <v>125.04647</v>
      </c>
      <c r="AF1328" s="39" t="n">
        <f aca="false">AE1328/(1-Resumo!$B$5)</f>
        <v>142.098261363636</v>
      </c>
      <c r="AG1328" s="39" t="n">
        <f aca="false">AF1328-W1328</f>
        <v>24.6447863636364</v>
      </c>
      <c r="AH1328" s="40" t="n">
        <f aca="false">AF1328/W1328-1</f>
        <v>0.209825944814628</v>
      </c>
      <c r="AI1328" s="37" t="str">
        <f aca="false">IF(AF1328&lt;W1328,"SIM","NÃO")</f>
        <v>NÃO</v>
      </c>
      <c r="AJ1328" s="37" t="n">
        <v>2</v>
      </c>
      <c r="AK1328" s="37" t="n">
        <v>5</v>
      </c>
      <c r="AL1328" s="37" t="s">
        <v>343</v>
      </c>
      <c r="AM1328" s="39" t="n">
        <v>116.64</v>
      </c>
    </row>
    <row r="1329" customFormat="false" ht="15" hidden="false" customHeight="false" outlineLevel="0" collapsed="false">
      <c r="A1329" s="37" t="n">
        <v>380583142</v>
      </c>
      <c r="B1329" s="38" t="n">
        <v>46256.3650810185</v>
      </c>
      <c r="C1329" s="37" t="s">
        <v>340</v>
      </c>
      <c r="D1329" s="37" t="s">
        <v>1580</v>
      </c>
      <c r="E1329" s="37" t="n">
        <v>26415190</v>
      </c>
      <c r="F1329" s="37" t="s">
        <v>237</v>
      </c>
      <c r="G1329" s="37" t="s">
        <v>198</v>
      </c>
      <c r="H1329" s="37" t="s">
        <v>187</v>
      </c>
      <c r="I1329" s="37" t="n">
        <v>52.3</v>
      </c>
      <c r="J1329" s="39" t="n">
        <v>669.99</v>
      </c>
      <c r="K1329" s="37" t="s">
        <v>342</v>
      </c>
      <c r="L1329" s="39" t="n">
        <v>142.87</v>
      </c>
      <c r="M1329" s="39" t="n">
        <v>83.58</v>
      </c>
      <c r="N1329" s="39" t="n">
        <f aca="false">J1329*Resumo!$C$6</f>
        <v>0</v>
      </c>
      <c r="O1329" s="39" t="n">
        <f aca="false">J1329*Resumo!$C$7</f>
        <v>1.406979</v>
      </c>
      <c r="P1329" s="39" t="n">
        <f aca="false">J1329*Resumo!$C$8</f>
        <v>1.406979</v>
      </c>
      <c r="Q1329" s="39" t="n">
        <f aca="false">Resumo!$C$10*CEILING(I1329/100,1)</f>
        <v>1.05</v>
      </c>
      <c r="R1329" s="39" t="n">
        <f aca="false">Resumo!$C$9</f>
        <v>0</v>
      </c>
      <c r="S1329" s="39" t="n">
        <f aca="false">Resumo!$C$13</f>
        <v>13.55</v>
      </c>
      <c r="T1329" s="39" t="n">
        <f aca="false">Resumo!$C$14*CEILING(I1329,1)</f>
        <v>23.85</v>
      </c>
      <c r="U1329" s="39" t="n">
        <f aca="false">SUM(M1329:T1329)*Resumo!$C$11</f>
        <v>0</v>
      </c>
      <c r="V1329" s="39" t="n">
        <f aca="false">SUM(M1329:U1329)</f>
        <v>124.843958</v>
      </c>
      <c r="W1329" s="39" t="n">
        <f aca="false">V1329/(1-Resumo!$C$5)</f>
        <v>141.868134090909</v>
      </c>
      <c r="X1329" s="39" t="n">
        <v>112.3</v>
      </c>
      <c r="Y1329" s="39" t="n">
        <f aca="false">J1329*Resumo!$B$6</f>
        <v>0.66999</v>
      </c>
      <c r="Z1329" s="39" t="n">
        <f aca="false">J1329*Resumo!$B$7</f>
        <v>1.33998</v>
      </c>
      <c r="AA1329" s="39" t="n">
        <f aca="false">Resumo!$B$9</f>
        <v>1</v>
      </c>
      <c r="AB1329" s="39" t="n">
        <f aca="false">Resumo!$B$10*CEILING(I1329/100,1)</f>
        <v>4.5</v>
      </c>
      <c r="AC1329" s="39" t="n">
        <f aca="false">Resumo!$B$12*CEILING(I1329,1)</f>
        <v>3.18</v>
      </c>
      <c r="AD1329" s="39" t="n">
        <f aca="false">Resumo!$B$14*CEILING(I1329,1)</f>
        <v>23.85</v>
      </c>
      <c r="AE1329" s="39" t="n">
        <f aca="false">SUM(X1329:AD1329)</f>
        <v>146.83997</v>
      </c>
      <c r="AF1329" s="39" t="n">
        <f aca="false">AE1329/(1-Resumo!$B$5)</f>
        <v>166.863602272727</v>
      </c>
      <c r="AG1329" s="39" t="n">
        <f aca="false">AF1329-W1329</f>
        <v>24.9954681818182</v>
      </c>
      <c r="AH1329" s="40" t="n">
        <f aca="false">AF1329/W1329-1</f>
        <v>0.176188037870443</v>
      </c>
      <c r="AI1329" s="37" t="str">
        <f aca="false">IF(AF1329&lt;W1329,"SIM","NÃO")</f>
        <v>NÃO</v>
      </c>
      <c r="AJ1329" s="37" t="n">
        <v>13</v>
      </c>
      <c r="AK1329" s="37" t="n">
        <v>5</v>
      </c>
      <c r="AL1329" s="37" t="s">
        <v>347</v>
      </c>
      <c r="AM1329" s="39" t="n">
        <v>142.88</v>
      </c>
    </row>
    <row r="1330" customFormat="false" ht="15" hidden="false" customHeight="false" outlineLevel="0" collapsed="false">
      <c r="A1330" s="37" t="n">
        <v>380636156</v>
      </c>
      <c r="B1330" s="38" t="n">
        <v>46256.4240625</v>
      </c>
      <c r="C1330" s="37" t="s">
        <v>340</v>
      </c>
      <c r="D1330" s="37" t="s">
        <v>1581</v>
      </c>
      <c r="E1330" s="37" t="n">
        <v>26080030</v>
      </c>
      <c r="F1330" s="37" t="s">
        <v>162</v>
      </c>
      <c r="G1330" s="37" t="s">
        <v>197</v>
      </c>
      <c r="H1330" s="37" t="s">
        <v>184</v>
      </c>
      <c r="I1330" s="37" t="n">
        <v>33</v>
      </c>
      <c r="J1330" s="39" t="n">
        <v>1249.99</v>
      </c>
      <c r="K1330" s="37" t="s">
        <v>342</v>
      </c>
      <c r="L1330" s="39" t="n">
        <v>105.37</v>
      </c>
      <c r="M1330" s="39" t="n">
        <v>58.8</v>
      </c>
      <c r="N1330" s="39" t="n">
        <f aca="false">J1330*Resumo!$C$6</f>
        <v>0</v>
      </c>
      <c r="O1330" s="39" t="n">
        <f aca="false">J1330*Resumo!$C$7</f>
        <v>2.624979</v>
      </c>
      <c r="P1330" s="39" t="n">
        <f aca="false">J1330*Resumo!$C$8</f>
        <v>2.624979</v>
      </c>
      <c r="Q1330" s="39" t="n">
        <f aca="false">Resumo!$C$10*CEILING(I1330/100,1)</f>
        <v>1.05</v>
      </c>
      <c r="R1330" s="39" t="n">
        <f aca="false">Resumo!$C$9</f>
        <v>0</v>
      </c>
      <c r="S1330" s="39" t="n">
        <f aca="false">Resumo!$C$13</f>
        <v>13.55</v>
      </c>
      <c r="T1330" s="39" t="n">
        <f aca="false">Resumo!$C$14*CEILING(I1330,1)</f>
        <v>14.85</v>
      </c>
      <c r="U1330" s="39" t="n">
        <f aca="false">SUM(M1330:T1330)*Resumo!$C$11</f>
        <v>0</v>
      </c>
      <c r="V1330" s="39" t="n">
        <f aca="false">SUM(M1330:U1330)</f>
        <v>93.499958</v>
      </c>
      <c r="W1330" s="39" t="n">
        <f aca="false">V1330/(1-Resumo!$C$5)</f>
        <v>106.249952272727</v>
      </c>
      <c r="X1330" s="39" t="n">
        <v>82.21</v>
      </c>
      <c r="Y1330" s="39" t="n">
        <f aca="false">J1330*Resumo!$B$6</f>
        <v>1.24999</v>
      </c>
      <c r="Z1330" s="39" t="n">
        <f aca="false">J1330*Resumo!$B$7</f>
        <v>2.49998</v>
      </c>
      <c r="AA1330" s="39" t="n">
        <f aca="false">Resumo!$B$9</f>
        <v>1</v>
      </c>
      <c r="AB1330" s="39" t="n">
        <f aca="false">Resumo!$B$10*CEILING(I1330/100,1)</f>
        <v>4.5</v>
      </c>
      <c r="AC1330" s="39" t="n">
        <f aca="false">Resumo!$B$12*CEILING(I1330,1)</f>
        <v>1.98</v>
      </c>
      <c r="AD1330" s="39" t="n">
        <f aca="false">Resumo!$B$14*CEILING(I1330,1)</f>
        <v>14.85</v>
      </c>
      <c r="AE1330" s="39" t="n">
        <f aca="false">SUM(X1330:AD1330)</f>
        <v>108.28997</v>
      </c>
      <c r="AF1330" s="39" t="n">
        <f aca="false">AE1330/(1-Resumo!$B$5)</f>
        <v>123.056784090909</v>
      </c>
      <c r="AG1330" s="39" t="n">
        <f aca="false">AF1330-W1330</f>
        <v>16.8068318181818</v>
      </c>
      <c r="AH1330" s="40" t="n">
        <f aca="false">AF1330/W1330-1</f>
        <v>0.158182017579088</v>
      </c>
      <c r="AI1330" s="37" t="str">
        <f aca="false">IF(AF1330&lt;W1330,"SIM","NÃO")</f>
        <v>NÃO</v>
      </c>
      <c r="AJ1330" s="37" t="n">
        <v>2</v>
      </c>
      <c r="AK1330" s="37" t="n">
        <v>5</v>
      </c>
      <c r="AL1330" s="37" t="s">
        <v>343</v>
      </c>
      <c r="AM1330" s="39" t="n">
        <v>105.38</v>
      </c>
    </row>
    <row r="1331" customFormat="false" ht="15" hidden="false" customHeight="false" outlineLevel="0" collapsed="false">
      <c r="A1331" s="37" t="n">
        <v>380653909</v>
      </c>
      <c r="B1331" s="38" t="n">
        <v>46256.4431597222</v>
      </c>
      <c r="C1331" s="37" t="s">
        <v>340</v>
      </c>
      <c r="D1331" s="37" t="s">
        <v>1464</v>
      </c>
      <c r="E1331" s="37" t="n">
        <v>22211230</v>
      </c>
      <c r="F1331" s="37" t="s">
        <v>159</v>
      </c>
      <c r="G1331" s="37" t="s">
        <v>196</v>
      </c>
      <c r="H1331" s="37" t="s">
        <v>187</v>
      </c>
      <c r="I1331" s="37" t="n">
        <v>53.5</v>
      </c>
      <c r="J1331" s="39" t="n">
        <v>579.85</v>
      </c>
      <c r="K1331" s="37" t="s">
        <v>342</v>
      </c>
      <c r="L1331" s="39" t="n">
        <v>113.93</v>
      </c>
      <c r="M1331" s="39" t="n">
        <v>58.6</v>
      </c>
      <c r="N1331" s="39" t="n">
        <f aca="false">J1331*Resumo!$C$6</f>
        <v>0</v>
      </c>
      <c r="O1331" s="39" t="n">
        <f aca="false">J1331*Resumo!$C$7</f>
        <v>1.217685</v>
      </c>
      <c r="P1331" s="39" t="n">
        <f aca="false">J1331*Resumo!$C$8</f>
        <v>1.217685</v>
      </c>
      <c r="Q1331" s="39" t="n">
        <f aca="false">Resumo!$C$10*CEILING(I1331/100,1)</f>
        <v>1.05</v>
      </c>
      <c r="R1331" s="39" t="n">
        <f aca="false">Resumo!$C$9</f>
        <v>0</v>
      </c>
      <c r="S1331" s="39" t="n">
        <f aca="false">Resumo!$C$13</f>
        <v>13.55</v>
      </c>
      <c r="T1331" s="39" t="n">
        <f aca="false">Resumo!$C$14*CEILING(I1331,1)</f>
        <v>24.3</v>
      </c>
      <c r="U1331" s="39" t="n">
        <f aca="false">SUM(M1331:T1331)*Resumo!$C$11</f>
        <v>0</v>
      </c>
      <c r="V1331" s="39" t="n">
        <f aca="false">SUM(M1331:U1331)</f>
        <v>99.93537</v>
      </c>
      <c r="W1331" s="39" t="n">
        <f aca="false">V1331/(1-Resumo!$C$5)</f>
        <v>113.562920454545</v>
      </c>
      <c r="X1331" s="39" t="n">
        <v>112.3</v>
      </c>
      <c r="Y1331" s="39" t="n">
        <f aca="false">J1331*Resumo!$B$6</f>
        <v>0.57985</v>
      </c>
      <c r="Z1331" s="39" t="n">
        <f aca="false">J1331*Resumo!$B$7</f>
        <v>1.1597</v>
      </c>
      <c r="AA1331" s="39" t="n">
        <f aca="false">Resumo!$B$9</f>
        <v>1</v>
      </c>
      <c r="AB1331" s="39" t="n">
        <f aca="false">Resumo!$B$10*CEILING(I1331/100,1)</f>
        <v>4.5</v>
      </c>
      <c r="AC1331" s="39" t="n">
        <f aca="false">Resumo!$B$12*CEILING(I1331,1)</f>
        <v>3.24</v>
      </c>
      <c r="AD1331" s="39" t="n">
        <f aca="false">Resumo!$B$14*CEILING(I1331,1)</f>
        <v>24.3</v>
      </c>
      <c r="AE1331" s="39" t="n">
        <f aca="false">SUM(X1331:AD1331)</f>
        <v>147.07955</v>
      </c>
      <c r="AF1331" s="39" t="n">
        <f aca="false">AE1331/(1-Resumo!$B$5)</f>
        <v>167.135852272727</v>
      </c>
      <c r="AG1331" s="39" t="n">
        <f aca="false">AF1331-W1331</f>
        <v>53.5729318181818</v>
      </c>
      <c r="AH1331" s="40" t="n">
        <f aca="false">AF1331/W1331-1</f>
        <v>0.471746689885673</v>
      </c>
      <c r="AI1331" s="37" t="str">
        <f aca="false">IF(AF1331&lt;W1331,"SIM","NÃO")</f>
        <v>NÃO</v>
      </c>
      <c r="AJ1331" s="37" t="n">
        <v>2</v>
      </c>
      <c r="AK1331" s="37" t="n">
        <v>5</v>
      </c>
      <c r="AL1331" s="37" t="s">
        <v>343</v>
      </c>
      <c r="AM1331" s="39" t="n">
        <v>113.93</v>
      </c>
    </row>
    <row r="1332" customFormat="false" ht="15" hidden="false" customHeight="false" outlineLevel="0" collapsed="false">
      <c r="A1332" s="37" t="n">
        <v>380669212</v>
      </c>
      <c r="B1332" s="38" t="n">
        <v>46256.4595486111</v>
      </c>
      <c r="C1332" s="37" t="s">
        <v>345</v>
      </c>
      <c r="D1332" s="37" t="s">
        <v>1582</v>
      </c>
      <c r="E1332" s="37" t="n">
        <v>22040021</v>
      </c>
      <c r="F1332" s="37" t="s">
        <v>159</v>
      </c>
      <c r="G1332" s="37" t="s">
        <v>196</v>
      </c>
      <c r="H1332" s="37" t="s">
        <v>192</v>
      </c>
      <c r="I1332" s="37" t="n">
        <v>124.2</v>
      </c>
      <c r="J1332" s="39" t="n">
        <v>1526.91</v>
      </c>
      <c r="K1332" s="37" t="s">
        <v>342</v>
      </c>
      <c r="L1332" s="39" t="n">
        <v>233.6</v>
      </c>
      <c r="M1332" s="39" t="n">
        <v>120.59</v>
      </c>
      <c r="N1332" s="39" t="n">
        <f aca="false">J1332*Resumo!$C$6</f>
        <v>0</v>
      </c>
      <c r="O1332" s="39" t="n">
        <f aca="false">J1332*Resumo!$C$7</f>
        <v>3.206511</v>
      </c>
      <c r="P1332" s="39" t="n">
        <f aca="false">J1332*Resumo!$C$8</f>
        <v>3.206511</v>
      </c>
      <c r="Q1332" s="39" t="n">
        <f aca="false">Resumo!$C$10*CEILING(I1332/100,1)</f>
        <v>2.1</v>
      </c>
      <c r="R1332" s="39" t="n">
        <f aca="false">Resumo!$C$9</f>
        <v>0</v>
      </c>
      <c r="S1332" s="39" t="n">
        <f aca="false">Resumo!$C$13</f>
        <v>13.55</v>
      </c>
      <c r="T1332" s="39" t="n">
        <f aca="false">Resumo!$C$14*CEILING(I1332,1)</f>
        <v>56.25</v>
      </c>
      <c r="U1332" s="39" t="n">
        <f aca="false">SUM(M1332:T1332)*Resumo!$C$11</f>
        <v>0</v>
      </c>
      <c r="V1332" s="39" t="n">
        <f aca="false">SUM(M1332:U1332)</f>
        <v>198.903022</v>
      </c>
      <c r="W1332" s="39" t="n">
        <f aca="false">V1332/(1-Resumo!$C$5)</f>
        <v>226.026161363636</v>
      </c>
      <c r="X1332" s="39" t="n">
        <v>239.25</v>
      </c>
      <c r="Y1332" s="39" t="n">
        <f aca="false">J1332*Resumo!$B$6</f>
        <v>1.52691</v>
      </c>
      <c r="Z1332" s="39" t="n">
        <f aca="false">J1332*Resumo!$B$7</f>
        <v>3.05382</v>
      </c>
      <c r="AA1332" s="39" t="n">
        <f aca="false">Resumo!$B$9</f>
        <v>1</v>
      </c>
      <c r="AB1332" s="39" t="n">
        <f aca="false">Resumo!$B$10*CEILING(I1332/100,1)</f>
        <v>9</v>
      </c>
      <c r="AC1332" s="39" t="n">
        <f aca="false">Resumo!$B$12*CEILING(I1332,1)</f>
        <v>7.5</v>
      </c>
      <c r="AD1332" s="39" t="n">
        <f aca="false">Resumo!$B$14*CEILING(I1332,1)</f>
        <v>56.25</v>
      </c>
      <c r="AE1332" s="39" t="n">
        <f aca="false">SUM(X1332:AD1332)</f>
        <v>317.58073</v>
      </c>
      <c r="AF1332" s="39" t="n">
        <f aca="false">AE1332/(1-Resumo!$B$5)</f>
        <v>360.887193181818</v>
      </c>
      <c r="AG1332" s="39" t="n">
        <f aca="false">AF1332-W1332</f>
        <v>134.861031818182</v>
      </c>
      <c r="AH1332" s="40" t="n">
        <f aca="false">AF1332/W1332-1</f>
        <v>0.596661160834449</v>
      </c>
      <c r="AI1332" s="37" t="str">
        <f aca="false">IF(AF1332&lt;W1332,"SIM","NÃO")</f>
        <v>NÃO</v>
      </c>
      <c r="AJ1332" s="37" t="n">
        <v>2</v>
      </c>
      <c r="AK1332" s="37" t="n">
        <v>5</v>
      </c>
      <c r="AL1332" s="37" t="s">
        <v>343</v>
      </c>
      <c r="AM1332" s="39" t="n">
        <v>233.61</v>
      </c>
    </row>
    <row r="1333" customFormat="false" ht="15" hidden="false" customHeight="false" outlineLevel="0" collapsed="false">
      <c r="A1333" s="37" t="n">
        <v>380770116</v>
      </c>
      <c r="B1333" s="38" t="n">
        <v>46256.4829513889</v>
      </c>
      <c r="C1333" s="37" t="s">
        <v>345</v>
      </c>
      <c r="D1333" s="37" t="s">
        <v>1583</v>
      </c>
      <c r="E1333" s="37" t="n">
        <v>27283260</v>
      </c>
      <c r="F1333" s="37" t="s">
        <v>168</v>
      </c>
      <c r="G1333" s="37" t="s">
        <v>198</v>
      </c>
      <c r="H1333" s="37" t="s">
        <v>185</v>
      </c>
      <c r="I1333" s="37" t="n">
        <v>35.3</v>
      </c>
      <c r="J1333" s="39" t="n">
        <v>443.95</v>
      </c>
      <c r="K1333" s="37" t="s">
        <v>342</v>
      </c>
      <c r="L1333" s="39" t="n">
        <v>122.38</v>
      </c>
      <c r="M1333" s="39" t="n">
        <v>74.97</v>
      </c>
      <c r="N1333" s="39" t="n">
        <f aca="false">J1333*Resumo!$C$6</f>
        <v>0</v>
      </c>
      <c r="O1333" s="39" t="n">
        <f aca="false">J1333*Resumo!$C$7</f>
        <v>0.932295</v>
      </c>
      <c r="P1333" s="39" t="n">
        <f aca="false">J1333*Resumo!$C$8</f>
        <v>0.932295</v>
      </c>
      <c r="Q1333" s="39" t="n">
        <f aca="false">Resumo!$C$10*CEILING(I1333/100,1)</f>
        <v>1.05</v>
      </c>
      <c r="R1333" s="39" t="n">
        <f aca="false">Resumo!$C$9</f>
        <v>0</v>
      </c>
      <c r="S1333" s="39" t="n">
        <f aca="false">Resumo!$C$13</f>
        <v>13.55</v>
      </c>
      <c r="T1333" s="39" t="n">
        <f aca="false">Resumo!$C$14*CEILING(I1333,1)</f>
        <v>16.2</v>
      </c>
      <c r="U1333" s="39" t="n">
        <f aca="false">SUM(M1333:T1333)*Resumo!$C$11</f>
        <v>0</v>
      </c>
      <c r="V1333" s="39" t="n">
        <f aca="false">SUM(M1333:U1333)</f>
        <v>107.63459</v>
      </c>
      <c r="W1333" s="39" t="n">
        <f aca="false">V1333/(1-Resumo!$C$5)</f>
        <v>122.312034090909</v>
      </c>
      <c r="X1333" s="39" t="n">
        <v>124.38</v>
      </c>
      <c r="Y1333" s="39" t="n">
        <f aca="false">J1333*Resumo!$B$6</f>
        <v>0.44395</v>
      </c>
      <c r="Z1333" s="39" t="n">
        <f aca="false">J1333*Resumo!$B$7</f>
        <v>0.8879</v>
      </c>
      <c r="AA1333" s="39" t="n">
        <f aca="false">Resumo!$B$9</f>
        <v>1</v>
      </c>
      <c r="AB1333" s="39" t="n">
        <f aca="false">Resumo!$B$10*CEILING(I1333/100,1)</f>
        <v>4.5</v>
      </c>
      <c r="AC1333" s="39" t="n">
        <f aca="false">Resumo!$B$12*CEILING(I1333,1)</f>
        <v>2.16</v>
      </c>
      <c r="AD1333" s="39" t="n">
        <f aca="false">Resumo!$B$14*CEILING(I1333,1)</f>
        <v>16.2</v>
      </c>
      <c r="AE1333" s="39" t="n">
        <f aca="false">SUM(X1333:AD1333)</f>
        <v>149.57185</v>
      </c>
      <c r="AF1333" s="39" t="n">
        <f aca="false">AE1333/(1-Resumo!$B$5)</f>
        <v>169.968011363636</v>
      </c>
      <c r="AG1333" s="39" t="n">
        <f aca="false">AF1333-W1333</f>
        <v>47.6559772727273</v>
      </c>
      <c r="AH1333" s="40" t="n">
        <f aca="false">AF1333/W1333-1</f>
        <v>0.389626234466076</v>
      </c>
      <c r="AI1333" s="37" t="str">
        <f aca="false">IF(AF1333&lt;W1333,"SIM","NÃO")</f>
        <v>NÃO</v>
      </c>
      <c r="AJ1333" s="37" t="n">
        <v>13</v>
      </c>
      <c r="AK1333" s="37" t="n">
        <v>10</v>
      </c>
      <c r="AL1333" s="37" t="s">
        <v>343</v>
      </c>
      <c r="AM1333" s="39" t="n">
        <v>122.37</v>
      </c>
    </row>
    <row r="1334" customFormat="false" ht="15" hidden="false" customHeight="false" outlineLevel="0" collapsed="false">
      <c r="A1334" s="37" t="n">
        <v>379960014</v>
      </c>
      <c r="B1334" s="38" t="n">
        <v>46256.4954861111</v>
      </c>
      <c r="C1334" s="37" t="s">
        <v>361</v>
      </c>
      <c r="D1334" s="37" t="s">
        <v>1584</v>
      </c>
      <c r="E1334" s="37" t="n">
        <v>22733510</v>
      </c>
      <c r="F1334" s="37" t="s">
        <v>159</v>
      </c>
      <c r="G1334" s="37" t="s">
        <v>196</v>
      </c>
      <c r="H1334" s="37" t="s">
        <v>185</v>
      </c>
      <c r="I1334" s="37" t="n">
        <v>37.2</v>
      </c>
      <c r="J1334" s="39" t="n">
        <v>433.49</v>
      </c>
      <c r="K1334" s="37" t="s">
        <v>342</v>
      </c>
      <c r="L1334" s="39" t="n">
        <v>91.94</v>
      </c>
      <c r="M1334" s="39" t="n">
        <v>48.35</v>
      </c>
      <c r="N1334" s="39" t="n">
        <f aca="false">J1334*Resumo!$C$6</f>
        <v>0</v>
      </c>
      <c r="O1334" s="39" t="n">
        <f aca="false">J1334*Resumo!$C$7</f>
        <v>0.910329</v>
      </c>
      <c r="P1334" s="39" t="n">
        <f aca="false">J1334*Resumo!$C$8</f>
        <v>0.910329</v>
      </c>
      <c r="Q1334" s="39" t="n">
        <f aca="false">Resumo!$C$10*CEILING(I1334/100,1)</f>
        <v>1.05</v>
      </c>
      <c r="R1334" s="39" t="n">
        <f aca="false">Resumo!$C$9</f>
        <v>0</v>
      </c>
      <c r="S1334" s="39" t="n">
        <f aca="false">Resumo!$C$13</f>
        <v>13.55</v>
      </c>
      <c r="T1334" s="39" t="n">
        <f aca="false">Resumo!$C$14*CEILING(I1334,1)</f>
        <v>17.1</v>
      </c>
      <c r="U1334" s="39" t="n">
        <f aca="false">SUM(M1334:T1334)*Resumo!$C$11</f>
        <v>0</v>
      </c>
      <c r="V1334" s="39" t="n">
        <f aca="false">SUM(M1334:U1334)</f>
        <v>81.870658</v>
      </c>
      <c r="W1334" s="39" t="n">
        <f aca="false">V1334/(1-Resumo!$C$5)</f>
        <v>93.0348386363636</v>
      </c>
      <c r="X1334" s="39" t="n">
        <v>93.97</v>
      </c>
      <c r="Y1334" s="39" t="n">
        <f aca="false">J1334*Resumo!$B$6</f>
        <v>0.43349</v>
      </c>
      <c r="Z1334" s="39" t="n">
        <f aca="false">J1334*Resumo!$B$7</f>
        <v>0.86698</v>
      </c>
      <c r="AA1334" s="39" t="n">
        <f aca="false">Resumo!$B$9</f>
        <v>1</v>
      </c>
      <c r="AB1334" s="39" t="n">
        <f aca="false">Resumo!$B$10*CEILING(I1334/100,1)</f>
        <v>4.5</v>
      </c>
      <c r="AC1334" s="39" t="n">
        <f aca="false">Resumo!$B$12*CEILING(I1334,1)</f>
        <v>2.28</v>
      </c>
      <c r="AD1334" s="39" t="n">
        <f aca="false">Resumo!$B$14*CEILING(I1334,1)</f>
        <v>17.1</v>
      </c>
      <c r="AE1334" s="39" t="n">
        <f aca="false">SUM(X1334:AD1334)</f>
        <v>120.15047</v>
      </c>
      <c r="AF1334" s="39" t="n">
        <f aca="false">AE1334/(1-Resumo!$B$5)</f>
        <v>136.534625</v>
      </c>
      <c r="AG1334" s="39" t="n">
        <f aca="false">AF1334-W1334</f>
        <v>43.4997863636364</v>
      </c>
      <c r="AH1334" s="40" t="n">
        <f aca="false">AF1334/W1334-1</f>
        <v>0.467564484457912</v>
      </c>
      <c r="AI1334" s="37" t="str">
        <f aca="false">IF(AF1334&lt;W1334,"SIM","NÃO")</f>
        <v>NÃO</v>
      </c>
      <c r="AJ1334" s="37" t="n">
        <v>2</v>
      </c>
      <c r="AK1334" s="37" t="n">
        <v>5</v>
      </c>
      <c r="AL1334" s="37" t="s">
        <v>343</v>
      </c>
      <c r="AM1334" s="39" t="n">
        <v>91.93</v>
      </c>
    </row>
    <row r="1335" customFormat="false" ht="15" hidden="false" customHeight="false" outlineLevel="0" collapsed="false">
      <c r="A1335" s="37" t="n">
        <v>380707784</v>
      </c>
      <c r="B1335" s="38" t="n">
        <v>46256.5102546296</v>
      </c>
      <c r="C1335" s="37" t="s">
        <v>340</v>
      </c>
      <c r="D1335" s="37" t="s">
        <v>392</v>
      </c>
      <c r="E1335" s="37" t="n">
        <v>22753031</v>
      </c>
      <c r="F1335" s="37" t="s">
        <v>159</v>
      </c>
      <c r="G1335" s="37" t="s">
        <v>196</v>
      </c>
      <c r="H1335" s="37" t="s">
        <v>184</v>
      </c>
      <c r="I1335" s="37" t="n">
        <v>27</v>
      </c>
      <c r="J1335" s="39" t="n">
        <v>329.99</v>
      </c>
      <c r="K1335" s="37" t="s">
        <v>342</v>
      </c>
      <c r="L1335" s="39" t="n">
        <v>81.91</v>
      </c>
      <c r="M1335" s="39" t="n">
        <v>42.11</v>
      </c>
      <c r="N1335" s="39" t="n">
        <f aca="false">J1335*Resumo!$C$6</f>
        <v>0</v>
      </c>
      <c r="O1335" s="39" t="n">
        <f aca="false">J1335*Resumo!$C$7</f>
        <v>0.692979</v>
      </c>
      <c r="P1335" s="39" t="n">
        <f aca="false">J1335*Resumo!$C$8</f>
        <v>0.692979</v>
      </c>
      <c r="Q1335" s="39" t="n">
        <f aca="false">Resumo!$C$10*CEILING(I1335/100,1)</f>
        <v>1.05</v>
      </c>
      <c r="R1335" s="39" t="n">
        <f aca="false">Resumo!$C$9</f>
        <v>0</v>
      </c>
      <c r="S1335" s="39" t="n">
        <f aca="false">Resumo!$C$13</f>
        <v>13.55</v>
      </c>
      <c r="T1335" s="39" t="n">
        <f aca="false">Resumo!$C$14*CEILING(I1335,1)</f>
        <v>12.15</v>
      </c>
      <c r="U1335" s="39" t="n">
        <f aca="false">SUM(M1335:T1335)*Resumo!$C$11</f>
        <v>0</v>
      </c>
      <c r="V1335" s="39" t="n">
        <f aca="false">SUM(M1335:U1335)</f>
        <v>70.245958</v>
      </c>
      <c r="W1335" s="39" t="n">
        <f aca="false">V1335/(1-Resumo!$C$5)</f>
        <v>79.8249522727273</v>
      </c>
      <c r="X1335" s="39" t="n">
        <v>82.21</v>
      </c>
      <c r="Y1335" s="39" t="n">
        <f aca="false">J1335*Resumo!$B$6</f>
        <v>0.32999</v>
      </c>
      <c r="Z1335" s="39" t="n">
        <f aca="false">J1335*Resumo!$B$7</f>
        <v>0.65998</v>
      </c>
      <c r="AA1335" s="39" t="n">
        <f aca="false">Resumo!$B$9</f>
        <v>1</v>
      </c>
      <c r="AB1335" s="39" t="n">
        <f aca="false">Resumo!$B$10*CEILING(I1335/100,1)</f>
        <v>4.5</v>
      </c>
      <c r="AC1335" s="39" t="n">
        <f aca="false">Resumo!$B$12*CEILING(I1335,1)</f>
        <v>1.62</v>
      </c>
      <c r="AD1335" s="39" t="n">
        <f aca="false">Resumo!$B$14*CEILING(I1335,1)</f>
        <v>12.15</v>
      </c>
      <c r="AE1335" s="39" t="n">
        <f aca="false">SUM(X1335:AD1335)</f>
        <v>102.46997</v>
      </c>
      <c r="AF1335" s="39" t="n">
        <f aca="false">AE1335/(1-Resumo!$B$5)</f>
        <v>116.443147727273</v>
      </c>
      <c r="AG1335" s="39" t="n">
        <f aca="false">AF1335-W1335</f>
        <v>36.6181954545455</v>
      </c>
      <c r="AH1335" s="40" t="n">
        <f aca="false">AF1335/W1335-1</f>
        <v>0.458731191337728</v>
      </c>
      <c r="AI1335" s="37" t="str">
        <f aca="false">IF(AF1335&lt;W1335,"SIM","NÃO")</f>
        <v>NÃO</v>
      </c>
      <c r="AJ1335" s="37" t="n">
        <v>2</v>
      </c>
      <c r="AK1335" s="37" t="n">
        <v>5</v>
      </c>
      <c r="AL1335" s="37" t="s">
        <v>343</v>
      </c>
      <c r="AM1335" s="39" t="n">
        <v>81.91</v>
      </c>
    </row>
    <row r="1336" customFormat="false" ht="15" hidden="false" customHeight="false" outlineLevel="0" collapsed="false">
      <c r="A1336" s="37" t="n">
        <v>380707787</v>
      </c>
      <c r="B1336" s="38" t="n">
        <v>46256.5102546296</v>
      </c>
      <c r="C1336" s="37" t="s">
        <v>340</v>
      </c>
      <c r="D1336" s="37" t="s">
        <v>392</v>
      </c>
      <c r="E1336" s="37" t="n">
        <v>22753031</v>
      </c>
      <c r="F1336" s="37" t="s">
        <v>159</v>
      </c>
      <c r="G1336" s="37" t="s">
        <v>196</v>
      </c>
      <c r="H1336" s="37" t="s">
        <v>184</v>
      </c>
      <c r="I1336" s="37" t="n">
        <v>27.5</v>
      </c>
      <c r="J1336" s="39" t="n">
        <v>369.99</v>
      </c>
      <c r="K1336" s="37" t="s">
        <v>342</v>
      </c>
      <c r="L1336" s="39" t="n">
        <v>82.1</v>
      </c>
      <c r="M1336" s="39" t="n">
        <v>42.11</v>
      </c>
      <c r="N1336" s="39" t="n">
        <f aca="false">J1336*Resumo!$C$6</f>
        <v>0</v>
      </c>
      <c r="O1336" s="39" t="n">
        <f aca="false">J1336*Resumo!$C$7</f>
        <v>0.776979</v>
      </c>
      <c r="P1336" s="39" t="n">
        <f aca="false">J1336*Resumo!$C$8</f>
        <v>0.776979</v>
      </c>
      <c r="Q1336" s="39" t="n">
        <f aca="false">Resumo!$C$10*CEILING(I1336/100,1)</f>
        <v>1.05</v>
      </c>
      <c r="R1336" s="39" t="n">
        <f aca="false">Resumo!$C$9</f>
        <v>0</v>
      </c>
      <c r="S1336" s="39" t="n">
        <f aca="false">Resumo!$C$13</f>
        <v>13.55</v>
      </c>
      <c r="T1336" s="39" t="n">
        <f aca="false">Resumo!$C$14*CEILING(I1336,1)</f>
        <v>12.6</v>
      </c>
      <c r="U1336" s="39" t="n">
        <f aca="false">SUM(M1336:T1336)*Resumo!$C$11</f>
        <v>0</v>
      </c>
      <c r="V1336" s="39" t="n">
        <f aca="false">SUM(M1336:U1336)</f>
        <v>70.863958</v>
      </c>
      <c r="W1336" s="39" t="n">
        <f aca="false">V1336/(1-Resumo!$C$5)</f>
        <v>80.527225</v>
      </c>
      <c r="X1336" s="39" t="n">
        <v>82.21</v>
      </c>
      <c r="Y1336" s="39" t="n">
        <f aca="false">J1336*Resumo!$B$6</f>
        <v>0.36999</v>
      </c>
      <c r="Z1336" s="39" t="n">
        <f aca="false">J1336*Resumo!$B$7</f>
        <v>0.73998</v>
      </c>
      <c r="AA1336" s="39" t="n">
        <f aca="false">Resumo!$B$9</f>
        <v>1</v>
      </c>
      <c r="AB1336" s="39" t="n">
        <f aca="false">Resumo!$B$10*CEILING(I1336/100,1)</f>
        <v>4.5</v>
      </c>
      <c r="AC1336" s="39" t="n">
        <f aca="false">Resumo!$B$12*CEILING(I1336,1)</f>
        <v>1.68</v>
      </c>
      <c r="AD1336" s="39" t="n">
        <f aca="false">Resumo!$B$14*CEILING(I1336,1)</f>
        <v>12.6</v>
      </c>
      <c r="AE1336" s="39" t="n">
        <f aca="false">SUM(X1336:AD1336)</f>
        <v>103.09997</v>
      </c>
      <c r="AF1336" s="39" t="n">
        <f aca="false">AE1336/(1-Resumo!$B$5)</f>
        <v>117.159056818182</v>
      </c>
      <c r="AG1336" s="39" t="n">
        <f aca="false">AF1336-W1336</f>
        <v>36.6318318181818</v>
      </c>
      <c r="AH1336" s="40" t="n">
        <f aca="false">AF1336/W1336-1</f>
        <v>0.454899964802982</v>
      </c>
      <c r="AI1336" s="37" t="str">
        <f aca="false">IF(AF1336&lt;W1336,"SIM","NÃO")</f>
        <v>NÃO</v>
      </c>
      <c r="AJ1336" s="37" t="n">
        <v>2</v>
      </c>
      <c r="AK1336" s="37" t="n">
        <v>5</v>
      </c>
      <c r="AL1336" s="37" t="s">
        <v>343</v>
      </c>
      <c r="AM1336" s="39" t="n">
        <v>82.1</v>
      </c>
    </row>
    <row r="1337" customFormat="false" ht="15" hidden="false" customHeight="false" outlineLevel="0" collapsed="false">
      <c r="A1337" s="37" t="n">
        <v>380714662</v>
      </c>
      <c r="B1337" s="38" t="n">
        <v>46256.5217013889</v>
      </c>
      <c r="C1337" s="37" t="s">
        <v>372</v>
      </c>
      <c r="D1337" s="37" t="s">
        <v>1585</v>
      </c>
      <c r="E1337" s="37" t="n">
        <v>20770270</v>
      </c>
      <c r="F1337" s="37" t="s">
        <v>159</v>
      </c>
      <c r="G1337" s="37" t="s">
        <v>196</v>
      </c>
      <c r="H1337" s="37" t="s">
        <v>187</v>
      </c>
      <c r="I1337" s="37" t="n">
        <v>52.3</v>
      </c>
      <c r="J1337" s="39" t="n">
        <v>719.99</v>
      </c>
      <c r="K1337" s="37" t="s">
        <v>342</v>
      </c>
      <c r="L1337" s="39" t="n">
        <v>114.6</v>
      </c>
      <c r="M1337" s="39" t="n">
        <v>58.6</v>
      </c>
      <c r="N1337" s="39" t="n">
        <f aca="false">J1337*Resumo!$C$6</f>
        <v>0</v>
      </c>
      <c r="O1337" s="39" t="n">
        <f aca="false">J1337*Resumo!$C$7</f>
        <v>1.511979</v>
      </c>
      <c r="P1337" s="39" t="n">
        <f aca="false">J1337*Resumo!$C$8</f>
        <v>1.511979</v>
      </c>
      <c r="Q1337" s="39" t="n">
        <f aca="false">Resumo!$C$10*CEILING(I1337/100,1)</f>
        <v>1.05</v>
      </c>
      <c r="R1337" s="39" t="n">
        <f aca="false">Resumo!$C$9</f>
        <v>0</v>
      </c>
      <c r="S1337" s="39" t="n">
        <f aca="false">Resumo!$C$13</f>
        <v>13.55</v>
      </c>
      <c r="T1337" s="39" t="n">
        <f aca="false">Resumo!$C$14*CEILING(I1337,1)</f>
        <v>23.85</v>
      </c>
      <c r="U1337" s="39" t="n">
        <f aca="false">SUM(M1337:T1337)*Resumo!$C$11</f>
        <v>0</v>
      </c>
      <c r="V1337" s="39" t="n">
        <f aca="false">SUM(M1337:U1337)</f>
        <v>100.073958</v>
      </c>
      <c r="W1337" s="39" t="n">
        <f aca="false">V1337/(1-Resumo!$C$5)</f>
        <v>113.720406818182</v>
      </c>
      <c r="X1337" s="39" t="n">
        <v>112.3</v>
      </c>
      <c r="Y1337" s="39" t="n">
        <f aca="false">J1337*Resumo!$B$6</f>
        <v>0.71999</v>
      </c>
      <c r="Z1337" s="39" t="n">
        <f aca="false">J1337*Resumo!$B$7</f>
        <v>1.43998</v>
      </c>
      <c r="AA1337" s="39" t="n">
        <f aca="false">Resumo!$B$9</f>
        <v>1</v>
      </c>
      <c r="AB1337" s="39" t="n">
        <f aca="false">Resumo!$B$10*CEILING(I1337/100,1)</f>
        <v>4.5</v>
      </c>
      <c r="AC1337" s="39" t="n">
        <f aca="false">Resumo!$B$12*CEILING(I1337,1)</f>
        <v>3.18</v>
      </c>
      <c r="AD1337" s="39" t="n">
        <f aca="false">Resumo!$B$14*CEILING(I1337,1)</f>
        <v>23.85</v>
      </c>
      <c r="AE1337" s="39" t="n">
        <f aca="false">SUM(X1337:AD1337)</f>
        <v>146.98997</v>
      </c>
      <c r="AF1337" s="39" t="n">
        <f aca="false">AE1337/(1-Resumo!$B$5)</f>
        <v>167.034056818182</v>
      </c>
      <c r="AG1337" s="39" t="n">
        <f aca="false">AF1337-W1337</f>
        <v>53.31365</v>
      </c>
      <c r="AH1337" s="40" t="n">
        <f aca="false">AF1337/W1337-1</f>
        <v>0.468813394989334</v>
      </c>
      <c r="AI1337" s="37" t="str">
        <f aca="false">IF(AF1337&lt;W1337,"SIM","NÃO")</f>
        <v>NÃO</v>
      </c>
      <c r="AJ1337" s="37" t="n">
        <v>2</v>
      </c>
      <c r="AK1337" s="37" t="n">
        <v>5</v>
      </c>
      <c r="AL1337" s="37" t="s">
        <v>343</v>
      </c>
      <c r="AM1337" s="39" t="n">
        <v>114.6</v>
      </c>
    </row>
    <row r="1338" customFormat="false" ht="15" hidden="false" customHeight="false" outlineLevel="0" collapsed="false">
      <c r="A1338" s="37" t="n">
        <v>380734980</v>
      </c>
      <c r="B1338" s="38" t="n">
        <v>46256.5555787037</v>
      </c>
      <c r="C1338" s="37" t="s">
        <v>340</v>
      </c>
      <c r="D1338" s="37" t="s">
        <v>1586</v>
      </c>
      <c r="E1338" s="37" t="n">
        <v>23097604</v>
      </c>
      <c r="F1338" s="37" t="s">
        <v>159</v>
      </c>
      <c r="G1338" s="37" t="s">
        <v>196</v>
      </c>
      <c r="H1338" s="37" t="s">
        <v>188</v>
      </c>
      <c r="I1338" s="37" t="n">
        <v>66.8</v>
      </c>
      <c r="J1338" s="39" t="n">
        <v>699.99</v>
      </c>
      <c r="K1338" s="37" t="s">
        <v>342</v>
      </c>
      <c r="L1338" s="39" t="n">
        <v>124.56</v>
      </c>
      <c r="M1338" s="39" t="n">
        <v>63.21</v>
      </c>
      <c r="N1338" s="39" t="n">
        <f aca="false">J1338*Resumo!$C$6</f>
        <v>0</v>
      </c>
      <c r="O1338" s="39" t="n">
        <f aca="false">J1338*Resumo!$C$7</f>
        <v>1.469979</v>
      </c>
      <c r="P1338" s="39" t="n">
        <f aca="false">J1338*Resumo!$C$8</f>
        <v>1.469979</v>
      </c>
      <c r="Q1338" s="39" t="n">
        <f aca="false">Resumo!$C$10*CEILING(I1338/100,1)</f>
        <v>1.05</v>
      </c>
      <c r="R1338" s="39" t="n">
        <f aca="false">Resumo!$C$9</f>
        <v>0</v>
      </c>
      <c r="S1338" s="39" t="n">
        <f aca="false">Resumo!$C$13</f>
        <v>13.55</v>
      </c>
      <c r="T1338" s="39" t="n">
        <f aca="false">Resumo!$C$14*CEILING(I1338,1)</f>
        <v>30.15</v>
      </c>
      <c r="U1338" s="39" t="n">
        <f aca="false">SUM(M1338:T1338)*Resumo!$C$11</f>
        <v>0</v>
      </c>
      <c r="V1338" s="39" t="n">
        <f aca="false">SUM(M1338:U1338)</f>
        <v>110.899958</v>
      </c>
      <c r="W1338" s="39" t="n">
        <f aca="false">V1338/(1-Resumo!$C$5)</f>
        <v>126.022679545455</v>
      </c>
      <c r="X1338" s="39" t="n">
        <v>131.02</v>
      </c>
      <c r="Y1338" s="39" t="n">
        <f aca="false">J1338*Resumo!$B$6</f>
        <v>0.69999</v>
      </c>
      <c r="Z1338" s="39" t="n">
        <f aca="false">J1338*Resumo!$B$7</f>
        <v>1.39998</v>
      </c>
      <c r="AA1338" s="39" t="n">
        <f aca="false">Resumo!$B$9</f>
        <v>1</v>
      </c>
      <c r="AB1338" s="39" t="n">
        <f aca="false">Resumo!$B$10*CEILING(I1338/100,1)</f>
        <v>4.5</v>
      </c>
      <c r="AC1338" s="39" t="n">
        <f aca="false">Resumo!$B$12*CEILING(I1338,1)</f>
        <v>4.02</v>
      </c>
      <c r="AD1338" s="39" t="n">
        <f aca="false">Resumo!$B$14*CEILING(I1338,1)</f>
        <v>30.15</v>
      </c>
      <c r="AE1338" s="39" t="n">
        <f aca="false">SUM(X1338:AD1338)</f>
        <v>172.78997</v>
      </c>
      <c r="AF1338" s="39" t="n">
        <f aca="false">AE1338/(1-Resumo!$B$5)</f>
        <v>196.352238636364</v>
      </c>
      <c r="AG1338" s="39" t="n">
        <f aca="false">AF1338-W1338</f>
        <v>70.3295590909091</v>
      </c>
      <c r="AH1338" s="40" t="n">
        <f aca="false">AF1338/W1338-1</f>
        <v>0.558070653191771</v>
      </c>
      <c r="AI1338" s="37" t="str">
        <f aca="false">IF(AF1338&lt;W1338,"SIM","NÃO")</f>
        <v>NÃO</v>
      </c>
      <c r="AJ1338" s="37" t="n">
        <v>2</v>
      </c>
      <c r="AK1338" s="37" t="n">
        <v>5</v>
      </c>
      <c r="AL1338" s="37" t="s">
        <v>343</v>
      </c>
      <c r="AM1338" s="39" t="n">
        <v>124.56</v>
      </c>
    </row>
    <row r="1339" customFormat="false" ht="15" hidden="false" customHeight="false" outlineLevel="0" collapsed="false">
      <c r="A1339" s="37" t="n">
        <v>380735757</v>
      </c>
      <c r="B1339" s="38" t="n">
        <v>46256.5581597222</v>
      </c>
      <c r="C1339" s="37" t="s">
        <v>340</v>
      </c>
      <c r="D1339" s="37" t="s">
        <v>1587</v>
      </c>
      <c r="E1339" s="37" t="n">
        <v>26280310</v>
      </c>
      <c r="F1339" s="37" t="s">
        <v>162</v>
      </c>
      <c r="G1339" s="37" t="s">
        <v>197</v>
      </c>
      <c r="H1339" s="37" t="s">
        <v>187</v>
      </c>
      <c r="I1339" s="37" t="n">
        <v>52.3</v>
      </c>
      <c r="J1339" s="39" t="n">
        <v>669.99</v>
      </c>
      <c r="K1339" s="37" t="s">
        <v>342</v>
      </c>
      <c r="L1339" s="39" t="n">
        <v>128.49</v>
      </c>
      <c r="M1339" s="39" t="n">
        <v>70.98</v>
      </c>
      <c r="N1339" s="39" t="n">
        <f aca="false">J1339*Resumo!$C$6</f>
        <v>0</v>
      </c>
      <c r="O1339" s="39" t="n">
        <f aca="false">J1339*Resumo!$C$7</f>
        <v>1.406979</v>
      </c>
      <c r="P1339" s="39" t="n">
        <f aca="false">J1339*Resumo!$C$8</f>
        <v>1.406979</v>
      </c>
      <c r="Q1339" s="39" t="n">
        <f aca="false">Resumo!$C$10*CEILING(I1339/100,1)</f>
        <v>1.05</v>
      </c>
      <c r="R1339" s="39" t="n">
        <f aca="false">Resumo!$C$9</f>
        <v>0</v>
      </c>
      <c r="S1339" s="39" t="n">
        <f aca="false">Resumo!$C$13</f>
        <v>13.55</v>
      </c>
      <c r="T1339" s="39" t="n">
        <f aca="false">Resumo!$C$14*CEILING(I1339,1)</f>
        <v>23.85</v>
      </c>
      <c r="U1339" s="39" t="n">
        <f aca="false">SUM(M1339:T1339)*Resumo!$C$11</f>
        <v>0</v>
      </c>
      <c r="V1339" s="39" t="n">
        <f aca="false">SUM(M1339:U1339)</f>
        <v>112.243958</v>
      </c>
      <c r="W1339" s="39" t="n">
        <f aca="false">V1339/(1-Resumo!$C$5)</f>
        <v>127.549952272727</v>
      </c>
      <c r="X1339" s="39" t="n">
        <v>112.3</v>
      </c>
      <c r="Y1339" s="39" t="n">
        <f aca="false">J1339*Resumo!$B$6</f>
        <v>0.66999</v>
      </c>
      <c r="Z1339" s="39" t="n">
        <f aca="false">J1339*Resumo!$B$7</f>
        <v>1.33998</v>
      </c>
      <c r="AA1339" s="39" t="n">
        <f aca="false">Resumo!$B$9</f>
        <v>1</v>
      </c>
      <c r="AB1339" s="39" t="n">
        <f aca="false">Resumo!$B$10*CEILING(I1339/100,1)</f>
        <v>4.5</v>
      </c>
      <c r="AC1339" s="39" t="n">
        <f aca="false">Resumo!$B$12*CEILING(I1339,1)</f>
        <v>3.18</v>
      </c>
      <c r="AD1339" s="39" t="n">
        <f aca="false">Resumo!$B$14*CEILING(I1339,1)</f>
        <v>23.85</v>
      </c>
      <c r="AE1339" s="39" t="n">
        <f aca="false">SUM(X1339:AD1339)</f>
        <v>146.83997</v>
      </c>
      <c r="AF1339" s="39" t="n">
        <f aca="false">AE1339/(1-Resumo!$B$5)</f>
        <v>166.863602272727</v>
      </c>
      <c r="AG1339" s="39" t="n">
        <f aca="false">AF1339-W1339</f>
        <v>39.31365</v>
      </c>
      <c r="AH1339" s="40" t="n">
        <f aca="false">AF1339/W1339-1</f>
        <v>0.308221597103694</v>
      </c>
      <c r="AI1339" s="37" t="str">
        <f aca="false">IF(AF1339&lt;W1339,"SIM","NÃO")</f>
        <v>NÃO</v>
      </c>
      <c r="AJ1339" s="37" t="n">
        <v>2</v>
      </c>
      <c r="AK1339" s="37" t="n">
        <v>5</v>
      </c>
      <c r="AL1339" s="37" t="s">
        <v>343</v>
      </c>
      <c r="AM1339" s="39" t="n">
        <v>128.49</v>
      </c>
    </row>
    <row r="1340" customFormat="false" ht="15" hidden="false" customHeight="false" outlineLevel="0" collapsed="false">
      <c r="A1340" s="37" t="n">
        <v>380734815</v>
      </c>
      <c r="B1340" s="38" t="n">
        <v>46256.5584143519</v>
      </c>
      <c r="C1340" s="37" t="s">
        <v>372</v>
      </c>
      <c r="D1340" s="37" t="s">
        <v>1588</v>
      </c>
      <c r="E1340" s="37" t="n">
        <v>27410180</v>
      </c>
      <c r="F1340" s="37" t="s">
        <v>248</v>
      </c>
      <c r="G1340" s="37" t="s">
        <v>198</v>
      </c>
      <c r="H1340" s="37" t="s">
        <v>190</v>
      </c>
      <c r="I1340" s="37" t="n">
        <v>81.7</v>
      </c>
      <c r="J1340" s="39" t="n">
        <v>692.99</v>
      </c>
      <c r="K1340" s="37" t="s">
        <v>342</v>
      </c>
      <c r="L1340" s="39" t="n">
        <v>191.92</v>
      </c>
      <c r="M1340" s="39" t="n">
        <v>109.63</v>
      </c>
      <c r="N1340" s="39" t="n">
        <f aca="false">J1340*Resumo!$C$6</f>
        <v>0</v>
      </c>
      <c r="O1340" s="39" t="n">
        <f aca="false">J1340*Resumo!$C$7</f>
        <v>1.455279</v>
      </c>
      <c r="P1340" s="39" t="n">
        <f aca="false">J1340*Resumo!$C$8</f>
        <v>1.455279</v>
      </c>
      <c r="Q1340" s="39" t="n">
        <f aca="false">Resumo!$C$10*CEILING(I1340/100,1)</f>
        <v>1.05</v>
      </c>
      <c r="R1340" s="39" t="n">
        <f aca="false">Resumo!$C$9</f>
        <v>0</v>
      </c>
      <c r="S1340" s="39" t="n">
        <f aca="false">Resumo!$C$13</f>
        <v>13.55</v>
      </c>
      <c r="T1340" s="39" t="n">
        <f aca="false">Resumo!$C$14*CEILING(I1340,1)</f>
        <v>36.9</v>
      </c>
      <c r="U1340" s="39" t="n">
        <f aca="false">SUM(M1340:T1340)*Resumo!$C$11</f>
        <v>0</v>
      </c>
      <c r="V1340" s="39" t="n">
        <f aca="false">SUM(M1340:U1340)</f>
        <v>164.040558</v>
      </c>
      <c r="W1340" s="39" t="n">
        <f aca="false">V1340/(1-Resumo!$C$5)</f>
        <v>186.409725</v>
      </c>
      <c r="X1340" s="39" t="n">
        <v>197.35</v>
      </c>
      <c r="Y1340" s="39" t="n">
        <f aca="false">J1340*Resumo!$B$6</f>
        <v>0.69299</v>
      </c>
      <c r="Z1340" s="39" t="n">
        <f aca="false">J1340*Resumo!$B$7</f>
        <v>1.38598</v>
      </c>
      <c r="AA1340" s="39" t="n">
        <f aca="false">Resumo!$B$9</f>
        <v>1</v>
      </c>
      <c r="AB1340" s="39" t="n">
        <f aca="false">Resumo!$B$10*CEILING(I1340/100,1)</f>
        <v>4.5</v>
      </c>
      <c r="AC1340" s="39" t="n">
        <f aca="false">Resumo!$B$12*CEILING(I1340,1)</f>
        <v>4.92</v>
      </c>
      <c r="AD1340" s="39" t="n">
        <f aca="false">Resumo!$B$14*CEILING(I1340,1)</f>
        <v>36.9</v>
      </c>
      <c r="AE1340" s="39" t="n">
        <f aca="false">SUM(X1340:AD1340)</f>
        <v>246.74897</v>
      </c>
      <c r="AF1340" s="39" t="n">
        <f aca="false">AE1340/(1-Resumo!$B$5)</f>
        <v>280.396556818182</v>
      </c>
      <c r="AG1340" s="39" t="n">
        <f aca="false">AF1340-W1340</f>
        <v>93.9868318181818</v>
      </c>
      <c r="AH1340" s="40" t="n">
        <f aca="false">AF1340/W1340-1</f>
        <v>0.504194895508707</v>
      </c>
      <c r="AI1340" s="37" t="str">
        <f aca="false">IF(AF1340&lt;W1340,"SIM","NÃO")</f>
        <v>NÃO</v>
      </c>
      <c r="AJ1340" s="37" t="n">
        <v>13</v>
      </c>
      <c r="AK1340" s="37" t="n">
        <v>10</v>
      </c>
      <c r="AL1340" s="37" t="s">
        <v>347</v>
      </c>
      <c r="AM1340" s="39" t="n">
        <v>191.92</v>
      </c>
    </row>
    <row r="1341" customFormat="false" ht="15" hidden="false" customHeight="false" outlineLevel="0" collapsed="false">
      <c r="A1341" s="37" t="n">
        <v>380743264</v>
      </c>
      <c r="B1341" s="38" t="n">
        <v>46256.5750925926</v>
      </c>
      <c r="C1341" s="37" t="s">
        <v>340</v>
      </c>
      <c r="D1341" s="37" t="s">
        <v>1589</v>
      </c>
      <c r="E1341" s="37" t="n">
        <v>21843154</v>
      </c>
      <c r="F1341" s="37" t="s">
        <v>159</v>
      </c>
      <c r="G1341" s="37" t="s">
        <v>196</v>
      </c>
      <c r="H1341" s="37" t="s">
        <v>188</v>
      </c>
      <c r="I1341" s="37" t="n">
        <v>66.8</v>
      </c>
      <c r="J1341" s="39" t="n">
        <v>699.99</v>
      </c>
      <c r="K1341" s="37" t="s">
        <v>342</v>
      </c>
      <c r="L1341" s="39" t="n">
        <v>124.56</v>
      </c>
      <c r="M1341" s="39" t="n">
        <v>63.21</v>
      </c>
      <c r="N1341" s="39" t="n">
        <f aca="false">J1341*Resumo!$C$6</f>
        <v>0</v>
      </c>
      <c r="O1341" s="39" t="n">
        <f aca="false">J1341*Resumo!$C$7</f>
        <v>1.469979</v>
      </c>
      <c r="P1341" s="39" t="n">
        <f aca="false">J1341*Resumo!$C$8</f>
        <v>1.469979</v>
      </c>
      <c r="Q1341" s="39" t="n">
        <f aca="false">Resumo!$C$10*CEILING(I1341/100,1)</f>
        <v>1.05</v>
      </c>
      <c r="R1341" s="39" t="n">
        <f aca="false">Resumo!$C$9</f>
        <v>0</v>
      </c>
      <c r="S1341" s="39" t="n">
        <f aca="false">Resumo!$C$13</f>
        <v>13.55</v>
      </c>
      <c r="T1341" s="39" t="n">
        <f aca="false">Resumo!$C$14*CEILING(I1341,1)</f>
        <v>30.15</v>
      </c>
      <c r="U1341" s="39" t="n">
        <f aca="false">SUM(M1341:T1341)*Resumo!$C$11</f>
        <v>0</v>
      </c>
      <c r="V1341" s="39" t="n">
        <f aca="false">SUM(M1341:U1341)</f>
        <v>110.899958</v>
      </c>
      <c r="W1341" s="39" t="n">
        <f aca="false">V1341/(1-Resumo!$C$5)</f>
        <v>126.022679545455</v>
      </c>
      <c r="X1341" s="39" t="n">
        <v>131.02</v>
      </c>
      <c r="Y1341" s="39" t="n">
        <f aca="false">J1341*Resumo!$B$6</f>
        <v>0.69999</v>
      </c>
      <c r="Z1341" s="39" t="n">
        <f aca="false">J1341*Resumo!$B$7</f>
        <v>1.39998</v>
      </c>
      <c r="AA1341" s="39" t="n">
        <f aca="false">Resumo!$B$9</f>
        <v>1</v>
      </c>
      <c r="AB1341" s="39" t="n">
        <f aca="false">Resumo!$B$10*CEILING(I1341/100,1)</f>
        <v>4.5</v>
      </c>
      <c r="AC1341" s="39" t="n">
        <f aca="false">Resumo!$B$12*CEILING(I1341,1)</f>
        <v>4.02</v>
      </c>
      <c r="AD1341" s="39" t="n">
        <f aca="false">Resumo!$B$14*CEILING(I1341,1)</f>
        <v>30.15</v>
      </c>
      <c r="AE1341" s="39" t="n">
        <f aca="false">SUM(X1341:AD1341)</f>
        <v>172.78997</v>
      </c>
      <c r="AF1341" s="39" t="n">
        <f aca="false">AE1341/(1-Resumo!$B$5)</f>
        <v>196.352238636364</v>
      </c>
      <c r="AG1341" s="39" t="n">
        <f aca="false">AF1341-W1341</f>
        <v>70.3295590909091</v>
      </c>
      <c r="AH1341" s="40" t="n">
        <f aca="false">AF1341/W1341-1</f>
        <v>0.558070653191771</v>
      </c>
      <c r="AI1341" s="37" t="str">
        <f aca="false">IF(AF1341&lt;W1341,"SIM","NÃO")</f>
        <v>NÃO</v>
      </c>
      <c r="AJ1341" s="37" t="n">
        <v>2</v>
      </c>
      <c r="AK1341" s="37" t="n">
        <v>5</v>
      </c>
      <c r="AL1341" s="37" t="s">
        <v>343</v>
      </c>
      <c r="AM1341" s="39" t="n">
        <v>124.56</v>
      </c>
    </row>
    <row r="1342" customFormat="false" ht="15" hidden="false" customHeight="false" outlineLevel="0" collapsed="false">
      <c r="A1342" s="37" t="n">
        <v>380812943</v>
      </c>
      <c r="B1342" s="38" t="n">
        <v>46256.6552199074</v>
      </c>
      <c r="C1342" s="37" t="s">
        <v>340</v>
      </c>
      <c r="D1342" s="37" t="s">
        <v>1590</v>
      </c>
      <c r="E1342" s="37" t="n">
        <v>28027130</v>
      </c>
      <c r="F1342" s="37" t="s">
        <v>164</v>
      </c>
      <c r="G1342" s="37" t="s">
        <v>198</v>
      </c>
      <c r="H1342" s="37" t="s">
        <v>186</v>
      </c>
      <c r="I1342" s="37" t="n">
        <v>46.8</v>
      </c>
      <c r="J1342" s="39" t="n">
        <v>506.56</v>
      </c>
      <c r="K1342" s="37" t="s">
        <v>342</v>
      </c>
      <c r="L1342" s="39" t="n">
        <v>130.58</v>
      </c>
      <c r="M1342" s="39" t="n">
        <v>77.7</v>
      </c>
      <c r="N1342" s="39" t="n">
        <f aca="false">J1342*Resumo!$C$6</f>
        <v>0</v>
      </c>
      <c r="O1342" s="39" t="n">
        <f aca="false">J1342*Resumo!$C$7</f>
        <v>1.063776</v>
      </c>
      <c r="P1342" s="39" t="n">
        <f aca="false">J1342*Resumo!$C$8</f>
        <v>1.063776</v>
      </c>
      <c r="Q1342" s="39" t="n">
        <f aca="false">Resumo!$C$10*CEILING(I1342/100,1)</f>
        <v>1.05</v>
      </c>
      <c r="R1342" s="39" t="n">
        <f aca="false">Resumo!$C$9</f>
        <v>0</v>
      </c>
      <c r="S1342" s="39" t="n">
        <f aca="false">Resumo!$C$13</f>
        <v>13.55</v>
      </c>
      <c r="T1342" s="39" t="n">
        <f aca="false">Resumo!$C$14*CEILING(I1342,1)</f>
        <v>21.15</v>
      </c>
      <c r="U1342" s="39" t="n">
        <f aca="false">SUM(M1342:T1342)*Resumo!$C$11</f>
        <v>0</v>
      </c>
      <c r="V1342" s="39" t="n">
        <f aca="false">SUM(M1342:U1342)</f>
        <v>115.577552</v>
      </c>
      <c r="W1342" s="39" t="n">
        <f aca="false">V1342/(1-Resumo!$C$5)</f>
        <v>131.338127272727</v>
      </c>
      <c r="X1342" s="39" t="n">
        <v>152.54</v>
      </c>
      <c r="Y1342" s="39" t="n">
        <f aca="false">J1342*Resumo!$B$6</f>
        <v>0.50656</v>
      </c>
      <c r="Z1342" s="39" t="n">
        <f aca="false">J1342*Resumo!$B$7</f>
        <v>1.01312</v>
      </c>
      <c r="AA1342" s="39" t="n">
        <f aca="false">Resumo!$B$9</f>
        <v>1</v>
      </c>
      <c r="AB1342" s="39" t="n">
        <f aca="false">Resumo!$B$10*CEILING(I1342/100,1)</f>
        <v>4.5</v>
      </c>
      <c r="AC1342" s="39" t="n">
        <f aca="false">Resumo!$B$12*CEILING(I1342,1)</f>
        <v>2.82</v>
      </c>
      <c r="AD1342" s="39" t="n">
        <f aca="false">Resumo!$B$14*CEILING(I1342,1)</f>
        <v>21.15</v>
      </c>
      <c r="AE1342" s="39" t="n">
        <f aca="false">SUM(X1342:AD1342)</f>
        <v>183.52968</v>
      </c>
      <c r="AF1342" s="39" t="n">
        <f aca="false">AE1342/(1-Resumo!$B$5)</f>
        <v>208.556454545455</v>
      </c>
      <c r="AG1342" s="39" t="n">
        <f aca="false">AF1342-W1342</f>
        <v>77.2183272727272</v>
      </c>
      <c r="AH1342" s="40" t="n">
        <f aca="false">AF1342/W1342-1</f>
        <v>0.587935345784101</v>
      </c>
      <c r="AI1342" s="37" t="str">
        <f aca="false">IF(AF1342&lt;W1342,"SIM","NÃO")</f>
        <v>NÃO</v>
      </c>
      <c r="AJ1342" s="37" t="n">
        <v>13</v>
      </c>
      <c r="AK1342" s="37" t="n">
        <v>11</v>
      </c>
      <c r="AL1342" s="37" t="s">
        <v>343</v>
      </c>
      <c r="AM1342" s="39" t="n">
        <v>130.59</v>
      </c>
    </row>
    <row r="1343" customFormat="false" ht="15" hidden="false" customHeight="false" outlineLevel="0" collapsed="false">
      <c r="A1343" s="37" t="n">
        <v>380823553</v>
      </c>
      <c r="B1343" s="38" t="n">
        <v>46256.6661458333</v>
      </c>
      <c r="C1343" s="37" t="s">
        <v>340</v>
      </c>
      <c r="D1343" s="37" t="s">
        <v>1591</v>
      </c>
      <c r="E1343" s="37" t="n">
        <v>21241190</v>
      </c>
      <c r="F1343" s="37" t="s">
        <v>159</v>
      </c>
      <c r="G1343" s="37" t="s">
        <v>196</v>
      </c>
      <c r="H1343" s="37" t="s">
        <v>186</v>
      </c>
      <c r="I1343" s="37" t="n">
        <v>48</v>
      </c>
      <c r="J1343" s="39" t="n">
        <v>899.99</v>
      </c>
      <c r="K1343" s="37" t="s">
        <v>342</v>
      </c>
      <c r="L1343" s="39" t="n">
        <v>104.9</v>
      </c>
      <c r="M1343" s="39" t="n">
        <v>53.55</v>
      </c>
      <c r="N1343" s="39" t="n">
        <f aca="false">J1343*Resumo!$C$6</f>
        <v>0</v>
      </c>
      <c r="O1343" s="39" t="n">
        <f aca="false">J1343*Resumo!$C$7</f>
        <v>1.889979</v>
      </c>
      <c r="P1343" s="39" t="n">
        <f aca="false">J1343*Resumo!$C$8</f>
        <v>1.889979</v>
      </c>
      <c r="Q1343" s="39" t="n">
        <f aca="false">Resumo!$C$10*CEILING(I1343/100,1)</f>
        <v>1.05</v>
      </c>
      <c r="R1343" s="39" t="n">
        <f aca="false">Resumo!$C$9</f>
        <v>0</v>
      </c>
      <c r="S1343" s="39" t="n">
        <f aca="false">Resumo!$C$13</f>
        <v>13.55</v>
      </c>
      <c r="T1343" s="39" t="n">
        <f aca="false">Resumo!$C$14*CEILING(I1343,1)</f>
        <v>21.6</v>
      </c>
      <c r="U1343" s="39" t="n">
        <f aca="false">SUM(M1343:T1343)*Resumo!$C$11</f>
        <v>0</v>
      </c>
      <c r="V1343" s="39" t="n">
        <f aca="false">SUM(M1343:U1343)</f>
        <v>93.529958</v>
      </c>
      <c r="W1343" s="39" t="n">
        <f aca="false">V1343/(1-Resumo!$C$5)</f>
        <v>106.284043181818</v>
      </c>
      <c r="X1343" s="39" t="n">
        <v>93.97</v>
      </c>
      <c r="Y1343" s="39" t="n">
        <f aca="false">J1343*Resumo!$B$6</f>
        <v>0.89999</v>
      </c>
      <c r="Z1343" s="39" t="n">
        <f aca="false">J1343*Resumo!$B$7</f>
        <v>1.79998</v>
      </c>
      <c r="AA1343" s="39" t="n">
        <f aca="false">Resumo!$B$9</f>
        <v>1</v>
      </c>
      <c r="AB1343" s="39" t="n">
        <f aca="false">Resumo!$B$10*CEILING(I1343/100,1)</f>
        <v>4.5</v>
      </c>
      <c r="AC1343" s="39" t="n">
        <f aca="false">Resumo!$B$12*CEILING(I1343,1)</f>
        <v>2.88</v>
      </c>
      <c r="AD1343" s="39" t="n">
        <f aca="false">Resumo!$B$14*CEILING(I1343,1)</f>
        <v>21.6</v>
      </c>
      <c r="AE1343" s="39" t="n">
        <f aca="false">SUM(X1343:AD1343)</f>
        <v>126.64997</v>
      </c>
      <c r="AF1343" s="39" t="n">
        <f aca="false">AE1343/(1-Resumo!$B$5)</f>
        <v>143.920420454545</v>
      </c>
      <c r="AG1343" s="39" t="n">
        <f aca="false">AF1343-W1343</f>
        <v>37.6363772727273</v>
      </c>
      <c r="AH1343" s="40" t="n">
        <f aca="false">AF1343/W1343-1</f>
        <v>0.354111267750168</v>
      </c>
      <c r="AI1343" s="37" t="str">
        <f aca="false">IF(AF1343&lt;W1343,"SIM","NÃO")</f>
        <v>NÃO</v>
      </c>
      <c r="AJ1343" s="37" t="n">
        <v>2</v>
      </c>
      <c r="AK1343" s="37" t="n">
        <v>5</v>
      </c>
      <c r="AL1343" s="37" t="s">
        <v>343</v>
      </c>
      <c r="AM1343" s="39" t="n">
        <v>104.9</v>
      </c>
    </row>
    <row r="1344" customFormat="false" ht="15" hidden="false" customHeight="false" outlineLevel="0" collapsed="false">
      <c r="A1344" s="37" t="n">
        <v>380886492</v>
      </c>
      <c r="B1344" s="38" t="n">
        <v>46256.7324768519</v>
      </c>
      <c r="C1344" s="37" t="s">
        <v>537</v>
      </c>
      <c r="D1344" s="37" t="s">
        <v>1592</v>
      </c>
      <c r="E1344" s="37" t="n">
        <v>20230014</v>
      </c>
      <c r="F1344" s="37" t="s">
        <v>159</v>
      </c>
      <c r="G1344" s="37" t="s">
        <v>196</v>
      </c>
      <c r="H1344" s="37" t="s">
        <v>184</v>
      </c>
      <c r="I1344" s="37" t="n">
        <v>27.4</v>
      </c>
      <c r="J1344" s="39" t="n">
        <v>323.99</v>
      </c>
      <c r="K1344" s="37" t="s">
        <v>342</v>
      </c>
      <c r="L1344" s="39" t="n">
        <v>81.89</v>
      </c>
      <c r="M1344" s="39" t="n">
        <v>42.11</v>
      </c>
      <c r="N1344" s="39" t="n">
        <f aca="false">J1344*Resumo!$C$6</f>
        <v>0</v>
      </c>
      <c r="O1344" s="39" t="n">
        <f aca="false">J1344*Resumo!$C$7</f>
        <v>0.680379</v>
      </c>
      <c r="P1344" s="39" t="n">
        <f aca="false">J1344*Resumo!$C$8</f>
        <v>0.680379</v>
      </c>
      <c r="Q1344" s="39" t="n">
        <f aca="false">Resumo!$C$10*CEILING(I1344/100,1)</f>
        <v>1.05</v>
      </c>
      <c r="R1344" s="39" t="n">
        <f aca="false">Resumo!$C$9</f>
        <v>0</v>
      </c>
      <c r="S1344" s="39" t="n">
        <f aca="false">Resumo!$C$13</f>
        <v>13.55</v>
      </c>
      <c r="T1344" s="39" t="n">
        <f aca="false">Resumo!$C$14*CEILING(I1344,1)</f>
        <v>12.6</v>
      </c>
      <c r="U1344" s="39" t="n">
        <f aca="false">SUM(M1344:T1344)*Resumo!$C$11</f>
        <v>0</v>
      </c>
      <c r="V1344" s="39" t="n">
        <f aca="false">SUM(M1344:U1344)</f>
        <v>70.670758</v>
      </c>
      <c r="W1344" s="39" t="n">
        <f aca="false">V1344/(1-Resumo!$C$5)</f>
        <v>80.3076795454545</v>
      </c>
      <c r="X1344" s="39" t="n">
        <v>82.21</v>
      </c>
      <c r="Y1344" s="39" t="n">
        <f aca="false">J1344*Resumo!$B$6</f>
        <v>0.32399</v>
      </c>
      <c r="Z1344" s="39" t="n">
        <f aca="false">J1344*Resumo!$B$7</f>
        <v>0.64798</v>
      </c>
      <c r="AA1344" s="39" t="n">
        <f aca="false">Resumo!$B$9</f>
        <v>1</v>
      </c>
      <c r="AB1344" s="39" t="n">
        <f aca="false">Resumo!$B$10*CEILING(I1344/100,1)</f>
        <v>4.5</v>
      </c>
      <c r="AC1344" s="39" t="n">
        <f aca="false">Resumo!$B$12*CEILING(I1344,1)</f>
        <v>1.68</v>
      </c>
      <c r="AD1344" s="39" t="n">
        <f aca="false">Resumo!$B$14*CEILING(I1344,1)</f>
        <v>12.6</v>
      </c>
      <c r="AE1344" s="39" t="n">
        <f aca="false">SUM(X1344:AD1344)</f>
        <v>102.96197</v>
      </c>
      <c r="AF1344" s="39" t="n">
        <f aca="false">AE1344/(1-Resumo!$B$5)</f>
        <v>117.002238636364</v>
      </c>
      <c r="AG1344" s="39" t="n">
        <f aca="false">AF1344-W1344</f>
        <v>36.6945590909091</v>
      </c>
      <c r="AH1344" s="40" t="n">
        <f aca="false">AF1344/W1344-1</f>
        <v>0.456924658994035</v>
      </c>
      <c r="AI1344" s="37" t="str">
        <f aca="false">IF(AF1344&lt;W1344,"SIM","NÃO")</f>
        <v>NÃO</v>
      </c>
      <c r="AJ1344" s="37" t="n">
        <v>2</v>
      </c>
      <c r="AK1344" s="37" t="n">
        <v>5</v>
      </c>
      <c r="AL1344" s="37" t="s">
        <v>343</v>
      </c>
      <c r="AM1344" s="39" t="n">
        <v>81.88</v>
      </c>
    </row>
    <row r="1345" customFormat="false" ht="15" hidden="false" customHeight="false" outlineLevel="0" collapsed="false">
      <c r="A1345" s="37" t="n">
        <v>380879027</v>
      </c>
      <c r="B1345" s="38" t="n">
        <v>46256.7383333333</v>
      </c>
      <c r="C1345" s="37" t="s">
        <v>340</v>
      </c>
      <c r="D1345" s="37" t="s">
        <v>1593</v>
      </c>
      <c r="E1345" s="37" t="n">
        <v>23918540</v>
      </c>
      <c r="F1345" s="37" t="s">
        <v>169</v>
      </c>
      <c r="G1345" s="37" t="s">
        <v>198</v>
      </c>
      <c r="H1345" s="37" t="s">
        <v>186</v>
      </c>
      <c r="I1345" s="37" t="n">
        <v>46.8</v>
      </c>
      <c r="J1345" s="39" t="n">
        <v>506.56</v>
      </c>
      <c r="K1345" s="37" t="s">
        <v>342</v>
      </c>
      <c r="L1345" s="39" t="n">
        <v>130.58</v>
      </c>
      <c r="M1345" s="39" t="n">
        <v>77.7</v>
      </c>
      <c r="N1345" s="39" t="n">
        <f aca="false">J1345*Resumo!$C$6</f>
        <v>0</v>
      </c>
      <c r="O1345" s="39" t="n">
        <f aca="false">J1345*Resumo!$C$7</f>
        <v>1.063776</v>
      </c>
      <c r="P1345" s="39" t="n">
        <f aca="false">J1345*Resumo!$C$8</f>
        <v>1.063776</v>
      </c>
      <c r="Q1345" s="39" t="n">
        <f aca="false">Resumo!$C$10*CEILING(I1345/100,1)</f>
        <v>1.05</v>
      </c>
      <c r="R1345" s="39" t="n">
        <f aca="false">Resumo!$C$9</f>
        <v>0</v>
      </c>
      <c r="S1345" s="39" t="n">
        <f aca="false">Resumo!$C$13</f>
        <v>13.55</v>
      </c>
      <c r="T1345" s="39" t="n">
        <f aca="false">Resumo!$C$14*CEILING(I1345,1)</f>
        <v>21.15</v>
      </c>
      <c r="U1345" s="39" t="n">
        <f aca="false">SUM(M1345:T1345)*Resumo!$C$11</f>
        <v>0</v>
      </c>
      <c r="V1345" s="39" t="n">
        <f aca="false">SUM(M1345:U1345)</f>
        <v>115.577552</v>
      </c>
      <c r="W1345" s="39" t="n">
        <f aca="false">V1345/(1-Resumo!$C$5)</f>
        <v>131.338127272727</v>
      </c>
      <c r="X1345" s="39" t="n">
        <v>124.38</v>
      </c>
      <c r="Y1345" s="39" t="n">
        <f aca="false">J1345*Resumo!$B$6</f>
        <v>0.50656</v>
      </c>
      <c r="Z1345" s="39" t="n">
        <f aca="false">J1345*Resumo!$B$7</f>
        <v>1.01312</v>
      </c>
      <c r="AA1345" s="39" t="n">
        <f aca="false">Resumo!$B$9</f>
        <v>1</v>
      </c>
      <c r="AB1345" s="39" t="n">
        <f aca="false">Resumo!$B$10*CEILING(I1345/100,1)</f>
        <v>4.5</v>
      </c>
      <c r="AC1345" s="39" t="n">
        <f aca="false">Resumo!$B$12*CEILING(I1345,1)</f>
        <v>2.82</v>
      </c>
      <c r="AD1345" s="39" t="n">
        <f aca="false">Resumo!$B$14*CEILING(I1345,1)</f>
        <v>21.15</v>
      </c>
      <c r="AE1345" s="39" t="n">
        <f aca="false">SUM(X1345:AD1345)</f>
        <v>155.36968</v>
      </c>
      <c r="AF1345" s="39" t="n">
        <f aca="false">AE1345/(1-Resumo!$B$5)</f>
        <v>176.556454545455</v>
      </c>
      <c r="AG1345" s="39" t="n">
        <f aca="false">AF1345-W1345</f>
        <v>45.2183272727272</v>
      </c>
      <c r="AH1345" s="40" t="n">
        <f aca="false">AF1345/W1345-1</f>
        <v>0.344289417031431</v>
      </c>
      <c r="AI1345" s="37" t="str">
        <f aca="false">IF(AF1345&lt;W1345,"SIM","NÃO")</f>
        <v>NÃO</v>
      </c>
      <c r="AJ1345" s="37" t="n">
        <v>13</v>
      </c>
      <c r="AK1345" s="37" t="n">
        <v>10</v>
      </c>
      <c r="AL1345" s="37" t="s">
        <v>343</v>
      </c>
      <c r="AM1345" s="39" t="n">
        <v>130.59</v>
      </c>
    </row>
    <row r="1346" customFormat="false" ht="15" hidden="false" customHeight="false" outlineLevel="0" collapsed="false">
      <c r="A1346" s="37" t="n">
        <v>380888889</v>
      </c>
      <c r="B1346" s="38" t="n">
        <v>46256.7579976852</v>
      </c>
      <c r="C1346" s="37" t="s">
        <v>340</v>
      </c>
      <c r="D1346" s="37" t="s">
        <v>1594</v>
      </c>
      <c r="E1346" s="37" t="n">
        <v>21931383</v>
      </c>
      <c r="F1346" s="37" t="s">
        <v>159</v>
      </c>
      <c r="G1346" s="37" t="s">
        <v>196</v>
      </c>
      <c r="H1346" s="37" t="s">
        <v>184</v>
      </c>
      <c r="I1346" s="37" t="n">
        <v>33</v>
      </c>
      <c r="J1346" s="39" t="n">
        <v>499.69</v>
      </c>
      <c r="K1346" s="37" t="s">
        <v>342</v>
      </c>
      <c r="L1346" s="39" t="n">
        <v>82.73</v>
      </c>
      <c r="M1346" s="39" t="n">
        <v>42.11</v>
      </c>
      <c r="N1346" s="39" t="n">
        <f aca="false">J1346*Resumo!$C$6</f>
        <v>0</v>
      </c>
      <c r="O1346" s="39" t="n">
        <f aca="false">J1346*Resumo!$C$7</f>
        <v>1.049349</v>
      </c>
      <c r="P1346" s="39" t="n">
        <f aca="false">J1346*Resumo!$C$8</f>
        <v>1.049349</v>
      </c>
      <c r="Q1346" s="39" t="n">
        <f aca="false">Resumo!$C$10*CEILING(I1346/100,1)</f>
        <v>1.05</v>
      </c>
      <c r="R1346" s="39" t="n">
        <f aca="false">Resumo!$C$9</f>
        <v>0</v>
      </c>
      <c r="S1346" s="39" t="n">
        <f aca="false">Resumo!$C$13</f>
        <v>13.55</v>
      </c>
      <c r="T1346" s="39" t="n">
        <f aca="false">Resumo!$C$14*CEILING(I1346,1)</f>
        <v>14.85</v>
      </c>
      <c r="U1346" s="39" t="n">
        <f aca="false">SUM(M1346:T1346)*Resumo!$C$11</f>
        <v>0</v>
      </c>
      <c r="V1346" s="39" t="n">
        <f aca="false">SUM(M1346:U1346)</f>
        <v>73.658698</v>
      </c>
      <c r="W1346" s="39" t="n">
        <f aca="false">V1346/(1-Resumo!$C$5)</f>
        <v>83.7030659090909</v>
      </c>
      <c r="X1346" s="39" t="n">
        <v>82.21</v>
      </c>
      <c r="Y1346" s="39" t="n">
        <f aca="false">J1346*Resumo!$B$6</f>
        <v>0.49969</v>
      </c>
      <c r="Z1346" s="39" t="n">
        <f aca="false">J1346*Resumo!$B$7</f>
        <v>0.99938</v>
      </c>
      <c r="AA1346" s="39" t="n">
        <f aca="false">Resumo!$B$9</f>
        <v>1</v>
      </c>
      <c r="AB1346" s="39" t="n">
        <f aca="false">Resumo!$B$10*CEILING(I1346/100,1)</f>
        <v>4.5</v>
      </c>
      <c r="AC1346" s="39" t="n">
        <f aca="false">Resumo!$B$12*CEILING(I1346,1)</f>
        <v>1.98</v>
      </c>
      <c r="AD1346" s="39" t="n">
        <f aca="false">Resumo!$B$14*CEILING(I1346,1)</f>
        <v>14.85</v>
      </c>
      <c r="AE1346" s="39" t="n">
        <f aca="false">SUM(X1346:AD1346)</f>
        <v>106.03907</v>
      </c>
      <c r="AF1346" s="39" t="n">
        <f aca="false">AE1346/(1-Resumo!$B$5)</f>
        <v>120.498943181818</v>
      </c>
      <c r="AG1346" s="39" t="n">
        <f aca="false">AF1346-W1346</f>
        <v>36.7958772727273</v>
      </c>
      <c r="AH1346" s="40" t="n">
        <f aca="false">AF1346/W1346-1</f>
        <v>0.439600113485579</v>
      </c>
      <c r="AI1346" s="37" t="str">
        <f aca="false">IF(AF1346&lt;W1346,"SIM","NÃO")</f>
        <v>NÃO</v>
      </c>
      <c r="AJ1346" s="37" t="n">
        <v>2</v>
      </c>
      <c r="AK1346" s="37" t="n">
        <v>5</v>
      </c>
      <c r="AL1346" s="37" t="s">
        <v>343</v>
      </c>
      <c r="AM1346" s="39" t="n">
        <v>82.72</v>
      </c>
    </row>
    <row r="1347" customFormat="false" ht="15" hidden="false" customHeight="false" outlineLevel="0" collapsed="false">
      <c r="A1347" s="37" t="n">
        <v>380889975</v>
      </c>
      <c r="B1347" s="38" t="n">
        <v>46256.7599884259</v>
      </c>
      <c r="C1347" s="37" t="s">
        <v>345</v>
      </c>
      <c r="D1347" s="37" t="s">
        <v>1595</v>
      </c>
      <c r="E1347" s="37" t="n">
        <v>25960410</v>
      </c>
      <c r="F1347" s="37" t="s">
        <v>235</v>
      </c>
      <c r="G1347" s="37" t="s">
        <v>198</v>
      </c>
      <c r="H1347" s="37" t="s">
        <v>185</v>
      </c>
      <c r="I1347" s="37" t="n">
        <v>36.8</v>
      </c>
      <c r="J1347" s="39" t="n">
        <v>434.53</v>
      </c>
      <c r="K1347" s="37" t="s">
        <v>342</v>
      </c>
      <c r="L1347" s="39" t="n">
        <v>122.33</v>
      </c>
      <c r="M1347" s="39" t="n">
        <v>74.97</v>
      </c>
      <c r="N1347" s="39" t="n">
        <f aca="false">J1347*Resumo!$C$6</f>
        <v>0</v>
      </c>
      <c r="O1347" s="39" t="n">
        <f aca="false">J1347*Resumo!$C$7</f>
        <v>0.912513</v>
      </c>
      <c r="P1347" s="39" t="n">
        <f aca="false">J1347*Resumo!$C$8</f>
        <v>0.912513</v>
      </c>
      <c r="Q1347" s="39" t="n">
        <f aca="false">Resumo!$C$10*CEILING(I1347/100,1)</f>
        <v>1.05</v>
      </c>
      <c r="R1347" s="39" t="n">
        <f aca="false">Resumo!$C$9</f>
        <v>0</v>
      </c>
      <c r="S1347" s="39" t="n">
        <f aca="false">Resumo!$C$13</f>
        <v>13.55</v>
      </c>
      <c r="T1347" s="39" t="n">
        <f aca="false">Resumo!$C$14*CEILING(I1347,1)</f>
        <v>16.65</v>
      </c>
      <c r="U1347" s="39" t="n">
        <f aca="false">SUM(M1347:T1347)*Resumo!$C$11</f>
        <v>0</v>
      </c>
      <c r="V1347" s="39" t="n">
        <f aca="false">SUM(M1347:U1347)</f>
        <v>108.045026</v>
      </c>
      <c r="W1347" s="39" t="n">
        <f aca="false">V1347/(1-Resumo!$C$5)</f>
        <v>122.778438636364</v>
      </c>
      <c r="X1347" s="39" t="n">
        <v>125.63</v>
      </c>
      <c r="Y1347" s="39" t="n">
        <f aca="false">J1347*Resumo!$B$6</f>
        <v>0.43453</v>
      </c>
      <c r="Z1347" s="39" t="n">
        <f aca="false">J1347*Resumo!$B$7</f>
        <v>0.86906</v>
      </c>
      <c r="AA1347" s="39" t="n">
        <f aca="false">Resumo!$B$9</f>
        <v>1</v>
      </c>
      <c r="AB1347" s="39" t="n">
        <f aca="false">Resumo!$B$10*CEILING(I1347/100,1)</f>
        <v>4.5</v>
      </c>
      <c r="AC1347" s="39" t="n">
        <f aca="false">Resumo!$B$12*CEILING(I1347,1)</f>
        <v>2.22</v>
      </c>
      <c r="AD1347" s="39" t="n">
        <f aca="false">Resumo!$B$14*CEILING(I1347,1)</f>
        <v>16.65</v>
      </c>
      <c r="AE1347" s="39" t="n">
        <f aca="false">SUM(X1347:AD1347)</f>
        <v>151.30359</v>
      </c>
      <c r="AF1347" s="39" t="n">
        <f aca="false">AE1347/(1-Resumo!$B$5)</f>
        <v>171.935897727273</v>
      </c>
      <c r="AG1347" s="39" t="n">
        <f aca="false">AF1347-W1347</f>
        <v>49.1574590909091</v>
      </c>
      <c r="AH1347" s="40" t="n">
        <f aca="false">AF1347/W1347-1</f>
        <v>0.400375339814347</v>
      </c>
      <c r="AI1347" s="37" t="str">
        <f aca="false">IF(AF1347&lt;W1347,"SIM","NÃO")</f>
        <v>NÃO</v>
      </c>
      <c r="AJ1347" s="37" t="n">
        <v>13</v>
      </c>
      <c r="AK1347" s="37" t="n">
        <v>10</v>
      </c>
      <c r="AL1347" s="37" t="s">
        <v>347</v>
      </c>
      <c r="AM1347" s="39" t="n">
        <v>122.33</v>
      </c>
    </row>
    <row r="1348" customFormat="false" ht="15" hidden="false" customHeight="false" outlineLevel="0" collapsed="false">
      <c r="A1348" s="37" t="n">
        <v>380924162</v>
      </c>
      <c r="B1348" s="38" t="n">
        <v>46256.8082638889</v>
      </c>
      <c r="C1348" s="37" t="s">
        <v>345</v>
      </c>
      <c r="D1348" s="37" t="s">
        <v>1596</v>
      </c>
      <c r="E1348" s="37" t="n">
        <v>24474770</v>
      </c>
      <c r="F1348" s="37" t="s">
        <v>160</v>
      </c>
      <c r="G1348" s="37" t="s">
        <v>197</v>
      </c>
      <c r="H1348" s="37" t="s">
        <v>188</v>
      </c>
      <c r="I1348" s="37" t="n">
        <v>66.8</v>
      </c>
      <c r="J1348" s="39" t="n">
        <v>636.47</v>
      </c>
      <c r="K1348" s="37" t="s">
        <v>342</v>
      </c>
      <c r="L1348" s="39" t="n">
        <v>139.48</v>
      </c>
      <c r="M1348" s="39" t="n">
        <v>76.55</v>
      </c>
      <c r="N1348" s="39" t="n">
        <f aca="false">J1348*Resumo!$C$6</f>
        <v>0</v>
      </c>
      <c r="O1348" s="39" t="n">
        <f aca="false">J1348*Resumo!$C$7</f>
        <v>1.336587</v>
      </c>
      <c r="P1348" s="39" t="n">
        <f aca="false">J1348*Resumo!$C$8</f>
        <v>1.336587</v>
      </c>
      <c r="Q1348" s="39" t="n">
        <f aca="false">Resumo!$C$10*CEILING(I1348/100,1)</f>
        <v>1.05</v>
      </c>
      <c r="R1348" s="39" t="n">
        <f aca="false">Resumo!$C$9</f>
        <v>0</v>
      </c>
      <c r="S1348" s="39" t="n">
        <f aca="false">Resumo!$C$13</f>
        <v>13.55</v>
      </c>
      <c r="T1348" s="39" t="n">
        <f aca="false">Resumo!$C$14*CEILING(I1348,1)</f>
        <v>30.15</v>
      </c>
      <c r="U1348" s="39" t="n">
        <f aca="false">SUM(M1348:T1348)*Resumo!$C$11</f>
        <v>0</v>
      </c>
      <c r="V1348" s="39" t="n">
        <f aca="false">SUM(M1348:U1348)</f>
        <v>123.973174</v>
      </c>
      <c r="W1348" s="39" t="n">
        <f aca="false">V1348/(1-Resumo!$C$5)</f>
        <v>140.878606818182</v>
      </c>
      <c r="X1348" s="39" t="n">
        <v>149.5</v>
      </c>
      <c r="Y1348" s="39" t="n">
        <f aca="false">J1348*Resumo!$B$6</f>
        <v>0.63647</v>
      </c>
      <c r="Z1348" s="39" t="n">
        <f aca="false">J1348*Resumo!$B$7</f>
        <v>1.27294</v>
      </c>
      <c r="AA1348" s="39" t="n">
        <f aca="false">Resumo!$B$9</f>
        <v>1</v>
      </c>
      <c r="AB1348" s="39" t="n">
        <f aca="false">Resumo!$B$10*CEILING(I1348/100,1)</f>
        <v>4.5</v>
      </c>
      <c r="AC1348" s="39" t="n">
        <f aca="false">Resumo!$B$12*CEILING(I1348,1)</f>
        <v>4.02</v>
      </c>
      <c r="AD1348" s="39" t="n">
        <f aca="false">Resumo!$B$14*CEILING(I1348,1)</f>
        <v>30.15</v>
      </c>
      <c r="AE1348" s="39" t="n">
        <f aca="false">SUM(X1348:AD1348)</f>
        <v>191.07941</v>
      </c>
      <c r="AF1348" s="39" t="n">
        <f aca="false">AE1348/(1-Resumo!$B$5)</f>
        <v>217.135693181818</v>
      </c>
      <c r="AG1348" s="39" t="n">
        <f aca="false">AF1348-W1348</f>
        <v>76.2570863636364</v>
      </c>
      <c r="AH1348" s="40" t="n">
        <f aca="false">AF1348/W1348-1</f>
        <v>0.541296425950988</v>
      </c>
      <c r="AI1348" s="37" t="str">
        <f aca="false">IF(AF1348&lt;W1348,"SIM","NÃO")</f>
        <v>NÃO</v>
      </c>
      <c r="AJ1348" s="37" t="n">
        <v>2</v>
      </c>
      <c r="AK1348" s="37" t="n">
        <v>7</v>
      </c>
      <c r="AL1348" s="37" t="s">
        <v>343</v>
      </c>
      <c r="AM1348" s="39" t="n">
        <v>139.48</v>
      </c>
    </row>
    <row r="1349" customFormat="false" ht="15" hidden="false" customHeight="false" outlineLevel="0" collapsed="false">
      <c r="A1349" s="37" t="n">
        <v>380931066</v>
      </c>
      <c r="B1349" s="38" t="n">
        <v>46256.819525463</v>
      </c>
      <c r="C1349" s="37" t="s">
        <v>345</v>
      </c>
      <c r="D1349" s="37" t="s">
        <v>1508</v>
      </c>
      <c r="E1349" s="37" t="n">
        <v>22770190</v>
      </c>
      <c r="F1349" s="37" t="s">
        <v>159</v>
      </c>
      <c r="G1349" s="37" t="s">
        <v>196</v>
      </c>
      <c r="H1349" s="37" t="s">
        <v>188</v>
      </c>
      <c r="I1349" s="37" t="n">
        <v>61.4</v>
      </c>
      <c r="J1349" s="39" t="n">
        <v>962.28</v>
      </c>
      <c r="K1349" s="37" t="s">
        <v>342</v>
      </c>
      <c r="L1349" s="39" t="n">
        <v>125.81</v>
      </c>
      <c r="M1349" s="39" t="n">
        <v>63.21</v>
      </c>
      <c r="N1349" s="39" t="n">
        <f aca="false">J1349*Resumo!$C$6</f>
        <v>0</v>
      </c>
      <c r="O1349" s="39" t="n">
        <f aca="false">J1349*Resumo!$C$7</f>
        <v>2.020788</v>
      </c>
      <c r="P1349" s="39" t="n">
        <f aca="false">J1349*Resumo!$C$8</f>
        <v>2.020788</v>
      </c>
      <c r="Q1349" s="39" t="n">
        <f aca="false">Resumo!$C$10*CEILING(I1349/100,1)</f>
        <v>1.05</v>
      </c>
      <c r="R1349" s="39" t="n">
        <f aca="false">Resumo!$C$9</f>
        <v>0</v>
      </c>
      <c r="S1349" s="39" t="n">
        <f aca="false">Resumo!$C$13</f>
        <v>13.55</v>
      </c>
      <c r="T1349" s="39" t="n">
        <f aca="false">Resumo!$C$14*CEILING(I1349,1)</f>
        <v>27.9</v>
      </c>
      <c r="U1349" s="39" t="n">
        <f aca="false">SUM(M1349:T1349)*Resumo!$C$11</f>
        <v>0</v>
      </c>
      <c r="V1349" s="39" t="n">
        <f aca="false">SUM(M1349:U1349)</f>
        <v>109.751576</v>
      </c>
      <c r="W1349" s="39" t="n">
        <f aca="false">V1349/(1-Resumo!$C$5)</f>
        <v>124.7177</v>
      </c>
      <c r="X1349" s="39" t="n">
        <v>131.02</v>
      </c>
      <c r="Y1349" s="39" t="n">
        <f aca="false">J1349*Resumo!$B$6</f>
        <v>0.96228</v>
      </c>
      <c r="Z1349" s="39" t="n">
        <f aca="false">J1349*Resumo!$B$7</f>
        <v>1.92456</v>
      </c>
      <c r="AA1349" s="39" t="n">
        <f aca="false">Resumo!$B$9</f>
        <v>1</v>
      </c>
      <c r="AB1349" s="39" t="n">
        <f aca="false">Resumo!$B$10*CEILING(I1349/100,1)</f>
        <v>4.5</v>
      </c>
      <c r="AC1349" s="39" t="n">
        <f aca="false">Resumo!$B$12*CEILING(I1349,1)</f>
        <v>3.72</v>
      </c>
      <c r="AD1349" s="39" t="n">
        <f aca="false">Resumo!$B$14*CEILING(I1349,1)</f>
        <v>27.9</v>
      </c>
      <c r="AE1349" s="39" t="n">
        <f aca="false">SUM(X1349:AD1349)</f>
        <v>171.02684</v>
      </c>
      <c r="AF1349" s="39" t="n">
        <f aca="false">AE1349/(1-Resumo!$B$5)</f>
        <v>194.348681818182</v>
      </c>
      <c r="AG1349" s="39" t="n">
        <f aca="false">AF1349-W1349</f>
        <v>69.6309818181818</v>
      </c>
      <c r="AH1349" s="40" t="n">
        <f aca="false">AF1349/W1349-1</f>
        <v>0.558308739001616</v>
      </c>
      <c r="AI1349" s="37" t="str">
        <f aca="false">IF(AF1349&lt;W1349,"SIM","NÃO")</f>
        <v>NÃO</v>
      </c>
      <c r="AJ1349" s="37" t="n">
        <v>2</v>
      </c>
      <c r="AK1349" s="37" t="n">
        <v>5</v>
      </c>
      <c r="AL1349" s="37" t="s">
        <v>343</v>
      </c>
      <c r="AM1349" s="39" t="n">
        <v>125.82</v>
      </c>
    </row>
    <row r="1350" customFormat="false" ht="15" hidden="false" customHeight="false" outlineLevel="0" collapsed="false">
      <c r="A1350" s="37" t="n">
        <v>380956095</v>
      </c>
      <c r="B1350" s="38" t="n">
        <v>46256.856724537</v>
      </c>
      <c r="C1350" s="37" t="s">
        <v>340</v>
      </c>
      <c r="D1350" s="37" t="s">
        <v>1597</v>
      </c>
      <c r="E1350" s="37" t="n">
        <v>26293567</v>
      </c>
      <c r="F1350" s="37" t="s">
        <v>162</v>
      </c>
      <c r="G1350" s="37" t="s">
        <v>197</v>
      </c>
      <c r="H1350" s="37" t="s">
        <v>188</v>
      </c>
      <c r="I1350" s="37" t="n">
        <v>61.5</v>
      </c>
      <c r="J1350" s="39" t="n">
        <v>696.68</v>
      </c>
      <c r="K1350" s="37" t="s">
        <v>342</v>
      </c>
      <c r="L1350" s="39" t="n">
        <v>139.76</v>
      </c>
      <c r="M1350" s="39" t="n">
        <v>76.55</v>
      </c>
      <c r="N1350" s="39" t="n">
        <f aca="false">J1350*Resumo!$C$6</f>
        <v>0</v>
      </c>
      <c r="O1350" s="39" t="n">
        <f aca="false">J1350*Resumo!$C$7</f>
        <v>1.463028</v>
      </c>
      <c r="P1350" s="39" t="n">
        <f aca="false">J1350*Resumo!$C$8</f>
        <v>1.463028</v>
      </c>
      <c r="Q1350" s="39" t="n">
        <f aca="false">Resumo!$C$10*CEILING(I1350/100,1)</f>
        <v>1.05</v>
      </c>
      <c r="R1350" s="39" t="n">
        <f aca="false">Resumo!$C$9</f>
        <v>0</v>
      </c>
      <c r="S1350" s="39" t="n">
        <f aca="false">Resumo!$C$13</f>
        <v>13.55</v>
      </c>
      <c r="T1350" s="39" t="n">
        <f aca="false">Resumo!$C$14*CEILING(I1350,1)</f>
        <v>27.9</v>
      </c>
      <c r="U1350" s="39" t="n">
        <f aca="false">SUM(M1350:T1350)*Resumo!$C$11</f>
        <v>0</v>
      </c>
      <c r="V1350" s="39" t="n">
        <f aca="false">SUM(M1350:U1350)</f>
        <v>121.976056</v>
      </c>
      <c r="W1350" s="39" t="n">
        <f aca="false">V1350/(1-Resumo!$C$5)</f>
        <v>138.609154545455</v>
      </c>
      <c r="X1350" s="39" t="n">
        <v>131.02</v>
      </c>
      <c r="Y1350" s="39" t="n">
        <f aca="false">J1350*Resumo!$B$6</f>
        <v>0.69668</v>
      </c>
      <c r="Z1350" s="39" t="n">
        <f aca="false">J1350*Resumo!$B$7</f>
        <v>1.39336</v>
      </c>
      <c r="AA1350" s="39" t="n">
        <f aca="false">Resumo!$B$9</f>
        <v>1</v>
      </c>
      <c r="AB1350" s="39" t="n">
        <f aca="false">Resumo!$B$10*CEILING(I1350/100,1)</f>
        <v>4.5</v>
      </c>
      <c r="AC1350" s="39" t="n">
        <f aca="false">Resumo!$B$12*CEILING(I1350,1)</f>
        <v>3.72</v>
      </c>
      <c r="AD1350" s="39" t="n">
        <f aca="false">Resumo!$B$14*CEILING(I1350,1)</f>
        <v>27.9</v>
      </c>
      <c r="AE1350" s="39" t="n">
        <f aca="false">SUM(X1350:AD1350)</f>
        <v>170.23004</v>
      </c>
      <c r="AF1350" s="39" t="n">
        <f aca="false">AE1350/(1-Resumo!$B$5)</f>
        <v>193.443227272727</v>
      </c>
      <c r="AG1350" s="39" t="n">
        <f aca="false">AF1350-W1350</f>
        <v>54.8340727272727</v>
      </c>
      <c r="AH1350" s="40" t="n">
        <f aca="false">AF1350/W1350-1</f>
        <v>0.395602100792634</v>
      </c>
      <c r="AI1350" s="37" t="str">
        <f aca="false">IF(AF1350&lt;W1350,"SIM","NÃO")</f>
        <v>NÃO</v>
      </c>
      <c r="AJ1350" s="37" t="n">
        <v>2</v>
      </c>
      <c r="AK1350" s="37" t="n">
        <v>5</v>
      </c>
      <c r="AL1350" s="37" t="s">
        <v>343</v>
      </c>
      <c r="AM1350" s="39" t="n">
        <v>139.77</v>
      </c>
    </row>
    <row r="1351" customFormat="false" ht="15" hidden="false" customHeight="false" outlineLevel="0" collapsed="false">
      <c r="A1351" s="37" t="n">
        <v>380981915</v>
      </c>
      <c r="B1351" s="38" t="n">
        <v>46256.8987847222</v>
      </c>
      <c r="C1351" s="37" t="s">
        <v>340</v>
      </c>
      <c r="D1351" s="37" t="s">
        <v>1598</v>
      </c>
      <c r="E1351" s="37" t="n">
        <v>20735320</v>
      </c>
      <c r="F1351" s="37" t="s">
        <v>159</v>
      </c>
      <c r="G1351" s="37" t="s">
        <v>196</v>
      </c>
      <c r="H1351" s="37" t="s">
        <v>186</v>
      </c>
      <c r="I1351" s="37" t="n">
        <v>46.8</v>
      </c>
      <c r="J1351" s="39" t="n">
        <v>506.56</v>
      </c>
      <c r="K1351" s="37" t="s">
        <v>342</v>
      </c>
      <c r="L1351" s="39" t="n">
        <v>103.01</v>
      </c>
      <c r="M1351" s="39" t="n">
        <v>53.55</v>
      </c>
      <c r="N1351" s="39" t="n">
        <f aca="false">J1351*Resumo!$C$6</f>
        <v>0</v>
      </c>
      <c r="O1351" s="39" t="n">
        <f aca="false">J1351*Resumo!$C$7</f>
        <v>1.063776</v>
      </c>
      <c r="P1351" s="39" t="n">
        <f aca="false">J1351*Resumo!$C$8</f>
        <v>1.063776</v>
      </c>
      <c r="Q1351" s="39" t="n">
        <f aca="false">Resumo!$C$10*CEILING(I1351/100,1)</f>
        <v>1.05</v>
      </c>
      <c r="R1351" s="39" t="n">
        <f aca="false">Resumo!$C$9</f>
        <v>0</v>
      </c>
      <c r="S1351" s="39" t="n">
        <f aca="false">Resumo!$C$13</f>
        <v>13.55</v>
      </c>
      <c r="T1351" s="39" t="n">
        <f aca="false">Resumo!$C$14*CEILING(I1351,1)</f>
        <v>21.15</v>
      </c>
      <c r="U1351" s="39" t="n">
        <f aca="false">SUM(M1351:T1351)*Resumo!$C$11</f>
        <v>0</v>
      </c>
      <c r="V1351" s="39" t="n">
        <f aca="false">SUM(M1351:U1351)</f>
        <v>91.427552</v>
      </c>
      <c r="W1351" s="39" t="n">
        <f aca="false">V1351/(1-Resumo!$C$5)</f>
        <v>103.894945454545</v>
      </c>
      <c r="X1351" s="39" t="n">
        <v>93.97</v>
      </c>
      <c r="Y1351" s="39" t="n">
        <f aca="false">J1351*Resumo!$B$6</f>
        <v>0.50656</v>
      </c>
      <c r="Z1351" s="39" t="n">
        <f aca="false">J1351*Resumo!$B$7</f>
        <v>1.01312</v>
      </c>
      <c r="AA1351" s="39" t="n">
        <f aca="false">Resumo!$B$9</f>
        <v>1</v>
      </c>
      <c r="AB1351" s="39" t="n">
        <f aca="false">Resumo!$B$10*CEILING(I1351/100,1)</f>
        <v>4.5</v>
      </c>
      <c r="AC1351" s="39" t="n">
        <f aca="false">Resumo!$B$12*CEILING(I1351,1)</f>
        <v>2.82</v>
      </c>
      <c r="AD1351" s="39" t="n">
        <f aca="false">Resumo!$B$14*CEILING(I1351,1)</f>
        <v>21.15</v>
      </c>
      <c r="AE1351" s="39" t="n">
        <f aca="false">SUM(X1351:AD1351)</f>
        <v>124.95968</v>
      </c>
      <c r="AF1351" s="39" t="n">
        <f aca="false">AE1351/(1-Resumo!$B$5)</f>
        <v>141.999636363636</v>
      </c>
      <c r="AG1351" s="39" t="n">
        <f aca="false">AF1351-W1351</f>
        <v>38.1046909090909</v>
      </c>
      <c r="AH1351" s="40" t="n">
        <f aca="false">AF1351/W1351-1</f>
        <v>0.366761739393394</v>
      </c>
      <c r="AI1351" s="37" t="str">
        <f aca="false">IF(AF1351&lt;W1351,"SIM","NÃO")</f>
        <v>NÃO</v>
      </c>
      <c r="AJ1351" s="37" t="n">
        <v>2</v>
      </c>
      <c r="AK1351" s="37" t="n">
        <v>5</v>
      </c>
      <c r="AL1351" s="37" t="s">
        <v>343</v>
      </c>
      <c r="AM1351" s="39" t="n">
        <v>103.01</v>
      </c>
    </row>
    <row r="1352" customFormat="false" ht="15" hidden="false" customHeight="false" outlineLevel="0" collapsed="false">
      <c r="A1352" s="37" t="n">
        <v>381013807</v>
      </c>
      <c r="B1352" s="38" t="n">
        <v>46256.9456712963</v>
      </c>
      <c r="C1352" s="37" t="s">
        <v>345</v>
      </c>
      <c r="D1352" s="37" t="s">
        <v>1599</v>
      </c>
      <c r="E1352" s="37" t="n">
        <v>25975550</v>
      </c>
      <c r="F1352" s="37" t="s">
        <v>235</v>
      </c>
      <c r="G1352" s="37" t="s">
        <v>198</v>
      </c>
      <c r="H1352" s="37" t="s">
        <v>192</v>
      </c>
      <c r="I1352" s="37" t="n">
        <v>124.2</v>
      </c>
      <c r="J1352" s="39" t="n">
        <v>1526.91</v>
      </c>
      <c r="K1352" s="37" t="s">
        <v>342</v>
      </c>
      <c r="L1352" s="39" t="n">
        <v>260.6</v>
      </c>
      <c r="M1352" s="39" t="n">
        <v>144.24</v>
      </c>
      <c r="N1352" s="39" t="n">
        <f aca="false">J1352*Resumo!$C$6</f>
        <v>0</v>
      </c>
      <c r="O1352" s="39" t="n">
        <f aca="false">J1352*Resumo!$C$7</f>
        <v>3.206511</v>
      </c>
      <c r="P1352" s="39" t="n">
        <f aca="false">J1352*Resumo!$C$8</f>
        <v>3.206511</v>
      </c>
      <c r="Q1352" s="39" t="n">
        <f aca="false">Resumo!$C$10*CEILING(I1352/100,1)</f>
        <v>2.1</v>
      </c>
      <c r="R1352" s="39" t="n">
        <f aca="false">Resumo!$C$9</f>
        <v>0</v>
      </c>
      <c r="S1352" s="39" t="n">
        <f aca="false">Resumo!$C$13</f>
        <v>13.55</v>
      </c>
      <c r="T1352" s="39" t="n">
        <f aca="false">Resumo!$C$14*CEILING(I1352,1)</f>
        <v>56.25</v>
      </c>
      <c r="U1352" s="39" t="n">
        <f aca="false">SUM(M1352:T1352)*Resumo!$C$11</f>
        <v>0</v>
      </c>
      <c r="V1352" s="39" t="n">
        <f aca="false">SUM(M1352:U1352)</f>
        <v>222.553022</v>
      </c>
      <c r="W1352" s="39" t="n">
        <f aca="false">V1352/(1-Resumo!$C$5)</f>
        <v>252.901161363636</v>
      </c>
      <c r="X1352" s="39" t="n">
        <v>264.84</v>
      </c>
      <c r="Y1352" s="39" t="n">
        <f aca="false">J1352*Resumo!$B$6</f>
        <v>1.52691</v>
      </c>
      <c r="Z1352" s="39" t="n">
        <f aca="false">J1352*Resumo!$B$7</f>
        <v>3.05382</v>
      </c>
      <c r="AA1352" s="39" t="n">
        <f aca="false">Resumo!$B$9</f>
        <v>1</v>
      </c>
      <c r="AB1352" s="39" t="n">
        <f aca="false">Resumo!$B$10*CEILING(I1352/100,1)</f>
        <v>9</v>
      </c>
      <c r="AC1352" s="39" t="n">
        <f aca="false">Resumo!$B$12*CEILING(I1352,1)</f>
        <v>7.5</v>
      </c>
      <c r="AD1352" s="39" t="n">
        <f aca="false">Resumo!$B$14*CEILING(I1352,1)</f>
        <v>56.25</v>
      </c>
      <c r="AE1352" s="39" t="n">
        <f aca="false">SUM(X1352:AD1352)</f>
        <v>343.17073</v>
      </c>
      <c r="AF1352" s="39" t="n">
        <f aca="false">AE1352/(1-Resumo!$B$5)</f>
        <v>389.966738636364</v>
      </c>
      <c r="AG1352" s="39" t="n">
        <f aca="false">AF1352-W1352</f>
        <v>137.065577272727</v>
      </c>
      <c r="AH1352" s="40" t="n">
        <f aca="false">AF1352/W1352-1</f>
        <v>0.541972905674586</v>
      </c>
      <c r="AI1352" s="37" t="str">
        <f aca="false">IF(AF1352&lt;W1352,"SIM","NÃO")</f>
        <v>NÃO</v>
      </c>
      <c r="AJ1352" s="37" t="n">
        <v>13</v>
      </c>
      <c r="AK1352" s="37" t="n">
        <v>10</v>
      </c>
      <c r="AL1352" s="37" t="s">
        <v>347</v>
      </c>
      <c r="AM1352" s="39" t="n">
        <v>260.61</v>
      </c>
    </row>
    <row r="1353" customFormat="false" ht="15" hidden="false" customHeight="false" outlineLevel="0" collapsed="false">
      <c r="A1353" s="37" t="n">
        <v>381024577</v>
      </c>
      <c r="B1353" s="38" t="n">
        <v>46256.9612384259</v>
      </c>
      <c r="C1353" s="37" t="s">
        <v>345</v>
      </c>
      <c r="D1353" s="37" t="s">
        <v>1600</v>
      </c>
      <c r="E1353" s="37" t="n">
        <v>23020590</v>
      </c>
      <c r="F1353" s="37" t="s">
        <v>159</v>
      </c>
      <c r="G1353" s="37" t="s">
        <v>196</v>
      </c>
      <c r="H1353" s="37" t="s">
        <v>188</v>
      </c>
      <c r="I1353" s="37" t="n">
        <v>63</v>
      </c>
      <c r="J1353" s="39" t="n">
        <v>942.65</v>
      </c>
      <c r="K1353" s="37" t="s">
        <v>342</v>
      </c>
      <c r="L1353" s="39" t="n">
        <v>125.74</v>
      </c>
      <c r="M1353" s="39" t="n">
        <v>63.21</v>
      </c>
      <c r="N1353" s="39" t="n">
        <f aca="false">J1353*Resumo!$C$6</f>
        <v>0</v>
      </c>
      <c r="O1353" s="39" t="n">
        <f aca="false">J1353*Resumo!$C$7</f>
        <v>1.979565</v>
      </c>
      <c r="P1353" s="39" t="n">
        <f aca="false">J1353*Resumo!$C$8</f>
        <v>1.979565</v>
      </c>
      <c r="Q1353" s="39" t="n">
        <f aca="false">Resumo!$C$10*CEILING(I1353/100,1)</f>
        <v>1.05</v>
      </c>
      <c r="R1353" s="39" t="n">
        <f aca="false">Resumo!$C$9</f>
        <v>0</v>
      </c>
      <c r="S1353" s="39" t="n">
        <f aca="false">Resumo!$C$13</f>
        <v>13.55</v>
      </c>
      <c r="T1353" s="39" t="n">
        <f aca="false">Resumo!$C$14*CEILING(I1353,1)</f>
        <v>28.35</v>
      </c>
      <c r="U1353" s="39" t="n">
        <f aca="false">SUM(M1353:T1353)*Resumo!$C$11</f>
        <v>0</v>
      </c>
      <c r="V1353" s="39" t="n">
        <f aca="false">SUM(M1353:U1353)</f>
        <v>110.11913</v>
      </c>
      <c r="W1353" s="39" t="n">
        <f aca="false">V1353/(1-Resumo!$C$5)</f>
        <v>125.135375</v>
      </c>
      <c r="X1353" s="39" t="n">
        <v>131.02</v>
      </c>
      <c r="Y1353" s="39" t="n">
        <f aca="false">J1353*Resumo!$B$6</f>
        <v>0.94265</v>
      </c>
      <c r="Z1353" s="39" t="n">
        <f aca="false">J1353*Resumo!$B$7</f>
        <v>1.8853</v>
      </c>
      <c r="AA1353" s="39" t="n">
        <f aca="false">Resumo!$B$9</f>
        <v>1</v>
      </c>
      <c r="AB1353" s="39" t="n">
        <f aca="false">Resumo!$B$10*CEILING(I1353/100,1)</f>
        <v>4.5</v>
      </c>
      <c r="AC1353" s="39" t="n">
        <f aca="false">Resumo!$B$12*CEILING(I1353,1)</f>
        <v>3.78</v>
      </c>
      <c r="AD1353" s="39" t="n">
        <f aca="false">Resumo!$B$14*CEILING(I1353,1)</f>
        <v>28.35</v>
      </c>
      <c r="AE1353" s="39" t="n">
        <f aca="false">SUM(X1353:AD1353)</f>
        <v>171.47795</v>
      </c>
      <c r="AF1353" s="39" t="n">
        <f aca="false">AE1353/(1-Resumo!$B$5)</f>
        <v>194.861306818182</v>
      </c>
      <c r="AG1353" s="39" t="n">
        <f aca="false">AF1353-W1353</f>
        <v>69.7259318181818</v>
      </c>
      <c r="AH1353" s="40" t="n">
        <f aca="false">AF1353/W1353-1</f>
        <v>0.557204002610627</v>
      </c>
      <c r="AI1353" s="37" t="str">
        <f aca="false">IF(AF1353&lt;W1353,"SIM","NÃO")</f>
        <v>NÃO</v>
      </c>
      <c r="AJ1353" s="37" t="n">
        <v>2</v>
      </c>
      <c r="AK1353" s="37" t="n">
        <v>5</v>
      </c>
      <c r="AL1353" s="37" t="s">
        <v>343</v>
      </c>
      <c r="AM1353" s="39" t="n">
        <v>125.73</v>
      </c>
    </row>
    <row r="1354" customFormat="false" ht="15" hidden="false" customHeight="false" outlineLevel="0" collapsed="false">
      <c r="A1354" s="37" t="n">
        <v>381030290</v>
      </c>
      <c r="B1354" s="38" t="n">
        <v>46256.9718634259</v>
      </c>
      <c r="C1354" s="37" t="s">
        <v>340</v>
      </c>
      <c r="D1354" s="37" t="s">
        <v>1601</v>
      </c>
      <c r="E1354" s="37" t="n">
        <v>25086390</v>
      </c>
      <c r="F1354" s="37" t="s">
        <v>161</v>
      </c>
      <c r="G1354" s="37" t="s">
        <v>197</v>
      </c>
      <c r="H1354" s="37" t="s">
        <v>188</v>
      </c>
      <c r="I1354" s="37" t="n">
        <v>66.8</v>
      </c>
      <c r="J1354" s="39" t="n">
        <v>699.99</v>
      </c>
      <c r="K1354" s="37" t="s">
        <v>342</v>
      </c>
      <c r="L1354" s="39" t="n">
        <v>139.78</v>
      </c>
      <c r="M1354" s="39" t="n">
        <v>76.55</v>
      </c>
      <c r="N1354" s="39" t="n">
        <f aca="false">J1354*Resumo!$C$6</f>
        <v>0</v>
      </c>
      <c r="O1354" s="39" t="n">
        <f aca="false">J1354*Resumo!$C$7</f>
        <v>1.469979</v>
      </c>
      <c r="P1354" s="39" t="n">
        <f aca="false">J1354*Resumo!$C$8</f>
        <v>1.469979</v>
      </c>
      <c r="Q1354" s="39" t="n">
        <f aca="false">Resumo!$C$10*CEILING(I1354/100,1)</f>
        <v>1.05</v>
      </c>
      <c r="R1354" s="39" t="n">
        <f aca="false">Resumo!$C$9</f>
        <v>0</v>
      </c>
      <c r="S1354" s="39" t="n">
        <f aca="false">Resumo!$C$13</f>
        <v>13.55</v>
      </c>
      <c r="T1354" s="39" t="n">
        <f aca="false">Resumo!$C$14*CEILING(I1354,1)</f>
        <v>30.15</v>
      </c>
      <c r="U1354" s="39" t="n">
        <f aca="false">SUM(M1354:T1354)*Resumo!$C$11</f>
        <v>0</v>
      </c>
      <c r="V1354" s="39" t="n">
        <f aca="false">SUM(M1354:U1354)</f>
        <v>124.239958</v>
      </c>
      <c r="W1354" s="39" t="n">
        <f aca="false">V1354/(1-Resumo!$C$5)</f>
        <v>141.181770454545</v>
      </c>
      <c r="X1354" s="39" t="n">
        <v>131.02</v>
      </c>
      <c r="Y1354" s="39" t="n">
        <f aca="false">J1354*Resumo!$B$6</f>
        <v>0.69999</v>
      </c>
      <c r="Z1354" s="39" t="n">
        <f aca="false">J1354*Resumo!$B$7</f>
        <v>1.39998</v>
      </c>
      <c r="AA1354" s="39" t="n">
        <f aca="false">Resumo!$B$9</f>
        <v>1</v>
      </c>
      <c r="AB1354" s="39" t="n">
        <f aca="false">Resumo!$B$10*CEILING(I1354/100,1)</f>
        <v>4.5</v>
      </c>
      <c r="AC1354" s="39" t="n">
        <f aca="false">Resumo!$B$12*CEILING(I1354,1)</f>
        <v>4.02</v>
      </c>
      <c r="AD1354" s="39" t="n">
        <f aca="false">Resumo!$B$14*CEILING(I1354,1)</f>
        <v>30.15</v>
      </c>
      <c r="AE1354" s="39" t="n">
        <f aca="false">SUM(X1354:AD1354)</f>
        <v>172.78997</v>
      </c>
      <c r="AF1354" s="39" t="n">
        <f aca="false">AE1354/(1-Resumo!$B$5)</f>
        <v>196.352238636364</v>
      </c>
      <c r="AG1354" s="39" t="n">
        <f aca="false">AF1354-W1354</f>
        <v>55.1704681818182</v>
      </c>
      <c r="AH1354" s="40" t="n">
        <f aca="false">AF1354/W1354-1</f>
        <v>0.390776146270108</v>
      </c>
      <c r="AI1354" s="37" t="str">
        <f aca="false">IF(AF1354&lt;W1354,"SIM","NÃO")</f>
        <v>NÃO</v>
      </c>
      <c r="AJ1354" s="37" t="n">
        <v>2</v>
      </c>
      <c r="AK1354" s="37" t="n">
        <v>5</v>
      </c>
      <c r="AL1354" s="37" t="s">
        <v>343</v>
      </c>
      <c r="AM1354" s="39" t="n">
        <v>139.79</v>
      </c>
    </row>
    <row r="1355" customFormat="false" ht="15" hidden="false" customHeight="false" outlineLevel="0" collapsed="false">
      <c r="A1355" s="37" t="n">
        <v>381048390</v>
      </c>
      <c r="B1355" s="38" t="n">
        <v>46257.0012037037</v>
      </c>
      <c r="C1355" s="37" t="s">
        <v>340</v>
      </c>
      <c r="D1355" s="37" t="s">
        <v>1602</v>
      </c>
      <c r="E1355" s="37" t="n">
        <v>22270016</v>
      </c>
      <c r="F1355" s="37" t="s">
        <v>159</v>
      </c>
      <c r="G1355" s="37" t="s">
        <v>196</v>
      </c>
      <c r="H1355" s="37" t="s">
        <v>186</v>
      </c>
      <c r="I1355" s="37" t="n">
        <v>48</v>
      </c>
      <c r="J1355" s="39" t="n">
        <v>899.99</v>
      </c>
      <c r="K1355" s="37" t="s">
        <v>342</v>
      </c>
      <c r="L1355" s="39" t="n">
        <v>104.9</v>
      </c>
      <c r="M1355" s="39" t="n">
        <v>53.55</v>
      </c>
      <c r="N1355" s="39" t="n">
        <f aca="false">J1355*Resumo!$C$6</f>
        <v>0</v>
      </c>
      <c r="O1355" s="39" t="n">
        <f aca="false">J1355*Resumo!$C$7</f>
        <v>1.889979</v>
      </c>
      <c r="P1355" s="39" t="n">
        <f aca="false">J1355*Resumo!$C$8</f>
        <v>1.889979</v>
      </c>
      <c r="Q1355" s="39" t="n">
        <f aca="false">Resumo!$C$10*CEILING(I1355/100,1)</f>
        <v>1.05</v>
      </c>
      <c r="R1355" s="39" t="n">
        <f aca="false">Resumo!$C$9</f>
        <v>0</v>
      </c>
      <c r="S1355" s="39" t="n">
        <f aca="false">Resumo!$C$13</f>
        <v>13.55</v>
      </c>
      <c r="T1355" s="39" t="n">
        <f aca="false">Resumo!$C$14*CEILING(I1355,1)</f>
        <v>21.6</v>
      </c>
      <c r="U1355" s="39" t="n">
        <f aca="false">SUM(M1355:T1355)*Resumo!$C$11</f>
        <v>0</v>
      </c>
      <c r="V1355" s="39" t="n">
        <f aca="false">SUM(M1355:U1355)</f>
        <v>93.529958</v>
      </c>
      <c r="W1355" s="39" t="n">
        <f aca="false">V1355/(1-Resumo!$C$5)</f>
        <v>106.284043181818</v>
      </c>
      <c r="X1355" s="39" t="n">
        <v>93.97</v>
      </c>
      <c r="Y1355" s="39" t="n">
        <f aca="false">J1355*Resumo!$B$6</f>
        <v>0.89999</v>
      </c>
      <c r="Z1355" s="39" t="n">
        <f aca="false">J1355*Resumo!$B$7</f>
        <v>1.79998</v>
      </c>
      <c r="AA1355" s="39" t="n">
        <f aca="false">Resumo!$B$9</f>
        <v>1</v>
      </c>
      <c r="AB1355" s="39" t="n">
        <f aca="false">Resumo!$B$10*CEILING(I1355/100,1)</f>
        <v>4.5</v>
      </c>
      <c r="AC1355" s="39" t="n">
        <f aca="false">Resumo!$B$12*CEILING(I1355,1)</f>
        <v>2.88</v>
      </c>
      <c r="AD1355" s="39" t="n">
        <f aca="false">Resumo!$B$14*CEILING(I1355,1)</f>
        <v>21.6</v>
      </c>
      <c r="AE1355" s="39" t="n">
        <f aca="false">SUM(X1355:AD1355)</f>
        <v>126.64997</v>
      </c>
      <c r="AF1355" s="39" t="n">
        <f aca="false">AE1355/(1-Resumo!$B$5)</f>
        <v>143.920420454545</v>
      </c>
      <c r="AG1355" s="39" t="n">
        <f aca="false">AF1355-W1355</f>
        <v>37.6363772727273</v>
      </c>
      <c r="AH1355" s="40" t="n">
        <f aca="false">AF1355/W1355-1</f>
        <v>0.354111267750168</v>
      </c>
      <c r="AI1355" s="37" t="str">
        <f aca="false">IF(AF1355&lt;W1355,"SIM","NÃO")</f>
        <v>NÃO</v>
      </c>
      <c r="AJ1355" s="37" t="n">
        <v>2</v>
      </c>
      <c r="AK1355" s="37" t="n">
        <v>5</v>
      </c>
      <c r="AL1355" s="37" t="s">
        <v>343</v>
      </c>
      <c r="AM1355" s="39" t="n">
        <v>104.9</v>
      </c>
    </row>
    <row r="1356" customFormat="false" ht="15" hidden="false" customHeight="false" outlineLevel="0" collapsed="false">
      <c r="A1356" s="37" t="n">
        <v>381178984</v>
      </c>
      <c r="B1356" s="38" t="n">
        <v>46257.1960763889</v>
      </c>
      <c r="C1356" s="37" t="s">
        <v>345</v>
      </c>
      <c r="D1356" s="37" t="s">
        <v>1603</v>
      </c>
      <c r="E1356" s="37" t="n">
        <v>23025034</v>
      </c>
      <c r="F1356" s="37" t="s">
        <v>159</v>
      </c>
      <c r="G1356" s="37" t="s">
        <v>196</v>
      </c>
      <c r="H1356" s="37" t="s">
        <v>186</v>
      </c>
      <c r="I1356" s="37" t="n">
        <v>41.4</v>
      </c>
      <c r="J1356" s="39" t="n">
        <v>387</v>
      </c>
      <c r="K1356" s="37" t="s">
        <v>342</v>
      </c>
      <c r="L1356" s="39" t="n">
        <v>102.43</v>
      </c>
      <c r="M1356" s="39" t="n">
        <v>53.55</v>
      </c>
      <c r="N1356" s="39" t="n">
        <f aca="false">J1356*Resumo!$C$6</f>
        <v>0</v>
      </c>
      <c r="O1356" s="39" t="n">
        <f aca="false">J1356*Resumo!$C$7</f>
        <v>0.8127</v>
      </c>
      <c r="P1356" s="39" t="n">
        <f aca="false">J1356*Resumo!$C$8</f>
        <v>0.8127</v>
      </c>
      <c r="Q1356" s="39" t="n">
        <f aca="false">Resumo!$C$10*CEILING(I1356/100,1)</f>
        <v>1.05</v>
      </c>
      <c r="R1356" s="39" t="n">
        <f aca="false">Resumo!$C$9</f>
        <v>0</v>
      </c>
      <c r="S1356" s="39" t="n">
        <f aca="false">Resumo!$C$13</f>
        <v>13.55</v>
      </c>
      <c r="T1356" s="39" t="n">
        <f aca="false">Resumo!$C$14*CEILING(I1356,1)</f>
        <v>18.9</v>
      </c>
      <c r="U1356" s="39" t="n">
        <f aca="false">SUM(M1356:T1356)*Resumo!$C$11</f>
        <v>0</v>
      </c>
      <c r="V1356" s="39" t="n">
        <f aca="false">SUM(M1356:U1356)</f>
        <v>88.6754</v>
      </c>
      <c r="W1356" s="39" t="n">
        <f aca="false">V1356/(1-Resumo!$C$5)</f>
        <v>100.7675</v>
      </c>
      <c r="X1356" s="39" t="n">
        <v>93.97</v>
      </c>
      <c r="Y1356" s="39" t="n">
        <f aca="false">J1356*Resumo!$B$6</f>
        <v>0.387</v>
      </c>
      <c r="Z1356" s="39" t="n">
        <f aca="false">J1356*Resumo!$B$7</f>
        <v>0.774</v>
      </c>
      <c r="AA1356" s="39" t="n">
        <f aca="false">Resumo!$B$9</f>
        <v>1</v>
      </c>
      <c r="AB1356" s="39" t="n">
        <f aca="false">Resumo!$B$10*CEILING(I1356/100,1)</f>
        <v>4.5</v>
      </c>
      <c r="AC1356" s="39" t="n">
        <f aca="false">Resumo!$B$12*CEILING(I1356,1)</f>
        <v>2.52</v>
      </c>
      <c r="AD1356" s="39" t="n">
        <f aca="false">Resumo!$B$14*CEILING(I1356,1)</f>
        <v>18.9</v>
      </c>
      <c r="AE1356" s="39" t="n">
        <f aca="false">SUM(X1356:AD1356)</f>
        <v>122.051</v>
      </c>
      <c r="AF1356" s="39" t="n">
        <f aca="false">AE1356/(1-Resumo!$B$5)</f>
        <v>138.694318181818</v>
      </c>
      <c r="AG1356" s="39" t="n">
        <f aca="false">AF1356-W1356</f>
        <v>37.9268181818182</v>
      </c>
      <c r="AH1356" s="40" t="n">
        <f aca="false">AF1356/W1356-1</f>
        <v>0.376379469390609</v>
      </c>
      <c r="AI1356" s="37" t="str">
        <f aca="false">IF(AF1356&lt;W1356,"SIM","NÃO")</f>
        <v>NÃO</v>
      </c>
      <c r="AJ1356" s="37" t="n">
        <v>2</v>
      </c>
      <c r="AK1356" s="37" t="n">
        <v>5</v>
      </c>
      <c r="AL1356" s="37" t="s">
        <v>343</v>
      </c>
      <c r="AM1356" s="39" t="n">
        <v>102.44</v>
      </c>
    </row>
    <row r="1357" customFormat="false" ht="15" hidden="false" customHeight="false" outlineLevel="0" collapsed="false">
      <c r="A1357" s="37" t="n">
        <v>381232733</v>
      </c>
      <c r="B1357" s="38" t="n">
        <v>46257.3109837963</v>
      </c>
      <c r="C1357" s="37" t="s">
        <v>340</v>
      </c>
      <c r="D1357" s="37" t="s">
        <v>1604</v>
      </c>
      <c r="E1357" s="37" t="n">
        <v>25261100</v>
      </c>
      <c r="F1357" s="37" t="s">
        <v>161</v>
      </c>
      <c r="G1357" s="37" t="s">
        <v>197</v>
      </c>
      <c r="H1357" s="37" t="s">
        <v>184</v>
      </c>
      <c r="I1357" s="37" t="n">
        <v>31.5</v>
      </c>
      <c r="J1357" s="39" t="n">
        <v>429.99</v>
      </c>
      <c r="K1357" s="37" t="s">
        <v>342</v>
      </c>
      <c r="L1357" s="39" t="n">
        <v>101.44</v>
      </c>
      <c r="M1357" s="39" t="n">
        <v>58.8</v>
      </c>
      <c r="N1357" s="39" t="n">
        <f aca="false">J1357*Resumo!$C$6</f>
        <v>0</v>
      </c>
      <c r="O1357" s="39" t="n">
        <f aca="false">J1357*Resumo!$C$7</f>
        <v>0.902979</v>
      </c>
      <c r="P1357" s="39" t="n">
        <f aca="false">J1357*Resumo!$C$8</f>
        <v>0.902979</v>
      </c>
      <c r="Q1357" s="39" t="n">
        <f aca="false">Resumo!$C$10*CEILING(I1357/100,1)</f>
        <v>1.05</v>
      </c>
      <c r="R1357" s="39" t="n">
        <f aca="false">Resumo!$C$9</f>
        <v>0</v>
      </c>
      <c r="S1357" s="39" t="n">
        <f aca="false">Resumo!$C$13</f>
        <v>13.55</v>
      </c>
      <c r="T1357" s="39" t="n">
        <f aca="false">Resumo!$C$14*CEILING(I1357,1)</f>
        <v>14.4</v>
      </c>
      <c r="U1357" s="39" t="n">
        <f aca="false">SUM(M1357:T1357)*Resumo!$C$11</f>
        <v>0</v>
      </c>
      <c r="V1357" s="39" t="n">
        <f aca="false">SUM(M1357:U1357)</f>
        <v>89.605958</v>
      </c>
      <c r="W1357" s="39" t="n">
        <f aca="false">V1357/(1-Resumo!$C$5)</f>
        <v>101.824952272727</v>
      </c>
      <c r="X1357" s="39" t="n">
        <v>82.21</v>
      </c>
      <c r="Y1357" s="39" t="n">
        <f aca="false">J1357*Resumo!$B$6</f>
        <v>0.42999</v>
      </c>
      <c r="Z1357" s="39" t="n">
        <f aca="false">J1357*Resumo!$B$7</f>
        <v>0.85998</v>
      </c>
      <c r="AA1357" s="39" t="n">
        <f aca="false">Resumo!$B$9</f>
        <v>1</v>
      </c>
      <c r="AB1357" s="39" t="n">
        <f aca="false">Resumo!$B$10*CEILING(I1357/100,1)</f>
        <v>4.5</v>
      </c>
      <c r="AC1357" s="39" t="n">
        <f aca="false">Resumo!$B$12*CEILING(I1357,1)</f>
        <v>1.92</v>
      </c>
      <c r="AD1357" s="39" t="n">
        <f aca="false">Resumo!$B$14*CEILING(I1357,1)</f>
        <v>14.4</v>
      </c>
      <c r="AE1357" s="39" t="n">
        <f aca="false">SUM(X1357:AD1357)</f>
        <v>105.31997</v>
      </c>
      <c r="AF1357" s="39" t="n">
        <f aca="false">AE1357/(1-Resumo!$B$5)</f>
        <v>119.681784090909</v>
      </c>
      <c r="AG1357" s="39" t="n">
        <f aca="false">AF1357-W1357</f>
        <v>17.8568318181818</v>
      </c>
      <c r="AH1357" s="40" t="n">
        <f aca="false">AF1357/W1357-1</f>
        <v>0.175367937029366</v>
      </c>
      <c r="AI1357" s="37" t="str">
        <f aca="false">IF(AF1357&lt;W1357,"SIM","NÃO")</f>
        <v>NÃO</v>
      </c>
      <c r="AJ1357" s="37" t="n">
        <v>2</v>
      </c>
      <c r="AK1357" s="37" t="n">
        <v>5</v>
      </c>
      <c r="AL1357" s="37" t="s">
        <v>343</v>
      </c>
      <c r="AM1357" s="39" t="n">
        <v>101.45</v>
      </c>
    </row>
    <row r="1358" customFormat="false" ht="15" hidden="false" customHeight="false" outlineLevel="0" collapsed="false">
      <c r="A1358" s="37" t="n">
        <v>381234748</v>
      </c>
      <c r="B1358" s="38" t="n">
        <v>46257.3203356482</v>
      </c>
      <c r="C1358" s="37" t="s">
        <v>340</v>
      </c>
      <c r="D1358" s="37" t="s">
        <v>1605</v>
      </c>
      <c r="E1358" s="37" t="n">
        <v>23068320</v>
      </c>
      <c r="F1358" s="37" t="s">
        <v>159</v>
      </c>
      <c r="G1358" s="37" t="s">
        <v>196</v>
      </c>
      <c r="H1358" s="37" t="s">
        <v>183</v>
      </c>
      <c r="I1358" s="37" t="n">
        <v>19.5</v>
      </c>
      <c r="J1358" s="39" t="n">
        <v>348.32</v>
      </c>
      <c r="K1358" s="37" t="s">
        <v>385</v>
      </c>
      <c r="L1358" s="39" t="n">
        <v>70.42</v>
      </c>
      <c r="M1358" s="39" t="n">
        <v>33.42</v>
      </c>
      <c r="N1358" s="39" t="n">
        <f aca="false">J1358*Resumo!$C$6</f>
        <v>0</v>
      </c>
      <c r="O1358" s="39" t="n">
        <f aca="false">J1358*Resumo!$C$7</f>
        <v>0.731472</v>
      </c>
      <c r="P1358" s="39" t="n">
        <f aca="false">J1358*Resumo!$C$8</f>
        <v>0.731472</v>
      </c>
      <c r="Q1358" s="39" t="n">
        <f aca="false">Resumo!$C$10*CEILING(I1358/100,1)</f>
        <v>1.05</v>
      </c>
      <c r="R1358" s="39" t="n">
        <f aca="false">Resumo!$C$9</f>
        <v>0</v>
      </c>
      <c r="S1358" s="39" t="n">
        <f aca="false">Resumo!$C$13</f>
        <v>13.55</v>
      </c>
      <c r="T1358" s="39" t="n">
        <f aca="false">Resumo!$C$14*CEILING(I1358,1)</f>
        <v>9</v>
      </c>
      <c r="U1358" s="39" t="n">
        <f aca="false">SUM(M1358:T1358)*Resumo!$C$11</f>
        <v>0</v>
      </c>
      <c r="V1358" s="39" t="n">
        <f aca="false">SUM(M1358:U1358)</f>
        <v>58.482944</v>
      </c>
      <c r="W1358" s="39" t="n">
        <f aca="false">V1358/(1-Resumo!$C$5)</f>
        <v>66.4578909090909</v>
      </c>
      <c r="X1358" s="39" t="n">
        <v>46.98</v>
      </c>
      <c r="Y1358" s="39" t="n">
        <f aca="false">J1358*Resumo!$B$6</f>
        <v>0.34832</v>
      </c>
      <c r="Z1358" s="39" t="n">
        <f aca="false">J1358*Resumo!$B$7</f>
        <v>0.69664</v>
      </c>
      <c r="AA1358" s="39" t="n">
        <f aca="false">Resumo!$B$9</f>
        <v>1</v>
      </c>
      <c r="AB1358" s="39" t="n">
        <f aca="false">Resumo!$B$10*CEILING(I1358/100,1)</f>
        <v>4.5</v>
      </c>
      <c r="AC1358" s="39" t="n">
        <f aca="false">Resumo!$B$12*CEILING(I1358,1)</f>
        <v>1.2</v>
      </c>
      <c r="AD1358" s="39" t="n">
        <f aca="false">Resumo!$B$14*CEILING(I1358,1)</f>
        <v>9</v>
      </c>
      <c r="AE1358" s="39" t="n">
        <f aca="false">SUM(X1358:AD1358)</f>
        <v>63.72496</v>
      </c>
      <c r="AF1358" s="39" t="n">
        <f aca="false">AE1358/(1-Resumo!$B$5)</f>
        <v>72.4147272727273</v>
      </c>
      <c r="AG1358" s="39" t="n">
        <f aca="false">AF1358-W1358</f>
        <v>5.95683636363636</v>
      </c>
      <c r="AH1358" s="40" t="n">
        <f aca="false">AF1358/W1358-1</f>
        <v>0.0896332441814145</v>
      </c>
      <c r="AI1358" s="37" t="str">
        <f aca="false">IF(AF1358&lt;W1358,"SIM","NÃO")</f>
        <v>NÃO</v>
      </c>
      <c r="AJ1358" s="37" t="n">
        <v>2</v>
      </c>
      <c r="AK1358" s="37" t="n">
        <v>5</v>
      </c>
      <c r="AL1358" s="37" t="s">
        <v>343</v>
      </c>
      <c r="AM1358" s="39" t="n">
        <v>64.89</v>
      </c>
    </row>
    <row r="1359" customFormat="false" ht="15" hidden="false" customHeight="false" outlineLevel="0" collapsed="false">
      <c r="A1359" s="37" t="n">
        <v>381239839</v>
      </c>
      <c r="B1359" s="38" t="n">
        <v>46257.3430208333</v>
      </c>
      <c r="C1359" s="37" t="s">
        <v>345</v>
      </c>
      <c r="D1359" s="37" t="s">
        <v>1606</v>
      </c>
      <c r="E1359" s="37" t="n">
        <v>24851564</v>
      </c>
      <c r="F1359" s="37" t="s">
        <v>174</v>
      </c>
      <c r="G1359" s="37" t="s">
        <v>198</v>
      </c>
      <c r="H1359" s="37" t="s">
        <v>188</v>
      </c>
      <c r="I1359" s="37" t="n">
        <v>63</v>
      </c>
      <c r="J1359" s="39" t="n">
        <v>942.65</v>
      </c>
      <c r="K1359" s="37" t="s">
        <v>342</v>
      </c>
      <c r="L1359" s="39" t="n">
        <v>156.55</v>
      </c>
      <c r="M1359" s="39" t="n">
        <v>90.2</v>
      </c>
      <c r="N1359" s="39" t="n">
        <f aca="false">J1359*Resumo!$C$6</f>
        <v>0</v>
      </c>
      <c r="O1359" s="39" t="n">
        <f aca="false">J1359*Resumo!$C$7</f>
        <v>1.979565</v>
      </c>
      <c r="P1359" s="39" t="n">
        <f aca="false">J1359*Resumo!$C$8</f>
        <v>1.979565</v>
      </c>
      <c r="Q1359" s="39" t="n">
        <f aca="false">Resumo!$C$10*CEILING(I1359/100,1)</f>
        <v>1.05</v>
      </c>
      <c r="R1359" s="39" t="n">
        <f aca="false">Resumo!$C$9</f>
        <v>0</v>
      </c>
      <c r="S1359" s="39" t="n">
        <f aca="false">Resumo!$C$13</f>
        <v>13.55</v>
      </c>
      <c r="T1359" s="39" t="n">
        <f aca="false">Resumo!$C$14*CEILING(I1359,1)</f>
        <v>28.35</v>
      </c>
      <c r="U1359" s="39" t="n">
        <f aca="false">SUM(M1359:T1359)*Resumo!$C$11</f>
        <v>0</v>
      </c>
      <c r="V1359" s="39" t="n">
        <f aca="false">SUM(M1359:U1359)</f>
        <v>137.10913</v>
      </c>
      <c r="W1359" s="39" t="n">
        <f aca="false">V1359/(1-Resumo!$C$5)</f>
        <v>155.805829545455</v>
      </c>
      <c r="X1359" s="39" t="n">
        <v>149.5</v>
      </c>
      <c r="Y1359" s="39" t="n">
        <f aca="false">J1359*Resumo!$B$6</f>
        <v>0.94265</v>
      </c>
      <c r="Z1359" s="39" t="n">
        <f aca="false">J1359*Resumo!$B$7</f>
        <v>1.8853</v>
      </c>
      <c r="AA1359" s="39" t="n">
        <f aca="false">Resumo!$B$9</f>
        <v>1</v>
      </c>
      <c r="AB1359" s="39" t="n">
        <f aca="false">Resumo!$B$10*CEILING(I1359/100,1)</f>
        <v>4.5</v>
      </c>
      <c r="AC1359" s="39" t="n">
        <f aca="false">Resumo!$B$12*CEILING(I1359,1)</f>
        <v>3.78</v>
      </c>
      <c r="AD1359" s="39" t="n">
        <f aca="false">Resumo!$B$14*CEILING(I1359,1)</f>
        <v>28.35</v>
      </c>
      <c r="AE1359" s="39" t="n">
        <f aca="false">SUM(X1359:AD1359)</f>
        <v>189.95795</v>
      </c>
      <c r="AF1359" s="39" t="n">
        <f aca="false">AE1359/(1-Resumo!$B$5)</f>
        <v>215.861306818182</v>
      </c>
      <c r="AG1359" s="39" t="n">
        <f aca="false">AF1359-W1359</f>
        <v>60.0554772727272</v>
      </c>
      <c r="AH1359" s="40" t="n">
        <f aca="false">AF1359/W1359-1</f>
        <v>0.385450771950781</v>
      </c>
      <c r="AI1359" s="37" t="str">
        <f aca="false">IF(AF1359&lt;W1359,"SIM","NÃO")</f>
        <v>NÃO</v>
      </c>
      <c r="AJ1359" s="37" t="n">
        <v>13</v>
      </c>
      <c r="AK1359" s="37" t="n">
        <v>7</v>
      </c>
      <c r="AL1359" s="37" t="s">
        <v>343</v>
      </c>
      <c r="AM1359" s="39" t="n">
        <v>156.54</v>
      </c>
    </row>
    <row r="1360" customFormat="false" ht="15" hidden="false" customHeight="false" outlineLevel="0" collapsed="false">
      <c r="A1360" s="37" t="n">
        <v>381273576</v>
      </c>
      <c r="B1360" s="38" t="n">
        <v>46257.391099537</v>
      </c>
      <c r="C1360" s="37" t="s">
        <v>340</v>
      </c>
      <c r="D1360" s="37" t="s">
        <v>1607</v>
      </c>
      <c r="E1360" s="37" t="n">
        <v>22763153</v>
      </c>
      <c r="F1360" s="37" t="s">
        <v>159</v>
      </c>
      <c r="G1360" s="37" t="s">
        <v>196</v>
      </c>
      <c r="H1360" s="37" t="s">
        <v>186</v>
      </c>
      <c r="I1360" s="37" t="n">
        <v>41.4</v>
      </c>
      <c r="J1360" s="39" t="n">
        <v>449.99</v>
      </c>
      <c r="K1360" s="37" t="s">
        <v>342</v>
      </c>
      <c r="L1360" s="39" t="n">
        <v>102.74</v>
      </c>
      <c r="M1360" s="39" t="n">
        <v>53.55</v>
      </c>
      <c r="N1360" s="39" t="n">
        <f aca="false">J1360*Resumo!$C$6</f>
        <v>0</v>
      </c>
      <c r="O1360" s="39" t="n">
        <f aca="false">J1360*Resumo!$C$7</f>
        <v>0.944979</v>
      </c>
      <c r="P1360" s="39" t="n">
        <f aca="false">J1360*Resumo!$C$8</f>
        <v>0.944979</v>
      </c>
      <c r="Q1360" s="39" t="n">
        <f aca="false">Resumo!$C$10*CEILING(I1360/100,1)</f>
        <v>1.05</v>
      </c>
      <c r="R1360" s="39" t="n">
        <f aca="false">Resumo!$C$9</f>
        <v>0</v>
      </c>
      <c r="S1360" s="39" t="n">
        <f aca="false">Resumo!$C$13</f>
        <v>13.55</v>
      </c>
      <c r="T1360" s="39" t="n">
        <f aca="false">Resumo!$C$14*CEILING(I1360,1)</f>
        <v>18.9</v>
      </c>
      <c r="U1360" s="39" t="n">
        <f aca="false">SUM(M1360:T1360)*Resumo!$C$11</f>
        <v>0</v>
      </c>
      <c r="V1360" s="39" t="n">
        <f aca="false">SUM(M1360:U1360)</f>
        <v>88.939958</v>
      </c>
      <c r="W1360" s="39" t="n">
        <f aca="false">V1360/(1-Resumo!$C$5)</f>
        <v>101.068134090909</v>
      </c>
      <c r="X1360" s="39" t="n">
        <v>93.97</v>
      </c>
      <c r="Y1360" s="39" t="n">
        <f aca="false">J1360*Resumo!$B$6</f>
        <v>0.44999</v>
      </c>
      <c r="Z1360" s="39" t="n">
        <f aca="false">J1360*Resumo!$B$7</f>
        <v>0.89998</v>
      </c>
      <c r="AA1360" s="39" t="n">
        <f aca="false">Resumo!$B$9</f>
        <v>1</v>
      </c>
      <c r="AB1360" s="39" t="n">
        <f aca="false">Resumo!$B$10*CEILING(I1360/100,1)</f>
        <v>4.5</v>
      </c>
      <c r="AC1360" s="39" t="n">
        <f aca="false">Resumo!$B$12*CEILING(I1360,1)</f>
        <v>2.52</v>
      </c>
      <c r="AD1360" s="39" t="n">
        <f aca="false">Resumo!$B$14*CEILING(I1360,1)</f>
        <v>18.9</v>
      </c>
      <c r="AE1360" s="39" t="n">
        <f aca="false">SUM(X1360:AD1360)</f>
        <v>122.23997</v>
      </c>
      <c r="AF1360" s="39" t="n">
        <f aca="false">AE1360/(1-Resumo!$B$5)</f>
        <v>138.909056818182</v>
      </c>
      <c r="AG1360" s="39" t="n">
        <f aca="false">AF1360-W1360</f>
        <v>37.8409227272727</v>
      </c>
      <c r="AH1360" s="40" t="n">
        <f aca="false">AF1360/W1360-1</f>
        <v>0.374410026143705</v>
      </c>
      <c r="AI1360" s="37" t="str">
        <f aca="false">IF(AF1360&lt;W1360,"SIM","NÃO")</f>
        <v>NÃO</v>
      </c>
      <c r="AJ1360" s="37" t="n">
        <v>2</v>
      </c>
      <c r="AK1360" s="37" t="n">
        <v>5</v>
      </c>
      <c r="AL1360" s="37" t="s">
        <v>343</v>
      </c>
      <c r="AM1360" s="39" t="n">
        <v>102.74</v>
      </c>
    </row>
    <row r="1361" customFormat="false" ht="15" hidden="false" customHeight="false" outlineLevel="0" collapsed="false">
      <c r="A1361" s="37" t="n">
        <v>381396282</v>
      </c>
      <c r="B1361" s="38" t="n">
        <v>46257.4339583333</v>
      </c>
      <c r="C1361" s="37" t="s">
        <v>345</v>
      </c>
      <c r="D1361" s="37" t="s">
        <v>1608</v>
      </c>
      <c r="E1361" s="37" t="n">
        <v>23036053</v>
      </c>
      <c r="F1361" s="37" t="s">
        <v>159</v>
      </c>
      <c r="G1361" s="37" t="s">
        <v>196</v>
      </c>
      <c r="H1361" s="37" t="s">
        <v>191</v>
      </c>
      <c r="I1361" s="37" t="n">
        <v>100.4</v>
      </c>
      <c r="J1361" s="39" t="n">
        <v>1151.99</v>
      </c>
      <c r="K1361" s="37" t="s">
        <v>342</v>
      </c>
      <c r="L1361" s="39" t="n">
        <v>185.15</v>
      </c>
      <c r="M1361" s="39" t="n">
        <v>92.34</v>
      </c>
      <c r="N1361" s="39" t="n">
        <f aca="false">J1361*Resumo!$C$6</f>
        <v>0</v>
      </c>
      <c r="O1361" s="39" t="n">
        <f aca="false">J1361*Resumo!$C$7</f>
        <v>2.419179</v>
      </c>
      <c r="P1361" s="39" t="n">
        <f aca="false">J1361*Resumo!$C$8</f>
        <v>2.419179</v>
      </c>
      <c r="Q1361" s="39" t="n">
        <f aca="false">Resumo!$C$10*CEILING(I1361/100,1)</f>
        <v>2.1</v>
      </c>
      <c r="R1361" s="39" t="n">
        <f aca="false">Resumo!$C$9</f>
        <v>0</v>
      </c>
      <c r="S1361" s="39" t="n">
        <f aca="false">Resumo!$C$13</f>
        <v>13.55</v>
      </c>
      <c r="T1361" s="39" t="n">
        <f aca="false">Resumo!$C$14*CEILING(I1361,1)</f>
        <v>45.45</v>
      </c>
      <c r="U1361" s="39" t="n">
        <f aca="false">SUM(M1361:T1361)*Resumo!$C$11</f>
        <v>0</v>
      </c>
      <c r="V1361" s="39" t="n">
        <f aca="false">SUM(M1361:U1361)</f>
        <v>158.278358</v>
      </c>
      <c r="W1361" s="39" t="n">
        <f aca="false">V1361/(1-Resumo!$C$5)</f>
        <v>179.861770454545</v>
      </c>
      <c r="X1361" s="39" t="n">
        <v>201.59</v>
      </c>
      <c r="Y1361" s="39" t="n">
        <f aca="false">J1361*Resumo!$B$6</f>
        <v>1.15199</v>
      </c>
      <c r="Z1361" s="39" t="n">
        <f aca="false">J1361*Resumo!$B$7</f>
        <v>2.30398</v>
      </c>
      <c r="AA1361" s="39" t="n">
        <f aca="false">Resumo!$B$9</f>
        <v>1</v>
      </c>
      <c r="AB1361" s="39" t="n">
        <f aca="false">Resumo!$B$10*CEILING(I1361/100,1)</f>
        <v>9</v>
      </c>
      <c r="AC1361" s="39" t="n">
        <f aca="false">Resumo!$B$12*CEILING(I1361,1)</f>
        <v>6.06</v>
      </c>
      <c r="AD1361" s="39" t="n">
        <f aca="false">Resumo!$B$14*CEILING(I1361,1)</f>
        <v>45.45</v>
      </c>
      <c r="AE1361" s="39" t="n">
        <f aca="false">SUM(X1361:AD1361)</f>
        <v>266.55597</v>
      </c>
      <c r="AF1361" s="39" t="n">
        <f aca="false">AE1361/(1-Resumo!$B$5)</f>
        <v>302.904511363636</v>
      </c>
      <c r="AG1361" s="39" t="n">
        <f aca="false">AF1361-W1361</f>
        <v>123.042740909091</v>
      </c>
      <c r="AH1361" s="40" t="n">
        <f aca="false">AF1361/W1361-1</f>
        <v>0.684096128922439</v>
      </c>
      <c r="AI1361" s="37" t="str">
        <f aca="false">IF(AF1361&lt;W1361,"SIM","NÃO")</f>
        <v>NÃO</v>
      </c>
      <c r="AJ1361" s="37" t="n">
        <v>2</v>
      </c>
      <c r="AK1361" s="37" t="n">
        <v>5</v>
      </c>
      <c r="AL1361" s="37" t="s">
        <v>343</v>
      </c>
      <c r="AM1361" s="39" t="n">
        <v>185.16</v>
      </c>
    </row>
    <row r="1362" customFormat="false" ht="15" hidden="false" customHeight="false" outlineLevel="0" collapsed="false">
      <c r="A1362" s="37" t="n">
        <v>381324357</v>
      </c>
      <c r="B1362" s="38" t="n">
        <v>46257.4597222222</v>
      </c>
      <c r="C1362" s="37" t="s">
        <v>372</v>
      </c>
      <c r="D1362" s="37" t="s">
        <v>1609</v>
      </c>
      <c r="E1362" s="37" t="n">
        <v>24457530</v>
      </c>
      <c r="F1362" s="37" t="s">
        <v>160</v>
      </c>
      <c r="G1362" s="37" t="s">
        <v>197</v>
      </c>
      <c r="H1362" s="37" t="s">
        <v>189</v>
      </c>
      <c r="I1362" s="37" t="n">
        <v>73</v>
      </c>
      <c r="J1362" s="39" t="n">
        <v>999.99</v>
      </c>
      <c r="K1362" s="37" t="s">
        <v>342</v>
      </c>
      <c r="L1362" s="39" t="n">
        <v>152.8</v>
      </c>
      <c r="M1362" s="39" t="n">
        <v>82.48</v>
      </c>
      <c r="N1362" s="39" t="n">
        <f aca="false">J1362*Resumo!$C$6</f>
        <v>0</v>
      </c>
      <c r="O1362" s="39" t="n">
        <f aca="false">J1362*Resumo!$C$7</f>
        <v>2.099979</v>
      </c>
      <c r="P1362" s="39" t="n">
        <f aca="false">J1362*Resumo!$C$8</f>
        <v>2.099979</v>
      </c>
      <c r="Q1362" s="39" t="n">
        <f aca="false">Resumo!$C$10*CEILING(I1362/100,1)</f>
        <v>1.05</v>
      </c>
      <c r="R1362" s="39" t="n">
        <f aca="false">Resumo!$C$9</f>
        <v>0</v>
      </c>
      <c r="S1362" s="39" t="n">
        <f aca="false">Resumo!$C$13</f>
        <v>13.55</v>
      </c>
      <c r="T1362" s="39" t="n">
        <f aca="false">Resumo!$C$14*CEILING(I1362,1)</f>
        <v>32.85</v>
      </c>
      <c r="U1362" s="39" t="n">
        <f aca="false">SUM(M1362:T1362)*Resumo!$C$11</f>
        <v>0</v>
      </c>
      <c r="V1362" s="39" t="n">
        <f aca="false">SUM(M1362:U1362)</f>
        <v>134.129958</v>
      </c>
      <c r="W1362" s="39" t="n">
        <f aca="false">V1362/(1-Resumo!$C$5)</f>
        <v>152.420406818182</v>
      </c>
      <c r="X1362" s="39" t="n">
        <v>142.74</v>
      </c>
      <c r="Y1362" s="39" t="n">
        <f aca="false">J1362*Resumo!$B$6</f>
        <v>0.99999</v>
      </c>
      <c r="Z1362" s="39" t="n">
        <f aca="false">J1362*Resumo!$B$7</f>
        <v>1.99998</v>
      </c>
      <c r="AA1362" s="39" t="n">
        <f aca="false">Resumo!$B$9</f>
        <v>1</v>
      </c>
      <c r="AB1362" s="39" t="n">
        <f aca="false">Resumo!$B$10*CEILING(I1362/100,1)</f>
        <v>4.5</v>
      </c>
      <c r="AC1362" s="39" t="n">
        <f aca="false">Resumo!$B$12*CEILING(I1362,1)</f>
        <v>4.38</v>
      </c>
      <c r="AD1362" s="39" t="n">
        <f aca="false">Resumo!$B$14*CEILING(I1362,1)</f>
        <v>32.85</v>
      </c>
      <c r="AE1362" s="39" t="n">
        <f aca="false">SUM(X1362:AD1362)</f>
        <v>188.46997</v>
      </c>
      <c r="AF1362" s="39" t="n">
        <f aca="false">AE1362/(1-Resumo!$B$5)</f>
        <v>214.170420454545</v>
      </c>
      <c r="AG1362" s="39" t="n">
        <f aca="false">AF1362-W1362</f>
        <v>61.7500136363636</v>
      </c>
      <c r="AH1362" s="40" t="n">
        <f aca="false">AF1362/W1362-1</f>
        <v>0.405129568444359</v>
      </c>
      <c r="AI1362" s="37" t="str">
        <f aca="false">IF(AF1362&lt;W1362,"SIM","NÃO")</f>
        <v>NÃO</v>
      </c>
      <c r="AJ1362" s="37" t="n">
        <v>2</v>
      </c>
      <c r="AK1362" s="37" t="n">
        <v>7</v>
      </c>
      <c r="AL1362" s="37" t="s">
        <v>343</v>
      </c>
      <c r="AM1362" s="39" t="n">
        <v>152.8</v>
      </c>
    </row>
    <row r="1363" customFormat="false" ht="15" hidden="false" customHeight="false" outlineLevel="0" collapsed="false">
      <c r="A1363" s="37" t="n">
        <v>381327904</v>
      </c>
      <c r="B1363" s="38" t="n">
        <v>46257.4608796296</v>
      </c>
      <c r="C1363" s="37" t="s">
        <v>345</v>
      </c>
      <c r="D1363" s="37" t="s">
        <v>1610</v>
      </c>
      <c r="E1363" s="37" t="n">
        <v>26087390</v>
      </c>
      <c r="F1363" s="37" t="s">
        <v>162</v>
      </c>
      <c r="G1363" s="37" t="s">
        <v>197</v>
      </c>
      <c r="H1363" s="37" t="s">
        <v>190</v>
      </c>
      <c r="I1363" s="37" t="n">
        <v>81.7</v>
      </c>
      <c r="J1363" s="39" t="n">
        <v>563</v>
      </c>
      <c r="K1363" s="37" t="s">
        <v>342</v>
      </c>
      <c r="L1363" s="39" t="n">
        <v>171.53</v>
      </c>
      <c r="M1363" s="39" t="n">
        <v>92.32</v>
      </c>
      <c r="N1363" s="39" t="n">
        <f aca="false">J1363*Resumo!$C$6</f>
        <v>0</v>
      </c>
      <c r="O1363" s="39" t="n">
        <f aca="false">J1363*Resumo!$C$7</f>
        <v>1.1823</v>
      </c>
      <c r="P1363" s="39" t="n">
        <f aca="false">J1363*Resumo!$C$8</f>
        <v>1.1823</v>
      </c>
      <c r="Q1363" s="39" t="n">
        <f aca="false">Resumo!$C$10*CEILING(I1363/100,1)</f>
        <v>1.05</v>
      </c>
      <c r="R1363" s="39" t="n">
        <f aca="false">Resumo!$C$9</f>
        <v>0</v>
      </c>
      <c r="S1363" s="39" t="n">
        <f aca="false">Resumo!$C$13</f>
        <v>13.55</v>
      </c>
      <c r="T1363" s="39" t="n">
        <f aca="false">Resumo!$C$14*CEILING(I1363,1)</f>
        <v>36.9</v>
      </c>
      <c r="U1363" s="39" t="n">
        <f aca="false">SUM(M1363:T1363)*Resumo!$C$11</f>
        <v>0</v>
      </c>
      <c r="V1363" s="39" t="n">
        <f aca="false">SUM(M1363:U1363)</f>
        <v>146.1846</v>
      </c>
      <c r="W1363" s="39" t="n">
        <f aca="false">V1363/(1-Resumo!$C$5)</f>
        <v>166.118863636364</v>
      </c>
      <c r="X1363" s="39" t="n">
        <v>167.99</v>
      </c>
      <c r="Y1363" s="39" t="n">
        <f aca="false">J1363*Resumo!$B$6</f>
        <v>0.563</v>
      </c>
      <c r="Z1363" s="39" t="n">
        <f aca="false">J1363*Resumo!$B$7</f>
        <v>1.126</v>
      </c>
      <c r="AA1363" s="39" t="n">
        <f aca="false">Resumo!$B$9</f>
        <v>1</v>
      </c>
      <c r="AB1363" s="39" t="n">
        <f aca="false">Resumo!$B$10*CEILING(I1363/100,1)</f>
        <v>4.5</v>
      </c>
      <c r="AC1363" s="39" t="n">
        <f aca="false">Resumo!$B$12*CEILING(I1363,1)</f>
        <v>4.92</v>
      </c>
      <c r="AD1363" s="39" t="n">
        <f aca="false">Resumo!$B$14*CEILING(I1363,1)</f>
        <v>36.9</v>
      </c>
      <c r="AE1363" s="39" t="n">
        <f aca="false">SUM(X1363:AD1363)</f>
        <v>216.999</v>
      </c>
      <c r="AF1363" s="39" t="n">
        <f aca="false">AE1363/(1-Resumo!$B$5)</f>
        <v>246.589772727273</v>
      </c>
      <c r="AG1363" s="39" t="n">
        <f aca="false">AF1363-W1363</f>
        <v>80.4709090909092</v>
      </c>
      <c r="AH1363" s="40" t="n">
        <f aca="false">AF1363/W1363-1</f>
        <v>0.484417647276116</v>
      </c>
      <c r="AI1363" s="37" t="str">
        <f aca="false">IF(AF1363&lt;W1363,"SIM","NÃO")</f>
        <v>NÃO</v>
      </c>
      <c r="AJ1363" s="37" t="n">
        <v>2</v>
      </c>
      <c r="AK1363" s="37" t="n">
        <v>5</v>
      </c>
      <c r="AL1363" s="37" t="s">
        <v>343</v>
      </c>
      <c r="AM1363" s="39" t="n">
        <v>171.52</v>
      </c>
    </row>
    <row r="1364" customFormat="false" ht="15" hidden="false" customHeight="false" outlineLevel="0" collapsed="false">
      <c r="A1364" s="37" t="n">
        <v>381336046</v>
      </c>
      <c r="B1364" s="38" t="n">
        <v>46257.4736226852</v>
      </c>
      <c r="C1364" s="37" t="s">
        <v>340</v>
      </c>
      <c r="D1364" s="37" t="s">
        <v>1611</v>
      </c>
      <c r="E1364" s="37" t="n">
        <v>26553161</v>
      </c>
      <c r="F1364" s="37" t="s">
        <v>175</v>
      </c>
      <c r="G1364" s="37" t="s">
        <v>197</v>
      </c>
      <c r="H1364" s="37" t="s">
        <v>184</v>
      </c>
      <c r="I1364" s="37" t="n">
        <v>33</v>
      </c>
      <c r="J1364" s="39" t="n">
        <v>499.69</v>
      </c>
      <c r="K1364" s="37" t="s">
        <v>342</v>
      </c>
      <c r="L1364" s="39" t="n">
        <v>101.78</v>
      </c>
      <c r="M1364" s="39" t="n">
        <v>58.8</v>
      </c>
      <c r="N1364" s="39" t="n">
        <f aca="false">J1364*Resumo!$C$6</f>
        <v>0</v>
      </c>
      <c r="O1364" s="39" t="n">
        <f aca="false">J1364*Resumo!$C$7</f>
        <v>1.049349</v>
      </c>
      <c r="P1364" s="39" t="n">
        <f aca="false">J1364*Resumo!$C$8</f>
        <v>1.049349</v>
      </c>
      <c r="Q1364" s="39" t="n">
        <f aca="false">Resumo!$C$10*CEILING(I1364/100,1)</f>
        <v>1.05</v>
      </c>
      <c r="R1364" s="39" t="n">
        <f aca="false">Resumo!$C$9</f>
        <v>0</v>
      </c>
      <c r="S1364" s="39" t="n">
        <f aca="false">Resumo!$C$13</f>
        <v>13.55</v>
      </c>
      <c r="T1364" s="39" t="n">
        <f aca="false">Resumo!$C$14*CEILING(I1364,1)</f>
        <v>14.85</v>
      </c>
      <c r="U1364" s="39" t="n">
        <f aca="false">SUM(M1364:T1364)*Resumo!$C$11</f>
        <v>0</v>
      </c>
      <c r="V1364" s="39" t="n">
        <f aca="false">SUM(M1364:U1364)</f>
        <v>90.348698</v>
      </c>
      <c r="W1364" s="39" t="n">
        <f aca="false">V1364/(1-Resumo!$C$5)</f>
        <v>102.668975</v>
      </c>
      <c r="X1364" s="39" t="n">
        <v>82.21</v>
      </c>
      <c r="Y1364" s="39" t="n">
        <f aca="false">J1364*Resumo!$B$6</f>
        <v>0.49969</v>
      </c>
      <c r="Z1364" s="39" t="n">
        <f aca="false">J1364*Resumo!$B$7</f>
        <v>0.99938</v>
      </c>
      <c r="AA1364" s="39" t="n">
        <f aca="false">Resumo!$B$9</f>
        <v>1</v>
      </c>
      <c r="AB1364" s="39" t="n">
        <f aca="false">Resumo!$B$10*CEILING(I1364/100,1)</f>
        <v>4.5</v>
      </c>
      <c r="AC1364" s="39" t="n">
        <f aca="false">Resumo!$B$12*CEILING(I1364,1)</f>
        <v>1.98</v>
      </c>
      <c r="AD1364" s="39" t="n">
        <f aca="false">Resumo!$B$14*CEILING(I1364,1)</f>
        <v>14.85</v>
      </c>
      <c r="AE1364" s="39" t="n">
        <f aca="false">SUM(X1364:AD1364)</f>
        <v>106.03907</v>
      </c>
      <c r="AF1364" s="39" t="n">
        <f aca="false">AE1364/(1-Resumo!$B$5)</f>
        <v>120.498943181818</v>
      </c>
      <c r="AG1364" s="39" t="n">
        <f aca="false">AF1364-W1364</f>
        <v>17.8299681818182</v>
      </c>
      <c r="AH1364" s="40" t="n">
        <f aca="false">AF1364/W1364-1</f>
        <v>0.173664616616833</v>
      </c>
      <c r="AI1364" s="37" t="str">
        <f aca="false">IF(AF1364&lt;W1364,"SIM","NÃO")</f>
        <v>NÃO</v>
      </c>
      <c r="AJ1364" s="37" t="n">
        <v>2</v>
      </c>
      <c r="AK1364" s="37" t="n">
        <v>5</v>
      </c>
      <c r="AL1364" s="37" t="s">
        <v>343</v>
      </c>
      <c r="AM1364" s="39" t="n">
        <v>101.78</v>
      </c>
    </row>
    <row r="1365" customFormat="false" ht="15" hidden="false" customHeight="false" outlineLevel="0" collapsed="false">
      <c r="A1365" s="37" t="n">
        <v>381377228</v>
      </c>
      <c r="B1365" s="38" t="n">
        <v>46257.5263657407</v>
      </c>
      <c r="C1365" s="37" t="s">
        <v>340</v>
      </c>
      <c r="D1365" s="37" t="s">
        <v>1612</v>
      </c>
      <c r="E1365" s="37" t="n">
        <v>22783210</v>
      </c>
      <c r="F1365" s="37" t="s">
        <v>159</v>
      </c>
      <c r="G1365" s="37" t="s">
        <v>196</v>
      </c>
      <c r="H1365" s="37" t="s">
        <v>187</v>
      </c>
      <c r="I1365" s="37" t="n">
        <v>52.3</v>
      </c>
      <c r="J1365" s="39" t="n">
        <v>669.99</v>
      </c>
      <c r="K1365" s="37" t="s">
        <v>342</v>
      </c>
      <c r="L1365" s="39" t="n">
        <v>114.36</v>
      </c>
      <c r="M1365" s="39" t="n">
        <v>58.6</v>
      </c>
      <c r="N1365" s="39" t="n">
        <f aca="false">J1365*Resumo!$C$6</f>
        <v>0</v>
      </c>
      <c r="O1365" s="39" t="n">
        <f aca="false">J1365*Resumo!$C$7</f>
        <v>1.406979</v>
      </c>
      <c r="P1365" s="39" t="n">
        <f aca="false">J1365*Resumo!$C$8</f>
        <v>1.406979</v>
      </c>
      <c r="Q1365" s="39" t="n">
        <f aca="false">Resumo!$C$10*CEILING(I1365/100,1)</f>
        <v>1.05</v>
      </c>
      <c r="R1365" s="39" t="n">
        <f aca="false">Resumo!$C$9</f>
        <v>0</v>
      </c>
      <c r="S1365" s="39" t="n">
        <f aca="false">Resumo!$C$13</f>
        <v>13.55</v>
      </c>
      <c r="T1365" s="39" t="n">
        <f aca="false">Resumo!$C$14*CEILING(I1365,1)</f>
        <v>23.85</v>
      </c>
      <c r="U1365" s="39" t="n">
        <f aca="false">SUM(M1365:T1365)*Resumo!$C$11</f>
        <v>0</v>
      </c>
      <c r="V1365" s="39" t="n">
        <f aca="false">SUM(M1365:U1365)</f>
        <v>99.863958</v>
      </c>
      <c r="W1365" s="39" t="n">
        <f aca="false">V1365/(1-Resumo!$C$5)</f>
        <v>113.481770454545</v>
      </c>
      <c r="X1365" s="39" t="n">
        <v>112.3</v>
      </c>
      <c r="Y1365" s="39" t="n">
        <f aca="false">J1365*Resumo!$B$6</f>
        <v>0.66999</v>
      </c>
      <c r="Z1365" s="39" t="n">
        <f aca="false">J1365*Resumo!$B$7</f>
        <v>1.33998</v>
      </c>
      <c r="AA1365" s="39" t="n">
        <f aca="false">Resumo!$B$9</f>
        <v>1</v>
      </c>
      <c r="AB1365" s="39" t="n">
        <f aca="false">Resumo!$B$10*CEILING(I1365/100,1)</f>
        <v>4.5</v>
      </c>
      <c r="AC1365" s="39" t="n">
        <f aca="false">Resumo!$B$12*CEILING(I1365,1)</f>
        <v>3.18</v>
      </c>
      <c r="AD1365" s="39" t="n">
        <f aca="false">Resumo!$B$14*CEILING(I1365,1)</f>
        <v>23.85</v>
      </c>
      <c r="AE1365" s="39" t="n">
        <f aca="false">SUM(X1365:AD1365)</f>
        <v>146.83997</v>
      </c>
      <c r="AF1365" s="39" t="n">
        <f aca="false">AE1365/(1-Resumo!$B$5)</f>
        <v>166.863602272727</v>
      </c>
      <c r="AG1365" s="39" t="n">
        <f aca="false">AF1365-W1365</f>
        <v>53.3818318181818</v>
      </c>
      <c r="AH1365" s="40" t="n">
        <f aca="false">AF1365/W1365-1</f>
        <v>0.470400061651872</v>
      </c>
      <c r="AI1365" s="37" t="str">
        <f aca="false">IF(AF1365&lt;W1365,"SIM","NÃO")</f>
        <v>NÃO</v>
      </c>
      <c r="AJ1365" s="37" t="n">
        <v>2</v>
      </c>
      <c r="AK1365" s="37" t="n">
        <v>5</v>
      </c>
      <c r="AL1365" s="37" t="s">
        <v>343</v>
      </c>
      <c r="AM1365" s="39" t="n">
        <v>114.36</v>
      </c>
    </row>
    <row r="1366" customFormat="false" ht="15" hidden="false" customHeight="false" outlineLevel="0" collapsed="false">
      <c r="A1366" s="37" t="n">
        <v>381381190</v>
      </c>
      <c r="B1366" s="38" t="n">
        <v>46257.5328356482</v>
      </c>
      <c r="C1366" s="37" t="s">
        <v>345</v>
      </c>
      <c r="D1366" s="37" t="s">
        <v>1613</v>
      </c>
      <c r="E1366" s="37" t="n">
        <v>20745250</v>
      </c>
      <c r="F1366" s="37" t="s">
        <v>159</v>
      </c>
      <c r="G1366" s="37" t="s">
        <v>196</v>
      </c>
      <c r="H1366" s="37" t="s">
        <v>190</v>
      </c>
      <c r="I1366" s="37" t="n">
        <v>87</v>
      </c>
      <c r="J1366" s="39" t="n">
        <v>1188.88</v>
      </c>
      <c r="K1366" s="37" t="s">
        <v>342</v>
      </c>
      <c r="L1366" s="39" t="n">
        <v>164.8</v>
      </c>
      <c r="M1366" s="39" t="n">
        <v>83.79</v>
      </c>
      <c r="N1366" s="39" t="n">
        <f aca="false">J1366*Resumo!$C$6</f>
        <v>0</v>
      </c>
      <c r="O1366" s="39" t="n">
        <f aca="false">J1366*Resumo!$C$7</f>
        <v>2.496648</v>
      </c>
      <c r="P1366" s="39" t="n">
        <f aca="false">J1366*Resumo!$C$8</f>
        <v>2.496648</v>
      </c>
      <c r="Q1366" s="39" t="n">
        <f aca="false">Resumo!$C$10*CEILING(I1366/100,1)</f>
        <v>1.05</v>
      </c>
      <c r="R1366" s="39" t="n">
        <f aca="false">Resumo!$C$9</f>
        <v>0</v>
      </c>
      <c r="S1366" s="39" t="n">
        <f aca="false">Resumo!$C$13</f>
        <v>13.55</v>
      </c>
      <c r="T1366" s="39" t="n">
        <f aca="false">Resumo!$C$14*CEILING(I1366,1)</f>
        <v>39.15</v>
      </c>
      <c r="U1366" s="39" t="n">
        <f aca="false">SUM(M1366:T1366)*Resumo!$C$11</f>
        <v>0</v>
      </c>
      <c r="V1366" s="39" t="n">
        <f aca="false">SUM(M1366:U1366)</f>
        <v>142.533296</v>
      </c>
      <c r="W1366" s="39" t="n">
        <f aca="false">V1366/(1-Resumo!$C$5)</f>
        <v>161.969654545455</v>
      </c>
      <c r="X1366" s="39" t="n">
        <v>167.99</v>
      </c>
      <c r="Y1366" s="39" t="n">
        <f aca="false">J1366*Resumo!$B$6</f>
        <v>1.18888</v>
      </c>
      <c r="Z1366" s="39" t="n">
        <f aca="false">J1366*Resumo!$B$7</f>
        <v>2.37776</v>
      </c>
      <c r="AA1366" s="39" t="n">
        <f aca="false">Resumo!$B$9</f>
        <v>1</v>
      </c>
      <c r="AB1366" s="39" t="n">
        <f aca="false">Resumo!$B$10*CEILING(I1366/100,1)</f>
        <v>4.5</v>
      </c>
      <c r="AC1366" s="39" t="n">
        <f aca="false">Resumo!$B$12*CEILING(I1366,1)</f>
        <v>5.22</v>
      </c>
      <c r="AD1366" s="39" t="n">
        <f aca="false">Resumo!$B$14*CEILING(I1366,1)</f>
        <v>39.15</v>
      </c>
      <c r="AE1366" s="39" t="n">
        <f aca="false">SUM(X1366:AD1366)</f>
        <v>221.42664</v>
      </c>
      <c r="AF1366" s="39" t="n">
        <f aca="false">AE1366/(1-Resumo!$B$5)</f>
        <v>251.621181818182</v>
      </c>
      <c r="AG1366" s="39" t="n">
        <f aca="false">AF1366-W1366</f>
        <v>89.6515272727273</v>
      </c>
      <c r="AH1366" s="40" t="n">
        <f aca="false">AF1366/W1366-1</f>
        <v>0.553508171171458</v>
      </c>
      <c r="AI1366" s="37" t="str">
        <f aca="false">IF(AF1366&lt;W1366,"SIM","NÃO")</f>
        <v>NÃO</v>
      </c>
      <c r="AJ1366" s="37" t="n">
        <v>2</v>
      </c>
      <c r="AK1366" s="37" t="n">
        <v>5</v>
      </c>
      <c r="AL1366" s="37" t="s">
        <v>343</v>
      </c>
      <c r="AM1366" s="39" t="n">
        <v>164.79</v>
      </c>
    </row>
    <row r="1367" customFormat="false" ht="15" hidden="false" customHeight="false" outlineLevel="0" collapsed="false">
      <c r="A1367" s="37" t="n">
        <v>381384208</v>
      </c>
      <c r="B1367" s="38" t="n">
        <v>46257.5453819444</v>
      </c>
      <c r="C1367" s="37" t="s">
        <v>375</v>
      </c>
      <c r="D1367" s="37" t="s">
        <v>1614</v>
      </c>
      <c r="E1367" s="37" t="n">
        <v>20530400</v>
      </c>
      <c r="F1367" s="37" t="s">
        <v>159</v>
      </c>
      <c r="G1367" s="37" t="s">
        <v>196</v>
      </c>
      <c r="H1367" s="37" t="s">
        <v>188</v>
      </c>
      <c r="I1367" s="37" t="n">
        <v>69</v>
      </c>
      <c r="J1367" s="39" t="n">
        <v>839.99</v>
      </c>
      <c r="K1367" s="37" t="s">
        <v>342</v>
      </c>
      <c r="L1367" s="39" t="n">
        <v>125.24</v>
      </c>
      <c r="M1367" s="39" t="n">
        <v>63.21</v>
      </c>
      <c r="N1367" s="39" t="n">
        <f aca="false">J1367*Resumo!$C$6</f>
        <v>0</v>
      </c>
      <c r="O1367" s="39" t="n">
        <f aca="false">J1367*Resumo!$C$7</f>
        <v>1.763979</v>
      </c>
      <c r="P1367" s="39" t="n">
        <f aca="false">J1367*Resumo!$C$8</f>
        <v>1.763979</v>
      </c>
      <c r="Q1367" s="39" t="n">
        <f aca="false">Resumo!$C$10*CEILING(I1367/100,1)</f>
        <v>1.05</v>
      </c>
      <c r="R1367" s="39" t="n">
        <f aca="false">Resumo!$C$9</f>
        <v>0</v>
      </c>
      <c r="S1367" s="39" t="n">
        <f aca="false">Resumo!$C$13</f>
        <v>13.55</v>
      </c>
      <c r="T1367" s="39" t="n">
        <f aca="false">Resumo!$C$14*CEILING(I1367,1)</f>
        <v>31.05</v>
      </c>
      <c r="U1367" s="39" t="n">
        <f aca="false">SUM(M1367:T1367)*Resumo!$C$11</f>
        <v>0</v>
      </c>
      <c r="V1367" s="39" t="n">
        <f aca="false">SUM(M1367:U1367)</f>
        <v>112.387958</v>
      </c>
      <c r="W1367" s="39" t="n">
        <f aca="false">V1367/(1-Resumo!$C$5)</f>
        <v>127.713588636364</v>
      </c>
      <c r="X1367" s="39" t="n">
        <v>131.02</v>
      </c>
      <c r="Y1367" s="39" t="n">
        <f aca="false">J1367*Resumo!$B$6</f>
        <v>0.83999</v>
      </c>
      <c r="Z1367" s="39" t="n">
        <f aca="false">J1367*Resumo!$B$7</f>
        <v>1.67998</v>
      </c>
      <c r="AA1367" s="39" t="n">
        <f aca="false">Resumo!$B$9</f>
        <v>1</v>
      </c>
      <c r="AB1367" s="39" t="n">
        <f aca="false">Resumo!$B$10*CEILING(I1367/100,1)</f>
        <v>4.5</v>
      </c>
      <c r="AC1367" s="39" t="n">
        <f aca="false">Resumo!$B$12*CEILING(I1367,1)</f>
        <v>4.14</v>
      </c>
      <c r="AD1367" s="39" t="n">
        <f aca="false">Resumo!$B$14*CEILING(I1367,1)</f>
        <v>31.05</v>
      </c>
      <c r="AE1367" s="39" t="n">
        <f aca="false">SUM(X1367:AD1367)</f>
        <v>174.22997</v>
      </c>
      <c r="AF1367" s="39" t="n">
        <f aca="false">AE1367/(1-Resumo!$B$5)</f>
        <v>197.988602272727</v>
      </c>
      <c r="AG1367" s="39" t="n">
        <f aca="false">AF1367-W1367</f>
        <v>70.2750136363637</v>
      </c>
      <c r="AH1367" s="40" t="n">
        <f aca="false">AF1367/W1367-1</f>
        <v>0.550254787972925</v>
      </c>
      <c r="AI1367" s="37" t="str">
        <f aca="false">IF(AF1367&lt;W1367,"SIM","NÃO")</f>
        <v>NÃO</v>
      </c>
      <c r="AJ1367" s="37" t="n">
        <v>2</v>
      </c>
      <c r="AK1367" s="37" t="n">
        <v>5</v>
      </c>
      <c r="AL1367" s="37" t="s">
        <v>343</v>
      </c>
      <c r="AM1367" s="39" t="n">
        <v>125.23</v>
      </c>
    </row>
    <row r="1368" customFormat="false" ht="15" hidden="false" customHeight="false" outlineLevel="0" collapsed="false">
      <c r="A1368" s="37" t="n">
        <v>381415367</v>
      </c>
      <c r="B1368" s="38" t="n">
        <v>46257.5802546296</v>
      </c>
      <c r="C1368" s="37" t="s">
        <v>340</v>
      </c>
      <c r="D1368" s="37" t="s">
        <v>1615</v>
      </c>
      <c r="E1368" s="37" t="n">
        <v>27971750</v>
      </c>
      <c r="F1368" s="37" t="s">
        <v>166</v>
      </c>
      <c r="G1368" s="37" t="s">
        <v>198</v>
      </c>
      <c r="H1368" s="37" t="s">
        <v>186</v>
      </c>
      <c r="I1368" s="37" t="n">
        <v>45</v>
      </c>
      <c r="J1368" s="39" t="n">
        <v>508.8</v>
      </c>
      <c r="K1368" s="37" t="s">
        <v>342</v>
      </c>
      <c r="L1368" s="39" t="n">
        <v>130.6</v>
      </c>
      <c r="M1368" s="39" t="n">
        <v>77.7</v>
      </c>
      <c r="N1368" s="39" t="n">
        <f aca="false">J1368*Resumo!$C$6</f>
        <v>0</v>
      </c>
      <c r="O1368" s="39" t="n">
        <f aca="false">J1368*Resumo!$C$7</f>
        <v>1.06848</v>
      </c>
      <c r="P1368" s="39" t="n">
        <f aca="false">J1368*Resumo!$C$8</f>
        <v>1.06848</v>
      </c>
      <c r="Q1368" s="39" t="n">
        <f aca="false">Resumo!$C$10*CEILING(I1368/100,1)</f>
        <v>1.05</v>
      </c>
      <c r="R1368" s="39" t="n">
        <f aca="false">Resumo!$C$9</f>
        <v>0</v>
      </c>
      <c r="S1368" s="39" t="n">
        <f aca="false">Resumo!$C$13</f>
        <v>13.55</v>
      </c>
      <c r="T1368" s="39" t="n">
        <f aca="false">Resumo!$C$14*CEILING(I1368,1)</f>
        <v>20.25</v>
      </c>
      <c r="U1368" s="39" t="n">
        <f aca="false">SUM(M1368:T1368)*Resumo!$C$11</f>
        <v>0</v>
      </c>
      <c r="V1368" s="39" t="n">
        <f aca="false">SUM(M1368:U1368)</f>
        <v>114.68696</v>
      </c>
      <c r="W1368" s="39" t="n">
        <f aca="false">V1368/(1-Resumo!$C$5)</f>
        <v>130.326090909091</v>
      </c>
      <c r="X1368" s="39" t="n">
        <v>152.54</v>
      </c>
      <c r="Y1368" s="39" t="n">
        <f aca="false">J1368*Resumo!$B$6</f>
        <v>0.5088</v>
      </c>
      <c r="Z1368" s="39" t="n">
        <f aca="false">J1368*Resumo!$B$7</f>
        <v>1.0176</v>
      </c>
      <c r="AA1368" s="39" t="n">
        <f aca="false">Resumo!$B$9</f>
        <v>1</v>
      </c>
      <c r="AB1368" s="39" t="n">
        <f aca="false">Resumo!$B$10*CEILING(I1368/100,1)</f>
        <v>4.5</v>
      </c>
      <c r="AC1368" s="39" t="n">
        <f aca="false">Resumo!$B$12*CEILING(I1368,1)</f>
        <v>2.7</v>
      </c>
      <c r="AD1368" s="39" t="n">
        <f aca="false">Resumo!$B$14*CEILING(I1368,1)</f>
        <v>20.25</v>
      </c>
      <c r="AE1368" s="39" t="n">
        <f aca="false">SUM(X1368:AD1368)</f>
        <v>182.5164</v>
      </c>
      <c r="AF1368" s="39" t="n">
        <f aca="false">AE1368/(1-Resumo!$B$5)</f>
        <v>207.405</v>
      </c>
      <c r="AG1368" s="39" t="n">
        <f aca="false">AF1368-W1368</f>
        <v>77.0789090909091</v>
      </c>
      <c r="AH1368" s="40" t="n">
        <f aca="false">AF1368/W1368-1</f>
        <v>0.591431144395143</v>
      </c>
      <c r="AI1368" s="37" t="str">
        <f aca="false">IF(AF1368&lt;W1368,"SIM","NÃO")</f>
        <v>NÃO</v>
      </c>
      <c r="AJ1368" s="37" t="n">
        <v>13</v>
      </c>
      <c r="AK1368" s="37" t="n">
        <v>11</v>
      </c>
      <c r="AL1368" s="37" t="s">
        <v>343</v>
      </c>
      <c r="AM1368" s="39" t="n">
        <v>130.6</v>
      </c>
    </row>
    <row r="1369" customFormat="false" ht="15" hidden="false" customHeight="false" outlineLevel="0" collapsed="false">
      <c r="A1369" s="37" t="n">
        <v>381446740</v>
      </c>
      <c r="B1369" s="38" t="n">
        <v>46257.6167939815</v>
      </c>
      <c r="C1369" s="37" t="s">
        <v>340</v>
      </c>
      <c r="D1369" s="37" t="s">
        <v>1616</v>
      </c>
      <c r="E1369" s="37" t="n">
        <v>21910100</v>
      </c>
      <c r="F1369" s="37" t="s">
        <v>159</v>
      </c>
      <c r="G1369" s="37" t="s">
        <v>196</v>
      </c>
      <c r="H1369" s="37" t="s">
        <v>192</v>
      </c>
      <c r="I1369" s="37" t="n">
        <v>124.2</v>
      </c>
      <c r="J1369" s="39" t="n">
        <v>1649.99</v>
      </c>
      <c r="K1369" s="37" t="s">
        <v>342</v>
      </c>
      <c r="L1369" s="39" t="n">
        <v>234.19</v>
      </c>
      <c r="M1369" s="39" t="n">
        <v>120.59</v>
      </c>
      <c r="N1369" s="39" t="n">
        <f aca="false">J1369*Resumo!$C$6</f>
        <v>0</v>
      </c>
      <c r="O1369" s="39" t="n">
        <f aca="false">J1369*Resumo!$C$7</f>
        <v>3.464979</v>
      </c>
      <c r="P1369" s="39" t="n">
        <f aca="false">J1369*Resumo!$C$8</f>
        <v>3.464979</v>
      </c>
      <c r="Q1369" s="39" t="n">
        <f aca="false">Resumo!$C$10*CEILING(I1369/100,1)</f>
        <v>2.1</v>
      </c>
      <c r="R1369" s="39" t="n">
        <f aca="false">Resumo!$C$9</f>
        <v>0</v>
      </c>
      <c r="S1369" s="39" t="n">
        <f aca="false">Resumo!$C$13</f>
        <v>13.55</v>
      </c>
      <c r="T1369" s="39" t="n">
        <f aca="false">Resumo!$C$14*CEILING(I1369,1)</f>
        <v>56.25</v>
      </c>
      <c r="U1369" s="39" t="n">
        <f aca="false">SUM(M1369:T1369)*Resumo!$C$11</f>
        <v>0</v>
      </c>
      <c r="V1369" s="39" t="n">
        <f aca="false">SUM(M1369:U1369)</f>
        <v>199.419958</v>
      </c>
      <c r="W1369" s="39" t="n">
        <f aca="false">V1369/(1-Resumo!$C$5)</f>
        <v>226.613588636364</v>
      </c>
      <c r="X1369" s="39" t="n">
        <v>239.25</v>
      </c>
      <c r="Y1369" s="39" t="n">
        <f aca="false">J1369*Resumo!$B$6</f>
        <v>1.64999</v>
      </c>
      <c r="Z1369" s="39" t="n">
        <f aca="false">J1369*Resumo!$B$7</f>
        <v>3.29998</v>
      </c>
      <c r="AA1369" s="39" t="n">
        <f aca="false">Resumo!$B$9</f>
        <v>1</v>
      </c>
      <c r="AB1369" s="39" t="n">
        <f aca="false">Resumo!$B$10*CEILING(I1369/100,1)</f>
        <v>9</v>
      </c>
      <c r="AC1369" s="39" t="n">
        <f aca="false">Resumo!$B$12*CEILING(I1369,1)</f>
        <v>7.5</v>
      </c>
      <c r="AD1369" s="39" t="n">
        <f aca="false">Resumo!$B$14*CEILING(I1369,1)</f>
        <v>56.25</v>
      </c>
      <c r="AE1369" s="39" t="n">
        <f aca="false">SUM(X1369:AD1369)</f>
        <v>317.94997</v>
      </c>
      <c r="AF1369" s="39" t="n">
        <f aca="false">AE1369/(1-Resumo!$B$5)</f>
        <v>361.306784090909</v>
      </c>
      <c r="AG1369" s="39" t="n">
        <f aca="false">AF1369-W1369</f>
        <v>134.693195454545</v>
      </c>
      <c r="AH1369" s="40" t="n">
        <f aca="false">AF1369/W1369-1</f>
        <v>0.594373869038725</v>
      </c>
      <c r="AI1369" s="37" t="str">
        <f aca="false">IF(AF1369&lt;W1369,"SIM","NÃO")</f>
        <v>NÃO</v>
      </c>
      <c r="AJ1369" s="37" t="n">
        <v>2</v>
      </c>
      <c r="AK1369" s="37" t="n">
        <v>5</v>
      </c>
      <c r="AL1369" s="37" t="s">
        <v>343</v>
      </c>
      <c r="AM1369" s="39" t="n">
        <v>234.2</v>
      </c>
    </row>
    <row r="1370" customFormat="false" ht="15" hidden="false" customHeight="false" outlineLevel="0" collapsed="false">
      <c r="A1370" s="37" t="n">
        <v>381457314</v>
      </c>
      <c r="B1370" s="38" t="n">
        <v>46257.6284490741</v>
      </c>
      <c r="C1370" s="37" t="s">
        <v>340</v>
      </c>
      <c r="D1370" s="37" t="s">
        <v>1617</v>
      </c>
      <c r="E1370" s="37" t="n">
        <v>26052390</v>
      </c>
      <c r="F1370" s="37" t="s">
        <v>162</v>
      </c>
      <c r="G1370" s="37" t="s">
        <v>197</v>
      </c>
      <c r="H1370" s="37" t="s">
        <v>190</v>
      </c>
      <c r="I1370" s="37" t="n">
        <v>83.9</v>
      </c>
      <c r="J1370" s="39" t="n">
        <v>1149.9</v>
      </c>
      <c r="K1370" s="37" t="s">
        <v>342</v>
      </c>
      <c r="L1370" s="39" t="n">
        <v>174.34</v>
      </c>
      <c r="M1370" s="39" t="n">
        <v>92.32</v>
      </c>
      <c r="N1370" s="39" t="n">
        <f aca="false">J1370*Resumo!$C$6</f>
        <v>0</v>
      </c>
      <c r="O1370" s="39" t="n">
        <f aca="false">J1370*Resumo!$C$7</f>
        <v>2.41479</v>
      </c>
      <c r="P1370" s="39" t="n">
        <f aca="false">J1370*Resumo!$C$8</f>
        <v>2.41479</v>
      </c>
      <c r="Q1370" s="39" t="n">
        <f aca="false">Resumo!$C$10*CEILING(I1370/100,1)</f>
        <v>1.05</v>
      </c>
      <c r="R1370" s="39" t="n">
        <f aca="false">Resumo!$C$9</f>
        <v>0</v>
      </c>
      <c r="S1370" s="39" t="n">
        <f aca="false">Resumo!$C$13</f>
        <v>13.55</v>
      </c>
      <c r="T1370" s="39" t="n">
        <f aca="false">Resumo!$C$14*CEILING(I1370,1)</f>
        <v>37.8</v>
      </c>
      <c r="U1370" s="39" t="n">
        <f aca="false">SUM(M1370:T1370)*Resumo!$C$11</f>
        <v>0</v>
      </c>
      <c r="V1370" s="39" t="n">
        <f aca="false">SUM(M1370:U1370)</f>
        <v>149.54958</v>
      </c>
      <c r="W1370" s="39" t="n">
        <f aca="false">V1370/(1-Resumo!$C$5)</f>
        <v>169.942704545455</v>
      </c>
      <c r="X1370" s="39" t="n">
        <v>167.99</v>
      </c>
      <c r="Y1370" s="39" t="n">
        <f aca="false">J1370*Resumo!$B$6</f>
        <v>1.1499</v>
      </c>
      <c r="Z1370" s="39" t="n">
        <f aca="false">J1370*Resumo!$B$7</f>
        <v>2.2998</v>
      </c>
      <c r="AA1370" s="39" t="n">
        <f aca="false">Resumo!$B$9</f>
        <v>1</v>
      </c>
      <c r="AB1370" s="39" t="n">
        <f aca="false">Resumo!$B$10*CEILING(I1370/100,1)</f>
        <v>4.5</v>
      </c>
      <c r="AC1370" s="39" t="n">
        <f aca="false">Resumo!$B$12*CEILING(I1370,1)</f>
        <v>5.04</v>
      </c>
      <c r="AD1370" s="39" t="n">
        <f aca="false">Resumo!$B$14*CEILING(I1370,1)</f>
        <v>37.8</v>
      </c>
      <c r="AE1370" s="39" t="n">
        <f aca="false">SUM(X1370:AD1370)</f>
        <v>219.7797</v>
      </c>
      <c r="AF1370" s="39" t="n">
        <f aca="false">AE1370/(1-Resumo!$B$5)</f>
        <v>249.749659090909</v>
      </c>
      <c r="AG1370" s="39" t="n">
        <f aca="false">AF1370-W1370</f>
        <v>79.8069545454546</v>
      </c>
      <c r="AH1370" s="40" t="n">
        <f aca="false">AF1370/W1370-1</f>
        <v>0.469610947753916</v>
      </c>
      <c r="AI1370" s="37" t="str">
        <f aca="false">IF(AF1370&lt;W1370,"SIM","NÃO")</f>
        <v>NÃO</v>
      </c>
      <c r="AJ1370" s="37" t="n">
        <v>2</v>
      </c>
      <c r="AK1370" s="37" t="n">
        <v>5</v>
      </c>
      <c r="AL1370" s="37" t="s">
        <v>343</v>
      </c>
      <c r="AM1370" s="39" t="n">
        <v>174.34</v>
      </c>
    </row>
    <row r="1371" customFormat="false" ht="15" hidden="false" customHeight="false" outlineLevel="0" collapsed="false">
      <c r="A1371" s="37" t="n">
        <v>381461866</v>
      </c>
      <c r="B1371" s="38" t="n">
        <v>46257.6346643519</v>
      </c>
      <c r="C1371" s="37" t="s">
        <v>340</v>
      </c>
      <c r="D1371" s="37" t="s">
        <v>1478</v>
      </c>
      <c r="E1371" s="37" t="n">
        <v>21675090</v>
      </c>
      <c r="F1371" s="37" t="s">
        <v>159</v>
      </c>
      <c r="G1371" s="37" t="s">
        <v>196</v>
      </c>
      <c r="H1371" s="37" t="s">
        <v>184</v>
      </c>
      <c r="I1371" s="37" t="n">
        <v>27.6</v>
      </c>
      <c r="J1371" s="39" t="n">
        <v>599.99</v>
      </c>
      <c r="K1371" s="37" t="s">
        <v>342</v>
      </c>
      <c r="L1371" s="39" t="n">
        <v>83.2</v>
      </c>
      <c r="M1371" s="39" t="n">
        <v>42.11</v>
      </c>
      <c r="N1371" s="39" t="n">
        <f aca="false">J1371*Resumo!$C$6</f>
        <v>0</v>
      </c>
      <c r="O1371" s="39" t="n">
        <f aca="false">J1371*Resumo!$C$7</f>
        <v>1.259979</v>
      </c>
      <c r="P1371" s="39" t="n">
        <f aca="false">J1371*Resumo!$C$8</f>
        <v>1.259979</v>
      </c>
      <c r="Q1371" s="39" t="n">
        <f aca="false">Resumo!$C$10*CEILING(I1371/100,1)</f>
        <v>1.05</v>
      </c>
      <c r="R1371" s="39" t="n">
        <f aca="false">Resumo!$C$9</f>
        <v>0</v>
      </c>
      <c r="S1371" s="39" t="n">
        <f aca="false">Resumo!$C$13</f>
        <v>13.55</v>
      </c>
      <c r="T1371" s="39" t="n">
        <f aca="false">Resumo!$C$14*CEILING(I1371,1)</f>
        <v>12.6</v>
      </c>
      <c r="U1371" s="39" t="n">
        <f aca="false">SUM(M1371:T1371)*Resumo!$C$11</f>
        <v>0</v>
      </c>
      <c r="V1371" s="39" t="n">
        <f aca="false">SUM(M1371:U1371)</f>
        <v>71.829958</v>
      </c>
      <c r="W1371" s="39" t="n">
        <f aca="false">V1371/(1-Resumo!$C$5)</f>
        <v>81.6249522727273</v>
      </c>
      <c r="X1371" s="39" t="n">
        <v>82.21</v>
      </c>
      <c r="Y1371" s="39" t="n">
        <f aca="false">J1371*Resumo!$B$6</f>
        <v>0.59999</v>
      </c>
      <c r="Z1371" s="39" t="n">
        <f aca="false">J1371*Resumo!$B$7</f>
        <v>1.19998</v>
      </c>
      <c r="AA1371" s="39" t="n">
        <f aca="false">Resumo!$B$9</f>
        <v>1</v>
      </c>
      <c r="AB1371" s="39" t="n">
        <f aca="false">Resumo!$B$10*CEILING(I1371/100,1)</f>
        <v>4.5</v>
      </c>
      <c r="AC1371" s="39" t="n">
        <f aca="false">Resumo!$B$12*CEILING(I1371,1)</f>
        <v>1.68</v>
      </c>
      <c r="AD1371" s="39" t="n">
        <f aca="false">Resumo!$B$14*CEILING(I1371,1)</f>
        <v>12.6</v>
      </c>
      <c r="AE1371" s="39" t="n">
        <f aca="false">SUM(X1371:AD1371)</f>
        <v>103.78997</v>
      </c>
      <c r="AF1371" s="39" t="n">
        <f aca="false">AE1371/(1-Resumo!$B$5)</f>
        <v>117.943147727273</v>
      </c>
      <c r="AG1371" s="39" t="n">
        <f aca="false">AF1371-W1371</f>
        <v>36.3181954545454</v>
      </c>
      <c r="AH1371" s="40" t="n">
        <f aca="false">AF1371/W1371-1</f>
        <v>0.444939867568904</v>
      </c>
      <c r="AI1371" s="37" t="str">
        <f aca="false">IF(AF1371&lt;W1371,"SIM","NÃO")</f>
        <v>NÃO</v>
      </c>
      <c r="AJ1371" s="37" t="n">
        <v>2</v>
      </c>
      <c r="AK1371" s="37" t="n">
        <v>5</v>
      </c>
      <c r="AL1371" s="37" t="s">
        <v>343</v>
      </c>
      <c r="AM1371" s="39" t="n">
        <v>83.2</v>
      </c>
    </row>
    <row r="1372" customFormat="false" ht="15" hidden="false" customHeight="false" outlineLevel="0" collapsed="false">
      <c r="A1372" s="37" t="n">
        <v>381518273</v>
      </c>
      <c r="B1372" s="38" t="n">
        <v>46257.7055439815</v>
      </c>
      <c r="C1372" s="37" t="s">
        <v>340</v>
      </c>
      <c r="D1372" s="37" t="s">
        <v>1618</v>
      </c>
      <c r="E1372" s="37" t="n">
        <v>20785130</v>
      </c>
      <c r="F1372" s="37" t="s">
        <v>159</v>
      </c>
      <c r="G1372" s="37" t="s">
        <v>196</v>
      </c>
      <c r="H1372" s="37" t="s">
        <v>186</v>
      </c>
      <c r="I1372" s="37" t="n">
        <v>45.3</v>
      </c>
      <c r="J1372" s="39" t="n">
        <v>630.04</v>
      </c>
      <c r="K1372" s="37" t="s">
        <v>342</v>
      </c>
      <c r="L1372" s="39" t="n">
        <v>103.6</v>
      </c>
      <c r="M1372" s="39" t="n">
        <v>53.55</v>
      </c>
      <c r="N1372" s="39" t="n">
        <f aca="false">J1372*Resumo!$C$6</f>
        <v>0</v>
      </c>
      <c r="O1372" s="39" t="n">
        <f aca="false">J1372*Resumo!$C$7</f>
        <v>1.323084</v>
      </c>
      <c r="P1372" s="39" t="n">
        <f aca="false">J1372*Resumo!$C$8</f>
        <v>1.323084</v>
      </c>
      <c r="Q1372" s="39" t="n">
        <f aca="false">Resumo!$C$10*CEILING(I1372/100,1)</f>
        <v>1.05</v>
      </c>
      <c r="R1372" s="39" t="n">
        <f aca="false">Resumo!$C$9</f>
        <v>0</v>
      </c>
      <c r="S1372" s="39" t="n">
        <f aca="false">Resumo!$C$13</f>
        <v>13.55</v>
      </c>
      <c r="T1372" s="39" t="n">
        <f aca="false">Resumo!$C$14*CEILING(I1372,1)</f>
        <v>20.7</v>
      </c>
      <c r="U1372" s="39" t="n">
        <f aca="false">SUM(M1372:T1372)*Resumo!$C$11</f>
        <v>0</v>
      </c>
      <c r="V1372" s="39" t="n">
        <f aca="false">SUM(M1372:U1372)</f>
        <v>91.496168</v>
      </c>
      <c r="W1372" s="39" t="n">
        <f aca="false">V1372/(1-Resumo!$C$5)</f>
        <v>103.972918181818</v>
      </c>
      <c r="X1372" s="39" t="n">
        <v>93.97</v>
      </c>
      <c r="Y1372" s="39" t="n">
        <f aca="false">J1372*Resumo!$B$6</f>
        <v>0.63004</v>
      </c>
      <c r="Z1372" s="39" t="n">
        <f aca="false">J1372*Resumo!$B$7</f>
        <v>1.26008</v>
      </c>
      <c r="AA1372" s="39" t="n">
        <f aca="false">Resumo!$B$9</f>
        <v>1</v>
      </c>
      <c r="AB1372" s="39" t="n">
        <f aca="false">Resumo!$B$10*CEILING(I1372/100,1)</f>
        <v>4.5</v>
      </c>
      <c r="AC1372" s="39" t="n">
        <f aca="false">Resumo!$B$12*CEILING(I1372,1)</f>
        <v>2.76</v>
      </c>
      <c r="AD1372" s="39" t="n">
        <f aca="false">Resumo!$B$14*CEILING(I1372,1)</f>
        <v>20.7</v>
      </c>
      <c r="AE1372" s="39" t="n">
        <f aca="false">SUM(X1372:AD1372)</f>
        <v>124.82012</v>
      </c>
      <c r="AF1372" s="39" t="n">
        <f aca="false">AE1372/(1-Resumo!$B$5)</f>
        <v>141.841045454545</v>
      </c>
      <c r="AG1372" s="39" t="n">
        <f aca="false">AF1372-W1372</f>
        <v>37.8681272727273</v>
      </c>
      <c r="AH1372" s="40" t="n">
        <f aca="false">AF1372/W1372-1</f>
        <v>0.364211449817221</v>
      </c>
      <c r="AI1372" s="37" t="str">
        <f aca="false">IF(AF1372&lt;W1372,"SIM","NÃO")</f>
        <v>NÃO</v>
      </c>
      <c r="AJ1372" s="37" t="n">
        <v>2</v>
      </c>
      <c r="AK1372" s="37" t="n">
        <v>5</v>
      </c>
      <c r="AL1372" s="37" t="s">
        <v>343</v>
      </c>
      <c r="AM1372" s="39" t="n">
        <v>103.61</v>
      </c>
    </row>
    <row r="1373" customFormat="false" ht="15" hidden="false" customHeight="false" outlineLevel="0" collapsed="false">
      <c r="A1373" s="37" t="n">
        <v>381521482</v>
      </c>
      <c r="B1373" s="38" t="n">
        <v>46257.7091203704</v>
      </c>
      <c r="C1373" s="37" t="s">
        <v>340</v>
      </c>
      <c r="D1373" s="37" t="s">
        <v>1619</v>
      </c>
      <c r="E1373" s="37" t="n">
        <v>21215050</v>
      </c>
      <c r="F1373" s="37" t="s">
        <v>159</v>
      </c>
      <c r="G1373" s="37" t="s">
        <v>196</v>
      </c>
      <c r="H1373" s="37" t="s">
        <v>188</v>
      </c>
      <c r="I1373" s="37" t="n">
        <v>61.4</v>
      </c>
      <c r="J1373" s="39" t="n">
        <v>881.88</v>
      </c>
      <c r="K1373" s="37" t="s">
        <v>342</v>
      </c>
      <c r="L1373" s="39" t="n">
        <v>125.42</v>
      </c>
      <c r="M1373" s="39" t="n">
        <v>63.21</v>
      </c>
      <c r="N1373" s="39" t="n">
        <f aca="false">J1373*Resumo!$C$6</f>
        <v>0</v>
      </c>
      <c r="O1373" s="39" t="n">
        <f aca="false">J1373*Resumo!$C$7</f>
        <v>1.851948</v>
      </c>
      <c r="P1373" s="39" t="n">
        <f aca="false">J1373*Resumo!$C$8</f>
        <v>1.851948</v>
      </c>
      <c r="Q1373" s="39" t="n">
        <f aca="false">Resumo!$C$10*CEILING(I1373/100,1)</f>
        <v>1.05</v>
      </c>
      <c r="R1373" s="39" t="n">
        <f aca="false">Resumo!$C$9</f>
        <v>0</v>
      </c>
      <c r="S1373" s="39" t="n">
        <f aca="false">Resumo!$C$13</f>
        <v>13.55</v>
      </c>
      <c r="T1373" s="39" t="n">
        <f aca="false">Resumo!$C$14*CEILING(I1373,1)</f>
        <v>27.9</v>
      </c>
      <c r="U1373" s="39" t="n">
        <f aca="false">SUM(M1373:T1373)*Resumo!$C$11</f>
        <v>0</v>
      </c>
      <c r="V1373" s="39" t="n">
        <f aca="false">SUM(M1373:U1373)</f>
        <v>109.413896</v>
      </c>
      <c r="W1373" s="39" t="n">
        <f aca="false">V1373/(1-Resumo!$C$5)</f>
        <v>124.333972727273</v>
      </c>
      <c r="X1373" s="39" t="n">
        <v>131.02</v>
      </c>
      <c r="Y1373" s="39" t="n">
        <f aca="false">J1373*Resumo!$B$6</f>
        <v>0.88188</v>
      </c>
      <c r="Z1373" s="39" t="n">
        <f aca="false">J1373*Resumo!$B$7</f>
        <v>1.76376</v>
      </c>
      <c r="AA1373" s="39" t="n">
        <f aca="false">Resumo!$B$9</f>
        <v>1</v>
      </c>
      <c r="AB1373" s="39" t="n">
        <f aca="false">Resumo!$B$10*CEILING(I1373/100,1)</f>
        <v>4.5</v>
      </c>
      <c r="AC1373" s="39" t="n">
        <f aca="false">Resumo!$B$12*CEILING(I1373,1)</f>
        <v>3.72</v>
      </c>
      <c r="AD1373" s="39" t="n">
        <f aca="false">Resumo!$B$14*CEILING(I1373,1)</f>
        <v>27.9</v>
      </c>
      <c r="AE1373" s="39" t="n">
        <f aca="false">SUM(X1373:AD1373)</f>
        <v>170.78564</v>
      </c>
      <c r="AF1373" s="39" t="n">
        <f aca="false">AE1373/(1-Resumo!$B$5)</f>
        <v>194.074590909091</v>
      </c>
      <c r="AG1373" s="39" t="n">
        <f aca="false">AF1373-W1373</f>
        <v>69.7406181818182</v>
      </c>
      <c r="AH1373" s="40" t="n">
        <f aca="false">AF1373/W1373-1</f>
        <v>0.560913615579506</v>
      </c>
      <c r="AI1373" s="37" t="str">
        <f aca="false">IF(AF1373&lt;W1373,"SIM","NÃO")</f>
        <v>NÃO</v>
      </c>
      <c r="AJ1373" s="37" t="n">
        <v>2</v>
      </c>
      <c r="AK1373" s="37" t="n">
        <v>5</v>
      </c>
      <c r="AL1373" s="37" t="s">
        <v>343</v>
      </c>
      <c r="AM1373" s="39" t="n">
        <v>125.43</v>
      </c>
    </row>
    <row r="1374" customFormat="false" ht="15" hidden="false" customHeight="false" outlineLevel="0" collapsed="false">
      <c r="A1374" s="37" t="n">
        <v>381524742</v>
      </c>
      <c r="B1374" s="38" t="n">
        <v>46257.7140856482</v>
      </c>
      <c r="C1374" s="37" t="s">
        <v>345</v>
      </c>
      <c r="D1374" s="37" t="s">
        <v>1620</v>
      </c>
      <c r="E1374" s="37" t="n">
        <v>22221020</v>
      </c>
      <c r="F1374" s="37" t="s">
        <v>159</v>
      </c>
      <c r="G1374" s="37" t="s">
        <v>196</v>
      </c>
      <c r="H1374" s="37" t="s">
        <v>186</v>
      </c>
      <c r="I1374" s="37" t="n">
        <v>43.5</v>
      </c>
      <c r="J1374" s="39" t="n">
        <v>679.09</v>
      </c>
      <c r="K1374" s="37" t="s">
        <v>342</v>
      </c>
      <c r="L1374" s="39" t="n">
        <v>103.84</v>
      </c>
      <c r="M1374" s="39" t="n">
        <v>53.55</v>
      </c>
      <c r="N1374" s="39" t="n">
        <f aca="false">J1374*Resumo!$C$6</f>
        <v>0</v>
      </c>
      <c r="O1374" s="39" t="n">
        <f aca="false">J1374*Resumo!$C$7</f>
        <v>1.426089</v>
      </c>
      <c r="P1374" s="39" t="n">
        <f aca="false">J1374*Resumo!$C$8</f>
        <v>1.426089</v>
      </c>
      <c r="Q1374" s="39" t="n">
        <f aca="false">Resumo!$C$10*CEILING(I1374/100,1)</f>
        <v>1.05</v>
      </c>
      <c r="R1374" s="39" t="n">
        <f aca="false">Resumo!$C$9</f>
        <v>0</v>
      </c>
      <c r="S1374" s="39" t="n">
        <f aca="false">Resumo!$C$13</f>
        <v>13.55</v>
      </c>
      <c r="T1374" s="39" t="n">
        <f aca="false">Resumo!$C$14*CEILING(I1374,1)</f>
        <v>19.8</v>
      </c>
      <c r="U1374" s="39" t="n">
        <f aca="false">SUM(M1374:T1374)*Resumo!$C$11</f>
        <v>0</v>
      </c>
      <c r="V1374" s="39" t="n">
        <f aca="false">SUM(M1374:U1374)</f>
        <v>90.802178</v>
      </c>
      <c r="W1374" s="39" t="n">
        <f aca="false">V1374/(1-Resumo!$C$5)</f>
        <v>103.184293181818</v>
      </c>
      <c r="X1374" s="39" t="n">
        <v>93.97</v>
      </c>
      <c r="Y1374" s="39" t="n">
        <f aca="false">J1374*Resumo!$B$6</f>
        <v>0.67909</v>
      </c>
      <c r="Z1374" s="39" t="n">
        <f aca="false">J1374*Resumo!$B$7</f>
        <v>1.35818</v>
      </c>
      <c r="AA1374" s="39" t="n">
        <f aca="false">Resumo!$B$9</f>
        <v>1</v>
      </c>
      <c r="AB1374" s="39" t="n">
        <f aca="false">Resumo!$B$10*CEILING(I1374/100,1)</f>
        <v>4.5</v>
      </c>
      <c r="AC1374" s="39" t="n">
        <f aca="false">Resumo!$B$12*CEILING(I1374,1)</f>
        <v>2.64</v>
      </c>
      <c r="AD1374" s="39" t="n">
        <f aca="false">Resumo!$B$14*CEILING(I1374,1)</f>
        <v>19.8</v>
      </c>
      <c r="AE1374" s="39" t="n">
        <f aca="false">SUM(X1374:AD1374)</f>
        <v>123.94727</v>
      </c>
      <c r="AF1374" s="39" t="n">
        <f aca="false">AE1374/(1-Resumo!$B$5)</f>
        <v>140.849170454545</v>
      </c>
      <c r="AG1374" s="39" t="n">
        <f aca="false">AF1374-W1374</f>
        <v>37.6648772727273</v>
      </c>
      <c r="AH1374" s="40" t="n">
        <f aca="false">AF1374/W1374-1</f>
        <v>0.365025297080429</v>
      </c>
      <c r="AI1374" s="37" t="str">
        <f aca="false">IF(AF1374&lt;W1374,"SIM","NÃO")</f>
        <v>NÃO</v>
      </c>
      <c r="AJ1374" s="37" t="n">
        <v>2</v>
      </c>
      <c r="AK1374" s="37" t="n">
        <v>5</v>
      </c>
      <c r="AL1374" s="37" t="s">
        <v>343</v>
      </c>
      <c r="AM1374" s="39" t="n">
        <v>103.84</v>
      </c>
    </row>
    <row r="1375" customFormat="false" ht="15" hidden="false" customHeight="false" outlineLevel="0" collapsed="false">
      <c r="A1375" s="37" t="n">
        <v>381540782</v>
      </c>
      <c r="B1375" s="38" t="n">
        <v>46257.7439930556</v>
      </c>
      <c r="C1375" s="37" t="s">
        <v>366</v>
      </c>
      <c r="D1375" s="37" t="s">
        <v>1621</v>
      </c>
      <c r="E1375" s="37" t="n">
        <v>22011002</v>
      </c>
      <c r="F1375" s="37" t="s">
        <v>159</v>
      </c>
      <c r="G1375" s="37" t="s">
        <v>196</v>
      </c>
      <c r="H1375" s="37" t="s">
        <v>185</v>
      </c>
      <c r="I1375" s="37" t="n">
        <v>40</v>
      </c>
      <c r="J1375" s="39" t="n">
        <v>509.99</v>
      </c>
      <c r="K1375" s="37" t="s">
        <v>342</v>
      </c>
      <c r="L1375" s="39" t="n">
        <v>92.3</v>
      </c>
      <c r="M1375" s="39" t="n">
        <v>48.35</v>
      </c>
      <c r="N1375" s="39" t="n">
        <f aca="false">J1375*Resumo!$C$6</f>
        <v>0</v>
      </c>
      <c r="O1375" s="39" t="n">
        <f aca="false">J1375*Resumo!$C$7</f>
        <v>1.070979</v>
      </c>
      <c r="P1375" s="39" t="n">
        <f aca="false">J1375*Resumo!$C$8</f>
        <v>1.070979</v>
      </c>
      <c r="Q1375" s="39" t="n">
        <f aca="false">Resumo!$C$10*CEILING(I1375/100,1)</f>
        <v>1.05</v>
      </c>
      <c r="R1375" s="39" t="n">
        <f aca="false">Resumo!$C$9</f>
        <v>0</v>
      </c>
      <c r="S1375" s="39" t="n">
        <f aca="false">Resumo!$C$13</f>
        <v>13.55</v>
      </c>
      <c r="T1375" s="39" t="n">
        <f aca="false">Resumo!$C$14*CEILING(I1375,1)</f>
        <v>18</v>
      </c>
      <c r="U1375" s="39" t="n">
        <f aca="false">SUM(M1375:T1375)*Resumo!$C$11</f>
        <v>0</v>
      </c>
      <c r="V1375" s="39" t="n">
        <f aca="false">SUM(M1375:U1375)</f>
        <v>83.091958</v>
      </c>
      <c r="W1375" s="39" t="n">
        <f aca="false">V1375/(1-Resumo!$C$5)</f>
        <v>94.4226795454546</v>
      </c>
      <c r="X1375" s="39" t="n">
        <v>93.97</v>
      </c>
      <c r="Y1375" s="39" t="n">
        <f aca="false">J1375*Resumo!$B$6</f>
        <v>0.50999</v>
      </c>
      <c r="Z1375" s="39" t="n">
        <f aca="false">J1375*Resumo!$B$7</f>
        <v>1.01998</v>
      </c>
      <c r="AA1375" s="39" t="n">
        <f aca="false">Resumo!$B$9</f>
        <v>1</v>
      </c>
      <c r="AB1375" s="39" t="n">
        <f aca="false">Resumo!$B$10*CEILING(I1375/100,1)</f>
        <v>4.5</v>
      </c>
      <c r="AC1375" s="39" t="n">
        <f aca="false">Resumo!$B$12*CEILING(I1375,1)</f>
        <v>2.4</v>
      </c>
      <c r="AD1375" s="39" t="n">
        <f aca="false">Resumo!$B$14*CEILING(I1375,1)</f>
        <v>18</v>
      </c>
      <c r="AE1375" s="39" t="n">
        <f aca="false">SUM(X1375:AD1375)</f>
        <v>121.39997</v>
      </c>
      <c r="AF1375" s="39" t="n">
        <f aca="false">AE1375/(1-Resumo!$B$5)</f>
        <v>137.954511363636</v>
      </c>
      <c r="AG1375" s="39" t="n">
        <f aca="false">AF1375-W1375</f>
        <v>43.5318318181818</v>
      </c>
      <c r="AH1375" s="40" t="n">
        <f aca="false">AF1375/W1375-1</f>
        <v>0.461031523652385</v>
      </c>
      <c r="AI1375" s="37" t="str">
        <f aca="false">IF(AF1375&lt;W1375,"SIM","NÃO")</f>
        <v>NÃO</v>
      </c>
      <c r="AJ1375" s="37" t="n">
        <v>2</v>
      </c>
      <c r="AK1375" s="37" t="n">
        <v>5</v>
      </c>
      <c r="AL1375" s="37" t="s">
        <v>343</v>
      </c>
      <c r="AM1375" s="39" t="n">
        <v>92.3</v>
      </c>
    </row>
    <row r="1376" customFormat="false" ht="15" hidden="false" customHeight="false" outlineLevel="0" collapsed="false">
      <c r="A1376" s="37" t="n">
        <v>381537514</v>
      </c>
      <c r="B1376" s="38" t="n">
        <v>46257.750775463</v>
      </c>
      <c r="C1376" s="37" t="s">
        <v>340</v>
      </c>
      <c r="D1376" s="37" t="s">
        <v>1622</v>
      </c>
      <c r="E1376" s="37" t="n">
        <v>25035800</v>
      </c>
      <c r="F1376" s="37" t="s">
        <v>161</v>
      </c>
      <c r="G1376" s="37" t="s">
        <v>197</v>
      </c>
      <c r="H1376" s="37" t="s">
        <v>185</v>
      </c>
      <c r="I1376" s="37" t="n">
        <v>40</v>
      </c>
      <c r="J1376" s="39" t="n">
        <v>529.99</v>
      </c>
      <c r="K1376" s="37" t="s">
        <v>342</v>
      </c>
      <c r="L1376" s="39" t="n">
        <v>113.5</v>
      </c>
      <c r="M1376" s="39" t="n">
        <v>66.83</v>
      </c>
      <c r="N1376" s="39" t="n">
        <f aca="false">J1376*Resumo!$C$6</f>
        <v>0</v>
      </c>
      <c r="O1376" s="39" t="n">
        <f aca="false">J1376*Resumo!$C$7</f>
        <v>1.112979</v>
      </c>
      <c r="P1376" s="39" t="n">
        <f aca="false">J1376*Resumo!$C$8</f>
        <v>1.112979</v>
      </c>
      <c r="Q1376" s="39" t="n">
        <f aca="false">Resumo!$C$10*CEILING(I1376/100,1)</f>
        <v>1.05</v>
      </c>
      <c r="R1376" s="39" t="n">
        <f aca="false">Resumo!$C$9</f>
        <v>0</v>
      </c>
      <c r="S1376" s="39" t="n">
        <f aca="false">Resumo!$C$13</f>
        <v>13.55</v>
      </c>
      <c r="T1376" s="39" t="n">
        <f aca="false">Resumo!$C$14*CEILING(I1376,1)</f>
        <v>18</v>
      </c>
      <c r="U1376" s="39" t="n">
        <f aca="false">SUM(M1376:T1376)*Resumo!$C$11</f>
        <v>0</v>
      </c>
      <c r="V1376" s="39" t="n">
        <f aca="false">SUM(M1376:U1376)</f>
        <v>101.655958</v>
      </c>
      <c r="W1376" s="39" t="n">
        <f aca="false">V1376/(1-Resumo!$C$5)</f>
        <v>115.518134090909</v>
      </c>
      <c r="X1376" s="39" t="n">
        <v>93.97</v>
      </c>
      <c r="Y1376" s="39" t="n">
        <f aca="false">J1376*Resumo!$B$6</f>
        <v>0.52999</v>
      </c>
      <c r="Z1376" s="39" t="n">
        <f aca="false">J1376*Resumo!$B$7</f>
        <v>1.05998</v>
      </c>
      <c r="AA1376" s="39" t="n">
        <f aca="false">Resumo!$B$9</f>
        <v>1</v>
      </c>
      <c r="AB1376" s="39" t="n">
        <f aca="false">Resumo!$B$10*CEILING(I1376/100,1)</f>
        <v>4.5</v>
      </c>
      <c r="AC1376" s="39" t="n">
        <f aca="false">Resumo!$B$12*CEILING(I1376,1)</f>
        <v>2.4</v>
      </c>
      <c r="AD1376" s="39" t="n">
        <f aca="false">Resumo!$B$14*CEILING(I1376,1)</f>
        <v>18</v>
      </c>
      <c r="AE1376" s="39" t="n">
        <f aca="false">SUM(X1376:AD1376)</f>
        <v>121.45997</v>
      </c>
      <c r="AF1376" s="39" t="n">
        <f aca="false">AE1376/(1-Resumo!$B$5)</f>
        <v>138.022693181818</v>
      </c>
      <c r="AG1376" s="39" t="n">
        <f aca="false">AF1376-W1376</f>
        <v>22.5045590909091</v>
      </c>
      <c r="AH1376" s="40" t="n">
        <f aca="false">AF1376/W1376-1</f>
        <v>0.194814080646409</v>
      </c>
      <c r="AI1376" s="37" t="str">
        <f aca="false">IF(AF1376&lt;W1376,"SIM","NÃO")</f>
        <v>NÃO</v>
      </c>
      <c r="AJ1376" s="37" t="n">
        <v>2</v>
      </c>
      <c r="AK1376" s="37" t="n">
        <v>5</v>
      </c>
      <c r="AL1376" s="37" t="s">
        <v>343</v>
      </c>
      <c r="AM1376" s="39" t="n">
        <v>113.5</v>
      </c>
    </row>
    <row r="1377" customFormat="false" ht="15" hidden="false" customHeight="false" outlineLevel="0" collapsed="false">
      <c r="A1377" s="37" t="n">
        <v>381555150</v>
      </c>
      <c r="B1377" s="38" t="n">
        <v>46257.7731828704</v>
      </c>
      <c r="C1377" s="37" t="s">
        <v>345</v>
      </c>
      <c r="D1377" s="37" t="s">
        <v>856</v>
      </c>
      <c r="E1377" s="37" t="n">
        <v>21650002</v>
      </c>
      <c r="F1377" s="37" t="s">
        <v>159</v>
      </c>
      <c r="G1377" s="37" t="s">
        <v>196</v>
      </c>
      <c r="H1377" s="37" t="s">
        <v>187</v>
      </c>
      <c r="I1377" s="37" t="n">
        <v>51.7</v>
      </c>
      <c r="J1377" s="39" t="n">
        <v>609.97</v>
      </c>
      <c r="K1377" s="37" t="s">
        <v>342</v>
      </c>
      <c r="L1377" s="39" t="n">
        <v>114.07</v>
      </c>
      <c r="M1377" s="39" t="n">
        <v>58.6</v>
      </c>
      <c r="N1377" s="39" t="n">
        <f aca="false">J1377*Resumo!$C$6</f>
        <v>0</v>
      </c>
      <c r="O1377" s="39" t="n">
        <f aca="false">J1377*Resumo!$C$7</f>
        <v>1.280937</v>
      </c>
      <c r="P1377" s="39" t="n">
        <f aca="false">J1377*Resumo!$C$8</f>
        <v>1.280937</v>
      </c>
      <c r="Q1377" s="39" t="n">
        <f aca="false">Resumo!$C$10*CEILING(I1377/100,1)</f>
        <v>1.05</v>
      </c>
      <c r="R1377" s="39" t="n">
        <f aca="false">Resumo!$C$9</f>
        <v>0</v>
      </c>
      <c r="S1377" s="39" t="n">
        <f aca="false">Resumo!$C$13</f>
        <v>13.55</v>
      </c>
      <c r="T1377" s="39" t="n">
        <f aca="false">Resumo!$C$14*CEILING(I1377,1)</f>
        <v>23.4</v>
      </c>
      <c r="U1377" s="39" t="n">
        <f aca="false">SUM(M1377:T1377)*Resumo!$C$11</f>
        <v>0</v>
      </c>
      <c r="V1377" s="39" t="n">
        <f aca="false">SUM(M1377:U1377)</f>
        <v>99.161874</v>
      </c>
      <c r="W1377" s="39" t="n">
        <f aca="false">V1377/(1-Resumo!$C$5)</f>
        <v>112.683947727273</v>
      </c>
      <c r="X1377" s="39" t="n">
        <v>112.3</v>
      </c>
      <c r="Y1377" s="39" t="n">
        <f aca="false">J1377*Resumo!$B$6</f>
        <v>0.60997</v>
      </c>
      <c r="Z1377" s="39" t="n">
        <f aca="false">J1377*Resumo!$B$7</f>
        <v>1.21994</v>
      </c>
      <c r="AA1377" s="39" t="n">
        <f aca="false">Resumo!$B$9</f>
        <v>1</v>
      </c>
      <c r="AB1377" s="39" t="n">
        <f aca="false">Resumo!$B$10*CEILING(I1377/100,1)</f>
        <v>4.5</v>
      </c>
      <c r="AC1377" s="39" t="n">
        <f aca="false">Resumo!$B$12*CEILING(I1377,1)</f>
        <v>3.12</v>
      </c>
      <c r="AD1377" s="39" t="n">
        <f aca="false">Resumo!$B$14*CEILING(I1377,1)</f>
        <v>23.4</v>
      </c>
      <c r="AE1377" s="39" t="n">
        <f aca="false">SUM(X1377:AD1377)</f>
        <v>146.14991</v>
      </c>
      <c r="AF1377" s="39" t="n">
        <f aca="false">AE1377/(1-Resumo!$B$5)</f>
        <v>166.079443181818</v>
      </c>
      <c r="AG1377" s="39" t="n">
        <f aca="false">AF1377-W1377</f>
        <v>53.3954954545455</v>
      </c>
      <c r="AH1377" s="40" t="n">
        <f aca="false">AF1377/W1377-1</f>
        <v>0.473851835434252</v>
      </c>
      <c r="AI1377" s="37" t="str">
        <f aca="false">IF(AF1377&lt;W1377,"SIM","NÃO")</f>
        <v>NÃO</v>
      </c>
      <c r="AJ1377" s="37" t="n">
        <v>2</v>
      </c>
      <c r="AK1377" s="37" t="n">
        <v>5</v>
      </c>
      <c r="AL1377" s="37" t="s">
        <v>343</v>
      </c>
      <c r="AM1377" s="39" t="n">
        <v>114.07</v>
      </c>
    </row>
    <row r="1378" customFormat="false" ht="15" hidden="false" customHeight="false" outlineLevel="0" collapsed="false">
      <c r="A1378" s="37" t="n">
        <v>381564536</v>
      </c>
      <c r="B1378" s="38" t="n">
        <v>46257.7874652778</v>
      </c>
      <c r="C1378" s="37" t="s">
        <v>340</v>
      </c>
      <c r="D1378" s="37" t="s">
        <v>1623</v>
      </c>
      <c r="E1378" s="37" t="n">
        <v>25963007</v>
      </c>
      <c r="F1378" s="37" t="s">
        <v>235</v>
      </c>
      <c r="G1378" s="37" t="s">
        <v>198</v>
      </c>
      <c r="H1378" s="37" t="s">
        <v>184</v>
      </c>
      <c r="I1378" s="37" t="n">
        <v>27.6</v>
      </c>
      <c r="J1378" s="39" t="n">
        <v>599.99</v>
      </c>
      <c r="K1378" s="37" t="s">
        <v>342</v>
      </c>
      <c r="L1378" s="39" t="n">
        <v>110.06</v>
      </c>
      <c r="M1378" s="39" t="n">
        <v>65.63</v>
      </c>
      <c r="N1378" s="39" t="n">
        <f aca="false">J1378*Resumo!$C$6</f>
        <v>0</v>
      </c>
      <c r="O1378" s="39" t="n">
        <f aca="false">J1378*Resumo!$C$7</f>
        <v>1.259979</v>
      </c>
      <c r="P1378" s="39" t="n">
        <f aca="false">J1378*Resumo!$C$8</f>
        <v>1.259979</v>
      </c>
      <c r="Q1378" s="39" t="n">
        <f aca="false">Resumo!$C$10*CEILING(I1378/100,1)</f>
        <v>1.05</v>
      </c>
      <c r="R1378" s="39" t="n">
        <f aca="false">Resumo!$C$9</f>
        <v>0</v>
      </c>
      <c r="S1378" s="39" t="n">
        <f aca="false">Resumo!$C$13</f>
        <v>13.55</v>
      </c>
      <c r="T1378" s="39" t="n">
        <f aca="false">Resumo!$C$14*CEILING(I1378,1)</f>
        <v>12.6</v>
      </c>
      <c r="U1378" s="39" t="n">
        <f aca="false">SUM(M1378:T1378)*Resumo!$C$11</f>
        <v>0</v>
      </c>
      <c r="V1378" s="39" t="n">
        <f aca="false">SUM(M1378:U1378)</f>
        <v>95.349958</v>
      </c>
      <c r="W1378" s="39" t="n">
        <f aca="false">V1378/(1-Resumo!$C$5)</f>
        <v>108.352225</v>
      </c>
      <c r="X1378" s="39" t="n">
        <v>120.78</v>
      </c>
      <c r="Y1378" s="39" t="n">
        <f aca="false">J1378*Resumo!$B$6</f>
        <v>0.59999</v>
      </c>
      <c r="Z1378" s="39" t="n">
        <f aca="false">J1378*Resumo!$B$7</f>
        <v>1.19998</v>
      </c>
      <c r="AA1378" s="39" t="n">
        <f aca="false">Resumo!$B$9</f>
        <v>1</v>
      </c>
      <c r="AB1378" s="39" t="n">
        <f aca="false">Resumo!$B$10*CEILING(I1378/100,1)</f>
        <v>4.5</v>
      </c>
      <c r="AC1378" s="39" t="n">
        <f aca="false">Resumo!$B$12*CEILING(I1378,1)</f>
        <v>1.68</v>
      </c>
      <c r="AD1378" s="39" t="n">
        <f aca="false">Resumo!$B$14*CEILING(I1378,1)</f>
        <v>12.6</v>
      </c>
      <c r="AE1378" s="39" t="n">
        <f aca="false">SUM(X1378:AD1378)</f>
        <v>142.35997</v>
      </c>
      <c r="AF1378" s="39" t="n">
        <f aca="false">AE1378/(1-Resumo!$B$5)</f>
        <v>161.772693181818</v>
      </c>
      <c r="AG1378" s="39" t="n">
        <f aca="false">AF1378-W1378</f>
        <v>53.4204681818182</v>
      </c>
      <c r="AH1378" s="40" t="n">
        <f aca="false">AF1378/W1378-1</f>
        <v>0.493026037830033</v>
      </c>
      <c r="AI1378" s="37" t="str">
        <f aca="false">IF(AF1378&lt;W1378,"SIM","NÃO")</f>
        <v>NÃO</v>
      </c>
      <c r="AJ1378" s="37" t="n">
        <v>13</v>
      </c>
      <c r="AK1378" s="37" t="n">
        <v>10</v>
      </c>
      <c r="AL1378" s="37" t="s">
        <v>347</v>
      </c>
      <c r="AM1378" s="39" t="n">
        <v>110.06</v>
      </c>
    </row>
    <row r="1379" customFormat="false" ht="15" hidden="false" customHeight="false" outlineLevel="0" collapsed="false">
      <c r="A1379" s="37" t="n">
        <v>381566734</v>
      </c>
      <c r="B1379" s="38" t="n">
        <v>46257.790474537</v>
      </c>
      <c r="C1379" s="37" t="s">
        <v>345</v>
      </c>
      <c r="D1379" s="37" t="s">
        <v>1624</v>
      </c>
      <c r="E1379" s="37" t="n">
        <v>23071180</v>
      </c>
      <c r="F1379" s="37" t="s">
        <v>159</v>
      </c>
      <c r="G1379" s="37" t="s">
        <v>196</v>
      </c>
      <c r="H1379" s="37" t="s">
        <v>190</v>
      </c>
      <c r="I1379" s="37" t="n">
        <v>81.7</v>
      </c>
      <c r="J1379" s="39" t="n">
        <v>562</v>
      </c>
      <c r="K1379" s="37" t="s">
        <v>342</v>
      </c>
      <c r="L1379" s="39" t="n">
        <v>161.77</v>
      </c>
      <c r="M1379" s="39" t="n">
        <v>83.79</v>
      </c>
      <c r="N1379" s="39" t="n">
        <f aca="false">J1379*Resumo!$C$6</f>
        <v>0</v>
      </c>
      <c r="O1379" s="39" t="n">
        <f aca="false">J1379*Resumo!$C$7</f>
        <v>1.1802</v>
      </c>
      <c r="P1379" s="39" t="n">
        <f aca="false">J1379*Resumo!$C$8</f>
        <v>1.1802</v>
      </c>
      <c r="Q1379" s="39" t="n">
        <f aca="false">Resumo!$C$10*CEILING(I1379/100,1)</f>
        <v>1.05</v>
      </c>
      <c r="R1379" s="39" t="n">
        <f aca="false">Resumo!$C$9</f>
        <v>0</v>
      </c>
      <c r="S1379" s="39" t="n">
        <f aca="false">Resumo!$C$13</f>
        <v>13.55</v>
      </c>
      <c r="T1379" s="39" t="n">
        <f aca="false">Resumo!$C$14*CEILING(I1379,1)</f>
        <v>36.9</v>
      </c>
      <c r="U1379" s="39" t="n">
        <f aca="false">SUM(M1379:T1379)*Resumo!$C$11</f>
        <v>0</v>
      </c>
      <c r="V1379" s="39" t="n">
        <f aca="false">SUM(M1379:U1379)</f>
        <v>137.6504</v>
      </c>
      <c r="W1379" s="39" t="n">
        <f aca="false">V1379/(1-Resumo!$C$5)</f>
        <v>156.420909090909</v>
      </c>
      <c r="X1379" s="39" t="n">
        <v>167.99</v>
      </c>
      <c r="Y1379" s="39" t="n">
        <f aca="false">J1379*Resumo!$B$6</f>
        <v>0.562</v>
      </c>
      <c r="Z1379" s="39" t="n">
        <f aca="false">J1379*Resumo!$B$7</f>
        <v>1.124</v>
      </c>
      <c r="AA1379" s="39" t="n">
        <f aca="false">Resumo!$B$9</f>
        <v>1</v>
      </c>
      <c r="AB1379" s="39" t="n">
        <f aca="false">Resumo!$B$10*CEILING(I1379/100,1)</f>
        <v>4.5</v>
      </c>
      <c r="AC1379" s="39" t="n">
        <f aca="false">Resumo!$B$12*CEILING(I1379,1)</f>
        <v>4.92</v>
      </c>
      <c r="AD1379" s="39" t="n">
        <f aca="false">Resumo!$B$14*CEILING(I1379,1)</f>
        <v>36.9</v>
      </c>
      <c r="AE1379" s="39" t="n">
        <f aca="false">SUM(X1379:AD1379)</f>
        <v>216.996</v>
      </c>
      <c r="AF1379" s="39" t="n">
        <f aca="false">AE1379/(1-Resumo!$B$5)</f>
        <v>246.586363636364</v>
      </c>
      <c r="AG1379" s="39" t="n">
        <f aca="false">AF1379-W1379</f>
        <v>90.1654545454545</v>
      </c>
      <c r="AH1379" s="40" t="n">
        <f aca="false">AF1379/W1379-1</f>
        <v>0.576428401225133</v>
      </c>
      <c r="AI1379" s="37" t="str">
        <f aca="false">IF(AF1379&lt;W1379,"SIM","NÃO")</f>
        <v>NÃO</v>
      </c>
      <c r="AJ1379" s="37" t="n">
        <v>2</v>
      </c>
      <c r="AK1379" s="37" t="n">
        <v>5</v>
      </c>
      <c r="AL1379" s="37" t="s">
        <v>343</v>
      </c>
      <c r="AM1379" s="39" t="n">
        <v>161.78</v>
      </c>
    </row>
    <row r="1380" customFormat="false" ht="15" hidden="false" customHeight="false" outlineLevel="0" collapsed="false">
      <c r="A1380" s="37" t="n">
        <v>381610688</v>
      </c>
      <c r="B1380" s="38" t="n">
        <v>46257.8362268519</v>
      </c>
      <c r="C1380" s="37" t="s">
        <v>379</v>
      </c>
      <c r="D1380" s="37" t="s">
        <v>1625</v>
      </c>
      <c r="E1380" s="37" t="n">
        <v>20730110</v>
      </c>
      <c r="F1380" s="37" t="s">
        <v>159</v>
      </c>
      <c r="G1380" s="37" t="s">
        <v>196</v>
      </c>
      <c r="H1380" s="37" t="s">
        <v>184</v>
      </c>
      <c r="I1380" s="37" t="n">
        <v>24.4</v>
      </c>
      <c r="J1380" s="39" t="n">
        <v>299.99</v>
      </c>
      <c r="K1380" s="37" t="s">
        <v>342</v>
      </c>
      <c r="L1380" s="39" t="n">
        <v>81.76</v>
      </c>
      <c r="M1380" s="39" t="n">
        <v>42.11</v>
      </c>
      <c r="N1380" s="39" t="n">
        <f aca="false">J1380*Resumo!$C$6</f>
        <v>0</v>
      </c>
      <c r="O1380" s="39" t="n">
        <f aca="false">J1380*Resumo!$C$7</f>
        <v>0.629979</v>
      </c>
      <c r="P1380" s="39" t="n">
        <f aca="false">J1380*Resumo!$C$8</f>
        <v>0.629979</v>
      </c>
      <c r="Q1380" s="39" t="n">
        <f aca="false">Resumo!$C$10*CEILING(I1380/100,1)</f>
        <v>1.05</v>
      </c>
      <c r="R1380" s="39" t="n">
        <f aca="false">Resumo!$C$9</f>
        <v>0</v>
      </c>
      <c r="S1380" s="39" t="n">
        <f aca="false">Resumo!$C$13</f>
        <v>13.55</v>
      </c>
      <c r="T1380" s="39" t="n">
        <f aca="false">Resumo!$C$14*CEILING(I1380,1)</f>
        <v>11.25</v>
      </c>
      <c r="U1380" s="39" t="n">
        <f aca="false">SUM(M1380:T1380)*Resumo!$C$11</f>
        <v>0</v>
      </c>
      <c r="V1380" s="39" t="n">
        <f aca="false">SUM(M1380:U1380)</f>
        <v>69.219958</v>
      </c>
      <c r="W1380" s="39" t="n">
        <f aca="false">V1380/(1-Resumo!$C$5)</f>
        <v>78.6590431818182</v>
      </c>
      <c r="X1380" s="39" t="n">
        <v>82.21</v>
      </c>
      <c r="Y1380" s="39" t="n">
        <f aca="false">J1380*Resumo!$B$6</f>
        <v>0.29999</v>
      </c>
      <c r="Z1380" s="39" t="n">
        <f aca="false">J1380*Resumo!$B$7</f>
        <v>0.59998</v>
      </c>
      <c r="AA1380" s="39" t="n">
        <f aca="false">Resumo!$B$9</f>
        <v>1</v>
      </c>
      <c r="AB1380" s="39" t="n">
        <f aca="false">Resumo!$B$10*CEILING(I1380/100,1)</f>
        <v>4.5</v>
      </c>
      <c r="AC1380" s="39" t="n">
        <f aca="false">Resumo!$B$12*CEILING(I1380,1)</f>
        <v>1.5</v>
      </c>
      <c r="AD1380" s="39" t="n">
        <f aca="false">Resumo!$B$14*CEILING(I1380,1)</f>
        <v>11.25</v>
      </c>
      <c r="AE1380" s="39" t="n">
        <f aca="false">SUM(X1380:AD1380)</f>
        <v>101.35997</v>
      </c>
      <c r="AF1380" s="39" t="n">
        <f aca="false">AE1380/(1-Resumo!$B$5)</f>
        <v>115.181784090909</v>
      </c>
      <c r="AG1380" s="39" t="n">
        <f aca="false">AF1380-W1380</f>
        <v>36.5227409090909</v>
      </c>
      <c r="AH1380" s="40" t="n">
        <f aca="false">AF1380/W1380-1</f>
        <v>0.464317126572079</v>
      </c>
      <c r="AI1380" s="37" t="str">
        <f aca="false">IF(AF1380&lt;W1380,"SIM","NÃO")</f>
        <v>NÃO</v>
      </c>
      <c r="AJ1380" s="37" t="n">
        <v>2</v>
      </c>
      <c r="AK1380" s="37" t="n">
        <v>5</v>
      </c>
      <c r="AL1380" s="37" t="s">
        <v>343</v>
      </c>
      <c r="AM1380" s="39" t="n">
        <v>81.76</v>
      </c>
    </row>
    <row r="1381" customFormat="false" ht="15" hidden="false" customHeight="false" outlineLevel="0" collapsed="false">
      <c r="A1381" s="37" t="n">
        <v>381617128</v>
      </c>
      <c r="B1381" s="38" t="n">
        <v>46257.8422685185</v>
      </c>
      <c r="C1381" s="37" t="s">
        <v>345</v>
      </c>
      <c r="D1381" s="37" t="s">
        <v>1626</v>
      </c>
      <c r="E1381" s="37" t="n">
        <v>24451840</v>
      </c>
      <c r="F1381" s="37" t="s">
        <v>160</v>
      </c>
      <c r="G1381" s="37" t="s">
        <v>197</v>
      </c>
      <c r="H1381" s="37" t="s">
        <v>188</v>
      </c>
      <c r="I1381" s="37" t="n">
        <v>66.8</v>
      </c>
      <c r="J1381" s="39" t="n">
        <v>588.63</v>
      </c>
      <c r="K1381" s="37" t="s">
        <v>342</v>
      </c>
      <c r="L1381" s="39" t="n">
        <v>139.26</v>
      </c>
      <c r="M1381" s="39" t="n">
        <v>76.55</v>
      </c>
      <c r="N1381" s="39" t="n">
        <f aca="false">J1381*Resumo!$C$6</f>
        <v>0</v>
      </c>
      <c r="O1381" s="39" t="n">
        <f aca="false">J1381*Resumo!$C$7</f>
        <v>1.236123</v>
      </c>
      <c r="P1381" s="39" t="n">
        <f aca="false">J1381*Resumo!$C$8</f>
        <v>1.236123</v>
      </c>
      <c r="Q1381" s="39" t="n">
        <f aca="false">Resumo!$C$10*CEILING(I1381/100,1)</f>
        <v>1.05</v>
      </c>
      <c r="R1381" s="39" t="n">
        <f aca="false">Resumo!$C$9</f>
        <v>0</v>
      </c>
      <c r="S1381" s="39" t="n">
        <f aca="false">Resumo!$C$13</f>
        <v>13.55</v>
      </c>
      <c r="T1381" s="39" t="n">
        <f aca="false">Resumo!$C$14*CEILING(I1381,1)</f>
        <v>30.15</v>
      </c>
      <c r="U1381" s="39" t="n">
        <f aca="false">SUM(M1381:T1381)*Resumo!$C$11</f>
        <v>0</v>
      </c>
      <c r="V1381" s="39" t="n">
        <f aca="false">SUM(M1381:U1381)</f>
        <v>123.772246</v>
      </c>
      <c r="W1381" s="39" t="n">
        <f aca="false">V1381/(1-Resumo!$C$5)</f>
        <v>140.650279545455</v>
      </c>
      <c r="X1381" s="39" t="n">
        <v>149.5</v>
      </c>
      <c r="Y1381" s="39" t="n">
        <f aca="false">J1381*Resumo!$B$6</f>
        <v>0.58863</v>
      </c>
      <c r="Z1381" s="39" t="n">
        <f aca="false">J1381*Resumo!$B$7</f>
        <v>1.17726</v>
      </c>
      <c r="AA1381" s="39" t="n">
        <f aca="false">Resumo!$B$9</f>
        <v>1</v>
      </c>
      <c r="AB1381" s="39" t="n">
        <f aca="false">Resumo!$B$10*CEILING(I1381/100,1)</f>
        <v>4.5</v>
      </c>
      <c r="AC1381" s="39" t="n">
        <f aca="false">Resumo!$B$12*CEILING(I1381,1)</f>
        <v>4.02</v>
      </c>
      <c r="AD1381" s="39" t="n">
        <f aca="false">Resumo!$B$14*CEILING(I1381,1)</f>
        <v>30.15</v>
      </c>
      <c r="AE1381" s="39" t="n">
        <f aca="false">SUM(X1381:AD1381)</f>
        <v>190.93589</v>
      </c>
      <c r="AF1381" s="39" t="n">
        <f aca="false">AE1381/(1-Resumo!$B$5)</f>
        <v>216.972602272727</v>
      </c>
      <c r="AG1381" s="39" t="n">
        <f aca="false">AF1381-W1381</f>
        <v>76.3223227272727</v>
      </c>
      <c r="AH1381" s="40" t="n">
        <f aca="false">AF1381/W1381-1</f>
        <v>0.542638969321119</v>
      </c>
      <c r="AI1381" s="37" t="str">
        <f aca="false">IF(AF1381&lt;W1381,"SIM","NÃO")</f>
        <v>NÃO</v>
      </c>
      <c r="AJ1381" s="37" t="n">
        <v>2</v>
      </c>
      <c r="AK1381" s="37" t="n">
        <v>7</v>
      </c>
      <c r="AL1381" s="37" t="s">
        <v>343</v>
      </c>
      <c r="AM1381" s="39" t="n">
        <v>139.25</v>
      </c>
    </row>
    <row r="1382" customFormat="false" ht="15" hidden="false" customHeight="false" outlineLevel="0" collapsed="false">
      <c r="A1382" s="37" t="n">
        <v>381749944</v>
      </c>
      <c r="B1382" s="38" t="n">
        <v>46257.9052314815</v>
      </c>
      <c r="C1382" s="37" t="s">
        <v>345</v>
      </c>
      <c r="D1382" s="37" t="s">
        <v>1627</v>
      </c>
      <c r="E1382" s="37" t="n">
        <v>23031203</v>
      </c>
      <c r="F1382" s="37" t="s">
        <v>159</v>
      </c>
      <c r="G1382" s="37" t="s">
        <v>196</v>
      </c>
      <c r="H1382" s="37" t="s">
        <v>192</v>
      </c>
      <c r="I1382" s="37" t="n">
        <v>124.2</v>
      </c>
      <c r="J1382" s="39" t="n">
        <v>1526.91</v>
      </c>
      <c r="K1382" s="37" t="s">
        <v>342</v>
      </c>
      <c r="L1382" s="39" t="n">
        <v>233.6</v>
      </c>
      <c r="M1382" s="39" t="n">
        <v>120.59</v>
      </c>
      <c r="N1382" s="39" t="n">
        <f aca="false">J1382*Resumo!$C$6</f>
        <v>0</v>
      </c>
      <c r="O1382" s="39" t="n">
        <f aca="false">J1382*Resumo!$C$7</f>
        <v>3.206511</v>
      </c>
      <c r="P1382" s="39" t="n">
        <f aca="false">J1382*Resumo!$C$8</f>
        <v>3.206511</v>
      </c>
      <c r="Q1382" s="39" t="n">
        <f aca="false">Resumo!$C$10*CEILING(I1382/100,1)</f>
        <v>2.1</v>
      </c>
      <c r="R1382" s="39" t="n">
        <f aca="false">Resumo!$C$9</f>
        <v>0</v>
      </c>
      <c r="S1382" s="39" t="n">
        <f aca="false">Resumo!$C$13</f>
        <v>13.55</v>
      </c>
      <c r="T1382" s="39" t="n">
        <f aca="false">Resumo!$C$14*CEILING(I1382,1)</f>
        <v>56.25</v>
      </c>
      <c r="U1382" s="39" t="n">
        <f aca="false">SUM(M1382:T1382)*Resumo!$C$11</f>
        <v>0</v>
      </c>
      <c r="V1382" s="39" t="n">
        <f aca="false">SUM(M1382:U1382)</f>
        <v>198.903022</v>
      </c>
      <c r="W1382" s="39" t="n">
        <f aca="false">V1382/(1-Resumo!$C$5)</f>
        <v>226.026161363636</v>
      </c>
      <c r="X1382" s="39" t="n">
        <v>239.25</v>
      </c>
      <c r="Y1382" s="39" t="n">
        <f aca="false">J1382*Resumo!$B$6</f>
        <v>1.52691</v>
      </c>
      <c r="Z1382" s="39" t="n">
        <f aca="false">J1382*Resumo!$B$7</f>
        <v>3.05382</v>
      </c>
      <c r="AA1382" s="39" t="n">
        <f aca="false">Resumo!$B$9</f>
        <v>1</v>
      </c>
      <c r="AB1382" s="39" t="n">
        <f aca="false">Resumo!$B$10*CEILING(I1382/100,1)</f>
        <v>9</v>
      </c>
      <c r="AC1382" s="39" t="n">
        <f aca="false">Resumo!$B$12*CEILING(I1382,1)</f>
        <v>7.5</v>
      </c>
      <c r="AD1382" s="39" t="n">
        <f aca="false">Resumo!$B$14*CEILING(I1382,1)</f>
        <v>56.25</v>
      </c>
      <c r="AE1382" s="39" t="n">
        <f aca="false">SUM(X1382:AD1382)</f>
        <v>317.58073</v>
      </c>
      <c r="AF1382" s="39" t="n">
        <f aca="false">AE1382/(1-Resumo!$B$5)</f>
        <v>360.887193181818</v>
      </c>
      <c r="AG1382" s="39" t="n">
        <f aca="false">AF1382-W1382</f>
        <v>134.861031818182</v>
      </c>
      <c r="AH1382" s="40" t="n">
        <f aca="false">AF1382/W1382-1</f>
        <v>0.596661160834449</v>
      </c>
      <c r="AI1382" s="37" t="str">
        <f aca="false">IF(AF1382&lt;W1382,"SIM","NÃO")</f>
        <v>NÃO</v>
      </c>
      <c r="AJ1382" s="37" t="n">
        <v>2</v>
      </c>
      <c r="AK1382" s="37" t="n">
        <v>5</v>
      </c>
      <c r="AL1382" s="37" t="s">
        <v>343</v>
      </c>
      <c r="AM1382" s="39" t="n">
        <v>233.61</v>
      </c>
    </row>
    <row r="1383" customFormat="false" ht="15" hidden="false" customHeight="false" outlineLevel="0" collapsed="false">
      <c r="A1383" s="37" t="n">
        <v>381664063</v>
      </c>
      <c r="B1383" s="38" t="n">
        <v>46257.9081365741</v>
      </c>
      <c r="C1383" s="37" t="s">
        <v>372</v>
      </c>
      <c r="D1383" s="37" t="s">
        <v>940</v>
      </c>
      <c r="E1383" s="37" t="n">
        <v>22753050</v>
      </c>
      <c r="F1383" s="37" t="s">
        <v>159</v>
      </c>
      <c r="G1383" s="37" t="s">
        <v>196</v>
      </c>
      <c r="H1383" s="37" t="s">
        <v>184</v>
      </c>
      <c r="I1383" s="37" t="n">
        <v>22.4</v>
      </c>
      <c r="J1383" s="39" t="n">
        <v>434.99</v>
      </c>
      <c r="K1383" s="37" t="s">
        <v>342</v>
      </c>
      <c r="L1383" s="39" t="n">
        <v>82.41</v>
      </c>
      <c r="M1383" s="39" t="n">
        <v>42.11</v>
      </c>
      <c r="N1383" s="39" t="n">
        <f aca="false">J1383*Resumo!$C$6</f>
        <v>0</v>
      </c>
      <c r="O1383" s="39" t="n">
        <f aca="false">J1383*Resumo!$C$7</f>
        <v>0.913479</v>
      </c>
      <c r="P1383" s="39" t="n">
        <f aca="false">J1383*Resumo!$C$8</f>
        <v>0.913479</v>
      </c>
      <c r="Q1383" s="39" t="n">
        <f aca="false">Resumo!$C$10*CEILING(I1383/100,1)</f>
        <v>1.05</v>
      </c>
      <c r="R1383" s="39" t="n">
        <f aca="false">Resumo!$C$9</f>
        <v>0</v>
      </c>
      <c r="S1383" s="39" t="n">
        <f aca="false">Resumo!$C$13</f>
        <v>13.55</v>
      </c>
      <c r="T1383" s="39" t="n">
        <f aca="false">Resumo!$C$14*CEILING(I1383,1)</f>
        <v>10.35</v>
      </c>
      <c r="U1383" s="39" t="n">
        <f aca="false">SUM(M1383:T1383)*Resumo!$C$11</f>
        <v>0</v>
      </c>
      <c r="V1383" s="39" t="n">
        <f aca="false">SUM(M1383:U1383)</f>
        <v>68.886958</v>
      </c>
      <c r="W1383" s="39" t="n">
        <f aca="false">V1383/(1-Resumo!$C$5)</f>
        <v>78.2806340909091</v>
      </c>
      <c r="X1383" s="39" t="n">
        <v>82.21</v>
      </c>
      <c r="Y1383" s="39" t="n">
        <f aca="false">J1383*Resumo!$B$6</f>
        <v>0.43499</v>
      </c>
      <c r="Z1383" s="39" t="n">
        <f aca="false">J1383*Resumo!$B$7</f>
        <v>0.86998</v>
      </c>
      <c r="AA1383" s="39" t="n">
        <f aca="false">Resumo!$B$9</f>
        <v>1</v>
      </c>
      <c r="AB1383" s="39" t="n">
        <f aca="false">Resumo!$B$10*CEILING(I1383/100,1)</f>
        <v>4.5</v>
      </c>
      <c r="AC1383" s="39" t="n">
        <f aca="false">Resumo!$B$12*CEILING(I1383,1)</f>
        <v>1.38</v>
      </c>
      <c r="AD1383" s="39" t="n">
        <f aca="false">Resumo!$B$14*CEILING(I1383,1)</f>
        <v>10.35</v>
      </c>
      <c r="AE1383" s="39" t="n">
        <f aca="false">SUM(X1383:AD1383)</f>
        <v>100.74497</v>
      </c>
      <c r="AF1383" s="39" t="n">
        <f aca="false">AE1383/(1-Resumo!$B$5)</f>
        <v>114.482920454545</v>
      </c>
      <c r="AG1383" s="39" t="n">
        <f aca="false">AF1383-W1383</f>
        <v>36.2022863636364</v>
      </c>
      <c r="AH1383" s="40" t="n">
        <f aca="false">AF1383/W1383-1</f>
        <v>0.462467975433027</v>
      </c>
      <c r="AI1383" s="37" t="str">
        <f aca="false">IF(AF1383&lt;W1383,"SIM","NÃO")</f>
        <v>NÃO</v>
      </c>
      <c r="AJ1383" s="37" t="n">
        <v>2</v>
      </c>
      <c r="AK1383" s="37" t="n">
        <v>5</v>
      </c>
      <c r="AL1383" s="37" t="s">
        <v>343</v>
      </c>
      <c r="AM1383" s="39" t="n">
        <v>82.41</v>
      </c>
    </row>
    <row r="1384" customFormat="false" ht="15" hidden="false" customHeight="false" outlineLevel="0" collapsed="false">
      <c r="A1384" s="37" t="n">
        <v>381687413</v>
      </c>
      <c r="B1384" s="38" t="n">
        <v>46257.9338310185</v>
      </c>
      <c r="C1384" s="37" t="s">
        <v>340</v>
      </c>
      <c r="D1384" s="37" t="s">
        <v>1628</v>
      </c>
      <c r="E1384" s="37" t="n">
        <v>25211300</v>
      </c>
      <c r="F1384" s="37" t="s">
        <v>161</v>
      </c>
      <c r="G1384" s="37" t="s">
        <v>197</v>
      </c>
      <c r="H1384" s="37" t="s">
        <v>186</v>
      </c>
      <c r="I1384" s="37" t="n">
        <v>46.8</v>
      </c>
      <c r="J1384" s="39" t="n">
        <v>506.56</v>
      </c>
      <c r="K1384" s="37" t="s">
        <v>342</v>
      </c>
      <c r="L1384" s="39" t="n">
        <v>116.49</v>
      </c>
      <c r="M1384" s="39" t="n">
        <v>65.36</v>
      </c>
      <c r="N1384" s="39" t="n">
        <f aca="false">J1384*Resumo!$C$6</f>
        <v>0</v>
      </c>
      <c r="O1384" s="39" t="n">
        <f aca="false">J1384*Resumo!$C$7</f>
        <v>1.063776</v>
      </c>
      <c r="P1384" s="39" t="n">
        <f aca="false">J1384*Resumo!$C$8</f>
        <v>1.063776</v>
      </c>
      <c r="Q1384" s="39" t="n">
        <f aca="false">Resumo!$C$10*CEILING(I1384/100,1)</f>
        <v>1.05</v>
      </c>
      <c r="R1384" s="39" t="n">
        <f aca="false">Resumo!$C$9</f>
        <v>0</v>
      </c>
      <c r="S1384" s="39" t="n">
        <f aca="false">Resumo!$C$13</f>
        <v>13.55</v>
      </c>
      <c r="T1384" s="39" t="n">
        <f aca="false">Resumo!$C$14*CEILING(I1384,1)</f>
        <v>21.15</v>
      </c>
      <c r="U1384" s="39" t="n">
        <f aca="false">SUM(M1384:T1384)*Resumo!$C$11</f>
        <v>0</v>
      </c>
      <c r="V1384" s="39" t="n">
        <f aca="false">SUM(M1384:U1384)</f>
        <v>103.237552</v>
      </c>
      <c r="W1384" s="39" t="n">
        <f aca="false">V1384/(1-Resumo!$C$5)</f>
        <v>117.3154</v>
      </c>
      <c r="X1384" s="39" t="n">
        <v>93.97</v>
      </c>
      <c r="Y1384" s="39" t="n">
        <f aca="false">J1384*Resumo!$B$6</f>
        <v>0.50656</v>
      </c>
      <c r="Z1384" s="39" t="n">
        <f aca="false">J1384*Resumo!$B$7</f>
        <v>1.01312</v>
      </c>
      <c r="AA1384" s="39" t="n">
        <f aca="false">Resumo!$B$9</f>
        <v>1</v>
      </c>
      <c r="AB1384" s="39" t="n">
        <f aca="false">Resumo!$B$10*CEILING(I1384/100,1)</f>
        <v>4.5</v>
      </c>
      <c r="AC1384" s="39" t="n">
        <f aca="false">Resumo!$B$12*CEILING(I1384,1)</f>
        <v>2.82</v>
      </c>
      <c r="AD1384" s="39" t="n">
        <f aca="false">Resumo!$B$14*CEILING(I1384,1)</f>
        <v>21.15</v>
      </c>
      <c r="AE1384" s="39" t="n">
        <f aca="false">SUM(X1384:AD1384)</f>
        <v>124.95968</v>
      </c>
      <c r="AF1384" s="39" t="n">
        <f aca="false">AE1384/(1-Resumo!$B$5)</f>
        <v>141.999636363636</v>
      </c>
      <c r="AG1384" s="39" t="n">
        <f aca="false">AF1384-W1384</f>
        <v>24.6842363636364</v>
      </c>
      <c r="AH1384" s="40" t="n">
        <f aca="false">AF1384/W1384-1</f>
        <v>0.210409173592183</v>
      </c>
      <c r="AI1384" s="37" t="str">
        <f aca="false">IF(AF1384&lt;W1384,"SIM","NÃO")</f>
        <v>NÃO</v>
      </c>
      <c r="AJ1384" s="37" t="n">
        <v>2</v>
      </c>
      <c r="AK1384" s="37" t="n">
        <v>5</v>
      </c>
      <c r="AL1384" s="37" t="s">
        <v>343</v>
      </c>
      <c r="AM1384" s="39" t="n">
        <v>116.5</v>
      </c>
    </row>
    <row r="1385" customFormat="false" ht="15" hidden="false" customHeight="false" outlineLevel="0" collapsed="false">
      <c r="A1385" s="37" t="n">
        <v>381692974</v>
      </c>
      <c r="B1385" s="38" t="n">
        <v>46257.9423263889</v>
      </c>
      <c r="C1385" s="37" t="s">
        <v>340</v>
      </c>
      <c r="D1385" s="37" t="s">
        <v>1629</v>
      </c>
      <c r="E1385" s="37" t="n">
        <v>24470545</v>
      </c>
      <c r="F1385" s="37" t="s">
        <v>160</v>
      </c>
      <c r="G1385" s="37" t="s">
        <v>197</v>
      </c>
      <c r="H1385" s="37" t="s">
        <v>187</v>
      </c>
      <c r="I1385" s="37" t="n">
        <v>52.2</v>
      </c>
      <c r="J1385" s="39" t="n">
        <v>719.99</v>
      </c>
      <c r="K1385" s="37" t="s">
        <v>342</v>
      </c>
      <c r="L1385" s="39" t="n">
        <v>128.74</v>
      </c>
      <c r="M1385" s="39" t="n">
        <v>70.98</v>
      </c>
      <c r="N1385" s="39" t="n">
        <f aca="false">J1385*Resumo!$C$6</f>
        <v>0</v>
      </c>
      <c r="O1385" s="39" t="n">
        <f aca="false">J1385*Resumo!$C$7</f>
        <v>1.511979</v>
      </c>
      <c r="P1385" s="39" t="n">
        <f aca="false">J1385*Resumo!$C$8</f>
        <v>1.511979</v>
      </c>
      <c r="Q1385" s="39" t="n">
        <f aca="false">Resumo!$C$10*CEILING(I1385/100,1)</f>
        <v>1.05</v>
      </c>
      <c r="R1385" s="39" t="n">
        <f aca="false">Resumo!$C$9</f>
        <v>0</v>
      </c>
      <c r="S1385" s="39" t="n">
        <f aca="false">Resumo!$C$13</f>
        <v>13.55</v>
      </c>
      <c r="T1385" s="39" t="n">
        <f aca="false">Resumo!$C$14*CEILING(I1385,1)</f>
        <v>23.85</v>
      </c>
      <c r="U1385" s="39" t="n">
        <f aca="false">SUM(M1385:T1385)*Resumo!$C$11</f>
        <v>0</v>
      </c>
      <c r="V1385" s="39" t="n">
        <f aca="false">SUM(M1385:U1385)</f>
        <v>112.453958</v>
      </c>
      <c r="W1385" s="39" t="n">
        <f aca="false">V1385/(1-Resumo!$C$5)</f>
        <v>127.788588636364</v>
      </c>
      <c r="X1385" s="39" t="n">
        <v>128.14</v>
      </c>
      <c r="Y1385" s="39" t="n">
        <f aca="false">J1385*Resumo!$B$6</f>
        <v>0.71999</v>
      </c>
      <c r="Z1385" s="39" t="n">
        <f aca="false">J1385*Resumo!$B$7</f>
        <v>1.43998</v>
      </c>
      <c r="AA1385" s="39" t="n">
        <f aca="false">Resumo!$B$9</f>
        <v>1</v>
      </c>
      <c r="AB1385" s="39" t="n">
        <f aca="false">Resumo!$B$10*CEILING(I1385/100,1)</f>
        <v>4.5</v>
      </c>
      <c r="AC1385" s="39" t="n">
        <f aca="false">Resumo!$B$12*CEILING(I1385,1)</f>
        <v>3.18</v>
      </c>
      <c r="AD1385" s="39" t="n">
        <f aca="false">Resumo!$B$14*CEILING(I1385,1)</f>
        <v>23.85</v>
      </c>
      <c r="AE1385" s="39" t="n">
        <f aca="false">SUM(X1385:AD1385)</f>
        <v>162.82997</v>
      </c>
      <c r="AF1385" s="39" t="n">
        <f aca="false">AE1385/(1-Resumo!$B$5)</f>
        <v>185.034056818182</v>
      </c>
      <c r="AG1385" s="39" t="n">
        <f aca="false">AF1385-W1385</f>
        <v>57.2454681818182</v>
      </c>
      <c r="AH1385" s="40" t="n">
        <f aca="false">AF1385/W1385-1</f>
        <v>0.447970110576277</v>
      </c>
      <c r="AI1385" s="37" t="str">
        <f aca="false">IF(AF1385&lt;W1385,"SIM","NÃO")</f>
        <v>NÃO</v>
      </c>
      <c r="AJ1385" s="37" t="n">
        <v>2</v>
      </c>
      <c r="AK1385" s="37" t="n">
        <v>7</v>
      </c>
      <c r="AL1385" s="37" t="s">
        <v>343</v>
      </c>
      <c r="AM1385" s="39" t="n">
        <v>128.73</v>
      </c>
    </row>
    <row r="1386" customFormat="false" ht="15" hidden="false" customHeight="false" outlineLevel="0" collapsed="false">
      <c r="A1386" s="37" t="n">
        <v>381704414</v>
      </c>
      <c r="B1386" s="38" t="n">
        <v>46257.9601157407</v>
      </c>
      <c r="C1386" s="37" t="s">
        <v>345</v>
      </c>
      <c r="D1386" s="37" t="s">
        <v>665</v>
      </c>
      <c r="E1386" s="37" t="n">
        <v>23020230</v>
      </c>
      <c r="F1386" s="37" t="s">
        <v>159</v>
      </c>
      <c r="G1386" s="37" t="s">
        <v>196</v>
      </c>
      <c r="H1386" s="37" t="s">
        <v>184</v>
      </c>
      <c r="I1386" s="37" t="n">
        <v>31.4</v>
      </c>
      <c r="J1386" s="39" t="n">
        <v>368.32</v>
      </c>
      <c r="K1386" s="37" t="s">
        <v>342</v>
      </c>
      <c r="L1386" s="39" t="n">
        <v>82.1</v>
      </c>
      <c r="M1386" s="39" t="n">
        <v>42.11</v>
      </c>
      <c r="N1386" s="39" t="n">
        <f aca="false">J1386*Resumo!$C$6</f>
        <v>0</v>
      </c>
      <c r="O1386" s="39" t="n">
        <f aca="false">J1386*Resumo!$C$7</f>
        <v>0.773472</v>
      </c>
      <c r="P1386" s="39" t="n">
        <f aca="false">J1386*Resumo!$C$8</f>
        <v>0.773472</v>
      </c>
      <c r="Q1386" s="39" t="n">
        <f aca="false">Resumo!$C$10*CEILING(I1386/100,1)</f>
        <v>1.05</v>
      </c>
      <c r="R1386" s="39" t="n">
        <f aca="false">Resumo!$C$9</f>
        <v>0</v>
      </c>
      <c r="S1386" s="39" t="n">
        <f aca="false">Resumo!$C$13</f>
        <v>13.55</v>
      </c>
      <c r="T1386" s="39" t="n">
        <f aca="false">Resumo!$C$14*CEILING(I1386,1)</f>
        <v>14.4</v>
      </c>
      <c r="U1386" s="39" t="n">
        <f aca="false">SUM(M1386:T1386)*Resumo!$C$11</f>
        <v>0</v>
      </c>
      <c r="V1386" s="39" t="n">
        <f aca="false">SUM(M1386:U1386)</f>
        <v>72.656944</v>
      </c>
      <c r="W1386" s="39" t="n">
        <f aca="false">V1386/(1-Resumo!$C$5)</f>
        <v>82.5647090909091</v>
      </c>
      <c r="X1386" s="39" t="n">
        <v>82.21</v>
      </c>
      <c r="Y1386" s="39" t="n">
        <f aca="false">J1386*Resumo!$B$6</f>
        <v>0.36832</v>
      </c>
      <c r="Z1386" s="39" t="n">
        <f aca="false">J1386*Resumo!$B$7</f>
        <v>0.73664</v>
      </c>
      <c r="AA1386" s="39" t="n">
        <f aca="false">Resumo!$B$9</f>
        <v>1</v>
      </c>
      <c r="AB1386" s="39" t="n">
        <f aca="false">Resumo!$B$10*CEILING(I1386/100,1)</f>
        <v>4.5</v>
      </c>
      <c r="AC1386" s="39" t="n">
        <f aca="false">Resumo!$B$12*CEILING(I1386,1)</f>
        <v>1.92</v>
      </c>
      <c r="AD1386" s="39" t="n">
        <f aca="false">Resumo!$B$14*CEILING(I1386,1)</f>
        <v>14.4</v>
      </c>
      <c r="AE1386" s="39" t="n">
        <f aca="false">SUM(X1386:AD1386)</f>
        <v>105.13496</v>
      </c>
      <c r="AF1386" s="39" t="n">
        <f aca="false">AE1386/(1-Resumo!$B$5)</f>
        <v>119.471545454545</v>
      </c>
      <c r="AG1386" s="39" t="n">
        <f aca="false">AF1386-W1386</f>
        <v>36.9068363636364</v>
      </c>
      <c r="AH1386" s="40" t="n">
        <f aca="false">AF1386/W1386-1</f>
        <v>0.447004982758427</v>
      </c>
      <c r="AI1386" s="37" t="str">
        <f aca="false">IF(AF1386&lt;W1386,"SIM","NÃO")</f>
        <v>NÃO</v>
      </c>
      <c r="AJ1386" s="37" t="n">
        <v>2</v>
      </c>
      <c r="AK1386" s="37" t="n">
        <v>5</v>
      </c>
      <c r="AL1386" s="37" t="s">
        <v>343</v>
      </c>
      <c r="AM1386" s="39" t="n">
        <v>82.09</v>
      </c>
    </row>
    <row r="1387" customFormat="false" ht="15" hidden="false" customHeight="false" outlineLevel="0" collapsed="false">
      <c r="A1387" s="37" t="n">
        <v>381708602</v>
      </c>
      <c r="B1387" s="38" t="n">
        <v>46257.9671875</v>
      </c>
      <c r="C1387" s="37" t="s">
        <v>340</v>
      </c>
      <c r="D1387" s="37" t="s">
        <v>1630</v>
      </c>
      <c r="E1387" s="37" t="n">
        <v>22790877</v>
      </c>
      <c r="F1387" s="37" t="s">
        <v>159</v>
      </c>
      <c r="G1387" s="37" t="s">
        <v>196</v>
      </c>
      <c r="H1387" s="37" t="s">
        <v>184</v>
      </c>
      <c r="I1387" s="37" t="n">
        <v>27</v>
      </c>
      <c r="J1387" s="39" t="n">
        <v>349.99</v>
      </c>
      <c r="K1387" s="37" t="s">
        <v>342</v>
      </c>
      <c r="L1387" s="39" t="n">
        <v>82</v>
      </c>
      <c r="M1387" s="39" t="n">
        <v>42.11</v>
      </c>
      <c r="N1387" s="39" t="n">
        <f aca="false">J1387*Resumo!$C$6</f>
        <v>0</v>
      </c>
      <c r="O1387" s="39" t="n">
        <f aca="false">J1387*Resumo!$C$7</f>
        <v>0.734979</v>
      </c>
      <c r="P1387" s="39" t="n">
        <f aca="false">J1387*Resumo!$C$8</f>
        <v>0.734979</v>
      </c>
      <c r="Q1387" s="39" t="n">
        <f aca="false">Resumo!$C$10*CEILING(I1387/100,1)</f>
        <v>1.05</v>
      </c>
      <c r="R1387" s="39" t="n">
        <f aca="false">Resumo!$C$9</f>
        <v>0</v>
      </c>
      <c r="S1387" s="39" t="n">
        <f aca="false">Resumo!$C$13</f>
        <v>13.55</v>
      </c>
      <c r="T1387" s="39" t="n">
        <f aca="false">Resumo!$C$14*CEILING(I1387,1)</f>
        <v>12.15</v>
      </c>
      <c r="U1387" s="39" t="n">
        <f aca="false">SUM(M1387:T1387)*Resumo!$C$11</f>
        <v>0</v>
      </c>
      <c r="V1387" s="39" t="n">
        <f aca="false">SUM(M1387:U1387)</f>
        <v>70.329958</v>
      </c>
      <c r="W1387" s="39" t="n">
        <f aca="false">V1387/(1-Resumo!$C$5)</f>
        <v>79.9204068181818</v>
      </c>
      <c r="X1387" s="39" t="n">
        <v>82.21</v>
      </c>
      <c r="Y1387" s="39" t="n">
        <f aca="false">J1387*Resumo!$B$6</f>
        <v>0.34999</v>
      </c>
      <c r="Z1387" s="39" t="n">
        <f aca="false">J1387*Resumo!$B$7</f>
        <v>0.69998</v>
      </c>
      <c r="AA1387" s="39" t="n">
        <f aca="false">Resumo!$B$9</f>
        <v>1</v>
      </c>
      <c r="AB1387" s="39" t="n">
        <f aca="false">Resumo!$B$10*CEILING(I1387/100,1)</f>
        <v>4.5</v>
      </c>
      <c r="AC1387" s="39" t="n">
        <f aca="false">Resumo!$B$12*CEILING(I1387,1)</f>
        <v>1.62</v>
      </c>
      <c r="AD1387" s="39" t="n">
        <f aca="false">Resumo!$B$14*CEILING(I1387,1)</f>
        <v>12.15</v>
      </c>
      <c r="AE1387" s="39" t="n">
        <f aca="false">SUM(X1387:AD1387)</f>
        <v>102.52997</v>
      </c>
      <c r="AF1387" s="39" t="n">
        <f aca="false">AE1387/(1-Resumo!$B$5)</f>
        <v>116.511329545455</v>
      </c>
      <c r="AG1387" s="39" t="n">
        <f aca="false">AF1387-W1387</f>
        <v>36.5909227272727</v>
      </c>
      <c r="AH1387" s="40" t="n">
        <f aca="false">AF1387/W1387-1</f>
        <v>0.457842047907949</v>
      </c>
      <c r="AI1387" s="37" t="str">
        <f aca="false">IF(AF1387&lt;W1387,"SIM","NÃO")</f>
        <v>NÃO</v>
      </c>
      <c r="AJ1387" s="37" t="n">
        <v>2</v>
      </c>
      <c r="AK1387" s="37" t="n">
        <v>5</v>
      </c>
      <c r="AL1387" s="37" t="s">
        <v>343</v>
      </c>
      <c r="AM1387" s="39" t="n">
        <v>82</v>
      </c>
    </row>
    <row r="1388" customFormat="false" ht="15" hidden="false" customHeight="false" outlineLevel="0" collapsed="false">
      <c r="A1388" s="37" t="n">
        <v>381028973</v>
      </c>
      <c r="B1388" s="38" t="n">
        <v>46258.0063078704</v>
      </c>
      <c r="C1388" s="37" t="s">
        <v>375</v>
      </c>
      <c r="D1388" s="37" t="s">
        <v>1631</v>
      </c>
      <c r="E1388" s="37" t="n">
        <v>21321560</v>
      </c>
      <c r="F1388" s="37" t="s">
        <v>159</v>
      </c>
      <c r="G1388" s="37" t="s">
        <v>196</v>
      </c>
      <c r="H1388" s="37" t="s">
        <v>184</v>
      </c>
      <c r="I1388" s="37" t="n">
        <v>21.75</v>
      </c>
      <c r="J1388" s="39" t="n">
        <v>329.99</v>
      </c>
      <c r="K1388" s="37" t="s">
        <v>342</v>
      </c>
      <c r="L1388" s="39" t="n">
        <v>81.91</v>
      </c>
      <c r="M1388" s="39" t="n">
        <v>42.11</v>
      </c>
      <c r="N1388" s="39" t="n">
        <f aca="false">J1388*Resumo!$C$6</f>
        <v>0</v>
      </c>
      <c r="O1388" s="39" t="n">
        <f aca="false">J1388*Resumo!$C$7</f>
        <v>0.692979</v>
      </c>
      <c r="P1388" s="39" t="n">
        <f aca="false">J1388*Resumo!$C$8</f>
        <v>0.692979</v>
      </c>
      <c r="Q1388" s="39" t="n">
        <f aca="false">Resumo!$C$10*CEILING(I1388/100,1)</f>
        <v>1.05</v>
      </c>
      <c r="R1388" s="39" t="n">
        <f aca="false">Resumo!$C$9</f>
        <v>0</v>
      </c>
      <c r="S1388" s="39" t="n">
        <f aca="false">Resumo!$C$13</f>
        <v>13.55</v>
      </c>
      <c r="T1388" s="39" t="n">
        <f aca="false">Resumo!$C$14*CEILING(I1388,1)</f>
        <v>9.9</v>
      </c>
      <c r="U1388" s="39" t="n">
        <f aca="false">SUM(M1388:T1388)*Resumo!$C$11</f>
        <v>0</v>
      </c>
      <c r="V1388" s="39" t="n">
        <f aca="false">SUM(M1388:U1388)</f>
        <v>67.995958</v>
      </c>
      <c r="W1388" s="39" t="n">
        <f aca="false">V1388/(1-Resumo!$C$5)</f>
        <v>77.2681340909091</v>
      </c>
      <c r="X1388" s="39" t="n">
        <v>82.21</v>
      </c>
      <c r="Y1388" s="39" t="n">
        <f aca="false">J1388*Resumo!$B$6</f>
        <v>0.32999</v>
      </c>
      <c r="Z1388" s="39" t="n">
        <f aca="false">J1388*Resumo!$B$7</f>
        <v>0.65998</v>
      </c>
      <c r="AA1388" s="39" t="n">
        <f aca="false">Resumo!$B$9</f>
        <v>1</v>
      </c>
      <c r="AB1388" s="39" t="n">
        <f aca="false">Resumo!$B$10*CEILING(I1388/100,1)</f>
        <v>4.5</v>
      </c>
      <c r="AC1388" s="39" t="n">
        <f aca="false">Resumo!$B$12*CEILING(I1388,1)</f>
        <v>1.32</v>
      </c>
      <c r="AD1388" s="39" t="n">
        <f aca="false">Resumo!$B$14*CEILING(I1388,1)</f>
        <v>9.9</v>
      </c>
      <c r="AE1388" s="39" t="n">
        <f aca="false">SUM(X1388:AD1388)</f>
        <v>99.91997</v>
      </c>
      <c r="AF1388" s="39" t="n">
        <f aca="false">AE1388/(1-Resumo!$B$5)</f>
        <v>113.545420454545</v>
      </c>
      <c r="AG1388" s="39" t="n">
        <f aca="false">AF1388-W1388</f>
        <v>36.2772863636364</v>
      </c>
      <c r="AH1388" s="40" t="n">
        <f aca="false">AF1388/W1388-1</f>
        <v>0.469498672259313</v>
      </c>
      <c r="AI1388" s="37" t="str">
        <f aca="false">IF(AF1388&lt;W1388,"SIM","NÃO")</f>
        <v>NÃO</v>
      </c>
      <c r="AJ1388" s="37" t="n">
        <v>2</v>
      </c>
      <c r="AK1388" s="37" t="n">
        <v>5</v>
      </c>
      <c r="AL1388" s="37" t="s">
        <v>343</v>
      </c>
      <c r="AM1388" s="39" t="n">
        <v>81.91</v>
      </c>
    </row>
    <row r="1389" customFormat="false" ht="15" hidden="false" customHeight="false" outlineLevel="0" collapsed="false">
      <c r="A1389" s="37" t="n">
        <v>381888888</v>
      </c>
      <c r="B1389" s="38" t="n">
        <v>46258.2803472222</v>
      </c>
      <c r="C1389" s="37" t="s">
        <v>340</v>
      </c>
      <c r="D1389" s="37" t="s">
        <v>1632</v>
      </c>
      <c r="E1389" s="37" t="n">
        <v>24716570</v>
      </c>
      <c r="F1389" s="37" t="s">
        <v>160</v>
      </c>
      <c r="G1389" s="37" t="s">
        <v>197</v>
      </c>
      <c r="H1389" s="37" t="s">
        <v>184</v>
      </c>
      <c r="I1389" s="37" t="n">
        <v>22.4</v>
      </c>
      <c r="J1389" s="39" t="n">
        <v>519.99</v>
      </c>
      <c r="K1389" s="37" t="s">
        <v>342</v>
      </c>
      <c r="L1389" s="39" t="n">
        <v>101.87</v>
      </c>
      <c r="M1389" s="39" t="n">
        <v>58.8</v>
      </c>
      <c r="N1389" s="39" t="n">
        <f aca="false">J1389*Resumo!$C$6</f>
        <v>0</v>
      </c>
      <c r="O1389" s="39" t="n">
        <f aca="false">J1389*Resumo!$C$7</f>
        <v>1.091979</v>
      </c>
      <c r="P1389" s="39" t="n">
        <f aca="false">J1389*Resumo!$C$8</f>
        <v>1.091979</v>
      </c>
      <c r="Q1389" s="39" t="n">
        <f aca="false">Resumo!$C$10*CEILING(I1389/100,1)</f>
        <v>1.05</v>
      </c>
      <c r="R1389" s="39" t="n">
        <f aca="false">Resumo!$C$9</f>
        <v>0</v>
      </c>
      <c r="S1389" s="39" t="n">
        <f aca="false">Resumo!$C$13</f>
        <v>13.55</v>
      </c>
      <c r="T1389" s="39" t="n">
        <f aca="false">Resumo!$C$14*CEILING(I1389,1)</f>
        <v>10.35</v>
      </c>
      <c r="U1389" s="39" t="n">
        <f aca="false">SUM(M1389:T1389)*Resumo!$C$11</f>
        <v>0</v>
      </c>
      <c r="V1389" s="39" t="n">
        <f aca="false">SUM(M1389:U1389)</f>
        <v>85.933958</v>
      </c>
      <c r="W1389" s="39" t="n">
        <f aca="false">V1389/(1-Resumo!$C$5)</f>
        <v>97.652225</v>
      </c>
      <c r="X1389" s="39" t="n">
        <v>100.58</v>
      </c>
      <c r="Y1389" s="39" t="n">
        <f aca="false">J1389*Resumo!$B$6</f>
        <v>0.51999</v>
      </c>
      <c r="Z1389" s="39" t="n">
        <f aca="false">J1389*Resumo!$B$7</f>
        <v>1.03998</v>
      </c>
      <c r="AA1389" s="39" t="n">
        <f aca="false">Resumo!$B$9</f>
        <v>1</v>
      </c>
      <c r="AB1389" s="39" t="n">
        <f aca="false">Resumo!$B$10*CEILING(I1389/100,1)</f>
        <v>4.5</v>
      </c>
      <c r="AC1389" s="39" t="n">
        <f aca="false">Resumo!$B$12*CEILING(I1389,1)</f>
        <v>1.38</v>
      </c>
      <c r="AD1389" s="39" t="n">
        <f aca="false">Resumo!$B$14*CEILING(I1389,1)</f>
        <v>10.35</v>
      </c>
      <c r="AE1389" s="39" t="n">
        <f aca="false">SUM(X1389:AD1389)</f>
        <v>119.36997</v>
      </c>
      <c r="AF1389" s="39" t="n">
        <f aca="false">AE1389/(1-Resumo!$B$5)</f>
        <v>135.647693181818</v>
      </c>
      <c r="AG1389" s="39" t="n">
        <f aca="false">AF1389-W1389</f>
        <v>37.9954681818182</v>
      </c>
      <c r="AH1389" s="40" t="n">
        <f aca="false">AF1389/W1389-1</f>
        <v>0.389089630900045</v>
      </c>
      <c r="AI1389" s="37" t="str">
        <f aca="false">IF(AF1389&lt;W1389,"SIM","NÃO")</f>
        <v>NÃO</v>
      </c>
      <c r="AJ1389" s="37" t="n">
        <v>2</v>
      </c>
      <c r="AK1389" s="37" t="n">
        <v>7</v>
      </c>
      <c r="AL1389" s="37" t="s">
        <v>343</v>
      </c>
      <c r="AM1389" s="39" t="n">
        <v>101.88</v>
      </c>
    </row>
    <row r="1390" customFormat="false" ht="15" hidden="false" customHeight="false" outlineLevel="0" collapsed="false">
      <c r="A1390" s="37" t="n">
        <v>381977516</v>
      </c>
      <c r="B1390" s="38" t="n">
        <v>46258.4177662037</v>
      </c>
      <c r="C1390" s="37" t="s">
        <v>340</v>
      </c>
      <c r="D1390" s="37" t="s">
        <v>1633</v>
      </c>
      <c r="E1390" s="37" t="n">
        <v>20211010</v>
      </c>
      <c r="F1390" s="37" t="s">
        <v>159</v>
      </c>
      <c r="G1390" s="37" t="s">
        <v>196</v>
      </c>
      <c r="H1390" s="37" t="s">
        <v>185</v>
      </c>
      <c r="I1390" s="37" t="n">
        <v>36.9</v>
      </c>
      <c r="J1390" s="39" t="n">
        <v>389.99</v>
      </c>
      <c r="K1390" s="37" t="s">
        <v>342</v>
      </c>
      <c r="L1390" s="39" t="n">
        <v>91.73</v>
      </c>
      <c r="M1390" s="39" t="n">
        <v>48.35</v>
      </c>
      <c r="N1390" s="39" t="n">
        <f aca="false">J1390*Resumo!$C$6</f>
        <v>0</v>
      </c>
      <c r="O1390" s="39" t="n">
        <f aca="false">J1390*Resumo!$C$7</f>
        <v>0.818979</v>
      </c>
      <c r="P1390" s="39" t="n">
        <f aca="false">J1390*Resumo!$C$8</f>
        <v>0.818979</v>
      </c>
      <c r="Q1390" s="39" t="n">
        <f aca="false">Resumo!$C$10*CEILING(I1390/100,1)</f>
        <v>1.05</v>
      </c>
      <c r="R1390" s="39" t="n">
        <f aca="false">Resumo!$C$9</f>
        <v>0</v>
      </c>
      <c r="S1390" s="39" t="n">
        <f aca="false">Resumo!$C$13</f>
        <v>13.55</v>
      </c>
      <c r="T1390" s="39" t="n">
        <f aca="false">Resumo!$C$14*CEILING(I1390,1)</f>
        <v>16.65</v>
      </c>
      <c r="U1390" s="39" t="n">
        <f aca="false">SUM(M1390:T1390)*Resumo!$C$11</f>
        <v>0</v>
      </c>
      <c r="V1390" s="39" t="n">
        <f aca="false">SUM(M1390:U1390)</f>
        <v>81.237958</v>
      </c>
      <c r="W1390" s="39" t="n">
        <f aca="false">V1390/(1-Resumo!$C$5)</f>
        <v>92.3158613636364</v>
      </c>
      <c r="X1390" s="39" t="n">
        <v>93.97</v>
      </c>
      <c r="Y1390" s="39" t="n">
        <f aca="false">J1390*Resumo!$B$6</f>
        <v>0.38999</v>
      </c>
      <c r="Z1390" s="39" t="n">
        <f aca="false">J1390*Resumo!$B$7</f>
        <v>0.77998</v>
      </c>
      <c r="AA1390" s="39" t="n">
        <f aca="false">Resumo!$B$9</f>
        <v>1</v>
      </c>
      <c r="AB1390" s="39" t="n">
        <f aca="false">Resumo!$B$10*CEILING(I1390/100,1)</f>
        <v>4.5</v>
      </c>
      <c r="AC1390" s="39" t="n">
        <f aca="false">Resumo!$B$12*CEILING(I1390,1)</f>
        <v>2.22</v>
      </c>
      <c r="AD1390" s="39" t="n">
        <f aca="false">Resumo!$B$14*CEILING(I1390,1)</f>
        <v>16.65</v>
      </c>
      <c r="AE1390" s="39" t="n">
        <f aca="false">SUM(X1390:AD1390)</f>
        <v>119.50997</v>
      </c>
      <c r="AF1390" s="39" t="n">
        <f aca="false">AE1390/(1-Resumo!$B$5)</f>
        <v>135.806784090909</v>
      </c>
      <c r="AG1390" s="39" t="n">
        <f aca="false">AF1390-W1390</f>
        <v>43.4909227272727</v>
      </c>
      <c r="AH1390" s="40" t="n">
        <f aca="false">AF1390/W1390-1</f>
        <v>0.471109970538649</v>
      </c>
      <c r="AI1390" s="37" t="str">
        <f aca="false">IF(AF1390&lt;W1390,"SIM","NÃO")</f>
        <v>NÃO</v>
      </c>
      <c r="AJ1390" s="37" t="n">
        <v>2</v>
      </c>
      <c r="AK1390" s="37" t="n">
        <v>5</v>
      </c>
      <c r="AL1390" s="37" t="s">
        <v>343</v>
      </c>
      <c r="AM1390" s="39" t="n">
        <v>91.73</v>
      </c>
    </row>
    <row r="1391" customFormat="false" ht="15" hidden="false" customHeight="false" outlineLevel="0" collapsed="false">
      <c r="A1391" s="37" t="n">
        <v>381990085</v>
      </c>
      <c r="B1391" s="38" t="n">
        <v>46258.4411921296</v>
      </c>
      <c r="C1391" s="37" t="s">
        <v>340</v>
      </c>
      <c r="D1391" s="37" t="s">
        <v>454</v>
      </c>
      <c r="E1391" s="37" t="n">
        <v>28200000</v>
      </c>
      <c r="F1391" s="37" t="s">
        <v>259</v>
      </c>
      <c r="G1391" s="37" t="s">
        <v>198</v>
      </c>
      <c r="H1391" s="37" t="s">
        <v>185</v>
      </c>
      <c r="I1391" s="37" t="n">
        <v>36.9</v>
      </c>
      <c r="J1391" s="39" t="n">
        <v>389.99</v>
      </c>
      <c r="K1391" s="37" t="s">
        <v>342</v>
      </c>
      <c r="L1391" s="39" t="n">
        <v>122.11</v>
      </c>
      <c r="M1391" s="39" t="n">
        <v>74.97</v>
      </c>
      <c r="N1391" s="39" t="n">
        <f aca="false">J1391*Resumo!$C$6</f>
        <v>0</v>
      </c>
      <c r="O1391" s="39" t="n">
        <f aca="false">J1391*Resumo!$C$7</f>
        <v>0.818979</v>
      </c>
      <c r="P1391" s="39" t="n">
        <f aca="false">J1391*Resumo!$C$8</f>
        <v>0.818979</v>
      </c>
      <c r="Q1391" s="39" t="n">
        <f aca="false">Resumo!$C$10*CEILING(I1391/100,1)</f>
        <v>1.05</v>
      </c>
      <c r="R1391" s="39" t="n">
        <f aca="false">Resumo!$C$9</f>
        <v>0</v>
      </c>
      <c r="S1391" s="39" t="n">
        <f aca="false">Resumo!$C$13</f>
        <v>13.55</v>
      </c>
      <c r="T1391" s="39" t="n">
        <f aca="false">Resumo!$C$14*CEILING(I1391,1)</f>
        <v>16.65</v>
      </c>
      <c r="U1391" s="39" t="n">
        <f aca="false">SUM(M1391:T1391)*Resumo!$C$11</f>
        <v>0</v>
      </c>
      <c r="V1391" s="39" t="n">
        <f aca="false">SUM(M1391:U1391)</f>
        <v>107.857958</v>
      </c>
      <c r="W1391" s="39" t="n">
        <f aca="false">V1391/(1-Resumo!$C$5)</f>
        <v>122.565861363636</v>
      </c>
      <c r="X1391" s="39" t="n">
        <v>143.04</v>
      </c>
      <c r="Y1391" s="39" t="n">
        <f aca="false">J1391*Resumo!$B$6</f>
        <v>0.38999</v>
      </c>
      <c r="Z1391" s="39" t="n">
        <f aca="false">J1391*Resumo!$B$7</f>
        <v>0.77998</v>
      </c>
      <c r="AA1391" s="39" t="n">
        <f aca="false">Resumo!$B$9</f>
        <v>1</v>
      </c>
      <c r="AB1391" s="39" t="n">
        <f aca="false">Resumo!$B$10*CEILING(I1391/100,1)</f>
        <v>4.5</v>
      </c>
      <c r="AC1391" s="39" t="n">
        <f aca="false">Resumo!$B$12*CEILING(I1391,1)</f>
        <v>2.22</v>
      </c>
      <c r="AD1391" s="39" t="n">
        <f aca="false">Resumo!$B$14*CEILING(I1391,1)</f>
        <v>16.65</v>
      </c>
      <c r="AE1391" s="39" t="n">
        <f aca="false">SUM(X1391:AD1391)</f>
        <v>168.57997</v>
      </c>
      <c r="AF1391" s="39" t="n">
        <f aca="false">AE1391/(1-Resumo!$B$5)</f>
        <v>191.568147727273</v>
      </c>
      <c r="AG1391" s="39" t="n">
        <f aca="false">AF1391-W1391</f>
        <v>69.0022863636364</v>
      </c>
      <c r="AH1391" s="40" t="n">
        <f aca="false">AF1391/W1391-1</f>
        <v>0.562981286925532</v>
      </c>
      <c r="AI1391" s="37" t="str">
        <f aca="false">IF(AF1391&lt;W1391,"SIM","NÃO")</f>
        <v>NÃO</v>
      </c>
      <c r="AJ1391" s="37" t="n">
        <v>13</v>
      </c>
      <c r="AK1391" s="37" t="n">
        <v>11</v>
      </c>
      <c r="AL1391" s="37" t="s">
        <v>347</v>
      </c>
      <c r="AM1391" s="39" t="n">
        <v>122.12</v>
      </c>
    </row>
    <row r="1392" customFormat="false" ht="15" hidden="false" customHeight="false" outlineLevel="0" collapsed="false">
      <c r="A1392" s="37" t="n">
        <v>381999030</v>
      </c>
      <c r="B1392" s="38" t="n">
        <v>46258.4588541667</v>
      </c>
      <c r="C1392" s="37" t="s">
        <v>340</v>
      </c>
      <c r="D1392" s="37" t="s">
        <v>1634</v>
      </c>
      <c r="E1392" s="37" t="n">
        <v>26520020</v>
      </c>
      <c r="F1392" s="37" t="s">
        <v>238</v>
      </c>
      <c r="G1392" s="37" t="s">
        <v>197</v>
      </c>
      <c r="H1392" s="37" t="s">
        <v>187</v>
      </c>
      <c r="I1392" s="37" t="n">
        <v>52.3</v>
      </c>
      <c r="J1392" s="39" t="n">
        <v>616.99</v>
      </c>
      <c r="K1392" s="37" t="s">
        <v>342</v>
      </c>
      <c r="L1392" s="39" t="n">
        <v>128.23</v>
      </c>
      <c r="M1392" s="39" t="n">
        <v>70.98</v>
      </c>
      <c r="N1392" s="39" t="n">
        <f aca="false">J1392*Resumo!$C$6</f>
        <v>0</v>
      </c>
      <c r="O1392" s="39" t="n">
        <f aca="false">J1392*Resumo!$C$7</f>
        <v>1.295679</v>
      </c>
      <c r="P1392" s="39" t="n">
        <f aca="false">J1392*Resumo!$C$8</f>
        <v>1.295679</v>
      </c>
      <c r="Q1392" s="39" t="n">
        <f aca="false">Resumo!$C$10*CEILING(I1392/100,1)</f>
        <v>1.05</v>
      </c>
      <c r="R1392" s="39" t="n">
        <f aca="false">Resumo!$C$9</f>
        <v>0</v>
      </c>
      <c r="S1392" s="39" t="n">
        <f aca="false">Resumo!$C$13</f>
        <v>13.55</v>
      </c>
      <c r="T1392" s="39" t="n">
        <f aca="false">Resumo!$C$14*CEILING(I1392,1)</f>
        <v>23.85</v>
      </c>
      <c r="U1392" s="39" t="n">
        <f aca="false">SUM(M1392:T1392)*Resumo!$C$11</f>
        <v>0</v>
      </c>
      <c r="V1392" s="39" t="n">
        <f aca="false">SUM(M1392:U1392)</f>
        <v>112.021358</v>
      </c>
      <c r="W1392" s="39" t="n">
        <f aca="false">V1392/(1-Resumo!$C$5)</f>
        <v>127.296997727273</v>
      </c>
      <c r="X1392" s="39" t="n">
        <v>112.3</v>
      </c>
      <c r="Y1392" s="39" t="n">
        <f aca="false">J1392*Resumo!$B$6</f>
        <v>0.61699</v>
      </c>
      <c r="Z1392" s="39" t="n">
        <f aca="false">J1392*Resumo!$B$7</f>
        <v>1.23398</v>
      </c>
      <c r="AA1392" s="39" t="n">
        <f aca="false">Resumo!$B$9</f>
        <v>1</v>
      </c>
      <c r="AB1392" s="39" t="n">
        <f aca="false">Resumo!$B$10*CEILING(I1392/100,1)</f>
        <v>4.5</v>
      </c>
      <c r="AC1392" s="39" t="n">
        <f aca="false">Resumo!$B$12*CEILING(I1392,1)</f>
        <v>3.18</v>
      </c>
      <c r="AD1392" s="39" t="n">
        <f aca="false">Resumo!$B$14*CEILING(I1392,1)</f>
        <v>23.85</v>
      </c>
      <c r="AE1392" s="39" t="n">
        <f aca="false">SUM(X1392:AD1392)</f>
        <v>146.68097</v>
      </c>
      <c r="AF1392" s="39" t="n">
        <f aca="false">AE1392/(1-Resumo!$B$5)</f>
        <v>166.682920454545</v>
      </c>
      <c r="AG1392" s="39" t="n">
        <f aca="false">AF1392-W1392</f>
        <v>39.3859227272727</v>
      </c>
      <c r="AH1392" s="40" t="n">
        <f aca="false">AF1392/W1392-1</f>
        <v>0.309401819606579</v>
      </c>
      <c r="AI1392" s="37" t="str">
        <f aca="false">IF(AF1392&lt;W1392,"SIM","NÃO")</f>
        <v>NÃO</v>
      </c>
      <c r="AJ1392" s="37" t="n">
        <v>2</v>
      </c>
      <c r="AK1392" s="37" t="n">
        <v>5</v>
      </c>
      <c r="AL1392" s="37" t="s">
        <v>347</v>
      </c>
      <c r="AM1392" s="39" t="n">
        <v>128.24</v>
      </c>
    </row>
    <row r="1393" customFormat="false" ht="15" hidden="false" customHeight="false" outlineLevel="0" collapsed="false">
      <c r="A1393" s="37" t="n">
        <v>382144712</v>
      </c>
      <c r="B1393" s="38" t="n">
        <v>46258.6739236111</v>
      </c>
      <c r="C1393" s="37" t="s">
        <v>340</v>
      </c>
      <c r="D1393" s="37" t="s">
        <v>1635</v>
      </c>
      <c r="E1393" s="37" t="n">
        <v>28020465</v>
      </c>
      <c r="F1393" s="37" t="s">
        <v>164</v>
      </c>
      <c r="G1393" s="37" t="s">
        <v>198</v>
      </c>
      <c r="H1393" s="37" t="s">
        <v>191</v>
      </c>
      <c r="I1393" s="37" t="n">
        <v>106.5</v>
      </c>
      <c r="J1393" s="39" t="n">
        <v>1163.99</v>
      </c>
      <c r="K1393" s="37" t="s">
        <v>342</v>
      </c>
      <c r="L1393" s="39" t="n">
        <v>216.24</v>
      </c>
      <c r="M1393" s="39" t="n">
        <v>119.5</v>
      </c>
      <c r="N1393" s="39" t="n">
        <f aca="false">J1393*Resumo!$C$6</f>
        <v>0</v>
      </c>
      <c r="O1393" s="39" t="n">
        <f aca="false">J1393*Resumo!$C$7</f>
        <v>2.444379</v>
      </c>
      <c r="P1393" s="39" t="n">
        <f aca="false">J1393*Resumo!$C$8</f>
        <v>2.444379</v>
      </c>
      <c r="Q1393" s="39" t="n">
        <f aca="false">Resumo!$C$10*CEILING(I1393/100,1)</f>
        <v>2.1</v>
      </c>
      <c r="R1393" s="39" t="n">
        <f aca="false">Resumo!$C$9</f>
        <v>0</v>
      </c>
      <c r="S1393" s="39" t="n">
        <f aca="false">Resumo!$C$13</f>
        <v>13.55</v>
      </c>
      <c r="T1393" s="39" t="n">
        <f aca="false">Resumo!$C$14*CEILING(I1393,1)</f>
        <v>48.15</v>
      </c>
      <c r="U1393" s="39" t="n">
        <f aca="false">SUM(M1393:T1393)*Resumo!$C$11</f>
        <v>0</v>
      </c>
      <c r="V1393" s="39" t="n">
        <f aca="false">SUM(M1393:U1393)</f>
        <v>188.188758</v>
      </c>
      <c r="W1393" s="39" t="n">
        <f aca="false">V1393/(1-Resumo!$C$5)</f>
        <v>213.850861363636</v>
      </c>
      <c r="X1393" s="39" t="n">
        <v>236.82</v>
      </c>
      <c r="Y1393" s="39" t="n">
        <f aca="false">J1393*Resumo!$B$6</f>
        <v>1.16399</v>
      </c>
      <c r="Z1393" s="39" t="n">
        <f aca="false">J1393*Resumo!$B$7</f>
        <v>2.32798</v>
      </c>
      <c r="AA1393" s="39" t="n">
        <f aca="false">Resumo!$B$9</f>
        <v>1</v>
      </c>
      <c r="AB1393" s="39" t="n">
        <f aca="false">Resumo!$B$10*CEILING(I1393/100,1)</f>
        <v>9</v>
      </c>
      <c r="AC1393" s="39" t="n">
        <f aca="false">Resumo!$B$12*CEILING(I1393,1)</f>
        <v>6.42</v>
      </c>
      <c r="AD1393" s="39" t="n">
        <f aca="false">Resumo!$B$14*CEILING(I1393,1)</f>
        <v>48.15</v>
      </c>
      <c r="AE1393" s="39" t="n">
        <f aca="false">SUM(X1393:AD1393)</f>
        <v>304.88197</v>
      </c>
      <c r="AF1393" s="39" t="n">
        <f aca="false">AE1393/(1-Resumo!$B$5)</f>
        <v>346.456784090909</v>
      </c>
      <c r="AG1393" s="39" t="n">
        <f aca="false">AF1393-W1393</f>
        <v>132.605922727273</v>
      </c>
      <c r="AH1393" s="40" t="n">
        <f aca="false">AF1393/W1393-1</f>
        <v>0.620085988345807</v>
      </c>
      <c r="AI1393" s="37" t="str">
        <f aca="false">IF(AF1393&lt;W1393,"SIM","NÃO")</f>
        <v>NÃO</v>
      </c>
      <c r="AJ1393" s="37" t="n">
        <v>13</v>
      </c>
      <c r="AK1393" s="37" t="n">
        <v>11</v>
      </c>
      <c r="AL1393" s="37" t="s">
        <v>343</v>
      </c>
      <c r="AM1393" s="39" t="n">
        <v>216.23</v>
      </c>
    </row>
    <row r="1394" customFormat="false" ht="15" hidden="false" customHeight="false" outlineLevel="0" collapsed="false">
      <c r="A1394" s="37" t="n">
        <v>382186460</v>
      </c>
      <c r="B1394" s="38" t="n">
        <v>46258.7376388889</v>
      </c>
      <c r="C1394" s="37" t="s">
        <v>340</v>
      </c>
      <c r="D1394" s="37" t="s">
        <v>1636</v>
      </c>
      <c r="E1394" s="37" t="n">
        <v>21521360</v>
      </c>
      <c r="F1394" s="37" t="s">
        <v>159</v>
      </c>
      <c r="G1394" s="37" t="s">
        <v>196</v>
      </c>
      <c r="H1394" s="37" t="s">
        <v>186</v>
      </c>
      <c r="I1394" s="37" t="n">
        <v>45.3</v>
      </c>
      <c r="J1394" s="39" t="n">
        <v>625.99</v>
      </c>
      <c r="K1394" s="37" t="s">
        <v>342</v>
      </c>
      <c r="L1394" s="39" t="n">
        <v>103.58</v>
      </c>
      <c r="M1394" s="39" t="n">
        <v>53.55</v>
      </c>
      <c r="N1394" s="39" t="n">
        <f aca="false">J1394*Resumo!$C$6</f>
        <v>0</v>
      </c>
      <c r="O1394" s="39" t="n">
        <f aca="false">J1394*Resumo!$C$7</f>
        <v>1.314579</v>
      </c>
      <c r="P1394" s="39" t="n">
        <f aca="false">J1394*Resumo!$C$8</f>
        <v>1.314579</v>
      </c>
      <c r="Q1394" s="39" t="n">
        <f aca="false">Resumo!$C$10*CEILING(I1394/100,1)</f>
        <v>1.05</v>
      </c>
      <c r="R1394" s="39" t="n">
        <f aca="false">Resumo!$C$9</f>
        <v>0</v>
      </c>
      <c r="S1394" s="39" t="n">
        <f aca="false">Resumo!$C$13</f>
        <v>13.55</v>
      </c>
      <c r="T1394" s="39" t="n">
        <f aca="false">Resumo!$C$14*CEILING(I1394,1)</f>
        <v>20.7</v>
      </c>
      <c r="U1394" s="39" t="n">
        <f aca="false">SUM(M1394:T1394)*Resumo!$C$11</f>
        <v>0</v>
      </c>
      <c r="V1394" s="39" t="n">
        <f aca="false">SUM(M1394:U1394)</f>
        <v>91.479158</v>
      </c>
      <c r="W1394" s="39" t="n">
        <f aca="false">V1394/(1-Resumo!$C$5)</f>
        <v>103.953588636364</v>
      </c>
      <c r="X1394" s="39" t="n">
        <v>93.97</v>
      </c>
      <c r="Y1394" s="39" t="n">
        <f aca="false">J1394*Resumo!$B$6</f>
        <v>0.62599</v>
      </c>
      <c r="Z1394" s="39" t="n">
        <f aca="false">J1394*Resumo!$B$7</f>
        <v>1.25198</v>
      </c>
      <c r="AA1394" s="39" t="n">
        <f aca="false">Resumo!$B$9</f>
        <v>1</v>
      </c>
      <c r="AB1394" s="39" t="n">
        <f aca="false">Resumo!$B$10*CEILING(I1394/100,1)</f>
        <v>4.5</v>
      </c>
      <c r="AC1394" s="39" t="n">
        <f aca="false">Resumo!$B$12*CEILING(I1394,1)</f>
        <v>2.76</v>
      </c>
      <c r="AD1394" s="39" t="n">
        <f aca="false">Resumo!$B$14*CEILING(I1394,1)</f>
        <v>20.7</v>
      </c>
      <c r="AE1394" s="39" t="n">
        <f aca="false">SUM(X1394:AD1394)</f>
        <v>124.80797</v>
      </c>
      <c r="AF1394" s="39" t="n">
        <f aca="false">AE1394/(1-Resumo!$B$5)</f>
        <v>141.827238636364</v>
      </c>
      <c r="AG1394" s="39" t="n">
        <f aca="false">AF1394-W1394</f>
        <v>37.87365</v>
      </c>
      <c r="AH1394" s="40" t="n">
        <f aca="false">AF1394/W1394-1</f>
        <v>0.364332299604244</v>
      </c>
      <c r="AI1394" s="37" t="str">
        <f aca="false">IF(AF1394&lt;W1394,"SIM","NÃO")</f>
        <v>NÃO</v>
      </c>
      <c r="AJ1394" s="37" t="n">
        <v>2</v>
      </c>
      <c r="AK1394" s="37" t="n">
        <v>5</v>
      </c>
      <c r="AL1394" s="37" t="s">
        <v>343</v>
      </c>
      <c r="AM1394" s="39" t="n">
        <v>103.59</v>
      </c>
    </row>
    <row r="1395" customFormat="false" ht="15" hidden="false" customHeight="false" outlineLevel="0" collapsed="false">
      <c r="A1395" s="37" t="n">
        <v>382189603</v>
      </c>
      <c r="B1395" s="38" t="n">
        <v>46258.7424305556</v>
      </c>
      <c r="C1395" s="37" t="s">
        <v>379</v>
      </c>
      <c r="D1395" s="37" t="s">
        <v>1637</v>
      </c>
      <c r="E1395" s="37" t="n">
        <v>22621070</v>
      </c>
      <c r="F1395" s="37" t="s">
        <v>159</v>
      </c>
      <c r="G1395" s="37" t="s">
        <v>196</v>
      </c>
      <c r="H1395" s="37" t="s">
        <v>185</v>
      </c>
      <c r="I1395" s="37" t="n">
        <v>40</v>
      </c>
      <c r="J1395" s="39" t="n">
        <v>599.99</v>
      </c>
      <c r="K1395" s="37" t="s">
        <v>342</v>
      </c>
      <c r="L1395" s="39" t="n">
        <v>92.73</v>
      </c>
      <c r="M1395" s="39" t="n">
        <v>48.35</v>
      </c>
      <c r="N1395" s="39" t="n">
        <f aca="false">J1395*Resumo!$C$6</f>
        <v>0</v>
      </c>
      <c r="O1395" s="39" t="n">
        <f aca="false">J1395*Resumo!$C$7</f>
        <v>1.259979</v>
      </c>
      <c r="P1395" s="39" t="n">
        <f aca="false">J1395*Resumo!$C$8</f>
        <v>1.259979</v>
      </c>
      <c r="Q1395" s="39" t="n">
        <f aca="false">Resumo!$C$10*CEILING(I1395/100,1)</f>
        <v>1.05</v>
      </c>
      <c r="R1395" s="39" t="n">
        <f aca="false">Resumo!$C$9</f>
        <v>0</v>
      </c>
      <c r="S1395" s="39" t="n">
        <f aca="false">Resumo!$C$13</f>
        <v>13.55</v>
      </c>
      <c r="T1395" s="39" t="n">
        <f aca="false">Resumo!$C$14*CEILING(I1395,1)</f>
        <v>18</v>
      </c>
      <c r="U1395" s="39" t="n">
        <f aca="false">SUM(M1395:T1395)*Resumo!$C$11</f>
        <v>0</v>
      </c>
      <c r="V1395" s="39" t="n">
        <f aca="false">SUM(M1395:U1395)</f>
        <v>83.469958</v>
      </c>
      <c r="W1395" s="39" t="n">
        <f aca="false">V1395/(1-Resumo!$C$5)</f>
        <v>94.852225</v>
      </c>
      <c r="X1395" s="39" t="n">
        <v>93.97</v>
      </c>
      <c r="Y1395" s="39" t="n">
        <f aca="false">J1395*Resumo!$B$6</f>
        <v>0.59999</v>
      </c>
      <c r="Z1395" s="39" t="n">
        <f aca="false">J1395*Resumo!$B$7</f>
        <v>1.19998</v>
      </c>
      <c r="AA1395" s="39" t="n">
        <f aca="false">Resumo!$B$9</f>
        <v>1</v>
      </c>
      <c r="AB1395" s="39" t="n">
        <f aca="false">Resumo!$B$10*CEILING(I1395/100,1)</f>
        <v>4.5</v>
      </c>
      <c r="AC1395" s="39" t="n">
        <f aca="false">Resumo!$B$12*CEILING(I1395,1)</f>
        <v>2.4</v>
      </c>
      <c r="AD1395" s="39" t="n">
        <f aca="false">Resumo!$B$14*CEILING(I1395,1)</f>
        <v>18</v>
      </c>
      <c r="AE1395" s="39" t="n">
        <f aca="false">SUM(X1395:AD1395)</f>
        <v>121.66997</v>
      </c>
      <c r="AF1395" s="39" t="n">
        <f aca="false">AE1395/(1-Resumo!$B$5)</f>
        <v>138.261329545455</v>
      </c>
      <c r="AG1395" s="39" t="n">
        <f aca="false">AF1395-W1395</f>
        <v>43.4091045454545</v>
      </c>
      <c r="AH1395" s="40" t="n">
        <f aca="false">AF1395/W1395-1</f>
        <v>0.457649828936059</v>
      </c>
      <c r="AI1395" s="37" t="str">
        <f aca="false">IF(AF1395&lt;W1395,"SIM","NÃO")</f>
        <v>NÃO</v>
      </c>
      <c r="AJ1395" s="37" t="n">
        <v>2</v>
      </c>
      <c r="AK1395" s="37" t="n">
        <v>5</v>
      </c>
      <c r="AL1395" s="37" t="s">
        <v>343</v>
      </c>
      <c r="AM1395" s="39" t="n">
        <v>92.73</v>
      </c>
    </row>
    <row r="1396" customFormat="false" ht="15" hidden="false" customHeight="false" outlineLevel="0" collapsed="false">
      <c r="A1396" s="37" t="n">
        <v>382209211</v>
      </c>
      <c r="B1396" s="38" t="n">
        <v>46258.7730671296</v>
      </c>
      <c r="C1396" s="37" t="s">
        <v>340</v>
      </c>
      <c r="D1396" s="37" t="s">
        <v>1638</v>
      </c>
      <c r="E1396" s="37" t="n">
        <v>25040335</v>
      </c>
      <c r="F1396" s="37" t="s">
        <v>161</v>
      </c>
      <c r="G1396" s="37" t="s">
        <v>197</v>
      </c>
      <c r="H1396" s="37" t="s">
        <v>187</v>
      </c>
      <c r="I1396" s="37" t="n">
        <v>52.3</v>
      </c>
      <c r="J1396" s="39" t="n">
        <v>616.99</v>
      </c>
      <c r="K1396" s="37" t="s">
        <v>342</v>
      </c>
      <c r="L1396" s="39" t="n">
        <v>128.23</v>
      </c>
      <c r="M1396" s="39" t="n">
        <v>70.98</v>
      </c>
      <c r="N1396" s="39" t="n">
        <f aca="false">J1396*Resumo!$C$6</f>
        <v>0</v>
      </c>
      <c r="O1396" s="39" t="n">
        <f aca="false">J1396*Resumo!$C$7</f>
        <v>1.295679</v>
      </c>
      <c r="P1396" s="39" t="n">
        <f aca="false">J1396*Resumo!$C$8</f>
        <v>1.295679</v>
      </c>
      <c r="Q1396" s="39" t="n">
        <f aca="false">Resumo!$C$10*CEILING(I1396/100,1)</f>
        <v>1.05</v>
      </c>
      <c r="R1396" s="39" t="n">
        <f aca="false">Resumo!$C$9</f>
        <v>0</v>
      </c>
      <c r="S1396" s="39" t="n">
        <f aca="false">Resumo!$C$13</f>
        <v>13.55</v>
      </c>
      <c r="T1396" s="39" t="n">
        <f aca="false">Resumo!$C$14*CEILING(I1396,1)</f>
        <v>23.85</v>
      </c>
      <c r="U1396" s="39" t="n">
        <f aca="false">SUM(M1396:T1396)*Resumo!$C$11</f>
        <v>0</v>
      </c>
      <c r="V1396" s="39" t="n">
        <f aca="false">SUM(M1396:U1396)</f>
        <v>112.021358</v>
      </c>
      <c r="W1396" s="39" t="n">
        <f aca="false">V1396/(1-Resumo!$C$5)</f>
        <v>127.296997727273</v>
      </c>
      <c r="X1396" s="39" t="n">
        <v>112.3</v>
      </c>
      <c r="Y1396" s="39" t="n">
        <f aca="false">J1396*Resumo!$B$6</f>
        <v>0.61699</v>
      </c>
      <c r="Z1396" s="39" t="n">
        <f aca="false">J1396*Resumo!$B$7</f>
        <v>1.23398</v>
      </c>
      <c r="AA1396" s="39" t="n">
        <f aca="false">Resumo!$B$9</f>
        <v>1</v>
      </c>
      <c r="AB1396" s="39" t="n">
        <f aca="false">Resumo!$B$10*CEILING(I1396/100,1)</f>
        <v>4.5</v>
      </c>
      <c r="AC1396" s="39" t="n">
        <f aca="false">Resumo!$B$12*CEILING(I1396,1)</f>
        <v>3.18</v>
      </c>
      <c r="AD1396" s="39" t="n">
        <f aca="false">Resumo!$B$14*CEILING(I1396,1)</f>
        <v>23.85</v>
      </c>
      <c r="AE1396" s="39" t="n">
        <f aca="false">SUM(X1396:AD1396)</f>
        <v>146.68097</v>
      </c>
      <c r="AF1396" s="39" t="n">
        <f aca="false">AE1396/(1-Resumo!$B$5)</f>
        <v>166.682920454545</v>
      </c>
      <c r="AG1396" s="39" t="n">
        <f aca="false">AF1396-W1396</f>
        <v>39.3859227272727</v>
      </c>
      <c r="AH1396" s="40" t="n">
        <f aca="false">AF1396/W1396-1</f>
        <v>0.309401819606579</v>
      </c>
      <c r="AI1396" s="37" t="str">
        <f aca="false">IF(AF1396&lt;W1396,"SIM","NÃO")</f>
        <v>NÃO</v>
      </c>
      <c r="AJ1396" s="37" t="n">
        <v>2</v>
      </c>
      <c r="AK1396" s="37" t="n">
        <v>5</v>
      </c>
      <c r="AL1396" s="37" t="s">
        <v>343</v>
      </c>
      <c r="AM1396" s="39" t="n">
        <v>128.24</v>
      </c>
    </row>
    <row r="1397" customFormat="false" ht="15" hidden="false" customHeight="false" outlineLevel="0" collapsed="false">
      <c r="A1397" s="37" t="n">
        <v>382243284</v>
      </c>
      <c r="B1397" s="38" t="n">
        <v>46258.8181597222</v>
      </c>
      <c r="C1397" s="37" t="s">
        <v>345</v>
      </c>
      <c r="D1397" s="37" t="s">
        <v>1639</v>
      </c>
      <c r="E1397" s="37" t="n">
        <v>26554150</v>
      </c>
      <c r="F1397" s="37" t="s">
        <v>175</v>
      </c>
      <c r="G1397" s="37" t="s">
        <v>197</v>
      </c>
      <c r="H1397" s="37" t="s">
        <v>187</v>
      </c>
      <c r="I1397" s="37" t="n">
        <v>51.06</v>
      </c>
      <c r="J1397" s="39" t="n">
        <v>640.1</v>
      </c>
      <c r="K1397" s="37" t="s">
        <v>342</v>
      </c>
      <c r="L1397" s="39" t="n">
        <v>128.35</v>
      </c>
      <c r="M1397" s="39" t="n">
        <v>70.98</v>
      </c>
      <c r="N1397" s="39" t="n">
        <f aca="false">J1397*Resumo!$C$6</f>
        <v>0</v>
      </c>
      <c r="O1397" s="39" t="n">
        <f aca="false">J1397*Resumo!$C$7</f>
        <v>1.34421</v>
      </c>
      <c r="P1397" s="39" t="n">
        <f aca="false">J1397*Resumo!$C$8</f>
        <v>1.34421</v>
      </c>
      <c r="Q1397" s="39" t="n">
        <f aca="false">Resumo!$C$10*CEILING(I1397/100,1)</f>
        <v>1.05</v>
      </c>
      <c r="R1397" s="39" t="n">
        <f aca="false">Resumo!$C$9</f>
        <v>0</v>
      </c>
      <c r="S1397" s="39" t="n">
        <f aca="false">Resumo!$C$13</f>
        <v>13.55</v>
      </c>
      <c r="T1397" s="39" t="n">
        <f aca="false">Resumo!$C$14*CEILING(I1397,1)</f>
        <v>23.4</v>
      </c>
      <c r="U1397" s="39" t="n">
        <f aca="false">SUM(M1397:T1397)*Resumo!$C$11</f>
        <v>0</v>
      </c>
      <c r="V1397" s="39" t="n">
        <f aca="false">SUM(M1397:U1397)</f>
        <v>111.66842</v>
      </c>
      <c r="W1397" s="39" t="n">
        <f aca="false">V1397/(1-Resumo!$C$5)</f>
        <v>126.895931818182</v>
      </c>
      <c r="X1397" s="39" t="n">
        <v>112.3</v>
      </c>
      <c r="Y1397" s="39" t="n">
        <f aca="false">J1397*Resumo!$B$6</f>
        <v>0.6401</v>
      </c>
      <c r="Z1397" s="39" t="n">
        <f aca="false">J1397*Resumo!$B$7</f>
        <v>1.2802</v>
      </c>
      <c r="AA1397" s="39" t="n">
        <f aca="false">Resumo!$B$9</f>
        <v>1</v>
      </c>
      <c r="AB1397" s="39" t="n">
        <f aca="false">Resumo!$B$10*CEILING(I1397/100,1)</f>
        <v>4.5</v>
      </c>
      <c r="AC1397" s="39" t="n">
        <f aca="false">Resumo!$B$12*CEILING(I1397,1)</f>
        <v>3.12</v>
      </c>
      <c r="AD1397" s="39" t="n">
        <f aca="false">Resumo!$B$14*CEILING(I1397,1)</f>
        <v>23.4</v>
      </c>
      <c r="AE1397" s="39" t="n">
        <f aca="false">SUM(X1397:AD1397)</f>
        <v>146.2403</v>
      </c>
      <c r="AF1397" s="39" t="n">
        <f aca="false">AE1397/(1-Resumo!$B$5)</f>
        <v>166.182159090909</v>
      </c>
      <c r="AG1397" s="39" t="n">
        <f aca="false">AF1397-W1397</f>
        <v>39.2862272727272</v>
      </c>
      <c r="AH1397" s="40" t="n">
        <f aca="false">AF1397/W1397-1</f>
        <v>0.309594064284244</v>
      </c>
      <c r="AI1397" s="37" t="str">
        <f aca="false">IF(AF1397&lt;W1397,"SIM","NÃO")</f>
        <v>NÃO</v>
      </c>
      <c r="AJ1397" s="37" t="n">
        <v>2</v>
      </c>
      <c r="AK1397" s="37" t="n">
        <v>5</v>
      </c>
      <c r="AL1397" s="37" t="s">
        <v>343</v>
      </c>
      <c r="AM1397" s="39" t="n">
        <v>128.35</v>
      </c>
    </row>
    <row r="1398" customFormat="false" ht="15" hidden="false" customHeight="false" outlineLevel="0" collapsed="false">
      <c r="A1398" s="37" t="n">
        <v>382303255</v>
      </c>
      <c r="B1398" s="38" t="n">
        <v>46258.8869907407</v>
      </c>
      <c r="C1398" s="37" t="s">
        <v>345</v>
      </c>
      <c r="D1398" s="37" t="s">
        <v>1640</v>
      </c>
      <c r="E1398" s="37" t="n">
        <v>22451262</v>
      </c>
      <c r="F1398" s="37" t="s">
        <v>159</v>
      </c>
      <c r="G1398" s="37" t="s">
        <v>196</v>
      </c>
      <c r="H1398" s="37" t="s">
        <v>188</v>
      </c>
      <c r="I1398" s="37" t="n">
        <v>64.6</v>
      </c>
      <c r="J1398" s="39" t="n">
        <v>1169.99</v>
      </c>
      <c r="K1398" s="37" t="s">
        <v>342</v>
      </c>
      <c r="L1398" s="39" t="n">
        <v>126.82</v>
      </c>
      <c r="M1398" s="39" t="n">
        <v>63.21</v>
      </c>
      <c r="N1398" s="39" t="n">
        <f aca="false">J1398*Resumo!$C$6</f>
        <v>0</v>
      </c>
      <c r="O1398" s="39" t="n">
        <f aca="false">J1398*Resumo!$C$7</f>
        <v>2.456979</v>
      </c>
      <c r="P1398" s="39" t="n">
        <f aca="false">J1398*Resumo!$C$8</f>
        <v>2.456979</v>
      </c>
      <c r="Q1398" s="39" t="n">
        <f aca="false">Resumo!$C$10*CEILING(I1398/100,1)</f>
        <v>1.05</v>
      </c>
      <c r="R1398" s="39" t="n">
        <f aca="false">Resumo!$C$9</f>
        <v>0</v>
      </c>
      <c r="S1398" s="39" t="n">
        <f aca="false">Resumo!$C$13</f>
        <v>13.55</v>
      </c>
      <c r="T1398" s="39" t="n">
        <f aca="false">Resumo!$C$14*CEILING(I1398,1)</f>
        <v>29.25</v>
      </c>
      <c r="U1398" s="39" t="n">
        <f aca="false">SUM(M1398:T1398)*Resumo!$C$11</f>
        <v>0</v>
      </c>
      <c r="V1398" s="39" t="n">
        <f aca="false">SUM(M1398:U1398)</f>
        <v>111.973958</v>
      </c>
      <c r="W1398" s="39" t="n">
        <f aca="false">V1398/(1-Resumo!$C$5)</f>
        <v>127.243134090909</v>
      </c>
      <c r="X1398" s="39" t="n">
        <v>131.02</v>
      </c>
      <c r="Y1398" s="39" t="n">
        <f aca="false">J1398*Resumo!$B$6</f>
        <v>1.16999</v>
      </c>
      <c r="Z1398" s="39" t="n">
        <f aca="false">J1398*Resumo!$B$7</f>
        <v>2.33998</v>
      </c>
      <c r="AA1398" s="39" t="n">
        <f aca="false">Resumo!$B$9</f>
        <v>1</v>
      </c>
      <c r="AB1398" s="39" t="n">
        <f aca="false">Resumo!$B$10*CEILING(I1398/100,1)</f>
        <v>4.5</v>
      </c>
      <c r="AC1398" s="39" t="n">
        <f aca="false">Resumo!$B$12*CEILING(I1398,1)</f>
        <v>3.9</v>
      </c>
      <c r="AD1398" s="39" t="n">
        <f aca="false">Resumo!$B$14*CEILING(I1398,1)</f>
        <v>29.25</v>
      </c>
      <c r="AE1398" s="39" t="n">
        <f aca="false">SUM(X1398:AD1398)</f>
        <v>173.17997</v>
      </c>
      <c r="AF1398" s="39" t="n">
        <f aca="false">AE1398/(1-Resumo!$B$5)</f>
        <v>196.795420454545</v>
      </c>
      <c r="AG1398" s="39" t="n">
        <f aca="false">AF1398-W1398</f>
        <v>69.5522863636364</v>
      </c>
      <c r="AH1398" s="40" t="n">
        <f aca="false">AF1398/W1398-1</f>
        <v>0.546609346433927</v>
      </c>
      <c r="AI1398" s="37" t="str">
        <f aca="false">IF(AF1398&lt;W1398,"SIM","NÃO")</f>
        <v>NÃO</v>
      </c>
      <c r="AJ1398" s="37" t="n">
        <v>2</v>
      </c>
      <c r="AK1398" s="37" t="n">
        <v>5</v>
      </c>
      <c r="AL1398" s="37" t="s">
        <v>343</v>
      </c>
      <c r="AM1398" s="39" t="n">
        <v>126.82</v>
      </c>
    </row>
    <row r="1399" customFormat="false" ht="15" hidden="false" customHeight="false" outlineLevel="0" collapsed="false">
      <c r="A1399" s="37" t="n">
        <v>382324984</v>
      </c>
      <c r="B1399" s="38" t="n">
        <v>46258.9375462963</v>
      </c>
      <c r="C1399" s="37" t="s">
        <v>340</v>
      </c>
      <c r="D1399" s="37" t="s">
        <v>1641</v>
      </c>
      <c r="E1399" s="37" t="n">
        <v>28981640</v>
      </c>
      <c r="F1399" s="37" t="s">
        <v>173</v>
      </c>
      <c r="G1399" s="37" t="s">
        <v>198</v>
      </c>
      <c r="H1399" s="37" t="s">
        <v>185</v>
      </c>
      <c r="I1399" s="37" t="n">
        <v>40</v>
      </c>
      <c r="J1399" s="39" t="n">
        <v>579.99</v>
      </c>
      <c r="K1399" s="37" t="s">
        <v>342</v>
      </c>
      <c r="L1399" s="39" t="n">
        <v>123.02</v>
      </c>
      <c r="M1399" s="39" t="n">
        <v>74.97</v>
      </c>
      <c r="N1399" s="39" t="n">
        <f aca="false">J1399*Resumo!$C$6</f>
        <v>0</v>
      </c>
      <c r="O1399" s="39" t="n">
        <f aca="false">J1399*Resumo!$C$7</f>
        <v>1.217979</v>
      </c>
      <c r="P1399" s="39" t="n">
        <f aca="false">J1399*Resumo!$C$8</f>
        <v>1.217979</v>
      </c>
      <c r="Q1399" s="39" t="n">
        <f aca="false">Resumo!$C$10*CEILING(I1399/100,1)</f>
        <v>1.05</v>
      </c>
      <c r="R1399" s="39" t="n">
        <f aca="false">Resumo!$C$9</f>
        <v>0</v>
      </c>
      <c r="S1399" s="39" t="n">
        <f aca="false">Resumo!$C$13</f>
        <v>13.55</v>
      </c>
      <c r="T1399" s="39" t="n">
        <f aca="false">Resumo!$C$14*CEILING(I1399,1)</f>
        <v>18</v>
      </c>
      <c r="U1399" s="39" t="n">
        <f aca="false">SUM(M1399:T1399)*Resumo!$C$11</f>
        <v>0</v>
      </c>
      <c r="V1399" s="39" t="n">
        <f aca="false">SUM(M1399:U1399)</f>
        <v>110.005958</v>
      </c>
      <c r="W1399" s="39" t="n">
        <f aca="false">V1399/(1-Resumo!$C$5)</f>
        <v>125.006770454545</v>
      </c>
      <c r="X1399" s="39" t="n">
        <v>124.38</v>
      </c>
      <c r="Y1399" s="39" t="n">
        <f aca="false">J1399*Resumo!$B$6</f>
        <v>0.57999</v>
      </c>
      <c r="Z1399" s="39" t="n">
        <f aca="false">J1399*Resumo!$B$7</f>
        <v>1.15998</v>
      </c>
      <c r="AA1399" s="39" t="n">
        <f aca="false">Resumo!$B$9</f>
        <v>1</v>
      </c>
      <c r="AB1399" s="39" t="n">
        <f aca="false">Resumo!$B$10*CEILING(I1399/100,1)</f>
        <v>4.5</v>
      </c>
      <c r="AC1399" s="39" t="n">
        <f aca="false">Resumo!$B$12*CEILING(I1399,1)</f>
        <v>2.4</v>
      </c>
      <c r="AD1399" s="39" t="n">
        <f aca="false">Resumo!$B$14*CEILING(I1399,1)</f>
        <v>18</v>
      </c>
      <c r="AE1399" s="39" t="n">
        <f aca="false">SUM(X1399:AD1399)</f>
        <v>152.01997</v>
      </c>
      <c r="AF1399" s="39" t="n">
        <f aca="false">AE1399/(1-Resumo!$B$5)</f>
        <v>172.749965909091</v>
      </c>
      <c r="AG1399" s="39" t="n">
        <f aca="false">AF1399-W1399</f>
        <v>47.7431954545455</v>
      </c>
      <c r="AH1399" s="40" t="n">
        <f aca="false">AF1399/W1399-1</f>
        <v>0.381924877196197</v>
      </c>
      <c r="AI1399" s="37" t="str">
        <f aca="false">IF(AF1399&lt;W1399,"SIM","NÃO")</f>
        <v>NÃO</v>
      </c>
      <c r="AJ1399" s="37" t="n">
        <v>13</v>
      </c>
      <c r="AK1399" s="37" t="n">
        <v>10</v>
      </c>
      <c r="AL1399" s="37" t="s">
        <v>343</v>
      </c>
      <c r="AM1399" s="39" t="n">
        <v>123.03</v>
      </c>
    </row>
    <row r="1400" customFormat="false" ht="15" hidden="false" customHeight="false" outlineLevel="0" collapsed="false">
      <c r="A1400" s="37" t="n">
        <v>382333235</v>
      </c>
      <c r="B1400" s="38" t="n">
        <v>46258.9604976852</v>
      </c>
      <c r="C1400" s="37" t="s">
        <v>340</v>
      </c>
      <c r="D1400" s="37" t="s">
        <v>1642</v>
      </c>
      <c r="E1400" s="37" t="n">
        <v>28971530</v>
      </c>
      <c r="F1400" s="37" t="s">
        <v>173</v>
      </c>
      <c r="G1400" s="37" t="s">
        <v>198</v>
      </c>
      <c r="H1400" s="37" t="s">
        <v>184</v>
      </c>
      <c r="I1400" s="37" t="n">
        <v>27.4</v>
      </c>
      <c r="J1400" s="39" t="n">
        <v>369.99</v>
      </c>
      <c r="K1400" s="37" t="s">
        <v>342</v>
      </c>
      <c r="L1400" s="39" t="n">
        <v>108.95</v>
      </c>
      <c r="M1400" s="39" t="n">
        <v>65.63</v>
      </c>
      <c r="N1400" s="39" t="n">
        <f aca="false">J1400*Resumo!$C$6</f>
        <v>0</v>
      </c>
      <c r="O1400" s="39" t="n">
        <f aca="false">J1400*Resumo!$C$7</f>
        <v>0.776979</v>
      </c>
      <c r="P1400" s="39" t="n">
        <f aca="false">J1400*Resumo!$C$8</f>
        <v>0.776979</v>
      </c>
      <c r="Q1400" s="39" t="n">
        <f aca="false">Resumo!$C$10*CEILING(I1400/100,1)</f>
        <v>1.05</v>
      </c>
      <c r="R1400" s="39" t="n">
        <f aca="false">Resumo!$C$9</f>
        <v>0</v>
      </c>
      <c r="S1400" s="39" t="n">
        <f aca="false">Resumo!$C$13</f>
        <v>13.55</v>
      </c>
      <c r="T1400" s="39" t="n">
        <f aca="false">Resumo!$C$14*CEILING(I1400,1)</f>
        <v>12.6</v>
      </c>
      <c r="U1400" s="39" t="n">
        <f aca="false">SUM(M1400:T1400)*Resumo!$C$11</f>
        <v>0</v>
      </c>
      <c r="V1400" s="39" t="n">
        <f aca="false">SUM(M1400:U1400)</f>
        <v>94.383958</v>
      </c>
      <c r="W1400" s="39" t="n">
        <f aca="false">V1400/(1-Resumo!$C$5)</f>
        <v>107.254497727273</v>
      </c>
      <c r="X1400" s="39" t="n">
        <v>114.95</v>
      </c>
      <c r="Y1400" s="39" t="n">
        <f aca="false">J1400*Resumo!$B$6</f>
        <v>0.36999</v>
      </c>
      <c r="Z1400" s="39" t="n">
        <f aca="false">J1400*Resumo!$B$7</f>
        <v>0.73998</v>
      </c>
      <c r="AA1400" s="39" t="n">
        <f aca="false">Resumo!$B$9</f>
        <v>1</v>
      </c>
      <c r="AB1400" s="39" t="n">
        <f aca="false">Resumo!$B$10*CEILING(I1400/100,1)</f>
        <v>4.5</v>
      </c>
      <c r="AC1400" s="39" t="n">
        <f aca="false">Resumo!$B$12*CEILING(I1400,1)</f>
        <v>1.68</v>
      </c>
      <c r="AD1400" s="39" t="n">
        <f aca="false">Resumo!$B$14*CEILING(I1400,1)</f>
        <v>12.6</v>
      </c>
      <c r="AE1400" s="39" t="n">
        <f aca="false">SUM(X1400:AD1400)</f>
        <v>135.83997</v>
      </c>
      <c r="AF1400" s="39" t="n">
        <f aca="false">AE1400/(1-Resumo!$B$5)</f>
        <v>154.363602272727</v>
      </c>
      <c r="AG1400" s="39" t="n">
        <f aca="false">AF1400-W1400</f>
        <v>47.1091045454545</v>
      </c>
      <c r="AH1400" s="40" t="n">
        <f aca="false">AF1400/W1400-1</f>
        <v>0.439227310217272</v>
      </c>
      <c r="AI1400" s="37" t="str">
        <f aca="false">IF(AF1400&lt;W1400,"SIM","NÃO")</f>
        <v>NÃO</v>
      </c>
      <c r="AJ1400" s="37" t="n">
        <v>13</v>
      </c>
      <c r="AK1400" s="37" t="n">
        <v>10</v>
      </c>
      <c r="AL1400" s="37" t="s">
        <v>343</v>
      </c>
      <c r="AM1400" s="39" t="n">
        <v>108.95</v>
      </c>
    </row>
    <row r="1401" customFormat="false" ht="15" hidden="false" customHeight="false" outlineLevel="0" collapsed="false">
      <c r="A1401" s="37" t="n">
        <v>382607232</v>
      </c>
      <c r="B1401" s="38" t="n">
        <v>46259.4163425926</v>
      </c>
      <c r="C1401" s="37" t="s">
        <v>340</v>
      </c>
      <c r="D1401" s="37" t="s">
        <v>1643</v>
      </c>
      <c r="E1401" s="37" t="n">
        <v>23050340</v>
      </c>
      <c r="F1401" s="37" t="s">
        <v>159</v>
      </c>
      <c r="G1401" s="37" t="s">
        <v>196</v>
      </c>
      <c r="H1401" s="37" t="s">
        <v>186</v>
      </c>
      <c r="I1401" s="37" t="n">
        <v>45.3</v>
      </c>
      <c r="J1401" s="39" t="n">
        <v>630.04</v>
      </c>
      <c r="K1401" s="37" t="s">
        <v>342</v>
      </c>
      <c r="L1401" s="39" t="n">
        <v>103.6</v>
      </c>
      <c r="M1401" s="39" t="n">
        <v>53.55</v>
      </c>
      <c r="N1401" s="39" t="n">
        <f aca="false">J1401*Resumo!$C$6</f>
        <v>0</v>
      </c>
      <c r="O1401" s="39" t="n">
        <f aca="false">J1401*Resumo!$C$7</f>
        <v>1.323084</v>
      </c>
      <c r="P1401" s="39" t="n">
        <f aca="false">J1401*Resumo!$C$8</f>
        <v>1.323084</v>
      </c>
      <c r="Q1401" s="39" t="n">
        <f aca="false">Resumo!$C$10*CEILING(I1401/100,1)</f>
        <v>1.05</v>
      </c>
      <c r="R1401" s="39" t="n">
        <f aca="false">Resumo!$C$9</f>
        <v>0</v>
      </c>
      <c r="S1401" s="39" t="n">
        <f aca="false">Resumo!$C$13</f>
        <v>13.55</v>
      </c>
      <c r="T1401" s="39" t="n">
        <f aca="false">Resumo!$C$14*CEILING(I1401,1)</f>
        <v>20.7</v>
      </c>
      <c r="U1401" s="39" t="n">
        <f aca="false">SUM(M1401:T1401)*Resumo!$C$11</f>
        <v>0</v>
      </c>
      <c r="V1401" s="39" t="n">
        <f aca="false">SUM(M1401:U1401)</f>
        <v>91.496168</v>
      </c>
      <c r="W1401" s="39" t="n">
        <f aca="false">V1401/(1-Resumo!$C$5)</f>
        <v>103.972918181818</v>
      </c>
      <c r="X1401" s="39" t="n">
        <v>93.97</v>
      </c>
      <c r="Y1401" s="39" t="n">
        <f aca="false">J1401*Resumo!$B$6</f>
        <v>0.63004</v>
      </c>
      <c r="Z1401" s="39" t="n">
        <f aca="false">J1401*Resumo!$B$7</f>
        <v>1.26008</v>
      </c>
      <c r="AA1401" s="39" t="n">
        <f aca="false">Resumo!$B$9</f>
        <v>1</v>
      </c>
      <c r="AB1401" s="39" t="n">
        <f aca="false">Resumo!$B$10*CEILING(I1401/100,1)</f>
        <v>4.5</v>
      </c>
      <c r="AC1401" s="39" t="n">
        <f aca="false">Resumo!$B$12*CEILING(I1401,1)</f>
        <v>2.76</v>
      </c>
      <c r="AD1401" s="39" t="n">
        <f aca="false">Resumo!$B$14*CEILING(I1401,1)</f>
        <v>20.7</v>
      </c>
      <c r="AE1401" s="39" t="n">
        <f aca="false">SUM(X1401:AD1401)</f>
        <v>124.82012</v>
      </c>
      <c r="AF1401" s="39" t="n">
        <f aca="false">AE1401/(1-Resumo!$B$5)</f>
        <v>141.841045454545</v>
      </c>
      <c r="AG1401" s="39" t="n">
        <f aca="false">AF1401-W1401</f>
        <v>37.8681272727273</v>
      </c>
      <c r="AH1401" s="40" t="n">
        <f aca="false">AF1401/W1401-1</f>
        <v>0.364211449817221</v>
      </c>
      <c r="AI1401" s="37" t="str">
        <f aca="false">IF(AF1401&lt;W1401,"SIM","NÃO")</f>
        <v>NÃO</v>
      </c>
      <c r="AJ1401" s="37" t="n">
        <v>2</v>
      </c>
      <c r="AK1401" s="37" t="n">
        <v>5</v>
      </c>
      <c r="AL1401" s="37" t="s">
        <v>343</v>
      </c>
      <c r="AM1401" s="39" t="n">
        <v>103.61</v>
      </c>
    </row>
    <row r="1402" customFormat="false" ht="15" hidden="false" customHeight="false" outlineLevel="0" collapsed="false">
      <c r="A1402" s="37" t="n">
        <v>382624721</v>
      </c>
      <c r="B1402" s="38" t="n">
        <v>46259.4397916667</v>
      </c>
      <c r="C1402" s="37" t="s">
        <v>340</v>
      </c>
      <c r="D1402" s="37" t="s">
        <v>920</v>
      </c>
      <c r="E1402" s="37" t="n">
        <v>25850000</v>
      </c>
      <c r="F1402" s="37" t="s">
        <v>230</v>
      </c>
      <c r="G1402" s="37" t="s">
        <v>198</v>
      </c>
      <c r="H1402" s="37" t="s">
        <v>185</v>
      </c>
      <c r="I1402" s="37" t="n">
        <v>40</v>
      </c>
      <c r="J1402" s="39" t="n">
        <v>569.99</v>
      </c>
      <c r="K1402" s="37" t="s">
        <v>342</v>
      </c>
      <c r="L1402" s="39" t="n">
        <v>122.98</v>
      </c>
      <c r="M1402" s="39" t="n">
        <v>74.97</v>
      </c>
      <c r="N1402" s="39" t="n">
        <f aca="false">J1402*Resumo!$C$6</f>
        <v>0</v>
      </c>
      <c r="O1402" s="39" t="n">
        <f aca="false">J1402*Resumo!$C$7</f>
        <v>1.196979</v>
      </c>
      <c r="P1402" s="39" t="n">
        <f aca="false">J1402*Resumo!$C$8</f>
        <v>1.196979</v>
      </c>
      <c r="Q1402" s="39" t="n">
        <f aca="false">Resumo!$C$10*CEILING(I1402/100,1)</f>
        <v>1.05</v>
      </c>
      <c r="R1402" s="39" t="n">
        <f aca="false">Resumo!$C$9</f>
        <v>0</v>
      </c>
      <c r="S1402" s="39" t="n">
        <f aca="false">Resumo!$C$13</f>
        <v>13.55</v>
      </c>
      <c r="T1402" s="39" t="n">
        <f aca="false">Resumo!$C$14*CEILING(I1402,1)</f>
        <v>18</v>
      </c>
      <c r="U1402" s="39" t="n">
        <f aca="false">SUM(M1402:T1402)*Resumo!$C$11</f>
        <v>0</v>
      </c>
      <c r="V1402" s="39" t="n">
        <f aca="false">SUM(M1402:U1402)</f>
        <v>109.963958</v>
      </c>
      <c r="W1402" s="39" t="n">
        <f aca="false">V1402/(1-Resumo!$C$5)</f>
        <v>124.959043181818</v>
      </c>
      <c r="X1402" s="39" t="n">
        <v>125.63</v>
      </c>
      <c r="Y1402" s="39" t="n">
        <f aca="false">J1402*Resumo!$B$6</f>
        <v>0.56999</v>
      </c>
      <c r="Z1402" s="39" t="n">
        <f aca="false">J1402*Resumo!$B$7</f>
        <v>1.13998</v>
      </c>
      <c r="AA1402" s="39" t="n">
        <f aca="false">Resumo!$B$9</f>
        <v>1</v>
      </c>
      <c r="AB1402" s="39" t="n">
        <f aca="false">Resumo!$B$10*CEILING(I1402/100,1)</f>
        <v>4.5</v>
      </c>
      <c r="AC1402" s="39" t="n">
        <f aca="false">Resumo!$B$12*CEILING(I1402,1)</f>
        <v>2.4</v>
      </c>
      <c r="AD1402" s="39" t="n">
        <f aca="false">Resumo!$B$14*CEILING(I1402,1)</f>
        <v>18</v>
      </c>
      <c r="AE1402" s="39" t="n">
        <f aca="false">SUM(X1402:AD1402)</f>
        <v>153.23997</v>
      </c>
      <c r="AF1402" s="39" t="n">
        <f aca="false">AE1402/(1-Resumo!$B$5)</f>
        <v>174.136329545455</v>
      </c>
      <c r="AG1402" s="39" t="n">
        <f aca="false">AF1402-W1402</f>
        <v>49.1772863636364</v>
      </c>
      <c r="AH1402" s="40" t="n">
        <f aca="false">AF1402/W1402-1</f>
        <v>0.39354723845062</v>
      </c>
      <c r="AI1402" s="37" t="str">
        <f aca="false">IF(AF1402&lt;W1402,"SIM","NÃO")</f>
        <v>NÃO</v>
      </c>
      <c r="AJ1402" s="37" t="n">
        <v>13</v>
      </c>
      <c r="AK1402" s="37" t="n">
        <v>10</v>
      </c>
      <c r="AL1402" s="37" t="s">
        <v>347</v>
      </c>
      <c r="AM1402" s="39" t="n">
        <v>122.98</v>
      </c>
    </row>
    <row r="1403" customFormat="false" ht="15" hidden="false" customHeight="false" outlineLevel="0" collapsed="false">
      <c r="A1403" s="37" t="n">
        <v>382733594</v>
      </c>
      <c r="B1403" s="38" t="n">
        <v>46259.5651851852</v>
      </c>
      <c r="C1403" s="37" t="s">
        <v>345</v>
      </c>
      <c r="D1403" s="37" t="s">
        <v>1644</v>
      </c>
      <c r="E1403" s="37" t="n">
        <v>26572280</v>
      </c>
      <c r="F1403" s="37" t="s">
        <v>175</v>
      </c>
      <c r="G1403" s="37" t="s">
        <v>197</v>
      </c>
      <c r="H1403" s="37" t="s">
        <v>191</v>
      </c>
      <c r="I1403" s="37" t="n">
        <v>106.5</v>
      </c>
      <c r="J1403" s="39" t="n">
        <v>1099.99</v>
      </c>
      <c r="K1403" s="37" t="s">
        <v>342</v>
      </c>
      <c r="L1403" s="39" t="n">
        <v>195.1</v>
      </c>
      <c r="M1403" s="39" t="n">
        <v>101.26</v>
      </c>
      <c r="N1403" s="39" t="n">
        <f aca="false">J1403*Resumo!$C$6</f>
        <v>0</v>
      </c>
      <c r="O1403" s="39" t="n">
        <f aca="false">J1403*Resumo!$C$7</f>
        <v>2.309979</v>
      </c>
      <c r="P1403" s="39" t="n">
        <f aca="false">J1403*Resumo!$C$8</f>
        <v>2.309979</v>
      </c>
      <c r="Q1403" s="39" t="n">
        <f aca="false">Resumo!$C$10*CEILING(I1403/100,1)</f>
        <v>2.1</v>
      </c>
      <c r="R1403" s="39" t="n">
        <f aca="false">Resumo!$C$9</f>
        <v>0</v>
      </c>
      <c r="S1403" s="39" t="n">
        <f aca="false">Resumo!$C$13</f>
        <v>13.55</v>
      </c>
      <c r="T1403" s="39" t="n">
        <f aca="false">Resumo!$C$14*CEILING(I1403,1)</f>
        <v>48.15</v>
      </c>
      <c r="U1403" s="39" t="n">
        <f aca="false">SUM(M1403:T1403)*Resumo!$C$11</f>
        <v>0</v>
      </c>
      <c r="V1403" s="39" t="n">
        <f aca="false">SUM(M1403:U1403)</f>
        <v>169.679958</v>
      </c>
      <c r="W1403" s="39" t="n">
        <f aca="false">V1403/(1-Resumo!$C$5)</f>
        <v>192.818134090909</v>
      </c>
      <c r="X1403" s="39" t="n">
        <v>201.59</v>
      </c>
      <c r="Y1403" s="39" t="n">
        <f aca="false">J1403*Resumo!$B$6</f>
        <v>1.09999</v>
      </c>
      <c r="Z1403" s="39" t="n">
        <f aca="false">J1403*Resumo!$B$7</f>
        <v>2.19998</v>
      </c>
      <c r="AA1403" s="39" t="n">
        <f aca="false">Resumo!$B$9</f>
        <v>1</v>
      </c>
      <c r="AB1403" s="39" t="n">
        <f aca="false">Resumo!$B$10*CEILING(I1403/100,1)</f>
        <v>9</v>
      </c>
      <c r="AC1403" s="39" t="n">
        <f aca="false">Resumo!$B$12*CEILING(I1403,1)</f>
        <v>6.42</v>
      </c>
      <c r="AD1403" s="39" t="n">
        <f aca="false">Resumo!$B$14*CEILING(I1403,1)</f>
        <v>48.15</v>
      </c>
      <c r="AE1403" s="39" t="n">
        <f aca="false">SUM(X1403:AD1403)</f>
        <v>269.45997</v>
      </c>
      <c r="AF1403" s="39" t="n">
        <f aca="false">AE1403/(1-Resumo!$B$5)</f>
        <v>306.204511363636</v>
      </c>
      <c r="AG1403" s="39" t="n">
        <f aca="false">AF1403-W1403</f>
        <v>113.386377272727</v>
      </c>
      <c r="AH1403" s="40" t="n">
        <f aca="false">AF1403/W1403-1</f>
        <v>0.588048306801208</v>
      </c>
      <c r="AI1403" s="37" t="str">
        <f aca="false">IF(AF1403&lt;W1403,"SIM","NÃO")</f>
        <v>NÃO</v>
      </c>
      <c r="AJ1403" s="37" t="n">
        <v>2</v>
      </c>
      <c r="AK1403" s="37" t="n">
        <v>5</v>
      </c>
      <c r="AL1403" s="37" t="s">
        <v>343</v>
      </c>
      <c r="AM1403" s="39" t="n">
        <v>195.1</v>
      </c>
    </row>
    <row r="1404" customFormat="false" ht="15" hidden="false" customHeight="false" outlineLevel="0" collapsed="false">
      <c r="A1404" s="37" t="n">
        <v>382804280</v>
      </c>
      <c r="B1404" s="38" t="n">
        <v>46259.6659027778</v>
      </c>
      <c r="C1404" s="37" t="s">
        <v>340</v>
      </c>
      <c r="D1404" s="37" t="s">
        <v>1645</v>
      </c>
      <c r="E1404" s="37" t="n">
        <v>20725080</v>
      </c>
      <c r="F1404" s="37" t="s">
        <v>159</v>
      </c>
      <c r="G1404" s="37" t="s">
        <v>196</v>
      </c>
      <c r="H1404" s="37" t="s">
        <v>186</v>
      </c>
      <c r="I1404" s="37" t="n">
        <v>48.3</v>
      </c>
      <c r="J1404" s="39" t="n">
        <v>459.99</v>
      </c>
      <c r="K1404" s="37" t="s">
        <v>342</v>
      </c>
      <c r="L1404" s="39" t="n">
        <v>102.8</v>
      </c>
      <c r="M1404" s="39" t="n">
        <v>53.55</v>
      </c>
      <c r="N1404" s="39" t="n">
        <f aca="false">J1404*Resumo!$C$6</f>
        <v>0</v>
      </c>
      <c r="O1404" s="39" t="n">
        <f aca="false">J1404*Resumo!$C$7</f>
        <v>0.965979</v>
      </c>
      <c r="P1404" s="39" t="n">
        <f aca="false">J1404*Resumo!$C$8</f>
        <v>0.965979</v>
      </c>
      <c r="Q1404" s="39" t="n">
        <f aca="false">Resumo!$C$10*CEILING(I1404/100,1)</f>
        <v>1.05</v>
      </c>
      <c r="R1404" s="39" t="n">
        <f aca="false">Resumo!$C$9</f>
        <v>0</v>
      </c>
      <c r="S1404" s="39" t="n">
        <f aca="false">Resumo!$C$13</f>
        <v>13.55</v>
      </c>
      <c r="T1404" s="39" t="n">
        <f aca="false">Resumo!$C$14*CEILING(I1404,1)</f>
        <v>22.05</v>
      </c>
      <c r="U1404" s="39" t="n">
        <f aca="false">SUM(M1404:T1404)*Resumo!$C$11</f>
        <v>0</v>
      </c>
      <c r="V1404" s="39" t="n">
        <f aca="false">SUM(M1404:U1404)</f>
        <v>92.131958</v>
      </c>
      <c r="W1404" s="39" t="n">
        <f aca="false">V1404/(1-Resumo!$C$5)</f>
        <v>104.695406818182</v>
      </c>
      <c r="X1404" s="39" t="n">
        <v>93.97</v>
      </c>
      <c r="Y1404" s="39" t="n">
        <f aca="false">J1404*Resumo!$B$6</f>
        <v>0.45999</v>
      </c>
      <c r="Z1404" s="39" t="n">
        <f aca="false">J1404*Resumo!$B$7</f>
        <v>0.91998</v>
      </c>
      <c r="AA1404" s="39" t="n">
        <f aca="false">Resumo!$B$9</f>
        <v>1</v>
      </c>
      <c r="AB1404" s="39" t="n">
        <f aca="false">Resumo!$B$10*CEILING(I1404/100,1)</f>
        <v>4.5</v>
      </c>
      <c r="AC1404" s="39" t="n">
        <f aca="false">Resumo!$B$12*CEILING(I1404,1)</f>
        <v>2.94</v>
      </c>
      <c r="AD1404" s="39" t="n">
        <f aca="false">Resumo!$B$14*CEILING(I1404,1)</f>
        <v>22.05</v>
      </c>
      <c r="AE1404" s="39" t="n">
        <f aca="false">SUM(X1404:AD1404)</f>
        <v>125.83997</v>
      </c>
      <c r="AF1404" s="39" t="n">
        <f aca="false">AE1404/(1-Resumo!$B$5)</f>
        <v>142.999965909091</v>
      </c>
      <c r="AG1404" s="39" t="n">
        <f aca="false">AF1404-W1404</f>
        <v>38.3045590909091</v>
      </c>
      <c r="AH1404" s="40" t="n">
        <f aca="false">AF1404/W1404-1</f>
        <v>0.365866662683973</v>
      </c>
      <c r="AI1404" s="37" t="str">
        <f aca="false">IF(AF1404&lt;W1404,"SIM","NÃO")</f>
        <v>NÃO</v>
      </c>
      <c r="AJ1404" s="37" t="n">
        <v>2</v>
      </c>
      <c r="AK1404" s="37" t="n">
        <v>5</v>
      </c>
      <c r="AL1404" s="37" t="s">
        <v>343</v>
      </c>
      <c r="AM1404" s="39" t="n">
        <v>102.79</v>
      </c>
    </row>
    <row r="1405" customFormat="false" ht="15" hidden="false" customHeight="false" outlineLevel="0" collapsed="false">
      <c r="A1405" s="37" t="n">
        <v>382342840</v>
      </c>
      <c r="B1405" s="38" t="n">
        <v>46259.672962963</v>
      </c>
      <c r="C1405" s="37" t="s">
        <v>375</v>
      </c>
      <c r="D1405" s="37" t="s">
        <v>346</v>
      </c>
      <c r="E1405" s="37" t="n">
        <v>26545580</v>
      </c>
      <c r="F1405" s="37" t="s">
        <v>238</v>
      </c>
      <c r="G1405" s="37" t="s">
        <v>197</v>
      </c>
      <c r="H1405" s="37" t="s">
        <v>185</v>
      </c>
      <c r="I1405" s="37" t="n">
        <v>37.2</v>
      </c>
      <c r="J1405" s="39" t="n">
        <v>439.99</v>
      </c>
      <c r="K1405" s="37" t="s">
        <v>342</v>
      </c>
      <c r="L1405" s="39" t="n">
        <v>113.07</v>
      </c>
      <c r="M1405" s="39" t="n">
        <v>66.83</v>
      </c>
      <c r="N1405" s="39" t="n">
        <f aca="false">J1405*Resumo!$C$6</f>
        <v>0</v>
      </c>
      <c r="O1405" s="39" t="n">
        <f aca="false">J1405*Resumo!$C$7</f>
        <v>0.923979</v>
      </c>
      <c r="P1405" s="39" t="n">
        <f aca="false">J1405*Resumo!$C$8</f>
        <v>0.923979</v>
      </c>
      <c r="Q1405" s="39" t="n">
        <f aca="false">Resumo!$C$10*CEILING(I1405/100,1)</f>
        <v>1.05</v>
      </c>
      <c r="R1405" s="39" t="n">
        <f aca="false">Resumo!$C$9</f>
        <v>0</v>
      </c>
      <c r="S1405" s="39" t="n">
        <f aca="false">Resumo!$C$13</f>
        <v>13.55</v>
      </c>
      <c r="T1405" s="39" t="n">
        <f aca="false">Resumo!$C$14*CEILING(I1405,1)</f>
        <v>17.1</v>
      </c>
      <c r="U1405" s="39" t="n">
        <f aca="false">SUM(M1405:T1405)*Resumo!$C$11</f>
        <v>0</v>
      </c>
      <c r="V1405" s="39" t="n">
        <f aca="false">SUM(M1405:U1405)</f>
        <v>100.377958</v>
      </c>
      <c r="W1405" s="39" t="n">
        <f aca="false">V1405/(1-Resumo!$C$5)</f>
        <v>114.065861363636</v>
      </c>
      <c r="X1405" s="39" t="n">
        <v>93.97</v>
      </c>
      <c r="Y1405" s="39" t="n">
        <f aca="false">J1405*Resumo!$B$6</f>
        <v>0.43999</v>
      </c>
      <c r="Z1405" s="39" t="n">
        <f aca="false">J1405*Resumo!$B$7</f>
        <v>0.87998</v>
      </c>
      <c r="AA1405" s="39" t="n">
        <f aca="false">Resumo!$B$9</f>
        <v>1</v>
      </c>
      <c r="AB1405" s="39" t="n">
        <f aca="false">Resumo!$B$10*CEILING(I1405/100,1)</f>
        <v>4.5</v>
      </c>
      <c r="AC1405" s="39" t="n">
        <f aca="false">Resumo!$B$12*CEILING(I1405,1)</f>
        <v>2.28</v>
      </c>
      <c r="AD1405" s="39" t="n">
        <f aca="false">Resumo!$B$14*CEILING(I1405,1)</f>
        <v>17.1</v>
      </c>
      <c r="AE1405" s="39" t="n">
        <f aca="false">SUM(X1405:AD1405)</f>
        <v>120.16997</v>
      </c>
      <c r="AF1405" s="39" t="n">
        <f aca="false">AE1405/(1-Resumo!$B$5)</f>
        <v>136.556784090909</v>
      </c>
      <c r="AG1405" s="39" t="n">
        <f aca="false">AF1405-W1405</f>
        <v>22.4909227272727</v>
      </c>
      <c r="AH1405" s="40" t="n">
        <f aca="false">AF1405/W1405-1</f>
        <v>0.197174881760396</v>
      </c>
      <c r="AI1405" s="37" t="str">
        <f aca="false">IF(AF1405&lt;W1405,"SIM","NÃO")</f>
        <v>NÃO</v>
      </c>
      <c r="AJ1405" s="37" t="n">
        <v>2</v>
      </c>
      <c r="AK1405" s="37" t="n">
        <v>5</v>
      </c>
      <c r="AL1405" s="37" t="s">
        <v>347</v>
      </c>
      <c r="AM1405" s="39" t="n">
        <v>113.06</v>
      </c>
    </row>
    <row r="1406" customFormat="false" ht="15" hidden="false" customHeight="false" outlineLevel="0" collapsed="false">
      <c r="A1406" s="37" t="n">
        <v>382810318</v>
      </c>
      <c r="B1406" s="38" t="n">
        <v>46259.6915509259</v>
      </c>
      <c r="C1406" s="37" t="s">
        <v>361</v>
      </c>
      <c r="D1406" s="37" t="s">
        <v>1011</v>
      </c>
      <c r="E1406" s="37" t="n">
        <v>28120000</v>
      </c>
      <c r="F1406" s="37" t="s">
        <v>164</v>
      </c>
      <c r="G1406" s="37" t="s">
        <v>198</v>
      </c>
      <c r="H1406" s="37" t="s">
        <v>184</v>
      </c>
      <c r="I1406" s="37" t="n">
        <v>31.9</v>
      </c>
      <c r="J1406" s="39" t="n">
        <v>739.99</v>
      </c>
      <c r="K1406" s="37" t="s">
        <v>342</v>
      </c>
      <c r="L1406" s="39" t="n">
        <v>110.73</v>
      </c>
      <c r="M1406" s="39" t="n">
        <v>65.63</v>
      </c>
      <c r="N1406" s="39" t="n">
        <f aca="false">J1406*Resumo!$C$6</f>
        <v>0</v>
      </c>
      <c r="O1406" s="39" t="n">
        <f aca="false">J1406*Resumo!$C$7</f>
        <v>1.553979</v>
      </c>
      <c r="P1406" s="39" t="n">
        <f aca="false">J1406*Resumo!$C$8</f>
        <v>1.553979</v>
      </c>
      <c r="Q1406" s="39" t="n">
        <f aca="false">Resumo!$C$10*CEILING(I1406/100,1)</f>
        <v>1.05</v>
      </c>
      <c r="R1406" s="39" t="n">
        <f aca="false">Resumo!$C$9</f>
        <v>0</v>
      </c>
      <c r="S1406" s="39" t="n">
        <f aca="false">Resumo!$C$13</f>
        <v>13.55</v>
      </c>
      <c r="T1406" s="39" t="n">
        <f aca="false">Resumo!$C$14*CEILING(I1406,1)</f>
        <v>14.4</v>
      </c>
      <c r="U1406" s="39" t="n">
        <f aca="false">SUM(M1406:T1406)*Resumo!$C$11</f>
        <v>0</v>
      </c>
      <c r="V1406" s="39" t="n">
        <f aca="false">SUM(M1406:U1406)</f>
        <v>97.737958</v>
      </c>
      <c r="W1406" s="39" t="n">
        <f aca="false">V1406/(1-Resumo!$C$5)</f>
        <v>111.065861363636</v>
      </c>
      <c r="X1406" s="39" t="n">
        <v>138.29</v>
      </c>
      <c r="Y1406" s="39" t="n">
        <f aca="false">J1406*Resumo!$B$6</f>
        <v>0.73999</v>
      </c>
      <c r="Z1406" s="39" t="n">
        <f aca="false">J1406*Resumo!$B$7</f>
        <v>1.47998</v>
      </c>
      <c r="AA1406" s="39" t="n">
        <f aca="false">Resumo!$B$9</f>
        <v>1</v>
      </c>
      <c r="AB1406" s="39" t="n">
        <f aca="false">Resumo!$B$10*CEILING(I1406/100,1)</f>
        <v>4.5</v>
      </c>
      <c r="AC1406" s="39" t="n">
        <f aca="false">Resumo!$B$12*CEILING(I1406,1)</f>
        <v>1.92</v>
      </c>
      <c r="AD1406" s="39" t="n">
        <f aca="false">Resumo!$B$14*CEILING(I1406,1)</f>
        <v>14.4</v>
      </c>
      <c r="AE1406" s="39" t="n">
        <f aca="false">SUM(X1406:AD1406)</f>
        <v>162.32997</v>
      </c>
      <c r="AF1406" s="39" t="n">
        <f aca="false">AE1406/(1-Resumo!$B$5)</f>
        <v>184.465875</v>
      </c>
      <c r="AG1406" s="39" t="n">
        <f aca="false">AF1406-W1406</f>
        <v>73.4000136363636</v>
      </c>
      <c r="AH1406" s="40" t="n">
        <f aca="false">AF1406/W1406-1</f>
        <v>0.660869260231527</v>
      </c>
      <c r="AI1406" s="37" t="str">
        <f aca="false">IF(AF1406&lt;W1406,"SIM","NÃO")</f>
        <v>NÃO</v>
      </c>
      <c r="AJ1406" s="37" t="n">
        <v>13</v>
      </c>
      <c r="AK1406" s="37" t="n">
        <v>11</v>
      </c>
      <c r="AL1406" s="37" t="s">
        <v>343</v>
      </c>
      <c r="AM1406" s="39" t="n">
        <v>110.73</v>
      </c>
    </row>
    <row r="1407" customFormat="false" ht="15" hidden="false" customHeight="false" outlineLevel="0" collapsed="false">
      <c r="A1407" s="37" t="n">
        <v>382957836</v>
      </c>
      <c r="B1407" s="38" t="n">
        <v>46259.7281018519</v>
      </c>
      <c r="C1407" s="37" t="s">
        <v>345</v>
      </c>
      <c r="D1407" s="37" t="s">
        <v>1646</v>
      </c>
      <c r="E1407" s="37" t="n">
        <v>21241050</v>
      </c>
      <c r="F1407" s="37" t="s">
        <v>159</v>
      </c>
      <c r="G1407" s="37" t="s">
        <v>196</v>
      </c>
      <c r="H1407" s="37" t="s">
        <v>191</v>
      </c>
      <c r="I1407" s="37" t="n">
        <v>106.5</v>
      </c>
      <c r="J1407" s="39" t="n">
        <v>960</v>
      </c>
      <c r="K1407" s="37" t="s">
        <v>342</v>
      </c>
      <c r="L1407" s="39" t="n">
        <v>184.24</v>
      </c>
      <c r="M1407" s="39" t="n">
        <v>92.34</v>
      </c>
      <c r="N1407" s="39" t="n">
        <f aca="false">J1407*Resumo!$C$6</f>
        <v>0</v>
      </c>
      <c r="O1407" s="39" t="n">
        <f aca="false">J1407*Resumo!$C$7</f>
        <v>2.016</v>
      </c>
      <c r="P1407" s="39" t="n">
        <f aca="false">J1407*Resumo!$C$8</f>
        <v>2.016</v>
      </c>
      <c r="Q1407" s="39" t="n">
        <f aca="false">Resumo!$C$10*CEILING(I1407/100,1)</f>
        <v>2.1</v>
      </c>
      <c r="R1407" s="39" t="n">
        <f aca="false">Resumo!$C$9</f>
        <v>0</v>
      </c>
      <c r="S1407" s="39" t="n">
        <f aca="false">Resumo!$C$13</f>
        <v>13.55</v>
      </c>
      <c r="T1407" s="39" t="n">
        <f aca="false">Resumo!$C$14*CEILING(I1407,1)</f>
        <v>48.15</v>
      </c>
      <c r="U1407" s="39" t="n">
        <f aca="false">SUM(M1407:T1407)*Resumo!$C$11</f>
        <v>0</v>
      </c>
      <c r="V1407" s="39" t="n">
        <f aca="false">SUM(M1407:U1407)</f>
        <v>160.172</v>
      </c>
      <c r="W1407" s="39" t="n">
        <f aca="false">V1407/(1-Resumo!$C$5)</f>
        <v>182.013636363636</v>
      </c>
      <c r="X1407" s="39" t="n">
        <v>201.59</v>
      </c>
      <c r="Y1407" s="39" t="n">
        <f aca="false">J1407*Resumo!$B$6</f>
        <v>0.96</v>
      </c>
      <c r="Z1407" s="39" t="n">
        <f aca="false">J1407*Resumo!$B$7</f>
        <v>1.92</v>
      </c>
      <c r="AA1407" s="39" t="n">
        <f aca="false">Resumo!$B$9</f>
        <v>1</v>
      </c>
      <c r="AB1407" s="39" t="n">
        <f aca="false">Resumo!$B$10*CEILING(I1407/100,1)</f>
        <v>9</v>
      </c>
      <c r="AC1407" s="39" t="n">
        <f aca="false">Resumo!$B$12*CEILING(I1407,1)</f>
        <v>6.42</v>
      </c>
      <c r="AD1407" s="39" t="n">
        <f aca="false">Resumo!$B$14*CEILING(I1407,1)</f>
        <v>48.15</v>
      </c>
      <c r="AE1407" s="39" t="n">
        <f aca="false">SUM(X1407:AD1407)</f>
        <v>269.04</v>
      </c>
      <c r="AF1407" s="39" t="n">
        <f aca="false">AE1407/(1-Resumo!$B$5)</f>
        <v>305.727272727273</v>
      </c>
      <c r="AG1407" s="39" t="n">
        <f aca="false">AF1407-W1407</f>
        <v>123.713636363636</v>
      </c>
      <c r="AH1407" s="40" t="n">
        <f aca="false">AF1407/W1407-1</f>
        <v>0.679694328596759</v>
      </c>
      <c r="AI1407" s="37" t="str">
        <f aca="false">IF(AF1407&lt;W1407,"SIM","NÃO")</f>
        <v>NÃO</v>
      </c>
      <c r="AJ1407" s="37" t="n">
        <v>2</v>
      </c>
      <c r="AK1407" s="37" t="n">
        <v>5</v>
      </c>
      <c r="AL1407" s="37" t="s">
        <v>343</v>
      </c>
      <c r="AM1407" s="39" t="n">
        <v>184.24</v>
      </c>
    </row>
    <row r="1408" customFormat="false" ht="15" hidden="false" customHeight="false" outlineLevel="0" collapsed="false">
      <c r="A1408" s="37" t="n">
        <v>382891300</v>
      </c>
      <c r="B1408" s="38" t="n">
        <v>46259.7754166667</v>
      </c>
      <c r="C1408" s="37" t="s">
        <v>340</v>
      </c>
      <c r="D1408" s="37" t="s">
        <v>1647</v>
      </c>
      <c r="E1408" s="37" t="n">
        <v>21775540</v>
      </c>
      <c r="F1408" s="37" t="s">
        <v>159</v>
      </c>
      <c r="G1408" s="37" t="s">
        <v>196</v>
      </c>
      <c r="H1408" s="37" t="s">
        <v>184</v>
      </c>
      <c r="I1408" s="37" t="n">
        <v>23</v>
      </c>
      <c r="J1408" s="39" t="n">
        <v>349.99</v>
      </c>
      <c r="K1408" s="37" t="s">
        <v>342</v>
      </c>
      <c r="L1408" s="39" t="n">
        <v>82</v>
      </c>
      <c r="M1408" s="39" t="n">
        <v>42.11</v>
      </c>
      <c r="N1408" s="39" t="n">
        <f aca="false">J1408*Resumo!$C$6</f>
        <v>0</v>
      </c>
      <c r="O1408" s="39" t="n">
        <f aca="false">J1408*Resumo!$C$7</f>
        <v>0.734979</v>
      </c>
      <c r="P1408" s="39" t="n">
        <f aca="false">J1408*Resumo!$C$8</f>
        <v>0.734979</v>
      </c>
      <c r="Q1408" s="39" t="n">
        <f aca="false">Resumo!$C$10*CEILING(I1408/100,1)</f>
        <v>1.05</v>
      </c>
      <c r="R1408" s="39" t="n">
        <f aca="false">Resumo!$C$9</f>
        <v>0</v>
      </c>
      <c r="S1408" s="39" t="n">
        <f aca="false">Resumo!$C$13</f>
        <v>13.55</v>
      </c>
      <c r="T1408" s="39" t="n">
        <f aca="false">Resumo!$C$14*CEILING(I1408,1)</f>
        <v>10.35</v>
      </c>
      <c r="U1408" s="39" t="n">
        <f aca="false">SUM(M1408:T1408)*Resumo!$C$11</f>
        <v>0</v>
      </c>
      <c r="V1408" s="39" t="n">
        <f aca="false">SUM(M1408:U1408)</f>
        <v>68.529958</v>
      </c>
      <c r="W1408" s="39" t="n">
        <f aca="false">V1408/(1-Resumo!$C$5)</f>
        <v>77.8749522727273</v>
      </c>
      <c r="X1408" s="39" t="n">
        <v>82.21</v>
      </c>
      <c r="Y1408" s="39" t="n">
        <f aca="false">J1408*Resumo!$B$6</f>
        <v>0.34999</v>
      </c>
      <c r="Z1408" s="39" t="n">
        <f aca="false">J1408*Resumo!$B$7</f>
        <v>0.69998</v>
      </c>
      <c r="AA1408" s="39" t="n">
        <f aca="false">Resumo!$B$9</f>
        <v>1</v>
      </c>
      <c r="AB1408" s="39" t="n">
        <f aca="false">Resumo!$B$10*CEILING(I1408/100,1)</f>
        <v>4.5</v>
      </c>
      <c r="AC1408" s="39" t="n">
        <f aca="false">Resumo!$B$12*CEILING(I1408,1)</f>
        <v>1.38</v>
      </c>
      <c r="AD1408" s="39" t="n">
        <f aca="false">Resumo!$B$14*CEILING(I1408,1)</f>
        <v>10.35</v>
      </c>
      <c r="AE1408" s="39" t="n">
        <f aca="false">SUM(X1408:AD1408)</f>
        <v>100.48997</v>
      </c>
      <c r="AF1408" s="39" t="n">
        <f aca="false">AE1408/(1-Resumo!$B$5)</f>
        <v>114.193147727273</v>
      </c>
      <c r="AG1408" s="39" t="n">
        <f aca="false">AF1408-W1408</f>
        <v>36.3181954545454</v>
      </c>
      <c r="AH1408" s="40" t="n">
        <f aca="false">AF1408/W1408-1</f>
        <v>0.466365556505959</v>
      </c>
      <c r="AI1408" s="37" t="str">
        <f aca="false">IF(AF1408&lt;W1408,"SIM","NÃO")</f>
        <v>NÃO</v>
      </c>
      <c r="AJ1408" s="37" t="n">
        <v>2</v>
      </c>
      <c r="AK1408" s="37" t="n">
        <v>5</v>
      </c>
      <c r="AL1408" s="37" t="s">
        <v>343</v>
      </c>
      <c r="AM1408" s="39" t="n">
        <v>82</v>
      </c>
    </row>
    <row r="1409" customFormat="false" ht="15" hidden="false" customHeight="false" outlineLevel="0" collapsed="false">
      <c r="A1409" s="37" t="n">
        <v>383013255</v>
      </c>
      <c r="B1409" s="38" t="n">
        <v>46259.8908101852</v>
      </c>
      <c r="C1409" s="37" t="s">
        <v>537</v>
      </c>
      <c r="D1409" s="37" t="s">
        <v>1648</v>
      </c>
      <c r="E1409" s="37" t="n">
        <v>21910280</v>
      </c>
      <c r="F1409" s="37" t="s">
        <v>159</v>
      </c>
      <c r="G1409" s="37" t="s">
        <v>196</v>
      </c>
      <c r="H1409" s="37" t="s">
        <v>185</v>
      </c>
      <c r="I1409" s="37" t="n">
        <v>40</v>
      </c>
      <c r="J1409" s="39" t="n">
        <v>569.99</v>
      </c>
      <c r="K1409" s="37" t="s">
        <v>342</v>
      </c>
      <c r="L1409" s="39" t="n">
        <v>92.59</v>
      </c>
      <c r="M1409" s="39" t="n">
        <v>48.35</v>
      </c>
      <c r="N1409" s="39" t="n">
        <f aca="false">J1409*Resumo!$C$6</f>
        <v>0</v>
      </c>
      <c r="O1409" s="39" t="n">
        <f aca="false">J1409*Resumo!$C$7</f>
        <v>1.196979</v>
      </c>
      <c r="P1409" s="39" t="n">
        <f aca="false">J1409*Resumo!$C$8</f>
        <v>1.196979</v>
      </c>
      <c r="Q1409" s="39" t="n">
        <f aca="false">Resumo!$C$10*CEILING(I1409/100,1)</f>
        <v>1.05</v>
      </c>
      <c r="R1409" s="39" t="n">
        <f aca="false">Resumo!$C$9</f>
        <v>0</v>
      </c>
      <c r="S1409" s="39" t="n">
        <f aca="false">Resumo!$C$13</f>
        <v>13.55</v>
      </c>
      <c r="T1409" s="39" t="n">
        <f aca="false">Resumo!$C$14*CEILING(I1409,1)</f>
        <v>18</v>
      </c>
      <c r="U1409" s="39" t="n">
        <f aca="false">SUM(M1409:T1409)*Resumo!$C$11</f>
        <v>0</v>
      </c>
      <c r="V1409" s="39" t="n">
        <f aca="false">SUM(M1409:U1409)</f>
        <v>83.343958</v>
      </c>
      <c r="W1409" s="39" t="n">
        <f aca="false">V1409/(1-Resumo!$C$5)</f>
        <v>94.7090431818182</v>
      </c>
      <c r="X1409" s="39" t="n">
        <v>93.97</v>
      </c>
      <c r="Y1409" s="39" t="n">
        <f aca="false">J1409*Resumo!$B$6</f>
        <v>0.56999</v>
      </c>
      <c r="Z1409" s="39" t="n">
        <f aca="false">J1409*Resumo!$B$7</f>
        <v>1.13998</v>
      </c>
      <c r="AA1409" s="39" t="n">
        <f aca="false">Resumo!$B$9</f>
        <v>1</v>
      </c>
      <c r="AB1409" s="39" t="n">
        <f aca="false">Resumo!$B$10*CEILING(I1409/100,1)</f>
        <v>4.5</v>
      </c>
      <c r="AC1409" s="39" t="n">
        <f aca="false">Resumo!$B$12*CEILING(I1409,1)</f>
        <v>2.4</v>
      </c>
      <c r="AD1409" s="39" t="n">
        <f aca="false">Resumo!$B$14*CEILING(I1409,1)</f>
        <v>18</v>
      </c>
      <c r="AE1409" s="39" t="n">
        <f aca="false">SUM(X1409:AD1409)</f>
        <v>121.57997</v>
      </c>
      <c r="AF1409" s="39" t="n">
        <f aca="false">AE1409/(1-Resumo!$B$5)</f>
        <v>138.159056818182</v>
      </c>
      <c r="AG1409" s="39" t="n">
        <f aca="false">AF1409-W1409</f>
        <v>43.4500136363636</v>
      </c>
      <c r="AH1409" s="40" t="n">
        <f aca="false">AF1409/W1409-1</f>
        <v>0.45877365219444</v>
      </c>
      <c r="AI1409" s="37" t="str">
        <f aca="false">IF(AF1409&lt;W1409,"SIM","NÃO")</f>
        <v>NÃO</v>
      </c>
      <c r="AJ1409" s="37" t="n">
        <v>2</v>
      </c>
      <c r="AK1409" s="37" t="n">
        <v>5</v>
      </c>
      <c r="AL1409" s="37" t="s">
        <v>343</v>
      </c>
      <c r="AM1409" s="39" t="n">
        <v>92.59</v>
      </c>
    </row>
    <row r="1410" customFormat="false" ht="15" hidden="false" customHeight="false" outlineLevel="0" collapsed="false">
      <c r="A1410" s="37" t="n">
        <v>383034031</v>
      </c>
      <c r="B1410" s="38" t="n">
        <v>46259.9170717593</v>
      </c>
      <c r="C1410" s="37" t="s">
        <v>537</v>
      </c>
      <c r="D1410" s="37" t="s">
        <v>398</v>
      </c>
      <c r="E1410" s="37" t="n">
        <v>23520400</v>
      </c>
      <c r="F1410" s="37" t="s">
        <v>159</v>
      </c>
      <c r="G1410" s="37" t="s">
        <v>196</v>
      </c>
      <c r="H1410" s="37" t="s">
        <v>184</v>
      </c>
      <c r="I1410" s="37" t="n">
        <v>27.4</v>
      </c>
      <c r="J1410" s="39" t="n">
        <v>323.99</v>
      </c>
      <c r="K1410" s="37" t="s">
        <v>342</v>
      </c>
      <c r="L1410" s="39" t="n">
        <v>81.89</v>
      </c>
      <c r="M1410" s="39" t="n">
        <v>42.11</v>
      </c>
      <c r="N1410" s="39" t="n">
        <f aca="false">J1410*Resumo!$C$6</f>
        <v>0</v>
      </c>
      <c r="O1410" s="39" t="n">
        <f aca="false">J1410*Resumo!$C$7</f>
        <v>0.680379</v>
      </c>
      <c r="P1410" s="39" t="n">
        <f aca="false">J1410*Resumo!$C$8</f>
        <v>0.680379</v>
      </c>
      <c r="Q1410" s="39" t="n">
        <f aca="false">Resumo!$C$10*CEILING(I1410/100,1)</f>
        <v>1.05</v>
      </c>
      <c r="R1410" s="39" t="n">
        <f aca="false">Resumo!$C$9</f>
        <v>0</v>
      </c>
      <c r="S1410" s="39" t="n">
        <f aca="false">Resumo!$C$13</f>
        <v>13.55</v>
      </c>
      <c r="T1410" s="39" t="n">
        <f aca="false">Resumo!$C$14*CEILING(I1410,1)</f>
        <v>12.6</v>
      </c>
      <c r="U1410" s="39" t="n">
        <f aca="false">SUM(M1410:T1410)*Resumo!$C$11</f>
        <v>0</v>
      </c>
      <c r="V1410" s="39" t="n">
        <f aca="false">SUM(M1410:U1410)</f>
        <v>70.670758</v>
      </c>
      <c r="W1410" s="39" t="n">
        <f aca="false">V1410/(1-Resumo!$C$5)</f>
        <v>80.3076795454545</v>
      </c>
      <c r="X1410" s="39" t="n">
        <v>82.21</v>
      </c>
      <c r="Y1410" s="39" t="n">
        <f aca="false">J1410*Resumo!$B$6</f>
        <v>0.32399</v>
      </c>
      <c r="Z1410" s="39" t="n">
        <f aca="false">J1410*Resumo!$B$7</f>
        <v>0.64798</v>
      </c>
      <c r="AA1410" s="39" t="n">
        <f aca="false">Resumo!$B$9</f>
        <v>1</v>
      </c>
      <c r="AB1410" s="39" t="n">
        <f aca="false">Resumo!$B$10*CEILING(I1410/100,1)</f>
        <v>4.5</v>
      </c>
      <c r="AC1410" s="39" t="n">
        <f aca="false">Resumo!$B$12*CEILING(I1410,1)</f>
        <v>1.68</v>
      </c>
      <c r="AD1410" s="39" t="n">
        <f aca="false">Resumo!$B$14*CEILING(I1410,1)</f>
        <v>12.6</v>
      </c>
      <c r="AE1410" s="39" t="n">
        <f aca="false">SUM(X1410:AD1410)</f>
        <v>102.96197</v>
      </c>
      <c r="AF1410" s="39" t="n">
        <f aca="false">AE1410/(1-Resumo!$B$5)</f>
        <v>117.002238636364</v>
      </c>
      <c r="AG1410" s="39" t="n">
        <f aca="false">AF1410-W1410</f>
        <v>36.6945590909091</v>
      </c>
      <c r="AH1410" s="40" t="n">
        <f aca="false">AF1410/W1410-1</f>
        <v>0.456924658994035</v>
      </c>
      <c r="AI1410" s="37" t="str">
        <f aca="false">IF(AF1410&lt;W1410,"SIM","NÃO")</f>
        <v>NÃO</v>
      </c>
      <c r="AJ1410" s="37" t="n">
        <v>2</v>
      </c>
      <c r="AK1410" s="37" t="n">
        <v>5</v>
      </c>
      <c r="AL1410" s="37" t="s">
        <v>343</v>
      </c>
      <c r="AM1410" s="39" t="n">
        <v>81.88</v>
      </c>
    </row>
    <row r="1411" customFormat="false" ht="15" hidden="false" customHeight="false" outlineLevel="0" collapsed="false">
      <c r="A1411" s="37" t="n">
        <v>383043854</v>
      </c>
      <c r="B1411" s="38" t="n">
        <v>46259.9566087963</v>
      </c>
      <c r="C1411" s="37" t="s">
        <v>340</v>
      </c>
      <c r="D1411" s="37" t="s">
        <v>1649</v>
      </c>
      <c r="E1411" s="37" t="n">
        <v>28053100</v>
      </c>
      <c r="F1411" s="37" t="s">
        <v>164</v>
      </c>
      <c r="G1411" s="37" t="s">
        <v>198</v>
      </c>
      <c r="H1411" s="37" t="s">
        <v>187</v>
      </c>
      <c r="I1411" s="37" t="n">
        <v>52.3</v>
      </c>
      <c r="J1411" s="39" t="n">
        <v>699.99</v>
      </c>
      <c r="K1411" s="37" t="s">
        <v>342</v>
      </c>
      <c r="L1411" s="39" t="n">
        <v>143.02</v>
      </c>
      <c r="M1411" s="39" t="n">
        <v>83.58</v>
      </c>
      <c r="N1411" s="39" t="n">
        <f aca="false">J1411*Resumo!$C$6</f>
        <v>0</v>
      </c>
      <c r="O1411" s="39" t="n">
        <f aca="false">J1411*Resumo!$C$7</f>
        <v>1.469979</v>
      </c>
      <c r="P1411" s="39" t="n">
        <f aca="false">J1411*Resumo!$C$8</f>
        <v>1.469979</v>
      </c>
      <c r="Q1411" s="39" t="n">
        <f aca="false">Resumo!$C$10*CEILING(I1411/100,1)</f>
        <v>1.05</v>
      </c>
      <c r="R1411" s="39" t="n">
        <f aca="false">Resumo!$C$9</f>
        <v>0</v>
      </c>
      <c r="S1411" s="39" t="n">
        <f aca="false">Resumo!$C$13</f>
        <v>13.55</v>
      </c>
      <c r="T1411" s="39" t="n">
        <f aca="false">Resumo!$C$14*CEILING(I1411,1)</f>
        <v>23.85</v>
      </c>
      <c r="U1411" s="39" t="n">
        <f aca="false">SUM(M1411:T1411)*Resumo!$C$11</f>
        <v>0</v>
      </c>
      <c r="V1411" s="39" t="n">
        <f aca="false">SUM(M1411:U1411)</f>
        <v>124.969958</v>
      </c>
      <c r="W1411" s="39" t="n">
        <f aca="false">V1411/(1-Resumo!$C$5)</f>
        <v>142.011315909091</v>
      </c>
      <c r="X1411" s="39" t="n">
        <v>162.04</v>
      </c>
      <c r="Y1411" s="39" t="n">
        <f aca="false">J1411*Resumo!$B$6</f>
        <v>0.69999</v>
      </c>
      <c r="Z1411" s="39" t="n">
        <f aca="false">J1411*Resumo!$B$7</f>
        <v>1.39998</v>
      </c>
      <c r="AA1411" s="39" t="n">
        <f aca="false">Resumo!$B$9</f>
        <v>1</v>
      </c>
      <c r="AB1411" s="39" t="n">
        <f aca="false">Resumo!$B$10*CEILING(I1411/100,1)</f>
        <v>4.5</v>
      </c>
      <c r="AC1411" s="39" t="n">
        <f aca="false">Resumo!$B$12*CEILING(I1411,1)</f>
        <v>3.18</v>
      </c>
      <c r="AD1411" s="39" t="n">
        <f aca="false">Resumo!$B$14*CEILING(I1411,1)</f>
        <v>23.85</v>
      </c>
      <c r="AE1411" s="39" t="n">
        <f aca="false">SUM(X1411:AD1411)</f>
        <v>196.66997</v>
      </c>
      <c r="AF1411" s="39" t="n">
        <f aca="false">AE1411/(1-Resumo!$B$5)</f>
        <v>223.488602272727</v>
      </c>
      <c r="AG1411" s="39" t="n">
        <f aca="false">AF1411-W1411</f>
        <v>81.4772863636363</v>
      </c>
      <c r="AH1411" s="40" t="n">
        <f aca="false">AF1411/W1411-1</f>
        <v>0.573737985892577</v>
      </c>
      <c r="AI1411" s="37" t="str">
        <f aca="false">IF(AF1411&lt;W1411,"SIM","NÃO")</f>
        <v>NÃO</v>
      </c>
      <c r="AJ1411" s="37" t="n">
        <v>13</v>
      </c>
      <c r="AK1411" s="37" t="n">
        <v>11</v>
      </c>
      <c r="AL1411" s="37" t="s">
        <v>343</v>
      </c>
      <c r="AM1411" s="39" t="n">
        <v>143.02</v>
      </c>
    </row>
    <row r="1412" customFormat="false" ht="15" hidden="false" customHeight="false" outlineLevel="0" collapsed="false">
      <c r="A1412" s="37" t="n">
        <v>383077490</v>
      </c>
      <c r="B1412" s="38" t="n">
        <v>46260.0084837963</v>
      </c>
      <c r="C1412" s="37" t="s">
        <v>340</v>
      </c>
      <c r="D1412" s="37" t="s">
        <v>1650</v>
      </c>
      <c r="E1412" s="37" t="n">
        <v>28995639</v>
      </c>
      <c r="F1412" s="37" t="s">
        <v>295</v>
      </c>
      <c r="G1412" s="37" t="s">
        <v>198</v>
      </c>
      <c r="H1412" s="37" t="s">
        <v>184</v>
      </c>
      <c r="I1412" s="37" t="n">
        <v>33.4</v>
      </c>
      <c r="J1412" s="39" t="n">
        <v>439.99</v>
      </c>
      <c r="K1412" s="37" t="s">
        <v>342</v>
      </c>
      <c r="L1412" s="39" t="n">
        <v>109.28</v>
      </c>
      <c r="M1412" s="39" t="n">
        <v>65.63</v>
      </c>
      <c r="N1412" s="39" t="n">
        <f aca="false">J1412*Resumo!$C$6</f>
        <v>0</v>
      </c>
      <c r="O1412" s="39" t="n">
        <f aca="false">J1412*Resumo!$C$7</f>
        <v>0.923979</v>
      </c>
      <c r="P1412" s="39" t="n">
        <f aca="false">J1412*Resumo!$C$8</f>
        <v>0.923979</v>
      </c>
      <c r="Q1412" s="39" t="n">
        <f aca="false">Resumo!$C$10*CEILING(I1412/100,1)</f>
        <v>1.05</v>
      </c>
      <c r="R1412" s="39" t="n">
        <f aca="false">Resumo!$C$9</f>
        <v>0</v>
      </c>
      <c r="S1412" s="39" t="n">
        <f aca="false">Resumo!$C$13</f>
        <v>13.55</v>
      </c>
      <c r="T1412" s="39" t="n">
        <f aca="false">Resumo!$C$14*CEILING(I1412,1)</f>
        <v>15.3</v>
      </c>
      <c r="U1412" s="39" t="n">
        <f aca="false">SUM(M1412:T1412)*Resumo!$C$11</f>
        <v>0</v>
      </c>
      <c r="V1412" s="39" t="n">
        <f aca="false">SUM(M1412:U1412)</f>
        <v>97.377958</v>
      </c>
      <c r="W1412" s="39" t="n">
        <f aca="false">V1412/(1-Resumo!$C$5)</f>
        <v>110.656770454545</v>
      </c>
      <c r="X1412" s="39" t="n">
        <v>114.95</v>
      </c>
      <c r="Y1412" s="39" t="n">
        <f aca="false">J1412*Resumo!$B$6</f>
        <v>0.43999</v>
      </c>
      <c r="Z1412" s="39" t="n">
        <f aca="false">J1412*Resumo!$B$7</f>
        <v>0.87998</v>
      </c>
      <c r="AA1412" s="39" t="n">
        <f aca="false">Resumo!$B$9</f>
        <v>1</v>
      </c>
      <c r="AB1412" s="39" t="n">
        <f aca="false">Resumo!$B$10*CEILING(I1412/100,1)</f>
        <v>4.5</v>
      </c>
      <c r="AC1412" s="39" t="n">
        <f aca="false">Resumo!$B$12*CEILING(I1412,1)</f>
        <v>2.04</v>
      </c>
      <c r="AD1412" s="39" t="n">
        <f aca="false">Resumo!$B$14*CEILING(I1412,1)</f>
        <v>15.3</v>
      </c>
      <c r="AE1412" s="39" t="n">
        <f aca="false">SUM(X1412:AD1412)</f>
        <v>139.10997</v>
      </c>
      <c r="AF1412" s="39" t="n">
        <f aca="false">AE1412/(1-Resumo!$B$5)</f>
        <v>158.079511363636</v>
      </c>
      <c r="AG1412" s="39" t="n">
        <f aca="false">AF1412-W1412</f>
        <v>47.4227409090909</v>
      </c>
      <c r="AH1412" s="40" t="n">
        <f aca="false">AF1412/W1412-1</f>
        <v>0.428557066271609</v>
      </c>
      <c r="AI1412" s="37" t="str">
        <f aca="false">IF(AF1412&lt;W1412,"SIM","NÃO")</f>
        <v>NÃO</v>
      </c>
      <c r="AJ1412" s="37" t="n">
        <v>13</v>
      </c>
      <c r="AK1412" s="37" t="n">
        <v>10</v>
      </c>
      <c r="AL1412" s="37" t="s">
        <v>347</v>
      </c>
      <c r="AM1412" s="39" t="n">
        <v>109.29</v>
      </c>
    </row>
    <row r="1413" customFormat="false" ht="15" hidden="false" customHeight="false" outlineLevel="0" collapsed="false">
      <c r="A1413" s="37" t="n">
        <v>383315549</v>
      </c>
      <c r="B1413" s="38" t="n">
        <v>46260.3809027778</v>
      </c>
      <c r="C1413" s="37" t="s">
        <v>372</v>
      </c>
      <c r="D1413" s="37" t="s">
        <v>1651</v>
      </c>
      <c r="E1413" s="37" t="n">
        <v>22031071</v>
      </c>
      <c r="F1413" s="37" t="s">
        <v>159</v>
      </c>
      <c r="G1413" s="37" t="s">
        <v>196</v>
      </c>
      <c r="H1413" s="37" t="s">
        <v>186</v>
      </c>
      <c r="I1413" s="37" t="n">
        <v>44.5</v>
      </c>
      <c r="J1413" s="39" t="n">
        <v>769.99</v>
      </c>
      <c r="K1413" s="37" t="s">
        <v>342</v>
      </c>
      <c r="L1413" s="39" t="n">
        <v>104.27</v>
      </c>
      <c r="M1413" s="39" t="n">
        <v>53.55</v>
      </c>
      <c r="N1413" s="39" t="n">
        <f aca="false">J1413*Resumo!$C$6</f>
        <v>0</v>
      </c>
      <c r="O1413" s="39" t="n">
        <f aca="false">J1413*Resumo!$C$7</f>
        <v>1.616979</v>
      </c>
      <c r="P1413" s="39" t="n">
        <f aca="false">J1413*Resumo!$C$8</f>
        <v>1.616979</v>
      </c>
      <c r="Q1413" s="39" t="n">
        <f aca="false">Resumo!$C$10*CEILING(I1413/100,1)</f>
        <v>1.05</v>
      </c>
      <c r="R1413" s="39" t="n">
        <f aca="false">Resumo!$C$9</f>
        <v>0</v>
      </c>
      <c r="S1413" s="39" t="n">
        <f aca="false">Resumo!$C$13</f>
        <v>13.55</v>
      </c>
      <c r="T1413" s="39" t="n">
        <f aca="false">Resumo!$C$14*CEILING(I1413,1)</f>
        <v>20.25</v>
      </c>
      <c r="U1413" s="39" t="n">
        <f aca="false">SUM(M1413:T1413)*Resumo!$C$11</f>
        <v>0</v>
      </c>
      <c r="V1413" s="39" t="n">
        <f aca="false">SUM(M1413:U1413)</f>
        <v>91.633958</v>
      </c>
      <c r="W1413" s="39" t="n">
        <f aca="false">V1413/(1-Resumo!$C$5)</f>
        <v>104.129497727273</v>
      </c>
      <c r="X1413" s="39" t="n">
        <v>93.97</v>
      </c>
      <c r="Y1413" s="39" t="n">
        <f aca="false">J1413*Resumo!$B$6</f>
        <v>0.76999</v>
      </c>
      <c r="Z1413" s="39" t="n">
        <f aca="false">J1413*Resumo!$B$7</f>
        <v>1.53998</v>
      </c>
      <c r="AA1413" s="39" t="n">
        <f aca="false">Resumo!$B$9</f>
        <v>1</v>
      </c>
      <c r="AB1413" s="39" t="n">
        <f aca="false">Resumo!$B$10*CEILING(I1413/100,1)</f>
        <v>4.5</v>
      </c>
      <c r="AC1413" s="39" t="n">
        <f aca="false">Resumo!$B$12*CEILING(I1413,1)</f>
        <v>2.7</v>
      </c>
      <c r="AD1413" s="39" t="n">
        <f aca="false">Resumo!$B$14*CEILING(I1413,1)</f>
        <v>20.25</v>
      </c>
      <c r="AE1413" s="39" t="n">
        <f aca="false">SUM(X1413:AD1413)</f>
        <v>124.72997</v>
      </c>
      <c r="AF1413" s="39" t="n">
        <f aca="false">AE1413/(1-Resumo!$B$5)</f>
        <v>141.738602272727</v>
      </c>
      <c r="AG1413" s="39" t="n">
        <f aca="false">AF1413-W1413</f>
        <v>37.6091045454545</v>
      </c>
      <c r="AH1413" s="40" t="n">
        <f aca="false">AF1413/W1413-1</f>
        <v>0.361176279212996</v>
      </c>
      <c r="AI1413" s="37" t="str">
        <f aca="false">IF(AF1413&lt;W1413,"SIM","NÃO")</f>
        <v>NÃO</v>
      </c>
      <c r="AJ1413" s="37" t="n">
        <v>2</v>
      </c>
      <c r="AK1413" s="37" t="n">
        <v>5</v>
      </c>
      <c r="AL1413" s="37" t="s">
        <v>343</v>
      </c>
      <c r="AM1413" s="39" t="n">
        <v>104.28</v>
      </c>
    </row>
    <row r="1414" customFormat="false" ht="15" hidden="false" customHeight="false" outlineLevel="0" collapsed="false">
      <c r="A1414" s="37" t="n">
        <v>383406966</v>
      </c>
      <c r="B1414" s="38" t="n">
        <v>46260.4856134259</v>
      </c>
      <c r="C1414" s="37" t="s">
        <v>340</v>
      </c>
      <c r="D1414" s="37" t="s">
        <v>1652</v>
      </c>
      <c r="E1414" s="37" t="n">
        <v>22740360</v>
      </c>
      <c r="F1414" s="37" t="s">
        <v>159</v>
      </c>
      <c r="G1414" s="37" t="s">
        <v>196</v>
      </c>
      <c r="H1414" s="37" t="s">
        <v>187</v>
      </c>
      <c r="I1414" s="37" t="n">
        <v>54</v>
      </c>
      <c r="J1414" s="39" t="n">
        <v>956.51</v>
      </c>
      <c r="K1414" s="37" t="s">
        <v>342</v>
      </c>
      <c r="L1414" s="39" t="n">
        <v>115.73</v>
      </c>
      <c r="M1414" s="39" t="n">
        <v>58.6</v>
      </c>
      <c r="N1414" s="39" t="n">
        <f aca="false">J1414*Resumo!$C$6</f>
        <v>0</v>
      </c>
      <c r="O1414" s="39" t="n">
        <f aca="false">J1414*Resumo!$C$7</f>
        <v>2.008671</v>
      </c>
      <c r="P1414" s="39" t="n">
        <f aca="false">J1414*Resumo!$C$8</f>
        <v>2.008671</v>
      </c>
      <c r="Q1414" s="39" t="n">
        <f aca="false">Resumo!$C$10*CEILING(I1414/100,1)</f>
        <v>1.05</v>
      </c>
      <c r="R1414" s="39" t="n">
        <f aca="false">Resumo!$C$9</f>
        <v>0</v>
      </c>
      <c r="S1414" s="39" t="n">
        <f aca="false">Resumo!$C$13</f>
        <v>13.55</v>
      </c>
      <c r="T1414" s="39" t="n">
        <f aca="false">Resumo!$C$14*CEILING(I1414,1)</f>
        <v>24.3</v>
      </c>
      <c r="U1414" s="39" t="n">
        <f aca="false">SUM(M1414:T1414)*Resumo!$C$11</f>
        <v>0</v>
      </c>
      <c r="V1414" s="39" t="n">
        <f aca="false">SUM(M1414:U1414)</f>
        <v>101.517342</v>
      </c>
      <c r="W1414" s="39" t="n">
        <f aca="false">V1414/(1-Resumo!$C$5)</f>
        <v>115.360615909091</v>
      </c>
      <c r="X1414" s="39" t="n">
        <v>112.3</v>
      </c>
      <c r="Y1414" s="39" t="n">
        <f aca="false">J1414*Resumo!$B$6</f>
        <v>0.95651</v>
      </c>
      <c r="Z1414" s="39" t="n">
        <f aca="false">J1414*Resumo!$B$7</f>
        <v>1.91302</v>
      </c>
      <c r="AA1414" s="39" t="n">
        <f aca="false">Resumo!$B$9</f>
        <v>1</v>
      </c>
      <c r="AB1414" s="39" t="n">
        <f aca="false">Resumo!$B$10*CEILING(I1414/100,1)</f>
        <v>4.5</v>
      </c>
      <c r="AC1414" s="39" t="n">
        <f aca="false">Resumo!$B$12*CEILING(I1414,1)</f>
        <v>3.24</v>
      </c>
      <c r="AD1414" s="39" t="n">
        <f aca="false">Resumo!$B$14*CEILING(I1414,1)</f>
        <v>24.3</v>
      </c>
      <c r="AE1414" s="39" t="n">
        <f aca="false">SUM(X1414:AD1414)</f>
        <v>148.20953</v>
      </c>
      <c r="AF1414" s="39" t="n">
        <f aca="false">AE1414/(1-Resumo!$B$5)</f>
        <v>168.419920454545</v>
      </c>
      <c r="AG1414" s="39" t="n">
        <f aca="false">AF1414-W1414</f>
        <v>53.0593045454546</v>
      </c>
      <c r="AH1414" s="40" t="n">
        <f aca="false">AF1414/W1414-1</f>
        <v>0.459942972108155</v>
      </c>
      <c r="AI1414" s="37" t="str">
        <f aca="false">IF(AF1414&lt;W1414,"SIM","NÃO")</f>
        <v>NÃO</v>
      </c>
      <c r="AJ1414" s="37" t="n">
        <v>2</v>
      </c>
      <c r="AK1414" s="37" t="n">
        <v>5</v>
      </c>
      <c r="AL1414" s="37" t="s">
        <v>343</v>
      </c>
      <c r="AM1414" s="39" t="n">
        <v>115.73</v>
      </c>
    </row>
    <row r="1415" customFormat="false" ht="15" hidden="false" customHeight="false" outlineLevel="0" collapsed="false">
      <c r="A1415" s="37" t="n">
        <v>383526672</v>
      </c>
      <c r="B1415" s="38" t="n">
        <v>46260.569537037</v>
      </c>
      <c r="C1415" s="37" t="s">
        <v>340</v>
      </c>
      <c r="D1415" s="37" t="s">
        <v>1653</v>
      </c>
      <c r="E1415" s="37" t="n">
        <v>28013080</v>
      </c>
      <c r="F1415" s="37" t="s">
        <v>164</v>
      </c>
      <c r="G1415" s="37" t="s">
        <v>198</v>
      </c>
      <c r="H1415" s="37" t="s">
        <v>186</v>
      </c>
      <c r="I1415" s="37" t="n">
        <v>41</v>
      </c>
      <c r="J1415" s="39" t="n">
        <v>487.99</v>
      </c>
      <c r="K1415" s="37" t="s">
        <v>342</v>
      </c>
      <c r="L1415" s="39" t="n">
        <v>130.51</v>
      </c>
      <c r="M1415" s="39" t="n">
        <v>77.7</v>
      </c>
      <c r="N1415" s="39" t="n">
        <f aca="false">J1415*Resumo!$C$6</f>
        <v>0</v>
      </c>
      <c r="O1415" s="39" t="n">
        <f aca="false">J1415*Resumo!$C$7</f>
        <v>1.024779</v>
      </c>
      <c r="P1415" s="39" t="n">
        <f aca="false">J1415*Resumo!$C$8</f>
        <v>1.024779</v>
      </c>
      <c r="Q1415" s="39" t="n">
        <f aca="false">Resumo!$C$10*CEILING(I1415/100,1)</f>
        <v>1.05</v>
      </c>
      <c r="R1415" s="39" t="n">
        <f aca="false">Resumo!$C$9</f>
        <v>0</v>
      </c>
      <c r="S1415" s="39" t="n">
        <f aca="false">Resumo!$C$13</f>
        <v>13.55</v>
      </c>
      <c r="T1415" s="39" t="n">
        <f aca="false">Resumo!$C$14*CEILING(I1415,1)</f>
        <v>18.45</v>
      </c>
      <c r="U1415" s="39" t="n">
        <f aca="false">SUM(M1415:T1415)*Resumo!$C$11</f>
        <v>0</v>
      </c>
      <c r="V1415" s="39" t="n">
        <f aca="false">SUM(M1415:U1415)</f>
        <v>112.799558</v>
      </c>
      <c r="W1415" s="39" t="n">
        <f aca="false">V1415/(1-Resumo!$C$5)</f>
        <v>128.181315909091</v>
      </c>
      <c r="X1415" s="39" t="n">
        <v>152.54</v>
      </c>
      <c r="Y1415" s="39" t="n">
        <f aca="false">J1415*Resumo!$B$6</f>
        <v>0.48799</v>
      </c>
      <c r="Z1415" s="39" t="n">
        <f aca="false">J1415*Resumo!$B$7</f>
        <v>0.97598</v>
      </c>
      <c r="AA1415" s="39" t="n">
        <f aca="false">Resumo!$B$9</f>
        <v>1</v>
      </c>
      <c r="AB1415" s="39" t="n">
        <f aca="false">Resumo!$B$10*CEILING(I1415/100,1)</f>
        <v>4.5</v>
      </c>
      <c r="AC1415" s="39" t="n">
        <f aca="false">Resumo!$B$12*CEILING(I1415,1)</f>
        <v>2.46</v>
      </c>
      <c r="AD1415" s="39" t="n">
        <f aca="false">Resumo!$B$14*CEILING(I1415,1)</f>
        <v>18.45</v>
      </c>
      <c r="AE1415" s="39" t="n">
        <f aca="false">SUM(X1415:AD1415)</f>
        <v>180.41397</v>
      </c>
      <c r="AF1415" s="39" t="n">
        <f aca="false">AE1415/(1-Resumo!$B$5)</f>
        <v>205.015875</v>
      </c>
      <c r="AG1415" s="39" t="n">
        <f aca="false">AF1415-W1415</f>
        <v>76.834559090909</v>
      </c>
      <c r="AH1415" s="40" t="n">
        <f aca="false">AF1415/W1415-1</f>
        <v>0.599420894893932</v>
      </c>
      <c r="AI1415" s="37" t="str">
        <f aca="false">IF(AF1415&lt;W1415,"SIM","NÃO")</f>
        <v>NÃO</v>
      </c>
      <c r="AJ1415" s="37" t="n">
        <v>13</v>
      </c>
      <c r="AK1415" s="37" t="n">
        <v>11</v>
      </c>
      <c r="AL1415" s="37" t="s">
        <v>343</v>
      </c>
      <c r="AM1415" s="39" t="n">
        <v>130.5</v>
      </c>
    </row>
    <row r="1416" customFormat="false" ht="15" hidden="false" customHeight="false" outlineLevel="0" collapsed="false">
      <c r="A1416" s="37" t="n">
        <v>383500033</v>
      </c>
      <c r="B1416" s="38" t="n">
        <v>46260.6241550926</v>
      </c>
      <c r="C1416" s="37" t="s">
        <v>372</v>
      </c>
      <c r="D1416" s="37" t="s">
        <v>1654</v>
      </c>
      <c r="E1416" s="37" t="n">
        <v>27345220</v>
      </c>
      <c r="F1416" s="37" t="s">
        <v>247</v>
      </c>
      <c r="G1416" s="37" t="s">
        <v>198</v>
      </c>
      <c r="H1416" s="37" t="s">
        <v>187</v>
      </c>
      <c r="I1416" s="37" t="n">
        <v>52.3</v>
      </c>
      <c r="J1416" s="39" t="n">
        <v>532.49</v>
      </c>
      <c r="K1416" s="37" t="s">
        <v>342</v>
      </c>
      <c r="L1416" s="39" t="n">
        <v>142.2</v>
      </c>
      <c r="M1416" s="39" t="n">
        <v>83.58</v>
      </c>
      <c r="N1416" s="39" t="n">
        <f aca="false">J1416*Resumo!$C$6</f>
        <v>0</v>
      </c>
      <c r="O1416" s="39" t="n">
        <f aca="false">J1416*Resumo!$C$7</f>
        <v>1.118229</v>
      </c>
      <c r="P1416" s="39" t="n">
        <f aca="false">J1416*Resumo!$C$8</f>
        <v>1.118229</v>
      </c>
      <c r="Q1416" s="39" t="n">
        <f aca="false">Resumo!$C$10*CEILING(I1416/100,1)</f>
        <v>1.05</v>
      </c>
      <c r="R1416" s="39" t="n">
        <f aca="false">Resumo!$C$9</f>
        <v>0</v>
      </c>
      <c r="S1416" s="39" t="n">
        <f aca="false">Resumo!$C$13</f>
        <v>13.55</v>
      </c>
      <c r="T1416" s="39" t="n">
        <f aca="false">Resumo!$C$14*CEILING(I1416,1)</f>
        <v>23.85</v>
      </c>
      <c r="U1416" s="39" t="n">
        <f aca="false">SUM(M1416:T1416)*Resumo!$C$11</f>
        <v>0</v>
      </c>
      <c r="V1416" s="39" t="n">
        <f aca="false">SUM(M1416:U1416)</f>
        <v>124.266458</v>
      </c>
      <c r="W1416" s="39" t="n">
        <f aca="false">V1416/(1-Resumo!$C$5)</f>
        <v>141.211884090909</v>
      </c>
      <c r="X1416" s="39" t="n">
        <v>142.32</v>
      </c>
      <c r="Y1416" s="39" t="n">
        <f aca="false">J1416*Resumo!$B$6</f>
        <v>0.53249</v>
      </c>
      <c r="Z1416" s="39" t="n">
        <f aca="false">J1416*Resumo!$B$7</f>
        <v>1.06498</v>
      </c>
      <c r="AA1416" s="39" t="n">
        <f aca="false">Resumo!$B$9</f>
        <v>1</v>
      </c>
      <c r="AB1416" s="39" t="n">
        <f aca="false">Resumo!$B$10*CEILING(I1416/100,1)</f>
        <v>4.5</v>
      </c>
      <c r="AC1416" s="39" t="n">
        <f aca="false">Resumo!$B$12*CEILING(I1416,1)</f>
        <v>3.18</v>
      </c>
      <c r="AD1416" s="39" t="n">
        <f aca="false">Resumo!$B$14*CEILING(I1416,1)</f>
        <v>23.85</v>
      </c>
      <c r="AE1416" s="39" t="n">
        <f aca="false">SUM(X1416:AD1416)</f>
        <v>176.44747</v>
      </c>
      <c r="AF1416" s="39" t="n">
        <f aca="false">AE1416/(1-Resumo!$B$5)</f>
        <v>200.508488636364</v>
      </c>
      <c r="AG1416" s="39" t="n">
        <f aca="false">AF1416-W1416</f>
        <v>59.2966045454545</v>
      </c>
      <c r="AH1416" s="40" t="n">
        <f aca="false">AF1416/W1416-1</f>
        <v>0.419912282363435</v>
      </c>
      <c r="AI1416" s="37" t="str">
        <f aca="false">IF(AF1416&lt;W1416,"SIM","NÃO")</f>
        <v>NÃO</v>
      </c>
      <c r="AJ1416" s="37" t="n">
        <v>13</v>
      </c>
      <c r="AK1416" s="37" t="n">
        <v>10</v>
      </c>
      <c r="AL1416" s="37" t="s">
        <v>347</v>
      </c>
      <c r="AM1416" s="39" t="n">
        <v>142.22</v>
      </c>
    </row>
    <row r="1417" customFormat="false" ht="15" hidden="false" customHeight="false" outlineLevel="0" collapsed="false">
      <c r="A1417" s="37" t="n">
        <v>383603624</v>
      </c>
      <c r="B1417" s="38" t="n">
        <v>46260.7405439815</v>
      </c>
      <c r="C1417" s="37" t="s">
        <v>340</v>
      </c>
      <c r="D1417" s="37" t="s">
        <v>454</v>
      </c>
      <c r="E1417" s="37" t="n">
        <v>28200000</v>
      </c>
      <c r="F1417" s="37" t="s">
        <v>259</v>
      </c>
      <c r="G1417" s="37" t="s">
        <v>198</v>
      </c>
      <c r="H1417" s="37" t="s">
        <v>185</v>
      </c>
      <c r="I1417" s="37" t="n">
        <v>37.2</v>
      </c>
      <c r="J1417" s="39" t="n">
        <v>359.99</v>
      </c>
      <c r="K1417" s="37" t="s">
        <v>342</v>
      </c>
      <c r="L1417" s="39" t="n">
        <v>121.98</v>
      </c>
      <c r="M1417" s="39" t="n">
        <v>74.97</v>
      </c>
      <c r="N1417" s="39" t="n">
        <f aca="false">J1417*Resumo!$C$6</f>
        <v>0</v>
      </c>
      <c r="O1417" s="39" t="n">
        <f aca="false">J1417*Resumo!$C$7</f>
        <v>0.755979</v>
      </c>
      <c r="P1417" s="39" t="n">
        <f aca="false">J1417*Resumo!$C$8</f>
        <v>0.755979</v>
      </c>
      <c r="Q1417" s="39" t="n">
        <f aca="false">Resumo!$C$10*CEILING(I1417/100,1)</f>
        <v>1.05</v>
      </c>
      <c r="R1417" s="39" t="n">
        <f aca="false">Resumo!$C$9</f>
        <v>0</v>
      </c>
      <c r="S1417" s="39" t="n">
        <f aca="false">Resumo!$C$13</f>
        <v>13.55</v>
      </c>
      <c r="T1417" s="39" t="n">
        <f aca="false">Resumo!$C$14*CEILING(I1417,1)</f>
        <v>17.1</v>
      </c>
      <c r="U1417" s="39" t="n">
        <f aca="false">SUM(M1417:T1417)*Resumo!$C$11</f>
        <v>0</v>
      </c>
      <c r="V1417" s="39" t="n">
        <f aca="false">SUM(M1417:U1417)</f>
        <v>108.181958</v>
      </c>
      <c r="W1417" s="39" t="n">
        <f aca="false">V1417/(1-Resumo!$C$5)</f>
        <v>122.934043181818</v>
      </c>
      <c r="X1417" s="39" t="n">
        <v>143.04</v>
      </c>
      <c r="Y1417" s="39" t="n">
        <f aca="false">J1417*Resumo!$B$6</f>
        <v>0.35999</v>
      </c>
      <c r="Z1417" s="39" t="n">
        <f aca="false">J1417*Resumo!$B$7</f>
        <v>0.71998</v>
      </c>
      <c r="AA1417" s="39" t="n">
        <f aca="false">Resumo!$B$9</f>
        <v>1</v>
      </c>
      <c r="AB1417" s="39" t="n">
        <f aca="false">Resumo!$B$10*CEILING(I1417/100,1)</f>
        <v>4.5</v>
      </c>
      <c r="AC1417" s="39" t="n">
        <f aca="false">Resumo!$B$12*CEILING(I1417,1)</f>
        <v>2.28</v>
      </c>
      <c r="AD1417" s="39" t="n">
        <f aca="false">Resumo!$B$14*CEILING(I1417,1)</f>
        <v>17.1</v>
      </c>
      <c r="AE1417" s="39" t="n">
        <f aca="false">SUM(X1417:AD1417)</f>
        <v>168.99997</v>
      </c>
      <c r="AF1417" s="39" t="n">
        <f aca="false">AE1417/(1-Resumo!$B$5)</f>
        <v>192.045420454545</v>
      </c>
      <c r="AG1417" s="39" t="n">
        <f aca="false">AF1417-W1417</f>
        <v>69.1113772727273</v>
      </c>
      <c r="AH1417" s="40" t="n">
        <f aca="false">AF1417/W1417-1</f>
        <v>0.56218257761613</v>
      </c>
      <c r="AI1417" s="37" t="str">
        <f aca="false">IF(AF1417&lt;W1417,"SIM","NÃO")</f>
        <v>NÃO</v>
      </c>
      <c r="AJ1417" s="37" t="n">
        <v>13</v>
      </c>
      <c r="AK1417" s="37" t="n">
        <v>11</v>
      </c>
      <c r="AL1417" s="37" t="s">
        <v>347</v>
      </c>
      <c r="AM1417" s="39" t="n">
        <v>121.97</v>
      </c>
    </row>
    <row r="1418" customFormat="false" ht="15" hidden="false" customHeight="false" outlineLevel="0" collapsed="false">
      <c r="A1418" s="37" t="n">
        <v>383677748</v>
      </c>
      <c r="B1418" s="38" t="n">
        <v>46260.8353703704</v>
      </c>
      <c r="C1418" s="37" t="s">
        <v>340</v>
      </c>
      <c r="D1418" s="37" t="s">
        <v>1655</v>
      </c>
      <c r="E1418" s="37" t="n">
        <v>21072720</v>
      </c>
      <c r="F1418" s="37" t="s">
        <v>159</v>
      </c>
      <c r="G1418" s="37" t="s">
        <v>196</v>
      </c>
      <c r="H1418" s="37" t="s">
        <v>192</v>
      </c>
      <c r="I1418" s="37" t="n">
        <v>140.9</v>
      </c>
      <c r="J1418" s="39" t="n">
        <v>1799.99</v>
      </c>
      <c r="K1418" s="37" t="s">
        <v>342</v>
      </c>
      <c r="L1418" s="39" t="n">
        <v>234.92</v>
      </c>
      <c r="M1418" s="39" t="n">
        <v>120.59</v>
      </c>
      <c r="N1418" s="39" t="n">
        <f aca="false">J1418*Resumo!$C$6</f>
        <v>0</v>
      </c>
      <c r="O1418" s="39" t="n">
        <f aca="false">J1418*Resumo!$C$7</f>
        <v>3.779979</v>
      </c>
      <c r="P1418" s="39" t="n">
        <f aca="false">J1418*Resumo!$C$8</f>
        <v>3.779979</v>
      </c>
      <c r="Q1418" s="39" t="n">
        <f aca="false">Resumo!$C$10*CEILING(I1418/100,1)</f>
        <v>2.1</v>
      </c>
      <c r="R1418" s="39" t="n">
        <f aca="false">Resumo!$C$9</f>
        <v>0</v>
      </c>
      <c r="S1418" s="39" t="n">
        <f aca="false">Resumo!$C$13</f>
        <v>13.55</v>
      </c>
      <c r="T1418" s="39" t="n">
        <f aca="false">Resumo!$C$14*CEILING(I1418,1)</f>
        <v>63.45</v>
      </c>
      <c r="U1418" s="39" t="n">
        <f aca="false">SUM(M1418:T1418)*Resumo!$C$11</f>
        <v>0</v>
      </c>
      <c r="V1418" s="39" t="n">
        <f aca="false">SUM(M1418:U1418)</f>
        <v>207.249958</v>
      </c>
      <c r="W1418" s="39" t="n">
        <f aca="false">V1418/(1-Resumo!$C$5)</f>
        <v>235.511315909091</v>
      </c>
      <c r="X1418" s="39" t="n">
        <v>239.25</v>
      </c>
      <c r="Y1418" s="39" t="n">
        <f aca="false">J1418*Resumo!$B$6</f>
        <v>1.79999</v>
      </c>
      <c r="Z1418" s="39" t="n">
        <f aca="false">J1418*Resumo!$B$7</f>
        <v>3.59998</v>
      </c>
      <c r="AA1418" s="39" t="n">
        <f aca="false">Resumo!$B$9</f>
        <v>1</v>
      </c>
      <c r="AB1418" s="39" t="n">
        <f aca="false">Resumo!$B$10*CEILING(I1418/100,1)</f>
        <v>9</v>
      </c>
      <c r="AC1418" s="39" t="n">
        <f aca="false">Resumo!$B$12*CEILING(I1418,1)</f>
        <v>8.46</v>
      </c>
      <c r="AD1418" s="39" t="n">
        <f aca="false">Resumo!$B$14*CEILING(I1418,1)</f>
        <v>63.45</v>
      </c>
      <c r="AE1418" s="39" t="n">
        <f aca="false">SUM(X1418:AD1418)</f>
        <v>326.55997</v>
      </c>
      <c r="AF1418" s="39" t="n">
        <f aca="false">AE1418/(1-Resumo!$B$5)</f>
        <v>371.090875</v>
      </c>
      <c r="AG1418" s="39" t="n">
        <f aca="false">AF1418-W1418</f>
        <v>135.579559090909</v>
      </c>
      <c r="AH1418" s="40" t="n">
        <f aca="false">AF1418/W1418-1</f>
        <v>0.575681718594124</v>
      </c>
      <c r="AI1418" s="37" t="str">
        <f aca="false">IF(AF1418&lt;W1418,"SIM","NÃO")</f>
        <v>NÃO</v>
      </c>
      <c r="AJ1418" s="37" t="n">
        <v>2</v>
      </c>
      <c r="AK1418" s="37" t="n">
        <v>5</v>
      </c>
      <c r="AL1418" s="37" t="s">
        <v>343</v>
      </c>
      <c r="AM1418" s="39" t="n">
        <v>234.92</v>
      </c>
    </row>
    <row r="1419" customFormat="false" ht="15" hidden="false" customHeight="false" outlineLevel="0" collapsed="false">
      <c r="A1419" s="37" t="n">
        <v>383688889</v>
      </c>
      <c r="B1419" s="38" t="n">
        <v>46260.8521875</v>
      </c>
      <c r="C1419" s="37" t="s">
        <v>345</v>
      </c>
      <c r="D1419" s="37" t="s">
        <v>972</v>
      </c>
      <c r="E1419" s="37" t="n">
        <v>28985225</v>
      </c>
      <c r="F1419" s="37" t="s">
        <v>173</v>
      </c>
      <c r="G1419" s="37" t="s">
        <v>198</v>
      </c>
      <c r="H1419" s="37" t="s">
        <v>188</v>
      </c>
      <c r="I1419" s="37" t="n">
        <v>69.15</v>
      </c>
      <c r="J1419" s="39" t="n">
        <v>697.84</v>
      </c>
      <c r="K1419" s="37" t="s">
        <v>342</v>
      </c>
      <c r="L1419" s="39" t="n">
        <v>155.38</v>
      </c>
      <c r="M1419" s="39" t="n">
        <v>90.2</v>
      </c>
      <c r="N1419" s="39" t="n">
        <f aca="false">J1419*Resumo!$C$6</f>
        <v>0</v>
      </c>
      <c r="O1419" s="39" t="n">
        <f aca="false">J1419*Resumo!$C$7</f>
        <v>1.465464</v>
      </c>
      <c r="P1419" s="39" t="n">
        <f aca="false">J1419*Resumo!$C$8</f>
        <v>1.465464</v>
      </c>
      <c r="Q1419" s="39" t="n">
        <f aca="false">Resumo!$C$10*CEILING(I1419/100,1)</f>
        <v>1.05</v>
      </c>
      <c r="R1419" s="39" t="n">
        <f aca="false">Resumo!$C$9</f>
        <v>0</v>
      </c>
      <c r="S1419" s="39" t="n">
        <f aca="false">Resumo!$C$13</f>
        <v>13.55</v>
      </c>
      <c r="T1419" s="39" t="n">
        <f aca="false">Resumo!$C$14*CEILING(I1419,1)</f>
        <v>31.5</v>
      </c>
      <c r="U1419" s="39" t="n">
        <f aca="false">SUM(M1419:T1419)*Resumo!$C$11</f>
        <v>0</v>
      </c>
      <c r="V1419" s="39" t="n">
        <f aca="false">SUM(M1419:U1419)</f>
        <v>139.230928</v>
      </c>
      <c r="W1419" s="39" t="n">
        <f aca="false">V1419/(1-Resumo!$C$5)</f>
        <v>158.216963636364</v>
      </c>
      <c r="X1419" s="39" t="n">
        <v>166.05</v>
      </c>
      <c r="Y1419" s="39" t="n">
        <f aca="false">J1419*Resumo!$B$6</f>
        <v>0.69784</v>
      </c>
      <c r="Z1419" s="39" t="n">
        <f aca="false">J1419*Resumo!$B$7</f>
        <v>1.39568</v>
      </c>
      <c r="AA1419" s="39" t="n">
        <f aca="false">Resumo!$B$9</f>
        <v>1</v>
      </c>
      <c r="AB1419" s="39" t="n">
        <f aca="false">Resumo!$B$10*CEILING(I1419/100,1)</f>
        <v>4.5</v>
      </c>
      <c r="AC1419" s="39" t="n">
        <f aca="false">Resumo!$B$12*CEILING(I1419,1)</f>
        <v>4.2</v>
      </c>
      <c r="AD1419" s="39" t="n">
        <f aca="false">Resumo!$B$14*CEILING(I1419,1)</f>
        <v>31.5</v>
      </c>
      <c r="AE1419" s="39" t="n">
        <f aca="false">SUM(X1419:AD1419)</f>
        <v>209.34352</v>
      </c>
      <c r="AF1419" s="39" t="n">
        <f aca="false">AE1419/(1-Resumo!$B$5)</f>
        <v>237.890363636364</v>
      </c>
      <c r="AG1419" s="39" t="n">
        <f aca="false">AF1419-W1419</f>
        <v>79.6734</v>
      </c>
      <c r="AH1419" s="40" t="n">
        <f aca="false">AF1419/W1419-1</f>
        <v>0.503570528525099</v>
      </c>
      <c r="AI1419" s="37" t="str">
        <f aca="false">IF(AF1419&lt;W1419,"SIM","NÃO")</f>
        <v>NÃO</v>
      </c>
      <c r="AJ1419" s="37" t="n">
        <v>13</v>
      </c>
      <c r="AK1419" s="37" t="n">
        <v>10</v>
      </c>
      <c r="AL1419" s="37" t="s">
        <v>343</v>
      </c>
      <c r="AM1419" s="39" t="n">
        <v>155.36</v>
      </c>
    </row>
    <row r="1420" customFormat="false" ht="15" hidden="false" customHeight="false" outlineLevel="0" collapsed="false">
      <c r="A1420" s="37" t="n">
        <v>383754580</v>
      </c>
      <c r="B1420" s="38" t="n">
        <v>46260.9596759259</v>
      </c>
      <c r="C1420" s="37" t="s">
        <v>340</v>
      </c>
      <c r="D1420" s="37" t="s">
        <v>1656</v>
      </c>
      <c r="E1420" s="37" t="n">
        <v>28920803</v>
      </c>
      <c r="F1420" s="37" t="s">
        <v>172</v>
      </c>
      <c r="G1420" s="37" t="s">
        <v>198</v>
      </c>
      <c r="H1420" s="37" t="s">
        <v>184</v>
      </c>
      <c r="I1420" s="37" t="n">
        <v>33</v>
      </c>
      <c r="J1420" s="39" t="n">
        <v>389.99</v>
      </c>
      <c r="K1420" s="37" t="s">
        <v>342</v>
      </c>
      <c r="L1420" s="39" t="n">
        <v>109.05</v>
      </c>
      <c r="M1420" s="39" t="n">
        <v>65.63</v>
      </c>
      <c r="N1420" s="39" t="n">
        <f aca="false">J1420*Resumo!$C$6</f>
        <v>0</v>
      </c>
      <c r="O1420" s="39" t="n">
        <f aca="false">J1420*Resumo!$C$7</f>
        <v>0.818979</v>
      </c>
      <c r="P1420" s="39" t="n">
        <f aca="false">J1420*Resumo!$C$8</f>
        <v>0.818979</v>
      </c>
      <c r="Q1420" s="39" t="n">
        <f aca="false">Resumo!$C$10*CEILING(I1420/100,1)</f>
        <v>1.05</v>
      </c>
      <c r="R1420" s="39" t="n">
        <f aca="false">Resumo!$C$9</f>
        <v>0</v>
      </c>
      <c r="S1420" s="39" t="n">
        <f aca="false">Resumo!$C$13</f>
        <v>13.55</v>
      </c>
      <c r="T1420" s="39" t="n">
        <f aca="false">Resumo!$C$14*CEILING(I1420,1)</f>
        <v>14.85</v>
      </c>
      <c r="U1420" s="39" t="n">
        <f aca="false">SUM(M1420:T1420)*Resumo!$C$11</f>
        <v>0</v>
      </c>
      <c r="V1420" s="39" t="n">
        <f aca="false">SUM(M1420:U1420)</f>
        <v>96.717958</v>
      </c>
      <c r="W1420" s="39" t="n">
        <f aca="false">V1420/(1-Resumo!$C$5)</f>
        <v>109.906770454545</v>
      </c>
      <c r="X1420" s="39" t="n">
        <v>114.95</v>
      </c>
      <c r="Y1420" s="39" t="n">
        <f aca="false">J1420*Resumo!$B$6</f>
        <v>0.38999</v>
      </c>
      <c r="Z1420" s="39" t="n">
        <f aca="false">J1420*Resumo!$B$7</f>
        <v>0.77998</v>
      </c>
      <c r="AA1420" s="39" t="n">
        <f aca="false">Resumo!$B$9</f>
        <v>1</v>
      </c>
      <c r="AB1420" s="39" t="n">
        <f aca="false">Resumo!$B$10*CEILING(I1420/100,1)</f>
        <v>4.5</v>
      </c>
      <c r="AC1420" s="39" t="n">
        <f aca="false">Resumo!$B$12*CEILING(I1420,1)</f>
        <v>1.98</v>
      </c>
      <c r="AD1420" s="39" t="n">
        <f aca="false">Resumo!$B$14*CEILING(I1420,1)</f>
        <v>14.85</v>
      </c>
      <c r="AE1420" s="39" t="n">
        <f aca="false">SUM(X1420:AD1420)</f>
        <v>138.44997</v>
      </c>
      <c r="AF1420" s="39" t="n">
        <f aca="false">AE1420/(1-Resumo!$B$5)</f>
        <v>157.329511363636</v>
      </c>
      <c r="AG1420" s="39" t="n">
        <f aca="false">AF1420-W1420</f>
        <v>47.4227409090909</v>
      </c>
      <c r="AH1420" s="40" t="n">
        <f aca="false">AF1420/W1420-1</f>
        <v>0.431481524868422</v>
      </c>
      <c r="AI1420" s="37" t="str">
        <f aca="false">IF(AF1420&lt;W1420,"SIM","NÃO")</f>
        <v>NÃO</v>
      </c>
      <c r="AJ1420" s="37" t="n">
        <v>13</v>
      </c>
      <c r="AK1420" s="37" t="n">
        <v>10</v>
      </c>
      <c r="AL1420" s="37" t="s">
        <v>343</v>
      </c>
      <c r="AM1420" s="39" t="n">
        <v>109.05</v>
      </c>
    </row>
    <row r="1421" customFormat="false" ht="15" hidden="false" customHeight="false" outlineLevel="0" collapsed="false">
      <c r="A1421" s="37" t="n">
        <v>383776219</v>
      </c>
      <c r="B1421" s="38" t="n">
        <v>46261.015775463</v>
      </c>
      <c r="C1421" s="37" t="s">
        <v>340</v>
      </c>
      <c r="D1421" s="37" t="s">
        <v>744</v>
      </c>
      <c r="E1421" s="37" t="n">
        <v>22471210</v>
      </c>
      <c r="F1421" s="37" t="s">
        <v>159</v>
      </c>
      <c r="G1421" s="37" t="s">
        <v>196</v>
      </c>
      <c r="H1421" s="37" t="s">
        <v>185</v>
      </c>
      <c r="I1421" s="37" t="n">
        <v>35.3</v>
      </c>
      <c r="J1421" s="39" t="n">
        <v>499.99</v>
      </c>
      <c r="K1421" s="37" t="s">
        <v>342</v>
      </c>
      <c r="L1421" s="39" t="n">
        <v>92.25</v>
      </c>
      <c r="M1421" s="39" t="n">
        <v>48.35</v>
      </c>
      <c r="N1421" s="39" t="n">
        <f aca="false">J1421*Resumo!$C$6</f>
        <v>0</v>
      </c>
      <c r="O1421" s="39" t="n">
        <f aca="false">J1421*Resumo!$C$7</f>
        <v>1.049979</v>
      </c>
      <c r="P1421" s="39" t="n">
        <f aca="false">J1421*Resumo!$C$8</f>
        <v>1.049979</v>
      </c>
      <c r="Q1421" s="39" t="n">
        <f aca="false">Resumo!$C$10*CEILING(I1421/100,1)</f>
        <v>1.05</v>
      </c>
      <c r="R1421" s="39" t="n">
        <f aca="false">Resumo!$C$9</f>
        <v>0</v>
      </c>
      <c r="S1421" s="39" t="n">
        <f aca="false">Resumo!$C$13</f>
        <v>13.55</v>
      </c>
      <c r="T1421" s="39" t="n">
        <f aca="false">Resumo!$C$14*CEILING(I1421,1)</f>
        <v>16.2</v>
      </c>
      <c r="U1421" s="39" t="n">
        <f aca="false">SUM(M1421:T1421)*Resumo!$C$11</f>
        <v>0</v>
      </c>
      <c r="V1421" s="39" t="n">
        <f aca="false">SUM(M1421:U1421)</f>
        <v>81.249958</v>
      </c>
      <c r="W1421" s="39" t="n">
        <f aca="false">V1421/(1-Resumo!$C$5)</f>
        <v>92.3294977272727</v>
      </c>
      <c r="X1421" s="39" t="n">
        <v>93.97</v>
      </c>
      <c r="Y1421" s="39" t="n">
        <f aca="false">J1421*Resumo!$B$6</f>
        <v>0.49999</v>
      </c>
      <c r="Z1421" s="39" t="n">
        <f aca="false">J1421*Resumo!$B$7</f>
        <v>0.99998</v>
      </c>
      <c r="AA1421" s="39" t="n">
        <f aca="false">Resumo!$B$9</f>
        <v>1</v>
      </c>
      <c r="AB1421" s="39" t="n">
        <f aca="false">Resumo!$B$10*CEILING(I1421/100,1)</f>
        <v>4.5</v>
      </c>
      <c r="AC1421" s="39" t="n">
        <f aca="false">Resumo!$B$12*CEILING(I1421,1)</f>
        <v>2.16</v>
      </c>
      <c r="AD1421" s="39" t="n">
        <f aca="false">Resumo!$B$14*CEILING(I1421,1)</f>
        <v>16.2</v>
      </c>
      <c r="AE1421" s="39" t="n">
        <f aca="false">SUM(X1421:AD1421)</f>
        <v>119.32997</v>
      </c>
      <c r="AF1421" s="39" t="n">
        <f aca="false">AE1421/(1-Resumo!$B$5)</f>
        <v>135.602238636364</v>
      </c>
      <c r="AG1421" s="39" t="n">
        <f aca="false">AF1421-W1421</f>
        <v>43.2727409090909</v>
      </c>
      <c r="AH1421" s="40" t="n">
        <f aca="false">AF1421/W1421-1</f>
        <v>0.468677313039349</v>
      </c>
      <c r="AI1421" s="37" t="str">
        <f aca="false">IF(AF1421&lt;W1421,"SIM","NÃO")</f>
        <v>NÃO</v>
      </c>
      <c r="AJ1421" s="37" t="n">
        <v>2</v>
      </c>
      <c r="AK1421" s="37" t="n">
        <v>5</v>
      </c>
      <c r="AL1421" s="37" t="s">
        <v>343</v>
      </c>
      <c r="AM1421" s="39" t="n">
        <v>92.25</v>
      </c>
    </row>
    <row r="1422" customFormat="false" ht="15" hidden="false" customHeight="false" outlineLevel="0" collapsed="false">
      <c r="A1422" s="37" t="n">
        <v>383936863</v>
      </c>
      <c r="B1422" s="38" t="n">
        <v>46261.3361921296</v>
      </c>
      <c r="C1422" s="37" t="s">
        <v>340</v>
      </c>
      <c r="D1422" s="37" t="s">
        <v>1657</v>
      </c>
      <c r="E1422" s="37" t="n">
        <v>20020010</v>
      </c>
      <c r="F1422" s="37" t="s">
        <v>159</v>
      </c>
      <c r="G1422" s="37" t="s">
        <v>196</v>
      </c>
      <c r="H1422" s="37" t="s">
        <v>184</v>
      </c>
      <c r="I1422" s="37" t="n">
        <v>33</v>
      </c>
      <c r="J1422" s="39" t="n">
        <v>589.99</v>
      </c>
      <c r="K1422" s="37" t="s">
        <v>342</v>
      </c>
      <c r="L1422" s="39" t="n">
        <v>83.15</v>
      </c>
      <c r="M1422" s="39" t="n">
        <v>42.11</v>
      </c>
      <c r="N1422" s="39" t="n">
        <f aca="false">J1422*Resumo!$C$6</f>
        <v>0</v>
      </c>
      <c r="O1422" s="39" t="n">
        <f aca="false">J1422*Resumo!$C$7</f>
        <v>1.238979</v>
      </c>
      <c r="P1422" s="39" t="n">
        <f aca="false">J1422*Resumo!$C$8</f>
        <v>1.238979</v>
      </c>
      <c r="Q1422" s="39" t="n">
        <f aca="false">Resumo!$C$10*CEILING(I1422/100,1)</f>
        <v>1.05</v>
      </c>
      <c r="R1422" s="39" t="n">
        <f aca="false">Resumo!$C$9</f>
        <v>0</v>
      </c>
      <c r="S1422" s="39" t="n">
        <f aca="false">Resumo!$C$13</f>
        <v>13.55</v>
      </c>
      <c r="T1422" s="39" t="n">
        <f aca="false">Resumo!$C$14*CEILING(I1422,1)</f>
        <v>14.85</v>
      </c>
      <c r="U1422" s="39" t="n">
        <f aca="false">SUM(M1422:T1422)*Resumo!$C$11</f>
        <v>0</v>
      </c>
      <c r="V1422" s="39" t="n">
        <f aca="false">SUM(M1422:U1422)</f>
        <v>74.037958</v>
      </c>
      <c r="W1422" s="39" t="n">
        <f aca="false">V1422/(1-Resumo!$C$5)</f>
        <v>84.1340431818182</v>
      </c>
      <c r="X1422" s="39" t="n">
        <v>82.21</v>
      </c>
      <c r="Y1422" s="39" t="n">
        <f aca="false">J1422*Resumo!$B$6</f>
        <v>0.58999</v>
      </c>
      <c r="Z1422" s="39" t="n">
        <f aca="false">J1422*Resumo!$B$7</f>
        <v>1.17998</v>
      </c>
      <c r="AA1422" s="39" t="n">
        <f aca="false">Resumo!$B$9</f>
        <v>1</v>
      </c>
      <c r="AB1422" s="39" t="n">
        <f aca="false">Resumo!$B$10*CEILING(I1422/100,1)</f>
        <v>4.5</v>
      </c>
      <c r="AC1422" s="39" t="n">
        <f aca="false">Resumo!$B$12*CEILING(I1422,1)</f>
        <v>1.98</v>
      </c>
      <c r="AD1422" s="39" t="n">
        <f aca="false">Resumo!$B$14*CEILING(I1422,1)</f>
        <v>14.85</v>
      </c>
      <c r="AE1422" s="39" t="n">
        <f aca="false">SUM(X1422:AD1422)</f>
        <v>106.30997</v>
      </c>
      <c r="AF1422" s="39" t="n">
        <f aca="false">AE1422/(1-Resumo!$B$5)</f>
        <v>120.806784090909</v>
      </c>
      <c r="AG1422" s="39" t="n">
        <f aca="false">AF1422-W1422</f>
        <v>36.6727409090909</v>
      </c>
      <c r="AH1422" s="40" t="n">
        <f aca="false">AF1422/W1422-1</f>
        <v>0.435884684988205</v>
      </c>
      <c r="AI1422" s="37" t="str">
        <f aca="false">IF(AF1422&lt;W1422,"SIM","NÃO")</f>
        <v>NÃO</v>
      </c>
      <c r="AJ1422" s="37" t="n">
        <v>2</v>
      </c>
      <c r="AK1422" s="37" t="n">
        <v>5</v>
      </c>
      <c r="AL1422" s="37" t="s">
        <v>343</v>
      </c>
      <c r="AM1422" s="39" t="n">
        <v>83.15</v>
      </c>
    </row>
    <row r="1423" customFormat="false" ht="15" hidden="false" customHeight="false" outlineLevel="0" collapsed="false">
      <c r="A1423" s="37" t="n">
        <v>384390789</v>
      </c>
      <c r="B1423" s="38" t="n">
        <v>46261.4150231482</v>
      </c>
      <c r="C1423" s="37" t="s">
        <v>340</v>
      </c>
      <c r="D1423" s="37" t="s">
        <v>1658</v>
      </c>
      <c r="E1423" s="37" t="n">
        <v>28180000</v>
      </c>
      <c r="F1423" s="37" t="s">
        <v>258</v>
      </c>
      <c r="G1423" s="37" t="s">
        <v>198</v>
      </c>
      <c r="H1423" s="37" t="s">
        <v>185</v>
      </c>
      <c r="I1423" s="37" t="n">
        <v>37.59</v>
      </c>
      <c r="J1423" s="39" t="n">
        <v>479.99</v>
      </c>
      <c r="K1423" s="37" t="s">
        <v>342</v>
      </c>
      <c r="L1423" s="39" t="n">
        <v>122.55</v>
      </c>
      <c r="M1423" s="39" t="n">
        <v>74.97</v>
      </c>
      <c r="N1423" s="39" t="n">
        <f aca="false">J1423*Resumo!$C$6</f>
        <v>0</v>
      </c>
      <c r="O1423" s="39" t="n">
        <f aca="false">J1423*Resumo!$C$7</f>
        <v>1.007979</v>
      </c>
      <c r="P1423" s="39" t="n">
        <f aca="false">J1423*Resumo!$C$8</f>
        <v>1.007979</v>
      </c>
      <c r="Q1423" s="39" t="n">
        <f aca="false">Resumo!$C$10*CEILING(I1423/100,1)</f>
        <v>1.05</v>
      </c>
      <c r="R1423" s="39" t="n">
        <f aca="false">Resumo!$C$9</f>
        <v>0</v>
      </c>
      <c r="S1423" s="39" t="n">
        <f aca="false">Resumo!$C$13</f>
        <v>13.55</v>
      </c>
      <c r="T1423" s="39" t="n">
        <f aca="false">Resumo!$C$14*CEILING(I1423,1)</f>
        <v>17.1</v>
      </c>
      <c r="U1423" s="39" t="n">
        <f aca="false">SUM(M1423:T1423)*Resumo!$C$11</f>
        <v>0</v>
      </c>
      <c r="V1423" s="39" t="n">
        <f aca="false">SUM(M1423:U1423)</f>
        <v>108.685958</v>
      </c>
      <c r="W1423" s="39" t="n">
        <f aca="false">V1423/(1-Resumo!$C$5)</f>
        <v>123.506770454545</v>
      </c>
      <c r="X1423" s="39" t="n">
        <v>143.04</v>
      </c>
      <c r="Y1423" s="39" t="n">
        <f aca="false">J1423*Resumo!$B$6</f>
        <v>0.47999</v>
      </c>
      <c r="Z1423" s="39" t="n">
        <f aca="false">J1423*Resumo!$B$7</f>
        <v>0.95998</v>
      </c>
      <c r="AA1423" s="39" t="n">
        <f aca="false">Resumo!$B$9</f>
        <v>1</v>
      </c>
      <c r="AB1423" s="39" t="n">
        <f aca="false">Resumo!$B$10*CEILING(I1423/100,1)</f>
        <v>4.5</v>
      </c>
      <c r="AC1423" s="39" t="n">
        <f aca="false">Resumo!$B$12*CEILING(I1423,1)</f>
        <v>2.28</v>
      </c>
      <c r="AD1423" s="39" t="n">
        <f aca="false">Resumo!$B$14*CEILING(I1423,1)</f>
        <v>17.1</v>
      </c>
      <c r="AE1423" s="39" t="n">
        <f aca="false">SUM(X1423:AD1423)</f>
        <v>169.35997</v>
      </c>
      <c r="AF1423" s="39" t="n">
        <f aca="false">AE1423/(1-Resumo!$B$5)</f>
        <v>192.454511363636</v>
      </c>
      <c r="AG1423" s="39" t="n">
        <f aca="false">AF1423-W1423</f>
        <v>68.9477409090909</v>
      </c>
      <c r="AH1423" s="40" t="n">
        <f aca="false">AF1423/W1423-1</f>
        <v>0.55825069877012</v>
      </c>
      <c r="AI1423" s="37" t="str">
        <f aca="false">IF(AF1423&lt;W1423,"SIM","NÃO")</f>
        <v>NÃO</v>
      </c>
      <c r="AJ1423" s="37" t="n">
        <v>13</v>
      </c>
      <c r="AK1423" s="37" t="n">
        <v>11</v>
      </c>
      <c r="AL1423" s="37" t="s">
        <v>347</v>
      </c>
      <c r="AM1423" s="39" t="n">
        <v>122.55</v>
      </c>
    </row>
    <row r="1424" customFormat="false" ht="15" hidden="false" customHeight="false" outlineLevel="0" collapsed="false">
      <c r="A1424" s="37" t="n">
        <v>384006619</v>
      </c>
      <c r="B1424" s="38" t="n">
        <v>46261.4413541667</v>
      </c>
      <c r="C1424" s="37" t="s">
        <v>340</v>
      </c>
      <c r="D1424" s="37" t="s">
        <v>1659</v>
      </c>
      <c r="E1424" s="37" t="n">
        <v>25264180</v>
      </c>
      <c r="F1424" s="37" t="s">
        <v>161</v>
      </c>
      <c r="G1424" s="37" t="s">
        <v>197</v>
      </c>
      <c r="H1424" s="37" t="s">
        <v>189</v>
      </c>
      <c r="I1424" s="37" t="n">
        <v>71.9</v>
      </c>
      <c r="J1424" s="39" t="n">
        <v>779.69</v>
      </c>
      <c r="K1424" s="37" t="s">
        <v>342</v>
      </c>
      <c r="L1424" s="39" t="n">
        <v>151.74</v>
      </c>
      <c r="M1424" s="39" t="n">
        <v>82.48</v>
      </c>
      <c r="N1424" s="39" t="n">
        <f aca="false">J1424*Resumo!$C$6</f>
        <v>0</v>
      </c>
      <c r="O1424" s="39" t="n">
        <f aca="false">J1424*Resumo!$C$7</f>
        <v>1.637349</v>
      </c>
      <c r="P1424" s="39" t="n">
        <f aca="false">J1424*Resumo!$C$8</f>
        <v>1.637349</v>
      </c>
      <c r="Q1424" s="39" t="n">
        <f aca="false">Resumo!$C$10*CEILING(I1424/100,1)</f>
        <v>1.05</v>
      </c>
      <c r="R1424" s="39" t="n">
        <f aca="false">Resumo!$C$9</f>
        <v>0</v>
      </c>
      <c r="S1424" s="39" t="n">
        <f aca="false">Resumo!$C$13</f>
        <v>13.55</v>
      </c>
      <c r="T1424" s="39" t="n">
        <f aca="false">Resumo!$C$14*CEILING(I1424,1)</f>
        <v>32.4</v>
      </c>
      <c r="U1424" s="39" t="n">
        <f aca="false">SUM(M1424:T1424)*Resumo!$C$11</f>
        <v>0</v>
      </c>
      <c r="V1424" s="39" t="n">
        <f aca="false">SUM(M1424:U1424)</f>
        <v>132.754698</v>
      </c>
      <c r="W1424" s="39" t="n">
        <f aca="false">V1424/(1-Resumo!$C$5)</f>
        <v>150.857611363636</v>
      </c>
      <c r="X1424" s="39" t="n">
        <v>134.39</v>
      </c>
      <c r="Y1424" s="39" t="n">
        <f aca="false">J1424*Resumo!$B$6</f>
        <v>0.77969</v>
      </c>
      <c r="Z1424" s="39" t="n">
        <f aca="false">J1424*Resumo!$B$7</f>
        <v>1.55938</v>
      </c>
      <c r="AA1424" s="39" t="n">
        <f aca="false">Resumo!$B$9</f>
        <v>1</v>
      </c>
      <c r="AB1424" s="39" t="n">
        <f aca="false">Resumo!$B$10*CEILING(I1424/100,1)</f>
        <v>4.5</v>
      </c>
      <c r="AC1424" s="39" t="n">
        <f aca="false">Resumo!$B$12*CEILING(I1424,1)</f>
        <v>4.32</v>
      </c>
      <c r="AD1424" s="39" t="n">
        <f aca="false">Resumo!$B$14*CEILING(I1424,1)</f>
        <v>32.4</v>
      </c>
      <c r="AE1424" s="39" t="n">
        <f aca="false">SUM(X1424:AD1424)</f>
        <v>178.94907</v>
      </c>
      <c r="AF1424" s="39" t="n">
        <f aca="false">AE1424/(1-Resumo!$B$5)</f>
        <v>203.351215909091</v>
      </c>
      <c r="AG1424" s="39" t="n">
        <f aca="false">AF1424-W1424</f>
        <v>52.4936045454546</v>
      </c>
      <c r="AH1424" s="40" t="n">
        <f aca="false">AF1424/W1424-1</f>
        <v>0.347967888865221</v>
      </c>
      <c r="AI1424" s="37" t="str">
        <f aca="false">IF(AF1424&lt;W1424,"SIM","NÃO")</f>
        <v>NÃO</v>
      </c>
      <c r="AJ1424" s="37" t="n">
        <v>2</v>
      </c>
      <c r="AK1424" s="37" t="n">
        <v>5</v>
      </c>
      <c r="AL1424" s="37" t="s">
        <v>343</v>
      </c>
      <c r="AM1424" s="39" t="n">
        <v>151.74</v>
      </c>
    </row>
    <row r="1425" customFormat="false" ht="15" hidden="false" customHeight="false" outlineLevel="0" collapsed="false">
      <c r="A1425" s="37" t="n">
        <v>384035356</v>
      </c>
      <c r="B1425" s="38" t="n">
        <v>46261.4814814815</v>
      </c>
      <c r="C1425" s="37" t="s">
        <v>345</v>
      </c>
      <c r="D1425" s="37" t="s">
        <v>1660</v>
      </c>
      <c r="E1425" s="37" t="n">
        <v>21371440</v>
      </c>
      <c r="F1425" s="37" t="s">
        <v>159</v>
      </c>
      <c r="G1425" s="37" t="s">
        <v>196</v>
      </c>
      <c r="H1425" s="37" t="s">
        <v>187</v>
      </c>
      <c r="I1425" s="37" t="n">
        <v>51.3</v>
      </c>
      <c r="J1425" s="39" t="n">
        <v>669.95</v>
      </c>
      <c r="K1425" s="37" t="s">
        <v>342</v>
      </c>
      <c r="L1425" s="39" t="n">
        <v>114.36</v>
      </c>
      <c r="M1425" s="39" t="n">
        <v>58.6</v>
      </c>
      <c r="N1425" s="39" t="n">
        <f aca="false">J1425*Resumo!$C$6</f>
        <v>0</v>
      </c>
      <c r="O1425" s="39" t="n">
        <f aca="false">J1425*Resumo!$C$7</f>
        <v>1.406895</v>
      </c>
      <c r="P1425" s="39" t="n">
        <f aca="false">J1425*Resumo!$C$8</f>
        <v>1.406895</v>
      </c>
      <c r="Q1425" s="39" t="n">
        <f aca="false">Resumo!$C$10*CEILING(I1425/100,1)</f>
        <v>1.05</v>
      </c>
      <c r="R1425" s="39" t="n">
        <f aca="false">Resumo!$C$9</f>
        <v>0</v>
      </c>
      <c r="S1425" s="39" t="n">
        <f aca="false">Resumo!$C$13</f>
        <v>13.55</v>
      </c>
      <c r="T1425" s="39" t="n">
        <f aca="false">Resumo!$C$14*CEILING(I1425,1)</f>
        <v>23.4</v>
      </c>
      <c r="U1425" s="39" t="n">
        <f aca="false">SUM(M1425:T1425)*Resumo!$C$11</f>
        <v>0</v>
      </c>
      <c r="V1425" s="39" t="n">
        <f aca="false">SUM(M1425:U1425)</f>
        <v>99.41379</v>
      </c>
      <c r="W1425" s="39" t="n">
        <f aca="false">V1425/(1-Resumo!$C$5)</f>
        <v>112.970215909091</v>
      </c>
      <c r="X1425" s="39" t="n">
        <v>112.3</v>
      </c>
      <c r="Y1425" s="39" t="n">
        <f aca="false">J1425*Resumo!$B$6</f>
        <v>0.66995</v>
      </c>
      <c r="Z1425" s="39" t="n">
        <f aca="false">J1425*Resumo!$B$7</f>
        <v>1.3399</v>
      </c>
      <c r="AA1425" s="39" t="n">
        <f aca="false">Resumo!$B$9</f>
        <v>1</v>
      </c>
      <c r="AB1425" s="39" t="n">
        <f aca="false">Resumo!$B$10*CEILING(I1425/100,1)</f>
        <v>4.5</v>
      </c>
      <c r="AC1425" s="39" t="n">
        <f aca="false">Resumo!$B$12*CEILING(I1425,1)</f>
        <v>3.12</v>
      </c>
      <c r="AD1425" s="39" t="n">
        <f aca="false">Resumo!$B$14*CEILING(I1425,1)</f>
        <v>23.4</v>
      </c>
      <c r="AE1425" s="39" t="n">
        <f aca="false">SUM(X1425:AD1425)</f>
        <v>146.32985</v>
      </c>
      <c r="AF1425" s="39" t="n">
        <f aca="false">AE1425/(1-Resumo!$B$5)</f>
        <v>166.283920454545</v>
      </c>
      <c r="AG1425" s="39" t="n">
        <f aca="false">AF1425-W1425</f>
        <v>53.3137045454545</v>
      </c>
      <c r="AH1425" s="40" t="n">
        <f aca="false">AF1425/W1425-1</f>
        <v>0.471927083757696</v>
      </c>
      <c r="AI1425" s="37" t="str">
        <f aca="false">IF(AF1425&lt;W1425,"SIM","NÃO")</f>
        <v>NÃO</v>
      </c>
      <c r="AJ1425" s="37" t="n">
        <v>2</v>
      </c>
      <c r="AK1425" s="37" t="n">
        <v>5</v>
      </c>
      <c r="AL1425" s="37" t="s">
        <v>343</v>
      </c>
      <c r="AM1425" s="39" t="n">
        <v>114.36</v>
      </c>
    </row>
    <row r="1426" customFormat="false" ht="15" hidden="false" customHeight="false" outlineLevel="0" collapsed="false">
      <c r="A1426" s="37" t="n">
        <v>384049640</v>
      </c>
      <c r="B1426" s="38" t="n">
        <v>46261.499837963</v>
      </c>
      <c r="C1426" s="37" t="s">
        <v>345</v>
      </c>
      <c r="D1426" s="37" t="s">
        <v>1661</v>
      </c>
      <c r="E1426" s="37" t="n">
        <v>28625570</v>
      </c>
      <c r="F1426" s="37" t="s">
        <v>177</v>
      </c>
      <c r="G1426" s="37" t="s">
        <v>198</v>
      </c>
      <c r="H1426" s="37" t="s">
        <v>191</v>
      </c>
      <c r="I1426" s="37" t="n">
        <v>117.5</v>
      </c>
      <c r="J1426" s="39" t="n">
        <v>1239</v>
      </c>
      <c r="K1426" s="37" t="s">
        <v>342</v>
      </c>
      <c r="L1426" s="39" t="n">
        <v>216.6</v>
      </c>
      <c r="M1426" s="39" t="n">
        <v>119.5</v>
      </c>
      <c r="N1426" s="39" t="n">
        <f aca="false">J1426*Resumo!$C$6</f>
        <v>0</v>
      </c>
      <c r="O1426" s="39" t="n">
        <f aca="false">J1426*Resumo!$C$7</f>
        <v>2.6019</v>
      </c>
      <c r="P1426" s="39" t="n">
        <f aca="false">J1426*Resumo!$C$8</f>
        <v>2.6019</v>
      </c>
      <c r="Q1426" s="39" t="n">
        <f aca="false">Resumo!$C$10*CEILING(I1426/100,1)</f>
        <v>2.1</v>
      </c>
      <c r="R1426" s="39" t="n">
        <f aca="false">Resumo!$C$9</f>
        <v>0</v>
      </c>
      <c r="S1426" s="39" t="n">
        <f aca="false">Resumo!$C$13</f>
        <v>13.55</v>
      </c>
      <c r="T1426" s="39" t="n">
        <f aca="false">Resumo!$C$14*CEILING(I1426,1)</f>
        <v>53.1</v>
      </c>
      <c r="U1426" s="39" t="n">
        <f aca="false">SUM(M1426:T1426)*Resumo!$C$11</f>
        <v>0</v>
      </c>
      <c r="V1426" s="39" t="n">
        <f aca="false">SUM(M1426:U1426)</f>
        <v>193.4538</v>
      </c>
      <c r="W1426" s="39" t="n">
        <f aca="false">V1426/(1-Resumo!$C$5)</f>
        <v>219.833863636364</v>
      </c>
      <c r="X1426" s="39" t="n">
        <v>236.82</v>
      </c>
      <c r="Y1426" s="39" t="n">
        <f aca="false">J1426*Resumo!$B$6</f>
        <v>1.239</v>
      </c>
      <c r="Z1426" s="39" t="n">
        <f aca="false">J1426*Resumo!$B$7</f>
        <v>2.478</v>
      </c>
      <c r="AA1426" s="39" t="n">
        <f aca="false">Resumo!$B$9</f>
        <v>1</v>
      </c>
      <c r="AB1426" s="39" t="n">
        <f aca="false">Resumo!$B$10*CEILING(I1426/100,1)</f>
        <v>9</v>
      </c>
      <c r="AC1426" s="39" t="n">
        <f aca="false">Resumo!$B$12*CEILING(I1426,1)</f>
        <v>7.08</v>
      </c>
      <c r="AD1426" s="39" t="n">
        <f aca="false">Resumo!$B$14*CEILING(I1426,1)</f>
        <v>53.1</v>
      </c>
      <c r="AE1426" s="39" t="n">
        <f aca="false">SUM(X1426:AD1426)</f>
        <v>310.717</v>
      </c>
      <c r="AF1426" s="39" t="n">
        <f aca="false">AE1426/(1-Resumo!$B$5)</f>
        <v>353.0875</v>
      </c>
      <c r="AG1426" s="39" t="n">
        <f aca="false">AF1426-W1426</f>
        <v>133.253636363636</v>
      </c>
      <c r="AH1426" s="40" t="n">
        <f aca="false">AF1426/W1426-1</f>
        <v>0.606156095150367</v>
      </c>
      <c r="AI1426" s="37" t="str">
        <f aca="false">IF(AF1426&lt;W1426,"SIM","NÃO")</f>
        <v>NÃO</v>
      </c>
      <c r="AJ1426" s="37" t="n">
        <v>13</v>
      </c>
      <c r="AK1426" s="37" t="n">
        <v>10</v>
      </c>
      <c r="AL1426" s="37" t="s">
        <v>343</v>
      </c>
      <c r="AM1426" s="39" t="n">
        <v>216.59</v>
      </c>
    </row>
    <row r="1427" customFormat="false" ht="15" hidden="false" customHeight="false" outlineLevel="0" collapsed="false">
      <c r="A1427" s="37" t="n">
        <v>384130138</v>
      </c>
      <c r="B1427" s="38" t="n">
        <v>46261.6111689815</v>
      </c>
      <c r="C1427" s="37" t="s">
        <v>340</v>
      </c>
      <c r="D1427" s="37" t="s">
        <v>1078</v>
      </c>
      <c r="E1427" s="37" t="n">
        <v>28415000</v>
      </c>
      <c r="F1427" s="37" t="s">
        <v>268</v>
      </c>
      <c r="G1427" s="37" t="s">
        <v>198</v>
      </c>
      <c r="H1427" s="37" t="s">
        <v>186</v>
      </c>
      <c r="I1427" s="37" t="n">
        <v>46.8</v>
      </c>
      <c r="J1427" s="39" t="n">
        <v>599.99</v>
      </c>
      <c r="K1427" s="37" t="s">
        <v>342</v>
      </c>
      <c r="L1427" s="39" t="n">
        <v>131.03</v>
      </c>
      <c r="M1427" s="39" t="n">
        <v>77.7</v>
      </c>
      <c r="N1427" s="39" t="n">
        <f aca="false">J1427*Resumo!$C$6</f>
        <v>0</v>
      </c>
      <c r="O1427" s="39" t="n">
        <f aca="false">J1427*Resumo!$C$7</f>
        <v>1.259979</v>
      </c>
      <c r="P1427" s="39" t="n">
        <f aca="false">J1427*Resumo!$C$8</f>
        <v>1.259979</v>
      </c>
      <c r="Q1427" s="39" t="n">
        <f aca="false">Resumo!$C$10*CEILING(I1427/100,1)</f>
        <v>1.05</v>
      </c>
      <c r="R1427" s="39" t="n">
        <f aca="false">Resumo!$C$9</f>
        <v>0</v>
      </c>
      <c r="S1427" s="39" t="n">
        <f aca="false">Resumo!$C$13</f>
        <v>13.55</v>
      </c>
      <c r="T1427" s="39" t="n">
        <f aca="false">Resumo!$C$14*CEILING(I1427,1)</f>
        <v>21.15</v>
      </c>
      <c r="U1427" s="39" t="n">
        <f aca="false">SUM(M1427:T1427)*Resumo!$C$11</f>
        <v>0</v>
      </c>
      <c r="V1427" s="39" t="n">
        <f aca="false">SUM(M1427:U1427)</f>
        <v>115.969958</v>
      </c>
      <c r="W1427" s="39" t="n">
        <f aca="false">V1427/(1-Resumo!$C$5)</f>
        <v>131.784043181818</v>
      </c>
      <c r="X1427" s="39" t="n">
        <v>152.54</v>
      </c>
      <c r="Y1427" s="39" t="n">
        <f aca="false">J1427*Resumo!$B$6</f>
        <v>0.59999</v>
      </c>
      <c r="Z1427" s="39" t="n">
        <f aca="false">J1427*Resumo!$B$7</f>
        <v>1.19998</v>
      </c>
      <c r="AA1427" s="39" t="n">
        <f aca="false">Resumo!$B$9</f>
        <v>1</v>
      </c>
      <c r="AB1427" s="39" t="n">
        <f aca="false">Resumo!$B$10*CEILING(I1427/100,1)</f>
        <v>4.5</v>
      </c>
      <c r="AC1427" s="39" t="n">
        <f aca="false">Resumo!$B$12*CEILING(I1427,1)</f>
        <v>2.82</v>
      </c>
      <c r="AD1427" s="39" t="n">
        <f aca="false">Resumo!$B$14*CEILING(I1427,1)</f>
        <v>21.15</v>
      </c>
      <c r="AE1427" s="39" t="n">
        <f aca="false">SUM(X1427:AD1427)</f>
        <v>183.80997</v>
      </c>
      <c r="AF1427" s="39" t="n">
        <f aca="false">AE1427/(1-Resumo!$B$5)</f>
        <v>208.874965909091</v>
      </c>
      <c r="AG1427" s="39" t="n">
        <f aca="false">AF1427-W1427</f>
        <v>77.0909227272727</v>
      </c>
      <c r="AH1427" s="40" t="n">
        <f aca="false">AF1427/W1427-1</f>
        <v>0.584979189179322</v>
      </c>
      <c r="AI1427" s="37" t="str">
        <f aca="false">IF(AF1427&lt;W1427,"SIM","NÃO")</f>
        <v>NÃO</v>
      </c>
      <c r="AJ1427" s="37" t="n">
        <v>13</v>
      </c>
      <c r="AK1427" s="37" t="n">
        <v>11</v>
      </c>
      <c r="AL1427" s="37" t="s">
        <v>347</v>
      </c>
      <c r="AM1427" s="39" t="n">
        <v>131.04</v>
      </c>
    </row>
    <row r="1428" customFormat="false" ht="15" hidden="false" customHeight="false" outlineLevel="0" collapsed="false">
      <c r="A1428" s="37" t="n">
        <v>384146031</v>
      </c>
      <c r="B1428" s="38" t="n">
        <v>46261.6361805556</v>
      </c>
      <c r="C1428" s="37" t="s">
        <v>379</v>
      </c>
      <c r="D1428" s="37" t="s">
        <v>1662</v>
      </c>
      <c r="E1428" s="37" t="n">
        <v>23035146</v>
      </c>
      <c r="F1428" s="37" t="s">
        <v>159</v>
      </c>
      <c r="G1428" s="37" t="s">
        <v>196</v>
      </c>
      <c r="H1428" s="37" t="s">
        <v>192</v>
      </c>
      <c r="I1428" s="37" t="n">
        <v>128.1</v>
      </c>
      <c r="J1428" s="39" t="n">
        <v>1529.99</v>
      </c>
      <c r="K1428" s="37" t="s">
        <v>342</v>
      </c>
      <c r="L1428" s="39" t="n">
        <v>233.62</v>
      </c>
      <c r="M1428" s="39" t="n">
        <v>120.59</v>
      </c>
      <c r="N1428" s="39" t="n">
        <f aca="false">J1428*Resumo!$C$6</f>
        <v>0</v>
      </c>
      <c r="O1428" s="39" t="n">
        <f aca="false">J1428*Resumo!$C$7</f>
        <v>3.212979</v>
      </c>
      <c r="P1428" s="39" t="n">
        <f aca="false">J1428*Resumo!$C$8</f>
        <v>3.212979</v>
      </c>
      <c r="Q1428" s="39" t="n">
        <f aca="false">Resumo!$C$10*CEILING(I1428/100,1)</f>
        <v>2.1</v>
      </c>
      <c r="R1428" s="39" t="n">
        <f aca="false">Resumo!$C$9</f>
        <v>0</v>
      </c>
      <c r="S1428" s="39" t="n">
        <f aca="false">Resumo!$C$13</f>
        <v>13.55</v>
      </c>
      <c r="T1428" s="39" t="n">
        <f aca="false">Resumo!$C$14*CEILING(I1428,1)</f>
        <v>58.05</v>
      </c>
      <c r="U1428" s="39" t="n">
        <f aca="false">SUM(M1428:T1428)*Resumo!$C$11</f>
        <v>0</v>
      </c>
      <c r="V1428" s="39" t="n">
        <f aca="false">SUM(M1428:U1428)</f>
        <v>200.715958</v>
      </c>
      <c r="W1428" s="39" t="n">
        <f aca="false">V1428/(1-Resumo!$C$5)</f>
        <v>228.086315909091</v>
      </c>
      <c r="X1428" s="39" t="n">
        <v>239.25</v>
      </c>
      <c r="Y1428" s="39" t="n">
        <f aca="false">J1428*Resumo!$B$6</f>
        <v>1.52999</v>
      </c>
      <c r="Z1428" s="39" t="n">
        <f aca="false">J1428*Resumo!$B$7</f>
        <v>3.05998</v>
      </c>
      <c r="AA1428" s="39" t="n">
        <f aca="false">Resumo!$B$9</f>
        <v>1</v>
      </c>
      <c r="AB1428" s="39" t="n">
        <f aca="false">Resumo!$B$10*CEILING(I1428/100,1)</f>
        <v>9</v>
      </c>
      <c r="AC1428" s="39" t="n">
        <f aca="false">Resumo!$B$12*CEILING(I1428,1)</f>
        <v>7.74</v>
      </c>
      <c r="AD1428" s="39" t="n">
        <f aca="false">Resumo!$B$14*CEILING(I1428,1)</f>
        <v>58.05</v>
      </c>
      <c r="AE1428" s="39" t="n">
        <f aca="false">SUM(X1428:AD1428)</f>
        <v>319.62997</v>
      </c>
      <c r="AF1428" s="39" t="n">
        <f aca="false">AE1428/(1-Resumo!$B$5)</f>
        <v>363.215875</v>
      </c>
      <c r="AG1428" s="39" t="n">
        <f aca="false">AF1428-W1428</f>
        <v>135.129559090909</v>
      </c>
      <c r="AH1428" s="40" t="n">
        <f aca="false">AF1428/W1428-1</f>
        <v>0.592449216220267</v>
      </c>
      <c r="AI1428" s="37" t="str">
        <f aca="false">IF(AF1428&lt;W1428,"SIM","NÃO")</f>
        <v>NÃO</v>
      </c>
      <c r="AJ1428" s="37" t="n">
        <v>2</v>
      </c>
      <c r="AK1428" s="37" t="n">
        <v>5</v>
      </c>
      <c r="AL1428" s="37" t="s">
        <v>343</v>
      </c>
      <c r="AM1428" s="39" t="n">
        <v>233.62</v>
      </c>
    </row>
    <row r="1429" customFormat="false" ht="15" hidden="false" customHeight="false" outlineLevel="0" collapsed="false">
      <c r="A1429" s="37" t="n">
        <v>384146896</v>
      </c>
      <c r="B1429" s="38" t="n">
        <v>46261.6371412037</v>
      </c>
      <c r="C1429" s="37" t="s">
        <v>345</v>
      </c>
      <c r="D1429" s="37" t="s">
        <v>1663</v>
      </c>
      <c r="E1429" s="37" t="n">
        <v>24736210</v>
      </c>
      <c r="F1429" s="37" t="s">
        <v>160</v>
      </c>
      <c r="G1429" s="37" t="s">
        <v>197</v>
      </c>
      <c r="H1429" s="37" t="s">
        <v>184</v>
      </c>
      <c r="I1429" s="37" t="n">
        <v>22.6</v>
      </c>
      <c r="J1429" s="39" t="n">
        <v>489.95</v>
      </c>
      <c r="K1429" s="37" t="s">
        <v>342</v>
      </c>
      <c r="L1429" s="39" t="n">
        <v>101.74</v>
      </c>
      <c r="M1429" s="39" t="n">
        <v>58.8</v>
      </c>
      <c r="N1429" s="39" t="n">
        <f aca="false">J1429*Resumo!$C$6</f>
        <v>0</v>
      </c>
      <c r="O1429" s="39" t="n">
        <f aca="false">J1429*Resumo!$C$7</f>
        <v>1.028895</v>
      </c>
      <c r="P1429" s="39" t="n">
        <f aca="false">J1429*Resumo!$C$8</f>
        <v>1.028895</v>
      </c>
      <c r="Q1429" s="39" t="n">
        <f aca="false">Resumo!$C$10*CEILING(I1429/100,1)</f>
        <v>1.05</v>
      </c>
      <c r="R1429" s="39" t="n">
        <f aca="false">Resumo!$C$9</f>
        <v>0</v>
      </c>
      <c r="S1429" s="39" t="n">
        <f aca="false">Resumo!$C$13</f>
        <v>13.55</v>
      </c>
      <c r="T1429" s="39" t="n">
        <f aca="false">Resumo!$C$14*CEILING(I1429,1)</f>
        <v>10.35</v>
      </c>
      <c r="U1429" s="39" t="n">
        <f aca="false">SUM(M1429:T1429)*Resumo!$C$11</f>
        <v>0</v>
      </c>
      <c r="V1429" s="39" t="n">
        <f aca="false">SUM(M1429:U1429)</f>
        <v>85.80779</v>
      </c>
      <c r="W1429" s="39" t="n">
        <f aca="false">V1429/(1-Resumo!$C$5)</f>
        <v>97.5088522727273</v>
      </c>
      <c r="X1429" s="39" t="n">
        <v>100.58</v>
      </c>
      <c r="Y1429" s="39" t="n">
        <f aca="false">J1429*Resumo!$B$6</f>
        <v>0.48995</v>
      </c>
      <c r="Z1429" s="39" t="n">
        <f aca="false">J1429*Resumo!$B$7</f>
        <v>0.9799</v>
      </c>
      <c r="AA1429" s="39" t="n">
        <f aca="false">Resumo!$B$9</f>
        <v>1</v>
      </c>
      <c r="AB1429" s="39" t="n">
        <f aca="false">Resumo!$B$10*CEILING(I1429/100,1)</f>
        <v>4.5</v>
      </c>
      <c r="AC1429" s="39" t="n">
        <f aca="false">Resumo!$B$12*CEILING(I1429,1)</f>
        <v>1.38</v>
      </c>
      <c r="AD1429" s="39" t="n">
        <f aca="false">Resumo!$B$14*CEILING(I1429,1)</f>
        <v>10.35</v>
      </c>
      <c r="AE1429" s="39" t="n">
        <f aca="false">SUM(X1429:AD1429)</f>
        <v>119.27985</v>
      </c>
      <c r="AF1429" s="39" t="n">
        <f aca="false">AE1429/(1-Resumo!$B$5)</f>
        <v>135.545284090909</v>
      </c>
      <c r="AG1429" s="39" t="n">
        <f aca="false">AF1429-W1429</f>
        <v>38.0364318181818</v>
      </c>
      <c r="AH1429" s="40" t="n">
        <f aca="false">AF1429/W1429-1</f>
        <v>0.390081832896524</v>
      </c>
      <c r="AI1429" s="37" t="str">
        <f aca="false">IF(AF1429&lt;W1429,"SIM","NÃO")</f>
        <v>NÃO</v>
      </c>
      <c r="AJ1429" s="37" t="n">
        <v>2</v>
      </c>
      <c r="AK1429" s="37" t="n">
        <v>7</v>
      </c>
      <c r="AL1429" s="37" t="s">
        <v>343</v>
      </c>
      <c r="AM1429" s="39" t="n">
        <v>101.74</v>
      </c>
    </row>
    <row r="1430" customFormat="false" ht="15" hidden="false" customHeight="false" outlineLevel="0" collapsed="false">
      <c r="A1430" s="37" t="n">
        <v>384198047</v>
      </c>
      <c r="B1430" s="38" t="n">
        <v>46261.7076273148</v>
      </c>
      <c r="C1430" s="37" t="s">
        <v>340</v>
      </c>
      <c r="D1430" s="37" t="s">
        <v>1664</v>
      </c>
      <c r="E1430" s="37" t="n">
        <v>25651075</v>
      </c>
      <c r="F1430" s="37" t="s">
        <v>170</v>
      </c>
      <c r="G1430" s="37" t="s">
        <v>198</v>
      </c>
      <c r="H1430" s="37" t="s">
        <v>190</v>
      </c>
      <c r="I1430" s="37" t="n">
        <v>90</v>
      </c>
      <c r="J1430" s="39" t="n">
        <v>859.99</v>
      </c>
      <c r="K1430" s="37" t="s">
        <v>342</v>
      </c>
      <c r="L1430" s="39" t="n">
        <v>192.72</v>
      </c>
      <c r="M1430" s="39" t="n">
        <v>109.63</v>
      </c>
      <c r="N1430" s="39" t="n">
        <f aca="false">J1430*Resumo!$C$6</f>
        <v>0</v>
      </c>
      <c r="O1430" s="39" t="n">
        <f aca="false">J1430*Resumo!$C$7</f>
        <v>1.805979</v>
      </c>
      <c r="P1430" s="39" t="n">
        <f aca="false">J1430*Resumo!$C$8</f>
        <v>1.805979</v>
      </c>
      <c r="Q1430" s="39" t="n">
        <f aca="false">Resumo!$C$10*CEILING(I1430/100,1)</f>
        <v>1.05</v>
      </c>
      <c r="R1430" s="39" t="n">
        <f aca="false">Resumo!$C$9</f>
        <v>0</v>
      </c>
      <c r="S1430" s="39" t="n">
        <f aca="false">Resumo!$C$13</f>
        <v>13.55</v>
      </c>
      <c r="T1430" s="39" t="n">
        <f aca="false">Resumo!$C$14*CEILING(I1430,1)</f>
        <v>40.5</v>
      </c>
      <c r="U1430" s="39" t="n">
        <f aca="false">SUM(M1430:T1430)*Resumo!$C$11</f>
        <v>0</v>
      </c>
      <c r="V1430" s="39" t="n">
        <f aca="false">SUM(M1430:U1430)</f>
        <v>168.341958</v>
      </c>
      <c r="W1430" s="39" t="n">
        <f aca="false">V1430/(1-Resumo!$C$5)</f>
        <v>191.297679545455</v>
      </c>
      <c r="X1430" s="39" t="n">
        <v>197.35</v>
      </c>
      <c r="Y1430" s="39" t="n">
        <f aca="false">J1430*Resumo!$B$6</f>
        <v>0.85999</v>
      </c>
      <c r="Z1430" s="39" t="n">
        <f aca="false">J1430*Resumo!$B$7</f>
        <v>1.71998</v>
      </c>
      <c r="AA1430" s="39" t="n">
        <f aca="false">Resumo!$B$9</f>
        <v>1</v>
      </c>
      <c r="AB1430" s="39" t="n">
        <f aca="false">Resumo!$B$10*CEILING(I1430/100,1)</f>
        <v>4.5</v>
      </c>
      <c r="AC1430" s="39" t="n">
        <f aca="false">Resumo!$B$12*CEILING(I1430,1)</f>
        <v>5.4</v>
      </c>
      <c r="AD1430" s="39" t="n">
        <f aca="false">Resumo!$B$14*CEILING(I1430,1)</f>
        <v>40.5</v>
      </c>
      <c r="AE1430" s="39" t="n">
        <f aca="false">SUM(X1430:AD1430)</f>
        <v>251.32997</v>
      </c>
      <c r="AF1430" s="39" t="n">
        <f aca="false">AE1430/(1-Resumo!$B$5)</f>
        <v>285.602238636364</v>
      </c>
      <c r="AG1430" s="39" t="n">
        <f aca="false">AF1430-W1430</f>
        <v>94.3045590909092</v>
      </c>
      <c r="AH1430" s="40" t="n">
        <f aca="false">AF1430/W1430-1</f>
        <v>0.492972833308735</v>
      </c>
      <c r="AI1430" s="37" t="str">
        <f aca="false">IF(AF1430&lt;W1430,"SIM","NÃO")</f>
        <v>NÃO</v>
      </c>
      <c r="AJ1430" s="37" t="n">
        <v>13</v>
      </c>
      <c r="AK1430" s="37" t="n">
        <v>8</v>
      </c>
      <c r="AL1430" s="37" t="s">
        <v>343</v>
      </c>
      <c r="AM1430" s="39" t="n">
        <v>192.72</v>
      </c>
    </row>
    <row r="1431" customFormat="false" ht="15" hidden="false" customHeight="false" outlineLevel="0" collapsed="false">
      <c r="A1431" s="37" t="n">
        <v>384199337</v>
      </c>
      <c r="B1431" s="38" t="n">
        <v>46261.7096527778</v>
      </c>
      <c r="C1431" s="37" t="s">
        <v>345</v>
      </c>
      <c r="D1431" s="37" t="s">
        <v>1665</v>
      </c>
      <c r="E1431" s="37" t="n">
        <v>22770580</v>
      </c>
      <c r="F1431" s="37" t="s">
        <v>159</v>
      </c>
      <c r="G1431" s="37" t="s">
        <v>196</v>
      </c>
      <c r="H1431" s="37" t="s">
        <v>183</v>
      </c>
      <c r="I1431" s="37" t="n">
        <v>13.18</v>
      </c>
      <c r="J1431" s="39" t="n">
        <v>246.99</v>
      </c>
      <c r="K1431" s="37" t="s">
        <v>342</v>
      </c>
      <c r="L1431" s="39" t="n">
        <v>64.39</v>
      </c>
      <c r="M1431" s="39" t="n">
        <v>33.42</v>
      </c>
      <c r="N1431" s="39" t="n">
        <f aca="false">J1431*Resumo!$C$6</f>
        <v>0</v>
      </c>
      <c r="O1431" s="39" t="n">
        <f aca="false">J1431*Resumo!$C$7</f>
        <v>0.518679</v>
      </c>
      <c r="P1431" s="39" t="n">
        <f aca="false">J1431*Resumo!$C$8</f>
        <v>0.518679</v>
      </c>
      <c r="Q1431" s="39" t="n">
        <f aca="false">Resumo!$C$10*CEILING(I1431/100,1)</f>
        <v>1.05</v>
      </c>
      <c r="R1431" s="39" t="n">
        <f aca="false">Resumo!$C$9</f>
        <v>0</v>
      </c>
      <c r="S1431" s="39" t="n">
        <f aca="false">Resumo!$C$13</f>
        <v>13.55</v>
      </c>
      <c r="T1431" s="39" t="n">
        <f aca="false">Resumo!$C$14*CEILING(I1431,1)</f>
        <v>6.3</v>
      </c>
      <c r="U1431" s="39" t="n">
        <f aca="false">SUM(M1431:T1431)*Resumo!$C$11</f>
        <v>0</v>
      </c>
      <c r="V1431" s="39" t="n">
        <f aca="false">SUM(M1431:U1431)</f>
        <v>55.357358</v>
      </c>
      <c r="W1431" s="39" t="n">
        <f aca="false">V1431/(1-Resumo!$C$5)</f>
        <v>62.9060886363636</v>
      </c>
      <c r="X1431" s="39" t="n">
        <v>46.98</v>
      </c>
      <c r="Y1431" s="39" t="n">
        <f aca="false">J1431*Resumo!$B$6</f>
        <v>0.24699</v>
      </c>
      <c r="Z1431" s="39" t="n">
        <f aca="false">J1431*Resumo!$B$7</f>
        <v>0.49398</v>
      </c>
      <c r="AA1431" s="39" t="n">
        <f aca="false">Resumo!$B$9</f>
        <v>1</v>
      </c>
      <c r="AB1431" s="39" t="n">
        <f aca="false">Resumo!$B$10*CEILING(I1431/100,1)</f>
        <v>4.5</v>
      </c>
      <c r="AC1431" s="39" t="n">
        <f aca="false">Resumo!$B$12*CEILING(I1431,1)</f>
        <v>0.84</v>
      </c>
      <c r="AD1431" s="39" t="n">
        <f aca="false">Resumo!$B$14*CEILING(I1431,1)</f>
        <v>6.3</v>
      </c>
      <c r="AE1431" s="39" t="n">
        <f aca="false">SUM(X1431:AD1431)</f>
        <v>60.36097</v>
      </c>
      <c r="AF1431" s="39" t="n">
        <f aca="false">AE1431/(1-Resumo!$B$5)</f>
        <v>68.5920113636364</v>
      </c>
      <c r="AG1431" s="39" t="n">
        <f aca="false">AF1431-W1431</f>
        <v>5.68592272727273</v>
      </c>
      <c r="AH1431" s="40" t="n">
        <f aca="false">AF1431/W1431-1</f>
        <v>0.0903874783908583</v>
      </c>
      <c r="AI1431" s="37" t="str">
        <f aca="false">IF(AF1431&lt;W1431,"SIM","NÃO")</f>
        <v>NÃO</v>
      </c>
      <c r="AJ1431" s="37" t="n">
        <v>2</v>
      </c>
      <c r="AK1431" s="37" t="n">
        <v>5</v>
      </c>
      <c r="AL1431" s="37" t="s">
        <v>343</v>
      </c>
      <c r="AM1431" s="39" t="n">
        <v>64.4</v>
      </c>
    </row>
    <row r="1432" customFormat="false" ht="15" hidden="false" customHeight="false" outlineLevel="0" collapsed="false">
      <c r="A1432" s="37" t="n">
        <v>384209314</v>
      </c>
      <c r="B1432" s="38" t="n">
        <v>46261.7237615741</v>
      </c>
      <c r="C1432" s="37" t="s">
        <v>340</v>
      </c>
      <c r="D1432" s="37" t="s">
        <v>1666</v>
      </c>
      <c r="E1432" s="37" t="n">
        <v>28220000</v>
      </c>
      <c r="F1432" s="37" t="s">
        <v>259</v>
      </c>
      <c r="G1432" s="37" t="s">
        <v>198</v>
      </c>
      <c r="H1432" s="37" t="s">
        <v>183</v>
      </c>
      <c r="I1432" s="37" t="n">
        <v>19.9</v>
      </c>
      <c r="J1432" s="39" t="n">
        <v>299.99</v>
      </c>
      <c r="K1432" s="37" t="s">
        <v>342</v>
      </c>
      <c r="L1432" s="39" t="n">
        <v>80.09</v>
      </c>
      <c r="M1432" s="39" t="n">
        <v>46.95</v>
      </c>
      <c r="N1432" s="39" t="n">
        <f aca="false">J1432*Resumo!$C$6</f>
        <v>0</v>
      </c>
      <c r="O1432" s="39" t="n">
        <f aca="false">J1432*Resumo!$C$7</f>
        <v>0.629979</v>
      </c>
      <c r="P1432" s="39" t="n">
        <f aca="false">J1432*Resumo!$C$8</f>
        <v>0.629979</v>
      </c>
      <c r="Q1432" s="39" t="n">
        <f aca="false">Resumo!$C$10*CEILING(I1432/100,1)</f>
        <v>1.05</v>
      </c>
      <c r="R1432" s="39" t="n">
        <f aca="false">Resumo!$C$9</f>
        <v>0</v>
      </c>
      <c r="S1432" s="39" t="n">
        <f aca="false">Resumo!$C$13</f>
        <v>13.55</v>
      </c>
      <c r="T1432" s="39" t="n">
        <f aca="false">Resumo!$C$14*CEILING(I1432,1)</f>
        <v>9</v>
      </c>
      <c r="U1432" s="39" t="n">
        <f aca="false">SUM(M1432:T1432)*Resumo!$C$11</f>
        <v>0</v>
      </c>
      <c r="V1432" s="39" t="n">
        <f aca="false">SUM(M1432:U1432)</f>
        <v>71.809958</v>
      </c>
      <c r="W1432" s="39" t="n">
        <f aca="false">V1432/(1-Resumo!$C$5)</f>
        <v>81.602225</v>
      </c>
      <c r="X1432" s="39" t="n">
        <v>124.04</v>
      </c>
      <c r="Y1432" s="39" t="n">
        <f aca="false">J1432*Resumo!$B$6</f>
        <v>0.29999</v>
      </c>
      <c r="Z1432" s="39" t="n">
        <f aca="false">J1432*Resumo!$B$7</f>
        <v>0.59998</v>
      </c>
      <c r="AA1432" s="39" t="n">
        <f aca="false">Resumo!$B$9</f>
        <v>1</v>
      </c>
      <c r="AB1432" s="39" t="n">
        <f aca="false">Resumo!$B$10*CEILING(I1432/100,1)</f>
        <v>4.5</v>
      </c>
      <c r="AC1432" s="39" t="n">
        <f aca="false">Resumo!$B$12*CEILING(I1432,1)</f>
        <v>1.2</v>
      </c>
      <c r="AD1432" s="39" t="n">
        <f aca="false">Resumo!$B$14*CEILING(I1432,1)</f>
        <v>9</v>
      </c>
      <c r="AE1432" s="39" t="n">
        <f aca="false">SUM(X1432:AD1432)</f>
        <v>140.63997</v>
      </c>
      <c r="AF1432" s="39" t="n">
        <f aca="false">AE1432/(1-Resumo!$B$5)</f>
        <v>159.818147727273</v>
      </c>
      <c r="AG1432" s="39" t="n">
        <f aca="false">AF1432-W1432</f>
        <v>78.2159227272727</v>
      </c>
      <c r="AH1432" s="40" t="n">
        <f aca="false">AF1432/W1432-1</f>
        <v>0.958502329161647</v>
      </c>
      <c r="AI1432" s="37" t="str">
        <f aca="false">IF(AF1432&lt;W1432,"SIM","NÃO")</f>
        <v>NÃO</v>
      </c>
      <c r="AJ1432" s="37" t="n">
        <v>13</v>
      </c>
      <c r="AK1432" s="37" t="n">
        <v>11</v>
      </c>
      <c r="AL1432" s="37" t="s">
        <v>347</v>
      </c>
      <c r="AM1432" s="39" t="n">
        <v>80.1</v>
      </c>
    </row>
    <row r="1433" customFormat="false" ht="15" hidden="false" customHeight="false" outlineLevel="0" collapsed="false">
      <c r="A1433" s="37" t="n">
        <v>384253709</v>
      </c>
      <c r="B1433" s="38" t="n">
        <v>46261.7981134259</v>
      </c>
      <c r="C1433" s="37" t="s">
        <v>340</v>
      </c>
      <c r="D1433" s="37" t="s">
        <v>1341</v>
      </c>
      <c r="E1433" s="37" t="n">
        <v>26113660</v>
      </c>
      <c r="F1433" s="37" t="s">
        <v>165</v>
      </c>
      <c r="G1433" s="37" t="s">
        <v>197</v>
      </c>
      <c r="H1433" s="37" t="s">
        <v>188</v>
      </c>
      <c r="I1433" s="37" t="n">
        <v>63</v>
      </c>
      <c r="J1433" s="39" t="n">
        <v>829.99</v>
      </c>
      <c r="K1433" s="37" t="s">
        <v>342</v>
      </c>
      <c r="L1433" s="39" t="n">
        <v>140.41</v>
      </c>
      <c r="M1433" s="39" t="n">
        <v>76.55</v>
      </c>
      <c r="N1433" s="39" t="n">
        <f aca="false">J1433*Resumo!$C$6</f>
        <v>0</v>
      </c>
      <c r="O1433" s="39" t="n">
        <f aca="false">J1433*Resumo!$C$7</f>
        <v>1.742979</v>
      </c>
      <c r="P1433" s="39" t="n">
        <f aca="false">J1433*Resumo!$C$8</f>
        <v>1.742979</v>
      </c>
      <c r="Q1433" s="39" t="n">
        <f aca="false">Resumo!$C$10*CEILING(I1433/100,1)</f>
        <v>1.05</v>
      </c>
      <c r="R1433" s="39" t="n">
        <f aca="false">Resumo!$C$9</f>
        <v>0</v>
      </c>
      <c r="S1433" s="39" t="n">
        <f aca="false">Resumo!$C$13</f>
        <v>13.55</v>
      </c>
      <c r="T1433" s="39" t="n">
        <f aca="false">Resumo!$C$14*CEILING(I1433,1)</f>
        <v>28.35</v>
      </c>
      <c r="U1433" s="39" t="n">
        <f aca="false">SUM(M1433:T1433)*Resumo!$C$11</f>
        <v>0</v>
      </c>
      <c r="V1433" s="39" t="n">
        <f aca="false">SUM(M1433:U1433)</f>
        <v>122.985958</v>
      </c>
      <c r="W1433" s="39" t="n">
        <f aca="false">V1433/(1-Resumo!$C$5)</f>
        <v>139.756770454545</v>
      </c>
      <c r="X1433" s="39" t="n">
        <v>131.02</v>
      </c>
      <c r="Y1433" s="39" t="n">
        <f aca="false">J1433*Resumo!$B$6</f>
        <v>0.82999</v>
      </c>
      <c r="Z1433" s="39" t="n">
        <f aca="false">J1433*Resumo!$B$7</f>
        <v>1.65998</v>
      </c>
      <c r="AA1433" s="39" t="n">
        <f aca="false">Resumo!$B$9</f>
        <v>1</v>
      </c>
      <c r="AB1433" s="39" t="n">
        <f aca="false">Resumo!$B$10*CEILING(I1433/100,1)</f>
        <v>4.5</v>
      </c>
      <c r="AC1433" s="39" t="n">
        <f aca="false">Resumo!$B$12*CEILING(I1433,1)</f>
        <v>3.78</v>
      </c>
      <c r="AD1433" s="39" t="n">
        <f aca="false">Resumo!$B$14*CEILING(I1433,1)</f>
        <v>28.35</v>
      </c>
      <c r="AE1433" s="39" t="n">
        <f aca="false">SUM(X1433:AD1433)</f>
        <v>171.13997</v>
      </c>
      <c r="AF1433" s="39" t="n">
        <f aca="false">AE1433/(1-Resumo!$B$5)</f>
        <v>194.477238636364</v>
      </c>
      <c r="AG1433" s="39" t="n">
        <f aca="false">AF1433-W1433</f>
        <v>54.7204681818182</v>
      </c>
      <c r="AH1433" s="40" t="n">
        <f aca="false">AF1433/W1433-1</f>
        <v>0.391540731828913</v>
      </c>
      <c r="AI1433" s="37" t="str">
        <f aca="false">IF(AF1433&lt;W1433,"SIM","NÃO")</f>
        <v>NÃO</v>
      </c>
      <c r="AJ1433" s="37" t="n">
        <v>2</v>
      </c>
      <c r="AK1433" s="37" t="n">
        <v>5</v>
      </c>
      <c r="AL1433" s="37" t="s">
        <v>343</v>
      </c>
      <c r="AM1433" s="39" t="n">
        <v>140.41</v>
      </c>
    </row>
    <row r="1434" customFormat="false" ht="15" hidden="false" customHeight="false" outlineLevel="0" collapsed="false">
      <c r="A1434" s="37" t="n">
        <v>384330809</v>
      </c>
      <c r="B1434" s="38" t="n">
        <v>46261.9417592593</v>
      </c>
      <c r="C1434" s="37" t="s">
        <v>372</v>
      </c>
      <c r="D1434" s="37" t="s">
        <v>1667</v>
      </c>
      <c r="E1434" s="37" t="n">
        <v>28981070</v>
      </c>
      <c r="F1434" s="37" t="s">
        <v>173</v>
      </c>
      <c r="G1434" s="37" t="s">
        <v>198</v>
      </c>
      <c r="H1434" s="37" t="s">
        <v>189</v>
      </c>
      <c r="I1434" s="37" t="n">
        <v>71.9</v>
      </c>
      <c r="J1434" s="39" t="n">
        <v>796.49</v>
      </c>
      <c r="K1434" s="37" t="s">
        <v>342</v>
      </c>
      <c r="L1434" s="39" t="n">
        <v>168.13</v>
      </c>
      <c r="M1434" s="39" t="n">
        <v>96.77</v>
      </c>
      <c r="N1434" s="39" t="n">
        <f aca="false">J1434*Resumo!$C$6</f>
        <v>0</v>
      </c>
      <c r="O1434" s="39" t="n">
        <f aca="false">J1434*Resumo!$C$7</f>
        <v>1.672629</v>
      </c>
      <c r="P1434" s="39" t="n">
        <f aca="false">J1434*Resumo!$C$8</f>
        <v>1.672629</v>
      </c>
      <c r="Q1434" s="39" t="n">
        <f aca="false">Resumo!$C$10*CEILING(I1434/100,1)</f>
        <v>1.05</v>
      </c>
      <c r="R1434" s="39" t="n">
        <f aca="false">Resumo!$C$9</f>
        <v>0</v>
      </c>
      <c r="S1434" s="39" t="n">
        <f aca="false">Resumo!$C$13</f>
        <v>13.55</v>
      </c>
      <c r="T1434" s="39" t="n">
        <f aca="false">Resumo!$C$14*CEILING(I1434,1)</f>
        <v>32.4</v>
      </c>
      <c r="U1434" s="39" t="n">
        <f aca="false">SUM(M1434:T1434)*Resumo!$C$11</f>
        <v>0</v>
      </c>
      <c r="V1434" s="39" t="n">
        <f aca="false">SUM(M1434:U1434)</f>
        <v>147.115258</v>
      </c>
      <c r="W1434" s="39" t="n">
        <f aca="false">V1434/(1-Resumo!$C$5)</f>
        <v>167.176429545455</v>
      </c>
      <c r="X1434" s="39" t="n">
        <v>166.05</v>
      </c>
      <c r="Y1434" s="39" t="n">
        <f aca="false">J1434*Resumo!$B$6</f>
        <v>0.79649</v>
      </c>
      <c r="Z1434" s="39" t="n">
        <f aca="false">J1434*Resumo!$B$7</f>
        <v>1.59298</v>
      </c>
      <c r="AA1434" s="39" t="n">
        <f aca="false">Resumo!$B$9</f>
        <v>1</v>
      </c>
      <c r="AB1434" s="39" t="n">
        <f aca="false">Resumo!$B$10*CEILING(I1434/100,1)</f>
        <v>4.5</v>
      </c>
      <c r="AC1434" s="39" t="n">
        <f aca="false">Resumo!$B$12*CEILING(I1434,1)</f>
        <v>4.32</v>
      </c>
      <c r="AD1434" s="39" t="n">
        <f aca="false">Resumo!$B$14*CEILING(I1434,1)</f>
        <v>32.4</v>
      </c>
      <c r="AE1434" s="39" t="n">
        <f aca="false">SUM(X1434:AD1434)</f>
        <v>210.65947</v>
      </c>
      <c r="AF1434" s="39" t="n">
        <f aca="false">AE1434/(1-Resumo!$B$5)</f>
        <v>239.385761363636</v>
      </c>
      <c r="AG1434" s="39" t="n">
        <f aca="false">AF1434-W1434</f>
        <v>72.2093318181819</v>
      </c>
      <c r="AH1434" s="40" t="n">
        <f aca="false">AF1434/W1434-1</f>
        <v>0.431934884687488</v>
      </c>
      <c r="AI1434" s="37" t="str">
        <f aca="false">IF(AF1434&lt;W1434,"SIM","NÃO")</f>
        <v>NÃO</v>
      </c>
      <c r="AJ1434" s="37" t="n">
        <v>13</v>
      </c>
      <c r="AK1434" s="37" t="n">
        <v>10</v>
      </c>
      <c r="AL1434" s="37" t="s">
        <v>343</v>
      </c>
      <c r="AM1434" s="39" t="n">
        <v>168.14</v>
      </c>
    </row>
    <row r="1435" customFormat="false" ht="15" hidden="false" customHeight="false" outlineLevel="0" collapsed="false">
      <c r="A1435" s="37" t="n">
        <v>384357499</v>
      </c>
      <c r="B1435" s="38" t="n">
        <v>46261.9910185185</v>
      </c>
      <c r="C1435" s="37" t="s">
        <v>340</v>
      </c>
      <c r="D1435" s="37" t="s">
        <v>1668</v>
      </c>
      <c r="E1435" s="37" t="n">
        <v>25650230</v>
      </c>
      <c r="F1435" s="37" t="s">
        <v>170</v>
      </c>
      <c r="G1435" s="37" t="s">
        <v>198</v>
      </c>
      <c r="H1435" s="37" t="s">
        <v>189</v>
      </c>
      <c r="I1435" s="37" t="n">
        <v>71.9</v>
      </c>
      <c r="J1435" s="39" t="n">
        <v>779.69</v>
      </c>
      <c r="K1435" s="37" t="s">
        <v>342</v>
      </c>
      <c r="L1435" s="39" t="n">
        <v>168.06</v>
      </c>
      <c r="M1435" s="39" t="n">
        <v>96.77</v>
      </c>
      <c r="N1435" s="39" t="n">
        <f aca="false">J1435*Resumo!$C$6</f>
        <v>0</v>
      </c>
      <c r="O1435" s="39" t="n">
        <f aca="false">J1435*Resumo!$C$7</f>
        <v>1.637349</v>
      </c>
      <c r="P1435" s="39" t="n">
        <f aca="false">J1435*Resumo!$C$8</f>
        <v>1.637349</v>
      </c>
      <c r="Q1435" s="39" t="n">
        <f aca="false">Resumo!$C$10*CEILING(I1435/100,1)</f>
        <v>1.05</v>
      </c>
      <c r="R1435" s="39" t="n">
        <f aca="false">Resumo!$C$9</f>
        <v>0</v>
      </c>
      <c r="S1435" s="39" t="n">
        <f aca="false">Resumo!$C$13</f>
        <v>13.55</v>
      </c>
      <c r="T1435" s="39" t="n">
        <f aca="false">Resumo!$C$14*CEILING(I1435,1)</f>
        <v>32.4</v>
      </c>
      <c r="U1435" s="39" t="n">
        <f aca="false">SUM(M1435:T1435)*Resumo!$C$11</f>
        <v>0</v>
      </c>
      <c r="V1435" s="39" t="n">
        <f aca="false">SUM(M1435:U1435)</f>
        <v>147.044698</v>
      </c>
      <c r="W1435" s="39" t="n">
        <f aca="false">V1435/(1-Resumo!$C$5)</f>
        <v>167.096247727273</v>
      </c>
      <c r="X1435" s="39" t="n">
        <v>166.05</v>
      </c>
      <c r="Y1435" s="39" t="n">
        <f aca="false">J1435*Resumo!$B$6</f>
        <v>0.77969</v>
      </c>
      <c r="Z1435" s="39" t="n">
        <f aca="false">J1435*Resumo!$B$7</f>
        <v>1.55938</v>
      </c>
      <c r="AA1435" s="39" t="n">
        <f aca="false">Resumo!$B$9</f>
        <v>1</v>
      </c>
      <c r="AB1435" s="39" t="n">
        <f aca="false">Resumo!$B$10*CEILING(I1435/100,1)</f>
        <v>4.5</v>
      </c>
      <c r="AC1435" s="39" t="n">
        <f aca="false">Resumo!$B$12*CEILING(I1435,1)</f>
        <v>4.32</v>
      </c>
      <c r="AD1435" s="39" t="n">
        <f aca="false">Resumo!$B$14*CEILING(I1435,1)</f>
        <v>32.4</v>
      </c>
      <c r="AE1435" s="39" t="n">
        <f aca="false">SUM(X1435:AD1435)</f>
        <v>210.60907</v>
      </c>
      <c r="AF1435" s="39" t="n">
        <f aca="false">AE1435/(1-Resumo!$B$5)</f>
        <v>239.328488636364</v>
      </c>
      <c r="AG1435" s="39" t="n">
        <f aca="false">AF1435-W1435</f>
        <v>72.232240909091</v>
      </c>
      <c r="AH1435" s="40" t="n">
        <f aca="false">AF1435/W1435-1</f>
        <v>0.43227925157832</v>
      </c>
      <c r="AI1435" s="37" t="str">
        <f aca="false">IF(AF1435&lt;W1435,"SIM","NÃO")</f>
        <v>NÃO</v>
      </c>
      <c r="AJ1435" s="37" t="n">
        <v>13</v>
      </c>
      <c r="AK1435" s="37" t="n">
        <v>8</v>
      </c>
      <c r="AL1435" s="37" t="s">
        <v>343</v>
      </c>
      <c r="AM1435" s="39" t="n">
        <v>168.06</v>
      </c>
    </row>
    <row r="1436" customFormat="false" ht="15" hidden="false" customHeight="false" outlineLevel="0" collapsed="false">
      <c r="A1436" s="37" t="n">
        <v>384404979</v>
      </c>
      <c r="B1436" s="38" t="n">
        <v>46262.0945486111</v>
      </c>
      <c r="C1436" s="37" t="s">
        <v>345</v>
      </c>
      <c r="D1436" s="37" t="s">
        <v>1669</v>
      </c>
      <c r="E1436" s="37" t="n">
        <v>21221420</v>
      </c>
      <c r="F1436" s="37" t="s">
        <v>159</v>
      </c>
      <c r="G1436" s="37" t="s">
        <v>196</v>
      </c>
      <c r="H1436" s="37" t="s">
        <v>189</v>
      </c>
      <c r="I1436" s="37" t="n">
        <v>79.4</v>
      </c>
      <c r="J1436" s="39" t="n">
        <v>949.62</v>
      </c>
      <c r="K1436" s="37" t="s">
        <v>342</v>
      </c>
      <c r="L1436" s="39" t="n">
        <v>137.03</v>
      </c>
      <c r="M1436" s="39" t="n">
        <v>68.88</v>
      </c>
      <c r="N1436" s="39" t="n">
        <f aca="false">J1436*Resumo!$C$6</f>
        <v>0</v>
      </c>
      <c r="O1436" s="39" t="n">
        <f aca="false">J1436*Resumo!$C$7</f>
        <v>1.994202</v>
      </c>
      <c r="P1436" s="39" t="n">
        <f aca="false">J1436*Resumo!$C$8</f>
        <v>1.994202</v>
      </c>
      <c r="Q1436" s="39" t="n">
        <f aca="false">Resumo!$C$10*CEILING(I1436/100,1)</f>
        <v>1.05</v>
      </c>
      <c r="R1436" s="39" t="n">
        <f aca="false">Resumo!$C$9</f>
        <v>0</v>
      </c>
      <c r="S1436" s="39" t="n">
        <f aca="false">Resumo!$C$13</f>
        <v>13.55</v>
      </c>
      <c r="T1436" s="39" t="n">
        <f aca="false">Resumo!$C$14*CEILING(I1436,1)</f>
        <v>36</v>
      </c>
      <c r="U1436" s="39" t="n">
        <f aca="false">SUM(M1436:T1436)*Resumo!$C$11</f>
        <v>0</v>
      </c>
      <c r="V1436" s="39" t="n">
        <f aca="false">SUM(M1436:U1436)</f>
        <v>123.468404</v>
      </c>
      <c r="W1436" s="39" t="n">
        <f aca="false">V1436/(1-Resumo!$C$5)</f>
        <v>140.305004545455</v>
      </c>
      <c r="X1436" s="39" t="n">
        <v>134.39</v>
      </c>
      <c r="Y1436" s="39" t="n">
        <f aca="false">J1436*Resumo!$B$6</f>
        <v>0.94962</v>
      </c>
      <c r="Z1436" s="39" t="n">
        <f aca="false">J1436*Resumo!$B$7</f>
        <v>1.89924</v>
      </c>
      <c r="AA1436" s="39" t="n">
        <f aca="false">Resumo!$B$9</f>
        <v>1</v>
      </c>
      <c r="AB1436" s="39" t="n">
        <f aca="false">Resumo!$B$10*CEILING(I1436/100,1)</f>
        <v>4.5</v>
      </c>
      <c r="AC1436" s="39" t="n">
        <f aca="false">Resumo!$B$12*CEILING(I1436,1)</f>
        <v>4.8</v>
      </c>
      <c r="AD1436" s="39" t="n">
        <f aca="false">Resumo!$B$14*CEILING(I1436,1)</f>
        <v>36</v>
      </c>
      <c r="AE1436" s="39" t="n">
        <f aca="false">SUM(X1436:AD1436)</f>
        <v>183.53886</v>
      </c>
      <c r="AF1436" s="39" t="n">
        <f aca="false">AE1436/(1-Resumo!$B$5)</f>
        <v>208.566886363636</v>
      </c>
      <c r="AG1436" s="39" t="n">
        <f aca="false">AF1436-W1436</f>
        <v>68.2618818181819</v>
      </c>
      <c r="AH1436" s="40" t="n">
        <f aca="false">AF1436/W1436-1</f>
        <v>0.486524925032643</v>
      </c>
      <c r="AI1436" s="37" t="str">
        <f aca="false">IF(AF1436&lt;W1436,"SIM","NÃO")</f>
        <v>NÃO</v>
      </c>
      <c r="AJ1436" s="37" t="n">
        <v>2</v>
      </c>
      <c r="AK1436" s="37" t="n">
        <v>5</v>
      </c>
      <c r="AL1436" s="37" t="s">
        <v>343</v>
      </c>
      <c r="AM1436" s="39" t="n">
        <v>137.03</v>
      </c>
    </row>
    <row r="1437" customFormat="false" ht="15" hidden="false" customHeight="false" outlineLevel="0" collapsed="false">
      <c r="A1437" s="37" t="n">
        <v>384536620</v>
      </c>
      <c r="B1437" s="38" t="n">
        <v>46262.3971180556</v>
      </c>
      <c r="C1437" s="37" t="s">
        <v>340</v>
      </c>
      <c r="D1437" s="37" t="s">
        <v>1670</v>
      </c>
      <c r="E1437" s="37" t="n">
        <v>21870260</v>
      </c>
      <c r="F1437" s="37" t="s">
        <v>159</v>
      </c>
      <c r="G1437" s="37" t="s">
        <v>196</v>
      </c>
      <c r="H1437" s="37" t="s">
        <v>186</v>
      </c>
      <c r="I1437" s="37" t="n">
        <v>48.3</v>
      </c>
      <c r="J1437" s="39" t="n">
        <v>459.99</v>
      </c>
      <c r="K1437" s="37" t="s">
        <v>342</v>
      </c>
      <c r="L1437" s="39" t="n">
        <v>102.8</v>
      </c>
      <c r="M1437" s="39" t="n">
        <v>53.55</v>
      </c>
      <c r="N1437" s="39" t="n">
        <f aca="false">J1437*Resumo!$C$6</f>
        <v>0</v>
      </c>
      <c r="O1437" s="39" t="n">
        <f aca="false">J1437*Resumo!$C$7</f>
        <v>0.965979</v>
      </c>
      <c r="P1437" s="39" t="n">
        <f aca="false">J1437*Resumo!$C$8</f>
        <v>0.965979</v>
      </c>
      <c r="Q1437" s="39" t="n">
        <f aca="false">Resumo!$C$10*CEILING(I1437/100,1)</f>
        <v>1.05</v>
      </c>
      <c r="R1437" s="39" t="n">
        <f aca="false">Resumo!$C$9</f>
        <v>0</v>
      </c>
      <c r="S1437" s="39" t="n">
        <f aca="false">Resumo!$C$13</f>
        <v>13.55</v>
      </c>
      <c r="T1437" s="39" t="n">
        <f aca="false">Resumo!$C$14*CEILING(I1437,1)</f>
        <v>22.05</v>
      </c>
      <c r="U1437" s="39" t="n">
        <f aca="false">SUM(M1437:T1437)*Resumo!$C$11</f>
        <v>0</v>
      </c>
      <c r="V1437" s="39" t="n">
        <f aca="false">SUM(M1437:U1437)</f>
        <v>92.131958</v>
      </c>
      <c r="W1437" s="39" t="n">
        <f aca="false">V1437/(1-Resumo!$C$5)</f>
        <v>104.695406818182</v>
      </c>
      <c r="X1437" s="39" t="n">
        <v>93.97</v>
      </c>
      <c r="Y1437" s="39" t="n">
        <f aca="false">J1437*Resumo!$B$6</f>
        <v>0.45999</v>
      </c>
      <c r="Z1437" s="39" t="n">
        <f aca="false">J1437*Resumo!$B$7</f>
        <v>0.91998</v>
      </c>
      <c r="AA1437" s="39" t="n">
        <f aca="false">Resumo!$B$9</f>
        <v>1</v>
      </c>
      <c r="AB1437" s="39" t="n">
        <f aca="false">Resumo!$B$10*CEILING(I1437/100,1)</f>
        <v>4.5</v>
      </c>
      <c r="AC1437" s="39" t="n">
        <f aca="false">Resumo!$B$12*CEILING(I1437,1)</f>
        <v>2.94</v>
      </c>
      <c r="AD1437" s="39" t="n">
        <f aca="false">Resumo!$B$14*CEILING(I1437,1)</f>
        <v>22.05</v>
      </c>
      <c r="AE1437" s="39" t="n">
        <f aca="false">SUM(X1437:AD1437)</f>
        <v>125.83997</v>
      </c>
      <c r="AF1437" s="39" t="n">
        <f aca="false">AE1437/(1-Resumo!$B$5)</f>
        <v>142.999965909091</v>
      </c>
      <c r="AG1437" s="39" t="n">
        <f aca="false">AF1437-W1437</f>
        <v>38.3045590909091</v>
      </c>
      <c r="AH1437" s="40" t="n">
        <f aca="false">AF1437/W1437-1</f>
        <v>0.365866662683973</v>
      </c>
      <c r="AI1437" s="37" t="str">
        <f aca="false">IF(AF1437&lt;W1437,"SIM","NÃO")</f>
        <v>NÃO</v>
      </c>
      <c r="AJ1437" s="37" t="n">
        <v>2</v>
      </c>
      <c r="AK1437" s="37" t="n">
        <v>5</v>
      </c>
      <c r="AL1437" s="37" t="s">
        <v>343</v>
      </c>
      <c r="AM1437" s="39" t="n">
        <v>102.79</v>
      </c>
    </row>
    <row r="1438" customFormat="false" ht="15" hidden="false" customHeight="false" outlineLevel="0" collapsed="false">
      <c r="A1438" s="37" t="n">
        <v>384547504</v>
      </c>
      <c r="B1438" s="38" t="n">
        <v>46262.4158217593</v>
      </c>
      <c r="C1438" s="37" t="s">
        <v>340</v>
      </c>
      <c r="D1438" s="37" t="s">
        <v>1671</v>
      </c>
      <c r="E1438" s="37" t="n">
        <v>22220040</v>
      </c>
      <c r="F1438" s="37" t="s">
        <v>159</v>
      </c>
      <c r="G1438" s="37" t="s">
        <v>196</v>
      </c>
      <c r="H1438" s="37" t="s">
        <v>187</v>
      </c>
      <c r="I1438" s="37" t="n">
        <v>52.3</v>
      </c>
      <c r="J1438" s="39" t="n">
        <v>627.28</v>
      </c>
      <c r="K1438" s="37" t="s">
        <v>342</v>
      </c>
      <c r="L1438" s="39" t="n">
        <v>114.15</v>
      </c>
      <c r="M1438" s="39" t="n">
        <v>58.6</v>
      </c>
      <c r="N1438" s="39" t="n">
        <f aca="false">J1438*Resumo!$C$6</f>
        <v>0</v>
      </c>
      <c r="O1438" s="39" t="n">
        <f aca="false">J1438*Resumo!$C$7</f>
        <v>1.317288</v>
      </c>
      <c r="P1438" s="39" t="n">
        <f aca="false">J1438*Resumo!$C$8</f>
        <v>1.317288</v>
      </c>
      <c r="Q1438" s="39" t="n">
        <f aca="false">Resumo!$C$10*CEILING(I1438/100,1)</f>
        <v>1.05</v>
      </c>
      <c r="R1438" s="39" t="n">
        <f aca="false">Resumo!$C$9</f>
        <v>0</v>
      </c>
      <c r="S1438" s="39" t="n">
        <f aca="false">Resumo!$C$13</f>
        <v>13.55</v>
      </c>
      <c r="T1438" s="39" t="n">
        <f aca="false">Resumo!$C$14*CEILING(I1438,1)</f>
        <v>23.85</v>
      </c>
      <c r="U1438" s="39" t="n">
        <f aca="false">SUM(M1438:T1438)*Resumo!$C$11</f>
        <v>0</v>
      </c>
      <c r="V1438" s="39" t="n">
        <f aca="false">SUM(M1438:U1438)</f>
        <v>99.684576</v>
      </c>
      <c r="W1438" s="39" t="n">
        <f aca="false">V1438/(1-Resumo!$C$5)</f>
        <v>113.277927272727</v>
      </c>
      <c r="X1438" s="39" t="n">
        <v>112.3</v>
      </c>
      <c r="Y1438" s="39" t="n">
        <f aca="false">J1438*Resumo!$B$6</f>
        <v>0.62728</v>
      </c>
      <c r="Z1438" s="39" t="n">
        <f aca="false">J1438*Resumo!$B$7</f>
        <v>1.25456</v>
      </c>
      <c r="AA1438" s="39" t="n">
        <f aca="false">Resumo!$B$9</f>
        <v>1</v>
      </c>
      <c r="AB1438" s="39" t="n">
        <f aca="false">Resumo!$B$10*CEILING(I1438/100,1)</f>
        <v>4.5</v>
      </c>
      <c r="AC1438" s="39" t="n">
        <f aca="false">Resumo!$B$12*CEILING(I1438,1)</f>
        <v>3.18</v>
      </c>
      <c r="AD1438" s="39" t="n">
        <f aca="false">Resumo!$B$14*CEILING(I1438,1)</f>
        <v>23.85</v>
      </c>
      <c r="AE1438" s="39" t="n">
        <f aca="false">SUM(X1438:AD1438)</f>
        <v>146.71184</v>
      </c>
      <c r="AF1438" s="39" t="n">
        <f aca="false">AE1438/(1-Resumo!$B$5)</f>
        <v>166.718</v>
      </c>
      <c r="AG1438" s="39" t="n">
        <f aca="false">AF1438-W1438</f>
        <v>53.4400727272727</v>
      </c>
      <c r="AH1438" s="40" t="n">
        <f aca="false">AF1438/W1438-1</f>
        <v>0.471760686427557</v>
      </c>
      <c r="AI1438" s="37" t="str">
        <f aca="false">IF(AF1438&lt;W1438,"SIM","NÃO")</f>
        <v>NÃO</v>
      </c>
      <c r="AJ1438" s="37" t="n">
        <v>2</v>
      </c>
      <c r="AK1438" s="37" t="n">
        <v>5</v>
      </c>
      <c r="AL1438" s="37" t="s">
        <v>343</v>
      </c>
      <c r="AM1438" s="39" t="n">
        <v>114.15</v>
      </c>
    </row>
    <row r="1439" customFormat="false" ht="15" hidden="false" customHeight="false" outlineLevel="0" collapsed="false">
      <c r="A1439" s="37" t="n">
        <v>384634120</v>
      </c>
      <c r="B1439" s="38" t="n">
        <v>46262.5377199074</v>
      </c>
      <c r="C1439" s="37" t="s">
        <v>340</v>
      </c>
      <c r="D1439" s="37" t="s">
        <v>1672</v>
      </c>
      <c r="E1439" s="37" t="n">
        <v>21755430</v>
      </c>
      <c r="F1439" s="37" t="s">
        <v>159</v>
      </c>
      <c r="G1439" s="37" t="s">
        <v>196</v>
      </c>
      <c r="H1439" s="37" t="s">
        <v>187</v>
      </c>
      <c r="I1439" s="37" t="n">
        <v>51.3</v>
      </c>
      <c r="J1439" s="39" t="n">
        <v>649.99</v>
      </c>
      <c r="K1439" s="37" t="s">
        <v>342</v>
      </c>
      <c r="L1439" s="39" t="n">
        <v>114.26</v>
      </c>
      <c r="M1439" s="39" t="n">
        <v>58.6</v>
      </c>
      <c r="N1439" s="39" t="n">
        <f aca="false">J1439*Resumo!$C$6</f>
        <v>0</v>
      </c>
      <c r="O1439" s="39" t="n">
        <f aca="false">J1439*Resumo!$C$7</f>
        <v>1.364979</v>
      </c>
      <c r="P1439" s="39" t="n">
        <f aca="false">J1439*Resumo!$C$8</f>
        <v>1.364979</v>
      </c>
      <c r="Q1439" s="39" t="n">
        <f aca="false">Resumo!$C$10*CEILING(I1439/100,1)</f>
        <v>1.05</v>
      </c>
      <c r="R1439" s="39" t="n">
        <f aca="false">Resumo!$C$9</f>
        <v>0</v>
      </c>
      <c r="S1439" s="39" t="n">
        <f aca="false">Resumo!$C$13</f>
        <v>13.55</v>
      </c>
      <c r="T1439" s="39" t="n">
        <f aca="false">Resumo!$C$14*CEILING(I1439,1)</f>
        <v>23.4</v>
      </c>
      <c r="U1439" s="39" t="n">
        <f aca="false">SUM(M1439:T1439)*Resumo!$C$11</f>
        <v>0</v>
      </c>
      <c r="V1439" s="39" t="n">
        <f aca="false">SUM(M1439:U1439)</f>
        <v>99.329958</v>
      </c>
      <c r="W1439" s="39" t="n">
        <f aca="false">V1439/(1-Resumo!$C$5)</f>
        <v>112.874952272727</v>
      </c>
      <c r="X1439" s="39" t="n">
        <v>112.3</v>
      </c>
      <c r="Y1439" s="39" t="n">
        <f aca="false">J1439*Resumo!$B$6</f>
        <v>0.64999</v>
      </c>
      <c r="Z1439" s="39" t="n">
        <f aca="false">J1439*Resumo!$B$7</f>
        <v>1.29998</v>
      </c>
      <c r="AA1439" s="39" t="n">
        <f aca="false">Resumo!$B$9</f>
        <v>1</v>
      </c>
      <c r="AB1439" s="39" t="n">
        <f aca="false">Resumo!$B$10*CEILING(I1439/100,1)</f>
        <v>4.5</v>
      </c>
      <c r="AC1439" s="39" t="n">
        <f aca="false">Resumo!$B$12*CEILING(I1439,1)</f>
        <v>3.12</v>
      </c>
      <c r="AD1439" s="39" t="n">
        <f aca="false">Resumo!$B$14*CEILING(I1439,1)</f>
        <v>23.4</v>
      </c>
      <c r="AE1439" s="39" t="n">
        <f aca="false">SUM(X1439:AD1439)</f>
        <v>146.26997</v>
      </c>
      <c r="AF1439" s="39" t="n">
        <f aca="false">AE1439/(1-Resumo!$B$5)</f>
        <v>166.215875</v>
      </c>
      <c r="AG1439" s="39" t="n">
        <f aca="false">AF1439-W1439</f>
        <v>53.3409227272727</v>
      </c>
      <c r="AH1439" s="40" t="n">
        <f aca="false">AF1439/W1439-1</f>
        <v>0.472566514122557</v>
      </c>
      <c r="AI1439" s="37" t="str">
        <f aca="false">IF(AF1439&lt;W1439,"SIM","NÃO")</f>
        <v>NÃO</v>
      </c>
      <c r="AJ1439" s="37" t="n">
        <v>2</v>
      </c>
      <c r="AK1439" s="37" t="n">
        <v>5</v>
      </c>
      <c r="AL1439" s="37" t="s">
        <v>343</v>
      </c>
      <c r="AM1439" s="39" t="n">
        <v>114.26</v>
      </c>
    </row>
    <row r="1440" customFormat="false" ht="15" hidden="false" customHeight="false" outlineLevel="0" collapsed="false">
      <c r="A1440" s="37" t="n">
        <v>384686178</v>
      </c>
      <c r="B1440" s="38" t="n">
        <v>46262.6190856482</v>
      </c>
      <c r="C1440" s="37" t="s">
        <v>340</v>
      </c>
      <c r="D1440" s="37" t="s">
        <v>1673</v>
      </c>
      <c r="E1440" s="37" t="n">
        <v>28051320</v>
      </c>
      <c r="F1440" s="37" t="s">
        <v>164</v>
      </c>
      <c r="G1440" s="37" t="s">
        <v>198</v>
      </c>
      <c r="H1440" s="37" t="s">
        <v>184</v>
      </c>
      <c r="I1440" s="37" t="n">
        <v>27</v>
      </c>
      <c r="J1440" s="39" t="n">
        <v>319.99</v>
      </c>
      <c r="K1440" s="37" t="s">
        <v>342</v>
      </c>
      <c r="L1440" s="39" t="n">
        <v>108.72</v>
      </c>
      <c r="M1440" s="39" t="n">
        <v>65.63</v>
      </c>
      <c r="N1440" s="39" t="n">
        <f aca="false">J1440*Resumo!$C$6</f>
        <v>0</v>
      </c>
      <c r="O1440" s="39" t="n">
        <f aca="false">J1440*Resumo!$C$7</f>
        <v>0.671979</v>
      </c>
      <c r="P1440" s="39" t="n">
        <f aca="false">J1440*Resumo!$C$8</f>
        <v>0.671979</v>
      </c>
      <c r="Q1440" s="39" t="n">
        <f aca="false">Resumo!$C$10*CEILING(I1440/100,1)</f>
        <v>1.05</v>
      </c>
      <c r="R1440" s="39" t="n">
        <f aca="false">Resumo!$C$9</f>
        <v>0</v>
      </c>
      <c r="S1440" s="39" t="n">
        <f aca="false">Resumo!$C$13</f>
        <v>13.55</v>
      </c>
      <c r="T1440" s="39" t="n">
        <f aca="false">Resumo!$C$14*CEILING(I1440,1)</f>
        <v>12.15</v>
      </c>
      <c r="U1440" s="39" t="n">
        <f aca="false">SUM(M1440:T1440)*Resumo!$C$11</f>
        <v>0</v>
      </c>
      <c r="V1440" s="39" t="n">
        <f aca="false">SUM(M1440:U1440)</f>
        <v>93.723958</v>
      </c>
      <c r="W1440" s="39" t="n">
        <f aca="false">V1440/(1-Resumo!$C$5)</f>
        <v>106.504497727273</v>
      </c>
      <c r="X1440" s="39" t="n">
        <v>138.29</v>
      </c>
      <c r="Y1440" s="39" t="n">
        <f aca="false">J1440*Resumo!$B$6</f>
        <v>0.31999</v>
      </c>
      <c r="Z1440" s="39" t="n">
        <f aca="false">J1440*Resumo!$B$7</f>
        <v>0.63998</v>
      </c>
      <c r="AA1440" s="39" t="n">
        <f aca="false">Resumo!$B$9</f>
        <v>1</v>
      </c>
      <c r="AB1440" s="39" t="n">
        <f aca="false">Resumo!$B$10*CEILING(I1440/100,1)</f>
        <v>4.5</v>
      </c>
      <c r="AC1440" s="39" t="n">
        <f aca="false">Resumo!$B$12*CEILING(I1440,1)</f>
        <v>1.62</v>
      </c>
      <c r="AD1440" s="39" t="n">
        <f aca="false">Resumo!$B$14*CEILING(I1440,1)</f>
        <v>12.15</v>
      </c>
      <c r="AE1440" s="39" t="n">
        <f aca="false">SUM(X1440:AD1440)</f>
        <v>158.51997</v>
      </c>
      <c r="AF1440" s="39" t="n">
        <f aca="false">AE1440/(1-Resumo!$B$5)</f>
        <v>180.136329545455</v>
      </c>
      <c r="AG1440" s="39" t="n">
        <f aca="false">AF1440-W1440</f>
        <v>73.6318318181818</v>
      </c>
      <c r="AH1440" s="40" t="n">
        <f aca="false">AF1440/W1440-1</f>
        <v>0.691349505320721</v>
      </c>
      <c r="AI1440" s="37" t="str">
        <f aca="false">IF(AF1440&lt;W1440,"SIM","NÃO")</f>
        <v>NÃO</v>
      </c>
      <c r="AJ1440" s="37" t="n">
        <v>13</v>
      </c>
      <c r="AK1440" s="37" t="n">
        <v>11</v>
      </c>
      <c r="AL1440" s="37" t="s">
        <v>343</v>
      </c>
      <c r="AM1440" s="39" t="n">
        <v>108.71</v>
      </c>
    </row>
    <row r="1441" customFormat="false" ht="15" hidden="false" customHeight="false" outlineLevel="0" collapsed="false">
      <c r="A1441" s="37" t="n">
        <v>384731455</v>
      </c>
      <c r="B1441" s="38" t="n">
        <v>46262.6906712963</v>
      </c>
      <c r="C1441" s="37" t="s">
        <v>340</v>
      </c>
      <c r="D1441" s="37" t="s">
        <v>1674</v>
      </c>
      <c r="E1441" s="37" t="n">
        <v>26551481</v>
      </c>
      <c r="F1441" s="37" t="s">
        <v>175</v>
      </c>
      <c r="G1441" s="37" t="s">
        <v>197</v>
      </c>
      <c r="H1441" s="37" t="s">
        <v>186</v>
      </c>
      <c r="I1441" s="37" t="n">
        <v>45.3</v>
      </c>
      <c r="J1441" s="39" t="n">
        <v>630.04</v>
      </c>
      <c r="K1441" s="37" t="s">
        <v>342</v>
      </c>
      <c r="L1441" s="39" t="n">
        <v>117.09</v>
      </c>
      <c r="M1441" s="39" t="n">
        <v>65.36</v>
      </c>
      <c r="N1441" s="39" t="n">
        <f aca="false">J1441*Resumo!$C$6</f>
        <v>0</v>
      </c>
      <c r="O1441" s="39" t="n">
        <f aca="false">J1441*Resumo!$C$7</f>
        <v>1.323084</v>
      </c>
      <c r="P1441" s="39" t="n">
        <f aca="false">J1441*Resumo!$C$8</f>
        <v>1.323084</v>
      </c>
      <c r="Q1441" s="39" t="n">
        <f aca="false">Resumo!$C$10*CEILING(I1441/100,1)</f>
        <v>1.05</v>
      </c>
      <c r="R1441" s="39" t="n">
        <f aca="false">Resumo!$C$9</f>
        <v>0</v>
      </c>
      <c r="S1441" s="39" t="n">
        <f aca="false">Resumo!$C$13</f>
        <v>13.55</v>
      </c>
      <c r="T1441" s="39" t="n">
        <f aca="false">Resumo!$C$14*CEILING(I1441,1)</f>
        <v>20.7</v>
      </c>
      <c r="U1441" s="39" t="n">
        <f aca="false">SUM(M1441:T1441)*Resumo!$C$11</f>
        <v>0</v>
      </c>
      <c r="V1441" s="39" t="n">
        <f aca="false">SUM(M1441:U1441)</f>
        <v>103.306168</v>
      </c>
      <c r="W1441" s="39" t="n">
        <f aca="false">V1441/(1-Resumo!$C$5)</f>
        <v>117.393372727273</v>
      </c>
      <c r="X1441" s="39" t="n">
        <v>93.97</v>
      </c>
      <c r="Y1441" s="39" t="n">
        <f aca="false">J1441*Resumo!$B$6</f>
        <v>0.63004</v>
      </c>
      <c r="Z1441" s="39" t="n">
        <f aca="false">J1441*Resumo!$B$7</f>
        <v>1.26008</v>
      </c>
      <c r="AA1441" s="39" t="n">
        <f aca="false">Resumo!$B$9</f>
        <v>1</v>
      </c>
      <c r="AB1441" s="39" t="n">
        <f aca="false">Resumo!$B$10*CEILING(I1441/100,1)</f>
        <v>4.5</v>
      </c>
      <c r="AC1441" s="39" t="n">
        <f aca="false">Resumo!$B$12*CEILING(I1441,1)</f>
        <v>2.76</v>
      </c>
      <c r="AD1441" s="39" t="n">
        <f aca="false">Resumo!$B$14*CEILING(I1441,1)</f>
        <v>20.7</v>
      </c>
      <c r="AE1441" s="39" t="n">
        <f aca="false">SUM(X1441:AD1441)</f>
        <v>124.82012</v>
      </c>
      <c r="AF1441" s="39" t="n">
        <f aca="false">AE1441/(1-Resumo!$B$5)</f>
        <v>141.841045454545</v>
      </c>
      <c r="AG1441" s="39" t="n">
        <f aca="false">AF1441-W1441</f>
        <v>24.4476727272727</v>
      </c>
      <c r="AH1441" s="40" t="n">
        <f aca="false">AF1441/W1441-1</f>
        <v>0.208254283519644</v>
      </c>
      <c r="AI1441" s="37" t="str">
        <f aca="false">IF(AF1441&lt;W1441,"SIM","NÃO")</f>
        <v>NÃO</v>
      </c>
      <c r="AJ1441" s="37" t="n">
        <v>2</v>
      </c>
      <c r="AK1441" s="37" t="n">
        <v>5</v>
      </c>
      <c r="AL1441" s="37" t="s">
        <v>343</v>
      </c>
      <c r="AM1441" s="39" t="n">
        <v>117.09</v>
      </c>
    </row>
    <row r="1442" customFormat="false" ht="15" hidden="false" customHeight="false" outlineLevel="0" collapsed="false">
      <c r="A1442" s="37" t="n">
        <v>384777364</v>
      </c>
      <c r="B1442" s="38" t="n">
        <v>46262.7674421296</v>
      </c>
      <c r="C1442" s="37" t="s">
        <v>375</v>
      </c>
      <c r="D1442" s="37" t="s">
        <v>1675</v>
      </c>
      <c r="E1442" s="37" t="n">
        <v>25010350</v>
      </c>
      <c r="F1442" s="37" t="s">
        <v>161</v>
      </c>
      <c r="G1442" s="37" t="s">
        <v>197</v>
      </c>
      <c r="H1442" s="37" t="s">
        <v>183</v>
      </c>
      <c r="I1442" s="37" t="n">
        <v>2.83</v>
      </c>
      <c r="J1442" s="39" t="n">
        <v>239.99</v>
      </c>
      <c r="K1442" s="37" t="s">
        <v>342</v>
      </c>
      <c r="L1442" s="39" t="n">
        <v>74.99</v>
      </c>
      <c r="M1442" s="39" t="n">
        <v>42.72</v>
      </c>
      <c r="N1442" s="39" t="n">
        <f aca="false">J1442*Resumo!$C$6</f>
        <v>0</v>
      </c>
      <c r="O1442" s="39" t="n">
        <f aca="false">J1442*Resumo!$C$7</f>
        <v>0.503979</v>
      </c>
      <c r="P1442" s="39" t="n">
        <f aca="false">J1442*Resumo!$C$8</f>
        <v>0.503979</v>
      </c>
      <c r="Q1442" s="39" t="n">
        <f aca="false">Resumo!$C$10*CEILING(I1442/100,1)</f>
        <v>1.05</v>
      </c>
      <c r="R1442" s="39" t="n">
        <f aca="false">Resumo!$C$9</f>
        <v>0</v>
      </c>
      <c r="S1442" s="39" t="n">
        <f aca="false">Resumo!$C$13</f>
        <v>13.55</v>
      </c>
      <c r="T1442" s="39" t="n">
        <f aca="false">Resumo!$C$14*CEILING(I1442,1)</f>
        <v>1.35</v>
      </c>
      <c r="U1442" s="39" t="n">
        <f aca="false">SUM(M1442:T1442)*Resumo!$C$11</f>
        <v>0</v>
      </c>
      <c r="V1442" s="39" t="n">
        <f aca="false">SUM(M1442:U1442)</f>
        <v>59.677958</v>
      </c>
      <c r="W1442" s="39" t="n">
        <f aca="false">V1442/(1-Resumo!$C$5)</f>
        <v>67.8158613636364</v>
      </c>
      <c r="X1442" s="39" t="n">
        <v>46.98</v>
      </c>
      <c r="Y1442" s="39" t="n">
        <f aca="false">J1442*Resumo!$B$6</f>
        <v>0.23999</v>
      </c>
      <c r="Z1442" s="39" t="n">
        <f aca="false">J1442*Resumo!$B$7</f>
        <v>0.47998</v>
      </c>
      <c r="AA1442" s="39" t="n">
        <f aca="false">Resumo!$B$9</f>
        <v>1</v>
      </c>
      <c r="AB1442" s="39" t="n">
        <f aca="false">Resumo!$B$10*CEILING(I1442/100,1)</f>
        <v>4.5</v>
      </c>
      <c r="AC1442" s="39" t="n">
        <f aca="false">Resumo!$B$12*CEILING(I1442,1)</f>
        <v>0.18</v>
      </c>
      <c r="AD1442" s="39" t="n">
        <f aca="false">Resumo!$B$14*CEILING(I1442,1)</f>
        <v>1.35</v>
      </c>
      <c r="AE1442" s="39" t="n">
        <f aca="false">SUM(X1442:AD1442)</f>
        <v>54.72997</v>
      </c>
      <c r="AF1442" s="39" t="n">
        <f aca="false">AE1442/(1-Resumo!$B$5)</f>
        <v>62.1931477272727</v>
      </c>
      <c r="AG1442" s="39" t="n">
        <f aca="false">AF1442-W1442</f>
        <v>-5.62271363636364</v>
      </c>
      <c r="AH1442" s="40" t="n">
        <f aca="false">AF1442/W1442-1</f>
        <v>-0.0829114829967876</v>
      </c>
      <c r="AI1442" s="37" t="str">
        <f aca="false">IF(AF1442&lt;W1442,"SIM","NÃO")</f>
        <v>SIM</v>
      </c>
      <c r="AJ1442" s="37" t="n">
        <v>2</v>
      </c>
      <c r="AK1442" s="37" t="n">
        <v>5</v>
      </c>
      <c r="AL1442" s="37" t="s">
        <v>343</v>
      </c>
      <c r="AM1442" s="39" t="n">
        <v>74.99</v>
      </c>
    </row>
    <row r="1443" customFormat="false" ht="15" hidden="false" customHeight="false" outlineLevel="0" collapsed="false">
      <c r="A1443" s="37" t="n">
        <v>384806872</v>
      </c>
      <c r="B1443" s="38" t="n">
        <v>46262.8150231482</v>
      </c>
      <c r="C1443" s="37" t="s">
        <v>345</v>
      </c>
      <c r="D1443" s="37" t="s">
        <v>676</v>
      </c>
      <c r="E1443" s="37" t="n">
        <v>22790880</v>
      </c>
      <c r="F1443" s="37" t="s">
        <v>159</v>
      </c>
      <c r="G1443" s="37" t="s">
        <v>196</v>
      </c>
      <c r="H1443" s="37" t="s">
        <v>192</v>
      </c>
      <c r="I1443" s="37" t="n">
        <v>124.2</v>
      </c>
      <c r="J1443" s="39" t="n">
        <v>1611.28</v>
      </c>
      <c r="K1443" s="37" t="s">
        <v>342</v>
      </c>
      <c r="L1443" s="39" t="n">
        <v>234.01</v>
      </c>
      <c r="M1443" s="39" t="n">
        <v>120.59</v>
      </c>
      <c r="N1443" s="39" t="n">
        <f aca="false">J1443*Resumo!$C$6</f>
        <v>0</v>
      </c>
      <c r="O1443" s="39" t="n">
        <f aca="false">J1443*Resumo!$C$7</f>
        <v>3.383688</v>
      </c>
      <c r="P1443" s="39" t="n">
        <f aca="false">J1443*Resumo!$C$8</f>
        <v>3.383688</v>
      </c>
      <c r="Q1443" s="39" t="n">
        <f aca="false">Resumo!$C$10*CEILING(I1443/100,1)</f>
        <v>2.1</v>
      </c>
      <c r="R1443" s="39" t="n">
        <f aca="false">Resumo!$C$9</f>
        <v>0</v>
      </c>
      <c r="S1443" s="39" t="n">
        <f aca="false">Resumo!$C$13</f>
        <v>13.55</v>
      </c>
      <c r="T1443" s="39" t="n">
        <f aca="false">Resumo!$C$14*CEILING(I1443,1)</f>
        <v>56.25</v>
      </c>
      <c r="U1443" s="39" t="n">
        <f aca="false">SUM(M1443:T1443)*Resumo!$C$11</f>
        <v>0</v>
      </c>
      <c r="V1443" s="39" t="n">
        <f aca="false">SUM(M1443:U1443)</f>
        <v>199.257376</v>
      </c>
      <c r="W1443" s="39" t="n">
        <f aca="false">V1443/(1-Resumo!$C$5)</f>
        <v>226.428836363636</v>
      </c>
      <c r="X1443" s="39" t="n">
        <v>239.25</v>
      </c>
      <c r="Y1443" s="39" t="n">
        <f aca="false">J1443*Resumo!$B$6</f>
        <v>1.61128</v>
      </c>
      <c r="Z1443" s="39" t="n">
        <f aca="false">J1443*Resumo!$B$7</f>
        <v>3.22256</v>
      </c>
      <c r="AA1443" s="39" t="n">
        <f aca="false">Resumo!$B$9</f>
        <v>1</v>
      </c>
      <c r="AB1443" s="39" t="n">
        <f aca="false">Resumo!$B$10*CEILING(I1443/100,1)</f>
        <v>9</v>
      </c>
      <c r="AC1443" s="39" t="n">
        <f aca="false">Resumo!$B$12*CEILING(I1443,1)</f>
        <v>7.5</v>
      </c>
      <c r="AD1443" s="39" t="n">
        <f aca="false">Resumo!$B$14*CEILING(I1443,1)</f>
        <v>56.25</v>
      </c>
      <c r="AE1443" s="39" t="n">
        <f aca="false">SUM(X1443:AD1443)</f>
        <v>317.83384</v>
      </c>
      <c r="AF1443" s="39" t="n">
        <f aca="false">AE1443/(1-Resumo!$B$5)</f>
        <v>361.174818181818</v>
      </c>
      <c r="AG1443" s="39" t="n">
        <f aca="false">AF1443-W1443</f>
        <v>134.745981818182</v>
      </c>
      <c r="AH1443" s="40" t="n">
        <f aca="false">AF1443/W1443-1</f>
        <v>0.595091967887804</v>
      </c>
      <c r="AI1443" s="37" t="str">
        <f aca="false">IF(AF1443&lt;W1443,"SIM","NÃO")</f>
        <v>NÃO</v>
      </c>
      <c r="AJ1443" s="37" t="n">
        <v>2</v>
      </c>
      <c r="AK1443" s="37" t="n">
        <v>5</v>
      </c>
      <c r="AL1443" s="37" t="s">
        <v>343</v>
      </c>
      <c r="AM1443" s="39" t="n">
        <v>234.01</v>
      </c>
    </row>
    <row r="1444" customFormat="false" ht="15" hidden="false" customHeight="false" outlineLevel="0" collapsed="false">
      <c r="A1444" s="37" t="n">
        <v>384820107</v>
      </c>
      <c r="B1444" s="38" t="n">
        <v>46262.8352430556</v>
      </c>
      <c r="C1444" s="37" t="s">
        <v>340</v>
      </c>
      <c r="D1444" s="37" t="s">
        <v>1676</v>
      </c>
      <c r="E1444" s="37" t="n">
        <v>24470500</v>
      </c>
      <c r="F1444" s="37" t="s">
        <v>160</v>
      </c>
      <c r="G1444" s="37" t="s">
        <v>197</v>
      </c>
      <c r="H1444" s="37" t="s">
        <v>185</v>
      </c>
      <c r="I1444" s="37" t="n">
        <v>36.8</v>
      </c>
      <c r="J1444" s="39" t="n">
        <v>469.99</v>
      </c>
      <c r="K1444" s="37" t="s">
        <v>342</v>
      </c>
      <c r="L1444" s="39" t="n">
        <v>113.2</v>
      </c>
      <c r="M1444" s="39" t="n">
        <v>66.83</v>
      </c>
      <c r="N1444" s="39" t="n">
        <f aca="false">J1444*Resumo!$C$6</f>
        <v>0</v>
      </c>
      <c r="O1444" s="39" t="n">
        <f aca="false">J1444*Resumo!$C$7</f>
        <v>0.986979</v>
      </c>
      <c r="P1444" s="39" t="n">
        <f aca="false">J1444*Resumo!$C$8</f>
        <v>0.986979</v>
      </c>
      <c r="Q1444" s="39" t="n">
        <f aca="false">Resumo!$C$10*CEILING(I1444/100,1)</f>
        <v>1.05</v>
      </c>
      <c r="R1444" s="39" t="n">
        <f aca="false">Resumo!$C$9</f>
        <v>0</v>
      </c>
      <c r="S1444" s="39" t="n">
        <f aca="false">Resumo!$C$13</f>
        <v>13.55</v>
      </c>
      <c r="T1444" s="39" t="n">
        <f aca="false">Resumo!$C$14*CEILING(I1444,1)</f>
        <v>16.65</v>
      </c>
      <c r="U1444" s="39" t="n">
        <f aca="false">SUM(M1444:T1444)*Resumo!$C$11</f>
        <v>0</v>
      </c>
      <c r="V1444" s="39" t="n">
        <f aca="false">SUM(M1444:U1444)</f>
        <v>100.053958</v>
      </c>
      <c r="W1444" s="39" t="n">
        <f aca="false">V1444/(1-Resumo!$C$5)</f>
        <v>113.697679545455</v>
      </c>
      <c r="X1444" s="39" t="n">
        <v>114.95</v>
      </c>
      <c r="Y1444" s="39" t="n">
        <f aca="false">J1444*Resumo!$B$6</f>
        <v>0.46999</v>
      </c>
      <c r="Z1444" s="39" t="n">
        <f aca="false">J1444*Resumo!$B$7</f>
        <v>0.93998</v>
      </c>
      <c r="AA1444" s="39" t="n">
        <f aca="false">Resumo!$B$9</f>
        <v>1</v>
      </c>
      <c r="AB1444" s="39" t="n">
        <f aca="false">Resumo!$B$10*CEILING(I1444/100,1)</f>
        <v>4.5</v>
      </c>
      <c r="AC1444" s="39" t="n">
        <f aca="false">Resumo!$B$12*CEILING(I1444,1)</f>
        <v>2.22</v>
      </c>
      <c r="AD1444" s="39" t="n">
        <f aca="false">Resumo!$B$14*CEILING(I1444,1)</f>
        <v>16.65</v>
      </c>
      <c r="AE1444" s="39" t="n">
        <f aca="false">SUM(X1444:AD1444)</f>
        <v>140.72997</v>
      </c>
      <c r="AF1444" s="39" t="n">
        <f aca="false">AE1444/(1-Resumo!$B$5)</f>
        <v>159.920420454545</v>
      </c>
      <c r="AG1444" s="39" t="n">
        <f aca="false">AF1444-W1444</f>
        <v>46.2227409090909</v>
      </c>
      <c r="AH1444" s="40" t="n">
        <f aca="false">AF1444/W1444-1</f>
        <v>0.4065407587374</v>
      </c>
      <c r="AI1444" s="37" t="str">
        <f aca="false">IF(AF1444&lt;W1444,"SIM","NÃO")</f>
        <v>NÃO</v>
      </c>
      <c r="AJ1444" s="37" t="n">
        <v>2</v>
      </c>
      <c r="AK1444" s="37" t="n">
        <v>7</v>
      </c>
      <c r="AL1444" s="37" t="s">
        <v>343</v>
      </c>
      <c r="AM1444" s="39" t="n">
        <v>113.21</v>
      </c>
    </row>
    <row r="1445" customFormat="false" ht="15" hidden="false" customHeight="false" outlineLevel="0" collapsed="false">
      <c r="A1445" s="37" t="n">
        <v>384893965</v>
      </c>
      <c r="B1445" s="38" t="n">
        <v>46262.9852430556</v>
      </c>
      <c r="C1445" s="37" t="s">
        <v>372</v>
      </c>
      <c r="D1445" s="37" t="s">
        <v>1677</v>
      </c>
      <c r="E1445" s="37" t="n">
        <v>24934350</v>
      </c>
      <c r="F1445" s="37" t="s">
        <v>171</v>
      </c>
      <c r="G1445" s="37" t="s">
        <v>198</v>
      </c>
      <c r="H1445" s="37" t="s">
        <v>185</v>
      </c>
      <c r="I1445" s="37" t="n">
        <v>37.2</v>
      </c>
      <c r="J1445" s="39" t="n">
        <v>439.99</v>
      </c>
      <c r="K1445" s="37" t="s">
        <v>342</v>
      </c>
      <c r="L1445" s="39" t="n">
        <v>122.35</v>
      </c>
      <c r="M1445" s="39" t="n">
        <v>74.97</v>
      </c>
      <c r="N1445" s="39" t="n">
        <f aca="false">J1445*Resumo!$C$6</f>
        <v>0</v>
      </c>
      <c r="O1445" s="39" t="n">
        <f aca="false">J1445*Resumo!$C$7</f>
        <v>0.923979</v>
      </c>
      <c r="P1445" s="39" t="n">
        <f aca="false">J1445*Resumo!$C$8</f>
        <v>0.923979</v>
      </c>
      <c r="Q1445" s="39" t="n">
        <f aca="false">Resumo!$C$10*CEILING(I1445/100,1)</f>
        <v>1.05</v>
      </c>
      <c r="R1445" s="39" t="n">
        <f aca="false">Resumo!$C$9</f>
        <v>0</v>
      </c>
      <c r="S1445" s="39" t="n">
        <f aca="false">Resumo!$C$13</f>
        <v>13.55</v>
      </c>
      <c r="T1445" s="39" t="n">
        <f aca="false">Resumo!$C$14*CEILING(I1445,1)</f>
        <v>17.1</v>
      </c>
      <c r="U1445" s="39" t="n">
        <f aca="false">SUM(M1445:T1445)*Resumo!$C$11</f>
        <v>0</v>
      </c>
      <c r="V1445" s="39" t="n">
        <f aca="false">SUM(M1445:U1445)</f>
        <v>108.517958</v>
      </c>
      <c r="W1445" s="39" t="n">
        <f aca="false">V1445/(1-Resumo!$C$5)</f>
        <v>123.315861363636</v>
      </c>
      <c r="X1445" s="39" t="n">
        <v>114.95</v>
      </c>
      <c r="Y1445" s="39" t="n">
        <f aca="false">J1445*Resumo!$B$6</f>
        <v>0.43999</v>
      </c>
      <c r="Z1445" s="39" t="n">
        <f aca="false">J1445*Resumo!$B$7</f>
        <v>0.87998</v>
      </c>
      <c r="AA1445" s="39" t="n">
        <f aca="false">Resumo!$B$9</f>
        <v>1</v>
      </c>
      <c r="AB1445" s="39" t="n">
        <f aca="false">Resumo!$B$10*CEILING(I1445/100,1)</f>
        <v>4.5</v>
      </c>
      <c r="AC1445" s="39" t="n">
        <f aca="false">Resumo!$B$12*CEILING(I1445,1)</f>
        <v>2.28</v>
      </c>
      <c r="AD1445" s="39" t="n">
        <f aca="false">Resumo!$B$14*CEILING(I1445,1)</f>
        <v>17.1</v>
      </c>
      <c r="AE1445" s="39" t="n">
        <f aca="false">SUM(X1445:AD1445)</f>
        <v>141.14997</v>
      </c>
      <c r="AF1445" s="39" t="n">
        <f aca="false">AE1445/(1-Resumo!$B$5)</f>
        <v>160.397693181818</v>
      </c>
      <c r="AG1445" s="39" t="n">
        <f aca="false">AF1445-W1445</f>
        <v>37.0818318181818</v>
      </c>
      <c r="AH1445" s="40" t="n">
        <f aca="false">AF1445/W1445-1</f>
        <v>0.300706100643729</v>
      </c>
      <c r="AI1445" s="37" t="str">
        <f aca="false">IF(AF1445&lt;W1445,"SIM","NÃO")</f>
        <v>NÃO</v>
      </c>
      <c r="AJ1445" s="37" t="n">
        <v>13</v>
      </c>
      <c r="AK1445" s="37" t="n">
        <v>7</v>
      </c>
      <c r="AL1445" s="37" t="s">
        <v>343</v>
      </c>
      <c r="AM1445" s="39" t="n">
        <v>122.36</v>
      </c>
    </row>
    <row r="1446" customFormat="false" ht="15" hidden="false" customHeight="false" outlineLevel="0" collapsed="false">
      <c r="A1446" s="37" t="n">
        <v>385113103</v>
      </c>
      <c r="B1446" s="38" t="n">
        <v>46263.4127546296</v>
      </c>
      <c r="C1446" s="37" t="s">
        <v>340</v>
      </c>
      <c r="D1446" s="37" t="s">
        <v>1083</v>
      </c>
      <c r="E1446" s="37" t="n">
        <v>22410001</v>
      </c>
      <c r="F1446" s="37" t="s">
        <v>159</v>
      </c>
      <c r="G1446" s="37" t="s">
        <v>196</v>
      </c>
      <c r="H1446" s="37" t="s">
        <v>186</v>
      </c>
      <c r="I1446" s="37" t="n">
        <v>41</v>
      </c>
      <c r="J1446" s="39" t="n">
        <v>559.99</v>
      </c>
      <c r="K1446" s="37" t="s">
        <v>342</v>
      </c>
      <c r="L1446" s="39" t="n">
        <v>103.27</v>
      </c>
      <c r="M1446" s="39" t="n">
        <v>53.55</v>
      </c>
      <c r="N1446" s="39" t="n">
        <f aca="false">J1446*Resumo!$C$6</f>
        <v>0</v>
      </c>
      <c r="O1446" s="39" t="n">
        <f aca="false">J1446*Resumo!$C$7</f>
        <v>1.175979</v>
      </c>
      <c r="P1446" s="39" t="n">
        <f aca="false">J1446*Resumo!$C$8</f>
        <v>1.175979</v>
      </c>
      <c r="Q1446" s="39" t="n">
        <f aca="false">Resumo!$C$10*CEILING(I1446/100,1)</f>
        <v>1.05</v>
      </c>
      <c r="R1446" s="39" t="n">
        <f aca="false">Resumo!$C$9</f>
        <v>0</v>
      </c>
      <c r="S1446" s="39" t="n">
        <f aca="false">Resumo!$C$13</f>
        <v>13.55</v>
      </c>
      <c r="T1446" s="39" t="n">
        <f aca="false">Resumo!$C$14*CEILING(I1446,1)</f>
        <v>18.45</v>
      </c>
      <c r="U1446" s="39" t="n">
        <f aca="false">SUM(M1446:T1446)*Resumo!$C$11</f>
        <v>0</v>
      </c>
      <c r="V1446" s="39" t="n">
        <f aca="false">SUM(M1446:U1446)</f>
        <v>88.951958</v>
      </c>
      <c r="W1446" s="39" t="n">
        <f aca="false">V1446/(1-Resumo!$C$5)</f>
        <v>101.081770454545</v>
      </c>
      <c r="X1446" s="39" t="n">
        <v>93.97</v>
      </c>
      <c r="Y1446" s="39" t="n">
        <f aca="false">J1446*Resumo!$B$6</f>
        <v>0.55999</v>
      </c>
      <c r="Z1446" s="39" t="n">
        <f aca="false">J1446*Resumo!$B$7</f>
        <v>1.11998</v>
      </c>
      <c r="AA1446" s="39" t="n">
        <f aca="false">Resumo!$B$9</f>
        <v>1</v>
      </c>
      <c r="AB1446" s="39" t="n">
        <f aca="false">Resumo!$B$10*CEILING(I1446/100,1)</f>
        <v>4.5</v>
      </c>
      <c r="AC1446" s="39" t="n">
        <f aca="false">Resumo!$B$12*CEILING(I1446,1)</f>
        <v>2.46</v>
      </c>
      <c r="AD1446" s="39" t="n">
        <f aca="false">Resumo!$B$14*CEILING(I1446,1)</f>
        <v>18.45</v>
      </c>
      <c r="AE1446" s="39" t="n">
        <f aca="false">SUM(X1446:AD1446)</f>
        <v>122.05997</v>
      </c>
      <c r="AF1446" s="39" t="n">
        <f aca="false">AE1446/(1-Resumo!$B$5)</f>
        <v>138.704511363636</v>
      </c>
      <c r="AG1446" s="39" t="n">
        <f aca="false">AF1446-W1446</f>
        <v>37.6227409090909</v>
      </c>
      <c r="AH1446" s="40" t="n">
        <f aca="false">AF1446/W1446-1</f>
        <v>0.372201048120829</v>
      </c>
      <c r="AI1446" s="37" t="str">
        <f aca="false">IF(AF1446&lt;W1446,"SIM","NÃO")</f>
        <v>NÃO</v>
      </c>
      <c r="AJ1446" s="37" t="n">
        <v>2</v>
      </c>
      <c r="AK1446" s="37" t="n">
        <v>5</v>
      </c>
      <c r="AL1446" s="37" t="s">
        <v>343</v>
      </c>
      <c r="AM1446" s="39" t="n">
        <v>103.27</v>
      </c>
    </row>
    <row r="1447" customFormat="false" ht="15" hidden="false" customHeight="false" outlineLevel="0" collapsed="false">
      <c r="A1447" s="37" t="n">
        <v>385146624</v>
      </c>
      <c r="B1447" s="38" t="n">
        <v>46263.4552083333</v>
      </c>
      <c r="C1447" s="37" t="s">
        <v>537</v>
      </c>
      <c r="D1447" s="37" t="s">
        <v>1678</v>
      </c>
      <c r="E1447" s="37" t="n">
        <v>28941382</v>
      </c>
      <c r="F1447" s="37" t="s">
        <v>292</v>
      </c>
      <c r="G1447" s="37" t="s">
        <v>198</v>
      </c>
      <c r="H1447" s="37" t="s">
        <v>186</v>
      </c>
      <c r="I1447" s="37" t="n">
        <v>49.6</v>
      </c>
      <c r="J1447" s="39" t="n">
        <v>611.99</v>
      </c>
      <c r="K1447" s="37" t="s">
        <v>342</v>
      </c>
      <c r="L1447" s="39" t="n">
        <v>131.08</v>
      </c>
      <c r="M1447" s="39" t="n">
        <v>77.7</v>
      </c>
      <c r="N1447" s="39" t="n">
        <f aca="false">J1447*Resumo!$C$6</f>
        <v>0</v>
      </c>
      <c r="O1447" s="39" t="n">
        <f aca="false">J1447*Resumo!$C$7</f>
        <v>1.285179</v>
      </c>
      <c r="P1447" s="39" t="n">
        <f aca="false">J1447*Resumo!$C$8</f>
        <v>1.285179</v>
      </c>
      <c r="Q1447" s="39" t="n">
        <f aca="false">Resumo!$C$10*CEILING(I1447/100,1)</f>
        <v>1.05</v>
      </c>
      <c r="R1447" s="39" t="n">
        <f aca="false">Resumo!$C$9</f>
        <v>0</v>
      </c>
      <c r="S1447" s="39" t="n">
        <f aca="false">Resumo!$C$13</f>
        <v>13.55</v>
      </c>
      <c r="T1447" s="39" t="n">
        <f aca="false">Resumo!$C$14*CEILING(I1447,1)</f>
        <v>22.5</v>
      </c>
      <c r="U1447" s="39" t="n">
        <f aca="false">SUM(M1447:T1447)*Resumo!$C$11</f>
        <v>0</v>
      </c>
      <c r="V1447" s="39" t="n">
        <f aca="false">SUM(M1447:U1447)</f>
        <v>117.370358</v>
      </c>
      <c r="W1447" s="39" t="n">
        <f aca="false">V1447/(1-Resumo!$C$5)</f>
        <v>133.375406818182</v>
      </c>
      <c r="X1447" s="39" t="n">
        <v>129.29</v>
      </c>
      <c r="Y1447" s="39" t="n">
        <f aca="false">J1447*Resumo!$B$6</f>
        <v>0.61199</v>
      </c>
      <c r="Z1447" s="39" t="n">
        <f aca="false">J1447*Resumo!$B$7</f>
        <v>1.22398</v>
      </c>
      <c r="AA1447" s="39" t="n">
        <f aca="false">Resumo!$B$9</f>
        <v>1</v>
      </c>
      <c r="AB1447" s="39" t="n">
        <f aca="false">Resumo!$B$10*CEILING(I1447/100,1)</f>
        <v>4.5</v>
      </c>
      <c r="AC1447" s="39" t="n">
        <f aca="false">Resumo!$B$12*CEILING(I1447,1)</f>
        <v>3</v>
      </c>
      <c r="AD1447" s="39" t="n">
        <f aca="false">Resumo!$B$14*CEILING(I1447,1)</f>
        <v>22.5</v>
      </c>
      <c r="AE1447" s="39" t="n">
        <f aca="false">SUM(X1447:AD1447)</f>
        <v>162.12597</v>
      </c>
      <c r="AF1447" s="39" t="n">
        <f aca="false">AE1447/(1-Resumo!$B$5)</f>
        <v>184.234056818182</v>
      </c>
      <c r="AG1447" s="39" t="n">
        <f aca="false">AF1447-W1447</f>
        <v>50.85865</v>
      </c>
      <c r="AH1447" s="40" t="n">
        <f aca="false">AF1447/W1447-1</f>
        <v>0.381319549182938</v>
      </c>
      <c r="AI1447" s="37" t="str">
        <f aca="false">IF(AF1447&lt;W1447,"SIM","NÃO")</f>
        <v>NÃO</v>
      </c>
      <c r="AJ1447" s="37" t="n">
        <v>13</v>
      </c>
      <c r="AK1447" s="37" t="n">
        <v>10</v>
      </c>
      <c r="AL1447" s="37" t="s">
        <v>347</v>
      </c>
      <c r="AM1447" s="39" t="n">
        <v>131.09</v>
      </c>
    </row>
    <row r="1448" customFormat="false" ht="15" hidden="false" customHeight="false" outlineLevel="0" collapsed="false">
      <c r="A1448" s="37" t="n">
        <v>385165833</v>
      </c>
      <c r="B1448" s="38" t="n">
        <v>46263.5053819444</v>
      </c>
      <c r="C1448" s="37" t="s">
        <v>345</v>
      </c>
      <c r="D1448" s="37" t="s">
        <v>1679</v>
      </c>
      <c r="E1448" s="37" t="n">
        <v>22753211</v>
      </c>
      <c r="F1448" s="37" t="s">
        <v>159</v>
      </c>
      <c r="G1448" s="37" t="s">
        <v>196</v>
      </c>
      <c r="H1448" s="37" t="s">
        <v>184</v>
      </c>
      <c r="I1448" s="37" t="n">
        <v>27.5</v>
      </c>
      <c r="J1448" s="39" t="n">
        <v>338</v>
      </c>
      <c r="K1448" s="37" t="s">
        <v>342</v>
      </c>
      <c r="L1448" s="39" t="n">
        <v>81.95</v>
      </c>
      <c r="M1448" s="39" t="n">
        <v>42.11</v>
      </c>
      <c r="N1448" s="39" t="n">
        <f aca="false">J1448*Resumo!$C$6</f>
        <v>0</v>
      </c>
      <c r="O1448" s="39" t="n">
        <f aca="false">J1448*Resumo!$C$7</f>
        <v>0.7098</v>
      </c>
      <c r="P1448" s="39" t="n">
        <f aca="false">J1448*Resumo!$C$8</f>
        <v>0.7098</v>
      </c>
      <c r="Q1448" s="39" t="n">
        <f aca="false">Resumo!$C$10*CEILING(I1448/100,1)</f>
        <v>1.05</v>
      </c>
      <c r="R1448" s="39" t="n">
        <f aca="false">Resumo!$C$9</f>
        <v>0</v>
      </c>
      <c r="S1448" s="39" t="n">
        <f aca="false">Resumo!$C$13</f>
        <v>13.55</v>
      </c>
      <c r="T1448" s="39" t="n">
        <f aca="false">Resumo!$C$14*CEILING(I1448,1)</f>
        <v>12.6</v>
      </c>
      <c r="U1448" s="39" t="n">
        <f aca="false">SUM(M1448:T1448)*Resumo!$C$11</f>
        <v>0</v>
      </c>
      <c r="V1448" s="39" t="n">
        <f aca="false">SUM(M1448:U1448)</f>
        <v>70.7296</v>
      </c>
      <c r="W1448" s="39" t="n">
        <f aca="false">V1448/(1-Resumo!$C$5)</f>
        <v>80.3745454545455</v>
      </c>
      <c r="X1448" s="39" t="n">
        <v>82.21</v>
      </c>
      <c r="Y1448" s="39" t="n">
        <f aca="false">J1448*Resumo!$B$6</f>
        <v>0.338</v>
      </c>
      <c r="Z1448" s="39" t="n">
        <f aca="false">J1448*Resumo!$B$7</f>
        <v>0.676</v>
      </c>
      <c r="AA1448" s="39" t="n">
        <f aca="false">Resumo!$B$9</f>
        <v>1</v>
      </c>
      <c r="AB1448" s="39" t="n">
        <f aca="false">Resumo!$B$10*CEILING(I1448/100,1)</f>
        <v>4.5</v>
      </c>
      <c r="AC1448" s="39" t="n">
        <f aca="false">Resumo!$B$12*CEILING(I1448,1)</f>
        <v>1.68</v>
      </c>
      <c r="AD1448" s="39" t="n">
        <f aca="false">Resumo!$B$14*CEILING(I1448,1)</f>
        <v>12.6</v>
      </c>
      <c r="AE1448" s="39" t="n">
        <f aca="false">SUM(X1448:AD1448)</f>
        <v>103.004</v>
      </c>
      <c r="AF1448" s="39" t="n">
        <f aca="false">AE1448/(1-Resumo!$B$5)</f>
        <v>117.05</v>
      </c>
      <c r="AG1448" s="39" t="n">
        <f aca="false">AF1448-W1448</f>
        <v>36.6754545454545</v>
      </c>
      <c r="AH1448" s="40" t="n">
        <f aca="false">AF1448/W1448-1</f>
        <v>0.456306836176085</v>
      </c>
      <c r="AI1448" s="37" t="str">
        <f aca="false">IF(AF1448&lt;W1448,"SIM","NÃO")</f>
        <v>NÃO</v>
      </c>
      <c r="AJ1448" s="37" t="n">
        <v>2</v>
      </c>
      <c r="AK1448" s="37" t="n">
        <v>5</v>
      </c>
      <c r="AL1448" s="37" t="s">
        <v>343</v>
      </c>
      <c r="AM1448" s="39" t="n">
        <v>81.94</v>
      </c>
    </row>
    <row r="1449" customFormat="false" ht="15" hidden="false" customHeight="false" outlineLevel="0" collapsed="false">
      <c r="A1449" s="37" t="n">
        <v>385178796</v>
      </c>
      <c r="B1449" s="38" t="n">
        <v>46263.5300694444</v>
      </c>
      <c r="C1449" s="37" t="s">
        <v>340</v>
      </c>
      <c r="D1449" s="37" t="s">
        <v>1680</v>
      </c>
      <c r="E1449" s="37" t="n">
        <v>23082220</v>
      </c>
      <c r="F1449" s="37" t="s">
        <v>159</v>
      </c>
      <c r="G1449" s="37" t="s">
        <v>196</v>
      </c>
      <c r="H1449" s="37" t="s">
        <v>188</v>
      </c>
      <c r="I1449" s="37" t="n">
        <v>69.15</v>
      </c>
      <c r="J1449" s="39" t="n">
        <v>859.99</v>
      </c>
      <c r="K1449" s="37" t="s">
        <v>342</v>
      </c>
      <c r="L1449" s="39" t="n">
        <v>125.33</v>
      </c>
      <c r="M1449" s="39" t="n">
        <v>63.21</v>
      </c>
      <c r="N1449" s="39" t="n">
        <f aca="false">J1449*Resumo!$C$6</f>
        <v>0</v>
      </c>
      <c r="O1449" s="39" t="n">
        <f aca="false">J1449*Resumo!$C$7</f>
        <v>1.805979</v>
      </c>
      <c r="P1449" s="39" t="n">
        <f aca="false">J1449*Resumo!$C$8</f>
        <v>1.805979</v>
      </c>
      <c r="Q1449" s="39" t="n">
        <f aca="false">Resumo!$C$10*CEILING(I1449/100,1)</f>
        <v>1.05</v>
      </c>
      <c r="R1449" s="39" t="n">
        <f aca="false">Resumo!$C$9</f>
        <v>0</v>
      </c>
      <c r="S1449" s="39" t="n">
        <f aca="false">Resumo!$C$13</f>
        <v>13.55</v>
      </c>
      <c r="T1449" s="39" t="n">
        <f aca="false">Resumo!$C$14*CEILING(I1449,1)</f>
        <v>31.5</v>
      </c>
      <c r="U1449" s="39" t="n">
        <f aca="false">SUM(M1449:T1449)*Resumo!$C$11</f>
        <v>0</v>
      </c>
      <c r="V1449" s="39" t="n">
        <f aca="false">SUM(M1449:U1449)</f>
        <v>112.921958</v>
      </c>
      <c r="W1449" s="39" t="n">
        <f aca="false">V1449/(1-Resumo!$C$5)</f>
        <v>128.320406818182</v>
      </c>
      <c r="X1449" s="39" t="n">
        <v>131.02</v>
      </c>
      <c r="Y1449" s="39" t="n">
        <f aca="false">J1449*Resumo!$B$6</f>
        <v>0.85999</v>
      </c>
      <c r="Z1449" s="39" t="n">
        <f aca="false">J1449*Resumo!$B$7</f>
        <v>1.71998</v>
      </c>
      <c r="AA1449" s="39" t="n">
        <f aca="false">Resumo!$B$9</f>
        <v>1</v>
      </c>
      <c r="AB1449" s="39" t="n">
        <f aca="false">Resumo!$B$10*CEILING(I1449/100,1)</f>
        <v>4.5</v>
      </c>
      <c r="AC1449" s="39" t="n">
        <f aca="false">Resumo!$B$12*CEILING(I1449,1)</f>
        <v>4.2</v>
      </c>
      <c r="AD1449" s="39" t="n">
        <f aca="false">Resumo!$B$14*CEILING(I1449,1)</f>
        <v>31.5</v>
      </c>
      <c r="AE1449" s="39" t="n">
        <f aca="false">SUM(X1449:AD1449)</f>
        <v>174.79997</v>
      </c>
      <c r="AF1449" s="39" t="n">
        <f aca="false">AE1449/(1-Resumo!$B$5)</f>
        <v>198.636329545455</v>
      </c>
      <c r="AG1449" s="39" t="n">
        <f aca="false">AF1449-W1449</f>
        <v>70.3159227272727</v>
      </c>
      <c r="AH1449" s="40" t="n">
        <f aca="false">AF1449/W1449-1</f>
        <v>0.547971476017091</v>
      </c>
      <c r="AI1449" s="37" t="str">
        <f aca="false">IF(AF1449&lt;W1449,"SIM","NÃO")</f>
        <v>NÃO</v>
      </c>
      <c r="AJ1449" s="37" t="n">
        <v>2</v>
      </c>
      <c r="AK1449" s="37" t="n">
        <v>5</v>
      </c>
      <c r="AL1449" s="37" t="s">
        <v>343</v>
      </c>
      <c r="AM1449" s="39" t="n">
        <v>125.33</v>
      </c>
    </row>
    <row r="1450" customFormat="false" ht="15" hidden="false" customHeight="false" outlineLevel="0" collapsed="false">
      <c r="A1450" s="37" t="n">
        <v>385206442</v>
      </c>
      <c r="B1450" s="38" t="n">
        <v>46263.5816203704</v>
      </c>
      <c r="C1450" s="37" t="s">
        <v>340</v>
      </c>
      <c r="D1450" s="37" t="s">
        <v>1681</v>
      </c>
      <c r="E1450" s="37" t="n">
        <v>26167570</v>
      </c>
      <c r="F1450" s="37" t="s">
        <v>165</v>
      </c>
      <c r="G1450" s="37" t="s">
        <v>197</v>
      </c>
      <c r="H1450" s="37" t="s">
        <v>185</v>
      </c>
      <c r="I1450" s="37" t="n">
        <v>35.3</v>
      </c>
      <c r="J1450" s="39" t="n">
        <v>499.99</v>
      </c>
      <c r="K1450" s="37" t="s">
        <v>342</v>
      </c>
      <c r="L1450" s="39" t="n">
        <v>113.35</v>
      </c>
      <c r="M1450" s="39" t="n">
        <v>66.83</v>
      </c>
      <c r="N1450" s="39" t="n">
        <f aca="false">J1450*Resumo!$C$6</f>
        <v>0</v>
      </c>
      <c r="O1450" s="39" t="n">
        <f aca="false">J1450*Resumo!$C$7</f>
        <v>1.049979</v>
      </c>
      <c r="P1450" s="39" t="n">
        <f aca="false">J1450*Resumo!$C$8</f>
        <v>1.049979</v>
      </c>
      <c r="Q1450" s="39" t="n">
        <f aca="false">Resumo!$C$10*CEILING(I1450/100,1)</f>
        <v>1.05</v>
      </c>
      <c r="R1450" s="39" t="n">
        <f aca="false">Resumo!$C$9</f>
        <v>0</v>
      </c>
      <c r="S1450" s="39" t="n">
        <f aca="false">Resumo!$C$13</f>
        <v>13.55</v>
      </c>
      <c r="T1450" s="39" t="n">
        <f aca="false">Resumo!$C$14*CEILING(I1450,1)</f>
        <v>16.2</v>
      </c>
      <c r="U1450" s="39" t="n">
        <f aca="false">SUM(M1450:T1450)*Resumo!$C$11</f>
        <v>0</v>
      </c>
      <c r="V1450" s="39" t="n">
        <f aca="false">SUM(M1450:U1450)</f>
        <v>99.729958</v>
      </c>
      <c r="W1450" s="39" t="n">
        <f aca="false">V1450/(1-Resumo!$C$5)</f>
        <v>113.329497727273</v>
      </c>
      <c r="X1450" s="39" t="n">
        <v>93.97</v>
      </c>
      <c r="Y1450" s="39" t="n">
        <f aca="false">J1450*Resumo!$B$6</f>
        <v>0.49999</v>
      </c>
      <c r="Z1450" s="39" t="n">
        <f aca="false">J1450*Resumo!$B$7</f>
        <v>0.99998</v>
      </c>
      <c r="AA1450" s="39" t="n">
        <f aca="false">Resumo!$B$9</f>
        <v>1</v>
      </c>
      <c r="AB1450" s="39" t="n">
        <f aca="false">Resumo!$B$10*CEILING(I1450/100,1)</f>
        <v>4.5</v>
      </c>
      <c r="AC1450" s="39" t="n">
        <f aca="false">Resumo!$B$12*CEILING(I1450,1)</f>
        <v>2.16</v>
      </c>
      <c r="AD1450" s="39" t="n">
        <f aca="false">Resumo!$B$14*CEILING(I1450,1)</f>
        <v>16.2</v>
      </c>
      <c r="AE1450" s="39" t="n">
        <f aca="false">SUM(X1450:AD1450)</f>
        <v>119.32997</v>
      </c>
      <c r="AF1450" s="39" t="n">
        <f aca="false">AE1450/(1-Resumo!$B$5)</f>
        <v>135.602238636364</v>
      </c>
      <c r="AG1450" s="39" t="n">
        <f aca="false">AF1450-W1450</f>
        <v>22.2727409090909</v>
      </c>
      <c r="AH1450" s="40" t="n">
        <f aca="false">AF1450/W1450-1</f>
        <v>0.19653083579961</v>
      </c>
      <c r="AI1450" s="37" t="str">
        <f aca="false">IF(AF1450&lt;W1450,"SIM","NÃO")</f>
        <v>NÃO</v>
      </c>
      <c r="AJ1450" s="37" t="n">
        <v>2</v>
      </c>
      <c r="AK1450" s="37" t="n">
        <v>5</v>
      </c>
      <c r="AL1450" s="37" t="s">
        <v>343</v>
      </c>
      <c r="AM1450" s="39" t="n">
        <v>113.35</v>
      </c>
    </row>
    <row r="1451" customFormat="false" ht="15" hidden="false" customHeight="false" outlineLevel="0" collapsed="false">
      <c r="A1451" s="37" t="n">
        <v>385211355</v>
      </c>
      <c r="B1451" s="38" t="n">
        <v>46263.5910763889</v>
      </c>
      <c r="C1451" s="37" t="s">
        <v>340</v>
      </c>
      <c r="D1451" s="37" t="s">
        <v>955</v>
      </c>
      <c r="E1451" s="37" t="n">
        <v>20765171</v>
      </c>
      <c r="F1451" s="37" t="s">
        <v>159</v>
      </c>
      <c r="G1451" s="37" t="s">
        <v>196</v>
      </c>
      <c r="H1451" s="37" t="s">
        <v>190</v>
      </c>
      <c r="I1451" s="37" t="n">
        <v>93.8</v>
      </c>
      <c r="J1451" s="39" t="n">
        <v>999.99</v>
      </c>
      <c r="K1451" s="37" t="s">
        <v>342</v>
      </c>
      <c r="L1451" s="39" t="n">
        <v>163.89</v>
      </c>
      <c r="M1451" s="39" t="n">
        <v>83.79</v>
      </c>
      <c r="N1451" s="39" t="n">
        <f aca="false">J1451*Resumo!$C$6</f>
        <v>0</v>
      </c>
      <c r="O1451" s="39" t="n">
        <f aca="false">J1451*Resumo!$C$7</f>
        <v>2.099979</v>
      </c>
      <c r="P1451" s="39" t="n">
        <f aca="false">J1451*Resumo!$C$8</f>
        <v>2.099979</v>
      </c>
      <c r="Q1451" s="39" t="n">
        <f aca="false">Resumo!$C$10*CEILING(I1451/100,1)</f>
        <v>1.05</v>
      </c>
      <c r="R1451" s="39" t="n">
        <f aca="false">Resumo!$C$9</f>
        <v>0</v>
      </c>
      <c r="S1451" s="39" t="n">
        <f aca="false">Resumo!$C$13</f>
        <v>13.55</v>
      </c>
      <c r="T1451" s="39" t="n">
        <f aca="false">Resumo!$C$14*CEILING(I1451,1)</f>
        <v>42.3</v>
      </c>
      <c r="U1451" s="39" t="n">
        <f aca="false">SUM(M1451:T1451)*Resumo!$C$11</f>
        <v>0</v>
      </c>
      <c r="V1451" s="39" t="n">
        <f aca="false">SUM(M1451:U1451)</f>
        <v>144.889958</v>
      </c>
      <c r="W1451" s="39" t="n">
        <f aca="false">V1451/(1-Resumo!$C$5)</f>
        <v>164.647679545455</v>
      </c>
      <c r="X1451" s="39" t="n">
        <v>167.99</v>
      </c>
      <c r="Y1451" s="39" t="n">
        <f aca="false">J1451*Resumo!$B$6</f>
        <v>0.99999</v>
      </c>
      <c r="Z1451" s="39" t="n">
        <f aca="false">J1451*Resumo!$B$7</f>
        <v>1.99998</v>
      </c>
      <c r="AA1451" s="39" t="n">
        <f aca="false">Resumo!$B$9</f>
        <v>1</v>
      </c>
      <c r="AB1451" s="39" t="n">
        <f aca="false">Resumo!$B$10*CEILING(I1451/100,1)</f>
        <v>4.5</v>
      </c>
      <c r="AC1451" s="39" t="n">
        <f aca="false">Resumo!$B$12*CEILING(I1451,1)</f>
        <v>5.64</v>
      </c>
      <c r="AD1451" s="39" t="n">
        <f aca="false">Resumo!$B$14*CEILING(I1451,1)</f>
        <v>42.3</v>
      </c>
      <c r="AE1451" s="39" t="n">
        <f aca="false">SUM(X1451:AD1451)</f>
        <v>224.42997</v>
      </c>
      <c r="AF1451" s="39" t="n">
        <f aca="false">AE1451/(1-Resumo!$B$5)</f>
        <v>255.034056818182</v>
      </c>
      <c r="AG1451" s="39" t="n">
        <f aca="false">AF1451-W1451</f>
        <v>90.3863772727273</v>
      </c>
      <c r="AH1451" s="40" t="n">
        <f aca="false">AF1451/W1451-1</f>
        <v>0.54896842471305</v>
      </c>
      <c r="AI1451" s="37" t="str">
        <f aca="false">IF(AF1451&lt;W1451,"SIM","NÃO")</f>
        <v>NÃO</v>
      </c>
      <c r="AJ1451" s="37" t="n">
        <v>2</v>
      </c>
      <c r="AK1451" s="37" t="n">
        <v>5</v>
      </c>
      <c r="AL1451" s="37" t="s">
        <v>343</v>
      </c>
      <c r="AM1451" s="39" t="n">
        <v>163.88</v>
      </c>
    </row>
    <row r="1452" customFormat="false" ht="15" hidden="false" customHeight="false" outlineLevel="0" collapsed="false">
      <c r="A1452" s="37" t="n">
        <v>385221301</v>
      </c>
      <c r="B1452" s="38" t="n">
        <v>46263.6106134259</v>
      </c>
      <c r="C1452" s="37" t="s">
        <v>340</v>
      </c>
      <c r="D1452" s="37" t="s">
        <v>1682</v>
      </c>
      <c r="E1452" s="37" t="n">
        <v>25040220</v>
      </c>
      <c r="F1452" s="37" t="s">
        <v>161</v>
      </c>
      <c r="G1452" s="37" t="s">
        <v>197</v>
      </c>
      <c r="H1452" s="37" t="s">
        <v>191</v>
      </c>
      <c r="I1452" s="37" t="n">
        <v>106.5</v>
      </c>
      <c r="J1452" s="39" t="n">
        <v>1077.9</v>
      </c>
      <c r="K1452" s="37" t="s">
        <v>342</v>
      </c>
      <c r="L1452" s="39" t="n">
        <v>195.01</v>
      </c>
      <c r="M1452" s="39" t="n">
        <v>101.26</v>
      </c>
      <c r="N1452" s="39" t="n">
        <f aca="false">J1452*Resumo!$C$6</f>
        <v>0</v>
      </c>
      <c r="O1452" s="39" t="n">
        <f aca="false">J1452*Resumo!$C$7</f>
        <v>2.26359</v>
      </c>
      <c r="P1452" s="39" t="n">
        <f aca="false">J1452*Resumo!$C$8</f>
        <v>2.26359</v>
      </c>
      <c r="Q1452" s="39" t="n">
        <f aca="false">Resumo!$C$10*CEILING(I1452/100,1)</f>
        <v>2.1</v>
      </c>
      <c r="R1452" s="39" t="n">
        <f aca="false">Resumo!$C$9</f>
        <v>0</v>
      </c>
      <c r="S1452" s="39" t="n">
        <f aca="false">Resumo!$C$13</f>
        <v>13.55</v>
      </c>
      <c r="T1452" s="39" t="n">
        <f aca="false">Resumo!$C$14*CEILING(I1452,1)</f>
        <v>48.15</v>
      </c>
      <c r="U1452" s="39" t="n">
        <f aca="false">SUM(M1452:T1452)*Resumo!$C$11</f>
        <v>0</v>
      </c>
      <c r="V1452" s="39" t="n">
        <f aca="false">SUM(M1452:U1452)</f>
        <v>169.58718</v>
      </c>
      <c r="W1452" s="39" t="n">
        <f aca="false">V1452/(1-Resumo!$C$5)</f>
        <v>192.712704545455</v>
      </c>
      <c r="X1452" s="39" t="n">
        <v>201.59</v>
      </c>
      <c r="Y1452" s="39" t="n">
        <f aca="false">J1452*Resumo!$B$6</f>
        <v>1.0779</v>
      </c>
      <c r="Z1452" s="39" t="n">
        <f aca="false">J1452*Resumo!$B$7</f>
        <v>2.1558</v>
      </c>
      <c r="AA1452" s="39" t="n">
        <f aca="false">Resumo!$B$9</f>
        <v>1</v>
      </c>
      <c r="AB1452" s="39" t="n">
        <f aca="false">Resumo!$B$10*CEILING(I1452/100,1)</f>
        <v>9</v>
      </c>
      <c r="AC1452" s="39" t="n">
        <f aca="false">Resumo!$B$12*CEILING(I1452,1)</f>
        <v>6.42</v>
      </c>
      <c r="AD1452" s="39" t="n">
        <f aca="false">Resumo!$B$14*CEILING(I1452,1)</f>
        <v>48.15</v>
      </c>
      <c r="AE1452" s="39" t="n">
        <f aca="false">SUM(X1452:AD1452)</f>
        <v>269.3937</v>
      </c>
      <c r="AF1452" s="39" t="n">
        <f aca="false">AE1452/(1-Resumo!$B$5)</f>
        <v>306.129204545455</v>
      </c>
      <c r="AG1452" s="39" t="n">
        <f aca="false">AF1452-W1452</f>
        <v>113.4165</v>
      </c>
      <c r="AH1452" s="40" t="n">
        <f aca="false">AF1452/W1452-1</f>
        <v>0.588526326105546</v>
      </c>
      <c r="AI1452" s="37" t="str">
        <f aca="false">IF(AF1452&lt;W1452,"SIM","NÃO")</f>
        <v>NÃO</v>
      </c>
      <c r="AJ1452" s="37" t="n">
        <v>2</v>
      </c>
      <c r="AK1452" s="37" t="n">
        <v>5</v>
      </c>
      <c r="AL1452" s="37" t="s">
        <v>343</v>
      </c>
      <c r="AM1452" s="39" t="n">
        <v>195</v>
      </c>
    </row>
    <row r="1453" customFormat="false" ht="15" hidden="false" customHeight="false" outlineLevel="0" collapsed="false">
      <c r="A1453" s="37" t="n">
        <v>385247902</v>
      </c>
      <c r="B1453" s="38" t="n">
        <v>46263.6619675926</v>
      </c>
      <c r="C1453" s="37" t="s">
        <v>345</v>
      </c>
      <c r="D1453" s="37" t="s">
        <v>1683</v>
      </c>
      <c r="E1453" s="37" t="n">
        <v>22765430</v>
      </c>
      <c r="F1453" s="37" t="s">
        <v>159</v>
      </c>
      <c r="G1453" s="37" t="s">
        <v>196</v>
      </c>
      <c r="H1453" s="37" t="s">
        <v>188</v>
      </c>
      <c r="I1453" s="37" t="n">
        <v>69.15</v>
      </c>
      <c r="J1453" s="39" t="n">
        <v>697.84</v>
      </c>
      <c r="K1453" s="37" t="s">
        <v>342</v>
      </c>
      <c r="L1453" s="39" t="n">
        <v>124.56</v>
      </c>
      <c r="M1453" s="39" t="n">
        <v>63.21</v>
      </c>
      <c r="N1453" s="39" t="n">
        <f aca="false">J1453*Resumo!$C$6</f>
        <v>0</v>
      </c>
      <c r="O1453" s="39" t="n">
        <f aca="false">J1453*Resumo!$C$7</f>
        <v>1.465464</v>
      </c>
      <c r="P1453" s="39" t="n">
        <f aca="false">J1453*Resumo!$C$8</f>
        <v>1.465464</v>
      </c>
      <c r="Q1453" s="39" t="n">
        <f aca="false">Resumo!$C$10*CEILING(I1453/100,1)</f>
        <v>1.05</v>
      </c>
      <c r="R1453" s="39" t="n">
        <f aca="false">Resumo!$C$9</f>
        <v>0</v>
      </c>
      <c r="S1453" s="39" t="n">
        <f aca="false">Resumo!$C$13</f>
        <v>13.55</v>
      </c>
      <c r="T1453" s="39" t="n">
        <f aca="false">Resumo!$C$14*CEILING(I1453,1)</f>
        <v>31.5</v>
      </c>
      <c r="U1453" s="39" t="n">
        <f aca="false">SUM(M1453:T1453)*Resumo!$C$11</f>
        <v>0</v>
      </c>
      <c r="V1453" s="39" t="n">
        <f aca="false">SUM(M1453:U1453)</f>
        <v>112.240928</v>
      </c>
      <c r="W1453" s="39" t="n">
        <f aca="false">V1453/(1-Resumo!$C$5)</f>
        <v>127.546509090909</v>
      </c>
      <c r="X1453" s="39" t="n">
        <v>131.02</v>
      </c>
      <c r="Y1453" s="39" t="n">
        <f aca="false">J1453*Resumo!$B$6</f>
        <v>0.69784</v>
      </c>
      <c r="Z1453" s="39" t="n">
        <f aca="false">J1453*Resumo!$B$7</f>
        <v>1.39568</v>
      </c>
      <c r="AA1453" s="39" t="n">
        <f aca="false">Resumo!$B$9</f>
        <v>1</v>
      </c>
      <c r="AB1453" s="39" t="n">
        <f aca="false">Resumo!$B$10*CEILING(I1453/100,1)</f>
        <v>4.5</v>
      </c>
      <c r="AC1453" s="39" t="n">
        <f aca="false">Resumo!$B$12*CEILING(I1453,1)</f>
        <v>4.2</v>
      </c>
      <c r="AD1453" s="39" t="n">
        <f aca="false">Resumo!$B$14*CEILING(I1453,1)</f>
        <v>31.5</v>
      </c>
      <c r="AE1453" s="39" t="n">
        <f aca="false">SUM(X1453:AD1453)</f>
        <v>174.31352</v>
      </c>
      <c r="AF1453" s="39" t="n">
        <f aca="false">AE1453/(1-Resumo!$B$5)</f>
        <v>198.083545454545</v>
      </c>
      <c r="AG1453" s="39" t="n">
        <f aca="false">AF1453-W1453</f>
        <v>70.5370363636364</v>
      </c>
      <c r="AH1453" s="40" t="n">
        <f aca="false">AF1453/W1453-1</f>
        <v>0.553029925055502</v>
      </c>
      <c r="AI1453" s="37" t="str">
        <f aca="false">IF(AF1453&lt;W1453,"SIM","NÃO")</f>
        <v>NÃO</v>
      </c>
      <c r="AJ1453" s="37" t="n">
        <v>2</v>
      </c>
      <c r="AK1453" s="37" t="n">
        <v>5</v>
      </c>
      <c r="AL1453" s="37" t="s">
        <v>343</v>
      </c>
      <c r="AM1453" s="39" t="n">
        <v>124.55</v>
      </c>
    </row>
    <row r="1454" customFormat="false" ht="15" hidden="false" customHeight="false" outlineLevel="0" collapsed="false">
      <c r="A1454" s="37" t="n">
        <v>385282833</v>
      </c>
      <c r="B1454" s="38" t="n">
        <v>46263.7193634259</v>
      </c>
      <c r="C1454" s="37" t="s">
        <v>345</v>
      </c>
      <c r="D1454" s="37" t="s">
        <v>1684</v>
      </c>
      <c r="E1454" s="37" t="n">
        <v>23575050</v>
      </c>
      <c r="F1454" s="37" t="s">
        <v>159</v>
      </c>
      <c r="G1454" s="37" t="s">
        <v>196</v>
      </c>
      <c r="H1454" s="37" t="s">
        <v>183</v>
      </c>
      <c r="I1454" s="37" t="n">
        <v>13.18</v>
      </c>
      <c r="J1454" s="39" t="n">
        <v>259.95</v>
      </c>
      <c r="K1454" s="37" t="s">
        <v>342</v>
      </c>
      <c r="L1454" s="39" t="n">
        <v>64.47</v>
      </c>
      <c r="M1454" s="39" t="n">
        <v>33.42</v>
      </c>
      <c r="N1454" s="39" t="n">
        <f aca="false">J1454*Resumo!$C$6</f>
        <v>0</v>
      </c>
      <c r="O1454" s="39" t="n">
        <f aca="false">J1454*Resumo!$C$7</f>
        <v>0.545895</v>
      </c>
      <c r="P1454" s="39" t="n">
        <f aca="false">J1454*Resumo!$C$8</f>
        <v>0.545895</v>
      </c>
      <c r="Q1454" s="39" t="n">
        <f aca="false">Resumo!$C$10*CEILING(I1454/100,1)</f>
        <v>1.05</v>
      </c>
      <c r="R1454" s="39" t="n">
        <f aca="false">Resumo!$C$9</f>
        <v>0</v>
      </c>
      <c r="S1454" s="39" t="n">
        <f aca="false">Resumo!$C$13</f>
        <v>13.55</v>
      </c>
      <c r="T1454" s="39" t="n">
        <f aca="false">Resumo!$C$14*CEILING(I1454,1)</f>
        <v>6.3</v>
      </c>
      <c r="U1454" s="39" t="n">
        <f aca="false">SUM(M1454:T1454)*Resumo!$C$11</f>
        <v>0</v>
      </c>
      <c r="V1454" s="39" t="n">
        <f aca="false">SUM(M1454:U1454)</f>
        <v>55.41179</v>
      </c>
      <c r="W1454" s="39" t="n">
        <f aca="false">V1454/(1-Resumo!$C$5)</f>
        <v>62.9679431818182</v>
      </c>
      <c r="X1454" s="39" t="n">
        <v>46.98</v>
      </c>
      <c r="Y1454" s="39" t="n">
        <f aca="false">J1454*Resumo!$B$6</f>
        <v>0.25995</v>
      </c>
      <c r="Z1454" s="39" t="n">
        <f aca="false">J1454*Resumo!$B$7</f>
        <v>0.5199</v>
      </c>
      <c r="AA1454" s="39" t="n">
        <f aca="false">Resumo!$B$9</f>
        <v>1</v>
      </c>
      <c r="AB1454" s="39" t="n">
        <f aca="false">Resumo!$B$10*CEILING(I1454/100,1)</f>
        <v>4.5</v>
      </c>
      <c r="AC1454" s="39" t="n">
        <f aca="false">Resumo!$B$12*CEILING(I1454,1)</f>
        <v>0.84</v>
      </c>
      <c r="AD1454" s="39" t="n">
        <f aca="false">Resumo!$B$14*CEILING(I1454,1)</f>
        <v>6.3</v>
      </c>
      <c r="AE1454" s="39" t="n">
        <f aca="false">SUM(X1454:AD1454)</f>
        <v>60.39985</v>
      </c>
      <c r="AF1454" s="39" t="n">
        <f aca="false">AE1454/(1-Resumo!$B$5)</f>
        <v>68.6361931818182</v>
      </c>
      <c r="AG1454" s="39" t="n">
        <f aca="false">AF1454-W1454</f>
        <v>5.66824999999999</v>
      </c>
      <c r="AH1454" s="40" t="n">
        <f aca="false">AF1454/W1454-1</f>
        <v>0.0900180268495205</v>
      </c>
      <c r="AI1454" s="37" t="str">
        <f aca="false">IF(AF1454&lt;W1454,"SIM","NÃO")</f>
        <v>NÃO</v>
      </c>
      <c r="AJ1454" s="37" t="n">
        <v>2</v>
      </c>
      <c r="AK1454" s="37" t="n">
        <v>5</v>
      </c>
      <c r="AL1454" s="37" t="s">
        <v>343</v>
      </c>
      <c r="AM1454" s="39" t="n">
        <v>64.46</v>
      </c>
    </row>
    <row r="1455" customFormat="false" ht="15" hidden="false" customHeight="false" outlineLevel="0" collapsed="false">
      <c r="A1455" s="37" t="n">
        <v>385321354</v>
      </c>
      <c r="B1455" s="38" t="n">
        <v>46263.7881018519</v>
      </c>
      <c r="C1455" s="37" t="s">
        <v>340</v>
      </c>
      <c r="D1455" s="37" t="s">
        <v>1685</v>
      </c>
      <c r="E1455" s="37" t="n">
        <v>25041130</v>
      </c>
      <c r="F1455" s="37" t="s">
        <v>161</v>
      </c>
      <c r="G1455" s="37" t="s">
        <v>197</v>
      </c>
      <c r="H1455" s="37" t="s">
        <v>186</v>
      </c>
      <c r="I1455" s="37" t="n">
        <v>44.6</v>
      </c>
      <c r="J1455" s="39" t="n">
        <v>549.99</v>
      </c>
      <c r="K1455" s="37" t="s">
        <v>342</v>
      </c>
      <c r="L1455" s="39" t="n">
        <v>116.7</v>
      </c>
      <c r="M1455" s="39" t="n">
        <v>65.36</v>
      </c>
      <c r="N1455" s="39" t="n">
        <f aca="false">J1455*Resumo!$C$6</f>
        <v>0</v>
      </c>
      <c r="O1455" s="39" t="n">
        <f aca="false">J1455*Resumo!$C$7</f>
        <v>1.154979</v>
      </c>
      <c r="P1455" s="39" t="n">
        <f aca="false">J1455*Resumo!$C$8</f>
        <v>1.154979</v>
      </c>
      <c r="Q1455" s="39" t="n">
        <f aca="false">Resumo!$C$10*CEILING(I1455/100,1)</f>
        <v>1.05</v>
      </c>
      <c r="R1455" s="39" t="n">
        <f aca="false">Resumo!$C$9</f>
        <v>0</v>
      </c>
      <c r="S1455" s="39" t="n">
        <f aca="false">Resumo!$C$13</f>
        <v>13.55</v>
      </c>
      <c r="T1455" s="39" t="n">
        <f aca="false">Resumo!$C$14*CEILING(I1455,1)</f>
        <v>20.25</v>
      </c>
      <c r="U1455" s="39" t="n">
        <f aca="false">SUM(M1455:T1455)*Resumo!$C$11</f>
        <v>0</v>
      </c>
      <c r="V1455" s="39" t="n">
        <f aca="false">SUM(M1455:U1455)</f>
        <v>102.519958</v>
      </c>
      <c r="W1455" s="39" t="n">
        <f aca="false">V1455/(1-Resumo!$C$5)</f>
        <v>116.499952272727</v>
      </c>
      <c r="X1455" s="39" t="n">
        <v>93.97</v>
      </c>
      <c r="Y1455" s="39" t="n">
        <f aca="false">J1455*Resumo!$B$6</f>
        <v>0.54999</v>
      </c>
      <c r="Z1455" s="39" t="n">
        <f aca="false">J1455*Resumo!$B$7</f>
        <v>1.09998</v>
      </c>
      <c r="AA1455" s="39" t="n">
        <f aca="false">Resumo!$B$9</f>
        <v>1</v>
      </c>
      <c r="AB1455" s="39" t="n">
        <f aca="false">Resumo!$B$10*CEILING(I1455/100,1)</f>
        <v>4.5</v>
      </c>
      <c r="AC1455" s="39" t="n">
        <f aca="false">Resumo!$B$12*CEILING(I1455,1)</f>
        <v>2.7</v>
      </c>
      <c r="AD1455" s="39" t="n">
        <f aca="false">Resumo!$B$14*CEILING(I1455,1)</f>
        <v>20.25</v>
      </c>
      <c r="AE1455" s="39" t="n">
        <f aca="false">SUM(X1455:AD1455)</f>
        <v>124.06997</v>
      </c>
      <c r="AF1455" s="39" t="n">
        <f aca="false">AE1455/(1-Resumo!$B$5)</f>
        <v>140.988602272727</v>
      </c>
      <c r="AG1455" s="39" t="n">
        <f aca="false">AF1455-W1455</f>
        <v>24.48865</v>
      </c>
      <c r="AH1455" s="40" t="n">
        <f aca="false">AF1455/W1455-1</f>
        <v>0.21020309040704</v>
      </c>
      <c r="AI1455" s="37" t="str">
        <f aca="false">IF(AF1455&lt;W1455,"SIM","NÃO")</f>
        <v>NÃO</v>
      </c>
      <c r="AJ1455" s="37" t="n">
        <v>2</v>
      </c>
      <c r="AK1455" s="37" t="n">
        <v>5</v>
      </c>
      <c r="AL1455" s="37" t="s">
        <v>343</v>
      </c>
      <c r="AM1455" s="39" t="n">
        <v>116.71</v>
      </c>
    </row>
    <row r="1456" customFormat="false" ht="15" hidden="false" customHeight="false" outlineLevel="0" collapsed="false">
      <c r="A1456" s="37" t="n">
        <v>385350376</v>
      </c>
      <c r="B1456" s="38" t="n">
        <v>46263.8332638889</v>
      </c>
      <c r="C1456" s="37" t="s">
        <v>345</v>
      </c>
      <c r="D1456" s="37" t="s">
        <v>1686</v>
      </c>
      <c r="E1456" s="37" t="n">
        <v>25931890</v>
      </c>
      <c r="F1456" s="37" t="s">
        <v>176</v>
      </c>
      <c r="G1456" s="37" t="s">
        <v>198</v>
      </c>
      <c r="H1456" s="37" t="s">
        <v>187</v>
      </c>
      <c r="I1456" s="37" t="n">
        <v>52.3</v>
      </c>
      <c r="J1456" s="39" t="n">
        <v>640.44</v>
      </c>
      <c r="K1456" s="37" t="s">
        <v>342</v>
      </c>
      <c r="L1456" s="39" t="n">
        <v>142.74</v>
      </c>
      <c r="M1456" s="39" t="n">
        <v>83.58</v>
      </c>
      <c r="N1456" s="39" t="n">
        <f aca="false">J1456*Resumo!$C$6</f>
        <v>0</v>
      </c>
      <c r="O1456" s="39" t="n">
        <f aca="false">J1456*Resumo!$C$7</f>
        <v>1.344924</v>
      </c>
      <c r="P1456" s="39" t="n">
        <f aca="false">J1456*Resumo!$C$8</f>
        <v>1.344924</v>
      </c>
      <c r="Q1456" s="39" t="n">
        <f aca="false">Resumo!$C$10*CEILING(I1456/100,1)</f>
        <v>1.05</v>
      </c>
      <c r="R1456" s="39" t="n">
        <f aca="false">Resumo!$C$9</f>
        <v>0</v>
      </c>
      <c r="S1456" s="39" t="n">
        <f aca="false">Resumo!$C$13</f>
        <v>13.55</v>
      </c>
      <c r="T1456" s="39" t="n">
        <f aca="false">Resumo!$C$14*CEILING(I1456,1)</f>
        <v>23.85</v>
      </c>
      <c r="U1456" s="39" t="n">
        <f aca="false">SUM(M1456:T1456)*Resumo!$C$11</f>
        <v>0</v>
      </c>
      <c r="V1456" s="39" t="n">
        <f aca="false">SUM(M1456:U1456)</f>
        <v>124.719848</v>
      </c>
      <c r="W1456" s="39" t="n">
        <f aca="false">V1456/(1-Resumo!$C$5)</f>
        <v>141.7271</v>
      </c>
      <c r="X1456" s="39" t="n">
        <v>127.03</v>
      </c>
      <c r="Y1456" s="39" t="n">
        <f aca="false">J1456*Resumo!$B$6</f>
        <v>0.64044</v>
      </c>
      <c r="Z1456" s="39" t="n">
        <f aca="false">J1456*Resumo!$B$7</f>
        <v>1.28088</v>
      </c>
      <c r="AA1456" s="39" t="n">
        <f aca="false">Resumo!$B$9</f>
        <v>1</v>
      </c>
      <c r="AB1456" s="39" t="n">
        <f aca="false">Resumo!$B$10*CEILING(I1456/100,1)</f>
        <v>4.5</v>
      </c>
      <c r="AC1456" s="39" t="n">
        <f aca="false">Resumo!$B$12*CEILING(I1456,1)</f>
        <v>3.18</v>
      </c>
      <c r="AD1456" s="39" t="n">
        <f aca="false">Resumo!$B$14*CEILING(I1456,1)</f>
        <v>23.85</v>
      </c>
      <c r="AE1456" s="39" t="n">
        <f aca="false">SUM(X1456:AD1456)</f>
        <v>161.48132</v>
      </c>
      <c r="AF1456" s="39" t="n">
        <f aca="false">AE1456/(1-Resumo!$B$5)</f>
        <v>183.5015</v>
      </c>
      <c r="AG1456" s="39" t="n">
        <f aca="false">AF1456-W1456</f>
        <v>41.7744</v>
      </c>
      <c r="AH1456" s="40" t="n">
        <f aca="false">AF1456/W1456-1</f>
        <v>0.294752379749533</v>
      </c>
      <c r="AI1456" s="37" t="str">
        <f aca="false">IF(AF1456&lt;W1456,"SIM","NÃO")</f>
        <v>NÃO</v>
      </c>
      <c r="AJ1456" s="37" t="n">
        <v>13</v>
      </c>
      <c r="AK1456" s="37" t="n">
        <v>6</v>
      </c>
      <c r="AL1456" s="37" t="s">
        <v>343</v>
      </c>
      <c r="AM1456" s="39" t="n">
        <v>142.74</v>
      </c>
    </row>
    <row r="1457" customFormat="false" ht="15" hidden="false" customHeight="false" outlineLevel="0" collapsed="false">
      <c r="A1457" s="37" t="n">
        <v>385361210</v>
      </c>
      <c r="B1457" s="38" t="n">
        <v>46263.85625</v>
      </c>
      <c r="C1457" s="37" t="s">
        <v>340</v>
      </c>
      <c r="D1457" s="37" t="s">
        <v>1687</v>
      </c>
      <c r="E1457" s="37" t="n">
        <v>25680000</v>
      </c>
      <c r="F1457" s="37" t="s">
        <v>170</v>
      </c>
      <c r="G1457" s="37" t="s">
        <v>198</v>
      </c>
      <c r="H1457" s="37" t="s">
        <v>186</v>
      </c>
      <c r="I1457" s="37" t="n">
        <v>46.8</v>
      </c>
      <c r="J1457" s="39" t="n">
        <v>599.99</v>
      </c>
      <c r="K1457" s="37" t="s">
        <v>342</v>
      </c>
      <c r="L1457" s="39" t="n">
        <v>131.03</v>
      </c>
      <c r="M1457" s="39" t="n">
        <v>77.7</v>
      </c>
      <c r="N1457" s="39" t="n">
        <f aca="false">J1457*Resumo!$C$6</f>
        <v>0</v>
      </c>
      <c r="O1457" s="39" t="n">
        <f aca="false">J1457*Resumo!$C$7</f>
        <v>1.259979</v>
      </c>
      <c r="P1457" s="39" t="n">
        <f aca="false">J1457*Resumo!$C$8</f>
        <v>1.259979</v>
      </c>
      <c r="Q1457" s="39" t="n">
        <f aca="false">Resumo!$C$10*CEILING(I1457/100,1)</f>
        <v>1.05</v>
      </c>
      <c r="R1457" s="39" t="n">
        <f aca="false">Resumo!$C$9</f>
        <v>0</v>
      </c>
      <c r="S1457" s="39" t="n">
        <f aca="false">Resumo!$C$13</f>
        <v>13.55</v>
      </c>
      <c r="T1457" s="39" t="n">
        <f aca="false">Resumo!$C$14*CEILING(I1457,1)</f>
        <v>21.15</v>
      </c>
      <c r="U1457" s="39" t="n">
        <f aca="false">SUM(M1457:T1457)*Resumo!$C$11</f>
        <v>0</v>
      </c>
      <c r="V1457" s="39" t="n">
        <f aca="false">SUM(M1457:U1457)</f>
        <v>115.969958</v>
      </c>
      <c r="W1457" s="39" t="n">
        <f aca="false">V1457/(1-Resumo!$C$5)</f>
        <v>131.784043181818</v>
      </c>
      <c r="X1457" s="39" t="n">
        <v>124.38</v>
      </c>
      <c r="Y1457" s="39" t="n">
        <f aca="false">J1457*Resumo!$B$6</f>
        <v>0.59999</v>
      </c>
      <c r="Z1457" s="39" t="n">
        <f aca="false">J1457*Resumo!$B$7</f>
        <v>1.19998</v>
      </c>
      <c r="AA1457" s="39" t="n">
        <f aca="false">Resumo!$B$9</f>
        <v>1</v>
      </c>
      <c r="AB1457" s="39" t="n">
        <f aca="false">Resumo!$B$10*CEILING(I1457/100,1)</f>
        <v>4.5</v>
      </c>
      <c r="AC1457" s="39" t="n">
        <f aca="false">Resumo!$B$12*CEILING(I1457,1)</f>
        <v>2.82</v>
      </c>
      <c r="AD1457" s="39" t="n">
        <f aca="false">Resumo!$B$14*CEILING(I1457,1)</f>
        <v>21.15</v>
      </c>
      <c r="AE1457" s="39" t="n">
        <f aca="false">SUM(X1457:AD1457)</f>
        <v>155.64997</v>
      </c>
      <c r="AF1457" s="39" t="n">
        <f aca="false">AE1457/(1-Resumo!$B$5)</f>
        <v>176.874965909091</v>
      </c>
      <c r="AG1457" s="39" t="n">
        <f aca="false">AF1457-W1457</f>
        <v>45.0909227272727</v>
      </c>
      <c r="AH1457" s="40" t="n">
        <f aca="false">AF1457/W1457-1</f>
        <v>0.342157681905861</v>
      </c>
      <c r="AI1457" s="37" t="str">
        <f aca="false">IF(AF1457&lt;W1457,"SIM","NÃO")</f>
        <v>NÃO</v>
      </c>
      <c r="AJ1457" s="37" t="n">
        <v>13</v>
      </c>
      <c r="AK1457" s="37" t="n">
        <v>8</v>
      </c>
      <c r="AL1457" s="37" t="s">
        <v>343</v>
      </c>
      <c r="AM1457" s="39" t="n">
        <v>131.04</v>
      </c>
    </row>
    <row r="1458" customFormat="false" ht="15" hidden="false" customHeight="false" outlineLevel="0" collapsed="false">
      <c r="A1458" s="37" t="n">
        <v>385409515</v>
      </c>
      <c r="B1458" s="38" t="n">
        <v>46263.9572453704</v>
      </c>
      <c r="C1458" s="37" t="s">
        <v>340</v>
      </c>
      <c r="D1458" s="37" t="s">
        <v>639</v>
      </c>
      <c r="E1458" s="37" t="n">
        <v>24910750</v>
      </c>
      <c r="F1458" s="37" t="s">
        <v>171</v>
      </c>
      <c r="G1458" s="37" t="s">
        <v>198</v>
      </c>
      <c r="H1458" s="37" t="s">
        <v>185</v>
      </c>
      <c r="I1458" s="37" t="n">
        <v>36.8</v>
      </c>
      <c r="J1458" s="39" t="n">
        <v>469.99</v>
      </c>
      <c r="K1458" s="37" t="s">
        <v>342</v>
      </c>
      <c r="L1458" s="39" t="n">
        <v>122.5</v>
      </c>
      <c r="M1458" s="39" t="n">
        <v>74.97</v>
      </c>
      <c r="N1458" s="39" t="n">
        <f aca="false">J1458*Resumo!$C$6</f>
        <v>0</v>
      </c>
      <c r="O1458" s="39" t="n">
        <f aca="false">J1458*Resumo!$C$7</f>
        <v>0.986979</v>
      </c>
      <c r="P1458" s="39" t="n">
        <f aca="false">J1458*Resumo!$C$8</f>
        <v>0.986979</v>
      </c>
      <c r="Q1458" s="39" t="n">
        <f aca="false">Resumo!$C$10*CEILING(I1458/100,1)</f>
        <v>1.05</v>
      </c>
      <c r="R1458" s="39" t="n">
        <f aca="false">Resumo!$C$9</f>
        <v>0</v>
      </c>
      <c r="S1458" s="39" t="n">
        <f aca="false">Resumo!$C$13</f>
        <v>13.55</v>
      </c>
      <c r="T1458" s="39" t="n">
        <f aca="false">Resumo!$C$14*CEILING(I1458,1)</f>
        <v>16.65</v>
      </c>
      <c r="U1458" s="39" t="n">
        <f aca="false">SUM(M1458:T1458)*Resumo!$C$11</f>
        <v>0</v>
      </c>
      <c r="V1458" s="39" t="n">
        <f aca="false">SUM(M1458:U1458)</f>
        <v>108.193958</v>
      </c>
      <c r="W1458" s="39" t="n">
        <f aca="false">V1458/(1-Resumo!$C$5)</f>
        <v>122.947679545455</v>
      </c>
      <c r="X1458" s="39" t="n">
        <v>114.95</v>
      </c>
      <c r="Y1458" s="39" t="n">
        <f aca="false">J1458*Resumo!$B$6</f>
        <v>0.46999</v>
      </c>
      <c r="Z1458" s="39" t="n">
        <f aca="false">J1458*Resumo!$B$7</f>
        <v>0.93998</v>
      </c>
      <c r="AA1458" s="39" t="n">
        <f aca="false">Resumo!$B$9</f>
        <v>1</v>
      </c>
      <c r="AB1458" s="39" t="n">
        <f aca="false">Resumo!$B$10*CEILING(I1458/100,1)</f>
        <v>4.5</v>
      </c>
      <c r="AC1458" s="39" t="n">
        <f aca="false">Resumo!$B$12*CEILING(I1458,1)</f>
        <v>2.22</v>
      </c>
      <c r="AD1458" s="39" t="n">
        <f aca="false">Resumo!$B$14*CEILING(I1458,1)</f>
        <v>16.65</v>
      </c>
      <c r="AE1458" s="39" t="n">
        <f aca="false">SUM(X1458:AD1458)</f>
        <v>140.72997</v>
      </c>
      <c r="AF1458" s="39" t="n">
        <f aca="false">AE1458/(1-Resumo!$B$5)</f>
        <v>159.920420454545</v>
      </c>
      <c r="AG1458" s="39" t="n">
        <f aca="false">AF1458-W1458</f>
        <v>36.9727409090909</v>
      </c>
      <c r="AH1458" s="40" t="n">
        <f aca="false">AF1458/W1458-1</f>
        <v>0.300719306340563</v>
      </c>
      <c r="AI1458" s="37" t="str">
        <f aca="false">IF(AF1458&lt;W1458,"SIM","NÃO")</f>
        <v>NÃO</v>
      </c>
      <c r="AJ1458" s="37" t="n">
        <v>13</v>
      </c>
      <c r="AK1458" s="37" t="n">
        <v>7</v>
      </c>
      <c r="AL1458" s="37" t="s">
        <v>343</v>
      </c>
      <c r="AM1458" s="39" t="n">
        <v>122.5</v>
      </c>
    </row>
    <row r="1459" customFormat="false" ht="15" hidden="false" customHeight="false" outlineLevel="0" collapsed="false">
      <c r="A1459" s="37" t="n">
        <v>385433694</v>
      </c>
      <c r="B1459" s="38" t="n">
        <v>46264.0006134259</v>
      </c>
      <c r="C1459" s="37" t="s">
        <v>340</v>
      </c>
      <c r="D1459" s="37" t="s">
        <v>1688</v>
      </c>
      <c r="E1459" s="37" t="n">
        <v>28623060</v>
      </c>
      <c r="F1459" s="37" t="s">
        <v>177</v>
      </c>
      <c r="G1459" s="37" t="s">
        <v>198</v>
      </c>
      <c r="H1459" s="37" t="s">
        <v>185</v>
      </c>
      <c r="I1459" s="37" t="n">
        <v>37.59</v>
      </c>
      <c r="J1459" s="39" t="n">
        <v>479.99</v>
      </c>
      <c r="K1459" s="37" t="s">
        <v>342</v>
      </c>
      <c r="L1459" s="39" t="n">
        <v>122.55</v>
      </c>
      <c r="M1459" s="39" t="n">
        <v>74.97</v>
      </c>
      <c r="N1459" s="39" t="n">
        <f aca="false">J1459*Resumo!$C$6</f>
        <v>0</v>
      </c>
      <c r="O1459" s="39" t="n">
        <f aca="false">J1459*Resumo!$C$7</f>
        <v>1.007979</v>
      </c>
      <c r="P1459" s="39" t="n">
        <f aca="false">J1459*Resumo!$C$8</f>
        <v>1.007979</v>
      </c>
      <c r="Q1459" s="39" t="n">
        <f aca="false">Resumo!$C$10*CEILING(I1459/100,1)</f>
        <v>1.05</v>
      </c>
      <c r="R1459" s="39" t="n">
        <f aca="false">Resumo!$C$9</f>
        <v>0</v>
      </c>
      <c r="S1459" s="39" t="n">
        <f aca="false">Resumo!$C$13</f>
        <v>13.55</v>
      </c>
      <c r="T1459" s="39" t="n">
        <f aca="false">Resumo!$C$14*CEILING(I1459,1)</f>
        <v>17.1</v>
      </c>
      <c r="U1459" s="39" t="n">
        <f aca="false">SUM(M1459:T1459)*Resumo!$C$11</f>
        <v>0</v>
      </c>
      <c r="V1459" s="39" t="n">
        <f aca="false">SUM(M1459:U1459)</f>
        <v>108.685958</v>
      </c>
      <c r="W1459" s="39" t="n">
        <f aca="false">V1459/(1-Resumo!$C$5)</f>
        <v>123.506770454545</v>
      </c>
      <c r="X1459" s="39" t="n">
        <v>125.63</v>
      </c>
      <c r="Y1459" s="39" t="n">
        <f aca="false">J1459*Resumo!$B$6</f>
        <v>0.47999</v>
      </c>
      <c r="Z1459" s="39" t="n">
        <f aca="false">J1459*Resumo!$B$7</f>
        <v>0.95998</v>
      </c>
      <c r="AA1459" s="39" t="n">
        <f aca="false">Resumo!$B$9</f>
        <v>1</v>
      </c>
      <c r="AB1459" s="39" t="n">
        <f aca="false">Resumo!$B$10*CEILING(I1459/100,1)</f>
        <v>4.5</v>
      </c>
      <c r="AC1459" s="39" t="n">
        <f aca="false">Resumo!$B$12*CEILING(I1459,1)</f>
        <v>2.28</v>
      </c>
      <c r="AD1459" s="39" t="n">
        <f aca="false">Resumo!$B$14*CEILING(I1459,1)</f>
        <v>17.1</v>
      </c>
      <c r="AE1459" s="39" t="n">
        <f aca="false">SUM(X1459:AD1459)</f>
        <v>151.94997</v>
      </c>
      <c r="AF1459" s="39" t="n">
        <f aca="false">AE1459/(1-Resumo!$B$5)</f>
        <v>172.670420454545</v>
      </c>
      <c r="AG1459" s="39" t="n">
        <f aca="false">AF1459-W1459</f>
        <v>49.16365</v>
      </c>
      <c r="AH1459" s="40" t="n">
        <f aca="false">AF1459/W1459-1</f>
        <v>0.398064412331904</v>
      </c>
      <c r="AI1459" s="37" t="str">
        <f aca="false">IF(AF1459&lt;W1459,"SIM","NÃO")</f>
        <v>NÃO</v>
      </c>
      <c r="AJ1459" s="37" t="n">
        <v>13</v>
      </c>
      <c r="AK1459" s="37" t="n">
        <v>10</v>
      </c>
      <c r="AL1459" s="37" t="s">
        <v>343</v>
      </c>
      <c r="AM1459" s="39" t="n">
        <v>122.55</v>
      </c>
    </row>
    <row r="1460" customFormat="false" ht="15" hidden="false" customHeight="false" outlineLevel="0" collapsed="false">
      <c r="A1460" s="37" t="n">
        <v>385490918</v>
      </c>
      <c r="B1460" s="38" t="n">
        <v>46264.0778935185</v>
      </c>
      <c r="C1460" s="37" t="s">
        <v>340</v>
      </c>
      <c r="D1460" s="37" t="s">
        <v>1689</v>
      </c>
      <c r="E1460" s="37" t="n">
        <v>28690430</v>
      </c>
      <c r="F1460" s="37" t="s">
        <v>283</v>
      </c>
      <c r="G1460" s="37" t="s">
        <v>198</v>
      </c>
      <c r="H1460" s="37" t="s">
        <v>184</v>
      </c>
      <c r="I1460" s="37" t="n">
        <v>30.94</v>
      </c>
      <c r="J1460" s="39" t="n">
        <v>419.99</v>
      </c>
      <c r="K1460" s="37" t="s">
        <v>342</v>
      </c>
      <c r="L1460" s="39" t="n">
        <v>109.19</v>
      </c>
      <c r="M1460" s="39" t="n">
        <v>65.63</v>
      </c>
      <c r="N1460" s="39" t="n">
        <f aca="false">J1460*Resumo!$C$6</f>
        <v>0</v>
      </c>
      <c r="O1460" s="39" t="n">
        <f aca="false">J1460*Resumo!$C$7</f>
        <v>0.881979</v>
      </c>
      <c r="P1460" s="39" t="n">
        <f aca="false">J1460*Resumo!$C$8</f>
        <v>0.881979</v>
      </c>
      <c r="Q1460" s="39" t="n">
        <f aca="false">Resumo!$C$10*CEILING(I1460/100,1)</f>
        <v>1.05</v>
      </c>
      <c r="R1460" s="39" t="n">
        <f aca="false">Resumo!$C$9</f>
        <v>0</v>
      </c>
      <c r="S1460" s="39" t="n">
        <f aca="false">Resumo!$C$13</f>
        <v>13.55</v>
      </c>
      <c r="T1460" s="39" t="n">
        <f aca="false">Resumo!$C$14*CEILING(I1460,1)</f>
        <v>13.95</v>
      </c>
      <c r="U1460" s="39" t="n">
        <f aca="false">SUM(M1460:T1460)*Resumo!$C$11</f>
        <v>0</v>
      </c>
      <c r="V1460" s="39" t="n">
        <f aca="false">SUM(M1460:U1460)</f>
        <v>95.943958</v>
      </c>
      <c r="W1460" s="39" t="n">
        <f aca="false">V1460/(1-Resumo!$C$5)</f>
        <v>109.027225</v>
      </c>
      <c r="X1460" s="39" t="n">
        <v>120.78</v>
      </c>
      <c r="Y1460" s="39" t="n">
        <f aca="false">J1460*Resumo!$B$6</f>
        <v>0.41999</v>
      </c>
      <c r="Z1460" s="39" t="n">
        <f aca="false">J1460*Resumo!$B$7</f>
        <v>0.83998</v>
      </c>
      <c r="AA1460" s="39" t="n">
        <f aca="false">Resumo!$B$9</f>
        <v>1</v>
      </c>
      <c r="AB1460" s="39" t="n">
        <f aca="false">Resumo!$B$10*CEILING(I1460/100,1)</f>
        <v>4.5</v>
      </c>
      <c r="AC1460" s="39" t="n">
        <f aca="false">Resumo!$B$12*CEILING(I1460,1)</f>
        <v>1.86</v>
      </c>
      <c r="AD1460" s="39" t="n">
        <f aca="false">Resumo!$B$14*CEILING(I1460,1)</f>
        <v>13.95</v>
      </c>
      <c r="AE1460" s="39" t="n">
        <f aca="false">SUM(X1460:AD1460)</f>
        <v>143.34997</v>
      </c>
      <c r="AF1460" s="39" t="n">
        <f aca="false">AE1460/(1-Resumo!$B$5)</f>
        <v>162.897693181818</v>
      </c>
      <c r="AG1460" s="39" t="n">
        <f aca="false">AF1460-W1460</f>
        <v>53.8704681818182</v>
      </c>
      <c r="AH1460" s="40" t="n">
        <f aca="false">AF1460/W1460-1</f>
        <v>0.494101066791512</v>
      </c>
      <c r="AI1460" s="37" t="str">
        <f aca="false">IF(AF1460&lt;W1460,"SIM","NÃO")</f>
        <v>NÃO</v>
      </c>
      <c r="AJ1460" s="37" t="n">
        <v>13</v>
      </c>
      <c r="AK1460" s="37" t="n">
        <v>10</v>
      </c>
      <c r="AL1460" s="37" t="s">
        <v>347</v>
      </c>
      <c r="AM1460" s="39" t="n">
        <v>109.19</v>
      </c>
    </row>
    <row r="1461" customFormat="false" ht="15" hidden="false" customHeight="false" outlineLevel="0" collapsed="false">
      <c r="A1461" s="37" t="n">
        <v>385863558</v>
      </c>
      <c r="B1461" s="38" t="n">
        <v>46264.4151157407</v>
      </c>
      <c r="C1461" s="37" t="s">
        <v>340</v>
      </c>
      <c r="D1461" s="37" t="s">
        <v>1690</v>
      </c>
      <c r="E1461" s="37" t="n">
        <v>24724565</v>
      </c>
      <c r="F1461" s="37" t="s">
        <v>160</v>
      </c>
      <c r="G1461" s="37" t="s">
        <v>197</v>
      </c>
      <c r="H1461" s="37" t="s">
        <v>186</v>
      </c>
      <c r="I1461" s="37" t="n">
        <v>46.8</v>
      </c>
      <c r="J1461" s="39" t="n">
        <v>599.99</v>
      </c>
      <c r="K1461" s="37" t="s">
        <v>342</v>
      </c>
      <c r="L1461" s="39" t="n">
        <v>116.95</v>
      </c>
      <c r="M1461" s="39" t="n">
        <v>65.36</v>
      </c>
      <c r="N1461" s="39" t="n">
        <f aca="false">J1461*Resumo!$C$6</f>
        <v>0</v>
      </c>
      <c r="O1461" s="39" t="n">
        <f aca="false">J1461*Resumo!$C$7</f>
        <v>1.259979</v>
      </c>
      <c r="P1461" s="39" t="n">
        <f aca="false">J1461*Resumo!$C$8</f>
        <v>1.259979</v>
      </c>
      <c r="Q1461" s="39" t="n">
        <f aca="false">Resumo!$C$10*CEILING(I1461/100,1)</f>
        <v>1.05</v>
      </c>
      <c r="R1461" s="39" t="n">
        <f aca="false">Resumo!$C$9</f>
        <v>0</v>
      </c>
      <c r="S1461" s="39" t="n">
        <f aca="false">Resumo!$C$13</f>
        <v>13.55</v>
      </c>
      <c r="T1461" s="39" t="n">
        <f aca="false">Resumo!$C$14*CEILING(I1461,1)</f>
        <v>21.15</v>
      </c>
      <c r="U1461" s="39" t="n">
        <f aca="false">SUM(M1461:T1461)*Resumo!$C$11</f>
        <v>0</v>
      </c>
      <c r="V1461" s="39" t="n">
        <f aca="false">SUM(M1461:U1461)</f>
        <v>103.629958</v>
      </c>
      <c r="W1461" s="39" t="n">
        <f aca="false">V1461/(1-Resumo!$C$5)</f>
        <v>117.761315909091</v>
      </c>
      <c r="X1461" s="39" t="n">
        <v>114.95</v>
      </c>
      <c r="Y1461" s="39" t="n">
        <f aca="false">J1461*Resumo!$B$6</f>
        <v>0.59999</v>
      </c>
      <c r="Z1461" s="39" t="n">
        <f aca="false">J1461*Resumo!$B$7</f>
        <v>1.19998</v>
      </c>
      <c r="AA1461" s="39" t="n">
        <f aca="false">Resumo!$B$9</f>
        <v>1</v>
      </c>
      <c r="AB1461" s="39" t="n">
        <f aca="false">Resumo!$B$10*CEILING(I1461/100,1)</f>
        <v>4.5</v>
      </c>
      <c r="AC1461" s="39" t="n">
        <f aca="false">Resumo!$B$12*CEILING(I1461,1)</f>
        <v>2.82</v>
      </c>
      <c r="AD1461" s="39" t="n">
        <f aca="false">Resumo!$B$14*CEILING(I1461,1)</f>
        <v>21.15</v>
      </c>
      <c r="AE1461" s="39" t="n">
        <f aca="false">SUM(X1461:AD1461)</f>
        <v>146.21997</v>
      </c>
      <c r="AF1461" s="39" t="n">
        <f aca="false">AE1461/(1-Resumo!$B$5)</f>
        <v>166.159056818182</v>
      </c>
      <c r="AG1461" s="39" t="n">
        <f aca="false">AF1461-W1461</f>
        <v>48.3977409090909</v>
      </c>
      <c r="AH1461" s="40" t="n">
        <f aca="false">AF1461/W1461-1</f>
        <v>0.410981658411943</v>
      </c>
      <c r="AI1461" s="37" t="str">
        <f aca="false">IF(AF1461&lt;W1461,"SIM","NÃO")</f>
        <v>NÃO</v>
      </c>
      <c r="AJ1461" s="37" t="n">
        <v>2</v>
      </c>
      <c r="AK1461" s="37" t="n">
        <v>7</v>
      </c>
      <c r="AL1461" s="37" t="s">
        <v>343</v>
      </c>
      <c r="AM1461" s="39" t="n">
        <v>116.95</v>
      </c>
    </row>
    <row r="1462" customFormat="false" ht="15" hidden="false" customHeight="false" outlineLevel="0" collapsed="false">
      <c r="A1462" s="37" t="n">
        <v>385910859</v>
      </c>
      <c r="B1462" s="38" t="n">
        <v>46264.497962963</v>
      </c>
      <c r="C1462" s="37" t="s">
        <v>340</v>
      </c>
      <c r="D1462" s="37" t="s">
        <v>1691</v>
      </c>
      <c r="E1462" s="37" t="n">
        <v>27960186</v>
      </c>
      <c r="F1462" s="37" t="s">
        <v>166</v>
      </c>
      <c r="G1462" s="37" t="s">
        <v>198</v>
      </c>
      <c r="H1462" s="37" t="s">
        <v>184</v>
      </c>
      <c r="I1462" s="37" t="n">
        <v>33</v>
      </c>
      <c r="J1462" s="39" t="n">
        <v>429.99</v>
      </c>
      <c r="K1462" s="37" t="s">
        <v>342</v>
      </c>
      <c r="L1462" s="39" t="n">
        <v>109.24</v>
      </c>
      <c r="M1462" s="39" t="n">
        <v>65.63</v>
      </c>
      <c r="N1462" s="39" t="n">
        <f aca="false">J1462*Resumo!$C$6</f>
        <v>0</v>
      </c>
      <c r="O1462" s="39" t="n">
        <f aca="false">J1462*Resumo!$C$7</f>
        <v>0.902979</v>
      </c>
      <c r="P1462" s="39" t="n">
        <f aca="false">J1462*Resumo!$C$8</f>
        <v>0.902979</v>
      </c>
      <c r="Q1462" s="39" t="n">
        <f aca="false">Resumo!$C$10*CEILING(I1462/100,1)</f>
        <v>1.05</v>
      </c>
      <c r="R1462" s="39" t="n">
        <f aca="false">Resumo!$C$9</f>
        <v>0</v>
      </c>
      <c r="S1462" s="39" t="n">
        <f aca="false">Resumo!$C$13</f>
        <v>13.55</v>
      </c>
      <c r="T1462" s="39" t="n">
        <f aca="false">Resumo!$C$14*CEILING(I1462,1)</f>
        <v>14.85</v>
      </c>
      <c r="U1462" s="39" t="n">
        <f aca="false">SUM(M1462:T1462)*Resumo!$C$11</f>
        <v>0</v>
      </c>
      <c r="V1462" s="39" t="n">
        <f aca="false">SUM(M1462:U1462)</f>
        <v>96.885958</v>
      </c>
      <c r="W1462" s="39" t="n">
        <f aca="false">V1462/(1-Resumo!$C$5)</f>
        <v>110.097679545455</v>
      </c>
      <c r="X1462" s="39" t="n">
        <v>138.29</v>
      </c>
      <c r="Y1462" s="39" t="n">
        <f aca="false">J1462*Resumo!$B$6</f>
        <v>0.42999</v>
      </c>
      <c r="Z1462" s="39" t="n">
        <f aca="false">J1462*Resumo!$B$7</f>
        <v>0.85998</v>
      </c>
      <c r="AA1462" s="39" t="n">
        <f aca="false">Resumo!$B$9</f>
        <v>1</v>
      </c>
      <c r="AB1462" s="39" t="n">
        <f aca="false">Resumo!$B$10*CEILING(I1462/100,1)</f>
        <v>4.5</v>
      </c>
      <c r="AC1462" s="39" t="n">
        <f aca="false">Resumo!$B$12*CEILING(I1462,1)</f>
        <v>1.98</v>
      </c>
      <c r="AD1462" s="39" t="n">
        <f aca="false">Resumo!$B$14*CEILING(I1462,1)</f>
        <v>14.85</v>
      </c>
      <c r="AE1462" s="39" t="n">
        <f aca="false">SUM(X1462:AD1462)</f>
        <v>161.90997</v>
      </c>
      <c r="AF1462" s="39" t="n">
        <f aca="false">AE1462/(1-Resumo!$B$5)</f>
        <v>183.988602272727</v>
      </c>
      <c r="AG1462" s="39" t="n">
        <f aca="false">AF1462-W1462</f>
        <v>73.8909227272727</v>
      </c>
      <c r="AH1462" s="40" t="n">
        <f aca="false">AF1462/W1462-1</f>
        <v>0.671139691883937</v>
      </c>
      <c r="AI1462" s="37" t="str">
        <f aca="false">IF(AF1462&lt;W1462,"SIM","NÃO")</f>
        <v>NÃO</v>
      </c>
      <c r="AJ1462" s="37" t="n">
        <v>13</v>
      </c>
      <c r="AK1462" s="37" t="n">
        <v>11</v>
      </c>
      <c r="AL1462" s="37" t="s">
        <v>343</v>
      </c>
      <c r="AM1462" s="39" t="n">
        <v>109.24</v>
      </c>
    </row>
    <row r="1463" customFormat="false" ht="15" hidden="false" customHeight="false" outlineLevel="0" collapsed="false">
      <c r="A1463" s="37" t="n">
        <v>385954379</v>
      </c>
      <c r="B1463" s="38" t="n">
        <v>46264.5630787037</v>
      </c>
      <c r="C1463" s="37" t="s">
        <v>340</v>
      </c>
      <c r="D1463" s="37" t="s">
        <v>1692</v>
      </c>
      <c r="E1463" s="37" t="n">
        <v>26271360</v>
      </c>
      <c r="F1463" s="37" t="s">
        <v>162</v>
      </c>
      <c r="G1463" s="37" t="s">
        <v>197</v>
      </c>
      <c r="H1463" s="37" t="s">
        <v>185</v>
      </c>
      <c r="I1463" s="37" t="n">
        <v>37.2</v>
      </c>
      <c r="J1463" s="39" t="n">
        <v>366.5</v>
      </c>
      <c r="K1463" s="37" t="s">
        <v>342</v>
      </c>
      <c r="L1463" s="39" t="n">
        <v>112.7</v>
      </c>
      <c r="M1463" s="39" t="n">
        <v>66.83</v>
      </c>
      <c r="N1463" s="39" t="n">
        <f aca="false">J1463*Resumo!$C$6</f>
        <v>0</v>
      </c>
      <c r="O1463" s="39" t="n">
        <f aca="false">J1463*Resumo!$C$7</f>
        <v>0.76965</v>
      </c>
      <c r="P1463" s="39" t="n">
        <f aca="false">J1463*Resumo!$C$8</f>
        <v>0.76965</v>
      </c>
      <c r="Q1463" s="39" t="n">
        <f aca="false">Resumo!$C$10*CEILING(I1463/100,1)</f>
        <v>1.05</v>
      </c>
      <c r="R1463" s="39" t="n">
        <f aca="false">Resumo!$C$9</f>
        <v>0</v>
      </c>
      <c r="S1463" s="39" t="n">
        <f aca="false">Resumo!$C$13</f>
        <v>13.55</v>
      </c>
      <c r="T1463" s="39" t="n">
        <f aca="false">Resumo!$C$14*CEILING(I1463,1)</f>
        <v>17.1</v>
      </c>
      <c r="U1463" s="39" t="n">
        <f aca="false">SUM(M1463:T1463)*Resumo!$C$11</f>
        <v>0</v>
      </c>
      <c r="V1463" s="39" t="n">
        <f aca="false">SUM(M1463:U1463)</f>
        <v>100.0693</v>
      </c>
      <c r="W1463" s="39" t="n">
        <f aca="false">V1463/(1-Resumo!$C$5)</f>
        <v>113.715113636364</v>
      </c>
      <c r="X1463" s="39" t="n">
        <v>93.97</v>
      </c>
      <c r="Y1463" s="39" t="n">
        <f aca="false">J1463*Resumo!$B$6</f>
        <v>0.3665</v>
      </c>
      <c r="Z1463" s="39" t="n">
        <f aca="false">J1463*Resumo!$B$7</f>
        <v>0.733</v>
      </c>
      <c r="AA1463" s="39" t="n">
        <f aca="false">Resumo!$B$9</f>
        <v>1</v>
      </c>
      <c r="AB1463" s="39" t="n">
        <f aca="false">Resumo!$B$10*CEILING(I1463/100,1)</f>
        <v>4.5</v>
      </c>
      <c r="AC1463" s="39" t="n">
        <f aca="false">Resumo!$B$12*CEILING(I1463,1)</f>
        <v>2.28</v>
      </c>
      <c r="AD1463" s="39" t="n">
        <f aca="false">Resumo!$B$14*CEILING(I1463,1)</f>
        <v>17.1</v>
      </c>
      <c r="AE1463" s="39" t="n">
        <f aca="false">SUM(X1463:AD1463)</f>
        <v>119.9495</v>
      </c>
      <c r="AF1463" s="39" t="n">
        <f aca="false">AE1463/(1-Resumo!$B$5)</f>
        <v>136.30625</v>
      </c>
      <c r="AG1463" s="39" t="n">
        <f aca="false">AF1463-W1463</f>
        <v>22.5911363636364</v>
      </c>
      <c r="AH1463" s="40" t="n">
        <f aca="false">AF1463/W1463-1</f>
        <v>0.198664325622344</v>
      </c>
      <c r="AI1463" s="37" t="str">
        <f aca="false">IF(AF1463&lt;W1463,"SIM","NÃO")</f>
        <v>NÃO</v>
      </c>
      <c r="AJ1463" s="37" t="n">
        <v>2</v>
      </c>
      <c r="AK1463" s="37" t="n">
        <v>5</v>
      </c>
      <c r="AL1463" s="37" t="s">
        <v>343</v>
      </c>
      <c r="AM1463" s="39" t="n">
        <v>112.71</v>
      </c>
    </row>
    <row r="1464" customFormat="false" ht="15" hidden="false" customHeight="false" outlineLevel="0" collapsed="false">
      <c r="A1464" s="37" t="n">
        <v>386046900</v>
      </c>
      <c r="B1464" s="38" t="n">
        <v>46264.5783912037</v>
      </c>
      <c r="C1464" s="37" t="s">
        <v>345</v>
      </c>
      <c r="D1464" s="37" t="s">
        <v>1693</v>
      </c>
      <c r="E1464" s="37" t="n">
        <v>23058001</v>
      </c>
      <c r="F1464" s="37" t="s">
        <v>159</v>
      </c>
      <c r="G1464" s="37" t="s">
        <v>196</v>
      </c>
      <c r="H1464" s="37" t="s">
        <v>191</v>
      </c>
      <c r="I1464" s="37" t="n">
        <v>117.5</v>
      </c>
      <c r="J1464" s="39" t="n">
        <v>1252.9</v>
      </c>
      <c r="K1464" s="37" t="s">
        <v>342</v>
      </c>
      <c r="L1464" s="39" t="n">
        <v>185.66</v>
      </c>
      <c r="M1464" s="39" t="n">
        <v>92.34</v>
      </c>
      <c r="N1464" s="39" t="n">
        <f aca="false">J1464*Resumo!$C$6</f>
        <v>0</v>
      </c>
      <c r="O1464" s="39" t="n">
        <f aca="false">J1464*Resumo!$C$7</f>
        <v>2.63109</v>
      </c>
      <c r="P1464" s="39" t="n">
        <f aca="false">J1464*Resumo!$C$8</f>
        <v>2.63109</v>
      </c>
      <c r="Q1464" s="39" t="n">
        <f aca="false">Resumo!$C$10*CEILING(I1464/100,1)</f>
        <v>2.1</v>
      </c>
      <c r="R1464" s="39" t="n">
        <f aca="false">Resumo!$C$9</f>
        <v>0</v>
      </c>
      <c r="S1464" s="39" t="n">
        <f aca="false">Resumo!$C$13</f>
        <v>13.55</v>
      </c>
      <c r="T1464" s="39" t="n">
        <f aca="false">Resumo!$C$14*CEILING(I1464,1)</f>
        <v>53.1</v>
      </c>
      <c r="U1464" s="39" t="n">
        <f aca="false">SUM(M1464:T1464)*Resumo!$C$11</f>
        <v>0</v>
      </c>
      <c r="V1464" s="39" t="n">
        <f aca="false">SUM(M1464:U1464)</f>
        <v>166.35218</v>
      </c>
      <c r="W1464" s="39" t="n">
        <f aca="false">V1464/(1-Resumo!$C$5)</f>
        <v>189.036568181818</v>
      </c>
      <c r="X1464" s="39" t="n">
        <v>201.59</v>
      </c>
      <c r="Y1464" s="39" t="n">
        <f aca="false">J1464*Resumo!$B$6</f>
        <v>1.2529</v>
      </c>
      <c r="Z1464" s="39" t="n">
        <f aca="false">J1464*Resumo!$B$7</f>
        <v>2.5058</v>
      </c>
      <c r="AA1464" s="39" t="n">
        <f aca="false">Resumo!$B$9</f>
        <v>1</v>
      </c>
      <c r="AB1464" s="39" t="n">
        <f aca="false">Resumo!$B$10*CEILING(I1464/100,1)</f>
        <v>9</v>
      </c>
      <c r="AC1464" s="39" t="n">
        <f aca="false">Resumo!$B$12*CEILING(I1464,1)</f>
        <v>7.08</v>
      </c>
      <c r="AD1464" s="39" t="n">
        <f aca="false">Resumo!$B$14*CEILING(I1464,1)</f>
        <v>53.1</v>
      </c>
      <c r="AE1464" s="39" t="n">
        <f aca="false">SUM(X1464:AD1464)</f>
        <v>275.5287</v>
      </c>
      <c r="AF1464" s="39" t="n">
        <f aca="false">AE1464/(1-Resumo!$B$5)</f>
        <v>313.100795454545</v>
      </c>
      <c r="AG1464" s="39" t="n">
        <f aca="false">AF1464-W1464</f>
        <v>124.064227272727</v>
      </c>
      <c r="AH1464" s="40" t="n">
        <f aca="false">AF1464/W1464-1</f>
        <v>0.656297500880361</v>
      </c>
      <c r="AI1464" s="37" t="str">
        <f aca="false">IF(AF1464&lt;W1464,"SIM","NÃO")</f>
        <v>NÃO</v>
      </c>
      <c r="AJ1464" s="37" t="n">
        <v>2</v>
      </c>
      <c r="AK1464" s="37" t="n">
        <v>5</v>
      </c>
      <c r="AL1464" s="37" t="s">
        <v>343</v>
      </c>
      <c r="AM1464" s="39" t="n">
        <v>185.65</v>
      </c>
    </row>
    <row r="1465" customFormat="false" ht="15" hidden="false" customHeight="false" outlineLevel="0" collapsed="false">
      <c r="A1465" s="37" t="n">
        <v>386053353</v>
      </c>
      <c r="B1465" s="38" t="n">
        <v>46264.5876041667</v>
      </c>
      <c r="C1465" s="37" t="s">
        <v>345</v>
      </c>
      <c r="D1465" s="37" t="s">
        <v>1308</v>
      </c>
      <c r="E1465" s="37" t="n">
        <v>21745350</v>
      </c>
      <c r="F1465" s="37" t="s">
        <v>159</v>
      </c>
      <c r="G1465" s="37" t="s">
        <v>196</v>
      </c>
      <c r="H1465" s="37" t="s">
        <v>185</v>
      </c>
      <c r="I1465" s="37" t="n">
        <v>36.8</v>
      </c>
      <c r="J1465" s="39" t="n">
        <v>431.64</v>
      </c>
      <c r="K1465" s="37" t="s">
        <v>342</v>
      </c>
      <c r="L1465" s="39" t="n">
        <v>91.92</v>
      </c>
      <c r="M1465" s="39" t="n">
        <v>48.35</v>
      </c>
      <c r="N1465" s="39" t="n">
        <f aca="false">J1465*Resumo!$C$6</f>
        <v>0</v>
      </c>
      <c r="O1465" s="39" t="n">
        <f aca="false">J1465*Resumo!$C$7</f>
        <v>0.906444</v>
      </c>
      <c r="P1465" s="39" t="n">
        <f aca="false">J1465*Resumo!$C$8</f>
        <v>0.906444</v>
      </c>
      <c r="Q1465" s="39" t="n">
        <f aca="false">Resumo!$C$10*CEILING(I1465/100,1)</f>
        <v>1.05</v>
      </c>
      <c r="R1465" s="39" t="n">
        <f aca="false">Resumo!$C$9</f>
        <v>0</v>
      </c>
      <c r="S1465" s="39" t="n">
        <f aca="false">Resumo!$C$13</f>
        <v>13.55</v>
      </c>
      <c r="T1465" s="39" t="n">
        <f aca="false">Resumo!$C$14*CEILING(I1465,1)</f>
        <v>16.65</v>
      </c>
      <c r="U1465" s="39" t="n">
        <f aca="false">SUM(M1465:T1465)*Resumo!$C$11</f>
        <v>0</v>
      </c>
      <c r="V1465" s="39" t="n">
        <f aca="false">SUM(M1465:U1465)</f>
        <v>81.412888</v>
      </c>
      <c r="W1465" s="39" t="n">
        <f aca="false">V1465/(1-Resumo!$C$5)</f>
        <v>92.5146454545455</v>
      </c>
      <c r="X1465" s="39" t="n">
        <v>93.97</v>
      </c>
      <c r="Y1465" s="39" t="n">
        <f aca="false">J1465*Resumo!$B$6</f>
        <v>0.43164</v>
      </c>
      <c r="Z1465" s="39" t="n">
        <f aca="false">J1465*Resumo!$B$7</f>
        <v>0.86328</v>
      </c>
      <c r="AA1465" s="39" t="n">
        <f aca="false">Resumo!$B$9</f>
        <v>1</v>
      </c>
      <c r="AB1465" s="39" t="n">
        <f aca="false">Resumo!$B$10*CEILING(I1465/100,1)</f>
        <v>4.5</v>
      </c>
      <c r="AC1465" s="39" t="n">
        <f aca="false">Resumo!$B$12*CEILING(I1465,1)</f>
        <v>2.22</v>
      </c>
      <c r="AD1465" s="39" t="n">
        <f aca="false">Resumo!$B$14*CEILING(I1465,1)</f>
        <v>16.65</v>
      </c>
      <c r="AE1465" s="39" t="n">
        <f aca="false">SUM(X1465:AD1465)</f>
        <v>119.63492</v>
      </c>
      <c r="AF1465" s="39" t="n">
        <f aca="false">AE1465/(1-Resumo!$B$5)</f>
        <v>135.948772727273</v>
      </c>
      <c r="AG1465" s="39" t="n">
        <f aca="false">AF1465-W1465</f>
        <v>43.4341272727273</v>
      </c>
      <c r="AH1465" s="40" t="n">
        <f aca="false">AF1465/W1465-1</f>
        <v>0.469483799665724</v>
      </c>
      <c r="AI1465" s="37" t="str">
        <f aca="false">IF(AF1465&lt;W1465,"SIM","NÃO")</f>
        <v>NÃO</v>
      </c>
      <c r="AJ1465" s="37" t="n">
        <v>2</v>
      </c>
      <c r="AK1465" s="37" t="n">
        <v>5</v>
      </c>
      <c r="AL1465" s="37" t="s">
        <v>343</v>
      </c>
      <c r="AM1465" s="39" t="n">
        <v>91.92</v>
      </c>
    </row>
    <row r="1466" customFormat="false" ht="15" hidden="false" customHeight="false" outlineLevel="0" collapsed="false">
      <c r="A1466" s="37" t="n">
        <v>386006143</v>
      </c>
      <c r="B1466" s="38" t="n">
        <v>46264.6411689815</v>
      </c>
      <c r="C1466" s="37" t="s">
        <v>340</v>
      </c>
      <c r="D1466" s="37" t="s">
        <v>812</v>
      </c>
      <c r="E1466" s="37" t="n">
        <v>28637000</v>
      </c>
      <c r="F1466" s="37" t="s">
        <v>279</v>
      </c>
      <c r="G1466" s="37" t="s">
        <v>198</v>
      </c>
      <c r="H1466" s="37" t="s">
        <v>183</v>
      </c>
      <c r="I1466" s="37" t="n">
        <v>17</v>
      </c>
      <c r="J1466" s="39" t="n">
        <v>269.99</v>
      </c>
      <c r="K1466" s="37" t="s">
        <v>342</v>
      </c>
      <c r="L1466" s="39" t="n">
        <v>79.95</v>
      </c>
      <c r="M1466" s="39" t="n">
        <v>46.95</v>
      </c>
      <c r="N1466" s="39" t="n">
        <f aca="false">J1466*Resumo!$C$6</f>
        <v>0</v>
      </c>
      <c r="O1466" s="39" t="n">
        <f aca="false">J1466*Resumo!$C$7</f>
        <v>0.566979</v>
      </c>
      <c r="P1466" s="39" t="n">
        <f aca="false">J1466*Resumo!$C$8</f>
        <v>0.566979</v>
      </c>
      <c r="Q1466" s="39" t="n">
        <f aca="false">Resumo!$C$10*CEILING(I1466/100,1)</f>
        <v>1.05</v>
      </c>
      <c r="R1466" s="39" t="n">
        <f aca="false">Resumo!$C$9</f>
        <v>0</v>
      </c>
      <c r="S1466" s="39" t="n">
        <f aca="false">Resumo!$C$13</f>
        <v>13.55</v>
      </c>
      <c r="T1466" s="39" t="n">
        <f aca="false">Resumo!$C$14*CEILING(I1466,1)</f>
        <v>7.65</v>
      </c>
      <c r="U1466" s="39" t="n">
        <f aca="false">SUM(M1466:T1466)*Resumo!$C$11</f>
        <v>0</v>
      </c>
      <c r="V1466" s="39" t="n">
        <f aca="false">SUM(M1466:U1466)</f>
        <v>70.333958</v>
      </c>
      <c r="W1466" s="39" t="n">
        <f aca="false">V1466/(1-Resumo!$C$5)</f>
        <v>79.9249522727273</v>
      </c>
      <c r="X1466" s="39" t="n">
        <v>106.53</v>
      </c>
      <c r="Y1466" s="39" t="n">
        <f aca="false">J1466*Resumo!$B$6</f>
        <v>0.26999</v>
      </c>
      <c r="Z1466" s="39" t="n">
        <f aca="false">J1466*Resumo!$B$7</f>
        <v>0.53998</v>
      </c>
      <c r="AA1466" s="39" t="n">
        <f aca="false">Resumo!$B$9</f>
        <v>1</v>
      </c>
      <c r="AB1466" s="39" t="n">
        <f aca="false">Resumo!$B$10*CEILING(I1466/100,1)</f>
        <v>4.5</v>
      </c>
      <c r="AC1466" s="39" t="n">
        <f aca="false">Resumo!$B$12*CEILING(I1466,1)</f>
        <v>1.02</v>
      </c>
      <c r="AD1466" s="39" t="n">
        <f aca="false">Resumo!$B$14*CEILING(I1466,1)</f>
        <v>7.65</v>
      </c>
      <c r="AE1466" s="39" t="n">
        <f aca="false">SUM(X1466:AD1466)</f>
        <v>121.50997</v>
      </c>
      <c r="AF1466" s="39" t="n">
        <f aca="false">AE1466/(1-Resumo!$B$5)</f>
        <v>138.079511363636</v>
      </c>
      <c r="AG1466" s="39" t="n">
        <f aca="false">AF1466-W1466</f>
        <v>58.1545590909091</v>
      </c>
      <c r="AH1466" s="40" t="n">
        <f aca="false">AF1466/W1466-1</f>
        <v>0.727614561375886</v>
      </c>
      <c r="AI1466" s="37" t="str">
        <f aca="false">IF(AF1466&lt;W1466,"SIM","NÃO")</f>
        <v>NÃO</v>
      </c>
      <c r="AJ1466" s="37" t="n">
        <v>13</v>
      </c>
      <c r="AK1466" s="37" t="n">
        <v>10</v>
      </c>
      <c r="AL1466" s="37" t="s">
        <v>347</v>
      </c>
      <c r="AM1466" s="39" t="n">
        <v>79.95</v>
      </c>
    </row>
    <row r="1467" customFormat="false" ht="15" hidden="false" customHeight="false" outlineLevel="0" collapsed="false">
      <c r="A1467" s="37" t="n">
        <v>386101171</v>
      </c>
      <c r="B1467" s="38" t="n">
        <v>46264.6690625</v>
      </c>
      <c r="C1467" s="37" t="s">
        <v>345</v>
      </c>
      <c r="D1467" s="37" t="s">
        <v>1694</v>
      </c>
      <c r="E1467" s="37" t="n">
        <v>22710280</v>
      </c>
      <c r="F1467" s="37" t="s">
        <v>159</v>
      </c>
      <c r="G1467" s="37" t="s">
        <v>196</v>
      </c>
      <c r="H1467" s="37" t="s">
        <v>187</v>
      </c>
      <c r="I1467" s="37" t="n">
        <v>55</v>
      </c>
      <c r="J1467" s="39" t="n">
        <v>676</v>
      </c>
      <c r="K1467" s="37" t="s">
        <v>342</v>
      </c>
      <c r="L1467" s="39" t="n">
        <v>114.39</v>
      </c>
      <c r="M1467" s="39" t="n">
        <v>58.6</v>
      </c>
      <c r="N1467" s="39" t="n">
        <f aca="false">J1467*Resumo!$C$6</f>
        <v>0</v>
      </c>
      <c r="O1467" s="39" t="n">
        <f aca="false">J1467*Resumo!$C$7</f>
        <v>1.4196</v>
      </c>
      <c r="P1467" s="39" t="n">
        <f aca="false">J1467*Resumo!$C$8</f>
        <v>1.4196</v>
      </c>
      <c r="Q1467" s="39" t="n">
        <f aca="false">Resumo!$C$10*CEILING(I1467/100,1)</f>
        <v>1.05</v>
      </c>
      <c r="R1467" s="39" t="n">
        <f aca="false">Resumo!$C$9</f>
        <v>0</v>
      </c>
      <c r="S1467" s="39" t="n">
        <f aca="false">Resumo!$C$13</f>
        <v>13.55</v>
      </c>
      <c r="T1467" s="39" t="n">
        <f aca="false">Resumo!$C$14*CEILING(I1467,1)</f>
        <v>24.75</v>
      </c>
      <c r="U1467" s="39" t="n">
        <f aca="false">SUM(M1467:T1467)*Resumo!$C$11</f>
        <v>0</v>
      </c>
      <c r="V1467" s="39" t="n">
        <f aca="false">SUM(M1467:U1467)</f>
        <v>100.7892</v>
      </c>
      <c r="W1467" s="39" t="n">
        <f aca="false">V1467/(1-Resumo!$C$5)</f>
        <v>114.533181818182</v>
      </c>
      <c r="X1467" s="39" t="n">
        <v>112.3</v>
      </c>
      <c r="Y1467" s="39" t="n">
        <f aca="false">J1467*Resumo!$B$6</f>
        <v>0.676</v>
      </c>
      <c r="Z1467" s="39" t="n">
        <f aca="false">J1467*Resumo!$B$7</f>
        <v>1.352</v>
      </c>
      <c r="AA1467" s="39" t="n">
        <f aca="false">Resumo!$B$9</f>
        <v>1</v>
      </c>
      <c r="AB1467" s="39" t="n">
        <f aca="false">Resumo!$B$10*CEILING(I1467/100,1)</f>
        <v>4.5</v>
      </c>
      <c r="AC1467" s="39" t="n">
        <f aca="false">Resumo!$B$12*CEILING(I1467,1)</f>
        <v>3.3</v>
      </c>
      <c r="AD1467" s="39" t="n">
        <f aca="false">Resumo!$B$14*CEILING(I1467,1)</f>
        <v>24.75</v>
      </c>
      <c r="AE1467" s="39" t="n">
        <f aca="false">SUM(X1467:AD1467)</f>
        <v>147.878</v>
      </c>
      <c r="AF1467" s="39" t="n">
        <f aca="false">AE1467/(1-Resumo!$B$5)</f>
        <v>168.043181818182</v>
      </c>
      <c r="AG1467" s="39" t="n">
        <f aca="false">AF1467-W1467</f>
        <v>53.51</v>
      </c>
      <c r="AH1467" s="40" t="n">
        <f aca="false">AF1467/W1467-1</f>
        <v>0.467200850884817</v>
      </c>
      <c r="AI1467" s="37" t="str">
        <f aca="false">IF(AF1467&lt;W1467,"SIM","NÃO")</f>
        <v>NÃO</v>
      </c>
      <c r="AJ1467" s="37" t="n">
        <v>2</v>
      </c>
      <c r="AK1467" s="37" t="n">
        <v>5</v>
      </c>
      <c r="AL1467" s="37" t="s">
        <v>343</v>
      </c>
      <c r="AM1467" s="39" t="n">
        <v>114.39</v>
      </c>
    </row>
    <row r="1468" customFormat="false" ht="15" hidden="false" customHeight="false" outlineLevel="0" collapsed="false">
      <c r="A1468" s="37" t="n">
        <v>386028737</v>
      </c>
      <c r="B1468" s="38" t="n">
        <v>46264.6761226852</v>
      </c>
      <c r="C1468" s="37" t="s">
        <v>340</v>
      </c>
      <c r="D1468" s="37" t="s">
        <v>1075</v>
      </c>
      <c r="E1468" s="37" t="n">
        <v>23550570</v>
      </c>
      <c r="F1468" s="37" t="s">
        <v>159</v>
      </c>
      <c r="G1468" s="37" t="s">
        <v>196</v>
      </c>
      <c r="H1468" s="37" t="s">
        <v>191</v>
      </c>
      <c r="I1468" s="37" t="n">
        <v>106.5</v>
      </c>
      <c r="J1468" s="39" t="n">
        <v>1077.9</v>
      </c>
      <c r="K1468" s="37" t="s">
        <v>342</v>
      </c>
      <c r="L1468" s="39" t="n">
        <v>184.82</v>
      </c>
      <c r="M1468" s="39" t="n">
        <v>92.34</v>
      </c>
      <c r="N1468" s="39" t="n">
        <f aca="false">J1468*Resumo!$C$6</f>
        <v>0</v>
      </c>
      <c r="O1468" s="39" t="n">
        <f aca="false">J1468*Resumo!$C$7</f>
        <v>2.26359</v>
      </c>
      <c r="P1468" s="39" t="n">
        <f aca="false">J1468*Resumo!$C$8</f>
        <v>2.26359</v>
      </c>
      <c r="Q1468" s="39" t="n">
        <f aca="false">Resumo!$C$10*CEILING(I1468/100,1)</f>
        <v>2.1</v>
      </c>
      <c r="R1468" s="39" t="n">
        <f aca="false">Resumo!$C$9</f>
        <v>0</v>
      </c>
      <c r="S1468" s="39" t="n">
        <f aca="false">Resumo!$C$13</f>
        <v>13.55</v>
      </c>
      <c r="T1468" s="39" t="n">
        <f aca="false">Resumo!$C$14*CEILING(I1468,1)</f>
        <v>48.15</v>
      </c>
      <c r="U1468" s="39" t="n">
        <f aca="false">SUM(M1468:T1468)*Resumo!$C$11</f>
        <v>0</v>
      </c>
      <c r="V1468" s="39" t="n">
        <f aca="false">SUM(M1468:U1468)</f>
        <v>160.66718</v>
      </c>
      <c r="W1468" s="39" t="n">
        <f aca="false">V1468/(1-Resumo!$C$5)</f>
        <v>182.576340909091</v>
      </c>
      <c r="X1468" s="39" t="n">
        <v>201.59</v>
      </c>
      <c r="Y1468" s="39" t="n">
        <f aca="false">J1468*Resumo!$B$6</f>
        <v>1.0779</v>
      </c>
      <c r="Z1468" s="39" t="n">
        <f aca="false">J1468*Resumo!$B$7</f>
        <v>2.1558</v>
      </c>
      <c r="AA1468" s="39" t="n">
        <f aca="false">Resumo!$B$9</f>
        <v>1</v>
      </c>
      <c r="AB1468" s="39" t="n">
        <f aca="false">Resumo!$B$10*CEILING(I1468/100,1)</f>
        <v>9</v>
      </c>
      <c r="AC1468" s="39" t="n">
        <f aca="false">Resumo!$B$12*CEILING(I1468,1)</f>
        <v>6.42</v>
      </c>
      <c r="AD1468" s="39" t="n">
        <f aca="false">Resumo!$B$14*CEILING(I1468,1)</f>
        <v>48.15</v>
      </c>
      <c r="AE1468" s="39" t="n">
        <f aca="false">SUM(X1468:AD1468)</f>
        <v>269.3937</v>
      </c>
      <c r="AF1468" s="39" t="n">
        <f aca="false">AE1468/(1-Resumo!$B$5)</f>
        <v>306.129204545455</v>
      </c>
      <c r="AG1468" s="39" t="n">
        <f aca="false">AF1468-W1468</f>
        <v>123.552863636364</v>
      </c>
      <c r="AH1468" s="40" t="n">
        <f aca="false">AF1468/W1468-1</f>
        <v>0.676718916707195</v>
      </c>
      <c r="AI1468" s="37" t="str">
        <f aca="false">IF(AF1468&lt;W1468,"SIM","NÃO")</f>
        <v>NÃO</v>
      </c>
      <c r="AJ1468" s="37" t="n">
        <v>2</v>
      </c>
      <c r="AK1468" s="37" t="n">
        <v>5</v>
      </c>
      <c r="AL1468" s="37" t="s">
        <v>343</v>
      </c>
      <c r="AM1468" s="39" t="n">
        <v>184.81</v>
      </c>
    </row>
    <row r="1469" customFormat="false" ht="15" hidden="false" customHeight="false" outlineLevel="0" collapsed="false">
      <c r="A1469" s="37" t="n">
        <v>386038391</v>
      </c>
      <c r="B1469" s="38" t="n">
        <v>46264.6938310185</v>
      </c>
      <c r="C1469" s="37" t="s">
        <v>372</v>
      </c>
      <c r="D1469" s="37" t="s">
        <v>1695</v>
      </c>
      <c r="E1469" s="37" t="n">
        <v>25213160</v>
      </c>
      <c r="F1469" s="37" t="s">
        <v>161</v>
      </c>
      <c r="G1469" s="37" t="s">
        <v>197</v>
      </c>
      <c r="H1469" s="37" t="s">
        <v>191</v>
      </c>
      <c r="I1469" s="37" t="n">
        <v>106.5</v>
      </c>
      <c r="J1469" s="39" t="n">
        <v>947.49</v>
      </c>
      <c r="K1469" s="37" t="s">
        <v>342</v>
      </c>
      <c r="L1469" s="39" t="n">
        <v>194.36</v>
      </c>
      <c r="M1469" s="39" t="n">
        <v>101.26</v>
      </c>
      <c r="N1469" s="39" t="n">
        <f aca="false">J1469*Resumo!$C$6</f>
        <v>0</v>
      </c>
      <c r="O1469" s="39" t="n">
        <f aca="false">J1469*Resumo!$C$7</f>
        <v>1.989729</v>
      </c>
      <c r="P1469" s="39" t="n">
        <f aca="false">J1469*Resumo!$C$8</f>
        <v>1.989729</v>
      </c>
      <c r="Q1469" s="39" t="n">
        <f aca="false">Resumo!$C$10*CEILING(I1469/100,1)</f>
        <v>2.1</v>
      </c>
      <c r="R1469" s="39" t="n">
        <f aca="false">Resumo!$C$9</f>
        <v>0</v>
      </c>
      <c r="S1469" s="39" t="n">
        <f aca="false">Resumo!$C$13</f>
        <v>13.55</v>
      </c>
      <c r="T1469" s="39" t="n">
        <f aca="false">Resumo!$C$14*CEILING(I1469,1)</f>
        <v>48.15</v>
      </c>
      <c r="U1469" s="39" t="n">
        <f aca="false">SUM(M1469:T1469)*Resumo!$C$11</f>
        <v>0</v>
      </c>
      <c r="V1469" s="39" t="n">
        <f aca="false">SUM(M1469:U1469)</f>
        <v>169.039458</v>
      </c>
      <c r="W1469" s="39" t="n">
        <f aca="false">V1469/(1-Resumo!$C$5)</f>
        <v>192.090293181818</v>
      </c>
      <c r="X1469" s="39" t="n">
        <v>201.59</v>
      </c>
      <c r="Y1469" s="39" t="n">
        <f aca="false">J1469*Resumo!$B$6</f>
        <v>0.94749</v>
      </c>
      <c r="Z1469" s="39" t="n">
        <f aca="false">J1469*Resumo!$B$7</f>
        <v>1.89498</v>
      </c>
      <c r="AA1469" s="39" t="n">
        <f aca="false">Resumo!$B$9</f>
        <v>1</v>
      </c>
      <c r="AB1469" s="39" t="n">
        <f aca="false">Resumo!$B$10*CEILING(I1469/100,1)</f>
        <v>9</v>
      </c>
      <c r="AC1469" s="39" t="n">
        <f aca="false">Resumo!$B$12*CEILING(I1469,1)</f>
        <v>6.42</v>
      </c>
      <c r="AD1469" s="39" t="n">
        <f aca="false">Resumo!$B$14*CEILING(I1469,1)</f>
        <v>48.15</v>
      </c>
      <c r="AE1469" s="39" t="n">
        <f aca="false">SUM(X1469:AD1469)</f>
        <v>269.00247</v>
      </c>
      <c r="AF1469" s="39" t="n">
        <f aca="false">AE1469/(1-Resumo!$B$5)</f>
        <v>305.684625</v>
      </c>
      <c r="AG1469" s="39" t="n">
        <f aca="false">AF1469-W1469</f>
        <v>113.594331818182</v>
      </c>
      <c r="AH1469" s="40" t="n">
        <f aca="false">AF1469/W1469-1</f>
        <v>0.591359042336731</v>
      </c>
      <c r="AI1469" s="37" t="str">
        <f aca="false">IF(AF1469&lt;W1469,"SIM","NÃO")</f>
        <v>NÃO</v>
      </c>
      <c r="AJ1469" s="37" t="n">
        <v>2</v>
      </c>
      <c r="AK1469" s="37" t="n">
        <v>5</v>
      </c>
      <c r="AL1469" s="37" t="s">
        <v>343</v>
      </c>
      <c r="AM1469" s="39" t="n">
        <v>194.37</v>
      </c>
    </row>
    <row r="1470" customFormat="false" ht="15" hidden="false" customHeight="false" outlineLevel="0" collapsed="false">
      <c r="A1470" s="37" t="n">
        <v>386062475</v>
      </c>
      <c r="B1470" s="38" t="n">
        <v>46264.7291550926</v>
      </c>
      <c r="C1470" s="37" t="s">
        <v>340</v>
      </c>
      <c r="D1470" s="37" t="s">
        <v>1696</v>
      </c>
      <c r="E1470" s="37" t="n">
        <v>20230240</v>
      </c>
      <c r="F1470" s="37" t="s">
        <v>159</v>
      </c>
      <c r="G1470" s="37" t="s">
        <v>196</v>
      </c>
      <c r="H1470" s="37" t="s">
        <v>191</v>
      </c>
      <c r="I1470" s="37" t="n">
        <v>106.5</v>
      </c>
      <c r="J1470" s="39" t="n">
        <v>1077.9</v>
      </c>
      <c r="K1470" s="37" t="s">
        <v>342</v>
      </c>
      <c r="L1470" s="39" t="n">
        <v>184.82</v>
      </c>
      <c r="M1470" s="39" t="n">
        <v>92.34</v>
      </c>
      <c r="N1470" s="39" t="n">
        <f aca="false">J1470*Resumo!$C$6</f>
        <v>0</v>
      </c>
      <c r="O1470" s="39" t="n">
        <f aca="false">J1470*Resumo!$C$7</f>
        <v>2.26359</v>
      </c>
      <c r="P1470" s="39" t="n">
        <f aca="false">J1470*Resumo!$C$8</f>
        <v>2.26359</v>
      </c>
      <c r="Q1470" s="39" t="n">
        <f aca="false">Resumo!$C$10*CEILING(I1470/100,1)</f>
        <v>2.1</v>
      </c>
      <c r="R1470" s="39" t="n">
        <f aca="false">Resumo!$C$9</f>
        <v>0</v>
      </c>
      <c r="S1470" s="39" t="n">
        <f aca="false">Resumo!$C$13</f>
        <v>13.55</v>
      </c>
      <c r="T1470" s="39" t="n">
        <f aca="false">Resumo!$C$14*CEILING(I1470,1)</f>
        <v>48.15</v>
      </c>
      <c r="U1470" s="39" t="n">
        <f aca="false">SUM(M1470:T1470)*Resumo!$C$11</f>
        <v>0</v>
      </c>
      <c r="V1470" s="39" t="n">
        <f aca="false">SUM(M1470:U1470)</f>
        <v>160.66718</v>
      </c>
      <c r="W1470" s="39" t="n">
        <f aca="false">V1470/(1-Resumo!$C$5)</f>
        <v>182.576340909091</v>
      </c>
      <c r="X1470" s="39" t="n">
        <v>201.59</v>
      </c>
      <c r="Y1470" s="39" t="n">
        <f aca="false">J1470*Resumo!$B$6</f>
        <v>1.0779</v>
      </c>
      <c r="Z1470" s="39" t="n">
        <f aca="false">J1470*Resumo!$B$7</f>
        <v>2.1558</v>
      </c>
      <c r="AA1470" s="39" t="n">
        <f aca="false">Resumo!$B$9</f>
        <v>1</v>
      </c>
      <c r="AB1470" s="39" t="n">
        <f aca="false">Resumo!$B$10*CEILING(I1470/100,1)</f>
        <v>9</v>
      </c>
      <c r="AC1470" s="39" t="n">
        <f aca="false">Resumo!$B$12*CEILING(I1470,1)</f>
        <v>6.42</v>
      </c>
      <c r="AD1470" s="39" t="n">
        <f aca="false">Resumo!$B$14*CEILING(I1470,1)</f>
        <v>48.15</v>
      </c>
      <c r="AE1470" s="39" t="n">
        <f aca="false">SUM(X1470:AD1470)</f>
        <v>269.3937</v>
      </c>
      <c r="AF1470" s="39" t="n">
        <f aca="false">AE1470/(1-Resumo!$B$5)</f>
        <v>306.129204545455</v>
      </c>
      <c r="AG1470" s="39" t="n">
        <f aca="false">AF1470-W1470</f>
        <v>123.552863636364</v>
      </c>
      <c r="AH1470" s="40" t="n">
        <f aca="false">AF1470/W1470-1</f>
        <v>0.676718916707195</v>
      </c>
      <c r="AI1470" s="37" t="str">
        <f aca="false">IF(AF1470&lt;W1470,"SIM","NÃO")</f>
        <v>NÃO</v>
      </c>
      <c r="AJ1470" s="37" t="n">
        <v>2</v>
      </c>
      <c r="AK1470" s="37" t="n">
        <v>5</v>
      </c>
      <c r="AL1470" s="37" t="s">
        <v>343</v>
      </c>
      <c r="AM1470" s="39" t="n">
        <v>184.81</v>
      </c>
    </row>
    <row r="1471" customFormat="false" ht="15" hidden="false" customHeight="false" outlineLevel="0" collapsed="false">
      <c r="A1471" s="37" t="n">
        <v>386075289</v>
      </c>
      <c r="B1471" s="38" t="n">
        <v>46264.7536921296</v>
      </c>
      <c r="C1471" s="37" t="s">
        <v>340</v>
      </c>
      <c r="D1471" s="37" t="s">
        <v>1697</v>
      </c>
      <c r="E1471" s="37" t="n">
        <v>23935013</v>
      </c>
      <c r="F1471" s="37" t="s">
        <v>169</v>
      </c>
      <c r="G1471" s="37" t="s">
        <v>198</v>
      </c>
      <c r="H1471" s="37" t="s">
        <v>184</v>
      </c>
      <c r="I1471" s="37" t="n">
        <v>27.5</v>
      </c>
      <c r="J1471" s="39" t="n">
        <v>335.12</v>
      </c>
      <c r="K1471" s="37" t="s">
        <v>342</v>
      </c>
      <c r="L1471" s="39" t="n">
        <v>108.78</v>
      </c>
      <c r="M1471" s="39" t="n">
        <v>65.63</v>
      </c>
      <c r="N1471" s="39" t="n">
        <f aca="false">J1471*Resumo!$C$6</f>
        <v>0</v>
      </c>
      <c r="O1471" s="39" t="n">
        <f aca="false">J1471*Resumo!$C$7</f>
        <v>0.703752</v>
      </c>
      <c r="P1471" s="39" t="n">
        <f aca="false">J1471*Resumo!$C$8</f>
        <v>0.703752</v>
      </c>
      <c r="Q1471" s="39" t="n">
        <f aca="false">Resumo!$C$10*CEILING(I1471/100,1)</f>
        <v>1.05</v>
      </c>
      <c r="R1471" s="39" t="n">
        <f aca="false">Resumo!$C$9</f>
        <v>0</v>
      </c>
      <c r="S1471" s="39" t="n">
        <f aca="false">Resumo!$C$13</f>
        <v>13.55</v>
      </c>
      <c r="T1471" s="39" t="n">
        <f aca="false">Resumo!$C$14*CEILING(I1471,1)</f>
        <v>12.6</v>
      </c>
      <c r="U1471" s="39" t="n">
        <f aca="false">SUM(M1471:T1471)*Resumo!$C$11</f>
        <v>0</v>
      </c>
      <c r="V1471" s="39" t="n">
        <f aca="false">SUM(M1471:U1471)</f>
        <v>94.237504</v>
      </c>
      <c r="W1471" s="39" t="n">
        <f aca="false">V1471/(1-Resumo!$C$5)</f>
        <v>107.088072727273</v>
      </c>
      <c r="X1471" s="39" t="n">
        <v>108.83</v>
      </c>
      <c r="Y1471" s="39" t="n">
        <f aca="false">J1471*Resumo!$B$6</f>
        <v>0.33512</v>
      </c>
      <c r="Z1471" s="39" t="n">
        <f aca="false">J1471*Resumo!$B$7</f>
        <v>0.67024</v>
      </c>
      <c r="AA1471" s="39" t="n">
        <f aca="false">Resumo!$B$9</f>
        <v>1</v>
      </c>
      <c r="AB1471" s="39" t="n">
        <f aca="false">Resumo!$B$10*CEILING(I1471/100,1)</f>
        <v>4.5</v>
      </c>
      <c r="AC1471" s="39" t="n">
        <f aca="false">Resumo!$B$12*CEILING(I1471,1)</f>
        <v>1.68</v>
      </c>
      <c r="AD1471" s="39" t="n">
        <f aca="false">Resumo!$B$14*CEILING(I1471,1)</f>
        <v>12.6</v>
      </c>
      <c r="AE1471" s="39" t="n">
        <f aca="false">SUM(X1471:AD1471)</f>
        <v>129.61536</v>
      </c>
      <c r="AF1471" s="39" t="n">
        <f aca="false">AE1471/(1-Resumo!$B$5)</f>
        <v>147.290181818182</v>
      </c>
      <c r="AG1471" s="39" t="n">
        <f aca="false">AF1471-W1471</f>
        <v>40.2021090909091</v>
      </c>
      <c r="AH1471" s="40" t="n">
        <f aca="false">AF1471/W1471-1</f>
        <v>0.375411640783695</v>
      </c>
      <c r="AI1471" s="37" t="str">
        <f aca="false">IF(AF1471&lt;W1471,"SIM","NÃO")</f>
        <v>NÃO</v>
      </c>
      <c r="AJ1471" s="37" t="n">
        <v>13</v>
      </c>
      <c r="AK1471" s="37" t="n">
        <v>10</v>
      </c>
      <c r="AL1471" s="37" t="s">
        <v>343</v>
      </c>
      <c r="AM1471" s="39" t="n">
        <v>108.79</v>
      </c>
    </row>
    <row r="1472" customFormat="false" ht="15" hidden="false" customHeight="false" outlineLevel="0" collapsed="false">
      <c r="A1472" s="37" t="n">
        <v>386093745</v>
      </c>
      <c r="B1472" s="38" t="n">
        <v>46264.783275463</v>
      </c>
      <c r="C1472" s="37" t="s">
        <v>340</v>
      </c>
      <c r="D1472" s="37" t="s">
        <v>1698</v>
      </c>
      <c r="E1472" s="37" t="n">
        <v>25932145</v>
      </c>
      <c r="F1472" s="37" t="s">
        <v>176</v>
      </c>
      <c r="G1472" s="37" t="s">
        <v>198</v>
      </c>
      <c r="H1472" s="37" t="s">
        <v>183</v>
      </c>
      <c r="I1472" s="37" t="n">
        <v>19.5</v>
      </c>
      <c r="J1472" s="39" t="n">
        <v>549.99</v>
      </c>
      <c r="K1472" s="37" t="s">
        <v>342</v>
      </c>
      <c r="L1472" s="39" t="n">
        <v>81.3</v>
      </c>
      <c r="M1472" s="39" t="n">
        <v>46.95</v>
      </c>
      <c r="N1472" s="39" t="n">
        <f aca="false">J1472*Resumo!$C$6</f>
        <v>0</v>
      </c>
      <c r="O1472" s="39" t="n">
        <f aca="false">J1472*Resumo!$C$7</f>
        <v>1.154979</v>
      </c>
      <c r="P1472" s="39" t="n">
        <f aca="false">J1472*Resumo!$C$8</f>
        <v>1.154979</v>
      </c>
      <c r="Q1472" s="39" t="n">
        <f aca="false">Resumo!$C$10*CEILING(I1472/100,1)</f>
        <v>1.05</v>
      </c>
      <c r="R1472" s="39" t="n">
        <f aca="false">Resumo!$C$9</f>
        <v>0</v>
      </c>
      <c r="S1472" s="39" t="n">
        <f aca="false">Resumo!$C$13</f>
        <v>13.55</v>
      </c>
      <c r="T1472" s="39" t="n">
        <f aca="false">Resumo!$C$14*CEILING(I1472,1)</f>
        <v>9</v>
      </c>
      <c r="U1472" s="39" t="n">
        <f aca="false">SUM(M1472:T1472)*Resumo!$C$11</f>
        <v>0</v>
      </c>
      <c r="V1472" s="39" t="n">
        <f aca="false">SUM(M1472:U1472)</f>
        <v>72.859958</v>
      </c>
      <c r="W1472" s="39" t="n">
        <f aca="false">V1472/(1-Resumo!$C$5)</f>
        <v>82.7954068181818</v>
      </c>
      <c r="X1472" s="39" t="n">
        <v>89.03</v>
      </c>
      <c r="Y1472" s="39" t="n">
        <f aca="false">J1472*Resumo!$B$6</f>
        <v>0.54999</v>
      </c>
      <c r="Z1472" s="39" t="n">
        <f aca="false">J1472*Resumo!$B$7</f>
        <v>1.09998</v>
      </c>
      <c r="AA1472" s="39" t="n">
        <f aca="false">Resumo!$B$9</f>
        <v>1</v>
      </c>
      <c r="AB1472" s="39" t="n">
        <f aca="false">Resumo!$B$10*CEILING(I1472/100,1)</f>
        <v>4.5</v>
      </c>
      <c r="AC1472" s="39" t="n">
        <f aca="false">Resumo!$B$12*CEILING(I1472,1)</f>
        <v>1.2</v>
      </c>
      <c r="AD1472" s="39" t="n">
        <f aca="false">Resumo!$B$14*CEILING(I1472,1)</f>
        <v>9</v>
      </c>
      <c r="AE1472" s="39" t="n">
        <f aca="false">SUM(X1472:AD1472)</f>
        <v>106.37997</v>
      </c>
      <c r="AF1472" s="39" t="n">
        <f aca="false">AE1472/(1-Resumo!$B$5)</f>
        <v>120.886329545455</v>
      </c>
      <c r="AG1472" s="39" t="n">
        <f aca="false">AF1472-W1472</f>
        <v>38.0909227272727</v>
      </c>
      <c r="AH1472" s="40" t="n">
        <f aca="false">AF1472/W1472-1</f>
        <v>0.46006081968919</v>
      </c>
      <c r="AI1472" s="37" t="str">
        <f aca="false">IF(AF1472&lt;W1472,"SIM","NÃO")</f>
        <v>NÃO</v>
      </c>
      <c r="AJ1472" s="37" t="n">
        <v>13</v>
      </c>
      <c r="AK1472" s="37" t="n">
        <v>6</v>
      </c>
      <c r="AL1472" s="37" t="s">
        <v>343</v>
      </c>
      <c r="AM1472" s="39" t="n">
        <v>81.29</v>
      </c>
    </row>
    <row r="1473" customFormat="false" ht="15" hidden="false" customHeight="false" outlineLevel="0" collapsed="false">
      <c r="A1473" s="37" t="n">
        <v>386144293</v>
      </c>
      <c r="B1473" s="38" t="n">
        <v>46264.847962963</v>
      </c>
      <c r="C1473" s="37" t="s">
        <v>345</v>
      </c>
      <c r="D1473" s="37" t="s">
        <v>1699</v>
      </c>
      <c r="E1473" s="37" t="n">
        <v>26281010</v>
      </c>
      <c r="F1473" s="37" t="s">
        <v>162</v>
      </c>
      <c r="G1473" s="37" t="s">
        <v>197</v>
      </c>
      <c r="H1473" s="37" t="s">
        <v>184</v>
      </c>
      <c r="I1473" s="37" t="n">
        <v>27.5</v>
      </c>
      <c r="J1473" s="39" t="n">
        <v>343</v>
      </c>
      <c r="K1473" s="37" t="s">
        <v>342</v>
      </c>
      <c r="L1473" s="39" t="n">
        <v>101.05</v>
      </c>
      <c r="M1473" s="39" t="n">
        <v>58.8</v>
      </c>
      <c r="N1473" s="39" t="n">
        <f aca="false">J1473*Resumo!$C$6</f>
        <v>0</v>
      </c>
      <c r="O1473" s="39" t="n">
        <f aca="false">J1473*Resumo!$C$7</f>
        <v>0.7203</v>
      </c>
      <c r="P1473" s="39" t="n">
        <f aca="false">J1473*Resumo!$C$8</f>
        <v>0.7203</v>
      </c>
      <c r="Q1473" s="39" t="n">
        <f aca="false">Resumo!$C$10*CEILING(I1473/100,1)</f>
        <v>1.05</v>
      </c>
      <c r="R1473" s="39" t="n">
        <f aca="false">Resumo!$C$9</f>
        <v>0</v>
      </c>
      <c r="S1473" s="39" t="n">
        <f aca="false">Resumo!$C$13</f>
        <v>13.55</v>
      </c>
      <c r="T1473" s="39" t="n">
        <f aca="false">Resumo!$C$14*CEILING(I1473,1)</f>
        <v>12.6</v>
      </c>
      <c r="U1473" s="39" t="n">
        <f aca="false">SUM(M1473:T1473)*Resumo!$C$11</f>
        <v>0</v>
      </c>
      <c r="V1473" s="39" t="n">
        <f aca="false">SUM(M1473:U1473)</f>
        <v>87.4406</v>
      </c>
      <c r="W1473" s="39" t="n">
        <f aca="false">V1473/(1-Resumo!$C$5)</f>
        <v>99.3643181818182</v>
      </c>
      <c r="X1473" s="39" t="n">
        <v>82.21</v>
      </c>
      <c r="Y1473" s="39" t="n">
        <f aca="false">J1473*Resumo!$B$6</f>
        <v>0.343</v>
      </c>
      <c r="Z1473" s="39" t="n">
        <f aca="false">J1473*Resumo!$B$7</f>
        <v>0.686</v>
      </c>
      <c r="AA1473" s="39" t="n">
        <f aca="false">Resumo!$B$9</f>
        <v>1</v>
      </c>
      <c r="AB1473" s="39" t="n">
        <f aca="false">Resumo!$B$10*CEILING(I1473/100,1)</f>
        <v>4.5</v>
      </c>
      <c r="AC1473" s="39" t="n">
        <f aca="false">Resumo!$B$12*CEILING(I1473,1)</f>
        <v>1.68</v>
      </c>
      <c r="AD1473" s="39" t="n">
        <f aca="false">Resumo!$B$14*CEILING(I1473,1)</f>
        <v>12.6</v>
      </c>
      <c r="AE1473" s="39" t="n">
        <f aca="false">SUM(X1473:AD1473)</f>
        <v>103.019</v>
      </c>
      <c r="AF1473" s="39" t="n">
        <f aca="false">AE1473/(1-Resumo!$B$5)</f>
        <v>117.067045454545</v>
      </c>
      <c r="AG1473" s="39" t="n">
        <f aca="false">AF1473-W1473</f>
        <v>17.7027272727273</v>
      </c>
      <c r="AH1473" s="40" t="n">
        <f aca="false">AF1473/W1473-1</f>
        <v>0.178159802197149</v>
      </c>
      <c r="AI1473" s="37" t="str">
        <f aca="false">IF(AF1473&lt;W1473,"SIM","NÃO")</f>
        <v>NÃO</v>
      </c>
      <c r="AJ1473" s="37" t="n">
        <v>2</v>
      </c>
      <c r="AK1473" s="37" t="n">
        <v>5</v>
      </c>
      <c r="AL1473" s="37" t="s">
        <v>343</v>
      </c>
      <c r="AM1473" s="39" t="n">
        <v>101.03</v>
      </c>
    </row>
    <row r="1474" customFormat="false" ht="15" hidden="false" customHeight="false" outlineLevel="0" collapsed="false">
      <c r="A1474" s="37" t="n">
        <v>386207806</v>
      </c>
      <c r="B1474" s="38" t="n">
        <v>46264.9767708333</v>
      </c>
      <c r="C1474" s="37" t="s">
        <v>340</v>
      </c>
      <c r="D1474" s="37" t="s">
        <v>1700</v>
      </c>
      <c r="E1474" s="37" t="n">
        <v>28230000</v>
      </c>
      <c r="F1474" s="37" t="s">
        <v>260</v>
      </c>
      <c r="G1474" s="37" t="s">
        <v>198</v>
      </c>
      <c r="H1474" s="37" t="s">
        <v>188</v>
      </c>
      <c r="I1474" s="37" t="n">
        <v>66.8</v>
      </c>
      <c r="J1474" s="39" t="n">
        <v>719.99</v>
      </c>
      <c r="K1474" s="37" t="s">
        <v>342</v>
      </c>
      <c r="L1474" s="39" t="n">
        <v>155.47</v>
      </c>
      <c r="M1474" s="39" t="n">
        <v>90.2</v>
      </c>
      <c r="N1474" s="39" t="n">
        <f aca="false">J1474*Resumo!$C$6</f>
        <v>0</v>
      </c>
      <c r="O1474" s="39" t="n">
        <f aca="false">J1474*Resumo!$C$7</f>
        <v>1.511979</v>
      </c>
      <c r="P1474" s="39" t="n">
        <f aca="false">J1474*Resumo!$C$8</f>
        <v>1.511979</v>
      </c>
      <c r="Q1474" s="39" t="n">
        <f aca="false">Resumo!$C$10*CEILING(I1474/100,1)</f>
        <v>1.05</v>
      </c>
      <c r="R1474" s="39" t="n">
        <f aca="false">Resumo!$C$9</f>
        <v>0</v>
      </c>
      <c r="S1474" s="39" t="n">
        <f aca="false">Resumo!$C$13</f>
        <v>13.55</v>
      </c>
      <c r="T1474" s="39" t="n">
        <f aca="false">Resumo!$C$14*CEILING(I1474,1)</f>
        <v>30.15</v>
      </c>
      <c r="U1474" s="39" t="n">
        <f aca="false">SUM(M1474:T1474)*Resumo!$C$11</f>
        <v>0</v>
      </c>
      <c r="V1474" s="39" t="n">
        <f aca="false">SUM(M1474:U1474)</f>
        <v>137.973958</v>
      </c>
      <c r="W1474" s="39" t="n">
        <f aca="false">V1474/(1-Resumo!$C$5)</f>
        <v>156.788588636364</v>
      </c>
      <c r="X1474" s="39" t="n">
        <v>171.54</v>
      </c>
      <c r="Y1474" s="39" t="n">
        <f aca="false">J1474*Resumo!$B$6</f>
        <v>0.71999</v>
      </c>
      <c r="Z1474" s="39" t="n">
        <f aca="false">J1474*Resumo!$B$7</f>
        <v>1.43998</v>
      </c>
      <c r="AA1474" s="39" t="n">
        <f aca="false">Resumo!$B$9</f>
        <v>1</v>
      </c>
      <c r="AB1474" s="39" t="n">
        <f aca="false">Resumo!$B$10*CEILING(I1474/100,1)</f>
        <v>4.5</v>
      </c>
      <c r="AC1474" s="39" t="n">
        <f aca="false">Resumo!$B$12*CEILING(I1474,1)</f>
        <v>4.02</v>
      </c>
      <c r="AD1474" s="39" t="n">
        <f aca="false">Resumo!$B$14*CEILING(I1474,1)</f>
        <v>30.15</v>
      </c>
      <c r="AE1474" s="39" t="n">
        <f aca="false">SUM(X1474:AD1474)</f>
        <v>213.36997</v>
      </c>
      <c r="AF1474" s="39" t="n">
        <f aca="false">AE1474/(1-Resumo!$B$5)</f>
        <v>242.465875</v>
      </c>
      <c r="AG1474" s="39" t="n">
        <f aca="false">AF1474-W1474</f>
        <v>85.6772863636363</v>
      </c>
      <c r="AH1474" s="40" t="n">
        <f aca="false">AF1474/W1474-1</f>
        <v>0.546451033897281</v>
      </c>
      <c r="AI1474" s="37" t="str">
        <f aca="false">IF(AF1474&lt;W1474,"SIM","NÃO")</f>
        <v>NÃO</v>
      </c>
      <c r="AJ1474" s="37" t="n">
        <v>13</v>
      </c>
      <c r="AK1474" s="37" t="n">
        <v>11</v>
      </c>
      <c r="AL1474" s="37" t="s">
        <v>347</v>
      </c>
      <c r="AM1474" s="39" t="n">
        <v>155.47</v>
      </c>
    </row>
    <row r="1475" customFormat="false" ht="15" hidden="false" customHeight="false" outlineLevel="0" collapsed="false">
      <c r="A1475" s="37" t="n">
        <v>386216093</v>
      </c>
      <c r="B1475" s="38" t="n">
        <v>46264.990625</v>
      </c>
      <c r="C1475" s="37" t="s">
        <v>345</v>
      </c>
      <c r="D1475" s="37" t="s">
        <v>1701</v>
      </c>
      <c r="E1475" s="37" t="n">
        <v>27944751</v>
      </c>
      <c r="F1475" s="37" t="s">
        <v>166</v>
      </c>
      <c r="G1475" s="37" t="s">
        <v>198</v>
      </c>
      <c r="H1475" s="37" t="s">
        <v>187</v>
      </c>
      <c r="I1475" s="37" t="n">
        <v>52.3</v>
      </c>
      <c r="J1475" s="39" t="n">
        <v>616.99</v>
      </c>
      <c r="K1475" s="37" t="s">
        <v>342</v>
      </c>
      <c r="L1475" s="39" t="n">
        <v>142.61</v>
      </c>
      <c r="M1475" s="39" t="n">
        <v>83.58</v>
      </c>
      <c r="N1475" s="39" t="n">
        <f aca="false">J1475*Resumo!$C$6</f>
        <v>0</v>
      </c>
      <c r="O1475" s="39" t="n">
        <f aca="false">J1475*Resumo!$C$7</f>
        <v>1.295679</v>
      </c>
      <c r="P1475" s="39" t="n">
        <f aca="false">J1475*Resumo!$C$8</f>
        <v>1.295679</v>
      </c>
      <c r="Q1475" s="39" t="n">
        <f aca="false">Resumo!$C$10*CEILING(I1475/100,1)</f>
        <v>1.05</v>
      </c>
      <c r="R1475" s="39" t="n">
        <f aca="false">Resumo!$C$9</f>
        <v>0</v>
      </c>
      <c r="S1475" s="39" t="n">
        <f aca="false">Resumo!$C$13</f>
        <v>13.55</v>
      </c>
      <c r="T1475" s="39" t="n">
        <f aca="false">Resumo!$C$14*CEILING(I1475,1)</f>
        <v>23.85</v>
      </c>
      <c r="U1475" s="39" t="n">
        <f aca="false">SUM(M1475:T1475)*Resumo!$C$11</f>
        <v>0</v>
      </c>
      <c r="V1475" s="39" t="n">
        <f aca="false">SUM(M1475:U1475)</f>
        <v>124.621358</v>
      </c>
      <c r="W1475" s="39" t="n">
        <f aca="false">V1475/(1-Resumo!$C$5)</f>
        <v>141.615179545455</v>
      </c>
      <c r="X1475" s="39" t="n">
        <v>162.04</v>
      </c>
      <c r="Y1475" s="39" t="n">
        <f aca="false">J1475*Resumo!$B$6</f>
        <v>0.61699</v>
      </c>
      <c r="Z1475" s="39" t="n">
        <f aca="false">J1475*Resumo!$B$7</f>
        <v>1.23398</v>
      </c>
      <c r="AA1475" s="39" t="n">
        <f aca="false">Resumo!$B$9</f>
        <v>1</v>
      </c>
      <c r="AB1475" s="39" t="n">
        <f aca="false">Resumo!$B$10*CEILING(I1475/100,1)</f>
        <v>4.5</v>
      </c>
      <c r="AC1475" s="39" t="n">
        <f aca="false">Resumo!$B$12*CEILING(I1475,1)</f>
        <v>3.18</v>
      </c>
      <c r="AD1475" s="39" t="n">
        <f aca="false">Resumo!$B$14*CEILING(I1475,1)</f>
        <v>23.85</v>
      </c>
      <c r="AE1475" s="39" t="n">
        <f aca="false">SUM(X1475:AD1475)</f>
        <v>196.42097</v>
      </c>
      <c r="AF1475" s="39" t="n">
        <f aca="false">AE1475/(1-Resumo!$B$5)</f>
        <v>223.205647727273</v>
      </c>
      <c r="AG1475" s="39" t="n">
        <f aca="false">AF1475-W1475</f>
        <v>81.5904681818182</v>
      </c>
      <c r="AH1475" s="40" t="n">
        <f aca="false">AF1475/W1475-1</f>
        <v>0.576142108802891</v>
      </c>
      <c r="AI1475" s="37" t="str">
        <f aca="false">IF(AF1475&lt;W1475,"SIM","NÃO")</f>
        <v>NÃO</v>
      </c>
      <c r="AJ1475" s="37" t="n">
        <v>13</v>
      </c>
      <c r="AK1475" s="37" t="n">
        <v>11</v>
      </c>
      <c r="AL1475" s="37" t="s">
        <v>343</v>
      </c>
      <c r="AM1475" s="39" t="n">
        <v>142.63</v>
      </c>
    </row>
    <row r="1476" customFormat="false" ht="15" hidden="false" customHeight="false" outlineLevel="0" collapsed="false">
      <c r="A1476" s="37" t="n">
        <v>386384292</v>
      </c>
      <c r="B1476" s="38" t="n">
        <v>46265.3753587963</v>
      </c>
      <c r="C1476" s="37" t="s">
        <v>340</v>
      </c>
      <c r="D1476" s="37" t="s">
        <v>549</v>
      </c>
      <c r="E1476" s="37" t="n">
        <v>28470000</v>
      </c>
      <c r="F1476" s="37" t="s">
        <v>272</v>
      </c>
      <c r="G1476" s="37" t="s">
        <v>198</v>
      </c>
      <c r="H1476" s="37" t="s">
        <v>187</v>
      </c>
      <c r="I1476" s="37" t="n">
        <v>52.3</v>
      </c>
      <c r="J1476" s="39" t="n">
        <v>627.28</v>
      </c>
      <c r="K1476" s="37" t="s">
        <v>342</v>
      </c>
      <c r="L1476" s="39" t="n">
        <v>142.67</v>
      </c>
      <c r="M1476" s="39" t="n">
        <v>83.58</v>
      </c>
      <c r="N1476" s="39" t="n">
        <f aca="false">J1476*Resumo!$C$6</f>
        <v>0</v>
      </c>
      <c r="O1476" s="39" t="n">
        <f aca="false">J1476*Resumo!$C$7</f>
        <v>1.317288</v>
      </c>
      <c r="P1476" s="39" t="n">
        <f aca="false">J1476*Resumo!$C$8</f>
        <v>1.317288</v>
      </c>
      <c r="Q1476" s="39" t="n">
        <f aca="false">Resumo!$C$10*CEILING(I1476/100,1)</f>
        <v>1.05</v>
      </c>
      <c r="R1476" s="39" t="n">
        <f aca="false">Resumo!$C$9</f>
        <v>0</v>
      </c>
      <c r="S1476" s="39" t="n">
        <f aca="false">Resumo!$C$13</f>
        <v>13.55</v>
      </c>
      <c r="T1476" s="39" t="n">
        <f aca="false">Resumo!$C$14*CEILING(I1476,1)</f>
        <v>23.85</v>
      </c>
      <c r="U1476" s="39" t="n">
        <f aca="false">SUM(M1476:T1476)*Resumo!$C$11</f>
        <v>0</v>
      </c>
      <c r="V1476" s="39" t="n">
        <f aca="false">SUM(M1476:U1476)</f>
        <v>124.664576</v>
      </c>
      <c r="W1476" s="39" t="n">
        <f aca="false">V1476/(1-Resumo!$C$5)</f>
        <v>141.664290909091</v>
      </c>
      <c r="X1476" s="39" t="n">
        <v>162.04</v>
      </c>
      <c r="Y1476" s="39" t="n">
        <f aca="false">J1476*Resumo!$B$6</f>
        <v>0.62728</v>
      </c>
      <c r="Z1476" s="39" t="n">
        <f aca="false">J1476*Resumo!$B$7</f>
        <v>1.25456</v>
      </c>
      <c r="AA1476" s="39" t="n">
        <f aca="false">Resumo!$B$9</f>
        <v>1</v>
      </c>
      <c r="AB1476" s="39" t="n">
        <f aca="false">Resumo!$B$10*CEILING(I1476/100,1)</f>
        <v>4.5</v>
      </c>
      <c r="AC1476" s="39" t="n">
        <f aca="false">Resumo!$B$12*CEILING(I1476,1)</f>
        <v>3.18</v>
      </c>
      <c r="AD1476" s="39" t="n">
        <f aca="false">Resumo!$B$14*CEILING(I1476,1)</f>
        <v>23.85</v>
      </c>
      <c r="AE1476" s="39" t="n">
        <f aca="false">SUM(X1476:AD1476)</f>
        <v>196.45184</v>
      </c>
      <c r="AF1476" s="39" t="n">
        <f aca="false">AE1476/(1-Resumo!$B$5)</f>
        <v>223.240727272727</v>
      </c>
      <c r="AG1476" s="39" t="n">
        <f aca="false">AF1476-W1476</f>
        <v>81.5764363636363</v>
      </c>
      <c r="AH1476" s="40" t="n">
        <f aca="false">AF1476/W1476-1</f>
        <v>0.575843325372558</v>
      </c>
      <c r="AI1476" s="37" t="str">
        <f aca="false">IF(AF1476&lt;W1476,"SIM","NÃO")</f>
        <v>NÃO</v>
      </c>
      <c r="AJ1476" s="37" t="n">
        <v>13</v>
      </c>
      <c r="AK1476" s="37" t="n">
        <v>11</v>
      </c>
      <c r="AL1476" s="37" t="s">
        <v>347</v>
      </c>
      <c r="AM1476" s="39" t="n">
        <v>142.68</v>
      </c>
    </row>
    <row r="1477" customFormat="false" ht="15" hidden="false" customHeight="false" outlineLevel="0" collapsed="false">
      <c r="A1477" s="37" t="n">
        <v>386481536</v>
      </c>
      <c r="B1477" s="38" t="n">
        <v>46265.3817013889</v>
      </c>
      <c r="C1477" s="37" t="s">
        <v>345</v>
      </c>
      <c r="D1477" s="37" t="s">
        <v>1702</v>
      </c>
      <c r="E1477" s="37" t="n">
        <v>21866340</v>
      </c>
      <c r="F1477" s="37" t="s">
        <v>159</v>
      </c>
      <c r="G1477" s="37" t="s">
        <v>196</v>
      </c>
      <c r="H1477" s="37" t="s">
        <v>192</v>
      </c>
      <c r="I1477" s="37" t="n">
        <v>124.2</v>
      </c>
      <c r="J1477" s="39" t="n">
        <v>1699.99</v>
      </c>
      <c r="K1477" s="37" t="s">
        <v>342</v>
      </c>
      <c r="L1477" s="39" t="n">
        <v>234.44</v>
      </c>
      <c r="M1477" s="39" t="n">
        <v>120.59</v>
      </c>
      <c r="N1477" s="39" t="n">
        <f aca="false">J1477*Resumo!$C$6</f>
        <v>0</v>
      </c>
      <c r="O1477" s="39" t="n">
        <f aca="false">J1477*Resumo!$C$7</f>
        <v>3.569979</v>
      </c>
      <c r="P1477" s="39" t="n">
        <f aca="false">J1477*Resumo!$C$8</f>
        <v>3.569979</v>
      </c>
      <c r="Q1477" s="39" t="n">
        <f aca="false">Resumo!$C$10*CEILING(I1477/100,1)</f>
        <v>2.1</v>
      </c>
      <c r="R1477" s="39" t="n">
        <f aca="false">Resumo!$C$9</f>
        <v>0</v>
      </c>
      <c r="S1477" s="39" t="n">
        <f aca="false">Resumo!$C$13</f>
        <v>13.55</v>
      </c>
      <c r="T1477" s="39" t="n">
        <f aca="false">Resumo!$C$14*CEILING(I1477,1)</f>
        <v>56.25</v>
      </c>
      <c r="U1477" s="39" t="n">
        <f aca="false">SUM(M1477:T1477)*Resumo!$C$11</f>
        <v>0</v>
      </c>
      <c r="V1477" s="39" t="n">
        <f aca="false">SUM(M1477:U1477)</f>
        <v>199.629958</v>
      </c>
      <c r="W1477" s="39" t="n">
        <f aca="false">V1477/(1-Resumo!$C$5)</f>
        <v>226.852225</v>
      </c>
      <c r="X1477" s="39" t="n">
        <v>239.25</v>
      </c>
      <c r="Y1477" s="39" t="n">
        <f aca="false">J1477*Resumo!$B$6</f>
        <v>1.69999</v>
      </c>
      <c r="Z1477" s="39" t="n">
        <f aca="false">J1477*Resumo!$B$7</f>
        <v>3.39998</v>
      </c>
      <c r="AA1477" s="39" t="n">
        <f aca="false">Resumo!$B$9</f>
        <v>1</v>
      </c>
      <c r="AB1477" s="39" t="n">
        <f aca="false">Resumo!$B$10*CEILING(I1477/100,1)</f>
        <v>9</v>
      </c>
      <c r="AC1477" s="39" t="n">
        <f aca="false">Resumo!$B$12*CEILING(I1477,1)</f>
        <v>7.5</v>
      </c>
      <c r="AD1477" s="39" t="n">
        <f aca="false">Resumo!$B$14*CEILING(I1477,1)</f>
        <v>56.25</v>
      </c>
      <c r="AE1477" s="39" t="n">
        <f aca="false">SUM(X1477:AD1477)</f>
        <v>318.09997</v>
      </c>
      <c r="AF1477" s="39" t="n">
        <f aca="false">AE1477/(1-Resumo!$B$5)</f>
        <v>361.477238636364</v>
      </c>
      <c r="AG1477" s="39" t="n">
        <f aca="false">AF1477-W1477</f>
        <v>134.625013636364</v>
      </c>
      <c r="AH1477" s="40" t="n">
        <f aca="false">AF1477/W1477-1</f>
        <v>0.593448063541645</v>
      </c>
      <c r="AI1477" s="37" t="str">
        <f aca="false">IF(AF1477&lt;W1477,"SIM","NÃO")</f>
        <v>NÃO</v>
      </c>
      <c r="AJ1477" s="37" t="n">
        <v>2</v>
      </c>
      <c r="AK1477" s="37" t="n">
        <v>5</v>
      </c>
      <c r="AL1477" s="37" t="s">
        <v>343</v>
      </c>
      <c r="AM1477" s="39" t="n">
        <v>234.44</v>
      </c>
    </row>
    <row r="1478" customFormat="false" ht="15" hidden="false" customHeight="false" outlineLevel="0" collapsed="false">
      <c r="A1478" s="37" t="n">
        <v>386489157</v>
      </c>
      <c r="B1478" s="38" t="n">
        <v>46265.5163657407</v>
      </c>
      <c r="C1478" s="37" t="s">
        <v>340</v>
      </c>
      <c r="D1478" s="37" t="s">
        <v>1703</v>
      </c>
      <c r="E1478" s="37" t="n">
        <v>21340230</v>
      </c>
      <c r="F1478" s="37" t="s">
        <v>159</v>
      </c>
      <c r="G1478" s="37" t="s">
        <v>196</v>
      </c>
      <c r="H1478" s="37" t="s">
        <v>187</v>
      </c>
      <c r="I1478" s="37" t="n">
        <v>52.3</v>
      </c>
      <c r="J1478" s="39" t="n">
        <v>699.99</v>
      </c>
      <c r="K1478" s="37" t="s">
        <v>342</v>
      </c>
      <c r="L1478" s="39" t="n">
        <v>114.5</v>
      </c>
      <c r="M1478" s="39" t="n">
        <v>58.6</v>
      </c>
      <c r="N1478" s="39" t="n">
        <f aca="false">J1478*Resumo!$C$6</f>
        <v>0</v>
      </c>
      <c r="O1478" s="39" t="n">
        <f aca="false">J1478*Resumo!$C$7</f>
        <v>1.469979</v>
      </c>
      <c r="P1478" s="39" t="n">
        <f aca="false">J1478*Resumo!$C$8</f>
        <v>1.469979</v>
      </c>
      <c r="Q1478" s="39" t="n">
        <f aca="false">Resumo!$C$10*CEILING(I1478/100,1)</f>
        <v>1.05</v>
      </c>
      <c r="R1478" s="39" t="n">
        <f aca="false">Resumo!$C$9</f>
        <v>0</v>
      </c>
      <c r="S1478" s="39" t="n">
        <f aca="false">Resumo!$C$13</f>
        <v>13.55</v>
      </c>
      <c r="T1478" s="39" t="n">
        <f aca="false">Resumo!$C$14*CEILING(I1478,1)</f>
        <v>23.85</v>
      </c>
      <c r="U1478" s="39" t="n">
        <f aca="false">SUM(M1478:T1478)*Resumo!$C$11</f>
        <v>0</v>
      </c>
      <c r="V1478" s="39" t="n">
        <f aca="false">SUM(M1478:U1478)</f>
        <v>99.989958</v>
      </c>
      <c r="W1478" s="39" t="n">
        <f aca="false">V1478/(1-Resumo!$C$5)</f>
        <v>113.624952272727</v>
      </c>
      <c r="X1478" s="39" t="n">
        <v>112.3</v>
      </c>
      <c r="Y1478" s="39" t="n">
        <f aca="false">J1478*Resumo!$B$6</f>
        <v>0.69999</v>
      </c>
      <c r="Z1478" s="39" t="n">
        <f aca="false">J1478*Resumo!$B$7</f>
        <v>1.39998</v>
      </c>
      <c r="AA1478" s="39" t="n">
        <f aca="false">Resumo!$B$9</f>
        <v>1</v>
      </c>
      <c r="AB1478" s="39" t="n">
        <f aca="false">Resumo!$B$10*CEILING(I1478/100,1)</f>
        <v>4.5</v>
      </c>
      <c r="AC1478" s="39" t="n">
        <f aca="false">Resumo!$B$12*CEILING(I1478,1)</f>
        <v>3.18</v>
      </c>
      <c r="AD1478" s="39" t="n">
        <f aca="false">Resumo!$B$14*CEILING(I1478,1)</f>
        <v>23.85</v>
      </c>
      <c r="AE1478" s="39" t="n">
        <f aca="false">SUM(X1478:AD1478)</f>
        <v>146.92997</v>
      </c>
      <c r="AF1478" s="39" t="n">
        <f aca="false">AE1478/(1-Resumo!$B$5)</f>
        <v>166.965875</v>
      </c>
      <c r="AG1478" s="39" t="n">
        <f aca="false">AF1478-W1478</f>
        <v>53.3409227272727</v>
      </c>
      <c r="AH1478" s="40" t="n">
        <f aca="false">AF1478/W1478-1</f>
        <v>0.469447261894039</v>
      </c>
      <c r="AI1478" s="37" t="str">
        <f aca="false">IF(AF1478&lt;W1478,"SIM","NÃO")</f>
        <v>NÃO</v>
      </c>
      <c r="AJ1478" s="37" t="n">
        <v>2</v>
      </c>
      <c r="AK1478" s="37" t="n">
        <v>5</v>
      </c>
      <c r="AL1478" s="37" t="s">
        <v>343</v>
      </c>
      <c r="AM1478" s="39" t="n">
        <v>114.5</v>
      </c>
    </row>
    <row r="1479" customFormat="false" ht="15" hidden="false" customHeight="false" outlineLevel="0" collapsed="false">
      <c r="A1479" s="37" t="n">
        <v>386522327</v>
      </c>
      <c r="B1479" s="38" t="n">
        <v>46265.5685648148</v>
      </c>
      <c r="C1479" s="37" t="s">
        <v>340</v>
      </c>
      <c r="D1479" s="37" t="s">
        <v>812</v>
      </c>
      <c r="E1479" s="37" t="n">
        <v>28637000</v>
      </c>
      <c r="F1479" s="37" t="s">
        <v>279</v>
      </c>
      <c r="G1479" s="37" t="s">
        <v>198</v>
      </c>
      <c r="H1479" s="37" t="s">
        <v>187</v>
      </c>
      <c r="I1479" s="37" t="n">
        <v>52.3</v>
      </c>
      <c r="J1479" s="39" t="n">
        <v>699.99</v>
      </c>
      <c r="K1479" s="37" t="s">
        <v>342</v>
      </c>
      <c r="L1479" s="39" t="n">
        <v>143.02</v>
      </c>
      <c r="M1479" s="39" t="n">
        <v>83.58</v>
      </c>
      <c r="N1479" s="39" t="n">
        <f aca="false">J1479*Resumo!$C$6</f>
        <v>0</v>
      </c>
      <c r="O1479" s="39" t="n">
        <f aca="false">J1479*Resumo!$C$7</f>
        <v>1.469979</v>
      </c>
      <c r="P1479" s="39" t="n">
        <f aca="false">J1479*Resumo!$C$8</f>
        <v>1.469979</v>
      </c>
      <c r="Q1479" s="39" t="n">
        <f aca="false">Resumo!$C$10*CEILING(I1479/100,1)</f>
        <v>1.05</v>
      </c>
      <c r="R1479" s="39" t="n">
        <f aca="false">Resumo!$C$9</f>
        <v>0</v>
      </c>
      <c r="S1479" s="39" t="n">
        <f aca="false">Resumo!$C$13</f>
        <v>13.55</v>
      </c>
      <c r="T1479" s="39" t="n">
        <f aca="false">Resumo!$C$14*CEILING(I1479,1)</f>
        <v>23.85</v>
      </c>
      <c r="U1479" s="39" t="n">
        <f aca="false">SUM(M1479:T1479)*Resumo!$C$11</f>
        <v>0</v>
      </c>
      <c r="V1479" s="39" t="n">
        <f aca="false">SUM(M1479:U1479)</f>
        <v>124.969958</v>
      </c>
      <c r="W1479" s="39" t="n">
        <f aca="false">V1479/(1-Resumo!$C$5)</f>
        <v>142.011315909091</v>
      </c>
      <c r="X1479" s="39" t="n">
        <v>144.53</v>
      </c>
      <c r="Y1479" s="39" t="n">
        <f aca="false">J1479*Resumo!$B$6</f>
        <v>0.69999</v>
      </c>
      <c r="Z1479" s="39" t="n">
        <f aca="false">J1479*Resumo!$B$7</f>
        <v>1.39998</v>
      </c>
      <c r="AA1479" s="39" t="n">
        <f aca="false">Resumo!$B$9</f>
        <v>1</v>
      </c>
      <c r="AB1479" s="39" t="n">
        <f aca="false">Resumo!$B$10*CEILING(I1479/100,1)</f>
        <v>4.5</v>
      </c>
      <c r="AC1479" s="39" t="n">
        <f aca="false">Resumo!$B$12*CEILING(I1479,1)</f>
        <v>3.18</v>
      </c>
      <c r="AD1479" s="39" t="n">
        <f aca="false">Resumo!$B$14*CEILING(I1479,1)</f>
        <v>23.85</v>
      </c>
      <c r="AE1479" s="39" t="n">
        <f aca="false">SUM(X1479:AD1479)</f>
        <v>179.15997</v>
      </c>
      <c r="AF1479" s="39" t="n">
        <f aca="false">AE1479/(1-Resumo!$B$5)</f>
        <v>203.590875</v>
      </c>
      <c r="AG1479" s="39" t="n">
        <f aca="false">AF1479-W1479</f>
        <v>61.5795590909091</v>
      </c>
      <c r="AH1479" s="40" t="n">
        <f aca="false">AF1479/W1479-1</f>
        <v>0.433624311532536</v>
      </c>
      <c r="AI1479" s="37" t="str">
        <f aca="false">IF(AF1479&lt;W1479,"SIM","NÃO")</f>
        <v>NÃO</v>
      </c>
      <c r="AJ1479" s="37" t="n">
        <v>13</v>
      </c>
      <c r="AK1479" s="37" t="n">
        <v>10</v>
      </c>
      <c r="AL1479" s="37" t="s">
        <v>347</v>
      </c>
      <c r="AM1479" s="39" t="n">
        <v>143.02</v>
      </c>
    </row>
    <row r="1480" customFormat="false" ht="15" hidden="false" customHeight="false" outlineLevel="0" collapsed="false">
      <c r="A1480" s="37" t="n">
        <v>386636858</v>
      </c>
      <c r="B1480" s="38" t="n">
        <v>46265.6210416667</v>
      </c>
      <c r="C1480" s="37" t="s">
        <v>345</v>
      </c>
      <c r="D1480" s="37" t="s">
        <v>1704</v>
      </c>
      <c r="E1480" s="37" t="n">
        <v>28035053</v>
      </c>
      <c r="F1480" s="37" t="s">
        <v>164</v>
      </c>
      <c r="G1480" s="37" t="s">
        <v>198</v>
      </c>
      <c r="H1480" s="37" t="s">
        <v>191</v>
      </c>
      <c r="I1480" s="37" t="n">
        <v>106.5</v>
      </c>
      <c r="J1480" s="39" t="n">
        <v>1083.69</v>
      </c>
      <c r="K1480" s="37" t="s">
        <v>342</v>
      </c>
      <c r="L1480" s="39" t="n">
        <v>215.85</v>
      </c>
      <c r="M1480" s="39" t="n">
        <v>119.5</v>
      </c>
      <c r="N1480" s="39" t="n">
        <f aca="false">J1480*Resumo!$C$6</f>
        <v>0</v>
      </c>
      <c r="O1480" s="39" t="n">
        <f aca="false">J1480*Resumo!$C$7</f>
        <v>2.275749</v>
      </c>
      <c r="P1480" s="39" t="n">
        <f aca="false">J1480*Resumo!$C$8</f>
        <v>2.275749</v>
      </c>
      <c r="Q1480" s="39" t="n">
        <f aca="false">Resumo!$C$10*CEILING(I1480/100,1)</f>
        <v>2.1</v>
      </c>
      <c r="R1480" s="39" t="n">
        <f aca="false">Resumo!$C$9</f>
        <v>0</v>
      </c>
      <c r="S1480" s="39" t="n">
        <f aca="false">Resumo!$C$13</f>
        <v>13.55</v>
      </c>
      <c r="T1480" s="39" t="n">
        <f aca="false">Resumo!$C$14*CEILING(I1480,1)</f>
        <v>48.15</v>
      </c>
      <c r="U1480" s="39" t="n">
        <f aca="false">SUM(M1480:T1480)*Resumo!$C$11</f>
        <v>0</v>
      </c>
      <c r="V1480" s="39" t="n">
        <f aca="false">SUM(M1480:U1480)</f>
        <v>187.851498</v>
      </c>
      <c r="W1480" s="39" t="n">
        <f aca="false">V1480/(1-Resumo!$C$5)</f>
        <v>213.467611363636</v>
      </c>
      <c r="X1480" s="39" t="n">
        <v>236.82</v>
      </c>
      <c r="Y1480" s="39" t="n">
        <f aca="false">J1480*Resumo!$B$6</f>
        <v>1.08369</v>
      </c>
      <c r="Z1480" s="39" t="n">
        <f aca="false">J1480*Resumo!$B$7</f>
        <v>2.16738</v>
      </c>
      <c r="AA1480" s="39" t="n">
        <f aca="false">Resumo!$B$9</f>
        <v>1</v>
      </c>
      <c r="AB1480" s="39" t="n">
        <f aca="false">Resumo!$B$10*CEILING(I1480/100,1)</f>
        <v>9</v>
      </c>
      <c r="AC1480" s="39" t="n">
        <f aca="false">Resumo!$B$12*CEILING(I1480,1)</f>
        <v>6.42</v>
      </c>
      <c r="AD1480" s="39" t="n">
        <f aca="false">Resumo!$B$14*CEILING(I1480,1)</f>
        <v>48.15</v>
      </c>
      <c r="AE1480" s="39" t="n">
        <f aca="false">SUM(X1480:AD1480)</f>
        <v>304.64107</v>
      </c>
      <c r="AF1480" s="39" t="n">
        <f aca="false">AE1480/(1-Resumo!$B$5)</f>
        <v>346.183034090909</v>
      </c>
      <c r="AG1480" s="39" t="n">
        <f aca="false">AF1480-W1480</f>
        <v>132.715422727273</v>
      </c>
      <c r="AH1480" s="40" t="n">
        <f aca="false">AF1480/W1480-1</f>
        <v>0.621712220788359</v>
      </c>
      <c r="AI1480" s="37" t="str">
        <f aca="false">IF(AF1480&lt;W1480,"SIM","NÃO")</f>
        <v>NÃO</v>
      </c>
      <c r="AJ1480" s="37" t="n">
        <v>13</v>
      </c>
      <c r="AK1480" s="37" t="n">
        <v>11</v>
      </c>
      <c r="AL1480" s="37" t="s">
        <v>343</v>
      </c>
      <c r="AM1480" s="39" t="n">
        <v>215.85</v>
      </c>
    </row>
    <row r="1481" customFormat="false" ht="15" hidden="false" customHeight="false" outlineLevel="0" collapsed="false">
      <c r="A1481" s="37" t="n">
        <v>386563645</v>
      </c>
      <c r="B1481" s="38" t="n">
        <v>46265.6374189815</v>
      </c>
      <c r="C1481" s="37" t="s">
        <v>340</v>
      </c>
      <c r="D1481" s="37" t="s">
        <v>1705</v>
      </c>
      <c r="E1481" s="37" t="n">
        <v>23585126</v>
      </c>
      <c r="F1481" s="37" t="s">
        <v>159</v>
      </c>
      <c r="G1481" s="37" t="s">
        <v>196</v>
      </c>
      <c r="H1481" s="37" t="s">
        <v>184</v>
      </c>
      <c r="I1481" s="37" t="n">
        <v>27.4</v>
      </c>
      <c r="J1481" s="39" t="n">
        <v>329.99</v>
      </c>
      <c r="K1481" s="37" t="s">
        <v>342</v>
      </c>
      <c r="L1481" s="39" t="n">
        <v>81.91</v>
      </c>
      <c r="M1481" s="39" t="n">
        <v>42.11</v>
      </c>
      <c r="N1481" s="39" t="n">
        <f aca="false">J1481*Resumo!$C$6</f>
        <v>0</v>
      </c>
      <c r="O1481" s="39" t="n">
        <f aca="false">J1481*Resumo!$C$7</f>
        <v>0.692979</v>
      </c>
      <c r="P1481" s="39" t="n">
        <f aca="false">J1481*Resumo!$C$8</f>
        <v>0.692979</v>
      </c>
      <c r="Q1481" s="39" t="n">
        <f aca="false">Resumo!$C$10*CEILING(I1481/100,1)</f>
        <v>1.05</v>
      </c>
      <c r="R1481" s="39" t="n">
        <f aca="false">Resumo!$C$9</f>
        <v>0</v>
      </c>
      <c r="S1481" s="39" t="n">
        <f aca="false">Resumo!$C$13</f>
        <v>13.55</v>
      </c>
      <c r="T1481" s="39" t="n">
        <f aca="false">Resumo!$C$14*CEILING(I1481,1)</f>
        <v>12.6</v>
      </c>
      <c r="U1481" s="39" t="n">
        <f aca="false">SUM(M1481:T1481)*Resumo!$C$11</f>
        <v>0</v>
      </c>
      <c r="V1481" s="39" t="n">
        <f aca="false">SUM(M1481:U1481)</f>
        <v>70.695958</v>
      </c>
      <c r="W1481" s="39" t="n">
        <f aca="false">V1481/(1-Resumo!$C$5)</f>
        <v>80.3363159090909</v>
      </c>
      <c r="X1481" s="39" t="n">
        <v>82.21</v>
      </c>
      <c r="Y1481" s="39" t="n">
        <f aca="false">J1481*Resumo!$B$6</f>
        <v>0.32999</v>
      </c>
      <c r="Z1481" s="39" t="n">
        <f aca="false">J1481*Resumo!$B$7</f>
        <v>0.65998</v>
      </c>
      <c r="AA1481" s="39" t="n">
        <f aca="false">Resumo!$B$9</f>
        <v>1</v>
      </c>
      <c r="AB1481" s="39" t="n">
        <f aca="false">Resumo!$B$10*CEILING(I1481/100,1)</f>
        <v>4.5</v>
      </c>
      <c r="AC1481" s="39" t="n">
        <f aca="false">Resumo!$B$12*CEILING(I1481,1)</f>
        <v>1.68</v>
      </c>
      <c r="AD1481" s="39" t="n">
        <f aca="false">Resumo!$B$14*CEILING(I1481,1)</f>
        <v>12.6</v>
      </c>
      <c r="AE1481" s="39" t="n">
        <f aca="false">SUM(X1481:AD1481)</f>
        <v>102.97997</v>
      </c>
      <c r="AF1481" s="39" t="n">
        <f aca="false">AE1481/(1-Resumo!$B$5)</f>
        <v>117.022693181818</v>
      </c>
      <c r="AG1481" s="39" t="n">
        <f aca="false">AF1481-W1481</f>
        <v>36.6863772727273</v>
      </c>
      <c r="AH1481" s="40" t="n">
        <f aca="false">AF1481/W1481-1</f>
        <v>0.456659940869604</v>
      </c>
      <c r="AI1481" s="37" t="str">
        <f aca="false">IF(AF1481&lt;W1481,"SIM","NÃO")</f>
        <v>NÃO</v>
      </c>
      <c r="AJ1481" s="37" t="n">
        <v>2</v>
      </c>
      <c r="AK1481" s="37" t="n">
        <v>5</v>
      </c>
      <c r="AL1481" s="37" t="s">
        <v>343</v>
      </c>
      <c r="AM1481" s="39" t="n">
        <v>81.91</v>
      </c>
    </row>
    <row r="1482" customFormat="false" ht="15" hidden="false" customHeight="false" outlineLevel="0" collapsed="false">
      <c r="A1482" s="37" t="n">
        <v>386620753</v>
      </c>
      <c r="B1482" s="38" t="n">
        <v>46265.7176273148</v>
      </c>
      <c r="C1482" s="37" t="s">
        <v>340</v>
      </c>
      <c r="D1482" s="37" t="s">
        <v>1706</v>
      </c>
      <c r="E1482" s="37" t="n">
        <v>25045730</v>
      </c>
      <c r="F1482" s="37" t="s">
        <v>161</v>
      </c>
      <c r="G1482" s="37" t="s">
        <v>197</v>
      </c>
      <c r="H1482" s="37" t="s">
        <v>187</v>
      </c>
      <c r="I1482" s="37" t="n">
        <v>52.3</v>
      </c>
      <c r="J1482" s="39" t="n">
        <v>699.99</v>
      </c>
      <c r="K1482" s="37" t="s">
        <v>342</v>
      </c>
      <c r="L1482" s="39" t="n">
        <v>128.64</v>
      </c>
      <c r="M1482" s="39" t="n">
        <v>70.98</v>
      </c>
      <c r="N1482" s="39" t="n">
        <f aca="false">J1482*Resumo!$C$6</f>
        <v>0</v>
      </c>
      <c r="O1482" s="39" t="n">
        <f aca="false">J1482*Resumo!$C$7</f>
        <v>1.469979</v>
      </c>
      <c r="P1482" s="39" t="n">
        <f aca="false">J1482*Resumo!$C$8</f>
        <v>1.469979</v>
      </c>
      <c r="Q1482" s="39" t="n">
        <f aca="false">Resumo!$C$10*CEILING(I1482/100,1)</f>
        <v>1.05</v>
      </c>
      <c r="R1482" s="39" t="n">
        <f aca="false">Resumo!$C$9</f>
        <v>0</v>
      </c>
      <c r="S1482" s="39" t="n">
        <f aca="false">Resumo!$C$13</f>
        <v>13.55</v>
      </c>
      <c r="T1482" s="39" t="n">
        <f aca="false">Resumo!$C$14*CEILING(I1482,1)</f>
        <v>23.85</v>
      </c>
      <c r="U1482" s="39" t="n">
        <f aca="false">SUM(M1482:T1482)*Resumo!$C$11</f>
        <v>0</v>
      </c>
      <c r="V1482" s="39" t="n">
        <f aca="false">SUM(M1482:U1482)</f>
        <v>112.369958</v>
      </c>
      <c r="W1482" s="39" t="n">
        <f aca="false">V1482/(1-Resumo!$C$5)</f>
        <v>127.693134090909</v>
      </c>
      <c r="X1482" s="39" t="n">
        <v>112.3</v>
      </c>
      <c r="Y1482" s="39" t="n">
        <f aca="false">J1482*Resumo!$B$6</f>
        <v>0.69999</v>
      </c>
      <c r="Z1482" s="39" t="n">
        <f aca="false">J1482*Resumo!$B$7</f>
        <v>1.39998</v>
      </c>
      <c r="AA1482" s="39" t="n">
        <f aca="false">Resumo!$B$9</f>
        <v>1</v>
      </c>
      <c r="AB1482" s="39" t="n">
        <f aca="false">Resumo!$B$10*CEILING(I1482/100,1)</f>
        <v>4.5</v>
      </c>
      <c r="AC1482" s="39" t="n">
        <f aca="false">Resumo!$B$12*CEILING(I1482,1)</f>
        <v>3.18</v>
      </c>
      <c r="AD1482" s="39" t="n">
        <f aca="false">Resumo!$B$14*CEILING(I1482,1)</f>
        <v>23.85</v>
      </c>
      <c r="AE1482" s="39" t="n">
        <f aca="false">SUM(X1482:AD1482)</f>
        <v>146.92997</v>
      </c>
      <c r="AF1482" s="39" t="n">
        <f aca="false">AE1482/(1-Resumo!$B$5)</f>
        <v>166.965875</v>
      </c>
      <c r="AG1482" s="39" t="n">
        <f aca="false">AF1482-W1482</f>
        <v>39.2727409090909</v>
      </c>
      <c r="AH1482" s="40" t="n">
        <f aca="false">AF1482/W1482-1</f>
        <v>0.307555619091715</v>
      </c>
      <c r="AI1482" s="37" t="str">
        <f aca="false">IF(AF1482&lt;W1482,"SIM","NÃO")</f>
        <v>NÃO</v>
      </c>
      <c r="AJ1482" s="37" t="n">
        <v>2</v>
      </c>
      <c r="AK1482" s="37" t="n">
        <v>5</v>
      </c>
      <c r="AL1482" s="37" t="s">
        <v>343</v>
      </c>
      <c r="AM1482" s="39" t="n">
        <v>128.64</v>
      </c>
    </row>
    <row r="1483" customFormat="false" ht="15" hidden="false" customHeight="false" outlineLevel="0" collapsed="false">
      <c r="A1483" s="37" t="n">
        <v>386645225</v>
      </c>
      <c r="B1483" s="38" t="n">
        <v>46265.765150463</v>
      </c>
      <c r="C1483" s="37" t="s">
        <v>361</v>
      </c>
      <c r="D1483" s="37" t="s">
        <v>1707</v>
      </c>
      <c r="E1483" s="37" t="n">
        <v>26420000</v>
      </c>
      <c r="F1483" s="37" t="s">
        <v>237</v>
      </c>
      <c r="G1483" s="37" t="s">
        <v>198</v>
      </c>
      <c r="H1483" s="37" t="s">
        <v>184</v>
      </c>
      <c r="I1483" s="37" t="n">
        <v>33</v>
      </c>
      <c r="J1483" s="39" t="n">
        <v>433.49</v>
      </c>
      <c r="K1483" s="37" t="s">
        <v>342</v>
      </c>
      <c r="L1483" s="39" t="n">
        <v>109.26</v>
      </c>
      <c r="M1483" s="39" t="n">
        <v>65.63</v>
      </c>
      <c r="N1483" s="39" t="n">
        <f aca="false">J1483*Resumo!$C$6</f>
        <v>0</v>
      </c>
      <c r="O1483" s="39" t="n">
        <f aca="false">J1483*Resumo!$C$7</f>
        <v>0.910329</v>
      </c>
      <c r="P1483" s="39" t="n">
        <f aca="false">J1483*Resumo!$C$8</f>
        <v>0.910329</v>
      </c>
      <c r="Q1483" s="39" t="n">
        <f aca="false">Resumo!$C$10*CEILING(I1483/100,1)</f>
        <v>1.05</v>
      </c>
      <c r="R1483" s="39" t="n">
        <f aca="false">Resumo!$C$9</f>
        <v>0</v>
      </c>
      <c r="S1483" s="39" t="n">
        <f aca="false">Resumo!$C$13</f>
        <v>13.55</v>
      </c>
      <c r="T1483" s="39" t="n">
        <f aca="false">Resumo!$C$14*CEILING(I1483,1)</f>
        <v>14.85</v>
      </c>
      <c r="U1483" s="39" t="n">
        <f aca="false">SUM(M1483:T1483)*Resumo!$C$11</f>
        <v>0</v>
      </c>
      <c r="V1483" s="39" t="n">
        <f aca="false">SUM(M1483:U1483)</f>
        <v>96.900658</v>
      </c>
      <c r="W1483" s="39" t="n">
        <f aca="false">V1483/(1-Resumo!$C$5)</f>
        <v>110.114384090909</v>
      </c>
      <c r="X1483" s="39" t="n">
        <v>82.21</v>
      </c>
      <c r="Y1483" s="39" t="n">
        <f aca="false">J1483*Resumo!$B$6</f>
        <v>0.43349</v>
      </c>
      <c r="Z1483" s="39" t="n">
        <f aca="false">J1483*Resumo!$B$7</f>
        <v>0.86698</v>
      </c>
      <c r="AA1483" s="39" t="n">
        <f aca="false">Resumo!$B$9</f>
        <v>1</v>
      </c>
      <c r="AB1483" s="39" t="n">
        <f aca="false">Resumo!$B$10*CEILING(I1483/100,1)</f>
        <v>4.5</v>
      </c>
      <c r="AC1483" s="39" t="n">
        <f aca="false">Resumo!$B$12*CEILING(I1483,1)</f>
        <v>1.98</v>
      </c>
      <c r="AD1483" s="39" t="n">
        <f aca="false">Resumo!$B$14*CEILING(I1483,1)</f>
        <v>14.85</v>
      </c>
      <c r="AE1483" s="39" t="n">
        <f aca="false">SUM(X1483:AD1483)</f>
        <v>105.84047</v>
      </c>
      <c r="AF1483" s="39" t="n">
        <f aca="false">AE1483/(1-Resumo!$B$5)</f>
        <v>120.273261363636</v>
      </c>
      <c r="AG1483" s="39" t="n">
        <f aca="false">AF1483-W1483</f>
        <v>10.1588772727273</v>
      </c>
      <c r="AH1483" s="40" t="n">
        <f aca="false">AF1483/W1483-1</f>
        <v>0.0922574952999802</v>
      </c>
      <c r="AI1483" s="37" t="str">
        <f aca="false">IF(AF1483&lt;W1483,"SIM","NÃO")</f>
        <v>NÃO</v>
      </c>
      <c r="AJ1483" s="37" t="n">
        <v>13</v>
      </c>
      <c r="AK1483" s="37" t="n">
        <v>5</v>
      </c>
      <c r="AL1483" s="37" t="s">
        <v>347</v>
      </c>
      <c r="AM1483" s="39" t="n">
        <v>109.26</v>
      </c>
    </row>
    <row r="1484" customFormat="false" ht="15" hidden="false" customHeight="false" outlineLevel="0" collapsed="false">
      <c r="A1484" s="37" t="n">
        <v>386682340</v>
      </c>
      <c r="B1484" s="38" t="n">
        <v>46265.8141203704</v>
      </c>
      <c r="C1484" s="37" t="s">
        <v>345</v>
      </c>
      <c r="D1484" s="37" t="s">
        <v>1708</v>
      </c>
      <c r="E1484" s="37" t="n">
        <v>21370200</v>
      </c>
      <c r="F1484" s="37" t="s">
        <v>159</v>
      </c>
      <c r="G1484" s="37" t="s">
        <v>196</v>
      </c>
      <c r="H1484" s="37" t="s">
        <v>187</v>
      </c>
      <c r="I1484" s="37" t="n">
        <v>52.3</v>
      </c>
      <c r="J1484" s="39" t="n">
        <v>640.18</v>
      </c>
      <c r="K1484" s="37" t="s">
        <v>342</v>
      </c>
      <c r="L1484" s="39" t="n">
        <v>114.22</v>
      </c>
      <c r="M1484" s="39" t="n">
        <v>58.6</v>
      </c>
      <c r="N1484" s="39" t="n">
        <f aca="false">J1484*Resumo!$C$6</f>
        <v>0</v>
      </c>
      <c r="O1484" s="39" t="n">
        <f aca="false">J1484*Resumo!$C$7</f>
        <v>1.344378</v>
      </c>
      <c r="P1484" s="39" t="n">
        <f aca="false">J1484*Resumo!$C$8</f>
        <v>1.344378</v>
      </c>
      <c r="Q1484" s="39" t="n">
        <f aca="false">Resumo!$C$10*CEILING(I1484/100,1)</f>
        <v>1.05</v>
      </c>
      <c r="R1484" s="39" t="n">
        <f aca="false">Resumo!$C$9</f>
        <v>0</v>
      </c>
      <c r="S1484" s="39" t="n">
        <f aca="false">Resumo!$C$13</f>
        <v>13.55</v>
      </c>
      <c r="T1484" s="39" t="n">
        <f aca="false">Resumo!$C$14*CEILING(I1484,1)</f>
        <v>23.85</v>
      </c>
      <c r="U1484" s="39" t="n">
        <f aca="false">SUM(M1484:T1484)*Resumo!$C$11</f>
        <v>0</v>
      </c>
      <c r="V1484" s="39" t="n">
        <f aca="false">SUM(M1484:U1484)</f>
        <v>99.738756</v>
      </c>
      <c r="W1484" s="39" t="n">
        <f aca="false">V1484/(1-Resumo!$C$5)</f>
        <v>113.339495454545</v>
      </c>
      <c r="X1484" s="39" t="n">
        <v>112.3</v>
      </c>
      <c r="Y1484" s="39" t="n">
        <f aca="false">J1484*Resumo!$B$6</f>
        <v>0.64018</v>
      </c>
      <c r="Z1484" s="39" t="n">
        <f aca="false">J1484*Resumo!$B$7</f>
        <v>1.28036</v>
      </c>
      <c r="AA1484" s="39" t="n">
        <f aca="false">Resumo!$B$9</f>
        <v>1</v>
      </c>
      <c r="AB1484" s="39" t="n">
        <f aca="false">Resumo!$B$10*CEILING(I1484/100,1)</f>
        <v>4.5</v>
      </c>
      <c r="AC1484" s="39" t="n">
        <f aca="false">Resumo!$B$12*CEILING(I1484,1)</f>
        <v>3.18</v>
      </c>
      <c r="AD1484" s="39" t="n">
        <f aca="false">Resumo!$B$14*CEILING(I1484,1)</f>
        <v>23.85</v>
      </c>
      <c r="AE1484" s="39" t="n">
        <f aca="false">SUM(X1484:AD1484)</f>
        <v>146.75054</v>
      </c>
      <c r="AF1484" s="39" t="n">
        <f aca="false">AE1484/(1-Resumo!$B$5)</f>
        <v>166.761977272727</v>
      </c>
      <c r="AG1484" s="39" t="n">
        <f aca="false">AF1484-W1484</f>
        <v>53.4224818181818</v>
      </c>
      <c r="AH1484" s="40" t="n">
        <f aca="false">AF1484/W1484-1</f>
        <v>0.471349211534181</v>
      </c>
      <c r="AI1484" s="37" t="str">
        <f aca="false">IF(AF1484&lt;W1484,"SIM","NÃO")</f>
        <v>NÃO</v>
      </c>
      <c r="AJ1484" s="37" t="n">
        <v>2</v>
      </c>
      <c r="AK1484" s="37" t="n">
        <v>5</v>
      </c>
      <c r="AL1484" s="37" t="s">
        <v>343</v>
      </c>
      <c r="AM1484" s="39" t="n">
        <v>114.22</v>
      </c>
    </row>
    <row r="1485" customFormat="false" ht="15" hidden="false" customHeight="false" outlineLevel="0" collapsed="false">
      <c r="A1485" s="37" t="n">
        <v>386697696</v>
      </c>
      <c r="B1485" s="38" t="n">
        <v>46265.8376273148</v>
      </c>
      <c r="C1485" s="37" t="s">
        <v>340</v>
      </c>
      <c r="D1485" s="37" t="s">
        <v>1709</v>
      </c>
      <c r="E1485" s="37" t="n">
        <v>22745270</v>
      </c>
      <c r="F1485" s="37" t="s">
        <v>159</v>
      </c>
      <c r="G1485" s="37" t="s">
        <v>196</v>
      </c>
      <c r="H1485" s="37" t="s">
        <v>187</v>
      </c>
      <c r="I1485" s="37" t="n">
        <v>52.3</v>
      </c>
      <c r="J1485" s="39" t="n">
        <v>627.28</v>
      </c>
      <c r="K1485" s="37" t="s">
        <v>342</v>
      </c>
      <c r="L1485" s="39" t="n">
        <v>114.15</v>
      </c>
      <c r="M1485" s="39" t="n">
        <v>58.6</v>
      </c>
      <c r="N1485" s="39" t="n">
        <f aca="false">J1485*Resumo!$C$6</f>
        <v>0</v>
      </c>
      <c r="O1485" s="39" t="n">
        <f aca="false">J1485*Resumo!$C$7</f>
        <v>1.317288</v>
      </c>
      <c r="P1485" s="39" t="n">
        <f aca="false">J1485*Resumo!$C$8</f>
        <v>1.317288</v>
      </c>
      <c r="Q1485" s="39" t="n">
        <f aca="false">Resumo!$C$10*CEILING(I1485/100,1)</f>
        <v>1.05</v>
      </c>
      <c r="R1485" s="39" t="n">
        <f aca="false">Resumo!$C$9</f>
        <v>0</v>
      </c>
      <c r="S1485" s="39" t="n">
        <f aca="false">Resumo!$C$13</f>
        <v>13.55</v>
      </c>
      <c r="T1485" s="39" t="n">
        <f aca="false">Resumo!$C$14*CEILING(I1485,1)</f>
        <v>23.85</v>
      </c>
      <c r="U1485" s="39" t="n">
        <f aca="false">SUM(M1485:T1485)*Resumo!$C$11</f>
        <v>0</v>
      </c>
      <c r="V1485" s="39" t="n">
        <f aca="false">SUM(M1485:U1485)</f>
        <v>99.684576</v>
      </c>
      <c r="W1485" s="39" t="n">
        <f aca="false">V1485/(1-Resumo!$C$5)</f>
        <v>113.277927272727</v>
      </c>
      <c r="X1485" s="39" t="n">
        <v>112.3</v>
      </c>
      <c r="Y1485" s="39" t="n">
        <f aca="false">J1485*Resumo!$B$6</f>
        <v>0.62728</v>
      </c>
      <c r="Z1485" s="39" t="n">
        <f aca="false">J1485*Resumo!$B$7</f>
        <v>1.25456</v>
      </c>
      <c r="AA1485" s="39" t="n">
        <f aca="false">Resumo!$B$9</f>
        <v>1</v>
      </c>
      <c r="AB1485" s="39" t="n">
        <f aca="false">Resumo!$B$10*CEILING(I1485/100,1)</f>
        <v>4.5</v>
      </c>
      <c r="AC1485" s="39" t="n">
        <f aca="false">Resumo!$B$12*CEILING(I1485,1)</f>
        <v>3.18</v>
      </c>
      <c r="AD1485" s="39" t="n">
        <f aca="false">Resumo!$B$14*CEILING(I1485,1)</f>
        <v>23.85</v>
      </c>
      <c r="AE1485" s="39" t="n">
        <f aca="false">SUM(X1485:AD1485)</f>
        <v>146.71184</v>
      </c>
      <c r="AF1485" s="39" t="n">
        <f aca="false">AE1485/(1-Resumo!$B$5)</f>
        <v>166.718</v>
      </c>
      <c r="AG1485" s="39" t="n">
        <f aca="false">AF1485-W1485</f>
        <v>53.4400727272727</v>
      </c>
      <c r="AH1485" s="40" t="n">
        <f aca="false">AF1485/W1485-1</f>
        <v>0.471760686427557</v>
      </c>
      <c r="AI1485" s="37" t="str">
        <f aca="false">IF(AF1485&lt;W1485,"SIM","NÃO")</f>
        <v>NÃO</v>
      </c>
      <c r="AJ1485" s="37" t="n">
        <v>2</v>
      </c>
      <c r="AK1485" s="37" t="n">
        <v>5</v>
      </c>
      <c r="AL1485" s="37" t="s">
        <v>343</v>
      </c>
      <c r="AM1485" s="39" t="n">
        <v>114.15</v>
      </c>
    </row>
    <row r="1486" customFormat="false" ht="15" hidden="false" customHeight="false" outlineLevel="0" collapsed="false">
      <c r="A1486" s="37" t="n">
        <v>386714403</v>
      </c>
      <c r="B1486" s="38" t="n">
        <v>46265.862337963</v>
      </c>
      <c r="C1486" s="37" t="s">
        <v>340</v>
      </c>
      <c r="D1486" s="37" t="s">
        <v>1710</v>
      </c>
      <c r="E1486" s="37" t="n">
        <v>27321620</v>
      </c>
      <c r="F1486" s="37" t="s">
        <v>247</v>
      </c>
      <c r="G1486" s="37" t="s">
        <v>198</v>
      </c>
      <c r="H1486" s="37" t="s">
        <v>192</v>
      </c>
      <c r="I1486" s="37" t="n">
        <v>125.8</v>
      </c>
      <c r="J1486" s="39" t="n">
        <v>1999.99</v>
      </c>
      <c r="K1486" s="37" t="s">
        <v>342</v>
      </c>
      <c r="L1486" s="39" t="n">
        <v>262.87</v>
      </c>
      <c r="M1486" s="39" t="n">
        <v>144.24</v>
      </c>
      <c r="N1486" s="39" t="n">
        <f aca="false">J1486*Resumo!$C$6</f>
        <v>0</v>
      </c>
      <c r="O1486" s="39" t="n">
        <f aca="false">J1486*Resumo!$C$7</f>
        <v>4.199979</v>
      </c>
      <c r="P1486" s="39" t="n">
        <f aca="false">J1486*Resumo!$C$8</f>
        <v>4.199979</v>
      </c>
      <c r="Q1486" s="39" t="n">
        <f aca="false">Resumo!$C$10*CEILING(I1486/100,1)</f>
        <v>2.1</v>
      </c>
      <c r="R1486" s="39" t="n">
        <f aca="false">Resumo!$C$9</f>
        <v>0</v>
      </c>
      <c r="S1486" s="39" t="n">
        <f aca="false">Resumo!$C$13</f>
        <v>13.55</v>
      </c>
      <c r="T1486" s="39" t="n">
        <f aca="false">Resumo!$C$14*CEILING(I1486,1)</f>
        <v>56.7</v>
      </c>
      <c r="U1486" s="39" t="n">
        <f aca="false">SUM(M1486:T1486)*Resumo!$C$11</f>
        <v>0</v>
      </c>
      <c r="V1486" s="39" t="n">
        <f aca="false">SUM(M1486:U1486)</f>
        <v>224.989958</v>
      </c>
      <c r="W1486" s="39" t="n">
        <f aca="false">V1486/(1-Resumo!$C$5)</f>
        <v>255.670406818182</v>
      </c>
      <c r="X1486" s="39" t="n">
        <v>264.84</v>
      </c>
      <c r="Y1486" s="39" t="n">
        <f aca="false">J1486*Resumo!$B$6</f>
        <v>1.99999</v>
      </c>
      <c r="Z1486" s="39" t="n">
        <f aca="false">J1486*Resumo!$B$7</f>
        <v>3.99998</v>
      </c>
      <c r="AA1486" s="39" t="n">
        <f aca="false">Resumo!$B$9</f>
        <v>1</v>
      </c>
      <c r="AB1486" s="39" t="n">
        <f aca="false">Resumo!$B$10*CEILING(I1486/100,1)</f>
        <v>9</v>
      </c>
      <c r="AC1486" s="39" t="n">
        <f aca="false">Resumo!$B$12*CEILING(I1486,1)</f>
        <v>7.56</v>
      </c>
      <c r="AD1486" s="39" t="n">
        <f aca="false">Resumo!$B$14*CEILING(I1486,1)</f>
        <v>56.7</v>
      </c>
      <c r="AE1486" s="39" t="n">
        <f aca="false">SUM(X1486:AD1486)</f>
        <v>345.09997</v>
      </c>
      <c r="AF1486" s="39" t="n">
        <f aca="false">AE1486/(1-Resumo!$B$5)</f>
        <v>392.159056818182</v>
      </c>
      <c r="AG1486" s="39" t="n">
        <f aca="false">AF1486-W1486</f>
        <v>136.48865</v>
      </c>
      <c r="AH1486" s="40" t="n">
        <f aca="false">AF1486/W1486-1</f>
        <v>0.533846101700237</v>
      </c>
      <c r="AI1486" s="37" t="str">
        <f aca="false">IF(AF1486&lt;W1486,"SIM","NÃO")</f>
        <v>NÃO</v>
      </c>
      <c r="AJ1486" s="37" t="n">
        <v>13</v>
      </c>
      <c r="AK1486" s="37" t="n">
        <v>10</v>
      </c>
      <c r="AL1486" s="37" t="s">
        <v>347</v>
      </c>
      <c r="AM1486" s="39" t="n">
        <v>262.87</v>
      </c>
    </row>
    <row r="1487" customFormat="false" ht="15" hidden="false" customHeight="false" outlineLevel="0" collapsed="false">
      <c r="A1487" s="37" t="n">
        <v>386717087</v>
      </c>
      <c r="B1487" s="38" t="n">
        <v>46265.8661111111</v>
      </c>
      <c r="C1487" s="37" t="s">
        <v>340</v>
      </c>
      <c r="D1487" s="37" t="s">
        <v>1711</v>
      </c>
      <c r="E1487" s="37" t="n">
        <v>28021340</v>
      </c>
      <c r="F1487" s="37" t="s">
        <v>164</v>
      </c>
      <c r="G1487" s="37" t="s">
        <v>198</v>
      </c>
      <c r="H1487" s="37" t="s">
        <v>188</v>
      </c>
      <c r="I1487" s="37" t="n">
        <v>69</v>
      </c>
      <c r="J1487" s="39" t="n">
        <v>799.99</v>
      </c>
      <c r="K1487" s="37" t="s">
        <v>342</v>
      </c>
      <c r="L1487" s="39" t="n">
        <v>155.85</v>
      </c>
      <c r="M1487" s="39" t="n">
        <v>90.2</v>
      </c>
      <c r="N1487" s="39" t="n">
        <f aca="false">J1487*Resumo!$C$6</f>
        <v>0</v>
      </c>
      <c r="O1487" s="39" t="n">
        <f aca="false">J1487*Resumo!$C$7</f>
        <v>1.679979</v>
      </c>
      <c r="P1487" s="39" t="n">
        <f aca="false">J1487*Resumo!$C$8</f>
        <v>1.679979</v>
      </c>
      <c r="Q1487" s="39" t="n">
        <f aca="false">Resumo!$C$10*CEILING(I1487/100,1)</f>
        <v>1.05</v>
      </c>
      <c r="R1487" s="39" t="n">
        <f aca="false">Resumo!$C$9</f>
        <v>0</v>
      </c>
      <c r="S1487" s="39" t="n">
        <f aca="false">Resumo!$C$13</f>
        <v>13.55</v>
      </c>
      <c r="T1487" s="39" t="n">
        <f aca="false">Resumo!$C$14*CEILING(I1487,1)</f>
        <v>31.05</v>
      </c>
      <c r="U1487" s="39" t="n">
        <f aca="false">SUM(M1487:T1487)*Resumo!$C$11</f>
        <v>0</v>
      </c>
      <c r="V1487" s="39" t="n">
        <f aca="false">SUM(M1487:U1487)</f>
        <v>139.209958</v>
      </c>
      <c r="W1487" s="39" t="n">
        <f aca="false">V1487/(1-Resumo!$C$5)</f>
        <v>158.193134090909</v>
      </c>
      <c r="X1487" s="39" t="n">
        <v>171.54</v>
      </c>
      <c r="Y1487" s="39" t="n">
        <f aca="false">J1487*Resumo!$B$6</f>
        <v>0.79999</v>
      </c>
      <c r="Z1487" s="39" t="n">
        <f aca="false">J1487*Resumo!$B$7</f>
        <v>1.59998</v>
      </c>
      <c r="AA1487" s="39" t="n">
        <f aca="false">Resumo!$B$9</f>
        <v>1</v>
      </c>
      <c r="AB1487" s="39" t="n">
        <f aca="false">Resumo!$B$10*CEILING(I1487/100,1)</f>
        <v>4.5</v>
      </c>
      <c r="AC1487" s="39" t="n">
        <f aca="false">Resumo!$B$12*CEILING(I1487,1)</f>
        <v>4.14</v>
      </c>
      <c r="AD1487" s="39" t="n">
        <f aca="false">Resumo!$B$14*CEILING(I1487,1)</f>
        <v>31.05</v>
      </c>
      <c r="AE1487" s="39" t="n">
        <f aca="false">SUM(X1487:AD1487)</f>
        <v>214.62997</v>
      </c>
      <c r="AF1487" s="39" t="n">
        <f aca="false">AE1487/(1-Resumo!$B$5)</f>
        <v>243.897693181818</v>
      </c>
      <c r="AG1487" s="39" t="n">
        <f aca="false">AF1487-W1487</f>
        <v>85.7045590909091</v>
      </c>
      <c r="AH1487" s="40" t="n">
        <f aca="false">AF1487/W1487-1</f>
        <v>0.541771674121186</v>
      </c>
      <c r="AI1487" s="37" t="str">
        <f aca="false">IF(AF1487&lt;W1487,"SIM","NÃO")</f>
        <v>NÃO</v>
      </c>
      <c r="AJ1487" s="37" t="n">
        <v>13</v>
      </c>
      <c r="AK1487" s="37" t="n">
        <v>11</v>
      </c>
      <c r="AL1487" s="37" t="s">
        <v>343</v>
      </c>
      <c r="AM1487" s="39" t="n">
        <v>155.85</v>
      </c>
    </row>
    <row r="1488" customFormat="false" ht="15" hidden="false" customHeight="false" outlineLevel="0" collapsed="false">
      <c r="A1488" s="37" t="n">
        <v>386724446</v>
      </c>
      <c r="B1488" s="38" t="n">
        <v>46265.8765625</v>
      </c>
      <c r="C1488" s="37" t="s">
        <v>340</v>
      </c>
      <c r="D1488" s="37" t="s">
        <v>1712</v>
      </c>
      <c r="E1488" s="37" t="n">
        <v>28613450</v>
      </c>
      <c r="F1488" s="37" t="s">
        <v>177</v>
      </c>
      <c r="G1488" s="37" t="s">
        <v>198</v>
      </c>
      <c r="H1488" s="37" t="s">
        <v>184</v>
      </c>
      <c r="I1488" s="37" t="n">
        <v>31.9</v>
      </c>
      <c r="J1488" s="39" t="n">
        <v>599.99</v>
      </c>
      <c r="K1488" s="37" t="s">
        <v>342</v>
      </c>
      <c r="L1488" s="39" t="n">
        <v>110.06</v>
      </c>
      <c r="M1488" s="39" t="n">
        <v>65.63</v>
      </c>
      <c r="N1488" s="39" t="n">
        <f aca="false">J1488*Resumo!$C$6</f>
        <v>0</v>
      </c>
      <c r="O1488" s="39" t="n">
        <f aca="false">J1488*Resumo!$C$7</f>
        <v>1.259979</v>
      </c>
      <c r="P1488" s="39" t="n">
        <f aca="false">J1488*Resumo!$C$8</f>
        <v>1.259979</v>
      </c>
      <c r="Q1488" s="39" t="n">
        <f aca="false">Resumo!$C$10*CEILING(I1488/100,1)</f>
        <v>1.05</v>
      </c>
      <c r="R1488" s="39" t="n">
        <f aca="false">Resumo!$C$9</f>
        <v>0</v>
      </c>
      <c r="S1488" s="39" t="n">
        <f aca="false">Resumo!$C$13</f>
        <v>13.55</v>
      </c>
      <c r="T1488" s="39" t="n">
        <f aca="false">Resumo!$C$14*CEILING(I1488,1)</f>
        <v>14.4</v>
      </c>
      <c r="U1488" s="39" t="n">
        <f aca="false">SUM(M1488:T1488)*Resumo!$C$11</f>
        <v>0</v>
      </c>
      <c r="V1488" s="39" t="n">
        <f aca="false">SUM(M1488:U1488)</f>
        <v>97.149958</v>
      </c>
      <c r="W1488" s="39" t="n">
        <f aca="false">V1488/(1-Resumo!$C$5)</f>
        <v>110.397679545455</v>
      </c>
      <c r="X1488" s="39" t="n">
        <v>120.78</v>
      </c>
      <c r="Y1488" s="39" t="n">
        <f aca="false">J1488*Resumo!$B$6</f>
        <v>0.59999</v>
      </c>
      <c r="Z1488" s="39" t="n">
        <f aca="false">J1488*Resumo!$B$7</f>
        <v>1.19998</v>
      </c>
      <c r="AA1488" s="39" t="n">
        <f aca="false">Resumo!$B$9</f>
        <v>1</v>
      </c>
      <c r="AB1488" s="39" t="n">
        <f aca="false">Resumo!$B$10*CEILING(I1488/100,1)</f>
        <v>4.5</v>
      </c>
      <c r="AC1488" s="39" t="n">
        <f aca="false">Resumo!$B$12*CEILING(I1488,1)</f>
        <v>1.92</v>
      </c>
      <c r="AD1488" s="39" t="n">
        <f aca="false">Resumo!$B$14*CEILING(I1488,1)</f>
        <v>14.4</v>
      </c>
      <c r="AE1488" s="39" t="n">
        <f aca="false">SUM(X1488:AD1488)</f>
        <v>144.39997</v>
      </c>
      <c r="AF1488" s="39" t="n">
        <f aca="false">AE1488/(1-Resumo!$B$5)</f>
        <v>164.090875</v>
      </c>
      <c r="AG1488" s="39" t="n">
        <f aca="false">AF1488-W1488</f>
        <v>53.6931954545454</v>
      </c>
      <c r="AH1488" s="40" t="n">
        <f aca="false">AF1488/W1488-1</f>
        <v>0.486361630748209</v>
      </c>
      <c r="AI1488" s="37" t="str">
        <f aca="false">IF(AF1488&lt;W1488,"SIM","NÃO")</f>
        <v>NÃO</v>
      </c>
      <c r="AJ1488" s="37" t="n">
        <v>13</v>
      </c>
      <c r="AK1488" s="37" t="n">
        <v>10</v>
      </c>
      <c r="AL1488" s="37" t="s">
        <v>343</v>
      </c>
      <c r="AM1488" s="39" t="n">
        <v>110.06</v>
      </c>
    </row>
    <row r="1489" customFormat="false" ht="15" hidden="false" customHeight="false" outlineLevel="0" collapsed="false">
      <c r="A1489" s="37" t="n">
        <v>386758176</v>
      </c>
      <c r="B1489" s="38" t="n">
        <v>46265.9091550926</v>
      </c>
      <c r="C1489" s="37" t="s">
        <v>537</v>
      </c>
      <c r="D1489" s="37" t="s">
        <v>1713</v>
      </c>
      <c r="E1489" s="37" t="n">
        <v>23075006</v>
      </c>
      <c r="F1489" s="37" t="s">
        <v>159</v>
      </c>
      <c r="G1489" s="37" t="s">
        <v>196</v>
      </c>
      <c r="H1489" s="37" t="s">
        <v>186</v>
      </c>
      <c r="I1489" s="37" t="n">
        <v>41</v>
      </c>
      <c r="J1489" s="39" t="n">
        <v>449.28</v>
      </c>
      <c r="K1489" s="37" t="s">
        <v>342</v>
      </c>
      <c r="L1489" s="39" t="n">
        <v>102.74</v>
      </c>
      <c r="M1489" s="39" t="n">
        <v>53.55</v>
      </c>
      <c r="N1489" s="39" t="n">
        <f aca="false">J1489*Resumo!$C$6</f>
        <v>0</v>
      </c>
      <c r="O1489" s="39" t="n">
        <f aca="false">J1489*Resumo!$C$7</f>
        <v>0.943488</v>
      </c>
      <c r="P1489" s="39" t="n">
        <f aca="false">J1489*Resumo!$C$8</f>
        <v>0.943488</v>
      </c>
      <c r="Q1489" s="39" t="n">
        <f aca="false">Resumo!$C$10*CEILING(I1489/100,1)</f>
        <v>1.05</v>
      </c>
      <c r="R1489" s="39" t="n">
        <f aca="false">Resumo!$C$9</f>
        <v>0</v>
      </c>
      <c r="S1489" s="39" t="n">
        <f aca="false">Resumo!$C$13</f>
        <v>13.55</v>
      </c>
      <c r="T1489" s="39" t="n">
        <f aca="false">Resumo!$C$14*CEILING(I1489,1)</f>
        <v>18.45</v>
      </c>
      <c r="U1489" s="39" t="n">
        <f aca="false">SUM(M1489:T1489)*Resumo!$C$11</f>
        <v>0</v>
      </c>
      <c r="V1489" s="39" t="n">
        <f aca="false">SUM(M1489:U1489)</f>
        <v>88.486976</v>
      </c>
      <c r="W1489" s="39" t="n">
        <f aca="false">V1489/(1-Resumo!$C$5)</f>
        <v>100.553381818182</v>
      </c>
      <c r="X1489" s="39" t="n">
        <v>93.97</v>
      </c>
      <c r="Y1489" s="39" t="n">
        <f aca="false">J1489*Resumo!$B$6</f>
        <v>0.44928</v>
      </c>
      <c r="Z1489" s="39" t="n">
        <f aca="false">J1489*Resumo!$B$7</f>
        <v>0.89856</v>
      </c>
      <c r="AA1489" s="39" t="n">
        <f aca="false">Resumo!$B$9</f>
        <v>1</v>
      </c>
      <c r="AB1489" s="39" t="n">
        <f aca="false">Resumo!$B$10*CEILING(I1489/100,1)</f>
        <v>4.5</v>
      </c>
      <c r="AC1489" s="39" t="n">
        <f aca="false">Resumo!$B$12*CEILING(I1489,1)</f>
        <v>2.46</v>
      </c>
      <c r="AD1489" s="39" t="n">
        <f aca="false">Resumo!$B$14*CEILING(I1489,1)</f>
        <v>18.45</v>
      </c>
      <c r="AE1489" s="39" t="n">
        <f aca="false">SUM(X1489:AD1489)</f>
        <v>121.72784</v>
      </c>
      <c r="AF1489" s="39" t="n">
        <f aca="false">AE1489/(1-Resumo!$B$5)</f>
        <v>138.327090909091</v>
      </c>
      <c r="AG1489" s="39" t="n">
        <f aca="false">AF1489-W1489</f>
        <v>37.7737090909091</v>
      </c>
      <c r="AH1489" s="40" t="n">
        <f aca="false">AF1489/W1489-1</f>
        <v>0.375658266364533</v>
      </c>
      <c r="AI1489" s="37" t="str">
        <f aca="false">IF(AF1489&lt;W1489,"SIM","NÃO")</f>
        <v>NÃO</v>
      </c>
      <c r="AJ1489" s="37" t="n">
        <v>2</v>
      </c>
      <c r="AK1489" s="37" t="n">
        <v>5</v>
      </c>
      <c r="AL1489" s="37" t="s">
        <v>343</v>
      </c>
      <c r="AM1489" s="39" t="n">
        <v>102.74</v>
      </c>
    </row>
    <row r="1490" customFormat="false" ht="15" hidden="false" customHeight="false" outlineLevel="0" collapsed="false">
      <c r="A1490" s="37" t="n">
        <v>386747199</v>
      </c>
      <c r="B1490" s="38" t="n">
        <v>46265.9095601852</v>
      </c>
      <c r="C1490" s="37" t="s">
        <v>340</v>
      </c>
      <c r="D1490" s="37" t="s">
        <v>611</v>
      </c>
      <c r="E1490" s="37" t="n">
        <v>24736220</v>
      </c>
      <c r="F1490" s="37" t="s">
        <v>160</v>
      </c>
      <c r="G1490" s="37" t="s">
        <v>197</v>
      </c>
      <c r="H1490" s="37" t="s">
        <v>184</v>
      </c>
      <c r="I1490" s="37" t="n">
        <v>21</v>
      </c>
      <c r="J1490" s="39" t="n">
        <v>399.99</v>
      </c>
      <c r="K1490" s="37" t="s">
        <v>342</v>
      </c>
      <c r="L1490" s="39" t="n">
        <v>101.31</v>
      </c>
      <c r="M1490" s="39" t="n">
        <v>58.8</v>
      </c>
      <c r="N1490" s="39" t="n">
        <f aca="false">J1490*Resumo!$C$6</f>
        <v>0</v>
      </c>
      <c r="O1490" s="39" t="n">
        <f aca="false">J1490*Resumo!$C$7</f>
        <v>0.839979</v>
      </c>
      <c r="P1490" s="39" t="n">
        <f aca="false">J1490*Resumo!$C$8</f>
        <v>0.839979</v>
      </c>
      <c r="Q1490" s="39" t="n">
        <f aca="false">Resumo!$C$10*CEILING(I1490/100,1)</f>
        <v>1.05</v>
      </c>
      <c r="R1490" s="39" t="n">
        <f aca="false">Resumo!$C$9</f>
        <v>0</v>
      </c>
      <c r="S1490" s="39" t="n">
        <f aca="false">Resumo!$C$13</f>
        <v>13.55</v>
      </c>
      <c r="T1490" s="39" t="n">
        <f aca="false">Resumo!$C$14*CEILING(I1490,1)</f>
        <v>9.45</v>
      </c>
      <c r="U1490" s="39" t="n">
        <f aca="false">SUM(M1490:T1490)*Resumo!$C$11</f>
        <v>0</v>
      </c>
      <c r="V1490" s="39" t="n">
        <f aca="false">SUM(M1490:U1490)</f>
        <v>84.529958</v>
      </c>
      <c r="W1490" s="39" t="n">
        <f aca="false">V1490/(1-Resumo!$C$5)</f>
        <v>96.0567704545455</v>
      </c>
      <c r="X1490" s="39" t="n">
        <v>100.58</v>
      </c>
      <c r="Y1490" s="39" t="n">
        <f aca="false">J1490*Resumo!$B$6</f>
        <v>0.39999</v>
      </c>
      <c r="Z1490" s="39" t="n">
        <f aca="false">J1490*Resumo!$B$7</f>
        <v>0.79998</v>
      </c>
      <c r="AA1490" s="39" t="n">
        <f aca="false">Resumo!$B$9</f>
        <v>1</v>
      </c>
      <c r="AB1490" s="39" t="n">
        <f aca="false">Resumo!$B$10*CEILING(I1490/100,1)</f>
        <v>4.5</v>
      </c>
      <c r="AC1490" s="39" t="n">
        <f aca="false">Resumo!$B$12*CEILING(I1490,1)</f>
        <v>1.26</v>
      </c>
      <c r="AD1490" s="39" t="n">
        <f aca="false">Resumo!$B$14*CEILING(I1490,1)</f>
        <v>9.45</v>
      </c>
      <c r="AE1490" s="39" t="n">
        <f aca="false">SUM(X1490:AD1490)</f>
        <v>117.98997</v>
      </c>
      <c r="AF1490" s="39" t="n">
        <f aca="false">AE1490/(1-Resumo!$B$5)</f>
        <v>134.079511363636</v>
      </c>
      <c r="AG1490" s="39" t="n">
        <f aca="false">AF1490-W1490</f>
        <v>38.0227409090909</v>
      </c>
      <c r="AH1490" s="40" t="n">
        <f aca="false">AF1490/W1490-1</f>
        <v>0.395836136580122</v>
      </c>
      <c r="AI1490" s="37" t="str">
        <f aca="false">IF(AF1490&lt;W1490,"SIM","NÃO")</f>
        <v>NÃO</v>
      </c>
      <c r="AJ1490" s="37" t="n">
        <v>2</v>
      </c>
      <c r="AK1490" s="37" t="n">
        <v>7</v>
      </c>
      <c r="AL1490" s="37" t="s">
        <v>343</v>
      </c>
      <c r="AM1490" s="39" t="n">
        <v>101.3</v>
      </c>
    </row>
    <row r="1491" customFormat="false" ht="15" hidden="false" customHeight="false" outlineLevel="0" collapsed="false">
      <c r="A1491" s="37" t="n">
        <v>386766785</v>
      </c>
      <c r="B1491" s="38" t="n">
        <v>46265.9441203704</v>
      </c>
      <c r="C1491" s="37" t="s">
        <v>361</v>
      </c>
      <c r="D1491" s="37" t="s">
        <v>1714</v>
      </c>
      <c r="E1491" s="37" t="n">
        <v>21863360</v>
      </c>
      <c r="F1491" s="37" t="s">
        <v>159</v>
      </c>
      <c r="G1491" s="37" t="s">
        <v>196</v>
      </c>
      <c r="H1491" s="37" t="s">
        <v>185</v>
      </c>
      <c r="I1491" s="37" t="n">
        <v>39</v>
      </c>
      <c r="J1491" s="39" t="n">
        <v>629.99</v>
      </c>
      <c r="K1491" s="37" t="s">
        <v>342</v>
      </c>
      <c r="L1491" s="39" t="n">
        <v>92.87</v>
      </c>
      <c r="M1491" s="39" t="n">
        <v>48.35</v>
      </c>
      <c r="N1491" s="39" t="n">
        <f aca="false">J1491*Resumo!$C$6</f>
        <v>0</v>
      </c>
      <c r="O1491" s="39" t="n">
        <f aca="false">J1491*Resumo!$C$7</f>
        <v>1.322979</v>
      </c>
      <c r="P1491" s="39" t="n">
        <f aca="false">J1491*Resumo!$C$8</f>
        <v>1.322979</v>
      </c>
      <c r="Q1491" s="39" t="n">
        <f aca="false">Resumo!$C$10*CEILING(I1491/100,1)</f>
        <v>1.05</v>
      </c>
      <c r="R1491" s="39" t="n">
        <f aca="false">Resumo!$C$9</f>
        <v>0</v>
      </c>
      <c r="S1491" s="39" t="n">
        <f aca="false">Resumo!$C$13</f>
        <v>13.55</v>
      </c>
      <c r="T1491" s="39" t="n">
        <f aca="false">Resumo!$C$14*CEILING(I1491,1)</f>
        <v>17.55</v>
      </c>
      <c r="U1491" s="39" t="n">
        <f aca="false">SUM(M1491:T1491)*Resumo!$C$11</f>
        <v>0</v>
      </c>
      <c r="V1491" s="39" t="n">
        <f aca="false">SUM(M1491:U1491)</f>
        <v>83.145958</v>
      </c>
      <c r="W1491" s="39" t="n">
        <f aca="false">V1491/(1-Resumo!$C$5)</f>
        <v>94.4840431818182</v>
      </c>
      <c r="X1491" s="39" t="n">
        <v>93.97</v>
      </c>
      <c r="Y1491" s="39" t="n">
        <f aca="false">J1491*Resumo!$B$6</f>
        <v>0.62999</v>
      </c>
      <c r="Z1491" s="39" t="n">
        <f aca="false">J1491*Resumo!$B$7</f>
        <v>1.25998</v>
      </c>
      <c r="AA1491" s="39" t="n">
        <f aca="false">Resumo!$B$9</f>
        <v>1</v>
      </c>
      <c r="AB1491" s="39" t="n">
        <f aca="false">Resumo!$B$10*CEILING(I1491/100,1)</f>
        <v>4.5</v>
      </c>
      <c r="AC1491" s="39" t="n">
        <f aca="false">Resumo!$B$12*CEILING(I1491,1)</f>
        <v>2.34</v>
      </c>
      <c r="AD1491" s="39" t="n">
        <f aca="false">Resumo!$B$14*CEILING(I1491,1)</f>
        <v>17.55</v>
      </c>
      <c r="AE1491" s="39" t="n">
        <f aca="false">SUM(X1491:AD1491)</f>
        <v>121.24997</v>
      </c>
      <c r="AF1491" s="39" t="n">
        <f aca="false">AE1491/(1-Resumo!$B$5)</f>
        <v>137.784056818182</v>
      </c>
      <c r="AG1491" s="39" t="n">
        <f aca="false">AF1491-W1491</f>
        <v>43.3000136363636</v>
      </c>
      <c r="AH1491" s="40" t="n">
        <f aca="false">AF1491/W1491-1</f>
        <v>0.458278585232008</v>
      </c>
      <c r="AI1491" s="37" t="str">
        <f aca="false">IF(AF1491&lt;W1491,"SIM","NÃO")</f>
        <v>NÃO</v>
      </c>
      <c r="AJ1491" s="37" t="n">
        <v>2</v>
      </c>
      <c r="AK1491" s="37" t="n">
        <v>5</v>
      </c>
      <c r="AL1491" s="37" t="s">
        <v>343</v>
      </c>
      <c r="AM1491" s="39" t="n">
        <v>92.88</v>
      </c>
    </row>
    <row r="1492" customFormat="false" ht="15" hidden="false" customHeight="false" outlineLevel="0" collapsed="false">
      <c r="A1492" s="37" t="n">
        <v>386798193</v>
      </c>
      <c r="B1492" s="38" t="n">
        <v>46265.985150463</v>
      </c>
      <c r="C1492" s="37" t="s">
        <v>340</v>
      </c>
      <c r="D1492" s="37" t="s">
        <v>1715</v>
      </c>
      <c r="E1492" s="37" t="n">
        <v>21361132</v>
      </c>
      <c r="F1492" s="37" t="s">
        <v>159</v>
      </c>
      <c r="G1492" s="37" t="s">
        <v>196</v>
      </c>
      <c r="H1492" s="37" t="s">
        <v>187</v>
      </c>
      <c r="I1492" s="37" t="n">
        <v>52.3</v>
      </c>
      <c r="J1492" s="39" t="n">
        <v>627.28</v>
      </c>
      <c r="K1492" s="37" t="s">
        <v>342</v>
      </c>
      <c r="L1492" s="39" t="n">
        <v>114.15</v>
      </c>
      <c r="M1492" s="39" t="n">
        <v>58.6</v>
      </c>
      <c r="N1492" s="39" t="n">
        <f aca="false">J1492*Resumo!$C$6</f>
        <v>0</v>
      </c>
      <c r="O1492" s="39" t="n">
        <f aca="false">J1492*Resumo!$C$7</f>
        <v>1.317288</v>
      </c>
      <c r="P1492" s="39" t="n">
        <f aca="false">J1492*Resumo!$C$8</f>
        <v>1.317288</v>
      </c>
      <c r="Q1492" s="39" t="n">
        <f aca="false">Resumo!$C$10*CEILING(I1492/100,1)</f>
        <v>1.05</v>
      </c>
      <c r="R1492" s="39" t="n">
        <f aca="false">Resumo!$C$9</f>
        <v>0</v>
      </c>
      <c r="S1492" s="39" t="n">
        <f aca="false">Resumo!$C$13</f>
        <v>13.55</v>
      </c>
      <c r="T1492" s="39" t="n">
        <f aca="false">Resumo!$C$14*CEILING(I1492,1)</f>
        <v>23.85</v>
      </c>
      <c r="U1492" s="39" t="n">
        <f aca="false">SUM(M1492:T1492)*Resumo!$C$11</f>
        <v>0</v>
      </c>
      <c r="V1492" s="39" t="n">
        <f aca="false">SUM(M1492:U1492)</f>
        <v>99.684576</v>
      </c>
      <c r="W1492" s="39" t="n">
        <f aca="false">V1492/(1-Resumo!$C$5)</f>
        <v>113.277927272727</v>
      </c>
      <c r="X1492" s="39" t="n">
        <v>112.3</v>
      </c>
      <c r="Y1492" s="39" t="n">
        <f aca="false">J1492*Resumo!$B$6</f>
        <v>0.62728</v>
      </c>
      <c r="Z1492" s="39" t="n">
        <f aca="false">J1492*Resumo!$B$7</f>
        <v>1.25456</v>
      </c>
      <c r="AA1492" s="39" t="n">
        <f aca="false">Resumo!$B$9</f>
        <v>1</v>
      </c>
      <c r="AB1492" s="39" t="n">
        <f aca="false">Resumo!$B$10*CEILING(I1492/100,1)</f>
        <v>4.5</v>
      </c>
      <c r="AC1492" s="39" t="n">
        <f aca="false">Resumo!$B$12*CEILING(I1492,1)</f>
        <v>3.18</v>
      </c>
      <c r="AD1492" s="39" t="n">
        <f aca="false">Resumo!$B$14*CEILING(I1492,1)</f>
        <v>23.85</v>
      </c>
      <c r="AE1492" s="39" t="n">
        <f aca="false">SUM(X1492:AD1492)</f>
        <v>146.71184</v>
      </c>
      <c r="AF1492" s="39" t="n">
        <f aca="false">AE1492/(1-Resumo!$B$5)</f>
        <v>166.718</v>
      </c>
      <c r="AG1492" s="39" t="n">
        <f aca="false">AF1492-W1492</f>
        <v>53.4400727272727</v>
      </c>
      <c r="AH1492" s="40" t="n">
        <f aca="false">AF1492/W1492-1</f>
        <v>0.471760686427557</v>
      </c>
      <c r="AI1492" s="37" t="str">
        <f aca="false">IF(AF1492&lt;W1492,"SIM","NÃO")</f>
        <v>NÃO</v>
      </c>
      <c r="AJ1492" s="37" t="n">
        <v>2</v>
      </c>
      <c r="AK1492" s="37" t="n">
        <v>5</v>
      </c>
      <c r="AL1492" s="37" t="s">
        <v>343</v>
      </c>
      <c r="AM1492" s="39" t="n">
        <v>114.15</v>
      </c>
    </row>
    <row r="1493" customFormat="false" ht="15" hidden="false" customHeight="false" outlineLevel="0" collapsed="false">
      <c r="A1493" s="37" t="n">
        <v>386860998</v>
      </c>
      <c r="B1493" s="38" t="n">
        <v>46266.1176967593</v>
      </c>
      <c r="C1493" s="37" t="s">
        <v>340</v>
      </c>
      <c r="D1493" s="37" t="s">
        <v>1716</v>
      </c>
      <c r="E1493" s="37" t="n">
        <v>28020301</v>
      </c>
      <c r="F1493" s="37" t="s">
        <v>164</v>
      </c>
      <c r="G1493" s="37" t="s">
        <v>198</v>
      </c>
      <c r="H1493" s="37" t="s">
        <v>186</v>
      </c>
      <c r="I1493" s="37" t="n">
        <v>48</v>
      </c>
      <c r="J1493" s="39" t="n">
        <v>899.99</v>
      </c>
      <c r="K1493" s="37" t="s">
        <v>342</v>
      </c>
      <c r="L1493" s="39" t="n">
        <v>132.48</v>
      </c>
      <c r="M1493" s="39" t="n">
        <v>77.7</v>
      </c>
      <c r="N1493" s="39" t="n">
        <f aca="false">J1493*Resumo!$C$6</f>
        <v>0</v>
      </c>
      <c r="O1493" s="39" t="n">
        <f aca="false">J1493*Resumo!$C$7</f>
        <v>1.889979</v>
      </c>
      <c r="P1493" s="39" t="n">
        <f aca="false">J1493*Resumo!$C$8</f>
        <v>1.889979</v>
      </c>
      <c r="Q1493" s="39" t="n">
        <f aca="false">Resumo!$C$10*CEILING(I1493/100,1)</f>
        <v>1.05</v>
      </c>
      <c r="R1493" s="39" t="n">
        <f aca="false">Resumo!$C$9</f>
        <v>0</v>
      </c>
      <c r="S1493" s="39" t="n">
        <f aca="false">Resumo!$C$13</f>
        <v>13.55</v>
      </c>
      <c r="T1493" s="39" t="n">
        <f aca="false">Resumo!$C$14*CEILING(I1493,1)</f>
        <v>21.6</v>
      </c>
      <c r="U1493" s="39" t="n">
        <f aca="false">SUM(M1493:T1493)*Resumo!$C$11</f>
        <v>0</v>
      </c>
      <c r="V1493" s="39" t="n">
        <f aca="false">SUM(M1493:U1493)</f>
        <v>117.679958</v>
      </c>
      <c r="W1493" s="39" t="n">
        <f aca="false">V1493/(1-Resumo!$C$5)</f>
        <v>133.727225</v>
      </c>
      <c r="X1493" s="39" t="n">
        <v>152.54</v>
      </c>
      <c r="Y1493" s="39" t="n">
        <f aca="false">J1493*Resumo!$B$6</f>
        <v>0.89999</v>
      </c>
      <c r="Z1493" s="39" t="n">
        <f aca="false">J1493*Resumo!$B$7</f>
        <v>1.79998</v>
      </c>
      <c r="AA1493" s="39" t="n">
        <f aca="false">Resumo!$B$9</f>
        <v>1</v>
      </c>
      <c r="AB1493" s="39" t="n">
        <f aca="false">Resumo!$B$10*CEILING(I1493/100,1)</f>
        <v>4.5</v>
      </c>
      <c r="AC1493" s="39" t="n">
        <f aca="false">Resumo!$B$12*CEILING(I1493,1)</f>
        <v>2.88</v>
      </c>
      <c r="AD1493" s="39" t="n">
        <f aca="false">Resumo!$B$14*CEILING(I1493,1)</f>
        <v>21.6</v>
      </c>
      <c r="AE1493" s="39" t="n">
        <f aca="false">SUM(X1493:AD1493)</f>
        <v>185.21997</v>
      </c>
      <c r="AF1493" s="39" t="n">
        <f aca="false">AE1493/(1-Resumo!$B$5)</f>
        <v>210.477238636364</v>
      </c>
      <c r="AG1493" s="39" t="n">
        <f aca="false">AF1493-W1493</f>
        <v>76.7500136363636</v>
      </c>
      <c r="AH1493" s="40" t="n">
        <f aca="false">AF1493/W1493-1</f>
        <v>0.573929606603021</v>
      </c>
      <c r="AI1493" s="37" t="str">
        <f aca="false">IF(AF1493&lt;W1493,"SIM","NÃO")</f>
        <v>NÃO</v>
      </c>
      <c r="AJ1493" s="37" t="n">
        <v>13</v>
      </c>
      <c r="AK1493" s="37" t="n">
        <v>11</v>
      </c>
      <c r="AL1493" s="37" t="s">
        <v>343</v>
      </c>
      <c r="AM1493" s="39" t="n">
        <v>132.47</v>
      </c>
    </row>
    <row r="1494" customFormat="false" ht="15" hidden="false" customHeight="false" outlineLevel="0" collapsed="false">
      <c r="A1494" s="37" t="n">
        <v>386955041</v>
      </c>
      <c r="B1494" s="38" t="n">
        <v>46266.3359259259</v>
      </c>
      <c r="C1494" s="37" t="s">
        <v>379</v>
      </c>
      <c r="D1494" s="37" t="s">
        <v>1717</v>
      </c>
      <c r="E1494" s="37" t="n">
        <v>22641514</v>
      </c>
      <c r="F1494" s="37" t="s">
        <v>159</v>
      </c>
      <c r="G1494" s="37" t="s">
        <v>196</v>
      </c>
      <c r="H1494" s="37" t="s">
        <v>184</v>
      </c>
      <c r="I1494" s="37" t="n">
        <v>27.6</v>
      </c>
      <c r="J1494" s="39" t="n">
        <v>649.99</v>
      </c>
      <c r="K1494" s="37" t="s">
        <v>342</v>
      </c>
      <c r="L1494" s="39" t="n">
        <v>83.44</v>
      </c>
      <c r="M1494" s="39" t="n">
        <v>42.11</v>
      </c>
      <c r="N1494" s="39" t="n">
        <f aca="false">J1494*Resumo!$C$6</f>
        <v>0</v>
      </c>
      <c r="O1494" s="39" t="n">
        <f aca="false">J1494*Resumo!$C$7</f>
        <v>1.364979</v>
      </c>
      <c r="P1494" s="39" t="n">
        <f aca="false">J1494*Resumo!$C$8</f>
        <v>1.364979</v>
      </c>
      <c r="Q1494" s="39" t="n">
        <f aca="false">Resumo!$C$10*CEILING(I1494/100,1)</f>
        <v>1.05</v>
      </c>
      <c r="R1494" s="39" t="n">
        <f aca="false">Resumo!$C$9</f>
        <v>0</v>
      </c>
      <c r="S1494" s="39" t="n">
        <f aca="false">Resumo!$C$13</f>
        <v>13.55</v>
      </c>
      <c r="T1494" s="39" t="n">
        <f aca="false">Resumo!$C$14*CEILING(I1494,1)</f>
        <v>12.6</v>
      </c>
      <c r="U1494" s="39" t="n">
        <f aca="false">SUM(M1494:T1494)*Resumo!$C$11</f>
        <v>0</v>
      </c>
      <c r="V1494" s="39" t="n">
        <f aca="false">SUM(M1494:U1494)</f>
        <v>72.039958</v>
      </c>
      <c r="W1494" s="39" t="n">
        <f aca="false">V1494/(1-Resumo!$C$5)</f>
        <v>81.8635886363636</v>
      </c>
      <c r="X1494" s="39" t="n">
        <v>82.21</v>
      </c>
      <c r="Y1494" s="39" t="n">
        <f aca="false">J1494*Resumo!$B$6</f>
        <v>0.64999</v>
      </c>
      <c r="Z1494" s="39" t="n">
        <f aca="false">J1494*Resumo!$B$7</f>
        <v>1.29998</v>
      </c>
      <c r="AA1494" s="39" t="n">
        <f aca="false">Resumo!$B$9</f>
        <v>1</v>
      </c>
      <c r="AB1494" s="39" t="n">
        <f aca="false">Resumo!$B$10*CEILING(I1494/100,1)</f>
        <v>4.5</v>
      </c>
      <c r="AC1494" s="39" t="n">
        <f aca="false">Resumo!$B$12*CEILING(I1494,1)</f>
        <v>1.68</v>
      </c>
      <c r="AD1494" s="39" t="n">
        <f aca="false">Resumo!$B$14*CEILING(I1494,1)</f>
        <v>12.6</v>
      </c>
      <c r="AE1494" s="39" t="n">
        <f aca="false">SUM(X1494:AD1494)</f>
        <v>103.93997</v>
      </c>
      <c r="AF1494" s="39" t="n">
        <f aca="false">AE1494/(1-Resumo!$B$5)</f>
        <v>118.113602272727</v>
      </c>
      <c r="AG1494" s="39" t="n">
        <f aca="false">AF1494-W1494</f>
        <v>36.2500136363636</v>
      </c>
      <c r="AH1494" s="40" t="n">
        <f aca="false">AF1494/W1494-1</f>
        <v>0.442809974986382</v>
      </c>
      <c r="AI1494" s="37" t="str">
        <f aca="false">IF(AF1494&lt;W1494,"SIM","NÃO")</f>
        <v>NÃO</v>
      </c>
      <c r="AJ1494" s="37" t="n">
        <v>2</v>
      </c>
      <c r="AK1494" s="37" t="n">
        <v>5</v>
      </c>
      <c r="AL1494" s="37" t="s">
        <v>343</v>
      </c>
      <c r="AM1494" s="39" t="n">
        <v>83.44</v>
      </c>
    </row>
    <row r="1495" customFormat="false" ht="15" hidden="false" customHeight="false" outlineLevel="0" collapsed="false">
      <c r="A1495" s="37" t="n">
        <v>386963195</v>
      </c>
      <c r="B1495" s="38" t="n">
        <v>46266.3579976852</v>
      </c>
      <c r="C1495" s="37" t="s">
        <v>361</v>
      </c>
      <c r="D1495" s="37" t="s">
        <v>1242</v>
      </c>
      <c r="E1495" s="37" t="n">
        <v>22753155</v>
      </c>
      <c r="F1495" s="37" t="s">
        <v>159</v>
      </c>
      <c r="G1495" s="37" t="s">
        <v>196</v>
      </c>
      <c r="H1495" s="37" t="s">
        <v>185</v>
      </c>
      <c r="I1495" s="37" t="n">
        <v>37.2</v>
      </c>
      <c r="J1495" s="39" t="n">
        <v>433.49</v>
      </c>
      <c r="K1495" s="37" t="s">
        <v>342</v>
      </c>
      <c r="L1495" s="39" t="n">
        <v>91.94</v>
      </c>
      <c r="M1495" s="39" t="n">
        <v>48.35</v>
      </c>
      <c r="N1495" s="39" t="n">
        <f aca="false">J1495*Resumo!$C$6</f>
        <v>0</v>
      </c>
      <c r="O1495" s="39" t="n">
        <f aca="false">J1495*Resumo!$C$7</f>
        <v>0.910329</v>
      </c>
      <c r="P1495" s="39" t="n">
        <f aca="false">J1495*Resumo!$C$8</f>
        <v>0.910329</v>
      </c>
      <c r="Q1495" s="39" t="n">
        <f aca="false">Resumo!$C$10*CEILING(I1495/100,1)</f>
        <v>1.05</v>
      </c>
      <c r="R1495" s="39" t="n">
        <f aca="false">Resumo!$C$9</f>
        <v>0</v>
      </c>
      <c r="S1495" s="39" t="n">
        <f aca="false">Resumo!$C$13</f>
        <v>13.55</v>
      </c>
      <c r="T1495" s="39" t="n">
        <f aca="false">Resumo!$C$14*CEILING(I1495,1)</f>
        <v>17.1</v>
      </c>
      <c r="U1495" s="39" t="n">
        <f aca="false">SUM(M1495:T1495)*Resumo!$C$11</f>
        <v>0</v>
      </c>
      <c r="V1495" s="39" t="n">
        <f aca="false">SUM(M1495:U1495)</f>
        <v>81.870658</v>
      </c>
      <c r="W1495" s="39" t="n">
        <f aca="false">V1495/(1-Resumo!$C$5)</f>
        <v>93.0348386363636</v>
      </c>
      <c r="X1495" s="39" t="n">
        <v>93.97</v>
      </c>
      <c r="Y1495" s="39" t="n">
        <f aca="false">J1495*Resumo!$B$6</f>
        <v>0.43349</v>
      </c>
      <c r="Z1495" s="39" t="n">
        <f aca="false">J1495*Resumo!$B$7</f>
        <v>0.86698</v>
      </c>
      <c r="AA1495" s="39" t="n">
        <f aca="false">Resumo!$B$9</f>
        <v>1</v>
      </c>
      <c r="AB1495" s="39" t="n">
        <f aca="false">Resumo!$B$10*CEILING(I1495/100,1)</f>
        <v>4.5</v>
      </c>
      <c r="AC1495" s="39" t="n">
        <f aca="false">Resumo!$B$12*CEILING(I1495,1)</f>
        <v>2.28</v>
      </c>
      <c r="AD1495" s="39" t="n">
        <f aca="false">Resumo!$B$14*CEILING(I1495,1)</f>
        <v>17.1</v>
      </c>
      <c r="AE1495" s="39" t="n">
        <f aca="false">SUM(X1495:AD1495)</f>
        <v>120.15047</v>
      </c>
      <c r="AF1495" s="39" t="n">
        <f aca="false">AE1495/(1-Resumo!$B$5)</f>
        <v>136.534625</v>
      </c>
      <c r="AG1495" s="39" t="n">
        <f aca="false">AF1495-W1495</f>
        <v>43.4997863636364</v>
      </c>
      <c r="AH1495" s="40" t="n">
        <f aca="false">AF1495/W1495-1</f>
        <v>0.467564484457912</v>
      </c>
      <c r="AI1495" s="37" t="str">
        <f aca="false">IF(AF1495&lt;W1495,"SIM","NÃO")</f>
        <v>NÃO</v>
      </c>
      <c r="AJ1495" s="37" t="n">
        <v>2</v>
      </c>
      <c r="AK1495" s="37" t="n">
        <v>5</v>
      </c>
      <c r="AL1495" s="37" t="s">
        <v>343</v>
      </c>
      <c r="AM1495" s="39" t="n">
        <v>91.93</v>
      </c>
    </row>
    <row r="1496" customFormat="false" ht="15" hidden="false" customHeight="false" outlineLevel="0" collapsed="false">
      <c r="A1496" s="37" t="n">
        <v>387057424</v>
      </c>
      <c r="B1496" s="38" t="n">
        <v>46266.3756712963</v>
      </c>
      <c r="C1496" s="37" t="s">
        <v>345</v>
      </c>
      <c r="D1496" s="37" t="s">
        <v>1718</v>
      </c>
      <c r="E1496" s="37" t="n">
        <v>25810130</v>
      </c>
      <c r="F1496" s="37" t="s">
        <v>228</v>
      </c>
      <c r="G1496" s="37" t="s">
        <v>198</v>
      </c>
      <c r="H1496" s="37" t="s">
        <v>188</v>
      </c>
      <c r="I1496" s="37" t="n">
        <v>69.15</v>
      </c>
      <c r="J1496" s="39" t="n">
        <v>742.64</v>
      </c>
      <c r="K1496" s="37" t="s">
        <v>342</v>
      </c>
      <c r="L1496" s="39" t="n">
        <v>155.59</v>
      </c>
      <c r="M1496" s="39" t="n">
        <v>90.2</v>
      </c>
      <c r="N1496" s="39" t="n">
        <f aca="false">J1496*Resumo!$C$6</f>
        <v>0</v>
      </c>
      <c r="O1496" s="39" t="n">
        <f aca="false">J1496*Resumo!$C$7</f>
        <v>1.559544</v>
      </c>
      <c r="P1496" s="39" t="n">
        <f aca="false">J1496*Resumo!$C$8</f>
        <v>1.559544</v>
      </c>
      <c r="Q1496" s="39" t="n">
        <f aca="false">Resumo!$C$10*CEILING(I1496/100,1)</f>
        <v>1.05</v>
      </c>
      <c r="R1496" s="39" t="n">
        <f aca="false">Resumo!$C$9</f>
        <v>0</v>
      </c>
      <c r="S1496" s="39" t="n">
        <f aca="false">Resumo!$C$13</f>
        <v>13.55</v>
      </c>
      <c r="T1496" s="39" t="n">
        <f aca="false">Resumo!$C$14*CEILING(I1496,1)</f>
        <v>31.5</v>
      </c>
      <c r="U1496" s="39" t="n">
        <f aca="false">SUM(M1496:T1496)*Resumo!$C$11</f>
        <v>0</v>
      </c>
      <c r="V1496" s="39" t="n">
        <f aca="false">SUM(M1496:U1496)</f>
        <v>139.419088</v>
      </c>
      <c r="W1496" s="39" t="n">
        <f aca="false">V1496/(1-Resumo!$C$5)</f>
        <v>158.430781818182</v>
      </c>
      <c r="X1496" s="39" t="n">
        <v>166.05</v>
      </c>
      <c r="Y1496" s="39" t="n">
        <f aca="false">J1496*Resumo!$B$6</f>
        <v>0.74264</v>
      </c>
      <c r="Z1496" s="39" t="n">
        <f aca="false">J1496*Resumo!$B$7</f>
        <v>1.48528</v>
      </c>
      <c r="AA1496" s="39" t="n">
        <f aca="false">Resumo!$B$9</f>
        <v>1</v>
      </c>
      <c r="AB1496" s="39" t="n">
        <f aca="false">Resumo!$B$10*CEILING(I1496/100,1)</f>
        <v>4.5</v>
      </c>
      <c r="AC1496" s="39" t="n">
        <f aca="false">Resumo!$B$12*CEILING(I1496,1)</f>
        <v>4.2</v>
      </c>
      <c r="AD1496" s="39" t="n">
        <f aca="false">Resumo!$B$14*CEILING(I1496,1)</f>
        <v>31.5</v>
      </c>
      <c r="AE1496" s="39" t="n">
        <f aca="false">SUM(X1496:AD1496)</f>
        <v>209.47792</v>
      </c>
      <c r="AF1496" s="39" t="n">
        <f aca="false">AE1496/(1-Resumo!$B$5)</f>
        <v>238.043090909091</v>
      </c>
      <c r="AG1496" s="39" t="n">
        <f aca="false">AF1496-W1496</f>
        <v>79.6123090909091</v>
      </c>
      <c r="AH1496" s="40" t="n">
        <f aca="false">AF1496/W1496-1</f>
        <v>0.502505309746396</v>
      </c>
      <c r="AI1496" s="37" t="str">
        <f aca="false">IF(AF1496&lt;W1496,"SIM","NÃO")</f>
        <v>NÃO</v>
      </c>
      <c r="AJ1496" s="37" t="n">
        <v>13</v>
      </c>
      <c r="AK1496" s="37" t="n">
        <v>8</v>
      </c>
      <c r="AL1496" s="37" t="s">
        <v>347</v>
      </c>
      <c r="AM1496" s="39" t="n">
        <v>155.58</v>
      </c>
    </row>
    <row r="1497" customFormat="false" ht="15" hidden="false" customHeight="false" outlineLevel="0" collapsed="false">
      <c r="A1497" s="37" t="n">
        <v>386989208</v>
      </c>
      <c r="B1497" s="38" t="n">
        <v>46266.3963773148</v>
      </c>
      <c r="C1497" s="37" t="s">
        <v>340</v>
      </c>
      <c r="D1497" s="37" t="s">
        <v>1719</v>
      </c>
      <c r="E1497" s="37" t="n">
        <v>23510535</v>
      </c>
      <c r="F1497" s="37" t="s">
        <v>159</v>
      </c>
      <c r="G1497" s="37" t="s">
        <v>196</v>
      </c>
      <c r="H1497" s="37" t="s">
        <v>188</v>
      </c>
      <c r="I1497" s="37" t="n">
        <v>66.8</v>
      </c>
      <c r="J1497" s="39" t="n">
        <v>690.99</v>
      </c>
      <c r="K1497" s="37" t="s">
        <v>342</v>
      </c>
      <c r="L1497" s="39" t="n">
        <v>124.51</v>
      </c>
      <c r="M1497" s="39" t="n">
        <v>63.21</v>
      </c>
      <c r="N1497" s="39" t="n">
        <f aca="false">J1497*Resumo!$C$6</f>
        <v>0</v>
      </c>
      <c r="O1497" s="39" t="n">
        <f aca="false">J1497*Resumo!$C$7</f>
        <v>1.451079</v>
      </c>
      <c r="P1497" s="39" t="n">
        <f aca="false">J1497*Resumo!$C$8</f>
        <v>1.451079</v>
      </c>
      <c r="Q1497" s="39" t="n">
        <f aca="false">Resumo!$C$10*CEILING(I1497/100,1)</f>
        <v>1.05</v>
      </c>
      <c r="R1497" s="39" t="n">
        <f aca="false">Resumo!$C$9</f>
        <v>0</v>
      </c>
      <c r="S1497" s="39" t="n">
        <f aca="false">Resumo!$C$13</f>
        <v>13.55</v>
      </c>
      <c r="T1497" s="39" t="n">
        <f aca="false">Resumo!$C$14*CEILING(I1497,1)</f>
        <v>30.15</v>
      </c>
      <c r="U1497" s="39" t="n">
        <f aca="false">SUM(M1497:T1497)*Resumo!$C$11</f>
        <v>0</v>
      </c>
      <c r="V1497" s="39" t="n">
        <f aca="false">SUM(M1497:U1497)</f>
        <v>110.862158</v>
      </c>
      <c r="W1497" s="39" t="n">
        <f aca="false">V1497/(1-Resumo!$C$5)</f>
        <v>125.979725</v>
      </c>
      <c r="X1497" s="39" t="n">
        <v>131.02</v>
      </c>
      <c r="Y1497" s="39" t="n">
        <f aca="false">J1497*Resumo!$B$6</f>
        <v>0.69099</v>
      </c>
      <c r="Z1497" s="39" t="n">
        <f aca="false">J1497*Resumo!$B$7</f>
        <v>1.38198</v>
      </c>
      <c r="AA1497" s="39" t="n">
        <f aca="false">Resumo!$B$9</f>
        <v>1</v>
      </c>
      <c r="AB1497" s="39" t="n">
        <f aca="false">Resumo!$B$10*CEILING(I1497/100,1)</f>
        <v>4.5</v>
      </c>
      <c r="AC1497" s="39" t="n">
        <f aca="false">Resumo!$B$12*CEILING(I1497,1)</f>
        <v>4.02</v>
      </c>
      <c r="AD1497" s="39" t="n">
        <f aca="false">Resumo!$B$14*CEILING(I1497,1)</f>
        <v>30.15</v>
      </c>
      <c r="AE1497" s="39" t="n">
        <f aca="false">SUM(X1497:AD1497)</f>
        <v>172.76297</v>
      </c>
      <c r="AF1497" s="39" t="n">
        <f aca="false">AE1497/(1-Resumo!$B$5)</f>
        <v>196.321556818182</v>
      </c>
      <c r="AG1497" s="39" t="n">
        <f aca="false">AF1497-W1497</f>
        <v>70.3418318181818</v>
      </c>
      <c r="AH1497" s="40" t="n">
        <f aca="false">AF1497/W1497-1</f>
        <v>0.558358353442841</v>
      </c>
      <c r="AI1497" s="37" t="str">
        <f aca="false">IF(AF1497&lt;W1497,"SIM","NÃO")</f>
        <v>NÃO</v>
      </c>
      <c r="AJ1497" s="37" t="n">
        <v>2</v>
      </c>
      <c r="AK1497" s="37" t="n">
        <v>5</v>
      </c>
      <c r="AL1497" s="37" t="s">
        <v>343</v>
      </c>
      <c r="AM1497" s="39" t="n">
        <v>124.52</v>
      </c>
    </row>
    <row r="1498" customFormat="false" ht="15" hidden="false" customHeight="false" outlineLevel="0" collapsed="false">
      <c r="A1498" s="37" t="n">
        <v>387005241</v>
      </c>
      <c r="B1498" s="38" t="n">
        <v>46266.4017476852</v>
      </c>
      <c r="C1498" s="37" t="s">
        <v>537</v>
      </c>
      <c r="D1498" s="37" t="s">
        <v>767</v>
      </c>
      <c r="E1498" s="37" t="n">
        <v>24210470</v>
      </c>
      <c r="F1498" s="37" t="s">
        <v>163</v>
      </c>
      <c r="G1498" s="37" t="s">
        <v>197</v>
      </c>
      <c r="H1498" s="37" t="s">
        <v>187</v>
      </c>
      <c r="I1498" s="37" t="n">
        <v>52.3</v>
      </c>
      <c r="J1498" s="39" t="n">
        <v>629.99</v>
      </c>
      <c r="K1498" s="37" t="s">
        <v>342</v>
      </c>
      <c r="L1498" s="39" t="n">
        <v>128.31</v>
      </c>
      <c r="M1498" s="39" t="n">
        <v>70.98</v>
      </c>
      <c r="N1498" s="39" t="n">
        <f aca="false">J1498*Resumo!$C$6</f>
        <v>0</v>
      </c>
      <c r="O1498" s="39" t="n">
        <f aca="false">J1498*Resumo!$C$7</f>
        <v>1.322979</v>
      </c>
      <c r="P1498" s="39" t="n">
        <f aca="false">J1498*Resumo!$C$8</f>
        <v>1.322979</v>
      </c>
      <c r="Q1498" s="39" t="n">
        <f aca="false">Resumo!$C$10*CEILING(I1498/100,1)</f>
        <v>1.05</v>
      </c>
      <c r="R1498" s="39" t="n">
        <f aca="false">Resumo!$C$9</f>
        <v>0</v>
      </c>
      <c r="S1498" s="39" t="n">
        <f aca="false">Resumo!$C$13</f>
        <v>13.55</v>
      </c>
      <c r="T1498" s="39" t="n">
        <f aca="false">Resumo!$C$14*CEILING(I1498,1)</f>
        <v>23.85</v>
      </c>
      <c r="U1498" s="39" t="n">
        <f aca="false">SUM(M1498:T1498)*Resumo!$C$11</f>
        <v>0</v>
      </c>
      <c r="V1498" s="39" t="n">
        <f aca="false">SUM(M1498:U1498)</f>
        <v>112.075958</v>
      </c>
      <c r="W1498" s="39" t="n">
        <f aca="false">V1498/(1-Resumo!$C$5)</f>
        <v>127.359043181818</v>
      </c>
      <c r="X1498" s="39" t="n">
        <v>128.14</v>
      </c>
      <c r="Y1498" s="39" t="n">
        <f aca="false">J1498*Resumo!$B$6</f>
        <v>0.62999</v>
      </c>
      <c r="Z1498" s="39" t="n">
        <f aca="false">J1498*Resumo!$B$7</f>
        <v>1.25998</v>
      </c>
      <c r="AA1498" s="39" t="n">
        <f aca="false">Resumo!$B$9</f>
        <v>1</v>
      </c>
      <c r="AB1498" s="39" t="n">
        <f aca="false">Resumo!$B$10*CEILING(I1498/100,1)</f>
        <v>4.5</v>
      </c>
      <c r="AC1498" s="39" t="n">
        <f aca="false">Resumo!$B$12*CEILING(I1498,1)</f>
        <v>3.18</v>
      </c>
      <c r="AD1498" s="39" t="n">
        <f aca="false">Resumo!$B$14*CEILING(I1498,1)</f>
        <v>23.85</v>
      </c>
      <c r="AE1498" s="39" t="n">
        <f aca="false">SUM(X1498:AD1498)</f>
        <v>162.55997</v>
      </c>
      <c r="AF1498" s="39" t="n">
        <f aca="false">AE1498/(1-Resumo!$B$5)</f>
        <v>184.727238636364</v>
      </c>
      <c r="AG1498" s="39" t="n">
        <f aca="false">AF1498-W1498</f>
        <v>57.3681954545454</v>
      </c>
      <c r="AH1498" s="40" t="n">
        <f aca="false">AF1498/W1498-1</f>
        <v>0.450444617212195</v>
      </c>
      <c r="AI1498" s="37" t="str">
        <f aca="false">IF(AF1498&lt;W1498,"SIM","NÃO")</f>
        <v>NÃO</v>
      </c>
      <c r="AJ1498" s="37" t="n">
        <v>2</v>
      </c>
      <c r="AK1498" s="37" t="n">
        <v>7</v>
      </c>
      <c r="AL1498" s="37" t="s">
        <v>343</v>
      </c>
      <c r="AM1498" s="39" t="n">
        <v>128.3</v>
      </c>
    </row>
    <row r="1499" customFormat="false" ht="15" hidden="false" customHeight="false" outlineLevel="0" collapsed="false">
      <c r="A1499" s="37" t="n">
        <v>386999334</v>
      </c>
      <c r="B1499" s="38" t="n">
        <v>46266.4128240741</v>
      </c>
      <c r="C1499" s="37" t="s">
        <v>340</v>
      </c>
      <c r="D1499" s="37" t="s">
        <v>1720</v>
      </c>
      <c r="E1499" s="37" t="n">
        <v>22795810</v>
      </c>
      <c r="F1499" s="37" t="s">
        <v>159</v>
      </c>
      <c r="G1499" s="37" t="s">
        <v>196</v>
      </c>
      <c r="H1499" s="37" t="s">
        <v>187</v>
      </c>
      <c r="I1499" s="37" t="n">
        <v>52.3</v>
      </c>
      <c r="J1499" s="39" t="n">
        <v>627.28</v>
      </c>
      <c r="K1499" s="37" t="s">
        <v>342</v>
      </c>
      <c r="L1499" s="39" t="n">
        <v>114.15</v>
      </c>
      <c r="M1499" s="39" t="n">
        <v>58.6</v>
      </c>
      <c r="N1499" s="39" t="n">
        <f aca="false">J1499*Resumo!$C$6</f>
        <v>0</v>
      </c>
      <c r="O1499" s="39" t="n">
        <f aca="false">J1499*Resumo!$C$7</f>
        <v>1.317288</v>
      </c>
      <c r="P1499" s="39" t="n">
        <f aca="false">J1499*Resumo!$C$8</f>
        <v>1.317288</v>
      </c>
      <c r="Q1499" s="39" t="n">
        <f aca="false">Resumo!$C$10*CEILING(I1499/100,1)</f>
        <v>1.05</v>
      </c>
      <c r="R1499" s="39" t="n">
        <f aca="false">Resumo!$C$9</f>
        <v>0</v>
      </c>
      <c r="S1499" s="39" t="n">
        <f aca="false">Resumo!$C$13</f>
        <v>13.55</v>
      </c>
      <c r="T1499" s="39" t="n">
        <f aca="false">Resumo!$C$14*CEILING(I1499,1)</f>
        <v>23.85</v>
      </c>
      <c r="U1499" s="39" t="n">
        <f aca="false">SUM(M1499:T1499)*Resumo!$C$11</f>
        <v>0</v>
      </c>
      <c r="V1499" s="39" t="n">
        <f aca="false">SUM(M1499:U1499)</f>
        <v>99.684576</v>
      </c>
      <c r="W1499" s="39" t="n">
        <f aca="false">V1499/(1-Resumo!$C$5)</f>
        <v>113.277927272727</v>
      </c>
      <c r="X1499" s="39" t="n">
        <v>112.3</v>
      </c>
      <c r="Y1499" s="39" t="n">
        <f aca="false">J1499*Resumo!$B$6</f>
        <v>0.62728</v>
      </c>
      <c r="Z1499" s="39" t="n">
        <f aca="false">J1499*Resumo!$B$7</f>
        <v>1.25456</v>
      </c>
      <c r="AA1499" s="39" t="n">
        <f aca="false">Resumo!$B$9</f>
        <v>1</v>
      </c>
      <c r="AB1499" s="39" t="n">
        <f aca="false">Resumo!$B$10*CEILING(I1499/100,1)</f>
        <v>4.5</v>
      </c>
      <c r="AC1499" s="39" t="n">
        <f aca="false">Resumo!$B$12*CEILING(I1499,1)</f>
        <v>3.18</v>
      </c>
      <c r="AD1499" s="39" t="n">
        <f aca="false">Resumo!$B$14*CEILING(I1499,1)</f>
        <v>23.85</v>
      </c>
      <c r="AE1499" s="39" t="n">
        <f aca="false">SUM(X1499:AD1499)</f>
        <v>146.71184</v>
      </c>
      <c r="AF1499" s="39" t="n">
        <f aca="false">AE1499/(1-Resumo!$B$5)</f>
        <v>166.718</v>
      </c>
      <c r="AG1499" s="39" t="n">
        <f aca="false">AF1499-W1499</f>
        <v>53.4400727272727</v>
      </c>
      <c r="AH1499" s="40" t="n">
        <f aca="false">AF1499/W1499-1</f>
        <v>0.471760686427557</v>
      </c>
      <c r="AI1499" s="37" t="str">
        <f aca="false">IF(AF1499&lt;W1499,"SIM","NÃO")</f>
        <v>NÃO</v>
      </c>
      <c r="AJ1499" s="37" t="n">
        <v>2</v>
      </c>
      <c r="AK1499" s="37" t="n">
        <v>5</v>
      </c>
      <c r="AL1499" s="37" t="s">
        <v>343</v>
      </c>
      <c r="AM1499" s="39" t="n">
        <v>114.15</v>
      </c>
    </row>
    <row r="1500" customFormat="false" ht="15" hidden="false" customHeight="false" outlineLevel="0" collapsed="false">
      <c r="A1500" s="37" t="n">
        <v>387019861</v>
      </c>
      <c r="B1500" s="38" t="n">
        <v>46266.4561226852</v>
      </c>
      <c r="C1500" s="37" t="s">
        <v>361</v>
      </c>
      <c r="D1500" s="37" t="s">
        <v>1721</v>
      </c>
      <c r="E1500" s="37" t="n">
        <v>24802660</v>
      </c>
      <c r="F1500" s="37" t="s">
        <v>174</v>
      </c>
      <c r="G1500" s="37" t="s">
        <v>198</v>
      </c>
      <c r="H1500" s="37" t="s">
        <v>186</v>
      </c>
      <c r="I1500" s="37" t="n">
        <v>48.3</v>
      </c>
      <c r="J1500" s="39" t="n">
        <v>559.99</v>
      </c>
      <c r="K1500" s="37" t="s">
        <v>342</v>
      </c>
      <c r="L1500" s="39" t="n">
        <v>130.84</v>
      </c>
      <c r="M1500" s="39" t="n">
        <v>77.7</v>
      </c>
      <c r="N1500" s="39" t="n">
        <f aca="false">J1500*Resumo!$C$6</f>
        <v>0</v>
      </c>
      <c r="O1500" s="39" t="n">
        <f aca="false">J1500*Resumo!$C$7</f>
        <v>1.175979</v>
      </c>
      <c r="P1500" s="39" t="n">
        <f aca="false">J1500*Resumo!$C$8</f>
        <v>1.175979</v>
      </c>
      <c r="Q1500" s="39" t="n">
        <f aca="false">Resumo!$C$10*CEILING(I1500/100,1)</f>
        <v>1.05</v>
      </c>
      <c r="R1500" s="39" t="n">
        <f aca="false">Resumo!$C$9</f>
        <v>0</v>
      </c>
      <c r="S1500" s="39" t="n">
        <f aca="false">Resumo!$C$13</f>
        <v>13.55</v>
      </c>
      <c r="T1500" s="39" t="n">
        <f aca="false">Resumo!$C$14*CEILING(I1500,1)</f>
        <v>22.05</v>
      </c>
      <c r="U1500" s="39" t="n">
        <f aca="false">SUM(M1500:T1500)*Resumo!$C$11</f>
        <v>0</v>
      </c>
      <c r="V1500" s="39" t="n">
        <f aca="false">SUM(M1500:U1500)</f>
        <v>116.701958</v>
      </c>
      <c r="W1500" s="39" t="n">
        <f aca="false">V1500/(1-Resumo!$C$5)</f>
        <v>132.615861363636</v>
      </c>
      <c r="X1500" s="39" t="n">
        <v>114.95</v>
      </c>
      <c r="Y1500" s="39" t="n">
        <f aca="false">J1500*Resumo!$B$6</f>
        <v>0.55999</v>
      </c>
      <c r="Z1500" s="39" t="n">
        <f aca="false">J1500*Resumo!$B$7</f>
        <v>1.11998</v>
      </c>
      <c r="AA1500" s="39" t="n">
        <f aca="false">Resumo!$B$9</f>
        <v>1</v>
      </c>
      <c r="AB1500" s="39" t="n">
        <f aca="false">Resumo!$B$10*CEILING(I1500/100,1)</f>
        <v>4.5</v>
      </c>
      <c r="AC1500" s="39" t="n">
        <f aca="false">Resumo!$B$12*CEILING(I1500,1)</f>
        <v>2.94</v>
      </c>
      <c r="AD1500" s="39" t="n">
        <f aca="false">Resumo!$B$14*CEILING(I1500,1)</f>
        <v>22.05</v>
      </c>
      <c r="AE1500" s="39" t="n">
        <f aca="false">SUM(X1500:AD1500)</f>
        <v>147.11997</v>
      </c>
      <c r="AF1500" s="39" t="n">
        <f aca="false">AE1500/(1-Resumo!$B$5)</f>
        <v>167.181784090909</v>
      </c>
      <c r="AG1500" s="39" t="n">
        <f aca="false">AF1500-W1500</f>
        <v>34.5659227272727</v>
      </c>
      <c r="AH1500" s="40" t="n">
        <f aca="false">AF1500/W1500-1</f>
        <v>0.260646972178479</v>
      </c>
      <c r="AI1500" s="37" t="str">
        <f aca="false">IF(AF1500&lt;W1500,"SIM","NÃO")</f>
        <v>NÃO</v>
      </c>
      <c r="AJ1500" s="37" t="n">
        <v>13</v>
      </c>
      <c r="AK1500" s="37" t="n">
        <v>7</v>
      </c>
      <c r="AL1500" s="37" t="s">
        <v>343</v>
      </c>
      <c r="AM1500" s="39" t="n">
        <v>130.84</v>
      </c>
    </row>
    <row r="1501" customFormat="false" ht="15" hidden="false" customHeight="false" outlineLevel="0" collapsed="false">
      <c r="A1501" s="37" t="n">
        <v>387042972</v>
      </c>
      <c r="B1501" s="38" t="n">
        <v>46266.4790856482</v>
      </c>
      <c r="C1501" s="37" t="s">
        <v>340</v>
      </c>
      <c r="D1501" s="37" t="s">
        <v>1722</v>
      </c>
      <c r="E1501" s="37" t="n">
        <v>23058002</v>
      </c>
      <c r="F1501" s="37" t="s">
        <v>159</v>
      </c>
      <c r="G1501" s="37" t="s">
        <v>196</v>
      </c>
      <c r="H1501" s="37" t="s">
        <v>188</v>
      </c>
      <c r="I1501" s="37" t="n">
        <v>66.8</v>
      </c>
      <c r="J1501" s="39" t="n">
        <v>699.99</v>
      </c>
      <c r="K1501" s="37" t="s">
        <v>342</v>
      </c>
      <c r="L1501" s="39" t="n">
        <v>124.56</v>
      </c>
      <c r="M1501" s="39" t="n">
        <v>63.21</v>
      </c>
      <c r="N1501" s="39" t="n">
        <f aca="false">J1501*Resumo!$C$6</f>
        <v>0</v>
      </c>
      <c r="O1501" s="39" t="n">
        <f aca="false">J1501*Resumo!$C$7</f>
        <v>1.469979</v>
      </c>
      <c r="P1501" s="39" t="n">
        <f aca="false">J1501*Resumo!$C$8</f>
        <v>1.469979</v>
      </c>
      <c r="Q1501" s="39" t="n">
        <f aca="false">Resumo!$C$10*CEILING(I1501/100,1)</f>
        <v>1.05</v>
      </c>
      <c r="R1501" s="39" t="n">
        <f aca="false">Resumo!$C$9</f>
        <v>0</v>
      </c>
      <c r="S1501" s="39" t="n">
        <f aca="false">Resumo!$C$13</f>
        <v>13.55</v>
      </c>
      <c r="T1501" s="39" t="n">
        <f aca="false">Resumo!$C$14*CEILING(I1501,1)</f>
        <v>30.15</v>
      </c>
      <c r="U1501" s="39" t="n">
        <f aca="false">SUM(M1501:T1501)*Resumo!$C$11</f>
        <v>0</v>
      </c>
      <c r="V1501" s="39" t="n">
        <f aca="false">SUM(M1501:U1501)</f>
        <v>110.899958</v>
      </c>
      <c r="W1501" s="39" t="n">
        <f aca="false">V1501/(1-Resumo!$C$5)</f>
        <v>126.022679545455</v>
      </c>
      <c r="X1501" s="39" t="n">
        <v>131.02</v>
      </c>
      <c r="Y1501" s="39" t="n">
        <f aca="false">J1501*Resumo!$B$6</f>
        <v>0.69999</v>
      </c>
      <c r="Z1501" s="39" t="n">
        <f aca="false">J1501*Resumo!$B$7</f>
        <v>1.39998</v>
      </c>
      <c r="AA1501" s="39" t="n">
        <f aca="false">Resumo!$B$9</f>
        <v>1</v>
      </c>
      <c r="AB1501" s="39" t="n">
        <f aca="false">Resumo!$B$10*CEILING(I1501/100,1)</f>
        <v>4.5</v>
      </c>
      <c r="AC1501" s="39" t="n">
        <f aca="false">Resumo!$B$12*CEILING(I1501,1)</f>
        <v>4.02</v>
      </c>
      <c r="AD1501" s="39" t="n">
        <f aca="false">Resumo!$B$14*CEILING(I1501,1)</f>
        <v>30.15</v>
      </c>
      <c r="AE1501" s="39" t="n">
        <f aca="false">SUM(X1501:AD1501)</f>
        <v>172.78997</v>
      </c>
      <c r="AF1501" s="39" t="n">
        <f aca="false">AE1501/(1-Resumo!$B$5)</f>
        <v>196.352238636364</v>
      </c>
      <c r="AG1501" s="39" t="n">
        <f aca="false">AF1501-W1501</f>
        <v>70.3295590909091</v>
      </c>
      <c r="AH1501" s="40" t="n">
        <f aca="false">AF1501/W1501-1</f>
        <v>0.558070653191771</v>
      </c>
      <c r="AI1501" s="37" t="str">
        <f aca="false">IF(AF1501&lt;W1501,"SIM","NÃO")</f>
        <v>NÃO</v>
      </c>
      <c r="AJ1501" s="37" t="n">
        <v>2</v>
      </c>
      <c r="AK1501" s="37" t="n">
        <v>5</v>
      </c>
      <c r="AL1501" s="37" t="s">
        <v>343</v>
      </c>
      <c r="AM1501" s="39" t="n">
        <v>124.56</v>
      </c>
    </row>
    <row r="1502" customFormat="false" ht="15" hidden="false" customHeight="false" outlineLevel="0" collapsed="false">
      <c r="A1502" s="37" t="n">
        <v>387071516</v>
      </c>
      <c r="B1502" s="38" t="n">
        <v>46266.5252546296</v>
      </c>
      <c r="C1502" s="37" t="s">
        <v>340</v>
      </c>
      <c r="D1502" s="37" t="s">
        <v>1495</v>
      </c>
      <c r="E1502" s="37" t="n">
        <v>21061500</v>
      </c>
      <c r="F1502" s="37" t="s">
        <v>159</v>
      </c>
      <c r="G1502" s="37" t="s">
        <v>196</v>
      </c>
      <c r="H1502" s="37" t="s">
        <v>184</v>
      </c>
      <c r="I1502" s="37" t="n">
        <v>33.3</v>
      </c>
      <c r="J1502" s="39" t="n">
        <v>429.99</v>
      </c>
      <c r="K1502" s="37" t="s">
        <v>342</v>
      </c>
      <c r="L1502" s="39" t="n">
        <v>82.39</v>
      </c>
      <c r="M1502" s="39" t="n">
        <v>42.11</v>
      </c>
      <c r="N1502" s="39" t="n">
        <f aca="false">J1502*Resumo!$C$6</f>
        <v>0</v>
      </c>
      <c r="O1502" s="39" t="n">
        <f aca="false">J1502*Resumo!$C$7</f>
        <v>0.902979</v>
      </c>
      <c r="P1502" s="39" t="n">
        <f aca="false">J1502*Resumo!$C$8</f>
        <v>0.902979</v>
      </c>
      <c r="Q1502" s="39" t="n">
        <f aca="false">Resumo!$C$10*CEILING(I1502/100,1)</f>
        <v>1.05</v>
      </c>
      <c r="R1502" s="39" t="n">
        <f aca="false">Resumo!$C$9</f>
        <v>0</v>
      </c>
      <c r="S1502" s="39" t="n">
        <f aca="false">Resumo!$C$13</f>
        <v>13.55</v>
      </c>
      <c r="T1502" s="39" t="n">
        <f aca="false">Resumo!$C$14*CEILING(I1502,1)</f>
        <v>15.3</v>
      </c>
      <c r="U1502" s="39" t="n">
        <f aca="false">SUM(M1502:T1502)*Resumo!$C$11</f>
        <v>0</v>
      </c>
      <c r="V1502" s="39" t="n">
        <f aca="false">SUM(M1502:U1502)</f>
        <v>73.815958</v>
      </c>
      <c r="W1502" s="39" t="n">
        <f aca="false">V1502/(1-Resumo!$C$5)</f>
        <v>83.8817704545455</v>
      </c>
      <c r="X1502" s="39" t="n">
        <v>82.21</v>
      </c>
      <c r="Y1502" s="39" t="n">
        <f aca="false">J1502*Resumo!$B$6</f>
        <v>0.42999</v>
      </c>
      <c r="Z1502" s="39" t="n">
        <f aca="false">J1502*Resumo!$B$7</f>
        <v>0.85998</v>
      </c>
      <c r="AA1502" s="39" t="n">
        <f aca="false">Resumo!$B$9</f>
        <v>1</v>
      </c>
      <c r="AB1502" s="39" t="n">
        <f aca="false">Resumo!$B$10*CEILING(I1502/100,1)</f>
        <v>4.5</v>
      </c>
      <c r="AC1502" s="39" t="n">
        <f aca="false">Resumo!$B$12*CEILING(I1502,1)</f>
        <v>2.04</v>
      </c>
      <c r="AD1502" s="39" t="n">
        <f aca="false">Resumo!$B$14*CEILING(I1502,1)</f>
        <v>15.3</v>
      </c>
      <c r="AE1502" s="39" t="n">
        <f aca="false">SUM(X1502:AD1502)</f>
        <v>106.33997</v>
      </c>
      <c r="AF1502" s="39" t="n">
        <f aca="false">AE1502/(1-Resumo!$B$5)</f>
        <v>120.840875</v>
      </c>
      <c r="AG1502" s="39" t="n">
        <f aca="false">AF1502-W1502</f>
        <v>36.9591045454546</v>
      </c>
      <c r="AH1502" s="40" t="n">
        <f aca="false">AF1502/W1502-1</f>
        <v>0.440609495307234</v>
      </c>
      <c r="AI1502" s="37" t="str">
        <f aca="false">IF(AF1502&lt;W1502,"SIM","NÃO")</f>
        <v>NÃO</v>
      </c>
      <c r="AJ1502" s="37" t="n">
        <v>2</v>
      </c>
      <c r="AK1502" s="37" t="n">
        <v>5</v>
      </c>
      <c r="AL1502" s="37" t="s">
        <v>343</v>
      </c>
      <c r="AM1502" s="39" t="n">
        <v>82.39</v>
      </c>
    </row>
    <row r="1503" customFormat="false" ht="15" hidden="false" customHeight="false" outlineLevel="0" collapsed="false">
      <c r="A1503" s="37" t="n">
        <v>387088656</v>
      </c>
      <c r="B1503" s="38" t="n">
        <v>46266.5491087963</v>
      </c>
      <c r="C1503" s="37" t="s">
        <v>340</v>
      </c>
      <c r="D1503" s="37" t="s">
        <v>1723</v>
      </c>
      <c r="E1503" s="37" t="n">
        <v>28085140</v>
      </c>
      <c r="F1503" s="37" t="s">
        <v>164</v>
      </c>
      <c r="G1503" s="37" t="s">
        <v>198</v>
      </c>
      <c r="H1503" s="37" t="s">
        <v>188</v>
      </c>
      <c r="I1503" s="37" t="n">
        <v>67.3</v>
      </c>
      <c r="J1503" s="39" t="n">
        <v>694.72</v>
      </c>
      <c r="K1503" s="37" t="s">
        <v>342</v>
      </c>
      <c r="L1503" s="39" t="n">
        <v>155.35</v>
      </c>
      <c r="M1503" s="39" t="n">
        <v>90.2</v>
      </c>
      <c r="N1503" s="39" t="n">
        <f aca="false">J1503*Resumo!$C$6</f>
        <v>0</v>
      </c>
      <c r="O1503" s="39" t="n">
        <f aca="false">J1503*Resumo!$C$7</f>
        <v>1.458912</v>
      </c>
      <c r="P1503" s="39" t="n">
        <f aca="false">J1503*Resumo!$C$8</f>
        <v>1.458912</v>
      </c>
      <c r="Q1503" s="39" t="n">
        <f aca="false">Resumo!$C$10*CEILING(I1503/100,1)</f>
        <v>1.05</v>
      </c>
      <c r="R1503" s="39" t="n">
        <f aca="false">Resumo!$C$9</f>
        <v>0</v>
      </c>
      <c r="S1503" s="39" t="n">
        <f aca="false">Resumo!$C$13</f>
        <v>13.55</v>
      </c>
      <c r="T1503" s="39" t="n">
        <f aca="false">Resumo!$C$14*CEILING(I1503,1)</f>
        <v>30.6</v>
      </c>
      <c r="U1503" s="39" t="n">
        <f aca="false">SUM(M1503:T1503)*Resumo!$C$11</f>
        <v>0</v>
      </c>
      <c r="V1503" s="39" t="n">
        <f aca="false">SUM(M1503:U1503)</f>
        <v>138.317824</v>
      </c>
      <c r="W1503" s="39" t="n">
        <f aca="false">V1503/(1-Resumo!$C$5)</f>
        <v>157.179345454545</v>
      </c>
      <c r="X1503" s="39" t="n">
        <v>171.54</v>
      </c>
      <c r="Y1503" s="39" t="n">
        <f aca="false">J1503*Resumo!$B$6</f>
        <v>0.69472</v>
      </c>
      <c r="Z1503" s="39" t="n">
        <f aca="false">J1503*Resumo!$B$7</f>
        <v>1.38944</v>
      </c>
      <c r="AA1503" s="39" t="n">
        <f aca="false">Resumo!$B$9</f>
        <v>1</v>
      </c>
      <c r="AB1503" s="39" t="n">
        <f aca="false">Resumo!$B$10*CEILING(I1503/100,1)</f>
        <v>4.5</v>
      </c>
      <c r="AC1503" s="39" t="n">
        <f aca="false">Resumo!$B$12*CEILING(I1503,1)</f>
        <v>4.08</v>
      </c>
      <c r="AD1503" s="39" t="n">
        <f aca="false">Resumo!$B$14*CEILING(I1503,1)</f>
        <v>30.6</v>
      </c>
      <c r="AE1503" s="39" t="n">
        <f aca="false">SUM(X1503:AD1503)</f>
        <v>213.80416</v>
      </c>
      <c r="AF1503" s="39" t="n">
        <f aca="false">AE1503/(1-Resumo!$B$5)</f>
        <v>242.959272727273</v>
      </c>
      <c r="AG1503" s="39" t="n">
        <f aca="false">AF1503-W1503</f>
        <v>85.7799272727273</v>
      </c>
      <c r="AH1503" s="40" t="n">
        <f aca="false">AF1503/W1503-1</f>
        <v>0.545745543249726</v>
      </c>
      <c r="AI1503" s="37" t="str">
        <f aca="false">IF(AF1503&lt;W1503,"SIM","NÃO")</f>
        <v>NÃO</v>
      </c>
      <c r="AJ1503" s="37" t="n">
        <v>13</v>
      </c>
      <c r="AK1503" s="37" t="n">
        <v>11</v>
      </c>
      <c r="AL1503" s="37" t="s">
        <v>343</v>
      </c>
      <c r="AM1503" s="39" t="n">
        <v>155.35</v>
      </c>
    </row>
    <row r="1504" customFormat="false" ht="15" hidden="false" customHeight="false" outlineLevel="0" collapsed="false">
      <c r="A1504" s="37" t="n">
        <v>387121910</v>
      </c>
      <c r="B1504" s="38" t="n">
        <v>46266.594375</v>
      </c>
      <c r="C1504" s="37" t="s">
        <v>345</v>
      </c>
      <c r="D1504" s="37" t="s">
        <v>1724</v>
      </c>
      <c r="E1504" s="37" t="n">
        <v>21250570</v>
      </c>
      <c r="F1504" s="37" t="s">
        <v>159</v>
      </c>
      <c r="G1504" s="37" t="s">
        <v>196</v>
      </c>
      <c r="H1504" s="37" t="s">
        <v>184</v>
      </c>
      <c r="I1504" s="37" t="n">
        <v>21.75</v>
      </c>
      <c r="J1504" s="39" t="n">
        <v>249</v>
      </c>
      <c r="K1504" s="37" t="s">
        <v>342</v>
      </c>
      <c r="L1504" s="39" t="n">
        <v>81.52</v>
      </c>
      <c r="M1504" s="39" t="n">
        <v>42.11</v>
      </c>
      <c r="N1504" s="39" t="n">
        <f aca="false">J1504*Resumo!$C$6</f>
        <v>0</v>
      </c>
      <c r="O1504" s="39" t="n">
        <f aca="false">J1504*Resumo!$C$7</f>
        <v>0.5229</v>
      </c>
      <c r="P1504" s="39" t="n">
        <f aca="false">J1504*Resumo!$C$8</f>
        <v>0.5229</v>
      </c>
      <c r="Q1504" s="39" t="n">
        <f aca="false">Resumo!$C$10*CEILING(I1504/100,1)</f>
        <v>1.05</v>
      </c>
      <c r="R1504" s="39" t="n">
        <f aca="false">Resumo!$C$9</f>
        <v>0</v>
      </c>
      <c r="S1504" s="39" t="n">
        <f aca="false">Resumo!$C$13</f>
        <v>13.55</v>
      </c>
      <c r="T1504" s="39" t="n">
        <f aca="false">Resumo!$C$14*CEILING(I1504,1)</f>
        <v>9.9</v>
      </c>
      <c r="U1504" s="39" t="n">
        <f aca="false">SUM(M1504:T1504)*Resumo!$C$11</f>
        <v>0</v>
      </c>
      <c r="V1504" s="39" t="n">
        <f aca="false">SUM(M1504:U1504)</f>
        <v>67.6558</v>
      </c>
      <c r="W1504" s="39" t="n">
        <f aca="false">V1504/(1-Resumo!$C$5)</f>
        <v>76.8815909090909</v>
      </c>
      <c r="X1504" s="39" t="n">
        <v>82.21</v>
      </c>
      <c r="Y1504" s="39" t="n">
        <f aca="false">J1504*Resumo!$B$6</f>
        <v>0.249</v>
      </c>
      <c r="Z1504" s="39" t="n">
        <f aca="false">J1504*Resumo!$B$7</f>
        <v>0.498</v>
      </c>
      <c r="AA1504" s="39" t="n">
        <f aca="false">Resumo!$B$9</f>
        <v>1</v>
      </c>
      <c r="AB1504" s="39" t="n">
        <f aca="false">Resumo!$B$10*CEILING(I1504/100,1)</f>
        <v>4.5</v>
      </c>
      <c r="AC1504" s="39" t="n">
        <f aca="false">Resumo!$B$12*CEILING(I1504,1)</f>
        <v>1.32</v>
      </c>
      <c r="AD1504" s="39" t="n">
        <f aca="false">Resumo!$B$14*CEILING(I1504,1)</f>
        <v>9.9</v>
      </c>
      <c r="AE1504" s="39" t="n">
        <f aca="false">SUM(X1504:AD1504)</f>
        <v>99.677</v>
      </c>
      <c r="AF1504" s="39" t="n">
        <f aca="false">AE1504/(1-Resumo!$B$5)</f>
        <v>113.269318181818</v>
      </c>
      <c r="AG1504" s="39" t="n">
        <f aca="false">AF1504-W1504</f>
        <v>36.3877272727273</v>
      </c>
      <c r="AH1504" s="40" t="n">
        <f aca="false">AF1504/W1504-1</f>
        <v>0.473295711528058</v>
      </c>
      <c r="AI1504" s="37" t="str">
        <f aca="false">IF(AF1504&lt;W1504,"SIM","NÃO")</f>
        <v>NÃO</v>
      </c>
      <c r="AJ1504" s="37" t="n">
        <v>2</v>
      </c>
      <c r="AK1504" s="37" t="n">
        <v>5</v>
      </c>
      <c r="AL1504" s="37" t="s">
        <v>343</v>
      </c>
      <c r="AM1504" s="39" t="n">
        <v>81.52</v>
      </c>
    </row>
    <row r="1505" customFormat="false" ht="15" hidden="false" customHeight="false" outlineLevel="0" collapsed="false">
      <c r="A1505" s="37" t="n">
        <v>387146321</v>
      </c>
      <c r="B1505" s="38" t="n">
        <v>46266.6271759259</v>
      </c>
      <c r="C1505" s="37" t="s">
        <v>345</v>
      </c>
      <c r="D1505" s="37" t="s">
        <v>1192</v>
      </c>
      <c r="E1505" s="37" t="n">
        <v>23040550</v>
      </c>
      <c r="F1505" s="37" t="s">
        <v>159</v>
      </c>
      <c r="G1505" s="37" t="s">
        <v>196</v>
      </c>
      <c r="H1505" s="37" t="s">
        <v>188</v>
      </c>
      <c r="I1505" s="37" t="n">
        <v>68.7</v>
      </c>
      <c r="J1505" s="39" t="n">
        <v>757.86</v>
      </c>
      <c r="K1505" s="37" t="s">
        <v>342</v>
      </c>
      <c r="L1505" s="39" t="n">
        <v>124.85</v>
      </c>
      <c r="M1505" s="39" t="n">
        <v>63.21</v>
      </c>
      <c r="N1505" s="39" t="n">
        <f aca="false">J1505*Resumo!$C$6</f>
        <v>0</v>
      </c>
      <c r="O1505" s="39" t="n">
        <f aca="false">J1505*Resumo!$C$7</f>
        <v>1.591506</v>
      </c>
      <c r="P1505" s="39" t="n">
        <f aca="false">J1505*Resumo!$C$8</f>
        <v>1.591506</v>
      </c>
      <c r="Q1505" s="39" t="n">
        <f aca="false">Resumo!$C$10*CEILING(I1505/100,1)</f>
        <v>1.05</v>
      </c>
      <c r="R1505" s="39" t="n">
        <f aca="false">Resumo!$C$9</f>
        <v>0</v>
      </c>
      <c r="S1505" s="39" t="n">
        <f aca="false">Resumo!$C$13</f>
        <v>13.55</v>
      </c>
      <c r="T1505" s="39" t="n">
        <f aca="false">Resumo!$C$14*CEILING(I1505,1)</f>
        <v>31.05</v>
      </c>
      <c r="U1505" s="39" t="n">
        <f aca="false">SUM(M1505:T1505)*Resumo!$C$11</f>
        <v>0</v>
      </c>
      <c r="V1505" s="39" t="n">
        <f aca="false">SUM(M1505:U1505)</f>
        <v>112.043012</v>
      </c>
      <c r="W1505" s="39" t="n">
        <f aca="false">V1505/(1-Resumo!$C$5)</f>
        <v>127.321604545455</v>
      </c>
      <c r="X1505" s="39" t="n">
        <v>131.02</v>
      </c>
      <c r="Y1505" s="39" t="n">
        <f aca="false">J1505*Resumo!$B$6</f>
        <v>0.75786</v>
      </c>
      <c r="Z1505" s="39" t="n">
        <f aca="false">J1505*Resumo!$B$7</f>
        <v>1.51572</v>
      </c>
      <c r="AA1505" s="39" t="n">
        <f aca="false">Resumo!$B$9</f>
        <v>1</v>
      </c>
      <c r="AB1505" s="39" t="n">
        <f aca="false">Resumo!$B$10*CEILING(I1505/100,1)</f>
        <v>4.5</v>
      </c>
      <c r="AC1505" s="39" t="n">
        <f aca="false">Resumo!$B$12*CEILING(I1505,1)</f>
        <v>4.14</v>
      </c>
      <c r="AD1505" s="39" t="n">
        <f aca="false">Resumo!$B$14*CEILING(I1505,1)</f>
        <v>31.05</v>
      </c>
      <c r="AE1505" s="39" t="n">
        <f aca="false">SUM(X1505:AD1505)</f>
        <v>173.98358</v>
      </c>
      <c r="AF1505" s="39" t="n">
        <f aca="false">AE1505/(1-Resumo!$B$5)</f>
        <v>197.708613636364</v>
      </c>
      <c r="AG1505" s="39" t="n">
        <f aca="false">AF1505-W1505</f>
        <v>70.3870090909091</v>
      </c>
      <c r="AH1505" s="40" t="n">
        <f aca="false">AF1505/W1505-1</f>
        <v>0.552828479834155</v>
      </c>
      <c r="AI1505" s="37" t="str">
        <f aca="false">IF(AF1505&lt;W1505,"SIM","NÃO")</f>
        <v>NÃO</v>
      </c>
      <c r="AJ1505" s="37" t="n">
        <v>2</v>
      </c>
      <c r="AK1505" s="37" t="n">
        <v>5</v>
      </c>
      <c r="AL1505" s="37" t="s">
        <v>343</v>
      </c>
      <c r="AM1505" s="39" t="n">
        <v>124.84</v>
      </c>
    </row>
    <row r="1506" customFormat="false" ht="15" hidden="false" customHeight="false" outlineLevel="0" collapsed="false">
      <c r="A1506" s="37" t="n">
        <v>387147599</v>
      </c>
      <c r="B1506" s="38" t="n">
        <v>46266.6299074074</v>
      </c>
      <c r="C1506" s="37" t="s">
        <v>340</v>
      </c>
      <c r="D1506" s="37" t="s">
        <v>1725</v>
      </c>
      <c r="E1506" s="37" t="n">
        <v>26480350</v>
      </c>
      <c r="F1506" s="37" t="s">
        <v>237</v>
      </c>
      <c r="G1506" s="37" t="s">
        <v>198</v>
      </c>
      <c r="H1506" s="37" t="s">
        <v>185</v>
      </c>
      <c r="I1506" s="37" t="n">
        <v>37.5</v>
      </c>
      <c r="J1506" s="39" t="n">
        <v>379.99</v>
      </c>
      <c r="K1506" s="37" t="s">
        <v>342</v>
      </c>
      <c r="L1506" s="39" t="n">
        <v>122.07</v>
      </c>
      <c r="M1506" s="39" t="n">
        <v>74.97</v>
      </c>
      <c r="N1506" s="39" t="n">
        <f aca="false">J1506*Resumo!$C$6</f>
        <v>0</v>
      </c>
      <c r="O1506" s="39" t="n">
        <f aca="false">J1506*Resumo!$C$7</f>
        <v>0.797979</v>
      </c>
      <c r="P1506" s="39" t="n">
        <f aca="false">J1506*Resumo!$C$8</f>
        <v>0.797979</v>
      </c>
      <c r="Q1506" s="39" t="n">
        <f aca="false">Resumo!$C$10*CEILING(I1506/100,1)</f>
        <v>1.05</v>
      </c>
      <c r="R1506" s="39" t="n">
        <f aca="false">Resumo!$C$9</f>
        <v>0</v>
      </c>
      <c r="S1506" s="39" t="n">
        <f aca="false">Resumo!$C$13</f>
        <v>13.55</v>
      </c>
      <c r="T1506" s="39" t="n">
        <f aca="false">Resumo!$C$14*CEILING(I1506,1)</f>
        <v>17.1</v>
      </c>
      <c r="U1506" s="39" t="n">
        <f aca="false">SUM(M1506:T1506)*Resumo!$C$11</f>
        <v>0</v>
      </c>
      <c r="V1506" s="39" t="n">
        <f aca="false">SUM(M1506:U1506)</f>
        <v>108.265958</v>
      </c>
      <c r="W1506" s="39" t="n">
        <f aca="false">V1506/(1-Resumo!$C$5)</f>
        <v>123.029497727273</v>
      </c>
      <c r="X1506" s="39" t="n">
        <v>93.97</v>
      </c>
      <c r="Y1506" s="39" t="n">
        <f aca="false">J1506*Resumo!$B$6</f>
        <v>0.37999</v>
      </c>
      <c r="Z1506" s="39" t="n">
        <f aca="false">J1506*Resumo!$B$7</f>
        <v>0.75998</v>
      </c>
      <c r="AA1506" s="39" t="n">
        <f aca="false">Resumo!$B$9</f>
        <v>1</v>
      </c>
      <c r="AB1506" s="39" t="n">
        <f aca="false">Resumo!$B$10*CEILING(I1506/100,1)</f>
        <v>4.5</v>
      </c>
      <c r="AC1506" s="39" t="n">
        <f aca="false">Resumo!$B$12*CEILING(I1506,1)</f>
        <v>2.28</v>
      </c>
      <c r="AD1506" s="39" t="n">
        <f aca="false">Resumo!$B$14*CEILING(I1506,1)</f>
        <v>17.1</v>
      </c>
      <c r="AE1506" s="39" t="n">
        <f aca="false">SUM(X1506:AD1506)</f>
        <v>119.98997</v>
      </c>
      <c r="AF1506" s="39" t="n">
        <f aca="false">AE1506/(1-Resumo!$B$5)</f>
        <v>136.352238636364</v>
      </c>
      <c r="AG1506" s="39" t="n">
        <f aca="false">AF1506-W1506</f>
        <v>13.3227409090909</v>
      </c>
      <c r="AH1506" s="40" t="n">
        <f aca="false">AF1506/W1506-1</f>
        <v>0.108288996990171</v>
      </c>
      <c r="AI1506" s="37" t="str">
        <f aca="false">IF(AF1506&lt;W1506,"SIM","NÃO")</f>
        <v>NÃO</v>
      </c>
      <c r="AJ1506" s="37" t="n">
        <v>13</v>
      </c>
      <c r="AK1506" s="37" t="n">
        <v>5</v>
      </c>
      <c r="AL1506" s="37" t="s">
        <v>347</v>
      </c>
      <c r="AM1506" s="39" t="n">
        <v>122.07</v>
      </c>
    </row>
    <row r="1507" customFormat="false" ht="15" hidden="false" customHeight="false" outlineLevel="0" collapsed="false">
      <c r="A1507" s="37" t="n">
        <v>387165141</v>
      </c>
      <c r="B1507" s="38" t="n">
        <v>46266.6586805556</v>
      </c>
      <c r="C1507" s="37" t="s">
        <v>345</v>
      </c>
      <c r="D1507" s="37" t="s">
        <v>1726</v>
      </c>
      <c r="E1507" s="37" t="n">
        <v>28623000</v>
      </c>
      <c r="F1507" s="37" t="s">
        <v>177</v>
      </c>
      <c r="G1507" s="37" t="s">
        <v>198</v>
      </c>
      <c r="H1507" s="37" t="s">
        <v>186</v>
      </c>
      <c r="I1507" s="37" t="n">
        <v>48.6</v>
      </c>
      <c r="J1507" s="39" t="n">
        <v>572</v>
      </c>
      <c r="K1507" s="37" t="s">
        <v>342</v>
      </c>
      <c r="L1507" s="39" t="n">
        <v>130.89</v>
      </c>
      <c r="M1507" s="39" t="n">
        <v>77.7</v>
      </c>
      <c r="N1507" s="39" t="n">
        <f aca="false">J1507*Resumo!$C$6</f>
        <v>0</v>
      </c>
      <c r="O1507" s="39" t="n">
        <f aca="false">J1507*Resumo!$C$7</f>
        <v>1.2012</v>
      </c>
      <c r="P1507" s="39" t="n">
        <f aca="false">J1507*Resumo!$C$8</f>
        <v>1.2012</v>
      </c>
      <c r="Q1507" s="39" t="n">
        <f aca="false">Resumo!$C$10*CEILING(I1507/100,1)</f>
        <v>1.05</v>
      </c>
      <c r="R1507" s="39" t="n">
        <f aca="false">Resumo!$C$9</f>
        <v>0</v>
      </c>
      <c r="S1507" s="39" t="n">
        <f aca="false">Resumo!$C$13</f>
        <v>13.55</v>
      </c>
      <c r="T1507" s="39" t="n">
        <f aca="false">Resumo!$C$14*CEILING(I1507,1)</f>
        <v>22.05</v>
      </c>
      <c r="U1507" s="39" t="n">
        <f aca="false">SUM(M1507:T1507)*Resumo!$C$11</f>
        <v>0</v>
      </c>
      <c r="V1507" s="39" t="n">
        <f aca="false">SUM(M1507:U1507)</f>
        <v>116.7524</v>
      </c>
      <c r="W1507" s="39" t="n">
        <f aca="false">V1507/(1-Resumo!$C$5)</f>
        <v>132.673181818182</v>
      </c>
      <c r="X1507" s="39" t="n">
        <v>135.03</v>
      </c>
      <c r="Y1507" s="39" t="n">
        <f aca="false">J1507*Resumo!$B$6</f>
        <v>0.572</v>
      </c>
      <c r="Z1507" s="39" t="n">
        <f aca="false">J1507*Resumo!$B$7</f>
        <v>1.144</v>
      </c>
      <c r="AA1507" s="39" t="n">
        <f aca="false">Resumo!$B$9</f>
        <v>1</v>
      </c>
      <c r="AB1507" s="39" t="n">
        <f aca="false">Resumo!$B$10*CEILING(I1507/100,1)</f>
        <v>4.5</v>
      </c>
      <c r="AC1507" s="39" t="n">
        <f aca="false">Resumo!$B$12*CEILING(I1507,1)</f>
        <v>2.94</v>
      </c>
      <c r="AD1507" s="39" t="n">
        <f aca="false">Resumo!$B$14*CEILING(I1507,1)</f>
        <v>22.05</v>
      </c>
      <c r="AE1507" s="39" t="n">
        <f aca="false">SUM(X1507:AD1507)</f>
        <v>167.236</v>
      </c>
      <c r="AF1507" s="39" t="n">
        <f aca="false">AE1507/(1-Resumo!$B$5)</f>
        <v>190.040909090909</v>
      </c>
      <c r="AG1507" s="39" t="n">
        <f aca="false">AF1507-W1507</f>
        <v>57.3677272727273</v>
      </c>
      <c r="AH1507" s="40" t="n">
        <f aca="false">AF1507/W1507-1</f>
        <v>0.432398820067083</v>
      </c>
      <c r="AI1507" s="37" t="str">
        <f aca="false">IF(AF1507&lt;W1507,"SIM","NÃO")</f>
        <v>NÃO</v>
      </c>
      <c r="AJ1507" s="37" t="n">
        <v>13</v>
      </c>
      <c r="AK1507" s="37" t="n">
        <v>10</v>
      </c>
      <c r="AL1507" s="37" t="s">
        <v>343</v>
      </c>
      <c r="AM1507" s="39" t="n">
        <v>130.9</v>
      </c>
    </row>
    <row r="1508" customFormat="false" ht="15" hidden="false" customHeight="false" outlineLevel="0" collapsed="false">
      <c r="A1508" s="37" t="n">
        <v>387184774</v>
      </c>
      <c r="B1508" s="38" t="n">
        <v>46266.6878819445</v>
      </c>
      <c r="C1508" s="37" t="s">
        <v>340</v>
      </c>
      <c r="D1508" s="37" t="s">
        <v>1727</v>
      </c>
      <c r="E1508" s="37" t="n">
        <v>26297234</v>
      </c>
      <c r="F1508" s="37" t="s">
        <v>162</v>
      </c>
      <c r="G1508" s="37" t="s">
        <v>197</v>
      </c>
      <c r="H1508" s="37" t="s">
        <v>183</v>
      </c>
      <c r="I1508" s="37" t="n">
        <v>19.8</v>
      </c>
      <c r="J1508" s="39" t="n">
        <v>369.99</v>
      </c>
      <c r="K1508" s="37" t="s">
        <v>342</v>
      </c>
      <c r="L1508" s="39" t="n">
        <v>75.61</v>
      </c>
      <c r="M1508" s="39" t="n">
        <v>42.72</v>
      </c>
      <c r="N1508" s="39" t="n">
        <f aca="false">J1508*Resumo!$C$6</f>
        <v>0</v>
      </c>
      <c r="O1508" s="39" t="n">
        <f aca="false">J1508*Resumo!$C$7</f>
        <v>0.776979</v>
      </c>
      <c r="P1508" s="39" t="n">
        <f aca="false">J1508*Resumo!$C$8</f>
        <v>0.776979</v>
      </c>
      <c r="Q1508" s="39" t="n">
        <f aca="false">Resumo!$C$10*CEILING(I1508/100,1)</f>
        <v>1.05</v>
      </c>
      <c r="R1508" s="39" t="n">
        <f aca="false">Resumo!$C$9</f>
        <v>0</v>
      </c>
      <c r="S1508" s="39" t="n">
        <f aca="false">Resumo!$C$13</f>
        <v>13.55</v>
      </c>
      <c r="T1508" s="39" t="n">
        <f aca="false">Resumo!$C$14*CEILING(I1508,1)</f>
        <v>9</v>
      </c>
      <c r="U1508" s="39" t="n">
        <f aca="false">SUM(M1508:T1508)*Resumo!$C$11</f>
        <v>0</v>
      </c>
      <c r="V1508" s="39" t="n">
        <f aca="false">SUM(M1508:U1508)</f>
        <v>67.873958</v>
      </c>
      <c r="W1508" s="39" t="n">
        <f aca="false">V1508/(1-Resumo!$C$5)</f>
        <v>77.1294977272727</v>
      </c>
      <c r="X1508" s="39" t="n">
        <v>46.98</v>
      </c>
      <c r="Y1508" s="39" t="n">
        <f aca="false">J1508*Resumo!$B$6</f>
        <v>0.36999</v>
      </c>
      <c r="Z1508" s="39" t="n">
        <f aca="false">J1508*Resumo!$B$7</f>
        <v>0.73998</v>
      </c>
      <c r="AA1508" s="39" t="n">
        <f aca="false">Resumo!$B$9</f>
        <v>1</v>
      </c>
      <c r="AB1508" s="39" t="n">
        <f aca="false">Resumo!$B$10*CEILING(I1508/100,1)</f>
        <v>4.5</v>
      </c>
      <c r="AC1508" s="39" t="n">
        <f aca="false">Resumo!$B$12*CEILING(I1508,1)</f>
        <v>1.2</v>
      </c>
      <c r="AD1508" s="39" t="n">
        <f aca="false">Resumo!$B$14*CEILING(I1508,1)</f>
        <v>9</v>
      </c>
      <c r="AE1508" s="39" t="n">
        <f aca="false">SUM(X1508:AD1508)</f>
        <v>63.78997</v>
      </c>
      <c r="AF1508" s="39" t="n">
        <f aca="false">AE1508/(1-Resumo!$B$5)</f>
        <v>72.4886022727273</v>
      </c>
      <c r="AG1508" s="39" t="n">
        <f aca="false">AF1508-W1508</f>
        <v>-4.64089545454547</v>
      </c>
      <c r="AH1508" s="40" t="n">
        <f aca="false">AF1508/W1508-1</f>
        <v>-0.060170176019498</v>
      </c>
      <c r="AI1508" s="37" t="str">
        <f aca="false">IF(AF1508&lt;W1508,"SIM","NÃO")</f>
        <v>SIM</v>
      </c>
      <c r="AJ1508" s="37" t="n">
        <v>2</v>
      </c>
      <c r="AK1508" s="37" t="n">
        <v>5</v>
      </c>
      <c r="AL1508" s="37" t="s">
        <v>343</v>
      </c>
      <c r="AM1508" s="39" t="n">
        <v>75.61</v>
      </c>
    </row>
    <row r="1509" customFormat="false" ht="15" hidden="false" customHeight="false" outlineLevel="0" collapsed="false">
      <c r="A1509" s="37" t="n">
        <v>387261366</v>
      </c>
      <c r="B1509" s="38" t="n">
        <v>46266.6892824074</v>
      </c>
      <c r="C1509" s="37" t="s">
        <v>345</v>
      </c>
      <c r="D1509" s="37" t="s">
        <v>1728</v>
      </c>
      <c r="E1509" s="37" t="n">
        <v>25745010</v>
      </c>
      <c r="F1509" s="37" t="s">
        <v>170</v>
      </c>
      <c r="G1509" s="37" t="s">
        <v>198</v>
      </c>
      <c r="H1509" s="37" t="s">
        <v>192</v>
      </c>
      <c r="I1509" s="37" t="n">
        <v>124.2</v>
      </c>
      <c r="J1509" s="39" t="n">
        <v>1799.99</v>
      </c>
      <c r="K1509" s="37" t="s">
        <v>342</v>
      </c>
      <c r="L1509" s="39" t="n">
        <v>261.92</v>
      </c>
      <c r="M1509" s="39" t="n">
        <v>144.24</v>
      </c>
      <c r="N1509" s="39" t="n">
        <f aca="false">J1509*Resumo!$C$6</f>
        <v>0</v>
      </c>
      <c r="O1509" s="39" t="n">
        <f aca="false">J1509*Resumo!$C$7</f>
        <v>3.779979</v>
      </c>
      <c r="P1509" s="39" t="n">
        <f aca="false">J1509*Resumo!$C$8</f>
        <v>3.779979</v>
      </c>
      <c r="Q1509" s="39" t="n">
        <f aca="false">Resumo!$C$10*CEILING(I1509/100,1)</f>
        <v>2.1</v>
      </c>
      <c r="R1509" s="39" t="n">
        <f aca="false">Resumo!$C$9</f>
        <v>0</v>
      </c>
      <c r="S1509" s="39" t="n">
        <f aca="false">Resumo!$C$13</f>
        <v>13.55</v>
      </c>
      <c r="T1509" s="39" t="n">
        <f aca="false">Resumo!$C$14*CEILING(I1509,1)</f>
        <v>56.25</v>
      </c>
      <c r="U1509" s="39" t="n">
        <f aca="false">SUM(M1509:T1509)*Resumo!$C$11</f>
        <v>0</v>
      </c>
      <c r="V1509" s="39" t="n">
        <f aca="false">SUM(M1509:U1509)</f>
        <v>223.699958</v>
      </c>
      <c r="W1509" s="39" t="n">
        <f aca="false">V1509/(1-Resumo!$C$5)</f>
        <v>254.204497727273</v>
      </c>
      <c r="X1509" s="39" t="n">
        <v>264.84</v>
      </c>
      <c r="Y1509" s="39" t="n">
        <f aca="false">J1509*Resumo!$B$6</f>
        <v>1.79999</v>
      </c>
      <c r="Z1509" s="39" t="n">
        <f aca="false">J1509*Resumo!$B$7</f>
        <v>3.59998</v>
      </c>
      <c r="AA1509" s="39" t="n">
        <f aca="false">Resumo!$B$9</f>
        <v>1</v>
      </c>
      <c r="AB1509" s="39" t="n">
        <f aca="false">Resumo!$B$10*CEILING(I1509/100,1)</f>
        <v>9</v>
      </c>
      <c r="AC1509" s="39" t="n">
        <f aca="false">Resumo!$B$12*CEILING(I1509,1)</f>
        <v>7.5</v>
      </c>
      <c r="AD1509" s="39" t="n">
        <f aca="false">Resumo!$B$14*CEILING(I1509,1)</f>
        <v>56.25</v>
      </c>
      <c r="AE1509" s="39" t="n">
        <f aca="false">SUM(X1509:AD1509)</f>
        <v>343.98997</v>
      </c>
      <c r="AF1509" s="39" t="n">
        <f aca="false">AE1509/(1-Resumo!$B$5)</f>
        <v>390.897693181818</v>
      </c>
      <c r="AG1509" s="39" t="n">
        <f aca="false">AF1509-W1509</f>
        <v>136.693195454545</v>
      </c>
      <c r="AH1509" s="40" t="n">
        <f aca="false">AF1509/W1509-1</f>
        <v>0.537729256077911</v>
      </c>
      <c r="AI1509" s="37" t="str">
        <f aca="false">IF(AF1509&lt;W1509,"SIM","NÃO")</f>
        <v>NÃO</v>
      </c>
      <c r="AJ1509" s="37" t="n">
        <v>13</v>
      </c>
      <c r="AK1509" s="37" t="n">
        <v>8</v>
      </c>
      <c r="AL1509" s="37" t="s">
        <v>343</v>
      </c>
      <c r="AM1509" s="39" t="n">
        <v>261.92</v>
      </c>
    </row>
    <row r="1510" customFormat="false" ht="15" hidden="false" customHeight="false" outlineLevel="0" collapsed="false">
      <c r="A1510" s="37" t="n">
        <v>387217124</v>
      </c>
      <c r="B1510" s="38" t="n">
        <v>46266.7469907407</v>
      </c>
      <c r="C1510" s="37" t="s">
        <v>372</v>
      </c>
      <c r="D1510" s="37" t="s">
        <v>1729</v>
      </c>
      <c r="E1510" s="37" t="n">
        <v>25932110</v>
      </c>
      <c r="F1510" s="37" t="s">
        <v>176</v>
      </c>
      <c r="G1510" s="37" t="s">
        <v>198</v>
      </c>
      <c r="H1510" s="37" t="s">
        <v>184</v>
      </c>
      <c r="I1510" s="37" t="n">
        <v>30.5</v>
      </c>
      <c r="J1510" s="39" t="n">
        <v>399.99</v>
      </c>
      <c r="K1510" s="37" t="s">
        <v>342</v>
      </c>
      <c r="L1510" s="39" t="n">
        <v>109.1</v>
      </c>
      <c r="M1510" s="39" t="n">
        <v>65.63</v>
      </c>
      <c r="N1510" s="39" t="n">
        <f aca="false">J1510*Resumo!$C$6</f>
        <v>0</v>
      </c>
      <c r="O1510" s="39" t="n">
        <f aca="false">J1510*Resumo!$C$7</f>
        <v>0.839979</v>
      </c>
      <c r="P1510" s="39" t="n">
        <f aca="false">J1510*Resumo!$C$8</f>
        <v>0.839979</v>
      </c>
      <c r="Q1510" s="39" t="n">
        <f aca="false">Resumo!$C$10*CEILING(I1510/100,1)</f>
        <v>1.05</v>
      </c>
      <c r="R1510" s="39" t="n">
        <f aca="false">Resumo!$C$9</f>
        <v>0</v>
      </c>
      <c r="S1510" s="39" t="n">
        <f aca="false">Resumo!$C$13</f>
        <v>13.55</v>
      </c>
      <c r="T1510" s="39" t="n">
        <f aca="false">Resumo!$C$14*CEILING(I1510,1)</f>
        <v>13.95</v>
      </c>
      <c r="U1510" s="39" t="n">
        <f aca="false">SUM(M1510:T1510)*Resumo!$C$11</f>
        <v>0</v>
      </c>
      <c r="V1510" s="39" t="n">
        <f aca="false">SUM(M1510:U1510)</f>
        <v>95.859958</v>
      </c>
      <c r="W1510" s="39" t="n">
        <f aca="false">V1510/(1-Resumo!$C$5)</f>
        <v>108.931770454545</v>
      </c>
      <c r="X1510" s="39" t="n">
        <v>103.28</v>
      </c>
      <c r="Y1510" s="39" t="n">
        <f aca="false">J1510*Resumo!$B$6</f>
        <v>0.39999</v>
      </c>
      <c r="Z1510" s="39" t="n">
        <f aca="false">J1510*Resumo!$B$7</f>
        <v>0.79998</v>
      </c>
      <c r="AA1510" s="39" t="n">
        <f aca="false">Resumo!$B$9</f>
        <v>1</v>
      </c>
      <c r="AB1510" s="39" t="n">
        <f aca="false">Resumo!$B$10*CEILING(I1510/100,1)</f>
        <v>4.5</v>
      </c>
      <c r="AC1510" s="39" t="n">
        <f aca="false">Resumo!$B$12*CEILING(I1510,1)</f>
        <v>1.86</v>
      </c>
      <c r="AD1510" s="39" t="n">
        <f aca="false">Resumo!$B$14*CEILING(I1510,1)</f>
        <v>13.95</v>
      </c>
      <c r="AE1510" s="39" t="n">
        <f aca="false">SUM(X1510:AD1510)</f>
        <v>125.78997</v>
      </c>
      <c r="AF1510" s="39" t="n">
        <f aca="false">AE1510/(1-Resumo!$B$5)</f>
        <v>142.943147727273</v>
      </c>
      <c r="AG1510" s="39" t="n">
        <f aca="false">AF1510-W1510</f>
        <v>34.0113772727273</v>
      </c>
      <c r="AH1510" s="40" t="n">
        <f aca="false">AF1510/W1510-1</f>
        <v>0.312226425135717</v>
      </c>
      <c r="AI1510" s="37" t="str">
        <f aca="false">IF(AF1510&lt;W1510,"SIM","NÃO")</f>
        <v>NÃO</v>
      </c>
      <c r="AJ1510" s="37" t="n">
        <v>13</v>
      </c>
      <c r="AK1510" s="37" t="n">
        <v>6</v>
      </c>
      <c r="AL1510" s="37" t="s">
        <v>343</v>
      </c>
      <c r="AM1510" s="39" t="n">
        <v>109.1</v>
      </c>
    </row>
    <row r="1511" customFormat="false" ht="15" hidden="false" customHeight="false" outlineLevel="0" collapsed="false">
      <c r="A1511" s="37" t="n">
        <v>387224307</v>
      </c>
      <c r="B1511" s="38" t="n">
        <v>46266.7566666667</v>
      </c>
      <c r="C1511" s="37" t="s">
        <v>340</v>
      </c>
      <c r="D1511" s="37" t="s">
        <v>1730</v>
      </c>
      <c r="E1511" s="37" t="n">
        <v>23010220</v>
      </c>
      <c r="F1511" s="37" t="s">
        <v>159</v>
      </c>
      <c r="G1511" s="37" t="s">
        <v>196</v>
      </c>
      <c r="H1511" s="37" t="s">
        <v>185</v>
      </c>
      <c r="I1511" s="37" t="n">
        <v>37.2</v>
      </c>
      <c r="J1511" s="39" t="n">
        <v>387.99</v>
      </c>
      <c r="K1511" s="37" t="s">
        <v>342</v>
      </c>
      <c r="L1511" s="39" t="n">
        <v>91.73</v>
      </c>
      <c r="M1511" s="39" t="n">
        <v>48.35</v>
      </c>
      <c r="N1511" s="39" t="n">
        <f aca="false">J1511*Resumo!$C$6</f>
        <v>0</v>
      </c>
      <c r="O1511" s="39" t="n">
        <f aca="false">J1511*Resumo!$C$7</f>
        <v>0.814779</v>
      </c>
      <c r="P1511" s="39" t="n">
        <f aca="false">J1511*Resumo!$C$8</f>
        <v>0.814779</v>
      </c>
      <c r="Q1511" s="39" t="n">
        <f aca="false">Resumo!$C$10*CEILING(I1511/100,1)</f>
        <v>1.05</v>
      </c>
      <c r="R1511" s="39" t="n">
        <f aca="false">Resumo!$C$9</f>
        <v>0</v>
      </c>
      <c r="S1511" s="39" t="n">
        <f aca="false">Resumo!$C$13</f>
        <v>13.55</v>
      </c>
      <c r="T1511" s="39" t="n">
        <f aca="false">Resumo!$C$14*CEILING(I1511,1)</f>
        <v>17.1</v>
      </c>
      <c r="U1511" s="39" t="n">
        <f aca="false">SUM(M1511:T1511)*Resumo!$C$11</f>
        <v>0</v>
      </c>
      <c r="V1511" s="39" t="n">
        <f aca="false">SUM(M1511:U1511)</f>
        <v>81.679558</v>
      </c>
      <c r="W1511" s="39" t="n">
        <f aca="false">V1511/(1-Resumo!$C$5)</f>
        <v>92.8176795454546</v>
      </c>
      <c r="X1511" s="39" t="n">
        <v>93.97</v>
      </c>
      <c r="Y1511" s="39" t="n">
        <f aca="false">J1511*Resumo!$B$6</f>
        <v>0.38799</v>
      </c>
      <c r="Z1511" s="39" t="n">
        <f aca="false">J1511*Resumo!$B$7</f>
        <v>0.77598</v>
      </c>
      <c r="AA1511" s="39" t="n">
        <f aca="false">Resumo!$B$9</f>
        <v>1</v>
      </c>
      <c r="AB1511" s="39" t="n">
        <f aca="false">Resumo!$B$10*CEILING(I1511/100,1)</f>
        <v>4.5</v>
      </c>
      <c r="AC1511" s="39" t="n">
        <f aca="false">Resumo!$B$12*CEILING(I1511,1)</f>
        <v>2.28</v>
      </c>
      <c r="AD1511" s="39" t="n">
        <f aca="false">Resumo!$B$14*CEILING(I1511,1)</f>
        <v>17.1</v>
      </c>
      <c r="AE1511" s="39" t="n">
        <f aca="false">SUM(X1511:AD1511)</f>
        <v>120.01397</v>
      </c>
      <c r="AF1511" s="39" t="n">
        <f aca="false">AE1511/(1-Resumo!$B$5)</f>
        <v>136.379511363636</v>
      </c>
      <c r="AG1511" s="39" t="n">
        <f aca="false">AF1511-W1511</f>
        <v>43.5618318181818</v>
      </c>
      <c r="AH1511" s="40" t="n">
        <f aca="false">AF1511/W1511-1</f>
        <v>0.469326878580807</v>
      </c>
      <c r="AI1511" s="37" t="str">
        <f aca="false">IF(AF1511&lt;W1511,"SIM","NÃO")</f>
        <v>NÃO</v>
      </c>
      <c r="AJ1511" s="37" t="n">
        <v>2</v>
      </c>
      <c r="AK1511" s="37" t="n">
        <v>5</v>
      </c>
      <c r="AL1511" s="37" t="s">
        <v>343</v>
      </c>
      <c r="AM1511" s="39" t="n">
        <v>91.72</v>
      </c>
    </row>
    <row r="1512" customFormat="false" ht="15" hidden="false" customHeight="false" outlineLevel="0" collapsed="false">
      <c r="A1512" s="37" t="n">
        <v>387230663</v>
      </c>
      <c r="B1512" s="38" t="n">
        <v>46266.7650810185</v>
      </c>
      <c r="C1512" s="37" t="s">
        <v>340</v>
      </c>
      <c r="D1512" s="37" t="s">
        <v>1731</v>
      </c>
      <c r="E1512" s="37" t="n">
        <v>28083170</v>
      </c>
      <c r="F1512" s="37" t="s">
        <v>164</v>
      </c>
      <c r="G1512" s="37" t="s">
        <v>198</v>
      </c>
      <c r="H1512" s="37" t="s">
        <v>184</v>
      </c>
      <c r="I1512" s="37" t="n">
        <v>31.9</v>
      </c>
      <c r="J1512" s="39" t="n">
        <v>599.99</v>
      </c>
      <c r="K1512" s="37" t="s">
        <v>342</v>
      </c>
      <c r="L1512" s="39" t="n">
        <v>110.06</v>
      </c>
      <c r="M1512" s="39" t="n">
        <v>65.63</v>
      </c>
      <c r="N1512" s="39" t="n">
        <f aca="false">J1512*Resumo!$C$6</f>
        <v>0</v>
      </c>
      <c r="O1512" s="39" t="n">
        <f aca="false">J1512*Resumo!$C$7</f>
        <v>1.259979</v>
      </c>
      <c r="P1512" s="39" t="n">
        <f aca="false">J1512*Resumo!$C$8</f>
        <v>1.259979</v>
      </c>
      <c r="Q1512" s="39" t="n">
        <f aca="false">Resumo!$C$10*CEILING(I1512/100,1)</f>
        <v>1.05</v>
      </c>
      <c r="R1512" s="39" t="n">
        <f aca="false">Resumo!$C$9</f>
        <v>0</v>
      </c>
      <c r="S1512" s="39" t="n">
        <f aca="false">Resumo!$C$13</f>
        <v>13.55</v>
      </c>
      <c r="T1512" s="39" t="n">
        <f aca="false">Resumo!$C$14*CEILING(I1512,1)</f>
        <v>14.4</v>
      </c>
      <c r="U1512" s="39" t="n">
        <f aca="false">SUM(M1512:T1512)*Resumo!$C$11</f>
        <v>0</v>
      </c>
      <c r="V1512" s="39" t="n">
        <f aca="false">SUM(M1512:U1512)</f>
        <v>97.149958</v>
      </c>
      <c r="W1512" s="39" t="n">
        <f aca="false">V1512/(1-Resumo!$C$5)</f>
        <v>110.397679545455</v>
      </c>
      <c r="X1512" s="39" t="n">
        <v>138.29</v>
      </c>
      <c r="Y1512" s="39" t="n">
        <f aca="false">J1512*Resumo!$B$6</f>
        <v>0.59999</v>
      </c>
      <c r="Z1512" s="39" t="n">
        <f aca="false">J1512*Resumo!$B$7</f>
        <v>1.19998</v>
      </c>
      <c r="AA1512" s="39" t="n">
        <f aca="false">Resumo!$B$9</f>
        <v>1</v>
      </c>
      <c r="AB1512" s="39" t="n">
        <f aca="false">Resumo!$B$10*CEILING(I1512/100,1)</f>
        <v>4.5</v>
      </c>
      <c r="AC1512" s="39" t="n">
        <f aca="false">Resumo!$B$12*CEILING(I1512,1)</f>
        <v>1.92</v>
      </c>
      <c r="AD1512" s="39" t="n">
        <f aca="false">Resumo!$B$14*CEILING(I1512,1)</f>
        <v>14.4</v>
      </c>
      <c r="AE1512" s="39" t="n">
        <f aca="false">SUM(X1512:AD1512)</f>
        <v>161.90997</v>
      </c>
      <c r="AF1512" s="39" t="n">
        <f aca="false">AE1512/(1-Resumo!$B$5)</f>
        <v>183.988602272727</v>
      </c>
      <c r="AG1512" s="39" t="n">
        <f aca="false">AF1512-W1512</f>
        <v>73.5909227272727</v>
      </c>
      <c r="AH1512" s="40" t="n">
        <f aca="false">AF1512/W1512-1</f>
        <v>0.666598455966394</v>
      </c>
      <c r="AI1512" s="37" t="str">
        <f aca="false">IF(AF1512&lt;W1512,"SIM","NÃO")</f>
        <v>NÃO</v>
      </c>
      <c r="AJ1512" s="37" t="n">
        <v>13</v>
      </c>
      <c r="AK1512" s="37" t="n">
        <v>11</v>
      </c>
      <c r="AL1512" s="37" t="s">
        <v>343</v>
      </c>
      <c r="AM1512" s="39" t="n">
        <v>110.06</v>
      </c>
    </row>
    <row r="1513" customFormat="false" ht="15" hidden="false" customHeight="false" outlineLevel="0" collapsed="false">
      <c r="A1513" s="37" t="n">
        <v>387260493</v>
      </c>
      <c r="B1513" s="38" t="n">
        <v>46266.7940856482</v>
      </c>
      <c r="C1513" s="37" t="s">
        <v>537</v>
      </c>
      <c r="D1513" s="37" t="s">
        <v>1732</v>
      </c>
      <c r="E1513" s="37" t="n">
        <v>22715160</v>
      </c>
      <c r="F1513" s="37" t="s">
        <v>159</v>
      </c>
      <c r="G1513" s="37" t="s">
        <v>196</v>
      </c>
      <c r="H1513" s="37" t="s">
        <v>186</v>
      </c>
      <c r="I1513" s="37" t="n">
        <v>46.8</v>
      </c>
      <c r="J1513" s="39" t="n">
        <v>470.11</v>
      </c>
      <c r="K1513" s="37" t="s">
        <v>342</v>
      </c>
      <c r="L1513" s="39" t="n">
        <v>102.84</v>
      </c>
      <c r="M1513" s="39" t="n">
        <v>53.55</v>
      </c>
      <c r="N1513" s="39" t="n">
        <f aca="false">J1513*Resumo!$C$6</f>
        <v>0</v>
      </c>
      <c r="O1513" s="39" t="n">
        <f aca="false">J1513*Resumo!$C$7</f>
        <v>0.987231</v>
      </c>
      <c r="P1513" s="39" t="n">
        <f aca="false">J1513*Resumo!$C$8</f>
        <v>0.987231</v>
      </c>
      <c r="Q1513" s="39" t="n">
        <f aca="false">Resumo!$C$10*CEILING(I1513/100,1)</f>
        <v>1.05</v>
      </c>
      <c r="R1513" s="39" t="n">
        <f aca="false">Resumo!$C$9</f>
        <v>0</v>
      </c>
      <c r="S1513" s="39" t="n">
        <f aca="false">Resumo!$C$13</f>
        <v>13.55</v>
      </c>
      <c r="T1513" s="39" t="n">
        <f aca="false">Resumo!$C$14*CEILING(I1513,1)</f>
        <v>21.15</v>
      </c>
      <c r="U1513" s="39" t="n">
        <f aca="false">SUM(M1513:T1513)*Resumo!$C$11</f>
        <v>0</v>
      </c>
      <c r="V1513" s="39" t="n">
        <f aca="false">SUM(M1513:U1513)</f>
        <v>91.274462</v>
      </c>
      <c r="W1513" s="39" t="n">
        <f aca="false">V1513/(1-Resumo!$C$5)</f>
        <v>103.720979545455</v>
      </c>
      <c r="X1513" s="39" t="n">
        <v>93.97</v>
      </c>
      <c r="Y1513" s="39" t="n">
        <f aca="false">J1513*Resumo!$B$6</f>
        <v>0.47011</v>
      </c>
      <c r="Z1513" s="39" t="n">
        <f aca="false">J1513*Resumo!$B$7</f>
        <v>0.94022</v>
      </c>
      <c r="AA1513" s="39" t="n">
        <f aca="false">Resumo!$B$9</f>
        <v>1</v>
      </c>
      <c r="AB1513" s="39" t="n">
        <f aca="false">Resumo!$B$10*CEILING(I1513/100,1)</f>
        <v>4.5</v>
      </c>
      <c r="AC1513" s="39" t="n">
        <f aca="false">Resumo!$B$12*CEILING(I1513,1)</f>
        <v>2.82</v>
      </c>
      <c r="AD1513" s="39" t="n">
        <f aca="false">Resumo!$B$14*CEILING(I1513,1)</f>
        <v>21.15</v>
      </c>
      <c r="AE1513" s="39" t="n">
        <f aca="false">SUM(X1513:AD1513)</f>
        <v>124.85033</v>
      </c>
      <c r="AF1513" s="39" t="n">
        <f aca="false">AE1513/(1-Resumo!$B$5)</f>
        <v>141.875375</v>
      </c>
      <c r="AG1513" s="39" t="n">
        <f aca="false">AF1513-W1513</f>
        <v>38.1543954545455</v>
      </c>
      <c r="AH1513" s="40" t="n">
        <f aca="false">AF1513/W1513-1</f>
        <v>0.367856104153208</v>
      </c>
      <c r="AI1513" s="37" t="str">
        <f aca="false">IF(AF1513&lt;W1513,"SIM","NÃO")</f>
        <v>NÃO</v>
      </c>
      <c r="AJ1513" s="37" t="n">
        <v>2</v>
      </c>
      <c r="AK1513" s="37" t="n">
        <v>5</v>
      </c>
      <c r="AL1513" s="37" t="s">
        <v>343</v>
      </c>
      <c r="AM1513" s="39" t="n">
        <v>102.84</v>
      </c>
    </row>
    <row r="1514" customFormat="false" ht="15" hidden="false" customHeight="false" outlineLevel="0" collapsed="false">
      <c r="A1514" s="37" t="n">
        <v>387259286</v>
      </c>
      <c r="B1514" s="38" t="n">
        <v>46266.8165972222</v>
      </c>
      <c r="C1514" s="37" t="s">
        <v>361</v>
      </c>
      <c r="D1514" s="37" t="s">
        <v>1733</v>
      </c>
      <c r="E1514" s="37" t="n">
        <v>20920370</v>
      </c>
      <c r="F1514" s="37" t="s">
        <v>159</v>
      </c>
      <c r="G1514" s="37" t="s">
        <v>196</v>
      </c>
      <c r="H1514" s="37" t="s">
        <v>184</v>
      </c>
      <c r="I1514" s="37" t="n">
        <v>24.8</v>
      </c>
      <c r="J1514" s="39" t="n">
        <v>382.49</v>
      </c>
      <c r="K1514" s="37" t="s">
        <v>342</v>
      </c>
      <c r="L1514" s="39" t="n">
        <v>82.15</v>
      </c>
      <c r="M1514" s="39" t="n">
        <v>42.11</v>
      </c>
      <c r="N1514" s="39" t="n">
        <f aca="false">J1514*Resumo!$C$6</f>
        <v>0</v>
      </c>
      <c r="O1514" s="39" t="n">
        <f aca="false">J1514*Resumo!$C$7</f>
        <v>0.803229</v>
      </c>
      <c r="P1514" s="39" t="n">
        <f aca="false">J1514*Resumo!$C$8</f>
        <v>0.803229</v>
      </c>
      <c r="Q1514" s="39" t="n">
        <f aca="false">Resumo!$C$10*CEILING(I1514/100,1)</f>
        <v>1.05</v>
      </c>
      <c r="R1514" s="39" t="n">
        <f aca="false">Resumo!$C$9</f>
        <v>0</v>
      </c>
      <c r="S1514" s="39" t="n">
        <f aca="false">Resumo!$C$13</f>
        <v>13.55</v>
      </c>
      <c r="T1514" s="39" t="n">
        <f aca="false">Resumo!$C$14*CEILING(I1514,1)</f>
        <v>11.25</v>
      </c>
      <c r="U1514" s="39" t="n">
        <f aca="false">SUM(M1514:T1514)*Resumo!$C$11</f>
        <v>0</v>
      </c>
      <c r="V1514" s="39" t="n">
        <f aca="false">SUM(M1514:U1514)</f>
        <v>69.566458</v>
      </c>
      <c r="W1514" s="39" t="n">
        <f aca="false">V1514/(1-Resumo!$C$5)</f>
        <v>79.0527931818182</v>
      </c>
      <c r="X1514" s="39" t="n">
        <v>82.21</v>
      </c>
      <c r="Y1514" s="39" t="n">
        <f aca="false">J1514*Resumo!$B$6</f>
        <v>0.38249</v>
      </c>
      <c r="Z1514" s="39" t="n">
        <f aca="false">J1514*Resumo!$B$7</f>
        <v>0.76498</v>
      </c>
      <c r="AA1514" s="39" t="n">
        <f aca="false">Resumo!$B$9</f>
        <v>1</v>
      </c>
      <c r="AB1514" s="39" t="n">
        <f aca="false">Resumo!$B$10*CEILING(I1514/100,1)</f>
        <v>4.5</v>
      </c>
      <c r="AC1514" s="39" t="n">
        <f aca="false">Resumo!$B$12*CEILING(I1514,1)</f>
        <v>1.5</v>
      </c>
      <c r="AD1514" s="39" t="n">
        <f aca="false">Resumo!$B$14*CEILING(I1514,1)</f>
        <v>11.25</v>
      </c>
      <c r="AE1514" s="39" t="n">
        <f aca="false">SUM(X1514:AD1514)</f>
        <v>101.60747</v>
      </c>
      <c r="AF1514" s="39" t="n">
        <f aca="false">AE1514/(1-Resumo!$B$5)</f>
        <v>115.463034090909</v>
      </c>
      <c r="AG1514" s="39" t="n">
        <f aca="false">AF1514-W1514</f>
        <v>36.4102409090909</v>
      </c>
      <c r="AH1514" s="40" t="n">
        <f aca="false">AF1514/W1514-1</f>
        <v>0.460581333607642</v>
      </c>
      <c r="AI1514" s="37" t="str">
        <f aca="false">IF(AF1514&lt;W1514,"SIM","NÃO")</f>
        <v>NÃO</v>
      </c>
      <c r="AJ1514" s="37" t="n">
        <v>2</v>
      </c>
      <c r="AK1514" s="37" t="n">
        <v>5</v>
      </c>
      <c r="AL1514" s="37" t="s">
        <v>343</v>
      </c>
      <c r="AM1514" s="39" t="n">
        <v>82.16</v>
      </c>
    </row>
    <row r="1515" customFormat="false" ht="15" hidden="false" customHeight="false" outlineLevel="0" collapsed="false">
      <c r="A1515" s="37" t="n">
        <v>387282705</v>
      </c>
      <c r="B1515" s="38" t="n">
        <v>46266.8499652778</v>
      </c>
      <c r="C1515" s="37" t="s">
        <v>340</v>
      </c>
      <c r="D1515" s="37" t="s">
        <v>1734</v>
      </c>
      <c r="E1515" s="37" t="n">
        <v>26040800</v>
      </c>
      <c r="F1515" s="37" t="s">
        <v>162</v>
      </c>
      <c r="G1515" s="37" t="s">
        <v>197</v>
      </c>
      <c r="H1515" s="37" t="s">
        <v>184</v>
      </c>
      <c r="I1515" s="37" t="n">
        <v>33.21</v>
      </c>
      <c r="J1515" s="39" t="n">
        <v>439.99</v>
      </c>
      <c r="K1515" s="37" t="s">
        <v>342</v>
      </c>
      <c r="L1515" s="39" t="n">
        <v>101.5</v>
      </c>
      <c r="M1515" s="39" t="n">
        <v>58.8</v>
      </c>
      <c r="N1515" s="39" t="n">
        <f aca="false">J1515*Resumo!$C$6</f>
        <v>0</v>
      </c>
      <c r="O1515" s="39" t="n">
        <f aca="false">J1515*Resumo!$C$7</f>
        <v>0.923979</v>
      </c>
      <c r="P1515" s="39" t="n">
        <f aca="false">J1515*Resumo!$C$8</f>
        <v>0.923979</v>
      </c>
      <c r="Q1515" s="39" t="n">
        <f aca="false">Resumo!$C$10*CEILING(I1515/100,1)</f>
        <v>1.05</v>
      </c>
      <c r="R1515" s="39" t="n">
        <f aca="false">Resumo!$C$9</f>
        <v>0</v>
      </c>
      <c r="S1515" s="39" t="n">
        <f aca="false">Resumo!$C$13</f>
        <v>13.55</v>
      </c>
      <c r="T1515" s="39" t="n">
        <f aca="false">Resumo!$C$14*CEILING(I1515,1)</f>
        <v>15.3</v>
      </c>
      <c r="U1515" s="39" t="n">
        <f aca="false">SUM(M1515:T1515)*Resumo!$C$11</f>
        <v>0</v>
      </c>
      <c r="V1515" s="39" t="n">
        <f aca="false">SUM(M1515:U1515)</f>
        <v>90.547958</v>
      </c>
      <c r="W1515" s="39" t="n">
        <f aca="false">V1515/(1-Resumo!$C$5)</f>
        <v>102.895406818182</v>
      </c>
      <c r="X1515" s="39" t="n">
        <v>82.21</v>
      </c>
      <c r="Y1515" s="39" t="n">
        <f aca="false">J1515*Resumo!$B$6</f>
        <v>0.43999</v>
      </c>
      <c r="Z1515" s="39" t="n">
        <f aca="false">J1515*Resumo!$B$7</f>
        <v>0.87998</v>
      </c>
      <c r="AA1515" s="39" t="n">
        <f aca="false">Resumo!$B$9</f>
        <v>1</v>
      </c>
      <c r="AB1515" s="39" t="n">
        <f aca="false">Resumo!$B$10*CEILING(I1515/100,1)</f>
        <v>4.5</v>
      </c>
      <c r="AC1515" s="39" t="n">
        <f aca="false">Resumo!$B$12*CEILING(I1515,1)</f>
        <v>2.04</v>
      </c>
      <c r="AD1515" s="39" t="n">
        <f aca="false">Resumo!$B$14*CEILING(I1515,1)</f>
        <v>15.3</v>
      </c>
      <c r="AE1515" s="39" t="n">
        <f aca="false">SUM(X1515:AD1515)</f>
        <v>106.36997</v>
      </c>
      <c r="AF1515" s="39" t="n">
        <f aca="false">AE1515/(1-Resumo!$B$5)</f>
        <v>120.874965909091</v>
      </c>
      <c r="AG1515" s="39" t="n">
        <f aca="false">AF1515-W1515</f>
        <v>17.9795590909091</v>
      </c>
      <c r="AH1515" s="40" t="n">
        <f aca="false">AF1515/W1515-1</f>
        <v>0.174736265173423</v>
      </c>
      <c r="AI1515" s="37" t="str">
        <f aca="false">IF(AF1515&lt;W1515,"SIM","NÃO")</f>
        <v>NÃO</v>
      </c>
      <c r="AJ1515" s="37" t="n">
        <v>2</v>
      </c>
      <c r="AK1515" s="37" t="n">
        <v>5</v>
      </c>
      <c r="AL1515" s="37" t="s">
        <v>343</v>
      </c>
      <c r="AM1515" s="39" t="n">
        <v>101.5</v>
      </c>
    </row>
    <row r="1516" customFormat="false" ht="15" hidden="false" customHeight="false" outlineLevel="0" collapsed="false">
      <c r="A1516" s="37" t="n">
        <v>387294670</v>
      </c>
      <c r="B1516" s="38" t="n">
        <v>46266.8705902778</v>
      </c>
      <c r="C1516" s="37" t="s">
        <v>340</v>
      </c>
      <c r="D1516" s="37" t="s">
        <v>1735</v>
      </c>
      <c r="E1516" s="37" t="n">
        <v>21510500</v>
      </c>
      <c r="F1516" s="37" t="s">
        <v>159</v>
      </c>
      <c r="G1516" s="37" t="s">
        <v>196</v>
      </c>
      <c r="H1516" s="37" t="s">
        <v>188</v>
      </c>
      <c r="I1516" s="37" t="n">
        <v>66.8</v>
      </c>
      <c r="J1516" s="39" t="n">
        <v>699.99</v>
      </c>
      <c r="K1516" s="37" t="s">
        <v>342</v>
      </c>
      <c r="L1516" s="39" t="n">
        <v>124.56</v>
      </c>
      <c r="M1516" s="39" t="n">
        <v>63.21</v>
      </c>
      <c r="N1516" s="39" t="n">
        <f aca="false">J1516*Resumo!$C$6</f>
        <v>0</v>
      </c>
      <c r="O1516" s="39" t="n">
        <f aca="false">J1516*Resumo!$C$7</f>
        <v>1.469979</v>
      </c>
      <c r="P1516" s="39" t="n">
        <f aca="false">J1516*Resumo!$C$8</f>
        <v>1.469979</v>
      </c>
      <c r="Q1516" s="39" t="n">
        <f aca="false">Resumo!$C$10*CEILING(I1516/100,1)</f>
        <v>1.05</v>
      </c>
      <c r="R1516" s="39" t="n">
        <f aca="false">Resumo!$C$9</f>
        <v>0</v>
      </c>
      <c r="S1516" s="39" t="n">
        <f aca="false">Resumo!$C$13</f>
        <v>13.55</v>
      </c>
      <c r="T1516" s="39" t="n">
        <f aca="false">Resumo!$C$14*CEILING(I1516,1)</f>
        <v>30.15</v>
      </c>
      <c r="U1516" s="39" t="n">
        <f aca="false">SUM(M1516:T1516)*Resumo!$C$11</f>
        <v>0</v>
      </c>
      <c r="V1516" s="39" t="n">
        <f aca="false">SUM(M1516:U1516)</f>
        <v>110.899958</v>
      </c>
      <c r="W1516" s="39" t="n">
        <f aca="false">V1516/(1-Resumo!$C$5)</f>
        <v>126.022679545455</v>
      </c>
      <c r="X1516" s="39" t="n">
        <v>131.02</v>
      </c>
      <c r="Y1516" s="39" t="n">
        <f aca="false">J1516*Resumo!$B$6</f>
        <v>0.69999</v>
      </c>
      <c r="Z1516" s="39" t="n">
        <f aca="false">J1516*Resumo!$B$7</f>
        <v>1.39998</v>
      </c>
      <c r="AA1516" s="39" t="n">
        <f aca="false">Resumo!$B$9</f>
        <v>1</v>
      </c>
      <c r="AB1516" s="39" t="n">
        <f aca="false">Resumo!$B$10*CEILING(I1516/100,1)</f>
        <v>4.5</v>
      </c>
      <c r="AC1516" s="39" t="n">
        <f aca="false">Resumo!$B$12*CEILING(I1516,1)</f>
        <v>4.02</v>
      </c>
      <c r="AD1516" s="39" t="n">
        <f aca="false">Resumo!$B$14*CEILING(I1516,1)</f>
        <v>30.15</v>
      </c>
      <c r="AE1516" s="39" t="n">
        <f aca="false">SUM(X1516:AD1516)</f>
        <v>172.78997</v>
      </c>
      <c r="AF1516" s="39" t="n">
        <f aca="false">AE1516/(1-Resumo!$B$5)</f>
        <v>196.352238636364</v>
      </c>
      <c r="AG1516" s="39" t="n">
        <f aca="false">AF1516-W1516</f>
        <v>70.3295590909091</v>
      </c>
      <c r="AH1516" s="40" t="n">
        <f aca="false">AF1516/W1516-1</f>
        <v>0.558070653191771</v>
      </c>
      <c r="AI1516" s="37" t="str">
        <f aca="false">IF(AF1516&lt;W1516,"SIM","NÃO")</f>
        <v>NÃO</v>
      </c>
      <c r="AJ1516" s="37" t="n">
        <v>2</v>
      </c>
      <c r="AK1516" s="37" t="n">
        <v>5</v>
      </c>
      <c r="AL1516" s="37" t="s">
        <v>343</v>
      </c>
      <c r="AM1516" s="39" t="n">
        <v>124.56</v>
      </c>
    </row>
    <row r="1517" customFormat="false" ht="15" hidden="false" customHeight="false" outlineLevel="0" collapsed="false">
      <c r="A1517" s="37" t="n">
        <v>387290978</v>
      </c>
      <c r="B1517" s="38" t="n">
        <v>46266.8735532407</v>
      </c>
      <c r="C1517" s="37" t="s">
        <v>361</v>
      </c>
      <c r="D1517" s="37" t="s">
        <v>1736</v>
      </c>
      <c r="E1517" s="37" t="n">
        <v>21530040</v>
      </c>
      <c r="F1517" s="37" t="s">
        <v>159</v>
      </c>
      <c r="G1517" s="37" t="s">
        <v>196</v>
      </c>
      <c r="H1517" s="37" t="s">
        <v>185</v>
      </c>
      <c r="I1517" s="37" t="n">
        <v>37.2</v>
      </c>
      <c r="J1517" s="39" t="n">
        <v>509.99</v>
      </c>
      <c r="K1517" s="37" t="s">
        <v>342</v>
      </c>
      <c r="L1517" s="39" t="n">
        <v>92.3</v>
      </c>
      <c r="M1517" s="39" t="n">
        <v>48.35</v>
      </c>
      <c r="N1517" s="39" t="n">
        <f aca="false">J1517*Resumo!$C$6</f>
        <v>0</v>
      </c>
      <c r="O1517" s="39" t="n">
        <f aca="false">J1517*Resumo!$C$7</f>
        <v>1.070979</v>
      </c>
      <c r="P1517" s="39" t="n">
        <f aca="false">J1517*Resumo!$C$8</f>
        <v>1.070979</v>
      </c>
      <c r="Q1517" s="39" t="n">
        <f aca="false">Resumo!$C$10*CEILING(I1517/100,1)</f>
        <v>1.05</v>
      </c>
      <c r="R1517" s="39" t="n">
        <f aca="false">Resumo!$C$9</f>
        <v>0</v>
      </c>
      <c r="S1517" s="39" t="n">
        <f aca="false">Resumo!$C$13</f>
        <v>13.55</v>
      </c>
      <c r="T1517" s="39" t="n">
        <f aca="false">Resumo!$C$14*CEILING(I1517,1)</f>
        <v>17.1</v>
      </c>
      <c r="U1517" s="39" t="n">
        <f aca="false">SUM(M1517:T1517)*Resumo!$C$11</f>
        <v>0</v>
      </c>
      <c r="V1517" s="39" t="n">
        <f aca="false">SUM(M1517:U1517)</f>
        <v>82.191958</v>
      </c>
      <c r="W1517" s="39" t="n">
        <f aca="false">V1517/(1-Resumo!$C$5)</f>
        <v>93.3999522727273</v>
      </c>
      <c r="X1517" s="39" t="n">
        <v>93.97</v>
      </c>
      <c r="Y1517" s="39" t="n">
        <f aca="false">J1517*Resumo!$B$6</f>
        <v>0.50999</v>
      </c>
      <c r="Z1517" s="39" t="n">
        <f aca="false">J1517*Resumo!$B$7</f>
        <v>1.01998</v>
      </c>
      <c r="AA1517" s="39" t="n">
        <f aca="false">Resumo!$B$9</f>
        <v>1</v>
      </c>
      <c r="AB1517" s="39" t="n">
        <f aca="false">Resumo!$B$10*CEILING(I1517/100,1)</f>
        <v>4.5</v>
      </c>
      <c r="AC1517" s="39" t="n">
        <f aca="false">Resumo!$B$12*CEILING(I1517,1)</f>
        <v>2.28</v>
      </c>
      <c r="AD1517" s="39" t="n">
        <f aca="false">Resumo!$B$14*CEILING(I1517,1)</f>
        <v>17.1</v>
      </c>
      <c r="AE1517" s="39" t="n">
        <f aca="false">SUM(X1517:AD1517)</f>
        <v>120.37997</v>
      </c>
      <c r="AF1517" s="39" t="n">
        <f aca="false">AE1517/(1-Resumo!$B$5)</f>
        <v>136.795420454545</v>
      </c>
      <c r="AG1517" s="39" t="n">
        <f aca="false">AF1517-W1517</f>
        <v>43.3954681818182</v>
      </c>
      <c r="AH1517" s="40" t="n">
        <f aca="false">AF1517/W1517-1</f>
        <v>0.464619811101227</v>
      </c>
      <c r="AI1517" s="37" t="str">
        <f aca="false">IF(AF1517&lt;W1517,"SIM","NÃO")</f>
        <v>NÃO</v>
      </c>
      <c r="AJ1517" s="37" t="n">
        <v>2</v>
      </c>
      <c r="AK1517" s="37" t="n">
        <v>5</v>
      </c>
      <c r="AL1517" s="37" t="s">
        <v>343</v>
      </c>
      <c r="AM1517" s="39" t="n">
        <v>92.3</v>
      </c>
    </row>
    <row r="1518" customFormat="false" ht="15" hidden="false" customHeight="false" outlineLevel="0" collapsed="false">
      <c r="A1518" s="37" t="n">
        <v>387298161</v>
      </c>
      <c r="B1518" s="38" t="n">
        <v>46266.8758564815</v>
      </c>
      <c r="C1518" s="37" t="s">
        <v>345</v>
      </c>
      <c r="D1518" s="37" t="s">
        <v>1737</v>
      </c>
      <c r="E1518" s="37" t="n">
        <v>24350340</v>
      </c>
      <c r="F1518" s="37" t="s">
        <v>163</v>
      </c>
      <c r="G1518" s="37" t="s">
        <v>197</v>
      </c>
      <c r="H1518" s="37" t="s">
        <v>184</v>
      </c>
      <c r="I1518" s="37" t="n">
        <v>27.6</v>
      </c>
      <c r="J1518" s="39" t="n">
        <v>332.45</v>
      </c>
      <c r="K1518" s="37" t="s">
        <v>342</v>
      </c>
      <c r="L1518" s="39" t="n">
        <v>100.97</v>
      </c>
      <c r="M1518" s="39" t="n">
        <v>58.8</v>
      </c>
      <c r="N1518" s="39" t="n">
        <f aca="false">J1518*Resumo!$C$6</f>
        <v>0</v>
      </c>
      <c r="O1518" s="39" t="n">
        <f aca="false">J1518*Resumo!$C$7</f>
        <v>0.698145</v>
      </c>
      <c r="P1518" s="39" t="n">
        <f aca="false">J1518*Resumo!$C$8</f>
        <v>0.698145</v>
      </c>
      <c r="Q1518" s="39" t="n">
        <f aca="false">Resumo!$C$10*CEILING(I1518/100,1)</f>
        <v>1.05</v>
      </c>
      <c r="R1518" s="39" t="n">
        <f aca="false">Resumo!$C$9</f>
        <v>0</v>
      </c>
      <c r="S1518" s="39" t="n">
        <f aca="false">Resumo!$C$13</f>
        <v>13.55</v>
      </c>
      <c r="T1518" s="39" t="n">
        <f aca="false">Resumo!$C$14*CEILING(I1518,1)</f>
        <v>12.6</v>
      </c>
      <c r="U1518" s="39" t="n">
        <f aca="false">SUM(M1518:T1518)*Resumo!$C$11</f>
        <v>0</v>
      </c>
      <c r="V1518" s="39" t="n">
        <f aca="false">SUM(M1518:U1518)</f>
        <v>87.39629</v>
      </c>
      <c r="W1518" s="39" t="n">
        <f aca="false">V1518/(1-Resumo!$C$5)</f>
        <v>99.3139659090909</v>
      </c>
      <c r="X1518" s="39" t="n">
        <v>100.58</v>
      </c>
      <c r="Y1518" s="39" t="n">
        <f aca="false">J1518*Resumo!$B$6</f>
        <v>0.33245</v>
      </c>
      <c r="Z1518" s="39" t="n">
        <f aca="false">J1518*Resumo!$B$7</f>
        <v>0.6649</v>
      </c>
      <c r="AA1518" s="39" t="n">
        <f aca="false">Resumo!$B$9</f>
        <v>1</v>
      </c>
      <c r="AB1518" s="39" t="n">
        <f aca="false">Resumo!$B$10*CEILING(I1518/100,1)</f>
        <v>4.5</v>
      </c>
      <c r="AC1518" s="39" t="n">
        <f aca="false">Resumo!$B$12*CEILING(I1518,1)</f>
        <v>1.68</v>
      </c>
      <c r="AD1518" s="39" t="n">
        <f aca="false">Resumo!$B$14*CEILING(I1518,1)</f>
        <v>12.6</v>
      </c>
      <c r="AE1518" s="39" t="n">
        <f aca="false">SUM(X1518:AD1518)</f>
        <v>121.35735</v>
      </c>
      <c r="AF1518" s="39" t="n">
        <f aca="false">AE1518/(1-Resumo!$B$5)</f>
        <v>137.906079545455</v>
      </c>
      <c r="AG1518" s="39" t="n">
        <f aca="false">AF1518-W1518</f>
        <v>38.5921136363636</v>
      </c>
      <c r="AH1518" s="40" t="n">
        <f aca="false">AF1518/W1518-1</f>
        <v>0.388586975488319</v>
      </c>
      <c r="AI1518" s="37" t="str">
        <f aca="false">IF(AF1518&lt;W1518,"SIM","NÃO")</f>
        <v>NÃO</v>
      </c>
      <c r="AJ1518" s="37" t="n">
        <v>2</v>
      </c>
      <c r="AK1518" s="37" t="n">
        <v>7</v>
      </c>
      <c r="AL1518" s="37" t="s">
        <v>343</v>
      </c>
      <c r="AM1518" s="39" t="n">
        <v>100.98</v>
      </c>
    </row>
    <row r="1519" customFormat="false" ht="15" hidden="false" customHeight="false" outlineLevel="0" collapsed="false">
      <c r="A1519" s="37" t="n">
        <v>387311830</v>
      </c>
      <c r="B1519" s="38" t="n">
        <v>46266.9023263889</v>
      </c>
      <c r="C1519" s="37" t="s">
        <v>375</v>
      </c>
      <c r="D1519" s="37" t="s">
        <v>1738</v>
      </c>
      <c r="E1519" s="37" t="n">
        <v>28030315</v>
      </c>
      <c r="F1519" s="37" t="s">
        <v>164</v>
      </c>
      <c r="G1519" s="37" t="s">
        <v>198</v>
      </c>
      <c r="H1519" s="37" t="s">
        <v>184</v>
      </c>
      <c r="I1519" s="37" t="n">
        <v>27</v>
      </c>
      <c r="J1519" s="39" t="n">
        <v>334.39</v>
      </c>
      <c r="K1519" s="37" t="s">
        <v>342</v>
      </c>
      <c r="L1519" s="39" t="n">
        <v>108.78</v>
      </c>
      <c r="M1519" s="39" t="n">
        <v>65.63</v>
      </c>
      <c r="N1519" s="39" t="n">
        <f aca="false">J1519*Resumo!$C$6</f>
        <v>0</v>
      </c>
      <c r="O1519" s="39" t="n">
        <f aca="false">J1519*Resumo!$C$7</f>
        <v>0.702219</v>
      </c>
      <c r="P1519" s="39" t="n">
        <f aca="false">J1519*Resumo!$C$8</f>
        <v>0.702219</v>
      </c>
      <c r="Q1519" s="39" t="n">
        <f aca="false">Resumo!$C$10*CEILING(I1519/100,1)</f>
        <v>1.05</v>
      </c>
      <c r="R1519" s="39" t="n">
        <f aca="false">Resumo!$C$9</f>
        <v>0</v>
      </c>
      <c r="S1519" s="39" t="n">
        <f aca="false">Resumo!$C$13</f>
        <v>13.55</v>
      </c>
      <c r="T1519" s="39" t="n">
        <f aca="false">Resumo!$C$14*CEILING(I1519,1)</f>
        <v>12.15</v>
      </c>
      <c r="U1519" s="39" t="n">
        <f aca="false">SUM(M1519:T1519)*Resumo!$C$11</f>
        <v>0</v>
      </c>
      <c r="V1519" s="39" t="n">
        <f aca="false">SUM(M1519:U1519)</f>
        <v>93.784438</v>
      </c>
      <c r="W1519" s="39" t="n">
        <f aca="false">V1519/(1-Resumo!$C$5)</f>
        <v>106.573225</v>
      </c>
      <c r="X1519" s="39" t="n">
        <v>138.29</v>
      </c>
      <c r="Y1519" s="39" t="n">
        <f aca="false">J1519*Resumo!$B$6</f>
        <v>0.33439</v>
      </c>
      <c r="Z1519" s="39" t="n">
        <f aca="false">J1519*Resumo!$B$7</f>
        <v>0.66878</v>
      </c>
      <c r="AA1519" s="39" t="n">
        <f aca="false">Resumo!$B$9</f>
        <v>1</v>
      </c>
      <c r="AB1519" s="39" t="n">
        <f aca="false">Resumo!$B$10*CEILING(I1519/100,1)</f>
        <v>4.5</v>
      </c>
      <c r="AC1519" s="39" t="n">
        <f aca="false">Resumo!$B$12*CEILING(I1519,1)</f>
        <v>1.62</v>
      </c>
      <c r="AD1519" s="39" t="n">
        <f aca="false">Resumo!$B$14*CEILING(I1519,1)</f>
        <v>12.15</v>
      </c>
      <c r="AE1519" s="39" t="n">
        <f aca="false">SUM(X1519:AD1519)</f>
        <v>158.56317</v>
      </c>
      <c r="AF1519" s="39" t="n">
        <f aca="false">AE1519/(1-Resumo!$B$5)</f>
        <v>180.185420454545</v>
      </c>
      <c r="AG1519" s="39" t="n">
        <f aca="false">AF1519-W1519</f>
        <v>73.6121954545454</v>
      </c>
      <c r="AH1519" s="40" t="n">
        <f aca="false">AF1519/W1519-1</f>
        <v>0.690719413384979</v>
      </c>
      <c r="AI1519" s="37" t="str">
        <f aca="false">IF(AF1519&lt;W1519,"SIM","NÃO")</f>
        <v>NÃO</v>
      </c>
      <c r="AJ1519" s="37" t="n">
        <v>13</v>
      </c>
      <c r="AK1519" s="37" t="n">
        <v>11</v>
      </c>
      <c r="AL1519" s="37" t="s">
        <v>343</v>
      </c>
      <c r="AM1519" s="39" t="n">
        <v>108.78</v>
      </c>
    </row>
    <row r="1520" customFormat="false" ht="15" hidden="false" customHeight="false" outlineLevel="0" collapsed="false">
      <c r="A1520" s="37" t="n">
        <v>387320689</v>
      </c>
      <c r="B1520" s="38" t="n">
        <v>46266.9159722222</v>
      </c>
      <c r="C1520" s="37" t="s">
        <v>345</v>
      </c>
      <c r="D1520" s="37" t="s">
        <v>1739</v>
      </c>
      <c r="E1520" s="37" t="n">
        <v>23914243</v>
      </c>
      <c r="F1520" s="37" t="s">
        <v>169</v>
      </c>
      <c r="G1520" s="37" t="s">
        <v>198</v>
      </c>
      <c r="H1520" s="37" t="s">
        <v>186</v>
      </c>
      <c r="I1520" s="37" t="n">
        <v>43.5</v>
      </c>
      <c r="J1520" s="39" t="n">
        <v>581.72</v>
      </c>
      <c r="K1520" s="37" t="s">
        <v>342</v>
      </c>
      <c r="L1520" s="39" t="n">
        <v>130.94</v>
      </c>
      <c r="M1520" s="39" t="n">
        <v>77.7</v>
      </c>
      <c r="N1520" s="39" t="n">
        <f aca="false">J1520*Resumo!$C$6</f>
        <v>0</v>
      </c>
      <c r="O1520" s="39" t="n">
        <f aca="false">J1520*Resumo!$C$7</f>
        <v>1.221612</v>
      </c>
      <c r="P1520" s="39" t="n">
        <f aca="false">J1520*Resumo!$C$8</f>
        <v>1.221612</v>
      </c>
      <c r="Q1520" s="39" t="n">
        <f aca="false">Resumo!$C$10*CEILING(I1520/100,1)</f>
        <v>1.05</v>
      </c>
      <c r="R1520" s="39" t="n">
        <f aca="false">Resumo!$C$9</f>
        <v>0</v>
      </c>
      <c r="S1520" s="39" t="n">
        <f aca="false">Resumo!$C$13</f>
        <v>13.55</v>
      </c>
      <c r="T1520" s="39" t="n">
        <f aca="false">Resumo!$C$14*CEILING(I1520,1)</f>
        <v>19.8</v>
      </c>
      <c r="U1520" s="39" t="n">
        <f aca="false">SUM(M1520:T1520)*Resumo!$C$11</f>
        <v>0</v>
      </c>
      <c r="V1520" s="39" t="n">
        <f aca="false">SUM(M1520:U1520)</f>
        <v>114.543224</v>
      </c>
      <c r="W1520" s="39" t="n">
        <f aca="false">V1520/(1-Resumo!$C$5)</f>
        <v>130.162754545455</v>
      </c>
      <c r="X1520" s="39" t="n">
        <v>124.38</v>
      </c>
      <c r="Y1520" s="39" t="n">
        <f aca="false">J1520*Resumo!$B$6</f>
        <v>0.58172</v>
      </c>
      <c r="Z1520" s="39" t="n">
        <f aca="false">J1520*Resumo!$B$7</f>
        <v>1.16344</v>
      </c>
      <c r="AA1520" s="39" t="n">
        <f aca="false">Resumo!$B$9</f>
        <v>1</v>
      </c>
      <c r="AB1520" s="39" t="n">
        <f aca="false">Resumo!$B$10*CEILING(I1520/100,1)</f>
        <v>4.5</v>
      </c>
      <c r="AC1520" s="39" t="n">
        <f aca="false">Resumo!$B$12*CEILING(I1520,1)</f>
        <v>2.64</v>
      </c>
      <c r="AD1520" s="39" t="n">
        <f aca="false">Resumo!$B$14*CEILING(I1520,1)</f>
        <v>19.8</v>
      </c>
      <c r="AE1520" s="39" t="n">
        <f aca="false">SUM(X1520:AD1520)</f>
        <v>154.06516</v>
      </c>
      <c r="AF1520" s="39" t="n">
        <f aca="false">AE1520/(1-Resumo!$B$5)</f>
        <v>175.074045454545</v>
      </c>
      <c r="AG1520" s="39" t="n">
        <f aca="false">AF1520-W1520</f>
        <v>44.911290909091</v>
      </c>
      <c r="AH1520" s="40" t="n">
        <f aca="false">AF1520/W1520-1</f>
        <v>0.34503949356271</v>
      </c>
      <c r="AI1520" s="37" t="str">
        <f aca="false">IF(AF1520&lt;W1520,"SIM","NÃO")</f>
        <v>NÃO</v>
      </c>
      <c r="AJ1520" s="37" t="n">
        <v>13</v>
      </c>
      <c r="AK1520" s="37" t="n">
        <v>10</v>
      </c>
      <c r="AL1520" s="37" t="s">
        <v>343</v>
      </c>
      <c r="AM1520" s="39" t="n">
        <v>130.95</v>
      </c>
    </row>
    <row r="1521" customFormat="false" ht="15" hidden="false" customHeight="false" outlineLevel="0" collapsed="false">
      <c r="A1521" s="37" t="n">
        <v>387323306</v>
      </c>
      <c r="B1521" s="38" t="n">
        <v>46266.9204282407</v>
      </c>
      <c r="C1521" s="37" t="s">
        <v>340</v>
      </c>
      <c r="D1521" s="37" t="s">
        <v>1740</v>
      </c>
      <c r="E1521" s="37" t="n">
        <v>26295595</v>
      </c>
      <c r="F1521" s="37" t="s">
        <v>162</v>
      </c>
      <c r="G1521" s="37" t="s">
        <v>197</v>
      </c>
      <c r="H1521" s="37" t="s">
        <v>186</v>
      </c>
      <c r="I1521" s="37" t="n">
        <v>46.8</v>
      </c>
      <c r="J1521" s="39" t="n">
        <v>484.02</v>
      </c>
      <c r="K1521" s="37" t="s">
        <v>342</v>
      </c>
      <c r="L1521" s="39" t="n">
        <v>116.4</v>
      </c>
      <c r="M1521" s="39" t="n">
        <v>65.36</v>
      </c>
      <c r="N1521" s="39" t="n">
        <f aca="false">J1521*Resumo!$C$6</f>
        <v>0</v>
      </c>
      <c r="O1521" s="39" t="n">
        <f aca="false">J1521*Resumo!$C$7</f>
        <v>1.016442</v>
      </c>
      <c r="P1521" s="39" t="n">
        <f aca="false">J1521*Resumo!$C$8</f>
        <v>1.016442</v>
      </c>
      <c r="Q1521" s="39" t="n">
        <f aca="false">Resumo!$C$10*CEILING(I1521/100,1)</f>
        <v>1.05</v>
      </c>
      <c r="R1521" s="39" t="n">
        <f aca="false">Resumo!$C$9</f>
        <v>0</v>
      </c>
      <c r="S1521" s="39" t="n">
        <f aca="false">Resumo!$C$13</f>
        <v>13.55</v>
      </c>
      <c r="T1521" s="39" t="n">
        <f aca="false">Resumo!$C$14*CEILING(I1521,1)</f>
        <v>21.15</v>
      </c>
      <c r="U1521" s="39" t="n">
        <f aca="false">SUM(M1521:T1521)*Resumo!$C$11</f>
        <v>0</v>
      </c>
      <c r="V1521" s="39" t="n">
        <f aca="false">SUM(M1521:U1521)</f>
        <v>103.142884</v>
      </c>
      <c r="W1521" s="39" t="n">
        <f aca="false">V1521/(1-Resumo!$C$5)</f>
        <v>117.207822727273</v>
      </c>
      <c r="X1521" s="39" t="n">
        <v>93.97</v>
      </c>
      <c r="Y1521" s="39" t="n">
        <f aca="false">J1521*Resumo!$B$6</f>
        <v>0.48402</v>
      </c>
      <c r="Z1521" s="39" t="n">
        <f aca="false">J1521*Resumo!$B$7</f>
        <v>0.96804</v>
      </c>
      <c r="AA1521" s="39" t="n">
        <f aca="false">Resumo!$B$9</f>
        <v>1</v>
      </c>
      <c r="AB1521" s="39" t="n">
        <f aca="false">Resumo!$B$10*CEILING(I1521/100,1)</f>
        <v>4.5</v>
      </c>
      <c r="AC1521" s="39" t="n">
        <f aca="false">Resumo!$B$12*CEILING(I1521,1)</f>
        <v>2.82</v>
      </c>
      <c r="AD1521" s="39" t="n">
        <f aca="false">Resumo!$B$14*CEILING(I1521,1)</f>
        <v>21.15</v>
      </c>
      <c r="AE1521" s="39" t="n">
        <f aca="false">SUM(X1521:AD1521)</f>
        <v>124.89206</v>
      </c>
      <c r="AF1521" s="39" t="n">
        <f aca="false">AE1521/(1-Resumo!$B$5)</f>
        <v>141.922795454545</v>
      </c>
      <c r="AG1521" s="39" t="n">
        <f aca="false">AF1521-W1521</f>
        <v>24.7149727272727</v>
      </c>
      <c r="AH1521" s="40" t="n">
        <f aca="false">AF1521/W1521-1</f>
        <v>0.210864532351063</v>
      </c>
      <c r="AI1521" s="37" t="str">
        <f aca="false">IF(AF1521&lt;W1521,"SIM","NÃO")</f>
        <v>NÃO</v>
      </c>
      <c r="AJ1521" s="37" t="n">
        <v>2</v>
      </c>
      <c r="AK1521" s="37" t="n">
        <v>5</v>
      </c>
      <c r="AL1521" s="37" t="s">
        <v>343</v>
      </c>
      <c r="AM1521" s="39" t="n">
        <v>116.39</v>
      </c>
    </row>
    <row r="1522" customFormat="false" ht="15" hidden="false" customHeight="false" outlineLevel="0" collapsed="false">
      <c r="A1522" s="37" t="n">
        <v>387361106</v>
      </c>
      <c r="B1522" s="38" t="n">
        <v>46266.9964236111</v>
      </c>
      <c r="C1522" s="37" t="s">
        <v>340</v>
      </c>
      <c r="D1522" s="37" t="s">
        <v>1741</v>
      </c>
      <c r="E1522" s="37" t="n">
        <v>21070050</v>
      </c>
      <c r="F1522" s="37" t="s">
        <v>159</v>
      </c>
      <c r="G1522" s="37" t="s">
        <v>196</v>
      </c>
      <c r="H1522" s="37" t="s">
        <v>184</v>
      </c>
      <c r="I1522" s="37" t="n">
        <v>33</v>
      </c>
      <c r="J1522" s="39" t="n">
        <v>344.13</v>
      </c>
      <c r="K1522" s="37" t="s">
        <v>342</v>
      </c>
      <c r="L1522" s="39" t="n">
        <v>81.98</v>
      </c>
      <c r="M1522" s="39" t="n">
        <v>42.11</v>
      </c>
      <c r="N1522" s="39" t="n">
        <f aca="false">J1522*Resumo!$C$6</f>
        <v>0</v>
      </c>
      <c r="O1522" s="39" t="n">
        <f aca="false">J1522*Resumo!$C$7</f>
        <v>0.722673</v>
      </c>
      <c r="P1522" s="39" t="n">
        <f aca="false">J1522*Resumo!$C$8</f>
        <v>0.722673</v>
      </c>
      <c r="Q1522" s="39" t="n">
        <f aca="false">Resumo!$C$10*CEILING(I1522/100,1)</f>
        <v>1.05</v>
      </c>
      <c r="R1522" s="39" t="n">
        <f aca="false">Resumo!$C$9</f>
        <v>0</v>
      </c>
      <c r="S1522" s="39" t="n">
        <f aca="false">Resumo!$C$13</f>
        <v>13.55</v>
      </c>
      <c r="T1522" s="39" t="n">
        <f aca="false">Resumo!$C$14*CEILING(I1522,1)</f>
        <v>14.85</v>
      </c>
      <c r="U1522" s="39" t="n">
        <f aca="false">SUM(M1522:T1522)*Resumo!$C$11</f>
        <v>0</v>
      </c>
      <c r="V1522" s="39" t="n">
        <f aca="false">SUM(M1522:U1522)</f>
        <v>73.005346</v>
      </c>
      <c r="W1522" s="39" t="n">
        <f aca="false">V1522/(1-Resumo!$C$5)</f>
        <v>82.9606204545455</v>
      </c>
      <c r="X1522" s="39" t="n">
        <v>82.21</v>
      </c>
      <c r="Y1522" s="39" t="n">
        <f aca="false">J1522*Resumo!$B$6</f>
        <v>0.34413</v>
      </c>
      <c r="Z1522" s="39" t="n">
        <f aca="false">J1522*Resumo!$B$7</f>
        <v>0.68826</v>
      </c>
      <c r="AA1522" s="39" t="n">
        <f aca="false">Resumo!$B$9</f>
        <v>1</v>
      </c>
      <c r="AB1522" s="39" t="n">
        <f aca="false">Resumo!$B$10*CEILING(I1522/100,1)</f>
        <v>4.5</v>
      </c>
      <c r="AC1522" s="39" t="n">
        <f aca="false">Resumo!$B$12*CEILING(I1522,1)</f>
        <v>1.98</v>
      </c>
      <c r="AD1522" s="39" t="n">
        <f aca="false">Resumo!$B$14*CEILING(I1522,1)</f>
        <v>14.85</v>
      </c>
      <c r="AE1522" s="39" t="n">
        <f aca="false">SUM(X1522:AD1522)</f>
        <v>105.57239</v>
      </c>
      <c r="AF1522" s="39" t="n">
        <f aca="false">AE1522/(1-Resumo!$B$5)</f>
        <v>119.968625</v>
      </c>
      <c r="AG1522" s="39" t="n">
        <f aca="false">AF1522-W1522</f>
        <v>37.0080045454545</v>
      </c>
      <c r="AH1522" s="40" t="n">
        <f aca="false">AF1522/W1522-1</f>
        <v>0.446091221867505</v>
      </c>
      <c r="AI1522" s="37" t="str">
        <f aca="false">IF(AF1522&lt;W1522,"SIM","NÃO")</f>
        <v>NÃO</v>
      </c>
      <c r="AJ1522" s="37" t="n">
        <v>2</v>
      </c>
      <c r="AK1522" s="37" t="n">
        <v>5</v>
      </c>
      <c r="AL1522" s="37" t="s">
        <v>343</v>
      </c>
      <c r="AM1522" s="39" t="n">
        <v>81.97</v>
      </c>
    </row>
    <row r="1523" customFormat="false" ht="15" hidden="false" customHeight="false" outlineLevel="0" collapsed="false">
      <c r="A1523" s="37" t="n">
        <v>387379366</v>
      </c>
      <c r="B1523" s="38" t="n">
        <v>46267.0482175926</v>
      </c>
      <c r="C1523" s="37" t="s">
        <v>340</v>
      </c>
      <c r="D1523" s="37" t="s">
        <v>1267</v>
      </c>
      <c r="E1523" s="37" t="n">
        <v>22725031</v>
      </c>
      <c r="F1523" s="37" t="s">
        <v>159</v>
      </c>
      <c r="G1523" s="37" t="s">
        <v>196</v>
      </c>
      <c r="H1523" s="37" t="s">
        <v>184</v>
      </c>
      <c r="I1523" s="37" t="n">
        <v>31</v>
      </c>
      <c r="J1523" s="39" t="n">
        <v>329.99</v>
      </c>
      <c r="K1523" s="37" t="s">
        <v>342</v>
      </c>
      <c r="L1523" s="39" t="n">
        <v>81.91</v>
      </c>
      <c r="M1523" s="39" t="n">
        <v>42.11</v>
      </c>
      <c r="N1523" s="39" t="n">
        <f aca="false">J1523*Resumo!$C$6</f>
        <v>0</v>
      </c>
      <c r="O1523" s="39" t="n">
        <f aca="false">J1523*Resumo!$C$7</f>
        <v>0.692979</v>
      </c>
      <c r="P1523" s="39" t="n">
        <f aca="false">J1523*Resumo!$C$8</f>
        <v>0.692979</v>
      </c>
      <c r="Q1523" s="39" t="n">
        <f aca="false">Resumo!$C$10*CEILING(I1523/100,1)</f>
        <v>1.05</v>
      </c>
      <c r="R1523" s="39" t="n">
        <f aca="false">Resumo!$C$9</f>
        <v>0</v>
      </c>
      <c r="S1523" s="39" t="n">
        <f aca="false">Resumo!$C$13</f>
        <v>13.55</v>
      </c>
      <c r="T1523" s="39" t="n">
        <f aca="false">Resumo!$C$14*CEILING(I1523,1)</f>
        <v>13.95</v>
      </c>
      <c r="U1523" s="39" t="n">
        <f aca="false">SUM(M1523:T1523)*Resumo!$C$11</f>
        <v>0</v>
      </c>
      <c r="V1523" s="39" t="n">
        <f aca="false">SUM(M1523:U1523)</f>
        <v>72.045958</v>
      </c>
      <c r="W1523" s="39" t="n">
        <f aca="false">V1523/(1-Resumo!$C$5)</f>
        <v>81.8704068181818</v>
      </c>
      <c r="X1523" s="39" t="n">
        <v>82.21</v>
      </c>
      <c r="Y1523" s="39" t="n">
        <f aca="false">J1523*Resumo!$B$6</f>
        <v>0.32999</v>
      </c>
      <c r="Z1523" s="39" t="n">
        <f aca="false">J1523*Resumo!$B$7</f>
        <v>0.65998</v>
      </c>
      <c r="AA1523" s="39" t="n">
        <f aca="false">Resumo!$B$9</f>
        <v>1</v>
      </c>
      <c r="AB1523" s="39" t="n">
        <f aca="false">Resumo!$B$10*CEILING(I1523/100,1)</f>
        <v>4.5</v>
      </c>
      <c r="AC1523" s="39" t="n">
        <f aca="false">Resumo!$B$12*CEILING(I1523,1)</f>
        <v>1.86</v>
      </c>
      <c r="AD1523" s="39" t="n">
        <f aca="false">Resumo!$B$14*CEILING(I1523,1)</f>
        <v>13.95</v>
      </c>
      <c r="AE1523" s="39" t="n">
        <f aca="false">SUM(X1523:AD1523)</f>
        <v>104.50997</v>
      </c>
      <c r="AF1523" s="39" t="n">
        <f aca="false">AE1523/(1-Resumo!$B$5)</f>
        <v>118.761329545455</v>
      </c>
      <c r="AG1523" s="39" t="n">
        <f aca="false">AF1523-W1523</f>
        <v>36.8909227272727</v>
      </c>
      <c r="AH1523" s="40" t="n">
        <f aca="false">AF1523/W1523-1</f>
        <v>0.450601434156792</v>
      </c>
      <c r="AI1523" s="37" t="str">
        <f aca="false">IF(AF1523&lt;W1523,"SIM","NÃO")</f>
        <v>NÃO</v>
      </c>
      <c r="AJ1523" s="37" t="n">
        <v>2</v>
      </c>
      <c r="AK1523" s="37" t="n">
        <v>5</v>
      </c>
      <c r="AL1523" s="37" t="s">
        <v>343</v>
      </c>
      <c r="AM1523" s="39" t="n">
        <v>81.91</v>
      </c>
    </row>
    <row r="1524" customFormat="false" ht="15" hidden="false" customHeight="false" outlineLevel="0" collapsed="false">
      <c r="A1524" s="37" t="n">
        <v>387428646</v>
      </c>
      <c r="B1524" s="38" t="n">
        <v>46267.2216782407</v>
      </c>
      <c r="C1524" s="37" t="s">
        <v>345</v>
      </c>
      <c r="D1524" s="37" t="s">
        <v>1742</v>
      </c>
      <c r="E1524" s="37" t="n">
        <v>21221440</v>
      </c>
      <c r="F1524" s="37" t="s">
        <v>159</v>
      </c>
      <c r="G1524" s="37" t="s">
        <v>196</v>
      </c>
      <c r="H1524" s="37" t="s">
        <v>188</v>
      </c>
      <c r="I1524" s="37" t="n">
        <v>66.8</v>
      </c>
      <c r="J1524" s="39" t="n">
        <v>651</v>
      </c>
      <c r="K1524" s="37" t="s">
        <v>342</v>
      </c>
      <c r="L1524" s="39" t="n">
        <v>124.32</v>
      </c>
      <c r="M1524" s="39" t="n">
        <v>63.21</v>
      </c>
      <c r="N1524" s="39" t="n">
        <f aca="false">J1524*Resumo!$C$6</f>
        <v>0</v>
      </c>
      <c r="O1524" s="39" t="n">
        <f aca="false">J1524*Resumo!$C$7</f>
        <v>1.3671</v>
      </c>
      <c r="P1524" s="39" t="n">
        <f aca="false">J1524*Resumo!$C$8</f>
        <v>1.3671</v>
      </c>
      <c r="Q1524" s="39" t="n">
        <f aca="false">Resumo!$C$10*CEILING(I1524/100,1)</f>
        <v>1.05</v>
      </c>
      <c r="R1524" s="39" t="n">
        <f aca="false">Resumo!$C$9</f>
        <v>0</v>
      </c>
      <c r="S1524" s="39" t="n">
        <f aca="false">Resumo!$C$13</f>
        <v>13.55</v>
      </c>
      <c r="T1524" s="39" t="n">
        <f aca="false">Resumo!$C$14*CEILING(I1524,1)</f>
        <v>30.15</v>
      </c>
      <c r="U1524" s="39" t="n">
        <f aca="false">SUM(M1524:T1524)*Resumo!$C$11</f>
        <v>0</v>
      </c>
      <c r="V1524" s="39" t="n">
        <f aca="false">SUM(M1524:U1524)</f>
        <v>110.6942</v>
      </c>
      <c r="W1524" s="39" t="n">
        <f aca="false">V1524/(1-Resumo!$C$5)</f>
        <v>125.788863636364</v>
      </c>
      <c r="X1524" s="39" t="n">
        <v>131.02</v>
      </c>
      <c r="Y1524" s="39" t="n">
        <f aca="false">J1524*Resumo!$B$6</f>
        <v>0.651</v>
      </c>
      <c r="Z1524" s="39" t="n">
        <f aca="false">J1524*Resumo!$B$7</f>
        <v>1.302</v>
      </c>
      <c r="AA1524" s="39" t="n">
        <f aca="false">Resumo!$B$9</f>
        <v>1</v>
      </c>
      <c r="AB1524" s="39" t="n">
        <f aca="false">Resumo!$B$10*CEILING(I1524/100,1)</f>
        <v>4.5</v>
      </c>
      <c r="AC1524" s="39" t="n">
        <f aca="false">Resumo!$B$12*CEILING(I1524,1)</f>
        <v>4.02</v>
      </c>
      <c r="AD1524" s="39" t="n">
        <f aca="false">Resumo!$B$14*CEILING(I1524,1)</f>
        <v>30.15</v>
      </c>
      <c r="AE1524" s="39" t="n">
        <f aca="false">SUM(X1524:AD1524)</f>
        <v>172.643</v>
      </c>
      <c r="AF1524" s="39" t="n">
        <f aca="false">AE1524/(1-Resumo!$B$5)</f>
        <v>196.185227272727</v>
      </c>
      <c r="AG1524" s="39" t="n">
        <f aca="false">AF1524-W1524</f>
        <v>70.3963636363637</v>
      </c>
      <c r="AH1524" s="40" t="n">
        <f aca="false">AF1524/W1524-1</f>
        <v>0.559639077747524</v>
      </c>
      <c r="AI1524" s="37" t="str">
        <f aca="false">IF(AF1524&lt;W1524,"SIM","NÃO")</f>
        <v>NÃO</v>
      </c>
      <c r="AJ1524" s="37" t="n">
        <v>2</v>
      </c>
      <c r="AK1524" s="37" t="n">
        <v>5</v>
      </c>
      <c r="AL1524" s="37" t="s">
        <v>343</v>
      </c>
      <c r="AM1524" s="39" t="n">
        <v>124.33</v>
      </c>
    </row>
    <row r="1525" customFormat="false" ht="15" hidden="false" customHeight="false" outlineLevel="0" collapsed="false">
      <c r="A1525" s="37" t="n">
        <v>387452124</v>
      </c>
      <c r="B1525" s="38" t="n">
        <v>46267.3017708333</v>
      </c>
      <c r="C1525" s="37" t="s">
        <v>340</v>
      </c>
      <c r="D1525" s="37" t="s">
        <v>1743</v>
      </c>
      <c r="E1525" s="37" t="n">
        <v>24717200</v>
      </c>
      <c r="F1525" s="37" t="s">
        <v>160</v>
      </c>
      <c r="G1525" s="37" t="s">
        <v>197</v>
      </c>
      <c r="H1525" s="37" t="s">
        <v>186</v>
      </c>
      <c r="I1525" s="37" t="n">
        <v>48.3</v>
      </c>
      <c r="J1525" s="39" t="n">
        <v>440.89</v>
      </c>
      <c r="K1525" s="37" t="s">
        <v>342</v>
      </c>
      <c r="L1525" s="39" t="n">
        <v>116.18</v>
      </c>
      <c r="M1525" s="39" t="n">
        <v>65.36</v>
      </c>
      <c r="N1525" s="39" t="n">
        <f aca="false">J1525*Resumo!$C$6</f>
        <v>0</v>
      </c>
      <c r="O1525" s="39" t="n">
        <f aca="false">J1525*Resumo!$C$7</f>
        <v>0.925869</v>
      </c>
      <c r="P1525" s="39" t="n">
        <f aca="false">J1525*Resumo!$C$8</f>
        <v>0.925869</v>
      </c>
      <c r="Q1525" s="39" t="n">
        <f aca="false">Resumo!$C$10*CEILING(I1525/100,1)</f>
        <v>1.05</v>
      </c>
      <c r="R1525" s="39" t="n">
        <f aca="false">Resumo!$C$9</f>
        <v>0</v>
      </c>
      <c r="S1525" s="39" t="n">
        <f aca="false">Resumo!$C$13</f>
        <v>13.55</v>
      </c>
      <c r="T1525" s="39" t="n">
        <f aca="false">Resumo!$C$14*CEILING(I1525,1)</f>
        <v>22.05</v>
      </c>
      <c r="U1525" s="39" t="n">
        <f aca="false">SUM(M1525:T1525)*Resumo!$C$11</f>
        <v>0</v>
      </c>
      <c r="V1525" s="39" t="n">
        <f aca="false">SUM(M1525:U1525)</f>
        <v>103.861738</v>
      </c>
      <c r="W1525" s="39" t="n">
        <f aca="false">V1525/(1-Resumo!$C$5)</f>
        <v>118.024702272727</v>
      </c>
      <c r="X1525" s="39" t="n">
        <v>114.95</v>
      </c>
      <c r="Y1525" s="39" t="n">
        <f aca="false">J1525*Resumo!$B$6</f>
        <v>0.44089</v>
      </c>
      <c r="Z1525" s="39" t="n">
        <f aca="false">J1525*Resumo!$B$7</f>
        <v>0.88178</v>
      </c>
      <c r="AA1525" s="39" t="n">
        <f aca="false">Resumo!$B$9</f>
        <v>1</v>
      </c>
      <c r="AB1525" s="39" t="n">
        <f aca="false">Resumo!$B$10*CEILING(I1525/100,1)</f>
        <v>4.5</v>
      </c>
      <c r="AC1525" s="39" t="n">
        <f aca="false">Resumo!$B$12*CEILING(I1525,1)</f>
        <v>2.94</v>
      </c>
      <c r="AD1525" s="39" t="n">
        <f aca="false">Resumo!$B$14*CEILING(I1525,1)</f>
        <v>22.05</v>
      </c>
      <c r="AE1525" s="39" t="n">
        <f aca="false">SUM(X1525:AD1525)</f>
        <v>146.76267</v>
      </c>
      <c r="AF1525" s="39" t="n">
        <f aca="false">AE1525/(1-Resumo!$B$5)</f>
        <v>166.775761363636</v>
      </c>
      <c r="AG1525" s="39" t="n">
        <f aca="false">AF1525-W1525</f>
        <v>48.7510590909091</v>
      </c>
      <c r="AH1525" s="40" t="n">
        <f aca="false">AF1525/W1525-1</f>
        <v>0.413058098450076</v>
      </c>
      <c r="AI1525" s="37" t="str">
        <f aca="false">IF(AF1525&lt;W1525,"SIM","NÃO")</f>
        <v>NÃO</v>
      </c>
      <c r="AJ1525" s="37" t="n">
        <v>2</v>
      </c>
      <c r="AK1525" s="37" t="n">
        <v>7</v>
      </c>
      <c r="AL1525" s="37" t="s">
        <v>343</v>
      </c>
      <c r="AM1525" s="39" t="n">
        <v>116.19</v>
      </c>
    </row>
    <row r="1526" customFormat="false" ht="15" hidden="false" customHeight="false" outlineLevel="0" collapsed="false">
      <c r="A1526" s="37" t="n">
        <v>387491798</v>
      </c>
      <c r="B1526" s="38" t="n">
        <v>46267.4050578704</v>
      </c>
      <c r="C1526" s="37" t="s">
        <v>345</v>
      </c>
      <c r="D1526" s="37" t="s">
        <v>1744</v>
      </c>
      <c r="E1526" s="37" t="n">
        <v>23020724</v>
      </c>
      <c r="F1526" s="37" t="s">
        <v>159</v>
      </c>
      <c r="G1526" s="37" t="s">
        <v>196</v>
      </c>
      <c r="H1526" s="37" t="s">
        <v>185</v>
      </c>
      <c r="I1526" s="37" t="n">
        <v>36.8</v>
      </c>
      <c r="J1526" s="39" t="n">
        <v>431.64</v>
      </c>
      <c r="K1526" s="37" t="s">
        <v>342</v>
      </c>
      <c r="L1526" s="39" t="n">
        <v>91.92</v>
      </c>
      <c r="M1526" s="39" t="n">
        <v>48.35</v>
      </c>
      <c r="N1526" s="39" t="n">
        <f aca="false">J1526*Resumo!$C$6</f>
        <v>0</v>
      </c>
      <c r="O1526" s="39" t="n">
        <f aca="false">J1526*Resumo!$C$7</f>
        <v>0.906444</v>
      </c>
      <c r="P1526" s="39" t="n">
        <f aca="false">J1526*Resumo!$C$8</f>
        <v>0.906444</v>
      </c>
      <c r="Q1526" s="39" t="n">
        <f aca="false">Resumo!$C$10*CEILING(I1526/100,1)</f>
        <v>1.05</v>
      </c>
      <c r="R1526" s="39" t="n">
        <f aca="false">Resumo!$C$9</f>
        <v>0</v>
      </c>
      <c r="S1526" s="39" t="n">
        <f aca="false">Resumo!$C$13</f>
        <v>13.55</v>
      </c>
      <c r="T1526" s="39" t="n">
        <f aca="false">Resumo!$C$14*CEILING(I1526,1)</f>
        <v>16.65</v>
      </c>
      <c r="U1526" s="39" t="n">
        <f aca="false">SUM(M1526:T1526)*Resumo!$C$11</f>
        <v>0</v>
      </c>
      <c r="V1526" s="39" t="n">
        <f aca="false">SUM(M1526:U1526)</f>
        <v>81.412888</v>
      </c>
      <c r="W1526" s="39" t="n">
        <f aca="false">V1526/(1-Resumo!$C$5)</f>
        <v>92.5146454545455</v>
      </c>
      <c r="X1526" s="39" t="n">
        <v>93.97</v>
      </c>
      <c r="Y1526" s="39" t="n">
        <f aca="false">J1526*Resumo!$B$6</f>
        <v>0.43164</v>
      </c>
      <c r="Z1526" s="39" t="n">
        <f aca="false">J1526*Resumo!$B$7</f>
        <v>0.86328</v>
      </c>
      <c r="AA1526" s="39" t="n">
        <f aca="false">Resumo!$B$9</f>
        <v>1</v>
      </c>
      <c r="AB1526" s="39" t="n">
        <f aca="false">Resumo!$B$10*CEILING(I1526/100,1)</f>
        <v>4.5</v>
      </c>
      <c r="AC1526" s="39" t="n">
        <f aca="false">Resumo!$B$12*CEILING(I1526,1)</f>
        <v>2.22</v>
      </c>
      <c r="AD1526" s="39" t="n">
        <f aca="false">Resumo!$B$14*CEILING(I1526,1)</f>
        <v>16.65</v>
      </c>
      <c r="AE1526" s="39" t="n">
        <f aca="false">SUM(X1526:AD1526)</f>
        <v>119.63492</v>
      </c>
      <c r="AF1526" s="39" t="n">
        <f aca="false">AE1526/(1-Resumo!$B$5)</f>
        <v>135.948772727273</v>
      </c>
      <c r="AG1526" s="39" t="n">
        <f aca="false">AF1526-W1526</f>
        <v>43.4341272727273</v>
      </c>
      <c r="AH1526" s="40" t="n">
        <f aca="false">AF1526/W1526-1</f>
        <v>0.469483799665724</v>
      </c>
      <c r="AI1526" s="37" t="str">
        <f aca="false">IF(AF1526&lt;W1526,"SIM","NÃO")</f>
        <v>NÃO</v>
      </c>
      <c r="AJ1526" s="37" t="n">
        <v>2</v>
      </c>
      <c r="AK1526" s="37" t="n">
        <v>5</v>
      </c>
      <c r="AL1526" s="37" t="s">
        <v>343</v>
      </c>
      <c r="AM1526" s="39" t="n">
        <v>91.92</v>
      </c>
    </row>
    <row r="1527" customFormat="false" ht="15" hidden="false" customHeight="false" outlineLevel="0" collapsed="false">
      <c r="A1527" s="37" t="n">
        <v>387511278</v>
      </c>
      <c r="B1527" s="38" t="n">
        <v>46267.4446990741</v>
      </c>
      <c r="C1527" s="37" t="s">
        <v>340</v>
      </c>
      <c r="D1527" s="37" t="s">
        <v>1745</v>
      </c>
      <c r="E1527" s="37" t="n">
        <v>23550230</v>
      </c>
      <c r="F1527" s="37" t="s">
        <v>159</v>
      </c>
      <c r="G1527" s="37" t="s">
        <v>196</v>
      </c>
      <c r="H1527" s="37" t="s">
        <v>185</v>
      </c>
      <c r="I1527" s="37" t="n">
        <v>37.6</v>
      </c>
      <c r="J1527" s="39" t="n">
        <v>391.9</v>
      </c>
      <c r="K1527" s="37" t="s">
        <v>342</v>
      </c>
      <c r="L1527" s="39" t="n">
        <v>91.73</v>
      </c>
      <c r="M1527" s="39" t="n">
        <v>48.35</v>
      </c>
      <c r="N1527" s="39" t="n">
        <f aca="false">J1527*Resumo!$C$6</f>
        <v>0</v>
      </c>
      <c r="O1527" s="39" t="n">
        <f aca="false">J1527*Resumo!$C$7</f>
        <v>0.82299</v>
      </c>
      <c r="P1527" s="39" t="n">
        <f aca="false">J1527*Resumo!$C$8</f>
        <v>0.82299</v>
      </c>
      <c r="Q1527" s="39" t="n">
        <f aca="false">Resumo!$C$10*CEILING(I1527/100,1)</f>
        <v>1.05</v>
      </c>
      <c r="R1527" s="39" t="n">
        <f aca="false">Resumo!$C$9</f>
        <v>0</v>
      </c>
      <c r="S1527" s="39" t="n">
        <f aca="false">Resumo!$C$13</f>
        <v>13.55</v>
      </c>
      <c r="T1527" s="39" t="n">
        <f aca="false">Resumo!$C$14*CEILING(I1527,1)</f>
        <v>17.1</v>
      </c>
      <c r="U1527" s="39" t="n">
        <f aca="false">SUM(M1527:T1527)*Resumo!$C$11</f>
        <v>0</v>
      </c>
      <c r="V1527" s="39" t="n">
        <f aca="false">SUM(M1527:U1527)</f>
        <v>81.69598</v>
      </c>
      <c r="W1527" s="39" t="n">
        <f aca="false">V1527/(1-Resumo!$C$5)</f>
        <v>92.8363409090909</v>
      </c>
      <c r="X1527" s="39" t="n">
        <v>93.97</v>
      </c>
      <c r="Y1527" s="39" t="n">
        <f aca="false">J1527*Resumo!$B$6</f>
        <v>0.3919</v>
      </c>
      <c r="Z1527" s="39" t="n">
        <f aca="false">J1527*Resumo!$B$7</f>
        <v>0.7838</v>
      </c>
      <c r="AA1527" s="39" t="n">
        <f aca="false">Resumo!$B$9</f>
        <v>1</v>
      </c>
      <c r="AB1527" s="39" t="n">
        <f aca="false">Resumo!$B$10*CEILING(I1527/100,1)</f>
        <v>4.5</v>
      </c>
      <c r="AC1527" s="39" t="n">
        <f aca="false">Resumo!$B$12*CEILING(I1527,1)</f>
        <v>2.28</v>
      </c>
      <c r="AD1527" s="39" t="n">
        <f aca="false">Resumo!$B$14*CEILING(I1527,1)</f>
        <v>17.1</v>
      </c>
      <c r="AE1527" s="39" t="n">
        <f aca="false">SUM(X1527:AD1527)</f>
        <v>120.0257</v>
      </c>
      <c r="AF1527" s="39" t="n">
        <f aca="false">AE1527/(1-Resumo!$B$5)</f>
        <v>136.392840909091</v>
      </c>
      <c r="AG1527" s="39" t="n">
        <f aca="false">AF1527-W1527</f>
        <v>43.5565</v>
      </c>
      <c r="AH1527" s="40" t="n">
        <f aca="false">AF1527/W1527-1</f>
        <v>0.46917510506637</v>
      </c>
      <c r="AI1527" s="37" t="str">
        <f aca="false">IF(AF1527&lt;W1527,"SIM","NÃO")</f>
        <v>NÃO</v>
      </c>
      <c r="AJ1527" s="37" t="n">
        <v>2</v>
      </c>
      <c r="AK1527" s="37" t="n">
        <v>5</v>
      </c>
      <c r="AL1527" s="37" t="s">
        <v>343</v>
      </c>
      <c r="AM1527" s="39" t="n">
        <v>91.73</v>
      </c>
    </row>
    <row r="1528" customFormat="false" ht="15" hidden="false" customHeight="false" outlineLevel="0" collapsed="false">
      <c r="A1528" s="37" t="n">
        <v>387517402</v>
      </c>
      <c r="B1528" s="38" t="n">
        <v>46267.4562384259</v>
      </c>
      <c r="C1528" s="37" t="s">
        <v>340</v>
      </c>
      <c r="D1528" s="37" t="s">
        <v>1746</v>
      </c>
      <c r="E1528" s="37" t="n">
        <v>21853355</v>
      </c>
      <c r="F1528" s="37" t="s">
        <v>159</v>
      </c>
      <c r="G1528" s="37" t="s">
        <v>196</v>
      </c>
      <c r="H1528" s="37" t="s">
        <v>188</v>
      </c>
      <c r="I1528" s="37" t="n">
        <v>68.1</v>
      </c>
      <c r="J1528" s="39" t="n">
        <v>999.99</v>
      </c>
      <c r="K1528" s="37" t="s">
        <v>342</v>
      </c>
      <c r="L1528" s="39" t="n">
        <v>126</v>
      </c>
      <c r="M1528" s="39" t="n">
        <v>63.21</v>
      </c>
      <c r="N1528" s="39" t="n">
        <f aca="false">J1528*Resumo!$C$6</f>
        <v>0</v>
      </c>
      <c r="O1528" s="39" t="n">
        <f aca="false">J1528*Resumo!$C$7</f>
        <v>2.099979</v>
      </c>
      <c r="P1528" s="39" t="n">
        <f aca="false">J1528*Resumo!$C$8</f>
        <v>2.099979</v>
      </c>
      <c r="Q1528" s="39" t="n">
        <f aca="false">Resumo!$C$10*CEILING(I1528/100,1)</f>
        <v>1.05</v>
      </c>
      <c r="R1528" s="39" t="n">
        <f aca="false">Resumo!$C$9</f>
        <v>0</v>
      </c>
      <c r="S1528" s="39" t="n">
        <f aca="false">Resumo!$C$13</f>
        <v>13.55</v>
      </c>
      <c r="T1528" s="39" t="n">
        <f aca="false">Resumo!$C$14*CEILING(I1528,1)</f>
        <v>31.05</v>
      </c>
      <c r="U1528" s="39" t="n">
        <f aca="false">SUM(M1528:T1528)*Resumo!$C$11</f>
        <v>0</v>
      </c>
      <c r="V1528" s="39" t="n">
        <f aca="false">SUM(M1528:U1528)</f>
        <v>113.059958</v>
      </c>
      <c r="W1528" s="39" t="n">
        <f aca="false">V1528/(1-Resumo!$C$5)</f>
        <v>128.477225</v>
      </c>
      <c r="X1528" s="39" t="n">
        <v>131.02</v>
      </c>
      <c r="Y1528" s="39" t="n">
        <f aca="false">J1528*Resumo!$B$6</f>
        <v>0.99999</v>
      </c>
      <c r="Z1528" s="39" t="n">
        <f aca="false">J1528*Resumo!$B$7</f>
        <v>1.99998</v>
      </c>
      <c r="AA1528" s="39" t="n">
        <f aca="false">Resumo!$B$9</f>
        <v>1</v>
      </c>
      <c r="AB1528" s="39" t="n">
        <f aca="false">Resumo!$B$10*CEILING(I1528/100,1)</f>
        <v>4.5</v>
      </c>
      <c r="AC1528" s="39" t="n">
        <f aca="false">Resumo!$B$12*CEILING(I1528,1)</f>
        <v>4.14</v>
      </c>
      <c r="AD1528" s="39" t="n">
        <f aca="false">Resumo!$B$14*CEILING(I1528,1)</f>
        <v>31.05</v>
      </c>
      <c r="AE1528" s="39" t="n">
        <f aca="false">SUM(X1528:AD1528)</f>
        <v>174.70997</v>
      </c>
      <c r="AF1528" s="39" t="n">
        <f aca="false">AE1528/(1-Resumo!$B$5)</f>
        <v>198.534056818182</v>
      </c>
      <c r="AG1528" s="39" t="n">
        <f aca="false">AF1528-W1528</f>
        <v>70.0568318181819</v>
      </c>
      <c r="AH1528" s="40" t="n">
        <f aca="false">AF1528/W1528-1</f>
        <v>0.545285997718131</v>
      </c>
      <c r="AI1528" s="37" t="str">
        <f aca="false">IF(AF1528&lt;W1528,"SIM","NÃO")</f>
        <v>NÃO</v>
      </c>
      <c r="AJ1528" s="37" t="n">
        <v>2</v>
      </c>
      <c r="AK1528" s="37" t="n">
        <v>5</v>
      </c>
      <c r="AL1528" s="37" t="s">
        <v>343</v>
      </c>
      <c r="AM1528" s="39" t="n">
        <v>126</v>
      </c>
    </row>
    <row r="1529" customFormat="false" ht="15" hidden="false" customHeight="false" outlineLevel="0" collapsed="false">
      <c r="A1529" s="37" t="n">
        <v>387527812</v>
      </c>
      <c r="B1529" s="38" t="n">
        <v>46267.4772916667</v>
      </c>
      <c r="C1529" s="37" t="s">
        <v>340</v>
      </c>
      <c r="D1529" s="37" t="s">
        <v>1747</v>
      </c>
      <c r="E1529" s="37" t="n">
        <v>25675050</v>
      </c>
      <c r="F1529" s="37" t="s">
        <v>170</v>
      </c>
      <c r="G1529" s="37" t="s">
        <v>198</v>
      </c>
      <c r="H1529" s="37" t="s">
        <v>185</v>
      </c>
      <c r="I1529" s="37" t="n">
        <v>39</v>
      </c>
      <c r="J1529" s="39" t="n">
        <v>539.99</v>
      </c>
      <c r="K1529" s="37" t="s">
        <v>342</v>
      </c>
      <c r="L1529" s="39" t="n">
        <v>122.84</v>
      </c>
      <c r="M1529" s="39" t="n">
        <v>74.97</v>
      </c>
      <c r="N1529" s="39" t="n">
        <f aca="false">J1529*Resumo!$C$6</f>
        <v>0</v>
      </c>
      <c r="O1529" s="39" t="n">
        <f aca="false">J1529*Resumo!$C$7</f>
        <v>1.133979</v>
      </c>
      <c r="P1529" s="39" t="n">
        <f aca="false">J1529*Resumo!$C$8</f>
        <v>1.133979</v>
      </c>
      <c r="Q1529" s="39" t="n">
        <f aca="false">Resumo!$C$10*CEILING(I1529/100,1)</f>
        <v>1.05</v>
      </c>
      <c r="R1529" s="39" t="n">
        <f aca="false">Resumo!$C$9</f>
        <v>0</v>
      </c>
      <c r="S1529" s="39" t="n">
        <f aca="false">Resumo!$C$13</f>
        <v>13.55</v>
      </c>
      <c r="T1529" s="39" t="n">
        <f aca="false">Resumo!$C$14*CEILING(I1529,1)</f>
        <v>17.55</v>
      </c>
      <c r="U1529" s="39" t="n">
        <f aca="false">SUM(M1529:T1529)*Resumo!$C$11</f>
        <v>0</v>
      </c>
      <c r="V1529" s="39" t="n">
        <f aca="false">SUM(M1529:U1529)</f>
        <v>109.387958</v>
      </c>
      <c r="W1529" s="39" t="n">
        <f aca="false">V1529/(1-Resumo!$C$5)</f>
        <v>124.304497727273</v>
      </c>
      <c r="X1529" s="39" t="n">
        <v>124.38</v>
      </c>
      <c r="Y1529" s="39" t="n">
        <f aca="false">J1529*Resumo!$B$6</f>
        <v>0.53999</v>
      </c>
      <c r="Z1529" s="39" t="n">
        <f aca="false">J1529*Resumo!$B$7</f>
        <v>1.07998</v>
      </c>
      <c r="AA1529" s="39" t="n">
        <f aca="false">Resumo!$B$9</f>
        <v>1</v>
      </c>
      <c r="AB1529" s="39" t="n">
        <f aca="false">Resumo!$B$10*CEILING(I1529/100,1)</f>
        <v>4.5</v>
      </c>
      <c r="AC1529" s="39" t="n">
        <f aca="false">Resumo!$B$12*CEILING(I1529,1)</f>
        <v>2.34</v>
      </c>
      <c r="AD1529" s="39" t="n">
        <f aca="false">Resumo!$B$14*CEILING(I1529,1)</f>
        <v>17.55</v>
      </c>
      <c r="AE1529" s="39" t="n">
        <f aca="false">SUM(X1529:AD1529)</f>
        <v>151.38997</v>
      </c>
      <c r="AF1529" s="39" t="n">
        <f aca="false">AE1529/(1-Resumo!$B$5)</f>
        <v>172.034056818182</v>
      </c>
      <c r="AG1529" s="39" t="n">
        <f aca="false">AF1529-W1529</f>
        <v>47.7295590909091</v>
      </c>
      <c r="AH1529" s="40" t="n">
        <f aca="false">AF1529/W1529-1</f>
        <v>0.38397290495175</v>
      </c>
      <c r="AI1529" s="37" t="str">
        <f aca="false">IF(AF1529&lt;W1529,"SIM","NÃO")</f>
        <v>NÃO</v>
      </c>
      <c r="AJ1529" s="37" t="n">
        <v>13</v>
      </c>
      <c r="AK1529" s="37" t="n">
        <v>8</v>
      </c>
      <c r="AL1529" s="37" t="s">
        <v>343</v>
      </c>
      <c r="AM1529" s="39" t="n">
        <v>122.84</v>
      </c>
    </row>
    <row r="1530" customFormat="false" ht="15" hidden="false" customHeight="false" outlineLevel="0" collapsed="false">
      <c r="A1530" s="37" t="n">
        <v>387585761</v>
      </c>
      <c r="B1530" s="38" t="n">
        <v>46267.5891319444</v>
      </c>
      <c r="C1530" s="37" t="s">
        <v>345</v>
      </c>
      <c r="D1530" s="37" t="s">
        <v>1748</v>
      </c>
      <c r="E1530" s="37" t="n">
        <v>28941348</v>
      </c>
      <c r="F1530" s="37" t="s">
        <v>292</v>
      </c>
      <c r="G1530" s="37" t="s">
        <v>198</v>
      </c>
      <c r="H1530" s="37" t="s">
        <v>184</v>
      </c>
      <c r="I1530" s="37" t="n">
        <v>27.6</v>
      </c>
      <c r="J1530" s="39" t="n">
        <v>496.57</v>
      </c>
      <c r="K1530" s="37" t="s">
        <v>342</v>
      </c>
      <c r="L1530" s="39" t="n">
        <v>109.56</v>
      </c>
      <c r="M1530" s="39" t="n">
        <v>65.63</v>
      </c>
      <c r="N1530" s="39" t="n">
        <f aca="false">J1530*Resumo!$C$6</f>
        <v>0</v>
      </c>
      <c r="O1530" s="39" t="n">
        <f aca="false">J1530*Resumo!$C$7</f>
        <v>1.042797</v>
      </c>
      <c r="P1530" s="39" t="n">
        <f aca="false">J1530*Resumo!$C$8</f>
        <v>1.042797</v>
      </c>
      <c r="Q1530" s="39" t="n">
        <f aca="false">Resumo!$C$10*CEILING(I1530/100,1)</f>
        <v>1.05</v>
      </c>
      <c r="R1530" s="39" t="n">
        <f aca="false">Resumo!$C$9</f>
        <v>0</v>
      </c>
      <c r="S1530" s="39" t="n">
        <f aca="false">Resumo!$C$13</f>
        <v>13.55</v>
      </c>
      <c r="T1530" s="39" t="n">
        <f aca="false">Resumo!$C$14*CEILING(I1530,1)</f>
        <v>12.6</v>
      </c>
      <c r="U1530" s="39" t="n">
        <f aca="false">SUM(M1530:T1530)*Resumo!$C$11</f>
        <v>0</v>
      </c>
      <c r="V1530" s="39" t="n">
        <f aca="false">SUM(M1530:U1530)</f>
        <v>94.915594</v>
      </c>
      <c r="W1530" s="39" t="n">
        <f aca="false">V1530/(1-Resumo!$C$5)</f>
        <v>107.858629545455</v>
      </c>
      <c r="X1530" s="39" t="n">
        <v>114.95</v>
      </c>
      <c r="Y1530" s="39" t="n">
        <f aca="false">J1530*Resumo!$B$6</f>
        <v>0.49657</v>
      </c>
      <c r="Z1530" s="39" t="n">
        <f aca="false">J1530*Resumo!$B$7</f>
        <v>0.99314</v>
      </c>
      <c r="AA1530" s="39" t="n">
        <f aca="false">Resumo!$B$9</f>
        <v>1</v>
      </c>
      <c r="AB1530" s="39" t="n">
        <f aca="false">Resumo!$B$10*CEILING(I1530/100,1)</f>
        <v>4.5</v>
      </c>
      <c r="AC1530" s="39" t="n">
        <f aca="false">Resumo!$B$12*CEILING(I1530,1)</f>
        <v>1.68</v>
      </c>
      <c r="AD1530" s="39" t="n">
        <f aca="false">Resumo!$B$14*CEILING(I1530,1)</f>
        <v>12.6</v>
      </c>
      <c r="AE1530" s="39" t="n">
        <f aca="false">SUM(X1530:AD1530)</f>
        <v>136.21971</v>
      </c>
      <c r="AF1530" s="39" t="n">
        <f aca="false">AE1530/(1-Resumo!$B$5)</f>
        <v>154.795125</v>
      </c>
      <c r="AG1530" s="39" t="n">
        <f aca="false">AF1530-W1530</f>
        <v>46.9364954545455</v>
      </c>
      <c r="AH1530" s="40" t="n">
        <f aca="false">AF1530/W1530-1</f>
        <v>0.435166807258247</v>
      </c>
      <c r="AI1530" s="37" t="str">
        <f aca="false">IF(AF1530&lt;W1530,"SIM","NÃO")</f>
        <v>NÃO</v>
      </c>
      <c r="AJ1530" s="37" t="n">
        <v>13</v>
      </c>
      <c r="AK1530" s="37" t="n">
        <v>10</v>
      </c>
      <c r="AL1530" s="37" t="s">
        <v>347</v>
      </c>
      <c r="AM1530" s="39" t="n">
        <v>109.56</v>
      </c>
    </row>
    <row r="1531" customFormat="false" ht="15" hidden="false" customHeight="false" outlineLevel="0" collapsed="false">
      <c r="A1531" s="37" t="n">
        <v>387599894</v>
      </c>
      <c r="B1531" s="38" t="n">
        <v>46267.6048032407</v>
      </c>
      <c r="C1531" s="37" t="s">
        <v>537</v>
      </c>
      <c r="D1531" s="37" t="s">
        <v>422</v>
      </c>
      <c r="E1531" s="37" t="n">
        <v>22230000</v>
      </c>
      <c r="F1531" s="37" t="s">
        <v>159</v>
      </c>
      <c r="G1531" s="37" t="s">
        <v>196</v>
      </c>
      <c r="H1531" s="37" t="s">
        <v>186</v>
      </c>
      <c r="I1531" s="37" t="n">
        <v>49.6</v>
      </c>
      <c r="J1531" s="39" t="n">
        <v>649.78</v>
      </c>
      <c r="K1531" s="37" t="s">
        <v>342</v>
      </c>
      <c r="L1531" s="39" t="n">
        <v>103.7</v>
      </c>
      <c r="M1531" s="39" t="n">
        <v>53.55</v>
      </c>
      <c r="N1531" s="39" t="n">
        <f aca="false">J1531*Resumo!$C$6</f>
        <v>0</v>
      </c>
      <c r="O1531" s="39" t="n">
        <f aca="false">J1531*Resumo!$C$7</f>
        <v>1.364538</v>
      </c>
      <c r="P1531" s="39" t="n">
        <f aca="false">J1531*Resumo!$C$8</f>
        <v>1.364538</v>
      </c>
      <c r="Q1531" s="39" t="n">
        <f aca="false">Resumo!$C$10*CEILING(I1531/100,1)</f>
        <v>1.05</v>
      </c>
      <c r="R1531" s="39" t="n">
        <f aca="false">Resumo!$C$9</f>
        <v>0</v>
      </c>
      <c r="S1531" s="39" t="n">
        <f aca="false">Resumo!$C$13</f>
        <v>13.55</v>
      </c>
      <c r="T1531" s="39" t="n">
        <f aca="false">Resumo!$C$14*CEILING(I1531,1)</f>
        <v>22.5</v>
      </c>
      <c r="U1531" s="39" t="n">
        <f aca="false">SUM(M1531:T1531)*Resumo!$C$11</f>
        <v>0</v>
      </c>
      <c r="V1531" s="39" t="n">
        <f aca="false">SUM(M1531:U1531)</f>
        <v>93.379076</v>
      </c>
      <c r="W1531" s="39" t="n">
        <f aca="false">V1531/(1-Resumo!$C$5)</f>
        <v>106.112586363636</v>
      </c>
      <c r="X1531" s="39" t="n">
        <v>93.97</v>
      </c>
      <c r="Y1531" s="39" t="n">
        <f aca="false">J1531*Resumo!$B$6</f>
        <v>0.64978</v>
      </c>
      <c r="Z1531" s="39" t="n">
        <f aca="false">J1531*Resumo!$B$7</f>
        <v>1.29956</v>
      </c>
      <c r="AA1531" s="39" t="n">
        <f aca="false">Resumo!$B$9</f>
        <v>1</v>
      </c>
      <c r="AB1531" s="39" t="n">
        <f aca="false">Resumo!$B$10*CEILING(I1531/100,1)</f>
        <v>4.5</v>
      </c>
      <c r="AC1531" s="39" t="n">
        <f aca="false">Resumo!$B$12*CEILING(I1531,1)</f>
        <v>3</v>
      </c>
      <c r="AD1531" s="39" t="n">
        <f aca="false">Resumo!$B$14*CEILING(I1531,1)</f>
        <v>22.5</v>
      </c>
      <c r="AE1531" s="39" t="n">
        <f aca="false">SUM(X1531:AD1531)</f>
        <v>126.91934</v>
      </c>
      <c r="AF1531" s="39" t="n">
        <f aca="false">AE1531/(1-Resumo!$B$5)</f>
        <v>144.226522727273</v>
      </c>
      <c r="AG1531" s="39" t="n">
        <f aca="false">AF1531-W1531</f>
        <v>38.1139363636364</v>
      </c>
      <c r="AH1531" s="40" t="n">
        <f aca="false">AF1531/W1531-1</f>
        <v>0.359183935381841</v>
      </c>
      <c r="AI1531" s="37" t="str">
        <f aca="false">IF(AF1531&lt;W1531,"SIM","NÃO")</f>
        <v>NÃO</v>
      </c>
      <c r="AJ1531" s="37" t="n">
        <v>2</v>
      </c>
      <c r="AK1531" s="37" t="n">
        <v>5</v>
      </c>
      <c r="AL1531" s="37" t="s">
        <v>343</v>
      </c>
      <c r="AM1531" s="39" t="n">
        <v>103.7</v>
      </c>
    </row>
    <row r="1532" customFormat="false" ht="15" hidden="false" customHeight="false" outlineLevel="0" collapsed="false">
      <c r="A1532" s="37" t="n">
        <v>387601433</v>
      </c>
      <c r="B1532" s="38" t="n">
        <v>46267.6194907407</v>
      </c>
      <c r="C1532" s="37" t="s">
        <v>345</v>
      </c>
      <c r="D1532" s="37" t="s">
        <v>1749</v>
      </c>
      <c r="E1532" s="37" t="n">
        <v>20220150</v>
      </c>
      <c r="F1532" s="37" t="s">
        <v>159</v>
      </c>
      <c r="G1532" s="37" t="s">
        <v>196</v>
      </c>
      <c r="H1532" s="37" t="s">
        <v>188</v>
      </c>
      <c r="I1532" s="37" t="n">
        <v>66.8</v>
      </c>
      <c r="J1532" s="39" t="n">
        <v>578</v>
      </c>
      <c r="K1532" s="37" t="s">
        <v>342</v>
      </c>
      <c r="L1532" s="39" t="n">
        <v>123.99</v>
      </c>
      <c r="M1532" s="39" t="n">
        <v>63.21</v>
      </c>
      <c r="N1532" s="39" t="n">
        <f aca="false">J1532*Resumo!$C$6</f>
        <v>0</v>
      </c>
      <c r="O1532" s="39" t="n">
        <f aca="false">J1532*Resumo!$C$7</f>
        <v>1.2138</v>
      </c>
      <c r="P1532" s="39" t="n">
        <f aca="false">J1532*Resumo!$C$8</f>
        <v>1.2138</v>
      </c>
      <c r="Q1532" s="39" t="n">
        <f aca="false">Resumo!$C$10*CEILING(I1532/100,1)</f>
        <v>1.05</v>
      </c>
      <c r="R1532" s="39" t="n">
        <f aca="false">Resumo!$C$9</f>
        <v>0</v>
      </c>
      <c r="S1532" s="39" t="n">
        <f aca="false">Resumo!$C$13</f>
        <v>13.55</v>
      </c>
      <c r="T1532" s="39" t="n">
        <f aca="false">Resumo!$C$14*CEILING(I1532,1)</f>
        <v>30.15</v>
      </c>
      <c r="U1532" s="39" t="n">
        <f aca="false">SUM(M1532:T1532)*Resumo!$C$11</f>
        <v>0</v>
      </c>
      <c r="V1532" s="39" t="n">
        <f aca="false">SUM(M1532:U1532)</f>
        <v>110.3876</v>
      </c>
      <c r="W1532" s="39" t="n">
        <f aca="false">V1532/(1-Resumo!$C$5)</f>
        <v>125.440454545455</v>
      </c>
      <c r="X1532" s="39" t="n">
        <v>131.02</v>
      </c>
      <c r="Y1532" s="39" t="n">
        <f aca="false">J1532*Resumo!$B$6</f>
        <v>0.578</v>
      </c>
      <c r="Z1532" s="39" t="n">
        <f aca="false">J1532*Resumo!$B$7</f>
        <v>1.156</v>
      </c>
      <c r="AA1532" s="39" t="n">
        <f aca="false">Resumo!$B$9</f>
        <v>1</v>
      </c>
      <c r="AB1532" s="39" t="n">
        <f aca="false">Resumo!$B$10*CEILING(I1532/100,1)</f>
        <v>4.5</v>
      </c>
      <c r="AC1532" s="39" t="n">
        <f aca="false">Resumo!$B$12*CEILING(I1532,1)</f>
        <v>4.02</v>
      </c>
      <c r="AD1532" s="39" t="n">
        <f aca="false">Resumo!$B$14*CEILING(I1532,1)</f>
        <v>30.15</v>
      </c>
      <c r="AE1532" s="39" t="n">
        <f aca="false">SUM(X1532:AD1532)</f>
        <v>172.424</v>
      </c>
      <c r="AF1532" s="39" t="n">
        <f aca="false">AE1532/(1-Resumo!$B$5)</f>
        <v>195.936363636364</v>
      </c>
      <c r="AG1532" s="39" t="n">
        <f aca="false">AF1532-W1532</f>
        <v>70.4959090909091</v>
      </c>
      <c r="AH1532" s="40" t="n">
        <f aca="false">AF1532/W1532-1</f>
        <v>0.561987034775645</v>
      </c>
      <c r="AI1532" s="37" t="str">
        <f aca="false">IF(AF1532&lt;W1532,"SIM","NÃO")</f>
        <v>NÃO</v>
      </c>
      <c r="AJ1532" s="37" t="n">
        <v>2</v>
      </c>
      <c r="AK1532" s="37" t="n">
        <v>5</v>
      </c>
      <c r="AL1532" s="37" t="s">
        <v>343</v>
      </c>
      <c r="AM1532" s="39" t="n">
        <v>123.98</v>
      </c>
    </row>
    <row r="1533" customFormat="false" ht="15" hidden="false" customHeight="false" outlineLevel="0" collapsed="false">
      <c r="A1533" s="37" t="n">
        <v>387612653</v>
      </c>
      <c r="B1533" s="38" t="n">
        <v>46267.6424421296</v>
      </c>
      <c r="C1533" s="37" t="s">
        <v>340</v>
      </c>
      <c r="D1533" s="37" t="s">
        <v>1750</v>
      </c>
      <c r="E1533" s="37" t="n">
        <v>28995104</v>
      </c>
      <c r="F1533" s="37" t="s">
        <v>295</v>
      </c>
      <c r="G1533" s="37" t="s">
        <v>198</v>
      </c>
      <c r="H1533" s="37" t="s">
        <v>185</v>
      </c>
      <c r="I1533" s="37" t="n">
        <v>38.2</v>
      </c>
      <c r="J1533" s="39" t="n">
        <v>668.2</v>
      </c>
      <c r="K1533" s="37" t="s">
        <v>342</v>
      </c>
      <c r="L1533" s="39" t="n">
        <v>123.45</v>
      </c>
      <c r="M1533" s="39" t="n">
        <v>74.97</v>
      </c>
      <c r="N1533" s="39" t="n">
        <f aca="false">J1533*Resumo!$C$6</f>
        <v>0</v>
      </c>
      <c r="O1533" s="39" t="n">
        <f aca="false">J1533*Resumo!$C$7</f>
        <v>1.40322</v>
      </c>
      <c r="P1533" s="39" t="n">
        <f aca="false">J1533*Resumo!$C$8</f>
        <v>1.40322</v>
      </c>
      <c r="Q1533" s="39" t="n">
        <f aca="false">Resumo!$C$10*CEILING(I1533/100,1)</f>
        <v>1.05</v>
      </c>
      <c r="R1533" s="39" t="n">
        <f aca="false">Resumo!$C$9</f>
        <v>0</v>
      </c>
      <c r="S1533" s="39" t="n">
        <f aca="false">Resumo!$C$13</f>
        <v>13.55</v>
      </c>
      <c r="T1533" s="39" t="n">
        <f aca="false">Resumo!$C$14*CEILING(I1533,1)</f>
        <v>17.55</v>
      </c>
      <c r="U1533" s="39" t="n">
        <f aca="false">SUM(M1533:T1533)*Resumo!$C$11</f>
        <v>0</v>
      </c>
      <c r="V1533" s="39" t="n">
        <f aca="false">SUM(M1533:U1533)</f>
        <v>109.92644</v>
      </c>
      <c r="W1533" s="39" t="n">
        <f aca="false">V1533/(1-Resumo!$C$5)</f>
        <v>124.916409090909</v>
      </c>
      <c r="X1533" s="39" t="n">
        <v>124.38</v>
      </c>
      <c r="Y1533" s="39" t="n">
        <f aca="false">J1533*Resumo!$B$6</f>
        <v>0.6682</v>
      </c>
      <c r="Z1533" s="39" t="n">
        <f aca="false">J1533*Resumo!$B$7</f>
        <v>1.3364</v>
      </c>
      <c r="AA1533" s="39" t="n">
        <f aca="false">Resumo!$B$9</f>
        <v>1</v>
      </c>
      <c r="AB1533" s="39" t="n">
        <f aca="false">Resumo!$B$10*CEILING(I1533/100,1)</f>
        <v>4.5</v>
      </c>
      <c r="AC1533" s="39" t="n">
        <f aca="false">Resumo!$B$12*CEILING(I1533,1)</f>
        <v>2.34</v>
      </c>
      <c r="AD1533" s="39" t="n">
        <f aca="false">Resumo!$B$14*CEILING(I1533,1)</f>
        <v>17.55</v>
      </c>
      <c r="AE1533" s="39" t="n">
        <f aca="false">SUM(X1533:AD1533)</f>
        <v>151.7746</v>
      </c>
      <c r="AF1533" s="39" t="n">
        <f aca="false">AE1533/(1-Resumo!$B$5)</f>
        <v>172.471136363636</v>
      </c>
      <c r="AG1533" s="39" t="n">
        <f aca="false">AF1533-W1533</f>
        <v>47.5547272727273</v>
      </c>
      <c r="AH1533" s="40" t="n">
        <f aca="false">AF1533/W1533-1</f>
        <v>0.380692397570594</v>
      </c>
      <c r="AI1533" s="37" t="str">
        <f aca="false">IF(AF1533&lt;W1533,"SIM","NÃO")</f>
        <v>NÃO</v>
      </c>
      <c r="AJ1533" s="37" t="n">
        <v>13</v>
      </c>
      <c r="AK1533" s="37" t="n">
        <v>10</v>
      </c>
      <c r="AL1533" s="37" t="s">
        <v>347</v>
      </c>
      <c r="AM1533" s="39" t="n">
        <v>123.45</v>
      </c>
    </row>
    <row r="1534" customFormat="false" ht="15" hidden="false" customHeight="false" outlineLevel="0" collapsed="false">
      <c r="A1534" s="37" t="n">
        <v>387627365</v>
      </c>
      <c r="B1534" s="38" t="n">
        <v>46267.6710069445</v>
      </c>
      <c r="C1534" s="37" t="s">
        <v>340</v>
      </c>
      <c r="D1534" s="37" t="s">
        <v>1751</v>
      </c>
      <c r="E1534" s="37" t="n">
        <v>28928420</v>
      </c>
      <c r="F1534" s="37" t="s">
        <v>172</v>
      </c>
      <c r="G1534" s="37" t="s">
        <v>198</v>
      </c>
      <c r="H1534" s="37" t="s">
        <v>185</v>
      </c>
      <c r="I1534" s="37" t="n">
        <v>37.2</v>
      </c>
      <c r="J1534" s="39" t="n">
        <v>366.5</v>
      </c>
      <c r="K1534" s="37" t="s">
        <v>342</v>
      </c>
      <c r="L1534" s="39" t="n">
        <v>122</v>
      </c>
      <c r="M1534" s="39" t="n">
        <v>74.97</v>
      </c>
      <c r="N1534" s="39" t="n">
        <f aca="false">J1534*Resumo!$C$6</f>
        <v>0</v>
      </c>
      <c r="O1534" s="39" t="n">
        <f aca="false">J1534*Resumo!$C$7</f>
        <v>0.76965</v>
      </c>
      <c r="P1534" s="39" t="n">
        <f aca="false">J1534*Resumo!$C$8</f>
        <v>0.76965</v>
      </c>
      <c r="Q1534" s="39" t="n">
        <f aca="false">Resumo!$C$10*CEILING(I1534/100,1)</f>
        <v>1.05</v>
      </c>
      <c r="R1534" s="39" t="n">
        <f aca="false">Resumo!$C$9</f>
        <v>0</v>
      </c>
      <c r="S1534" s="39" t="n">
        <f aca="false">Resumo!$C$13</f>
        <v>13.55</v>
      </c>
      <c r="T1534" s="39" t="n">
        <f aca="false">Resumo!$C$14*CEILING(I1534,1)</f>
        <v>17.1</v>
      </c>
      <c r="U1534" s="39" t="n">
        <f aca="false">SUM(M1534:T1534)*Resumo!$C$11</f>
        <v>0</v>
      </c>
      <c r="V1534" s="39" t="n">
        <f aca="false">SUM(M1534:U1534)</f>
        <v>108.2093</v>
      </c>
      <c r="W1534" s="39" t="n">
        <f aca="false">V1534/(1-Resumo!$C$5)</f>
        <v>122.965113636364</v>
      </c>
      <c r="X1534" s="39" t="n">
        <v>124.38</v>
      </c>
      <c r="Y1534" s="39" t="n">
        <f aca="false">J1534*Resumo!$B$6</f>
        <v>0.3665</v>
      </c>
      <c r="Z1534" s="39" t="n">
        <f aca="false">J1534*Resumo!$B$7</f>
        <v>0.733</v>
      </c>
      <c r="AA1534" s="39" t="n">
        <f aca="false">Resumo!$B$9</f>
        <v>1</v>
      </c>
      <c r="AB1534" s="39" t="n">
        <f aca="false">Resumo!$B$10*CEILING(I1534/100,1)</f>
        <v>4.5</v>
      </c>
      <c r="AC1534" s="39" t="n">
        <f aca="false">Resumo!$B$12*CEILING(I1534,1)</f>
        <v>2.28</v>
      </c>
      <c r="AD1534" s="39" t="n">
        <f aca="false">Resumo!$B$14*CEILING(I1534,1)</f>
        <v>17.1</v>
      </c>
      <c r="AE1534" s="39" t="n">
        <f aca="false">SUM(X1534:AD1534)</f>
        <v>150.3595</v>
      </c>
      <c r="AF1534" s="39" t="n">
        <f aca="false">AE1534/(1-Resumo!$B$5)</f>
        <v>170.863068181818</v>
      </c>
      <c r="AG1534" s="39" t="n">
        <f aca="false">AF1534-W1534</f>
        <v>47.8979545454545</v>
      </c>
      <c r="AH1534" s="40" t="n">
        <f aca="false">AF1534/W1534-1</f>
        <v>0.389524745100467</v>
      </c>
      <c r="AI1534" s="37" t="str">
        <f aca="false">IF(AF1534&lt;W1534,"SIM","NÃO")</f>
        <v>NÃO</v>
      </c>
      <c r="AJ1534" s="37" t="n">
        <v>13</v>
      </c>
      <c r="AK1534" s="37" t="n">
        <v>10</v>
      </c>
      <c r="AL1534" s="37" t="s">
        <v>343</v>
      </c>
      <c r="AM1534" s="39" t="n">
        <v>122</v>
      </c>
    </row>
    <row r="1535" customFormat="false" ht="15" hidden="false" customHeight="false" outlineLevel="0" collapsed="false">
      <c r="A1535" s="37" t="n">
        <v>387649354</v>
      </c>
      <c r="B1535" s="38" t="n">
        <v>46267.7211226852</v>
      </c>
      <c r="C1535" s="37" t="s">
        <v>361</v>
      </c>
      <c r="D1535" s="37" t="s">
        <v>1752</v>
      </c>
      <c r="E1535" s="37" t="n">
        <v>21760320</v>
      </c>
      <c r="F1535" s="37" t="s">
        <v>159</v>
      </c>
      <c r="G1535" s="37" t="s">
        <v>196</v>
      </c>
      <c r="H1535" s="37" t="s">
        <v>185</v>
      </c>
      <c r="I1535" s="37" t="n">
        <v>37.2</v>
      </c>
      <c r="J1535" s="39" t="n">
        <v>433.49</v>
      </c>
      <c r="K1535" s="37" t="s">
        <v>342</v>
      </c>
      <c r="L1535" s="39" t="n">
        <v>91.94</v>
      </c>
      <c r="M1535" s="39" t="n">
        <v>48.35</v>
      </c>
      <c r="N1535" s="39" t="n">
        <f aca="false">J1535*Resumo!$C$6</f>
        <v>0</v>
      </c>
      <c r="O1535" s="39" t="n">
        <f aca="false">J1535*Resumo!$C$7</f>
        <v>0.910329</v>
      </c>
      <c r="P1535" s="39" t="n">
        <f aca="false">J1535*Resumo!$C$8</f>
        <v>0.910329</v>
      </c>
      <c r="Q1535" s="39" t="n">
        <f aca="false">Resumo!$C$10*CEILING(I1535/100,1)</f>
        <v>1.05</v>
      </c>
      <c r="R1535" s="39" t="n">
        <f aca="false">Resumo!$C$9</f>
        <v>0</v>
      </c>
      <c r="S1535" s="39" t="n">
        <f aca="false">Resumo!$C$13</f>
        <v>13.55</v>
      </c>
      <c r="T1535" s="39" t="n">
        <f aca="false">Resumo!$C$14*CEILING(I1535,1)</f>
        <v>17.1</v>
      </c>
      <c r="U1535" s="39" t="n">
        <f aca="false">SUM(M1535:T1535)*Resumo!$C$11</f>
        <v>0</v>
      </c>
      <c r="V1535" s="39" t="n">
        <f aca="false">SUM(M1535:U1535)</f>
        <v>81.870658</v>
      </c>
      <c r="W1535" s="39" t="n">
        <f aca="false">V1535/(1-Resumo!$C$5)</f>
        <v>93.0348386363636</v>
      </c>
      <c r="X1535" s="39" t="n">
        <v>93.97</v>
      </c>
      <c r="Y1535" s="39" t="n">
        <f aca="false">J1535*Resumo!$B$6</f>
        <v>0.43349</v>
      </c>
      <c r="Z1535" s="39" t="n">
        <f aca="false">J1535*Resumo!$B$7</f>
        <v>0.86698</v>
      </c>
      <c r="AA1535" s="39" t="n">
        <f aca="false">Resumo!$B$9</f>
        <v>1</v>
      </c>
      <c r="AB1535" s="39" t="n">
        <f aca="false">Resumo!$B$10*CEILING(I1535/100,1)</f>
        <v>4.5</v>
      </c>
      <c r="AC1535" s="39" t="n">
        <f aca="false">Resumo!$B$12*CEILING(I1535,1)</f>
        <v>2.28</v>
      </c>
      <c r="AD1535" s="39" t="n">
        <f aca="false">Resumo!$B$14*CEILING(I1535,1)</f>
        <v>17.1</v>
      </c>
      <c r="AE1535" s="39" t="n">
        <f aca="false">SUM(X1535:AD1535)</f>
        <v>120.15047</v>
      </c>
      <c r="AF1535" s="39" t="n">
        <f aca="false">AE1535/(1-Resumo!$B$5)</f>
        <v>136.534625</v>
      </c>
      <c r="AG1535" s="39" t="n">
        <f aca="false">AF1535-W1535</f>
        <v>43.4997863636364</v>
      </c>
      <c r="AH1535" s="40" t="n">
        <f aca="false">AF1535/W1535-1</f>
        <v>0.467564484457912</v>
      </c>
      <c r="AI1535" s="37" t="str">
        <f aca="false">IF(AF1535&lt;W1535,"SIM","NÃO")</f>
        <v>NÃO</v>
      </c>
      <c r="AJ1535" s="37" t="n">
        <v>2</v>
      </c>
      <c r="AK1535" s="37" t="n">
        <v>5</v>
      </c>
      <c r="AL1535" s="37" t="s">
        <v>343</v>
      </c>
      <c r="AM1535" s="39" t="n">
        <v>91.93</v>
      </c>
    </row>
    <row r="1536" customFormat="false" ht="15" hidden="false" customHeight="false" outlineLevel="0" collapsed="false">
      <c r="A1536" s="37" t="n">
        <v>387664888</v>
      </c>
      <c r="B1536" s="38" t="n">
        <v>46267.750462963</v>
      </c>
      <c r="C1536" s="37" t="s">
        <v>340</v>
      </c>
      <c r="D1536" s="37" t="s">
        <v>1753</v>
      </c>
      <c r="E1536" s="37" t="n">
        <v>24722045</v>
      </c>
      <c r="F1536" s="37" t="s">
        <v>160</v>
      </c>
      <c r="G1536" s="37" t="s">
        <v>197</v>
      </c>
      <c r="H1536" s="37" t="s">
        <v>184</v>
      </c>
      <c r="I1536" s="37" t="n">
        <v>29.2</v>
      </c>
      <c r="J1536" s="39" t="n">
        <v>449.99</v>
      </c>
      <c r="K1536" s="37" t="s">
        <v>342</v>
      </c>
      <c r="L1536" s="39" t="n">
        <v>101.55</v>
      </c>
      <c r="M1536" s="39" t="n">
        <v>58.8</v>
      </c>
      <c r="N1536" s="39" t="n">
        <f aca="false">J1536*Resumo!$C$6</f>
        <v>0</v>
      </c>
      <c r="O1536" s="39" t="n">
        <f aca="false">J1536*Resumo!$C$7</f>
        <v>0.944979</v>
      </c>
      <c r="P1536" s="39" t="n">
        <f aca="false">J1536*Resumo!$C$8</f>
        <v>0.944979</v>
      </c>
      <c r="Q1536" s="39" t="n">
        <f aca="false">Resumo!$C$10*CEILING(I1536/100,1)</f>
        <v>1.05</v>
      </c>
      <c r="R1536" s="39" t="n">
        <f aca="false">Resumo!$C$9</f>
        <v>0</v>
      </c>
      <c r="S1536" s="39" t="n">
        <f aca="false">Resumo!$C$13</f>
        <v>13.55</v>
      </c>
      <c r="T1536" s="39" t="n">
        <f aca="false">Resumo!$C$14*CEILING(I1536,1)</f>
        <v>13.5</v>
      </c>
      <c r="U1536" s="39" t="n">
        <f aca="false">SUM(M1536:T1536)*Resumo!$C$11</f>
        <v>0</v>
      </c>
      <c r="V1536" s="39" t="n">
        <f aca="false">SUM(M1536:U1536)</f>
        <v>88.789958</v>
      </c>
      <c r="W1536" s="39" t="n">
        <f aca="false">V1536/(1-Resumo!$C$5)</f>
        <v>100.897679545455</v>
      </c>
      <c r="X1536" s="39" t="n">
        <v>100.58</v>
      </c>
      <c r="Y1536" s="39" t="n">
        <f aca="false">J1536*Resumo!$B$6</f>
        <v>0.44999</v>
      </c>
      <c r="Z1536" s="39" t="n">
        <f aca="false">J1536*Resumo!$B$7</f>
        <v>0.89998</v>
      </c>
      <c r="AA1536" s="39" t="n">
        <f aca="false">Resumo!$B$9</f>
        <v>1</v>
      </c>
      <c r="AB1536" s="39" t="n">
        <f aca="false">Resumo!$B$10*CEILING(I1536/100,1)</f>
        <v>4.5</v>
      </c>
      <c r="AC1536" s="39" t="n">
        <f aca="false">Resumo!$B$12*CEILING(I1536,1)</f>
        <v>1.8</v>
      </c>
      <c r="AD1536" s="39" t="n">
        <f aca="false">Resumo!$B$14*CEILING(I1536,1)</f>
        <v>13.5</v>
      </c>
      <c r="AE1536" s="39" t="n">
        <f aca="false">SUM(X1536:AD1536)</f>
        <v>122.72997</v>
      </c>
      <c r="AF1536" s="39" t="n">
        <f aca="false">AE1536/(1-Resumo!$B$5)</f>
        <v>139.465875</v>
      </c>
      <c r="AG1536" s="39" t="n">
        <f aca="false">AF1536-W1536</f>
        <v>38.5681954545454</v>
      </c>
      <c r="AH1536" s="40" t="n">
        <f aca="false">AF1536/W1536-1</f>
        <v>0.38225056937182</v>
      </c>
      <c r="AI1536" s="37" t="str">
        <f aca="false">IF(AF1536&lt;W1536,"SIM","NÃO")</f>
        <v>NÃO</v>
      </c>
      <c r="AJ1536" s="37" t="n">
        <v>2</v>
      </c>
      <c r="AK1536" s="37" t="n">
        <v>7</v>
      </c>
      <c r="AL1536" s="37" t="s">
        <v>343</v>
      </c>
      <c r="AM1536" s="39" t="n">
        <v>101.54</v>
      </c>
    </row>
    <row r="1537" customFormat="false" ht="15" hidden="false" customHeight="false" outlineLevel="0" collapsed="false">
      <c r="A1537" s="37" t="n">
        <v>387693273</v>
      </c>
      <c r="B1537" s="38" t="n">
        <v>46267.7950462963</v>
      </c>
      <c r="C1537" s="37" t="s">
        <v>340</v>
      </c>
      <c r="D1537" s="37" t="s">
        <v>1754</v>
      </c>
      <c r="E1537" s="37" t="n">
        <v>28899401</v>
      </c>
      <c r="F1537" s="37" t="s">
        <v>178</v>
      </c>
      <c r="G1537" s="37" t="s">
        <v>198</v>
      </c>
      <c r="H1537" s="37" t="s">
        <v>188</v>
      </c>
      <c r="I1537" s="37" t="n">
        <v>69</v>
      </c>
      <c r="J1537" s="39" t="n">
        <v>709.89</v>
      </c>
      <c r="K1537" s="37" t="s">
        <v>342</v>
      </c>
      <c r="L1537" s="39" t="n">
        <v>155.42</v>
      </c>
      <c r="M1537" s="39" t="n">
        <v>90.2</v>
      </c>
      <c r="N1537" s="39" t="n">
        <f aca="false">J1537*Resumo!$C$6</f>
        <v>0</v>
      </c>
      <c r="O1537" s="39" t="n">
        <f aca="false">J1537*Resumo!$C$7</f>
        <v>1.490769</v>
      </c>
      <c r="P1537" s="39" t="n">
        <f aca="false">J1537*Resumo!$C$8</f>
        <v>1.490769</v>
      </c>
      <c r="Q1537" s="39" t="n">
        <f aca="false">Resumo!$C$10*CEILING(I1537/100,1)</f>
        <v>1.05</v>
      </c>
      <c r="R1537" s="39" t="n">
        <f aca="false">Resumo!$C$9</f>
        <v>0</v>
      </c>
      <c r="S1537" s="39" t="n">
        <f aca="false">Resumo!$C$13</f>
        <v>13.55</v>
      </c>
      <c r="T1537" s="39" t="n">
        <f aca="false">Resumo!$C$14*CEILING(I1537,1)</f>
        <v>31.05</v>
      </c>
      <c r="U1537" s="39" t="n">
        <f aca="false">SUM(M1537:T1537)*Resumo!$C$11</f>
        <v>0</v>
      </c>
      <c r="V1537" s="39" t="n">
        <f aca="false">SUM(M1537:U1537)</f>
        <v>138.831538</v>
      </c>
      <c r="W1537" s="39" t="n">
        <f aca="false">V1537/(1-Resumo!$C$5)</f>
        <v>157.763111363636</v>
      </c>
      <c r="X1537" s="39" t="n">
        <v>166.05</v>
      </c>
      <c r="Y1537" s="39" t="n">
        <f aca="false">J1537*Resumo!$B$6</f>
        <v>0.70989</v>
      </c>
      <c r="Z1537" s="39" t="n">
        <f aca="false">J1537*Resumo!$B$7</f>
        <v>1.41978</v>
      </c>
      <c r="AA1537" s="39" t="n">
        <f aca="false">Resumo!$B$9</f>
        <v>1</v>
      </c>
      <c r="AB1537" s="39" t="n">
        <f aca="false">Resumo!$B$10*CEILING(I1537/100,1)</f>
        <v>4.5</v>
      </c>
      <c r="AC1537" s="39" t="n">
        <f aca="false">Resumo!$B$12*CEILING(I1537,1)</f>
        <v>4.14</v>
      </c>
      <c r="AD1537" s="39" t="n">
        <f aca="false">Resumo!$B$14*CEILING(I1537,1)</f>
        <v>31.05</v>
      </c>
      <c r="AE1537" s="39" t="n">
        <f aca="false">SUM(X1537:AD1537)</f>
        <v>208.86967</v>
      </c>
      <c r="AF1537" s="39" t="n">
        <f aca="false">AE1537/(1-Resumo!$B$5)</f>
        <v>237.351897727273</v>
      </c>
      <c r="AG1537" s="39" t="n">
        <f aca="false">AF1537-W1537</f>
        <v>79.5887863636364</v>
      </c>
      <c r="AH1537" s="40" t="n">
        <f aca="false">AF1537/W1537-1</f>
        <v>0.504482864693179</v>
      </c>
      <c r="AI1537" s="37" t="str">
        <f aca="false">IF(AF1537&lt;W1537,"SIM","NÃO")</f>
        <v>NÃO</v>
      </c>
      <c r="AJ1537" s="37" t="n">
        <v>13</v>
      </c>
      <c r="AK1537" s="37" t="n">
        <v>10</v>
      </c>
      <c r="AL1537" s="37" t="s">
        <v>343</v>
      </c>
      <c r="AM1537" s="39" t="n">
        <v>155.42</v>
      </c>
    </row>
    <row r="1538" customFormat="false" ht="15" hidden="false" customHeight="false" outlineLevel="0" collapsed="false">
      <c r="A1538" s="37" t="n">
        <v>387733956</v>
      </c>
      <c r="B1538" s="38" t="n">
        <v>46267.8742592593</v>
      </c>
      <c r="C1538" s="37" t="s">
        <v>340</v>
      </c>
      <c r="D1538" s="37" t="s">
        <v>1755</v>
      </c>
      <c r="E1538" s="37" t="n">
        <v>25570681</v>
      </c>
      <c r="F1538" s="37" t="s">
        <v>167</v>
      </c>
      <c r="G1538" s="37" t="s">
        <v>197</v>
      </c>
      <c r="H1538" s="37" t="s">
        <v>186</v>
      </c>
      <c r="I1538" s="37" t="n">
        <v>46.8</v>
      </c>
      <c r="J1538" s="39" t="n">
        <v>559.99</v>
      </c>
      <c r="K1538" s="37" t="s">
        <v>342</v>
      </c>
      <c r="L1538" s="39" t="n">
        <v>116.76</v>
      </c>
      <c r="M1538" s="39" t="n">
        <v>65.36</v>
      </c>
      <c r="N1538" s="39" t="n">
        <f aca="false">J1538*Resumo!$C$6</f>
        <v>0</v>
      </c>
      <c r="O1538" s="39" t="n">
        <f aca="false">J1538*Resumo!$C$7</f>
        <v>1.175979</v>
      </c>
      <c r="P1538" s="39" t="n">
        <f aca="false">J1538*Resumo!$C$8</f>
        <v>1.175979</v>
      </c>
      <c r="Q1538" s="39" t="n">
        <f aca="false">Resumo!$C$10*CEILING(I1538/100,1)</f>
        <v>1.05</v>
      </c>
      <c r="R1538" s="39" t="n">
        <f aca="false">Resumo!$C$9</f>
        <v>0</v>
      </c>
      <c r="S1538" s="39" t="n">
        <f aca="false">Resumo!$C$13</f>
        <v>13.55</v>
      </c>
      <c r="T1538" s="39" t="n">
        <f aca="false">Resumo!$C$14*CEILING(I1538,1)</f>
        <v>21.15</v>
      </c>
      <c r="U1538" s="39" t="n">
        <f aca="false">SUM(M1538:T1538)*Resumo!$C$11</f>
        <v>0</v>
      </c>
      <c r="V1538" s="39" t="n">
        <f aca="false">SUM(M1538:U1538)</f>
        <v>103.461958</v>
      </c>
      <c r="W1538" s="39" t="n">
        <f aca="false">V1538/(1-Resumo!$C$5)</f>
        <v>117.570406818182</v>
      </c>
      <c r="X1538" s="39" t="n">
        <v>93.97</v>
      </c>
      <c r="Y1538" s="39" t="n">
        <f aca="false">J1538*Resumo!$B$6</f>
        <v>0.55999</v>
      </c>
      <c r="Z1538" s="39" t="n">
        <f aca="false">J1538*Resumo!$B$7</f>
        <v>1.11998</v>
      </c>
      <c r="AA1538" s="39" t="n">
        <f aca="false">Resumo!$B$9</f>
        <v>1</v>
      </c>
      <c r="AB1538" s="39" t="n">
        <f aca="false">Resumo!$B$10*CEILING(I1538/100,1)</f>
        <v>4.5</v>
      </c>
      <c r="AC1538" s="39" t="n">
        <f aca="false">Resumo!$B$12*CEILING(I1538,1)</f>
        <v>2.82</v>
      </c>
      <c r="AD1538" s="39" t="n">
        <f aca="false">Resumo!$B$14*CEILING(I1538,1)</f>
        <v>21.15</v>
      </c>
      <c r="AE1538" s="39" t="n">
        <f aca="false">SUM(X1538:AD1538)</f>
        <v>125.11997</v>
      </c>
      <c r="AF1538" s="39" t="n">
        <f aca="false">AE1538/(1-Resumo!$B$5)</f>
        <v>142.181784090909</v>
      </c>
      <c r="AG1538" s="39" t="n">
        <f aca="false">AF1538-W1538</f>
        <v>24.6113772727273</v>
      </c>
      <c r="AH1538" s="40" t="n">
        <f aca="false">AF1538/W1538-1</f>
        <v>0.209333096131817</v>
      </c>
      <c r="AI1538" s="37" t="str">
        <f aca="false">IF(AF1538&lt;W1538,"SIM","NÃO")</f>
        <v>NÃO</v>
      </c>
      <c r="AJ1538" s="37" t="n">
        <v>2</v>
      </c>
      <c r="AK1538" s="37" t="n">
        <v>5</v>
      </c>
      <c r="AL1538" s="37" t="s">
        <v>343</v>
      </c>
      <c r="AM1538" s="39" t="n">
        <v>116.76</v>
      </c>
    </row>
    <row r="1539" customFormat="false" ht="15" hidden="false" customHeight="false" outlineLevel="0" collapsed="false">
      <c r="A1539" s="37" t="n">
        <v>387745205</v>
      </c>
      <c r="B1539" s="38" t="n">
        <v>46267.875775463</v>
      </c>
      <c r="C1539" s="37" t="s">
        <v>537</v>
      </c>
      <c r="D1539" s="37" t="s">
        <v>1756</v>
      </c>
      <c r="E1539" s="37" t="n">
        <v>22245100</v>
      </c>
      <c r="F1539" s="37" t="s">
        <v>159</v>
      </c>
      <c r="G1539" s="37" t="s">
        <v>196</v>
      </c>
      <c r="H1539" s="37" t="s">
        <v>183</v>
      </c>
      <c r="I1539" s="37" t="n">
        <v>15.9</v>
      </c>
      <c r="J1539" s="39" t="n">
        <v>239.99</v>
      </c>
      <c r="K1539" s="37" t="s">
        <v>342</v>
      </c>
      <c r="L1539" s="39" t="n">
        <v>64.36</v>
      </c>
      <c r="M1539" s="39" t="n">
        <v>33.42</v>
      </c>
      <c r="N1539" s="39" t="n">
        <f aca="false">J1539*Resumo!$C$6</f>
        <v>0</v>
      </c>
      <c r="O1539" s="39" t="n">
        <f aca="false">J1539*Resumo!$C$7</f>
        <v>0.503979</v>
      </c>
      <c r="P1539" s="39" t="n">
        <f aca="false">J1539*Resumo!$C$8</f>
        <v>0.503979</v>
      </c>
      <c r="Q1539" s="39" t="n">
        <f aca="false">Resumo!$C$10*CEILING(I1539/100,1)</f>
        <v>1.05</v>
      </c>
      <c r="R1539" s="39" t="n">
        <f aca="false">Resumo!$C$9</f>
        <v>0</v>
      </c>
      <c r="S1539" s="39" t="n">
        <f aca="false">Resumo!$C$13</f>
        <v>13.55</v>
      </c>
      <c r="T1539" s="39" t="n">
        <f aca="false">Resumo!$C$14*CEILING(I1539,1)</f>
        <v>7.2</v>
      </c>
      <c r="U1539" s="39" t="n">
        <f aca="false">SUM(M1539:T1539)*Resumo!$C$11</f>
        <v>0</v>
      </c>
      <c r="V1539" s="39" t="n">
        <f aca="false">SUM(M1539:U1539)</f>
        <v>56.227958</v>
      </c>
      <c r="W1539" s="39" t="n">
        <f aca="false">V1539/(1-Resumo!$C$5)</f>
        <v>63.8954068181818</v>
      </c>
      <c r="X1539" s="39" t="n">
        <v>46.98</v>
      </c>
      <c r="Y1539" s="39" t="n">
        <f aca="false">J1539*Resumo!$B$6</f>
        <v>0.23999</v>
      </c>
      <c r="Z1539" s="39" t="n">
        <f aca="false">J1539*Resumo!$B$7</f>
        <v>0.47998</v>
      </c>
      <c r="AA1539" s="39" t="n">
        <f aca="false">Resumo!$B$9</f>
        <v>1</v>
      </c>
      <c r="AB1539" s="39" t="n">
        <f aca="false">Resumo!$B$10*CEILING(I1539/100,1)</f>
        <v>4.5</v>
      </c>
      <c r="AC1539" s="39" t="n">
        <f aca="false">Resumo!$B$12*CEILING(I1539,1)</f>
        <v>0.96</v>
      </c>
      <c r="AD1539" s="39" t="n">
        <f aca="false">Resumo!$B$14*CEILING(I1539,1)</f>
        <v>7.2</v>
      </c>
      <c r="AE1539" s="39" t="n">
        <f aca="false">SUM(X1539:AD1539)</f>
        <v>61.35997</v>
      </c>
      <c r="AF1539" s="39" t="n">
        <f aca="false">AE1539/(1-Resumo!$B$5)</f>
        <v>69.7272386363636</v>
      </c>
      <c r="AG1539" s="39" t="n">
        <f aca="false">AF1539-W1539</f>
        <v>5.83183181818181</v>
      </c>
      <c r="AH1539" s="40" t="n">
        <f aca="false">AF1539/W1539-1</f>
        <v>0.0912715343495134</v>
      </c>
      <c r="AI1539" s="37" t="str">
        <f aca="false">IF(AF1539&lt;W1539,"SIM","NÃO")</f>
        <v>NÃO</v>
      </c>
      <c r="AJ1539" s="37" t="n">
        <v>2</v>
      </c>
      <c r="AK1539" s="37" t="n">
        <v>5</v>
      </c>
      <c r="AL1539" s="37" t="s">
        <v>343</v>
      </c>
      <c r="AM1539" s="39" t="n">
        <v>64.37</v>
      </c>
    </row>
    <row r="1540" customFormat="false" ht="15" hidden="false" customHeight="false" outlineLevel="0" collapsed="false">
      <c r="A1540" s="37" t="n">
        <v>387758322</v>
      </c>
      <c r="B1540" s="38" t="n">
        <v>46267.9180787037</v>
      </c>
      <c r="C1540" s="37" t="s">
        <v>340</v>
      </c>
      <c r="D1540" s="37" t="s">
        <v>1757</v>
      </c>
      <c r="E1540" s="37" t="n">
        <v>26294312</v>
      </c>
      <c r="F1540" s="37" t="s">
        <v>162</v>
      </c>
      <c r="G1540" s="37" t="s">
        <v>197</v>
      </c>
      <c r="H1540" s="37" t="s">
        <v>184</v>
      </c>
      <c r="I1540" s="37" t="n">
        <v>33.3</v>
      </c>
      <c r="J1540" s="39" t="n">
        <v>389.99</v>
      </c>
      <c r="K1540" s="37" t="s">
        <v>342</v>
      </c>
      <c r="L1540" s="39" t="n">
        <v>101.26</v>
      </c>
      <c r="M1540" s="39" t="n">
        <v>58.8</v>
      </c>
      <c r="N1540" s="39" t="n">
        <f aca="false">J1540*Resumo!$C$6</f>
        <v>0</v>
      </c>
      <c r="O1540" s="39" t="n">
        <f aca="false">J1540*Resumo!$C$7</f>
        <v>0.818979</v>
      </c>
      <c r="P1540" s="39" t="n">
        <f aca="false">J1540*Resumo!$C$8</f>
        <v>0.818979</v>
      </c>
      <c r="Q1540" s="39" t="n">
        <f aca="false">Resumo!$C$10*CEILING(I1540/100,1)</f>
        <v>1.05</v>
      </c>
      <c r="R1540" s="39" t="n">
        <f aca="false">Resumo!$C$9</f>
        <v>0</v>
      </c>
      <c r="S1540" s="39" t="n">
        <f aca="false">Resumo!$C$13</f>
        <v>13.55</v>
      </c>
      <c r="T1540" s="39" t="n">
        <f aca="false">Resumo!$C$14*CEILING(I1540,1)</f>
        <v>15.3</v>
      </c>
      <c r="U1540" s="39" t="n">
        <f aca="false">SUM(M1540:T1540)*Resumo!$C$11</f>
        <v>0</v>
      </c>
      <c r="V1540" s="39" t="n">
        <f aca="false">SUM(M1540:U1540)</f>
        <v>90.337958</v>
      </c>
      <c r="W1540" s="39" t="n">
        <f aca="false">V1540/(1-Resumo!$C$5)</f>
        <v>102.656770454545</v>
      </c>
      <c r="X1540" s="39" t="n">
        <v>82.21</v>
      </c>
      <c r="Y1540" s="39" t="n">
        <f aca="false">J1540*Resumo!$B$6</f>
        <v>0.38999</v>
      </c>
      <c r="Z1540" s="39" t="n">
        <f aca="false">J1540*Resumo!$B$7</f>
        <v>0.77998</v>
      </c>
      <c r="AA1540" s="39" t="n">
        <f aca="false">Resumo!$B$9</f>
        <v>1</v>
      </c>
      <c r="AB1540" s="39" t="n">
        <f aca="false">Resumo!$B$10*CEILING(I1540/100,1)</f>
        <v>4.5</v>
      </c>
      <c r="AC1540" s="39" t="n">
        <f aca="false">Resumo!$B$12*CEILING(I1540,1)</f>
        <v>2.04</v>
      </c>
      <c r="AD1540" s="39" t="n">
        <f aca="false">Resumo!$B$14*CEILING(I1540,1)</f>
        <v>15.3</v>
      </c>
      <c r="AE1540" s="39" t="n">
        <f aca="false">SUM(X1540:AD1540)</f>
        <v>106.21997</v>
      </c>
      <c r="AF1540" s="39" t="n">
        <f aca="false">AE1540/(1-Resumo!$B$5)</f>
        <v>120.704511363636</v>
      </c>
      <c r="AG1540" s="39" t="n">
        <f aca="false">AF1540-W1540</f>
        <v>18.0477409090909</v>
      </c>
      <c r="AH1540" s="40" t="n">
        <f aca="false">AF1540/W1540-1</f>
        <v>0.175806630475309</v>
      </c>
      <c r="AI1540" s="37" t="str">
        <f aca="false">IF(AF1540&lt;W1540,"SIM","NÃO")</f>
        <v>NÃO</v>
      </c>
      <c r="AJ1540" s="37" t="n">
        <v>2</v>
      </c>
      <c r="AK1540" s="37" t="n">
        <v>5</v>
      </c>
      <c r="AL1540" s="37" t="s">
        <v>343</v>
      </c>
      <c r="AM1540" s="39" t="n">
        <v>101.26</v>
      </c>
    </row>
    <row r="1541" customFormat="false" ht="15" hidden="false" customHeight="false" outlineLevel="0" collapsed="false">
      <c r="A1541" s="37" t="n">
        <v>387763575</v>
      </c>
      <c r="B1541" s="38" t="n">
        <v>46267.9268518519</v>
      </c>
      <c r="C1541" s="37" t="s">
        <v>340</v>
      </c>
      <c r="D1541" s="37" t="s">
        <v>1758</v>
      </c>
      <c r="E1541" s="37" t="n">
        <v>21615310</v>
      </c>
      <c r="F1541" s="37" t="s">
        <v>159</v>
      </c>
      <c r="G1541" s="37" t="s">
        <v>196</v>
      </c>
      <c r="H1541" s="37" t="s">
        <v>184</v>
      </c>
      <c r="I1541" s="37" t="n">
        <v>21.1</v>
      </c>
      <c r="J1541" s="39" t="n">
        <v>599.99</v>
      </c>
      <c r="K1541" s="37" t="s">
        <v>342</v>
      </c>
      <c r="L1541" s="39" t="n">
        <v>83.2</v>
      </c>
      <c r="M1541" s="39" t="n">
        <v>42.11</v>
      </c>
      <c r="N1541" s="39" t="n">
        <f aca="false">J1541*Resumo!$C$6</f>
        <v>0</v>
      </c>
      <c r="O1541" s="39" t="n">
        <f aca="false">J1541*Resumo!$C$7</f>
        <v>1.259979</v>
      </c>
      <c r="P1541" s="39" t="n">
        <f aca="false">J1541*Resumo!$C$8</f>
        <v>1.259979</v>
      </c>
      <c r="Q1541" s="39" t="n">
        <f aca="false">Resumo!$C$10*CEILING(I1541/100,1)</f>
        <v>1.05</v>
      </c>
      <c r="R1541" s="39" t="n">
        <f aca="false">Resumo!$C$9</f>
        <v>0</v>
      </c>
      <c r="S1541" s="39" t="n">
        <f aca="false">Resumo!$C$13</f>
        <v>13.55</v>
      </c>
      <c r="T1541" s="39" t="n">
        <f aca="false">Resumo!$C$14*CEILING(I1541,1)</f>
        <v>9.9</v>
      </c>
      <c r="U1541" s="39" t="n">
        <f aca="false">SUM(M1541:T1541)*Resumo!$C$11</f>
        <v>0</v>
      </c>
      <c r="V1541" s="39" t="n">
        <f aca="false">SUM(M1541:U1541)</f>
        <v>69.129958</v>
      </c>
      <c r="W1541" s="39" t="n">
        <f aca="false">V1541/(1-Resumo!$C$5)</f>
        <v>78.5567704545455</v>
      </c>
      <c r="X1541" s="39" t="n">
        <v>82.21</v>
      </c>
      <c r="Y1541" s="39" t="n">
        <f aca="false">J1541*Resumo!$B$6</f>
        <v>0.59999</v>
      </c>
      <c r="Z1541" s="39" t="n">
        <f aca="false">J1541*Resumo!$B$7</f>
        <v>1.19998</v>
      </c>
      <c r="AA1541" s="39" t="n">
        <f aca="false">Resumo!$B$9</f>
        <v>1</v>
      </c>
      <c r="AB1541" s="39" t="n">
        <f aca="false">Resumo!$B$10*CEILING(I1541/100,1)</f>
        <v>4.5</v>
      </c>
      <c r="AC1541" s="39" t="n">
        <f aca="false">Resumo!$B$12*CEILING(I1541,1)</f>
        <v>1.32</v>
      </c>
      <c r="AD1541" s="39" t="n">
        <f aca="false">Resumo!$B$14*CEILING(I1541,1)</f>
        <v>9.9</v>
      </c>
      <c r="AE1541" s="39" t="n">
        <f aca="false">SUM(X1541:AD1541)</f>
        <v>100.72997</v>
      </c>
      <c r="AF1541" s="39" t="n">
        <f aca="false">AE1541/(1-Resumo!$B$5)</f>
        <v>114.465875</v>
      </c>
      <c r="AG1541" s="39" t="n">
        <f aca="false">AF1541-W1541</f>
        <v>35.9091045454545</v>
      </c>
      <c r="AH1541" s="40" t="n">
        <f aca="false">AF1541/W1541-1</f>
        <v>0.457110244447132</v>
      </c>
      <c r="AI1541" s="37" t="str">
        <f aca="false">IF(AF1541&lt;W1541,"SIM","NÃO")</f>
        <v>NÃO</v>
      </c>
      <c r="AJ1541" s="37" t="n">
        <v>2</v>
      </c>
      <c r="AK1541" s="37" t="n">
        <v>5</v>
      </c>
      <c r="AL1541" s="37" t="s">
        <v>343</v>
      </c>
      <c r="AM1541" s="39" t="n">
        <v>83.2</v>
      </c>
    </row>
    <row r="1542" customFormat="false" ht="15" hidden="false" customHeight="false" outlineLevel="0" collapsed="false">
      <c r="A1542" s="37" t="n">
        <v>387774790</v>
      </c>
      <c r="B1542" s="38" t="n">
        <v>46267.9458796296</v>
      </c>
      <c r="C1542" s="37" t="s">
        <v>340</v>
      </c>
      <c r="D1542" s="37" t="s">
        <v>1759</v>
      </c>
      <c r="E1542" s="37" t="n">
        <v>28633630</v>
      </c>
      <c r="F1542" s="37" t="s">
        <v>177</v>
      </c>
      <c r="G1542" s="37" t="s">
        <v>198</v>
      </c>
      <c r="H1542" s="37" t="s">
        <v>184</v>
      </c>
      <c r="I1542" s="37" t="n">
        <v>31.9</v>
      </c>
      <c r="J1542" s="39" t="n">
        <v>599.99</v>
      </c>
      <c r="K1542" s="37" t="s">
        <v>342</v>
      </c>
      <c r="L1542" s="39" t="n">
        <v>110.06</v>
      </c>
      <c r="M1542" s="39" t="n">
        <v>65.63</v>
      </c>
      <c r="N1542" s="39" t="n">
        <f aca="false">J1542*Resumo!$C$6</f>
        <v>0</v>
      </c>
      <c r="O1542" s="39" t="n">
        <f aca="false">J1542*Resumo!$C$7</f>
        <v>1.259979</v>
      </c>
      <c r="P1542" s="39" t="n">
        <f aca="false">J1542*Resumo!$C$8</f>
        <v>1.259979</v>
      </c>
      <c r="Q1542" s="39" t="n">
        <f aca="false">Resumo!$C$10*CEILING(I1542/100,1)</f>
        <v>1.05</v>
      </c>
      <c r="R1542" s="39" t="n">
        <f aca="false">Resumo!$C$9</f>
        <v>0</v>
      </c>
      <c r="S1542" s="39" t="n">
        <f aca="false">Resumo!$C$13</f>
        <v>13.55</v>
      </c>
      <c r="T1542" s="39" t="n">
        <f aca="false">Resumo!$C$14*CEILING(I1542,1)</f>
        <v>14.4</v>
      </c>
      <c r="U1542" s="39" t="n">
        <f aca="false">SUM(M1542:T1542)*Resumo!$C$11</f>
        <v>0</v>
      </c>
      <c r="V1542" s="39" t="n">
        <f aca="false">SUM(M1542:U1542)</f>
        <v>97.149958</v>
      </c>
      <c r="W1542" s="39" t="n">
        <f aca="false">V1542/(1-Resumo!$C$5)</f>
        <v>110.397679545455</v>
      </c>
      <c r="X1542" s="39" t="n">
        <v>120.78</v>
      </c>
      <c r="Y1542" s="39" t="n">
        <f aca="false">J1542*Resumo!$B$6</f>
        <v>0.59999</v>
      </c>
      <c r="Z1542" s="39" t="n">
        <f aca="false">J1542*Resumo!$B$7</f>
        <v>1.19998</v>
      </c>
      <c r="AA1542" s="39" t="n">
        <f aca="false">Resumo!$B$9</f>
        <v>1</v>
      </c>
      <c r="AB1542" s="39" t="n">
        <f aca="false">Resumo!$B$10*CEILING(I1542/100,1)</f>
        <v>4.5</v>
      </c>
      <c r="AC1542" s="39" t="n">
        <f aca="false">Resumo!$B$12*CEILING(I1542,1)</f>
        <v>1.92</v>
      </c>
      <c r="AD1542" s="39" t="n">
        <f aca="false">Resumo!$B$14*CEILING(I1542,1)</f>
        <v>14.4</v>
      </c>
      <c r="AE1542" s="39" t="n">
        <f aca="false">SUM(X1542:AD1542)</f>
        <v>144.39997</v>
      </c>
      <c r="AF1542" s="39" t="n">
        <f aca="false">AE1542/(1-Resumo!$B$5)</f>
        <v>164.090875</v>
      </c>
      <c r="AG1542" s="39" t="n">
        <f aca="false">AF1542-W1542</f>
        <v>53.6931954545454</v>
      </c>
      <c r="AH1542" s="40" t="n">
        <f aca="false">AF1542/W1542-1</f>
        <v>0.486361630748209</v>
      </c>
      <c r="AI1542" s="37" t="str">
        <f aca="false">IF(AF1542&lt;W1542,"SIM","NÃO")</f>
        <v>NÃO</v>
      </c>
      <c r="AJ1542" s="37" t="n">
        <v>13</v>
      </c>
      <c r="AK1542" s="37" t="n">
        <v>10</v>
      </c>
      <c r="AL1542" s="37" t="s">
        <v>343</v>
      </c>
      <c r="AM1542" s="39" t="n">
        <v>110.06</v>
      </c>
    </row>
    <row r="1543" customFormat="false" ht="15" hidden="false" customHeight="false" outlineLevel="0" collapsed="false">
      <c r="A1543" s="37" t="n">
        <v>387778300</v>
      </c>
      <c r="B1543" s="38" t="n">
        <v>46267.9532060185</v>
      </c>
      <c r="C1543" s="37" t="s">
        <v>340</v>
      </c>
      <c r="D1543" s="37" t="s">
        <v>1760</v>
      </c>
      <c r="E1543" s="37" t="n">
        <v>28499040</v>
      </c>
      <c r="F1543" s="37" t="s">
        <v>273</v>
      </c>
      <c r="G1543" s="37" t="s">
        <v>198</v>
      </c>
      <c r="H1543" s="37" t="s">
        <v>184</v>
      </c>
      <c r="I1543" s="37" t="n">
        <v>27.4</v>
      </c>
      <c r="J1543" s="39" t="n">
        <v>369.99</v>
      </c>
      <c r="K1543" s="37" t="s">
        <v>342</v>
      </c>
      <c r="L1543" s="39" t="n">
        <v>108.95</v>
      </c>
      <c r="M1543" s="39" t="n">
        <v>65.63</v>
      </c>
      <c r="N1543" s="39" t="n">
        <f aca="false">J1543*Resumo!$C$6</f>
        <v>0</v>
      </c>
      <c r="O1543" s="39" t="n">
        <f aca="false">J1543*Resumo!$C$7</f>
        <v>0.776979</v>
      </c>
      <c r="P1543" s="39" t="n">
        <f aca="false">J1543*Resumo!$C$8</f>
        <v>0.776979</v>
      </c>
      <c r="Q1543" s="39" t="n">
        <f aca="false">Resumo!$C$10*CEILING(I1543/100,1)</f>
        <v>1.05</v>
      </c>
      <c r="R1543" s="39" t="n">
        <f aca="false">Resumo!$C$9</f>
        <v>0</v>
      </c>
      <c r="S1543" s="39" t="n">
        <f aca="false">Resumo!$C$13</f>
        <v>13.55</v>
      </c>
      <c r="T1543" s="39" t="n">
        <f aca="false">Resumo!$C$14*CEILING(I1543,1)</f>
        <v>12.6</v>
      </c>
      <c r="U1543" s="39" t="n">
        <f aca="false">SUM(M1543:T1543)*Resumo!$C$11</f>
        <v>0</v>
      </c>
      <c r="V1543" s="39" t="n">
        <f aca="false">SUM(M1543:U1543)</f>
        <v>94.383958</v>
      </c>
      <c r="W1543" s="39" t="n">
        <f aca="false">V1543/(1-Resumo!$C$5)</f>
        <v>107.254497727273</v>
      </c>
      <c r="X1543" s="39" t="n">
        <v>138.29</v>
      </c>
      <c r="Y1543" s="39" t="n">
        <f aca="false">J1543*Resumo!$B$6</f>
        <v>0.36999</v>
      </c>
      <c r="Z1543" s="39" t="n">
        <f aca="false">J1543*Resumo!$B$7</f>
        <v>0.73998</v>
      </c>
      <c r="AA1543" s="39" t="n">
        <f aca="false">Resumo!$B$9</f>
        <v>1</v>
      </c>
      <c r="AB1543" s="39" t="n">
        <f aca="false">Resumo!$B$10*CEILING(I1543/100,1)</f>
        <v>4.5</v>
      </c>
      <c r="AC1543" s="39" t="n">
        <f aca="false">Resumo!$B$12*CEILING(I1543,1)</f>
        <v>1.68</v>
      </c>
      <c r="AD1543" s="39" t="n">
        <f aca="false">Resumo!$B$14*CEILING(I1543,1)</f>
        <v>12.6</v>
      </c>
      <c r="AE1543" s="39" t="n">
        <f aca="false">SUM(X1543:AD1543)</f>
        <v>159.17997</v>
      </c>
      <c r="AF1543" s="39" t="n">
        <f aca="false">AE1543/(1-Resumo!$B$5)</f>
        <v>180.886329545455</v>
      </c>
      <c r="AG1543" s="39" t="n">
        <f aca="false">AF1543-W1543</f>
        <v>73.6318318181818</v>
      </c>
      <c r="AH1543" s="40" t="n">
        <f aca="false">AF1543/W1543-1</f>
        <v>0.686515096135299</v>
      </c>
      <c r="AI1543" s="37" t="str">
        <f aca="false">IF(AF1543&lt;W1543,"SIM","NÃO")</f>
        <v>NÃO</v>
      </c>
      <c r="AJ1543" s="37" t="n">
        <v>13</v>
      </c>
      <c r="AK1543" s="37" t="n">
        <v>11</v>
      </c>
      <c r="AL1543" s="37" t="s">
        <v>347</v>
      </c>
      <c r="AM1543" s="39" t="n">
        <v>108.95</v>
      </c>
    </row>
    <row r="1544" customFormat="false" ht="15" hidden="false" customHeight="false" outlineLevel="0" collapsed="false">
      <c r="A1544" s="37" t="n">
        <v>387778874</v>
      </c>
      <c r="B1544" s="38" t="n">
        <v>46267.9546180556</v>
      </c>
      <c r="C1544" s="37" t="s">
        <v>340</v>
      </c>
      <c r="D1544" s="37" t="s">
        <v>731</v>
      </c>
      <c r="E1544" s="37" t="n">
        <v>24452005</v>
      </c>
      <c r="F1544" s="37" t="s">
        <v>160</v>
      </c>
      <c r="G1544" s="37" t="s">
        <v>197</v>
      </c>
      <c r="H1544" s="37" t="s">
        <v>185</v>
      </c>
      <c r="I1544" s="37" t="n">
        <v>35.4</v>
      </c>
      <c r="J1544" s="39" t="n">
        <v>539.99</v>
      </c>
      <c r="K1544" s="37" t="s">
        <v>342</v>
      </c>
      <c r="L1544" s="39" t="n">
        <v>113.55</v>
      </c>
      <c r="M1544" s="39" t="n">
        <v>66.83</v>
      </c>
      <c r="N1544" s="39" t="n">
        <f aca="false">J1544*Resumo!$C$6</f>
        <v>0</v>
      </c>
      <c r="O1544" s="39" t="n">
        <f aca="false">J1544*Resumo!$C$7</f>
        <v>1.133979</v>
      </c>
      <c r="P1544" s="39" t="n">
        <f aca="false">J1544*Resumo!$C$8</f>
        <v>1.133979</v>
      </c>
      <c r="Q1544" s="39" t="n">
        <f aca="false">Resumo!$C$10*CEILING(I1544/100,1)</f>
        <v>1.05</v>
      </c>
      <c r="R1544" s="39" t="n">
        <f aca="false">Resumo!$C$9</f>
        <v>0</v>
      </c>
      <c r="S1544" s="39" t="n">
        <f aca="false">Resumo!$C$13</f>
        <v>13.55</v>
      </c>
      <c r="T1544" s="39" t="n">
        <f aca="false">Resumo!$C$14*CEILING(I1544,1)</f>
        <v>16.2</v>
      </c>
      <c r="U1544" s="39" t="n">
        <f aca="false">SUM(M1544:T1544)*Resumo!$C$11</f>
        <v>0</v>
      </c>
      <c r="V1544" s="39" t="n">
        <f aca="false">SUM(M1544:U1544)</f>
        <v>99.897958</v>
      </c>
      <c r="W1544" s="39" t="n">
        <f aca="false">V1544/(1-Resumo!$C$5)</f>
        <v>113.520406818182</v>
      </c>
      <c r="X1544" s="39" t="n">
        <v>114.95</v>
      </c>
      <c r="Y1544" s="39" t="n">
        <f aca="false">J1544*Resumo!$B$6</f>
        <v>0.53999</v>
      </c>
      <c r="Z1544" s="39" t="n">
        <f aca="false">J1544*Resumo!$B$7</f>
        <v>1.07998</v>
      </c>
      <c r="AA1544" s="39" t="n">
        <f aca="false">Resumo!$B$9</f>
        <v>1</v>
      </c>
      <c r="AB1544" s="39" t="n">
        <f aca="false">Resumo!$B$10*CEILING(I1544/100,1)</f>
        <v>4.5</v>
      </c>
      <c r="AC1544" s="39" t="n">
        <f aca="false">Resumo!$B$12*CEILING(I1544,1)</f>
        <v>2.16</v>
      </c>
      <c r="AD1544" s="39" t="n">
        <f aca="false">Resumo!$B$14*CEILING(I1544,1)</f>
        <v>16.2</v>
      </c>
      <c r="AE1544" s="39" t="n">
        <f aca="false">SUM(X1544:AD1544)</f>
        <v>140.42997</v>
      </c>
      <c r="AF1544" s="39" t="n">
        <f aca="false">AE1544/(1-Resumo!$B$5)</f>
        <v>159.579511363636</v>
      </c>
      <c r="AG1544" s="39" t="n">
        <f aca="false">AF1544-W1544</f>
        <v>46.0591045454545</v>
      </c>
      <c r="AH1544" s="40" t="n">
        <f aca="false">AF1544/W1544-1</f>
        <v>0.405734139230353</v>
      </c>
      <c r="AI1544" s="37" t="str">
        <f aca="false">IF(AF1544&lt;W1544,"SIM","NÃO")</f>
        <v>NÃO</v>
      </c>
      <c r="AJ1544" s="37" t="n">
        <v>2</v>
      </c>
      <c r="AK1544" s="37" t="n">
        <v>7</v>
      </c>
      <c r="AL1544" s="37" t="s">
        <v>343</v>
      </c>
      <c r="AM1544" s="39" t="n">
        <v>113.54</v>
      </c>
    </row>
    <row r="1545" customFormat="false" ht="15" hidden="false" customHeight="false" outlineLevel="0" collapsed="false">
      <c r="A1545" s="37" t="n">
        <v>387790571</v>
      </c>
      <c r="B1545" s="38" t="n">
        <v>46267.9812268519</v>
      </c>
      <c r="C1545" s="37" t="s">
        <v>340</v>
      </c>
      <c r="D1545" s="37" t="s">
        <v>1761</v>
      </c>
      <c r="E1545" s="37" t="n">
        <v>22790693</v>
      </c>
      <c r="F1545" s="37" t="s">
        <v>159</v>
      </c>
      <c r="G1545" s="37" t="s">
        <v>196</v>
      </c>
      <c r="H1545" s="37" t="s">
        <v>185</v>
      </c>
      <c r="I1545" s="37" t="n">
        <v>37.6</v>
      </c>
      <c r="J1545" s="39" t="n">
        <v>391.9</v>
      </c>
      <c r="K1545" s="37" t="s">
        <v>342</v>
      </c>
      <c r="L1545" s="39" t="n">
        <v>91.73</v>
      </c>
      <c r="M1545" s="39" t="n">
        <v>48.35</v>
      </c>
      <c r="N1545" s="39" t="n">
        <f aca="false">J1545*Resumo!$C$6</f>
        <v>0</v>
      </c>
      <c r="O1545" s="39" t="n">
        <f aca="false">J1545*Resumo!$C$7</f>
        <v>0.82299</v>
      </c>
      <c r="P1545" s="39" t="n">
        <f aca="false">J1545*Resumo!$C$8</f>
        <v>0.82299</v>
      </c>
      <c r="Q1545" s="39" t="n">
        <f aca="false">Resumo!$C$10*CEILING(I1545/100,1)</f>
        <v>1.05</v>
      </c>
      <c r="R1545" s="39" t="n">
        <f aca="false">Resumo!$C$9</f>
        <v>0</v>
      </c>
      <c r="S1545" s="39" t="n">
        <f aca="false">Resumo!$C$13</f>
        <v>13.55</v>
      </c>
      <c r="T1545" s="39" t="n">
        <f aca="false">Resumo!$C$14*CEILING(I1545,1)</f>
        <v>17.1</v>
      </c>
      <c r="U1545" s="39" t="n">
        <f aca="false">SUM(M1545:T1545)*Resumo!$C$11</f>
        <v>0</v>
      </c>
      <c r="V1545" s="39" t="n">
        <f aca="false">SUM(M1545:U1545)</f>
        <v>81.69598</v>
      </c>
      <c r="W1545" s="39" t="n">
        <f aca="false">V1545/(1-Resumo!$C$5)</f>
        <v>92.8363409090909</v>
      </c>
      <c r="X1545" s="39" t="n">
        <v>93.97</v>
      </c>
      <c r="Y1545" s="39" t="n">
        <f aca="false">J1545*Resumo!$B$6</f>
        <v>0.3919</v>
      </c>
      <c r="Z1545" s="39" t="n">
        <f aca="false">J1545*Resumo!$B$7</f>
        <v>0.7838</v>
      </c>
      <c r="AA1545" s="39" t="n">
        <f aca="false">Resumo!$B$9</f>
        <v>1</v>
      </c>
      <c r="AB1545" s="39" t="n">
        <f aca="false">Resumo!$B$10*CEILING(I1545/100,1)</f>
        <v>4.5</v>
      </c>
      <c r="AC1545" s="39" t="n">
        <f aca="false">Resumo!$B$12*CEILING(I1545,1)</f>
        <v>2.28</v>
      </c>
      <c r="AD1545" s="39" t="n">
        <f aca="false">Resumo!$B$14*CEILING(I1545,1)</f>
        <v>17.1</v>
      </c>
      <c r="AE1545" s="39" t="n">
        <f aca="false">SUM(X1545:AD1545)</f>
        <v>120.0257</v>
      </c>
      <c r="AF1545" s="39" t="n">
        <f aca="false">AE1545/(1-Resumo!$B$5)</f>
        <v>136.392840909091</v>
      </c>
      <c r="AG1545" s="39" t="n">
        <f aca="false">AF1545-W1545</f>
        <v>43.5565</v>
      </c>
      <c r="AH1545" s="40" t="n">
        <f aca="false">AF1545/W1545-1</f>
        <v>0.46917510506637</v>
      </c>
      <c r="AI1545" s="37" t="str">
        <f aca="false">IF(AF1545&lt;W1545,"SIM","NÃO")</f>
        <v>NÃO</v>
      </c>
      <c r="AJ1545" s="37" t="n">
        <v>2</v>
      </c>
      <c r="AK1545" s="37" t="n">
        <v>5</v>
      </c>
      <c r="AL1545" s="37" t="s">
        <v>343</v>
      </c>
      <c r="AM1545" s="39" t="n">
        <v>91.73</v>
      </c>
    </row>
    <row r="1546" customFormat="false" ht="15" hidden="false" customHeight="false" outlineLevel="0" collapsed="false">
      <c r="A1546" s="37" t="n">
        <v>387813860</v>
      </c>
      <c r="B1546" s="38" t="n">
        <v>46268.0402662037</v>
      </c>
      <c r="C1546" s="37" t="s">
        <v>340</v>
      </c>
      <c r="D1546" s="37" t="s">
        <v>1762</v>
      </c>
      <c r="E1546" s="37" t="n">
        <v>25935330</v>
      </c>
      <c r="F1546" s="37" t="s">
        <v>176</v>
      </c>
      <c r="G1546" s="37" t="s">
        <v>198</v>
      </c>
      <c r="H1546" s="37" t="s">
        <v>184</v>
      </c>
      <c r="I1546" s="37" t="n">
        <v>20.9</v>
      </c>
      <c r="J1546" s="39" t="n">
        <v>440.99</v>
      </c>
      <c r="K1546" s="37" t="s">
        <v>342</v>
      </c>
      <c r="L1546" s="39" t="n">
        <v>109.28</v>
      </c>
      <c r="M1546" s="39" t="n">
        <v>65.63</v>
      </c>
      <c r="N1546" s="39" t="n">
        <f aca="false">J1546*Resumo!$C$6</f>
        <v>0</v>
      </c>
      <c r="O1546" s="39" t="n">
        <f aca="false">J1546*Resumo!$C$7</f>
        <v>0.926079</v>
      </c>
      <c r="P1546" s="39" t="n">
        <f aca="false">J1546*Resumo!$C$8</f>
        <v>0.926079</v>
      </c>
      <c r="Q1546" s="39" t="n">
        <f aca="false">Resumo!$C$10*CEILING(I1546/100,1)</f>
        <v>1.05</v>
      </c>
      <c r="R1546" s="39" t="n">
        <f aca="false">Resumo!$C$9</f>
        <v>0</v>
      </c>
      <c r="S1546" s="39" t="n">
        <f aca="false">Resumo!$C$13</f>
        <v>13.55</v>
      </c>
      <c r="T1546" s="39" t="n">
        <f aca="false">Resumo!$C$14*CEILING(I1546,1)</f>
        <v>9.45</v>
      </c>
      <c r="U1546" s="39" t="n">
        <f aca="false">SUM(M1546:T1546)*Resumo!$C$11</f>
        <v>0</v>
      </c>
      <c r="V1546" s="39" t="n">
        <f aca="false">SUM(M1546:U1546)</f>
        <v>91.532158</v>
      </c>
      <c r="W1546" s="39" t="n">
        <f aca="false">V1546/(1-Resumo!$C$5)</f>
        <v>104.013815909091</v>
      </c>
      <c r="X1546" s="39" t="n">
        <v>103.28</v>
      </c>
      <c r="Y1546" s="39" t="n">
        <f aca="false">J1546*Resumo!$B$6</f>
        <v>0.44099</v>
      </c>
      <c r="Z1546" s="39" t="n">
        <f aca="false">J1546*Resumo!$B$7</f>
        <v>0.88198</v>
      </c>
      <c r="AA1546" s="39" t="n">
        <f aca="false">Resumo!$B$9</f>
        <v>1</v>
      </c>
      <c r="AB1546" s="39" t="n">
        <f aca="false">Resumo!$B$10*CEILING(I1546/100,1)</f>
        <v>4.5</v>
      </c>
      <c r="AC1546" s="39" t="n">
        <f aca="false">Resumo!$B$12*CEILING(I1546,1)</f>
        <v>1.26</v>
      </c>
      <c r="AD1546" s="39" t="n">
        <f aca="false">Resumo!$B$14*CEILING(I1546,1)</f>
        <v>9.45</v>
      </c>
      <c r="AE1546" s="39" t="n">
        <f aca="false">SUM(X1546:AD1546)</f>
        <v>120.81297</v>
      </c>
      <c r="AF1546" s="39" t="n">
        <f aca="false">AE1546/(1-Resumo!$B$5)</f>
        <v>137.287465909091</v>
      </c>
      <c r="AG1546" s="39" t="n">
        <f aca="false">AF1546-W1546</f>
        <v>33.27365</v>
      </c>
      <c r="AH1546" s="40" t="n">
        <f aca="false">AF1546/W1546-1</f>
        <v>0.319896445574899</v>
      </c>
      <c r="AI1546" s="37" t="str">
        <f aca="false">IF(AF1546&lt;W1546,"SIM","NÃO")</f>
        <v>NÃO</v>
      </c>
      <c r="AJ1546" s="37" t="n">
        <v>13</v>
      </c>
      <c r="AK1546" s="37" t="n">
        <v>6</v>
      </c>
      <c r="AL1546" s="37" t="s">
        <v>343</v>
      </c>
      <c r="AM1546" s="39" t="n">
        <v>109.29</v>
      </c>
    </row>
    <row r="1547" customFormat="false" ht="15" hidden="false" customHeight="false" outlineLevel="0" collapsed="false">
      <c r="A1547" s="37" t="n">
        <v>387823524</v>
      </c>
      <c r="B1547" s="38" t="n">
        <v>46268.0608912037</v>
      </c>
      <c r="C1547" s="37" t="s">
        <v>340</v>
      </c>
      <c r="D1547" s="37" t="s">
        <v>842</v>
      </c>
      <c r="E1547" s="37" t="n">
        <v>22620171</v>
      </c>
      <c r="F1547" s="37" t="s">
        <v>159</v>
      </c>
      <c r="G1547" s="37" t="s">
        <v>196</v>
      </c>
      <c r="H1547" s="37" t="s">
        <v>183</v>
      </c>
      <c r="I1547" s="37" t="n">
        <v>13.18</v>
      </c>
      <c r="J1547" s="39" t="n">
        <v>259.99</v>
      </c>
      <c r="K1547" s="37" t="s">
        <v>342</v>
      </c>
      <c r="L1547" s="39" t="n">
        <v>64.47</v>
      </c>
      <c r="M1547" s="39" t="n">
        <v>33.42</v>
      </c>
      <c r="N1547" s="39" t="n">
        <f aca="false">J1547*Resumo!$C$6</f>
        <v>0</v>
      </c>
      <c r="O1547" s="39" t="n">
        <f aca="false">J1547*Resumo!$C$7</f>
        <v>0.545979</v>
      </c>
      <c r="P1547" s="39" t="n">
        <f aca="false">J1547*Resumo!$C$8</f>
        <v>0.545979</v>
      </c>
      <c r="Q1547" s="39" t="n">
        <f aca="false">Resumo!$C$10*CEILING(I1547/100,1)</f>
        <v>1.05</v>
      </c>
      <c r="R1547" s="39" t="n">
        <f aca="false">Resumo!$C$9</f>
        <v>0</v>
      </c>
      <c r="S1547" s="39" t="n">
        <f aca="false">Resumo!$C$13</f>
        <v>13.55</v>
      </c>
      <c r="T1547" s="39" t="n">
        <f aca="false">Resumo!$C$14*CEILING(I1547,1)</f>
        <v>6.3</v>
      </c>
      <c r="U1547" s="39" t="n">
        <f aca="false">SUM(M1547:T1547)*Resumo!$C$11</f>
        <v>0</v>
      </c>
      <c r="V1547" s="39" t="n">
        <f aca="false">SUM(M1547:U1547)</f>
        <v>55.411958</v>
      </c>
      <c r="W1547" s="39" t="n">
        <f aca="false">V1547/(1-Resumo!$C$5)</f>
        <v>62.9681340909091</v>
      </c>
      <c r="X1547" s="39" t="n">
        <v>46.98</v>
      </c>
      <c r="Y1547" s="39" t="n">
        <f aca="false">J1547*Resumo!$B$6</f>
        <v>0.25999</v>
      </c>
      <c r="Z1547" s="39" t="n">
        <f aca="false">J1547*Resumo!$B$7</f>
        <v>0.51998</v>
      </c>
      <c r="AA1547" s="39" t="n">
        <f aca="false">Resumo!$B$9</f>
        <v>1</v>
      </c>
      <c r="AB1547" s="39" t="n">
        <f aca="false">Resumo!$B$10*CEILING(I1547/100,1)</f>
        <v>4.5</v>
      </c>
      <c r="AC1547" s="39" t="n">
        <f aca="false">Resumo!$B$12*CEILING(I1547,1)</f>
        <v>0.84</v>
      </c>
      <c r="AD1547" s="39" t="n">
        <f aca="false">Resumo!$B$14*CEILING(I1547,1)</f>
        <v>6.3</v>
      </c>
      <c r="AE1547" s="39" t="n">
        <f aca="false">SUM(X1547:AD1547)</f>
        <v>60.39997</v>
      </c>
      <c r="AF1547" s="39" t="n">
        <f aca="false">AE1547/(1-Resumo!$B$5)</f>
        <v>68.6363295454545</v>
      </c>
      <c r="AG1547" s="39" t="n">
        <f aca="false">AF1547-W1547</f>
        <v>5.66819545454545</v>
      </c>
      <c r="AH1547" s="40" t="n">
        <f aca="false">AF1547/W1547-1</f>
        <v>0.0900168876905596</v>
      </c>
      <c r="AI1547" s="37" t="str">
        <f aca="false">IF(AF1547&lt;W1547,"SIM","NÃO")</f>
        <v>NÃO</v>
      </c>
      <c r="AJ1547" s="37" t="n">
        <v>2</v>
      </c>
      <c r="AK1547" s="37" t="n">
        <v>5</v>
      </c>
      <c r="AL1547" s="37" t="s">
        <v>343</v>
      </c>
      <c r="AM1547" s="39" t="n">
        <v>64.46</v>
      </c>
    </row>
    <row r="1548" customFormat="false" ht="15" hidden="false" customHeight="false" outlineLevel="0" collapsed="false">
      <c r="A1548" s="37" t="n">
        <v>387831409</v>
      </c>
      <c r="B1548" s="38" t="n">
        <v>46268.0809953704</v>
      </c>
      <c r="C1548" s="37" t="s">
        <v>340</v>
      </c>
      <c r="D1548" s="37" t="s">
        <v>1763</v>
      </c>
      <c r="E1548" s="37" t="n">
        <v>25815560</v>
      </c>
      <c r="F1548" s="37" t="s">
        <v>228</v>
      </c>
      <c r="G1548" s="37" t="s">
        <v>198</v>
      </c>
      <c r="H1548" s="37" t="s">
        <v>187</v>
      </c>
      <c r="I1548" s="37" t="n">
        <v>52.3</v>
      </c>
      <c r="J1548" s="39" t="n">
        <v>699.99</v>
      </c>
      <c r="K1548" s="37" t="s">
        <v>342</v>
      </c>
      <c r="L1548" s="39" t="n">
        <v>143.02</v>
      </c>
      <c r="M1548" s="39" t="n">
        <v>83.58</v>
      </c>
      <c r="N1548" s="39" t="n">
        <f aca="false">J1548*Resumo!$C$6</f>
        <v>0</v>
      </c>
      <c r="O1548" s="39" t="n">
        <f aca="false">J1548*Resumo!$C$7</f>
        <v>1.469979</v>
      </c>
      <c r="P1548" s="39" t="n">
        <f aca="false">J1548*Resumo!$C$8</f>
        <v>1.469979</v>
      </c>
      <c r="Q1548" s="39" t="n">
        <f aca="false">Resumo!$C$10*CEILING(I1548/100,1)</f>
        <v>1.05</v>
      </c>
      <c r="R1548" s="39" t="n">
        <f aca="false">Resumo!$C$9</f>
        <v>0</v>
      </c>
      <c r="S1548" s="39" t="n">
        <f aca="false">Resumo!$C$13</f>
        <v>13.55</v>
      </c>
      <c r="T1548" s="39" t="n">
        <f aca="false">Resumo!$C$14*CEILING(I1548,1)</f>
        <v>23.85</v>
      </c>
      <c r="U1548" s="39" t="n">
        <f aca="false">SUM(M1548:T1548)*Resumo!$C$11</f>
        <v>0</v>
      </c>
      <c r="V1548" s="39" t="n">
        <f aca="false">SUM(M1548:U1548)</f>
        <v>124.969958</v>
      </c>
      <c r="W1548" s="39" t="n">
        <f aca="false">V1548/(1-Resumo!$C$5)</f>
        <v>142.011315909091</v>
      </c>
      <c r="X1548" s="39" t="n">
        <v>142.32</v>
      </c>
      <c r="Y1548" s="39" t="n">
        <f aca="false">J1548*Resumo!$B$6</f>
        <v>0.69999</v>
      </c>
      <c r="Z1548" s="39" t="n">
        <f aca="false">J1548*Resumo!$B$7</f>
        <v>1.39998</v>
      </c>
      <c r="AA1548" s="39" t="n">
        <f aca="false">Resumo!$B$9</f>
        <v>1</v>
      </c>
      <c r="AB1548" s="39" t="n">
        <f aca="false">Resumo!$B$10*CEILING(I1548/100,1)</f>
        <v>4.5</v>
      </c>
      <c r="AC1548" s="39" t="n">
        <f aca="false">Resumo!$B$12*CEILING(I1548,1)</f>
        <v>3.18</v>
      </c>
      <c r="AD1548" s="39" t="n">
        <f aca="false">Resumo!$B$14*CEILING(I1548,1)</f>
        <v>23.85</v>
      </c>
      <c r="AE1548" s="39" t="n">
        <f aca="false">SUM(X1548:AD1548)</f>
        <v>176.94997</v>
      </c>
      <c r="AF1548" s="39" t="n">
        <f aca="false">AE1548/(1-Resumo!$B$5)</f>
        <v>201.079511363636</v>
      </c>
      <c r="AG1548" s="39" t="n">
        <f aca="false">AF1548-W1548</f>
        <v>59.0681954545454</v>
      </c>
      <c r="AH1548" s="40" t="n">
        <f aca="false">AF1548/W1548-1</f>
        <v>0.415940061370589</v>
      </c>
      <c r="AI1548" s="37" t="str">
        <f aca="false">IF(AF1548&lt;W1548,"SIM","NÃO")</f>
        <v>NÃO</v>
      </c>
      <c r="AJ1548" s="37" t="n">
        <v>13</v>
      </c>
      <c r="AK1548" s="37" t="n">
        <v>8</v>
      </c>
      <c r="AL1548" s="37" t="s">
        <v>347</v>
      </c>
      <c r="AM1548" s="39" t="n">
        <v>143.02</v>
      </c>
    </row>
    <row r="1549" customFormat="false" ht="15" hidden="false" customHeight="false" outlineLevel="0" collapsed="false">
      <c r="A1549" s="37" t="n">
        <v>387663437</v>
      </c>
      <c r="B1549" s="38" t="n">
        <v>46268.233287037</v>
      </c>
      <c r="C1549" s="37" t="s">
        <v>361</v>
      </c>
      <c r="D1549" s="37" t="s">
        <v>1764</v>
      </c>
      <c r="E1549" s="37" t="n">
        <v>21932220</v>
      </c>
      <c r="F1549" s="37" t="s">
        <v>159</v>
      </c>
      <c r="G1549" s="37" t="s">
        <v>196</v>
      </c>
      <c r="H1549" s="37" t="s">
        <v>187</v>
      </c>
      <c r="I1549" s="37" t="n">
        <v>58.6</v>
      </c>
      <c r="J1549" s="39" t="n">
        <v>756.49</v>
      </c>
      <c r="K1549" s="37" t="s">
        <v>342</v>
      </c>
      <c r="L1549" s="39" t="n">
        <v>114.77</v>
      </c>
      <c r="M1549" s="39" t="n">
        <v>58.6</v>
      </c>
      <c r="N1549" s="39" t="n">
        <f aca="false">J1549*Resumo!$C$6</f>
        <v>0</v>
      </c>
      <c r="O1549" s="39" t="n">
        <f aca="false">J1549*Resumo!$C$7</f>
        <v>1.588629</v>
      </c>
      <c r="P1549" s="39" t="n">
        <f aca="false">J1549*Resumo!$C$8</f>
        <v>1.588629</v>
      </c>
      <c r="Q1549" s="39" t="n">
        <f aca="false">Resumo!$C$10*CEILING(I1549/100,1)</f>
        <v>1.05</v>
      </c>
      <c r="R1549" s="39" t="n">
        <f aca="false">Resumo!$C$9</f>
        <v>0</v>
      </c>
      <c r="S1549" s="39" t="n">
        <f aca="false">Resumo!$C$13</f>
        <v>13.55</v>
      </c>
      <c r="T1549" s="39" t="n">
        <f aca="false">Resumo!$C$14*CEILING(I1549,1)</f>
        <v>26.55</v>
      </c>
      <c r="U1549" s="39" t="n">
        <f aca="false">SUM(M1549:T1549)*Resumo!$C$11</f>
        <v>0</v>
      </c>
      <c r="V1549" s="39" t="n">
        <f aca="false">SUM(M1549:U1549)</f>
        <v>102.927258</v>
      </c>
      <c r="W1549" s="39" t="n">
        <f aca="false">V1549/(1-Resumo!$C$5)</f>
        <v>116.962793181818</v>
      </c>
      <c r="X1549" s="39" t="n">
        <v>112.3</v>
      </c>
      <c r="Y1549" s="39" t="n">
        <f aca="false">J1549*Resumo!$B$6</f>
        <v>0.75649</v>
      </c>
      <c r="Z1549" s="39" t="n">
        <f aca="false">J1549*Resumo!$B$7</f>
        <v>1.51298</v>
      </c>
      <c r="AA1549" s="39" t="n">
        <f aca="false">Resumo!$B$9</f>
        <v>1</v>
      </c>
      <c r="AB1549" s="39" t="n">
        <f aca="false">Resumo!$B$10*CEILING(I1549/100,1)</f>
        <v>4.5</v>
      </c>
      <c r="AC1549" s="39" t="n">
        <f aca="false">Resumo!$B$12*CEILING(I1549,1)</f>
        <v>3.54</v>
      </c>
      <c r="AD1549" s="39" t="n">
        <f aca="false">Resumo!$B$14*CEILING(I1549,1)</f>
        <v>26.55</v>
      </c>
      <c r="AE1549" s="39" t="n">
        <f aca="false">SUM(X1549:AD1549)</f>
        <v>150.15947</v>
      </c>
      <c r="AF1549" s="39" t="n">
        <f aca="false">AE1549/(1-Resumo!$B$5)</f>
        <v>170.635761363636</v>
      </c>
      <c r="AG1549" s="39" t="n">
        <f aca="false">AF1549-W1549</f>
        <v>53.6729681818182</v>
      </c>
      <c r="AH1549" s="40" t="n">
        <f aca="false">AF1549/W1549-1</f>
        <v>0.458889247783129</v>
      </c>
      <c r="AI1549" s="37" t="str">
        <f aca="false">IF(AF1549&lt;W1549,"SIM","NÃO")</f>
        <v>NÃO</v>
      </c>
      <c r="AJ1549" s="37" t="n">
        <v>2</v>
      </c>
      <c r="AK1549" s="37" t="n">
        <v>5</v>
      </c>
      <c r="AL1549" s="37" t="s">
        <v>343</v>
      </c>
      <c r="AM1549" s="39" t="n">
        <v>114.77</v>
      </c>
    </row>
    <row r="1550" customFormat="false" ht="15" hidden="false" customHeight="false" outlineLevel="0" collapsed="false">
      <c r="A1550" s="37" t="n">
        <v>387934467</v>
      </c>
      <c r="B1550" s="38" t="n">
        <v>46268.3917013889</v>
      </c>
      <c r="C1550" s="37" t="s">
        <v>340</v>
      </c>
      <c r="D1550" s="37" t="s">
        <v>1765</v>
      </c>
      <c r="E1550" s="37" t="n">
        <v>21865320</v>
      </c>
      <c r="F1550" s="37" t="s">
        <v>159</v>
      </c>
      <c r="G1550" s="37" t="s">
        <v>196</v>
      </c>
      <c r="H1550" s="37" t="s">
        <v>185</v>
      </c>
      <c r="I1550" s="37" t="n">
        <v>37.6</v>
      </c>
      <c r="J1550" s="39" t="n">
        <v>391.9</v>
      </c>
      <c r="K1550" s="37" t="s">
        <v>342</v>
      </c>
      <c r="L1550" s="39" t="n">
        <v>91.73</v>
      </c>
      <c r="M1550" s="39" t="n">
        <v>48.35</v>
      </c>
      <c r="N1550" s="39" t="n">
        <f aca="false">J1550*Resumo!$C$6</f>
        <v>0</v>
      </c>
      <c r="O1550" s="39" t="n">
        <f aca="false">J1550*Resumo!$C$7</f>
        <v>0.82299</v>
      </c>
      <c r="P1550" s="39" t="n">
        <f aca="false">J1550*Resumo!$C$8</f>
        <v>0.82299</v>
      </c>
      <c r="Q1550" s="39" t="n">
        <f aca="false">Resumo!$C$10*CEILING(I1550/100,1)</f>
        <v>1.05</v>
      </c>
      <c r="R1550" s="39" t="n">
        <f aca="false">Resumo!$C$9</f>
        <v>0</v>
      </c>
      <c r="S1550" s="39" t="n">
        <f aca="false">Resumo!$C$13</f>
        <v>13.55</v>
      </c>
      <c r="T1550" s="39" t="n">
        <f aca="false">Resumo!$C$14*CEILING(I1550,1)</f>
        <v>17.1</v>
      </c>
      <c r="U1550" s="39" t="n">
        <f aca="false">SUM(M1550:T1550)*Resumo!$C$11</f>
        <v>0</v>
      </c>
      <c r="V1550" s="39" t="n">
        <f aca="false">SUM(M1550:U1550)</f>
        <v>81.69598</v>
      </c>
      <c r="W1550" s="39" t="n">
        <f aca="false">V1550/(1-Resumo!$C$5)</f>
        <v>92.8363409090909</v>
      </c>
      <c r="X1550" s="39" t="n">
        <v>93.97</v>
      </c>
      <c r="Y1550" s="39" t="n">
        <f aca="false">J1550*Resumo!$B$6</f>
        <v>0.3919</v>
      </c>
      <c r="Z1550" s="39" t="n">
        <f aca="false">J1550*Resumo!$B$7</f>
        <v>0.7838</v>
      </c>
      <c r="AA1550" s="39" t="n">
        <f aca="false">Resumo!$B$9</f>
        <v>1</v>
      </c>
      <c r="AB1550" s="39" t="n">
        <f aca="false">Resumo!$B$10*CEILING(I1550/100,1)</f>
        <v>4.5</v>
      </c>
      <c r="AC1550" s="39" t="n">
        <f aca="false">Resumo!$B$12*CEILING(I1550,1)</f>
        <v>2.28</v>
      </c>
      <c r="AD1550" s="39" t="n">
        <f aca="false">Resumo!$B$14*CEILING(I1550,1)</f>
        <v>17.1</v>
      </c>
      <c r="AE1550" s="39" t="n">
        <f aca="false">SUM(X1550:AD1550)</f>
        <v>120.0257</v>
      </c>
      <c r="AF1550" s="39" t="n">
        <f aca="false">AE1550/(1-Resumo!$B$5)</f>
        <v>136.392840909091</v>
      </c>
      <c r="AG1550" s="39" t="n">
        <f aca="false">AF1550-W1550</f>
        <v>43.5565</v>
      </c>
      <c r="AH1550" s="40" t="n">
        <f aca="false">AF1550/W1550-1</f>
        <v>0.46917510506637</v>
      </c>
      <c r="AI1550" s="37" t="str">
        <f aca="false">IF(AF1550&lt;W1550,"SIM","NÃO")</f>
        <v>NÃO</v>
      </c>
      <c r="AJ1550" s="37" t="n">
        <v>2</v>
      </c>
      <c r="AK1550" s="37" t="n">
        <v>5</v>
      </c>
      <c r="AL1550" s="37" t="s">
        <v>343</v>
      </c>
      <c r="AM1550" s="39" t="n">
        <v>91.73</v>
      </c>
    </row>
    <row r="1551" customFormat="false" ht="15" hidden="false" customHeight="false" outlineLevel="0" collapsed="false">
      <c r="A1551" s="37" t="n">
        <v>388023431</v>
      </c>
      <c r="B1551" s="38" t="n">
        <v>46268.5582407407</v>
      </c>
      <c r="C1551" s="37" t="s">
        <v>372</v>
      </c>
      <c r="D1551" s="37" t="s">
        <v>1766</v>
      </c>
      <c r="E1551" s="37" t="n">
        <v>27525502</v>
      </c>
      <c r="F1551" s="37" t="s">
        <v>250</v>
      </c>
      <c r="G1551" s="37" t="s">
        <v>198</v>
      </c>
      <c r="H1551" s="37" t="s">
        <v>186</v>
      </c>
      <c r="I1551" s="37" t="n">
        <v>44.5</v>
      </c>
      <c r="J1551" s="39" t="n">
        <v>679.99</v>
      </c>
      <c r="K1551" s="37" t="s">
        <v>342</v>
      </c>
      <c r="L1551" s="39" t="n">
        <v>131.42</v>
      </c>
      <c r="M1551" s="39" t="n">
        <v>77.7</v>
      </c>
      <c r="N1551" s="39" t="n">
        <f aca="false">J1551*Resumo!$C$6</f>
        <v>0</v>
      </c>
      <c r="O1551" s="39" t="n">
        <f aca="false">J1551*Resumo!$C$7</f>
        <v>1.427979</v>
      </c>
      <c r="P1551" s="39" t="n">
        <f aca="false">J1551*Resumo!$C$8</f>
        <v>1.427979</v>
      </c>
      <c r="Q1551" s="39" t="n">
        <f aca="false">Resumo!$C$10*CEILING(I1551/100,1)</f>
        <v>1.05</v>
      </c>
      <c r="R1551" s="39" t="n">
        <f aca="false">Resumo!$C$9</f>
        <v>0</v>
      </c>
      <c r="S1551" s="39" t="n">
        <f aca="false">Resumo!$C$13</f>
        <v>13.55</v>
      </c>
      <c r="T1551" s="39" t="n">
        <f aca="false">Resumo!$C$14*CEILING(I1551,1)</f>
        <v>20.25</v>
      </c>
      <c r="U1551" s="39" t="n">
        <f aca="false">SUM(M1551:T1551)*Resumo!$C$11</f>
        <v>0</v>
      </c>
      <c r="V1551" s="39" t="n">
        <f aca="false">SUM(M1551:U1551)</f>
        <v>115.405958</v>
      </c>
      <c r="W1551" s="39" t="n">
        <f aca="false">V1551/(1-Resumo!$C$5)</f>
        <v>131.143134090909</v>
      </c>
      <c r="X1551" s="39" t="n">
        <v>124.38</v>
      </c>
      <c r="Y1551" s="39" t="n">
        <f aca="false">J1551*Resumo!$B$6</f>
        <v>0.67999</v>
      </c>
      <c r="Z1551" s="39" t="n">
        <f aca="false">J1551*Resumo!$B$7</f>
        <v>1.35998</v>
      </c>
      <c r="AA1551" s="39" t="n">
        <f aca="false">Resumo!$B$9</f>
        <v>1</v>
      </c>
      <c r="AB1551" s="39" t="n">
        <f aca="false">Resumo!$B$10*CEILING(I1551/100,1)</f>
        <v>4.5</v>
      </c>
      <c r="AC1551" s="39" t="n">
        <f aca="false">Resumo!$B$12*CEILING(I1551,1)</f>
        <v>2.7</v>
      </c>
      <c r="AD1551" s="39" t="n">
        <f aca="false">Resumo!$B$14*CEILING(I1551,1)</f>
        <v>20.25</v>
      </c>
      <c r="AE1551" s="39" t="n">
        <f aca="false">SUM(X1551:AD1551)</f>
        <v>154.86997</v>
      </c>
      <c r="AF1551" s="39" t="n">
        <f aca="false">AE1551/(1-Resumo!$B$5)</f>
        <v>175.988602272727</v>
      </c>
      <c r="AG1551" s="39" t="n">
        <f aca="false">AF1551-W1551</f>
        <v>44.8454681818182</v>
      </c>
      <c r="AH1551" s="40" t="n">
        <f aca="false">AF1551/W1551-1</f>
        <v>0.341958185555723</v>
      </c>
      <c r="AI1551" s="37" t="str">
        <f aca="false">IF(AF1551&lt;W1551,"SIM","NÃO")</f>
        <v>NÃO</v>
      </c>
      <c r="AJ1551" s="37" t="n">
        <v>13</v>
      </c>
      <c r="AK1551" s="37" t="n">
        <v>10</v>
      </c>
      <c r="AL1551" s="37" t="s">
        <v>347</v>
      </c>
      <c r="AM1551" s="39" t="n">
        <v>131.42</v>
      </c>
    </row>
    <row r="1552" customFormat="false" ht="15" hidden="false" customHeight="false" outlineLevel="0" collapsed="false">
      <c r="A1552" s="37" t="n">
        <v>388031354</v>
      </c>
      <c r="B1552" s="38" t="n">
        <v>46268.5749537037</v>
      </c>
      <c r="C1552" s="37" t="s">
        <v>345</v>
      </c>
      <c r="D1552" s="37" t="s">
        <v>1767</v>
      </c>
      <c r="E1552" s="37" t="n">
        <v>23060720</v>
      </c>
      <c r="F1552" s="37" t="s">
        <v>159</v>
      </c>
      <c r="G1552" s="37" t="s">
        <v>196</v>
      </c>
      <c r="H1552" s="37" t="s">
        <v>188</v>
      </c>
      <c r="I1552" s="37" t="n">
        <v>66.8</v>
      </c>
      <c r="J1552" s="39" t="n">
        <v>578</v>
      </c>
      <c r="K1552" s="37" t="s">
        <v>342</v>
      </c>
      <c r="L1552" s="39" t="n">
        <v>123.99</v>
      </c>
      <c r="M1552" s="39" t="n">
        <v>63.21</v>
      </c>
      <c r="N1552" s="39" t="n">
        <f aca="false">J1552*Resumo!$C$6</f>
        <v>0</v>
      </c>
      <c r="O1552" s="39" t="n">
        <f aca="false">J1552*Resumo!$C$7</f>
        <v>1.2138</v>
      </c>
      <c r="P1552" s="39" t="n">
        <f aca="false">J1552*Resumo!$C$8</f>
        <v>1.2138</v>
      </c>
      <c r="Q1552" s="39" t="n">
        <f aca="false">Resumo!$C$10*CEILING(I1552/100,1)</f>
        <v>1.05</v>
      </c>
      <c r="R1552" s="39" t="n">
        <f aca="false">Resumo!$C$9</f>
        <v>0</v>
      </c>
      <c r="S1552" s="39" t="n">
        <f aca="false">Resumo!$C$13</f>
        <v>13.55</v>
      </c>
      <c r="T1552" s="39" t="n">
        <f aca="false">Resumo!$C$14*CEILING(I1552,1)</f>
        <v>30.15</v>
      </c>
      <c r="U1552" s="39" t="n">
        <f aca="false">SUM(M1552:T1552)*Resumo!$C$11</f>
        <v>0</v>
      </c>
      <c r="V1552" s="39" t="n">
        <f aca="false">SUM(M1552:U1552)</f>
        <v>110.3876</v>
      </c>
      <c r="W1552" s="39" t="n">
        <f aca="false">V1552/(1-Resumo!$C$5)</f>
        <v>125.440454545455</v>
      </c>
      <c r="X1552" s="39" t="n">
        <v>131.02</v>
      </c>
      <c r="Y1552" s="39" t="n">
        <f aca="false">J1552*Resumo!$B$6</f>
        <v>0.578</v>
      </c>
      <c r="Z1552" s="39" t="n">
        <f aca="false">J1552*Resumo!$B$7</f>
        <v>1.156</v>
      </c>
      <c r="AA1552" s="39" t="n">
        <f aca="false">Resumo!$B$9</f>
        <v>1</v>
      </c>
      <c r="AB1552" s="39" t="n">
        <f aca="false">Resumo!$B$10*CEILING(I1552/100,1)</f>
        <v>4.5</v>
      </c>
      <c r="AC1552" s="39" t="n">
        <f aca="false">Resumo!$B$12*CEILING(I1552,1)</f>
        <v>4.02</v>
      </c>
      <c r="AD1552" s="39" t="n">
        <f aca="false">Resumo!$B$14*CEILING(I1552,1)</f>
        <v>30.15</v>
      </c>
      <c r="AE1552" s="39" t="n">
        <f aca="false">SUM(X1552:AD1552)</f>
        <v>172.424</v>
      </c>
      <c r="AF1552" s="39" t="n">
        <f aca="false">AE1552/(1-Resumo!$B$5)</f>
        <v>195.936363636364</v>
      </c>
      <c r="AG1552" s="39" t="n">
        <f aca="false">AF1552-W1552</f>
        <v>70.4959090909091</v>
      </c>
      <c r="AH1552" s="40" t="n">
        <f aca="false">AF1552/W1552-1</f>
        <v>0.561987034775645</v>
      </c>
      <c r="AI1552" s="37" t="str">
        <f aca="false">IF(AF1552&lt;W1552,"SIM","NÃO")</f>
        <v>NÃO</v>
      </c>
      <c r="AJ1552" s="37" t="n">
        <v>2</v>
      </c>
      <c r="AK1552" s="37" t="n">
        <v>5</v>
      </c>
      <c r="AL1552" s="37" t="s">
        <v>343</v>
      </c>
      <c r="AM1552" s="39" t="n">
        <v>123.98</v>
      </c>
    </row>
    <row r="1553" customFormat="false" ht="15" hidden="false" customHeight="false" outlineLevel="0" collapsed="false">
      <c r="A1553" s="37" t="n">
        <v>388036849</v>
      </c>
      <c r="B1553" s="38" t="n">
        <v>46268.58375</v>
      </c>
      <c r="C1553" s="37" t="s">
        <v>345</v>
      </c>
      <c r="D1553" s="37" t="s">
        <v>1768</v>
      </c>
      <c r="E1553" s="37" t="n">
        <v>27971805</v>
      </c>
      <c r="F1553" s="37" t="s">
        <v>166</v>
      </c>
      <c r="G1553" s="37" t="s">
        <v>198</v>
      </c>
      <c r="H1553" s="37" t="s">
        <v>188</v>
      </c>
      <c r="I1553" s="37" t="n">
        <v>68.1</v>
      </c>
      <c r="J1553" s="39" t="n">
        <v>898</v>
      </c>
      <c r="K1553" s="37" t="s">
        <v>342</v>
      </c>
      <c r="L1553" s="39" t="n">
        <v>156.33</v>
      </c>
      <c r="M1553" s="39" t="n">
        <v>90.2</v>
      </c>
      <c r="N1553" s="39" t="n">
        <f aca="false">J1553*Resumo!$C$6</f>
        <v>0</v>
      </c>
      <c r="O1553" s="39" t="n">
        <f aca="false">J1553*Resumo!$C$7</f>
        <v>1.8858</v>
      </c>
      <c r="P1553" s="39" t="n">
        <f aca="false">J1553*Resumo!$C$8</f>
        <v>1.8858</v>
      </c>
      <c r="Q1553" s="39" t="n">
        <f aca="false">Resumo!$C$10*CEILING(I1553/100,1)</f>
        <v>1.05</v>
      </c>
      <c r="R1553" s="39" t="n">
        <f aca="false">Resumo!$C$9</f>
        <v>0</v>
      </c>
      <c r="S1553" s="39" t="n">
        <f aca="false">Resumo!$C$13</f>
        <v>13.55</v>
      </c>
      <c r="T1553" s="39" t="n">
        <f aca="false">Resumo!$C$14*CEILING(I1553,1)</f>
        <v>31.05</v>
      </c>
      <c r="U1553" s="39" t="n">
        <f aca="false">SUM(M1553:T1553)*Resumo!$C$11</f>
        <v>0</v>
      </c>
      <c r="V1553" s="39" t="n">
        <f aca="false">SUM(M1553:U1553)</f>
        <v>139.6216</v>
      </c>
      <c r="W1553" s="39" t="n">
        <f aca="false">V1553/(1-Resumo!$C$5)</f>
        <v>158.660909090909</v>
      </c>
      <c r="X1553" s="39" t="n">
        <v>171.54</v>
      </c>
      <c r="Y1553" s="39" t="n">
        <f aca="false">J1553*Resumo!$B$6</f>
        <v>0.898</v>
      </c>
      <c r="Z1553" s="39" t="n">
        <f aca="false">J1553*Resumo!$B$7</f>
        <v>1.796</v>
      </c>
      <c r="AA1553" s="39" t="n">
        <f aca="false">Resumo!$B$9</f>
        <v>1</v>
      </c>
      <c r="AB1553" s="39" t="n">
        <f aca="false">Resumo!$B$10*CEILING(I1553/100,1)</f>
        <v>4.5</v>
      </c>
      <c r="AC1553" s="39" t="n">
        <f aca="false">Resumo!$B$12*CEILING(I1553,1)</f>
        <v>4.14</v>
      </c>
      <c r="AD1553" s="39" t="n">
        <f aca="false">Resumo!$B$14*CEILING(I1553,1)</f>
        <v>31.05</v>
      </c>
      <c r="AE1553" s="39" t="n">
        <f aca="false">SUM(X1553:AD1553)</f>
        <v>214.924</v>
      </c>
      <c r="AF1553" s="39" t="n">
        <f aca="false">AE1553/(1-Resumo!$B$5)</f>
        <v>244.231818181818</v>
      </c>
      <c r="AG1553" s="39" t="n">
        <f aca="false">AF1553-W1553</f>
        <v>85.5709090909091</v>
      </c>
      <c r="AH1553" s="40" t="n">
        <f aca="false">AF1553/W1553-1</f>
        <v>0.539332023125362</v>
      </c>
      <c r="AI1553" s="37" t="str">
        <f aca="false">IF(AF1553&lt;W1553,"SIM","NÃO")</f>
        <v>NÃO</v>
      </c>
      <c r="AJ1553" s="37" t="n">
        <v>13</v>
      </c>
      <c r="AK1553" s="37" t="n">
        <v>11</v>
      </c>
      <c r="AL1553" s="37" t="s">
        <v>343</v>
      </c>
      <c r="AM1553" s="39" t="n">
        <v>156.32</v>
      </c>
    </row>
    <row r="1554" customFormat="false" ht="15" hidden="false" customHeight="false" outlineLevel="0" collapsed="false">
      <c r="A1554" s="37" t="n">
        <v>388069158</v>
      </c>
      <c r="B1554" s="38" t="n">
        <v>46268.6326041667</v>
      </c>
      <c r="C1554" s="37" t="s">
        <v>340</v>
      </c>
      <c r="D1554" s="37" t="s">
        <v>1769</v>
      </c>
      <c r="E1554" s="37" t="n">
        <v>24813126</v>
      </c>
      <c r="F1554" s="37" t="s">
        <v>174</v>
      </c>
      <c r="G1554" s="37" t="s">
        <v>198</v>
      </c>
      <c r="H1554" s="37" t="s">
        <v>186</v>
      </c>
      <c r="I1554" s="37" t="n">
        <v>49.6</v>
      </c>
      <c r="J1554" s="39" t="n">
        <v>769.99</v>
      </c>
      <c r="K1554" s="37" t="s">
        <v>342</v>
      </c>
      <c r="L1554" s="39" t="n">
        <v>131.85</v>
      </c>
      <c r="M1554" s="39" t="n">
        <v>77.7</v>
      </c>
      <c r="N1554" s="39" t="n">
        <f aca="false">J1554*Resumo!$C$6</f>
        <v>0</v>
      </c>
      <c r="O1554" s="39" t="n">
        <f aca="false">J1554*Resumo!$C$7</f>
        <v>1.616979</v>
      </c>
      <c r="P1554" s="39" t="n">
        <f aca="false">J1554*Resumo!$C$8</f>
        <v>1.616979</v>
      </c>
      <c r="Q1554" s="39" t="n">
        <f aca="false">Resumo!$C$10*CEILING(I1554/100,1)</f>
        <v>1.05</v>
      </c>
      <c r="R1554" s="39" t="n">
        <f aca="false">Resumo!$C$9</f>
        <v>0</v>
      </c>
      <c r="S1554" s="39" t="n">
        <f aca="false">Resumo!$C$13</f>
        <v>13.55</v>
      </c>
      <c r="T1554" s="39" t="n">
        <f aca="false">Resumo!$C$14*CEILING(I1554,1)</f>
        <v>22.5</v>
      </c>
      <c r="U1554" s="39" t="n">
        <f aca="false">SUM(M1554:T1554)*Resumo!$C$11</f>
        <v>0</v>
      </c>
      <c r="V1554" s="39" t="n">
        <f aca="false">SUM(M1554:U1554)</f>
        <v>118.033958</v>
      </c>
      <c r="W1554" s="39" t="n">
        <f aca="false">V1554/(1-Resumo!$C$5)</f>
        <v>134.129497727273</v>
      </c>
      <c r="X1554" s="39" t="n">
        <v>114.95</v>
      </c>
      <c r="Y1554" s="39" t="n">
        <f aca="false">J1554*Resumo!$B$6</f>
        <v>0.76999</v>
      </c>
      <c r="Z1554" s="39" t="n">
        <f aca="false">J1554*Resumo!$B$7</f>
        <v>1.53998</v>
      </c>
      <c r="AA1554" s="39" t="n">
        <f aca="false">Resumo!$B$9</f>
        <v>1</v>
      </c>
      <c r="AB1554" s="39" t="n">
        <f aca="false">Resumo!$B$10*CEILING(I1554/100,1)</f>
        <v>4.5</v>
      </c>
      <c r="AC1554" s="39" t="n">
        <f aca="false">Resumo!$B$12*CEILING(I1554,1)</f>
        <v>3</v>
      </c>
      <c r="AD1554" s="39" t="n">
        <f aca="false">Resumo!$B$14*CEILING(I1554,1)</f>
        <v>22.5</v>
      </c>
      <c r="AE1554" s="39" t="n">
        <f aca="false">SUM(X1554:AD1554)</f>
        <v>148.25997</v>
      </c>
      <c r="AF1554" s="39" t="n">
        <f aca="false">AE1554/(1-Resumo!$B$5)</f>
        <v>168.477238636364</v>
      </c>
      <c r="AG1554" s="39" t="n">
        <f aca="false">AF1554-W1554</f>
        <v>34.3477409090909</v>
      </c>
      <c r="AH1554" s="40" t="n">
        <f aca="false">AF1554/W1554-1</f>
        <v>0.256078949754443</v>
      </c>
      <c r="AI1554" s="37" t="str">
        <f aca="false">IF(AF1554&lt;W1554,"SIM","NÃO")</f>
        <v>NÃO</v>
      </c>
      <c r="AJ1554" s="37" t="n">
        <v>13</v>
      </c>
      <c r="AK1554" s="37" t="n">
        <v>7</v>
      </c>
      <c r="AL1554" s="37" t="s">
        <v>343</v>
      </c>
      <c r="AM1554" s="39" t="n">
        <v>131.85</v>
      </c>
    </row>
    <row r="1555" customFormat="false" ht="15" hidden="false" customHeight="false" outlineLevel="0" collapsed="false">
      <c r="A1555" s="37" t="n">
        <v>388074063</v>
      </c>
      <c r="B1555" s="38" t="n">
        <v>46268.6407638889</v>
      </c>
      <c r="C1555" s="37" t="s">
        <v>345</v>
      </c>
      <c r="D1555" s="37" t="s">
        <v>1770</v>
      </c>
      <c r="E1555" s="37" t="n">
        <v>22790147</v>
      </c>
      <c r="F1555" s="37" t="s">
        <v>159</v>
      </c>
      <c r="G1555" s="37" t="s">
        <v>196</v>
      </c>
      <c r="H1555" s="37" t="s">
        <v>184</v>
      </c>
      <c r="I1555" s="37" t="n">
        <v>31.9</v>
      </c>
      <c r="J1555" s="39" t="n">
        <v>589.95</v>
      </c>
      <c r="K1555" s="37" t="s">
        <v>342</v>
      </c>
      <c r="L1555" s="39" t="n">
        <v>83.15</v>
      </c>
      <c r="M1555" s="39" t="n">
        <v>42.11</v>
      </c>
      <c r="N1555" s="39" t="n">
        <f aca="false">J1555*Resumo!$C$6</f>
        <v>0</v>
      </c>
      <c r="O1555" s="39" t="n">
        <f aca="false">J1555*Resumo!$C$7</f>
        <v>1.238895</v>
      </c>
      <c r="P1555" s="39" t="n">
        <f aca="false">J1555*Resumo!$C$8</f>
        <v>1.238895</v>
      </c>
      <c r="Q1555" s="39" t="n">
        <f aca="false">Resumo!$C$10*CEILING(I1555/100,1)</f>
        <v>1.05</v>
      </c>
      <c r="R1555" s="39" t="n">
        <f aca="false">Resumo!$C$9</f>
        <v>0</v>
      </c>
      <c r="S1555" s="39" t="n">
        <f aca="false">Resumo!$C$13</f>
        <v>13.55</v>
      </c>
      <c r="T1555" s="39" t="n">
        <f aca="false">Resumo!$C$14*CEILING(I1555,1)</f>
        <v>14.4</v>
      </c>
      <c r="U1555" s="39" t="n">
        <f aca="false">SUM(M1555:T1555)*Resumo!$C$11</f>
        <v>0</v>
      </c>
      <c r="V1555" s="39" t="n">
        <f aca="false">SUM(M1555:U1555)</f>
        <v>73.58779</v>
      </c>
      <c r="W1555" s="39" t="n">
        <f aca="false">V1555/(1-Resumo!$C$5)</f>
        <v>83.6224886363636</v>
      </c>
      <c r="X1555" s="39" t="n">
        <v>82.21</v>
      </c>
      <c r="Y1555" s="39" t="n">
        <f aca="false">J1555*Resumo!$B$6</f>
        <v>0.58995</v>
      </c>
      <c r="Z1555" s="39" t="n">
        <f aca="false">J1555*Resumo!$B$7</f>
        <v>1.1799</v>
      </c>
      <c r="AA1555" s="39" t="n">
        <f aca="false">Resumo!$B$9</f>
        <v>1</v>
      </c>
      <c r="AB1555" s="39" t="n">
        <f aca="false">Resumo!$B$10*CEILING(I1555/100,1)</f>
        <v>4.5</v>
      </c>
      <c r="AC1555" s="39" t="n">
        <f aca="false">Resumo!$B$12*CEILING(I1555,1)</f>
        <v>1.92</v>
      </c>
      <c r="AD1555" s="39" t="n">
        <f aca="false">Resumo!$B$14*CEILING(I1555,1)</f>
        <v>14.4</v>
      </c>
      <c r="AE1555" s="39" t="n">
        <f aca="false">SUM(X1555:AD1555)</f>
        <v>105.79985</v>
      </c>
      <c r="AF1555" s="39" t="n">
        <f aca="false">AE1555/(1-Resumo!$B$5)</f>
        <v>120.227102272727</v>
      </c>
      <c r="AG1555" s="39" t="n">
        <f aca="false">AF1555-W1555</f>
        <v>36.6046136363637</v>
      </c>
      <c r="AH1555" s="40" t="n">
        <f aca="false">AF1555/W1555-1</f>
        <v>0.43773647774991</v>
      </c>
      <c r="AI1555" s="37" t="str">
        <f aca="false">IF(AF1555&lt;W1555,"SIM","NÃO")</f>
        <v>NÃO</v>
      </c>
      <c r="AJ1555" s="37" t="n">
        <v>2</v>
      </c>
      <c r="AK1555" s="37" t="n">
        <v>5</v>
      </c>
      <c r="AL1555" s="37" t="s">
        <v>343</v>
      </c>
      <c r="AM1555" s="39" t="n">
        <v>83.15</v>
      </c>
    </row>
    <row r="1556" customFormat="false" ht="15" hidden="false" customHeight="false" outlineLevel="0" collapsed="false">
      <c r="A1556" s="37" t="n">
        <v>388085053</v>
      </c>
      <c r="B1556" s="38" t="n">
        <v>46268.6432407407</v>
      </c>
      <c r="C1556" s="37" t="s">
        <v>537</v>
      </c>
      <c r="D1556" s="37" t="s">
        <v>1771</v>
      </c>
      <c r="E1556" s="37" t="n">
        <v>26535350</v>
      </c>
      <c r="F1556" s="37" t="s">
        <v>238</v>
      </c>
      <c r="G1556" s="37" t="s">
        <v>197</v>
      </c>
      <c r="H1556" s="37" t="s">
        <v>190</v>
      </c>
      <c r="I1556" s="37" t="n">
        <v>84</v>
      </c>
      <c r="J1556" s="39" t="n">
        <v>1042.13</v>
      </c>
      <c r="K1556" s="37" t="s">
        <v>342</v>
      </c>
      <c r="L1556" s="39" t="n">
        <v>173.81</v>
      </c>
      <c r="M1556" s="39" t="n">
        <v>92.32</v>
      </c>
      <c r="N1556" s="39" t="n">
        <f aca="false">J1556*Resumo!$C$6</f>
        <v>0</v>
      </c>
      <c r="O1556" s="39" t="n">
        <f aca="false">J1556*Resumo!$C$7</f>
        <v>2.188473</v>
      </c>
      <c r="P1556" s="39" t="n">
        <f aca="false">J1556*Resumo!$C$8</f>
        <v>2.188473</v>
      </c>
      <c r="Q1556" s="39" t="n">
        <f aca="false">Resumo!$C$10*CEILING(I1556/100,1)</f>
        <v>1.05</v>
      </c>
      <c r="R1556" s="39" t="n">
        <f aca="false">Resumo!$C$9</f>
        <v>0</v>
      </c>
      <c r="S1556" s="39" t="n">
        <f aca="false">Resumo!$C$13</f>
        <v>13.55</v>
      </c>
      <c r="T1556" s="39" t="n">
        <f aca="false">Resumo!$C$14*CEILING(I1556,1)</f>
        <v>37.8</v>
      </c>
      <c r="U1556" s="39" t="n">
        <f aca="false">SUM(M1556:T1556)*Resumo!$C$11</f>
        <v>0</v>
      </c>
      <c r="V1556" s="39" t="n">
        <f aca="false">SUM(M1556:U1556)</f>
        <v>149.096946</v>
      </c>
      <c r="W1556" s="39" t="n">
        <f aca="false">V1556/(1-Resumo!$C$5)</f>
        <v>169.428347727273</v>
      </c>
      <c r="X1556" s="39" t="n">
        <v>167.99</v>
      </c>
      <c r="Y1556" s="39" t="n">
        <f aca="false">J1556*Resumo!$B$6</f>
        <v>1.04213</v>
      </c>
      <c r="Z1556" s="39" t="n">
        <f aca="false">J1556*Resumo!$B$7</f>
        <v>2.08426</v>
      </c>
      <c r="AA1556" s="39" t="n">
        <f aca="false">Resumo!$B$9</f>
        <v>1</v>
      </c>
      <c r="AB1556" s="39" t="n">
        <f aca="false">Resumo!$B$10*CEILING(I1556/100,1)</f>
        <v>4.5</v>
      </c>
      <c r="AC1556" s="39" t="n">
        <f aca="false">Resumo!$B$12*CEILING(I1556,1)</f>
        <v>5.04</v>
      </c>
      <c r="AD1556" s="39" t="n">
        <f aca="false">Resumo!$B$14*CEILING(I1556,1)</f>
        <v>37.8</v>
      </c>
      <c r="AE1556" s="39" t="n">
        <f aca="false">SUM(X1556:AD1556)</f>
        <v>219.45639</v>
      </c>
      <c r="AF1556" s="39" t="n">
        <f aca="false">AE1556/(1-Resumo!$B$5)</f>
        <v>249.382261363636</v>
      </c>
      <c r="AG1556" s="39" t="n">
        <f aca="false">AF1556-W1556</f>
        <v>79.9539136363637</v>
      </c>
      <c r="AH1556" s="40" t="n">
        <f aca="false">AF1556/W1556-1</f>
        <v>0.471903991916776</v>
      </c>
      <c r="AI1556" s="37" t="str">
        <f aca="false">IF(AF1556&lt;W1556,"SIM","NÃO")</f>
        <v>NÃO</v>
      </c>
      <c r="AJ1556" s="37" t="n">
        <v>2</v>
      </c>
      <c r="AK1556" s="37" t="n">
        <v>5</v>
      </c>
      <c r="AL1556" s="37" t="s">
        <v>347</v>
      </c>
      <c r="AM1556" s="39" t="n">
        <v>173.82</v>
      </c>
    </row>
    <row r="1557" customFormat="false" ht="15" hidden="false" customHeight="false" outlineLevel="0" collapsed="false">
      <c r="A1557" s="37" t="n">
        <v>388120156</v>
      </c>
      <c r="B1557" s="38" t="n">
        <v>46268.725150463</v>
      </c>
      <c r="C1557" s="37" t="s">
        <v>340</v>
      </c>
      <c r="D1557" s="37" t="s">
        <v>1772</v>
      </c>
      <c r="E1557" s="37" t="n">
        <v>26021560</v>
      </c>
      <c r="F1557" s="37" t="s">
        <v>162</v>
      </c>
      <c r="G1557" s="37" t="s">
        <v>197</v>
      </c>
      <c r="H1557" s="37" t="s">
        <v>192</v>
      </c>
      <c r="I1557" s="37" t="n">
        <v>124.2</v>
      </c>
      <c r="J1557" s="39" t="n">
        <v>1799.99</v>
      </c>
      <c r="K1557" s="37" t="s">
        <v>342</v>
      </c>
      <c r="L1557" s="39" t="n">
        <v>245.23</v>
      </c>
      <c r="M1557" s="39" t="n">
        <v>129.62</v>
      </c>
      <c r="N1557" s="39" t="n">
        <f aca="false">J1557*Resumo!$C$6</f>
        <v>0</v>
      </c>
      <c r="O1557" s="39" t="n">
        <f aca="false">J1557*Resumo!$C$7</f>
        <v>3.779979</v>
      </c>
      <c r="P1557" s="39" t="n">
        <f aca="false">J1557*Resumo!$C$8</f>
        <v>3.779979</v>
      </c>
      <c r="Q1557" s="39" t="n">
        <f aca="false">Resumo!$C$10*CEILING(I1557/100,1)</f>
        <v>2.1</v>
      </c>
      <c r="R1557" s="39" t="n">
        <f aca="false">Resumo!$C$9</f>
        <v>0</v>
      </c>
      <c r="S1557" s="39" t="n">
        <f aca="false">Resumo!$C$13</f>
        <v>13.55</v>
      </c>
      <c r="T1557" s="39" t="n">
        <f aca="false">Resumo!$C$14*CEILING(I1557,1)</f>
        <v>56.25</v>
      </c>
      <c r="U1557" s="39" t="n">
        <f aca="false">SUM(M1557:T1557)*Resumo!$C$11</f>
        <v>0</v>
      </c>
      <c r="V1557" s="39" t="n">
        <f aca="false">SUM(M1557:U1557)</f>
        <v>209.079958</v>
      </c>
      <c r="W1557" s="39" t="n">
        <f aca="false">V1557/(1-Resumo!$C$5)</f>
        <v>237.590861363636</v>
      </c>
      <c r="X1557" s="39" t="n">
        <v>239.25</v>
      </c>
      <c r="Y1557" s="39" t="n">
        <f aca="false">J1557*Resumo!$B$6</f>
        <v>1.79999</v>
      </c>
      <c r="Z1557" s="39" t="n">
        <f aca="false">J1557*Resumo!$B$7</f>
        <v>3.59998</v>
      </c>
      <c r="AA1557" s="39" t="n">
        <f aca="false">Resumo!$B$9</f>
        <v>1</v>
      </c>
      <c r="AB1557" s="39" t="n">
        <f aca="false">Resumo!$B$10*CEILING(I1557/100,1)</f>
        <v>9</v>
      </c>
      <c r="AC1557" s="39" t="n">
        <f aca="false">Resumo!$B$12*CEILING(I1557,1)</f>
        <v>7.5</v>
      </c>
      <c r="AD1557" s="39" t="n">
        <f aca="false">Resumo!$B$14*CEILING(I1557,1)</f>
        <v>56.25</v>
      </c>
      <c r="AE1557" s="39" t="n">
        <f aca="false">SUM(X1557:AD1557)</f>
        <v>318.39997</v>
      </c>
      <c r="AF1557" s="39" t="n">
        <f aca="false">AE1557/(1-Resumo!$B$5)</f>
        <v>361.818147727273</v>
      </c>
      <c r="AG1557" s="39" t="n">
        <f aca="false">AF1557-W1557</f>
        <v>124.227286363636</v>
      </c>
      <c r="AH1557" s="40" t="n">
        <f aca="false">AF1557/W1557-1</f>
        <v>0.522862224795358</v>
      </c>
      <c r="AI1557" s="37" t="str">
        <f aca="false">IF(AF1557&lt;W1557,"SIM","NÃO")</f>
        <v>NÃO</v>
      </c>
      <c r="AJ1557" s="37" t="n">
        <v>2</v>
      </c>
      <c r="AK1557" s="37" t="n">
        <v>5</v>
      </c>
      <c r="AL1557" s="37" t="s">
        <v>343</v>
      </c>
      <c r="AM1557" s="39" t="n">
        <v>245.23</v>
      </c>
    </row>
    <row r="1558" customFormat="false" ht="15" hidden="false" customHeight="false" outlineLevel="0" collapsed="false">
      <c r="A1558" s="37" t="n">
        <v>388120390</v>
      </c>
      <c r="B1558" s="38" t="n">
        <v>46268.7280671296</v>
      </c>
      <c r="C1558" s="37" t="s">
        <v>372</v>
      </c>
      <c r="D1558" s="37" t="s">
        <v>1773</v>
      </c>
      <c r="E1558" s="37" t="n">
        <v>28895679</v>
      </c>
      <c r="F1558" s="37" t="s">
        <v>178</v>
      </c>
      <c r="G1558" s="37" t="s">
        <v>198</v>
      </c>
      <c r="H1558" s="37" t="s">
        <v>184</v>
      </c>
      <c r="I1558" s="37" t="n">
        <v>29.2</v>
      </c>
      <c r="J1558" s="39" t="n">
        <v>458.18</v>
      </c>
      <c r="K1558" s="37" t="s">
        <v>342</v>
      </c>
      <c r="L1558" s="39" t="n">
        <v>109.39</v>
      </c>
      <c r="M1558" s="39" t="n">
        <v>65.63</v>
      </c>
      <c r="N1558" s="39" t="n">
        <f aca="false">J1558*Resumo!$C$6</f>
        <v>0</v>
      </c>
      <c r="O1558" s="39" t="n">
        <f aca="false">J1558*Resumo!$C$7</f>
        <v>0.962178</v>
      </c>
      <c r="P1558" s="39" t="n">
        <f aca="false">J1558*Resumo!$C$8</f>
        <v>0.962178</v>
      </c>
      <c r="Q1558" s="39" t="n">
        <f aca="false">Resumo!$C$10*CEILING(I1558/100,1)</f>
        <v>1.05</v>
      </c>
      <c r="R1558" s="39" t="n">
        <f aca="false">Resumo!$C$9</f>
        <v>0</v>
      </c>
      <c r="S1558" s="39" t="n">
        <f aca="false">Resumo!$C$13</f>
        <v>13.55</v>
      </c>
      <c r="T1558" s="39" t="n">
        <f aca="false">Resumo!$C$14*CEILING(I1558,1)</f>
        <v>13.5</v>
      </c>
      <c r="U1558" s="39" t="n">
        <f aca="false">SUM(M1558:T1558)*Resumo!$C$11</f>
        <v>0</v>
      </c>
      <c r="V1558" s="39" t="n">
        <f aca="false">SUM(M1558:U1558)</f>
        <v>95.654356</v>
      </c>
      <c r="W1558" s="39" t="n">
        <f aca="false">V1558/(1-Resumo!$C$5)</f>
        <v>108.698131818182</v>
      </c>
      <c r="X1558" s="39" t="n">
        <v>114.95</v>
      </c>
      <c r="Y1558" s="39" t="n">
        <f aca="false">J1558*Resumo!$B$6</f>
        <v>0.45818</v>
      </c>
      <c r="Z1558" s="39" t="n">
        <f aca="false">J1558*Resumo!$B$7</f>
        <v>0.91636</v>
      </c>
      <c r="AA1558" s="39" t="n">
        <f aca="false">Resumo!$B$9</f>
        <v>1</v>
      </c>
      <c r="AB1558" s="39" t="n">
        <f aca="false">Resumo!$B$10*CEILING(I1558/100,1)</f>
        <v>4.5</v>
      </c>
      <c r="AC1558" s="39" t="n">
        <f aca="false">Resumo!$B$12*CEILING(I1558,1)</f>
        <v>1.8</v>
      </c>
      <c r="AD1558" s="39" t="n">
        <f aca="false">Resumo!$B$14*CEILING(I1558,1)</f>
        <v>13.5</v>
      </c>
      <c r="AE1558" s="39" t="n">
        <f aca="false">SUM(X1558:AD1558)</f>
        <v>137.12454</v>
      </c>
      <c r="AF1558" s="39" t="n">
        <f aca="false">AE1558/(1-Resumo!$B$5)</f>
        <v>155.823340909091</v>
      </c>
      <c r="AG1558" s="39" t="n">
        <f aca="false">AF1558-W1558</f>
        <v>47.1252090909091</v>
      </c>
      <c r="AH1558" s="40" t="n">
        <f aca="false">AF1558/W1558-1</f>
        <v>0.433542033360196</v>
      </c>
      <c r="AI1558" s="37" t="str">
        <f aca="false">IF(AF1558&lt;W1558,"SIM","NÃO")</f>
        <v>NÃO</v>
      </c>
      <c r="AJ1558" s="37" t="n">
        <v>13</v>
      </c>
      <c r="AK1558" s="37" t="n">
        <v>10</v>
      </c>
      <c r="AL1558" s="37" t="s">
        <v>343</v>
      </c>
      <c r="AM1558" s="39" t="n">
        <v>109.38</v>
      </c>
    </row>
    <row r="1559" customFormat="false" ht="15" hidden="false" customHeight="false" outlineLevel="0" collapsed="false">
      <c r="A1559" s="37" t="n">
        <v>388135543</v>
      </c>
      <c r="B1559" s="38" t="n">
        <v>46268.7564583333</v>
      </c>
      <c r="C1559" s="37" t="s">
        <v>340</v>
      </c>
      <c r="D1559" s="37" t="s">
        <v>1774</v>
      </c>
      <c r="E1559" s="37" t="n">
        <v>22790682</v>
      </c>
      <c r="F1559" s="37" t="s">
        <v>159</v>
      </c>
      <c r="G1559" s="37" t="s">
        <v>196</v>
      </c>
      <c r="H1559" s="37" t="s">
        <v>184</v>
      </c>
      <c r="I1559" s="37" t="n">
        <v>29.2</v>
      </c>
      <c r="J1559" s="39" t="n">
        <v>449.99</v>
      </c>
      <c r="K1559" s="37" t="s">
        <v>342</v>
      </c>
      <c r="L1559" s="39" t="n">
        <v>82.48</v>
      </c>
      <c r="M1559" s="39" t="n">
        <v>42.11</v>
      </c>
      <c r="N1559" s="39" t="n">
        <f aca="false">J1559*Resumo!$C$6</f>
        <v>0</v>
      </c>
      <c r="O1559" s="39" t="n">
        <f aca="false">J1559*Resumo!$C$7</f>
        <v>0.944979</v>
      </c>
      <c r="P1559" s="39" t="n">
        <f aca="false">J1559*Resumo!$C$8</f>
        <v>0.944979</v>
      </c>
      <c r="Q1559" s="39" t="n">
        <f aca="false">Resumo!$C$10*CEILING(I1559/100,1)</f>
        <v>1.05</v>
      </c>
      <c r="R1559" s="39" t="n">
        <f aca="false">Resumo!$C$9</f>
        <v>0</v>
      </c>
      <c r="S1559" s="39" t="n">
        <f aca="false">Resumo!$C$13</f>
        <v>13.55</v>
      </c>
      <c r="T1559" s="39" t="n">
        <f aca="false">Resumo!$C$14*CEILING(I1559,1)</f>
        <v>13.5</v>
      </c>
      <c r="U1559" s="39" t="n">
        <f aca="false">SUM(M1559:T1559)*Resumo!$C$11</f>
        <v>0</v>
      </c>
      <c r="V1559" s="39" t="n">
        <f aca="false">SUM(M1559:U1559)</f>
        <v>72.099958</v>
      </c>
      <c r="W1559" s="39" t="n">
        <f aca="false">V1559/(1-Resumo!$C$5)</f>
        <v>81.9317704545455</v>
      </c>
      <c r="X1559" s="39" t="n">
        <v>82.21</v>
      </c>
      <c r="Y1559" s="39" t="n">
        <f aca="false">J1559*Resumo!$B$6</f>
        <v>0.44999</v>
      </c>
      <c r="Z1559" s="39" t="n">
        <f aca="false">J1559*Resumo!$B$7</f>
        <v>0.89998</v>
      </c>
      <c r="AA1559" s="39" t="n">
        <f aca="false">Resumo!$B$9</f>
        <v>1</v>
      </c>
      <c r="AB1559" s="39" t="n">
        <f aca="false">Resumo!$B$10*CEILING(I1559/100,1)</f>
        <v>4.5</v>
      </c>
      <c r="AC1559" s="39" t="n">
        <f aca="false">Resumo!$B$12*CEILING(I1559,1)</f>
        <v>1.8</v>
      </c>
      <c r="AD1559" s="39" t="n">
        <f aca="false">Resumo!$B$14*CEILING(I1559,1)</f>
        <v>13.5</v>
      </c>
      <c r="AE1559" s="39" t="n">
        <f aca="false">SUM(X1559:AD1559)</f>
        <v>104.35997</v>
      </c>
      <c r="AF1559" s="39" t="n">
        <f aca="false">AE1559/(1-Resumo!$B$5)</f>
        <v>118.590875</v>
      </c>
      <c r="AG1559" s="39" t="n">
        <f aca="false">AF1559-W1559</f>
        <v>36.6591045454545</v>
      </c>
      <c r="AH1559" s="40" t="n">
        <f aca="false">AF1559/W1559-1</f>
        <v>0.447434546355769</v>
      </c>
      <c r="AI1559" s="37" t="str">
        <f aca="false">IF(AF1559&lt;W1559,"SIM","NÃO")</f>
        <v>NÃO</v>
      </c>
      <c r="AJ1559" s="37" t="n">
        <v>2</v>
      </c>
      <c r="AK1559" s="37" t="n">
        <v>5</v>
      </c>
      <c r="AL1559" s="37" t="s">
        <v>343</v>
      </c>
      <c r="AM1559" s="39" t="n">
        <v>82.48</v>
      </c>
    </row>
    <row r="1560" customFormat="false" ht="15" hidden="false" customHeight="false" outlineLevel="0" collapsed="false">
      <c r="A1560" s="37" t="n">
        <v>388137074</v>
      </c>
      <c r="B1560" s="38" t="n">
        <v>46268.7600578704</v>
      </c>
      <c r="C1560" s="37" t="s">
        <v>340</v>
      </c>
      <c r="D1560" s="37" t="s">
        <v>1775</v>
      </c>
      <c r="E1560" s="37" t="n">
        <v>26423400</v>
      </c>
      <c r="F1560" s="37" t="s">
        <v>237</v>
      </c>
      <c r="G1560" s="37" t="s">
        <v>198</v>
      </c>
      <c r="H1560" s="37" t="s">
        <v>186</v>
      </c>
      <c r="I1560" s="37" t="n">
        <v>48.3</v>
      </c>
      <c r="J1560" s="39" t="n">
        <v>440.89</v>
      </c>
      <c r="K1560" s="37" t="s">
        <v>342</v>
      </c>
      <c r="L1560" s="39" t="n">
        <v>130.27</v>
      </c>
      <c r="M1560" s="39" t="n">
        <v>77.7</v>
      </c>
      <c r="N1560" s="39" t="n">
        <f aca="false">J1560*Resumo!$C$6</f>
        <v>0</v>
      </c>
      <c r="O1560" s="39" t="n">
        <f aca="false">J1560*Resumo!$C$7</f>
        <v>0.925869</v>
      </c>
      <c r="P1560" s="39" t="n">
        <f aca="false">J1560*Resumo!$C$8</f>
        <v>0.925869</v>
      </c>
      <c r="Q1560" s="39" t="n">
        <f aca="false">Resumo!$C$10*CEILING(I1560/100,1)</f>
        <v>1.05</v>
      </c>
      <c r="R1560" s="39" t="n">
        <f aca="false">Resumo!$C$9</f>
        <v>0</v>
      </c>
      <c r="S1560" s="39" t="n">
        <f aca="false">Resumo!$C$13</f>
        <v>13.55</v>
      </c>
      <c r="T1560" s="39" t="n">
        <f aca="false">Resumo!$C$14*CEILING(I1560,1)</f>
        <v>22.05</v>
      </c>
      <c r="U1560" s="39" t="n">
        <f aca="false">SUM(M1560:T1560)*Resumo!$C$11</f>
        <v>0</v>
      </c>
      <c r="V1560" s="39" t="n">
        <f aca="false">SUM(M1560:U1560)</f>
        <v>116.201738</v>
      </c>
      <c r="W1560" s="39" t="n">
        <f aca="false">V1560/(1-Resumo!$C$5)</f>
        <v>132.047429545455</v>
      </c>
      <c r="X1560" s="39" t="n">
        <v>93.97</v>
      </c>
      <c r="Y1560" s="39" t="n">
        <f aca="false">J1560*Resumo!$B$6</f>
        <v>0.44089</v>
      </c>
      <c r="Z1560" s="39" t="n">
        <f aca="false">J1560*Resumo!$B$7</f>
        <v>0.88178</v>
      </c>
      <c r="AA1560" s="39" t="n">
        <f aca="false">Resumo!$B$9</f>
        <v>1</v>
      </c>
      <c r="AB1560" s="39" t="n">
        <f aca="false">Resumo!$B$10*CEILING(I1560/100,1)</f>
        <v>4.5</v>
      </c>
      <c r="AC1560" s="39" t="n">
        <f aca="false">Resumo!$B$12*CEILING(I1560,1)</f>
        <v>2.94</v>
      </c>
      <c r="AD1560" s="39" t="n">
        <f aca="false">Resumo!$B$14*CEILING(I1560,1)</f>
        <v>22.05</v>
      </c>
      <c r="AE1560" s="39" t="n">
        <f aca="false">SUM(X1560:AD1560)</f>
        <v>125.78267</v>
      </c>
      <c r="AF1560" s="39" t="n">
        <f aca="false">AE1560/(1-Resumo!$B$5)</f>
        <v>142.934852272727</v>
      </c>
      <c r="AG1560" s="39" t="n">
        <f aca="false">AF1560-W1560</f>
        <v>10.8874227272727</v>
      </c>
      <c r="AH1560" s="40" t="n">
        <f aca="false">AF1560/W1560-1</f>
        <v>0.0824508494012368</v>
      </c>
      <c r="AI1560" s="37" t="str">
        <f aca="false">IF(AF1560&lt;W1560,"SIM","NÃO")</f>
        <v>NÃO</v>
      </c>
      <c r="AJ1560" s="37" t="n">
        <v>13</v>
      </c>
      <c r="AK1560" s="37" t="n">
        <v>5</v>
      </c>
      <c r="AL1560" s="37" t="s">
        <v>347</v>
      </c>
      <c r="AM1560" s="39" t="n">
        <v>130.27</v>
      </c>
    </row>
    <row r="1561" customFormat="false" ht="15" hidden="false" customHeight="false" outlineLevel="0" collapsed="false">
      <c r="A1561" s="37" t="n">
        <v>388139974</v>
      </c>
      <c r="B1561" s="38" t="n">
        <v>46268.7658912037</v>
      </c>
      <c r="C1561" s="37" t="s">
        <v>340</v>
      </c>
      <c r="D1561" s="37" t="s">
        <v>1776</v>
      </c>
      <c r="E1561" s="37" t="n">
        <v>20541125</v>
      </c>
      <c r="F1561" s="37" t="s">
        <v>159</v>
      </c>
      <c r="G1561" s="37" t="s">
        <v>196</v>
      </c>
      <c r="H1561" s="37" t="s">
        <v>184</v>
      </c>
      <c r="I1561" s="37" t="n">
        <v>33</v>
      </c>
      <c r="J1561" s="39" t="n">
        <v>438.93</v>
      </c>
      <c r="K1561" s="37" t="s">
        <v>342</v>
      </c>
      <c r="L1561" s="39" t="n">
        <v>82.43</v>
      </c>
      <c r="M1561" s="39" t="n">
        <v>42.11</v>
      </c>
      <c r="N1561" s="39" t="n">
        <f aca="false">J1561*Resumo!$C$6</f>
        <v>0</v>
      </c>
      <c r="O1561" s="39" t="n">
        <f aca="false">J1561*Resumo!$C$7</f>
        <v>0.921753</v>
      </c>
      <c r="P1561" s="39" t="n">
        <f aca="false">J1561*Resumo!$C$8</f>
        <v>0.921753</v>
      </c>
      <c r="Q1561" s="39" t="n">
        <f aca="false">Resumo!$C$10*CEILING(I1561/100,1)</f>
        <v>1.05</v>
      </c>
      <c r="R1561" s="39" t="n">
        <f aca="false">Resumo!$C$9</f>
        <v>0</v>
      </c>
      <c r="S1561" s="39" t="n">
        <f aca="false">Resumo!$C$13</f>
        <v>13.55</v>
      </c>
      <c r="T1561" s="39" t="n">
        <f aca="false">Resumo!$C$14*CEILING(I1561,1)</f>
        <v>14.85</v>
      </c>
      <c r="U1561" s="39" t="n">
        <f aca="false">SUM(M1561:T1561)*Resumo!$C$11</f>
        <v>0</v>
      </c>
      <c r="V1561" s="39" t="n">
        <f aca="false">SUM(M1561:U1561)</f>
        <v>73.403506</v>
      </c>
      <c r="W1561" s="39" t="n">
        <f aca="false">V1561/(1-Resumo!$C$5)</f>
        <v>83.413075</v>
      </c>
      <c r="X1561" s="39" t="n">
        <v>82.21</v>
      </c>
      <c r="Y1561" s="39" t="n">
        <f aca="false">J1561*Resumo!$B$6</f>
        <v>0.43893</v>
      </c>
      <c r="Z1561" s="39" t="n">
        <f aca="false">J1561*Resumo!$B$7</f>
        <v>0.87786</v>
      </c>
      <c r="AA1561" s="39" t="n">
        <f aca="false">Resumo!$B$9</f>
        <v>1</v>
      </c>
      <c r="AB1561" s="39" t="n">
        <f aca="false">Resumo!$B$10*CEILING(I1561/100,1)</f>
        <v>4.5</v>
      </c>
      <c r="AC1561" s="39" t="n">
        <f aca="false">Resumo!$B$12*CEILING(I1561,1)</f>
        <v>1.98</v>
      </c>
      <c r="AD1561" s="39" t="n">
        <f aca="false">Resumo!$B$14*CEILING(I1561,1)</f>
        <v>14.85</v>
      </c>
      <c r="AE1561" s="39" t="n">
        <f aca="false">SUM(X1561:AD1561)</f>
        <v>105.85679</v>
      </c>
      <c r="AF1561" s="39" t="n">
        <f aca="false">AE1561/(1-Resumo!$B$5)</f>
        <v>120.291806818182</v>
      </c>
      <c r="AG1561" s="39" t="n">
        <f aca="false">AF1561-W1561</f>
        <v>36.8787318181818</v>
      </c>
      <c r="AH1561" s="40" t="n">
        <f aca="false">AF1561/W1561-1</f>
        <v>0.442121715548574</v>
      </c>
      <c r="AI1561" s="37" t="str">
        <f aca="false">IF(AF1561&lt;W1561,"SIM","NÃO")</f>
        <v>NÃO</v>
      </c>
      <c r="AJ1561" s="37" t="n">
        <v>2</v>
      </c>
      <c r="AK1561" s="37" t="n">
        <v>5</v>
      </c>
      <c r="AL1561" s="37" t="s">
        <v>343</v>
      </c>
      <c r="AM1561" s="39" t="n">
        <v>82.43</v>
      </c>
    </row>
    <row r="1562" customFormat="false" ht="15" hidden="false" customHeight="false" outlineLevel="0" collapsed="false">
      <c r="A1562" s="37" t="n">
        <v>388142424</v>
      </c>
      <c r="B1562" s="38" t="n">
        <v>46268.7711689815</v>
      </c>
      <c r="C1562" s="37" t="s">
        <v>379</v>
      </c>
      <c r="D1562" s="37" t="s">
        <v>1777</v>
      </c>
      <c r="E1562" s="37" t="n">
        <v>24344150</v>
      </c>
      <c r="F1562" s="37" t="s">
        <v>163</v>
      </c>
      <c r="G1562" s="37" t="s">
        <v>197</v>
      </c>
      <c r="H1562" s="37" t="s">
        <v>184</v>
      </c>
      <c r="I1562" s="37" t="n">
        <v>24.4</v>
      </c>
      <c r="J1562" s="39" t="n">
        <v>349.99</v>
      </c>
      <c r="K1562" s="37" t="s">
        <v>342</v>
      </c>
      <c r="L1562" s="39" t="n">
        <v>101.07</v>
      </c>
      <c r="M1562" s="39" t="n">
        <v>58.8</v>
      </c>
      <c r="N1562" s="39" t="n">
        <f aca="false">J1562*Resumo!$C$6</f>
        <v>0</v>
      </c>
      <c r="O1562" s="39" t="n">
        <f aca="false">J1562*Resumo!$C$7</f>
        <v>0.734979</v>
      </c>
      <c r="P1562" s="39" t="n">
        <f aca="false">J1562*Resumo!$C$8</f>
        <v>0.734979</v>
      </c>
      <c r="Q1562" s="39" t="n">
        <f aca="false">Resumo!$C$10*CEILING(I1562/100,1)</f>
        <v>1.05</v>
      </c>
      <c r="R1562" s="39" t="n">
        <f aca="false">Resumo!$C$9</f>
        <v>0</v>
      </c>
      <c r="S1562" s="39" t="n">
        <f aca="false">Resumo!$C$13</f>
        <v>13.55</v>
      </c>
      <c r="T1562" s="39" t="n">
        <f aca="false">Resumo!$C$14*CEILING(I1562,1)</f>
        <v>11.25</v>
      </c>
      <c r="U1562" s="39" t="n">
        <f aca="false">SUM(M1562:T1562)*Resumo!$C$11</f>
        <v>0</v>
      </c>
      <c r="V1562" s="39" t="n">
        <f aca="false">SUM(M1562:U1562)</f>
        <v>86.119958</v>
      </c>
      <c r="W1562" s="39" t="n">
        <f aca="false">V1562/(1-Resumo!$C$5)</f>
        <v>97.8635886363636</v>
      </c>
      <c r="X1562" s="39" t="n">
        <v>100.58</v>
      </c>
      <c r="Y1562" s="39" t="n">
        <f aca="false">J1562*Resumo!$B$6</f>
        <v>0.34999</v>
      </c>
      <c r="Z1562" s="39" t="n">
        <f aca="false">J1562*Resumo!$B$7</f>
        <v>0.69998</v>
      </c>
      <c r="AA1562" s="39" t="n">
        <f aca="false">Resumo!$B$9</f>
        <v>1</v>
      </c>
      <c r="AB1562" s="39" t="n">
        <f aca="false">Resumo!$B$10*CEILING(I1562/100,1)</f>
        <v>4.5</v>
      </c>
      <c r="AC1562" s="39" t="n">
        <f aca="false">Resumo!$B$12*CEILING(I1562,1)</f>
        <v>1.5</v>
      </c>
      <c r="AD1562" s="39" t="n">
        <f aca="false">Resumo!$B$14*CEILING(I1562,1)</f>
        <v>11.25</v>
      </c>
      <c r="AE1562" s="39" t="n">
        <f aca="false">SUM(X1562:AD1562)</f>
        <v>119.87997</v>
      </c>
      <c r="AF1562" s="39" t="n">
        <f aca="false">AE1562/(1-Resumo!$B$5)</f>
        <v>136.227238636364</v>
      </c>
      <c r="AG1562" s="39" t="n">
        <f aca="false">AF1562-W1562</f>
        <v>38.36365</v>
      </c>
      <c r="AH1562" s="40" t="n">
        <f aca="false">AF1562/W1562-1</f>
        <v>0.392011477757572</v>
      </c>
      <c r="AI1562" s="37" t="str">
        <f aca="false">IF(AF1562&lt;W1562,"SIM","NÃO")</f>
        <v>NÃO</v>
      </c>
      <c r="AJ1562" s="37" t="n">
        <v>2</v>
      </c>
      <c r="AK1562" s="37" t="n">
        <v>7</v>
      </c>
      <c r="AL1562" s="37" t="s">
        <v>343</v>
      </c>
      <c r="AM1562" s="39" t="n">
        <v>101.06</v>
      </c>
    </row>
    <row r="1563" customFormat="false" ht="15" hidden="false" customHeight="false" outlineLevel="0" collapsed="false">
      <c r="A1563" s="37" t="n">
        <v>388199139</v>
      </c>
      <c r="B1563" s="38" t="n">
        <v>46268.8809027778</v>
      </c>
      <c r="C1563" s="37" t="s">
        <v>345</v>
      </c>
      <c r="D1563" s="37" t="s">
        <v>1778</v>
      </c>
      <c r="E1563" s="37" t="n">
        <v>22780081</v>
      </c>
      <c r="F1563" s="37" t="s">
        <v>159</v>
      </c>
      <c r="G1563" s="37" t="s">
        <v>196</v>
      </c>
      <c r="H1563" s="37" t="s">
        <v>183</v>
      </c>
      <c r="I1563" s="37" t="n">
        <v>13.18</v>
      </c>
      <c r="J1563" s="39" t="n">
        <v>245.9</v>
      </c>
      <c r="K1563" s="37" t="s">
        <v>342</v>
      </c>
      <c r="L1563" s="39" t="n">
        <v>64.39</v>
      </c>
      <c r="M1563" s="39" t="n">
        <v>33.42</v>
      </c>
      <c r="N1563" s="39" t="n">
        <f aca="false">J1563*Resumo!$C$6</f>
        <v>0</v>
      </c>
      <c r="O1563" s="39" t="n">
        <f aca="false">J1563*Resumo!$C$7</f>
        <v>0.51639</v>
      </c>
      <c r="P1563" s="39" t="n">
        <f aca="false">J1563*Resumo!$C$8</f>
        <v>0.51639</v>
      </c>
      <c r="Q1563" s="39" t="n">
        <f aca="false">Resumo!$C$10*CEILING(I1563/100,1)</f>
        <v>1.05</v>
      </c>
      <c r="R1563" s="39" t="n">
        <f aca="false">Resumo!$C$9</f>
        <v>0</v>
      </c>
      <c r="S1563" s="39" t="n">
        <f aca="false">Resumo!$C$13</f>
        <v>13.55</v>
      </c>
      <c r="T1563" s="39" t="n">
        <f aca="false">Resumo!$C$14*CEILING(I1563,1)</f>
        <v>6.3</v>
      </c>
      <c r="U1563" s="39" t="n">
        <f aca="false">SUM(M1563:T1563)*Resumo!$C$11</f>
        <v>0</v>
      </c>
      <c r="V1563" s="39" t="n">
        <f aca="false">SUM(M1563:U1563)</f>
        <v>55.35278</v>
      </c>
      <c r="W1563" s="39" t="n">
        <f aca="false">V1563/(1-Resumo!$C$5)</f>
        <v>62.9008863636364</v>
      </c>
      <c r="X1563" s="39" t="n">
        <v>46.98</v>
      </c>
      <c r="Y1563" s="39" t="n">
        <f aca="false">J1563*Resumo!$B$6</f>
        <v>0.2459</v>
      </c>
      <c r="Z1563" s="39" t="n">
        <f aca="false">J1563*Resumo!$B$7</f>
        <v>0.4918</v>
      </c>
      <c r="AA1563" s="39" t="n">
        <f aca="false">Resumo!$B$9</f>
        <v>1</v>
      </c>
      <c r="AB1563" s="39" t="n">
        <f aca="false">Resumo!$B$10*CEILING(I1563/100,1)</f>
        <v>4.5</v>
      </c>
      <c r="AC1563" s="39" t="n">
        <f aca="false">Resumo!$B$12*CEILING(I1563,1)</f>
        <v>0.84</v>
      </c>
      <c r="AD1563" s="39" t="n">
        <f aca="false">Resumo!$B$14*CEILING(I1563,1)</f>
        <v>6.3</v>
      </c>
      <c r="AE1563" s="39" t="n">
        <f aca="false">SUM(X1563:AD1563)</f>
        <v>60.3577</v>
      </c>
      <c r="AF1563" s="39" t="n">
        <f aca="false">AE1563/(1-Resumo!$B$5)</f>
        <v>68.5882954545455</v>
      </c>
      <c r="AG1563" s="39" t="n">
        <f aca="false">AF1563-W1563</f>
        <v>5.68740909090908</v>
      </c>
      <c r="AH1563" s="40" t="n">
        <f aca="false">AF1563/W1563-1</f>
        <v>0.0904185842156435</v>
      </c>
      <c r="AI1563" s="37" t="str">
        <f aca="false">IF(AF1563&lt;W1563,"SIM","NÃO")</f>
        <v>NÃO</v>
      </c>
      <c r="AJ1563" s="37" t="n">
        <v>2</v>
      </c>
      <c r="AK1563" s="37" t="n">
        <v>5</v>
      </c>
      <c r="AL1563" s="37" t="s">
        <v>343</v>
      </c>
      <c r="AM1563" s="39" t="n">
        <v>64.4</v>
      </c>
    </row>
    <row r="1564" customFormat="false" ht="15" hidden="false" customHeight="false" outlineLevel="0" collapsed="false">
      <c r="A1564" s="37" t="n">
        <v>388199440</v>
      </c>
      <c r="B1564" s="38" t="n">
        <v>46268.8821875</v>
      </c>
      <c r="C1564" s="37" t="s">
        <v>379</v>
      </c>
      <c r="D1564" s="37" t="s">
        <v>1779</v>
      </c>
      <c r="E1564" s="37" t="n">
        <v>22220060</v>
      </c>
      <c r="F1564" s="37" t="s">
        <v>159</v>
      </c>
      <c r="G1564" s="37" t="s">
        <v>196</v>
      </c>
      <c r="H1564" s="37" t="s">
        <v>184</v>
      </c>
      <c r="I1564" s="37" t="n">
        <v>33</v>
      </c>
      <c r="J1564" s="39" t="n">
        <v>439.99</v>
      </c>
      <c r="K1564" s="37" t="s">
        <v>1780</v>
      </c>
      <c r="L1564" s="39" t="n">
        <v>82.17</v>
      </c>
      <c r="M1564" s="39" t="n">
        <v>42.11</v>
      </c>
      <c r="N1564" s="39" t="n">
        <f aca="false">J1564*Resumo!$C$6</f>
        <v>0</v>
      </c>
      <c r="O1564" s="39" t="n">
        <f aca="false">J1564*Resumo!$C$7</f>
        <v>0.923979</v>
      </c>
      <c r="P1564" s="39" t="n">
        <f aca="false">J1564*Resumo!$C$8</f>
        <v>0.923979</v>
      </c>
      <c r="Q1564" s="39" t="n">
        <f aca="false">Resumo!$C$10*CEILING(I1564/100,1)</f>
        <v>1.05</v>
      </c>
      <c r="R1564" s="39" t="n">
        <f aca="false">Resumo!$C$9</f>
        <v>0</v>
      </c>
      <c r="S1564" s="39" t="n">
        <f aca="false">Resumo!$C$13</f>
        <v>13.55</v>
      </c>
      <c r="T1564" s="39" t="n">
        <f aca="false">Resumo!$C$14*CEILING(I1564,1)</f>
        <v>14.85</v>
      </c>
      <c r="U1564" s="39" t="n">
        <f aca="false">SUM(M1564:T1564)*Resumo!$C$11</f>
        <v>0</v>
      </c>
      <c r="V1564" s="39" t="n">
        <f aca="false">SUM(M1564:U1564)</f>
        <v>73.407958</v>
      </c>
      <c r="W1564" s="39" t="n">
        <f aca="false">V1564/(1-Resumo!$C$5)</f>
        <v>83.4181340909091</v>
      </c>
      <c r="X1564" s="39" t="n">
        <v>82.21</v>
      </c>
      <c r="Y1564" s="39" t="n">
        <f aca="false">J1564*Resumo!$B$6</f>
        <v>0.43999</v>
      </c>
      <c r="Z1564" s="39" t="n">
        <f aca="false">J1564*Resumo!$B$7</f>
        <v>0.87998</v>
      </c>
      <c r="AA1564" s="39" t="n">
        <f aca="false">Resumo!$B$9</f>
        <v>1</v>
      </c>
      <c r="AB1564" s="39" t="n">
        <f aca="false">Resumo!$B$10*CEILING(I1564/100,1)</f>
        <v>4.5</v>
      </c>
      <c r="AC1564" s="39" t="n">
        <f aca="false">Resumo!$B$12*CEILING(I1564,1)</f>
        <v>1.98</v>
      </c>
      <c r="AD1564" s="39" t="n">
        <f aca="false">Resumo!$B$14*CEILING(I1564,1)</f>
        <v>14.85</v>
      </c>
      <c r="AE1564" s="39" t="n">
        <f aca="false">SUM(X1564:AD1564)</f>
        <v>105.85997</v>
      </c>
      <c r="AF1564" s="39" t="n">
        <f aca="false">AE1564/(1-Resumo!$B$5)</f>
        <v>120.295420454545</v>
      </c>
      <c r="AG1564" s="39" t="n">
        <f aca="false">AF1564-W1564</f>
        <v>36.8772863636364</v>
      </c>
      <c r="AH1564" s="40" t="n">
        <f aca="false">AF1564/W1564-1</f>
        <v>0.442077574205238</v>
      </c>
      <c r="AI1564" s="37" t="str">
        <f aca="false">IF(AF1564&lt;W1564,"SIM","NÃO")</f>
        <v>NÃO</v>
      </c>
      <c r="AJ1564" s="37" t="n">
        <v>2</v>
      </c>
      <c r="AK1564" s="37" t="n">
        <v>5</v>
      </c>
      <c r="AL1564" s="37" t="s">
        <v>343</v>
      </c>
      <c r="AM1564" s="39" t="n">
        <v>82.43</v>
      </c>
    </row>
    <row r="1565" customFormat="false" ht="15" hidden="false" customHeight="false" outlineLevel="0" collapsed="false">
      <c r="A1565" s="37" t="n">
        <v>388203943</v>
      </c>
      <c r="B1565" s="38" t="n">
        <v>46268.8938194444</v>
      </c>
      <c r="C1565" s="37" t="s">
        <v>372</v>
      </c>
      <c r="D1565" s="37" t="s">
        <v>1781</v>
      </c>
      <c r="E1565" s="37" t="n">
        <v>23073356</v>
      </c>
      <c r="F1565" s="37" t="s">
        <v>159</v>
      </c>
      <c r="G1565" s="37" t="s">
        <v>196</v>
      </c>
      <c r="H1565" s="37" t="s">
        <v>185</v>
      </c>
      <c r="I1565" s="37" t="n">
        <v>36.8</v>
      </c>
      <c r="J1565" s="39" t="n">
        <v>379.99</v>
      </c>
      <c r="K1565" s="37" t="s">
        <v>342</v>
      </c>
      <c r="L1565" s="39" t="n">
        <v>91.68</v>
      </c>
      <c r="M1565" s="39" t="n">
        <v>48.35</v>
      </c>
      <c r="N1565" s="39" t="n">
        <f aca="false">J1565*Resumo!$C$6</f>
        <v>0</v>
      </c>
      <c r="O1565" s="39" t="n">
        <f aca="false">J1565*Resumo!$C$7</f>
        <v>0.797979</v>
      </c>
      <c r="P1565" s="39" t="n">
        <f aca="false">J1565*Resumo!$C$8</f>
        <v>0.797979</v>
      </c>
      <c r="Q1565" s="39" t="n">
        <f aca="false">Resumo!$C$10*CEILING(I1565/100,1)</f>
        <v>1.05</v>
      </c>
      <c r="R1565" s="39" t="n">
        <f aca="false">Resumo!$C$9</f>
        <v>0</v>
      </c>
      <c r="S1565" s="39" t="n">
        <f aca="false">Resumo!$C$13</f>
        <v>13.55</v>
      </c>
      <c r="T1565" s="39" t="n">
        <f aca="false">Resumo!$C$14*CEILING(I1565,1)</f>
        <v>16.65</v>
      </c>
      <c r="U1565" s="39" t="n">
        <f aca="false">SUM(M1565:T1565)*Resumo!$C$11</f>
        <v>0</v>
      </c>
      <c r="V1565" s="39" t="n">
        <f aca="false">SUM(M1565:U1565)</f>
        <v>81.195958</v>
      </c>
      <c r="W1565" s="39" t="n">
        <f aca="false">V1565/(1-Resumo!$C$5)</f>
        <v>92.2681340909091</v>
      </c>
      <c r="X1565" s="39" t="n">
        <v>93.97</v>
      </c>
      <c r="Y1565" s="39" t="n">
        <f aca="false">J1565*Resumo!$B$6</f>
        <v>0.37999</v>
      </c>
      <c r="Z1565" s="39" t="n">
        <f aca="false">J1565*Resumo!$B$7</f>
        <v>0.75998</v>
      </c>
      <c r="AA1565" s="39" t="n">
        <f aca="false">Resumo!$B$9</f>
        <v>1</v>
      </c>
      <c r="AB1565" s="39" t="n">
        <f aca="false">Resumo!$B$10*CEILING(I1565/100,1)</f>
        <v>4.5</v>
      </c>
      <c r="AC1565" s="39" t="n">
        <f aca="false">Resumo!$B$12*CEILING(I1565,1)</f>
        <v>2.22</v>
      </c>
      <c r="AD1565" s="39" t="n">
        <f aca="false">Resumo!$B$14*CEILING(I1565,1)</f>
        <v>16.65</v>
      </c>
      <c r="AE1565" s="39" t="n">
        <f aca="false">SUM(X1565:AD1565)</f>
        <v>119.47997</v>
      </c>
      <c r="AF1565" s="39" t="n">
        <f aca="false">AE1565/(1-Resumo!$B$5)</f>
        <v>135.772693181818</v>
      </c>
      <c r="AG1565" s="39" t="n">
        <f aca="false">AF1565-W1565</f>
        <v>43.5045590909091</v>
      </c>
      <c r="AH1565" s="40" t="n">
        <f aca="false">AF1565/W1565-1</f>
        <v>0.471501450848083</v>
      </c>
      <c r="AI1565" s="37" t="str">
        <f aca="false">IF(AF1565&lt;W1565,"SIM","NÃO")</f>
        <v>NÃO</v>
      </c>
      <c r="AJ1565" s="37" t="n">
        <v>2</v>
      </c>
      <c r="AK1565" s="37" t="n">
        <v>5</v>
      </c>
      <c r="AL1565" s="37" t="s">
        <v>343</v>
      </c>
      <c r="AM1565" s="39" t="n">
        <v>91.68</v>
      </c>
    </row>
    <row r="1566" customFormat="false" ht="15" hidden="false" customHeight="false" outlineLevel="0" collapsed="false">
      <c r="A1566" s="37" t="n">
        <v>388209266</v>
      </c>
      <c r="B1566" s="38" t="n">
        <v>46268.9049305556</v>
      </c>
      <c r="C1566" s="37" t="s">
        <v>375</v>
      </c>
      <c r="D1566" s="37" t="s">
        <v>1782</v>
      </c>
      <c r="E1566" s="37" t="n">
        <v>22790180</v>
      </c>
      <c r="F1566" s="37" t="s">
        <v>159</v>
      </c>
      <c r="G1566" s="37" t="s">
        <v>196</v>
      </c>
      <c r="H1566" s="37" t="s">
        <v>183</v>
      </c>
      <c r="I1566" s="37" t="n">
        <v>15.15</v>
      </c>
      <c r="J1566" s="39" t="n">
        <v>249.99</v>
      </c>
      <c r="K1566" s="37" t="s">
        <v>342</v>
      </c>
      <c r="L1566" s="39" t="n">
        <v>64.42</v>
      </c>
      <c r="M1566" s="39" t="n">
        <v>33.42</v>
      </c>
      <c r="N1566" s="39" t="n">
        <f aca="false">J1566*Resumo!$C$6</f>
        <v>0</v>
      </c>
      <c r="O1566" s="39" t="n">
        <f aca="false">J1566*Resumo!$C$7</f>
        <v>0.524979</v>
      </c>
      <c r="P1566" s="39" t="n">
        <f aca="false">J1566*Resumo!$C$8</f>
        <v>0.524979</v>
      </c>
      <c r="Q1566" s="39" t="n">
        <f aca="false">Resumo!$C$10*CEILING(I1566/100,1)</f>
        <v>1.05</v>
      </c>
      <c r="R1566" s="39" t="n">
        <f aca="false">Resumo!$C$9</f>
        <v>0</v>
      </c>
      <c r="S1566" s="39" t="n">
        <f aca="false">Resumo!$C$13</f>
        <v>13.55</v>
      </c>
      <c r="T1566" s="39" t="n">
        <f aca="false">Resumo!$C$14*CEILING(I1566,1)</f>
        <v>7.2</v>
      </c>
      <c r="U1566" s="39" t="n">
        <f aca="false">SUM(M1566:T1566)*Resumo!$C$11</f>
        <v>0</v>
      </c>
      <c r="V1566" s="39" t="n">
        <f aca="false">SUM(M1566:U1566)</f>
        <v>56.269958</v>
      </c>
      <c r="W1566" s="39" t="n">
        <f aca="false">V1566/(1-Resumo!$C$5)</f>
        <v>63.9431340909091</v>
      </c>
      <c r="X1566" s="39" t="n">
        <v>46.98</v>
      </c>
      <c r="Y1566" s="39" t="n">
        <f aca="false">J1566*Resumo!$B$6</f>
        <v>0.24999</v>
      </c>
      <c r="Z1566" s="39" t="n">
        <f aca="false">J1566*Resumo!$B$7</f>
        <v>0.49998</v>
      </c>
      <c r="AA1566" s="39" t="n">
        <f aca="false">Resumo!$B$9</f>
        <v>1</v>
      </c>
      <c r="AB1566" s="39" t="n">
        <f aca="false">Resumo!$B$10*CEILING(I1566/100,1)</f>
        <v>4.5</v>
      </c>
      <c r="AC1566" s="39" t="n">
        <f aca="false">Resumo!$B$12*CEILING(I1566,1)</f>
        <v>0.96</v>
      </c>
      <c r="AD1566" s="39" t="n">
        <f aca="false">Resumo!$B$14*CEILING(I1566,1)</f>
        <v>7.2</v>
      </c>
      <c r="AE1566" s="39" t="n">
        <f aca="false">SUM(X1566:AD1566)</f>
        <v>61.38997</v>
      </c>
      <c r="AF1566" s="39" t="n">
        <f aca="false">AE1566/(1-Resumo!$B$5)</f>
        <v>69.7613295454545</v>
      </c>
      <c r="AG1566" s="39" t="n">
        <f aca="false">AF1566-W1566</f>
        <v>5.81819545454545</v>
      </c>
      <c r="AH1566" s="40" t="n">
        <f aca="false">AF1566/W1566-1</f>
        <v>0.090990151441023</v>
      </c>
      <c r="AI1566" s="37" t="str">
        <f aca="false">IF(AF1566&lt;W1566,"SIM","NÃO")</f>
        <v>NÃO</v>
      </c>
      <c r="AJ1566" s="37" t="n">
        <v>2</v>
      </c>
      <c r="AK1566" s="37" t="n">
        <v>5</v>
      </c>
      <c r="AL1566" s="37" t="s">
        <v>343</v>
      </c>
      <c r="AM1566" s="39" t="n">
        <v>64.41</v>
      </c>
    </row>
    <row r="1567" customFormat="false" ht="15" hidden="false" customHeight="false" outlineLevel="0" collapsed="false">
      <c r="A1567" s="37" t="n">
        <v>388232763</v>
      </c>
      <c r="B1567" s="38" t="n">
        <v>46268.943599537</v>
      </c>
      <c r="C1567" s="37" t="s">
        <v>340</v>
      </c>
      <c r="D1567" s="37" t="s">
        <v>1783</v>
      </c>
      <c r="E1567" s="37" t="n">
        <v>24340080</v>
      </c>
      <c r="F1567" s="37" t="s">
        <v>163</v>
      </c>
      <c r="G1567" s="37" t="s">
        <v>197</v>
      </c>
      <c r="H1567" s="37" t="s">
        <v>185</v>
      </c>
      <c r="I1567" s="37" t="n">
        <v>37.6</v>
      </c>
      <c r="J1567" s="39" t="n">
        <v>391.9</v>
      </c>
      <c r="K1567" s="37" t="s">
        <v>342</v>
      </c>
      <c r="L1567" s="39" t="n">
        <v>112.83</v>
      </c>
      <c r="M1567" s="39" t="n">
        <v>66.83</v>
      </c>
      <c r="N1567" s="39" t="n">
        <f aca="false">J1567*Resumo!$C$6</f>
        <v>0</v>
      </c>
      <c r="O1567" s="39" t="n">
        <f aca="false">J1567*Resumo!$C$7</f>
        <v>0.82299</v>
      </c>
      <c r="P1567" s="39" t="n">
        <f aca="false">J1567*Resumo!$C$8</f>
        <v>0.82299</v>
      </c>
      <c r="Q1567" s="39" t="n">
        <f aca="false">Resumo!$C$10*CEILING(I1567/100,1)</f>
        <v>1.05</v>
      </c>
      <c r="R1567" s="39" t="n">
        <f aca="false">Resumo!$C$9</f>
        <v>0</v>
      </c>
      <c r="S1567" s="39" t="n">
        <f aca="false">Resumo!$C$13</f>
        <v>13.55</v>
      </c>
      <c r="T1567" s="39" t="n">
        <f aca="false">Resumo!$C$14*CEILING(I1567,1)</f>
        <v>17.1</v>
      </c>
      <c r="U1567" s="39" t="n">
        <f aca="false">SUM(M1567:T1567)*Resumo!$C$11</f>
        <v>0</v>
      </c>
      <c r="V1567" s="39" t="n">
        <f aca="false">SUM(M1567:U1567)</f>
        <v>100.17598</v>
      </c>
      <c r="W1567" s="39" t="n">
        <f aca="false">V1567/(1-Resumo!$C$5)</f>
        <v>113.836340909091</v>
      </c>
      <c r="X1567" s="39" t="n">
        <v>114.95</v>
      </c>
      <c r="Y1567" s="39" t="n">
        <f aca="false">J1567*Resumo!$B$6</f>
        <v>0.3919</v>
      </c>
      <c r="Z1567" s="39" t="n">
        <f aca="false">J1567*Resumo!$B$7</f>
        <v>0.7838</v>
      </c>
      <c r="AA1567" s="39" t="n">
        <f aca="false">Resumo!$B$9</f>
        <v>1</v>
      </c>
      <c r="AB1567" s="39" t="n">
        <f aca="false">Resumo!$B$10*CEILING(I1567/100,1)</f>
        <v>4.5</v>
      </c>
      <c r="AC1567" s="39" t="n">
        <f aca="false">Resumo!$B$12*CEILING(I1567,1)</f>
        <v>2.28</v>
      </c>
      <c r="AD1567" s="39" t="n">
        <f aca="false">Resumo!$B$14*CEILING(I1567,1)</f>
        <v>17.1</v>
      </c>
      <c r="AE1567" s="39" t="n">
        <f aca="false">SUM(X1567:AD1567)</f>
        <v>141.0057</v>
      </c>
      <c r="AF1567" s="39" t="n">
        <f aca="false">AE1567/(1-Resumo!$B$5)</f>
        <v>160.23375</v>
      </c>
      <c r="AG1567" s="39" t="n">
        <f aca="false">AF1567-W1567</f>
        <v>46.3974090909091</v>
      </c>
      <c r="AH1567" s="40" t="n">
        <f aca="false">AF1567/W1567-1</f>
        <v>0.407579940820144</v>
      </c>
      <c r="AI1567" s="37" t="str">
        <f aca="false">IF(AF1567&lt;W1567,"SIM","NÃO")</f>
        <v>NÃO</v>
      </c>
      <c r="AJ1567" s="37" t="n">
        <v>2</v>
      </c>
      <c r="AK1567" s="37" t="n">
        <v>7</v>
      </c>
      <c r="AL1567" s="37" t="s">
        <v>343</v>
      </c>
      <c r="AM1567" s="39" t="n">
        <v>112.83</v>
      </c>
    </row>
    <row r="1568" customFormat="false" ht="15" hidden="false" customHeight="false" outlineLevel="0" collapsed="false">
      <c r="A1568" s="37" t="n">
        <v>388245707</v>
      </c>
      <c r="B1568" s="38" t="n">
        <v>46268.9658449074</v>
      </c>
      <c r="C1568" s="37" t="s">
        <v>345</v>
      </c>
      <c r="D1568" s="37" t="s">
        <v>1784</v>
      </c>
      <c r="E1568" s="37" t="n">
        <v>23013420</v>
      </c>
      <c r="F1568" s="37" t="s">
        <v>159</v>
      </c>
      <c r="G1568" s="37" t="s">
        <v>196</v>
      </c>
      <c r="H1568" s="37" t="s">
        <v>188</v>
      </c>
      <c r="I1568" s="37" t="n">
        <v>69.15</v>
      </c>
      <c r="J1568" s="39" t="n">
        <v>697.84</v>
      </c>
      <c r="K1568" s="37" t="s">
        <v>342</v>
      </c>
      <c r="L1568" s="39" t="n">
        <v>124.56</v>
      </c>
      <c r="M1568" s="39" t="n">
        <v>63.21</v>
      </c>
      <c r="N1568" s="39" t="n">
        <f aca="false">J1568*Resumo!$C$6</f>
        <v>0</v>
      </c>
      <c r="O1568" s="39" t="n">
        <f aca="false">J1568*Resumo!$C$7</f>
        <v>1.465464</v>
      </c>
      <c r="P1568" s="39" t="n">
        <f aca="false">J1568*Resumo!$C$8</f>
        <v>1.465464</v>
      </c>
      <c r="Q1568" s="39" t="n">
        <f aca="false">Resumo!$C$10*CEILING(I1568/100,1)</f>
        <v>1.05</v>
      </c>
      <c r="R1568" s="39" t="n">
        <f aca="false">Resumo!$C$9</f>
        <v>0</v>
      </c>
      <c r="S1568" s="39" t="n">
        <f aca="false">Resumo!$C$13</f>
        <v>13.55</v>
      </c>
      <c r="T1568" s="39" t="n">
        <f aca="false">Resumo!$C$14*CEILING(I1568,1)</f>
        <v>31.5</v>
      </c>
      <c r="U1568" s="39" t="n">
        <f aca="false">SUM(M1568:T1568)*Resumo!$C$11</f>
        <v>0</v>
      </c>
      <c r="V1568" s="39" t="n">
        <f aca="false">SUM(M1568:U1568)</f>
        <v>112.240928</v>
      </c>
      <c r="W1568" s="39" t="n">
        <f aca="false">V1568/(1-Resumo!$C$5)</f>
        <v>127.546509090909</v>
      </c>
      <c r="X1568" s="39" t="n">
        <v>131.02</v>
      </c>
      <c r="Y1568" s="39" t="n">
        <f aca="false">J1568*Resumo!$B$6</f>
        <v>0.69784</v>
      </c>
      <c r="Z1568" s="39" t="n">
        <f aca="false">J1568*Resumo!$B$7</f>
        <v>1.39568</v>
      </c>
      <c r="AA1568" s="39" t="n">
        <f aca="false">Resumo!$B$9</f>
        <v>1</v>
      </c>
      <c r="AB1568" s="39" t="n">
        <f aca="false">Resumo!$B$10*CEILING(I1568/100,1)</f>
        <v>4.5</v>
      </c>
      <c r="AC1568" s="39" t="n">
        <f aca="false">Resumo!$B$12*CEILING(I1568,1)</f>
        <v>4.2</v>
      </c>
      <c r="AD1568" s="39" t="n">
        <f aca="false">Resumo!$B$14*CEILING(I1568,1)</f>
        <v>31.5</v>
      </c>
      <c r="AE1568" s="39" t="n">
        <f aca="false">SUM(X1568:AD1568)</f>
        <v>174.31352</v>
      </c>
      <c r="AF1568" s="39" t="n">
        <f aca="false">AE1568/(1-Resumo!$B$5)</f>
        <v>198.083545454545</v>
      </c>
      <c r="AG1568" s="39" t="n">
        <f aca="false">AF1568-W1568</f>
        <v>70.5370363636364</v>
      </c>
      <c r="AH1568" s="40" t="n">
        <f aca="false">AF1568/W1568-1</f>
        <v>0.553029925055502</v>
      </c>
      <c r="AI1568" s="37" t="str">
        <f aca="false">IF(AF1568&lt;W1568,"SIM","NÃO")</f>
        <v>NÃO</v>
      </c>
      <c r="AJ1568" s="37" t="n">
        <v>2</v>
      </c>
      <c r="AK1568" s="37" t="n">
        <v>5</v>
      </c>
      <c r="AL1568" s="37" t="s">
        <v>343</v>
      </c>
      <c r="AM1568" s="39" t="n">
        <v>124.55</v>
      </c>
    </row>
    <row r="1569" customFormat="false" ht="15" hidden="false" customHeight="false" outlineLevel="0" collapsed="false">
      <c r="A1569" s="37" t="n">
        <v>388262241</v>
      </c>
      <c r="B1569" s="38" t="n">
        <v>46269.0034953704</v>
      </c>
      <c r="C1569" s="37" t="s">
        <v>340</v>
      </c>
      <c r="D1569" s="37" t="s">
        <v>832</v>
      </c>
      <c r="E1569" s="37" t="n">
        <v>26900000</v>
      </c>
      <c r="F1569" s="37" t="s">
        <v>242</v>
      </c>
      <c r="G1569" s="37" t="s">
        <v>198</v>
      </c>
      <c r="H1569" s="37" t="s">
        <v>183</v>
      </c>
      <c r="I1569" s="37" t="n">
        <v>19.5</v>
      </c>
      <c r="J1569" s="39" t="n">
        <v>379.99</v>
      </c>
      <c r="K1569" s="37" t="s">
        <v>342</v>
      </c>
      <c r="L1569" s="39" t="n">
        <v>80.48</v>
      </c>
      <c r="M1569" s="39" t="n">
        <v>46.95</v>
      </c>
      <c r="N1569" s="39" t="n">
        <f aca="false">J1569*Resumo!$C$6</f>
        <v>0</v>
      </c>
      <c r="O1569" s="39" t="n">
        <f aca="false">J1569*Resumo!$C$7</f>
        <v>0.797979</v>
      </c>
      <c r="P1569" s="39" t="n">
        <f aca="false">J1569*Resumo!$C$8</f>
        <v>0.797979</v>
      </c>
      <c r="Q1569" s="39" t="n">
        <f aca="false">Resumo!$C$10*CEILING(I1569/100,1)</f>
        <v>1.05</v>
      </c>
      <c r="R1569" s="39" t="n">
        <f aca="false">Resumo!$C$9</f>
        <v>0</v>
      </c>
      <c r="S1569" s="39" t="n">
        <f aca="false">Resumo!$C$13</f>
        <v>13.55</v>
      </c>
      <c r="T1569" s="39" t="n">
        <f aca="false">Resumo!$C$14*CEILING(I1569,1)</f>
        <v>9</v>
      </c>
      <c r="U1569" s="39" t="n">
        <f aca="false">SUM(M1569:T1569)*Resumo!$C$11</f>
        <v>0</v>
      </c>
      <c r="V1569" s="39" t="n">
        <f aca="false">SUM(M1569:U1569)</f>
        <v>72.145958</v>
      </c>
      <c r="W1569" s="39" t="n">
        <f aca="false">V1569/(1-Resumo!$C$5)</f>
        <v>81.9840431818182</v>
      </c>
      <c r="X1569" s="39" t="n">
        <v>77.35</v>
      </c>
      <c r="Y1569" s="39" t="n">
        <f aca="false">J1569*Resumo!$B$6</f>
        <v>0.37999</v>
      </c>
      <c r="Z1569" s="39" t="n">
        <f aca="false">J1569*Resumo!$B$7</f>
        <v>0.75998</v>
      </c>
      <c r="AA1569" s="39" t="n">
        <f aca="false">Resumo!$B$9</f>
        <v>1</v>
      </c>
      <c r="AB1569" s="39" t="n">
        <f aca="false">Resumo!$B$10*CEILING(I1569/100,1)</f>
        <v>4.5</v>
      </c>
      <c r="AC1569" s="39" t="n">
        <f aca="false">Resumo!$B$12*CEILING(I1569,1)</f>
        <v>1.2</v>
      </c>
      <c r="AD1569" s="39" t="n">
        <f aca="false">Resumo!$B$14*CEILING(I1569,1)</f>
        <v>9</v>
      </c>
      <c r="AE1569" s="39" t="n">
        <f aca="false">SUM(X1569:AD1569)</f>
        <v>94.18997</v>
      </c>
      <c r="AF1569" s="39" t="n">
        <f aca="false">AE1569/(1-Resumo!$B$5)</f>
        <v>107.034056818182</v>
      </c>
      <c r="AG1569" s="39" t="n">
        <f aca="false">AF1569-W1569</f>
        <v>25.0500136363636</v>
      </c>
      <c r="AH1569" s="40" t="n">
        <f aca="false">AF1569/W1569-1</f>
        <v>0.305547429282178</v>
      </c>
      <c r="AI1569" s="37" t="str">
        <f aca="false">IF(AF1569&lt;W1569,"SIM","NÃO")</f>
        <v>NÃO</v>
      </c>
      <c r="AJ1569" s="37" t="n">
        <v>13</v>
      </c>
      <c r="AK1569" s="37" t="n">
        <v>10</v>
      </c>
      <c r="AL1569" s="37" t="s">
        <v>347</v>
      </c>
      <c r="AM1569" s="39" t="n">
        <v>80.48</v>
      </c>
    </row>
    <row r="1570" customFormat="false" ht="15" hidden="false" customHeight="false" outlineLevel="0" collapsed="false">
      <c r="A1570" s="37" t="n">
        <v>388345134</v>
      </c>
      <c r="B1570" s="38" t="n">
        <v>46269.2631481482</v>
      </c>
      <c r="C1570" s="37" t="s">
        <v>340</v>
      </c>
      <c r="D1570" s="37" t="s">
        <v>513</v>
      </c>
      <c r="E1570" s="37" t="n">
        <v>21310050</v>
      </c>
      <c r="F1570" s="37" t="s">
        <v>159</v>
      </c>
      <c r="G1570" s="37" t="s">
        <v>196</v>
      </c>
      <c r="H1570" s="37" t="s">
        <v>186</v>
      </c>
      <c r="I1570" s="37" t="n">
        <v>46.8</v>
      </c>
      <c r="J1570" s="39" t="n">
        <v>484.02</v>
      </c>
      <c r="K1570" s="37" t="s">
        <v>342</v>
      </c>
      <c r="L1570" s="39" t="n">
        <v>102.91</v>
      </c>
      <c r="M1570" s="39" t="n">
        <v>53.55</v>
      </c>
      <c r="N1570" s="39" t="n">
        <f aca="false">J1570*Resumo!$C$6</f>
        <v>0</v>
      </c>
      <c r="O1570" s="39" t="n">
        <f aca="false">J1570*Resumo!$C$7</f>
        <v>1.016442</v>
      </c>
      <c r="P1570" s="39" t="n">
        <f aca="false">J1570*Resumo!$C$8</f>
        <v>1.016442</v>
      </c>
      <c r="Q1570" s="39" t="n">
        <f aca="false">Resumo!$C$10*CEILING(I1570/100,1)</f>
        <v>1.05</v>
      </c>
      <c r="R1570" s="39" t="n">
        <f aca="false">Resumo!$C$9</f>
        <v>0</v>
      </c>
      <c r="S1570" s="39" t="n">
        <f aca="false">Resumo!$C$13</f>
        <v>13.55</v>
      </c>
      <c r="T1570" s="39" t="n">
        <f aca="false">Resumo!$C$14*CEILING(I1570,1)</f>
        <v>21.15</v>
      </c>
      <c r="U1570" s="39" t="n">
        <f aca="false">SUM(M1570:T1570)*Resumo!$C$11</f>
        <v>0</v>
      </c>
      <c r="V1570" s="39" t="n">
        <f aca="false">SUM(M1570:U1570)</f>
        <v>91.332884</v>
      </c>
      <c r="W1570" s="39" t="n">
        <f aca="false">V1570/(1-Resumo!$C$5)</f>
        <v>103.787368181818</v>
      </c>
      <c r="X1570" s="39" t="n">
        <v>93.97</v>
      </c>
      <c r="Y1570" s="39" t="n">
        <f aca="false">J1570*Resumo!$B$6</f>
        <v>0.48402</v>
      </c>
      <c r="Z1570" s="39" t="n">
        <f aca="false">J1570*Resumo!$B$7</f>
        <v>0.96804</v>
      </c>
      <c r="AA1570" s="39" t="n">
        <f aca="false">Resumo!$B$9</f>
        <v>1</v>
      </c>
      <c r="AB1570" s="39" t="n">
        <f aca="false">Resumo!$B$10*CEILING(I1570/100,1)</f>
        <v>4.5</v>
      </c>
      <c r="AC1570" s="39" t="n">
        <f aca="false">Resumo!$B$12*CEILING(I1570,1)</f>
        <v>2.82</v>
      </c>
      <c r="AD1570" s="39" t="n">
        <f aca="false">Resumo!$B$14*CEILING(I1570,1)</f>
        <v>21.15</v>
      </c>
      <c r="AE1570" s="39" t="n">
        <f aca="false">SUM(X1570:AD1570)</f>
        <v>124.89206</v>
      </c>
      <c r="AF1570" s="39" t="n">
        <f aca="false">AE1570/(1-Resumo!$B$5)</f>
        <v>141.922795454545</v>
      </c>
      <c r="AG1570" s="39" t="n">
        <f aca="false">AF1570-W1570</f>
        <v>38.1354272727273</v>
      </c>
      <c r="AH1570" s="40" t="n">
        <f aca="false">AF1570/W1570-1</f>
        <v>0.367438041264524</v>
      </c>
      <c r="AI1570" s="37" t="str">
        <f aca="false">IF(AF1570&lt;W1570,"SIM","NÃO")</f>
        <v>NÃO</v>
      </c>
      <c r="AJ1570" s="37" t="n">
        <v>2</v>
      </c>
      <c r="AK1570" s="37" t="n">
        <v>5</v>
      </c>
      <c r="AL1570" s="37" t="s">
        <v>343</v>
      </c>
      <c r="AM1570" s="39" t="n">
        <v>102.91</v>
      </c>
    </row>
    <row r="1571" customFormat="false" ht="15" hidden="false" customHeight="false" outlineLevel="0" collapsed="false">
      <c r="A1571" s="37" t="n">
        <v>388393548</v>
      </c>
      <c r="B1571" s="38" t="n">
        <v>46269.3849537037</v>
      </c>
      <c r="C1571" s="37" t="s">
        <v>340</v>
      </c>
      <c r="D1571" s="37" t="s">
        <v>1785</v>
      </c>
      <c r="E1571" s="37" t="n">
        <v>28021245</v>
      </c>
      <c r="F1571" s="37" t="s">
        <v>164</v>
      </c>
      <c r="G1571" s="37" t="s">
        <v>198</v>
      </c>
      <c r="H1571" s="37" t="s">
        <v>187</v>
      </c>
      <c r="I1571" s="37" t="n">
        <v>60</v>
      </c>
      <c r="J1571" s="39" t="n">
        <v>777.32</v>
      </c>
      <c r="K1571" s="37" t="s">
        <v>342</v>
      </c>
      <c r="L1571" s="39" t="n">
        <v>143.39</v>
      </c>
      <c r="M1571" s="39" t="n">
        <v>83.58</v>
      </c>
      <c r="N1571" s="39" t="n">
        <f aca="false">J1571*Resumo!$C$6</f>
        <v>0</v>
      </c>
      <c r="O1571" s="39" t="n">
        <f aca="false">J1571*Resumo!$C$7</f>
        <v>1.632372</v>
      </c>
      <c r="P1571" s="39" t="n">
        <f aca="false">J1571*Resumo!$C$8</f>
        <v>1.632372</v>
      </c>
      <c r="Q1571" s="39" t="n">
        <f aca="false">Resumo!$C$10*CEILING(I1571/100,1)</f>
        <v>1.05</v>
      </c>
      <c r="R1571" s="39" t="n">
        <f aca="false">Resumo!$C$9</f>
        <v>0</v>
      </c>
      <c r="S1571" s="39" t="n">
        <f aca="false">Resumo!$C$13</f>
        <v>13.55</v>
      </c>
      <c r="T1571" s="39" t="n">
        <f aca="false">Resumo!$C$14*CEILING(I1571,1)</f>
        <v>27</v>
      </c>
      <c r="U1571" s="39" t="n">
        <f aca="false">SUM(M1571:T1571)*Resumo!$C$11</f>
        <v>0</v>
      </c>
      <c r="V1571" s="39" t="n">
        <f aca="false">SUM(M1571:U1571)</f>
        <v>128.444744</v>
      </c>
      <c r="W1571" s="39" t="n">
        <f aca="false">V1571/(1-Resumo!$C$5)</f>
        <v>145.959936363636</v>
      </c>
      <c r="X1571" s="39" t="n">
        <v>162.04</v>
      </c>
      <c r="Y1571" s="39" t="n">
        <f aca="false">J1571*Resumo!$B$6</f>
        <v>0.77732</v>
      </c>
      <c r="Z1571" s="39" t="n">
        <f aca="false">J1571*Resumo!$B$7</f>
        <v>1.55464</v>
      </c>
      <c r="AA1571" s="39" t="n">
        <f aca="false">Resumo!$B$9</f>
        <v>1</v>
      </c>
      <c r="AB1571" s="39" t="n">
        <f aca="false">Resumo!$B$10*CEILING(I1571/100,1)</f>
        <v>4.5</v>
      </c>
      <c r="AC1571" s="39" t="n">
        <f aca="false">Resumo!$B$12*CEILING(I1571,1)</f>
        <v>3.6</v>
      </c>
      <c r="AD1571" s="39" t="n">
        <f aca="false">Resumo!$B$14*CEILING(I1571,1)</f>
        <v>27</v>
      </c>
      <c r="AE1571" s="39" t="n">
        <f aca="false">SUM(X1571:AD1571)</f>
        <v>200.47196</v>
      </c>
      <c r="AF1571" s="39" t="n">
        <f aca="false">AE1571/(1-Resumo!$B$5)</f>
        <v>227.809045454545</v>
      </c>
      <c r="AG1571" s="39" t="n">
        <f aca="false">AF1571-W1571</f>
        <v>81.8491090909091</v>
      </c>
      <c r="AH1571" s="40" t="n">
        <f aca="false">AF1571/W1571-1</f>
        <v>0.560764214688302</v>
      </c>
      <c r="AI1571" s="37" t="str">
        <f aca="false">IF(AF1571&lt;W1571,"SIM","NÃO")</f>
        <v>NÃO</v>
      </c>
      <c r="AJ1571" s="37" t="n">
        <v>13</v>
      </c>
      <c r="AK1571" s="37" t="n">
        <v>11</v>
      </c>
      <c r="AL1571" s="37" t="s">
        <v>343</v>
      </c>
      <c r="AM1571" s="39" t="n">
        <v>143.4</v>
      </c>
    </row>
    <row r="1572" customFormat="false" ht="15" hidden="false" customHeight="false" outlineLevel="0" collapsed="false">
      <c r="A1572" s="37" t="n">
        <v>388432272</v>
      </c>
      <c r="B1572" s="38" t="n">
        <v>46269.4585648148</v>
      </c>
      <c r="C1572" s="37" t="s">
        <v>340</v>
      </c>
      <c r="D1572" s="37" t="s">
        <v>1786</v>
      </c>
      <c r="E1572" s="37" t="n">
        <v>25660004</v>
      </c>
      <c r="F1572" s="37" t="s">
        <v>170</v>
      </c>
      <c r="G1572" s="37" t="s">
        <v>198</v>
      </c>
      <c r="H1572" s="37" t="s">
        <v>187</v>
      </c>
      <c r="I1572" s="37" t="n">
        <v>60</v>
      </c>
      <c r="J1572" s="39" t="n">
        <v>777.32</v>
      </c>
      <c r="K1572" s="37" t="s">
        <v>342</v>
      </c>
      <c r="L1572" s="39" t="n">
        <v>143.39</v>
      </c>
      <c r="M1572" s="39" t="n">
        <v>83.58</v>
      </c>
      <c r="N1572" s="39" t="n">
        <f aca="false">J1572*Resumo!$C$6</f>
        <v>0</v>
      </c>
      <c r="O1572" s="39" t="n">
        <f aca="false">J1572*Resumo!$C$7</f>
        <v>1.632372</v>
      </c>
      <c r="P1572" s="39" t="n">
        <f aca="false">J1572*Resumo!$C$8</f>
        <v>1.632372</v>
      </c>
      <c r="Q1572" s="39" t="n">
        <f aca="false">Resumo!$C$10*CEILING(I1572/100,1)</f>
        <v>1.05</v>
      </c>
      <c r="R1572" s="39" t="n">
        <f aca="false">Resumo!$C$9</f>
        <v>0</v>
      </c>
      <c r="S1572" s="39" t="n">
        <f aca="false">Resumo!$C$13</f>
        <v>13.55</v>
      </c>
      <c r="T1572" s="39" t="n">
        <f aca="false">Resumo!$C$14*CEILING(I1572,1)</f>
        <v>27</v>
      </c>
      <c r="U1572" s="39" t="n">
        <f aca="false">SUM(M1572:T1572)*Resumo!$C$11</f>
        <v>0</v>
      </c>
      <c r="V1572" s="39" t="n">
        <f aca="false">SUM(M1572:U1572)</f>
        <v>128.444744</v>
      </c>
      <c r="W1572" s="39" t="n">
        <f aca="false">V1572/(1-Resumo!$C$5)</f>
        <v>145.959936363636</v>
      </c>
      <c r="X1572" s="39" t="n">
        <v>142.32</v>
      </c>
      <c r="Y1572" s="39" t="n">
        <f aca="false">J1572*Resumo!$B$6</f>
        <v>0.77732</v>
      </c>
      <c r="Z1572" s="39" t="n">
        <f aca="false">J1572*Resumo!$B$7</f>
        <v>1.55464</v>
      </c>
      <c r="AA1572" s="39" t="n">
        <f aca="false">Resumo!$B$9</f>
        <v>1</v>
      </c>
      <c r="AB1572" s="39" t="n">
        <f aca="false">Resumo!$B$10*CEILING(I1572/100,1)</f>
        <v>4.5</v>
      </c>
      <c r="AC1572" s="39" t="n">
        <f aca="false">Resumo!$B$12*CEILING(I1572,1)</f>
        <v>3.6</v>
      </c>
      <c r="AD1572" s="39" t="n">
        <f aca="false">Resumo!$B$14*CEILING(I1572,1)</f>
        <v>27</v>
      </c>
      <c r="AE1572" s="39" t="n">
        <f aca="false">SUM(X1572:AD1572)</f>
        <v>180.75196</v>
      </c>
      <c r="AF1572" s="39" t="n">
        <f aca="false">AE1572/(1-Resumo!$B$5)</f>
        <v>205.399954545455</v>
      </c>
      <c r="AG1572" s="39" t="n">
        <f aca="false">AF1572-W1572</f>
        <v>59.4400181818182</v>
      </c>
      <c r="AH1572" s="40" t="n">
        <f aca="false">AF1572/W1572-1</f>
        <v>0.407235160980974</v>
      </c>
      <c r="AI1572" s="37" t="str">
        <f aca="false">IF(AF1572&lt;W1572,"SIM","NÃO")</f>
        <v>NÃO</v>
      </c>
      <c r="AJ1572" s="37" t="n">
        <v>13</v>
      </c>
      <c r="AK1572" s="37" t="n">
        <v>8</v>
      </c>
      <c r="AL1572" s="37" t="s">
        <v>343</v>
      </c>
      <c r="AM1572" s="39" t="n">
        <v>143.4</v>
      </c>
    </row>
    <row r="1573" customFormat="false" ht="15" hidden="false" customHeight="false" outlineLevel="0" collapsed="false">
      <c r="A1573" s="37" t="n">
        <v>388447378</v>
      </c>
      <c r="B1573" s="38" t="n">
        <v>46269.4869097222</v>
      </c>
      <c r="C1573" s="37" t="s">
        <v>379</v>
      </c>
      <c r="D1573" s="37" t="s">
        <v>1787</v>
      </c>
      <c r="E1573" s="37" t="n">
        <v>27321320</v>
      </c>
      <c r="F1573" s="37" t="s">
        <v>247</v>
      </c>
      <c r="G1573" s="37" t="s">
        <v>198</v>
      </c>
      <c r="H1573" s="37" t="s">
        <v>184</v>
      </c>
      <c r="I1573" s="37" t="n">
        <v>24.4</v>
      </c>
      <c r="J1573" s="39" t="n">
        <v>297.49</v>
      </c>
      <c r="K1573" s="37" t="s">
        <v>342</v>
      </c>
      <c r="L1573" s="39" t="n">
        <v>108.59</v>
      </c>
      <c r="M1573" s="39" t="n">
        <v>65.63</v>
      </c>
      <c r="N1573" s="39" t="n">
        <f aca="false">J1573*Resumo!$C$6</f>
        <v>0</v>
      </c>
      <c r="O1573" s="39" t="n">
        <f aca="false">J1573*Resumo!$C$7</f>
        <v>0.624729</v>
      </c>
      <c r="P1573" s="39" t="n">
        <f aca="false">J1573*Resumo!$C$8</f>
        <v>0.624729</v>
      </c>
      <c r="Q1573" s="39" t="n">
        <f aca="false">Resumo!$C$10*CEILING(I1573/100,1)</f>
        <v>1.05</v>
      </c>
      <c r="R1573" s="39" t="n">
        <f aca="false">Resumo!$C$9</f>
        <v>0</v>
      </c>
      <c r="S1573" s="39" t="n">
        <f aca="false">Resumo!$C$13</f>
        <v>13.55</v>
      </c>
      <c r="T1573" s="39" t="n">
        <f aca="false">Resumo!$C$14*CEILING(I1573,1)</f>
        <v>11.25</v>
      </c>
      <c r="U1573" s="39" t="n">
        <f aca="false">SUM(M1573:T1573)*Resumo!$C$11</f>
        <v>0</v>
      </c>
      <c r="V1573" s="39" t="n">
        <f aca="false">SUM(M1573:U1573)</f>
        <v>92.729458</v>
      </c>
      <c r="W1573" s="39" t="n">
        <f aca="false">V1573/(1-Resumo!$C$5)</f>
        <v>105.374384090909</v>
      </c>
      <c r="X1573" s="39" t="n">
        <v>108.83</v>
      </c>
      <c r="Y1573" s="39" t="n">
        <f aca="false">J1573*Resumo!$B$6</f>
        <v>0.29749</v>
      </c>
      <c r="Z1573" s="39" t="n">
        <f aca="false">J1573*Resumo!$B$7</f>
        <v>0.59498</v>
      </c>
      <c r="AA1573" s="39" t="n">
        <f aca="false">Resumo!$B$9</f>
        <v>1</v>
      </c>
      <c r="AB1573" s="39" t="n">
        <f aca="false">Resumo!$B$10*CEILING(I1573/100,1)</f>
        <v>4.5</v>
      </c>
      <c r="AC1573" s="39" t="n">
        <f aca="false">Resumo!$B$12*CEILING(I1573,1)</f>
        <v>1.5</v>
      </c>
      <c r="AD1573" s="39" t="n">
        <f aca="false">Resumo!$B$14*CEILING(I1573,1)</f>
        <v>11.25</v>
      </c>
      <c r="AE1573" s="39" t="n">
        <f aca="false">SUM(X1573:AD1573)</f>
        <v>127.97247</v>
      </c>
      <c r="AF1573" s="39" t="n">
        <f aca="false">AE1573/(1-Resumo!$B$5)</f>
        <v>145.423261363636</v>
      </c>
      <c r="AG1573" s="39" t="n">
        <f aca="false">AF1573-W1573</f>
        <v>40.0488772727273</v>
      </c>
      <c r="AH1573" s="40" t="n">
        <f aca="false">AF1573/W1573-1</f>
        <v>0.380062741227281</v>
      </c>
      <c r="AI1573" s="37" t="str">
        <f aca="false">IF(AF1573&lt;W1573,"SIM","NÃO")</f>
        <v>NÃO</v>
      </c>
      <c r="AJ1573" s="37" t="n">
        <v>13</v>
      </c>
      <c r="AK1573" s="37" t="n">
        <v>10</v>
      </c>
      <c r="AL1573" s="37" t="s">
        <v>347</v>
      </c>
      <c r="AM1573" s="39" t="n">
        <v>108.61</v>
      </c>
    </row>
    <row r="1574" customFormat="false" ht="15" hidden="false" customHeight="false" outlineLevel="0" collapsed="false">
      <c r="A1574" s="37" t="n">
        <v>388458831</v>
      </c>
      <c r="B1574" s="38" t="n">
        <v>46269.4895717593</v>
      </c>
      <c r="C1574" s="37" t="s">
        <v>537</v>
      </c>
      <c r="D1574" s="37" t="s">
        <v>1788</v>
      </c>
      <c r="E1574" s="37" t="n">
        <v>23020110</v>
      </c>
      <c r="F1574" s="37" t="s">
        <v>159</v>
      </c>
      <c r="G1574" s="37" t="s">
        <v>196</v>
      </c>
      <c r="H1574" s="37" t="s">
        <v>186</v>
      </c>
      <c r="I1574" s="37" t="n">
        <v>41</v>
      </c>
      <c r="J1574" s="39" t="n">
        <v>499.2</v>
      </c>
      <c r="K1574" s="37" t="s">
        <v>342</v>
      </c>
      <c r="L1574" s="39" t="n">
        <v>102.98</v>
      </c>
      <c r="M1574" s="39" t="n">
        <v>53.55</v>
      </c>
      <c r="N1574" s="39" t="n">
        <f aca="false">J1574*Resumo!$C$6</f>
        <v>0</v>
      </c>
      <c r="O1574" s="39" t="n">
        <f aca="false">J1574*Resumo!$C$7</f>
        <v>1.04832</v>
      </c>
      <c r="P1574" s="39" t="n">
        <f aca="false">J1574*Resumo!$C$8</f>
        <v>1.04832</v>
      </c>
      <c r="Q1574" s="39" t="n">
        <f aca="false">Resumo!$C$10*CEILING(I1574/100,1)</f>
        <v>1.05</v>
      </c>
      <c r="R1574" s="39" t="n">
        <f aca="false">Resumo!$C$9</f>
        <v>0</v>
      </c>
      <c r="S1574" s="39" t="n">
        <f aca="false">Resumo!$C$13</f>
        <v>13.55</v>
      </c>
      <c r="T1574" s="39" t="n">
        <f aca="false">Resumo!$C$14*CEILING(I1574,1)</f>
        <v>18.45</v>
      </c>
      <c r="U1574" s="39" t="n">
        <f aca="false">SUM(M1574:T1574)*Resumo!$C$11</f>
        <v>0</v>
      </c>
      <c r="V1574" s="39" t="n">
        <f aca="false">SUM(M1574:U1574)</f>
        <v>88.69664</v>
      </c>
      <c r="W1574" s="39" t="n">
        <f aca="false">V1574/(1-Resumo!$C$5)</f>
        <v>100.791636363636</v>
      </c>
      <c r="X1574" s="39" t="n">
        <v>93.97</v>
      </c>
      <c r="Y1574" s="39" t="n">
        <f aca="false">J1574*Resumo!$B$6</f>
        <v>0.4992</v>
      </c>
      <c r="Z1574" s="39" t="n">
        <f aca="false">J1574*Resumo!$B$7</f>
        <v>0.9984</v>
      </c>
      <c r="AA1574" s="39" t="n">
        <f aca="false">Resumo!$B$9</f>
        <v>1</v>
      </c>
      <c r="AB1574" s="39" t="n">
        <f aca="false">Resumo!$B$10*CEILING(I1574/100,1)</f>
        <v>4.5</v>
      </c>
      <c r="AC1574" s="39" t="n">
        <f aca="false">Resumo!$B$12*CEILING(I1574,1)</f>
        <v>2.46</v>
      </c>
      <c r="AD1574" s="39" t="n">
        <f aca="false">Resumo!$B$14*CEILING(I1574,1)</f>
        <v>18.45</v>
      </c>
      <c r="AE1574" s="39" t="n">
        <f aca="false">SUM(X1574:AD1574)</f>
        <v>121.8776</v>
      </c>
      <c r="AF1574" s="39" t="n">
        <f aca="false">AE1574/(1-Resumo!$B$5)</f>
        <v>138.497272727273</v>
      </c>
      <c r="AG1574" s="39" t="n">
        <f aca="false">AF1574-W1574</f>
        <v>37.7056363636364</v>
      </c>
      <c r="AH1574" s="40" t="n">
        <f aca="false">AF1574/W1574-1</f>
        <v>0.374094892433355</v>
      </c>
      <c r="AI1574" s="37" t="str">
        <f aca="false">IF(AF1574&lt;W1574,"SIM","NÃO")</f>
        <v>NÃO</v>
      </c>
      <c r="AJ1574" s="37" t="n">
        <v>2</v>
      </c>
      <c r="AK1574" s="37" t="n">
        <v>5</v>
      </c>
      <c r="AL1574" s="37" t="s">
        <v>343</v>
      </c>
      <c r="AM1574" s="39" t="n">
        <v>102.98</v>
      </c>
    </row>
    <row r="1575" customFormat="false" ht="15" hidden="false" customHeight="false" outlineLevel="0" collapsed="false">
      <c r="A1575" s="37" t="n">
        <v>388454581</v>
      </c>
      <c r="B1575" s="38" t="n">
        <v>46269.5004513889</v>
      </c>
      <c r="C1575" s="37" t="s">
        <v>340</v>
      </c>
      <c r="D1575" s="37" t="s">
        <v>1789</v>
      </c>
      <c r="E1575" s="37" t="n">
        <v>25936110</v>
      </c>
      <c r="F1575" s="37" t="s">
        <v>176</v>
      </c>
      <c r="G1575" s="37" t="s">
        <v>198</v>
      </c>
      <c r="H1575" s="37" t="s">
        <v>188</v>
      </c>
      <c r="I1575" s="37" t="n">
        <v>63</v>
      </c>
      <c r="J1575" s="39" t="n">
        <v>702.57</v>
      </c>
      <c r="K1575" s="37" t="s">
        <v>342</v>
      </c>
      <c r="L1575" s="39" t="n">
        <v>155.4</v>
      </c>
      <c r="M1575" s="39" t="n">
        <v>90.2</v>
      </c>
      <c r="N1575" s="39" t="n">
        <f aca="false">J1575*Resumo!$C$6</f>
        <v>0</v>
      </c>
      <c r="O1575" s="39" t="n">
        <f aca="false">J1575*Resumo!$C$7</f>
        <v>1.475397</v>
      </c>
      <c r="P1575" s="39" t="n">
        <f aca="false">J1575*Resumo!$C$8</f>
        <v>1.475397</v>
      </c>
      <c r="Q1575" s="39" t="n">
        <f aca="false">Resumo!$C$10*CEILING(I1575/100,1)</f>
        <v>1.05</v>
      </c>
      <c r="R1575" s="39" t="n">
        <f aca="false">Resumo!$C$9</f>
        <v>0</v>
      </c>
      <c r="S1575" s="39" t="n">
        <f aca="false">Resumo!$C$13</f>
        <v>13.55</v>
      </c>
      <c r="T1575" s="39" t="n">
        <f aca="false">Resumo!$C$14*CEILING(I1575,1)</f>
        <v>28.35</v>
      </c>
      <c r="U1575" s="39" t="n">
        <f aca="false">SUM(M1575:T1575)*Resumo!$C$11</f>
        <v>0</v>
      </c>
      <c r="V1575" s="39" t="n">
        <f aca="false">SUM(M1575:U1575)</f>
        <v>136.100794</v>
      </c>
      <c r="W1575" s="39" t="n">
        <f aca="false">V1575/(1-Resumo!$C$5)</f>
        <v>154.659993181818</v>
      </c>
      <c r="X1575" s="39" t="n">
        <v>136.53</v>
      </c>
      <c r="Y1575" s="39" t="n">
        <f aca="false">J1575*Resumo!$B$6</f>
        <v>0.70257</v>
      </c>
      <c r="Z1575" s="39" t="n">
        <f aca="false">J1575*Resumo!$B$7</f>
        <v>1.40514</v>
      </c>
      <c r="AA1575" s="39" t="n">
        <f aca="false">Resumo!$B$9</f>
        <v>1</v>
      </c>
      <c r="AB1575" s="39" t="n">
        <f aca="false">Resumo!$B$10*CEILING(I1575/100,1)</f>
        <v>4.5</v>
      </c>
      <c r="AC1575" s="39" t="n">
        <f aca="false">Resumo!$B$12*CEILING(I1575,1)</f>
        <v>3.78</v>
      </c>
      <c r="AD1575" s="39" t="n">
        <f aca="false">Resumo!$B$14*CEILING(I1575,1)</f>
        <v>28.35</v>
      </c>
      <c r="AE1575" s="39" t="n">
        <f aca="false">SUM(X1575:AD1575)</f>
        <v>176.26771</v>
      </c>
      <c r="AF1575" s="39" t="n">
        <f aca="false">AE1575/(1-Resumo!$B$5)</f>
        <v>200.304215909091</v>
      </c>
      <c r="AG1575" s="39" t="n">
        <f aca="false">AF1575-W1575</f>
        <v>45.6442227272727</v>
      </c>
      <c r="AH1575" s="40" t="n">
        <f aca="false">AF1575/W1575-1</f>
        <v>0.29512624298136</v>
      </c>
      <c r="AI1575" s="37" t="str">
        <f aca="false">IF(AF1575&lt;W1575,"SIM","NÃO")</f>
        <v>NÃO</v>
      </c>
      <c r="AJ1575" s="37" t="n">
        <v>13</v>
      </c>
      <c r="AK1575" s="37" t="n">
        <v>6</v>
      </c>
      <c r="AL1575" s="37" t="s">
        <v>343</v>
      </c>
      <c r="AM1575" s="39" t="n">
        <v>155.39</v>
      </c>
    </row>
    <row r="1576" customFormat="false" ht="15" hidden="false" customHeight="false" outlineLevel="0" collapsed="false">
      <c r="A1576" s="37" t="n">
        <v>388499242</v>
      </c>
      <c r="B1576" s="38" t="n">
        <v>46269.5840277778</v>
      </c>
      <c r="C1576" s="37" t="s">
        <v>340</v>
      </c>
      <c r="D1576" s="37" t="s">
        <v>1790</v>
      </c>
      <c r="E1576" s="37" t="n">
        <v>21831445</v>
      </c>
      <c r="F1576" s="37" t="s">
        <v>159</v>
      </c>
      <c r="G1576" s="37" t="s">
        <v>196</v>
      </c>
      <c r="H1576" s="37" t="s">
        <v>187</v>
      </c>
      <c r="I1576" s="37" t="n">
        <v>60</v>
      </c>
      <c r="J1576" s="39" t="n">
        <v>777.32</v>
      </c>
      <c r="K1576" s="37" t="s">
        <v>342</v>
      </c>
      <c r="L1576" s="39" t="n">
        <v>114.86</v>
      </c>
      <c r="M1576" s="39" t="n">
        <v>58.6</v>
      </c>
      <c r="N1576" s="39" t="n">
        <f aca="false">J1576*Resumo!$C$6</f>
        <v>0</v>
      </c>
      <c r="O1576" s="39" t="n">
        <f aca="false">J1576*Resumo!$C$7</f>
        <v>1.632372</v>
      </c>
      <c r="P1576" s="39" t="n">
        <f aca="false">J1576*Resumo!$C$8</f>
        <v>1.632372</v>
      </c>
      <c r="Q1576" s="39" t="n">
        <f aca="false">Resumo!$C$10*CEILING(I1576/100,1)</f>
        <v>1.05</v>
      </c>
      <c r="R1576" s="39" t="n">
        <f aca="false">Resumo!$C$9</f>
        <v>0</v>
      </c>
      <c r="S1576" s="39" t="n">
        <f aca="false">Resumo!$C$13</f>
        <v>13.55</v>
      </c>
      <c r="T1576" s="39" t="n">
        <f aca="false">Resumo!$C$14*CEILING(I1576,1)</f>
        <v>27</v>
      </c>
      <c r="U1576" s="39" t="n">
        <f aca="false">SUM(M1576:T1576)*Resumo!$C$11</f>
        <v>0</v>
      </c>
      <c r="V1576" s="39" t="n">
        <f aca="false">SUM(M1576:U1576)</f>
        <v>103.464744</v>
      </c>
      <c r="W1576" s="39" t="n">
        <f aca="false">V1576/(1-Resumo!$C$5)</f>
        <v>117.573572727273</v>
      </c>
      <c r="X1576" s="39" t="n">
        <v>112.3</v>
      </c>
      <c r="Y1576" s="39" t="n">
        <f aca="false">J1576*Resumo!$B$6</f>
        <v>0.77732</v>
      </c>
      <c r="Z1576" s="39" t="n">
        <f aca="false">J1576*Resumo!$B$7</f>
        <v>1.55464</v>
      </c>
      <c r="AA1576" s="39" t="n">
        <f aca="false">Resumo!$B$9</f>
        <v>1</v>
      </c>
      <c r="AB1576" s="39" t="n">
        <f aca="false">Resumo!$B$10*CEILING(I1576/100,1)</f>
        <v>4.5</v>
      </c>
      <c r="AC1576" s="39" t="n">
        <f aca="false">Resumo!$B$12*CEILING(I1576,1)</f>
        <v>3.6</v>
      </c>
      <c r="AD1576" s="39" t="n">
        <f aca="false">Resumo!$B$14*CEILING(I1576,1)</f>
        <v>27</v>
      </c>
      <c r="AE1576" s="39" t="n">
        <f aca="false">SUM(X1576:AD1576)</f>
        <v>150.73196</v>
      </c>
      <c r="AF1576" s="39" t="n">
        <f aca="false">AE1576/(1-Resumo!$B$5)</f>
        <v>171.286318181818</v>
      </c>
      <c r="AG1576" s="39" t="n">
        <f aca="false">AF1576-W1576</f>
        <v>53.7127454545455</v>
      </c>
      <c r="AH1576" s="40" t="n">
        <f aca="false">AF1576/W1576-1</f>
        <v>0.456843695471764</v>
      </c>
      <c r="AI1576" s="37" t="str">
        <f aca="false">IF(AF1576&lt;W1576,"SIM","NÃO")</f>
        <v>NÃO</v>
      </c>
      <c r="AJ1576" s="37" t="n">
        <v>2</v>
      </c>
      <c r="AK1576" s="37" t="n">
        <v>5</v>
      </c>
      <c r="AL1576" s="37" t="s">
        <v>343</v>
      </c>
      <c r="AM1576" s="39" t="n">
        <v>114.87</v>
      </c>
    </row>
    <row r="1577" customFormat="false" ht="15" hidden="false" customHeight="false" outlineLevel="0" collapsed="false">
      <c r="A1577" s="37" t="n">
        <v>388550119</v>
      </c>
      <c r="B1577" s="38" t="n">
        <v>46269.6619097222</v>
      </c>
      <c r="C1577" s="37" t="s">
        <v>340</v>
      </c>
      <c r="D1577" s="37" t="s">
        <v>1791</v>
      </c>
      <c r="E1577" s="37" t="n">
        <v>24435140</v>
      </c>
      <c r="F1577" s="37" t="s">
        <v>160</v>
      </c>
      <c r="G1577" s="37" t="s">
        <v>197</v>
      </c>
      <c r="H1577" s="37" t="s">
        <v>186</v>
      </c>
      <c r="I1577" s="37" t="n">
        <v>48.3</v>
      </c>
      <c r="J1577" s="39" t="n">
        <v>559.99</v>
      </c>
      <c r="K1577" s="37" t="s">
        <v>342</v>
      </c>
      <c r="L1577" s="39" t="n">
        <v>116.76</v>
      </c>
      <c r="M1577" s="39" t="n">
        <v>65.36</v>
      </c>
      <c r="N1577" s="39" t="n">
        <f aca="false">J1577*Resumo!$C$6</f>
        <v>0</v>
      </c>
      <c r="O1577" s="39" t="n">
        <f aca="false">J1577*Resumo!$C$7</f>
        <v>1.175979</v>
      </c>
      <c r="P1577" s="39" t="n">
        <f aca="false">J1577*Resumo!$C$8</f>
        <v>1.175979</v>
      </c>
      <c r="Q1577" s="39" t="n">
        <f aca="false">Resumo!$C$10*CEILING(I1577/100,1)</f>
        <v>1.05</v>
      </c>
      <c r="R1577" s="39" t="n">
        <f aca="false">Resumo!$C$9</f>
        <v>0</v>
      </c>
      <c r="S1577" s="39" t="n">
        <f aca="false">Resumo!$C$13</f>
        <v>13.55</v>
      </c>
      <c r="T1577" s="39" t="n">
        <f aca="false">Resumo!$C$14*CEILING(I1577,1)</f>
        <v>22.05</v>
      </c>
      <c r="U1577" s="39" t="n">
        <f aca="false">SUM(M1577:T1577)*Resumo!$C$11</f>
        <v>0</v>
      </c>
      <c r="V1577" s="39" t="n">
        <f aca="false">SUM(M1577:U1577)</f>
        <v>104.361958</v>
      </c>
      <c r="W1577" s="39" t="n">
        <f aca="false">V1577/(1-Resumo!$C$5)</f>
        <v>118.593134090909</v>
      </c>
      <c r="X1577" s="39" t="n">
        <v>114.95</v>
      </c>
      <c r="Y1577" s="39" t="n">
        <f aca="false">J1577*Resumo!$B$6</f>
        <v>0.55999</v>
      </c>
      <c r="Z1577" s="39" t="n">
        <f aca="false">J1577*Resumo!$B$7</f>
        <v>1.11998</v>
      </c>
      <c r="AA1577" s="39" t="n">
        <f aca="false">Resumo!$B$9</f>
        <v>1</v>
      </c>
      <c r="AB1577" s="39" t="n">
        <f aca="false">Resumo!$B$10*CEILING(I1577/100,1)</f>
        <v>4.5</v>
      </c>
      <c r="AC1577" s="39" t="n">
        <f aca="false">Resumo!$B$12*CEILING(I1577,1)</f>
        <v>2.94</v>
      </c>
      <c r="AD1577" s="39" t="n">
        <f aca="false">Resumo!$B$14*CEILING(I1577,1)</f>
        <v>22.05</v>
      </c>
      <c r="AE1577" s="39" t="n">
        <f aca="false">SUM(X1577:AD1577)</f>
        <v>147.11997</v>
      </c>
      <c r="AF1577" s="39" t="n">
        <f aca="false">AE1577/(1-Resumo!$B$5)</f>
        <v>167.181784090909</v>
      </c>
      <c r="AG1577" s="39" t="n">
        <f aca="false">AF1577-W1577</f>
        <v>48.58865</v>
      </c>
      <c r="AH1577" s="40" t="n">
        <f aca="false">AF1577/W1577-1</f>
        <v>0.409708794463209</v>
      </c>
      <c r="AI1577" s="37" t="str">
        <f aca="false">IF(AF1577&lt;W1577,"SIM","NÃO")</f>
        <v>NÃO</v>
      </c>
      <c r="AJ1577" s="37" t="n">
        <v>2</v>
      </c>
      <c r="AK1577" s="37" t="n">
        <v>7</v>
      </c>
      <c r="AL1577" s="37" t="s">
        <v>343</v>
      </c>
      <c r="AM1577" s="39" t="n">
        <v>116.76</v>
      </c>
    </row>
    <row r="1578" customFormat="false" ht="15" hidden="false" customHeight="false" outlineLevel="0" collapsed="false">
      <c r="A1578" s="37" t="n">
        <v>388611537</v>
      </c>
      <c r="B1578" s="38" t="n">
        <v>46269.7653125</v>
      </c>
      <c r="C1578" s="37" t="s">
        <v>340</v>
      </c>
      <c r="D1578" s="37" t="s">
        <v>1792</v>
      </c>
      <c r="E1578" s="37" t="n">
        <v>21010570</v>
      </c>
      <c r="F1578" s="37" t="s">
        <v>159</v>
      </c>
      <c r="G1578" s="37" t="s">
        <v>196</v>
      </c>
      <c r="H1578" s="37" t="s">
        <v>184</v>
      </c>
      <c r="I1578" s="37" t="n">
        <v>22.4</v>
      </c>
      <c r="J1578" s="39" t="n">
        <v>489.69</v>
      </c>
      <c r="K1578" s="37" t="s">
        <v>342</v>
      </c>
      <c r="L1578" s="39" t="n">
        <v>82.67</v>
      </c>
      <c r="M1578" s="39" t="n">
        <v>42.11</v>
      </c>
      <c r="N1578" s="39" t="n">
        <f aca="false">J1578*Resumo!$C$6</f>
        <v>0</v>
      </c>
      <c r="O1578" s="39" t="n">
        <f aca="false">J1578*Resumo!$C$7</f>
        <v>1.028349</v>
      </c>
      <c r="P1578" s="39" t="n">
        <f aca="false">J1578*Resumo!$C$8</f>
        <v>1.028349</v>
      </c>
      <c r="Q1578" s="39" t="n">
        <f aca="false">Resumo!$C$10*CEILING(I1578/100,1)</f>
        <v>1.05</v>
      </c>
      <c r="R1578" s="39" t="n">
        <f aca="false">Resumo!$C$9</f>
        <v>0</v>
      </c>
      <c r="S1578" s="39" t="n">
        <f aca="false">Resumo!$C$13</f>
        <v>13.55</v>
      </c>
      <c r="T1578" s="39" t="n">
        <f aca="false">Resumo!$C$14*CEILING(I1578,1)</f>
        <v>10.35</v>
      </c>
      <c r="U1578" s="39" t="n">
        <f aca="false">SUM(M1578:T1578)*Resumo!$C$11</f>
        <v>0</v>
      </c>
      <c r="V1578" s="39" t="n">
        <f aca="false">SUM(M1578:U1578)</f>
        <v>69.116698</v>
      </c>
      <c r="W1578" s="39" t="n">
        <f aca="false">V1578/(1-Resumo!$C$5)</f>
        <v>78.5417022727273</v>
      </c>
      <c r="X1578" s="39" t="n">
        <v>82.21</v>
      </c>
      <c r="Y1578" s="39" t="n">
        <f aca="false">J1578*Resumo!$B$6</f>
        <v>0.48969</v>
      </c>
      <c r="Z1578" s="39" t="n">
        <f aca="false">J1578*Resumo!$B$7</f>
        <v>0.97938</v>
      </c>
      <c r="AA1578" s="39" t="n">
        <f aca="false">Resumo!$B$9</f>
        <v>1</v>
      </c>
      <c r="AB1578" s="39" t="n">
        <f aca="false">Resumo!$B$10*CEILING(I1578/100,1)</f>
        <v>4.5</v>
      </c>
      <c r="AC1578" s="39" t="n">
        <f aca="false">Resumo!$B$12*CEILING(I1578,1)</f>
        <v>1.38</v>
      </c>
      <c r="AD1578" s="39" t="n">
        <f aca="false">Resumo!$B$14*CEILING(I1578,1)</f>
        <v>10.35</v>
      </c>
      <c r="AE1578" s="39" t="n">
        <f aca="false">SUM(X1578:AD1578)</f>
        <v>100.90907</v>
      </c>
      <c r="AF1578" s="39" t="n">
        <f aca="false">AE1578/(1-Resumo!$B$5)</f>
        <v>114.669397727273</v>
      </c>
      <c r="AG1578" s="39" t="n">
        <f aca="false">AF1578-W1578</f>
        <v>36.1276954545454</v>
      </c>
      <c r="AH1578" s="40" t="n">
        <f aca="false">AF1578/W1578-1</f>
        <v>0.45998105985908</v>
      </c>
      <c r="AI1578" s="37" t="str">
        <f aca="false">IF(AF1578&lt;W1578,"SIM","NÃO")</f>
        <v>NÃO</v>
      </c>
      <c r="AJ1578" s="37" t="n">
        <v>2</v>
      </c>
      <c r="AK1578" s="37" t="n">
        <v>5</v>
      </c>
      <c r="AL1578" s="37" t="s">
        <v>343</v>
      </c>
      <c r="AM1578" s="39" t="n">
        <v>82.67</v>
      </c>
    </row>
    <row r="1579" customFormat="false" ht="15" hidden="false" customHeight="false" outlineLevel="0" collapsed="false">
      <c r="A1579" s="37" t="n">
        <v>388635712</v>
      </c>
      <c r="B1579" s="38" t="n">
        <v>46269.8088078704</v>
      </c>
      <c r="C1579" s="37" t="s">
        <v>372</v>
      </c>
      <c r="D1579" s="37" t="s">
        <v>1793</v>
      </c>
      <c r="E1579" s="37" t="n">
        <v>20765240</v>
      </c>
      <c r="F1579" s="37" t="s">
        <v>159</v>
      </c>
      <c r="G1579" s="37" t="s">
        <v>196</v>
      </c>
      <c r="H1579" s="37" t="s">
        <v>190</v>
      </c>
      <c r="I1579" s="37" t="n">
        <v>93.8</v>
      </c>
      <c r="J1579" s="39" t="n">
        <v>979.99</v>
      </c>
      <c r="K1579" s="37" t="s">
        <v>342</v>
      </c>
      <c r="L1579" s="39" t="n">
        <v>163.78</v>
      </c>
      <c r="M1579" s="39" t="n">
        <v>83.79</v>
      </c>
      <c r="N1579" s="39" t="n">
        <f aca="false">J1579*Resumo!$C$6</f>
        <v>0</v>
      </c>
      <c r="O1579" s="39" t="n">
        <f aca="false">J1579*Resumo!$C$7</f>
        <v>2.057979</v>
      </c>
      <c r="P1579" s="39" t="n">
        <f aca="false">J1579*Resumo!$C$8</f>
        <v>2.057979</v>
      </c>
      <c r="Q1579" s="39" t="n">
        <f aca="false">Resumo!$C$10*CEILING(I1579/100,1)</f>
        <v>1.05</v>
      </c>
      <c r="R1579" s="39" t="n">
        <f aca="false">Resumo!$C$9</f>
        <v>0</v>
      </c>
      <c r="S1579" s="39" t="n">
        <f aca="false">Resumo!$C$13</f>
        <v>13.55</v>
      </c>
      <c r="T1579" s="39" t="n">
        <f aca="false">Resumo!$C$14*CEILING(I1579,1)</f>
        <v>42.3</v>
      </c>
      <c r="U1579" s="39" t="n">
        <f aca="false">SUM(M1579:T1579)*Resumo!$C$11</f>
        <v>0</v>
      </c>
      <c r="V1579" s="39" t="n">
        <f aca="false">SUM(M1579:U1579)</f>
        <v>144.805958</v>
      </c>
      <c r="W1579" s="39" t="n">
        <f aca="false">V1579/(1-Resumo!$C$5)</f>
        <v>164.552225</v>
      </c>
      <c r="X1579" s="39" t="n">
        <v>167.99</v>
      </c>
      <c r="Y1579" s="39" t="n">
        <f aca="false">J1579*Resumo!$B$6</f>
        <v>0.97999</v>
      </c>
      <c r="Z1579" s="39" t="n">
        <f aca="false">J1579*Resumo!$B$7</f>
        <v>1.95998</v>
      </c>
      <c r="AA1579" s="39" t="n">
        <f aca="false">Resumo!$B$9</f>
        <v>1</v>
      </c>
      <c r="AB1579" s="39" t="n">
        <f aca="false">Resumo!$B$10*CEILING(I1579/100,1)</f>
        <v>4.5</v>
      </c>
      <c r="AC1579" s="39" t="n">
        <f aca="false">Resumo!$B$12*CEILING(I1579,1)</f>
        <v>5.64</v>
      </c>
      <c r="AD1579" s="39" t="n">
        <f aca="false">Resumo!$B$14*CEILING(I1579,1)</f>
        <v>42.3</v>
      </c>
      <c r="AE1579" s="39" t="n">
        <f aca="false">SUM(X1579:AD1579)</f>
        <v>224.36997</v>
      </c>
      <c r="AF1579" s="39" t="n">
        <f aca="false">AE1579/(1-Resumo!$B$5)</f>
        <v>254.965875</v>
      </c>
      <c r="AG1579" s="39" t="n">
        <f aca="false">AF1579-W1579</f>
        <v>90.4136500000001</v>
      </c>
      <c r="AH1579" s="40" t="n">
        <f aca="false">AF1579/W1579-1</f>
        <v>0.549452612992623</v>
      </c>
      <c r="AI1579" s="37" t="str">
        <f aca="false">IF(AF1579&lt;W1579,"SIM","NÃO")</f>
        <v>NÃO</v>
      </c>
      <c r="AJ1579" s="37" t="n">
        <v>2</v>
      </c>
      <c r="AK1579" s="37" t="n">
        <v>5</v>
      </c>
      <c r="AL1579" s="37" t="s">
        <v>343</v>
      </c>
      <c r="AM1579" s="39" t="n">
        <v>163.79</v>
      </c>
    </row>
    <row r="1580" customFormat="false" ht="15" hidden="false" customHeight="false" outlineLevel="0" collapsed="false">
      <c r="A1580" s="37" t="n">
        <v>388700433</v>
      </c>
      <c r="B1580" s="38" t="n">
        <v>46269.8916087963</v>
      </c>
      <c r="C1580" s="37" t="s">
        <v>345</v>
      </c>
      <c r="D1580" s="37" t="s">
        <v>1631</v>
      </c>
      <c r="E1580" s="37" t="n">
        <v>21321560</v>
      </c>
      <c r="F1580" s="37" t="s">
        <v>159</v>
      </c>
      <c r="G1580" s="37" t="s">
        <v>196</v>
      </c>
      <c r="H1580" s="37" t="s">
        <v>184</v>
      </c>
      <c r="I1580" s="37" t="n">
        <v>21.75</v>
      </c>
      <c r="J1580" s="39" t="n">
        <v>249</v>
      </c>
      <c r="K1580" s="37" t="s">
        <v>342</v>
      </c>
      <c r="L1580" s="39" t="n">
        <v>81.52</v>
      </c>
      <c r="M1580" s="39" t="n">
        <v>42.11</v>
      </c>
      <c r="N1580" s="39" t="n">
        <f aca="false">J1580*Resumo!$C$6</f>
        <v>0</v>
      </c>
      <c r="O1580" s="39" t="n">
        <f aca="false">J1580*Resumo!$C$7</f>
        <v>0.5229</v>
      </c>
      <c r="P1580" s="39" t="n">
        <f aca="false">J1580*Resumo!$C$8</f>
        <v>0.5229</v>
      </c>
      <c r="Q1580" s="39" t="n">
        <f aca="false">Resumo!$C$10*CEILING(I1580/100,1)</f>
        <v>1.05</v>
      </c>
      <c r="R1580" s="39" t="n">
        <f aca="false">Resumo!$C$9</f>
        <v>0</v>
      </c>
      <c r="S1580" s="39" t="n">
        <f aca="false">Resumo!$C$13</f>
        <v>13.55</v>
      </c>
      <c r="T1580" s="39" t="n">
        <f aca="false">Resumo!$C$14*CEILING(I1580,1)</f>
        <v>9.9</v>
      </c>
      <c r="U1580" s="39" t="n">
        <f aca="false">SUM(M1580:T1580)*Resumo!$C$11</f>
        <v>0</v>
      </c>
      <c r="V1580" s="39" t="n">
        <f aca="false">SUM(M1580:U1580)</f>
        <v>67.6558</v>
      </c>
      <c r="W1580" s="39" t="n">
        <f aca="false">V1580/(1-Resumo!$C$5)</f>
        <v>76.8815909090909</v>
      </c>
      <c r="X1580" s="39" t="n">
        <v>82.21</v>
      </c>
      <c r="Y1580" s="39" t="n">
        <f aca="false">J1580*Resumo!$B$6</f>
        <v>0.249</v>
      </c>
      <c r="Z1580" s="39" t="n">
        <f aca="false">J1580*Resumo!$B$7</f>
        <v>0.498</v>
      </c>
      <c r="AA1580" s="39" t="n">
        <f aca="false">Resumo!$B$9</f>
        <v>1</v>
      </c>
      <c r="AB1580" s="39" t="n">
        <f aca="false">Resumo!$B$10*CEILING(I1580/100,1)</f>
        <v>4.5</v>
      </c>
      <c r="AC1580" s="39" t="n">
        <f aca="false">Resumo!$B$12*CEILING(I1580,1)</f>
        <v>1.32</v>
      </c>
      <c r="AD1580" s="39" t="n">
        <f aca="false">Resumo!$B$14*CEILING(I1580,1)</f>
        <v>9.9</v>
      </c>
      <c r="AE1580" s="39" t="n">
        <f aca="false">SUM(X1580:AD1580)</f>
        <v>99.677</v>
      </c>
      <c r="AF1580" s="39" t="n">
        <f aca="false">AE1580/(1-Resumo!$B$5)</f>
        <v>113.269318181818</v>
      </c>
      <c r="AG1580" s="39" t="n">
        <f aca="false">AF1580-W1580</f>
        <v>36.3877272727273</v>
      </c>
      <c r="AH1580" s="40" t="n">
        <f aca="false">AF1580/W1580-1</f>
        <v>0.473295711528058</v>
      </c>
      <c r="AI1580" s="37" t="str">
        <f aca="false">IF(AF1580&lt;W1580,"SIM","NÃO")</f>
        <v>NÃO</v>
      </c>
      <c r="AJ1580" s="37" t="n">
        <v>2</v>
      </c>
      <c r="AK1580" s="37" t="n">
        <v>5</v>
      </c>
      <c r="AL1580" s="37" t="s">
        <v>343</v>
      </c>
      <c r="AM1580" s="39" t="n">
        <v>81.52</v>
      </c>
    </row>
    <row r="1581" customFormat="false" ht="15" hidden="false" customHeight="false" outlineLevel="0" collapsed="false">
      <c r="A1581" s="37" t="n">
        <v>388731370</v>
      </c>
      <c r="B1581" s="38" t="n">
        <v>46269.9372337963</v>
      </c>
      <c r="C1581" s="37" t="s">
        <v>340</v>
      </c>
      <c r="D1581" s="37" t="s">
        <v>1794</v>
      </c>
      <c r="E1581" s="37" t="n">
        <v>28928368</v>
      </c>
      <c r="F1581" s="37" t="s">
        <v>172</v>
      </c>
      <c r="G1581" s="37" t="s">
        <v>198</v>
      </c>
      <c r="H1581" s="37" t="s">
        <v>186</v>
      </c>
      <c r="I1581" s="37" t="n">
        <v>48.3</v>
      </c>
      <c r="J1581" s="39" t="n">
        <v>459.69</v>
      </c>
      <c r="K1581" s="37" t="s">
        <v>342</v>
      </c>
      <c r="L1581" s="39" t="n">
        <v>130.36</v>
      </c>
      <c r="M1581" s="39" t="n">
        <v>77.7</v>
      </c>
      <c r="N1581" s="39" t="n">
        <f aca="false">J1581*Resumo!$C$6</f>
        <v>0</v>
      </c>
      <c r="O1581" s="39" t="n">
        <f aca="false">J1581*Resumo!$C$7</f>
        <v>0.965349</v>
      </c>
      <c r="P1581" s="39" t="n">
        <f aca="false">J1581*Resumo!$C$8</f>
        <v>0.965349</v>
      </c>
      <c r="Q1581" s="39" t="n">
        <f aca="false">Resumo!$C$10*CEILING(I1581/100,1)</f>
        <v>1.05</v>
      </c>
      <c r="R1581" s="39" t="n">
        <f aca="false">Resumo!$C$9</f>
        <v>0</v>
      </c>
      <c r="S1581" s="39" t="n">
        <f aca="false">Resumo!$C$13</f>
        <v>13.55</v>
      </c>
      <c r="T1581" s="39" t="n">
        <f aca="false">Resumo!$C$14*CEILING(I1581,1)</f>
        <v>22.05</v>
      </c>
      <c r="U1581" s="39" t="n">
        <f aca="false">SUM(M1581:T1581)*Resumo!$C$11</f>
        <v>0</v>
      </c>
      <c r="V1581" s="39" t="n">
        <f aca="false">SUM(M1581:U1581)</f>
        <v>116.280698</v>
      </c>
      <c r="W1581" s="39" t="n">
        <f aca="false">V1581/(1-Resumo!$C$5)</f>
        <v>132.137156818182</v>
      </c>
      <c r="X1581" s="39" t="n">
        <v>129.29</v>
      </c>
      <c r="Y1581" s="39" t="n">
        <f aca="false">J1581*Resumo!$B$6</f>
        <v>0.45969</v>
      </c>
      <c r="Z1581" s="39" t="n">
        <f aca="false">J1581*Resumo!$B$7</f>
        <v>0.91938</v>
      </c>
      <c r="AA1581" s="39" t="n">
        <f aca="false">Resumo!$B$9</f>
        <v>1</v>
      </c>
      <c r="AB1581" s="39" t="n">
        <f aca="false">Resumo!$B$10*CEILING(I1581/100,1)</f>
        <v>4.5</v>
      </c>
      <c r="AC1581" s="39" t="n">
        <f aca="false">Resumo!$B$12*CEILING(I1581,1)</f>
        <v>2.94</v>
      </c>
      <c r="AD1581" s="39" t="n">
        <f aca="false">Resumo!$B$14*CEILING(I1581,1)</f>
        <v>22.05</v>
      </c>
      <c r="AE1581" s="39" t="n">
        <f aca="false">SUM(X1581:AD1581)</f>
        <v>161.15907</v>
      </c>
      <c r="AF1581" s="39" t="n">
        <f aca="false">AE1581/(1-Resumo!$B$5)</f>
        <v>183.135306818182</v>
      </c>
      <c r="AG1581" s="39" t="n">
        <f aca="false">AF1581-W1581</f>
        <v>50.99815</v>
      </c>
      <c r="AH1581" s="40" t="n">
        <f aca="false">AF1581/W1581-1</f>
        <v>0.385948594839016</v>
      </c>
      <c r="AI1581" s="37" t="str">
        <f aca="false">IF(AF1581&lt;W1581,"SIM","NÃO")</f>
        <v>NÃO</v>
      </c>
      <c r="AJ1581" s="37" t="n">
        <v>13</v>
      </c>
      <c r="AK1581" s="37" t="n">
        <v>10</v>
      </c>
      <c r="AL1581" s="37" t="s">
        <v>343</v>
      </c>
      <c r="AM1581" s="39" t="n">
        <v>130.36</v>
      </c>
    </row>
    <row r="1582" customFormat="false" ht="15" hidden="false" customHeight="false" outlineLevel="0" collapsed="false">
      <c r="A1582" s="37" t="n">
        <v>388806961</v>
      </c>
      <c r="B1582" s="38" t="n">
        <v>46269.9689699074</v>
      </c>
      <c r="C1582" s="37" t="s">
        <v>345</v>
      </c>
      <c r="D1582" s="37" t="s">
        <v>1795</v>
      </c>
      <c r="E1582" s="37" t="n">
        <v>21775420</v>
      </c>
      <c r="F1582" s="37" t="s">
        <v>159</v>
      </c>
      <c r="G1582" s="37" t="s">
        <v>196</v>
      </c>
      <c r="H1582" s="37" t="s">
        <v>185</v>
      </c>
      <c r="I1582" s="37" t="n">
        <v>36.8</v>
      </c>
      <c r="J1582" s="39" t="n">
        <v>431.64</v>
      </c>
      <c r="K1582" s="37" t="s">
        <v>342</v>
      </c>
      <c r="L1582" s="39" t="n">
        <v>91.92</v>
      </c>
      <c r="M1582" s="39" t="n">
        <v>48.35</v>
      </c>
      <c r="N1582" s="39" t="n">
        <f aca="false">J1582*Resumo!$C$6</f>
        <v>0</v>
      </c>
      <c r="O1582" s="39" t="n">
        <f aca="false">J1582*Resumo!$C$7</f>
        <v>0.906444</v>
      </c>
      <c r="P1582" s="39" t="n">
        <f aca="false">J1582*Resumo!$C$8</f>
        <v>0.906444</v>
      </c>
      <c r="Q1582" s="39" t="n">
        <f aca="false">Resumo!$C$10*CEILING(I1582/100,1)</f>
        <v>1.05</v>
      </c>
      <c r="R1582" s="39" t="n">
        <f aca="false">Resumo!$C$9</f>
        <v>0</v>
      </c>
      <c r="S1582" s="39" t="n">
        <f aca="false">Resumo!$C$13</f>
        <v>13.55</v>
      </c>
      <c r="T1582" s="39" t="n">
        <f aca="false">Resumo!$C$14*CEILING(I1582,1)</f>
        <v>16.65</v>
      </c>
      <c r="U1582" s="39" t="n">
        <f aca="false">SUM(M1582:T1582)*Resumo!$C$11</f>
        <v>0</v>
      </c>
      <c r="V1582" s="39" t="n">
        <f aca="false">SUM(M1582:U1582)</f>
        <v>81.412888</v>
      </c>
      <c r="W1582" s="39" t="n">
        <f aca="false">V1582/(1-Resumo!$C$5)</f>
        <v>92.5146454545455</v>
      </c>
      <c r="X1582" s="39" t="n">
        <v>93.97</v>
      </c>
      <c r="Y1582" s="39" t="n">
        <f aca="false">J1582*Resumo!$B$6</f>
        <v>0.43164</v>
      </c>
      <c r="Z1582" s="39" t="n">
        <f aca="false">J1582*Resumo!$B$7</f>
        <v>0.86328</v>
      </c>
      <c r="AA1582" s="39" t="n">
        <f aca="false">Resumo!$B$9</f>
        <v>1</v>
      </c>
      <c r="AB1582" s="39" t="n">
        <f aca="false">Resumo!$B$10*CEILING(I1582/100,1)</f>
        <v>4.5</v>
      </c>
      <c r="AC1582" s="39" t="n">
        <f aca="false">Resumo!$B$12*CEILING(I1582,1)</f>
        <v>2.22</v>
      </c>
      <c r="AD1582" s="39" t="n">
        <f aca="false">Resumo!$B$14*CEILING(I1582,1)</f>
        <v>16.65</v>
      </c>
      <c r="AE1582" s="39" t="n">
        <f aca="false">SUM(X1582:AD1582)</f>
        <v>119.63492</v>
      </c>
      <c r="AF1582" s="39" t="n">
        <f aca="false">AE1582/(1-Resumo!$B$5)</f>
        <v>135.948772727273</v>
      </c>
      <c r="AG1582" s="39" t="n">
        <f aca="false">AF1582-W1582</f>
        <v>43.4341272727273</v>
      </c>
      <c r="AH1582" s="40" t="n">
        <f aca="false">AF1582/W1582-1</f>
        <v>0.469483799665724</v>
      </c>
      <c r="AI1582" s="37" t="str">
        <f aca="false">IF(AF1582&lt;W1582,"SIM","NÃO")</f>
        <v>NÃO</v>
      </c>
      <c r="AJ1582" s="37" t="n">
        <v>2</v>
      </c>
      <c r="AK1582" s="37" t="n">
        <v>5</v>
      </c>
      <c r="AL1582" s="37" t="s">
        <v>343</v>
      </c>
      <c r="AM1582" s="39" t="n">
        <v>91.92</v>
      </c>
    </row>
    <row r="1583" customFormat="false" ht="15" hidden="false" customHeight="false" outlineLevel="0" collapsed="false">
      <c r="A1583" s="37" t="n">
        <v>388774493</v>
      </c>
      <c r="B1583" s="38" t="n">
        <v>46270.0036574074</v>
      </c>
      <c r="C1583" s="37" t="s">
        <v>375</v>
      </c>
      <c r="D1583" s="37" t="s">
        <v>1796</v>
      </c>
      <c r="E1583" s="37" t="n">
        <v>21044550</v>
      </c>
      <c r="F1583" s="37" t="s">
        <v>159</v>
      </c>
      <c r="G1583" s="37" t="s">
        <v>196</v>
      </c>
      <c r="H1583" s="37" t="s">
        <v>188</v>
      </c>
      <c r="I1583" s="37" t="n">
        <v>65.1</v>
      </c>
      <c r="J1583" s="39" t="n">
        <v>718.95</v>
      </c>
      <c r="K1583" s="37" t="s">
        <v>342</v>
      </c>
      <c r="L1583" s="39" t="n">
        <v>124.66</v>
      </c>
      <c r="M1583" s="39" t="n">
        <v>63.21</v>
      </c>
      <c r="N1583" s="39" t="n">
        <f aca="false">J1583*Resumo!$C$6</f>
        <v>0</v>
      </c>
      <c r="O1583" s="39" t="n">
        <f aca="false">J1583*Resumo!$C$7</f>
        <v>1.509795</v>
      </c>
      <c r="P1583" s="39" t="n">
        <f aca="false">J1583*Resumo!$C$8</f>
        <v>1.509795</v>
      </c>
      <c r="Q1583" s="39" t="n">
        <f aca="false">Resumo!$C$10*CEILING(I1583/100,1)</f>
        <v>1.05</v>
      </c>
      <c r="R1583" s="39" t="n">
        <f aca="false">Resumo!$C$9</f>
        <v>0</v>
      </c>
      <c r="S1583" s="39" t="n">
        <f aca="false">Resumo!$C$13</f>
        <v>13.55</v>
      </c>
      <c r="T1583" s="39" t="n">
        <f aca="false">Resumo!$C$14*CEILING(I1583,1)</f>
        <v>29.7</v>
      </c>
      <c r="U1583" s="39" t="n">
        <f aca="false">SUM(M1583:T1583)*Resumo!$C$11</f>
        <v>0</v>
      </c>
      <c r="V1583" s="39" t="n">
        <f aca="false">SUM(M1583:U1583)</f>
        <v>110.52959</v>
      </c>
      <c r="W1583" s="39" t="n">
        <f aca="false">V1583/(1-Resumo!$C$5)</f>
        <v>125.601806818182</v>
      </c>
      <c r="X1583" s="39" t="n">
        <v>131.02</v>
      </c>
      <c r="Y1583" s="39" t="n">
        <f aca="false">J1583*Resumo!$B$6</f>
        <v>0.71895</v>
      </c>
      <c r="Z1583" s="39" t="n">
        <f aca="false">J1583*Resumo!$B$7</f>
        <v>1.4379</v>
      </c>
      <c r="AA1583" s="39" t="n">
        <f aca="false">Resumo!$B$9</f>
        <v>1</v>
      </c>
      <c r="AB1583" s="39" t="n">
        <f aca="false">Resumo!$B$10*CEILING(I1583/100,1)</f>
        <v>4.5</v>
      </c>
      <c r="AC1583" s="39" t="n">
        <f aca="false">Resumo!$B$12*CEILING(I1583,1)</f>
        <v>3.96</v>
      </c>
      <c r="AD1583" s="39" t="n">
        <f aca="false">Resumo!$B$14*CEILING(I1583,1)</f>
        <v>29.7</v>
      </c>
      <c r="AE1583" s="39" t="n">
        <f aca="false">SUM(X1583:AD1583)</f>
        <v>172.33685</v>
      </c>
      <c r="AF1583" s="39" t="n">
        <f aca="false">AE1583/(1-Resumo!$B$5)</f>
        <v>195.837329545455</v>
      </c>
      <c r="AG1583" s="39" t="n">
        <f aca="false">AF1583-W1583</f>
        <v>70.2355227272727</v>
      </c>
      <c r="AH1583" s="40" t="n">
        <f aca="false">AF1583/W1583-1</f>
        <v>0.559191977460515</v>
      </c>
      <c r="AI1583" s="37" t="str">
        <f aca="false">IF(AF1583&lt;W1583,"SIM","NÃO")</f>
        <v>NÃO</v>
      </c>
      <c r="AJ1583" s="37" t="n">
        <v>2</v>
      </c>
      <c r="AK1583" s="37" t="n">
        <v>5</v>
      </c>
      <c r="AL1583" s="37" t="s">
        <v>343</v>
      </c>
      <c r="AM1583" s="39" t="n">
        <v>124.65</v>
      </c>
    </row>
    <row r="1584" customFormat="false" ht="15" hidden="false" customHeight="false" outlineLevel="0" collapsed="false">
      <c r="A1584" s="37" t="n">
        <v>388894100</v>
      </c>
      <c r="B1584" s="38" t="n">
        <v>46270.3630439815</v>
      </c>
      <c r="C1584" s="37" t="s">
        <v>340</v>
      </c>
      <c r="D1584" s="37" t="s">
        <v>1797</v>
      </c>
      <c r="E1584" s="37" t="n">
        <v>28920225</v>
      </c>
      <c r="F1584" s="37" t="s">
        <v>172</v>
      </c>
      <c r="G1584" s="37" t="s">
        <v>198</v>
      </c>
      <c r="H1584" s="37" t="s">
        <v>187</v>
      </c>
      <c r="I1584" s="37" t="n">
        <v>59.9</v>
      </c>
      <c r="J1584" s="39" t="n">
        <v>944.56</v>
      </c>
      <c r="K1584" s="37" t="s">
        <v>342</v>
      </c>
      <c r="L1584" s="39" t="n">
        <v>144.2</v>
      </c>
      <c r="M1584" s="39" t="n">
        <v>83.58</v>
      </c>
      <c r="N1584" s="39" t="n">
        <f aca="false">J1584*Resumo!$C$6</f>
        <v>0</v>
      </c>
      <c r="O1584" s="39" t="n">
        <f aca="false">J1584*Resumo!$C$7</f>
        <v>1.983576</v>
      </c>
      <c r="P1584" s="39" t="n">
        <f aca="false">J1584*Resumo!$C$8</f>
        <v>1.983576</v>
      </c>
      <c r="Q1584" s="39" t="n">
        <f aca="false">Resumo!$C$10*CEILING(I1584/100,1)</f>
        <v>1.05</v>
      </c>
      <c r="R1584" s="39" t="n">
        <f aca="false">Resumo!$C$9</f>
        <v>0</v>
      </c>
      <c r="S1584" s="39" t="n">
        <f aca="false">Resumo!$C$13</f>
        <v>13.55</v>
      </c>
      <c r="T1584" s="39" t="n">
        <f aca="false">Resumo!$C$14*CEILING(I1584,1)</f>
        <v>27</v>
      </c>
      <c r="U1584" s="39" t="n">
        <f aca="false">SUM(M1584:T1584)*Resumo!$C$11</f>
        <v>0</v>
      </c>
      <c r="V1584" s="39" t="n">
        <f aca="false">SUM(M1584:U1584)</f>
        <v>129.147152</v>
      </c>
      <c r="W1584" s="39" t="n">
        <f aca="false">V1584/(1-Resumo!$C$5)</f>
        <v>146.758127272727</v>
      </c>
      <c r="X1584" s="39" t="n">
        <v>142.32</v>
      </c>
      <c r="Y1584" s="39" t="n">
        <f aca="false">J1584*Resumo!$B$6</f>
        <v>0.94456</v>
      </c>
      <c r="Z1584" s="39" t="n">
        <f aca="false">J1584*Resumo!$B$7</f>
        <v>1.88912</v>
      </c>
      <c r="AA1584" s="39" t="n">
        <f aca="false">Resumo!$B$9</f>
        <v>1</v>
      </c>
      <c r="AB1584" s="39" t="n">
        <f aca="false">Resumo!$B$10*CEILING(I1584/100,1)</f>
        <v>4.5</v>
      </c>
      <c r="AC1584" s="39" t="n">
        <f aca="false">Resumo!$B$12*CEILING(I1584,1)</f>
        <v>3.6</v>
      </c>
      <c r="AD1584" s="39" t="n">
        <f aca="false">Resumo!$B$14*CEILING(I1584,1)</f>
        <v>27</v>
      </c>
      <c r="AE1584" s="39" t="n">
        <f aca="false">SUM(X1584:AD1584)</f>
        <v>181.25368</v>
      </c>
      <c r="AF1584" s="39" t="n">
        <f aca="false">AE1584/(1-Resumo!$B$5)</f>
        <v>205.970090909091</v>
      </c>
      <c r="AG1584" s="39" t="n">
        <f aca="false">AF1584-W1584</f>
        <v>59.2119636363636</v>
      </c>
      <c r="AH1584" s="40" t="n">
        <f aca="false">AF1584/W1584-1</f>
        <v>0.403466334278901</v>
      </c>
      <c r="AI1584" s="37" t="str">
        <f aca="false">IF(AF1584&lt;W1584,"SIM","NÃO")</f>
        <v>NÃO</v>
      </c>
      <c r="AJ1584" s="37" t="n">
        <v>13</v>
      </c>
      <c r="AK1584" s="37" t="n">
        <v>10</v>
      </c>
      <c r="AL1584" s="37" t="s">
        <v>343</v>
      </c>
      <c r="AM1584" s="39" t="n">
        <v>144.2</v>
      </c>
    </row>
    <row r="1585" customFormat="false" ht="15" hidden="false" customHeight="false" outlineLevel="0" collapsed="false">
      <c r="A1585" s="37" t="n">
        <v>388934354</v>
      </c>
      <c r="B1585" s="38" t="n">
        <v>46270.4415393519</v>
      </c>
      <c r="C1585" s="37" t="s">
        <v>340</v>
      </c>
      <c r="D1585" s="37" t="s">
        <v>485</v>
      </c>
      <c r="E1585" s="37" t="n">
        <v>28660000</v>
      </c>
      <c r="F1585" s="37" t="s">
        <v>282</v>
      </c>
      <c r="G1585" s="37" t="s">
        <v>198</v>
      </c>
      <c r="H1585" s="37" t="s">
        <v>184</v>
      </c>
      <c r="I1585" s="37" t="n">
        <v>22.4</v>
      </c>
      <c r="J1585" s="39" t="n">
        <v>489.69</v>
      </c>
      <c r="K1585" s="37" t="s">
        <v>342</v>
      </c>
      <c r="L1585" s="39" t="n">
        <v>109.52</v>
      </c>
      <c r="M1585" s="39" t="n">
        <v>65.63</v>
      </c>
      <c r="N1585" s="39" t="n">
        <f aca="false">J1585*Resumo!$C$6</f>
        <v>0</v>
      </c>
      <c r="O1585" s="39" t="n">
        <f aca="false">J1585*Resumo!$C$7</f>
        <v>1.028349</v>
      </c>
      <c r="P1585" s="39" t="n">
        <f aca="false">J1585*Resumo!$C$8</f>
        <v>1.028349</v>
      </c>
      <c r="Q1585" s="39" t="n">
        <f aca="false">Resumo!$C$10*CEILING(I1585/100,1)</f>
        <v>1.05</v>
      </c>
      <c r="R1585" s="39" t="n">
        <f aca="false">Resumo!$C$9</f>
        <v>0</v>
      </c>
      <c r="S1585" s="39" t="n">
        <f aca="false">Resumo!$C$13</f>
        <v>13.55</v>
      </c>
      <c r="T1585" s="39" t="n">
        <f aca="false">Resumo!$C$14*CEILING(I1585,1)</f>
        <v>10.35</v>
      </c>
      <c r="U1585" s="39" t="n">
        <f aca="false">SUM(M1585:T1585)*Resumo!$C$11</f>
        <v>0</v>
      </c>
      <c r="V1585" s="39" t="n">
        <f aca="false">SUM(M1585:U1585)</f>
        <v>92.636698</v>
      </c>
      <c r="W1585" s="39" t="n">
        <f aca="false">V1585/(1-Resumo!$C$5)</f>
        <v>105.268975</v>
      </c>
      <c r="X1585" s="39" t="n">
        <v>120.78</v>
      </c>
      <c r="Y1585" s="39" t="n">
        <f aca="false">J1585*Resumo!$B$6</f>
        <v>0.48969</v>
      </c>
      <c r="Z1585" s="39" t="n">
        <f aca="false">J1585*Resumo!$B$7</f>
        <v>0.97938</v>
      </c>
      <c r="AA1585" s="39" t="n">
        <f aca="false">Resumo!$B$9</f>
        <v>1</v>
      </c>
      <c r="AB1585" s="39" t="n">
        <f aca="false">Resumo!$B$10*CEILING(I1585/100,1)</f>
        <v>4.5</v>
      </c>
      <c r="AC1585" s="39" t="n">
        <f aca="false">Resumo!$B$12*CEILING(I1585,1)</f>
        <v>1.38</v>
      </c>
      <c r="AD1585" s="39" t="n">
        <f aca="false">Resumo!$B$14*CEILING(I1585,1)</f>
        <v>10.35</v>
      </c>
      <c r="AE1585" s="39" t="n">
        <f aca="false">SUM(X1585:AD1585)</f>
        <v>139.47907</v>
      </c>
      <c r="AF1585" s="39" t="n">
        <f aca="false">AE1585/(1-Resumo!$B$5)</f>
        <v>158.498943181818</v>
      </c>
      <c r="AG1585" s="39" t="n">
        <f aca="false">AF1585-W1585</f>
        <v>53.2299681818182</v>
      </c>
      <c r="AH1585" s="40" t="n">
        <f aca="false">AF1585/W1585-1</f>
        <v>0.505656753870912</v>
      </c>
      <c r="AI1585" s="37" t="str">
        <f aca="false">IF(AF1585&lt;W1585,"SIM","NÃO")</f>
        <v>NÃO</v>
      </c>
      <c r="AJ1585" s="37" t="n">
        <v>13</v>
      </c>
      <c r="AK1585" s="37" t="n">
        <v>10</v>
      </c>
      <c r="AL1585" s="37" t="s">
        <v>347</v>
      </c>
      <c r="AM1585" s="39" t="n">
        <v>109.53</v>
      </c>
    </row>
    <row r="1586" customFormat="false" ht="15" hidden="false" customHeight="false" outlineLevel="0" collapsed="false">
      <c r="A1586" s="37" t="n">
        <v>388984081</v>
      </c>
      <c r="B1586" s="38" t="n">
        <v>46270.5257060185</v>
      </c>
      <c r="C1586" s="37" t="s">
        <v>340</v>
      </c>
      <c r="D1586" s="37" t="s">
        <v>1798</v>
      </c>
      <c r="E1586" s="37" t="n">
        <v>23935105</v>
      </c>
      <c r="F1586" s="37" t="s">
        <v>169</v>
      </c>
      <c r="G1586" s="37" t="s">
        <v>198</v>
      </c>
      <c r="H1586" s="37" t="s">
        <v>187</v>
      </c>
      <c r="I1586" s="37" t="n">
        <v>51</v>
      </c>
      <c r="J1586" s="39" t="n">
        <v>793.98</v>
      </c>
      <c r="K1586" s="37" t="s">
        <v>342</v>
      </c>
      <c r="L1586" s="39" t="n">
        <v>143.48</v>
      </c>
      <c r="M1586" s="39" t="n">
        <v>83.58</v>
      </c>
      <c r="N1586" s="39" t="n">
        <f aca="false">J1586*Resumo!$C$6</f>
        <v>0</v>
      </c>
      <c r="O1586" s="39" t="n">
        <f aca="false">J1586*Resumo!$C$7</f>
        <v>1.667358</v>
      </c>
      <c r="P1586" s="39" t="n">
        <f aca="false">J1586*Resumo!$C$8</f>
        <v>1.667358</v>
      </c>
      <c r="Q1586" s="39" t="n">
        <f aca="false">Resumo!$C$10*CEILING(I1586/100,1)</f>
        <v>1.05</v>
      </c>
      <c r="R1586" s="39" t="n">
        <f aca="false">Resumo!$C$9</f>
        <v>0</v>
      </c>
      <c r="S1586" s="39" t="n">
        <f aca="false">Resumo!$C$13</f>
        <v>13.55</v>
      </c>
      <c r="T1586" s="39" t="n">
        <f aca="false">Resumo!$C$14*CEILING(I1586,1)</f>
        <v>22.95</v>
      </c>
      <c r="U1586" s="39" t="n">
        <f aca="false">SUM(M1586:T1586)*Resumo!$C$11</f>
        <v>0</v>
      </c>
      <c r="V1586" s="39" t="n">
        <f aca="false">SUM(M1586:U1586)</f>
        <v>124.464716</v>
      </c>
      <c r="W1586" s="39" t="n">
        <f aca="false">V1586/(1-Resumo!$C$5)</f>
        <v>141.437177272727</v>
      </c>
      <c r="X1586" s="39" t="n">
        <v>142.32</v>
      </c>
      <c r="Y1586" s="39" t="n">
        <f aca="false">J1586*Resumo!$B$6</f>
        <v>0.79398</v>
      </c>
      <c r="Z1586" s="39" t="n">
        <f aca="false">J1586*Resumo!$B$7</f>
        <v>1.58796</v>
      </c>
      <c r="AA1586" s="39" t="n">
        <f aca="false">Resumo!$B$9</f>
        <v>1</v>
      </c>
      <c r="AB1586" s="39" t="n">
        <f aca="false">Resumo!$B$10*CEILING(I1586/100,1)</f>
        <v>4.5</v>
      </c>
      <c r="AC1586" s="39" t="n">
        <f aca="false">Resumo!$B$12*CEILING(I1586,1)</f>
        <v>3.06</v>
      </c>
      <c r="AD1586" s="39" t="n">
        <f aca="false">Resumo!$B$14*CEILING(I1586,1)</f>
        <v>22.95</v>
      </c>
      <c r="AE1586" s="39" t="n">
        <f aca="false">SUM(X1586:AD1586)</f>
        <v>176.21194</v>
      </c>
      <c r="AF1586" s="39" t="n">
        <f aca="false">AE1586/(1-Resumo!$B$5)</f>
        <v>200.240840909091</v>
      </c>
      <c r="AG1586" s="39" t="n">
        <f aca="false">AF1586-W1586</f>
        <v>58.8036636363636</v>
      </c>
      <c r="AH1586" s="40" t="n">
        <f aca="false">AF1586/W1586-1</f>
        <v>0.415758181619922</v>
      </c>
      <c r="AI1586" s="37" t="str">
        <f aca="false">IF(AF1586&lt;W1586,"SIM","NÃO")</f>
        <v>NÃO</v>
      </c>
      <c r="AJ1586" s="37" t="n">
        <v>13</v>
      </c>
      <c r="AK1586" s="37" t="n">
        <v>10</v>
      </c>
      <c r="AL1586" s="37" t="s">
        <v>343</v>
      </c>
      <c r="AM1586" s="39" t="n">
        <v>143.48</v>
      </c>
    </row>
    <row r="1587" customFormat="false" ht="15" hidden="false" customHeight="false" outlineLevel="0" collapsed="false">
      <c r="A1587" s="37" t="n">
        <v>389017097</v>
      </c>
      <c r="B1587" s="38" t="n">
        <v>46270.6068518519</v>
      </c>
      <c r="C1587" s="37" t="s">
        <v>361</v>
      </c>
      <c r="D1587" s="37" t="s">
        <v>1799</v>
      </c>
      <c r="E1587" s="37" t="n">
        <v>23047530</v>
      </c>
      <c r="F1587" s="37" t="s">
        <v>159</v>
      </c>
      <c r="G1587" s="37" t="s">
        <v>196</v>
      </c>
      <c r="H1587" s="37" t="s">
        <v>188</v>
      </c>
      <c r="I1587" s="37" t="n">
        <v>69</v>
      </c>
      <c r="J1587" s="39" t="n">
        <v>959.99</v>
      </c>
      <c r="K1587" s="37" t="s">
        <v>342</v>
      </c>
      <c r="L1587" s="39" t="n">
        <v>125.81</v>
      </c>
      <c r="M1587" s="39" t="n">
        <v>63.21</v>
      </c>
      <c r="N1587" s="39" t="n">
        <f aca="false">J1587*Resumo!$C$6</f>
        <v>0</v>
      </c>
      <c r="O1587" s="39" t="n">
        <f aca="false">J1587*Resumo!$C$7</f>
        <v>2.015979</v>
      </c>
      <c r="P1587" s="39" t="n">
        <f aca="false">J1587*Resumo!$C$8</f>
        <v>2.015979</v>
      </c>
      <c r="Q1587" s="39" t="n">
        <f aca="false">Resumo!$C$10*CEILING(I1587/100,1)</f>
        <v>1.05</v>
      </c>
      <c r="R1587" s="39" t="n">
        <f aca="false">Resumo!$C$9</f>
        <v>0</v>
      </c>
      <c r="S1587" s="39" t="n">
        <f aca="false">Resumo!$C$13</f>
        <v>13.55</v>
      </c>
      <c r="T1587" s="39" t="n">
        <f aca="false">Resumo!$C$14*CEILING(I1587,1)</f>
        <v>31.05</v>
      </c>
      <c r="U1587" s="39" t="n">
        <f aca="false">SUM(M1587:T1587)*Resumo!$C$11</f>
        <v>0</v>
      </c>
      <c r="V1587" s="39" t="n">
        <f aca="false">SUM(M1587:U1587)</f>
        <v>112.891958</v>
      </c>
      <c r="W1587" s="39" t="n">
        <f aca="false">V1587/(1-Resumo!$C$5)</f>
        <v>128.286315909091</v>
      </c>
      <c r="X1587" s="39" t="n">
        <v>131.02</v>
      </c>
      <c r="Y1587" s="39" t="n">
        <f aca="false">J1587*Resumo!$B$6</f>
        <v>0.95999</v>
      </c>
      <c r="Z1587" s="39" t="n">
        <f aca="false">J1587*Resumo!$B$7</f>
        <v>1.91998</v>
      </c>
      <c r="AA1587" s="39" t="n">
        <f aca="false">Resumo!$B$9</f>
        <v>1</v>
      </c>
      <c r="AB1587" s="39" t="n">
        <f aca="false">Resumo!$B$10*CEILING(I1587/100,1)</f>
        <v>4.5</v>
      </c>
      <c r="AC1587" s="39" t="n">
        <f aca="false">Resumo!$B$12*CEILING(I1587,1)</f>
        <v>4.14</v>
      </c>
      <c r="AD1587" s="39" t="n">
        <f aca="false">Resumo!$B$14*CEILING(I1587,1)</f>
        <v>31.05</v>
      </c>
      <c r="AE1587" s="39" t="n">
        <f aca="false">SUM(X1587:AD1587)</f>
        <v>174.58997</v>
      </c>
      <c r="AF1587" s="39" t="n">
        <f aca="false">AE1587/(1-Resumo!$B$5)</f>
        <v>198.397693181818</v>
      </c>
      <c r="AG1587" s="39" t="n">
        <f aca="false">AF1587-W1587</f>
        <v>70.1113772727273</v>
      </c>
      <c r="AH1587" s="40" t="n">
        <f aca="false">AF1587/W1587-1</f>
        <v>0.546522649558439</v>
      </c>
      <c r="AI1587" s="37" t="str">
        <f aca="false">IF(AF1587&lt;W1587,"SIM","NÃO")</f>
        <v>NÃO</v>
      </c>
      <c r="AJ1587" s="37" t="n">
        <v>2</v>
      </c>
      <c r="AK1587" s="37" t="n">
        <v>5</v>
      </c>
      <c r="AL1587" s="37" t="s">
        <v>343</v>
      </c>
      <c r="AM1587" s="39" t="n">
        <v>125.81</v>
      </c>
    </row>
    <row r="1588" customFormat="false" ht="15" hidden="false" customHeight="false" outlineLevel="0" collapsed="false">
      <c r="A1588" s="37" t="n">
        <v>389042818</v>
      </c>
      <c r="B1588" s="38" t="n">
        <v>46270.6228819444</v>
      </c>
      <c r="C1588" s="37" t="s">
        <v>340</v>
      </c>
      <c r="D1588" s="37" t="s">
        <v>1800</v>
      </c>
      <c r="E1588" s="37" t="n">
        <v>22221140</v>
      </c>
      <c r="F1588" s="37" t="s">
        <v>159</v>
      </c>
      <c r="G1588" s="37" t="s">
        <v>196</v>
      </c>
      <c r="H1588" s="37" t="s">
        <v>184</v>
      </c>
      <c r="I1588" s="37" t="n">
        <v>27</v>
      </c>
      <c r="J1588" s="39" t="n">
        <v>339.99</v>
      </c>
      <c r="K1588" s="37" t="s">
        <v>342</v>
      </c>
      <c r="L1588" s="39" t="n">
        <v>81.95</v>
      </c>
      <c r="M1588" s="39" t="n">
        <v>42.11</v>
      </c>
      <c r="N1588" s="39" t="n">
        <f aca="false">J1588*Resumo!$C$6</f>
        <v>0</v>
      </c>
      <c r="O1588" s="39" t="n">
        <f aca="false">J1588*Resumo!$C$7</f>
        <v>0.713979</v>
      </c>
      <c r="P1588" s="39" t="n">
        <f aca="false">J1588*Resumo!$C$8</f>
        <v>0.713979</v>
      </c>
      <c r="Q1588" s="39" t="n">
        <f aca="false">Resumo!$C$10*CEILING(I1588/100,1)</f>
        <v>1.05</v>
      </c>
      <c r="R1588" s="39" t="n">
        <f aca="false">Resumo!$C$9</f>
        <v>0</v>
      </c>
      <c r="S1588" s="39" t="n">
        <f aca="false">Resumo!$C$13</f>
        <v>13.55</v>
      </c>
      <c r="T1588" s="39" t="n">
        <f aca="false">Resumo!$C$14*CEILING(I1588,1)</f>
        <v>12.15</v>
      </c>
      <c r="U1588" s="39" t="n">
        <f aca="false">SUM(M1588:T1588)*Resumo!$C$11</f>
        <v>0</v>
      </c>
      <c r="V1588" s="39" t="n">
        <f aca="false">SUM(M1588:U1588)</f>
        <v>70.287958</v>
      </c>
      <c r="W1588" s="39" t="n">
        <f aca="false">V1588/(1-Resumo!$C$5)</f>
        <v>79.8726795454546</v>
      </c>
      <c r="X1588" s="39" t="n">
        <v>82.21</v>
      </c>
      <c r="Y1588" s="39" t="n">
        <f aca="false">J1588*Resumo!$B$6</f>
        <v>0.33999</v>
      </c>
      <c r="Z1588" s="39" t="n">
        <f aca="false">J1588*Resumo!$B$7</f>
        <v>0.67998</v>
      </c>
      <c r="AA1588" s="39" t="n">
        <f aca="false">Resumo!$B$9</f>
        <v>1</v>
      </c>
      <c r="AB1588" s="39" t="n">
        <f aca="false">Resumo!$B$10*CEILING(I1588/100,1)</f>
        <v>4.5</v>
      </c>
      <c r="AC1588" s="39" t="n">
        <f aca="false">Resumo!$B$12*CEILING(I1588,1)</f>
        <v>1.62</v>
      </c>
      <c r="AD1588" s="39" t="n">
        <f aca="false">Resumo!$B$14*CEILING(I1588,1)</f>
        <v>12.15</v>
      </c>
      <c r="AE1588" s="39" t="n">
        <f aca="false">SUM(X1588:AD1588)</f>
        <v>102.49997</v>
      </c>
      <c r="AF1588" s="39" t="n">
        <f aca="false">AE1588/(1-Resumo!$B$5)</f>
        <v>116.477238636364</v>
      </c>
      <c r="AG1588" s="39" t="n">
        <f aca="false">AF1588-W1588</f>
        <v>36.6045590909091</v>
      </c>
      <c r="AH1588" s="40" t="n">
        <f aca="false">AF1588/W1588-1</f>
        <v>0.458286353972611</v>
      </c>
      <c r="AI1588" s="37" t="str">
        <f aca="false">IF(AF1588&lt;W1588,"SIM","NÃO")</f>
        <v>NÃO</v>
      </c>
      <c r="AJ1588" s="37" t="n">
        <v>2</v>
      </c>
      <c r="AK1588" s="37" t="n">
        <v>5</v>
      </c>
      <c r="AL1588" s="37" t="s">
        <v>343</v>
      </c>
      <c r="AM1588" s="39" t="n">
        <v>81.95</v>
      </c>
    </row>
    <row r="1589" customFormat="false" ht="15" hidden="false" customHeight="false" outlineLevel="0" collapsed="false">
      <c r="A1589" s="37" t="n">
        <v>389079113</v>
      </c>
      <c r="B1589" s="38" t="n">
        <v>46270.6863310185</v>
      </c>
      <c r="C1589" s="37" t="s">
        <v>345</v>
      </c>
      <c r="D1589" s="37" t="s">
        <v>1801</v>
      </c>
      <c r="E1589" s="37" t="n">
        <v>27603051</v>
      </c>
      <c r="F1589" s="37" t="s">
        <v>253</v>
      </c>
      <c r="G1589" s="37" t="s">
        <v>198</v>
      </c>
      <c r="H1589" s="37" t="s">
        <v>192</v>
      </c>
      <c r="I1589" s="37" t="n">
        <v>124.2</v>
      </c>
      <c r="J1589" s="39" t="n">
        <v>1699.99</v>
      </c>
      <c r="K1589" s="37" t="s">
        <v>342</v>
      </c>
      <c r="L1589" s="39" t="n">
        <v>261.43</v>
      </c>
      <c r="M1589" s="39" t="n">
        <v>144.24</v>
      </c>
      <c r="N1589" s="39" t="n">
        <f aca="false">J1589*Resumo!$C$6</f>
        <v>0</v>
      </c>
      <c r="O1589" s="39" t="n">
        <f aca="false">J1589*Resumo!$C$7</f>
        <v>3.569979</v>
      </c>
      <c r="P1589" s="39" t="n">
        <f aca="false">J1589*Resumo!$C$8</f>
        <v>3.569979</v>
      </c>
      <c r="Q1589" s="39" t="n">
        <f aca="false">Resumo!$C$10*CEILING(I1589/100,1)</f>
        <v>2.1</v>
      </c>
      <c r="R1589" s="39" t="n">
        <f aca="false">Resumo!$C$9</f>
        <v>0</v>
      </c>
      <c r="S1589" s="39" t="n">
        <f aca="false">Resumo!$C$13</f>
        <v>13.55</v>
      </c>
      <c r="T1589" s="39" t="n">
        <f aca="false">Resumo!$C$14*CEILING(I1589,1)</f>
        <v>56.25</v>
      </c>
      <c r="U1589" s="39" t="n">
        <f aca="false">SUM(M1589:T1589)*Resumo!$C$11</f>
        <v>0</v>
      </c>
      <c r="V1589" s="39" t="n">
        <f aca="false">SUM(M1589:U1589)</f>
        <v>223.279958</v>
      </c>
      <c r="W1589" s="39" t="n">
        <f aca="false">V1589/(1-Resumo!$C$5)</f>
        <v>253.727225</v>
      </c>
      <c r="X1589" s="39" t="n">
        <v>264.84</v>
      </c>
      <c r="Y1589" s="39" t="n">
        <f aca="false">J1589*Resumo!$B$6</f>
        <v>1.69999</v>
      </c>
      <c r="Z1589" s="39" t="n">
        <f aca="false">J1589*Resumo!$B$7</f>
        <v>3.39998</v>
      </c>
      <c r="AA1589" s="39" t="n">
        <f aca="false">Resumo!$B$9</f>
        <v>1</v>
      </c>
      <c r="AB1589" s="39" t="n">
        <f aca="false">Resumo!$B$10*CEILING(I1589/100,1)</f>
        <v>9</v>
      </c>
      <c r="AC1589" s="39" t="n">
        <f aca="false">Resumo!$B$12*CEILING(I1589,1)</f>
        <v>7.5</v>
      </c>
      <c r="AD1589" s="39" t="n">
        <f aca="false">Resumo!$B$14*CEILING(I1589,1)</f>
        <v>56.25</v>
      </c>
      <c r="AE1589" s="39" t="n">
        <f aca="false">SUM(X1589:AD1589)</f>
        <v>343.68997</v>
      </c>
      <c r="AF1589" s="39" t="n">
        <f aca="false">AE1589/(1-Resumo!$B$5)</f>
        <v>390.556784090909</v>
      </c>
      <c r="AG1589" s="39" t="n">
        <f aca="false">AF1589-W1589</f>
        <v>136.829559090909</v>
      </c>
      <c r="AH1589" s="40" t="n">
        <f aca="false">AF1589/W1589-1</f>
        <v>0.539278191730939</v>
      </c>
      <c r="AI1589" s="37" t="str">
        <f aca="false">IF(AF1589&lt;W1589,"SIM","NÃO")</f>
        <v>NÃO</v>
      </c>
      <c r="AJ1589" s="37" t="n">
        <v>13</v>
      </c>
      <c r="AK1589" s="37" t="n">
        <v>10</v>
      </c>
      <c r="AL1589" s="37" t="s">
        <v>347</v>
      </c>
      <c r="AM1589" s="39" t="n">
        <v>261.44</v>
      </c>
    </row>
    <row r="1590" customFormat="false" ht="15" hidden="false" customHeight="false" outlineLevel="0" collapsed="false">
      <c r="A1590" s="37" t="n">
        <v>389080429</v>
      </c>
      <c r="B1590" s="38" t="n">
        <v>46270.6887962963</v>
      </c>
      <c r="C1590" s="37" t="s">
        <v>340</v>
      </c>
      <c r="D1590" s="37" t="s">
        <v>568</v>
      </c>
      <c r="E1590" s="37" t="n">
        <v>23036060</v>
      </c>
      <c r="F1590" s="37" t="s">
        <v>159</v>
      </c>
      <c r="G1590" s="37" t="s">
        <v>196</v>
      </c>
      <c r="H1590" s="37" t="s">
        <v>185</v>
      </c>
      <c r="I1590" s="37" t="n">
        <v>37.6</v>
      </c>
      <c r="J1590" s="39" t="n">
        <v>449.99</v>
      </c>
      <c r="K1590" s="37" t="s">
        <v>342</v>
      </c>
      <c r="L1590" s="39" t="n">
        <v>92.01</v>
      </c>
      <c r="M1590" s="39" t="n">
        <v>48.35</v>
      </c>
      <c r="N1590" s="39" t="n">
        <f aca="false">J1590*Resumo!$C$6</f>
        <v>0</v>
      </c>
      <c r="O1590" s="39" t="n">
        <f aca="false">J1590*Resumo!$C$7</f>
        <v>0.944979</v>
      </c>
      <c r="P1590" s="39" t="n">
        <f aca="false">J1590*Resumo!$C$8</f>
        <v>0.944979</v>
      </c>
      <c r="Q1590" s="39" t="n">
        <f aca="false">Resumo!$C$10*CEILING(I1590/100,1)</f>
        <v>1.05</v>
      </c>
      <c r="R1590" s="39" t="n">
        <f aca="false">Resumo!$C$9</f>
        <v>0</v>
      </c>
      <c r="S1590" s="39" t="n">
        <f aca="false">Resumo!$C$13</f>
        <v>13.55</v>
      </c>
      <c r="T1590" s="39" t="n">
        <f aca="false">Resumo!$C$14*CEILING(I1590,1)</f>
        <v>17.1</v>
      </c>
      <c r="U1590" s="39" t="n">
        <f aca="false">SUM(M1590:T1590)*Resumo!$C$11</f>
        <v>0</v>
      </c>
      <c r="V1590" s="39" t="n">
        <f aca="false">SUM(M1590:U1590)</f>
        <v>81.939958</v>
      </c>
      <c r="W1590" s="39" t="n">
        <f aca="false">V1590/(1-Resumo!$C$5)</f>
        <v>93.1135886363636</v>
      </c>
      <c r="X1590" s="39" t="n">
        <v>93.97</v>
      </c>
      <c r="Y1590" s="39" t="n">
        <f aca="false">J1590*Resumo!$B$6</f>
        <v>0.44999</v>
      </c>
      <c r="Z1590" s="39" t="n">
        <f aca="false">J1590*Resumo!$B$7</f>
        <v>0.89998</v>
      </c>
      <c r="AA1590" s="39" t="n">
        <f aca="false">Resumo!$B$9</f>
        <v>1</v>
      </c>
      <c r="AB1590" s="39" t="n">
        <f aca="false">Resumo!$B$10*CEILING(I1590/100,1)</f>
        <v>4.5</v>
      </c>
      <c r="AC1590" s="39" t="n">
        <f aca="false">Resumo!$B$12*CEILING(I1590,1)</f>
        <v>2.28</v>
      </c>
      <c r="AD1590" s="39" t="n">
        <f aca="false">Resumo!$B$14*CEILING(I1590,1)</f>
        <v>17.1</v>
      </c>
      <c r="AE1590" s="39" t="n">
        <f aca="false">SUM(X1590:AD1590)</f>
        <v>120.19997</v>
      </c>
      <c r="AF1590" s="39" t="n">
        <f aca="false">AE1590/(1-Resumo!$B$5)</f>
        <v>136.590875</v>
      </c>
      <c r="AG1590" s="39" t="n">
        <f aca="false">AF1590-W1590</f>
        <v>43.4772863636364</v>
      </c>
      <c r="AH1590" s="40" t="n">
        <f aca="false">AF1590/W1590-1</f>
        <v>0.466927405552246</v>
      </c>
      <c r="AI1590" s="37" t="str">
        <f aca="false">IF(AF1590&lt;W1590,"SIM","NÃO")</f>
        <v>NÃO</v>
      </c>
      <c r="AJ1590" s="37" t="n">
        <v>2</v>
      </c>
      <c r="AK1590" s="37" t="n">
        <v>5</v>
      </c>
      <c r="AL1590" s="37" t="s">
        <v>343</v>
      </c>
      <c r="AM1590" s="39" t="n">
        <v>92.01</v>
      </c>
    </row>
    <row r="1591" customFormat="false" ht="15" hidden="false" customHeight="false" outlineLevel="0" collapsed="false">
      <c r="A1591" s="37" t="n">
        <v>389082305</v>
      </c>
      <c r="B1591" s="38" t="n">
        <v>46270.6918981482</v>
      </c>
      <c r="C1591" s="37" t="s">
        <v>340</v>
      </c>
      <c r="D1591" s="37" t="s">
        <v>1802</v>
      </c>
      <c r="E1591" s="37" t="n">
        <v>22783360</v>
      </c>
      <c r="F1591" s="37" t="s">
        <v>159</v>
      </c>
      <c r="G1591" s="37" t="s">
        <v>196</v>
      </c>
      <c r="H1591" s="37" t="s">
        <v>185</v>
      </c>
      <c r="I1591" s="37" t="n">
        <v>38.6</v>
      </c>
      <c r="J1591" s="39" t="n">
        <v>579.99</v>
      </c>
      <c r="K1591" s="37" t="s">
        <v>342</v>
      </c>
      <c r="L1591" s="39" t="n">
        <v>92.64</v>
      </c>
      <c r="M1591" s="39" t="n">
        <v>48.35</v>
      </c>
      <c r="N1591" s="39" t="n">
        <f aca="false">J1591*Resumo!$C$6</f>
        <v>0</v>
      </c>
      <c r="O1591" s="39" t="n">
        <f aca="false">J1591*Resumo!$C$7</f>
        <v>1.217979</v>
      </c>
      <c r="P1591" s="39" t="n">
        <f aca="false">J1591*Resumo!$C$8</f>
        <v>1.217979</v>
      </c>
      <c r="Q1591" s="39" t="n">
        <f aca="false">Resumo!$C$10*CEILING(I1591/100,1)</f>
        <v>1.05</v>
      </c>
      <c r="R1591" s="39" t="n">
        <f aca="false">Resumo!$C$9</f>
        <v>0</v>
      </c>
      <c r="S1591" s="39" t="n">
        <f aca="false">Resumo!$C$13</f>
        <v>13.55</v>
      </c>
      <c r="T1591" s="39" t="n">
        <f aca="false">Resumo!$C$14*CEILING(I1591,1)</f>
        <v>17.55</v>
      </c>
      <c r="U1591" s="39" t="n">
        <f aca="false">SUM(M1591:T1591)*Resumo!$C$11</f>
        <v>0</v>
      </c>
      <c r="V1591" s="39" t="n">
        <f aca="false">SUM(M1591:U1591)</f>
        <v>82.935958</v>
      </c>
      <c r="W1591" s="39" t="n">
        <f aca="false">V1591/(1-Resumo!$C$5)</f>
        <v>94.2454068181818</v>
      </c>
      <c r="X1591" s="39" t="n">
        <v>93.97</v>
      </c>
      <c r="Y1591" s="39" t="n">
        <f aca="false">J1591*Resumo!$B$6</f>
        <v>0.57999</v>
      </c>
      <c r="Z1591" s="39" t="n">
        <f aca="false">J1591*Resumo!$B$7</f>
        <v>1.15998</v>
      </c>
      <c r="AA1591" s="39" t="n">
        <f aca="false">Resumo!$B$9</f>
        <v>1</v>
      </c>
      <c r="AB1591" s="39" t="n">
        <f aca="false">Resumo!$B$10*CEILING(I1591/100,1)</f>
        <v>4.5</v>
      </c>
      <c r="AC1591" s="39" t="n">
        <f aca="false">Resumo!$B$12*CEILING(I1591,1)</f>
        <v>2.34</v>
      </c>
      <c r="AD1591" s="39" t="n">
        <f aca="false">Resumo!$B$14*CEILING(I1591,1)</f>
        <v>17.55</v>
      </c>
      <c r="AE1591" s="39" t="n">
        <f aca="false">SUM(X1591:AD1591)</f>
        <v>121.09997</v>
      </c>
      <c r="AF1591" s="39" t="n">
        <f aca="false">AE1591/(1-Resumo!$B$5)</f>
        <v>137.613602272727</v>
      </c>
      <c r="AG1591" s="39" t="n">
        <f aca="false">AF1591-W1591</f>
        <v>43.3681954545454</v>
      </c>
      <c r="AH1591" s="40" t="n">
        <f aca="false">AF1591/W1591-1</f>
        <v>0.460162430389964</v>
      </c>
      <c r="AI1591" s="37" t="str">
        <f aca="false">IF(AF1591&lt;W1591,"SIM","NÃO")</f>
        <v>NÃO</v>
      </c>
      <c r="AJ1591" s="37" t="n">
        <v>2</v>
      </c>
      <c r="AK1591" s="37" t="n">
        <v>5</v>
      </c>
      <c r="AL1591" s="37" t="s">
        <v>343</v>
      </c>
      <c r="AM1591" s="39" t="n">
        <v>92.64</v>
      </c>
    </row>
    <row r="1592" customFormat="false" ht="15" hidden="false" customHeight="false" outlineLevel="0" collapsed="false">
      <c r="A1592" s="37" t="n">
        <v>389094920</v>
      </c>
      <c r="B1592" s="38" t="n">
        <v>46270.6933912037</v>
      </c>
      <c r="C1592" s="37" t="s">
        <v>537</v>
      </c>
      <c r="D1592" s="37" t="s">
        <v>1803</v>
      </c>
      <c r="E1592" s="37" t="n">
        <v>22250040</v>
      </c>
      <c r="F1592" s="37" t="s">
        <v>159</v>
      </c>
      <c r="G1592" s="37" t="s">
        <v>196</v>
      </c>
      <c r="H1592" s="37" t="s">
        <v>186</v>
      </c>
      <c r="I1592" s="37" t="n">
        <v>49.6</v>
      </c>
      <c r="J1592" s="39" t="n">
        <v>555.29</v>
      </c>
      <c r="K1592" s="37" t="s">
        <v>342</v>
      </c>
      <c r="L1592" s="39" t="n">
        <v>103.25</v>
      </c>
      <c r="M1592" s="39" t="n">
        <v>53.55</v>
      </c>
      <c r="N1592" s="39" t="n">
        <f aca="false">J1592*Resumo!$C$6</f>
        <v>0</v>
      </c>
      <c r="O1592" s="39" t="n">
        <f aca="false">J1592*Resumo!$C$7</f>
        <v>1.166109</v>
      </c>
      <c r="P1592" s="39" t="n">
        <f aca="false">J1592*Resumo!$C$8</f>
        <v>1.166109</v>
      </c>
      <c r="Q1592" s="39" t="n">
        <f aca="false">Resumo!$C$10*CEILING(I1592/100,1)</f>
        <v>1.05</v>
      </c>
      <c r="R1592" s="39" t="n">
        <f aca="false">Resumo!$C$9</f>
        <v>0</v>
      </c>
      <c r="S1592" s="39" t="n">
        <f aca="false">Resumo!$C$13</f>
        <v>13.55</v>
      </c>
      <c r="T1592" s="39" t="n">
        <f aca="false">Resumo!$C$14*CEILING(I1592,1)</f>
        <v>22.5</v>
      </c>
      <c r="U1592" s="39" t="n">
        <f aca="false">SUM(M1592:T1592)*Resumo!$C$11</f>
        <v>0</v>
      </c>
      <c r="V1592" s="39" t="n">
        <f aca="false">SUM(M1592:U1592)</f>
        <v>92.982218</v>
      </c>
      <c r="W1592" s="39" t="n">
        <f aca="false">V1592/(1-Resumo!$C$5)</f>
        <v>105.661611363636</v>
      </c>
      <c r="X1592" s="39" t="n">
        <v>93.97</v>
      </c>
      <c r="Y1592" s="39" t="n">
        <f aca="false">J1592*Resumo!$B$6</f>
        <v>0.55529</v>
      </c>
      <c r="Z1592" s="39" t="n">
        <f aca="false">J1592*Resumo!$B$7</f>
        <v>1.11058</v>
      </c>
      <c r="AA1592" s="39" t="n">
        <f aca="false">Resumo!$B$9</f>
        <v>1</v>
      </c>
      <c r="AB1592" s="39" t="n">
        <f aca="false">Resumo!$B$10*CEILING(I1592/100,1)</f>
        <v>4.5</v>
      </c>
      <c r="AC1592" s="39" t="n">
        <f aca="false">Resumo!$B$12*CEILING(I1592,1)</f>
        <v>3</v>
      </c>
      <c r="AD1592" s="39" t="n">
        <f aca="false">Resumo!$B$14*CEILING(I1592,1)</f>
        <v>22.5</v>
      </c>
      <c r="AE1592" s="39" t="n">
        <f aca="false">SUM(X1592:AD1592)</f>
        <v>126.63587</v>
      </c>
      <c r="AF1592" s="39" t="n">
        <f aca="false">AE1592/(1-Resumo!$B$5)</f>
        <v>143.904397727273</v>
      </c>
      <c r="AG1592" s="39" t="n">
        <f aca="false">AF1592-W1592</f>
        <v>38.2427863636363</v>
      </c>
      <c r="AH1592" s="40" t="n">
        <f aca="false">AF1592/W1592-1</f>
        <v>0.361936429608508</v>
      </c>
      <c r="AI1592" s="37" t="str">
        <f aca="false">IF(AF1592&lt;W1592,"SIM","NÃO")</f>
        <v>NÃO</v>
      </c>
      <c r="AJ1592" s="37" t="n">
        <v>2</v>
      </c>
      <c r="AK1592" s="37" t="n">
        <v>5</v>
      </c>
      <c r="AL1592" s="37" t="s">
        <v>343</v>
      </c>
      <c r="AM1592" s="39" t="n">
        <v>103.25</v>
      </c>
    </row>
    <row r="1593" customFormat="false" ht="15" hidden="false" customHeight="false" outlineLevel="0" collapsed="false">
      <c r="A1593" s="37" t="n">
        <v>389098955</v>
      </c>
      <c r="B1593" s="38" t="n">
        <v>46270.7212847222</v>
      </c>
      <c r="C1593" s="37" t="s">
        <v>340</v>
      </c>
      <c r="D1593" s="37" t="s">
        <v>1804</v>
      </c>
      <c r="E1593" s="37" t="n">
        <v>28922470</v>
      </c>
      <c r="F1593" s="37" t="s">
        <v>172</v>
      </c>
      <c r="G1593" s="37" t="s">
        <v>198</v>
      </c>
      <c r="H1593" s="37" t="s">
        <v>185</v>
      </c>
      <c r="I1593" s="37" t="n">
        <v>40</v>
      </c>
      <c r="J1593" s="39" t="n">
        <v>579.99</v>
      </c>
      <c r="K1593" s="37" t="s">
        <v>342</v>
      </c>
      <c r="L1593" s="39" t="n">
        <v>123.02</v>
      </c>
      <c r="M1593" s="39" t="n">
        <v>74.97</v>
      </c>
      <c r="N1593" s="39" t="n">
        <f aca="false">J1593*Resumo!$C$6</f>
        <v>0</v>
      </c>
      <c r="O1593" s="39" t="n">
        <f aca="false">J1593*Resumo!$C$7</f>
        <v>1.217979</v>
      </c>
      <c r="P1593" s="39" t="n">
        <f aca="false">J1593*Resumo!$C$8</f>
        <v>1.217979</v>
      </c>
      <c r="Q1593" s="39" t="n">
        <f aca="false">Resumo!$C$10*CEILING(I1593/100,1)</f>
        <v>1.05</v>
      </c>
      <c r="R1593" s="39" t="n">
        <f aca="false">Resumo!$C$9</f>
        <v>0</v>
      </c>
      <c r="S1593" s="39" t="n">
        <f aca="false">Resumo!$C$13</f>
        <v>13.55</v>
      </c>
      <c r="T1593" s="39" t="n">
        <f aca="false">Resumo!$C$14*CEILING(I1593,1)</f>
        <v>18</v>
      </c>
      <c r="U1593" s="39" t="n">
        <f aca="false">SUM(M1593:T1593)*Resumo!$C$11</f>
        <v>0</v>
      </c>
      <c r="V1593" s="39" t="n">
        <f aca="false">SUM(M1593:U1593)</f>
        <v>110.005958</v>
      </c>
      <c r="W1593" s="39" t="n">
        <f aca="false">V1593/(1-Resumo!$C$5)</f>
        <v>125.006770454545</v>
      </c>
      <c r="X1593" s="39" t="n">
        <v>124.38</v>
      </c>
      <c r="Y1593" s="39" t="n">
        <f aca="false">J1593*Resumo!$B$6</f>
        <v>0.57999</v>
      </c>
      <c r="Z1593" s="39" t="n">
        <f aca="false">J1593*Resumo!$B$7</f>
        <v>1.15998</v>
      </c>
      <c r="AA1593" s="39" t="n">
        <f aca="false">Resumo!$B$9</f>
        <v>1</v>
      </c>
      <c r="AB1593" s="39" t="n">
        <f aca="false">Resumo!$B$10*CEILING(I1593/100,1)</f>
        <v>4.5</v>
      </c>
      <c r="AC1593" s="39" t="n">
        <f aca="false">Resumo!$B$12*CEILING(I1593,1)</f>
        <v>2.4</v>
      </c>
      <c r="AD1593" s="39" t="n">
        <f aca="false">Resumo!$B$14*CEILING(I1593,1)</f>
        <v>18</v>
      </c>
      <c r="AE1593" s="39" t="n">
        <f aca="false">SUM(X1593:AD1593)</f>
        <v>152.01997</v>
      </c>
      <c r="AF1593" s="39" t="n">
        <f aca="false">AE1593/(1-Resumo!$B$5)</f>
        <v>172.749965909091</v>
      </c>
      <c r="AG1593" s="39" t="n">
        <f aca="false">AF1593-W1593</f>
        <v>47.7431954545455</v>
      </c>
      <c r="AH1593" s="40" t="n">
        <f aca="false">AF1593/W1593-1</f>
        <v>0.381924877196197</v>
      </c>
      <c r="AI1593" s="37" t="str">
        <f aca="false">IF(AF1593&lt;W1593,"SIM","NÃO")</f>
        <v>NÃO</v>
      </c>
      <c r="AJ1593" s="37" t="n">
        <v>13</v>
      </c>
      <c r="AK1593" s="37" t="n">
        <v>10</v>
      </c>
      <c r="AL1593" s="37" t="s">
        <v>343</v>
      </c>
      <c r="AM1593" s="39" t="n">
        <v>123.03</v>
      </c>
    </row>
    <row r="1594" customFormat="false" ht="15" hidden="false" customHeight="false" outlineLevel="0" collapsed="false">
      <c r="A1594" s="37" t="n">
        <v>389103216</v>
      </c>
      <c r="B1594" s="38" t="n">
        <v>46270.7288657407</v>
      </c>
      <c r="C1594" s="37" t="s">
        <v>340</v>
      </c>
      <c r="D1594" s="37" t="s">
        <v>1805</v>
      </c>
      <c r="E1594" s="37" t="n">
        <v>23587415</v>
      </c>
      <c r="F1594" s="37" t="s">
        <v>159</v>
      </c>
      <c r="G1594" s="37" t="s">
        <v>196</v>
      </c>
      <c r="H1594" s="37" t="s">
        <v>188</v>
      </c>
      <c r="I1594" s="37" t="n">
        <v>66.8</v>
      </c>
      <c r="J1594" s="39" t="n">
        <v>666.29</v>
      </c>
      <c r="K1594" s="37" t="s">
        <v>342</v>
      </c>
      <c r="L1594" s="39" t="n">
        <v>124.4</v>
      </c>
      <c r="M1594" s="39" t="n">
        <v>63.21</v>
      </c>
      <c r="N1594" s="39" t="n">
        <f aca="false">J1594*Resumo!$C$6</f>
        <v>0</v>
      </c>
      <c r="O1594" s="39" t="n">
        <f aca="false">J1594*Resumo!$C$7</f>
        <v>1.399209</v>
      </c>
      <c r="P1594" s="39" t="n">
        <f aca="false">J1594*Resumo!$C$8</f>
        <v>1.399209</v>
      </c>
      <c r="Q1594" s="39" t="n">
        <f aca="false">Resumo!$C$10*CEILING(I1594/100,1)</f>
        <v>1.05</v>
      </c>
      <c r="R1594" s="39" t="n">
        <f aca="false">Resumo!$C$9</f>
        <v>0</v>
      </c>
      <c r="S1594" s="39" t="n">
        <f aca="false">Resumo!$C$13</f>
        <v>13.55</v>
      </c>
      <c r="T1594" s="39" t="n">
        <f aca="false">Resumo!$C$14*CEILING(I1594,1)</f>
        <v>30.15</v>
      </c>
      <c r="U1594" s="39" t="n">
        <f aca="false">SUM(M1594:T1594)*Resumo!$C$11</f>
        <v>0</v>
      </c>
      <c r="V1594" s="39" t="n">
        <f aca="false">SUM(M1594:U1594)</f>
        <v>110.758418</v>
      </c>
      <c r="W1594" s="39" t="n">
        <f aca="false">V1594/(1-Resumo!$C$5)</f>
        <v>125.861838636364</v>
      </c>
      <c r="X1594" s="39" t="n">
        <v>131.02</v>
      </c>
      <c r="Y1594" s="39" t="n">
        <f aca="false">J1594*Resumo!$B$6</f>
        <v>0.66629</v>
      </c>
      <c r="Z1594" s="39" t="n">
        <f aca="false">J1594*Resumo!$B$7</f>
        <v>1.33258</v>
      </c>
      <c r="AA1594" s="39" t="n">
        <f aca="false">Resumo!$B$9</f>
        <v>1</v>
      </c>
      <c r="AB1594" s="39" t="n">
        <f aca="false">Resumo!$B$10*CEILING(I1594/100,1)</f>
        <v>4.5</v>
      </c>
      <c r="AC1594" s="39" t="n">
        <f aca="false">Resumo!$B$12*CEILING(I1594,1)</f>
        <v>4.02</v>
      </c>
      <c r="AD1594" s="39" t="n">
        <f aca="false">Resumo!$B$14*CEILING(I1594,1)</f>
        <v>30.15</v>
      </c>
      <c r="AE1594" s="39" t="n">
        <f aca="false">SUM(X1594:AD1594)</f>
        <v>172.68887</v>
      </c>
      <c r="AF1594" s="39" t="n">
        <f aca="false">AE1594/(1-Resumo!$B$5)</f>
        <v>196.237352272727</v>
      </c>
      <c r="AG1594" s="39" t="n">
        <f aca="false">AF1594-W1594</f>
        <v>70.3755136363637</v>
      </c>
      <c r="AH1594" s="40" t="n">
        <f aca="false">AF1594/W1594-1</f>
        <v>0.559148939812412</v>
      </c>
      <c r="AI1594" s="37" t="str">
        <f aca="false">IF(AF1594&lt;W1594,"SIM","NÃO")</f>
        <v>NÃO</v>
      </c>
      <c r="AJ1594" s="37" t="n">
        <v>2</v>
      </c>
      <c r="AK1594" s="37" t="n">
        <v>5</v>
      </c>
      <c r="AL1594" s="37" t="s">
        <v>343</v>
      </c>
      <c r="AM1594" s="39" t="n">
        <v>124.4</v>
      </c>
    </row>
    <row r="1595" customFormat="false" ht="15" hidden="false" customHeight="false" outlineLevel="0" collapsed="false">
      <c r="A1595" s="37" t="n">
        <v>389116100</v>
      </c>
      <c r="B1595" s="38" t="n">
        <v>46270.7510648148</v>
      </c>
      <c r="C1595" s="37" t="s">
        <v>340</v>
      </c>
      <c r="D1595" s="37" t="s">
        <v>1806</v>
      </c>
      <c r="E1595" s="37" t="n">
        <v>24710210</v>
      </c>
      <c r="F1595" s="37" t="s">
        <v>160</v>
      </c>
      <c r="G1595" s="37" t="s">
        <v>197</v>
      </c>
      <c r="H1595" s="37" t="s">
        <v>184</v>
      </c>
      <c r="I1595" s="37" t="n">
        <v>27.4</v>
      </c>
      <c r="J1595" s="39" t="n">
        <v>369.99</v>
      </c>
      <c r="K1595" s="37" t="s">
        <v>342</v>
      </c>
      <c r="L1595" s="39" t="n">
        <v>101.16</v>
      </c>
      <c r="M1595" s="39" t="n">
        <v>58.8</v>
      </c>
      <c r="N1595" s="39" t="n">
        <f aca="false">J1595*Resumo!$C$6</f>
        <v>0</v>
      </c>
      <c r="O1595" s="39" t="n">
        <f aca="false">J1595*Resumo!$C$7</f>
        <v>0.776979</v>
      </c>
      <c r="P1595" s="39" t="n">
        <f aca="false">J1595*Resumo!$C$8</f>
        <v>0.776979</v>
      </c>
      <c r="Q1595" s="39" t="n">
        <f aca="false">Resumo!$C$10*CEILING(I1595/100,1)</f>
        <v>1.05</v>
      </c>
      <c r="R1595" s="39" t="n">
        <f aca="false">Resumo!$C$9</f>
        <v>0</v>
      </c>
      <c r="S1595" s="39" t="n">
        <f aca="false">Resumo!$C$13</f>
        <v>13.55</v>
      </c>
      <c r="T1595" s="39" t="n">
        <f aca="false">Resumo!$C$14*CEILING(I1595,1)</f>
        <v>12.6</v>
      </c>
      <c r="U1595" s="39" t="n">
        <f aca="false">SUM(M1595:T1595)*Resumo!$C$11</f>
        <v>0</v>
      </c>
      <c r="V1595" s="39" t="n">
        <f aca="false">SUM(M1595:U1595)</f>
        <v>87.553958</v>
      </c>
      <c r="W1595" s="39" t="n">
        <f aca="false">V1595/(1-Resumo!$C$5)</f>
        <v>99.4931340909091</v>
      </c>
      <c r="X1595" s="39" t="n">
        <v>100.58</v>
      </c>
      <c r="Y1595" s="39" t="n">
        <f aca="false">J1595*Resumo!$B$6</f>
        <v>0.36999</v>
      </c>
      <c r="Z1595" s="39" t="n">
        <f aca="false">J1595*Resumo!$B$7</f>
        <v>0.73998</v>
      </c>
      <c r="AA1595" s="39" t="n">
        <f aca="false">Resumo!$B$9</f>
        <v>1</v>
      </c>
      <c r="AB1595" s="39" t="n">
        <f aca="false">Resumo!$B$10*CEILING(I1595/100,1)</f>
        <v>4.5</v>
      </c>
      <c r="AC1595" s="39" t="n">
        <f aca="false">Resumo!$B$12*CEILING(I1595,1)</f>
        <v>1.68</v>
      </c>
      <c r="AD1595" s="39" t="n">
        <f aca="false">Resumo!$B$14*CEILING(I1595,1)</f>
        <v>12.6</v>
      </c>
      <c r="AE1595" s="39" t="n">
        <f aca="false">SUM(X1595:AD1595)</f>
        <v>121.46997</v>
      </c>
      <c r="AF1595" s="39" t="n">
        <f aca="false">AE1595/(1-Resumo!$B$5)</f>
        <v>138.034056818182</v>
      </c>
      <c r="AG1595" s="39" t="n">
        <f aca="false">AF1595-W1595</f>
        <v>38.5409227272727</v>
      </c>
      <c r="AH1595" s="40" t="n">
        <f aca="false">AF1595/W1595-1</f>
        <v>0.387372687366115</v>
      </c>
      <c r="AI1595" s="37" t="str">
        <f aca="false">IF(AF1595&lt;W1595,"SIM","NÃO")</f>
        <v>NÃO</v>
      </c>
      <c r="AJ1595" s="37" t="n">
        <v>2</v>
      </c>
      <c r="AK1595" s="37" t="n">
        <v>7</v>
      </c>
      <c r="AL1595" s="37" t="s">
        <v>343</v>
      </c>
      <c r="AM1595" s="39" t="n">
        <v>101.16</v>
      </c>
    </row>
    <row r="1596" customFormat="false" ht="15" hidden="false" customHeight="false" outlineLevel="0" collapsed="false">
      <c r="A1596" s="37" t="n">
        <v>389119630</v>
      </c>
      <c r="B1596" s="38" t="n">
        <v>46270.7566666667</v>
      </c>
      <c r="C1596" s="37" t="s">
        <v>340</v>
      </c>
      <c r="D1596" s="37" t="s">
        <v>726</v>
      </c>
      <c r="E1596" s="37" t="n">
        <v>22753005</v>
      </c>
      <c r="F1596" s="37" t="s">
        <v>159</v>
      </c>
      <c r="G1596" s="37" t="s">
        <v>196</v>
      </c>
      <c r="H1596" s="37" t="s">
        <v>184</v>
      </c>
      <c r="I1596" s="37" t="n">
        <v>34.1</v>
      </c>
      <c r="J1596" s="39" t="n">
        <v>399.99</v>
      </c>
      <c r="K1596" s="37" t="s">
        <v>342</v>
      </c>
      <c r="L1596" s="39" t="n">
        <v>82.24</v>
      </c>
      <c r="M1596" s="39" t="n">
        <v>42.11</v>
      </c>
      <c r="N1596" s="39" t="n">
        <f aca="false">J1596*Resumo!$C$6</f>
        <v>0</v>
      </c>
      <c r="O1596" s="39" t="n">
        <f aca="false">J1596*Resumo!$C$7</f>
        <v>0.839979</v>
      </c>
      <c r="P1596" s="39" t="n">
        <f aca="false">J1596*Resumo!$C$8</f>
        <v>0.839979</v>
      </c>
      <c r="Q1596" s="39" t="n">
        <f aca="false">Resumo!$C$10*CEILING(I1596/100,1)</f>
        <v>1.05</v>
      </c>
      <c r="R1596" s="39" t="n">
        <f aca="false">Resumo!$C$9</f>
        <v>0</v>
      </c>
      <c r="S1596" s="39" t="n">
        <f aca="false">Resumo!$C$13</f>
        <v>13.55</v>
      </c>
      <c r="T1596" s="39" t="n">
        <f aca="false">Resumo!$C$14*CEILING(I1596,1)</f>
        <v>15.75</v>
      </c>
      <c r="U1596" s="39" t="n">
        <f aca="false">SUM(M1596:T1596)*Resumo!$C$11</f>
        <v>0</v>
      </c>
      <c r="V1596" s="39" t="n">
        <f aca="false">SUM(M1596:U1596)</f>
        <v>74.139958</v>
      </c>
      <c r="W1596" s="39" t="n">
        <f aca="false">V1596/(1-Resumo!$C$5)</f>
        <v>84.2499522727273</v>
      </c>
      <c r="X1596" s="39" t="n">
        <v>82.21</v>
      </c>
      <c r="Y1596" s="39" t="n">
        <f aca="false">J1596*Resumo!$B$6</f>
        <v>0.39999</v>
      </c>
      <c r="Z1596" s="39" t="n">
        <f aca="false">J1596*Resumo!$B$7</f>
        <v>0.79998</v>
      </c>
      <c r="AA1596" s="39" t="n">
        <f aca="false">Resumo!$B$9</f>
        <v>1</v>
      </c>
      <c r="AB1596" s="39" t="n">
        <f aca="false">Resumo!$B$10*CEILING(I1596/100,1)</f>
        <v>4.5</v>
      </c>
      <c r="AC1596" s="39" t="n">
        <f aca="false">Resumo!$B$12*CEILING(I1596,1)</f>
        <v>2.1</v>
      </c>
      <c r="AD1596" s="39" t="n">
        <f aca="false">Resumo!$B$14*CEILING(I1596,1)</f>
        <v>15.75</v>
      </c>
      <c r="AE1596" s="39" t="n">
        <f aca="false">SUM(X1596:AD1596)</f>
        <v>106.75997</v>
      </c>
      <c r="AF1596" s="39" t="n">
        <f aca="false">AE1596/(1-Resumo!$B$5)</f>
        <v>121.318147727273</v>
      </c>
      <c r="AG1596" s="39" t="n">
        <f aca="false">AF1596-W1596</f>
        <v>37.0681954545454</v>
      </c>
      <c r="AH1596" s="40" t="n">
        <f aca="false">AF1596/W1596-1</f>
        <v>0.439978830309022</v>
      </c>
      <c r="AI1596" s="37" t="str">
        <f aca="false">IF(AF1596&lt;W1596,"SIM","NÃO")</f>
        <v>NÃO</v>
      </c>
      <c r="AJ1596" s="37" t="n">
        <v>2</v>
      </c>
      <c r="AK1596" s="37" t="n">
        <v>5</v>
      </c>
      <c r="AL1596" s="37" t="s">
        <v>343</v>
      </c>
      <c r="AM1596" s="39" t="n">
        <v>82.24</v>
      </c>
    </row>
    <row r="1597" customFormat="false" ht="15" hidden="false" customHeight="false" outlineLevel="0" collapsed="false">
      <c r="A1597" s="37" t="n">
        <v>389188455</v>
      </c>
      <c r="B1597" s="38" t="n">
        <v>46270.8719907407</v>
      </c>
      <c r="C1597" s="37" t="s">
        <v>340</v>
      </c>
      <c r="D1597" s="37" t="s">
        <v>1807</v>
      </c>
      <c r="E1597" s="37" t="n">
        <v>23935172</v>
      </c>
      <c r="F1597" s="37" t="s">
        <v>169</v>
      </c>
      <c r="G1597" s="37" t="s">
        <v>198</v>
      </c>
      <c r="H1597" s="37" t="s">
        <v>186</v>
      </c>
      <c r="I1597" s="37" t="n">
        <v>48.3</v>
      </c>
      <c r="J1597" s="39" t="n">
        <v>499.99</v>
      </c>
      <c r="K1597" s="37" t="s">
        <v>342</v>
      </c>
      <c r="L1597" s="39" t="n">
        <v>130.56</v>
      </c>
      <c r="M1597" s="39" t="n">
        <v>77.7</v>
      </c>
      <c r="N1597" s="39" t="n">
        <f aca="false">J1597*Resumo!$C$6</f>
        <v>0</v>
      </c>
      <c r="O1597" s="39" t="n">
        <f aca="false">J1597*Resumo!$C$7</f>
        <v>1.049979</v>
      </c>
      <c r="P1597" s="39" t="n">
        <f aca="false">J1597*Resumo!$C$8</f>
        <v>1.049979</v>
      </c>
      <c r="Q1597" s="39" t="n">
        <f aca="false">Resumo!$C$10*CEILING(I1597/100,1)</f>
        <v>1.05</v>
      </c>
      <c r="R1597" s="39" t="n">
        <f aca="false">Resumo!$C$9</f>
        <v>0</v>
      </c>
      <c r="S1597" s="39" t="n">
        <f aca="false">Resumo!$C$13</f>
        <v>13.55</v>
      </c>
      <c r="T1597" s="39" t="n">
        <f aca="false">Resumo!$C$14*CEILING(I1597,1)</f>
        <v>22.05</v>
      </c>
      <c r="U1597" s="39" t="n">
        <f aca="false">SUM(M1597:T1597)*Resumo!$C$11</f>
        <v>0</v>
      </c>
      <c r="V1597" s="39" t="n">
        <f aca="false">SUM(M1597:U1597)</f>
        <v>116.449958</v>
      </c>
      <c r="W1597" s="39" t="n">
        <f aca="false">V1597/(1-Resumo!$C$5)</f>
        <v>132.329497727273</v>
      </c>
      <c r="X1597" s="39" t="n">
        <v>124.38</v>
      </c>
      <c r="Y1597" s="39" t="n">
        <f aca="false">J1597*Resumo!$B$6</f>
        <v>0.49999</v>
      </c>
      <c r="Z1597" s="39" t="n">
        <f aca="false">J1597*Resumo!$B$7</f>
        <v>0.99998</v>
      </c>
      <c r="AA1597" s="39" t="n">
        <f aca="false">Resumo!$B$9</f>
        <v>1</v>
      </c>
      <c r="AB1597" s="39" t="n">
        <f aca="false">Resumo!$B$10*CEILING(I1597/100,1)</f>
        <v>4.5</v>
      </c>
      <c r="AC1597" s="39" t="n">
        <f aca="false">Resumo!$B$12*CEILING(I1597,1)</f>
        <v>2.94</v>
      </c>
      <c r="AD1597" s="39" t="n">
        <f aca="false">Resumo!$B$14*CEILING(I1597,1)</f>
        <v>22.05</v>
      </c>
      <c r="AE1597" s="39" t="n">
        <f aca="false">SUM(X1597:AD1597)</f>
        <v>156.36997</v>
      </c>
      <c r="AF1597" s="39" t="n">
        <f aca="false">AE1597/(1-Resumo!$B$5)</f>
        <v>177.693147727273</v>
      </c>
      <c r="AG1597" s="39" t="n">
        <f aca="false">AF1597-W1597</f>
        <v>45.36365</v>
      </c>
      <c r="AH1597" s="40" t="n">
        <f aca="false">AF1597/W1597-1</f>
        <v>0.342808298823088</v>
      </c>
      <c r="AI1597" s="37" t="str">
        <f aca="false">IF(AF1597&lt;W1597,"SIM","NÃO")</f>
        <v>NÃO</v>
      </c>
      <c r="AJ1597" s="37" t="n">
        <v>13</v>
      </c>
      <c r="AK1597" s="37" t="n">
        <v>10</v>
      </c>
      <c r="AL1597" s="37" t="s">
        <v>343</v>
      </c>
      <c r="AM1597" s="39" t="n">
        <v>130.56</v>
      </c>
    </row>
    <row r="1598" customFormat="false" ht="15" hidden="false" customHeight="false" outlineLevel="0" collapsed="false">
      <c r="A1598" s="37" t="n">
        <v>389249663</v>
      </c>
      <c r="B1598" s="38" t="n">
        <v>46270.9671180556</v>
      </c>
      <c r="C1598" s="37" t="s">
        <v>372</v>
      </c>
      <c r="D1598" s="37" t="s">
        <v>1808</v>
      </c>
      <c r="E1598" s="37" t="n">
        <v>23067430</v>
      </c>
      <c r="F1598" s="37" t="s">
        <v>159</v>
      </c>
      <c r="G1598" s="37" t="s">
        <v>196</v>
      </c>
      <c r="H1598" s="37" t="s">
        <v>190</v>
      </c>
      <c r="I1598" s="37" t="n">
        <v>83.9</v>
      </c>
      <c r="J1598" s="39" t="n">
        <v>937.49</v>
      </c>
      <c r="K1598" s="37" t="s">
        <v>342</v>
      </c>
      <c r="L1598" s="39" t="n">
        <v>163.57</v>
      </c>
      <c r="M1598" s="39" t="n">
        <v>83.79</v>
      </c>
      <c r="N1598" s="39" t="n">
        <f aca="false">J1598*Resumo!$C$6</f>
        <v>0</v>
      </c>
      <c r="O1598" s="39" t="n">
        <f aca="false">J1598*Resumo!$C$7</f>
        <v>1.968729</v>
      </c>
      <c r="P1598" s="39" t="n">
        <f aca="false">J1598*Resumo!$C$8</f>
        <v>1.968729</v>
      </c>
      <c r="Q1598" s="39" t="n">
        <f aca="false">Resumo!$C$10*CEILING(I1598/100,1)</f>
        <v>1.05</v>
      </c>
      <c r="R1598" s="39" t="n">
        <f aca="false">Resumo!$C$9</f>
        <v>0</v>
      </c>
      <c r="S1598" s="39" t="n">
        <f aca="false">Resumo!$C$13</f>
        <v>13.55</v>
      </c>
      <c r="T1598" s="39" t="n">
        <f aca="false">Resumo!$C$14*CEILING(I1598,1)</f>
        <v>37.8</v>
      </c>
      <c r="U1598" s="39" t="n">
        <f aca="false">SUM(M1598:T1598)*Resumo!$C$11</f>
        <v>0</v>
      </c>
      <c r="V1598" s="39" t="n">
        <f aca="false">SUM(M1598:U1598)</f>
        <v>140.127458</v>
      </c>
      <c r="W1598" s="39" t="n">
        <f aca="false">V1598/(1-Resumo!$C$5)</f>
        <v>159.235747727273</v>
      </c>
      <c r="X1598" s="39" t="n">
        <v>167.99</v>
      </c>
      <c r="Y1598" s="39" t="n">
        <f aca="false">J1598*Resumo!$B$6</f>
        <v>0.93749</v>
      </c>
      <c r="Z1598" s="39" t="n">
        <f aca="false">J1598*Resumo!$B$7</f>
        <v>1.87498</v>
      </c>
      <c r="AA1598" s="39" t="n">
        <f aca="false">Resumo!$B$9</f>
        <v>1</v>
      </c>
      <c r="AB1598" s="39" t="n">
        <f aca="false">Resumo!$B$10*CEILING(I1598/100,1)</f>
        <v>4.5</v>
      </c>
      <c r="AC1598" s="39" t="n">
        <f aca="false">Resumo!$B$12*CEILING(I1598,1)</f>
        <v>5.04</v>
      </c>
      <c r="AD1598" s="39" t="n">
        <f aca="false">Resumo!$B$14*CEILING(I1598,1)</f>
        <v>37.8</v>
      </c>
      <c r="AE1598" s="39" t="n">
        <f aca="false">SUM(X1598:AD1598)</f>
        <v>219.14247</v>
      </c>
      <c r="AF1598" s="39" t="n">
        <f aca="false">AE1598/(1-Resumo!$B$5)</f>
        <v>249.025534090909</v>
      </c>
      <c r="AG1598" s="39" t="n">
        <f aca="false">AF1598-W1598</f>
        <v>89.7897863636364</v>
      </c>
      <c r="AH1598" s="40" t="n">
        <f aca="false">AF1598/W1598-1</f>
        <v>0.563879578833151</v>
      </c>
      <c r="AI1598" s="37" t="str">
        <f aca="false">IF(AF1598&lt;W1598,"SIM","NÃO")</f>
        <v>NÃO</v>
      </c>
      <c r="AJ1598" s="37" t="n">
        <v>2</v>
      </c>
      <c r="AK1598" s="37" t="n">
        <v>5</v>
      </c>
      <c r="AL1598" s="37" t="s">
        <v>343</v>
      </c>
      <c r="AM1598" s="39" t="n">
        <v>163.58</v>
      </c>
    </row>
    <row r="1599" customFormat="false" ht="15" hidden="false" customHeight="false" outlineLevel="0" collapsed="false">
      <c r="A1599" s="37" t="n">
        <v>389419454</v>
      </c>
      <c r="B1599" s="38" t="n">
        <v>46271.2654861111</v>
      </c>
      <c r="C1599" s="37" t="s">
        <v>345</v>
      </c>
      <c r="D1599" s="37" t="s">
        <v>1809</v>
      </c>
      <c r="E1599" s="37" t="n">
        <v>26270100</v>
      </c>
      <c r="F1599" s="37" t="s">
        <v>162</v>
      </c>
      <c r="G1599" s="37" t="s">
        <v>197</v>
      </c>
      <c r="H1599" s="37" t="s">
        <v>187</v>
      </c>
      <c r="I1599" s="37" t="n">
        <v>53.3</v>
      </c>
      <c r="J1599" s="39" t="n">
        <v>759.99</v>
      </c>
      <c r="K1599" s="37" t="s">
        <v>342</v>
      </c>
      <c r="L1599" s="39" t="n">
        <v>128.92</v>
      </c>
      <c r="M1599" s="39" t="n">
        <v>70.98</v>
      </c>
      <c r="N1599" s="39" t="n">
        <f aca="false">J1599*Resumo!$C$6</f>
        <v>0</v>
      </c>
      <c r="O1599" s="39" t="n">
        <f aca="false">J1599*Resumo!$C$7</f>
        <v>1.595979</v>
      </c>
      <c r="P1599" s="39" t="n">
        <f aca="false">J1599*Resumo!$C$8</f>
        <v>1.595979</v>
      </c>
      <c r="Q1599" s="39" t="n">
        <f aca="false">Resumo!$C$10*CEILING(I1599/100,1)</f>
        <v>1.05</v>
      </c>
      <c r="R1599" s="39" t="n">
        <f aca="false">Resumo!$C$9</f>
        <v>0</v>
      </c>
      <c r="S1599" s="39" t="n">
        <f aca="false">Resumo!$C$13</f>
        <v>13.55</v>
      </c>
      <c r="T1599" s="39" t="n">
        <f aca="false">Resumo!$C$14*CEILING(I1599,1)</f>
        <v>24.3</v>
      </c>
      <c r="U1599" s="39" t="n">
        <f aca="false">SUM(M1599:T1599)*Resumo!$C$11</f>
        <v>0</v>
      </c>
      <c r="V1599" s="39" t="n">
        <f aca="false">SUM(M1599:U1599)</f>
        <v>113.071958</v>
      </c>
      <c r="W1599" s="39" t="n">
        <f aca="false">V1599/(1-Resumo!$C$5)</f>
        <v>128.490861363636</v>
      </c>
      <c r="X1599" s="39" t="n">
        <v>112.3</v>
      </c>
      <c r="Y1599" s="39" t="n">
        <f aca="false">J1599*Resumo!$B$6</f>
        <v>0.75999</v>
      </c>
      <c r="Z1599" s="39" t="n">
        <f aca="false">J1599*Resumo!$B$7</f>
        <v>1.51998</v>
      </c>
      <c r="AA1599" s="39" t="n">
        <f aca="false">Resumo!$B$9</f>
        <v>1</v>
      </c>
      <c r="AB1599" s="39" t="n">
        <f aca="false">Resumo!$B$10*CEILING(I1599/100,1)</f>
        <v>4.5</v>
      </c>
      <c r="AC1599" s="39" t="n">
        <f aca="false">Resumo!$B$12*CEILING(I1599,1)</f>
        <v>3.24</v>
      </c>
      <c r="AD1599" s="39" t="n">
        <f aca="false">Resumo!$B$14*CEILING(I1599,1)</f>
        <v>24.3</v>
      </c>
      <c r="AE1599" s="39" t="n">
        <f aca="false">SUM(X1599:AD1599)</f>
        <v>147.61997</v>
      </c>
      <c r="AF1599" s="39" t="n">
        <f aca="false">AE1599/(1-Resumo!$B$5)</f>
        <v>167.749965909091</v>
      </c>
      <c r="AG1599" s="39" t="n">
        <f aca="false">AF1599-W1599</f>
        <v>39.2591045454545</v>
      </c>
      <c r="AH1599" s="40" t="n">
        <f aca="false">AF1599/W1599-1</f>
        <v>0.30554005264506</v>
      </c>
      <c r="AI1599" s="37" t="str">
        <f aca="false">IF(AF1599&lt;W1599,"SIM","NÃO")</f>
        <v>NÃO</v>
      </c>
      <c r="AJ1599" s="37" t="n">
        <v>2</v>
      </c>
      <c r="AK1599" s="37" t="n">
        <v>5</v>
      </c>
      <c r="AL1599" s="37" t="s">
        <v>343</v>
      </c>
      <c r="AM1599" s="39" t="n">
        <v>128.93</v>
      </c>
    </row>
    <row r="1600" customFormat="false" ht="15" hidden="false" customHeight="false" outlineLevel="0" collapsed="false">
      <c r="A1600" s="37" t="n">
        <v>389385071</v>
      </c>
      <c r="B1600" s="38" t="n">
        <v>46271.3189814815</v>
      </c>
      <c r="C1600" s="37" t="s">
        <v>340</v>
      </c>
      <c r="D1600" s="37" t="s">
        <v>1810</v>
      </c>
      <c r="E1600" s="37" t="n">
        <v>26377300</v>
      </c>
      <c r="F1600" s="37" t="s">
        <v>236</v>
      </c>
      <c r="G1600" s="37" t="s">
        <v>197</v>
      </c>
      <c r="H1600" s="37" t="s">
        <v>184</v>
      </c>
      <c r="I1600" s="37" t="n">
        <v>23.1</v>
      </c>
      <c r="J1600" s="39" t="n">
        <v>379.99</v>
      </c>
      <c r="K1600" s="37" t="s">
        <v>342</v>
      </c>
      <c r="L1600" s="39" t="n">
        <v>101.2</v>
      </c>
      <c r="M1600" s="39" t="n">
        <v>58.8</v>
      </c>
      <c r="N1600" s="39" t="n">
        <f aca="false">J1600*Resumo!$C$6</f>
        <v>0</v>
      </c>
      <c r="O1600" s="39" t="n">
        <f aca="false">J1600*Resumo!$C$7</f>
        <v>0.797979</v>
      </c>
      <c r="P1600" s="39" t="n">
        <f aca="false">J1600*Resumo!$C$8</f>
        <v>0.797979</v>
      </c>
      <c r="Q1600" s="39" t="n">
        <f aca="false">Resumo!$C$10*CEILING(I1600/100,1)</f>
        <v>1.05</v>
      </c>
      <c r="R1600" s="39" t="n">
        <f aca="false">Resumo!$C$9</f>
        <v>0</v>
      </c>
      <c r="S1600" s="39" t="n">
        <f aca="false">Resumo!$C$13</f>
        <v>13.55</v>
      </c>
      <c r="T1600" s="39" t="n">
        <f aca="false">Resumo!$C$14*CEILING(I1600,1)</f>
        <v>10.8</v>
      </c>
      <c r="U1600" s="39" t="n">
        <f aca="false">SUM(M1600:T1600)*Resumo!$C$11</f>
        <v>0</v>
      </c>
      <c r="V1600" s="39" t="n">
        <f aca="false">SUM(M1600:U1600)</f>
        <v>85.795958</v>
      </c>
      <c r="W1600" s="39" t="n">
        <f aca="false">V1600/(1-Resumo!$C$5)</f>
        <v>97.4954068181818</v>
      </c>
      <c r="X1600" s="39" t="n">
        <v>82.21</v>
      </c>
      <c r="Y1600" s="39" t="n">
        <f aca="false">J1600*Resumo!$B$6</f>
        <v>0.37999</v>
      </c>
      <c r="Z1600" s="39" t="n">
        <f aca="false">J1600*Resumo!$B$7</f>
        <v>0.75998</v>
      </c>
      <c r="AA1600" s="39" t="n">
        <f aca="false">Resumo!$B$9</f>
        <v>1</v>
      </c>
      <c r="AB1600" s="39" t="n">
        <f aca="false">Resumo!$B$10*CEILING(I1600/100,1)</f>
        <v>4.5</v>
      </c>
      <c r="AC1600" s="39" t="n">
        <f aca="false">Resumo!$B$12*CEILING(I1600,1)</f>
        <v>1.44</v>
      </c>
      <c r="AD1600" s="39" t="n">
        <f aca="false">Resumo!$B$14*CEILING(I1600,1)</f>
        <v>10.8</v>
      </c>
      <c r="AE1600" s="39" t="n">
        <f aca="false">SUM(X1600:AD1600)</f>
        <v>101.08997</v>
      </c>
      <c r="AF1600" s="39" t="n">
        <f aca="false">AE1600/(1-Resumo!$B$5)</f>
        <v>114.874965909091</v>
      </c>
      <c r="AG1600" s="39" t="n">
        <f aca="false">AF1600-W1600</f>
        <v>17.3795590909091</v>
      </c>
      <c r="AH1600" s="40" t="n">
        <f aca="false">AF1600/W1600-1</f>
        <v>0.178260285875006</v>
      </c>
      <c r="AI1600" s="37" t="str">
        <f aca="false">IF(AF1600&lt;W1600,"SIM","NÃO")</f>
        <v>NÃO</v>
      </c>
      <c r="AJ1600" s="37" t="n">
        <v>2</v>
      </c>
      <c r="AK1600" s="37" t="n">
        <v>5</v>
      </c>
      <c r="AL1600" s="37" t="s">
        <v>347</v>
      </c>
      <c r="AM1600" s="39" t="n">
        <v>101.21</v>
      </c>
    </row>
    <row r="1601" customFormat="false" ht="15" hidden="false" customHeight="false" outlineLevel="0" collapsed="false">
      <c r="A1601" s="37" t="n">
        <v>389391105</v>
      </c>
      <c r="B1601" s="38" t="n">
        <v>46271.3335416667</v>
      </c>
      <c r="C1601" s="37" t="s">
        <v>340</v>
      </c>
      <c r="D1601" s="37" t="s">
        <v>1811</v>
      </c>
      <c r="E1601" s="37" t="n">
        <v>28893513</v>
      </c>
      <c r="F1601" s="37" t="s">
        <v>178</v>
      </c>
      <c r="G1601" s="37" t="s">
        <v>198</v>
      </c>
      <c r="H1601" s="37" t="s">
        <v>185</v>
      </c>
      <c r="I1601" s="37" t="n">
        <v>36.8</v>
      </c>
      <c r="J1601" s="39" t="n">
        <v>479.99</v>
      </c>
      <c r="K1601" s="37" t="s">
        <v>342</v>
      </c>
      <c r="L1601" s="39" t="n">
        <v>122.55</v>
      </c>
      <c r="M1601" s="39" t="n">
        <v>74.97</v>
      </c>
      <c r="N1601" s="39" t="n">
        <f aca="false">J1601*Resumo!$C$6</f>
        <v>0</v>
      </c>
      <c r="O1601" s="39" t="n">
        <f aca="false">J1601*Resumo!$C$7</f>
        <v>1.007979</v>
      </c>
      <c r="P1601" s="39" t="n">
        <f aca="false">J1601*Resumo!$C$8</f>
        <v>1.007979</v>
      </c>
      <c r="Q1601" s="39" t="n">
        <f aca="false">Resumo!$C$10*CEILING(I1601/100,1)</f>
        <v>1.05</v>
      </c>
      <c r="R1601" s="39" t="n">
        <f aca="false">Resumo!$C$9</f>
        <v>0</v>
      </c>
      <c r="S1601" s="39" t="n">
        <f aca="false">Resumo!$C$13</f>
        <v>13.55</v>
      </c>
      <c r="T1601" s="39" t="n">
        <f aca="false">Resumo!$C$14*CEILING(I1601,1)</f>
        <v>16.65</v>
      </c>
      <c r="U1601" s="39" t="n">
        <f aca="false">SUM(M1601:T1601)*Resumo!$C$11</f>
        <v>0</v>
      </c>
      <c r="V1601" s="39" t="n">
        <f aca="false">SUM(M1601:U1601)</f>
        <v>108.235958</v>
      </c>
      <c r="W1601" s="39" t="n">
        <f aca="false">V1601/(1-Resumo!$C$5)</f>
        <v>122.995406818182</v>
      </c>
      <c r="X1601" s="39" t="n">
        <v>124.38</v>
      </c>
      <c r="Y1601" s="39" t="n">
        <f aca="false">J1601*Resumo!$B$6</f>
        <v>0.47999</v>
      </c>
      <c r="Z1601" s="39" t="n">
        <f aca="false">J1601*Resumo!$B$7</f>
        <v>0.95998</v>
      </c>
      <c r="AA1601" s="39" t="n">
        <f aca="false">Resumo!$B$9</f>
        <v>1</v>
      </c>
      <c r="AB1601" s="39" t="n">
        <f aca="false">Resumo!$B$10*CEILING(I1601/100,1)</f>
        <v>4.5</v>
      </c>
      <c r="AC1601" s="39" t="n">
        <f aca="false">Resumo!$B$12*CEILING(I1601,1)</f>
        <v>2.22</v>
      </c>
      <c r="AD1601" s="39" t="n">
        <f aca="false">Resumo!$B$14*CEILING(I1601,1)</f>
        <v>16.65</v>
      </c>
      <c r="AE1601" s="39" t="n">
        <f aca="false">SUM(X1601:AD1601)</f>
        <v>150.18997</v>
      </c>
      <c r="AF1601" s="39" t="n">
        <f aca="false">AE1601/(1-Resumo!$B$5)</f>
        <v>170.670420454545</v>
      </c>
      <c r="AG1601" s="39" t="n">
        <f aca="false">AF1601-W1601</f>
        <v>47.6750136363636</v>
      </c>
      <c r="AH1601" s="40" t="n">
        <f aca="false">AF1601/W1601-1</f>
        <v>0.387616211610563</v>
      </c>
      <c r="AI1601" s="37" t="str">
        <f aca="false">IF(AF1601&lt;W1601,"SIM","NÃO")</f>
        <v>NÃO</v>
      </c>
      <c r="AJ1601" s="37" t="n">
        <v>13</v>
      </c>
      <c r="AK1601" s="37" t="n">
        <v>10</v>
      </c>
      <c r="AL1601" s="37" t="s">
        <v>343</v>
      </c>
      <c r="AM1601" s="39" t="n">
        <v>122.55</v>
      </c>
    </row>
    <row r="1602" customFormat="false" ht="15" hidden="false" customHeight="false" outlineLevel="0" collapsed="false">
      <c r="A1602" s="37" t="n">
        <v>389444784</v>
      </c>
      <c r="B1602" s="38" t="n">
        <v>46271.4304976852</v>
      </c>
      <c r="C1602" s="37" t="s">
        <v>340</v>
      </c>
      <c r="D1602" s="37" t="s">
        <v>1812</v>
      </c>
      <c r="E1602" s="37" t="n">
        <v>25804130</v>
      </c>
      <c r="F1602" s="37" t="s">
        <v>228</v>
      </c>
      <c r="G1602" s="37" t="s">
        <v>198</v>
      </c>
      <c r="H1602" s="37" t="s">
        <v>185</v>
      </c>
      <c r="I1602" s="37" t="n">
        <v>40</v>
      </c>
      <c r="J1602" s="39" t="n">
        <v>579.99</v>
      </c>
      <c r="K1602" s="37" t="s">
        <v>342</v>
      </c>
      <c r="L1602" s="39" t="n">
        <v>123.02</v>
      </c>
      <c r="M1602" s="39" t="n">
        <v>74.97</v>
      </c>
      <c r="N1602" s="39" t="n">
        <f aca="false">J1602*Resumo!$C$6</f>
        <v>0</v>
      </c>
      <c r="O1602" s="39" t="n">
        <f aca="false">J1602*Resumo!$C$7</f>
        <v>1.217979</v>
      </c>
      <c r="P1602" s="39" t="n">
        <f aca="false">J1602*Resumo!$C$8</f>
        <v>1.217979</v>
      </c>
      <c r="Q1602" s="39" t="n">
        <f aca="false">Resumo!$C$10*CEILING(I1602/100,1)</f>
        <v>1.05</v>
      </c>
      <c r="R1602" s="39" t="n">
        <f aca="false">Resumo!$C$9</f>
        <v>0</v>
      </c>
      <c r="S1602" s="39" t="n">
        <f aca="false">Resumo!$C$13</f>
        <v>13.55</v>
      </c>
      <c r="T1602" s="39" t="n">
        <f aca="false">Resumo!$C$14*CEILING(I1602,1)</f>
        <v>18</v>
      </c>
      <c r="U1602" s="39" t="n">
        <f aca="false">SUM(M1602:T1602)*Resumo!$C$11</f>
        <v>0</v>
      </c>
      <c r="V1602" s="39" t="n">
        <f aca="false">SUM(M1602:U1602)</f>
        <v>110.005958</v>
      </c>
      <c r="W1602" s="39" t="n">
        <f aca="false">V1602/(1-Resumo!$C$5)</f>
        <v>125.006770454545</v>
      </c>
      <c r="X1602" s="39" t="n">
        <v>124.38</v>
      </c>
      <c r="Y1602" s="39" t="n">
        <f aca="false">J1602*Resumo!$B$6</f>
        <v>0.57999</v>
      </c>
      <c r="Z1602" s="39" t="n">
        <f aca="false">J1602*Resumo!$B$7</f>
        <v>1.15998</v>
      </c>
      <c r="AA1602" s="39" t="n">
        <f aca="false">Resumo!$B$9</f>
        <v>1</v>
      </c>
      <c r="AB1602" s="39" t="n">
        <f aca="false">Resumo!$B$10*CEILING(I1602/100,1)</f>
        <v>4.5</v>
      </c>
      <c r="AC1602" s="39" t="n">
        <f aca="false">Resumo!$B$12*CEILING(I1602,1)</f>
        <v>2.4</v>
      </c>
      <c r="AD1602" s="39" t="n">
        <f aca="false">Resumo!$B$14*CEILING(I1602,1)</f>
        <v>18</v>
      </c>
      <c r="AE1602" s="39" t="n">
        <f aca="false">SUM(X1602:AD1602)</f>
        <v>152.01997</v>
      </c>
      <c r="AF1602" s="39" t="n">
        <f aca="false">AE1602/(1-Resumo!$B$5)</f>
        <v>172.749965909091</v>
      </c>
      <c r="AG1602" s="39" t="n">
        <f aca="false">AF1602-W1602</f>
        <v>47.7431954545455</v>
      </c>
      <c r="AH1602" s="40" t="n">
        <f aca="false">AF1602/W1602-1</f>
        <v>0.381924877196197</v>
      </c>
      <c r="AI1602" s="37" t="str">
        <f aca="false">IF(AF1602&lt;W1602,"SIM","NÃO")</f>
        <v>NÃO</v>
      </c>
      <c r="AJ1602" s="37" t="n">
        <v>13</v>
      </c>
      <c r="AK1602" s="37" t="n">
        <v>8</v>
      </c>
      <c r="AL1602" s="37" t="s">
        <v>347</v>
      </c>
      <c r="AM1602" s="39" t="n">
        <v>123.03</v>
      </c>
    </row>
    <row r="1603" customFormat="false" ht="15" hidden="false" customHeight="false" outlineLevel="0" collapsed="false">
      <c r="A1603" s="37" t="n">
        <v>389456885</v>
      </c>
      <c r="B1603" s="38" t="n">
        <v>46271.4484953704</v>
      </c>
      <c r="C1603" s="37" t="s">
        <v>340</v>
      </c>
      <c r="D1603" s="37" t="s">
        <v>1813</v>
      </c>
      <c r="E1603" s="37" t="n">
        <v>23933600</v>
      </c>
      <c r="F1603" s="37" t="s">
        <v>169</v>
      </c>
      <c r="G1603" s="37" t="s">
        <v>198</v>
      </c>
      <c r="H1603" s="37" t="s">
        <v>188</v>
      </c>
      <c r="I1603" s="37" t="n">
        <v>61.4</v>
      </c>
      <c r="J1603" s="39" t="n">
        <v>999.99</v>
      </c>
      <c r="K1603" s="37" t="s">
        <v>342</v>
      </c>
      <c r="L1603" s="39" t="n">
        <v>156.81</v>
      </c>
      <c r="M1603" s="39" t="n">
        <v>90.2</v>
      </c>
      <c r="N1603" s="39" t="n">
        <f aca="false">J1603*Resumo!$C$6</f>
        <v>0</v>
      </c>
      <c r="O1603" s="39" t="n">
        <f aca="false">J1603*Resumo!$C$7</f>
        <v>2.099979</v>
      </c>
      <c r="P1603" s="39" t="n">
        <f aca="false">J1603*Resumo!$C$8</f>
        <v>2.099979</v>
      </c>
      <c r="Q1603" s="39" t="n">
        <f aca="false">Resumo!$C$10*CEILING(I1603/100,1)</f>
        <v>1.05</v>
      </c>
      <c r="R1603" s="39" t="n">
        <f aca="false">Resumo!$C$9</f>
        <v>0</v>
      </c>
      <c r="S1603" s="39" t="n">
        <f aca="false">Resumo!$C$13</f>
        <v>13.55</v>
      </c>
      <c r="T1603" s="39" t="n">
        <f aca="false">Resumo!$C$14*CEILING(I1603,1)</f>
        <v>27.9</v>
      </c>
      <c r="U1603" s="39" t="n">
        <f aca="false">SUM(M1603:T1603)*Resumo!$C$11</f>
        <v>0</v>
      </c>
      <c r="V1603" s="39" t="n">
        <f aca="false">SUM(M1603:U1603)</f>
        <v>136.899958</v>
      </c>
      <c r="W1603" s="39" t="n">
        <f aca="false">V1603/(1-Resumo!$C$5)</f>
        <v>155.568134090909</v>
      </c>
      <c r="X1603" s="39" t="n">
        <v>166.05</v>
      </c>
      <c r="Y1603" s="39" t="n">
        <f aca="false">J1603*Resumo!$B$6</f>
        <v>0.99999</v>
      </c>
      <c r="Z1603" s="39" t="n">
        <f aca="false">J1603*Resumo!$B$7</f>
        <v>1.99998</v>
      </c>
      <c r="AA1603" s="39" t="n">
        <f aca="false">Resumo!$B$9</f>
        <v>1</v>
      </c>
      <c r="AB1603" s="39" t="n">
        <f aca="false">Resumo!$B$10*CEILING(I1603/100,1)</f>
        <v>4.5</v>
      </c>
      <c r="AC1603" s="39" t="n">
        <f aca="false">Resumo!$B$12*CEILING(I1603,1)</f>
        <v>3.72</v>
      </c>
      <c r="AD1603" s="39" t="n">
        <f aca="false">Resumo!$B$14*CEILING(I1603,1)</f>
        <v>27.9</v>
      </c>
      <c r="AE1603" s="39" t="n">
        <f aca="false">SUM(X1603:AD1603)</f>
        <v>206.16997</v>
      </c>
      <c r="AF1603" s="39" t="n">
        <f aca="false">AE1603/(1-Resumo!$B$5)</f>
        <v>234.284056818182</v>
      </c>
      <c r="AG1603" s="39" t="n">
        <f aca="false">AF1603-W1603</f>
        <v>78.7159227272727</v>
      </c>
      <c r="AH1603" s="40" t="n">
        <f aca="false">AF1603/W1603-1</f>
        <v>0.505990016446901</v>
      </c>
      <c r="AI1603" s="37" t="str">
        <f aca="false">IF(AF1603&lt;W1603,"SIM","NÃO")</f>
        <v>NÃO</v>
      </c>
      <c r="AJ1603" s="37" t="n">
        <v>13</v>
      </c>
      <c r="AK1603" s="37" t="n">
        <v>10</v>
      </c>
      <c r="AL1603" s="37" t="s">
        <v>343</v>
      </c>
      <c r="AM1603" s="39" t="n">
        <v>156.81</v>
      </c>
    </row>
    <row r="1604" customFormat="false" ht="15" hidden="false" customHeight="false" outlineLevel="0" collapsed="false">
      <c r="A1604" s="37" t="n">
        <v>389471906</v>
      </c>
      <c r="B1604" s="38" t="n">
        <v>46271.4698726852</v>
      </c>
      <c r="C1604" s="37" t="s">
        <v>340</v>
      </c>
      <c r="D1604" s="37" t="s">
        <v>1814</v>
      </c>
      <c r="E1604" s="37" t="n">
        <v>21361140</v>
      </c>
      <c r="F1604" s="37" t="s">
        <v>159</v>
      </c>
      <c r="G1604" s="37" t="s">
        <v>196</v>
      </c>
      <c r="H1604" s="37" t="s">
        <v>188</v>
      </c>
      <c r="I1604" s="37" t="n">
        <v>66.8</v>
      </c>
      <c r="J1604" s="39" t="n">
        <v>666.23</v>
      </c>
      <c r="K1604" s="37" t="s">
        <v>342</v>
      </c>
      <c r="L1604" s="39" t="n">
        <v>124.4</v>
      </c>
      <c r="M1604" s="39" t="n">
        <v>63.21</v>
      </c>
      <c r="N1604" s="39" t="n">
        <f aca="false">J1604*Resumo!$C$6</f>
        <v>0</v>
      </c>
      <c r="O1604" s="39" t="n">
        <f aca="false">J1604*Resumo!$C$7</f>
        <v>1.399083</v>
      </c>
      <c r="P1604" s="39" t="n">
        <f aca="false">J1604*Resumo!$C$8</f>
        <v>1.399083</v>
      </c>
      <c r="Q1604" s="39" t="n">
        <f aca="false">Resumo!$C$10*CEILING(I1604/100,1)</f>
        <v>1.05</v>
      </c>
      <c r="R1604" s="39" t="n">
        <f aca="false">Resumo!$C$9</f>
        <v>0</v>
      </c>
      <c r="S1604" s="39" t="n">
        <f aca="false">Resumo!$C$13</f>
        <v>13.55</v>
      </c>
      <c r="T1604" s="39" t="n">
        <f aca="false">Resumo!$C$14*CEILING(I1604,1)</f>
        <v>30.15</v>
      </c>
      <c r="U1604" s="39" t="n">
        <f aca="false">SUM(M1604:T1604)*Resumo!$C$11</f>
        <v>0</v>
      </c>
      <c r="V1604" s="39" t="n">
        <f aca="false">SUM(M1604:U1604)</f>
        <v>110.758166</v>
      </c>
      <c r="W1604" s="39" t="n">
        <f aca="false">V1604/(1-Resumo!$C$5)</f>
        <v>125.861552272727</v>
      </c>
      <c r="X1604" s="39" t="n">
        <v>131.02</v>
      </c>
      <c r="Y1604" s="39" t="n">
        <f aca="false">J1604*Resumo!$B$6</f>
        <v>0.66623</v>
      </c>
      <c r="Z1604" s="39" t="n">
        <f aca="false">J1604*Resumo!$B$7</f>
        <v>1.33246</v>
      </c>
      <c r="AA1604" s="39" t="n">
        <f aca="false">Resumo!$B$9</f>
        <v>1</v>
      </c>
      <c r="AB1604" s="39" t="n">
        <f aca="false">Resumo!$B$10*CEILING(I1604/100,1)</f>
        <v>4.5</v>
      </c>
      <c r="AC1604" s="39" t="n">
        <f aca="false">Resumo!$B$12*CEILING(I1604,1)</f>
        <v>4.02</v>
      </c>
      <c r="AD1604" s="39" t="n">
        <f aca="false">Resumo!$B$14*CEILING(I1604,1)</f>
        <v>30.15</v>
      </c>
      <c r="AE1604" s="39" t="n">
        <f aca="false">SUM(X1604:AD1604)</f>
        <v>172.68869</v>
      </c>
      <c r="AF1604" s="39" t="n">
        <f aca="false">AE1604/(1-Resumo!$B$5)</f>
        <v>196.237147727273</v>
      </c>
      <c r="AG1604" s="39" t="n">
        <f aca="false">AF1604-W1604</f>
        <v>70.3755954545455</v>
      </c>
      <c r="AH1604" s="40" t="n">
        <f aca="false">AF1604/W1604-1</f>
        <v>0.559150862068265</v>
      </c>
      <c r="AI1604" s="37" t="str">
        <f aca="false">IF(AF1604&lt;W1604,"SIM","NÃO")</f>
        <v>NÃO</v>
      </c>
      <c r="AJ1604" s="37" t="n">
        <v>2</v>
      </c>
      <c r="AK1604" s="37" t="n">
        <v>5</v>
      </c>
      <c r="AL1604" s="37" t="s">
        <v>343</v>
      </c>
      <c r="AM1604" s="39" t="n">
        <v>124.4</v>
      </c>
    </row>
    <row r="1605" customFormat="false" ht="15" hidden="false" customHeight="false" outlineLevel="0" collapsed="false">
      <c r="A1605" s="37" t="n">
        <v>389573191</v>
      </c>
      <c r="B1605" s="38" t="n">
        <v>46271.4882523148</v>
      </c>
      <c r="C1605" s="37" t="s">
        <v>345</v>
      </c>
      <c r="D1605" s="37" t="s">
        <v>1815</v>
      </c>
      <c r="E1605" s="37" t="n">
        <v>23058281</v>
      </c>
      <c r="F1605" s="37" t="s">
        <v>159</v>
      </c>
      <c r="G1605" s="37" t="s">
        <v>196</v>
      </c>
      <c r="H1605" s="37" t="s">
        <v>185</v>
      </c>
      <c r="I1605" s="37" t="n">
        <v>36.8</v>
      </c>
      <c r="J1605" s="39" t="n">
        <v>434.53</v>
      </c>
      <c r="K1605" s="37" t="s">
        <v>342</v>
      </c>
      <c r="L1605" s="39" t="n">
        <v>91.94</v>
      </c>
      <c r="M1605" s="39" t="n">
        <v>48.35</v>
      </c>
      <c r="N1605" s="39" t="n">
        <f aca="false">J1605*Resumo!$C$6</f>
        <v>0</v>
      </c>
      <c r="O1605" s="39" t="n">
        <f aca="false">J1605*Resumo!$C$7</f>
        <v>0.912513</v>
      </c>
      <c r="P1605" s="39" t="n">
        <f aca="false">J1605*Resumo!$C$8</f>
        <v>0.912513</v>
      </c>
      <c r="Q1605" s="39" t="n">
        <f aca="false">Resumo!$C$10*CEILING(I1605/100,1)</f>
        <v>1.05</v>
      </c>
      <c r="R1605" s="39" t="n">
        <f aca="false">Resumo!$C$9</f>
        <v>0</v>
      </c>
      <c r="S1605" s="39" t="n">
        <f aca="false">Resumo!$C$13</f>
        <v>13.55</v>
      </c>
      <c r="T1605" s="39" t="n">
        <f aca="false">Resumo!$C$14*CEILING(I1605,1)</f>
        <v>16.65</v>
      </c>
      <c r="U1605" s="39" t="n">
        <f aca="false">SUM(M1605:T1605)*Resumo!$C$11</f>
        <v>0</v>
      </c>
      <c r="V1605" s="39" t="n">
        <f aca="false">SUM(M1605:U1605)</f>
        <v>81.425026</v>
      </c>
      <c r="W1605" s="39" t="n">
        <f aca="false">V1605/(1-Resumo!$C$5)</f>
        <v>92.5284386363637</v>
      </c>
      <c r="X1605" s="39" t="n">
        <v>93.97</v>
      </c>
      <c r="Y1605" s="39" t="n">
        <f aca="false">J1605*Resumo!$B$6</f>
        <v>0.43453</v>
      </c>
      <c r="Z1605" s="39" t="n">
        <f aca="false">J1605*Resumo!$B$7</f>
        <v>0.86906</v>
      </c>
      <c r="AA1605" s="39" t="n">
        <f aca="false">Resumo!$B$9</f>
        <v>1</v>
      </c>
      <c r="AB1605" s="39" t="n">
        <f aca="false">Resumo!$B$10*CEILING(I1605/100,1)</f>
        <v>4.5</v>
      </c>
      <c r="AC1605" s="39" t="n">
        <f aca="false">Resumo!$B$12*CEILING(I1605,1)</f>
        <v>2.22</v>
      </c>
      <c r="AD1605" s="39" t="n">
        <f aca="false">Resumo!$B$14*CEILING(I1605,1)</f>
        <v>16.65</v>
      </c>
      <c r="AE1605" s="39" t="n">
        <f aca="false">SUM(X1605:AD1605)</f>
        <v>119.64359</v>
      </c>
      <c r="AF1605" s="39" t="n">
        <f aca="false">AE1605/(1-Resumo!$B$5)</f>
        <v>135.958625</v>
      </c>
      <c r="AG1605" s="39" t="n">
        <f aca="false">AF1605-W1605</f>
        <v>43.4301863636364</v>
      </c>
      <c r="AH1605" s="40" t="n">
        <f aca="false">AF1605/W1605-1</f>
        <v>0.469371222552634</v>
      </c>
      <c r="AI1605" s="37" t="str">
        <f aca="false">IF(AF1605&lt;W1605,"SIM","NÃO")</f>
        <v>NÃO</v>
      </c>
      <c r="AJ1605" s="37" t="n">
        <v>2</v>
      </c>
      <c r="AK1605" s="37" t="n">
        <v>5</v>
      </c>
      <c r="AL1605" s="37" t="s">
        <v>343</v>
      </c>
      <c r="AM1605" s="39" t="n">
        <v>91.94</v>
      </c>
    </row>
    <row r="1606" customFormat="false" ht="15" hidden="false" customHeight="false" outlineLevel="0" collapsed="false">
      <c r="A1606" s="37" t="n">
        <v>389515004</v>
      </c>
      <c r="B1606" s="38" t="n">
        <v>46271.5297569444</v>
      </c>
      <c r="C1606" s="37" t="s">
        <v>340</v>
      </c>
      <c r="D1606" s="37" t="s">
        <v>630</v>
      </c>
      <c r="E1606" s="37" t="n">
        <v>23520560</v>
      </c>
      <c r="F1606" s="37" t="s">
        <v>159</v>
      </c>
      <c r="G1606" s="37" t="s">
        <v>196</v>
      </c>
      <c r="H1606" s="37" t="s">
        <v>188</v>
      </c>
      <c r="I1606" s="37" t="n">
        <v>63.9</v>
      </c>
      <c r="J1606" s="39" t="n">
        <v>716.35</v>
      </c>
      <c r="K1606" s="37" t="s">
        <v>342</v>
      </c>
      <c r="L1606" s="39" t="n">
        <v>124.64</v>
      </c>
      <c r="M1606" s="39" t="n">
        <v>63.21</v>
      </c>
      <c r="N1606" s="39" t="n">
        <f aca="false">J1606*Resumo!$C$6</f>
        <v>0</v>
      </c>
      <c r="O1606" s="39" t="n">
        <f aca="false">J1606*Resumo!$C$7</f>
        <v>1.504335</v>
      </c>
      <c r="P1606" s="39" t="n">
        <f aca="false">J1606*Resumo!$C$8</f>
        <v>1.504335</v>
      </c>
      <c r="Q1606" s="39" t="n">
        <f aca="false">Resumo!$C$10*CEILING(I1606/100,1)</f>
        <v>1.05</v>
      </c>
      <c r="R1606" s="39" t="n">
        <f aca="false">Resumo!$C$9</f>
        <v>0</v>
      </c>
      <c r="S1606" s="39" t="n">
        <f aca="false">Resumo!$C$13</f>
        <v>13.55</v>
      </c>
      <c r="T1606" s="39" t="n">
        <f aca="false">Resumo!$C$14*CEILING(I1606,1)</f>
        <v>28.8</v>
      </c>
      <c r="U1606" s="39" t="n">
        <f aca="false">SUM(M1606:T1606)*Resumo!$C$11</f>
        <v>0</v>
      </c>
      <c r="V1606" s="39" t="n">
        <f aca="false">SUM(M1606:U1606)</f>
        <v>109.61867</v>
      </c>
      <c r="W1606" s="39" t="n">
        <f aca="false">V1606/(1-Resumo!$C$5)</f>
        <v>124.566670454545</v>
      </c>
      <c r="X1606" s="39" t="n">
        <v>131.02</v>
      </c>
      <c r="Y1606" s="39" t="n">
        <f aca="false">J1606*Resumo!$B$6</f>
        <v>0.71635</v>
      </c>
      <c r="Z1606" s="39" t="n">
        <f aca="false">J1606*Resumo!$B$7</f>
        <v>1.4327</v>
      </c>
      <c r="AA1606" s="39" t="n">
        <f aca="false">Resumo!$B$9</f>
        <v>1</v>
      </c>
      <c r="AB1606" s="39" t="n">
        <f aca="false">Resumo!$B$10*CEILING(I1606/100,1)</f>
        <v>4.5</v>
      </c>
      <c r="AC1606" s="39" t="n">
        <f aca="false">Resumo!$B$12*CEILING(I1606,1)</f>
        <v>3.84</v>
      </c>
      <c r="AD1606" s="39" t="n">
        <f aca="false">Resumo!$B$14*CEILING(I1606,1)</f>
        <v>28.8</v>
      </c>
      <c r="AE1606" s="39" t="n">
        <f aca="false">SUM(X1606:AD1606)</f>
        <v>171.30905</v>
      </c>
      <c r="AF1606" s="39" t="n">
        <f aca="false">AE1606/(1-Resumo!$B$5)</f>
        <v>194.669375</v>
      </c>
      <c r="AG1606" s="39" t="n">
        <f aca="false">AF1606-W1606</f>
        <v>70.1027045454546</v>
      </c>
      <c r="AH1606" s="40" t="n">
        <f aca="false">AF1606/W1606-1</f>
        <v>0.562772564199146</v>
      </c>
      <c r="AI1606" s="37" t="str">
        <f aca="false">IF(AF1606&lt;W1606,"SIM","NÃO")</f>
        <v>NÃO</v>
      </c>
      <c r="AJ1606" s="37" t="n">
        <v>2</v>
      </c>
      <c r="AK1606" s="37" t="n">
        <v>5</v>
      </c>
      <c r="AL1606" s="37" t="s">
        <v>343</v>
      </c>
      <c r="AM1606" s="39" t="n">
        <v>124.64</v>
      </c>
    </row>
    <row r="1607" customFormat="false" ht="15" hidden="false" customHeight="false" outlineLevel="0" collapsed="false">
      <c r="A1607" s="37" t="n">
        <v>389551826</v>
      </c>
      <c r="B1607" s="38" t="n">
        <v>46271.5615162037</v>
      </c>
      <c r="C1607" s="37" t="s">
        <v>537</v>
      </c>
      <c r="D1607" s="37" t="s">
        <v>1816</v>
      </c>
      <c r="E1607" s="37" t="n">
        <v>23085570</v>
      </c>
      <c r="F1607" s="37" t="s">
        <v>159</v>
      </c>
      <c r="G1607" s="37" t="s">
        <v>196</v>
      </c>
      <c r="H1607" s="37" t="s">
        <v>186</v>
      </c>
      <c r="I1607" s="37" t="n">
        <v>49.6</v>
      </c>
      <c r="J1607" s="39" t="n">
        <v>683.99</v>
      </c>
      <c r="K1607" s="37" t="s">
        <v>342</v>
      </c>
      <c r="L1607" s="39" t="n">
        <v>103.88</v>
      </c>
      <c r="M1607" s="39" t="n">
        <v>53.55</v>
      </c>
      <c r="N1607" s="39" t="n">
        <f aca="false">J1607*Resumo!$C$6</f>
        <v>0</v>
      </c>
      <c r="O1607" s="39" t="n">
        <f aca="false">J1607*Resumo!$C$7</f>
        <v>1.436379</v>
      </c>
      <c r="P1607" s="39" t="n">
        <f aca="false">J1607*Resumo!$C$8</f>
        <v>1.436379</v>
      </c>
      <c r="Q1607" s="39" t="n">
        <f aca="false">Resumo!$C$10*CEILING(I1607/100,1)</f>
        <v>1.05</v>
      </c>
      <c r="R1607" s="39" t="n">
        <f aca="false">Resumo!$C$9</f>
        <v>0</v>
      </c>
      <c r="S1607" s="39" t="n">
        <f aca="false">Resumo!$C$13</f>
        <v>13.55</v>
      </c>
      <c r="T1607" s="39" t="n">
        <f aca="false">Resumo!$C$14*CEILING(I1607,1)</f>
        <v>22.5</v>
      </c>
      <c r="U1607" s="39" t="n">
        <f aca="false">SUM(M1607:T1607)*Resumo!$C$11</f>
        <v>0</v>
      </c>
      <c r="V1607" s="39" t="n">
        <f aca="false">SUM(M1607:U1607)</f>
        <v>93.522758</v>
      </c>
      <c r="W1607" s="39" t="n">
        <f aca="false">V1607/(1-Resumo!$C$5)</f>
        <v>106.275861363636</v>
      </c>
      <c r="X1607" s="39" t="n">
        <v>93.97</v>
      </c>
      <c r="Y1607" s="39" t="n">
        <f aca="false">J1607*Resumo!$B$6</f>
        <v>0.68399</v>
      </c>
      <c r="Z1607" s="39" t="n">
        <f aca="false">J1607*Resumo!$B$7</f>
        <v>1.36798</v>
      </c>
      <c r="AA1607" s="39" t="n">
        <f aca="false">Resumo!$B$9</f>
        <v>1</v>
      </c>
      <c r="AB1607" s="39" t="n">
        <f aca="false">Resumo!$B$10*CEILING(I1607/100,1)</f>
        <v>4.5</v>
      </c>
      <c r="AC1607" s="39" t="n">
        <f aca="false">Resumo!$B$12*CEILING(I1607,1)</f>
        <v>3</v>
      </c>
      <c r="AD1607" s="39" t="n">
        <f aca="false">Resumo!$B$14*CEILING(I1607,1)</f>
        <v>22.5</v>
      </c>
      <c r="AE1607" s="39" t="n">
        <f aca="false">SUM(X1607:AD1607)</f>
        <v>127.02197</v>
      </c>
      <c r="AF1607" s="39" t="n">
        <f aca="false">AE1607/(1-Resumo!$B$5)</f>
        <v>144.343147727273</v>
      </c>
      <c r="AG1607" s="39" t="n">
        <f aca="false">AF1607-W1607</f>
        <v>38.0672863636364</v>
      </c>
      <c r="AH1607" s="40" t="n">
        <f aca="false">AF1607/W1607-1</f>
        <v>0.358193157648324</v>
      </c>
      <c r="AI1607" s="37" t="str">
        <f aca="false">IF(AF1607&lt;W1607,"SIM","NÃO")</f>
        <v>NÃO</v>
      </c>
      <c r="AJ1607" s="37" t="n">
        <v>2</v>
      </c>
      <c r="AK1607" s="37" t="n">
        <v>5</v>
      </c>
      <c r="AL1607" s="37" t="s">
        <v>343</v>
      </c>
      <c r="AM1607" s="39" t="n">
        <v>103.86</v>
      </c>
    </row>
    <row r="1608" customFormat="false" ht="15" hidden="false" customHeight="false" outlineLevel="0" collapsed="false">
      <c r="A1608" s="37" t="n">
        <v>389551263</v>
      </c>
      <c r="B1608" s="38" t="n">
        <v>46271.581400463</v>
      </c>
      <c r="C1608" s="37" t="s">
        <v>340</v>
      </c>
      <c r="D1608" s="37" t="s">
        <v>1817</v>
      </c>
      <c r="E1608" s="37" t="n">
        <v>24916000</v>
      </c>
      <c r="F1608" s="37" t="s">
        <v>171</v>
      </c>
      <c r="G1608" s="37" t="s">
        <v>198</v>
      </c>
      <c r="H1608" s="37" t="s">
        <v>185</v>
      </c>
      <c r="I1608" s="37" t="n">
        <v>36.9</v>
      </c>
      <c r="J1608" s="39" t="n">
        <v>399.99</v>
      </c>
      <c r="K1608" s="37" t="s">
        <v>342</v>
      </c>
      <c r="L1608" s="39" t="n">
        <v>122.16</v>
      </c>
      <c r="M1608" s="39" t="n">
        <v>74.97</v>
      </c>
      <c r="N1608" s="39" t="n">
        <f aca="false">J1608*Resumo!$C$6</f>
        <v>0</v>
      </c>
      <c r="O1608" s="39" t="n">
        <f aca="false">J1608*Resumo!$C$7</f>
        <v>0.839979</v>
      </c>
      <c r="P1608" s="39" t="n">
        <f aca="false">J1608*Resumo!$C$8</f>
        <v>0.839979</v>
      </c>
      <c r="Q1608" s="39" t="n">
        <f aca="false">Resumo!$C$10*CEILING(I1608/100,1)</f>
        <v>1.05</v>
      </c>
      <c r="R1608" s="39" t="n">
        <f aca="false">Resumo!$C$9</f>
        <v>0</v>
      </c>
      <c r="S1608" s="39" t="n">
        <f aca="false">Resumo!$C$13</f>
        <v>13.55</v>
      </c>
      <c r="T1608" s="39" t="n">
        <f aca="false">Resumo!$C$14*CEILING(I1608,1)</f>
        <v>16.65</v>
      </c>
      <c r="U1608" s="39" t="n">
        <f aca="false">SUM(M1608:T1608)*Resumo!$C$11</f>
        <v>0</v>
      </c>
      <c r="V1608" s="39" t="n">
        <f aca="false">SUM(M1608:U1608)</f>
        <v>107.899958</v>
      </c>
      <c r="W1608" s="39" t="n">
        <f aca="false">V1608/(1-Resumo!$C$5)</f>
        <v>122.613588636364</v>
      </c>
      <c r="X1608" s="39" t="n">
        <v>114.95</v>
      </c>
      <c r="Y1608" s="39" t="n">
        <f aca="false">J1608*Resumo!$B$6</f>
        <v>0.39999</v>
      </c>
      <c r="Z1608" s="39" t="n">
        <f aca="false">J1608*Resumo!$B$7</f>
        <v>0.79998</v>
      </c>
      <c r="AA1608" s="39" t="n">
        <f aca="false">Resumo!$B$9</f>
        <v>1</v>
      </c>
      <c r="AB1608" s="39" t="n">
        <f aca="false">Resumo!$B$10*CEILING(I1608/100,1)</f>
        <v>4.5</v>
      </c>
      <c r="AC1608" s="39" t="n">
        <f aca="false">Resumo!$B$12*CEILING(I1608,1)</f>
        <v>2.22</v>
      </c>
      <c r="AD1608" s="39" t="n">
        <f aca="false">Resumo!$B$14*CEILING(I1608,1)</f>
        <v>16.65</v>
      </c>
      <c r="AE1608" s="39" t="n">
        <f aca="false">SUM(X1608:AD1608)</f>
        <v>140.51997</v>
      </c>
      <c r="AF1608" s="39" t="n">
        <f aca="false">AE1608/(1-Resumo!$B$5)</f>
        <v>159.681784090909</v>
      </c>
      <c r="AG1608" s="39" t="n">
        <f aca="false">AF1608-W1608</f>
        <v>37.0681954545455</v>
      </c>
      <c r="AH1608" s="40" t="n">
        <f aca="false">AF1608/W1608-1</f>
        <v>0.302317189039129</v>
      </c>
      <c r="AI1608" s="37" t="str">
        <f aca="false">IF(AF1608&lt;W1608,"SIM","NÃO")</f>
        <v>NÃO</v>
      </c>
      <c r="AJ1608" s="37" t="n">
        <v>13</v>
      </c>
      <c r="AK1608" s="37" t="n">
        <v>7</v>
      </c>
      <c r="AL1608" s="37" t="s">
        <v>343</v>
      </c>
      <c r="AM1608" s="39" t="n">
        <v>122.16</v>
      </c>
    </row>
    <row r="1609" customFormat="false" ht="15" hidden="false" customHeight="false" outlineLevel="0" collapsed="false">
      <c r="A1609" s="37" t="n">
        <v>389601584</v>
      </c>
      <c r="B1609" s="38" t="n">
        <v>46271.6548958333</v>
      </c>
      <c r="C1609" s="37" t="s">
        <v>372</v>
      </c>
      <c r="D1609" s="37" t="s">
        <v>1818</v>
      </c>
      <c r="E1609" s="37" t="n">
        <v>21012351</v>
      </c>
      <c r="F1609" s="37" t="s">
        <v>159</v>
      </c>
      <c r="G1609" s="37" t="s">
        <v>196</v>
      </c>
      <c r="H1609" s="37" t="s">
        <v>185</v>
      </c>
      <c r="I1609" s="37" t="n">
        <v>37.6</v>
      </c>
      <c r="J1609" s="39" t="n">
        <v>469.99</v>
      </c>
      <c r="K1609" s="37" t="s">
        <v>342</v>
      </c>
      <c r="L1609" s="39" t="n">
        <v>92.11</v>
      </c>
      <c r="M1609" s="39" t="n">
        <v>48.35</v>
      </c>
      <c r="N1609" s="39" t="n">
        <f aca="false">J1609*Resumo!$C$6</f>
        <v>0</v>
      </c>
      <c r="O1609" s="39" t="n">
        <f aca="false">J1609*Resumo!$C$7</f>
        <v>0.986979</v>
      </c>
      <c r="P1609" s="39" t="n">
        <f aca="false">J1609*Resumo!$C$8</f>
        <v>0.986979</v>
      </c>
      <c r="Q1609" s="39" t="n">
        <f aca="false">Resumo!$C$10*CEILING(I1609/100,1)</f>
        <v>1.05</v>
      </c>
      <c r="R1609" s="39" t="n">
        <f aca="false">Resumo!$C$9</f>
        <v>0</v>
      </c>
      <c r="S1609" s="39" t="n">
        <f aca="false">Resumo!$C$13</f>
        <v>13.55</v>
      </c>
      <c r="T1609" s="39" t="n">
        <f aca="false">Resumo!$C$14*CEILING(I1609,1)</f>
        <v>17.1</v>
      </c>
      <c r="U1609" s="39" t="n">
        <f aca="false">SUM(M1609:T1609)*Resumo!$C$11</f>
        <v>0</v>
      </c>
      <c r="V1609" s="39" t="n">
        <f aca="false">SUM(M1609:U1609)</f>
        <v>82.023958</v>
      </c>
      <c r="W1609" s="39" t="n">
        <f aca="false">V1609/(1-Resumo!$C$5)</f>
        <v>93.2090431818182</v>
      </c>
      <c r="X1609" s="39" t="n">
        <v>93.97</v>
      </c>
      <c r="Y1609" s="39" t="n">
        <f aca="false">J1609*Resumo!$B$6</f>
        <v>0.46999</v>
      </c>
      <c r="Z1609" s="39" t="n">
        <f aca="false">J1609*Resumo!$B$7</f>
        <v>0.93998</v>
      </c>
      <c r="AA1609" s="39" t="n">
        <f aca="false">Resumo!$B$9</f>
        <v>1</v>
      </c>
      <c r="AB1609" s="39" t="n">
        <f aca="false">Resumo!$B$10*CEILING(I1609/100,1)</f>
        <v>4.5</v>
      </c>
      <c r="AC1609" s="39" t="n">
        <f aca="false">Resumo!$B$12*CEILING(I1609,1)</f>
        <v>2.28</v>
      </c>
      <c r="AD1609" s="39" t="n">
        <f aca="false">Resumo!$B$14*CEILING(I1609,1)</f>
        <v>17.1</v>
      </c>
      <c r="AE1609" s="39" t="n">
        <f aca="false">SUM(X1609:AD1609)</f>
        <v>120.25997</v>
      </c>
      <c r="AF1609" s="39" t="n">
        <f aca="false">AE1609/(1-Resumo!$B$5)</f>
        <v>136.659056818182</v>
      </c>
      <c r="AG1609" s="39" t="n">
        <f aca="false">AF1609-W1609</f>
        <v>43.4500136363637</v>
      </c>
      <c r="AH1609" s="40" t="n">
        <f aca="false">AF1609/W1609-1</f>
        <v>0.466156631944048</v>
      </c>
      <c r="AI1609" s="37" t="str">
        <f aca="false">IF(AF1609&lt;W1609,"SIM","NÃO")</f>
        <v>NÃO</v>
      </c>
      <c r="AJ1609" s="37" t="n">
        <v>2</v>
      </c>
      <c r="AK1609" s="37" t="n">
        <v>5</v>
      </c>
      <c r="AL1609" s="37" t="s">
        <v>343</v>
      </c>
      <c r="AM1609" s="39" t="n">
        <v>92.11</v>
      </c>
    </row>
    <row r="1610" customFormat="false" ht="15" hidden="false" customHeight="false" outlineLevel="0" collapsed="false">
      <c r="A1610" s="37" t="n">
        <v>389611799</v>
      </c>
      <c r="B1610" s="38" t="n">
        <v>46271.6679398148</v>
      </c>
      <c r="C1610" s="37" t="s">
        <v>340</v>
      </c>
      <c r="D1610" s="37" t="s">
        <v>1819</v>
      </c>
      <c r="E1610" s="37" t="n">
        <v>28928510</v>
      </c>
      <c r="F1610" s="37" t="s">
        <v>172</v>
      </c>
      <c r="G1610" s="37" t="s">
        <v>198</v>
      </c>
      <c r="H1610" s="37" t="s">
        <v>185</v>
      </c>
      <c r="I1610" s="37" t="n">
        <v>37.6</v>
      </c>
      <c r="J1610" s="39" t="n">
        <v>378.18</v>
      </c>
      <c r="K1610" s="37" t="s">
        <v>342</v>
      </c>
      <c r="L1610" s="39" t="n">
        <v>122.07</v>
      </c>
      <c r="M1610" s="39" t="n">
        <v>74.97</v>
      </c>
      <c r="N1610" s="39" t="n">
        <f aca="false">J1610*Resumo!$C$6</f>
        <v>0</v>
      </c>
      <c r="O1610" s="39" t="n">
        <f aca="false">J1610*Resumo!$C$7</f>
        <v>0.794178</v>
      </c>
      <c r="P1610" s="39" t="n">
        <f aca="false">J1610*Resumo!$C$8</f>
        <v>0.794178</v>
      </c>
      <c r="Q1610" s="39" t="n">
        <f aca="false">Resumo!$C$10*CEILING(I1610/100,1)</f>
        <v>1.05</v>
      </c>
      <c r="R1610" s="39" t="n">
        <f aca="false">Resumo!$C$9</f>
        <v>0</v>
      </c>
      <c r="S1610" s="39" t="n">
        <f aca="false">Resumo!$C$13</f>
        <v>13.55</v>
      </c>
      <c r="T1610" s="39" t="n">
        <f aca="false">Resumo!$C$14*CEILING(I1610,1)</f>
        <v>17.1</v>
      </c>
      <c r="U1610" s="39" t="n">
        <f aca="false">SUM(M1610:T1610)*Resumo!$C$11</f>
        <v>0</v>
      </c>
      <c r="V1610" s="39" t="n">
        <f aca="false">SUM(M1610:U1610)</f>
        <v>108.258356</v>
      </c>
      <c r="W1610" s="39" t="n">
        <f aca="false">V1610/(1-Resumo!$C$5)</f>
        <v>123.020859090909</v>
      </c>
      <c r="X1610" s="39" t="n">
        <v>124.38</v>
      </c>
      <c r="Y1610" s="39" t="n">
        <f aca="false">J1610*Resumo!$B$6</f>
        <v>0.37818</v>
      </c>
      <c r="Z1610" s="39" t="n">
        <f aca="false">J1610*Resumo!$B$7</f>
        <v>0.75636</v>
      </c>
      <c r="AA1610" s="39" t="n">
        <f aca="false">Resumo!$B$9</f>
        <v>1</v>
      </c>
      <c r="AB1610" s="39" t="n">
        <f aca="false">Resumo!$B$10*CEILING(I1610/100,1)</f>
        <v>4.5</v>
      </c>
      <c r="AC1610" s="39" t="n">
        <f aca="false">Resumo!$B$12*CEILING(I1610,1)</f>
        <v>2.28</v>
      </c>
      <c r="AD1610" s="39" t="n">
        <f aca="false">Resumo!$B$14*CEILING(I1610,1)</f>
        <v>17.1</v>
      </c>
      <c r="AE1610" s="39" t="n">
        <f aca="false">SUM(X1610:AD1610)</f>
        <v>150.39454</v>
      </c>
      <c r="AF1610" s="39" t="n">
        <f aca="false">AE1610/(1-Resumo!$B$5)</f>
        <v>170.902886363636</v>
      </c>
      <c r="AG1610" s="39" t="n">
        <f aca="false">AF1610-W1610</f>
        <v>47.8820272727272</v>
      </c>
      <c r="AH1610" s="40" t="n">
        <f aca="false">AF1610/W1610-1</f>
        <v>0.389218768480098</v>
      </c>
      <c r="AI1610" s="37" t="str">
        <f aca="false">IF(AF1610&lt;W1610,"SIM","NÃO")</f>
        <v>NÃO</v>
      </c>
      <c r="AJ1610" s="37" t="n">
        <v>13</v>
      </c>
      <c r="AK1610" s="37" t="n">
        <v>10</v>
      </c>
      <c r="AL1610" s="37" t="s">
        <v>343</v>
      </c>
      <c r="AM1610" s="39" t="n">
        <v>122.06</v>
      </c>
    </row>
    <row r="1611" customFormat="false" ht="15" hidden="false" customHeight="false" outlineLevel="0" collapsed="false">
      <c r="A1611" s="37" t="n">
        <v>389609102</v>
      </c>
      <c r="B1611" s="38" t="n">
        <v>46271.6702777778</v>
      </c>
      <c r="C1611" s="37" t="s">
        <v>375</v>
      </c>
      <c r="D1611" s="37" t="s">
        <v>1820</v>
      </c>
      <c r="E1611" s="37" t="n">
        <v>22471270</v>
      </c>
      <c r="F1611" s="37" t="s">
        <v>159</v>
      </c>
      <c r="G1611" s="37" t="s">
        <v>196</v>
      </c>
      <c r="H1611" s="37" t="s">
        <v>183</v>
      </c>
      <c r="I1611" s="37" t="n">
        <v>15</v>
      </c>
      <c r="J1611" s="39" t="n">
        <v>255.19</v>
      </c>
      <c r="K1611" s="37" t="s">
        <v>342</v>
      </c>
      <c r="L1611" s="39" t="n">
        <v>64.44</v>
      </c>
      <c r="M1611" s="39" t="n">
        <v>33.42</v>
      </c>
      <c r="N1611" s="39" t="n">
        <f aca="false">J1611*Resumo!$C$6</f>
        <v>0</v>
      </c>
      <c r="O1611" s="39" t="n">
        <f aca="false">J1611*Resumo!$C$7</f>
        <v>0.535899</v>
      </c>
      <c r="P1611" s="39" t="n">
        <f aca="false">J1611*Resumo!$C$8</f>
        <v>0.535899</v>
      </c>
      <c r="Q1611" s="39" t="n">
        <f aca="false">Resumo!$C$10*CEILING(I1611/100,1)</f>
        <v>1.05</v>
      </c>
      <c r="R1611" s="39" t="n">
        <f aca="false">Resumo!$C$9</f>
        <v>0</v>
      </c>
      <c r="S1611" s="39" t="n">
        <f aca="false">Resumo!$C$13</f>
        <v>13.55</v>
      </c>
      <c r="T1611" s="39" t="n">
        <f aca="false">Resumo!$C$14*CEILING(I1611,1)</f>
        <v>6.75</v>
      </c>
      <c r="U1611" s="39" t="n">
        <f aca="false">SUM(M1611:T1611)*Resumo!$C$11</f>
        <v>0</v>
      </c>
      <c r="V1611" s="39" t="n">
        <f aca="false">SUM(M1611:U1611)</f>
        <v>55.841798</v>
      </c>
      <c r="W1611" s="39" t="n">
        <f aca="false">V1611/(1-Resumo!$C$5)</f>
        <v>63.4565886363636</v>
      </c>
      <c r="X1611" s="39" t="n">
        <v>46.98</v>
      </c>
      <c r="Y1611" s="39" t="n">
        <f aca="false">J1611*Resumo!$B$6</f>
        <v>0.25519</v>
      </c>
      <c r="Z1611" s="39" t="n">
        <f aca="false">J1611*Resumo!$B$7</f>
        <v>0.51038</v>
      </c>
      <c r="AA1611" s="39" t="n">
        <f aca="false">Resumo!$B$9</f>
        <v>1</v>
      </c>
      <c r="AB1611" s="39" t="n">
        <f aca="false">Resumo!$B$10*CEILING(I1611/100,1)</f>
        <v>4.5</v>
      </c>
      <c r="AC1611" s="39" t="n">
        <f aca="false">Resumo!$B$12*CEILING(I1611,1)</f>
        <v>0.9</v>
      </c>
      <c r="AD1611" s="39" t="n">
        <f aca="false">Resumo!$B$14*CEILING(I1611,1)</f>
        <v>6.75</v>
      </c>
      <c r="AE1611" s="39" t="n">
        <f aca="false">SUM(X1611:AD1611)</f>
        <v>60.89557</v>
      </c>
      <c r="AF1611" s="39" t="n">
        <f aca="false">AE1611/(1-Resumo!$B$5)</f>
        <v>69.1995113636364</v>
      </c>
      <c r="AG1611" s="39" t="n">
        <f aca="false">AF1611-W1611</f>
        <v>5.74292272727272</v>
      </c>
      <c r="AH1611" s="40" t="n">
        <f aca="false">AF1611/W1611-1</f>
        <v>0.0905015988202957</v>
      </c>
      <c r="AI1611" s="37" t="str">
        <f aca="false">IF(AF1611&lt;W1611,"SIM","NÃO")</f>
        <v>NÃO</v>
      </c>
      <c r="AJ1611" s="37" t="n">
        <v>2</v>
      </c>
      <c r="AK1611" s="37" t="n">
        <v>5</v>
      </c>
      <c r="AL1611" s="37" t="s">
        <v>343</v>
      </c>
      <c r="AM1611" s="39" t="n">
        <v>64.44</v>
      </c>
    </row>
    <row r="1612" customFormat="false" ht="15" hidden="false" customHeight="false" outlineLevel="0" collapsed="false">
      <c r="A1612" s="37" t="n">
        <v>389619063</v>
      </c>
      <c r="B1612" s="38" t="n">
        <v>46271.6786342593</v>
      </c>
      <c r="C1612" s="37" t="s">
        <v>340</v>
      </c>
      <c r="D1612" s="37" t="s">
        <v>1821</v>
      </c>
      <c r="E1612" s="37" t="n">
        <v>22631030</v>
      </c>
      <c r="F1612" s="37" t="s">
        <v>159</v>
      </c>
      <c r="G1612" s="37" t="s">
        <v>196</v>
      </c>
      <c r="H1612" s="37" t="s">
        <v>186</v>
      </c>
      <c r="I1612" s="37" t="n">
        <v>46.8</v>
      </c>
      <c r="J1612" s="39" t="n">
        <v>599.99</v>
      </c>
      <c r="K1612" s="37" t="s">
        <v>342</v>
      </c>
      <c r="L1612" s="39" t="n">
        <v>103.47</v>
      </c>
      <c r="M1612" s="39" t="n">
        <v>53.55</v>
      </c>
      <c r="N1612" s="39" t="n">
        <f aca="false">J1612*Resumo!$C$6</f>
        <v>0</v>
      </c>
      <c r="O1612" s="39" t="n">
        <f aca="false">J1612*Resumo!$C$7</f>
        <v>1.259979</v>
      </c>
      <c r="P1612" s="39" t="n">
        <f aca="false">J1612*Resumo!$C$8</f>
        <v>1.259979</v>
      </c>
      <c r="Q1612" s="39" t="n">
        <f aca="false">Resumo!$C$10*CEILING(I1612/100,1)</f>
        <v>1.05</v>
      </c>
      <c r="R1612" s="39" t="n">
        <f aca="false">Resumo!$C$9</f>
        <v>0</v>
      </c>
      <c r="S1612" s="39" t="n">
        <f aca="false">Resumo!$C$13</f>
        <v>13.55</v>
      </c>
      <c r="T1612" s="39" t="n">
        <f aca="false">Resumo!$C$14*CEILING(I1612,1)</f>
        <v>21.15</v>
      </c>
      <c r="U1612" s="39" t="n">
        <f aca="false">SUM(M1612:T1612)*Resumo!$C$11</f>
        <v>0</v>
      </c>
      <c r="V1612" s="39" t="n">
        <f aca="false">SUM(M1612:U1612)</f>
        <v>91.819958</v>
      </c>
      <c r="W1612" s="39" t="n">
        <f aca="false">V1612/(1-Resumo!$C$5)</f>
        <v>104.340861363636</v>
      </c>
      <c r="X1612" s="39" t="n">
        <v>93.97</v>
      </c>
      <c r="Y1612" s="39" t="n">
        <f aca="false">J1612*Resumo!$B$6</f>
        <v>0.59999</v>
      </c>
      <c r="Z1612" s="39" t="n">
        <f aca="false">J1612*Resumo!$B$7</f>
        <v>1.19998</v>
      </c>
      <c r="AA1612" s="39" t="n">
        <f aca="false">Resumo!$B$9</f>
        <v>1</v>
      </c>
      <c r="AB1612" s="39" t="n">
        <f aca="false">Resumo!$B$10*CEILING(I1612/100,1)</f>
        <v>4.5</v>
      </c>
      <c r="AC1612" s="39" t="n">
        <f aca="false">Resumo!$B$12*CEILING(I1612,1)</f>
        <v>2.82</v>
      </c>
      <c r="AD1612" s="39" t="n">
        <f aca="false">Resumo!$B$14*CEILING(I1612,1)</f>
        <v>21.15</v>
      </c>
      <c r="AE1612" s="39" t="n">
        <f aca="false">SUM(X1612:AD1612)</f>
        <v>125.23997</v>
      </c>
      <c r="AF1612" s="39" t="n">
        <f aca="false">AE1612/(1-Resumo!$B$5)</f>
        <v>142.318147727273</v>
      </c>
      <c r="AG1612" s="39" t="n">
        <f aca="false">AF1612-W1612</f>
        <v>37.9772863636364</v>
      </c>
      <c r="AH1612" s="40" t="n">
        <f aca="false">AF1612/W1612-1</f>
        <v>0.363973287811785</v>
      </c>
      <c r="AI1612" s="37" t="str">
        <f aca="false">IF(AF1612&lt;W1612,"SIM","NÃO")</f>
        <v>NÃO</v>
      </c>
      <c r="AJ1612" s="37" t="n">
        <v>2</v>
      </c>
      <c r="AK1612" s="37" t="n">
        <v>5</v>
      </c>
      <c r="AL1612" s="37" t="s">
        <v>343</v>
      </c>
      <c r="AM1612" s="39" t="n">
        <v>103.46</v>
      </c>
    </row>
    <row r="1613" customFormat="false" ht="15" hidden="false" customHeight="false" outlineLevel="0" collapsed="false">
      <c r="A1613" s="37" t="n">
        <v>389669354</v>
      </c>
      <c r="B1613" s="38" t="n">
        <v>46271.751724537</v>
      </c>
      <c r="C1613" s="37" t="s">
        <v>345</v>
      </c>
      <c r="D1613" s="37" t="s">
        <v>1822</v>
      </c>
      <c r="E1613" s="37" t="n">
        <v>21340440</v>
      </c>
      <c r="F1613" s="37" t="s">
        <v>159</v>
      </c>
      <c r="G1613" s="37" t="s">
        <v>196</v>
      </c>
      <c r="H1613" s="37" t="s">
        <v>185</v>
      </c>
      <c r="I1613" s="37" t="n">
        <v>37.6</v>
      </c>
      <c r="J1613" s="39" t="n">
        <v>443.87</v>
      </c>
      <c r="K1613" s="37" t="s">
        <v>342</v>
      </c>
      <c r="L1613" s="39" t="n">
        <v>91.99</v>
      </c>
      <c r="M1613" s="39" t="n">
        <v>48.35</v>
      </c>
      <c r="N1613" s="39" t="n">
        <f aca="false">J1613*Resumo!$C$6</f>
        <v>0</v>
      </c>
      <c r="O1613" s="39" t="n">
        <f aca="false">J1613*Resumo!$C$7</f>
        <v>0.932127</v>
      </c>
      <c r="P1613" s="39" t="n">
        <f aca="false">J1613*Resumo!$C$8</f>
        <v>0.932127</v>
      </c>
      <c r="Q1613" s="39" t="n">
        <f aca="false">Resumo!$C$10*CEILING(I1613/100,1)</f>
        <v>1.05</v>
      </c>
      <c r="R1613" s="39" t="n">
        <f aca="false">Resumo!$C$9</f>
        <v>0</v>
      </c>
      <c r="S1613" s="39" t="n">
        <f aca="false">Resumo!$C$13</f>
        <v>13.55</v>
      </c>
      <c r="T1613" s="39" t="n">
        <f aca="false">Resumo!$C$14*CEILING(I1613,1)</f>
        <v>17.1</v>
      </c>
      <c r="U1613" s="39" t="n">
        <f aca="false">SUM(M1613:T1613)*Resumo!$C$11</f>
        <v>0</v>
      </c>
      <c r="V1613" s="39" t="n">
        <f aca="false">SUM(M1613:U1613)</f>
        <v>81.914254</v>
      </c>
      <c r="W1613" s="39" t="n">
        <f aca="false">V1613/(1-Resumo!$C$5)</f>
        <v>93.0843795454545</v>
      </c>
      <c r="X1613" s="39" t="n">
        <v>93.97</v>
      </c>
      <c r="Y1613" s="39" t="n">
        <f aca="false">J1613*Resumo!$B$6</f>
        <v>0.44387</v>
      </c>
      <c r="Z1613" s="39" t="n">
        <f aca="false">J1613*Resumo!$B$7</f>
        <v>0.88774</v>
      </c>
      <c r="AA1613" s="39" t="n">
        <f aca="false">Resumo!$B$9</f>
        <v>1</v>
      </c>
      <c r="AB1613" s="39" t="n">
        <f aca="false">Resumo!$B$10*CEILING(I1613/100,1)</f>
        <v>4.5</v>
      </c>
      <c r="AC1613" s="39" t="n">
        <f aca="false">Resumo!$B$12*CEILING(I1613,1)</f>
        <v>2.28</v>
      </c>
      <c r="AD1613" s="39" t="n">
        <f aca="false">Resumo!$B$14*CEILING(I1613,1)</f>
        <v>17.1</v>
      </c>
      <c r="AE1613" s="39" t="n">
        <f aca="false">SUM(X1613:AD1613)</f>
        <v>120.18161</v>
      </c>
      <c r="AF1613" s="39" t="n">
        <f aca="false">AE1613/(1-Resumo!$B$5)</f>
        <v>136.570011363636</v>
      </c>
      <c r="AG1613" s="39" t="n">
        <f aca="false">AF1613-W1613</f>
        <v>43.4856318181818</v>
      </c>
      <c r="AH1613" s="40" t="n">
        <f aca="false">AF1613/W1613-1</f>
        <v>0.467163578148438</v>
      </c>
      <c r="AI1613" s="37" t="str">
        <f aca="false">IF(AF1613&lt;W1613,"SIM","NÃO")</f>
        <v>NÃO</v>
      </c>
      <c r="AJ1613" s="37" t="n">
        <v>2</v>
      </c>
      <c r="AK1613" s="37" t="n">
        <v>5</v>
      </c>
      <c r="AL1613" s="37" t="s">
        <v>343</v>
      </c>
      <c r="AM1613" s="39" t="n">
        <v>91.98</v>
      </c>
    </row>
    <row r="1614" customFormat="false" ht="15" hidden="false" customHeight="false" outlineLevel="0" collapsed="false">
      <c r="A1614" s="37" t="n">
        <v>389675699</v>
      </c>
      <c r="B1614" s="38" t="n">
        <v>46271.7612152778</v>
      </c>
      <c r="C1614" s="37" t="s">
        <v>379</v>
      </c>
      <c r="D1614" s="37" t="s">
        <v>1823</v>
      </c>
      <c r="E1614" s="37" t="n">
        <v>20560050</v>
      </c>
      <c r="F1614" s="37" t="s">
        <v>159</v>
      </c>
      <c r="G1614" s="37" t="s">
        <v>196</v>
      </c>
      <c r="H1614" s="37" t="s">
        <v>185</v>
      </c>
      <c r="I1614" s="37" t="n">
        <v>40</v>
      </c>
      <c r="J1614" s="39" t="n">
        <v>539.99</v>
      </c>
      <c r="K1614" s="37" t="s">
        <v>342</v>
      </c>
      <c r="L1614" s="39" t="n">
        <v>92.44</v>
      </c>
      <c r="M1614" s="39" t="n">
        <v>48.35</v>
      </c>
      <c r="N1614" s="39" t="n">
        <f aca="false">J1614*Resumo!$C$6</f>
        <v>0</v>
      </c>
      <c r="O1614" s="39" t="n">
        <f aca="false">J1614*Resumo!$C$7</f>
        <v>1.133979</v>
      </c>
      <c r="P1614" s="39" t="n">
        <f aca="false">J1614*Resumo!$C$8</f>
        <v>1.133979</v>
      </c>
      <c r="Q1614" s="39" t="n">
        <f aca="false">Resumo!$C$10*CEILING(I1614/100,1)</f>
        <v>1.05</v>
      </c>
      <c r="R1614" s="39" t="n">
        <f aca="false">Resumo!$C$9</f>
        <v>0</v>
      </c>
      <c r="S1614" s="39" t="n">
        <f aca="false">Resumo!$C$13</f>
        <v>13.55</v>
      </c>
      <c r="T1614" s="39" t="n">
        <f aca="false">Resumo!$C$14*CEILING(I1614,1)</f>
        <v>18</v>
      </c>
      <c r="U1614" s="39" t="n">
        <f aca="false">SUM(M1614:T1614)*Resumo!$C$11</f>
        <v>0</v>
      </c>
      <c r="V1614" s="39" t="n">
        <f aca="false">SUM(M1614:U1614)</f>
        <v>83.217958</v>
      </c>
      <c r="W1614" s="39" t="n">
        <f aca="false">V1614/(1-Resumo!$C$5)</f>
        <v>94.5658613636364</v>
      </c>
      <c r="X1614" s="39" t="n">
        <v>93.97</v>
      </c>
      <c r="Y1614" s="39" t="n">
        <f aca="false">J1614*Resumo!$B$6</f>
        <v>0.53999</v>
      </c>
      <c r="Z1614" s="39" t="n">
        <f aca="false">J1614*Resumo!$B$7</f>
        <v>1.07998</v>
      </c>
      <c r="AA1614" s="39" t="n">
        <f aca="false">Resumo!$B$9</f>
        <v>1</v>
      </c>
      <c r="AB1614" s="39" t="n">
        <f aca="false">Resumo!$B$10*CEILING(I1614/100,1)</f>
        <v>4.5</v>
      </c>
      <c r="AC1614" s="39" t="n">
        <f aca="false">Resumo!$B$12*CEILING(I1614,1)</f>
        <v>2.4</v>
      </c>
      <c r="AD1614" s="39" t="n">
        <f aca="false">Resumo!$B$14*CEILING(I1614,1)</f>
        <v>18</v>
      </c>
      <c r="AE1614" s="39" t="n">
        <f aca="false">SUM(X1614:AD1614)</f>
        <v>121.48997</v>
      </c>
      <c r="AF1614" s="39" t="n">
        <f aca="false">AE1614/(1-Resumo!$B$5)</f>
        <v>138.056784090909</v>
      </c>
      <c r="AG1614" s="39" t="n">
        <f aca="false">AF1614-W1614</f>
        <v>43.4909227272727</v>
      </c>
      <c r="AH1614" s="40" t="n">
        <f aca="false">AF1614/W1614-1</f>
        <v>0.459900878606033</v>
      </c>
      <c r="AI1614" s="37" t="str">
        <f aca="false">IF(AF1614&lt;W1614,"SIM","NÃO")</f>
        <v>NÃO</v>
      </c>
      <c r="AJ1614" s="37" t="n">
        <v>2</v>
      </c>
      <c r="AK1614" s="37" t="n">
        <v>5</v>
      </c>
      <c r="AL1614" s="37" t="s">
        <v>343</v>
      </c>
      <c r="AM1614" s="39" t="n">
        <v>92.44</v>
      </c>
    </row>
    <row r="1615" customFormat="false" ht="15" hidden="false" customHeight="false" outlineLevel="0" collapsed="false">
      <c r="A1615" s="37" t="n">
        <v>389696145</v>
      </c>
      <c r="B1615" s="38" t="n">
        <v>46271.7924537037</v>
      </c>
      <c r="C1615" s="37" t="s">
        <v>340</v>
      </c>
      <c r="D1615" s="37" t="s">
        <v>1824</v>
      </c>
      <c r="E1615" s="37" t="n">
        <v>28740000</v>
      </c>
      <c r="F1615" s="37" t="s">
        <v>285</v>
      </c>
      <c r="G1615" s="37" t="s">
        <v>198</v>
      </c>
      <c r="H1615" s="37" t="s">
        <v>186</v>
      </c>
      <c r="I1615" s="37" t="n">
        <v>48.3</v>
      </c>
      <c r="J1615" s="39" t="n">
        <v>459.69</v>
      </c>
      <c r="K1615" s="37" t="s">
        <v>342</v>
      </c>
      <c r="L1615" s="39" t="n">
        <v>130.36</v>
      </c>
      <c r="M1615" s="39" t="n">
        <v>77.7</v>
      </c>
      <c r="N1615" s="39" t="n">
        <f aca="false">J1615*Resumo!$C$6</f>
        <v>0</v>
      </c>
      <c r="O1615" s="39" t="n">
        <f aca="false">J1615*Resumo!$C$7</f>
        <v>0.965349</v>
      </c>
      <c r="P1615" s="39" t="n">
        <f aca="false">J1615*Resumo!$C$8</f>
        <v>0.965349</v>
      </c>
      <c r="Q1615" s="39" t="n">
        <f aca="false">Resumo!$C$10*CEILING(I1615/100,1)</f>
        <v>1.05</v>
      </c>
      <c r="R1615" s="39" t="n">
        <f aca="false">Resumo!$C$9</f>
        <v>0</v>
      </c>
      <c r="S1615" s="39" t="n">
        <f aca="false">Resumo!$C$13</f>
        <v>13.55</v>
      </c>
      <c r="T1615" s="39" t="n">
        <f aca="false">Resumo!$C$14*CEILING(I1615,1)</f>
        <v>22.05</v>
      </c>
      <c r="U1615" s="39" t="n">
        <f aca="false">SUM(M1615:T1615)*Resumo!$C$11</f>
        <v>0</v>
      </c>
      <c r="V1615" s="39" t="n">
        <f aca="false">SUM(M1615:U1615)</f>
        <v>116.280698</v>
      </c>
      <c r="W1615" s="39" t="n">
        <f aca="false">V1615/(1-Resumo!$C$5)</f>
        <v>132.137156818182</v>
      </c>
      <c r="X1615" s="39" t="n">
        <v>152.54</v>
      </c>
      <c r="Y1615" s="39" t="n">
        <f aca="false">J1615*Resumo!$B$6</f>
        <v>0.45969</v>
      </c>
      <c r="Z1615" s="39" t="n">
        <f aca="false">J1615*Resumo!$B$7</f>
        <v>0.91938</v>
      </c>
      <c r="AA1615" s="39" t="n">
        <f aca="false">Resumo!$B$9</f>
        <v>1</v>
      </c>
      <c r="AB1615" s="39" t="n">
        <f aca="false">Resumo!$B$10*CEILING(I1615/100,1)</f>
        <v>4.5</v>
      </c>
      <c r="AC1615" s="39" t="n">
        <f aca="false">Resumo!$B$12*CEILING(I1615,1)</f>
        <v>2.94</v>
      </c>
      <c r="AD1615" s="39" t="n">
        <f aca="false">Resumo!$B$14*CEILING(I1615,1)</f>
        <v>22.05</v>
      </c>
      <c r="AE1615" s="39" t="n">
        <f aca="false">SUM(X1615:AD1615)</f>
        <v>184.40907</v>
      </c>
      <c r="AF1615" s="39" t="n">
        <f aca="false">AE1615/(1-Resumo!$B$5)</f>
        <v>209.555761363636</v>
      </c>
      <c r="AG1615" s="39" t="n">
        <f aca="false">AF1615-W1615</f>
        <v>77.4186045454546</v>
      </c>
      <c r="AH1615" s="40" t="n">
        <f aca="false">AF1615/W1615-1</f>
        <v>0.585895795018362</v>
      </c>
      <c r="AI1615" s="37" t="str">
        <f aca="false">IF(AF1615&lt;W1615,"SIM","NÃO")</f>
        <v>NÃO</v>
      </c>
      <c r="AJ1615" s="37" t="n">
        <v>13</v>
      </c>
      <c r="AK1615" s="37" t="n">
        <v>11</v>
      </c>
      <c r="AL1615" s="37" t="s">
        <v>347</v>
      </c>
      <c r="AM1615" s="39" t="n">
        <v>130.36</v>
      </c>
    </row>
    <row r="1616" customFormat="false" ht="15" hidden="false" customHeight="false" outlineLevel="0" collapsed="false">
      <c r="A1616" s="37" t="n">
        <v>389703861</v>
      </c>
      <c r="B1616" s="38" t="n">
        <v>46271.804525463</v>
      </c>
      <c r="C1616" s="37" t="s">
        <v>340</v>
      </c>
      <c r="D1616" s="37" t="s">
        <v>1825</v>
      </c>
      <c r="E1616" s="37" t="n">
        <v>21820097</v>
      </c>
      <c r="F1616" s="37" t="s">
        <v>159</v>
      </c>
      <c r="G1616" s="37" t="s">
        <v>196</v>
      </c>
      <c r="H1616" s="37" t="s">
        <v>184</v>
      </c>
      <c r="I1616" s="37" t="n">
        <v>21.5</v>
      </c>
      <c r="J1616" s="39" t="n">
        <v>299.99</v>
      </c>
      <c r="K1616" s="37" t="s">
        <v>342</v>
      </c>
      <c r="L1616" s="39" t="n">
        <v>81.76</v>
      </c>
      <c r="M1616" s="39" t="n">
        <v>42.11</v>
      </c>
      <c r="N1616" s="39" t="n">
        <f aca="false">J1616*Resumo!$C$6</f>
        <v>0</v>
      </c>
      <c r="O1616" s="39" t="n">
        <f aca="false">J1616*Resumo!$C$7</f>
        <v>0.629979</v>
      </c>
      <c r="P1616" s="39" t="n">
        <f aca="false">J1616*Resumo!$C$8</f>
        <v>0.629979</v>
      </c>
      <c r="Q1616" s="39" t="n">
        <f aca="false">Resumo!$C$10*CEILING(I1616/100,1)</f>
        <v>1.05</v>
      </c>
      <c r="R1616" s="39" t="n">
        <f aca="false">Resumo!$C$9</f>
        <v>0</v>
      </c>
      <c r="S1616" s="39" t="n">
        <f aca="false">Resumo!$C$13</f>
        <v>13.55</v>
      </c>
      <c r="T1616" s="39" t="n">
        <f aca="false">Resumo!$C$14*CEILING(I1616,1)</f>
        <v>9.9</v>
      </c>
      <c r="U1616" s="39" t="n">
        <f aca="false">SUM(M1616:T1616)*Resumo!$C$11</f>
        <v>0</v>
      </c>
      <c r="V1616" s="39" t="n">
        <f aca="false">SUM(M1616:U1616)</f>
        <v>67.869958</v>
      </c>
      <c r="W1616" s="39" t="n">
        <f aca="false">V1616/(1-Resumo!$C$5)</f>
        <v>77.1249522727273</v>
      </c>
      <c r="X1616" s="39" t="n">
        <v>82.21</v>
      </c>
      <c r="Y1616" s="39" t="n">
        <f aca="false">J1616*Resumo!$B$6</f>
        <v>0.29999</v>
      </c>
      <c r="Z1616" s="39" t="n">
        <f aca="false">J1616*Resumo!$B$7</f>
        <v>0.59998</v>
      </c>
      <c r="AA1616" s="39" t="n">
        <f aca="false">Resumo!$B$9</f>
        <v>1</v>
      </c>
      <c r="AB1616" s="39" t="n">
        <f aca="false">Resumo!$B$10*CEILING(I1616/100,1)</f>
        <v>4.5</v>
      </c>
      <c r="AC1616" s="39" t="n">
        <f aca="false">Resumo!$B$12*CEILING(I1616,1)</f>
        <v>1.32</v>
      </c>
      <c r="AD1616" s="39" t="n">
        <f aca="false">Resumo!$B$14*CEILING(I1616,1)</f>
        <v>9.9</v>
      </c>
      <c r="AE1616" s="39" t="n">
        <f aca="false">SUM(X1616:AD1616)</f>
        <v>99.82997</v>
      </c>
      <c r="AF1616" s="39" t="n">
        <f aca="false">AE1616/(1-Resumo!$B$5)</f>
        <v>113.443147727273</v>
      </c>
      <c r="AG1616" s="39" t="n">
        <f aca="false">AF1616-W1616</f>
        <v>36.3181954545455</v>
      </c>
      <c r="AH1616" s="40" t="n">
        <f aca="false">AF1616/W1616-1</f>
        <v>0.470900718695008</v>
      </c>
      <c r="AI1616" s="37" t="str">
        <f aca="false">IF(AF1616&lt;W1616,"SIM","NÃO")</f>
        <v>NÃO</v>
      </c>
      <c r="AJ1616" s="37" t="n">
        <v>2</v>
      </c>
      <c r="AK1616" s="37" t="n">
        <v>5</v>
      </c>
      <c r="AL1616" s="37" t="s">
        <v>343</v>
      </c>
      <c r="AM1616" s="39" t="n">
        <v>81.76</v>
      </c>
    </row>
    <row r="1617" customFormat="false" ht="15" hidden="false" customHeight="false" outlineLevel="0" collapsed="false">
      <c r="A1617" s="37" t="n">
        <v>389747560</v>
      </c>
      <c r="B1617" s="38" t="n">
        <v>46271.8769444445</v>
      </c>
      <c r="C1617" s="37" t="s">
        <v>340</v>
      </c>
      <c r="D1617" s="37" t="s">
        <v>1826</v>
      </c>
      <c r="E1617" s="37" t="n">
        <v>22735020</v>
      </c>
      <c r="F1617" s="37" t="s">
        <v>159</v>
      </c>
      <c r="G1617" s="37" t="s">
        <v>196</v>
      </c>
      <c r="H1617" s="37" t="s">
        <v>184</v>
      </c>
      <c r="I1617" s="37" t="n">
        <v>31</v>
      </c>
      <c r="J1617" s="39" t="n">
        <v>329.99</v>
      </c>
      <c r="K1617" s="37" t="s">
        <v>342</v>
      </c>
      <c r="L1617" s="39" t="n">
        <v>81.91</v>
      </c>
      <c r="M1617" s="39" t="n">
        <v>42.11</v>
      </c>
      <c r="N1617" s="39" t="n">
        <f aca="false">J1617*Resumo!$C$6</f>
        <v>0</v>
      </c>
      <c r="O1617" s="39" t="n">
        <f aca="false">J1617*Resumo!$C$7</f>
        <v>0.692979</v>
      </c>
      <c r="P1617" s="39" t="n">
        <f aca="false">J1617*Resumo!$C$8</f>
        <v>0.692979</v>
      </c>
      <c r="Q1617" s="39" t="n">
        <f aca="false">Resumo!$C$10*CEILING(I1617/100,1)</f>
        <v>1.05</v>
      </c>
      <c r="R1617" s="39" t="n">
        <f aca="false">Resumo!$C$9</f>
        <v>0</v>
      </c>
      <c r="S1617" s="39" t="n">
        <f aca="false">Resumo!$C$13</f>
        <v>13.55</v>
      </c>
      <c r="T1617" s="39" t="n">
        <f aca="false">Resumo!$C$14*CEILING(I1617,1)</f>
        <v>13.95</v>
      </c>
      <c r="U1617" s="39" t="n">
        <f aca="false">SUM(M1617:T1617)*Resumo!$C$11</f>
        <v>0</v>
      </c>
      <c r="V1617" s="39" t="n">
        <f aca="false">SUM(M1617:U1617)</f>
        <v>72.045958</v>
      </c>
      <c r="W1617" s="39" t="n">
        <f aca="false">V1617/(1-Resumo!$C$5)</f>
        <v>81.8704068181818</v>
      </c>
      <c r="X1617" s="39" t="n">
        <v>82.21</v>
      </c>
      <c r="Y1617" s="39" t="n">
        <f aca="false">J1617*Resumo!$B$6</f>
        <v>0.32999</v>
      </c>
      <c r="Z1617" s="39" t="n">
        <f aca="false">J1617*Resumo!$B$7</f>
        <v>0.65998</v>
      </c>
      <c r="AA1617" s="39" t="n">
        <f aca="false">Resumo!$B$9</f>
        <v>1</v>
      </c>
      <c r="AB1617" s="39" t="n">
        <f aca="false">Resumo!$B$10*CEILING(I1617/100,1)</f>
        <v>4.5</v>
      </c>
      <c r="AC1617" s="39" t="n">
        <f aca="false">Resumo!$B$12*CEILING(I1617,1)</f>
        <v>1.86</v>
      </c>
      <c r="AD1617" s="39" t="n">
        <f aca="false">Resumo!$B$14*CEILING(I1617,1)</f>
        <v>13.95</v>
      </c>
      <c r="AE1617" s="39" t="n">
        <f aca="false">SUM(X1617:AD1617)</f>
        <v>104.50997</v>
      </c>
      <c r="AF1617" s="39" t="n">
        <f aca="false">AE1617/(1-Resumo!$B$5)</f>
        <v>118.761329545455</v>
      </c>
      <c r="AG1617" s="39" t="n">
        <f aca="false">AF1617-W1617</f>
        <v>36.8909227272727</v>
      </c>
      <c r="AH1617" s="40" t="n">
        <f aca="false">AF1617/W1617-1</f>
        <v>0.450601434156792</v>
      </c>
      <c r="AI1617" s="37" t="str">
        <f aca="false">IF(AF1617&lt;W1617,"SIM","NÃO")</f>
        <v>NÃO</v>
      </c>
      <c r="AJ1617" s="37" t="n">
        <v>2</v>
      </c>
      <c r="AK1617" s="37" t="n">
        <v>5</v>
      </c>
      <c r="AL1617" s="37" t="s">
        <v>343</v>
      </c>
      <c r="AM1617" s="39" t="n">
        <v>81.91</v>
      </c>
    </row>
    <row r="1618" customFormat="false" ht="15" hidden="false" customHeight="false" outlineLevel="0" collapsed="false">
      <c r="A1618" s="37" t="n">
        <v>389750272</v>
      </c>
      <c r="B1618" s="38" t="n">
        <v>46271.8812152778</v>
      </c>
      <c r="C1618" s="37" t="s">
        <v>345</v>
      </c>
      <c r="D1618" s="37" t="s">
        <v>1827</v>
      </c>
      <c r="E1618" s="37" t="n">
        <v>28110000</v>
      </c>
      <c r="F1618" s="37" t="s">
        <v>164</v>
      </c>
      <c r="G1618" s="37" t="s">
        <v>198</v>
      </c>
      <c r="H1618" s="37" t="s">
        <v>184</v>
      </c>
      <c r="I1618" s="37" t="n">
        <v>20.9</v>
      </c>
      <c r="J1618" s="39" t="n">
        <v>470.09</v>
      </c>
      <c r="K1618" s="37" t="s">
        <v>342</v>
      </c>
      <c r="L1618" s="39" t="n">
        <v>109.43</v>
      </c>
      <c r="M1618" s="39" t="n">
        <v>65.63</v>
      </c>
      <c r="N1618" s="39" t="n">
        <f aca="false">J1618*Resumo!$C$6</f>
        <v>0</v>
      </c>
      <c r="O1618" s="39" t="n">
        <f aca="false">J1618*Resumo!$C$7</f>
        <v>0.987189</v>
      </c>
      <c r="P1618" s="39" t="n">
        <f aca="false">J1618*Resumo!$C$8</f>
        <v>0.987189</v>
      </c>
      <c r="Q1618" s="39" t="n">
        <f aca="false">Resumo!$C$10*CEILING(I1618/100,1)</f>
        <v>1.05</v>
      </c>
      <c r="R1618" s="39" t="n">
        <f aca="false">Resumo!$C$9</f>
        <v>0</v>
      </c>
      <c r="S1618" s="39" t="n">
        <f aca="false">Resumo!$C$13</f>
        <v>13.55</v>
      </c>
      <c r="T1618" s="39" t="n">
        <f aca="false">Resumo!$C$14*CEILING(I1618,1)</f>
        <v>9.45</v>
      </c>
      <c r="U1618" s="39" t="n">
        <f aca="false">SUM(M1618:T1618)*Resumo!$C$11</f>
        <v>0</v>
      </c>
      <c r="V1618" s="39" t="n">
        <f aca="false">SUM(M1618:U1618)</f>
        <v>91.654378</v>
      </c>
      <c r="W1618" s="39" t="n">
        <f aca="false">V1618/(1-Resumo!$C$5)</f>
        <v>104.152702272727</v>
      </c>
      <c r="X1618" s="39" t="n">
        <v>138.29</v>
      </c>
      <c r="Y1618" s="39" t="n">
        <f aca="false">J1618*Resumo!$B$6</f>
        <v>0.47009</v>
      </c>
      <c r="Z1618" s="39" t="n">
        <f aca="false">J1618*Resumo!$B$7</f>
        <v>0.94018</v>
      </c>
      <c r="AA1618" s="39" t="n">
        <f aca="false">Resumo!$B$9</f>
        <v>1</v>
      </c>
      <c r="AB1618" s="39" t="n">
        <f aca="false">Resumo!$B$10*CEILING(I1618/100,1)</f>
        <v>4.5</v>
      </c>
      <c r="AC1618" s="39" t="n">
        <f aca="false">Resumo!$B$12*CEILING(I1618,1)</f>
        <v>1.26</v>
      </c>
      <c r="AD1618" s="39" t="n">
        <f aca="false">Resumo!$B$14*CEILING(I1618,1)</f>
        <v>9.45</v>
      </c>
      <c r="AE1618" s="39" t="n">
        <f aca="false">SUM(X1618:AD1618)</f>
        <v>155.91027</v>
      </c>
      <c r="AF1618" s="39" t="n">
        <f aca="false">AE1618/(1-Resumo!$B$5)</f>
        <v>177.170761363636</v>
      </c>
      <c r="AG1618" s="39" t="n">
        <f aca="false">AF1618-W1618</f>
        <v>73.0180590909091</v>
      </c>
      <c r="AH1618" s="40" t="n">
        <f aca="false">AF1618/W1618-1</f>
        <v>0.701067351087146</v>
      </c>
      <c r="AI1618" s="37" t="str">
        <f aca="false">IF(AF1618&lt;W1618,"SIM","NÃO")</f>
        <v>NÃO</v>
      </c>
      <c r="AJ1618" s="37" t="n">
        <v>13</v>
      </c>
      <c r="AK1618" s="37" t="n">
        <v>11</v>
      </c>
      <c r="AL1618" s="37" t="s">
        <v>343</v>
      </c>
      <c r="AM1618" s="39" t="n">
        <v>109.43</v>
      </c>
    </row>
    <row r="1619" customFormat="false" ht="15" hidden="false" customHeight="false" outlineLevel="0" collapsed="false">
      <c r="A1619" s="37" t="n">
        <v>389752365</v>
      </c>
      <c r="B1619" s="38" t="n">
        <v>46271.8851041667</v>
      </c>
      <c r="C1619" s="37" t="s">
        <v>340</v>
      </c>
      <c r="D1619" s="37" t="s">
        <v>1828</v>
      </c>
      <c r="E1619" s="37" t="n">
        <v>22723002</v>
      </c>
      <c r="F1619" s="37" t="s">
        <v>159</v>
      </c>
      <c r="G1619" s="37" t="s">
        <v>196</v>
      </c>
      <c r="H1619" s="37" t="s">
        <v>184</v>
      </c>
      <c r="I1619" s="37" t="n">
        <v>28.8</v>
      </c>
      <c r="J1619" s="39" t="n">
        <v>783.38</v>
      </c>
      <c r="K1619" s="37" t="s">
        <v>342</v>
      </c>
      <c r="L1619" s="39" t="n">
        <v>84.09</v>
      </c>
      <c r="M1619" s="39" t="n">
        <v>42.11</v>
      </c>
      <c r="N1619" s="39" t="n">
        <f aca="false">J1619*Resumo!$C$6</f>
        <v>0</v>
      </c>
      <c r="O1619" s="39" t="n">
        <f aca="false">J1619*Resumo!$C$7</f>
        <v>1.645098</v>
      </c>
      <c r="P1619" s="39" t="n">
        <f aca="false">J1619*Resumo!$C$8</f>
        <v>1.645098</v>
      </c>
      <c r="Q1619" s="39" t="n">
        <f aca="false">Resumo!$C$10*CEILING(I1619/100,1)</f>
        <v>1.05</v>
      </c>
      <c r="R1619" s="39" t="n">
        <f aca="false">Resumo!$C$9</f>
        <v>0</v>
      </c>
      <c r="S1619" s="39" t="n">
        <f aca="false">Resumo!$C$13</f>
        <v>13.55</v>
      </c>
      <c r="T1619" s="39" t="n">
        <f aca="false">Resumo!$C$14*CEILING(I1619,1)</f>
        <v>13.05</v>
      </c>
      <c r="U1619" s="39" t="n">
        <f aca="false">SUM(M1619:T1619)*Resumo!$C$11</f>
        <v>0</v>
      </c>
      <c r="V1619" s="39" t="n">
        <f aca="false">SUM(M1619:U1619)</f>
        <v>73.050196</v>
      </c>
      <c r="W1619" s="39" t="n">
        <f aca="false">V1619/(1-Resumo!$C$5)</f>
        <v>83.0115863636364</v>
      </c>
      <c r="X1619" s="39" t="n">
        <v>82.21</v>
      </c>
      <c r="Y1619" s="39" t="n">
        <f aca="false">J1619*Resumo!$B$6</f>
        <v>0.78338</v>
      </c>
      <c r="Z1619" s="39" t="n">
        <f aca="false">J1619*Resumo!$B$7</f>
        <v>1.56676</v>
      </c>
      <c r="AA1619" s="39" t="n">
        <f aca="false">Resumo!$B$9</f>
        <v>1</v>
      </c>
      <c r="AB1619" s="39" t="n">
        <f aca="false">Resumo!$B$10*CEILING(I1619/100,1)</f>
        <v>4.5</v>
      </c>
      <c r="AC1619" s="39" t="n">
        <f aca="false">Resumo!$B$12*CEILING(I1619,1)</f>
        <v>1.74</v>
      </c>
      <c r="AD1619" s="39" t="n">
        <f aca="false">Resumo!$B$14*CEILING(I1619,1)</f>
        <v>13.05</v>
      </c>
      <c r="AE1619" s="39" t="n">
        <f aca="false">SUM(X1619:AD1619)</f>
        <v>104.85014</v>
      </c>
      <c r="AF1619" s="39" t="n">
        <f aca="false">AE1619/(1-Resumo!$B$5)</f>
        <v>119.147886363636</v>
      </c>
      <c r="AG1619" s="39" t="n">
        <f aca="false">AF1619-W1619</f>
        <v>36.1363</v>
      </c>
      <c r="AH1619" s="40" t="n">
        <f aca="false">AF1619/W1619-1</f>
        <v>0.435316340561222</v>
      </c>
      <c r="AI1619" s="37" t="str">
        <f aca="false">IF(AF1619&lt;W1619,"SIM","NÃO")</f>
        <v>NÃO</v>
      </c>
      <c r="AJ1619" s="37" t="n">
        <v>2</v>
      </c>
      <c r="AK1619" s="37" t="n">
        <v>5</v>
      </c>
      <c r="AL1619" s="37" t="s">
        <v>343</v>
      </c>
      <c r="AM1619" s="39" t="n">
        <v>84.08</v>
      </c>
    </row>
    <row r="1620" customFormat="false" ht="15" hidden="false" customHeight="false" outlineLevel="0" collapsed="false">
      <c r="A1620" s="37" t="n">
        <v>389782420</v>
      </c>
      <c r="B1620" s="38" t="n">
        <v>46271.9381018519</v>
      </c>
      <c r="C1620" s="37" t="s">
        <v>340</v>
      </c>
      <c r="D1620" s="37" t="s">
        <v>1829</v>
      </c>
      <c r="E1620" s="37" t="n">
        <v>24350242</v>
      </c>
      <c r="F1620" s="37" t="s">
        <v>163</v>
      </c>
      <c r="G1620" s="37" t="s">
        <v>197</v>
      </c>
      <c r="H1620" s="37" t="s">
        <v>186</v>
      </c>
      <c r="I1620" s="37" t="n">
        <v>41</v>
      </c>
      <c r="J1620" s="39" t="n">
        <v>559.94</v>
      </c>
      <c r="K1620" s="37" t="s">
        <v>342</v>
      </c>
      <c r="L1620" s="39" t="n">
        <v>116.76</v>
      </c>
      <c r="M1620" s="39" t="n">
        <v>65.36</v>
      </c>
      <c r="N1620" s="39" t="n">
        <f aca="false">J1620*Resumo!$C$6</f>
        <v>0</v>
      </c>
      <c r="O1620" s="39" t="n">
        <f aca="false">J1620*Resumo!$C$7</f>
        <v>1.175874</v>
      </c>
      <c r="P1620" s="39" t="n">
        <f aca="false">J1620*Resumo!$C$8</f>
        <v>1.175874</v>
      </c>
      <c r="Q1620" s="39" t="n">
        <f aca="false">Resumo!$C$10*CEILING(I1620/100,1)</f>
        <v>1.05</v>
      </c>
      <c r="R1620" s="39" t="n">
        <f aca="false">Resumo!$C$9</f>
        <v>0</v>
      </c>
      <c r="S1620" s="39" t="n">
        <f aca="false">Resumo!$C$13</f>
        <v>13.55</v>
      </c>
      <c r="T1620" s="39" t="n">
        <f aca="false">Resumo!$C$14*CEILING(I1620,1)</f>
        <v>18.45</v>
      </c>
      <c r="U1620" s="39" t="n">
        <f aca="false">SUM(M1620:T1620)*Resumo!$C$11</f>
        <v>0</v>
      </c>
      <c r="V1620" s="39" t="n">
        <f aca="false">SUM(M1620:U1620)</f>
        <v>100.761748</v>
      </c>
      <c r="W1620" s="39" t="n">
        <f aca="false">V1620/(1-Resumo!$C$5)</f>
        <v>114.501986363636</v>
      </c>
      <c r="X1620" s="39" t="n">
        <v>114.95</v>
      </c>
      <c r="Y1620" s="39" t="n">
        <f aca="false">J1620*Resumo!$B$6</f>
        <v>0.55994</v>
      </c>
      <c r="Z1620" s="39" t="n">
        <f aca="false">J1620*Resumo!$B$7</f>
        <v>1.11988</v>
      </c>
      <c r="AA1620" s="39" t="n">
        <f aca="false">Resumo!$B$9</f>
        <v>1</v>
      </c>
      <c r="AB1620" s="39" t="n">
        <f aca="false">Resumo!$B$10*CEILING(I1620/100,1)</f>
        <v>4.5</v>
      </c>
      <c r="AC1620" s="39" t="n">
        <f aca="false">Resumo!$B$12*CEILING(I1620,1)</f>
        <v>2.46</v>
      </c>
      <c r="AD1620" s="39" t="n">
        <f aca="false">Resumo!$B$14*CEILING(I1620,1)</f>
        <v>18.45</v>
      </c>
      <c r="AE1620" s="39" t="n">
        <f aca="false">SUM(X1620:AD1620)</f>
        <v>143.03982</v>
      </c>
      <c r="AF1620" s="39" t="n">
        <f aca="false">AE1620/(1-Resumo!$B$5)</f>
        <v>162.54525</v>
      </c>
      <c r="AG1620" s="39" t="n">
        <f aca="false">AF1620-W1620</f>
        <v>48.0432636363636</v>
      </c>
      <c r="AH1620" s="40" t="n">
        <f aca="false">AF1620/W1620-1</f>
        <v>0.419584543134365</v>
      </c>
      <c r="AI1620" s="37" t="str">
        <f aca="false">IF(AF1620&lt;W1620,"SIM","NÃO")</f>
        <v>NÃO</v>
      </c>
      <c r="AJ1620" s="37" t="n">
        <v>2</v>
      </c>
      <c r="AK1620" s="37" t="n">
        <v>7</v>
      </c>
      <c r="AL1620" s="37" t="s">
        <v>343</v>
      </c>
      <c r="AM1620" s="39" t="n">
        <v>116.76</v>
      </c>
    </row>
    <row r="1621" customFormat="false" ht="15" hidden="false" customHeight="false" outlineLevel="0" collapsed="false">
      <c r="A1621" s="37" t="n">
        <v>389782716</v>
      </c>
      <c r="B1621" s="38" t="n">
        <v>46271.9387962963</v>
      </c>
      <c r="C1621" s="37" t="s">
        <v>340</v>
      </c>
      <c r="D1621" s="37" t="s">
        <v>1830</v>
      </c>
      <c r="E1621" s="37" t="n">
        <v>24744720</v>
      </c>
      <c r="F1621" s="37" t="s">
        <v>160</v>
      </c>
      <c r="G1621" s="37" t="s">
        <v>197</v>
      </c>
      <c r="H1621" s="37" t="s">
        <v>188</v>
      </c>
      <c r="I1621" s="37" t="n">
        <v>66.8</v>
      </c>
      <c r="J1621" s="39" t="n">
        <v>666.29</v>
      </c>
      <c r="K1621" s="37" t="s">
        <v>342</v>
      </c>
      <c r="L1621" s="39" t="n">
        <v>139.62</v>
      </c>
      <c r="M1621" s="39" t="n">
        <v>76.55</v>
      </c>
      <c r="N1621" s="39" t="n">
        <f aca="false">J1621*Resumo!$C$6</f>
        <v>0</v>
      </c>
      <c r="O1621" s="39" t="n">
        <f aca="false">J1621*Resumo!$C$7</f>
        <v>1.399209</v>
      </c>
      <c r="P1621" s="39" t="n">
        <f aca="false">J1621*Resumo!$C$8</f>
        <v>1.399209</v>
      </c>
      <c r="Q1621" s="39" t="n">
        <f aca="false">Resumo!$C$10*CEILING(I1621/100,1)</f>
        <v>1.05</v>
      </c>
      <c r="R1621" s="39" t="n">
        <f aca="false">Resumo!$C$9</f>
        <v>0</v>
      </c>
      <c r="S1621" s="39" t="n">
        <f aca="false">Resumo!$C$13</f>
        <v>13.55</v>
      </c>
      <c r="T1621" s="39" t="n">
        <f aca="false">Resumo!$C$14*CEILING(I1621,1)</f>
        <v>30.15</v>
      </c>
      <c r="U1621" s="39" t="n">
        <f aca="false">SUM(M1621:T1621)*Resumo!$C$11</f>
        <v>0</v>
      </c>
      <c r="V1621" s="39" t="n">
        <f aca="false">SUM(M1621:U1621)</f>
        <v>124.098418</v>
      </c>
      <c r="W1621" s="39" t="n">
        <f aca="false">V1621/(1-Resumo!$C$5)</f>
        <v>141.020929545455</v>
      </c>
      <c r="X1621" s="39" t="n">
        <v>149.5</v>
      </c>
      <c r="Y1621" s="39" t="n">
        <f aca="false">J1621*Resumo!$B$6</f>
        <v>0.66629</v>
      </c>
      <c r="Z1621" s="39" t="n">
        <f aca="false">J1621*Resumo!$B$7</f>
        <v>1.33258</v>
      </c>
      <c r="AA1621" s="39" t="n">
        <f aca="false">Resumo!$B$9</f>
        <v>1</v>
      </c>
      <c r="AB1621" s="39" t="n">
        <f aca="false">Resumo!$B$10*CEILING(I1621/100,1)</f>
        <v>4.5</v>
      </c>
      <c r="AC1621" s="39" t="n">
        <f aca="false">Resumo!$B$12*CEILING(I1621,1)</f>
        <v>4.02</v>
      </c>
      <c r="AD1621" s="39" t="n">
        <f aca="false">Resumo!$B$14*CEILING(I1621,1)</f>
        <v>30.15</v>
      </c>
      <c r="AE1621" s="39" t="n">
        <f aca="false">SUM(X1621:AD1621)</f>
        <v>191.16887</v>
      </c>
      <c r="AF1621" s="39" t="n">
        <f aca="false">AE1621/(1-Resumo!$B$5)</f>
        <v>217.237352272727</v>
      </c>
      <c r="AG1621" s="39" t="n">
        <f aca="false">AF1621-W1621</f>
        <v>76.2164227272727</v>
      </c>
      <c r="AH1621" s="40" t="n">
        <f aca="false">AF1621/W1621-1</f>
        <v>0.540461780906828</v>
      </c>
      <c r="AI1621" s="37" t="str">
        <f aca="false">IF(AF1621&lt;W1621,"SIM","NÃO")</f>
        <v>NÃO</v>
      </c>
      <c r="AJ1621" s="37" t="n">
        <v>2</v>
      </c>
      <c r="AK1621" s="37" t="n">
        <v>7</v>
      </c>
      <c r="AL1621" s="37" t="s">
        <v>343</v>
      </c>
      <c r="AM1621" s="39" t="n">
        <v>139.63</v>
      </c>
    </row>
    <row r="1622" customFormat="false" ht="15" hidden="false" customHeight="false" outlineLevel="0" collapsed="false">
      <c r="A1622" s="37" t="n">
        <v>389816000</v>
      </c>
      <c r="B1622" s="38" t="n">
        <v>46272.004537037</v>
      </c>
      <c r="C1622" s="37" t="s">
        <v>340</v>
      </c>
      <c r="D1622" s="37" t="s">
        <v>1831</v>
      </c>
      <c r="E1622" s="37" t="n">
        <v>26195140</v>
      </c>
      <c r="F1622" s="37" t="s">
        <v>165</v>
      </c>
      <c r="G1622" s="37" t="s">
        <v>197</v>
      </c>
      <c r="H1622" s="37" t="s">
        <v>185</v>
      </c>
      <c r="I1622" s="37" t="n">
        <v>35.4</v>
      </c>
      <c r="J1622" s="39" t="n">
        <v>499.99</v>
      </c>
      <c r="K1622" s="37" t="s">
        <v>342</v>
      </c>
      <c r="L1622" s="39" t="n">
        <v>113.35</v>
      </c>
      <c r="M1622" s="39" t="n">
        <v>66.83</v>
      </c>
      <c r="N1622" s="39" t="n">
        <f aca="false">J1622*Resumo!$C$6</f>
        <v>0</v>
      </c>
      <c r="O1622" s="39" t="n">
        <f aca="false">J1622*Resumo!$C$7</f>
        <v>1.049979</v>
      </c>
      <c r="P1622" s="39" t="n">
        <f aca="false">J1622*Resumo!$C$8</f>
        <v>1.049979</v>
      </c>
      <c r="Q1622" s="39" t="n">
        <f aca="false">Resumo!$C$10*CEILING(I1622/100,1)</f>
        <v>1.05</v>
      </c>
      <c r="R1622" s="39" t="n">
        <f aca="false">Resumo!$C$9</f>
        <v>0</v>
      </c>
      <c r="S1622" s="39" t="n">
        <f aca="false">Resumo!$C$13</f>
        <v>13.55</v>
      </c>
      <c r="T1622" s="39" t="n">
        <f aca="false">Resumo!$C$14*CEILING(I1622,1)</f>
        <v>16.2</v>
      </c>
      <c r="U1622" s="39" t="n">
        <f aca="false">SUM(M1622:T1622)*Resumo!$C$11</f>
        <v>0</v>
      </c>
      <c r="V1622" s="39" t="n">
        <f aca="false">SUM(M1622:U1622)</f>
        <v>99.729958</v>
      </c>
      <c r="W1622" s="39" t="n">
        <f aca="false">V1622/(1-Resumo!$C$5)</f>
        <v>113.329497727273</v>
      </c>
      <c r="X1622" s="39" t="n">
        <v>93.97</v>
      </c>
      <c r="Y1622" s="39" t="n">
        <f aca="false">J1622*Resumo!$B$6</f>
        <v>0.49999</v>
      </c>
      <c r="Z1622" s="39" t="n">
        <f aca="false">J1622*Resumo!$B$7</f>
        <v>0.99998</v>
      </c>
      <c r="AA1622" s="39" t="n">
        <f aca="false">Resumo!$B$9</f>
        <v>1</v>
      </c>
      <c r="AB1622" s="39" t="n">
        <f aca="false">Resumo!$B$10*CEILING(I1622/100,1)</f>
        <v>4.5</v>
      </c>
      <c r="AC1622" s="39" t="n">
        <f aca="false">Resumo!$B$12*CEILING(I1622,1)</f>
        <v>2.16</v>
      </c>
      <c r="AD1622" s="39" t="n">
        <f aca="false">Resumo!$B$14*CEILING(I1622,1)</f>
        <v>16.2</v>
      </c>
      <c r="AE1622" s="39" t="n">
        <f aca="false">SUM(X1622:AD1622)</f>
        <v>119.32997</v>
      </c>
      <c r="AF1622" s="39" t="n">
        <f aca="false">AE1622/(1-Resumo!$B$5)</f>
        <v>135.602238636364</v>
      </c>
      <c r="AG1622" s="39" t="n">
        <f aca="false">AF1622-W1622</f>
        <v>22.2727409090909</v>
      </c>
      <c r="AH1622" s="40" t="n">
        <f aca="false">AF1622/W1622-1</f>
        <v>0.19653083579961</v>
      </c>
      <c r="AI1622" s="37" t="str">
        <f aca="false">IF(AF1622&lt;W1622,"SIM","NÃO")</f>
        <v>NÃO</v>
      </c>
      <c r="AJ1622" s="37" t="n">
        <v>2</v>
      </c>
      <c r="AK1622" s="37" t="n">
        <v>5</v>
      </c>
      <c r="AL1622" s="37" t="s">
        <v>343</v>
      </c>
      <c r="AM1622" s="39" t="n">
        <v>113.35</v>
      </c>
    </row>
    <row r="1623" customFormat="false" ht="15" hidden="false" customHeight="false" outlineLevel="0" collapsed="false">
      <c r="A1623" s="37" t="n">
        <v>389935390</v>
      </c>
      <c r="B1623" s="38" t="n">
        <v>46272.3095949074</v>
      </c>
      <c r="C1623" s="37" t="s">
        <v>340</v>
      </c>
      <c r="D1623" s="37" t="s">
        <v>1832</v>
      </c>
      <c r="E1623" s="37" t="n">
        <v>24430210</v>
      </c>
      <c r="F1623" s="37" t="s">
        <v>160</v>
      </c>
      <c r="G1623" s="37" t="s">
        <v>197</v>
      </c>
      <c r="H1623" s="37" t="s">
        <v>188</v>
      </c>
      <c r="I1623" s="37" t="n">
        <v>68.7</v>
      </c>
      <c r="J1623" s="39" t="n">
        <v>749.99</v>
      </c>
      <c r="K1623" s="37" t="s">
        <v>342</v>
      </c>
      <c r="L1623" s="39" t="n">
        <v>140.02</v>
      </c>
      <c r="M1623" s="39" t="n">
        <v>76.55</v>
      </c>
      <c r="N1623" s="39" t="n">
        <f aca="false">J1623*Resumo!$C$6</f>
        <v>0</v>
      </c>
      <c r="O1623" s="39" t="n">
        <f aca="false">J1623*Resumo!$C$7</f>
        <v>1.574979</v>
      </c>
      <c r="P1623" s="39" t="n">
        <f aca="false">J1623*Resumo!$C$8</f>
        <v>1.574979</v>
      </c>
      <c r="Q1623" s="39" t="n">
        <f aca="false">Resumo!$C$10*CEILING(I1623/100,1)</f>
        <v>1.05</v>
      </c>
      <c r="R1623" s="39" t="n">
        <f aca="false">Resumo!$C$9</f>
        <v>0</v>
      </c>
      <c r="S1623" s="39" t="n">
        <f aca="false">Resumo!$C$13</f>
        <v>13.55</v>
      </c>
      <c r="T1623" s="39" t="n">
        <f aca="false">Resumo!$C$14*CEILING(I1623,1)</f>
        <v>31.05</v>
      </c>
      <c r="U1623" s="39" t="n">
        <f aca="false">SUM(M1623:T1623)*Resumo!$C$11</f>
        <v>0</v>
      </c>
      <c r="V1623" s="39" t="n">
        <f aca="false">SUM(M1623:U1623)</f>
        <v>125.349958</v>
      </c>
      <c r="W1623" s="39" t="n">
        <f aca="false">V1623/(1-Resumo!$C$5)</f>
        <v>142.443134090909</v>
      </c>
      <c r="X1623" s="39" t="n">
        <v>149.5</v>
      </c>
      <c r="Y1623" s="39" t="n">
        <f aca="false">J1623*Resumo!$B$6</f>
        <v>0.74999</v>
      </c>
      <c r="Z1623" s="39" t="n">
        <f aca="false">J1623*Resumo!$B$7</f>
        <v>1.49998</v>
      </c>
      <c r="AA1623" s="39" t="n">
        <f aca="false">Resumo!$B$9</f>
        <v>1</v>
      </c>
      <c r="AB1623" s="39" t="n">
        <f aca="false">Resumo!$B$10*CEILING(I1623/100,1)</f>
        <v>4.5</v>
      </c>
      <c r="AC1623" s="39" t="n">
        <f aca="false">Resumo!$B$12*CEILING(I1623,1)</f>
        <v>4.14</v>
      </c>
      <c r="AD1623" s="39" t="n">
        <f aca="false">Resumo!$B$14*CEILING(I1623,1)</f>
        <v>31.05</v>
      </c>
      <c r="AE1623" s="39" t="n">
        <f aca="false">SUM(X1623:AD1623)</f>
        <v>192.43997</v>
      </c>
      <c r="AF1623" s="39" t="n">
        <f aca="false">AE1623/(1-Resumo!$B$5)</f>
        <v>218.681784090909</v>
      </c>
      <c r="AG1623" s="39" t="n">
        <f aca="false">AF1623-W1623</f>
        <v>76.23865</v>
      </c>
      <c r="AH1623" s="40" t="n">
        <f aca="false">AF1623/W1623-1</f>
        <v>0.535221655199917</v>
      </c>
      <c r="AI1623" s="37" t="str">
        <f aca="false">IF(AF1623&lt;W1623,"SIM","NÃO")</f>
        <v>NÃO</v>
      </c>
      <c r="AJ1623" s="37" t="n">
        <v>2</v>
      </c>
      <c r="AK1623" s="37" t="n">
        <v>7</v>
      </c>
      <c r="AL1623" s="37" t="s">
        <v>343</v>
      </c>
      <c r="AM1623" s="39" t="n">
        <v>140.03</v>
      </c>
    </row>
    <row r="1624" customFormat="false" ht="15" hidden="false" customHeight="false" outlineLevel="0" collapsed="false">
      <c r="A1624" s="37" t="n">
        <v>389971771</v>
      </c>
      <c r="B1624" s="38" t="n">
        <v>46272.3848032407</v>
      </c>
      <c r="C1624" s="37" t="s">
        <v>340</v>
      </c>
      <c r="D1624" s="37" t="s">
        <v>1521</v>
      </c>
      <c r="E1624" s="37" t="n">
        <v>26553360</v>
      </c>
      <c r="F1624" s="37" t="s">
        <v>175</v>
      </c>
      <c r="G1624" s="37" t="s">
        <v>197</v>
      </c>
      <c r="H1624" s="37" t="s">
        <v>185</v>
      </c>
      <c r="I1624" s="37" t="n">
        <v>40</v>
      </c>
      <c r="J1624" s="39" t="n">
        <v>599.99</v>
      </c>
      <c r="K1624" s="37" t="s">
        <v>342</v>
      </c>
      <c r="L1624" s="39" t="n">
        <v>113.83</v>
      </c>
      <c r="M1624" s="39" t="n">
        <v>66.83</v>
      </c>
      <c r="N1624" s="39" t="n">
        <f aca="false">J1624*Resumo!$C$6</f>
        <v>0</v>
      </c>
      <c r="O1624" s="39" t="n">
        <f aca="false">J1624*Resumo!$C$7</f>
        <v>1.259979</v>
      </c>
      <c r="P1624" s="39" t="n">
        <f aca="false">J1624*Resumo!$C$8</f>
        <v>1.259979</v>
      </c>
      <c r="Q1624" s="39" t="n">
        <f aca="false">Resumo!$C$10*CEILING(I1624/100,1)</f>
        <v>1.05</v>
      </c>
      <c r="R1624" s="39" t="n">
        <f aca="false">Resumo!$C$9</f>
        <v>0</v>
      </c>
      <c r="S1624" s="39" t="n">
        <f aca="false">Resumo!$C$13</f>
        <v>13.55</v>
      </c>
      <c r="T1624" s="39" t="n">
        <f aca="false">Resumo!$C$14*CEILING(I1624,1)</f>
        <v>18</v>
      </c>
      <c r="U1624" s="39" t="n">
        <f aca="false">SUM(M1624:T1624)*Resumo!$C$11</f>
        <v>0</v>
      </c>
      <c r="V1624" s="39" t="n">
        <f aca="false">SUM(M1624:U1624)</f>
        <v>101.949958</v>
      </c>
      <c r="W1624" s="39" t="n">
        <f aca="false">V1624/(1-Resumo!$C$5)</f>
        <v>115.852225</v>
      </c>
      <c r="X1624" s="39" t="n">
        <v>93.97</v>
      </c>
      <c r="Y1624" s="39" t="n">
        <f aca="false">J1624*Resumo!$B$6</f>
        <v>0.59999</v>
      </c>
      <c r="Z1624" s="39" t="n">
        <f aca="false">J1624*Resumo!$B$7</f>
        <v>1.19998</v>
      </c>
      <c r="AA1624" s="39" t="n">
        <f aca="false">Resumo!$B$9</f>
        <v>1</v>
      </c>
      <c r="AB1624" s="39" t="n">
        <f aca="false">Resumo!$B$10*CEILING(I1624/100,1)</f>
        <v>4.5</v>
      </c>
      <c r="AC1624" s="39" t="n">
        <f aca="false">Resumo!$B$12*CEILING(I1624,1)</f>
        <v>2.4</v>
      </c>
      <c r="AD1624" s="39" t="n">
        <f aca="false">Resumo!$B$14*CEILING(I1624,1)</f>
        <v>18</v>
      </c>
      <c r="AE1624" s="39" t="n">
        <f aca="false">SUM(X1624:AD1624)</f>
        <v>121.66997</v>
      </c>
      <c r="AF1624" s="39" t="n">
        <f aca="false">AE1624/(1-Resumo!$B$5)</f>
        <v>138.261329545455</v>
      </c>
      <c r="AG1624" s="39" t="n">
        <f aca="false">AF1624-W1624</f>
        <v>22.4091045454546</v>
      </c>
      <c r="AH1624" s="40" t="n">
        <f aca="false">AF1624/W1624-1</f>
        <v>0.193428348445225</v>
      </c>
      <c r="AI1624" s="37" t="str">
        <f aca="false">IF(AF1624&lt;W1624,"SIM","NÃO")</f>
        <v>NÃO</v>
      </c>
      <c r="AJ1624" s="37" t="n">
        <v>2</v>
      </c>
      <c r="AK1624" s="37" t="n">
        <v>5</v>
      </c>
      <c r="AL1624" s="37" t="s">
        <v>343</v>
      </c>
      <c r="AM1624" s="39" t="n">
        <v>113.83</v>
      </c>
    </row>
    <row r="1625" customFormat="false" ht="15" hidden="false" customHeight="false" outlineLevel="0" collapsed="false">
      <c r="A1625" s="37" t="n">
        <v>389987423</v>
      </c>
      <c r="B1625" s="38" t="n">
        <v>46272.4100694444</v>
      </c>
      <c r="C1625" s="37" t="s">
        <v>340</v>
      </c>
      <c r="D1625" s="37" t="s">
        <v>1833</v>
      </c>
      <c r="E1625" s="37" t="n">
        <v>27925396</v>
      </c>
      <c r="F1625" s="37" t="s">
        <v>166</v>
      </c>
      <c r="G1625" s="37" t="s">
        <v>198</v>
      </c>
      <c r="H1625" s="37" t="s">
        <v>184</v>
      </c>
      <c r="I1625" s="37" t="n">
        <v>24.8</v>
      </c>
      <c r="J1625" s="39" t="n">
        <v>299.99</v>
      </c>
      <c r="K1625" s="37" t="s">
        <v>342</v>
      </c>
      <c r="L1625" s="39" t="n">
        <v>108.61</v>
      </c>
      <c r="M1625" s="39" t="n">
        <v>65.63</v>
      </c>
      <c r="N1625" s="39" t="n">
        <f aca="false">J1625*Resumo!$C$6</f>
        <v>0</v>
      </c>
      <c r="O1625" s="39" t="n">
        <f aca="false">J1625*Resumo!$C$7</f>
        <v>0.629979</v>
      </c>
      <c r="P1625" s="39" t="n">
        <f aca="false">J1625*Resumo!$C$8</f>
        <v>0.629979</v>
      </c>
      <c r="Q1625" s="39" t="n">
        <f aca="false">Resumo!$C$10*CEILING(I1625/100,1)</f>
        <v>1.05</v>
      </c>
      <c r="R1625" s="39" t="n">
        <f aca="false">Resumo!$C$9</f>
        <v>0</v>
      </c>
      <c r="S1625" s="39" t="n">
        <f aca="false">Resumo!$C$13</f>
        <v>13.55</v>
      </c>
      <c r="T1625" s="39" t="n">
        <f aca="false">Resumo!$C$14*CEILING(I1625,1)</f>
        <v>11.25</v>
      </c>
      <c r="U1625" s="39" t="n">
        <f aca="false">SUM(M1625:T1625)*Resumo!$C$11</f>
        <v>0</v>
      </c>
      <c r="V1625" s="39" t="n">
        <f aca="false">SUM(M1625:U1625)</f>
        <v>92.739958</v>
      </c>
      <c r="W1625" s="39" t="n">
        <f aca="false">V1625/(1-Resumo!$C$5)</f>
        <v>105.386315909091</v>
      </c>
      <c r="X1625" s="39" t="n">
        <v>138.29</v>
      </c>
      <c r="Y1625" s="39" t="n">
        <f aca="false">J1625*Resumo!$B$6</f>
        <v>0.29999</v>
      </c>
      <c r="Z1625" s="39" t="n">
        <f aca="false">J1625*Resumo!$B$7</f>
        <v>0.59998</v>
      </c>
      <c r="AA1625" s="39" t="n">
        <f aca="false">Resumo!$B$9</f>
        <v>1</v>
      </c>
      <c r="AB1625" s="39" t="n">
        <f aca="false">Resumo!$B$10*CEILING(I1625/100,1)</f>
        <v>4.5</v>
      </c>
      <c r="AC1625" s="39" t="n">
        <f aca="false">Resumo!$B$12*CEILING(I1625,1)</f>
        <v>1.5</v>
      </c>
      <c r="AD1625" s="39" t="n">
        <f aca="false">Resumo!$B$14*CEILING(I1625,1)</f>
        <v>11.25</v>
      </c>
      <c r="AE1625" s="39" t="n">
        <f aca="false">SUM(X1625:AD1625)</f>
        <v>157.43997</v>
      </c>
      <c r="AF1625" s="39" t="n">
        <f aca="false">AE1625/(1-Resumo!$B$5)</f>
        <v>178.909056818182</v>
      </c>
      <c r="AG1625" s="39" t="n">
        <f aca="false">AF1625-W1625</f>
        <v>73.5227409090909</v>
      </c>
      <c r="AH1625" s="40" t="n">
        <f aca="false">AF1625/W1625-1</f>
        <v>0.697649787592097</v>
      </c>
      <c r="AI1625" s="37" t="str">
        <f aca="false">IF(AF1625&lt;W1625,"SIM","NÃO")</f>
        <v>NÃO</v>
      </c>
      <c r="AJ1625" s="37" t="n">
        <v>13</v>
      </c>
      <c r="AK1625" s="37" t="n">
        <v>11</v>
      </c>
      <c r="AL1625" s="37" t="s">
        <v>343</v>
      </c>
      <c r="AM1625" s="39" t="n">
        <v>108.62</v>
      </c>
    </row>
    <row r="1626" customFormat="false" ht="15" hidden="false" customHeight="false" outlineLevel="0" collapsed="false">
      <c r="A1626" s="37" t="n">
        <v>390001961</v>
      </c>
      <c r="B1626" s="38" t="n">
        <v>46272.432037037</v>
      </c>
      <c r="C1626" s="37" t="s">
        <v>340</v>
      </c>
      <c r="D1626" s="37" t="s">
        <v>1834</v>
      </c>
      <c r="E1626" s="37" t="n">
        <v>25221124</v>
      </c>
      <c r="F1626" s="37" t="s">
        <v>161</v>
      </c>
      <c r="G1626" s="37" t="s">
        <v>197</v>
      </c>
      <c r="H1626" s="37" t="s">
        <v>186</v>
      </c>
      <c r="I1626" s="37" t="n">
        <v>48.3</v>
      </c>
      <c r="J1626" s="39" t="n">
        <v>459.69</v>
      </c>
      <c r="K1626" s="37" t="s">
        <v>342</v>
      </c>
      <c r="L1626" s="39" t="n">
        <v>116.27</v>
      </c>
      <c r="M1626" s="39" t="n">
        <v>65.36</v>
      </c>
      <c r="N1626" s="39" t="n">
        <f aca="false">J1626*Resumo!$C$6</f>
        <v>0</v>
      </c>
      <c r="O1626" s="39" t="n">
        <f aca="false">J1626*Resumo!$C$7</f>
        <v>0.965349</v>
      </c>
      <c r="P1626" s="39" t="n">
        <f aca="false">J1626*Resumo!$C$8</f>
        <v>0.965349</v>
      </c>
      <c r="Q1626" s="39" t="n">
        <f aca="false">Resumo!$C$10*CEILING(I1626/100,1)</f>
        <v>1.05</v>
      </c>
      <c r="R1626" s="39" t="n">
        <f aca="false">Resumo!$C$9</f>
        <v>0</v>
      </c>
      <c r="S1626" s="39" t="n">
        <f aca="false">Resumo!$C$13</f>
        <v>13.55</v>
      </c>
      <c r="T1626" s="39" t="n">
        <f aca="false">Resumo!$C$14*CEILING(I1626,1)</f>
        <v>22.05</v>
      </c>
      <c r="U1626" s="39" t="n">
        <f aca="false">SUM(M1626:T1626)*Resumo!$C$11</f>
        <v>0</v>
      </c>
      <c r="V1626" s="39" t="n">
        <f aca="false">SUM(M1626:U1626)</f>
        <v>103.940698</v>
      </c>
      <c r="W1626" s="39" t="n">
        <f aca="false">V1626/(1-Resumo!$C$5)</f>
        <v>118.114429545455</v>
      </c>
      <c r="X1626" s="39" t="n">
        <v>93.97</v>
      </c>
      <c r="Y1626" s="39" t="n">
        <f aca="false">J1626*Resumo!$B$6</f>
        <v>0.45969</v>
      </c>
      <c r="Z1626" s="39" t="n">
        <f aca="false">J1626*Resumo!$B$7</f>
        <v>0.91938</v>
      </c>
      <c r="AA1626" s="39" t="n">
        <f aca="false">Resumo!$B$9</f>
        <v>1</v>
      </c>
      <c r="AB1626" s="39" t="n">
        <f aca="false">Resumo!$B$10*CEILING(I1626/100,1)</f>
        <v>4.5</v>
      </c>
      <c r="AC1626" s="39" t="n">
        <f aca="false">Resumo!$B$12*CEILING(I1626,1)</f>
        <v>2.94</v>
      </c>
      <c r="AD1626" s="39" t="n">
        <f aca="false">Resumo!$B$14*CEILING(I1626,1)</f>
        <v>22.05</v>
      </c>
      <c r="AE1626" s="39" t="n">
        <f aca="false">SUM(X1626:AD1626)</f>
        <v>125.83907</v>
      </c>
      <c r="AF1626" s="39" t="n">
        <f aca="false">AE1626/(1-Resumo!$B$5)</f>
        <v>142.998943181818</v>
      </c>
      <c r="AG1626" s="39" t="n">
        <f aca="false">AF1626-W1626</f>
        <v>24.8845136363636</v>
      </c>
      <c r="AH1626" s="40" t="n">
        <f aca="false">AF1626/W1626-1</f>
        <v>0.210681402197241</v>
      </c>
      <c r="AI1626" s="37" t="str">
        <f aca="false">IF(AF1626&lt;W1626,"SIM","NÃO")</f>
        <v>NÃO</v>
      </c>
      <c r="AJ1626" s="37" t="n">
        <v>2</v>
      </c>
      <c r="AK1626" s="37" t="n">
        <v>5</v>
      </c>
      <c r="AL1626" s="37" t="s">
        <v>343</v>
      </c>
      <c r="AM1626" s="39" t="n">
        <v>116.28</v>
      </c>
    </row>
    <row r="1627" customFormat="false" ht="15" hidden="false" customHeight="false" outlineLevel="0" collapsed="false">
      <c r="A1627" s="37" t="n">
        <v>390087497</v>
      </c>
      <c r="B1627" s="38" t="n">
        <v>46272.5534027778</v>
      </c>
      <c r="C1627" s="37" t="s">
        <v>340</v>
      </c>
      <c r="D1627" s="37" t="s">
        <v>1835</v>
      </c>
      <c r="E1627" s="37" t="n">
        <v>28692632</v>
      </c>
      <c r="F1627" s="37" t="s">
        <v>283</v>
      </c>
      <c r="G1627" s="37" t="s">
        <v>198</v>
      </c>
      <c r="H1627" s="37" t="s">
        <v>184</v>
      </c>
      <c r="I1627" s="37" t="n">
        <v>20.9</v>
      </c>
      <c r="J1627" s="39" t="n">
        <v>440.99</v>
      </c>
      <c r="K1627" s="37" t="s">
        <v>342</v>
      </c>
      <c r="L1627" s="39" t="n">
        <v>109.28</v>
      </c>
      <c r="M1627" s="39" t="n">
        <v>65.63</v>
      </c>
      <c r="N1627" s="39" t="n">
        <f aca="false">J1627*Resumo!$C$6</f>
        <v>0</v>
      </c>
      <c r="O1627" s="39" t="n">
        <f aca="false">J1627*Resumo!$C$7</f>
        <v>0.926079</v>
      </c>
      <c r="P1627" s="39" t="n">
        <f aca="false">J1627*Resumo!$C$8</f>
        <v>0.926079</v>
      </c>
      <c r="Q1627" s="39" t="n">
        <f aca="false">Resumo!$C$10*CEILING(I1627/100,1)</f>
        <v>1.05</v>
      </c>
      <c r="R1627" s="39" t="n">
        <f aca="false">Resumo!$C$9</f>
        <v>0</v>
      </c>
      <c r="S1627" s="39" t="n">
        <f aca="false">Resumo!$C$13</f>
        <v>13.55</v>
      </c>
      <c r="T1627" s="39" t="n">
        <f aca="false">Resumo!$C$14*CEILING(I1627,1)</f>
        <v>9.45</v>
      </c>
      <c r="U1627" s="39" t="n">
        <f aca="false">SUM(M1627:T1627)*Resumo!$C$11</f>
        <v>0</v>
      </c>
      <c r="V1627" s="39" t="n">
        <f aca="false">SUM(M1627:U1627)</f>
        <v>91.532158</v>
      </c>
      <c r="W1627" s="39" t="n">
        <f aca="false">V1627/(1-Resumo!$C$5)</f>
        <v>104.013815909091</v>
      </c>
      <c r="X1627" s="39" t="n">
        <v>120.78</v>
      </c>
      <c r="Y1627" s="39" t="n">
        <f aca="false">J1627*Resumo!$B$6</f>
        <v>0.44099</v>
      </c>
      <c r="Z1627" s="39" t="n">
        <f aca="false">J1627*Resumo!$B$7</f>
        <v>0.88198</v>
      </c>
      <c r="AA1627" s="39" t="n">
        <f aca="false">Resumo!$B$9</f>
        <v>1</v>
      </c>
      <c r="AB1627" s="39" t="n">
        <f aca="false">Resumo!$B$10*CEILING(I1627/100,1)</f>
        <v>4.5</v>
      </c>
      <c r="AC1627" s="39" t="n">
        <f aca="false">Resumo!$B$12*CEILING(I1627,1)</f>
        <v>1.26</v>
      </c>
      <c r="AD1627" s="39" t="n">
        <f aca="false">Resumo!$B$14*CEILING(I1627,1)</f>
        <v>9.45</v>
      </c>
      <c r="AE1627" s="39" t="n">
        <f aca="false">SUM(X1627:AD1627)</f>
        <v>138.31297</v>
      </c>
      <c r="AF1627" s="39" t="n">
        <f aca="false">AE1627/(1-Resumo!$B$5)</f>
        <v>157.173829545455</v>
      </c>
      <c r="AG1627" s="39" t="n">
        <f aca="false">AF1627-W1627</f>
        <v>53.1600136363636</v>
      </c>
      <c r="AH1627" s="40" t="n">
        <f aca="false">AF1627/W1627-1</f>
        <v>0.511086081899216</v>
      </c>
      <c r="AI1627" s="37" t="str">
        <f aca="false">IF(AF1627&lt;W1627,"SIM","NÃO")</f>
        <v>NÃO</v>
      </c>
      <c r="AJ1627" s="37" t="n">
        <v>13</v>
      </c>
      <c r="AK1627" s="37" t="n">
        <v>10</v>
      </c>
      <c r="AL1627" s="37" t="s">
        <v>347</v>
      </c>
      <c r="AM1627" s="39" t="n">
        <v>109.29</v>
      </c>
    </row>
    <row r="1628" customFormat="false" ht="15" hidden="false" customHeight="false" outlineLevel="0" collapsed="false">
      <c r="A1628" s="37" t="n">
        <v>390130609</v>
      </c>
      <c r="B1628" s="38" t="n">
        <v>46272.6176851852</v>
      </c>
      <c r="C1628" s="37" t="s">
        <v>340</v>
      </c>
      <c r="D1628" s="37" t="s">
        <v>405</v>
      </c>
      <c r="E1628" s="37" t="n">
        <v>20251440</v>
      </c>
      <c r="F1628" s="37" t="s">
        <v>159</v>
      </c>
      <c r="G1628" s="37" t="s">
        <v>196</v>
      </c>
      <c r="H1628" s="37" t="s">
        <v>186</v>
      </c>
      <c r="I1628" s="37" t="n">
        <v>41.6</v>
      </c>
      <c r="J1628" s="39" t="n">
        <v>679.98</v>
      </c>
      <c r="K1628" s="37" t="s">
        <v>342</v>
      </c>
      <c r="L1628" s="39" t="n">
        <v>103.84</v>
      </c>
      <c r="M1628" s="39" t="n">
        <v>53.55</v>
      </c>
      <c r="N1628" s="39" t="n">
        <f aca="false">J1628*Resumo!$C$6</f>
        <v>0</v>
      </c>
      <c r="O1628" s="39" t="n">
        <f aca="false">J1628*Resumo!$C$7</f>
        <v>1.427958</v>
      </c>
      <c r="P1628" s="39" t="n">
        <f aca="false">J1628*Resumo!$C$8</f>
        <v>1.427958</v>
      </c>
      <c r="Q1628" s="39" t="n">
        <f aca="false">Resumo!$C$10*CEILING(I1628/100,1)</f>
        <v>1.05</v>
      </c>
      <c r="R1628" s="39" t="n">
        <f aca="false">Resumo!$C$9</f>
        <v>0</v>
      </c>
      <c r="S1628" s="39" t="n">
        <f aca="false">Resumo!$C$13</f>
        <v>13.55</v>
      </c>
      <c r="T1628" s="39" t="n">
        <f aca="false">Resumo!$C$14*CEILING(I1628,1)</f>
        <v>18.9</v>
      </c>
      <c r="U1628" s="39" t="n">
        <f aca="false">SUM(M1628:T1628)*Resumo!$C$11</f>
        <v>0</v>
      </c>
      <c r="V1628" s="39" t="n">
        <f aca="false">SUM(M1628:U1628)</f>
        <v>89.905916</v>
      </c>
      <c r="W1628" s="39" t="n">
        <f aca="false">V1628/(1-Resumo!$C$5)</f>
        <v>102.165813636364</v>
      </c>
      <c r="X1628" s="39" t="n">
        <v>93.97</v>
      </c>
      <c r="Y1628" s="39" t="n">
        <f aca="false">J1628*Resumo!$B$6</f>
        <v>0.67998</v>
      </c>
      <c r="Z1628" s="39" t="n">
        <f aca="false">J1628*Resumo!$B$7</f>
        <v>1.35996</v>
      </c>
      <c r="AA1628" s="39" t="n">
        <f aca="false">Resumo!$B$9</f>
        <v>1</v>
      </c>
      <c r="AB1628" s="39" t="n">
        <f aca="false">Resumo!$B$10*CEILING(I1628/100,1)</f>
        <v>4.5</v>
      </c>
      <c r="AC1628" s="39" t="n">
        <f aca="false">Resumo!$B$12*CEILING(I1628,1)</f>
        <v>2.52</v>
      </c>
      <c r="AD1628" s="39" t="n">
        <f aca="false">Resumo!$B$14*CEILING(I1628,1)</f>
        <v>18.9</v>
      </c>
      <c r="AE1628" s="39" t="n">
        <f aca="false">SUM(X1628:AD1628)</f>
        <v>122.92994</v>
      </c>
      <c r="AF1628" s="39" t="n">
        <f aca="false">AE1628/(1-Resumo!$B$5)</f>
        <v>139.693113636364</v>
      </c>
      <c r="AG1628" s="39" t="n">
        <f aca="false">AF1628-W1628</f>
        <v>37.5273</v>
      </c>
      <c r="AH1628" s="40" t="n">
        <f aca="false">AF1628/W1628-1</f>
        <v>0.367317585641417</v>
      </c>
      <c r="AI1628" s="37" t="str">
        <f aca="false">IF(AF1628&lt;W1628,"SIM","NÃO")</f>
        <v>NÃO</v>
      </c>
      <c r="AJ1628" s="37" t="n">
        <v>2</v>
      </c>
      <c r="AK1628" s="37" t="n">
        <v>5</v>
      </c>
      <c r="AL1628" s="37" t="s">
        <v>343</v>
      </c>
      <c r="AM1628" s="39" t="n">
        <v>103.85</v>
      </c>
    </row>
    <row r="1629" customFormat="false" ht="15" hidden="false" customHeight="false" outlineLevel="0" collapsed="false">
      <c r="A1629" s="37" t="n">
        <v>390166163</v>
      </c>
      <c r="B1629" s="38" t="n">
        <v>46272.6717013889</v>
      </c>
      <c r="C1629" s="37" t="s">
        <v>340</v>
      </c>
      <c r="D1629" s="37" t="s">
        <v>1836</v>
      </c>
      <c r="E1629" s="37" t="n">
        <v>21042431</v>
      </c>
      <c r="F1629" s="37" t="s">
        <v>159</v>
      </c>
      <c r="G1629" s="37" t="s">
        <v>196</v>
      </c>
      <c r="H1629" s="37" t="s">
        <v>185</v>
      </c>
      <c r="I1629" s="37" t="n">
        <v>37.6</v>
      </c>
      <c r="J1629" s="39" t="n">
        <v>378.18</v>
      </c>
      <c r="K1629" s="37" t="s">
        <v>342</v>
      </c>
      <c r="L1629" s="39" t="n">
        <v>91.68</v>
      </c>
      <c r="M1629" s="39" t="n">
        <v>48.35</v>
      </c>
      <c r="N1629" s="39" t="n">
        <f aca="false">J1629*Resumo!$C$6</f>
        <v>0</v>
      </c>
      <c r="O1629" s="39" t="n">
        <f aca="false">J1629*Resumo!$C$7</f>
        <v>0.794178</v>
      </c>
      <c r="P1629" s="39" t="n">
        <f aca="false">J1629*Resumo!$C$8</f>
        <v>0.794178</v>
      </c>
      <c r="Q1629" s="39" t="n">
        <f aca="false">Resumo!$C$10*CEILING(I1629/100,1)</f>
        <v>1.05</v>
      </c>
      <c r="R1629" s="39" t="n">
        <f aca="false">Resumo!$C$9</f>
        <v>0</v>
      </c>
      <c r="S1629" s="39" t="n">
        <f aca="false">Resumo!$C$13</f>
        <v>13.55</v>
      </c>
      <c r="T1629" s="39" t="n">
        <f aca="false">Resumo!$C$14*CEILING(I1629,1)</f>
        <v>17.1</v>
      </c>
      <c r="U1629" s="39" t="n">
        <f aca="false">SUM(M1629:T1629)*Resumo!$C$11</f>
        <v>0</v>
      </c>
      <c r="V1629" s="39" t="n">
        <f aca="false">SUM(M1629:U1629)</f>
        <v>81.638356</v>
      </c>
      <c r="W1629" s="39" t="n">
        <f aca="false">V1629/(1-Resumo!$C$5)</f>
        <v>92.7708590909091</v>
      </c>
      <c r="X1629" s="39" t="n">
        <v>93.97</v>
      </c>
      <c r="Y1629" s="39" t="n">
        <f aca="false">J1629*Resumo!$B$6</f>
        <v>0.37818</v>
      </c>
      <c r="Z1629" s="39" t="n">
        <f aca="false">J1629*Resumo!$B$7</f>
        <v>0.75636</v>
      </c>
      <c r="AA1629" s="39" t="n">
        <f aca="false">Resumo!$B$9</f>
        <v>1</v>
      </c>
      <c r="AB1629" s="39" t="n">
        <f aca="false">Resumo!$B$10*CEILING(I1629/100,1)</f>
        <v>4.5</v>
      </c>
      <c r="AC1629" s="39" t="n">
        <f aca="false">Resumo!$B$12*CEILING(I1629,1)</f>
        <v>2.28</v>
      </c>
      <c r="AD1629" s="39" t="n">
        <f aca="false">Resumo!$B$14*CEILING(I1629,1)</f>
        <v>17.1</v>
      </c>
      <c r="AE1629" s="39" t="n">
        <f aca="false">SUM(X1629:AD1629)</f>
        <v>119.98454</v>
      </c>
      <c r="AF1629" s="39" t="n">
        <f aca="false">AE1629/(1-Resumo!$B$5)</f>
        <v>136.346068181818</v>
      </c>
      <c r="AG1629" s="39" t="n">
        <f aca="false">AF1629-W1629</f>
        <v>43.5752090909091</v>
      </c>
      <c r="AH1629" s="40" t="n">
        <f aca="false">AF1629/W1629-1</f>
        <v>0.469707939733622</v>
      </c>
      <c r="AI1629" s="37" t="str">
        <f aca="false">IF(AF1629&lt;W1629,"SIM","NÃO")</f>
        <v>NÃO</v>
      </c>
      <c r="AJ1629" s="37" t="n">
        <v>2</v>
      </c>
      <c r="AK1629" s="37" t="n">
        <v>5</v>
      </c>
      <c r="AL1629" s="37" t="s">
        <v>343</v>
      </c>
      <c r="AM1629" s="39" t="n">
        <v>91.67</v>
      </c>
    </row>
    <row r="1630" customFormat="false" ht="15" hidden="false" customHeight="false" outlineLevel="0" collapsed="false">
      <c r="A1630" s="37" t="n">
        <v>390186429</v>
      </c>
      <c r="B1630" s="38" t="n">
        <v>46272.7024768519</v>
      </c>
      <c r="C1630" s="37" t="s">
        <v>340</v>
      </c>
      <c r="D1630" s="37" t="s">
        <v>1837</v>
      </c>
      <c r="E1630" s="37" t="n">
        <v>23565450</v>
      </c>
      <c r="F1630" s="37" t="s">
        <v>159</v>
      </c>
      <c r="G1630" s="37" t="s">
        <v>196</v>
      </c>
      <c r="H1630" s="37" t="s">
        <v>185</v>
      </c>
      <c r="I1630" s="37" t="n">
        <v>36.8</v>
      </c>
      <c r="J1630" s="39" t="n">
        <v>464.95</v>
      </c>
      <c r="K1630" s="37" t="s">
        <v>342</v>
      </c>
      <c r="L1630" s="39" t="n">
        <v>92.08</v>
      </c>
      <c r="M1630" s="39" t="n">
        <v>48.35</v>
      </c>
      <c r="N1630" s="39" t="n">
        <f aca="false">J1630*Resumo!$C$6</f>
        <v>0</v>
      </c>
      <c r="O1630" s="39" t="n">
        <f aca="false">J1630*Resumo!$C$7</f>
        <v>0.976395</v>
      </c>
      <c r="P1630" s="39" t="n">
        <f aca="false">J1630*Resumo!$C$8</f>
        <v>0.976395</v>
      </c>
      <c r="Q1630" s="39" t="n">
        <f aca="false">Resumo!$C$10*CEILING(I1630/100,1)</f>
        <v>1.05</v>
      </c>
      <c r="R1630" s="39" t="n">
        <f aca="false">Resumo!$C$9</f>
        <v>0</v>
      </c>
      <c r="S1630" s="39" t="n">
        <f aca="false">Resumo!$C$13</f>
        <v>13.55</v>
      </c>
      <c r="T1630" s="39" t="n">
        <f aca="false">Resumo!$C$14*CEILING(I1630,1)</f>
        <v>16.65</v>
      </c>
      <c r="U1630" s="39" t="n">
        <f aca="false">SUM(M1630:T1630)*Resumo!$C$11</f>
        <v>0</v>
      </c>
      <c r="V1630" s="39" t="n">
        <f aca="false">SUM(M1630:U1630)</f>
        <v>81.55279</v>
      </c>
      <c r="W1630" s="39" t="n">
        <f aca="false">V1630/(1-Resumo!$C$5)</f>
        <v>92.673625</v>
      </c>
      <c r="X1630" s="39" t="n">
        <v>93.97</v>
      </c>
      <c r="Y1630" s="39" t="n">
        <f aca="false">J1630*Resumo!$B$6</f>
        <v>0.46495</v>
      </c>
      <c r="Z1630" s="39" t="n">
        <f aca="false">J1630*Resumo!$B$7</f>
        <v>0.9299</v>
      </c>
      <c r="AA1630" s="39" t="n">
        <f aca="false">Resumo!$B$9</f>
        <v>1</v>
      </c>
      <c r="AB1630" s="39" t="n">
        <f aca="false">Resumo!$B$10*CEILING(I1630/100,1)</f>
        <v>4.5</v>
      </c>
      <c r="AC1630" s="39" t="n">
        <f aca="false">Resumo!$B$12*CEILING(I1630,1)</f>
        <v>2.22</v>
      </c>
      <c r="AD1630" s="39" t="n">
        <f aca="false">Resumo!$B$14*CEILING(I1630,1)</f>
        <v>16.65</v>
      </c>
      <c r="AE1630" s="39" t="n">
        <f aca="false">SUM(X1630:AD1630)</f>
        <v>119.73485</v>
      </c>
      <c r="AF1630" s="39" t="n">
        <f aca="false">AE1630/(1-Resumo!$B$5)</f>
        <v>136.062329545455</v>
      </c>
      <c r="AG1630" s="39" t="n">
        <f aca="false">AF1630-W1630</f>
        <v>43.3887045454546</v>
      </c>
      <c r="AH1630" s="40" t="n">
        <f aca="false">AF1630/W1630-1</f>
        <v>0.468188274122811</v>
      </c>
      <c r="AI1630" s="37" t="str">
        <f aca="false">IF(AF1630&lt;W1630,"SIM","NÃO")</f>
        <v>NÃO</v>
      </c>
      <c r="AJ1630" s="37" t="n">
        <v>2</v>
      </c>
      <c r="AK1630" s="37" t="n">
        <v>5</v>
      </c>
      <c r="AL1630" s="37" t="s">
        <v>343</v>
      </c>
      <c r="AM1630" s="39" t="n">
        <v>92.08</v>
      </c>
    </row>
    <row r="1631" customFormat="false" ht="15" hidden="false" customHeight="false" outlineLevel="0" collapsed="false">
      <c r="A1631" s="37" t="n">
        <v>390206014</v>
      </c>
      <c r="B1631" s="38" t="n">
        <v>46272.7301273148</v>
      </c>
      <c r="C1631" s="37" t="s">
        <v>345</v>
      </c>
      <c r="D1631" s="37" t="s">
        <v>1664</v>
      </c>
      <c r="E1631" s="37" t="n">
        <v>25651075</v>
      </c>
      <c r="F1631" s="37" t="s">
        <v>170</v>
      </c>
      <c r="G1631" s="37" t="s">
        <v>198</v>
      </c>
      <c r="H1631" s="37" t="s">
        <v>188</v>
      </c>
      <c r="I1631" s="37" t="n">
        <v>66.8</v>
      </c>
      <c r="J1631" s="39" t="n">
        <v>651</v>
      </c>
      <c r="K1631" s="37" t="s">
        <v>342</v>
      </c>
      <c r="L1631" s="39" t="n">
        <v>155.14</v>
      </c>
      <c r="M1631" s="39" t="n">
        <v>90.2</v>
      </c>
      <c r="N1631" s="39" t="n">
        <f aca="false">J1631*Resumo!$C$6</f>
        <v>0</v>
      </c>
      <c r="O1631" s="39" t="n">
        <f aca="false">J1631*Resumo!$C$7</f>
        <v>1.3671</v>
      </c>
      <c r="P1631" s="39" t="n">
        <f aca="false">J1631*Resumo!$C$8</f>
        <v>1.3671</v>
      </c>
      <c r="Q1631" s="39" t="n">
        <f aca="false">Resumo!$C$10*CEILING(I1631/100,1)</f>
        <v>1.05</v>
      </c>
      <c r="R1631" s="39" t="n">
        <f aca="false">Resumo!$C$9</f>
        <v>0</v>
      </c>
      <c r="S1631" s="39" t="n">
        <f aca="false">Resumo!$C$13</f>
        <v>13.55</v>
      </c>
      <c r="T1631" s="39" t="n">
        <f aca="false">Resumo!$C$14*CEILING(I1631,1)</f>
        <v>30.15</v>
      </c>
      <c r="U1631" s="39" t="n">
        <f aca="false">SUM(M1631:T1631)*Resumo!$C$11</f>
        <v>0</v>
      </c>
      <c r="V1631" s="39" t="n">
        <f aca="false">SUM(M1631:U1631)</f>
        <v>137.6842</v>
      </c>
      <c r="W1631" s="39" t="n">
        <f aca="false">V1631/(1-Resumo!$C$5)</f>
        <v>156.459318181818</v>
      </c>
      <c r="X1631" s="39" t="n">
        <v>166.05</v>
      </c>
      <c r="Y1631" s="39" t="n">
        <f aca="false">J1631*Resumo!$B$6</f>
        <v>0.651</v>
      </c>
      <c r="Z1631" s="39" t="n">
        <f aca="false">J1631*Resumo!$B$7</f>
        <v>1.302</v>
      </c>
      <c r="AA1631" s="39" t="n">
        <f aca="false">Resumo!$B$9</f>
        <v>1</v>
      </c>
      <c r="AB1631" s="39" t="n">
        <f aca="false">Resumo!$B$10*CEILING(I1631/100,1)</f>
        <v>4.5</v>
      </c>
      <c r="AC1631" s="39" t="n">
        <f aca="false">Resumo!$B$12*CEILING(I1631,1)</f>
        <v>4.02</v>
      </c>
      <c r="AD1631" s="39" t="n">
        <f aca="false">Resumo!$B$14*CEILING(I1631,1)</f>
        <v>30.15</v>
      </c>
      <c r="AE1631" s="39" t="n">
        <f aca="false">SUM(X1631:AD1631)</f>
        <v>207.673</v>
      </c>
      <c r="AF1631" s="39" t="n">
        <f aca="false">AE1631/(1-Resumo!$B$5)</f>
        <v>235.992045454546</v>
      </c>
      <c r="AG1631" s="39" t="n">
        <f aca="false">AF1631-W1631</f>
        <v>79.5327272727273</v>
      </c>
      <c r="AH1631" s="40" t="n">
        <f aca="false">AF1631/W1631-1</f>
        <v>0.508328479230006</v>
      </c>
      <c r="AI1631" s="37" t="str">
        <f aca="false">IF(AF1631&lt;W1631,"SIM","NÃO")</f>
        <v>NÃO</v>
      </c>
      <c r="AJ1631" s="37" t="n">
        <v>13</v>
      </c>
      <c r="AK1631" s="37" t="n">
        <v>8</v>
      </c>
      <c r="AL1631" s="37" t="s">
        <v>343</v>
      </c>
      <c r="AM1631" s="39" t="n">
        <v>155.14</v>
      </c>
    </row>
    <row r="1632" customFormat="false" ht="15" hidden="false" customHeight="false" outlineLevel="0" collapsed="false">
      <c r="A1632" s="37" t="n">
        <v>390252699</v>
      </c>
      <c r="B1632" s="38" t="n">
        <v>46272.7945023148</v>
      </c>
      <c r="C1632" s="37" t="s">
        <v>345</v>
      </c>
      <c r="D1632" s="37" t="s">
        <v>1838</v>
      </c>
      <c r="E1632" s="37" t="n">
        <v>22790495</v>
      </c>
      <c r="F1632" s="37" t="s">
        <v>159</v>
      </c>
      <c r="G1632" s="37" t="s">
        <v>196</v>
      </c>
      <c r="H1632" s="37" t="s">
        <v>188</v>
      </c>
      <c r="I1632" s="37" t="n">
        <v>66.8</v>
      </c>
      <c r="J1632" s="39" t="n">
        <v>699.99</v>
      </c>
      <c r="K1632" s="37" t="s">
        <v>342</v>
      </c>
      <c r="L1632" s="39" t="n">
        <v>124.56</v>
      </c>
      <c r="M1632" s="39" t="n">
        <v>63.21</v>
      </c>
      <c r="N1632" s="39" t="n">
        <f aca="false">J1632*Resumo!$C$6</f>
        <v>0</v>
      </c>
      <c r="O1632" s="39" t="n">
        <f aca="false">J1632*Resumo!$C$7</f>
        <v>1.469979</v>
      </c>
      <c r="P1632" s="39" t="n">
        <f aca="false">J1632*Resumo!$C$8</f>
        <v>1.469979</v>
      </c>
      <c r="Q1632" s="39" t="n">
        <f aca="false">Resumo!$C$10*CEILING(I1632/100,1)</f>
        <v>1.05</v>
      </c>
      <c r="R1632" s="39" t="n">
        <f aca="false">Resumo!$C$9</f>
        <v>0</v>
      </c>
      <c r="S1632" s="39" t="n">
        <f aca="false">Resumo!$C$13</f>
        <v>13.55</v>
      </c>
      <c r="T1632" s="39" t="n">
        <f aca="false">Resumo!$C$14*CEILING(I1632,1)</f>
        <v>30.15</v>
      </c>
      <c r="U1632" s="39" t="n">
        <f aca="false">SUM(M1632:T1632)*Resumo!$C$11</f>
        <v>0</v>
      </c>
      <c r="V1632" s="39" t="n">
        <f aca="false">SUM(M1632:U1632)</f>
        <v>110.899958</v>
      </c>
      <c r="W1632" s="39" t="n">
        <f aca="false">V1632/(1-Resumo!$C$5)</f>
        <v>126.022679545455</v>
      </c>
      <c r="X1632" s="39" t="n">
        <v>131.02</v>
      </c>
      <c r="Y1632" s="39" t="n">
        <f aca="false">J1632*Resumo!$B$6</f>
        <v>0.69999</v>
      </c>
      <c r="Z1632" s="39" t="n">
        <f aca="false">J1632*Resumo!$B$7</f>
        <v>1.39998</v>
      </c>
      <c r="AA1632" s="39" t="n">
        <f aca="false">Resumo!$B$9</f>
        <v>1</v>
      </c>
      <c r="AB1632" s="39" t="n">
        <f aca="false">Resumo!$B$10*CEILING(I1632/100,1)</f>
        <v>4.5</v>
      </c>
      <c r="AC1632" s="39" t="n">
        <f aca="false">Resumo!$B$12*CEILING(I1632,1)</f>
        <v>4.02</v>
      </c>
      <c r="AD1632" s="39" t="n">
        <f aca="false">Resumo!$B$14*CEILING(I1632,1)</f>
        <v>30.15</v>
      </c>
      <c r="AE1632" s="39" t="n">
        <f aca="false">SUM(X1632:AD1632)</f>
        <v>172.78997</v>
      </c>
      <c r="AF1632" s="39" t="n">
        <f aca="false">AE1632/(1-Resumo!$B$5)</f>
        <v>196.352238636364</v>
      </c>
      <c r="AG1632" s="39" t="n">
        <f aca="false">AF1632-W1632</f>
        <v>70.3295590909091</v>
      </c>
      <c r="AH1632" s="40" t="n">
        <f aca="false">AF1632/W1632-1</f>
        <v>0.558070653191771</v>
      </c>
      <c r="AI1632" s="37" t="str">
        <f aca="false">IF(AF1632&lt;W1632,"SIM","NÃO")</f>
        <v>NÃO</v>
      </c>
      <c r="AJ1632" s="37" t="n">
        <v>2</v>
      </c>
      <c r="AK1632" s="37" t="n">
        <v>5</v>
      </c>
      <c r="AL1632" s="37" t="s">
        <v>343</v>
      </c>
      <c r="AM1632" s="39" t="n">
        <v>124.56</v>
      </c>
    </row>
    <row r="1633" customFormat="false" ht="15" hidden="false" customHeight="false" outlineLevel="0" collapsed="false">
      <c r="A1633" s="37" t="n">
        <v>390284917</v>
      </c>
      <c r="B1633" s="38" t="n">
        <v>46272.8297453704</v>
      </c>
      <c r="C1633" s="37" t="s">
        <v>345</v>
      </c>
      <c r="D1633" s="37" t="s">
        <v>1839</v>
      </c>
      <c r="E1633" s="37" t="n">
        <v>21832310</v>
      </c>
      <c r="F1633" s="37" t="s">
        <v>159</v>
      </c>
      <c r="G1633" s="37" t="s">
        <v>196</v>
      </c>
      <c r="H1633" s="37" t="s">
        <v>184</v>
      </c>
      <c r="I1633" s="37" t="n">
        <v>20.9</v>
      </c>
      <c r="J1633" s="39" t="n">
        <v>470.09</v>
      </c>
      <c r="K1633" s="37" t="s">
        <v>342</v>
      </c>
      <c r="L1633" s="39" t="n">
        <v>82.58</v>
      </c>
      <c r="M1633" s="39" t="n">
        <v>42.11</v>
      </c>
      <c r="N1633" s="39" t="n">
        <f aca="false">J1633*Resumo!$C$6</f>
        <v>0</v>
      </c>
      <c r="O1633" s="39" t="n">
        <f aca="false">J1633*Resumo!$C$7</f>
        <v>0.987189</v>
      </c>
      <c r="P1633" s="39" t="n">
        <f aca="false">J1633*Resumo!$C$8</f>
        <v>0.987189</v>
      </c>
      <c r="Q1633" s="39" t="n">
        <f aca="false">Resumo!$C$10*CEILING(I1633/100,1)</f>
        <v>1.05</v>
      </c>
      <c r="R1633" s="39" t="n">
        <f aca="false">Resumo!$C$9</f>
        <v>0</v>
      </c>
      <c r="S1633" s="39" t="n">
        <f aca="false">Resumo!$C$13</f>
        <v>13.55</v>
      </c>
      <c r="T1633" s="39" t="n">
        <f aca="false">Resumo!$C$14*CEILING(I1633,1)</f>
        <v>9.45</v>
      </c>
      <c r="U1633" s="39" t="n">
        <f aca="false">SUM(M1633:T1633)*Resumo!$C$11</f>
        <v>0</v>
      </c>
      <c r="V1633" s="39" t="n">
        <f aca="false">SUM(M1633:U1633)</f>
        <v>68.134378</v>
      </c>
      <c r="W1633" s="39" t="n">
        <f aca="false">V1633/(1-Resumo!$C$5)</f>
        <v>77.4254295454546</v>
      </c>
      <c r="X1633" s="39" t="n">
        <v>82.21</v>
      </c>
      <c r="Y1633" s="39" t="n">
        <f aca="false">J1633*Resumo!$B$6</f>
        <v>0.47009</v>
      </c>
      <c r="Z1633" s="39" t="n">
        <f aca="false">J1633*Resumo!$B$7</f>
        <v>0.94018</v>
      </c>
      <c r="AA1633" s="39" t="n">
        <f aca="false">Resumo!$B$9</f>
        <v>1</v>
      </c>
      <c r="AB1633" s="39" t="n">
        <f aca="false">Resumo!$B$10*CEILING(I1633/100,1)</f>
        <v>4.5</v>
      </c>
      <c r="AC1633" s="39" t="n">
        <f aca="false">Resumo!$B$12*CEILING(I1633,1)</f>
        <v>1.26</v>
      </c>
      <c r="AD1633" s="39" t="n">
        <f aca="false">Resumo!$B$14*CEILING(I1633,1)</f>
        <v>9.45</v>
      </c>
      <c r="AE1633" s="39" t="n">
        <f aca="false">SUM(X1633:AD1633)</f>
        <v>99.83027</v>
      </c>
      <c r="AF1633" s="39" t="n">
        <f aca="false">AE1633/(1-Resumo!$B$5)</f>
        <v>113.443488636364</v>
      </c>
      <c r="AG1633" s="39" t="n">
        <f aca="false">AF1633-W1633</f>
        <v>36.0180590909091</v>
      </c>
      <c r="AH1633" s="40" t="n">
        <f aca="false">AF1633/W1633-1</f>
        <v>0.465196761611297</v>
      </c>
      <c r="AI1633" s="37" t="str">
        <f aca="false">IF(AF1633&lt;W1633,"SIM","NÃO")</f>
        <v>NÃO</v>
      </c>
      <c r="AJ1633" s="37" t="n">
        <v>2</v>
      </c>
      <c r="AK1633" s="37" t="n">
        <v>5</v>
      </c>
      <c r="AL1633" s="37" t="s">
        <v>343</v>
      </c>
      <c r="AM1633" s="39" t="n">
        <v>82.58</v>
      </c>
    </row>
    <row r="1634" customFormat="false" ht="15" hidden="false" customHeight="false" outlineLevel="0" collapsed="false">
      <c r="A1634" s="37" t="n">
        <v>390606214</v>
      </c>
      <c r="B1634" s="38" t="n">
        <v>46273.4055324074</v>
      </c>
      <c r="C1634" s="37" t="s">
        <v>372</v>
      </c>
      <c r="D1634" s="37" t="s">
        <v>1840</v>
      </c>
      <c r="E1634" s="37" t="n">
        <v>23955385</v>
      </c>
      <c r="F1634" s="37" t="s">
        <v>169</v>
      </c>
      <c r="G1634" s="37" t="s">
        <v>198</v>
      </c>
      <c r="H1634" s="37" t="s">
        <v>185</v>
      </c>
      <c r="I1634" s="37" t="n">
        <v>40</v>
      </c>
      <c r="J1634" s="39" t="n">
        <v>495.99</v>
      </c>
      <c r="K1634" s="37" t="s">
        <v>342</v>
      </c>
      <c r="L1634" s="39" t="n">
        <v>122.63</v>
      </c>
      <c r="M1634" s="39" t="n">
        <v>74.97</v>
      </c>
      <c r="N1634" s="39" t="n">
        <f aca="false">J1634*Resumo!$C$6</f>
        <v>0</v>
      </c>
      <c r="O1634" s="39" t="n">
        <f aca="false">J1634*Resumo!$C$7</f>
        <v>1.041579</v>
      </c>
      <c r="P1634" s="39" t="n">
        <f aca="false">J1634*Resumo!$C$8</f>
        <v>1.041579</v>
      </c>
      <c r="Q1634" s="39" t="n">
        <f aca="false">Resumo!$C$10*CEILING(I1634/100,1)</f>
        <v>1.05</v>
      </c>
      <c r="R1634" s="39" t="n">
        <f aca="false">Resumo!$C$9</f>
        <v>0</v>
      </c>
      <c r="S1634" s="39" t="n">
        <f aca="false">Resumo!$C$13</f>
        <v>13.55</v>
      </c>
      <c r="T1634" s="39" t="n">
        <f aca="false">Resumo!$C$14*CEILING(I1634,1)</f>
        <v>18</v>
      </c>
      <c r="U1634" s="39" t="n">
        <f aca="false">SUM(M1634:T1634)*Resumo!$C$11</f>
        <v>0</v>
      </c>
      <c r="V1634" s="39" t="n">
        <f aca="false">SUM(M1634:U1634)</f>
        <v>109.653158</v>
      </c>
      <c r="W1634" s="39" t="n">
        <f aca="false">V1634/(1-Resumo!$C$5)</f>
        <v>124.605861363636</v>
      </c>
      <c r="X1634" s="39" t="n">
        <v>124.38</v>
      </c>
      <c r="Y1634" s="39" t="n">
        <f aca="false">J1634*Resumo!$B$6</f>
        <v>0.49599</v>
      </c>
      <c r="Z1634" s="39" t="n">
        <f aca="false">J1634*Resumo!$B$7</f>
        <v>0.99198</v>
      </c>
      <c r="AA1634" s="39" t="n">
        <f aca="false">Resumo!$B$9</f>
        <v>1</v>
      </c>
      <c r="AB1634" s="39" t="n">
        <f aca="false">Resumo!$B$10*CEILING(I1634/100,1)</f>
        <v>4.5</v>
      </c>
      <c r="AC1634" s="39" t="n">
        <f aca="false">Resumo!$B$12*CEILING(I1634,1)</f>
        <v>2.4</v>
      </c>
      <c r="AD1634" s="39" t="n">
        <f aca="false">Resumo!$B$14*CEILING(I1634,1)</f>
        <v>18</v>
      </c>
      <c r="AE1634" s="39" t="n">
        <f aca="false">SUM(X1634:AD1634)</f>
        <v>151.76797</v>
      </c>
      <c r="AF1634" s="39" t="n">
        <f aca="false">AE1634/(1-Resumo!$B$5)</f>
        <v>172.463602272727</v>
      </c>
      <c r="AG1634" s="39" t="n">
        <f aca="false">AF1634-W1634</f>
        <v>47.8577409090909</v>
      </c>
      <c r="AH1634" s="40" t="n">
        <f aca="false">AF1634/W1634-1</f>
        <v>0.384072951186686</v>
      </c>
      <c r="AI1634" s="37" t="str">
        <f aca="false">IF(AF1634&lt;W1634,"SIM","NÃO")</f>
        <v>NÃO</v>
      </c>
      <c r="AJ1634" s="37" t="n">
        <v>13</v>
      </c>
      <c r="AK1634" s="37" t="n">
        <v>10</v>
      </c>
      <c r="AL1634" s="37" t="s">
        <v>343</v>
      </c>
      <c r="AM1634" s="39" t="n">
        <v>122.62</v>
      </c>
    </row>
    <row r="1635" customFormat="false" ht="15" hidden="false" customHeight="false" outlineLevel="0" collapsed="false">
      <c r="A1635" s="37" t="n">
        <v>390689385</v>
      </c>
      <c r="B1635" s="38" t="n">
        <v>46273.4819560185</v>
      </c>
      <c r="C1635" s="37" t="s">
        <v>340</v>
      </c>
      <c r="D1635" s="37" t="s">
        <v>1841</v>
      </c>
      <c r="E1635" s="37" t="n">
        <v>22710125</v>
      </c>
      <c r="F1635" s="37" t="s">
        <v>159</v>
      </c>
      <c r="G1635" s="37" t="s">
        <v>196</v>
      </c>
      <c r="H1635" s="37" t="s">
        <v>184</v>
      </c>
      <c r="I1635" s="37" t="n">
        <v>24.4</v>
      </c>
      <c r="J1635" s="39" t="n">
        <v>301.43</v>
      </c>
      <c r="K1635" s="37" t="s">
        <v>342</v>
      </c>
      <c r="L1635" s="39" t="n">
        <v>81.76</v>
      </c>
      <c r="M1635" s="39" t="n">
        <v>42.11</v>
      </c>
      <c r="N1635" s="39" t="n">
        <f aca="false">J1635*Resumo!$C$6</f>
        <v>0</v>
      </c>
      <c r="O1635" s="39" t="n">
        <f aca="false">J1635*Resumo!$C$7</f>
        <v>0.633003</v>
      </c>
      <c r="P1635" s="39" t="n">
        <f aca="false">J1635*Resumo!$C$8</f>
        <v>0.633003</v>
      </c>
      <c r="Q1635" s="39" t="n">
        <f aca="false">Resumo!$C$10*CEILING(I1635/100,1)</f>
        <v>1.05</v>
      </c>
      <c r="R1635" s="39" t="n">
        <f aca="false">Resumo!$C$9</f>
        <v>0</v>
      </c>
      <c r="S1635" s="39" t="n">
        <f aca="false">Resumo!$C$13</f>
        <v>13.55</v>
      </c>
      <c r="T1635" s="39" t="n">
        <f aca="false">Resumo!$C$14*CEILING(I1635,1)</f>
        <v>11.25</v>
      </c>
      <c r="U1635" s="39" t="n">
        <f aca="false">SUM(M1635:T1635)*Resumo!$C$11</f>
        <v>0</v>
      </c>
      <c r="V1635" s="39" t="n">
        <f aca="false">SUM(M1635:U1635)</f>
        <v>69.226006</v>
      </c>
      <c r="W1635" s="39" t="n">
        <f aca="false">V1635/(1-Resumo!$C$5)</f>
        <v>78.6659159090909</v>
      </c>
      <c r="X1635" s="39" t="n">
        <v>82.21</v>
      </c>
      <c r="Y1635" s="39" t="n">
        <f aca="false">J1635*Resumo!$B$6</f>
        <v>0.30143</v>
      </c>
      <c r="Z1635" s="39" t="n">
        <f aca="false">J1635*Resumo!$B$7</f>
        <v>0.60286</v>
      </c>
      <c r="AA1635" s="39" t="n">
        <f aca="false">Resumo!$B$9</f>
        <v>1</v>
      </c>
      <c r="AB1635" s="39" t="n">
        <f aca="false">Resumo!$B$10*CEILING(I1635/100,1)</f>
        <v>4.5</v>
      </c>
      <c r="AC1635" s="39" t="n">
        <f aca="false">Resumo!$B$12*CEILING(I1635,1)</f>
        <v>1.5</v>
      </c>
      <c r="AD1635" s="39" t="n">
        <f aca="false">Resumo!$B$14*CEILING(I1635,1)</f>
        <v>11.25</v>
      </c>
      <c r="AE1635" s="39" t="n">
        <f aca="false">SUM(X1635:AD1635)</f>
        <v>101.36429</v>
      </c>
      <c r="AF1635" s="39" t="n">
        <f aca="false">AE1635/(1-Resumo!$B$5)</f>
        <v>115.186693181818</v>
      </c>
      <c r="AG1635" s="39" t="n">
        <f aca="false">AF1635-W1635</f>
        <v>36.5207772727273</v>
      </c>
      <c r="AH1635" s="40" t="n">
        <f aca="false">AF1635/W1635-1</f>
        <v>0.464251599319481</v>
      </c>
      <c r="AI1635" s="37" t="str">
        <f aca="false">IF(AF1635&lt;W1635,"SIM","NÃO")</f>
        <v>NÃO</v>
      </c>
      <c r="AJ1635" s="37" t="n">
        <v>2</v>
      </c>
      <c r="AK1635" s="37" t="n">
        <v>5</v>
      </c>
      <c r="AL1635" s="37" t="s">
        <v>343</v>
      </c>
      <c r="AM1635" s="39" t="n">
        <v>81.77</v>
      </c>
    </row>
    <row r="1636" customFormat="false" ht="15" hidden="false" customHeight="false" outlineLevel="0" collapsed="false">
      <c r="A1636" s="37" t="n">
        <v>390702280</v>
      </c>
      <c r="B1636" s="38" t="n">
        <v>46273.5085532407</v>
      </c>
      <c r="C1636" s="37" t="s">
        <v>345</v>
      </c>
      <c r="D1636" s="37" t="s">
        <v>1244</v>
      </c>
      <c r="E1636" s="37" t="n">
        <v>20211020</v>
      </c>
      <c r="F1636" s="37" t="s">
        <v>159</v>
      </c>
      <c r="G1636" s="37" t="s">
        <v>196</v>
      </c>
      <c r="H1636" s="37" t="s">
        <v>188</v>
      </c>
      <c r="I1636" s="37" t="n">
        <v>68.1</v>
      </c>
      <c r="J1636" s="39" t="n">
        <v>898</v>
      </c>
      <c r="K1636" s="37" t="s">
        <v>342</v>
      </c>
      <c r="L1636" s="39" t="n">
        <v>125.52</v>
      </c>
      <c r="M1636" s="39" t="n">
        <v>63.21</v>
      </c>
      <c r="N1636" s="39" t="n">
        <f aca="false">J1636*Resumo!$C$6</f>
        <v>0</v>
      </c>
      <c r="O1636" s="39" t="n">
        <f aca="false">J1636*Resumo!$C$7</f>
        <v>1.8858</v>
      </c>
      <c r="P1636" s="39" t="n">
        <f aca="false">J1636*Resumo!$C$8</f>
        <v>1.8858</v>
      </c>
      <c r="Q1636" s="39" t="n">
        <f aca="false">Resumo!$C$10*CEILING(I1636/100,1)</f>
        <v>1.05</v>
      </c>
      <c r="R1636" s="39" t="n">
        <f aca="false">Resumo!$C$9</f>
        <v>0</v>
      </c>
      <c r="S1636" s="39" t="n">
        <f aca="false">Resumo!$C$13</f>
        <v>13.55</v>
      </c>
      <c r="T1636" s="39" t="n">
        <f aca="false">Resumo!$C$14*CEILING(I1636,1)</f>
        <v>31.05</v>
      </c>
      <c r="U1636" s="39" t="n">
        <f aca="false">SUM(M1636:T1636)*Resumo!$C$11</f>
        <v>0</v>
      </c>
      <c r="V1636" s="39" t="n">
        <f aca="false">SUM(M1636:U1636)</f>
        <v>112.6316</v>
      </c>
      <c r="W1636" s="39" t="n">
        <f aca="false">V1636/(1-Resumo!$C$5)</f>
        <v>127.990454545455</v>
      </c>
      <c r="X1636" s="39" t="n">
        <v>131.02</v>
      </c>
      <c r="Y1636" s="39" t="n">
        <f aca="false">J1636*Resumo!$B$6</f>
        <v>0.898</v>
      </c>
      <c r="Z1636" s="39" t="n">
        <f aca="false">J1636*Resumo!$B$7</f>
        <v>1.796</v>
      </c>
      <c r="AA1636" s="39" t="n">
        <f aca="false">Resumo!$B$9</f>
        <v>1</v>
      </c>
      <c r="AB1636" s="39" t="n">
        <f aca="false">Resumo!$B$10*CEILING(I1636/100,1)</f>
        <v>4.5</v>
      </c>
      <c r="AC1636" s="39" t="n">
        <f aca="false">Resumo!$B$12*CEILING(I1636,1)</f>
        <v>4.14</v>
      </c>
      <c r="AD1636" s="39" t="n">
        <f aca="false">Resumo!$B$14*CEILING(I1636,1)</f>
        <v>31.05</v>
      </c>
      <c r="AE1636" s="39" t="n">
        <f aca="false">SUM(X1636:AD1636)</f>
        <v>174.404</v>
      </c>
      <c r="AF1636" s="39" t="n">
        <f aca="false">AE1636/(1-Resumo!$B$5)</f>
        <v>198.186363636364</v>
      </c>
      <c r="AG1636" s="39" t="n">
        <f aca="false">AF1636-W1636</f>
        <v>70.1959090909091</v>
      </c>
      <c r="AH1636" s="40" t="n">
        <f aca="false">AF1636/W1636-1</f>
        <v>0.548446439542722</v>
      </c>
      <c r="AI1636" s="37" t="str">
        <f aca="false">IF(AF1636&lt;W1636,"SIM","NÃO")</f>
        <v>NÃO</v>
      </c>
      <c r="AJ1636" s="37" t="n">
        <v>2</v>
      </c>
      <c r="AK1636" s="37" t="n">
        <v>5</v>
      </c>
      <c r="AL1636" s="37" t="s">
        <v>343</v>
      </c>
      <c r="AM1636" s="39" t="n">
        <v>125.51</v>
      </c>
    </row>
    <row r="1637" customFormat="false" ht="15" hidden="false" customHeight="false" outlineLevel="0" collapsed="false">
      <c r="A1637" s="37" t="n">
        <v>390765534</v>
      </c>
      <c r="B1637" s="38" t="n">
        <v>46273.5942592593</v>
      </c>
      <c r="C1637" s="37" t="s">
        <v>345</v>
      </c>
      <c r="D1637" s="37" t="s">
        <v>1842</v>
      </c>
      <c r="E1637" s="37" t="n">
        <v>22251050</v>
      </c>
      <c r="F1637" s="37" t="s">
        <v>159</v>
      </c>
      <c r="G1637" s="37" t="s">
        <v>196</v>
      </c>
      <c r="H1637" s="37" t="s">
        <v>184</v>
      </c>
      <c r="I1637" s="37" t="n">
        <v>27.4</v>
      </c>
      <c r="J1637" s="39" t="n">
        <v>307.67</v>
      </c>
      <c r="K1637" s="37" t="s">
        <v>342</v>
      </c>
      <c r="L1637" s="39" t="n">
        <v>81.81</v>
      </c>
      <c r="M1637" s="39" t="n">
        <v>42.11</v>
      </c>
      <c r="N1637" s="39" t="n">
        <f aca="false">J1637*Resumo!$C$6</f>
        <v>0</v>
      </c>
      <c r="O1637" s="39" t="n">
        <f aca="false">J1637*Resumo!$C$7</f>
        <v>0.646107</v>
      </c>
      <c r="P1637" s="39" t="n">
        <f aca="false">J1637*Resumo!$C$8</f>
        <v>0.646107</v>
      </c>
      <c r="Q1637" s="39" t="n">
        <f aca="false">Resumo!$C$10*CEILING(I1637/100,1)</f>
        <v>1.05</v>
      </c>
      <c r="R1637" s="39" t="n">
        <f aca="false">Resumo!$C$9</f>
        <v>0</v>
      </c>
      <c r="S1637" s="39" t="n">
        <f aca="false">Resumo!$C$13</f>
        <v>13.55</v>
      </c>
      <c r="T1637" s="39" t="n">
        <f aca="false">Resumo!$C$14*CEILING(I1637,1)</f>
        <v>12.6</v>
      </c>
      <c r="U1637" s="39" t="n">
        <f aca="false">SUM(M1637:T1637)*Resumo!$C$11</f>
        <v>0</v>
      </c>
      <c r="V1637" s="39" t="n">
        <f aca="false">SUM(M1637:U1637)</f>
        <v>70.602214</v>
      </c>
      <c r="W1637" s="39" t="n">
        <f aca="false">V1637/(1-Resumo!$C$5)</f>
        <v>80.2297886363636</v>
      </c>
      <c r="X1637" s="39" t="n">
        <v>82.21</v>
      </c>
      <c r="Y1637" s="39" t="n">
        <f aca="false">J1637*Resumo!$B$6</f>
        <v>0.30767</v>
      </c>
      <c r="Z1637" s="39" t="n">
        <f aca="false">J1637*Resumo!$B$7</f>
        <v>0.61534</v>
      </c>
      <c r="AA1637" s="39" t="n">
        <f aca="false">Resumo!$B$9</f>
        <v>1</v>
      </c>
      <c r="AB1637" s="39" t="n">
        <f aca="false">Resumo!$B$10*CEILING(I1637/100,1)</f>
        <v>4.5</v>
      </c>
      <c r="AC1637" s="39" t="n">
        <f aca="false">Resumo!$B$12*CEILING(I1637,1)</f>
        <v>1.68</v>
      </c>
      <c r="AD1637" s="39" t="n">
        <f aca="false">Resumo!$B$14*CEILING(I1637,1)</f>
        <v>12.6</v>
      </c>
      <c r="AE1637" s="39" t="n">
        <f aca="false">SUM(X1637:AD1637)</f>
        <v>102.91301</v>
      </c>
      <c r="AF1637" s="39" t="n">
        <f aca="false">AE1637/(1-Resumo!$B$5)</f>
        <v>116.946602272727</v>
      </c>
      <c r="AG1637" s="39" t="n">
        <f aca="false">AF1637-W1637</f>
        <v>36.7168136363636</v>
      </c>
      <c r="AH1637" s="40" t="n">
        <f aca="false">AF1637/W1637-1</f>
        <v>0.457645648336184</v>
      </c>
      <c r="AI1637" s="37" t="str">
        <f aca="false">IF(AF1637&lt;W1637,"SIM","NÃO")</f>
        <v>NÃO</v>
      </c>
      <c r="AJ1637" s="37" t="n">
        <v>2</v>
      </c>
      <c r="AK1637" s="37" t="n">
        <v>5</v>
      </c>
      <c r="AL1637" s="37" t="s">
        <v>343</v>
      </c>
      <c r="AM1637" s="39" t="n">
        <v>81.8</v>
      </c>
    </row>
    <row r="1638" customFormat="false" ht="15" hidden="false" customHeight="false" outlineLevel="0" collapsed="false">
      <c r="A1638" s="37" t="n">
        <v>390836750</v>
      </c>
      <c r="B1638" s="38" t="n">
        <v>46273.6726967593</v>
      </c>
      <c r="C1638" s="37" t="s">
        <v>345</v>
      </c>
      <c r="D1638" s="37" t="s">
        <v>1843</v>
      </c>
      <c r="E1638" s="37" t="n">
        <v>23035090</v>
      </c>
      <c r="F1638" s="37" t="s">
        <v>159</v>
      </c>
      <c r="G1638" s="37" t="s">
        <v>196</v>
      </c>
      <c r="H1638" s="37" t="s">
        <v>184</v>
      </c>
      <c r="I1638" s="37" t="n">
        <v>31.9</v>
      </c>
      <c r="J1638" s="39" t="n">
        <v>560.99</v>
      </c>
      <c r="K1638" s="37" t="s">
        <v>342</v>
      </c>
      <c r="L1638" s="39" t="n">
        <v>83.01</v>
      </c>
      <c r="M1638" s="39" t="n">
        <v>42.11</v>
      </c>
      <c r="N1638" s="39" t="n">
        <f aca="false">J1638*Resumo!$C$6</f>
        <v>0</v>
      </c>
      <c r="O1638" s="39" t="n">
        <f aca="false">J1638*Resumo!$C$7</f>
        <v>1.178079</v>
      </c>
      <c r="P1638" s="39" t="n">
        <f aca="false">J1638*Resumo!$C$8</f>
        <v>1.178079</v>
      </c>
      <c r="Q1638" s="39" t="n">
        <f aca="false">Resumo!$C$10*CEILING(I1638/100,1)</f>
        <v>1.05</v>
      </c>
      <c r="R1638" s="39" t="n">
        <f aca="false">Resumo!$C$9</f>
        <v>0</v>
      </c>
      <c r="S1638" s="39" t="n">
        <f aca="false">Resumo!$C$13</f>
        <v>13.55</v>
      </c>
      <c r="T1638" s="39" t="n">
        <f aca="false">Resumo!$C$14*CEILING(I1638,1)</f>
        <v>14.4</v>
      </c>
      <c r="U1638" s="39" t="n">
        <f aca="false">SUM(M1638:T1638)*Resumo!$C$11</f>
        <v>0</v>
      </c>
      <c r="V1638" s="39" t="n">
        <f aca="false">SUM(M1638:U1638)</f>
        <v>73.466158</v>
      </c>
      <c r="W1638" s="39" t="n">
        <f aca="false">V1638/(1-Resumo!$C$5)</f>
        <v>83.4842704545455</v>
      </c>
      <c r="X1638" s="39" t="n">
        <v>82.21</v>
      </c>
      <c r="Y1638" s="39" t="n">
        <f aca="false">J1638*Resumo!$B$6</f>
        <v>0.56099</v>
      </c>
      <c r="Z1638" s="39" t="n">
        <f aca="false">J1638*Resumo!$B$7</f>
        <v>1.12198</v>
      </c>
      <c r="AA1638" s="39" t="n">
        <f aca="false">Resumo!$B$9</f>
        <v>1</v>
      </c>
      <c r="AB1638" s="39" t="n">
        <f aca="false">Resumo!$B$10*CEILING(I1638/100,1)</f>
        <v>4.5</v>
      </c>
      <c r="AC1638" s="39" t="n">
        <f aca="false">Resumo!$B$12*CEILING(I1638,1)</f>
        <v>1.92</v>
      </c>
      <c r="AD1638" s="39" t="n">
        <f aca="false">Resumo!$B$14*CEILING(I1638,1)</f>
        <v>14.4</v>
      </c>
      <c r="AE1638" s="39" t="n">
        <f aca="false">SUM(X1638:AD1638)</f>
        <v>105.71297</v>
      </c>
      <c r="AF1638" s="39" t="n">
        <f aca="false">AE1638/(1-Resumo!$B$5)</f>
        <v>120.128375</v>
      </c>
      <c r="AG1638" s="39" t="n">
        <f aca="false">AF1638-W1638</f>
        <v>36.6441045454545</v>
      </c>
      <c r="AH1638" s="40" t="n">
        <f aca="false">AF1638/W1638-1</f>
        <v>0.438934236904017</v>
      </c>
      <c r="AI1638" s="37" t="str">
        <f aca="false">IF(AF1638&lt;W1638,"SIM","NÃO")</f>
        <v>NÃO</v>
      </c>
      <c r="AJ1638" s="37" t="n">
        <v>2</v>
      </c>
      <c r="AK1638" s="37" t="n">
        <v>5</v>
      </c>
      <c r="AL1638" s="37" t="s">
        <v>343</v>
      </c>
      <c r="AM1638" s="39" t="n">
        <v>83.01</v>
      </c>
    </row>
    <row r="1639" customFormat="false" ht="15" hidden="false" customHeight="false" outlineLevel="0" collapsed="false">
      <c r="A1639" s="37" t="n">
        <v>390878415</v>
      </c>
      <c r="B1639" s="38" t="n">
        <v>46273.7184259259</v>
      </c>
      <c r="C1639" s="37" t="s">
        <v>340</v>
      </c>
      <c r="D1639" s="37" t="s">
        <v>1844</v>
      </c>
      <c r="E1639" s="37" t="n">
        <v>24140590</v>
      </c>
      <c r="F1639" s="37" t="s">
        <v>163</v>
      </c>
      <c r="G1639" s="37" t="s">
        <v>197</v>
      </c>
      <c r="H1639" s="37" t="s">
        <v>188</v>
      </c>
      <c r="I1639" s="37" t="n">
        <v>63.9</v>
      </c>
      <c r="J1639" s="39" t="n">
        <v>716.35</v>
      </c>
      <c r="K1639" s="37" t="s">
        <v>342</v>
      </c>
      <c r="L1639" s="39" t="n">
        <v>139.86</v>
      </c>
      <c r="M1639" s="39" t="n">
        <v>76.55</v>
      </c>
      <c r="N1639" s="39" t="n">
        <f aca="false">J1639*Resumo!$C$6</f>
        <v>0</v>
      </c>
      <c r="O1639" s="39" t="n">
        <f aca="false">J1639*Resumo!$C$7</f>
        <v>1.504335</v>
      </c>
      <c r="P1639" s="39" t="n">
        <f aca="false">J1639*Resumo!$C$8</f>
        <v>1.504335</v>
      </c>
      <c r="Q1639" s="39" t="n">
        <f aca="false">Resumo!$C$10*CEILING(I1639/100,1)</f>
        <v>1.05</v>
      </c>
      <c r="R1639" s="39" t="n">
        <f aca="false">Resumo!$C$9</f>
        <v>0</v>
      </c>
      <c r="S1639" s="39" t="n">
        <f aca="false">Resumo!$C$13</f>
        <v>13.55</v>
      </c>
      <c r="T1639" s="39" t="n">
        <f aca="false">Resumo!$C$14*CEILING(I1639,1)</f>
        <v>28.8</v>
      </c>
      <c r="U1639" s="39" t="n">
        <f aca="false">SUM(M1639:T1639)*Resumo!$C$11</f>
        <v>0</v>
      </c>
      <c r="V1639" s="39" t="n">
        <f aca="false">SUM(M1639:U1639)</f>
        <v>122.95867</v>
      </c>
      <c r="W1639" s="39" t="n">
        <f aca="false">V1639/(1-Resumo!$C$5)</f>
        <v>139.725761363636</v>
      </c>
      <c r="X1639" s="39" t="n">
        <v>149.5</v>
      </c>
      <c r="Y1639" s="39" t="n">
        <f aca="false">J1639*Resumo!$B$6</f>
        <v>0.71635</v>
      </c>
      <c r="Z1639" s="39" t="n">
        <f aca="false">J1639*Resumo!$B$7</f>
        <v>1.4327</v>
      </c>
      <c r="AA1639" s="39" t="n">
        <f aca="false">Resumo!$B$9</f>
        <v>1</v>
      </c>
      <c r="AB1639" s="39" t="n">
        <f aca="false">Resumo!$B$10*CEILING(I1639/100,1)</f>
        <v>4.5</v>
      </c>
      <c r="AC1639" s="39" t="n">
        <f aca="false">Resumo!$B$12*CEILING(I1639,1)</f>
        <v>3.84</v>
      </c>
      <c r="AD1639" s="39" t="n">
        <f aca="false">Resumo!$B$14*CEILING(I1639,1)</f>
        <v>28.8</v>
      </c>
      <c r="AE1639" s="39" t="n">
        <f aca="false">SUM(X1639:AD1639)</f>
        <v>189.78905</v>
      </c>
      <c r="AF1639" s="39" t="n">
        <f aca="false">AE1639/(1-Resumo!$B$5)</f>
        <v>215.669375</v>
      </c>
      <c r="AG1639" s="39" t="n">
        <f aca="false">AF1639-W1639</f>
        <v>75.9436136363636</v>
      </c>
      <c r="AH1639" s="40" t="n">
        <f aca="false">AF1639/W1639-1</f>
        <v>0.543519054004081</v>
      </c>
      <c r="AI1639" s="37" t="str">
        <f aca="false">IF(AF1639&lt;W1639,"SIM","NÃO")</f>
        <v>NÃO</v>
      </c>
      <c r="AJ1639" s="37" t="n">
        <v>2</v>
      </c>
      <c r="AK1639" s="37" t="n">
        <v>7</v>
      </c>
      <c r="AL1639" s="37" t="s">
        <v>343</v>
      </c>
      <c r="AM1639" s="39" t="n">
        <v>139.87</v>
      </c>
    </row>
    <row r="1640" customFormat="false" ht="15" hidden="false" customHeight="false" outlineLevel="0" collapsed="false">
      <c r="A1640" s="37" t="n">
        <v>390968030</v>
      </c>
      <c r="B1640" s="38" t="n">
        <v>46273.8181828704</v>
      </c>
      <c r="C1640" s="37" t="s">
        <v>340</v>
      </c>
      <c r="D1640" s="37" t="s">
        <v>1845</v>
      </c>
      <c r="E1640" s="37" t="n">
        <v>23075640</v>
      </c>
      <c r="F1640" s="37" t="s">
        <v>159</v>
      </c>
      <c r="G1640" s="37" t="s">
        <v>196</v>
      </c>
      <c r="H1640" s="37" t="s">
        <v>186</v>
      </c>
      <c r="I1640" s="37" t="n">
        <v>43.5</v>
      </c>
      <c r="J1640" s="39" t="n">
        <v>749.99</v>
      </c>
      <c r="K1640" s="37" t="s">
        <v>342</v>
      </c>
      <c r="L1640" s="39" t="n">
        <v>104.18</v>
      </c>
      <c r="M1640" s="39" t="n">
        <v>53.55</v>
      </c>
      <c r="N1640" s="39" t="n">
        <f aca="false">J1640*Resumo!$C$6</f>
        <v>0</v>
      </c>
      <c r="O1640" s="39" t="n">
        <f aca="false">J1640*Resumo!$C$7</f>
        <v>1.574979</v>
      </c>
      <c r="P1640" s="39" t="n">
        <f aca="false">J1640*Resumo!$C$8</f>
        <v>1.574979</v>
      </c>
      <c r="Q1640" s="39" t="n">
        <f aca="false">Resumo!$C$10*CEILING(I1640/100,1)</f>
        <v>1.05</v>
      </c>
      <c r="R1640" s="39" t="n">
        <f aca="false">Resumo!$C$9</f>
        <v>0</v>
      </c>
      <c r="S1640" s="39" t="n">
        <f aca="false">Resumo!$C$13</f>
        <v>13.55</v>
      </c>
      <c r="T1640" s="39" t="n">
        <f aca="false">Resumo!$C$14*CEILING(I1640,1)</f>
        <v>19.8</v>
      </c>
      <c r="U1640" s="39" t="n">
        <f aca="false">SUM(M1640:T1640)*Resumo!$C$11</f>
        <v>0</v>
      </c>
      <c r="V1640" s="39" t="n">
        <f aca="false">SUM(M1640:U1640)</f>
        <v>91.099958</v>
      </c>
      <c r="W1640" s="39" t="n">
        <f aca="false">V1640/(1-Resumo!$C$5)</f>
        <v>103.522679545455</v>
      </c>
      <c r="X1640" s="39" t="n">
        <v>93.97</v>
      </c>
      <c r="Y1640" s="39" t="n">
        <f aca="false">J1640*Resumo!$B$6</f>
        <v>0.74999</v>
      </c>
      <c r="Z1640" s="39" t="n">
        <f aca="false">J1640*Resumo!$B$7</f>
        <v>1.49998</v>
      </c>
      <c r="AA1640" s="39" t="n">
        <f aca="false">Resumo!$B$9</f>
        <v>1</v>
      </c>
      <c r="AB1640" s="39" t="n">
        <f aca="false">Resumo!$B$10*CEILING(I1640/100,1)</f>
        <v>4.5</v>
      </c>
      <c r="AC1640" s="39" t="n">
        <f aca="false">Resumo!$B$12*CEILING(I1640,1)</f>
        <v>2.64</v>
      </c>
      <c r="AD1640" s="39" t="n">
        <f aca="false">Resumo!$B$14*CEILING(I1640,1)</f>
        <v>19.8</v>
      </c>
      <c r="AE1640" s="39" t="n">
        <f aca="false">SUM(X1640:AD1640)</f>
        <v>124.15997</v>
      </c>
      <c r="AF1640" s="39" t="n">
        <f aca="false">AE1640/(1-Resumo!$B$5)</f>
        <v>141.090875</v>
      </c>
      <c r="AG1640" s="39" t="n">
        <f aca="false">AF1640-W1640</f>
        <v>37.5681954545455</v>
      </c>
      <c r="AH1640" s="40" t="n">
        <f aca="false">AF1640/W1640-1</f>
        <v>0.362898213410812</v>
      </c>
      <c r="AI1640" s="37" t="str">
        <f aca="false">IF(AF1640&lt;W1640,"SIM","NÃO")</f>
        <v>NÃO</v>
      </c>
      <c r="AJ1640" s="37" t="n">
        <v>2</v>
      </c>
      <c r="AK1640" s="37" t="n">
        <v>5</v>
      </c>
      <c r="AL1640" s="37" t="s">
        <v>343</v>
      </c>
      <c r="AM1640" s="39" t="n">
        <v>104.18</v>
      </c>
    </row>
    <row r="1641" customFormat="false" ht="15" hidden="false" customHeight="false" outlineLevel="0" collapsed="false">
      <c r="A1641" s="37" t="n">
        <v>390978986</v>
      </c>
      <c r="B1641" s="38" t="n">
        <v>46273.836875</v>
      </c>
      <c r="C1641" s="37" t="s">
        <v>372</v>
      </c>
      <c r="D1641" s="37" t="s">
        <v>1846</v>
      </c>
      <c r="E1641" s="37" t="n">
        <v>28960289</v>
      </c>
      <c r="F1641" s="37" t="s">
        <v>294</v>
      </c>
      <c r="G1641" s="37" t="s">
        <v>198</v>
      </c>
      <c r="H1641" s="37" t="s">
        <v>184</v>
      </c>
      <c r="I1641" s="37" t="n">
        <v>22.4</v>
      </c>
      <c r="J1641" s="39" t="n">
        <v>592.48</v>
      </c>
      <c r="K1641" s="37" t="s">
        <v>342</v>
      </c>
      <c r="L1641" s="39" t="n">
        <v>110.01</v>
      </c>
      <c r="M1641" s="39" t="n">
        <v>65.63</v>
      </c>
      <c r="N1641" s="39" t="n">
        <f aca="false">J1641*Resumo!$C$6</f>
        <v>0</v>
      </c>
      <c r="O1641" s="39" t="n">
        <f aca="false">J1641*Resumo!$C$7</f>
        <v>1.244208</v>
      </c>
      <c r="P1641" s="39" t="n">
        <f aca="false">J1641*Resumo!$C$8</f>
        <v>1.244208</v>
      </c>
      <c r="Q1641" s="39" t="n">
        <f aca="false">Resumo!$C$10*CEILING(I1641/100,1)</f>
        <v>1.05</v>
      </c>
      <c r="R1641" s="39" t="n">
        <f aca="false">Resumo!$C$9</f>
        <v>0</v>
      </c>
      <c r="S1641" s="39" t="n">
        <f aca="false">Resumo!$C$13</f>
        <v>13.55</v>
      </c>
      <c r="T1641" s="39" t="n">
        <f aca="false">Resumo!$C$14*CEILING(I1641,1)</f>
        <v>10.35</v>
      </c>
      <c r="U1641" s="39" t="n">
        <f aca="false">SUM(M1641:T1641)*Resumo!$C$11</f>
        <v>0</v>
      </c>
      <c r="V1641" s="39" t="n">
        <f aca="false">SUM(M1641:U1641)</f>
        <v>93.068416</v>
      </c>
      <c r="W1641" s="39" t="n">
        <f aca="false">V1641/(1-Resumo!$C$5)</f>
        <v>105.759563636364</v>
      </c>
      <c r="X1641" s="39" t="n">
        <v>114.95</v>
      </c>
      <c r="Y1641" s="39" t="n">
        <f aca="false">J1641*Resumo!$B$6</f>
        <v>0.59248</v>
      </c>
      <c r="Z1641" s="39" t="n">
        <f aca="false">J1641*Resumo!$B$7</f>
        <v>1.18496</v>
      </c>
      <c r="AA1641" s="39" t="n">
        <f aca="false">Resumo!$B$9</f>
        <v>1</v>
      </c>
      <c r="AB1641" s="39" t="n">
        <f aca="false">Resumo!$B$10*CEILING(I1641/100,1)</f>
        <v>4.5</v>
      </c>
      <c r="AC1641" s="39" t="n">
        <f aca="false">Resumo!$B$12*CEILING(I1641,1)</f>
        <v>1.38</v>
      </c>
      <c r="AD1641" s="39" t="n">
        <f aca="false">Resumo!$B$14*CEILING(I1641,1)</f>
        <v>10.35</v>
      </c>
      <c r="AE1641" s="39" t="n">
        <f aca="false">SUM(X1641:AD1641)</f>
        <v>133.95744</v>
      </c>
      <c r="AF1641" s="39" t="n">
        <f aca="false">AE1641/(1-Resumo!$B$5)</f>
        <v>152.224363636364</v>
      </c>
      <c r="AG1641" s="39" t="n">
        <f aca="false">AF1641-W1641</f>
        <v>46.4648</v>
      </c>
      <c r="AH1641" s="40" t="n">
        <f aca="false">AF1641/W1641-1</f>
        <v>0.439343718926086</v>
      </c>
      <c r="AI1641" s="37" t="str">
        <f aca="false">IF(AF1641&lt;W1641,"SIM","NÃO")</f>
        <v>NÃO</v>
      </c>
      <c r="AJ1641" s="37" t="n">
        <v>13</v>
      </c>
      <c r="AK1641" s="37" t="n">
        <v>10</v>
      </c>
      <c r="AL1641" s="37" t="s">
        <v>347</v>
      </c>
      <c r="AM1641" s="39" t="n">
        <v>110.02</v>
      </c>
    </row>
    <row r="1642" customFormat="false" ht="15" hidden="false" customHeight="false" outlineLevel="0" collapsed="false">
      <c r="A1642" s="37" t="n">
        <v>391014865</v>
      </c>
      <c r="B1642" s="38" t="n">
        <v>46273.8774884259</v>
      </c>
      <c r="C1642" s="37" t="s">
        <v>340</v>
      </c>
      <c r="D1642" s="37" t="s">
        <v>1847</v>
      </c>
      <c r="E1642" s="37" t="n">
        <v>28620310</v>
      </c>
      <c r="F1642" s="37" t="s">
        <v>177</v>
      </c>
      <c r="G1642" s="37" t="s">
        <v>198</v>
      </c>
      <c r="H1642" s="37" t="s">
        <v>186</v>
      </c>
      <c r="I1642" s="37" t="n">
        <v>45.3</v>
      </c>
      <c r="J1642" s="39" t="n">
        <v>630.04</v>
      </c>
      <c r="K1642" s="37" t="s">
        <v>342</v>
      </c>
      <c r="L1642" s="39" t="n">
        <v>131.18</v>
      </c>
      <c r="M1642" s="39" t="n">
        <v>77.7</v>
      </c>
      <c r="N1642" s="39" t="n">
        <f aca="false">J1642*Resumo!$C$6</f>
        <v>0</v>
      </c>
      <c r="O1642" s="39" t="n">
        <f aca="false">J1642*Resumo!$C$7</f>
        <v>1.323084</v>
      </c>
      <c r="P1642" s="39" t="n">
        <f aca="false">J1642*Resumo!$C$8</f>
        <v>1.323084</v>
      </c>
      <c r="Q1642" s="39" t="n">
        <f aca="false">Resumo!$C$10*CEILING(I1642/100,1)</f>
        <v>1.05</v>
      </c>
      <c r="R1642" s="39" t="n">
        <f aca="false">Resumo!$C$9</f>
        <v>0</v>
      </c>
      <c r="S1642" s="39" t="n">
        <f aca="false">Resumo!$C$13</f>
        <v>13.55</v>
      </c>
      <c r="T1642" s="39" t="n">
        <f aca="false">Resumo!$C$14*CEILING(I1642,1)</f>
        <v>20.7</v>
      </c>
      <c r="U1642" s="39" t="n">
        <f aca="false">SUM(M1642:T1642)*Resumo!$C$11</f>
        <v>0</v>
      </c>
      <c r="V1642" s="39" t="n">
        <f aca="false">SUM(M1642:U1642)</f>
        <v>115.646168</v>
      </c>
      <c r="W1642" s="39" t="n">
        <f aca="false">V1642/(1-Resumo!$C$5)</f>
        <v>131.4161</v>
      </c>
      <c r="X1642" s="39" t="n">
        <v>135.03</v>
      </c>
      <c r="Y1642" s="39" t="n">
        <f aca="false">J1642*Resumo!$B$6</f>
        <v>0.63004</v>
      </c>
      <c r="Z1642" s="39" t="n">
        <f aca="false">J1642*Resumo!$B$7</f>
        <v>1.26008</v>
      </c>
      <c r="AA1642" s="39" t="n">
        <f aca="false">Resumo!$B$9</f>
        <v>1</v>
      </c>
      <c r="AB1642" s="39" t="n">
        <f aca="false">Resumo!$B$10*CEILING(I1642/100,1)</f>
        <v>4.5</v>
      </c>
      <c r="AC1642" s="39" t="n">
        <f aca="false">Resumo!$B$12*CEILING(I1642,1)</f>
        <v>2.76</v>
      </c>
      <c r="AD1642" s="39" t="n">
        <f aca="false">Resumo!$B$14*CEILING(I1642,1)</f>
        <v>20.7</v>
      </c>
      <c r="AE1642" s="39" t="n">
        <f aca="false">SUM(X1642:AD1642)</f>
        <v>165.88012</v>
      </c>
      <c r="AF1642" s="39" t="n">
        <f aca="false">AE1642/(1-Resumo!$B$5)</f>
        <v>188.500136363636</v>
      </c>
      <c r="AG1642" s="39" t="n">
        <f aca="false">AF1642-W1642</f>
        <v>57.0840363636363</v>
      </c>
      <c r="AH1642" s="40" t="n">
        <f aca="false">AF1642/W1642-1</f>
        <v>0.434376277820117</v>
      </c>
      <c r="AI1642" s="37" t="str">
        <f aca="false">IF(AF1642&lt;W1642,"SIM","NÃO")</f>
        <v>NÃO</v>
      </c>
      <c r="AJ1642" s="37" t="n">
        <v>13</v>
      </c>
      <c r="AK1642" s="37" t="n">
        <v>10</v>
      </c>
      <c r="AL1642" s="37" t="s">
        <v>343</v>
      </c>
      <c r="AM1642" s="39" t="n">
        <v>131.18</v>
      </c>
    </row>
    <row r="1643" customFormat="false" ht="15" hidden="false" customHeight="false" outlineLevel="0" collapsed="false">
      <c r="A1643" s="37" t="n">
        <v>391042779</v>
      </c>
      <c r="B1643" s="38" t="n">
        <v>46273.9085648148</v>
      </c>
      <c r="C1643" s="37" t="s">
        <v>340</v>
      </c>
      <c r="D1643" s="37" t="s">
        <v>683</v>
      </c>
      <c r="E1643" s="37" t="n">
        <v>28300000</v>
      </c>
      <c r="F1643" s="37" t="s">
        <v>262</v>
      </c>
      <c r="G1643" s="37" t="s">
        <v>198</v>
      </c>
      <c r="H1643" s="37" t="s">
        <v>184</v>
      </c>
      <c r="I1643" s="37" t="n">
        <v>27.4</v>
      </c>
      <c r="J1643" s="39" t="n">
        <v>349.99</v>
      </c>
      <c r="K1643" s="37" t="s">
        <v>342</v>
      </c>
      <c r="L1643" s="39" t="n">
        <v>108.85</v>
      </c>
      <c r="M1643" s="39" t="n">
        <v>65.63</v>
      </c>
      <c r="N1643" s="39" t="n">
        <f aca="false">J1643*Resumo!$C$6</f>
        <v>0</v>
      </c>
      <c r="O1643" s="39" t="n">
        <f aca="false">J1643*Resumo!$C$7</f>
        <v>0.734979</v>
      </c>
      <c r="P1643" s="39" t="n">
        <f aca="false">J1643*Resumo!$C$8</f>
        <v>0.734979</v>
      </c>
      <c r="Q1643" s="39" t="n">
        <f aca="false">Resumo!$C$10*CEILING(I1643/100,1)</f>
        <v>1.05</v>
      </c>
      <c r="R1643" s="39" t="n">
        <f aca="false">Resumo!$C$9</f>
        <v>0</v>
      </c>
      <c r="S1643" s="39" t="n">
        <f aca="false">Resumo!$C$13</f>
        <v>13.55</v>
      </c>
      <c r="T1643" s="39" t="n">
        <f aca="false">Resumo!$C$14*CEILING(I1643,1)</f>
        <v>12.6</v>
      </c>
      <c r="U1643" s="39" t="n">
        <f aca="false">SUM(M1643:T1643)*Resumo!$C$11</f>
        <v>0</v>
      </c>
      <c r="V1643" s="39" t="n">
        <f aca="false">SUM(M1643:U1643)</f>
        <v>94.299958</v>
      </c>
      <c r="W1643" s="39" t="n">
        <f aca="false">V1643/(1-Resumo!$C$5)</f>
        <v>107.159043181818</v>
      </c>
      <c r="X1643" s="39" t="n">
        <v>138.29</v>
      </c>
      <c r="Y1643" s="39" t="n">
        <f aca="false">J1643*Resumo!$B$6</f>
        <v>0.34999</v>
      </c>
      <c r="Z1643" s="39" t="n">
        <f aca="false">J1643*Resumo!$B$7</f>
        <v>0.69998</v>
      </c>
      <c r="AA1643" s="39" t="n">
        <f aca="false">Resumo!$B$9</f>
        <v>1</v>
      </c>
      <c r="AB1643" s="39" t="n">
        <f aca="false">Resumo!$B$10*CEILING(I1643/100,1)</f>
        <v>4.5</v>
      </c>
      <c r="AC1643" s="39" t="n">
        <f aca="false">Resumo!$B$12*CEILING(I1643,1)</f>
        <v>1.68</v>
      </c>
      <c r="AD1643" s="39" t="n">
        <f aca="false">Resumo!$B$14*CEILING(I1643,1)</f>
        <v>12.6</v>
      </c>
      <c r="AE1643" s="39" t="n">
        <f aca="false">SUM(X1643:AD1643)</f>
        <v>159.11997</v>
      </c>
      <c r="AF1643" s="39" t="n">
        <f aca="false">AE1643/(1-Resumo!$B$5)</f>
        <v>180.818147727273</v>
      </c>
      <c r="AG1643" s="39" t="n">
        <f aca="false">AF1643-W1643</f>
        <v>73.6591045454546</v>
      </c>
      <c r="AH1643" s="40" t="n">
        <f aca="false">AF1643/W1643-1</f>
        <v>0.687381133298066</v>
      </c>
      <c r="AI1643" s="37" t="str">
        <f aca="false">IF(AF1643&lt;W1643,"SIM","NÃO")</f>
        <v>NÃO</v>
      </c>
      <c r="AJ1643" s="37" t="n">
        <v>13</v>
      </c>
      <c r="AK1643" s="37" t="n">
        <v>11</v>
      </c>
      <c r="AL1643" s="37" t="s">
        <v>347</v>
      </c>
      <c r="AM1643" s="39" t="n">
        <v>108.86</v>
      </c>
    </row>
    <row r="1644" customFormat="false" ht="15" hidden="false" customHeight="false" outlineLevel="0" collapsed="false">
      <c r="A1644" s="37" t="n">
        <v>391087531</v>
      </c>
      <c r="B1644" s="38" t="n">
        <v>46273.9715856482</v>
      </c>
      <c r="C1644" s="37" t="s">
        <v>379</v>
      </c>
      <c r="D1644" s="37" t="s">
        <v>1848</v>
      </c>
      <c r="E1644" s="37" t="n">
        <v>21231020</v>
      </c>
      <c r="F1644" s="37" t="s">
        <v>159</v>
      </c>
      <c r="G1644" s="37" t="s">
        <v>196</v>
      </c>
      <c r="H1644" s="37" t="s">
        <v>190</v>
      </c>
      <c r="I1644" s="37" t="n">
        <v>94.9</v>
      </c>
      <c r="J1644" s="39" t="n">
        <v>1399.98</v>
      </c>
      <c r="K1644" s="37" t="s">
        <v>342</v>
      </c>
      <c r="L1644" s="39" t="n">
        <v>165.81</v>
      </c>
      <c r="M1644" s="39" t="n">
        <v>83.79</v>
      </c>
      <c r="N1644" s="39" t="n">
        <f aca="false">J1644*Resumo!$C$6</f>
        <v>0</v>
      </c>
      <c r="O1644" s="39" t="n">
        <f aca="false">J1644*Resumo!$C$7</f>
        <v>2.939958</v>
      </c>
      <c r="P1644" s="39" t="n">
        <f aca="false">J1644*Resumo!$C$8</f>
        <v>2.939958</v>
      </c>
      <c r="Q1644" s="39" t="n">
        <f aca="false">Resumo!$C$10*CEILING(I1644/100,1)</f>
        <v>1.05</v>
      </c>
      <c r="R1644" s="39" t="n">
        <f aca="false">Resumo!$C$9</f>
        <v>0</v>
      </c>
      <c r="S1644" s="39" t="n">
        <f aca="false">Resumo!$C$13</f>
        <v>13.55</v>
      </c>
      <c r="T1644" s="39" t="n">
        <f aca="false">Resumo!$C$14*CEILING(I1644,1)</f>
        <v>42.75</v>
      </c>
      <c r="U1644" s="39" t="n">
        <f aca="false">SUM(M1644:T1644)*Resumo!$C$11</f>
        <v>0</v>
      </c>
      <c r="V1644" s="39" t="n">
        <f aca="false">SUM(M1644:U1644)</f>
        <v>147.019916</v>
      </c>
      <c r="W1644" s="39" t="n">
        <f aca="false">V1644/(1-Resumo!$C$5)</f>
        <v>167.068086363636</v>
      </c>
      <c r="X1644" s="39" t="n">
        <v>167.99</v>
      </c>
      <c r="Y1644" s="39" t="n">
        <f aca="false">J1644*Resumo!$B$6</f>
        <v>1.39998</v>
      </c>
      <c r="Z1644" s="39" t="n">
        <f aca="false">J1644*Resumo!$B$7</f>
        <v>2.79996</v>
      </c>
      <c r="AA1644" s="39" t="n">
        <f aca="false">Resumo!$B$9</f>
        <v>1</v>
      </c>
      <c r="AB1644" s="39" t="n">
        <f aca="false">Resumo!$B$10*CEILING(I1644/100,1)</f>
        <v>4.5</v>
      </c>
      <c r="AC1644" s="39" t="n">
        <f aca="false">Resumo!$B$12*CEILING(I1644,1)</f>
        <v>5.7</v>
      </c>
      <c r="AD1644" s="39" t="n">
        <f aca="false">Resumo!$B$14*CEILING(I1644,1)</f>
        <v>42.75</v>
      </c>
      <c r="AE1644" s="39" t="n">
        <f aca="false">SUM(X1644:AD1644)</f>
        <v>226.13994</v>
      </c>
      <c r="AF1644" s="39" t="n">
        <f aca="false">AE1644/(1-Resumo!$B$5)</f>
        <v>256.977204545455</v>
      </c>
      <c r="AG1644" s="39" t="n">
        <f aca="false">AF1644-W1644</f>
        <v>89.9091181818181</v>
      </c>
      <c r="AH1644" s="40" t="n">
        <f aca="false">AF1644/W1644-1</f>
        <v>0.538158544451896</v>
      </c>
      <c r="AI1644" s="37" t="str">
        <f aca="false">IF(AF1644&lt;W1644,"SIM","NÃO")</f>
        <v>NÃO</v>
      </c>
      <c r="AJ1644" s="37" t="n">
        <v>2</v>
      </c>
      <c r="AK1644" s="37" t="n">
        <v>5</v>
      </c>
      <c r="AL1644" s="37" t="s">
        <v>343</v>
      </c>
      <c r="AM1644" s="39" t="n">
        <v>165.8</v>
      </c>
    </row>
    <row r="1645" customFormat="false" ht="15" hidden="false" customHeight="false" outlineLevel="0" collapsed="false">
      <c r="A1645" s="37" t="n">
        <v>391121755</v>
      </c>
      <c r="B1645" s="38" t="n">
        <v>46274.0048842593</v>
      </c>
      <c r="C1645" s="37" t="s">
        <v>340</v>
      </c>
      <c r="D1645" s="37" t="s">
        <v>1849</v>
      </c>
      <c r="E1645" s="37" t="n">
        <v>24921452</v>
      </c>
      <c r="F1645" s="37" t="s">
        <v>171</v>
      </c>
      <c r="G1645" s="37" t="s">
        <v>198</v>
      </c>
      <c r="H1645" s="37" t="s">
        <v>184</v>
      </c>
      <c r="I1645" s="37" t="n">
        <v>29.2</v>
      </c>
      <c r="J1645" s="39" t="n">
        <v>360.99</v>
      </c>
      <c r="K1645" s="37" t="s">
        <v>342</v>
      </c>
      <c r="L1645" s="39" t="n">
        <v>108.91</v>
      </c>
      <c r="M1645" s="39" t="n">
        <v>65.63</v>
      </c>
      <c r="N1645" s="39" t="n">
        <f aca="false">J1645*Resumo!$C$6</f>
        <v>0</v>
      </c>
      <c r="O1645" s="39" t="n">
        <f aca="false">J1645*Resumo!$C$7</f>
        <v>0.758079</v>
      </c>
      <c r="P1645" s="39" t="n">
        <f aca="false">J1645*Resumo!$C$8</f>
        <v>0.758079</v>
      </c>
      <c r="Q1645" s="39" t="n">
        <f aca="false">Resumo!$C$10*CEILING(I1645/100,1)</f>
        <v>1.05</v>
      </c>
      <c r="R1645" s="39" t="n">
        <f aca="false">Resumo!$C$9</f>
        <v>0</v>
      </c>
      <c r="S1645" s="39" t="n">
        <f aca="false">Resumo!$C$13</f>
        <v>13.55</v>
      </c>
      <c r="T1645" s="39" t="n">
        <f aca="false">Resumo!$C$14*CEILING(I1645,1)</f>
        <v>13.5</v>
      </c>
      <c r="U1645" s="39" t="n">
        <f aca="false">SUM(M1645:T1645)*Resumo!$C$11</f>
        <v>0</v>
      </c>
      <c r="V1645" s="39" t="n">
        <f aca="false">SUM(M1645:U1645)</f>
        <v>95.246158</v>
      </c>
      <c r="W1645" s="39" t="n">
        <f aca="false">V1645/(1-Resumo!$C$5)</f>
        <v>108.234270454545</v>
      </c>
      <c r="X1645" s="39" t="n">
        <v>100.58</v>
      </c>
      <c r="Y1645" s="39" t="n">
        <f aca="false">J1645*Resumo!$B$6</f>
        <v>0.36099</v>
      </c>
      <c r="Z1645" s="39" t="n">
        <f aca="false">J1645*Resumo!$B$7</f>
        <v>0.72198</v>
      </c>
      <c r="AA1645" s="39" t="n">
        <f aca="false">Resumo!$B$9</f>
        <v>1</v>
      </c>
      <c r="AB1645" s="39" t="n">
        <f aca="false">Resumo!$B$10*CEILING(I1645/100,1)</f>
        <v>4.5</v>
      </c>
      <c r="AC1645" s="39" t="n">
        <f aca="false">Resumo!$B$12*CEILING(I1645,1)</f>
        <v>1.8</v>
      </c>
      <c r="AD1645" s="39" t="n">
        <f aca="false">Resumo!$B$14*CEILING(I1645,1)</f>
        <v>13.5</v>
      </c>
      <c r="AE1645" s="39" t="n">
        <f aca="false">SUM(X1645:AD1645)</f>
        <v>122.46297</v>
      </c>
      <c r="AF1645" s="39" t="n">
        <f aca="false">AE1645/(1-Resumo!$B$5)</f>
        <v>139.162465909091</v>
      </c>
      <c r="AG1645" s="39" t="n">
        <f aca="false">AF1645-W1645</f>
        <v>30.9281954545455</v>
      </c>
      <c r="AH1645" s="40" t="n">
        <f aca="false">AF1645/W1645-1</f>
        <v>0.285752334493114</v>
      </c>
      <c r="AI1645" s="37" t="str">
        <f aca="false">IF(AF1645&lt;W1645,"SIM","NÃO")</f>
        <v>NÃO</v>
      </c>
      <c r="AJ1645" s="37" t="n">
        <v>13</v>
      </c>
      <c r="AK1645" s="37" t="n">
        <v>7</v>
      </c>
      <c r="AL1645" s="37" t="s">
        <v>343</v>
      </c>
      <c r="AM1645" s="39" t="n">
        <v>108.91</v>
      </c>
    </row>
    <row r="1646" customFormat="false" ht="15" hidden="false" customHeight="false" outlineLevel="0" collapsed="false">
      <c r="A1646" s="37" t="n">
        <v>391243018</v>
      </c>
      <c r="B1646" s="38" t="n">
        <v>46274.2280324074</v>
      </c>
      <c r="C1646" s="37" t="s">
        <v>340</v>
      </c>
      <c r="D1646" s="37" t="s">
        <v>1850</v>
      </c>
      <c r="E1646" s="37" t="n">
        <v>25665400</v>
      </c>
      <c r="F1646" s="37" t="s">
        <v>170</v>
      </c>
      <c r="G1646" s="37" t="s">
        <v>198</v>
      </c>
      <c r="H1646" s="37" t="s">
        <v>184</v>
      </c>
      <c r="I1646" s="37" t="n">
        <v>34.4</v>
      </c>
      <c r="J1646" s="39" t="n">
        <v>499.98</v>
      </c>
      <c r="K1646" s="37" t="s">
        <v>342</v>
      </c>
      <c r="L1646" s="39" t="n">
        <v>109.58</v>
      </c>
      <c r="M1646" s="39" t="n">
        <v>65.63</v>
      </c>
      <c r="N1646" s="39" t="n">
        <f aca="false">J1646*Resumo!$C$6</f>
        <v>0</v>
      </c>
      <c r="O1646" s="39" t="n">
        <f aca="false">J1646*Resumo!$C$7</f>
        <v>1.049958</v>
      </c>
      <c r="P1646" s="39" t="n">
        <f aca="false">J1646*Resumo!$C$8</f>
        <v>1.049958</v>
      </c>
      <c r="Q1646" s="39" t="n">
        <f aca="false">Resumo!$C$10*CEILING(I1646/100,1)</f>
        <v>1.05</v>
      </c>
      <c r="R1646" s="39" t="n">
        <f aca="false">Resumo!$C$9</f>
        <v>0</v>
      </c>
      <c r="S1646" s="39" t="n">
        <f aca="false">Resumo!$C$13</f>
        <v>13.55</v>
      </c>
      <c r="T1646" s="39" t="n">
        <f aca="false">Resumo!$C$14*CEILING(I1646,1)</f>
        <v>15.75</v>
      </c>
      <c r="U1646" s="39" t="n">
        <f aca="false">SUM(M1646:T1646)*Resumo!$C$11</f>
        <v>0</v>
      </c>
      <c r="V1646" s="39" t="n">
        <f aca="false">SUM(M1646:U1646)</f>
        <v>98.079916</v>
      </c>
      <c r="W1646" s="39" t="n">
        <f aca="false">V1646/(1-Resumo!$C$5)</f>
        <v>111.45445</v>
      </c>
      <c r="X1646" s="39" t="n">
        <v>108.83</v>
      </c>
      <c r="Y1646" s="39" t="n">
        <f aca="false">J1646*Resumo!$B$6</f>
        <v>0.49998</v>
      </c>
      <c r="Z1646" s="39" t="n">
        <f aca="false">J1646*Resumo!$B$7</f>
        <v>0.99996</v>
      </c>
      <c r="AA1646" s="39" t="n">
        <f aca="false">Resumo!$B$9</f>
        <v>1</v>
      </c>
      <c r="AB1646" s="39" t="n">
        <f aca="false">Resumo!$B$10*CEILING(I1646/100,1)</f>
        <v>4.5</v>
      </c>
      <c r="AC1646" s="39" t="n">
        <f aca="false">Resumo!$B$12*CEILING(I1646,1)</f>
        <v>2.1</v>
      </c>
      <c r="AD1646" s="39" t="n">
        <f aca="false">Resumo!$B$14*CEILING(I1646,1)</f>
        <v>15.75</v>
      </c>
      <c r="AE1646" s="39" t="n">
        <f aca="false">SUM(X1646:AD1646)</f>
        <v>133.67994</v>
      </c>
      <c r="AF1646" s="39" t="n">
        <f aca="false">AE1646/(1-Resumo!$B$5)</f>
        <v>151.909022727273</v>
      </c>
      <c r="AG1646" s="39" t="n">
        <f aca="false">AF1646-W1646</f>
        <v>40.4545727272727</v>
      </c>
      <c r="AH1646" s="40" t="n">
        <f aca="false">AF1646/W1646-1</f>
        <v>0.36296956045517</v>
      </c>
      <c r="AI1646" s="37" t="str">
        <f aca="false">IF(AF1646&lt;W1646,"SIM","NÃO")</f>
        <v>NÃO</v>
      </c>
      <c r="AJ1646" s="37" t="n">
        <v>13</v>
      </c>
      <c r="AK1646" s="37" t="n">
        <v>8</v>
      </c>
      <c r="AL1646" s="37" t="s">
        <v>343</v>
      </c>
      <c r="AM1646" s="39" t="n">
        <v>109.58</v>
      </c>
    </row>
    <row r="1647" customFormat="false" ht="15" hidden="false" customHeight="false" outlineLevel="0" collapsed="false">
      <c r="A1647" s="37" t="n">
        <v>391259265</v>
      </c>
      <c r="B1647" s="38" t="n">
        <v>46274.2803240741</v>
      </c>
      <c r="C1647" s="37" t="s">
        <v>340</v>
      </c>
      <c r="D1647" s="37" t="s">
        <v>1851</v>
      </c>
      <c r="E1647" s="37" t="n">
        <v>23560510</v>
      </c>
      <c r="F1647" s="37" t="s">
        <v>159</v>
      </c>
      <c r="G1647" s="37" t="s">
        <v>196</v>
      </c>
      <c r="H1647" s="37" t="s">
        <v>184</v>
      </c>
      <c r="I1647" s="37" t="n">
        <v>24.4</v>
      </c>
      <c r="J1647" s="39" t="n">
        <v>297.99</v>
      </c>
      <c r="K1647" s="37" t="s">
        <v>342</v>
      </c>
      <c r="L1647" s="39" t="n">
        <v>81.76</v>
      </c>
      <c r="M1647" s="39" t="n">
        <v>42.11</v>
      </c>
      <c r="N1647" s="39" t="n">
        <f aca="false">J1647*Resumo!$C$6</f>
        <v>0</v>
      </c>
      <c r="O1647" s="39" t="n">
        <f aca="false">J1647*Resumo!$C$7</f>
        <v>0.625779</v>
      </c>
      <c r="P1647" s="39" t="n">
        <f aca="false">J1647*Resumo!$C$8</f>
        <v>0.625779</v>
      </c>
      <c r="Q1647" s="39" t="n">
        <f aca="false">Resumo!$C$10*CEILING(I1647/100,1)</f>
        <v>1.05</v>
      </c>
      <c r="R1647" s="39" t="n">
        <f aca="false">Resumo!$C$9</f>
        <v>0</v>
      </c>
      <c r="S1647" s="39" t="n">
        <f aca="false">Resumo!$C$13</f>
        <v>13.55</v>
      </c>
      <c r="T1647" s="39" t="n">
        <f aca="false">Resumo!$C$14*CEILING(I1647,1)</f>
        <v>11.25</v>
      </c>
      <c r="U1647" s="39" t="n">
        <f aca="false">SUM(M1647:T1647)*Resumo!$C$11</f>
        <v>0</v>
      </c>
      <c r="V1647" s="39" t="n">
        <f aca="false">SUM(M1647:U1647)</f>
        <v>69.211558</v>
      </c>
      <c r="W1647" s="39" t="n">
        <f aca="false">V1647/(1-Resumo!$C$5)</f>
        <v>78.6494977272727</v>
      </c>
      <c r="X1647" s="39" t="n">
        <v>82.21</v>
      </c>
      <c r="Y1647" s="39" t="n">
        <f aca="false">J1647*Resumo!$B$6</f>
        <v>0.29799</v>
      </c>
      <c r="Z1647" s="39" t="n">
        <f aca="false">J1647*Resumo!$B$7</f>
        <v>0.59598</v>
      </c>
      <c r="AA1647" s="39" t="n">
        <f aca="false">Resumo!$B$9</f>
        <v>1</v>
      </c>
      <c r="AB1647" s="39" t="n">
        <f aca="false">Resumo!$B$10*CEILING(I1647/100,1)</f>
        <v>4.5</v>
      </c>
      <c r="AC1647" s="39" t="n">
        <f aca="false">Resumo!$B$12*CEILING(I1647,1)</f>
        <v>1.5</v>
      </c>
      <c r="AD1647" s="39" t="n">
        <f aca="false">Resumo!$B$14*CEILING(I1647,1)</f>
        <v>11.25</v>
      </c>
      <c r="AE1647" s="39" t="n">
        <f aca="false">SUM(X1647:AD1647)</f>
        <v>101.35397</v>
      </c>
      <c r="AF1647" s="39" t="n">
        <f aca="false">AE1647/(1-Resumo!$B$5)</f>
        <v>115.174965909091</v>
      </c>
      <c r="AG1647" s="39" t="n">
        <f aca="false">AF1647-W1647</f>
        <v>36.5254681818182</v>
      </c>
      <c r="AH1647" s="40" t="n">
        <f aca="false">AF1647/W1647-1</f>
        <v>0.464408155643599</v>
      </c>
      <c r="AI1647" s="37" t="str">
        <f aca="false">IF(AF1647&lt;W1647,"SIM","NÃO")</f>
        <v>NÃO</v>
      </c>
      <c r="AJ1647" s="37" t="n">
        <v>2</v>
      </c>
      <c r="AK1647" s="37" t="n">
        <v>5</v>
      </c>
      <c r="AL1647" s="37" t="s">
        <v>343</v>
      </c>
      <c r="AM1647" s="39" t="n">
        <v>81.75</v>
      </c>
    </row>
    <row r="1648" customFormat="false" ht="15" hidden="false" customHeight="false" outlineLevel="0" collapsed="false">
      <c r="A1648" s="37" t="n">
        <v>391292671</v>
      </c>
      <c r="B1648" s="38" t="n">
        <v>46274.3362847222</v>
      </c>
      <c r="C1648" s="37" t="s">
        <v>340</v>
      </c>
      <c r="D1648" s="37" t="s">
        <v>1852</v>
      </c>
      <c r="E1648" s="37" t="n">
        <v>24240415</v>
      </c>
      <c r="F1648" s="37" t="s">
        <v>163</v>
      </c>
      <c r="G1648" s="37" t="s">
        <v>197</v>
      </c>
      <c r="H1648" s="37" t="s">
        <v>184</v>
      </c>
      <c r="I1648" s="37" t="n">
        <v>30.94</v>
      </c>
      <c r="J1648" s="39" t="n">
        <v>419.99</v>
      </c>
      <c r="K1648" s="37" t="s">
        <v>342</v>
      </c>
      <c r="L1648" s="39" t="n">
        <v>101.4</v>
      </c>
      <c r="M1648" s="39" t="n">
        <v>58.8</v>
      </c>
      <c r="N1648" s="39" t="n">
        <f aca="false">J1648*Resumo!$C$6</f>
        <v>0</v>
      </c>
      <c r="O1648" s="39" t="n">
        <f aca="false">J1648*Resumo!$C$7</f>
        <v>0.881979</v>
      </c>
      <c r="P1648" s="39" t="n">
        <f aca="false">J1648*Resumo!$C$8</f>
        <v>0.881979</v>
      </c>
      <c r="Q1648" s="39" t="n">
        <f aca="false">Resumo!$C$10*CEILING(I1648/100,1)</f>
        <v>1.05</v>
      </c>
      <c r="R1648" s="39" t="n">
        <f aca="false">Resumo!$C$9</f>
        <v>0</v>
      </c>
      <c r="S1648" s="39" t="n">
        <f aca="false">Resumo!$C$13</f>
        <v>13.55</v>
      </c>
      <c r="T1648" s="39" t="n">
        <f aca="false">Resumo!$C$14*CEILING(I1648,1)</f>
        <v>13.95</v>
      </c>
      <c r="U1648" s="39" t="n">
        <f aca="false">SUM(M1648:T1648)*Resumo!$C$11</f>
        <v>0</v>
      </c>
      <c r="V1648" s="39" t="n">
        <f aca="false">SUM(M1648:U1648)</f>
        <v>89.113958</v>
      </c>
      <c r="W1648" s="39" t="n">
        <f aca="false">V1648/(1-Resumo!$C$5)</f>
        <v>101.265861363636</v>
      </c>
      <c r="X1648" s="39" t="n">
        <v>100.58</v>
      </c>
      <c r="Y1648" s="39" t="n">
        <f aca="false">J1648*Resumo!$B$6</f>
        <v>0.41999</v>
      </c>
      <c r="Z1648" s="39" t="n">
        <f aca="false">J1648*Resumo!$B$7</f>
        <v>0.83998</v>
      </c>
      <c r="AA1648" s="39" t="n">
        <f aca="false">Resumo!$B$9</f>
        <v>1</v>
      </c>
      <c r="AB1648" s="39" t="n">
        <f aca="false">Resumo!$B$10*CEILING(I1648/100,1)</f>
        <v>4.5</v>
      </c>
      <c r="AC1648" s="39" t="n">
        <f aca="false">Resumo!$B$12*CEILING(I1648,1)</f>
        <v>1.86</v>
      </c>
      <c r="AD1648" s="39" t="n">
        <f aca="false">Resumo!$B$14*CEILING(I1648,1)</f>
        <v>13.95</v>
      </c>
      <c r="AE1648" s="39" t="n">
        <f aca="false">SUM(X1648:AD1648)</f>
        <v>123.14997</v>
      </c>
      <c r="AF1648" s="39" t="n">
        <f aca="false">AE1648/(1-Resumo!$B$5)</f>
        <v>139.943147727273</v>
      </c>
      <c r="AG1648" s="39" t="n">
        <f aca="false">AF1648-W1648</f>
        <v>38.6772863636364</v>
      </c>
      <c r="AH1648" s="40" t="n">
        <f aca="false">AF1648/W1648-1</f>
        <v>0.38193805733553</v>
      </c>
      <c r="AI1648" s="37" t="str">
        <f aca="false">IF(AF1648&lt;W1648,"SIM","NÃO")</f>
        <v>NÃO</v>
      </c>
      <c r="AJ1648" s="37" t="n">
        <v>2</v>
      </c>
      <c r="AK1648" s="37" t="n">
        <v>7</v>
      </c>
      <c r="AL1648" s="37" t="s">
        <v>343</v>
      </c>
      <c r="AM1648" s="39" t="n">
        <v>101.4</v>
      </c>
    </row>
    <row r="1649" customFormat="false" ht="15" hidden="false" customHeight="false" outlineLevel="0" collapsed="false">
      <c r="A1649" s="37" t="n">
        <v>391336626</v>
      </c>
      <c r="B1649" s="38" t="n">
        <v>46274.3878935185</v>
      </c>
      <c r="C1649" s="37" t="s">
        <v>372</v>
      </c>
      <c r="D1649" s="37" t="s">
        <v>1853</v>
      </c>
      <c r="E1649" s="37" t="n">
        <v>25645260</v>
      </c>
      <c r="F1649" s="37" t="s">
        <v>170</v>
      </c>
      <c r="G1649" s="37" t="s">
        <v>198</v>
      </c>
      <c r="H1649" s="37" t="s">
        <v>184</v>
      </c>
      <c r="I1649" s="37" t="n">
        <v>29.2</v>
      </c>
      <c r="J1649" s="39" t="n">
        <v>458.18</v>
      </c>
      <c r="K1649" s="37" t="s">
        <v>342</v>
      </c>
      <c r="L1649" s="39" t="n">
        <v>109.39</v>
      </c>
      <c r="M1649" s="39" t="n">
        <v>65.63</v>
      </c>
      <c r="N1649" s="39" t="n">
        <f aca="false">J1649*Resumo!$C$6</f>
        <v>0</v>
      </c>
      <c r="O1649" s="39" t="n">
        <f aca="false">J1649*Resumo!$C$7</f>
        <v>0.962178</v>
      </c>
      <c r="P1649" s="39" t="n">
        <f aca="false">J1649*Resumo!$C$8</f>
        <v>0.962178</v>
      </c>
      <c r="Q1649" s="39" t="n">
        <f aca="false">Resumo!$C$10*CEILING(I1649/100,1)</f>
        <v>1.05</v>
      </c>
      <c r="R1649" s="39" t="n">
        <f aca="false">Resumo!$C$9</f>
        <v>0</v>
      </c>
      <c r="S1649" s="39" t="n">
        <f aca="false">Resumo!$C$13</f>
        <v>13.55</v>
      </c>
      <c r="T1649" s="39" t="n">
        <f aca="false">Resumo!$C$14*CEILING(I1649,1)</f>
        <v>13.5</v>
      </c>
      <c r="U1649" s="39" t="n">
        <f aca="false">SUM(M1649:T1649)*Resumo!$C$11</f>
        <v>0</v>
      </c>
      <c r="V1649" s="39" t="n">
        <f aca="false">SUM(M1649:U1649)</f>
        <v>95.654356</v>
      </c>
      <c r="W1649" s="39" t="n">
        <f aca="false">V1649/(1-Resumo!$C$5)</f>
        <v>108.698131818182</v>
      </c>
      <c r="X1649" s="39" t="n">
        <v>108.83</v>
      </c>
      <c r="Y1649" s="39" t="n">
        <f aca="false">J1649*Resumo!$B$6</f>
        <v>0.45818</v>
      </c>
      <c r="Z1649" s="39" t="n">
        <f aca="false">J1649*Resumo!$B$7</f>
        <v>0.91636</v>
      </c>
      <c r="AA1649" s="39" t="n">
        <f aca="false">Resumo!$B$9</f>
        <v>1</v>
      </c>
      <c r="AB1649" s="39" t="n">
        <f aca="false">Resumo!$B$10*CEILING(I1649/100,1)</f>
        <v>4.5</v>
      </c>
      <c r="AC1649" s="39" t="n">
        <f aca="false">Resumo!$B$12*CEILING(I1649,1)</f>
        <v>1.8</v>
      </c>
      <c r="AD1649" s="39" t="n">
        <f aca="false">Resumo!$B$14*CEILING(I1649,1)</f>
        <v>13.5</v>
      </c>
      <c r="AE1649" s="39" t="n">
        <f aca="false">SUM(X1649:AD1649)</f>
        <v>131.00454</v>
      </c>
      <c r="AF1649" s="39" t="n">
        <f aca="false">AE1649/(1-Resumo!$B$5)</f>
        <v>148.868795454545</v>
      </c>
      <c r="AG1649" s="39" t="n">
        <f aca="false">AF1649-W1649</f>
        <v>40.1706636363636</v>
      </c>
      <c r="AH1649" s="40" t="n">
        <f aca="false">AF1649/W1649-1</f>
        <v>0.369561674744849</v>
      </c>
      <c r="AI1649" s="37" t="str">
        <f aca="false">IF(AF1649&lt;W1649,"SIM","NÃO")</f>
        <v>NÃO</v>
      </c>
      <c r="AJ1649" s="37" t="n">
        <v>13</v>
      </c>
      <c r="AK1649" s="37" t="n">
        <v>8</v>
      </c>
      <c r="AL1649" s="37" t="s">
        <v>343</v>
      </c>
      <c r="AM1649" s="39" t="n">
        <v>109.38</v>
      </c>
    </row>
    <row r="1650" customFormat="false" ht="15" hidden="false" customHeight="false" outlineLevel="0" collapsed="false">
      <c r="A1650" s="37" t="n">
        <v>391344349</v>
      </c>
      <c r="B1650" s="38" t="n">
        <v>46274.3956018519</v>
      </c>
      <c r="C1650" s="37" t="s">
        <v>340</v>
      </c>
      <c r="D1650" s="37" t="s">
        <v>1854</v>
      </c>
      <c r="E1650" s="37" t="n">
        <v>24742160</v>
      </c>
      <c r="F1650" s="37" t="s">
        <v>160</v>
      </c>
      <c r="G1650" s="37" t="s">
        <v>197</v>
      </c>
      <c r="H1650" s="37" t="s">
        <v>187</v>
      </c>
      <c r="I1650" s="37" t="n">
        <v>52.3</v>
      </c>
      <c r="J1650" s="39" t="n">
        <v>602.99</v>
      </c>
      <c r="K1650" s="37" t="s">
        <v>342</v>
      </c>
      <c r="L1650" s="39" t="n">
        <v>128.18</v>
      </c>
      <c r="M1650" s="39" t="n">
        <v>70.98</v>
      </c>
      <c r="N1650" s="39" t="n">
        <f aca="false">J1650*Resumo!$C$6</f>
        <v>0</v>
      </c>
      <c r="O1650" s="39" t="n">
        <f aca="false">J1650*Resumo!$C$7</f>
        <v>1.266279</v>
      </c>
      <c r="P1650" s="39" t="n">
        <f aca="false">J1650*Resumo!$C$8</f>
        <v>1.266279</v>
      </c>
      <c r="Q1650" s="39" t="n">
        <f aca="false">Resumo!$C$10*CEILING(I1650/100,1)</f>
        <v>1.05</v>
      </c>
      <c r="R1650" s="39" t="n">
        <f aca="false">Resumo!$C$9</f>
        <v>0</v>
      </c>
      <c r="S1650" s="39" t="n">
        <f aca="false">Resumo!$C$13</f>
        <v>13.55</v>
      </c>
      <c r="T1650" s="39" t="n">
        <f aca="false">Resumo!$C$14*CEILING(I1650,1)</f>
        <v>23.85</v>
      </c>
      <c r="U1650" s="39" t="n">
        <f aca="false">SUM(M1650:T1650)*Resumo!$C$11</f>
        <v>0</v>
      </c>
      <c r="V1650" s="39" t="n">
        <f aca="false">SUM(M1650:U1650)</f>
        <v>111.962558</v>
      </c>
      <c r="W1650" s="39" t="n">
        <f aca="false">V1650/(1-Resumo!$C$5)</f>
        <v>127.230179545455</v>
      </c>
      <c r="X1650" s="39" t="n">
        <v>128.14</v>
      </c>
      <c r="Y1650" s="39" t="n">
        <f aca="false">J1650*Resumo!$B$6</f>
        <v>0.60299</v>
      </c>
      <c r="Z1650" s="39" t="n">
        <f aca="false">J1650*Resumo!$B$7</f>
        <v>1.20598</v>
      </c>
      <c r="AA1650" s="39" t="n">
        <f aca="false">Resumo!$B$9</f>
        <v>1</v>
      </c>
      <c r="AB1650" s="39" t="n">
        <f aca="false">Resumo!$B$10*CEILING(I1650/100,1)</f>
        <v>4.5</v>
      </c>
      <c r="AC1650" s="39" t="n">
        <f aca="false">Resumo!$B$12*CEILING(I1650,1)</f>
        <v>3.18</v>
      </c>
      <c r="AD1650" s="39" t="n">
        <f aca="false">Resumo!$B$14*CEILING(I1650,1)</f>
        <v>23.85</v>
      </c>
      <c r="AE1650" s="39" t="n">
        <f aca="false">SUM(X1650:AD1650)</f>
        <v>162.47897</v>
      </c>
      <c r="AF1650" s="39" t="n">
        <f aca="false">AE1650/(1-Resumo!$B$5)</f>
        <v>184.635193181818</v>
      </c>
      <c r="AG1650" s="39" t="n">
        <f aca="false">AF1650-W1650</f>
        <v>57.4050136363636</v>
      </c>
      <c r="AH1650" s="40" t="n">
        <f aca="false">AF1650/W1650-1</f>
        <v>0.451190227361543</v>
      </c>
      <c r="AI1650" s="37" t="str">
        <f aca="false">IF(AF1650&lt;W1650,"SIM","NÃO")</f>
        <v>NÃO</v>
      </c>
      <c r="AJ1650" s="37" t="n">
        <v>2</v>
      </c>
      <c r="AK1650" s="37" t="n">
        <v>7</v>
      </c>
      <c r="AL1650" s="37" t="s">
        <v>343</v>
      </c>
      <c r="AM1650" s="39" t="n">
        <v>128.17</v>
      </c>
    </row>
    <row r="1651" customFormat="false" ht="15" hidden="false" customHeight="false" outlineLevel="0" collapsed="false">
      <c r="A1651" s="37" t="n">
        <v>391377197</v>
      </c>
      <c r="B1651" s="38" t="n">
        <v>46274.4358912037</v>
      </c>
      <c r="C1651" s="37" t="s">
        <v>340</v>
      </c>
      <c r="D1651" s="37" t="s">
        <v>1855</v>
      </c>
      <c r="E1651" s="37" t="n">
        <v>28085450</v>
      </c>
      <c r="F1651" s="37" t="s">
        <v>164</v>
      </c>
      <c r="G1651" s="37" t="s">
        <v>198</v>
      </c>
      <c r="H1651" s="37" t="s">
        <v>184</v>
      </c>
      <c r="I1651" s="37" t="n">
        <v>31.9</v>
      </c>
      <c r="J1651" s="39" t="n">
        <v>629.99</v>
      </c>
      <c r="K1651" s="37" t="s">
        <v>342</v>
      </c>
      <c r="L1651" s="39" t="n">
        <v>110.2</v>
      </c>
      <c r="M1651" s="39" t="n">
        <v>65.63</v>
      </c>
      <c r="N1651" s="39" t="n">
        <f aca="false">J1651*Resumo!$C$6</f>
        <v>0</v>
      </c>
      <c r="O1651" s="39" t="n">
        <f aca="false">J1651*Resumo!$C$7</f>
        <v>1.322979</v>
      </c>
      <c r="P1651" s="39" t="n">
        <f aca="false">J1651*Resumo!$C$8</f>
        <v>1.322979</v>
      </c>
      <c r="Q1651" s="39" t="n">
        <f aca="false">Resumo!$C$10*CEILING(I1651/100,1)</f>
        <v>1.05</v>
      </c>
      <c r="R1651" s="39" t="n">
        <f aca="false">Resumo!$C$9</f>
        <v>0</v>
      </c>
      <c r="S1651" s="39" t="n">
        <f aca="false">Resumo!$C$13</f>
        <v>13.55</v>
      </c>
      <c r="T1651" s="39" t="n">
        <f aca="false">Resumo!$C$14*CEILING(I1651,1)</f>
        <v>14.4</v>
      </c>
      <c r="U1651" s="39" t="n">
        <f aca="false">SUM(M1651:T1651)*Resumo!$C$11</f>
        <v>0</v>
      </c>
      <c r="V1651" s="39" t="n">
        <f aca="false">SUM(M1651:U1651)</f>
        <v>97.275958</v>
      </c>
      <c r="W1651" s="39" t="n">
        <f aca="false">V1651/(1-Resumo!$C$5)</f>
        <v>110.540861363636</v>
      </c>
      <c r="X1651" s="39" t="n">
        <v>138.29</v>
      </c>
      <c r="Y1651" s="39" t="n">
        <f aca="false">J1651*Resumo!$B$6</f>
        <v>0.62999</v>
      </c>
      <c r="Z1651" s="39" t="n">
        <f aca="false">J1651*Resumo!$B$7</f>
        <v>1.25998</v>
      </c>
      <c r="AA1651" s="39" t="n">
        <f aca="false">Resumo!$B$9</f>
        <v>1</v>
      </c>
      <c r="AB1651" s="39" t="n">
        <f aca="false">Resumo!$B$10*CEILING(I1651/100,1)</f>
        <v>4.5</v>
      </c>
      <c r="AC1651" s="39" t="n">
        <f aca="false">Resumo!$B$12*CEILING(I1651,1)</f>
        <v>1.92</v>
      </c>
      <c r="AD1651" s="39" t="n">
        <f aca="false">Resumo!$B$14*CEILING(I1651,1)</f>
        <v>14.4</v>
      </c>
      <c r="AE1651" s="39" t="n">
        <f aca="false">SUM(X1651:AD1651)</f>
        <v>161.99997</v>
      </c>
      <c r="AF1651" s="39" t="n">
        <f aca="false">AE1651/(1-Resumo!$B$5)</f>
        <v>184.090875</v>
      </c>
      <c r="AG1651" s="39" t="n">
        <f aca="false">AF1651-W1651</f>
        <v>73.5500136363636</v>
      </c>
      <c r="AH1651" s="40" t="n">
        <f aca="false">AF1651/W1651-1</f>
        <v>0.665364940430604</v>
      </c>
      <c r="AI1651" s="37" t="str">
        <f aca="false">IF(AF1651&lt;W1651,"SIM","NÃO")</f>
        <v>NÃO</v>
      </c>
      <c r="AJ1651" s="37" t="n">
        <v>13</v>
      </c>
      <c r="AK1651" s="37" t="n">
        <v>11</v>
      </c>
      <c r="AL1651" s="37" t="s">
        <v>343</v>
      </c>
      <c r="AM1651" s="39" t="n">
        <v>110.2</v>
      </c>
    </row>
    <row r="1652" customFormat="false" ht="15" hidden="false" customHeight="false" outlineLevel="0" collapsed="false">
      <c r="A1652" s="37" t="n">
        <v>391384936</v>
      </c>
      <c r="B1652" s="38" t="n">
        <v>46274.4430324074</v>
      </c>
      <c r="C1652" s="37" t="s">
        <v>340</v>
      </c>
      <c r="D1652" s="37" t="s">
        <v>1856</v>
      </c>
      <c r="E1652" s="37" t="n">
        <v>27277030</v>
      </c>
      <c r="F1652" s="37" t="s">
        <v>168</v>
      </c>
      <c r="G1652" s="37" t="s">
        <v>198</v>
      </c>
      <c r="H1652" s="37" t="s">
        <v>185</v>
      </c>
      <c r="I1652" s="37" t="n">
        <v>37.2</v>
      </c>
      <c r="J1652" s="39" t="n">
        <v>360.99</v>
      </c>
      <c r="K1652" s="37" t="s">
        <v>342</v>
      </c>
      <c r="L1652" s="39" t="n">
        <v>121.98</v>
      </c>
      <c r="M1652" s="39" t="n">
        <v>74.97</v>
      </c>
      <c r="N1652" s="39" t="n">
        <f aca="false">J1652*Resumo!$C$6</f>
        <v>0</v>
      </c>
      <c r="O1652" s="39" t="n">
        <f aca="false">J1652*Resumo!$C$7</f>
        <v>0.758079</v>
      </c>
      <c r="P1652" s="39" t="n">
        <f aca="false">J1652*Resumo!$C$8</f>
        <v>0.758079</v>
      </c>
      <c r="Q1652" s="39" t="n">
        <f aca="false">Resumo!$C$10*CEILING(I1652/100,1)</f>
        <v>1.05</v>
      </c>
      <c r="R1652" s="39" t="n">
        <f aca="false">Resumo!$C$9</f>
        <v>0</v>
      </c>
      <c r="S1652" s="39" t="n">
        <f aca="false">Resumo!$C$13</f>
        <v>13.55</v>
      </c>
      <c r="T1652" s="39" t="n">
        <f aca="false">Resumo!$C$14*CEILING(I1652,1)</f>
        <v>17.1</v>
      </c>
      <c r="U1652" s="39" t="n">
        <f aca="false">SUM(M1652:T1652)*Resumo!$C$11</f>
        <v>0</v>
      </c>
      <c r="V1652" s="39" t="n">
        <f aca="false">SUM(M1652:U1652)</f>
        <v>108.186158</v>
      </c>
      <c r="W1652" s="39" t="n">
        <f aca="false">V1652/(1-Resumo!$C$5)</f>
        <v>122.938815909091</v>
      </c>
      <c r="X1652" s="39" t="n">
        <v>124.38</v>
      </c>
      <c r="Y1652" s="39" t="n">
        <f aca="false">J1652*Resumo!$B$6</f>
        <v>0.36099</v>
      </c>
      <c r="Z1652" s="39" t="n">
        <f aca="false">J1652*Resumo!$B$7</f>
        <v>0.72198</v>
      </c>
      <c r="AA1652" s="39" t="n">
        <f aca="false">Resumo!$B$9</f>
        <v>1</v>
      </c>
      <c r="AB1652" s="39" t="n">
        <f aca="false">Resumo!$B$10*CEILING(I1652/100,1)</f>
        <v>4.5</v>
      </c>
      <c r="AC1652" s="39" t="n">
        <f aca="false">Resumo!$B$12*CEILING(I1652,1)</f>
        <v>2.28</v>
      </c>
      <c r="AD1652" s="39" t="n">
        <f aca="false">Resumo!$B$14*CEILING(I1652,1)</f>
        <v>17.1</v>
      </c>
      <c r="AE1652" s="39" t="n">
        <f aca="false">SUM(X1652:AD1652)</f>
        <v>150.34297</v>
      </c>
      <c r="AF1652" s="39" t="n">
        <f aca="false">AE1652/(1-Resumo!$B$5)</f>
        <v>170.844284090909</v>
      </c>
      <c r="AG1652" s="39" t="n">
        <f aca="false">AF1652-W1652</f>
        <v>47.9054681818182</v>
      </c>
      <c r="AH1652" s="40" t="n">
        <f aca="false">AF1652/W1652-1</f>
        <v>0.389669184850801</v>
      </c>
      <c r="AI1652" s="37" t="str">
        <f aca="false">IF(AF1652&lt;W1652,"SIM","NÃO")</f>
        <v>NÃO</v>
      </c>
      <c r="AJ1652" s="37" t="n">
        <v>13</v>
      </c>
      <c r="AK1652" s="37" t="n">
        <v>10</v>
      </c>
      <c r="AL1652" s="37" t="s">
        <v>343</v>
      </c>
      <c r="AM1652" s="39" t="n">
        <v>121.98</v>
      </c>
    </row>
    <row r="1653" customFormat="false" ht="15" hidden="false" customHeight="false" outlineLevel="0" collapsed="false">
      <c r="A1653" s="37" t="n">
        <v>391391659</v>
      </c>
      <c r="B1653" s="38" t="n">
        <v>46274.4486689815</v>
      </c>
      <c r="C1653" s="37" t="s">
        <v>340</v>
      </c>
      <c r="D1653" s="37" t="s">
        <v>696</v>
      </c>
      <c r="E1653" s="37" t="n">
        <v>23092080</v>
      </c>
      <c r="F1653" s="37" t="s">
        <v>159</v>
      </c>
      <c r="G1653" s="37" t="s">
        <v>196</v>
      </c>
      <c r="H1653" s="37" t="s">
        <v>184</v>
      </c>
      <c r="I1653" s="37" t="n">
        <v>34.8</v>
      </c>
      <c r="J1653" s="39" t="n">
        <v>469.99</v>
      </c>
      <c r="K1653" s="37" t="s">
        <v>342</v>
      </c>
      <c r="L1653" s="39" t="n">
        <v>82.58</v>
      </c>
      <c r="M1653" s="39" t="n">
        <v>42.11</v>
      </c>
      <c r="N1653" s="39" t="n">
        <f aca="false">J1653*Resumo!$C$6</f>
        <v>0</v>
      </c>
      <c r="O1653" s="39" t="n">
        <f aca="false">J1653*Resumo!$C$7</f>
        <v>0.986979</v>
      </c>
      <c r="P1653" s="39" t="n">
        <f aca="false">J1653*Resumo!$C$8</f>
        <v>0.986979</v>
      </c>
      <c r="Q1653" s="39" t="n">
        <f aca="false">Resumo!$C$10*CEILING(I1653/100,1)</f>
        <v>1.05</v>
      </c>
      <c r="R1653" s="39" t="n">
        <f aca="false">Resumo!$C$9</f>
        <v>0</v>
      </c>
      <c r="S1653" s="39" t="n">
        <f aca="false">Resumo!$C$13</f>
        <v>13.55</v>
      </c>
      <c r="T1653" s="39" t="n">
        <f aca="false">Resumo!$C$14*CEILING(I1653,1)</f>
        <v>15.75</v>
      </c>
      <c r="U1653" s="39" t="n">
        <f aca="false">SUM(M1653:T1653)*Resumo!$C$11</f>
        <v>0</v>
      </c>
      <c r="V1653" s="39" t="n">
        <f aca="false">SUM(M1653:U1653)</f>
        <v>74.433958</v>
      </c>
      <c r="W1653" s="39" t="n">
        <f aca="false">V1653/(1-Resumo!$C$5)</f>
        <v>84.5840431818182</v>
      </c>
      <c r="X1653" s="39" t="n">
        <v>82.21</v>
      </c>
      <c r="Y1653" s="39" t="n">
        <f aca="false">J1653*Resumo!$B$6</f>
        <v>0.46999</v>
      </c>
      <c r="Z1653" s="39" t="n">
        <f aca="false">J1653*Resumo!$B$7</f>
        <v>0.93998</v>
      </c>
      <c r="AA1653" s="39" t="n">
        <f aca="false">Resumo!$B$9</f>
        <v>1</v>
      </c>
      <c r="AB1653" s="39" t="n">
        <f aca="false">Resumo!$B$10*CEILING(I1653/100,1)</f>
        <v>4.5</v>
      </c>
      <c r="AC1653" s="39" t="n">
        <f aca="false">Resumo!$B$12*CEILING(I1653,1)</f>
        <v>2.1</v>
      </c>
      <c r="AD1653" s="39" t="n">
        <f aca="false">Resumo!$B$14*CEILING(I1653,1)</f>
        <v>15.75</v>
      </c>
      <c r="AE1653" s="39" t="n">
        <f aca="false">SUM(X1653:AD1653)</f>
        <v>106.96997</v>
      </c>
      <c r="AF1653" s="39" t="n">
        <f aca="false">AE1653/(1-Resumo!$B$5)</f>
        <v>121.556784090909</v>
      </c>
      <c r="AG1653" s="39" t="n">
        <f aca="false">AF1653-W1653</f>
        <v>36.9727409090909</v>
      </c>
      <c r="AH1653" s="40" t="n">
        <f aca="false">AF1653/W1653-1</f>
        <v>0.437112480300994</v>
      </c>
      <c r="AI1653" s="37" t="str">
        <f aca="false">IF(AF1653&lt;W1653,"SIM","NÃO")</f>
        <v>NÃO</v>
      </c>
      <c r="AJ1653" s="37" t="n">
        <v>2</v>
      </c>
      <c r="AK1653" s="37" t="n">
        <v>5</v>
      </c>
      <c r="AL1653" s="37" t="s">
        <v>343</v>
      </c>
      <c r="AM1653" s="39" t="n">
        <v>82.58</v>
      </c>
    </row>
    <row r="1654" customFormat="false" ht="15" hidden="false" customHeight="false" outlineLevel="0" collapsed="false">
      <c r="A1654" s="37" t="n">
        <v>391437552</v>
      </c>
      <c r="B1654" s="38" t="n">
        <v>46274.4997685185</v>
      </c>
      <c r="C1654" s="37" t="s">
        <v>340</v>
      </c>
      <c r="D1654" s="37" t="s">
        <v>1857</v>
      </c>
      <c r="E1654" s="37" t="n">
        <v>23028055</v>
      </c>
      <c r="F1654" s="37" t="s">
        <v>159</v>
      </c>
      <c r="G1654" s="37" t="s">
        <v>196</v>
      </c>
      <c r="H1654" s="37" t="s">
        <v>185</v>
      </c>
      <c r="I1654" s="37" t="n">
        <v>35.4</v>
      </c>
      <c r="J1654" s="39" t="n">
        <v>499.99</v>
      </c>
      <c r="K1654" s="37" t="s">
        <v>342</v>
      </c>
      <c r="L1654" s="39" t="n">
        <v>92.25</v>
      </c>
      <c r="M1654" s="39" t="n">
        <v>48.35</v>
      </c>
      <c r="N1654" s="39" t="n">
        <f aca="false">J1654*Resumo!$C$6</f>
        <v>0</v>
      </c>
      <c r="O1654" s="39" t="n">
        <f aca="false">J1654*Resumo!$C$7</f>
        <v>1.049979</v>
      </c>
      <c r="P1654" s="39" t="n">
        <f aca="false">J1654*Resumo!$C$8</f>
        <v>1.049979</v>
      </c>
      <c r="Q1654" s="39" t="n">
        <f aca="false">Resumo!$C$10*CEILING(I1654/100,1)</f>
        <v>1.05</v>
      </c>
      <c r="R1654" s="39" t="n">
        <f aca="false">Resumo!$C$9</f>
        <v>0</v>
      </c>
      <c r="S1654" s="39" t="n">
        <f aca="false">Resumo!$C$13</f>
        <v>13.55</v>
      </c>
      <c r="T1654" s="39" t="n">
        <f aca="false">Resumo!$C$14*CEILING(I1654,1)</f>
        <v>16.2</v>
      </c>
      <c r="U1654" s="39" t="n">
        <f aca="false">SUM(M1654:T1654)*Resumo!$C$11</f>
        <v>0</v>
      </c>
      <c r="V1654" s="39" t="n">
        <f aca="false">SUM(M1654:U1654)</f>
        <v>81.249958</v>
      </c>
      <c r="W1654" s="39" t="n">
        <f aca="false">V1654/(1-Resumo!$C$5)</f>
        <v>92.3294977272727</v>
      </c>
      <c r="X1654" s="39" t="n">
        <v>93.97</v>
      </c>
      <c r="Y1654" s="39" t="n">
        <f aca="false">J1654*Resumo!$B$6</f>
        <v>0.49999</v>
      </c>
      <c r="Z1654" s="39" t="n">
        <f aca="false">J1654*Resumo!$B$7</f>
        <v>0.99998</v>
      </c>
      <c r="AA1654" s="39" t="n">
        <f aca="false">Resumo!$B$9</f>
        <v>1</v>
      </c>
      <c r="AB1654" s="39" t="n">
        <f aca="false">Resumo!$B$10*CEILING(I1654/100,1)</f>
        <v>4.5</v>
      </c>
      <c r="AC1654" s="39" t="n">
        <f aca="false">Resumo!$B$12*CEILING(I1654,1)</f>
        <v>2.16</v>
      </c>
      <c r="AD1654" s="39" t="n">
        <f aca="false">Resumo!$B$14*CEILING(I1654,1)</f>
        <v>16.2</v>
      </c>
      <c r="AE1654" s="39" t="n">
        <f aca="false">SUM(X1654:AD1654)</f>
        <v>119.32997</v>
      </c>
      <c r="AF1654" s="39" t="n">
        <f aca="false">AE1654/(1-Resumo!$B$5)</f>
        <v>135.602238636364</v>
      </c>
      <c r="AG1654" s="39" t="n">
        <f aca="false">AF1654-W1654</f>
        <v>43.2727409090909</v>
      </c>
      <c r="AH1654" s="40" t="n">
        <f aca="false">AF1654/W1654-1</f>
        <v>0.468677313039349</v>
      </c>
      <c r="AI1654" s="37" t="str">
        <f aca="false">IF(AF1654&lt;W1654,"SIM","NÃO")</f>
        <v>NÃO</v>
      </c>
      <c r="AJ1654" s="37" t="n">
        <v>2</v>
      </c>
      <c r="AK1654" s="37" t="n">
        <v>5</v>
      </c>
      <c r="AL1654" s="37" t="s">
        <v>343</v>
      </c>
      <c r="AM1654" s="39" t="n">
        <v>92.25</v>
      </c>
    </row>
    <row r="1655" customFormat="false" ht="15" hidden="false" customHeight="false" outlineLevel="0" collapsed="false">
      <c r="A1655" s="37" t="n">
        <v>391499524</v>
      </c>
      <c r="B1655" s="38" t="n">
        <v>46274.5593402778</v>
      </c>
      <c r="C1655" s="37" t="s">
        <v>340</v>
      </c>
      <c r="D1655" s="37" t="s">
        <v>902</v>
      </c>
      <c r="E1655" s="37" t="n">
        <v>28930000</v>
      </c>
      <c r="F1655" s="37" t="s">
        <v>291</v>
      </c>
      <c r="G1655" s="37" t="s">
        <v>198</v>
      </c>
      <c r="H1655" s="37" t="s">
        <v>186</v>
      </c>
      <c r="I1655" s="37" t="n">
        <v>48</v>
      </c>
      <c r="J1655" s="39" t="n">
        <v>828.99</v>
      </c>
      <c r="K1655" s="37" t="s">
        <v>342</v>
      </c>
      <c r="L1655" s="39" t="n">
        <v>132.14</v>
      </c>
      <c r="M1655" s="39" t="n">
        <v>77.7</v>
      </c>
      <c r="N1655" s="39" t="n">
        <f aca="false">J1655*Resumo!$C$6</f>
        <v>0</v>
      </c>
      <c r="O1655" s="39" t="n">
        <f aca="false">J1655*Resumo!$C$7</f>
        <v>1.740879</v>
      </c>
      <c r="P1655" s="39" t="n">
        <f aca="false">J1655*Resumo!$C$8</f>
        <v>1.740879</v>
      </c>
      <c r="Q1655" s="39" t="n">
        <f aca="false">Resumo!$C$10*CEILING(I1655/100,1)</f>
        <v>1.05</v>
      </c>
      <c r="R1655" s="39" t="n">
        <f aca="false">Resumo!$C$9</f>
        <v>0</v>
      </c>
      <c r="S1655" s="39" t="n">
        <f aca="false">Resumo!$C$13</f>
        <v>13.55</v>
      </c>
      <c r="T1655" s="39" t="n">
        <f aca="false">Resumo!$C$14*CEILING(I1655,1)</f>
        <v>21.6</v>
      </c>
      <c r="U1655" s="39" t="n">
        <f aca="false">SUM(M1655:T1655)*Resumo!$C$11</f>
        <v>0</v>
      </c>
      <c r="V1655" s="39" t="n">
        <f aca="false">SUM(M1655:U1655)</f>
        <v>117.381758</v>
      </c>
      <c r="W1655" s="39" t="n">
        <f aca="false">V1655/(1-Resumo!$C$5)</f>
        <v>133.388361363636</v>
      </c>
      <c r="X1655" s="39" t="n">
        <v>129.29</v>
      </c>
      <c r="Y1655" s="39" t="n">
        <f aca="false">J1655*Resumo!$B$6</f>
        <v>0.82899</v>
      </c>
      <c r="Z1655" s="39" t="n">
        <f aca="false">J1655*Resumo!$B$7</f>
        <v>1.65798</v>
      </c>
      <c r="AA1655" s="39" t="n">
        <f aca="false">Resumo!$B$9</f>
        <v>1</v>
      </c>
      <c r="AB1655" s="39" t="n">
        <f aca="false">Resumo!$B$10*CEILING(I1655/100,1)</f>
        <v>4.5</v>
      </c>
      <c r="AC1655" s="39" t="n">
        <f aca="false">Resumo!$B$12*CEILING(I1655,1)</f>
        <v>2.88</v>
      </c>
      <c r="AD1655" s="39" t="n">
        <f aca="false">Resumo!$B$14*CEILING(I1655,1)</f>
        <v>21.6</v>
      </c>
      <c r="AE1655" s="39" t="n">
        <f aca="false">SUM(X1655:AD1655)</f>
        <v>161.75697</v>
      </c>
      <c r="AF1655" s="39" t="n">
        <f aca="false">AE1655/(1-Resumo!$B$5)</f>
        <v>183.814738636364</v>
      </c>
      <c r="AG1655" s="39" t="n">
        <f aca="false">AF1655-W1655</f>
        <v>50.4263772727273</v>
      </c>
      <c r="AH1655" s="40" t="n">
        <f aca="false">AF1655/W1655-1</f>
        <v>0.378041807825029</v>
      </c>
      <c r="AI1655" s="37" t="str">
        <f aca="false">IF(AF1655&lt;W1655,"SIM","NÃO")</f>
        <v>NÃO</v>
      </c>
      <c r="AJ1655" s="37" t="n">
        <v>13</v>
      </c>
      <c r="AK1655" s="37" t="n">
        <v>10</v>
      </c>
      <c r="AL1655" s="37" t="s">
        <v>347</v>
      </c>
      <c r="AM1655" s="39" t="n">
        <v>132.13</v>
      </c>
    </row>
    <row r="1656" customFormat="false" ht="15" hidden="false" customHeight="false" outlineLevel="0" collapsed="false">
      <c r="A1656" s="37" t="n">
        <v>391508677</v>
      </c>
      <c r="B1656" s="38" t="n">
        <v>46274.5672337963</v>
      </c>
      <c r="C1656" s="37" t="s">
        <v>340</v>
      </c>
      <c r="D1656" s="37" t="s">
        <v>1858</v>
      </c>
      <c r="E1656" s="37" t="n">
        <v>21012200</v>
      </c>
      <c r="F1656" s="37" t="s">
        <v>159</v>
      </c>
      <c r="G1656" s="37" t="s">
        <v>196</v>
      </c>
      <c r="H1656" s="37" t="s">
        <v>186</v>
      </c>
      <c r="I1656" s="37" t="n">
        <v>43.5</v>
      </c>
      <c r="J1656" s="39" t="n">
        <v>690.99</v>
      </c>
      <c r="K1656" s="37" t="s">
        <v>342</v>
      </c>
      <c r="L1656" s="39" t="n">
        <v>103.9</v>
      </c>
      <c r="M1656" s="39" t="n">
        <v>53.55</v>
      </c>
      <c r="N1656" s="39" t="n">
        <f aca="false">J1656*Resumo!$C$6</f>
        <v>0</v>
      </c>
      <c r="O1656" s="39" t="n">
        <f aca="false">J1656*Resumo!$C$7</f>
        <v>1.451079</v>
      </c>
      <c r="P1656" s="39" t="n">
        <f aca="false">J1656*Resumo!$C$8</f>
        <v>1.451079</v>
      </c>
      <c r="Q1656" s="39" t="n">
        <f aca="false">Resumo!$C$10*CEILING(I1656/100,1)</f>
        <v>1.05</v>
      </c>
      <c r="R1656" s="39" t="n">
        <f aca="false">Resumo!$C$9</f>
        <v>0</v>
      </c>
      <c r="S1656" s="39" t="n">
        <f aca="false">Resumo!$C$13</f>
        <v>13.55</v>
      </c>
      <c r="T1656" s="39" t="n">
        <f aca="false">Resumo!$C$14*CEILING(I1656,1)</f>
        <v>19.8</v>
      </c>
      <c r="U1656" s="39" t="n">
        <f aca="false">SUM(M1656:T1656)*Resumo!$C$11</f>
        <v>0</v>
      </c>
      <c r="V1656" s="39" t="n">
        <f aca="false">SUM(M1656:U1656)</f>
        <v>90.852158</v>
      </c>
      <c r="W1656" s="39" t="n">
        <f aca="false">V1656/(1-Resumo!$C$5)</f>
        <v>103.241088636364</v>
      </c>
      <c r="X1656" s="39" t="n">
        <v>93.97</v>
      </c>
      <c r="Y1656" s="39" t="n">
        <f aca="false">J1656*Resumo!$B$6</f>
        <v>0.69099</v>
      </c>
      <c r="Z1656" s="39" t="n">
        <f aca="false">J1656*Resumo!$B$7</f>
        <v>1.38198</v>
      </c>
      <c r="AA1656" s="39" t="n">
        <f aca="false">Resumo!$B$9</f>
        <v>1</v>
      </c>
      <c r="AB1656" s="39" t="n">
        <f aca="false">Resumo!$B$10*CEILING(I1656/100,1)</f>
        <v>4.5</v>
      </c>
      <c r="AC1656" s="39" t="n">
        <f aca="false">Resumo!$B$12*CEILING(I1656,1)</f>
        <v>2.64</v>
      </c>
      <c r="AD1656" s="39" t="n">
        <f aca="false">Resumo!$B$14*CEILING(I1656,1)</f>
        <v>19.8</v>
      </c>
      <c r="AE1656" s="39" t="n">
        <f aca="false">SUM(X1656:AD1656)</f>
        <v>123.98297</v>
      </c>
      <c r="AF1656" s="39" t="n">
        <f aca="false">AE1656/(1-Resumo!$B$5)</f>
        <v>140.889738636364</v>
      </c>
      <c r="AG1656" s="39" t="n">
        <f aca="false">AF1656-W1656</f>
        <v>37.64865</v>
      </c>
      <c r="AH1656" s="40" t="n">
        <f aca="false">AF1656/W1656-1</f>
        <v>0.364667309278443</v>
      </c>
      <c r="AI1656" s="37" t="str">
        <f aca="false">IF(AF1656&lt;W1656,"SIM","NÃO")</f>
        <v>NÃO</v>
      </c>
      <c r="AJ1656" s="37" t="n">
        <v>2</v>
      </c>
      <c r="AK1656" s="37" t="n">
        <v>5</v>
      </c>
      <c r="AL1656" s="37" t="s">
        <v>343</v>
      </c>
      <c r="AM1656" s="39" t="n">
        <v>103.9</v>
      </c>
    </row>
    <row r="1657" customFormat="false" ht="15" hidden="false" customHeight="false" outlineLevel="0" collapsed="false">
      <c r="A1657" s="37" t="n">
        <v>391514814</v>
      </c>
      <c r="B1657" s="38" t="n">
        <v>46274.5730787037</v>
      </c>
      <c r="C1657" s="37" t="s">
        <v>340</v>
      </c>
      <c r="D1657" s="37" t="s">
        <v>1859</v>
      </c>
      <c r="E1657" s="37" t="n">
        <v>24715631</v>
      </c>
      <c r="F1657" s="37" t="s">
        <v>160</v>
      </c>
      <c r="G1657" s="37" t="s">
        <v>197</v>
      </c>
      <c r="H1657" s="37" t="s">
        <v>184</v>
      </c>
      <c r="I1657" s="37" t="n">
        <v>30.5</v>
      </c>
      <c r="J1657" s="39" t="n">
        <v>429.99</v>
      </c>
      <c r="K1657" s="37" t="s">
        <v>518</v>
      </c>
      <c r="L1657" s="39" t="n">
        <v>101.31</v>
      </c>
      <c r="M1657" s="39" t="n">
        <v>58.8</v>
      </c>
      <c r="N1657" s="39" t="n">
        <f aca="false">J1657*Resumo!$C$6</f>
        <v>0</v>
      </c>
      <c r="O1657" s="39" t="n">
        <f aca="false">J1657*Resumo!$C$7</f>
        <v>0.902979</v>
      </c>
      <c r="P1657" s="39" t="n">
        <f aca="false">J1657*Resumo!$C$8</f>
        <v>0.902979</v>
      </c>
      <c r="Q1657" s="39" t="n">
        <f aca="false">Resumo!$C$10*CEILING(I1657/100,1)</f>
        <v>1.05</v>
      </c>
      <c r="R1657" s="39" t="n">
        <f aca="false">Resumo!$C$9</f>
        <v>0</v>
      </c>
      <c r="S1657" s="39" t="n">
        <f aca="false">Resumo!$C$13</f>
        <v>13.55</v>
      </c>
      <c r="T1657" s="39" t="n">
        <f aca="false">Resumo!$C$14*CEILING(I1657,1)</f>
        <v>13.95</v>
      </c>
      <c r="U1657" s="39" t="n">
        <f aca="false">SUM(M1657:T1657)*Resumo!$C$11</f>
        <v>0</v>
      </c>
      <c r="V1657" s="39" t="n">
        <f aca="false">SUM(M1657:U1657)</f>
        <v>89.155958</v>
      </c>
      <c r="W1657" s="39" t="n">
        <f aca="false">V1657/(1-Resumo!$C$5)</f>
        <v>101.313588636364</v>
      </c>
      <c r="X1657" s="39" t="n">
        <v>100.58</v>
      </c>
      <c r="Y1657" s="39" t="n">
        <f aca="false">J1657*Resumo!$B$6</f>
        <v>0.42999</v>
      </c>
      <c r="Z1657" s="39" t="n">
        <f aca="false">J1657*Resumo!$B$7</f>
        <v>0.85998</v>
      </c>
      <c r="AA1657" s="39" t="n">
        <f aca="false">Resumo!$B$9</f>
        <v>1</v>
      </c>
      <c r="AB1657" s="39" t="n">
        <f aca="false">Resumo!$B$10*CEILING(I1657/100,1)</f>
        <v>4.5</v>
      </c>
      <c r="AC1657" s="39" t="n">
        <f aca="false">Resumo!$B$12*CEILING(I1657,1)</f>
        <v>1.86</v>
      </c>
      <c r="AD1657" s="39" t="n">
        <f aca="false">Resumo!$B$14*CEILING(I1657,1)</f>
        <v>13.95</v>
      </c>
      <c r="AE1657" s="39" t="n">
        <f aca="false">SUM(X1657:AD1657)</f>
        <v>123.17997</v>
      </c>
      <c r="AF1657" s="39" t="n">
        <f aca="false">AE1657/(1-Resumo!$B$5)</f>
        <v>139.977238636364</v>
      </c>
      <c r="AG1657" s="39" t="n">
        <f aca="false">AF1657-W1657</f>
        <v>38.66365</v>
      </c>
      <c r="AH1657" s="40" t="n">
        <f aca="false">AF1657/W1657-1</f>
        <v>0.381623536589669</v>
      </c>
      <c r="AI1657" s="37" t="str">
        <f aca="false">IF(AF1657&lt;W1657,"SIM","NÃO")</f>
        <v>NÃO</v>
      </c>
      <c r="AJ1657" s="37" t="n">
        <v>2</v>
      </c>
      <c r="AK1657" s="37" t="n">
        <v>7</v>
      </c>
      <c r="AL1657" s="37" t="s">
        <v>343</v>
      </c>
      <c r="AM1657" s="39" t="n">
        <v>101.45</v>
      </c>
    </row>
    <row r="1658" customFormat="false" ht="15" hidden="false" customHeight="false" outlineLevel="0" collapsed="false">
      <c r="A1658" s="37" t="n">
        <v>391515967</v>
      </c>
      <c r="B1658" s="38" t="n">
        <v>46274.5741435185</v>
      </c>
      <c r="C1658" s="37" t="s">
        <v>340</v>
      </c>
      <c r="D1658" s="37" t="s">
        <v>1860</v>
      </c>
      <c r="E1658" s="37" t="n">
        <v>21842596</v>
      </c>
      <c r="F1658" s="37" t="s">
        <v>159</v>
      </c>
      <c r="G1658" s="37" t="s">
        <v>196</v>
      </c>
      <c r="H1658" s="37" t="s">
        <v>185</v>
      </c>
      <c r="I1658" s="37" t="n">
        <v>40</v>
      </c>
      <c r="J1658" s="39" t="n">
        <v>579.99</v>
      </c>
      <c r="K1658" s="37" t="s">
        <v>342</v>
      </c>
      <c r="L1658" s="39" t="n">
        <v>92.64</v>
      </c>
      <c r="M1658" s="39" t="n">
        <v>48.35</v>
      </c>
      <c r="N1658" s="39" t="n">
        <f aca="false">J1658*Resumo!$C$6</f>
        <v>0</v>
      </c>
      <c r="O1658" s="39" t="n">
        <f aca="false">J1658*Resumo!$C$7</f>
        <v>1.217979</v>
      </c>
      <c r="P1658" s="39" t="n">
        <f aca="false">J1658*Resumo!$C$8</f>
        <v>1.217979</v>
      </c>
      <c r="Q1658" s="39" t="n">
        <f aca="false">Resumo!$C$10*CEILING(I1658/100,1)</f>
        <v>1.05</v>
      </c>
      <c r="R1658" s="39" t="n">
        <f aca="false">Resumo!$C$9</f>
        <v>0</v>
      </c>
      <c r="S1658" s="39" t="n">
        <f aca="false">Resumo!$C$13</f>
        <v>13.55</v>
      </c>
      <c r="T1658" s="39" t="n">
        <f aca="false">Resumo!$C$14*CEILING(I1658,1)</f>
        <v>18</v>
      </c>
      <c r="U1658" s="39" t="n">
        <f aca="false">SUM(M1658:T1658)*Resumo!$C$11</f>
        <v>0</v>
      </c>
      <c r="V1658" s="39" t="n">
        <f aca="false">SUM(M1658:U1658)</f>
        <v>83.385958</v>
      </c>
      <c r="W1658" s="39" t="n">
        <f aca="false">V1658/(1-Resumo!$C$5)</f>
        <v>94.7567704545455</v>
      </c>
      <c r="X1658" s="39" t="n">
        <v>93.97</v>
      </c>
      <c r="Y1658" s="39" t="n">
        <f aca="false">J1658*Resumo!$B$6</f>
        <v>0.57999</v>
      </c>
      <c r="Z1658" s="39" t="n">
        <f aca="false">J1658*Resumo!$B$7</f>
        <v>1.15998</v>
      </c>
      <c r="AA1658" s="39" t="n">
        <f aca="false">Resumo!$B$9</f>
        <v>1</v>
      </c>
      <c r="AB1658" s="39" t="n">
        <f aca="false">Resumo!$B$10*CEILING(I1658/100,1)</f>
        <v>4.5</v>
      </c>
      <c r="AC1658" s="39" t="n">
        <f aca="false">Resumo!$B$12*CEILING(I1658,1)</f>
        <v>2.4</v>
      </c>
      <c r="AD1658" s="39" t="n">
        <f aca="false">Resumo!$B$14*CEILING(I1658,1)</f>
        <v>18</v>
      </c>
      <c r="AE1658" s="39" t="n">
        <f aca="false">SUM(X1658:AD1658)</f>
        <v>121.60997</v>
      </c>
      <c r="AF1658" s="39" t="n">
        <f aca="false">AE1658/(1-Resumo!$B$5)</f>
        <v>138.193147727273</v>
      </c>
      <c r="AG1658" s="39" t="n">
        <f aca="false">AF1658-W1658</f>
        <v>43.4363772727273</v>
      </c>
      <c r="AH1658" s="40" t="n">
        <f aca="false">AF1658/W1658-1</f>
        <v>0.458398667075337</v>
      </c>
      <c r="AI1658" s="37" t="str">
        <f aca="false">IF(AF1658&lt;W1658,"SIM","NÃO")</f>
        <v>NÃO</v>
      </c>
      <c r="AJ1658" s="37" t="n">
        <v>2</v>
      </c>
      <c r="AK1658" s="37" t="n">
        <v>5</v>
      </c>
      <c r="AL1658" s="37" t="s">
        <v>343</v>
      </c>
      <c r="AM1658" s="39" t="n">
        <v>92.64</v>
      </c>
    </row>
    <row r="1659" customFormat="false" ht="15" hidden="false" customHeight="false" outlineLevel="0" collapsed="false">
      <c r="A1659" s="37" t="n">
        <v>391663600</v>
      </c>
      <c r="B1659" s="38" t="n">
        <v>46274.5812615741</v>
      </c>
      <c r="C1659" s="37" t="s">
        <v>345</v>
      </c>
      <c r="D1659" s="37" t="s">
        <v>1861</v>
      </c>
      <c r="E1659" s="37" t="n">
        <v>24440900</v>
      </c>
      <c r="F1659" s="37" t="s">
        <v>160</v>
      </c>
      <c r="G1659" s="37" t="s">
        <v>197</v>
      </c>
      <c r="H1659" s="37" t="s">
        <v>186</v>
      </c>
      <c r="I1659" s="37" t="n">
        <v>48.6</v>
      </c>
      <c r="J1659" s="39" t="n">
        <v>601.74</v>
      </c>
      <c r="K1659" s="37" t="s">
        <v>518</v>
      </c>
      <c r="L1659" s="39" t="n">
        <v>118.78</v>
      </c>
      <c r="M1659" s="39" t="n">
        <v>65.36</v>
      </c>
      <c r="N1659" s="39" t="n">
        <f aca="false">J1659*Resumo!$C$6</f>
        <v>0</v>
      </c>
      <c r="O1659" s="39" t="n">
        <f aca="false">J1659*Resumo!$C$7</f>
        <v>1.263654</v>
      </c>
      <c r="P1659" s="39" t="n">
        <f aca="false">J1659*Resumo!$C$8</f>
        <v>1.263654</v>
      </c>
      <c r="Q1659" s="39" t="n">
        <f aca="false">Resumo!$C$10*CEILING(I1659/100,1)</f>
        <v>1.05</v>
      </c>
      <c r="R1659" s="39" t="n">
        <f aca="false">Resumo!$C$9</f>
        <v>0</v>
      </c>
      <c r="S1659" s="39" t="n">
        <f aca="false">Resumo!$C$13</f>
        <v>13.55</v>
      </c>
      <c r="T1659" s="39" t="n">
        <f aca="false">Resumo!$C$14*CEILING(I1659,1)</f>
        <v>22.05</v>
      </c>
      <c r="U1659" s="39" t="n">
        <f aca="false">SUM(M1659:T1659)*Resumo!$C$11</f>
        <v>0</v>
      </c>
      <c r="V1659" s="39" t="n">
        <f aca="false">SUM(M1659:U1659)</f>
        <v>104.537308</v>
      </c>
      <c r="W1659" s="39" t="n">
        <f aca="false">V1659/(1-Resumo!$C$5)</f>
        <v>118.792395454545</v>
      </c>
      <c r="X1659" s="39" t="n">
        <v>114.95</v>
      </c>
      <c r="Y1659" s="39" t="n">
        <f aca="false">J1659*Resumo!$B$6</f>
        <v>0.60174</v>
      </c>
      <c r="Z1659" s="39" t="n">
        <f aca="false">J1659*Resumo!$B$7</f>
        <v>1.20348</v>
      </c>
      <c r="AA1659" s="39" t="n">
        <f aca="false">Resumo!$B$9</f>
        <v>1</v>
      </c>
      <c r="AB1659" s="39" t="n">
        <f aca="false">Resumo!$B$10*CEILING(I1659/100,1)</f>
        <v>4.5</v>
      </c>
      <c r="AC1659" s="39" t="n">
        <f aca="false">Resumo!$B$12*CEILING(I1659,1)</f>
        <v>2.94</v>
      </c>
      <c r="AD1659" s="39" t="n">
        <f aca="false">Resumo!$B$14*CEILING(I1659,1)</f>
        <v>22.05</v>
      </c>
      <c r="AE1659" s="39" t="n">
        <f aca="false">SUM(X1659:AD1659)</f>
        <v>147.24522</v>
      </c>
      <c r="AF1659" s="39" t="n">
        <f aca="false">AE1659/(1-Resumo!$B$5)</f>
        <v>167.324113636364</v>
      </c>
      <c r="AG1659" s="39" t="n">
        <f aca="false">AF1659-W1659</f>
        <v>48.5317181818182</v>
      </c>
      <c r="AH1659" s="40" t="n">
        <f aca="false">AF1659/W1659-1</f>
        <v>0.408542297645545</v>
      </c>
      <c r="AI1659" s="37" t="str">
        <f aca="false">IF(AF1659&lt;W1659,"SIM","NÃO")</f>
        <v>NÃO</v>
      </c>
      <c r="AJ1659" s="37" t="n">
        <v>2</v>
      </c>
      <c r="AK1659" s="37" t="n">
        <v>7</v>
      </c>
      <c r="AL1659" s="37" t="s">
        <v>343</v>
      </c>
      <c r="AM1659" s="39" t="n">
        <v>116.96</v>
      </c>
    </row>
    <row r="1660" customFormat="false" ht="15" hidden="false" customHeight="false" outlineLevel="0" collapsed="false">
      <c r="A1660" s="37" t="n">
        <v>391527267</v>
      </c>
      <c r="B1660" s="38" t="n">
        <v>46274.5873958333</v>
      </c>
      <c r="C1660" s="37" t="s">
        <v>340</v>
      </c>
      <c r="D1660" s="37" t="s">
        <v>1862</v>
      </c>
      <c r="E1660" s="37" t="n">
        <v>27966690</v>
      </c>
      <c r="F1660" s="37" t="s">
        <v>166</v>
      </c>
      <c r="G1660" s="37" t="s">
        <v>198</v>
      </c>
      <c r="H1660" s="37" t="s">
        <v>184</v>
      </c>
      <c r="I1660" s="37" t="n">
        <v>27.6</v>
      </c>
      <c r="J1660" s="39" t="n">
        <v>559.99</v>
      </c>
      <c r="K1660" s="37" t="s">
        <v>518</v>
      </c>
      <c r="L1660" s="39" t="n">
        <v>108.17</v>
      </c>
      <c r="M1660" s="39" t="n">
        <v>65.63</v>
      </c>
      <c r="N1660" s="39" t="n">
        <f aca="false">J1660*Resumo!$C$6</f>
        <v>0</v>
      </c>
      <c r="O1660" s="39" t="n">
        <f aca="false">J1660*Resumo!$C$7</f>
        <v>1.175979</v>
      </c>
      <c r="P1660" s="39" t="n">
        <f aca="false">J1660*Resumo!$C$8</f>
        <v>1.175979</v>
      </c>
      <c r="Q1660" s="39" t="n">
        <f aca="false">Resumo!$C$10*CEILING(I1660/100,1)</f>
        <v>1.05</v>
      </c>
      <c r="R1660" s="39" t="n">
        <f aca="false">Resumo!$C$9</f>
        <v>0</v>
      </c>
      <c r="S1660" s="39" t="n">
        <f aca="false">Resumo!$C$13</f>
        <v>13.55</v>
      </c>
      <c r="T1660" s="39" t="n">
        <f aca="false">Resumo!$C$14*CEILING(I1660,1)</f>
        <v>12.6</v>
      </c>
      <c r="U1660" s="39" t="n">
        <f aca="false">SUM(M1660:T1660)*Resumo!$C$11</f>
        <v>0</v>
      </c>
      <c r="V1660" s="39" t="n">
        <f aca="false">SUM(M1660:U1660)</f>
        <v>95.181958</v>
      </c>
      <c r="W1660" s="39" t="n">
        <f aca="false">V1660/(1-Resumo!$C$5)</f>
        <v>108.161315909091</v>
      </c>
      <c r="X1660" s="39" t="n">
        <v>138.29</v>
      </c>
      <c r="Y1660" s="39" t="n">
        <f aca="false">J1660*Resumo!$B$6</f>
        <v>0.55999</v>
      </c>
      <c r="Z1660" s="39" t="n">
        <f aca="false">J1660*Resumo!$B$7</f>
        <v>1.11998</v>
      </c>
      <c r="AA1660" s="39" t="n">
        <f aca="false">Resumo!$B$9</f>
        <v>1</v>
      </c>
      <c r="AB1660" s="39" t="n">
        <f aca="false">Resumo!$B$10*CEILING(I1660/100,1)</f>
        <v>4.5</v>
      </c>
      <c r="AC1660" s="39" t="n">
        <f aca="false">Resumo!$B$12*CEILING(I1660,1)</f>
        <v>1.68</v>
      </c>
      <c r="AD1660" s="39" t="n">
        <f aca="false">Resumo!$B$14*CEILING(I1660,1)</f>
        <v>12.6</v>
      </c>
      <c r="AE1660" s="39" t="n">
        <f aca="false">SUM(X1660:AD1660)</f>
        <v>159.74997</v>
      </c>
      <c r="AF1660" s="39" t="n">
        <f aca="false">AE1660/(1-Resumo!$B$5)</f>
        <v>181.534056818182</v>
      </c>
      <c r="AG1660" s="39" t="n">
        <f aca="false">AF1660-W1660</f>
        <v>73.3727409090909</v>
      </c>
      <c r="AH1660" s="40" t="n">
        <f aca="false">AF1660/W1660-1</f>
        <v>0.678363981543645</v>
      </c>
      <c r="AI1660" s="37" t="str">
        <f aca="false">IF(AF1660&lt;W1660,"SIM","NÃO")</f>
        <v>NÃO</v>
      </c>
      <c r="AJ1660" s="37" t="n">
        <v>13</v>
      </c>
      <c r="AK1660" s="37" t="n">
        <v>11</v>
      </c>
      <c r="AL1660" s="37" t="s">
        <v>343</v>
      </c>
      <c r="AM1660" s="39" t="n">
        <v>109.86</v>
      </c>
    </row>
    <row r="1661" customFormat="false" ht="15" hidden="false" customHeight="false" outlineLevel="0" collapsed="false">
      <c r="A1661" s="37" t="n">
        <v>391529192</v>
      </c>
      <c r="B1661" s="38" t="n">
        <v>46274.5892361111</v>
      </c>
      <c r="C1661" s="37" t="s">
        <v>340</v>
      </c>
      <c r="D1661" s="37" t="s">
        <v>1863</v>
      </c>
      <c r="E1661" s="37" t="n">
        <v>27963795</v>
      </c>
      <c r="F1661" s="37" t="s">
        <v>166</v>
      </c>
      <c r="G1661" s="37" t="s">
        <v>198</v>
      </c>
      <c r="H1661" s="37" t="s">
        <v>184</v>
      </c>
      <c r="I1661" s="37" t="n">
        <v>27</v>
      </c>
      <c r="J1661" s="39" t="n">
        <v>349.99</v>
      </c>
      <c r="K1661" s="37" t="s">
        <v>518</v>
      </c>
      <c r="L1661" s="39" t="n">
        <v>106.64</v>
      </c>
      <c r="M1661" s="39" t="n">
        <v>65.63</v>
      </c>
      <c r="N1661" s="39" t="n">
        <f aca="false">J1661*Resumo!$C$6</f>
        <v>0</v>
      </c>
      <c r="O1661" s="39" t="n">
        <f aca="false">J1661*Resumo!$C$7</f>
        <v>0.734979</v>
      </c>
      <c r="P1661" s="39" t="n">
        <f aca="false">J1661*Resumo!$C$8</f>
        <v>0.734979</v>
      </c>
      <c r="Q1661" s="39" t="n">
        <f aca="false">Resumo!$C$10*CEILING(I1661/100,1)</f>
        <v>1.05</v>
      </c>
      <c r="R1661" s="39" t="n">
        <f aca="false">Resumo!$C$9</f>
        <v>0</v>
      </c>
      <c r="S1661" s="39" t="n">
        <f aca="false">Resumo!$C$13</f>
        <v>13.55</v>
      </c>
      <c r="T1661" s="39" t="n">
        <f aca="false">Resumo!$C$14*CEILING(I1661,1)</f>
        <v>12.15</v>
      </c>
      <c r="U1661" s="39" t="n">
        <f aca="false">SUM(M1661:T1661)*Resumo!$C$11</f>
        <v>0</v>
      </c>
      <c r="V1661" s="39" t="n">
        <f aca="false">SUM(M1661:U1661)</f>
        <v>93.849958</v>
      </c>
      <c r="W1661" s="39" t="n">
        <f aca="false">V1661/(1-Resumo!$C$5)</f>
        <v>106.647679545455</v>
      </c>
      <c r="X1661" s="39" t="n">
        <v>138.29</v>
      </c>
      <c r="Y1661" s="39" t="n">
        <f aca="false">J1661*Resumo!$B$6</f>
        <v>0.34999</v>
      </c>
      <c r="Z1661" s="39" t="n">
        <f aca="false">J1661*Resumo!$B$7</f>
        <v>0.69998</v>
      </c>
      <c r="AA1661" s="39" t="n">
        <f aca="false">Resumo!$B$9</f>
        <v>1</v>
      </c>
      <c r="AB1661" s="39" t="n">
        <f aca="false">Resumo!$B$10*CEILING(I1661/100,1)</f>
        <v>4.5</v>
      </c>
      <c r="AC1661" s="39" t="n">
        <f aca="false">Resumo!$B$12*CEILING(I1661,1)</f>
        <v>1.62</v>
      </c>
      <c r="AD1661" s="39" t="n">
        <f aca="false">Resumo!$B$14*CEILING(I1661,1)</f>
        <v>12.15</v>
      </c>
      <c r="AE1661" s="39" t="n">
        <f aca="false">SUM(X1661:AD1661)</f>
        <v>158.60997</v>
      </c>
      <c r="AF1661" s="39" t="n">
        <f aca="false">AE1661/(1-Resumo!$B$5)</f>
        <v>180.238602272727</v>
      </c>
      <c r="AG1661" s="39" t="n">
        <f aca="false">AF1661-W1661</f>
        <v>73.5909227272727</v>
      </c>
      <c r="AH1661" s="40" t="n">
        <f aca="false">AF1661/W1661-1</f>
        <v>0.690037730224663</v>
      </c>
      <c r="AI1661" s="37" t="str">
        <f aca="false">IF(AF1661&lt;W1661,"SIM","NÃO")</f>
        <v>NÃO</v>
      </c>
      <c r="AJ1661" s="37" t="n">
        <v>13</v>
      </c>
      <c r="AK1661" s="37" t="n">
        <v>11</v>
      </c>
      <c r="AL1661" s="37" t="s">
        <v>343</v>
      </c>
      <c r="AM1661" s="39" t="n">
        <v>108.86</v>
      </c>
    </row>
    <row r="1662" customFormat="false" ht="15" hidden="false" customHeight="false" outlineLevel="0" collapsed="false">
      <c r="A1662" s="37" t="n">
        <v>391535167</v>
      </c>
      <c r="B1662" s="38" t="n">
        <v>46274.5951388889</v>
      </c>
      <c r="C1662" s="37" t="s">
        <v>345</v>
      </c>
      <c r="D1662" s="37" t="s">
        <v>1864</v>
      </c>
      <c r="E1662" s="37" t="n">
        <v>23914325</v>
      </c>
      <c r="F1662" s="37" t="s">
        <v>169</v>
      </c>
      <c r="G1662" s="37" t="s">
        <v>198</v>
      </c>
      <c r="H1662" s="37" t="s">
        <v>183</v>
      </c>
      <c r="I1662" s="37" t="n">
        <v>15.15</v>
      </c>
      <c r="J1662" s="39" t="n">
        <v>230.54</v>
      </c>
      <c r="K1662" s="37" t="s">
        <v>518</v>
      </c>
      <c r="L1662" s="39" t="n">
        <v>79.22</v>
      </c>
      <c r="M1662" s="39" t="n">
        <v>46.95</v>
      </c>
      <c r="N1662" s="39" t="n">
        <f aca="false">J1662*Resumo!$C$6</f>
        <v>0</v>
      </c>
      <c r="O1662" s="39" t="n">
        <f aca="false">J1662*Resumo!$C$7</f>
        <v>0.484134</v>
      </c>
      <c r="P1662" s="39" t="n">
        <f aca="false">J1662*Resumo!$C$8</f>
        <v>0.484134</v>
      </c>
      <c r="Q1662" s="39" t="n">
        <f aca="false">Resumo!$C$10*CEILING(I1662/100,1)</f>
        <v>1.05</v>
      </c>
      <c r="R1662" s="39" t="n">
        <f aca="false">Resumo!$C$9</f>
        <v>0</v>
      </c>
      <c r="S1662" s="39" t="n">
        <f aca="false">Resumo!$C$13</f>
        <v>13.55</v>
      </c>
      <c r="T1662" s="39" t="n">
        <f aca="false">Resumo!$C$14*CEILING(I1662,1)</f>
        <v>7.2</v>
      </c>
      <c r="U1662" s="39" t="n">
        <f aca="false">SUM(M1662:T1662)*Resumo!$C$11</f>
        <v>0</v>
      </c>
      <c r="V1662" s="39" t="n">
        <f aca="false">SUM(M1662:U1662)</f>
        <v>69.718268</v>
      </c>
      <c r="W1662" s="39" t="n">
        <f aca="false">V1662/(1-Resumo!$C$5)</f>
        <v>79.2253045454546</v>
      </c>
      <c r="X1662" s="39" t="n">
        <v>77.35</v>
      </c>
      <c r="Y1662" s="39" t="n">
        <f aca="false">J1662*Resumo!$B$6</f>
        <v>0.23054</v>
      </c>
      <c r="Z1662" s="39" t="n">
        <f aca="false">J1662*Resumo!$B$7</f>
        <v>0.46108</v>
      </c>
      <c r="AA1662" s="39" t="n">
        <f aca="false">Resumo!$B$9</f>
        <v>1</v>
      </c>
      <c r="AB1662" s="39" t="n">
        <f aca="false">Resumo!$B$10*CEILING(I1662/100,1)</f>
        <v>4.5</v>
      </c>
      <c r="AC1662" s="39" t="n">
        <f aca="false">Resumo!$B$12*CEILING(I1662,1)</f>
        <v>0.96</v>
      </c>
      <c r="AD1662" s="39" t="n">
        <f aca="false">Resumo!$B$14*CEILING(I1662,1)</f>
        <v>7.2</v>
      </c>
      <c r="AE1662" s="39" t="n">
        <f aca="false">SUM(X1662:AD1662)</f>
        <v>91.70162</v>
      </c>
      <c r="AF1662" s="39" t="n">
        <f aca="false">AE1662/(1-Resumo!$B$5)</f>
        <v>104.206386363636</v>
      </c>
      <c r="AG1662" s="39" t="n">
        <f aca="false">AF1662-W1662</f>
        <v>24.9810818181818</v>
      </c>
      <c r="AH1662" s="40" t="n">
        <f aca="false">AF1662/W1662-1</f>
        <v>0.31531695537818</v>
      </c>
      <c r="AI1662" s="37" t="str">
        <f aca="false">IF(AF1662&lt;W1662,"SIM","NÃO")</f>
        <v>NÃO</v>
      </c>
      <c r="AJ1662" s="37" t="n">
        <v>13</v>
      </c>
      <c r="AK1662" s="37" t="n">
        <v>10</v>
      </c>
      <c r="AL1662" s="37" t="s">
        <v>343</v>
      </c>
      <c r="AM1662" s="39" t="n">
        <v>79.76</v>
      </c>
    </row>
    <row r="1663" customFormat="false" ht="15" hidden="false" customHeight="false" outlineLevel="0" collapsed="false">
      <c r="A1663" s="37" t="n">
        <v>391531300</v>
      </c>
      <c r="B1663" s="38" t="n">
        <v>46274.596875</v>
      </c>
      <c r="C1663" s="37" t="s">
        <v>372</v>
      </c>
      <c r="D1663" s="37" t="s">
        <v>1307</v>
      </c>
      <c r="E1663" s="37" t="n">
        <v>23575275</v>
      </c>
      <c r="F1663" s="37" t="s">
        <v>159</v>
      </c>
      <c r="G1663" s="37" t="s">
        <v>196</v>
      </c>
      <c r="H1663" s="37" t="s">
        <v>185</v>
      </c>
      <c r="I1663" s="37" t="n">
        <v>38.15</v>
      </c>
      <c r="J1663" s="39" t="n">
        <v>459.99</v>
      </c>
      <c r="K1663" s="37" t="s">
        <v>518</v>
      </c>
      <c r="L1663" s="39" t="n">
        <v>93.68</v>
      </c>
      <c r="M1663" s="39" t="n">
        <v>48.35</v>
      </c>
      <c r="N1663" s="39" t="n">
        <f aca="false">J1663*Resumo!$C$6</f>
        <v>0</v>
      </c>
      <c r="O1663" s="39" t="n">
        <f aca="false">J1663*Resumo!$C$7</f>
        <v>0.965979</v>
      </c>
      <c r="P1663" s="39" t="n">
        <f aca="false">J1663*Resumo!$C$8</f>
        <v>0.965979</v>
      </c>
      <c r="Q1663" s="39" t="n">
        <f aca="false">Resumo!$C$10*CEILING(I1663/100,1)</f>
        <v>1.05</v>
      </c>
      <c r="R1663" s="39" t="n">
        <f aca="false">Resumo!$C$9</f>
        <v>0</v>
      </c>
      <c r="S1663" s="39" t="n">
        <f aca="false">Resumo!$C$13</f>
        <v>13.55</v>
      </c>
      <c r="T1663" s="39" t="n">
        <f aca="false">Resumo!$C$14*CEILING(I1663,1)</f>
        <v>17.55</v>
      </c>
      <c r="U1663" s="39" t="n">
        <f aca="false">SUM(M1663:T1663)*Resumo!$C$11</f>
        <v>0</v>
      </c>
      <c r="V1663" s="39" t="n">
        <f aca="false">SUM(M1663:U1663)</f>
        <v>82.431958</v>
      </c>
      <c r="W1663" s="39" t="n">
        <f aca="false">V1663/(1-Resumo!$C$5)</f>
        <v>93.6726795454545</v>
      </c>
      <c r="X1663" s="39" t="n">
        <v>93.97</v>
      </c>
      <c r="Y1663" s="39" t="n">
        <f aca="false">J1663*Resumo!$B$6</f>
        <v>0.45999</v>
      </c>
      <c r="Z1663" s="39" t="n">
        <f aca="false">J1663*Resumo!$B$7</f>
        <v>0.91998</v>
      </c>
      <c r="AA1663" s="39" t="n">
        <f aca="false">Resumo!$B$9</f>
        <v>1</v>
      </c>
      <c r="AB1663" s="39" t="n">
        <f aca="false">Resumo!$B$10*CEILING(I1663/100,1)</f>
        <v>4.5</v>
      </c>
      <c r="AC1663" s="39" t="n">
        <f aca="false">Resumo!$B$12*CEILING(I1663,1)</f>
        <v>2.34</v>
      </c>
      <c r="AD1663" s="39" t="n">
        <f aca="false">Resumo!$B$14*CEILING(I1663,1)</f>
        <v>17.55</v>
      </c>
      <c r="AE1663" s="39" t="n">
        <f aca="false">SUM(X1663:AD1663)</f>
        <v>120.73997</v>
      </c>
      <c r="AF1663" s="39" t="n">
        <f aca="false">AE1663/(1-Resumo!$B$5)</f>
        <v>137.204511363636</v>
      </c>
      <c r="AG1663" s="39" t="n">
        <f aca="false">AF1663-W1663</f>
        <v>43.5318318181818</v>
      </c>
      <c r="AH1663" s="40" t="n">
        <f aca="false">AF1663/W1663-1</f>
        <v>0.464722820244061</v>
      </c>
      <c r="AI1663" s="37" t="str">
        <f aca="false">IF(AF1663&lt;W1663,"SIM","NÃO")</f>
        <v>NÃO</v>
      </c>
      <c r="AJ1663" s="37" t="n">
        <v>2</v>
      </c>
      <c r="AK1663" s="37" t="n">
        <v>5</v>
      </c>
      <c r="AL1663" s="37" t="s">
        <v>343</v>
      </c>
      <c r="AM1663" s="39" t="n">
        <v>92.06</v>
      </c>
    </row>
    <row r="1664" customFormat="false" ht="15" hidden="false" customHeight="false" outlineLevel="0" collapsed="false">
      <c r="A1664" s="37" t="n">
        <v>391544534</v>
      </c>
      <c r="B1664" s="38" t="n">
        <v>46274.6049884259</v>
      </c>
      <c r="C1664" s="37" t="s">
        <v>340</v>
      </c>
      <c r="D1664" s="37" t="s">
        <v>1865</v>
      </c>
      <c r="E1664" s="37" t="n">
        <v>23078001</v>
      </c>
      <c r="F1664" s="37" t="s">
        <v>159</v>
      </c>
      <c r="G1664" s="37" t="s">
        <v>196</v>
      </c>
      <c r="H1664" s="37" t="s">
        <v>185</v>
      </c>
      <c r="I1664" s="37" t="n">
        <v>37.5</v>
      </c>
      <c r="J1664" s="39" t="n">
        <v>342.99</v>
      </c>
      <c r="K1664" s="37" t="s">
        <v>518</v>
      </c>
      <c r="L1664" s="39" t="n">
        <v>92.6</v>
      </c>
      <c r="M1664" s="39" t="n">
        <v>48.35</v>
      </c>
      <c r="N1664" s="39" t="n">
        <f aca="false">J1664*Resumo!$C$6</f>
        <v>0</v>
      </c>
      <c r="O1664" s="39" t="n">
        <f aca="false">J1664*Resumo!$C$7</f>
        <v>0.720279</v>
      </c>
      <c r="P1664" s="39" t="n">
        <f aca="false">J1664*Resumo!$C$8</f>
        <v>0.720279</v>
      </c>
      <c r="Q1664" s="39" t="n">
        <f aca="false">Resumo!$C$10*CEILING(I1664/100,1)</f>
        <v>1.05</v>
      </c>
      <c r="R1664" s="39" t="n">
        <f aca="false">Resumo!$C$9</f>
        <v>0</v>
      </c>
      <c r="S1664" s="39" t="n">
        <f aca="false">Resumo!$C$13</f>
        <v>13.55</v>
      </c>
      <c r="T1664" s="39" t="n">
        <f aca="false">Resumo!$C$14*CEILING(I1664,1)</f>
        <v>17.1</v>
      </c>
      <c r="U1664" s="39" t="n">
        <f aca="false">SUM(M1664:T1664)*Resumo!$C$11</f>
        <v>0</v>
      </c>
      <c r="V1664" s="39" t="n">
        <f aca="false">SUM(M1664:U1664)</f>
        <v>81.490558</v>
      </c>
      <c r="W1664" s="39" t="n">
        <f aca="false">V1664/(1-Resumo!$C$5)</f>
        <v>92.6029068181818</v>
      </c>
      <c r="X1664" s="39" t="n">
        <v>93.97</v>
      </c>
      <c r="Y1664" s="39" t="n">
        <f aca="false">J1664*Resumo!$B$6</f>
        <v>0.34299</v>
      </c>
      <c r="Z1664" s="39" t="n">
        <f aca="false">J1664*Resumo!$B$7</f>
        <v>0.68598</v>
      </c>
      <c r="AA1664" s="39" t="n">
        <f aca="false">Resumo!$B$9</f>
        <v>1</v>
      </c>
      <c r="AB1664" s="39" t="n">
        <f aca="false">Resumo!$B$10*CEILING(I1664/100,1)</f>
        <v>4.5</v>
      </c>
      <c r="AC1664" s="39" t="n">
        <f aca="false">Resumo!$B$12*CEILING(I1664,1)</f>
        <v>2.28</v>
      </c>
      <c r="AD1664" s="39" t="n">
        <f aca="false">Resumo!$B$14*CEILING(I1664,1)</f>
        <v>17.1</v>
      </c>
      <c r="AE1664" s="39" t="n">
        <f aca="false">SUM(X1664:AD1664)</f>
        <v>119.87897</v>
      </c>
      <c r="AF1664" s="39" t="n">
        <f aca="false">AE1664/(1-Resumo!$B$5)</f>
        <v>136.226102272727</v>
      </c>
      <c r="AG1664" s="39" t="n">
        <f aca="false">AF1664-W1664</f>
        <v>43.6231954545455</v>
      </c>
      <c r="AH1664" s="40" t="n">
        <f aca="false">AF1664/W1664-1</f>
        <v>0.471078035813671</v>
      </c>
      <c r="AI1664" s="37" t="str">
        <f aca="false">IF(AF1664&lt;W1664,"SIM","NÃO")</f>
        <v>NÃO</v>
      </c>
      <c r="AJ1664" s="37" t="n">
        <v>2</v>
      </c>
      <c r="AK1664" s="37" t="n">
        <v>5</v>
      </c>
      <c r="AL1664" s="37" t="s">
        <v>343</v>
      </c>
      <c r="AM1664" s="39" t="n">
        <v>91.5</v>
      </c>
    </row>
    <row r="1665" customFormat="false" ht="15" hidden="false" customHeight="false" outlineLevel="0" collapsed="false">
      <c r="A1665" s="37" t="n">
        <v>391570685</v>
      </c>
      <c r="B1665" s="38" t="n">
        <v>46274.6282638889</v>
      </c>
      <c r="C1665" s="37" t="s">
        <v>340</v>
      </c>
      <c r="D1665" s="37" t="s">
        <v>1866</v>
      </c>
      <c r="E1665" s="37" t="n">
        <v>24467000</v>
      </c>
      <c r="F1665" s="37" t="s">
        <v>160</v>
      </c>
      <c r="G1665" s="37" t="s">
        <v>197</v>
      </c>
      <c r="H1665" s="37" t="s">
        <v>184</v>
      </c>
      <c r="I1665" s="37" t="n">
        <v>33</v>
      </c>
      <c r="J1665" s="39" t="n">
        <v>449.99</v>
      </c>
      <c r="K1665" s="37" t="s">
        <v>518</v>
      </c>
      <c r="L1665" s="39" t="n">
        <v>102.42</v>
      </c>
      <c r="M1665" s="39" t="n">
        <v>58.8</v>
      </c>
      <c r="N1665" s="39" t="n">
        <f aca="false">J1665*Resumo!$C$6</f>
        <v>0</v>
      </c>
      <c r="O1665" s="39" t="n">
        <f aca="false">J1665*Resumo!$C$7</f>
        <v>0.944979</v>
      </c>
      <c r="P1665" s="39" t="n">
        <f aca="false">J1665*Resumo!$C$8</f>
        <v>0.944979</v>
      </c>
      <c r="Q1665" s="39" t="n">
        <f aca="false">Resumo!$C$10*CEILING(I1665/100,1)</f>
        <v>1.05</v>
      </c>
      <c r="R1665" s="39" t="n">
        <f aca="false">Resumo!$C$9</f>
        <v>0</v>
      </c>
      <c r="S1665" s="39" t="n">
        <f aca="false">Resumo!$C$13</f>
        <v>13.55</v>
      </c>
      <c r="T1665" s="39" t="n">
        <f aca="false">Resumo!$C$14*CEILING(I1665,1)</f>
        <v>14.85</v>
      </c>
      <c r="U1665" s="39" t="n">
        <f aca="false">SUM(M1665:T1665)*Resumo!$C$11</f>
        <v>0</v>
      </c>
      <c r="V1665" s="39" t="n">
        <f aca="false">SUM(M1665:U1665)</f>
        <v>90.139958</v>
      </c>
      <c r="W1665" s="39" t="n">
        <f aca="false">V1665/(1-Resumo!$C$5)</f>
        <v>102.431770454545</v>
      </c>
      <c r="X1665" s="39" t="n">
        <v>100.58</v>
      </c>
      <c r="Y1665" s="39" t="n">
        <f aca="false">J1665*Resumo!$B$6</f>
        <v>0.44999</v>
      </c>
      <c r="Z1665" s="39" t="n">
        <f aca="false">J1665*Resumo!$B$7</f>
        <v>0.89998</v>
      </c>
      <c r="AA1665" s="39" t="n">
        <f aca="false">Resumo!$B$9</f>
        <v>1</v>
      </c>
      <c r="AB1665" s="39" t="n">
        <f aca="false">Resumo!$B$10*CEILING(I1665/100,1)</f>
        <v>4.5</v>
      </c>
      <c r="AC1665" s="39" t="n">
        <f aca="false">Resumo!$B$12*CEILING(I1665,1)</f>
        <v>1.98</v>
      </c>
      <c r="AD1665" s="39" t="n">
        <f aca="false">Resumo!$B$14*CEILING(I1665,1)</f>
        <v>14.85</v>
      </c>
      <c r="AE1665" s="39" t="n">
        <f aca="false">SUM(X1665:AD1665)</f>
        <v>124.25997</v>
      </c>
      <c r="AF1665" s="39" t="n">
        <f aca="false">AE1665/(1-Resumo!$B$5)</f>
        <v>141.204511363636</v>
      </c>
      <c r="AG1665" s="39" t="n">
        <f aca="false">AF1665-W1665</f>
        <v>38.7727409090909</v>
      </c>
      <c r="AH1665" s="40" t="n">
        <f aca="false">AF1665/W1665-1</f>
        <v>0.378522608142329</v>
      </c>
      <c r="AI1665" s="37" t="str">
        <f aca="false">IF(AF1665&lt;W1665,"SIM","NÃO")</f>
        <v>NÃO</v>
      </c>
      <c r="AJ1665" s="37" t="n">
        <v>2</v>
      </c>
      <c r="AK1665" s="37" t="n">
        <v>7</v>
      </c>
      <c r="AL1665" s="37" t="s">
        <v>343</v>
      </c>
      <c r="AM1665" s="39" t="n">
        <v>101.54</v>
      </c>
    </row>
    <row r="1666" customFormat="false" ht="15" hidden="false" customHeight="false" outlineLevel="0" collapsed="false">
      <c r="A1666" s="37" t="n">
        <v>391601971</v>
      </c>
      <c r="B1666" s="38" t="n">
        <v>46274.6552893519</v>
      </c>
      <c r="C1666" s="37" t="s">
        <v>340</v>
      </c>
      <c r="D1666" s="37" t="s">
        <v>1867</v>
      </c>
      <c r="E1666" s="37" t="n">
        <v>21321020</v>
      </c>
      <c r="F1666" s="37" t="s">
        <v>159</v>
      </c>
      <c r="G1666" s="37" t="s">
        <v>196</v>
      </c>
      <c r="H1666" s="37" t="s">
        <v>188</v>
      </c>
      <c r="I1666" s="37" t="n">
        <v>61.4</v>
      </c>
      <c r="J1666" s="39" t="n">
        <v>999.99</v>
      </c>
      <c r="K1666" s="37" t="s">
        <v>342</v>
      </c>
      <c r="L1666" s="39" t="n">
        <v>126</v>
      </c>
      <c r="M1666" s="39" t="n">
        <v>63.21</v>
      </c>
      <c r="N1666" s="39" t="n">
        <f aca="false">J1666*Resumo!$C$6</f>
        <v>0</v>
      </c>
      <c r="O1666" s="39" t="n">
        <f aca="false">J1666*Resumo!$C$7</f>
        <v>2.099979</v>
      </c>
      <c r="P1666" s="39" t="n">
        <f aca="false">J1666*Resumo!$C$8</f>
        <v>2.099979</v>
      </c>
      <c r="Q1666" s="39" t="n">
        <f aca="false">Resumo!$C$10*CEILING(I1666/100,1)</f>
        <v>1.05</v>
      </c>
      <c r="R1666" s="39" t="n">
        <f aca="false">Resumo!$C$9</f>
        <v>0</v>
      </c>
      <c r="S1666" s="39" t="n">
        <f aca="false">Resumo!$C$13</f>
        <v>13.55</v>
      </c>
      <c r="T1666" s="39" t="n">
        <f aca="false">Resumo!$C$14*CEILING(I1666,1)</f>
        <v>27.9</v>
      </c>
      <c r="U1666" s="39" t="n">
        <f aca="false">SUM(M1666:T1666)*Resumo!$C$11</f>
        <v>0</v>
      </c>
      <c r="V1666" s="39" t="n">
        <f aca="false">SUM(M1666:U1666)</f>
        <v>109.909958</v>
      </c>
      <c r="W1666" s="39" t="n">
        <f aca="false">V1666/(1-Resumo!$C$5)</f>
        <v>124.897679545455</v>
      </c>
      <c r="X1666" s="39" t="n">
        <v>131.02</v>
      </c>
      <c r="Y1666" s="39" t="n">
        <f aca="false">J1666*Resumo!$B$6</f>
        <v>0.99999</v>
      </c>
      <c r="Z1666" s="39" t="n">
        <f aca="false">J1666*Resumo!$B$7</f>
        <v>1.99998</v>
      </c>
      <c r="AA1666" s="39" t="n">
        <f aca="false">Resumo!$B$9</f>
        <v>1</v>
      </c>
      <c r="AB1666" s="39" t="n">
        <f aca="false">Resumo!$B$10*CEILING(I1666/100,1)</f>
        <v>4.5</v>
      </c>
      <c r="AC1666" s="39" t="n">
        <f aca="false">Resumo!$B$12*CEILING(I1666,1)</f>
        <v>3.72</v>
      </c>
      <c r="AD1666" s="39" t="n">
        <f aca="false">Resumo!$B$14*CEILING(I1666,1)</f>
        <v>27.9</v>
      </c>
      <c r="AE1666" s="39" t="n">
        <f aca="false">SUM(X1666:AD1666)</f>
        <v>171.13997</v>
      </c>
      <c r="AF1666" s="39" t="n">
        <f aca="false">AE1666/(1-Resumo!$B$5)</f>
        <v>194.477238636364</v>
      </c>
      <c r="AG1666" s="39" t="n">
        <f aca="false">AF1666-W1666</f>
        <v>69.5795590909091</v>
      </c>
      <c r="AH1666" s="40" t="n">
        <f aca="false">AF1666/W1666-1</f>
        <v>0.557092488380352</v>
      </c>
      <c r="AI1666" s="37" t="str">
        <f aca="false">IF(AF1666&lt;W1666,"SIM","NÃO")</f>
        <v>NÃO</v>
      </c>
      <c r="AJ1666" s="37" t="n">
        <v>2</v>
      </c>
      <c r="AK1666" s="37" t="n">
        <v>5</v>
      </c>
      <c r="AL1666" s="37" t="s">
        <v>343</v>
      </c>
      <c r="AM1666" s="39" t="n">
        <v>126</v>
      </c>
    </row>
    <row r="1667" customFormat="false" ht="15" hidden="false" customHeight="false" outlineLevel="0" collapsed="false">
      <c r="A1667" s="37" t="n">
        <v>391612691</v>
      </c>
      <c r="B1667" s="38" t="n">
        <v>46274.6637731482</v>
      </c>
      <c r="C1667" s="37" t="s">
        <v>340</v>
      </c>
      <c r="D1667" s="37" t="s">
        <v>1868</v>
      </c>
      <c r="E1667" s="37" t="n">
        <v>28979801</v>
      </c>
      <c r="F1667" s="37" t="s">
        <v>173</v>
      </c>
      <c r="G1667" s="37" t="s">
        <v>198</v>
      </c>
      <c r="H1667" s="37" t="s">
        <v>188</v>
      </c>
      <c r="I1667" s="37" t="n">
        <v>61.5</v>
      </c>
      <c r="J1667" s="39" t="n">
        <v>708.99</v>
      </c>
      <c r="K1667" s="37" t="s">
        <v>518</v>
      </c>
      <c r="L1667" s="39" t="n">
        <v>154.18</v>
      </c>
      <c r="M1667" s="39" t="n">
        <v>90.2</v>
      </c>
      <c r="N1667" s="39" t="n">
        <f aca="false">J1667*Resumo!$C$6</f>
        <v>0</v>
      </c>
      <c r="O1667" s="39" t="n">
        <f aca="false">J1667*Resumo!$C$7</f>
        <v>1.488879</v>
      </c>
      <c r="P1667" s="39" t="n">
        <f aca="false">J1667*Resumo!$C$8</f>
        <v>1.488879</v>
      </c>
      <c r="Q1667" s="39" t="n">
        <f aca="false">Resumo!$C$10*CEILING(I1667/100,1)</f>
        <v>1.05</v>
      </c>
      <c r="R1667" s="39" t="n">
        <f aca="false">Resumo!$C$9</f>
        <v>0</v>
      </c>
      <c r="S1667" s="39" t="n">
        <f aca="false">Resumo!$C$13</f>
        <v>13.55</v>
      </c>
      <c r="T1667" s="39" t="n">
        <f aca="false">Resumo!$C$14*CEILING(I1667,1)</f>
        <v>27.9</v>
      </c>
      <c r="U1667" s="39" t="n">
        <f aca="false">SUM(M1667:T1667)*Resumo!$C$11</f>
        <v>0</v>
      </c>
      <c r="V1667" s="39" t="n">
        <f aca="false">SUM(M1667:U1667)</f>
        <v>135.677758</v>
      </c>
      <c r="W1667" s="39" t="n">
        <f aca="false">V1667/(1-Resumo!$C$5)</f>
        <v>154.179270454545</v>
      </c>
      <c r="X1667" s="39" t="n">
        <v>166.05</v>
      </c>
      <c r="Y1667" s="39" t="n">
        <f aca="false">J1667*Resumo!$B$6</f>
        <v>0.70899</v>
      </c>
      <c r="Z1667" s="39" t="n">
        <f aca="false">J1667*Resumo!$B$7</f>
        <v>1.41798</v>
      </c>
      <c r="AA1667" s="39" t="n">
        <f aca="false">Resumo!$B$9</f>
        <v>1</v>
      </c>
      <c r="AB1667" s="39" t="n">
        <f aca="false">Resumo!$B$10*CEILING(I1667/100,1)</f>
        <v>4.5</v>
      </c>
      <c r="AC1667" s="39" t="n">
        <f aca="false">Resumo!$B$12*CEILING(I1667,1)</f>
        <v>3.72</v>
      </c>
      <c r="AD1667" s="39" t="n">
        <f aca="false">Resumo!$B$14*CEILING(I1667,1)</f>
        <v>27.9</v>
      </c>
      <c r="AE1667" s="39" t="n">
        <f aca="false">SUM(X1667:AD1667)</f>
        <v>205.29697</v>
      </c>
      <c r="AF1667" s="39" t="n">
        <f aca="false">AE1667/(1-Resumo!$B$5)</f>
        <v>233.292011363636</v>
      </c>
      <c r="AG1667" s="39" t="n">
        <f aca="false">AF1667-W1667</f>
        <v>79.1127409090909</v>
      </c>
      <c r="AH1667" s="40" t="n">
        <f aca="false">AF1667/W1667-1</f>
        <v>0.513121774904329</v>
      </c>
      <c r="AI1667" s="37" t="str">
        <f aca="false">IF(AF1667&lt;W1667,"SIM","NÃO")</f>
        <v>NÃO</v>
      </c>
      <c r="AJ1667" s="37" t="n">
        <v>13</v>
      </c>
      <c r="AK1667" s="37" t="n">
        <v>10</v>
      </c>
      <c r="AL1667" s="37" t="s">
        <v>343</v>
      </c>
      <c r="AM1667" s="39" t="n">
        <v>155.42</v>
      </c>
    </row>
    <row r="1668" customFormat="false" ht="15" hidden="false" customHeight="false" outlineLevel="0" collapsed="false">
      <c r="A1668" s="37" t="n">
        <v>391694668</v>
      </c>
      <c r="B1668" s="38" t="n">
        <v>46274.6862152778</v>
      </c>
      <c r="C1668" s="37" t="s">
        <v>340</v>
      </c>
      <c r="D1668" s="37" t="s">
        <v>1447</v>
      </c>
      <c r="E1668" s="37" t="n">
        <v>22451264</v>
      </c>
      <c r="F1668" s="37" t="s">
        <v>159</v>
      </c>
      <c r="G1668" s="37" t="s">
        <v>196</v>
      </c>
      <c r="H1668" s="37" t="s">
        <v>184</v>
      </c>
      <c r="I1668" s="37" t="n">
        <v>27.4</v>
      </c>
      <c r="J1668" s="39" t="n">
        <v>315.99</v>
      </c>
      <c r="K1668" s="37" t="s">
        <v>518</v>
      </c>
      <c r="L1668" s="39" t="n">
        <v>80.26</v>
      </c>
      <c r="M1668" s="39" t="n">
        <v>42.11</v>
      </c>
      <c r="N1668" s="39" t="n">
        <f aca="false">J1668*Resumo!$C$6</f>
        <v>0</v>
      </c>
      <c r="O1668" s="39" t="n">
        <f aca="false">J1668*Resumo!$C$7</f>
        <v>0.663579</v>
      </c>
      <c r="P1668" s="39" t="n">
        <f aca="false">J1668*Resumo!$C$8</f>
        <v>0.663579</v>
      </c>
      <c r="Q1668" s="39" t="n">
        <f aca="false">Resumo!$C$10*CEILING(I1668/100,1)</f>
        <v>1.05</v>
      </c>
      <c r="R1668" s="39" t="n">
        <f aca="false">Resumo!$C$9</f>
        <v>0</v>
      </c>
      <c r="S1668" s="39" t="n">
        <f aca="false">Resumo!$C$13</f>
        <v>13.55</v>
      </c>
      <c r="T1668" s="39" t="n">
        <f aca="false">Resumo!$C$14*CEILING(I1668,1)</f>
        <v>12.6</v>
      </c>
      <c r="U1668" s="39" t="n">
        <f aca="false">SUM(M1668:T1668)*Resumo!$C$11</f>
        <v>0</v>
      </c>
      <c r="V1668" s="39" t="n">
        <f aca="false">SUM(M1668:U1668)</f>
        <v>70.637158</v>
      </c>
      <c r="W1668" s="39" t="n">
        <f aca="false">V1668/(1-Resumo!$C$5)</f>
        <v>80.2694977272727</v>
      </c>
      <c r="X1668" s="39" t="n">
        <v>82.21</v>
      </c>
      <c r="Y1668" s="39" t="n">
        <f aca="false">J1668*Resumo!$B$6</f>
        <v>0.31599</v>
      </c>
      <c r="Z1668" s="39" t="n">
        <f aca="false">J1668*Resumo!$B$7</f>
        <v>0.63198</v>
      </c>
      <c r="AA1668" s="39" t="n">
        <f aca="false">Resumo!$B$9</f>
        <v>1</v>
      </c>
      <c r="AB1668" s="39" t="n">
        <f aca="false">Resumo!$B$10*CEILING(I1668/100,1)</f>
        <v>4.5</v>
      </c>
      <c r="AC1668" s="39" t="n">
        <f aca="false">Resumo!$B$12*CEILING(I1668,1)</f>
        <v>1.68</v>
      </c>
      <c r="AD1668" s="39" t="n">
        <f aca="false">Resumo!$B$14*CEILING(I1668,1)</f>
        <v>12.6</v>
      </c>
      <c r="AE1668" s="39" t="n">
        <f aca="false">SUM(X1668:AD1668)</f>
        <v>102.93797</v>
      </c>
      <c r="AF1668" s="39" t="n">
        <f aca="false">AE1668/(1-Resumo!$B$5)</f>
        <v>116.974965909091</v>
      </c>
      <c r="AG1668" s="39" t="n">
        <f aca="false">AF1668-W1668</f>
        <v>36.7054681818182</v>
      </c>
      <c r="AH1668" s="40" t="n">
        <f aca="false">AF1668/W1668-1</f>
        <v>0.457277910303243</v>
      </c>
      <c r="AI1668" s="37" t="str">
        <f aca="false">IF(AF1668&lt;W1668,"SIM","NÃO")</f>
        <v>NÃO</v>
      </c>
      <c r="AJ1668" s="37" t="n">
        <v>2</v>
      </c>
      <c r="AK1668" s="37" t="n">
        <v>5</v>
      </c>
      <c r="AL1668" s="37" t="s">
        <v>343</v>
      </c>
      <c r="AM1668" s="39" t="n">
        <v>81.84</v>
      </c>
    </row>
    <row r="1669" customFormat="false" ht="15" hidden="false" customHeight="false" outlineLevel="0" collapsed="false">
      <c r="A1669" s="37" t="n">
        <v>391657048</v>
      </c>
      <c r="B1669" s="38" t="n">
        <v>46274.7007291667</v>
      </c>
      <c r="C1669" s="37" t="s">
        <v>340</v>
      </c>
      <c r="D1669" s="37" t="s">
        <v>1869</v>
      </c>
      <c r="E1669" s="37" t="n">
        <v>21341140</v>
      </c>
      <c r="F1669" s="37" t="s">
        <v>159</v>
      </c>
      <c r="G1669" s="37" t="s">
        <v>196</v>
      </c>
      <c r="H1669" s="37" t="s">
        <v>185</v>
      </c>
      <c r="I1669" s="37" t="n">
        <v>37.2</v>
      </c>
      <c r="J1669" s="39" t="n">
        <v>360.99</v>
      </c>
      <c r="K1669" s="37" t="s">
        <v>342</v>
      </c>
      <c r="L1669" s="39" t="n">
        <v>91.58</v>
      </c>
      <c r="M1669" s="39" t="n">
        <v>48.35</v>
      </c>
      <c r="N1669" s="39" t="n">
        <f aca="false">J1669*Resumo!$C$6</f>
        <v>0</v>
      </c>
      <c r="O1669" s="39" t="n">
        <f aca="false">J1669*Resumo!$C$7</f>
        <v>0.758079</v>
      </c>
      <c r="P1669" s="39" t="n">
        <f aca="false">J1669*Resumo!$C$8</f>
        <v>0.758079</v>
      </c>
      <c r="Q1669" s="39" t="n">
        <f aca="false">Resumo!$C$10*CEILING(I1669/100,1)</f>
        <v>1.05</v>
      </c>
      <c r="R1669" s="39" t="n">
        <f aca="false">Resumo!$C$9</f>
        <v>0</v>
      </c>
      <c r="S1669" s="39" t="n">
        <f aca="false">Resumo!$C$13</f>
        <v>13.55</v>
      </c>
      <c r="T1669" s="39" t="n">
        <f aca="false">Resumo!$C$14*CEILING(I1669,1)</f>
        <v>17.1</v>
      </c>
      <c r="U1669" s="39" t="n">
        <f aca="false">SUM(M1669:T1669)*Resumo!$C$11</f>
        <v>0</v>
      </c>
      <c r="V1669" s="39" t="n">
        <f aca="false">SUM(M1669:U1669)</f>
        <v>81.566158</v>
      </c>
      <c r="W1669" s="39" t="n">
        <f aca="false">V1669/(1-Resumo!$C$5)</f>
        <v>92.6888159090909</v>
      </c>
      <c r="X1669" s="39" t="n">
        <v>93.97</v>
      </c>
      <c r="Y1669" s="39" t="n">
        <f aca="false">J1669*Resumo!$B$6</f>
        <v>0.36099</v>
      </c>
      <c r="Z1669" s="39" t="n">
        <f aca="false">J1669*Resumo!$B$7</f>
        <v>0.72198</v>
      </c>
      <c r="AA1669" s="39" t="n">
        <f aca="false">Resumo!$B$9</f>
        <v>1</v>
      </c>
      <c r="AB1669" s="39" t="n">
        <f aca="false">Resumo!$B$10*CEILING(I1669/100,1)</f>
        <v>4.5</v>
      </c>
      <c r="AC1669" s="39" t="n">
        <f aca="false">Resumo!$B$12*CEILING(I1669,1)</f>
        <v>2.28</v>
      </c>
      <c r="AD1669" s="39" t="n">
        <f aca="false">Resumo!$B$14*CEILING(I1669,1)</f>
        <v>17.1</v>
      </c>
      <c r="AE1669" s="39" t="n">
        <f aca="false">SUM(X1669:AD1669)</f>
        <v>119.93297</v>
      </c>
      <c r="AF1669" s="39" t="n">
        <f aca="false">AE1669/(1-Resumo!$B$5)</f>
        <v>136.287465909091</v>
      </c>
      <c r="AG1669" s="39" t="n">
        <f aca="false">AF1669-W1669</f>
        <v>43.59865</v>
      </c>
      <c r="AH1669" s="40" t="n">
        <f aca="false">AF1669/W1669-1</f>
        <v>0.470376599079241</v>
      </c>
      <c r="AI1669" s="37" t="str">
        <f aca="false">IF(AF1669&lt;W1669,"SIM","NÃO")</f>
        <v>NÃO</v>
      </c>
      <c r="AJ1669" s="37" t="n">
        <v>2</v>
      </c>
      <c r="AK1669" s="37" t="n">
        <v>5</v>
      </c>
      <c r="AL1669" s="37" t="s">
        <v>343</v>
      </c>
      <c r="AM1669" s="39" t="n">
        <v>91.59</v>
      </c>
    </row>
    <row r="1670" customFormat="false" ht="15" hidden="false" customHeight="false" outlineLevel="0" collapsed="false">
      <c r="A1670" s="37" t="n">
        <v>391673118</v>
      </c>
      <c r="B1670" s="38" t="n">
        <v>46274.7149537037</v>
      </c>
      <c r="C1670" s="37" t="s">
        <v>340</v>
      </c>
      <c r="D1670" s="37" t="s">
        <v>1870</v>
      </c>
      <c r="E1670" s="37" t="n">
        <v>24751160</v>
      </c>
      <c r="F1670" s="37" t="s">
        <v>160</v>
      </c>
      <c r="G1670" s="37" t="s">
        <v>197</v>
      </c>
      <c r="H1670" s="37" t="s">
        <v>186</v>
      </c>
      <c r="I1670" s="37" t="n">
        <v>44.5</v>
      </c>
      <c r="J1670" s="39" t="n">
        <v>726.99</v>
      </c>
      <c r="K1670" s="37" t="s">
        <v>518</v>
      </c>
      <c r="L1670" s="39" t="n">
        <v>117.35</v>
      </c>
      <c r="M1670" s="39" t="n">
        <v>65.36</v>
      </c>
      <c r="N1670" s="39" t="n">
        <f aca="false">J1670*Resumo!$C$6</f>
        <v>0</v>
      </c>
      <c r="O1670" s="39" t="n">
        <f aca="false">J1670*Resumo!$C$7</f>
        <v>1.526679</v>
      </c>
      <c r="P1670" s="39" t="n">
        <f aca="false">J1670*Resumo!$C$8</f>
        <v>1.526679</v>
      </c>
      <c r="Q1670" s="39" t="n">
        <f aca="false">Resumo!$C$10*CEILING(I1670/100,1)</f>
        <v>1.05</v>
      </c>
      <c r="R1670" s="39" t="n">
        <f aca="false">Resumo!$C$9</f>
        <v>0</v>
      </c>
      <c r="S1670" s="39" t="n">
        <f aca="false">Resumo!$C$13</f>
        <v>13.55</v>
      </c>
      <c r="T1670" s="39" t="n">
        <f aca="false">Resumo!$C$14*CEILING(I1670,1)</f>
        <v>20.25</v>
      </c>
      <c r="U1670" s="39" t="n">
        <f aca="false">SUM(M1670:T1670)*Resumo!$C$11</f>
        <v>0</v>
      </c>
      <c r="V1670" s="39" t="n">
        <f aca="false">SUM(M1670:U1670)</f>
        <v>103.263358</v>
      </c>
      <c r="W1670" s="39" t="n">
        <f aca="false">V1670/(1-Resumo!$C$5)</f>
        <v>117.344725</v>
      </c>
      <c r="X1670" s="39" t="n">
        <v>114.95</v>
      </c>
      <c r="Y1670" s="39" t="n">
        <f aca="false">J1670*Resumo!$B$6</f>
        <v>0.72699</v>
      </c>
      <c r="Z1670" s="39" t="n">
        <f aca="false">J1670*Resumo!$B$7</f>
        <v>1.45398</v>
      </c>
      <c r="AA1670" s="39" t="n">
        <f aca="false">Resumo!$B$9</f>
        <v>1</v>
      </c>
      <c r="AB1670" s="39" t="n">
        <f aca="false">Resumo!$B$10*CEILING(I1670/100,1)</f>
        <v>4.5</v>
      </c>
      <c r="AC1670" s="39" t="n">
        <f aca="false">Resumo!$B$12*CEILING(I1670,1)</f>
        <v>2.7</v>
      </c>
      <c r="AD1670" s="39" t="n">
        <f aca="false">Resumo!$B$14*CEILING(I1670,1)</f>
        <v>20.25</v>
      </c>
      <c r="AE1670" s="39" t="n">
        <f aca="false">SUM(X1670:AD1670)</f>
        <v>145.58097</v>
      </c>
      <c r="AF1670" s="39" t="n">
        <f aca="false">AE1670/(1-Resumo!$B$5)</f>
        <v>165.432920454545</v>
      </c>
      <c r="AG1670" s="39" t="n">
        <f aca="false">AF1670-W1670</f>
        <v>48.0881954545455</v>
      </c>
      <c r="AH1670" s="40" t="n">
        <f aca="false">AF1670/W1670-1</f>
        <v>0.409802787935678</v>
      </c>
      <c r="AI1670" s="37" t="str">
        <f aca="false">IF(AF1670&lt;W1670,"SIM","NÃO")</f>
        <v>NÃO</v>
      </c>
      <c r="AJ1670" s="37" t="n">
        <v>2</v>
      </c>
      <c r="AK1670" s="37" t="n">
        <v>7</v>
      </c>
      <c r="AL1670" s="37" t="s">
        <v>343</v>
      </c>
      <c r="AM1670" s="39" t="n">
        <v>117.56</v>
      </c>
    </row>
    <row r="1671" customFormat="false" ht="15" hidden="false" customHeight="false" outlineLevel="0" collapsed="false">
      <c r="A1671" s="37" t="n">
        <v>391677007</v>
      </c>
      <c r="B1671" s="38" t="n">
        <v>46274.7197222222</v>
      </c>
      <c r="C1671" s="37" t="s">
        <v>340</v>
      </c>
      <c r="D1671" s="37" t="s">
        <v>1871</v>
      </c>
      <c r="E1671" s="37" t="n">
        <v>27966610</v>
      </c>
      <c r="F1671" s="37" t="s">
        <v>166</v>
      </c>
      <c r="G1671" s="37" t="s">
        <v>198</v>
      </c>
      <c r="H1671" s="37" t="s">
        <v>188</v>
      </c>
      <c r="I1671" s="37" t="n">
        <v>63.9</v>
      </c>
      <c r="J1671" s="39" t="n">
        <v>719.99</v>
      </c>
      <c r="K1671" s="37" t="s">
        <v>518</v>
      </c>
      <c r="L1671" s="39" t="n">
        <v>155.25</v>
      </c>
      <c r="M1671" s="39" t="n">
        <v>90.2</v>
      </c>
      <c r="N1671" s="39" t="n">
        <f aca="false">J1671*Resumo!$C$6</f>
        <v>0</v>
      </c>
      <c r="O1671" s="39" t="n">
        <f aca="false">J1671*Resumo!$C$7</f>
        <v>1.511979</v>
      </c>
      <c r="P1671" s="39" t="n">
        <f aca="false">J1671*Resumo!$C$8</f>
        <v>1.511979</v>
      </c>
      <c r="Q1671" s="39" t="n">
        <f aca="false">Resumo!$C$10*CEILING(I1671/100,1)</f>
        <v>1.05</v>
      </c>
      <c r="R1671" s="39" t="n">
        <f aca="false">Resumo!$C$9</f>
        <v>0</v>
      </c>
      <c r="S1671" s="39" t="n">
        <f aca="false">Resumo!$C$13</f>
        <v>13.55</v>
      </c>
      <c r="T1671" s="39" t="n">
        <f aca="false">Resumo!$C$14*CEILING(I1671,1)</f>
        <v>28.8</v>
      </c>
      <c r="U1671" s="39" t="n">
        <f aca="false">SUM(M1671:T1671)*Resumo!$C$11</f>
        <v>0</v>
      </c>
      <c r="V1671" s="39" t="n">
        <f aca="false">SUM(M1671:U1671)</f>
        <v>136.623958</v>
      </c>
      <c r="W1671" s="39" t="n">
        <f aca="false">V1671/(1-Resumo!$C$5)</f>
        <v>155.254497727273</v>
      </c>
      <c r="X1671" s="39" t="n">
        <v>171.54</v>
      </c>
      <c r="Y1671" s="39" t="n">
        <f aca="false">J1671*Resumo!$B$6</f>
        <v>0.71999</v>
      </c>
      <c r="Z1671" s="39" t="n">
        <f aca="false">J1671*Resumo!$B$7</f>
        <v>1.43998</v>
      </c>
      <c r="AA1671" s="39" t="n">
        <f aca="false">Resumo!$B$9</f>
        <v>1</v>
      </c>
      <c r="AB1671" s="39" t="n">
        <f aca="false">Resumo!$B$10*CEILING(I1671/100,1)</f>
        <v>4.5</v>
      </c>
      <c r="AC1671" s="39" t="n">
        <f aca="false">Resumo!$B$12*CEILING(I1671,1)</f>
        <v>3.84</v>
      </c>
      <c r="AD1671" s="39" t="n">
        <f aca="false">Resumo!$B$14*CEILING(I1671,1)</f>
        <v>28.8</v>
      </c>
      <c r="AE1671" s="39" t="n">
        <f aca="false">SUM(X1671:AD1671)</f>
        <v>211.83997</v>
      </c>
      <c r="AF1671" s="39" t="n">
        <f aca="false">AE1671/(1-Resumo!$B$5)</f>
        <v>240.727238636364</v>
      </c>
      <c r="AG1671" s="39" t="n">
        <f aca="false">AF1671-W1671</f>
        <v>85.4727409090909</v>
      </c>
      <c r="AH1671" s="40" t="n">
        <f aca="false">AF1671/W1671-1</f>
        <v>0.550533106353133</v>
      </c>
      <c r="AI1671" s="37" t="str">
        <f aca="false">IF(AF1671&lt;W1671,"SIM","NÃO")</f>
        <v>NÃO</v>
      </c>
      <c r="AJ1671" s="37" t="n">
        <v>13</v>
      </c>
      <c r="AK1671" s="37" t="n">
        <v>11</v>
      </c>
      <c r="AL1671" s="37" t="s">
        <v>343</v>
      </c>
      <c r="AM1671" s="39" t="n">
        <v>155.47</v>
      </c>
    </row>
    <row r="1672" customFormat="false" ht="15" hidden="false" customHeight="false" outlineLevel="0" collapsed="false">
      <c r="A1672" s="37" t="n">
        <v>391683036</v>
      </c>
      <c r="B1672" s="38" t="n">
        <v>46274.7281018519</v>
      </c>
      <c r="C1672" s="37" t="s">
        <v>340</v>
      </c>
      <c r="D1672" s="37" t="s">
        <v>1872</v>
      </c>
      <c r="E1672" s="37" t="n">
        <v>25655363</v>
      </c>
      <c r="F1672" s="37" t="s">
        <v>170</v>
      </c>
      <c r="G1672" s="37" t="s">
        <v>198</v>
      </c>
      <c r="H1672" s="37" t="s">
        <v>188</v>
      </c>
      <c r="I1672" s="37" t="n">
        <v>69.45</v>
      </c>
      <c r="J1672" s="39" t="n">
        <v>859.99</v>
      </c>
      <c r="K1672" s="37" t="s">
        <v>518</v>
      </c>
      <c r="L1672" s="39" t="n">
        <v>159</v>
      </c>
      <c r="M1672" s="39" t="n">
        <v>90.2</v>
      </c>
      <c r="N1672" s="39" t="n">
        <f aca="false">J1672*Resumo!$C$6</f>
        <v>0</v>
      </c>
      <c r="O1672" s="39" t="n">
        <f aca="false">J1672*Resumo!$C$7</f>
        <v>1.805979</v>
      </c>
      <c r="P1672" s="39" t="n">
        <f aca="false">J1672*Resumo!$C$8</f>
        <v>1.805979</v>
      </c>
      <c r="Q1672" s="39" t="n">
        <f aca="false">Resumo!$C$10*CEILING(I1672/100,1)</f>
        <v>1.05</v>
      </c>
      <c r="R1672" s="39" t="n">
        <f aca="false">Resumo!$C$9</f>
        <v>0</v>
      </c>
      <c r="S1672" s="39" t="n">
        <f aca="false">Resumo!$C$13</f>
        <v>13.55</v>
      </c>
      <c r="T1672" s="39" t="n">
        <f aca="false">Resumo!$C$14*CEILING(I1672,1)</f>
        <v>31.5</v>
      </c>
      <c r="U1672" s="39" t="n">
        <f aca="false">SUM(M1672:T1672)*Resumo!$C$11</f>
        <v>0</v>
      </c>
      <c r="V1672" s="39" t="n">
        <f aca="false">SUM(M1672:U1672)</f>
        <v>139.911958</v>
      </c>
      <c r="W1672" s="39" t="n">
        <f aca="false">V1672/(1-Resumo!$C$5)</f>
        <v>158.990861363636</v>
      </c>
      <c r="X1672" s="39" t="n">
        <v>166.05</v>
      </c>
      <c r="Y1672" s="39" t="n">
        <f aca="false">J1672*Resumo!$B$6</f>
        <v>0.85999</v>
      </c>
      <c r="Z1672" s="39" t="n">
        <f aca="false">J1672*Resumo!$B$7</f>
        <v>1.71998</v>
      </c>
      <c r="AA1672" s="39" t="n">
        <f aca="false">Resumo!$B$9</f>
        <v>1</v>
      </c>
      <c r="AB1672" s="39" t="n">
        <f aca="false">Resumo!$B$10*CEILING(I1672/100,1)</f>
        <v>4.5</v>
      </c>
      <c r="AC1672" s="39" t="n">
        <f aca="false">Resumo!$B$12*CEILING(I1672,1)</f>
        <v>4.2</v>
      </c>
      <c r="AD1672" s="39" t="n">
        <f aca="false">Resumo!$B$14*CEILING(I1672,1)</f>
        <v>31.5</v>
      </c>
      <c r="AE1672" s="39" t="n">
        <f aca="false">SUM(X1672:AD1672)</f>
        <v>209.82997</v>
      </c>
      <c r="AF1672" s="39" t="n">
        <f aca="false">AE1672/(1-Resumo!$B$5)</f>
        <v>238.443147727273</v>
      </c>
      <c r="AG1672" s="39" t="n">
        <f aca="false">AF1672-W1672</f>
        <v>79.4522863636364</v>
      </c>
      <c r="AH1672" s="40" t="n">
        <f aca="false">AF1672/W1672-1</f>
        <v>0.499728636490099</v>
      </c>
      <c r="AI1672" s="37" t="str">
        <f aca="false">IF(AF1672&lt;W1672,"SIM","NÃO")</f>
        <v>NÃO</v>
      </c>
      <c r="AJ1672" s="37" t="n">
        <v>13</v>
      </c>
      <c r="AK1672" s="37" t="n">
        <v>8</v>
      </c>
      <c r="AL1672" s="37" t="s">
        <v>343</v>
      </c>
      <c r="AM1672" s="39" t="n">
        <v>156.14</v>
      </c>
    </row>
    <row r="1673" customFormat="false" ht="15" hidden="false" customHeight="false" outlineLevel="0" collapsed="false">
      <c r="A1673" s="37" t="n">
        <v>391677862</v>
      </c>
      <c r="B1673" s="38" t="n">
        <v>46274.7646527778</v>
      </c>
      <c r="C1673" s="37" t="s">
        <v>375</v>
      </c>
      <c r="D1673" s="37" t="s">
        <v>1873</v>
      </c>
      <c r="E1673" s="37" t="n">
        <v>23943120</v>
      </c>
      <c r="F1673" s="37" t="s">
        <v>169</v>
      </c>
      <c r="G1673" s="37" t="s">
        <v>198</v>
      </c>
      <c r="H1673" s="37" t="s">
        <v>183</v>
      </c>
      <c r="I1673" s="37" t="n">
        <v>17</v>
      </c>
      <c r="J1673" s="39" t="n">
        <v>281.59</v>
      </c>
      <c r="K1673" s="37" t="s">
        <v>518</v>
      </c>
      <c r="L1673" s="39" t="n">
        <v>79.98</v>
      </c>
      <c r="M1673" s="39" t="n">
        <v>46.95</v>
      </c>
      <c r="N1673" s="39" t="n">
        <f aca="false">J1673*Resumo!$C$6</f>
        <v>0</v>
      </c>
      <c r="O1673" s="39" t="n">
        <f aca="false">J1673*Resumo!$C$7</f>
        <v>0.591339</v>
      </c>
      <c r="P1673" s="39" t="n">
        <f aca="false">J1673*Resumo!$C$8</f>
        <v>0.591339</v>
      </c>
      <c r="Q1673" s="39" t="n">
        <f aca="false">Resumo!$C$10*CEILING(I1673/100,1)</f>
        <v>1.05</v>
      </c>
      <c r="R1673" s="39" t="n">
        <f aca="false">Resumo!$C$9</f>
        <v>0</v>
      </c>
      <c r="S1673" s="39" t="n">
        <f aca="false">Resumo!$C$13</f>
        <v>13.55</v>
      </c>
      <c r="T1673" s="39" t="n">
        <f aca="false">Resumo!$C$14*CEILING(I1673,1)</f>
        <v>7.65</v>
      </c>
      <c r="U1673" s="39" t="n">
        <f aca="false">SUM(M1673:T1673)*Resumo!$C$11</f>
        <v>0</v>
      </c>
      <c r="V1673" s="39" t="n">
        <f aca="false">SUM(M1673:U1673)</f>
        <v>70.382678</v>
      </c>
      <c r="W1673" s="39" t="n">
        <f aca="false">V1673/(1-Resumo!$C$5)</f>
        <v>79.9803159090909</v>
      </c>
      <c r="X1673" s="39" t="n">
        <v>77.35</v>
      </c>
      <c r="Y1673" s="39" t="n">
        <f aca="false">J1673*Resumo!$B$6</f>
        <v>0.28159</v>
      </c>
      <c r="Z1673" s="39" t="n">
        <f aca="false">J1673*Resumo!$B$7</f>
        <v>0.56318</v>
      </c>
      <c r="AA1673" s="39" t="n">
        <f aca="false">Resumo!$B$9</f>
        <v>1</v>
      </c>
      <c r="AB1673" s="39" t="n">
        <f aca="false">Resumo!$B$10*CEILING(I1673/100,1)</f>
        <v>4.5</v>
      </c>
      <c r="AC1673" s="39" t="n">
        <f aca="false">Resumo!$B$12*CEILING(I1673,1)</f>
        <v>1.02</v>
      </c>
      <c r="AD1673" s="39" t="n">
        <f aca="false">Resumo!$B$14*CEILING(I1673,1)</f>
        <v>7.65</v>
      </c>
      <c r="AE1673" s="39" t="n">
        <f aca="false">SUM(X1673:AD1673)</f>
        <v>92.36477</v>
      </c>
      <c r="AF1673" s="39" t="n">
        <f aca="false">AE1673/(1-Resumo!$B$5)</f>
        <v>104.959965909091</v>
      </c>
      <c r="AG1673" s="39" t="n">
        <f aca="false">AF1673-W1673</f>
        <v>24.97965</v>
      </c>
      <c r="AH1673" s="40" t="n">
        <f aca="false">AF1673/W1673-1</f>
        <v>0.312322472299221</v>
      </c>
      <c r="AI1673" s="37" t="str">
        <f aca="false">IF(AF1673&lt;W1673,"SIM","NÃO")</f>
        <v>NÃO</v>
      </c>
      <c r="AJ1673" s="37" t="n">
        <v>13</v>
      </c>
      <c r="AK1673" s="37" t="n">
        <v>10</v>
      </c>
      <c r="AL1673" s="37" t="s">
        <v>343</v>
      </c>
      <c r="AM1673" s="39" t="n">
        <v>80.01</v>
      </c>
    </row>
    <row r="1674" customFormat="false" ht="15" hidden="false" customHeight="false" outlineLevel="0" collapsed="false">
      <c r="A1674" s="37" t="n">
        <v>391721763</v>
      </c>
      <c r="B1674" s="38" t="n">
        <v>46274.7714467593</v>
      </c>
      <c r="C1674" s="37" t="s">
        <v>345</v>
      </c>
      <c r="D1674" s="37" t="s">
        <v>454</v>
      </c>
      <c r="E1674" s="37" t="n">
        <v>28200000</v>
      </c>
      <c r="F1674" s="37" t="s">
        <v>259</v>
      </c>
      <c r="G1674" s="37" t="s">
        <v>198</v>
      </c>
      <c r="H1674" s="37" t="s">
        <v>188</v>
      </c>
      <c r="I1674" s="37" t="n">
        <v>68.1</v>
      </c>
      <c r="J1674" s="39" t="n">
        <v>884.99</v>
      </c>
      <c r="K1674" s="37" t="s">
        <v>518</v>
      </c>
      <c r="L1674" s="39" t="n">
        <v>158.6</v>
      </c>
      <c r="M1674" s="39" t="n">
        <v>90.2</v>
      </c>
      <c r="N1674" s="39" t="n">
        <f aca="false">J1674*Resumo!$C$6</f>
        <v>0</v>
      </c>
      <c r="O1674" s="39" t="n">
        <f aca="false">J1674*Resumo!$C$7</f>
        <v>1.858479</v>
      </c>
      <c r="P1674" s="39" t="n">
        <f aca="false">J1674*Resumo!$C$8</f>
        <v>1.858479</v>
      </c>
      <c r="Q1674" s="39" t="n">
        <f aca="false">Resumo!$C$10*CEILING(I1674/100,1)</f>
        <v>1.05</v>
      </c>
      <c r="R1674" s="39" t="n">
        <f aca="false">Resumo!$C$9</f>
        <v>0</v>
      </c>
      <c r="S1674" s="39" t="n">
        <f aca="false">Resumo!$C$13</f>
        <v>13.55</v>
      </c>
      <c r="T1674" s="39" t="n">
        <f aca="false">Resumo!$C$14*CEILING(I1674,1)</f>
        <v>31.05</v>
      </c>
      <c r="U1674" s="39" t="n">
        <f aca="false">SUM(M1674:T1674)*Resumo!$C$11</f>
        <v>0</v>
      </c>
      <c r="V1674" s="39" t="n">
        <f aca="false">SUM(M1674:U1674)</f>
        <v>139.566958</v>
      </c>
      <c r="W1674" s="39" t="n">
        <f aca="false">V1674/(1-Resumo!$C$5)</f>
        <v>158.598815909091</v>
      </c>
      <c r="X1674" s="39" t="n">
        <v>171.54</v>
      </c>
      <c r="Y1674" s="39" t="n">
        <f aca="false">J1674*Resumo!$B$6</f>
        <v>0.88499</v>
      </c>
      <c r="Z1674" s="39" t="n">
        <f aca="false">J1674*Resumo!$B$7</f>
        <v>1.76998</v>
      </c>
      <c r="AA1674" s="39" t="n">
        <f aca="false">Resumo!$B$9</f>
        <v>1</v>
      </c>
      <c r="AB1674" s="39" t="n">
        <f aca="false">Resumo!$B$10*CEILING(I1674/100,1)</f>
        <v>4.5</v>
      </c>
      <c r="AC1674" s="39" t="n">
        <f aca="false">Resumo!$B$12*CEILING(I1674,1)</f>
        <v>4.14</v>
      </c>
      <c r="AD1674" s="39" t="n">
        <f aca="false">Resumo!$B$14*CEILING(I1674,1)</f>
        <v>31.05</v>
      </c>
      <c r="AE1674" s="39" t="n">
        <f aca="false">SUM(X1674:AD1674)</f>
        <v>214.88497</v>
      </c>
      <c r="AF1674" s="39" t="n">
        <f aca="false">AE1674/(1-Resumo!$B$5)</f>
        <v>244.187465909091</v>
      </c>
      <c r="AG1674" s="39" t="n">
        <f aca="false">AF1674-W1674</f>
        <v>85.58865</v>
      </c>
      <c r="AH1674" s="40" t="n">
        <f aca="false">AF1674/W1674-1</f>
        <v>0.539655037834958</v>
      </c>
      <c r="AI1674" s="37" t="str">
        <f aca="false">IF(AF1674&lt;W1674,"SIM","NÃO")</f>
        <v>NÃO</v>
      </c>
      <c r="AJ1674" s="37" t="n">
        <v>13</v>
      </c>
      <c r="AK1674" s="37" t="n">
        <v>11</v>
      </c>
      <c r="AL1674" s="37" t="s">
        <v>347</v>
      </c>
      <c r="AM1674" s="39" t="n">
        <v>156.26</v>
      </c>
    </row>
    <row r="1675" customFormat="false" ht="15" hidden="false" customHeight="false" outlineLevel="0" collapsed="false">
      <c r="A1675" s="37" t="n">
        <v>391723483</v>
      </c>
      <c r="B1675" s="38" t="n">
        <v>46274.7729398148</v>
      </c>
      <c r="C1675" s="37" t="s">
        <v>340</v>
      </c>
      <c r="D1675" s="37" t="s">
        <v>1874</v>
      </c>
      <c r="E1675" s="37" t="n">
        <v>27140290</v>
      </c>
      <c r="F1675" s="37" t="s">
        <v>244</v>
      </c>
      <c r="G1675" s="37" t="s">
        <v>198</v>
      </c>
      <c r="H1675" s="37" t="s">
        <v>185</v>
      </c>
      <c r="I1675" s="37" t="n">
        <v>37.5</v>
      </c>
      <c r="J1675" s="39" t="n">
        <v>387.99</v>
      </c>
      <c r="K1675" s="37" t="s">
        <v>518</v>
      </c>
      <c r="L1675" s="39" t="n">
        <v>123.06</v>
      </c>
      <c r="M1675" s="39" t="n">
        <v>74.97</v>
      </c>
      <c r="N1675" s="39" t="n">
        <f aca="false">J1675*Resumo!$C$6</f>
        <v>0</v>
      </c>
      <c r="O1675" s="39" t="n">
        <f aca="false">J1675*Resumo!$C$7</f>
        <v>0.814779</v>
      </c>
      <c r="P1675" s="39" t="n">
        <f aca="false">J1675*Resumo!$C$8</f>
        <v>0.814779</v>
      </c>
      <c r="Q1675" s="39" t="n">
        <f aca="false">Resumo!$C$10*CEILING(I1675/100,1)</f>
        <v>1.05</v>
      </c>
      <c r="R1675" s="39" t="n">
        <f aca="false">Resumo!$C$9</f>
        <v>0</v>
      </c>
      <c r="S1675" s="39" t="n">
        <f aca="false">Resumo!$C$13</f>
        <v>13.55</v>
      </c>
      <c r="T1675" s="39" t="n">
        <f aca="false">Resumo!$C$14*CEILING(I1675,1)</f>
        <v>17.1</v>
      </c>
      <c r="U1675" s="39" t="n">
        <f aca="false">SUM(M1675:T1675)*Resumo!$C$11</f>
        <v>0</v>
      </c>
      <c r="V1675" s="39" t="n">
        <f aca="false">SUM(M1675:U1675)</f>
        <v>108.299558</v>
      </c>
      <c r="W1675" s="39" t="n">
        <f aca="false">V1675/(1-Resumo!$C$5)</f>
        <v>123.067679545455</v>
      </c>
      <c r="X1675" s="39" t="n">
        <v>124.38</v>
      </c>
      <c r="Y1675" s="39" t="n">
        <f aca="false">J1675*Resumo!$B$6</f>
        <v>0.38799</v>
      </c>
      <c r="Z1675" s="39" t="n">
        <f aca="false">J1675*Resumo!$B$7</f>
        <v>0.77598</v>
      </c>
      <c r="AA1675" s="39" t="n">
        <f aca="false">Resumo!$B$9</f>
        <v>1</v>
      </c>
      <c r="AB1675" s="39" t="n">
        <f aca="false">Resumo!$B$10*CEILING(I1675/100,1)</f>
        <v>4.5</v>
      </c>
      <c r="AC1675" s="39" t="n">
        <f aca="false">Resumo!$B$12*CEILING(I1675,1)</f>
        <v>2.28</v>
      </c>
      <c r="AD1675" s="39" t="n">
        <f aca="false">Resumo!$B$14*CEILING(I1675,1)</f>
        <v>17.1</v>
      </c>
      <c r="AE1675" s="39" t="n">
        <f aca="false">SUM(X1675:AD1675)</f>
        <v>150.42397</v>
      </c>
      <c r="AF1675" s="39" t="n">
        <f aca="false">AE1675/(1-Resumo!$B$5)</f>
        <v>170.936329545455</v>
      </c>
      <c r="AG1675" s="39" t="n">
        <f aca="false">AF1675-W1675</f>
        <v>47.86865</v>
      </c>
      <c r="AH1675" s="40" t="n">
        <f aca="false">AF1675/W1675-1</f>
        <v>0.388961993732237</v>
      </c>
      <c r="AI1675" s="37" t="str">
        <f aca="false">IF(AF1675&lt;W1675,"SIM","NÃO")</f>
        <v>NÃO</v>
      </c>
      <c r="AJ1675" s="37" t="n">
        <v>13</v>
      </c>
      <c r="AK1675" s="37" t="n">
        <v>10</v>
      </c>
      <c r="AL1675" s="37" t="s">
        <v>347</v>
      </c>
      <c r="AM1675" s="39" t="n">
        <v>122.11</v>
      </c>
    </row>
    <row r="1676" customFormat="false" ht="15" hidden="false" customHeight="false" outlineLevel="0" collapsed="false">
      <c r="A1676" s="37" t="n">
        <v>391734382</v>
      </c>
      <c r="B1676" s="38" t="n">
        <v>46274.785474537</v>
      </c>
      <c r="C1676" s="37" t="s">
        <v>340</v>
      </c>
      <c r="D1676" s="37" t="s">
        <v>1233</v>
      </c>
      <c r="E1676" s="37" t="n">
        <v>24340105</v>
      </c>
      <c r="F1676" s="37" t="s">
        <v>163</v>
      </c>
      <c r="G1676" s="37" t="s">
        <v>197</v>
      </c>
      <c r="H1676" s="37" t="s">
        <v>185</v>
      </c>
      <c r="I1676" s="37" t="n">
        <v>40</v>
      </c>
      <c r="J1676" s="39" t="n">
        <v>579.99</v>
      </c>
      <c r="K1676" s="37" t="s">
        <v>342</v>
      </c>
      <c r="L1676" s="39" t="n">
        <v>113.74</v>
      </c>
      <c r="M1676" s="39" t="n">
        <v>66.83</v>
      </c>
      <c r="N1676" s="39" t="n">
        <f aca="false">J1676*Resumo!$C$6</f>
        <v>0</v>
      </c>
      <c r="O1676" s="39" t="n">
        <f aca="false">J1676*Resumo!$C$7</f>
        <v>1.217979</v>
      </c>
      <c r="P1676" s="39" t="n">
        <f aca="false">J1676*Resumo!$C$8</f>
        <v>1.217979</v>
      </c>
      <c r="Q1676" s="39" t="n">
        <f aca="false">Resumo!$C$10*CEILING(I1676/100,1)</f>
        <v>1.05</v>
      </c>
      <c r="R1676" s="39" t="n">
        <f aca="false">Resumo!$C$9</f>
        <v>0</v>
      </c>
      <c r="S1676" s="39" t="n">
        <f aca="false">Resumo!$C$13</f>
        <v>13.55</v>
      </c>
      <c r="T1676" s="39" t="n">
        <f aca="false">Resumo!$C$14*CEILING(I1676,1)</f>
        <v>18</v>
      </c>
      <c r="U1676" s="39" t="n">
        <f aca="false">SUM(M1676:T1676)*Resumo!$C$11</f>
        <v>0</v>
      </c>
      <c r="V1676" s="39" t="n">
        <f aca="false">SUM(M1676:U1676)</f>
        <v>101.865958</v>
      </c>
      <c r="W1676" s="39" t="n">
        <f aca="false">V1676/(1-Resumo!$C$5)</f>
        <v>115.756770454545</v>
      </c>
      <c r="X1676" s="39" t="n">
        <v>114.95</v>
      </c>
      <c r="Y1676" s="39" t="n">
        <f aca="false">J1676*Resumo!$B$6</f>
        <v>0.57999</v>
      </c>
      <c r="Z1676" s="39" t="n">
        <f aca="false">J1676*Resumo!$B$7</f>
        <v>1.15998</v>
      </c>
      <c r="AA1676" s="39" t="n">
        <f aca="false">Resumo!$B$9</f>
        <v>1</v>
      </c>
      <c r="AB1676" s="39" t="n">
        <f aca="false">Resumo!$B$10*CEILING(I1676/100,1)</f>
        <v>4.5</v>
      </c>
      <c r="AC1676" s="39" t="n">
        <f aca="false">Resumo!$B$12*CEILING(I1676,1)</f>
        <v>2.4</v>
      </c>
      <c r="AD1676" s="39" t="n">
        <f aca="false">Resumo!$B$14*CEILING(I1676,1)</f>
        <v>18</v>
      </c>
      <c r="AE1676" s="39" t="n">
        <f aca="false">SUM(X1676:AD1676)</f>
        <v>142.58997</v>
      </c>
      <c r="AF1676" s="39" t="n">
        <f aca="false">AE1676/(1-Resumo!$B$5)</f>
        <v>162.034056818182</v>
      </c>
      <c r="AG1676" s="39" t="n">
        <f aca="false">AF1676-W1676</f>
        <v>46.2772863636364</v>
      </c>
      <c r="AH1676" s="40" t="n">
        <f aca="false">AF1676/W1676-1</f>
        <v>0.399780385906742</v>
      </c>
      <c r="AI1676" s="37" t="str">
        <f aca="false">IF(AF1676&lt;W1676,"SIM","NÃO")</f>
        <v>NÃO</v>
      </c>
      <c r="AJ1676" s="37" t="n">
        <v>2</v>
      </c>
      <c r="AK1676" s="37" t="n">
        <v>7</v>
      </c>
      <c r="AL1676" s="37" t="s">
        <v>343</v>
      </c>
      <c r="AM1676" s="39" t="n">
        <v>113.74</v>
      </c>
    </row>
    <row r="1677" customFormat="false" ht="15" hidden="false" customHeight="false" outlineLevel="0" collapsed="false">
      <c r="A1677" s="37" t="n">
        <v>391738080</v>
      </c>
      <c r="B1677" s="38" t="n">
        <v>46274.7899421296</v>
      </c>
      <c r="C1677" s="37" t="s">
        <v>340</v>
      </c>
      <c r="D1677" s="37" t="s">
        <v>1875</v>
      </c>
      <c r="E1677" s="37" t="n">
        <v>24474215</v>
      </c>
      <c r="F1677" s="37" t="s">
        <v>160</v>
      </c>
      <c r="G1677" s="37" t="s">
        <v>197</v>
      </c>
      <c r="H1677" s="37" t="s">
        <v>188</v>
      </c>
      <c r="I1677" s="37" t="n">
        <v>68.7</v>
      </c>
      <c r="J1677" s="39" t="n">
        <v>749.99</v>
      </c>
      <c r="K1677" s="37" t="s">
        <v>518</v>
      </c>
      <c r="L1677" s="39" t="n">
        <v>142.43</v>
      </c>
      <c r="M1677" s="39" t="n">
        <v>76.55</v>
      </c>
      <c r="N1677" s="39" t="n">
        <f aca="false">J1677*Resumo!$C$6</f>
        <v>0</v>
      </c>
      <c r="O1677" s="39" t="n">
        <f aca="false">J1677*Resumo!$C$7</f>
        <v>1.574979</v>
      </c>
      <c r="P1677" s="39" t="n">
        <f aca="false">J1677*Resumo!$C$8</f>
        <v>1.574979</v>
      </c>
      <c r="Q1677" s="39" t="n">
        <f aca="false">Resumo!$C$10*CEILING(I1677/100,1)</f>
        <v>1.05</v>
      </c>
      <c r="R1677" s="39" t="n">
        <f aca="false">Resumo!$C$9</f>
        <v>0</v>
      </c>
      <c r="S1677" s="39" t="n">
        <f aca="false">Resumo!$C$13</f>
        <v>13.55</v>
      </c>
      <c r="T1677" s="39" t="n">
        <f aca="false">Resumo!$C$14*CEILING(I1677,1)</f>
        <v>31.05</v>
      </c>
      <c r="U1677" s="39" t="n">
        <f aca="false">SUM(M1677:T1677)*Resumo!$C$11</f>
        <v>0</v>
      </c>
      <c r="V1677" s="39" t="n">
        <f aca="false">SUM(M1677:U1677)</f>
        <v>125.349958</v>
      </c>
      <c r="W1677" s="39" t="n">
        <f aca="false">V1677/(1-Resumo!$C$5)</f>
        <v>142.443134090909</v>
      </c>
      <c r="X1677" s="39" t="n">
        <v>149.5</v>
      </c>
      <c r="Y1677" s="39" t="n">
        <f aca="false">J1677*Resumo!$B$6</f>
        <v>0.74999</v>
      </c>
      <c r="Z1677" s="39" t="n">
        <f aca="false">J1677*Resumo!$B$7</f>
        <v>1.49998</v>
      </c>
      <c r="AA1677" s="39" t="n">
        <f aca="false">Resumo!$B$9</f>
        <v>1</v>
      </c>
      <c r="AB1677" s="39" t="n">
        <f aca="false">Resumo!$B$10*CEILING(I1677/100,1)</f>
        <v>4.5</v>
      </c>
      <c r="AC1677" s="39" t="n">
        <f aca="false">Resumo!$B$12*CEILING(I1677,1)</f>
        <v>4.14</v>
      </c>
      <c r="AD1677" s="39" t="n">
        <f aca="false">Resumo!$B$14*CEILING(I1677,1)</f>
        <v>31.05</v>
      </c>
      <c r="AE1677" s="39" t="n">
        <f aca="false">SUM(X1677:AD1677)</f>
        <v>192.43997</v>
      </c>
      <c r="AF1677" s="39" t="n">
        <f aca="false">AE1677/(1-Resumo!$B$5)</f>
        <v>218.681784090909</v>
      </c>
      <c r="AG1677" s="39" t="n">
        <f aca="false">AF1677-W1677</f>
        <v>76.23865</v>
      </c>
      <c r="AH1677" s="40" t="n">
        <f aca="false">AF1677/W1677-1</f>
        <v>0.535221655199917</v>
      </c>
      <c r="AI1677" s="37" t="str">
        <f aca="false">IF(AF1677&lt;W1677,"SIM","NÃO")</f>
        <v>NÃO</v>
      </c>
      <c r="AJ1677" s="37" t="n">
        <v>2</v>
      </c>
      <c r="AK1677" s="37" t="n">
        <v>7</v>
      </c>
      <c r="AL1677" s="37" t="s">
        <v>343</v>
      </c>
      <c r="AM1677" s="39" t="n">
        <v>140.03</v>
      </c>
    </row>
    <row r="1678" customFormat="false" ht="15" hidden="false" customHeight="false" outlineLevel="0" collapsed="false">
      <c r="A1678" s="37" t="n">
        <v>391746647</v>
      </c>
      <c r="B1678" s="38" t="n">
        <v>46274.8138194445</v>
      </c>
      <c r="C1678" s="37" t="s">
        <v>361</v>
      </c>
      <c r="D1678" s="37" t="s">
        <v>1876</v>
      </c>
      <c r="E1678" s="37" t="n">
        <v>24730530</v>
      </c>
      <c r="F1678" s="37" t="s">
        <v>160</v>
      </c>
      <c r="G1678" s="37" t="s">
        <v>197</v>
      </c>
      <c r="H1678" s="37" t="s">
        <v>184</v>
      </c>
      <c r="I1678" s="37" t="n">
        <v>30.5</v>
      </c>
      <c r="J1678" s="39" t="n">
        <v>499.99</v>
      </c>
      <c r="K1678" s="37" t="s">
        <v>518</v>
      </c>
      <c r="L1678" s="39" t="n">
        <v>101.65</v>
      </c>
      <c r="M1678" s="39" t="n">
        <v>58.8</v>
      </c>
      <c r="N1678" s="39" t="n">
        <f aca="false">J1678*Resumo!$C$6</f>
        <v>0</v>
      </c>
      <c r="O1678" s="39" t="n">
        <f aca="false">J1678*Resumo!$C$7</f>
        <v>1.049979</v>
      </c>
      <c r="P1678" s="39" t="n">
        <f aca="false">J1678*Resumo!$C$8</f>
        <v>1.049979</v>
      </c>
      <c r="Q1678" s="39" t="n">
        <f aca="false">Resumo!$C$10*CEILING(I1678/100,1)</f>
        <v>1.05</v>
      </c>
      <c r="R1678" s="39" t="n">
        <f aca="false">Resumo!$C$9</f>
        <v>0</v>
      </c>
      <c r="S1678" s="39" t="n">
        <f aca="false">Resumo!$C$13</f>
        <v>13.55</v>
      </c>
      <c r="T1678" s="39" t="n">
        <f aca="false">Resumo!$C$14*CEILING(I1678,1)</f>
        <v>13.95</v>
      </c>
      <c r="U1678" s="39" t="n">
        <f aca="false">SUM(M1678:T1678)*Resumo!$C$11</f>
        <v>0</v>
      </c>
      <c r="V1678" s="39" t="n">
        <f aca="false">SUM(M1678:U1678)</f>
        <v>89.449958</v>
      </c>
      <c r="W1678" s="39" t="n">
        <f aca="false">V1678/(1-Resumo!$C$5)</f>
        <v>101.647679545455</v>
      </c>
      <c r="X1678" s="39" t="n">
        <v>100.58</v>
      </c>
      <c r="Y1678" s="39" t="n">
        <f aca="false">J1678*Resumo!$B$6</f>
        <v>0.49999</v>
      </c>
      <c r="Z1678" s="39" t="n">
        <f aca="false">J1678*Resumo!$B$7</f>
        <v>0.99998</v>
      </c>
      <c r="AA1678" s="39" t="n">
        <f aca="false">Resumo!$B$9</f>
        <v>1</v>
      </c>
      <c r="AB1678" s="39" t="n">
        <f aca="false">Resumo!$B$10*CEILING(I1678/100,1)</f>
        <v>4.5</v>
      </c>
      <c r="AC1678" s="39" t="n">
        <f aca="false">Resumo!$B$12*CEILING(I1678,1)</f>
        <v>1.86</v>
      </c>
      <c r="AD1678" s="39" t="n">
        <f aca="false">Resumo!$B$14*CEILING(I1678,1)</f>
        <v>13.95</v>
      </c>
      <c r="AE1678" s="39" t="n">
        <f aca="false">SUM(X1678:AD1678)</f>
        <v>123.38997</v>
      </c>
      <c r="AF1678" s="39" t="n">
        <f aca="false">AE1678/(1-Resumo!$B$5)</f>
        <v>140.215875</v>
      </c>
      <c r="AG1678" s="39" t="n">
        <f aca="false">AF1678-W1678</f>
        <v>38.5681954545455</v>
      </c>
      <c r="AH1678" s="40" t="n">
        <f aca="false">AF1678/W1678-1</f>
        <v>0.379430161386996</v>
      </c>
      <c r="AI1678" s="37" t="str">
        <f aca="false">IF(AF1678&lt;W1678,"SIM","NÃO")</f>
        <v>NÃO</v>
      </c>
      <c r="AJ1678" s="37" t="n">
        <v>2</v>
      </c>
      <c r="AK1678" s="37" t="n">
        <v>7</v>
      </c>
      <c r="AL1678" s="37" t="s">
        <v>343</v>
      </c>
      <c r="AM1678" s="39" t="n">
        <v>101.78</v>
      </c>
    </row>
    <row r="1679" customFormat="false" ht="15" hidden="false" customHeight="false" outlineLevel="0" collapsed="false">
      <c r="A1679" s="37" t="n">
        <v>391758388</v>
      </c>
      <c r="B1679" s="38" t="n">
        <v>46274.8152893519</v>
      </c>
      <c r="C1679" s="37" t="s">
        <v>340</v>
      </c>
      <c r="D1679" s="37" t="s">
        <v>1877</v>
      </c>
      <c r="E1679" s="37" t="n">
        <v>25936840</v>
      </c>
      <c r="F1679" s="37" t="s">
        <v>176</v>
      </c>
      <c r="G1679" s="37" t="s">
        <v>198</v>
      </c>
      <c r="H1679" s="37" t="s">
        <v>184</v>
      </c>
      <c r="I1679" s="37" t="n">
        <v>35</v>
      </c>
      <c r="J1679" s="39" t="n">
        <v>499.99</v>
      </c>
      <c r="K1679" s="37" t="s">
        <v>518</v>
      </c>
      <c r="L1679" s="39" t="n">
        <v>111.45</v>
      </c>
      <c r="M1679" s="39" t="n">
        <v>65.63</v>
      </c>
      <c r="N1679" s="39" t="n">
        <f aca="false">J1679*Resumo!$C$6</f>
        <v>0</v>
      </c>
      <c r="O1679" s="39" t="n">
        <f aca="false">J1679*Resumo!$C$7</f>
        <v>1.049979</v>
      </c>
      <c r="P1679" s="39" t="n">
        <f aca="false">J1679*Resumo!$C$8</f>
        <v>1.049979</v>
      </c>
      <c r="Q1679" s="39" t="n">
        <f aca="false">Resumo!$C$10*CEILING(I1679/100,1)</f>
        <v>1.05</v>
      </c>
      <c r="R1679" s="39" t="n">
        <f aca="false">Resumo!$C$9</f>
        <v>0</v>
      </c>
      <c r="S1679" s="39" t="n">
        <f aca="false">Resumo!$C$13</f>
        <v>13.55</v>
      </c>
      <c r="T1679" s="39" t="n">
        <f aca="false">Resumo!$C$14*CEILING(I1679,1)</f>
        <v>15.75</v>
      </c>
      <c r="U1679" s="39" t="n">
        <f aca="false">SUM(M1679:T1679)*Resumo!$C$11</f>
        <v>0</v>
      </c>
      <c r="V1679" s="39" t="n">
        <f aca="false">SUM(M1679:U1679)</f>
        <v>98.079958</v>
      </c>
      <c r="W1679" s="39" t="n">
        <f aca="false">V1679/(1-Resumo!$C$5)</f>
        <v>111.454497727273</v>
      </c>
      <c r="X1679" s="39" t="n">
        <v>103.28</v>
      </c>
      <c r="Y1679" s="39" t="n">
        <f aca="false">J1679*Resumo!$B$6</f>
        <v>0.49999</v>
      </c>
      <c r="Z1679" s="39" t="n">
        <f aca="false">J1679*Resumo!$B$7</f>
        <v>0.99998</v>
      </c>
      <c r="AA1679" s="39" t="n">
        <f aca="false">Resumo!$B$9</f>
        <v>1</v>
      </c>
      <c r="AB1679" s="39" t="n">
        <f aca="false">Resumo!$B$10*CEILING(I1679/100,1)</f>
        <v>4.5</v>
      </c>
      <c r="AC1679" s="39" t="n">
        <f aca="false">Resumo!$B$12*CEILING(I1679,1)</f>
        <v>2.1</v>
      </c>
      <c r="AD1679" s="39" t="n">
        <f aca="false">Resumo!$B$14*CEILING(I1679,1)</f>
        <v>15.75</v>
      </c>
      <c r="AE1679" s="39" t="n">
        <f aca="false">SUM(X1679:AD1679)</f>
        <v>128.12997</v>
      </c>
      <c r="AF1679" s="39" t="n">
        <f aca="false">AE1679/(1-Resumo!$B$5)</f>
        <v>145.602238636364</v>
      </c>
      <c r="AG1679" s="39" t="n">
        <f aca="false">AF1679-W1679</f>
        <v>34.147740909091</v>
      </c>
      <c r="AH1679" s="40" t="n">
        <f aca="false">AF1679/W1679-1</f>
        <v>0.306382798410253</v>
      </c>
      <c r="AI1679" s="37" t="str">
        <f aca="false">IF(AF1679&lt;W1679,"SIM","NÃO")</f>
        <v>NÃO</v>
      </c>
      <c r="AJ1679" s="37" t="n">
        <v>13</v>
      </c>
      <c r="AK1679" s="37" t="n">
        <v>6</v>
      </c>
      <c r="AL1679" s="37" t="s">
        <v>343</v>
      </c>
      <c r="AM1679" s="39" t="n">
        <v>109.58</v>
      </c>
    </row>
    <row r="1680" customFormat="false" ht="15" hidden="false" customHeight="false" outlineLevel="0" collapsed="false">
      <c r="A1680" s="37" t="n">
        <v>391843893</v>
      </c>
      <c r="B1680" s="38" t="n">
        <v>46274.8171990741</v>
      </c>
      <c r="C1680" s="37" t="s">
        <v>340</v>
      </c>
      <c r="D1680" s="37" t="s">
        <v>1878</v>
      </c>
      <c r="E1680" s="37" t="n">
        <v>21046630</v>
      </c>
      <c r="F1680" s="37" t="s">
        <v>159</v>
      </c>
      <c r="G1680" s="37" t="s">
        <v>196</v>
      </c>
      <c r="H1680" s="37" t="s">
        <v>183</v>
      </c>
      <c r="I1680" s="37" t="n">
        <v>19.9</v>
      </c>
      <c r="J1680" s="39" t="n">
        <v>252.99</v>
      </c>
      <c r="K1680" s="37" t="s">
        <v>342</v>
      </c>
      <c r="L1680" s="39" t="n">
        <v>64.44</v>
      </c>
      <c r="M1680" s="39" t="n">
        <v>33.42</v>
      </c>
      <c r="N1680" s="39" t="n">
        <f aca="false">J1680*Resumo!$C$6</f>
        <v>0</v>
      </c>
      <c r="O1680" s="39" t="n">
        <f aca="false">J1680*Resumo!$C$7</f>
        <v>0.531279</v>
      </c>
      <c r="P1680" s="39" t="n">
        <f aca="false">J1680*Resumo!$C$8</f>
        <v>0.531279</v>
      </c>
      <c r="Q1680" s="39" t="n">
        <f aca="false">Resumo!$C$10*CEILING(I1680/100,1)</f>
        <v>1.05</v>
      </c>
      <c r="R1680" s="39" t="n">
        <f aca="false">Resumo!$C$9</f>
        <v>0</v>
      </c>
      <c r="S1680" s="39" t="n">
        <f aca="false">Resumo!$C$13</f>
        <v>13.55</v>
      </c>
      <c r="T1680" s="39" t="n">
        <f aca="false">Resumo!$C$14*CEILING(I1680,1)</f>
        <v>9</v>
      </c>
      <c r="U1680" s="39" t="n">
        <f aca="false">SUM(M1680:T1680)*Resumo!$C$11</f>
        <v>0</v>
      </c>
      <c r="V1680" s="39" t="n">
        <f aca="false">SUM(M1680:U1680)</f>
        <v>58.082558</v>
      </c>
      <c r="W1680" s="39" t="n">
        <f aca="false">V1680/(1-Resumo!$C$5)</f>
        <v>66.0029068181818</v>
      </c>
      <c r="X1680" s="39" t="n">
        <v>46.98</v>
      </c>
      <c r="Y1680" s="39" t="n">
        <f aca="false">J1680*Resumo!$B$6</f>
        <v>0.25299</v>
      </c>
      <c r="Z1680" s="39" t="n">
        <f aca="false">J1680*Resumo!$B$7</f>
        <v>0.50598</v>
      </c>
      <c r="AA1680" s="39" t="n">
        <f aca="false">Resumo!$B$9</f>
        <v>1</v>
      </c>
      <c r="AB1680" s="39" t="n">
        <f aca="false">Resumo!$B$10*CEILING(I1680/100,1)</f>
        <v>4.5</v>
      </c>
      <c r="AC1680" s="39" t="n">
        <f aca="false">Resumo!$B$12*CEILING(I1680,1)</f>
        <v>1.2</v>
      </c>
      <c r="AD1680" s="39" t="n">
        <f aca="false">Resumo!$B$14*CEILING(I1680,1)</f>
        <v>9</v>
      </c>
      <c r="AE1680" s="39" t="n">
        <f aca="false">SUM(X1680:AD1680)</f>
        <v>63.43897</v>
      </c>
      <c r="AF1680" s="39" t="n">
        <f aca="false">AE1680/(1-Resumo!$B$5)</f>
        <v>72.0897386363636</v>
      </c>
      <c r="AG1680" s="39" t="n">
        <f aca="false">AF1680-W1680</f>
        <v>6.08683181818181</v>
      </c>
      <c r="AH1680" s="40" t="n">
        <f aca="false">AF1680/W1680-1</f>
        <v>0.092220662870943</v>
      </c>
      <c r="AI1680" s="37" t="str">
        <f aca="false">IF(AF1680&lt;W1680,"SIM","NÃO")</f>
        <v>NÃO</v>
      </c>
      <c r="AJ1680" s="37" t="n">
        <v>2</v>
      </c>
      <c r="AK1680" s="37" t="n">
        <v>5</v>
      </c>
      <c r="AL1680" s="37" t="s">
        <v>343</v>
      </c>
      <c r="AM1680" s="39" t="n">
        <v>64.43</v>
      </c>
    </row>
    <row r="1681" customFormat="false" ht="15" hidden="false" customHeight="false" outlineLevel="0" collapsed="false">
      <c r="A1681" s="37" t="n">
        <v>391776116</v>
      </c>
      <c r="B1681" s="38" t="n">
        <v>46274.8332638889</v>
      </c>
      <c r="C1681" s="37" t="s">
        <v>340</v>
      </c>
      <c r="D1681" s="37" t="s">
        <v>1879</v>
      </c>
      <c r="E1681" s="37" t="n">
        <v>28943770</v>
      </c>
      <c r="F1681" s="37" t="s">
        <v>292</v>
      </c>
      <c r="G1681" s="37" t="s">
        <v>198</v>
      </c>
      <c r="H1681" s="37" t="s">
        <v>188</v>
      </c>
      <c r="I1681" s="37" t="n">
        <v>61.5</v>
      </c>
      <c r="J1681" s="39" t="n">
        <v>708.99</v>
      </c>
      <c r="K1681" s="37" t="s">
        <v>518</v>
      </c>
      <c r="L1681" s="39" t="n">
        <v>154.18</v>
      </c>
      <c r="M1681" s="39" t="n">
        <v>90.2</v>
      </c>
      <c r="N1681" s="39" t="n">
        <f aca="false">J1681*Resumo!$C$6</f>
        <v>0</v>
      </c>
      <c r="O1681" s="39" t="n">
        <f aca="false">J1681*Resumo!$C$7</f>
        <v>1.488879</v>
      </c>
      <c r="P1681" s="39" t="n">
        <f aca="false">J1681*Resumo!$C$8</f>
        <v>1.488879</v>
      </c>
      <c r="Q1681" s="39" t="n">
        <f aca="false">Resumo!$C$10*CEILING(I1681/100,1)</f>
        <v>1.05</v>
      </c>
      <c r="R1681" s="39" t="n">
        <f aca="false">Resumo!$C$9</f>
        <v>0</v>
      </c>
      <c r="S1681" s="39" t="n">
        <f aca="false">Resumo!$C$13</f>
        <v>13.55</v>
      </c>
      <c r="T1681" s="39" t="n">
        <f aca="false">Resumo!$C$14*CEILING(I1681,1)</f>
        <v>27.9</v>
      </c>
      <c r="U1681" s="39" t="n">
        <f aca="false">SUM(M1681:T1681)*Resumo!$C$11</f>
        <v>0</v>
      </c>
      <c r="V1681" s="39" t="n">
        <f aca="false">SUM(M1681:U1681)</f>
        <v>135.677758</v>
      </c>
      <c r="W1681" s="39" t="n">
        <f aca="false">V1681/(1-Resumo!$C$5)</f>
        <v>154.179270454545</v>
      </c>
      <c r="X1681" s="39" t="n">
        <v>166.05</v>
      </c>
      <c r="Y1681" s="39" t="n">
        <f aca="false">J1681*Resumo!$B$6</f>
        <v>0.70899</v>
      </c>
      <c r="Z1681" s="39" t="n">
        <f aca="false">J1681*Resumo!$B$7</f>
        <v>1.41798</v>
      </c>
      <c r="AA1681" s="39" t="n">
        <f aca="false">Resumo!$B$9</f>
        <v>1</v>
      </c>
      <c r="AB1681" s="39" t="n">
        <f aca="false">Resumo!$B$10*CEILING(I1681/100,1)</f>
        <v>4.5</v>
      </c>
      <c r="AC1681" s="39" t="n">
        <f aca="false">Resumo!$B$12*CEILING(I1681,1)</f>
        <v>3.72</v>
      </c>
      <c r="AD1681" s="39" t="n">
        <f aca="false">Resumo!$B$14*CEILING(I1681,1)</f>
        <v>27.9</v>
      </c>
      <c r="AE1681" s="39" t="n">
        <f aca="false">SUM(X1681:AD1681)</f>
        <v>205.29697</v>
      </c>
      <c r="AF1681" s="39" t="n">
        <f aca="false">AE1681/(1-Resumo!$B$5)</f>
        <v>233.292011363636</v>
      </c>
      <c r="AG1681" s="39" t="n">
        <f aca="false">AF1681-W1681</f>
        <v>79.1127409090909</v>
      </c>
      <c r="AH1681" s="40" t="n">
        <f aca="false">AF1681/W1681-1</f>
        <v>0.513121774904329</v>
      </c>
      <c r="AI1681" s="37" t="str">
        <f aca="false">IF(AF1681&lt;W1681,"SIM","NÃO")</f>
        <v>NÃO</v>
      </c>
      <c r="AJ1681" s="37" t="n">
        <v>13</v>
      </c>
      <c r="AK1681" s="37" t="n">
        <v>10</v>
      </c>
      <c r="AL1681" s="37" t="s">
        <v>347</v>
      </c>
      <c r="AM1681" s="39" t="n">
        <v>155.42</v>
      </c>
    </row>
    <row r="1682" customFormat="false" ht="15" hidden="false" customHeight="false" outlineLevel="0" collapsed="false">
      <c r="A1682" s="37" t="n">
        <v>391500892</v>
      </c>
      <c r="B1682" s="38" t="n">
        <v>46274.8413078704</v>
      </c>
      <c r="C1682" s="37" t="s">
        <v>361</v>
      </c>
      <c r="D1682" s="37" t="s">
        <v>1880</v>
      </c>
      <c r="E1682" s="37" t="n">
        <v>21250391</v>
      </c>
      <c r="F1682" s="37" t="s">
        <v>159</v>
      </c>
      <c r="G1682" s="37" t="s">
        <v>196</v>
      </c>
      <c r="H1682" s="37" t="s">
        <v>184</v>
      </c>
      <c r="I1682" s="37" t="n">
        <v>22.4</v>
      </c>
      <c r="J1682" s="39" t="n">
        <v>629.99</v>
      </c>
      <c r="K1682" s="37" t="s">
        <v>342</v>
      </c>
      <c r="L1682" s="39" t="n">
        <v>83.34</v>
      </c>
      <c r="M1682" s="39" t="n">
        <v>42.11</v>
      </c>
      <c r="N1682" s="39" t="n">
        <f aca="false">J1682*Resumo!$C$6</f>
        <v>0</v>
      </c>
      <c r="O1682" s="39" t="n">
        <f aca="false">J1682*Resumo!$C$7</f>
        <v>1.322979</v>
      </c>
      <c r="P1682" s="39" t="n">
        <f aca="false">J1682*Resumo!$C$8</f>
        <v>1.322979</v>
      </c>
      <c r="Q1682" s="39" t="n">
        <f aca="false">Resumo!$C$10*CEILING(I1682/100,1)</f>
        <v>1.05</v>
      </c>
      <c r="R1682" s="39" t="n">
        <f aca="false">Resumo!$C$9</f>
        <v>0</v>
      </c>
      <c r="S1682" s="39" t="n">
        <f aca="false">Resumo!$C$13</f>
        <v>13.55</v>
      </c>
      <c r="T1682" s="39" t="n">
        <f aca="false">Resumo!$C$14*CEILING(I1682,1)</f>
        <v>10.35</v>
      </c>
      <c r="U1682" s="39" t="n">
        <f aca="false">SUM(M1682:T1682)*Resumo!$C$11</f>
        <v>0</v>
      </c>
      <c r="V1682" s="39" t="n">
        <f aca="false">SUM(M1682:U1682)</f>
        <v>69.705958</v>
      </c>
      <c r="W1682" s="39" t="n">
        <f aca="false">V1682/(1-Resumo!$C$5)</f>
        <v>79.2113159090909</v>
      </c>
      <c r="X1682" s="39" t="n">
        <v>82.21</v>
      </c>
      <c r="Y1682" s="39" t="n">
        <f aca="false">J1682*Resumo!$B$6</f>
        <v>0.62999</v>
      </c>
      <c r="Z1682" s="39" t="n">
        <f aca="false">J1682*Resumo!$B$7</f>
        <v>1.25998</v>
      </c>
      <c r="AA1682" s="39" t="n">
        <f aca="false">Resumo!$B$9</f>
        <v>1</v>
      </c>
      <c r="AB1682" s="39" t="n">
        <f aca="false">Resumo!$B$10*CEILING(I1682/100,1)</f>
        <v>4.5</v>
      </c>
      <c r="AC1682" s="39" t="n">
        <f aca="false">Resumo!$B$12*CEILING(I1682,1)</f>
        <v>1.38</v>
      </c>
      <c r="AD1682" s="39" t="n">
        <f aca="false">Resumo!$B$14*CEILING(I1682,1)</f>
        <v>10.35</v>
      </c>
      <c r="AE1682" s="39" t="n">
        <f aca="false">SUM(X1682:AD1682)</f>
        <v>101.32997</v>
      </c>
      <c r="AF1682" s="39" t="n">
        <f aca="false">AE1682/(1-Resumo!$B$5)</f>
        <v>115.147693181818</v>
      </c>
      <c r="AG1682" s="39" t="n">
        <f aca="false">AF1682-W1682</f>
        <v>35.9363772727273</v>
      </c>
      <c r="AH1682" s="40" t="n">
        <f aca="false">AF1682/W1682-1</f>
        <v>0.453677316937528</v>
      </c>
      <c r="AI1682" s="37" t="str">
        <f aca="false">IF(AF1682&lt;W1682,"SIM","NÃO")</f>
        <v>NÃO</v>
      </c>
      <c r="AJ1682" s="37" t="n">
        <v>2</v>
      </c>
      <c r="AK1682" s="37" t="n">
        <v>5</v>
      </c>
      <c r="AL1682" s="37" t="s">
        <v>343</v>
      </c>
      <c r="AM1682" s="39" t="n">
        <v>83.34</v>
      </c>
    </row>
    <row r="1683" customFormat="false" ht="15" hidden="false" customHeight="false" outlineLevel="0" collapsed="false">
      <c r="A1683" s="37" t="n">
        <v>391787335</v>
      </c>
      <c r="B1683" s="38" t="n">
        <v>46274.8485532407</v>
      </c>
      <c r="C1683" s="37" t="s">
        <v>361</v>
      </c>
      <c r="D1683" s="37" t="s">
        <v>1881</v>
      </c>
      <c r="E1683" s="37" t="n">
        <v>21625130</v>
      </c>
      <c r="F1683" s="37" t="s">
        <v>159</v>
      </c>
      <c r="G1683" s="37" t="s">
        <v>196</v>
      </c>
      <c r="H1683" s="37" t="s">
        <v>184</v>
      </c>
      <c r="I1683" s="37" t="n">
        <v>22.4</v>
      </c>
      <c r="J1683" s="39" t="n">
        <v>599.99</v>
      </c>
      <c r="K1683" s="37" t="s">
        <v>342</v>
      </c>
      <c r="L1683" s="39" t="n">
        <v>83.2</v>
      </c>
      <c r="M1683" s="39" t="n">
        <v>42.11</v>
      </c>
      <c r="N1683" s="39" t="n">
        <f aca="false">J1683*Resumo!$C$6</f>
        <v>0</v>
      </c>
      <c r="O1683" s="39" t="n">
        <f aca="false">J1683*Resumo!$C$7</f>
        <v>1.259979</v>
      </c>
      <c r="P1683" s="39" t="n">
        <f aca="false">J1683*Resumo!$C$8</f>
        <v>1.259979</v>
      </c>
      <c r="Q1683" s="39" t="n">
        <f aca="false">Resumo!$C$10*CEILING(I1683/100,1)</f>
        <v>1.05</v>
      </c>
      <c r="R1683" s="39" t="n">
        <f aca="false">Resumo!$C$9</f>
        <v>0</v>
      </c>
      <c r="S1683" s="39" t="n">
        <f aca="false">Resumo!$C$13</f>
        <v>13.55</v>
      </c>
      <c r="T1683" s="39" t="n">
        <f aca="false">Resumo!$C$14*CEILING(I1683,1)</f>
        <v>10.35</v>
      </c>
      <c r="U1683" s="39" t="n">
        <f aca="false">SUM(M1683:T1683)*Resumo!$C$11</f>
        <v>0</v>
      </c>
      <c r="V1683" s="39" t="n">
        <f aca="false">SUM(M1683:U1683)</f>
        <v>69.579958</v>
      </c>
      <c r="W1683" s="39" t="n">
        <f aca="false">V1683/(1-Resumo!$C$5)</f>
        <v>79.0681340909091</v>
      </c>
      <c r="X1683" s="39" t="n">
        <v>82.21</v>
      </c>
      <c r="Y1683" s="39" t="n">
        <f aca="false">J1683*Resumo!$B$6</f>
        <v>0.59999</v>
      </c>
      <c r="Z1683" s="39" t="n">
        <f aca="false">J1683*Resumo!$B$7</f>
        <v>1.19998</v>
      </c>
      <c r="AA1683" s="39" t="n">
        <f aca="false">Resumo!$B$9</f>
        <v>1</v>
      </c>
      <c r="AB1683" s="39" t="n">
        <f aca="false">Resumo!$B$10*CEILING(I1683/100,1)</f>
        <v>4.5</v>
      </c>
      <c r="AC1683" s="39" t="n">
        <f aca="false">Resumo!$B$12*CEILING(I1683,1)</f>
        <v>1.38</v>
      </c>
      <c r="AD1683" s="39" t="n">
        <f aca="false">Resumo!$B$14*CEILING(I1683,1)</f>
        <v>10.35</v>
      </c>
      <c r="AE1683" s="39" t="n">
        <f aca="false">SUM(X1683:AD1683)</f>
        <v>101.23997</v>
      </c>
      <c r="AF1683" s="39" t="n">
        <f aca="false">AE1683/(1-Resumo!$B$5)</f>
        <v>115.045420454545</v>
      </c>
      <c r="AG1683" s="39" t="n">
        <f aca="false">AF1683-W1683</f>
        <v>35.9772863636363</v>
      </c>
      <c r="AH1683" s="40" t="n">
        <f aca="false">AF1683/W1683-1</f>
        <v>0.455016256261609</v>
      </c>
      <c r="AI1683" s="37" t="str">
        <f aca="false">IF(AF1683&lt;W1683,"SIM","NÃO")</f>
        <v>NÃO</v>
      </c>
      <c r="AJ1683" s="37" t="n">
        <v>2</v>
      </c>
      <c r="AK1683" s="37" t="n">
        <v>5</v>
      </c>
      <c r="AL1683" s="37" t="s">
        <v>343</v>
      </c>
      <c r="AM1683" s="39" t="n">
        <v>83.2</v>
      </c>
    </row>
    <row r="1684" customFormat="false" ht="15" hidden="false" customHeight="false" outlineLevel="0" collapsed="false">
      <c r="A1684" s="37" t="n">
        <v>391815587</v>
      </c>
      <c r="B1684" s="38" t="n">
        <v>46274.8581481482</v>
      </c>
      <c r="C1684" s="37" t="s">
        <v>340</v>
      </c>
      <c r="D1684" s="37" t="s">
        <v>1882</v>
      </c>
      <c r="E1684" s="37" t="n">
        <v>21535330</v>
      </c>
      <c r="F1684" s="37" t="s">
        <v>159</v>
      </c>
      <c r="G1684" s="37" t="s">
        <v>196</v>
      </c>
      <c r="H1684" s="37" t="s">
        <v>184</v>
      </c>
      <c r="I1684" s="37" t="n">
        <v>25.8</v>
      </c>
      <c r="J1684" s="39" t="n">
        <v>309.58</v>
      </c>
      <c r="K1684" s="37" t="s">
        <v>342</v>
      </c>
      <c r="L1684" s="39" t="n">
        <v>81.81</v>
      </c>
      <c r="M1684" s="39" t="n">
        <v>42.11</v>
      </c>
      <c r="N1684" s="39" t="n">
        <f aca="false">J1684*Resumo!$C$6</f>
        <v>0</v>
      </c>
      <c r="O1684" s="39" t="n">
        <f aca="false">J1684*Resumo!$C$7</f>
        <v>0.650118</v>
      </c>
      <c r="P1684" s="39" t="n">
        <f aca="false">J1684*Resumo!$C$8</f>
        <v>0.650118</v>
      </c>
      <c r="Q1684" s="39" t="n">
        <f aca="false">Resumo!$C$10*CEILING(I1684/100,1)</f>
        <v>1.05</v>
      </c>
      <c r="R1684" s="39" t="n">
        <f aca="false">Resumo!$C$9</f>
        <v>0</v>
      </c>
      <c r="S1684" s="39" t="n">
        <f aca="false">Resumo!$C$13</f>
        <v>13.55</v>
      </c>
      <c r="T1684" s="39" t="n">
        <f aca="false">Resumo!$C$14*CEILING(I1684,1)</f>
        <v>11.7</v>
      </c>
      <c r="U1684" s="39" t="n">
        <f aca="false">SUM(M1684:T1684)*Resumo!$C$11</f>
        <v>0</v>
      </c>
      <c r="V1684" s="39" t="n">
        <f aca="false">SUM(M1684:U1684)</f>
        <v>69.710236</v>
      </c>
      <c r="W1684" s="39" t="n">
        <f aca="false">V1684/(1-Resumo!$C$5)</f>
        <v>79.2161772727273</v>
      </c>
      <c r="X1684" s="39" t="n">
        <v>82.21</v>
      </c>
      <c r="Y1684" s="39" t="n">
        <f aca="false">J1684*Resumo!$B$6</f>
        <v>0.30958</v>
      </c>
      <c r="Z1684" s="39" t="n">
        <f aca="false">J1684*Resumo!$B$7</f>
        <v>0.61916</v>
      </c>
      <c r="AA1684" s="39" t="n">
        <f aca="false">Resumo!$B$9</f>
        <v>1</v>
      </c>
      <c r="AB1684" s="39" t="n">
        <f aca="false">Resumo!$B$10*CEILING(I1684/100,1)</f>
        <v>4.5</v>
      </c>
      <c r="AC1684" s="39" t="n">
        <f aca="false">Resumo!$B$12*CEILING(I1684,1)</f>
        <v>1.56</v>
      </c>
      <c r="AD1684" s="39" t="n">
        <f aca="false">Resumo!$B$14*CEILING(I1684,1)</f>
        <v>11.7</v>
      </c>
      <c r="AE1684" s="39" t="n">
        <f aca="false">SUM(X1684:AD1684)</f>
        <v>101.89874</v>
      </c>
      <c r="AF1684" s="39" t="n">
        <f aca="false">AE1684/(1-Resumo!$B$5)</f>
        <v>115.794022727273</v>
      </c>
      <c r="AG1684" s="39" t="n">
        <f aca="false">AF1684-W1684</f>
        <v>36.5778454545455</v>
      </c>
      <c r="AH1684" s="40" t="n">
        <f aca="false">AF1684/W1684-1</f>
        <v>0.461747167230936</v>
      </c>
      <c r="AI1684" s="37" t="str">
        <f aca="false">IF(AF1684&lt;W1684,"SIM","NÃO")</f>
        <v>NÃO</v>
      </c>
      <c r="AJ1684" s="37" t="n">
        <v>2</v>
      </c>
      <c r="AK1684" s="37" t="n">
        <v>5</v>
      </c>
      <c r="AL1684" s="37" t="s">
        <v>343</v>
      </c>
      <c r="AM1684" s="39" t="n">
        <v>81.81</v>
      </c>
    </row>
    <row r="1685" customFormat="false" ht="15" hidden="false" customHeight="false" outlineLevel="0" collapsed="false">
      <c r="A1685" s="37" t="n">
        <v>391805369</v>
      </c>
      <c r="B1685" s="38" t="n">
        <v>46274.8591435185</v>
      </c>
      <c r="C1685" s="37" t="s">
        <v>345</v>
      </c>
      <c r="D1685" s="37" t="s">
        <v>529</v>
      </c>
      <c r="E1685" s="37" t="n">
        <v>21031700</v>
      </c>
      <c r="F1685" s="37" t="s">
        <v>159</v>
      </c>
      <c r="G1685" s="37" t="s">
        <v>196</v>
      </c>
      <c r="H1685" s="37" t="s">
        <v>184</v>
      </c>
      <c r="I1685" s="37" t="n">
        <v>31.9</v>
      </c>
      <c r="J1685" s="39" t="n">
        <v>483.99</v>
      </c>
      <c r="K1685" s="37" t="s">
        <v>342</v>
      </c>
      <c r="L1685" s="39" t="n">
        <v>82.65</v>
      </c>
      <c r="M1685" s="39" t="n">
        <v>42.11</v>
      </c>
      <c r="N1685" s="39" t="n">
        <f aca="false">J1685*Resumo!$C$6</f>
        <v>0</v>
      </c>
      <c r="O1685" s="39" t="n">
        <f aca="false">J1685*Resumo!$C$7</f>
        <v>1.016379</v>
      </c>
      <c r="P1685" s="39" t="n">
        <f aca="false">J1685*Resumo!$C$8</f>
        <v>1.016379</v>
      </c>
      <c r="Q1685" s="39" t="n">
        <f aca="false">Resumo!$C$10*CEILING(I1685/100,1)</f>
        <v>1.05</v>
      </c>
      <c r="R1685" s="39" t="n">
        <f aca="false">Resumo!$C$9</f>
        <v>0</v>
      </c>
      <c r="S1685" s="39" t="n">
        <f aca="false">Resumo!$C$13</f>
        <v>13.55</v>
      </c>
      <c r="T1685" s="39" t="n">
        <f aca="false">Resumo!$C$14*CEILING(I1685,1)</f>
        <v>14.4</v>
      </c>
      <c r="U1685" s="39" t="n">
        <f aca="false">SUM(M1685:T1685)*Resumo!$C$11</f>
        <v>0</v>
      </c>
      <c r="V1685" s="39" t="n">
        <f aca="false">SUM(M1685:U1685)</f>
        <v>73.142758</v>
      </c>
      <c r="W1685" s="39" t="n">
        <f aca="false">V1685/(1-Resumo!$C$5)</f>
        <v>83.1167704545455</v>
      </c>
      <c r="X1685" s="39" t="n">
        <v>82.21</v>
      </c>
      <c r="Y1685" s="39" t="n">
        <f aca="false">J1685*Resumo!$B$6</f>
        <v>0.48399</v>
      </c>
      <c r="Z1685" s="39" t="n">
        <f aca="false">J1685*Resumo!$B$7</f>
        <v>0.96798</v>
      </c>
      <c r="AA1685" s="39" t="n">
        <f aca="false">Resumo!$B$9</f>
        <v>1</v>
      </c>
      <c r="AB1685" s="39" t="n">
        <f aca="false">Resumo!$B$10*CEILING(I1685/100,1)</f>
        <v>4.5</v>
      </c>
      <c r="AC1685" s="39" t="n">
        <f aca="false">Resumo!$B$12*CEILING(I1685,1)</f>
        <v>1.92</v>
      </c>
      <c r="AD1685" s="39" t="n">
        <f aca="false">Resumo!$B$14*CEILING(I1685,1)</f>
        <v>14.4</v>
      </c>
      <c r="AE1685" s="39" t="n">
        <f aca="false">SUM(X1685:AD1685)</f>
        <v>105.48197</v>
      </c>
      <c r="AF1685" s="39" t="n">
        <f aca="false">AE1685/(1-Resumo!$B$5)</f>
        <v>119.865875</v>
      </c>
      <c r="AG1685" s="39" t="n">
        <f aca="false">AF1685-W1685</f>
        <v>36.7491045454545</v>
      </c>
      <c r="AH1685" s="40" t="n">
        <f aca="false">AF1685/W1685-1</f>
        <v>0.442138263367099</v>
      </c>
      <c r="AI1685" s="37" t="str">
        <f aca="false">IF(AF1685&lt;W1685,"SIM","NÃO")</f>
        <v>NÃO</v>
      </c>
      <c r="AJ1685" s="37" t="n">
        <v>2</v>
      </c>
      <c r="AK1685" s="37" t="n">
        <v>5</v>
      </c>
      <c r="AL1685" s="37" t="s">
        <v>343</v>
      </c>
      <c r="AM1685" s="39" t="n">
        <v>82.64</v>
      </c>
    </row>
    <row r="1686" customFormat="false" ht="15" hidden="false" customHeight="false" outlineLevel="0" collapsed="false">
      <c r="A1686" s="37" t="n">
        <v>391810925</v>
      </c>
      <c r="B1686" s="38" t="n">
        <v>46274.8636111111</v>
      </c>
      <c r="C1686" s="37" t="s">
        <v>345</v>
      </c>
      <c r="D1686" s="37" t="s">
        <v>902</v>
      </c>
      <c r="E1686" s="37" t="n">
        <v>28930000</v>
      </c>
      <c r="F1686" s="37" t="s">
        <v>291</v>
      </c>
      <c r="G1686" s="37" t="s">
        <v>198</v>
      </c>
      <c r="H1686" s="37" t="s">
        <v>186</v>
      </c>
      <c r="I1686" s="37" t="n">
        <v>48.6</v>
      </c>
      <c r="J1686" s="39" t="n">
        <v>604.3</v>
      </c>
      <c r="K1686" s="37" t="s">
        <v>518</v>
      </c>
      <c r="L1686" s="39" t="n">
        <v>132.83</v>
      </c>
      <c r="M1686" s="39" t="n">
        <v>77.7</v>
      </c>
      <c r="N1686" s="39" t="n">
        <f aca="false">J1686*Resumo!$C$6</f>
        <v>0</v>
      </c>
      <c r="O1686" s="39" t="n">
        <f aca="false">J1686*Resumo!$C$7</f>
        <v>1.26903</v>
      </c>
      <c r="P1686" s="39" t="n">
        <f aca="false">J1686*Resumo!$C$8</f>
        <v>1.26903</v>
      </c>
      <c r="Q1686" s="39" t="n">
        <f aca="false">Resumo!$C$10*CEILING(I1686/100,1)</f>
        <v>1.05</v>
      </c>
      <c r="R1686" s="39" t="n">
        <f aca="false">Resumo!$C$9</f>
        <v>0</v>
      </c>
      <c r="S1686" s="39" t="n">
        <f aca="false">Resumo!$C$13</f>
        <v>13.55</v>
      </c>
      <c r="T1686" s="39" t="n">
        <f aca="false">Resumo!$C$14*CEILING(I1686,1)</f>
        <v>22.05</v>
      </c>
      <c r="U1686" s="39" t="n">
        <f aca="false">SUM(M1686:T1686)*Resumo!$C$11</f>
        <v>0</v>
      </c>
      <c r="V1686" s="39" t="n">
        <f aca="false">SUM(M1686:U1686)</f>
        <v>116.88806</v>
      </c>
      <c r="W1686" s="39" t="n">
        <f aca="false">V1686/(1-Resumo!$C$5)</f>
        <v>132.827340909091</v>
      </c>
      <c r="X1686" s="39" t="n">
        <v>129.29</v>
      </c>
      <c r="Y1686" s="39" t="n">
        <f aca="false">J1686*Resumo!$B$6</f>
        <v>0.6043</v>
      </c>
      <c r="Z1686" s="39" t="n">
        <f aca="false">J1686*Resumo!$B$7</f>
        <v>1.2086</v>
      </c>
      <c r="AA1686" s="39" t="n">
        <f aca="false">Resumo!$B$9</f>
        <v>1</v>
      </c>
      <c r="AB1686" s="39" t="n">
        <f aca="false">Resumo!$B$10*CEILING(I1686/100,1)</f>
        <v>4.5</v>
      </c>
      <c r="AC1686" s="39" t="n">
        <f aca="false">Resumo!$B$12*CEILING(I1686,1)</f>
        <v>2.94</v>
      </c>
      <c r="AD1686" s="39" t="n">
        <f aca="false">Resumo!$B$14*CEILING(I1686,1)</f>
        <v>22.05</v>
      </c>
      <c r="AE1686" s="39" t="n">
        <f aca="false">SUM(X1686:AD1686)</f>
        <v>161.5929</v>
      </c>
      <c r="AF1686" s="39" t="n">
        <f aca="false">AE1686/(1-Resumo!$B$5)</f>
        <v>183.628295454545</v>
      </c>
      <c r="AG1686" s="39" t="n">
        <f aca="false">AF1686-W1686</f>
        <v>50.8009545454546</v>
      </c>
      <c r="AH1686" s="40" t="n">
        <f aca="false">AF1686/W1686-1</f>
        <v>0.382458567624444</v>
      </c>
      <c r="AI1686" s="37" t="str">
        <f aca="false">IF(AF1686&lt;W1686,"SIM","NÃO")</f>
        <v>NÃO</v>
      </c>
      <c r="AJ1686" s="37" t="n">
        <v>13</v>
      </c>
      <c r="AK1686" s="37" t="n">
        <v>10</v>
      </c>
      <c r="AL1686" s="37" t="s">
        <v>347</v>
      </c>
      <c r="AM1686" s="39" t="n">
        <v>131.06</v>
      </c>
    </row>
    <row r="1687" customFormat="false" ht="15" hidden="false" customHeight="false" outlineLevel="0" collapsed="false">
      <c r="A1687" s="37" t="n">
        <v>391826984</v>
      </c>
      <c r="B1687" s="38" t="n">
        <v>46274.8779976852</v>
      </c>
      <c r="C1687" s="37" t="s">
        <v>345</v>
      </c>
      <c r="D1687" s="37" t="s">
        <v>1883</v>
      </c>
      <c r="E1687" s="37" t="n">
        <v>24456050</v>
      </c>
      <c r="F1687" s="37" t="s">
        <v>160</v>
      </c>
      <c r="G1687" s="37" t="s">
        <v>197</v>
      </c>
      <c r="H1687" s="37" t="s">
        <v>190</v>
      </c>
      <c r="I1687" s="37" t="n">
        <v>81.7</v>
      </c>
      <c r="J1687" s="39" t="n">
        <v>645.99</v>
      </c>
      <c r="K1687" s="37" t="s">
        <v>518</v>
      </c>
      <c r="L1687" s="39" t="n">
        <v>166.52</v>
      </c>
      <c r="M1687" s="39" t="n">
        <v>92.32</v>
      </c>
      <c r="N1687" s="39" t="n">
        <f aca="false">J1687*Resumo!$C$6</f>
        <v>0</v>
      </c>
      <c r="O1687" s="39" t="n">
        <f aca="false">J1687*Resumo!$C$7</f>
        <v>1.356579</v>
      </c>
      <c r="P1687" s="39" t="n">
        <f aca="false">J1687*Resumo!$C$8</f>
        <v>1.356579</v>
      </c>
      <c r="Q1687" s="39" t="n">
        <f aca="false">Resumo!$C$10*CEILING(I1687/100,1)</f>
        <v>1.05</v>
      </c>
      <c r="R1687" s="39" t="n">
        <f aca="false">Resumo!$C$9</f>
        <v>0</v>
      </c>
      <c r="S1687" s="39" t="n">
        <f aca="false">Resumo!$C$13</f>
        <v>13.55</v>
      </c>
      <c r="T1687" s="39" t="n">
        <f aca="false">Resumo!$C$14*CEILING(I1687,1)</f>
        <v>36.9</v>
      </c>
      <c r="U1687" s="39" t="n">
        <f aca="false">SUM(M1687:T1687)*Resumo!$C$11</f>
        <v>0</v>
      </c>
      <c r="V1687" s="39" t="n">
        <f aca="false">SUM(M1687:U1687)</f>
        <v>146.533158</v>
      </c>
      <c r="W1687" s="39" t="n">
        <f aca="false">V1687/(1-Resumo!$C$5)</f>
        <v>166.514952272727</v>
      </c>
      <c r="X1687" s="39" t="n">
        <v>178.42</v>
      </c>
      <c r="Y1687" s="39" t="n">
        <f aca="false">J1687*Resumo!$B$6</f>
        <v>0.64599</v>
      </c>
      <c r="Z1687" s="39" t="n">
        <f aca="false">J1687*Resumo!$B$7</f>
        <v>1.29198</v>
      </c>
      <c r="AA1687" s="39" t="n">
        <f aca="false">Resumo!$B$9</f>
        <v>1</v>
      </c>
      <c r="AB1687" s="39" t="n">
        <f aca="false">Resumo!$B$10*CEILING(I1687/100,1)</f>
        <v>4.5</v>
      </c>
      <c r="AC1687" s="39" t="n">
        <f aca="false">Resumo!$B$12*CEILING(I1687,1)</f>
        <v>4.92</v>
      </c>
      <c r="AD1687" s="39" t="n">
        <f aca="false">Resumo!$B$14*CEILING(I1687,1)</f>
        <v>36.9</v>
      </c>
      <c r="AE1687" s="39" t="n">
        <f aca="false">SUM(X1687:AD1687)</f>
        <v>227.67797</v>
      </c>
      <c r="AF1687" s="39" t="n">
        <f aca="false">AE1687/(1-Resumo!$B$5)</f>
        <v>258.724965909091</v>
      </c>
      <c r="AG1687" s="39" t="n">
        <f aca="false">AF1687-W1687</f>
        <v>92.2100136363636</v>
      </c>
      <c r="AH1687" s="40" t="n">
        <f aca="false">AF1687/W1687-1</f>
        <v>0.553764165786968</v>
      </c>
      <c r="AI1687" s="37" t="str">
        <f aca="false">IF(AF1687&lt;W1687,"SIM","NÃO")</f>
        <v>NÃO</v>
      </c>
      <c r="AJ1687" s="37" t="n">
        <v>2</v>
      </c>
      <c r="AK1687" s="37" t="n">
        <v>7</v>
      </c>
      <c r="AL1687" s="37" t="s">
        <v>343</v>
      </c>
      <c r="AM1687" s="39" t="n">
        <v>171.92</v>
      </c>
    </row>
    <row r="1688" customFormat="false" ht="15" hidden="false" customHeight="false" outlineLevel="0" collapsed="false">
      <c r="A1688" s="37" t="n">
        <v>391826824</v>
      </c>
      <c r="B1688" s="38" t="n">
        <v>46274.8781481482</v>
      </c>
      <c r="C1688" s="37" t="s">
        <v>379</v>
      </c>
      <c r="D1688" s="37" t="s">
        <v>1884</v>
      </c>
      <c r="E1688" s="37" t="n">
        <v>20541200</v>
      </c>
      <c r="F1688" s="37" t="s">
        <v>159</v>
      </c>
      <c r="G1688" s="37" t="s">
        <v>196</v>
      </c>
      <c r="H1688" s="37" t="s">
        <v>184</v>
      </c>
      <c r="I1688" s="37" t="n">
        <v>27</v>
      </c>
      <c r="J1688" s="39" t="n">
        <v>369.99</v>
      </c>
      <c r="K1688" s="37" t="s">
        <v>342</v>
      </c>
      <c r="L1688" s="39" t="n">
        <v>82.1</v>
      </c>
      <c r="M1688" s="39" t="n">
        <v>42.11</v>
      </c>
      <c r="N1688" s="39" t="n">
        <f aca="false">J1688*Resumo!$C$6</f>
        <v>0</v>
      </c>
      <c r="O1688" s="39" t="n">
        <f aca="false">J1688*Resumo!$C$7</f>
        <v>0.776979</v>
      </c>
      <c r="P1688" s="39" t="n">
        <f aca="false">J1688*Resumo!$C$8</f>
        <v>0.776979</v>
      </c>
      <c r="Q1688" s="39" t="n">
        <f aca="false">Resumo!$C$10*CEILING(I1688/100,1)</f>
        <v>1.05</v>
      </c>
      <c r="R1688" s="39" t="n">
        <f aca="false">Resumo!$C$9</f>
        <v>0</v>
      </c>
      <c r="S1688" s="39" t="n">
        <f aca="false">Resumo!$C$13</f>
        <v>13.55</v>
      </c>
      <c r="T1688" s="39" t="n">
        <f aca="false">Resumo!$C$14*CEILING(I1688,1)</f>
        <v>12.15</v>
      </c>
      <c r="U1688" s="39" t="n">
        <f aca="false">SUM(M1688:T1688)*Resumo!$C$11</f>
        <v>0</v>
      </c>
      <c r="V1688" s="39" t="n">
        <f aca="false">SUM(M1688:U1688)</f>
        <v>70.413958</v>
      </c>
      <c r="W1688" s="39" t="n">
        <f aca="false">V1688/(1-Resumo!$C$5)</f>
        <v>80.0158613636364</v>
      </c>
      <c r="X1688" s="39" t="n">
        <v>82.21</v>
      </c>
      <c r="Y1688" s="39" t="n">
        <f aca="false">J1688*Resumo!$B$6</f>
        <v>0.36999</v>
      </c>
      <c r="Z1688" s="39" t="n">
        <f aca="false">J1688*Resumo!$B$7</f>
        <v>0.73998</v>
      </c>
      <c r="AA1688" s="39" t="n">
        <f aca="false">Resumo!$B$9</f>
        <v>1</v>
      </c>
      <c r="AB1688" s="39" t="n">
        <f aca="false">Resumo!$B$10*CEILING(I1688/100,1)</f>
        <v>4.5</v>
      </c>
      <c r="AC1688" s="39" t="n">
        <f aca="false">Resumo!$B$12*CEILING(I1688,1)</f>
        <v>1.62</v>
      </c>
      <c r="AD1688" s="39" t="n">
        <f aca="false">Resumo!$B$14*CEILING(I1688,1)</f>
        <v>12.15</v>
      </c>
      <c r="AE1688" s="39" t="n">
        <f aca="false">SUM(X1688:AD1688)</f>
        <v>102.58997</v>
      </c>
      <c r="AF1688" s="39" t="n">
        <f aca="false">AE1688/(1-Resumo!$B$5)</f>
        <v>116.579511363636</v>
      </c>
      <c r="AG1688" s="39" t="n">
        <f aca="false">AF1688-W1688</f>
        <v>36.56365</v>
      </c>
      <c r="AH1688" s="40" t="n">
        <f aca="false">AF1688/W1688-1</f>
        <v>0.456955025877113</v>
      </c>
      <c r="AI1688" s="37" t="str">
        <f aca="false">IF(AF1688&lt;W1688,"SIM","NÃO")</f>
        <v>NÃO</v>
      </c>
      <c r="AJ1688" s="37" t="n">
        <v>2</v>
      </c>
      <c r="AK1688" s="37" t="n">
        <v>5</v>
      </c>
      <c r="AL1688" s="37" t="s">
        <v>343</v>
      </c>
      <c r="AM1688" s="39" t="n">
        <v>82.1</v>
      </c>
    </row>
    <row r="1689" customFormat="false" ht="15" hidden="false" customHeight="false" outlineLevel="0" collapsed="false">
      <c r="A1689" s="37" t="n">
        <v>391845443</v>
      </c>
      <c r="B1689" s="38" t="n">
        <v>46274.893125</v>
      </c>
      <c r="C1689" s="37" t="s">
        <v>340</v>
      </c>
      <c r="D1689" s="37" t="s">
        <v>1885</v>
      </c>
      <c r="E1689" s="37" t="n">
        <v>24931410</v>
      </c>
      <c r="F1689" s="37" t="s">
        <v>171</v>
      </c>
      <c r="G1689" s="37" t="s">
        <v>198</v>
      </c>
      <c r="H1689" s="37" t="s">
        <v>186</v>
      </c>
      <c r="I1689" s="37" t="n">
        <v>45.3</v>
      </c>
      <c r="J1689" s="39" t="n">
        <v>625.99</v>
      </c>
      <c r="K1689" s="37" t="s">
        <v>518</v>
      </c>
      <c r="L1689" s="39" t="n">
        <v>131.39</v>
      </c>
      <c r="M1689" s="39" t="n">
        <v>77.7</v>
      </c>
      <c r="N1689" s="39" t="n">
        <f aca="false">J1689*Resumo!$C$6</f>
        <v>0</v>
      </c>
      <c r="O1689" s="39" t="n">
        <f aca="false">J1689*Resumo!$C$7</f>
        <v>1.314579</v>
      </c>
      <c r="P1689" s="39" t="n">
        <f aca="false">J1689*Resumo!$C$8</f>
        <v>1.314579</v>
      </c>
      <c r="Q1689" s="39" t="n">
        <f aca="false">Resumo!$C$10*CEILING(I1689/100,1)</f>
        <v>1.05</v>
      </c>
      <c r="R1689" s="39" t="n">
        <f aca="false">Resumo!$C$9</f>
        <v>0</v>
      </c>
      <c r="S1689" s="39" t="n">
        <f aca="false">Resumo!$C$13</f>
        <v>13.55</v>
      </c>
      <c r="T1689" s="39" t="n">
        <f aca="false">Resumo!$C$14*CEILING(I1689,1)</f>
        <v>20.7</v>
      </c>
      <c r="U1689" s="39" t="n">
        <f aca="false">SUM(M1689:T1689)*Resumo!$C$11</f>
        <v>0</v>
      </c>
      <c r="V1689" s="39" t="n">
        <f aca="false">SUM(M1689:U1689)</f>
        <v>115.629158</v>
      </c>
      <c r="W1689" s="39" t="n">
        <f aca="false">V1689/(1-Resumo!$C$5)</f>
        <v>131.396770454545</v>
      </c>
      <c r="X1689" s="39" t="n">
        <v>114.95</v>
      </c>
      <c r="Y1689" s="39" t="n">
        <f aca="false">J1689*Resumo!$B$6</f>
        <v>0.62599</v>
      </c>
      <c r="Z1689" s="39" t="n">
        <f aca="false">J1689*Resumo!$B$7</f>
        <v>1.25198</v>
      </c>
      <c r="AA1689" s="39" t="n">
        <f aca="false">Resumo!$B$9</f>
        <v>1</v>
      </c>
      <c r="AB1689" s="39" t="n">
        <f aca="false">Resumo!$B$10*CEILING(I1689/100,1)</f>
        <v>4.5</v>
      </c>
      <c r="AC1689" s="39" t="n">
        <f aca="false">Resumo!$B$12*CEILING(I1689,1)</f>
        <v>2.76</v>
      </c>
      <c r="AD1689" s="39" t="n">
        <f aca="false">Resumo!$B$14*CEILING(I1689,1)</f>
        <v>20.7</v>
      </c>
      <c r="AE1689" s="39" t="n">
        <f aca="false">SUM(X1689:AD1689)</f>
        <v>145.78797</v>
      </c>
      <c r="AF1689" s="39" t="n">
        <f aca="false">AE1689/(1-Resumo!$B$5)</f>
        <v>165.668147727273</v>
      </c>
      <c r="AG1689" s="39" t="n">
        <f aca="false">AF1689-W1689</f>
        <v>34.2713772727273</v>
      </c>
      <c r="AH1689" s="40" t="n">
        <f aca="false">AF1689/W1689-1</f>
        <v>0.260823589150411</v>
      </c>
      <c r="AI1689" s="37" t="str">
        <f aca="false">IF(AF1689&lt;W1689,"SIM","NÃO")</f>
        <v>NÃO</v>
      </c>
      <c r="AJ1689" s="37" t="n">
        <v>13</v>
      </c>
      <c r="AK1689" s="37" t="n">
        <v>7</v>
      </c>
      <c r="AL1689" s="37" t="s">
        <v>343</v>
      </c>
      <c r="AM1689" s="39" t="n">
        <v>131.16</v>
      </c>
    </row>
    <row r="1690" customFormat="false" ht="15" hidden="false" customHeight="false" outlineLevel="0" collapsed="false">
      <c r="A1690" s="37" t="n">
        <v>391845321</v>
      </c>
      <c r="B1690" s="38" t="n">
        <v>46274.8934143519</v>
      </c>
      <c r="C1690" s="37" t="s">
        <v>340</v>
      </c>
      <c r="D1690" s="37" t="s">
        <v>1886</v>
      </c>
      <c r="E1690" s="37" t="n">
        <v>23587565</v>
      </c>
      <c r="F1690" s="37" t="s">
        <v>159</v>
      </c>
      <c r="G1690" s="37" t="s">
        <v>196</v>
      </c>
      <c r="H1690" s="37" t="s">
        <v>185</v>
      </c>
      <c r="I1690" s="37" t="n">
        <v>35.3</v>
      </c>
      <c r="J1690" s="39" t="n">
        <v>432.99</v>
      </c>
      <c r="K1690" s="37" t="s">
        <v>518</v>
      </c>
      <c r="L1690" s="39" t="n">
        <v>92.01</v>
      </c>
      <c r="M1690" s="39" t="n">
        <v>48.35</v>
      </c>
      <c r="N1690" s="39" t="n">
        <f aca="false">J1690*Resumo!$C$6</f>
        <v>0</v>
      </c>
      <c r="O1690" s="39" t="n">
        <f aca="false">J1690*Resumo!$C$7</f>
        <v>0.909279</v>
      </c>
      <c r="P1690" s="39" t="n">
        <f aca="false">J1690*Resumo!$C$8</f>
        <v>0.909279</v>
      </c>
      <c r="Q1690" s="39" t="n">
        <f aca="false">Resumo!$C$10*CEILING(I1690/100,1)</f>
        <v>1.05</v>
      </c>
      <c r="R1690" s="39" t="n">
        <f aca="false">Resumo!$C$9</f>
        <v>0</v>
      </c>
      <c r="S1690" s="39" t="n">
        <f aca="false">Resumo!$C$13</f>
        <v>13.55</v>
      </c>
      <c r="T1690" s="39" t="n">
        <f aca="false">Resumo!$C$14*CEILING(I1690,1)</f>
        <v>16.2</v>
      </c>
      <c r="U1690" s="39" t="n">
        <f aca="false">SUM(M1690:T1690)*Resumo!$C$11</f>
        <v>0</v>
      </c>
      <c r="V1690" s="39" t="n">
        <f aca="false">SUM(M1690:U1690)</f>
        <v>80.968558</v>
      </c>
      <c r="W1690" s="39" t="n">
        <f aca="false">V1690/(1-Resumo!$C$5)</f>
        <v>92.009725</v>
      </c>
      <c r="X1690" s="39" t="n">
        <v>93.97</v>
      </c>
      <c r="Y1690" s="39" t="n">
        <f aca="false">J1690*Resumo!$B$6</f>
        <v>0.43299</v>
      </c>
      <c r="Z1690" s="39" t="n">
        <f aca="false">J1690*Resumo!$B$7</f>
        <v>0.86598</v>
      </c>
      <c r="AA1690" s="39" t="n">
        <f aca="false">Resumo!$B$9</f>
        <v>1</v>
      </c>
      <c r="AB1690" s="39" t="n">
        <f aca="false">Resumo!$B$10*CEILING(I1690/100,1)</f>
        <v>4.5</v>
      </c>
      <c r="AC1690" s="39" t="n">
        <f aca="false">Resumo!$B$12*CEILING(I1690,1)</f>
        <v>2.16</v>
      </c>
      <c r="AD1690" s="39" t="n">
        <f aca="false">Resumo!$B$14*CEILING(I1690,1)</f>
        <v>16.2</v>
      </c>
      <c r="AE1690" s="39" t="n">
        <f aca="false">SUM(X1690:AD1690)</f>
        <v>119.12897</v>
      </c>
      <c r="AF1690" s="39" t="n">
        <f aca="false">AE1690/(1-Resumo!$B$5)</f>
        <v>135.373829545455</v>
      </c>
      <c r="AG1690" s="39" t="n">
        <f aca="false">AF1690-W1690</f>
        <v>43.3641045454545</v>
      </c>
      <c r="AH1690" s="40" t="n">
        <f aca="false">AF1690/W1690-1</f>
        <v>0.471299143057481</v>
      </c>
      <c r="AI1690" s="37" t="str">
        <f aca="false">IF(AF1690&lt;W1690,"SIM","NÃO")</f>
        <v>NÃO</v>
      </c>
      <c r="AJ1690" s="37" t="n">
        <v>2</v>
      </c>
      <c r="AK1690" s="37" t="n">
        <v>5</v>
      </c>
      <c r="AL1690" s="37" t="s">
        <v>343</v>
      </c>
      <c r="AM1690" s="39" t="n">
        <v>91.93</v>
      </c>
    </row>
    <row r="1691" customFormat="false" ht="15" hidden="false" customHeight="false" outlineLevel="0" collapsed="false">
      <c r="A1691" s="37" t="n">
        <v>391869730</v>
      </c>
      <c r="B1691" s="38" t="n">
        <v>46274.9019328704</v>
      </c>
      <c r="C1691" s="37" t="s">
        <v>340</v>
      </c>
      <c r="D1691" s="37" t="s">
        <v>1106</v>
      </c>
      <c r="E1691" s="37" t="n">
        <v>24415000</v>
      </c>
      <c r="F1691" s="37" t="s">
        <v>160</v>
      </c>
      <c r="G1691" s="37" t="s">
        <v>197</v>
      </c>
      <c r="H1691" s="37" t="s">
        <v>188</v>
      </c>
      <c r="I1691" s="37" t="n">
        <v>66.8</v>
      </c>
      <c r="J1691" s="39" t="n">
        <v>643.99</v>
      </c>
      <c r="K1691" s="37" t="s">
        <v>518</v>
      </c>
      <c r="L1691" s="39" t="n">
        <v>140.91</v>
      </c>
      <c r="M1691" s="39" t="n">
        <v>76.55</v>
      </c>
      <c r="N1691" s="39" t="n">
        <f aca="false">J1691*Resumo!$C$6</f>
        <v>0</v>
      </c>
      <c r="O1691" s="39" t="n">
        <f aca="false">J1691*Resumo!$C$7</f>
        <v>1.352379</v>
      </c>
      <c r="P1691" s="39" t="n">
        <f aca="false">J1691*Resumo!$C$8</f>
        <v>1.352379</v>
      </c>
      <c r="Q1691" s="39" t="n">
        <f aca="false">Resumo!$C$10*CEILING(I1691/100,1)</f>
        <v>1.05</v>
      </c>
      <c r="R1691" s="39" t="n">
        <f aca="false">Resumo!$C$9</f>
        <v>0</v>
      </c>
      <c r="S1691" s="39" t="n">
        <f aca="false">Resumo!$C$13</f>
        <v>13.55</v>
      </c>
      <c r="T1691" s="39" t="n">
        <f aca="false">Resumo!$C$14*CEILING(I1691,1)</f>
        <v>30.15</v>
      </c>
      <c r="U1691" s="39" t="n">
        <f aca="false">SUM(M1691:T1691)*Resumo!$C$11</f>
        <v>0</v>
      </c>
      <c r="V1691" s="39" t="n">
        <f aca="false">SUM(M1691:U1691)</f>
        <v>124.004758</v>
      </c>
      <c r="W1691" s="39" t="n">
        <f aca="false">V1691/(1-Resumo!$C$5)</f>
        <v>140.914497727273</v>
      </c>
      <c r="X1691" s="39" t="n">
        <v>149.5</v>
      </c>
      <c r="Y1691" s="39" t="n">
        <f aca="false">J1691*Resumo!$B$6</f>
        <v>0.64399</v>
      </c>
      <c r="Z1691" s="39" t="n">
        <f aca="false">J1691*Resumo!$B$7</f>
        <v>1.28798</v>
      </c>
      <c r="AA1691" s="39" t="n">
        <f aca="false">Resumo!$B$9</f>
        <v>1</v>
      </c>
      <c r="AB1691" s="39" t="n">
        <f aca="false">Resumo!$B$10*CEILING(I1691/100,1)</f>
        <v>4.5</v>
      </c>
      <c r="AC1691" s="39" t="n">
        <f aca="false">Resumo!$B$12*CEILING(I1691,1)</f>
        <v>4.02</v>
      </c>
      <c r="AD1691" s="39" t="n">
        <f aca="false">Resumo!$B$14*CEILING(I1691,1)</f>
        <v>30.15</v>
      </c>
      <c r="AE1691" s="39" t="n">
        <f aca="false">SUM(X1691:AD1691)</f>
        <v>191.10197</v>
      </c>
      <c r="AF1691" s="39" t="n">
        <f aca="false">AE1691/(1-Resumo!$B$5)</f>
        <v>217.161329545455</v>
      </c>
      <c r="AG1691" s="39" t="n">
        <f aca="false">AF1691-W1691</f>
        <v>76.2468318181818</v>
      </c>
      <c r="AH1691" s="40" t="n">
        <f aca="false">AF1691/W1691-1</f>
        <v>0.541085786401841</v>
      </c>
      <c r="AI1691" s="37" t="str">
        <f aca="false">IF(AF1691&lt;W1691,"SIM","NÃO")</f>
        <v>NÃO</v>
      </c>
      <c r="AJ1691" s="37" t="n">
        <v>2</v>
      </c>
      <c r="AK1691" s="37" t="n">
        <v>7</v>
      </c>
      <c r="AL1691" s="37" t="s">
        <v>343</v>
      </c>
      <c r="AM1691" s="39" t="n">
        <v>139.52</v>
      </c>
    </row>
    <row r="1692" customFormat="false" ht="15" hidden="false" customHeight="false" outlineLevel="0" collapsed="false">
      <c r="A1692" s="37" t="n">
        <v>391913493</v>
      </c>
      <c r="B1692" s="38" t="n">
        <v>46274.9568865741</v>
      </c>
      <c r="C1692" s="37" t="s">
        <v>361</v>
      </c>
      <c r="D1692" s="37" t="s">
        <v>1887</v>
      </c>
      <c r="E1692" s="37" t="n">
        <v>24901640</v>
      </c>
      <c r="F1692" s="37" t="s">
        <v>171</v>
      </c>
      <c r="G1692" s="37" t="s">
        <v>198</v>
      </c>
      <c r="H1692" s="37" t="s">
        <v>184</v>
      </c>
      <c r="I1692" s="37" t="n">
        <v>24.4</v>
      </c>
      <c r="J1692" s="39" t="n">
        <v>359.99</v>
      </c>
      <c r="K1692" s="37" t="s">
        <v>518</v>
      </c>
      <c r="L1692" s="39" t="n">
        <v>105.68</v>
      </c>
      <c r="M1692" s="39" t="n">
        <v>65.63</v>
      </c>
      <c r="N1692" s="39" t="n">
        <f aca="false">J1692*Resumo!$C$6</f>
        <v>0</v>
      </c>
      <c r="O1692" s="39" t="n">
        <f aca="false">J1692*Resumo!$C$7</f>
        <v>0.755979</v>
      </c>
      <c r="P1692" s="39" t="n">
        <f aca="false">J1692*Resumo!$C$8</f>
        <v>0.755979</v>
      </c>
      <c r="Q1692" s="39" t="n">
        <f aca="false">Resumo!$C$10*CEILING(I1692/100,1)</f>
        <v>1.05</v>
      </c>
      <c r="R1692" s="39" t="n">
        <f aca="false">Resumo!$C$9</f>
        <v>0</v>
      </c>
      <c r="S1692" s="39" t="n">
        <f aca="false">Resumo!$C$13</f>
        <v>13.55</v>
      </c>
      <c r="T1692" s="39" t="n">
        <f aca="false">Resumo!$C$14*CEILING(I1692,1)</f>
        <v>11.25</v>
      </c>
      <c r="U1692" s="39" t="n">
        <f aca="false">SUM(M1692:T1692)*Resumo!$C$11</f>
        <v>0</v>
      </c>
      <c r="V1692" s="39" t="n">
        <f aca="false">SUM(M1692:U1692)</f>
        <v>92.991958</v>
      </c>
      <c r="W1692" s="39" t="n">
        <f aca="false">V1692/(1-Resumo!$C$5)</f>
        <v>105.672679545455</v>
      </c>
      <c r="X1692" s="39" t="n">
        <v>100.58</v>
      </c>
      <c r="Y1692" s="39" t="n">
        <f aca="false">J1692*Resumo!$B$6</f>
        <v>0.35999</v>
      </c>
      <c r="Z1692" s="39" t="n">
        <f aca="false">J1692*Resumo!$B$7</f>
        <v>0.71998</v>
      </c>
      <c r="AA1692" s="39" t="n">
        <f aca="false">Resumo!$B$9</f>
        <v>1</v>
      </c>
      <c r="AB1692" s="39" t="n">
        <f aca="false">Resumo!$B$10*CEILING(I1692/100,1)</f>
        <v>4.5</v>
      </c>
      <c r="AC1692" s="39" t="n">
        <f aca="false">Resumo!$B$12*CEILING(I1692,1)</f>
        <v>1.5</v>
      </c>
      <c r="AD1692" s="39" t="n">
        <f aca="false">Resumo!$B$14*CEILING(I1692,1)</f>
        <v>11.25</v>
      </c>
      <c r="AE1692" s="39" t="n">
        <f aca="false">SUM(X1692:AD1692)</f>
        <v>119.90997</v>
      </c>
      <c r="AF1692" s="39" t="n">
        <f aca="false">AE1692/(1-Resumo!$B$5)</f>
        <v>136.261329545455</v>
      </c>
      <c r="AG1692" s="39" t="n">
        <f aca="false">AF1692-W1692</f>
        <v>30.58865</v>
      </c>
      <c r="AH1692" s="40" t="n">
        <f aca="false">AF1692/W1692-1</f>
        <v>0.289466020276721</v>
      </c>
      <c r="AI1692" s="37" t="str">
        <f aca="false">IF(AF1692&lt;W1692,"SIM","NÃO")</f>
        <v>NÃO</v>
      </c>
      <c r="AJ1692" s="37" t="n">
        <v>13</v>
      </c>
      <c r="AK1692" s="37" t="n">
        <v>7</v>
      </c>
      <c r="AL1692" s="37" t="s">
        <v>343</v>
      </c>
      <c r="AM1692" s="39" t="n">
        <v>108.9</v>
      </c>
    </row>
    <row r="1693" customFormat="false" ht="15" hidden="false" customHeight="false" outlineLevel="0" collapsed="false">
      <c r="A1693" s="37" t="n">
        <v>391921799</v>
      </c>
      <c r="B1693" s="38" t="n">
        <v>46274.960625</v>
      </c>
      <c r="C1693" s="37" t="s">
        <v>340</v>
      </c>
      <c r="D1693" s="37" t="s">
        <v>1888</v>
      </c>
      <c r="E1693" s="37" t="n">
        <v>27930805</v>
      </c>
      <c r="F1693" s="37" t="s">
        <v>166</v>
      </c>
      <c r="G1693" s="37" t="s">
        <v>198</v>
      </c>
      <c r="H1693" s="37" t="s">
        <v>187</v>
      </c>
      <c r="I1693" s="37" t="n">
        <v>51.06</v>
      </c>
      <c r="J1693" s="39" t="n">
        <v>749.99</v>
      </c>
      <c r="K1693" s="37" t="s">
        <v>518</v>
      </c>
      <c r="L1693" s="39" t="n">
        <v>141.73</v>
      </c>
      <c r="M1693" s="39" t="n">
        <v>83.58</v>
      </c>
      <c r="N1693" s="39" t="n">
        <f aca="false">J1693*Resumo!$C$6</f>
        <v>0</v>
      </c>
      <c r="O1693" s="39" t="n">
        <f aca="false">J1693*Resumo!$C$7</f>
        <v>1.574979</v>
      </c>
      <c r="P1693" s="39" t="n">
        <f aca="false">J1693*Resumo!$C$8</f>
        <v>1.574979</v>
      </c>
      <c r="Q1693" s="39" t="n">
        <f aca="false">Resumo!$C$10*CEILING(I1693/100,1)</f>
        <v>1.05</v>
      </c>
      <c r="R1693" s="39" t="n">
        <f aca="false">Resumo!$C$9</f>
        <v>0</v>
      </c>
      <c r="S1693" s="39" t="n">
        <f aca="false">Resumo!$C$13</f>
        <v>13.55</v>
      </c>
      <c r="T1693" s="39" t="n">
        <f aca="false">Resumo!$C$14*CEILING(I1693,1)</f>
        <v>23.4</v>
      </c>
      <c r="U1693" s="39" t="n">
        <f aca="false">SUM(M1693:T1693)*Resumo!$C$11</f>
        <v>0</v>
      </c>
      <c r="V1693" s="39" t="n">
        <f aca="false">SUM(M1693:U1693)</f>
        <v>124.729958</v>
      </c>
      <c r="W1693" s="39" t="n">
        <f aca="false">V1693/(1-Resumo!$C$5)</f>
        <v>141.738588636364</v>
      </c>
      <c r="X1693" s="39" t="n">
        <v>162.04</v>
      </c>
      <c r="Y1693" s="39" t="n">
        <f aca="false">J1693*Resumo!$B$6</f>
        <v>0.74999</v>
      </c>
      <c r="Z1693" s="39" t="n">
        <f aca="false">J1693*Resumo!$B$7</f>
        <v>1.49998</v>
      </c>
      <c r="AA1693" s="39" t="n">
        <f aca="false">Resumo!$B$9</f>
        <v>1</v>
      </c>
      <c r="AB1693" s="39" t="n">
        <f aca="false">Resumo!$B$10*CEILING(I1693/100,1)</f>
        <v>4.5</v>
      </c>
      <c r="AC1693" s="39" t="n">
        <f aca="false">Resumo!$B$12*CEILING(I1693,1)</f>
        <v>3.12</v>
      </c>
      <c r="AD1693" s="39" t="n">
        <f aca="false">Resumo!$B$14*CEILING(I1693,1)</f>
        <v>23.4</v>
      </c>
      <c r="AE1693" s="39" t="n">
        <f aca="false">SUM(X1693:AD1693)</f>
        <v>196.30997</v>
      </c>
      <c r="AF1693" s="39" t="n">
        <f aca="false">AE1693/(1-Resumo!$B$5)</f>
        <v>223.079511363636</v>
      </c>
      <c r="AG1693" s="39" t="n">
        <f aca="false">AF1693-W1693</f>
        <v>81.3409227272727</v>
      </c>
      <c r="AH1693" s="40" t="n">
        <f aca="false">AF1693/W1693-1</f>
        <v>0.573879869341413</v>
      </c>
      <c r="AI1693" s="37" t="str">
        <f aca="false">IF(AF1693&lt;W1693,"SIM","NÃO")</f>
        <v>NÃO</v>
      </c>
      <c r="AJ1693" s="37" t="n">
        <v>13</v>
      </c>
      <c r="AK1693" s="37" t="n">
        <v>11</v>
      </c>
      <c r="AL1693" s="37" t="s">
        <v>343</v>
      </c>
      <c r="AM1693" s="39" t="n">
        <v>143.26</v>
      </c>
    </row>
    <row r="1694" customFormat="false" ht="15" hidden="false" customHeight="false" outlineLevel="0" collapsed="false">
      <c r="A1694" s="37" t="n">
        <v>391922210</v>
      </c>
      <c r="B1694" s="38" t="n">
        <v>46274.9612037037</v>
      </c>
      <c r="C1694" s="37" t="s">
        <v>345</v>
      </c>
      <c r="D1694" s="37" t="s">
        <v>1889</v>
      </c>
      <c r="E1694" s="37" t="n">
        <v>28983816</v>
      </c>
      <c r="F1694" s="37" t="s">
        <v>173</v>
      </c>
      <c r="G1694" s="37" t="s">
        <v>198</v>
      </c>
      <c r="H1694" s="37" t="s">
        <v>186</v>
      </c>
      <c r="I1694" s="37" t="n">
        <v>41.4</v>
      </c>
      <c r="J1694" s="39" t="n">
        <v>387</v>
      </c>
      <c r="K1694" s="37" t="s">
        <v>518</v>
      </c>
      <c r="L1694" s="39" t="n">
        <v>128.2</v>
      </c>
      <c r="M1694" s="39" t="n">
        <v>77.7</v>
      </c>
      <c r="N1694" s="39" t="n">
        <f aca="false">J1694*Resumo!$C$6</f>
        <v>0</v>
      </c>
      <c r="O1694" s="39" t="n">
        <f aca="false">J1694*Resumo!$C$7</f>
        <v>0.8127</v>
      </c>
      <c r="P1694" s="39" t="n">
        <f aca="false">J1694*Resumo!$C$8</f>
        <v>0.8127</v>
      </c>
      <c r="Q1694" s="39" t="n">
        <f aca="false">Resumo!$C$10*CEILING(I1694/100,1)</f>
        <v>1.05</v>
      </c>
      <c r="R1694" s="39" t="n">
        <f aca="false">Resumo!$C$9</f>
        <v>0</v>
      </c>
      <c r="S1694" s="39" t="n">
        <f aca="false">Resumo!$C$13</f>
        <v>13.55</v>
      </c>
      <c r="T1694" s="39" t="n">
        <f aca="false">Resumo!$C$14*CEILING(I1694,1)</f>
        <v>18.9</v>
      </c>
      <c r="U1694" s="39" t="n">
        <f aca="false">SUM(M1694:T1694)*Resumo!$C$11</f>
        <v>0</v>
      </c>
      <c r="V1694" s="39" t="n">
        <f aca="false">SUM(M1694:U1694)</f>
        <v>112.8254</v>
      </c>
      <c r="W1694" s="39" t="n">
        <f aca="false">V1694/(1-Resumo!$C$5)</f>
        <v>128.210681818182</v>
      </c>
      <c r="X1694" s="39" t="n">
        <v>129.29</v>
      </c>
      <c r="Y1694" s="39" t="n">
        <f aca="false">J1694*Resumo!$B$6</f>
        <v>0.387</v>
      </c>
      <c r="Z1694" s="39" t="n">
        <f aca="false">J1694*Resumo!$B$7</f>
        <v>0.774</v>
      </c>
      <c r="AA1694" s="39" t="n">
        <f aca="false">Resumo!$B$9</f>
        <v>1</v>
      </c>
      <c r="AB1694" s="39" t="n">
        <f aca="false">Resumo!$B$10*CEILING(I1694/100,1)</f>
        <v>4.5</v>
      </c>
      <c r="AC1694" s="39" t="n">
        <f aca="false">Resumo!$B$12*CEILING(I1694,1)</f>
        <v>2.52</v>
      </c>
      <c r="AD1694" s="39" t="n">
        <f aca="false">Resumo!$B$14*CEILING(I1694,1)</f>
        <v>18.9</v>
      </c>
      <c r="AE1694" s="39" t="n">
        <f aca="false">SUM(X1694:AD1694)</f>
        <v>157.371</v>
      </c>
      <c r="AF1694" s="39" t="n">
        <f aca="false">AE1694/(1-Resumo!$B$5)</f>
        <v>178.830681818182</v>
      </c>
      <c r="AG1694" s="39" t="n">
        <f aca="false">AF1694-W1694</f>
        <v>50.62</v>
      </c>
      <c r="AH1694" s="40" t="n">
        <f aca="false">AF1694/W1694-1</f>
        <v>0.394818897163227</v>
      </c>
      <c r="AI1694" s="37" t="str">
        <f aca="false">IF(AF1694&lt;W1694,"SIM","NÃO")</f>
        <v>NÃO</v>
      </c>
      <c r="AJ1694" s="37" t="n">
        <v>13</v>
      </c>
      <c r="AK1694" s="37" t="n">
        <v>10</v>
      </c>
      <c r="AL1694" s="37" t="s">
        <v>343</v>
      </c>
      <c r="AM1694" s="39" t="n">
        <v>130.01</v>
      </c>
    </row>
    <row r="1695" customFormat="false" ht="15" hidden="false" customHeight="false" outlineLevel="0" collapsed="false">
      <c r="A1695" s="37" t="n">
        <v>391930457</v>
      </c>
      <c r="B1695" s="38" t="n">
        <v>46274.9727430556</v>
      </c>
      <c r="C1695" s="37" t="s">
        <v>345</v>
      </c>
      <c r="D1695" s="37" t="s">
        <v>597</v>
      </c>
      <c r="E1695" s="37" t="n">
        <v>23970000</v>
      </c>
      <c r="F1695" s="37" t="s">
        <v>222</v>
      </c>
      <c r="G1695" s="37" t="s">
        <v>198</v>
      </c>
      <c r="H1695" s="37" t="s">
        <v>184</v>
      </c>
      <c r="I1695" s="37" t="n">
        <v>33.11</v>
      </c>
      <c r="J1695" s="39" t="n">
        <v>392.24</v>
      </c>
      <c r="K1695" s="37" t="s">
        <v>518</v>
      </c>
      <c r="L1695" s="39" t="n">
        <v>110.42</v>
      </c>
      <c r="M1695" s="39" t="n">
        <v>65.63</v>
      </c>
      <c r="N1695" s="39" t="n">
        <f aca="false">J1695*Resumo!$C$6</f>
        <v>0</v>
      </c>
      <c r="O1695" s="39" t="n">
        <f aca="false">J1695*Resumo!$C$7</f>
        <v>0.823704</v>
      </c>
      <c r="P1695" s="39" t="n">
        <f aca="false">J1695*Resumo!$C$8</f>
        <v>0.823704</v>
      </c>
      <c r="Q1695" s="39" t="n">
        <f aca="false">Resumo!$C$10*CEILING(I1695/100,1)</f>
        <v>1.05</v>
      </c>
      <c r="R1695" s="39" t="n">
        <f aca="false">Resumo!$C$9</f>
        <v>0</v>
      </c>
      <c r="S1695" s="39" t="n">
        <f aca="false">Resumo!$C$13</f>
        <v>13.55</v>
      </c>
      <c r="T1695" s="39" t="n">
        <f aca="false">Resumo!$C$14*CEILING(I1695,1)</f>
        <v>15.3</v>
      </c>
      <c r="U1695" s="39" t="n">
        <f aca="false">SUM(M1695:T1695)*Resumo!$C$11</f>
        <v>0</v>
      </c>
      <c r="V1695" s="39" t="n">
        <f aca="false">SUM(M1695:U1695)</f>
        <v>97.177408</v>
      </c>
      <c r="W1695" s="39" t="n">
        <f aca="false">V1695/(1-Resumo!$C$5)</f>
        <v>110.428872727273</v>
      </c>
      <c r="X1695" s="39" t="n">
        <v>108.83</v>
      </c>
      <c r="Y1695" s="39" t="n">
        <f aca="false">J1695*Resumo!$B$6</f>
        <v>0.39224</v>
      </c>
      <c r="Z1695" s="39" t="n">
        <f aca="false">J1695*Resumo!$B$7</f>
        <v>0.78448</v>
      </c>
      <c r="AA1695" s="39" t="n">
        <f aca="false">Resumo!$B$9</f>
        <v>1</v>
      </c>
      <c r="AB1695" s="39" t="n">
        <f aca="false">Resumo!$B$10*CEILING(I1695/100,1)</f>
        <v>4.5</v>
      </c>
      <c r="AC1695" s="39" t="n">
        <f aca="false">Resumo!$B$12*CEILING(I1695,1)</f>
        <v>2.04</v>
      </c>
      <c r="AD1695" s="39" t="n">
        <f aca="false">Resumo!$B$14*CEILING(I1695,1)</f>
        <v>15.3</v>
      </c>
      <c r="AE1695" s="39" t="n">
        <f aca="false">SUM(X1695:AD1695)</f>
        <v>132.84672</v>
      </c>
      <c r="AF1695" s="39" t="n">
        <f aca="false">AE1695/(1-Resumo!$B$5)</f>
        <v>150.962181818182</v>
      </c>
      <c r="AG1695" s="39" t="n">
        <f aca="false">AF1695-W1695</f>
        <v>40.5333090909091</v>
      </c>
      <c r="AH1695" s="40" t="n">
        <f aca="false">AF1695/W1695-1</f>
        <v>0.36705354396775</v>
      </c>
      <c r="AI1695" s="37" t="str">
        <f aca="false">IF(AF1695&lt;W1695,"SIM","NÃO")</f>
        <v>NÃO</v>
      </c>
      <c r="AJ1695" s="37" t="n">
        <v>13</v>
      </c>
      <c r="AK1695" s="37" t="n">
        <v>10</v>
      </c>
      <c r="AL1695" s="37" t="s">
        <v>347</v>
      </c>
      <c r="AM1695" s="39" t="n">
        <v>109.06</v>
      </c>
    </row>
    <row r="1696" customFormat="false" ht="15" hidden="false" customHeight="false" outlineLevel="0" collapsed="false">
      <c r="A1696" s="37" t="n">
        <v>391959678</v>
      </c>
      <c r="B1696" s="38" t="n">
        <v>46275.0038888889</v>
      </c>
      <c r="C1696" s="37" t="s">
        <v>340</v>
      </c>
      <c r="D1696" s="37" t="s">
        <v>1890</v>
      </c>
      <c r="E1696" s="37" t="n">
        <v>27946010</v>
      </c>
      <c r="F1696" s="37" t="s">
        <v>166</v>
      </c>
      <c r="G1696" s="37" t="s">
        <v>198</v>
      </c>
      <c r="H1696" s="37" t="s">
        <v>186</v>
      </c>
      <c r="I1696" s="37" t="n">
        <v>41.2</v>
      </c>
      <c r="J1696" s="39" t="n">
        <v>620.78</v>
      </c>
      <c r="K1696" s="37" t="s">
        <v>518</v>
      </c>
      <c r="L1696" s="39" t="n">
        <v>129.32</v>
      </c>
      <c r="M1696" s="39" t="n">
        <v>77.7</v>
      </c>
      <c r="N1696" s="39" t="n">
        <f aca="false">J1696*Resumo!$C$6</f>
        <v>0</v>
      </c>
      <c r="O1696" s="39" t="n">
        <f aca="false">J1696*Resumo!$C$7</f>
        <v>1.303638</v>
      </c>
      <c r="P1696" s="39" t="n">
        <f aca="false">J1696*Resumo!$C$8</f>
        <v>1.303638</v>
      </c>
      <c r="Q1696" s="39" t="n">
        <f aca="false">Resumo!$C$10*CEILING(I1696/100,1)</f>
        <v>1.05</v>
      </c>
      <c r="R1696" s="39" t="n">
        <f aca="false">Resumo!$C$9</f>
        <v>0</v>
      </c>
      <c r="S1696" s="39" t="n">
        <f aca="false">Resumo!$C$13</f>
        <v>13.55</v>
      </c>
      <c r="T1696" s="39" t="n">
        <f aca="false">Resumo!$C$14*CEILING(I1696,1)</f>
        <v>18.9</v>
      </c>
      <c r="U1696" s="39" t="n">
        <f aca="false">SUM(M1696:T1696)*Resumo!$C$11</f>
        <v>0</v>
      </c>
      <c r="V1696" s="39" t="n">
        <f aca="false">SUM(M1696:U1696)</f>
        <v>113.807276</v>
      </c>
      <c r="W1696" s="39" t="n">
        <f aca="false">V1696/(1-Resumo!$C$5)</f>
        <v>129.32645</v>
      </c>
      <c r="X1696" s="39" t="n">
        <v>152.54</v>
      </c>
      <c r="Y1696" s="39" t="n">
        <f aca="false">J1696*Resumo!$B$6</f>
        <v>0.62078</v>
      </c>
      <c r="Z1696" s="39" t="n">
        <f aca="false">J1696*Resumo!$B$7</f>
        <v>1.24156</v>
      </c>
      <c r="AA1696" s="39" t="n">
        <f aca="false">Resumo!$B$9</f>
        <v>1</v>
      </c>
      <c r="AB1696" s="39" t="n">
        <f aca="false">Resumo!$B$10*CEILING(I1696/100,1)</f>
        <v>4.5</v>
      </c>
      <c r="AC1696" s="39" t="n">
        <f aca="false">Resumo!$B$12*CEILING(I1696,1)</f>
        <v>2.52</v>
      </c>
      <c r="AD1696" s="39" t="n">
        <f aca="false">Resumo!$B$14*CEILING(I1696,1)</f>
        <v>18.9</v>
      </c>
      <c r="AE1696" s="39" t="n">
        <f aca="false">SUM(X1696:AD1696)</f>
        <v>181.32234</v>
      </c>
      <c r="AF1696" s="39" t="n">
        <f aca="false">AE1696/(1-Resumo!$B$5)</f>
        <v>206.048113636364</v>
      </c>
      <c r="AG1696" s="39" t="n">
        <f aca="false">AF1696-W1696</f>
        <v>76.7216636363636</v>
      </c>
      <c r="AH1696" s="40" t="n">
        <f aca="false">AF1696/W1696-1</f>
        <v>0.593240312684402</v>
      </c>
      <c r="AI1696" s="37" t="str">
        <f aca="false">IF(AF1696&lt;W1696,"SIM","NÃO")</f>
        <v>NÃO</v>
      </c>
      <c r="AJ1696" s="37" t="n">
        <v>13</v>
      </c>
      <c r="AK1696" s="37" t="n">
        <v>11</v>
      </c>
      <c r="AL1696" s="37" t="s">
        <v>343</v>
      </c>
      <c r="AM1696" s="39" t="n">
        <v>131.14</v>
      </c>
    </row>
    <row r="1697" customFormat="false" ht="15" hidden="false" customHeight="false" outlineLevel="0" collapsed="false">
      <c r="A1697" s="37" t="n">
        <v>391975230</v>
      </c>
      <c r="B1697" s="38" t="n">
        <v>46275.0227083333</v>
      </c>
      <c r="C1697" s="37" t="s">
        <v>340</v>
      </c>
      <c r="D1697" s="37" t="s">
        <v>1891</v>
      </c>
      <c r="E1697" s="37" t="n">
        <v>27276385</v>
      </c>
      <c r="F1697" s="37" t="s">
        <v>168</v>
      </c>
      <c r="G1697" s="37" t="s">
        <v>198</v>
      </c>
      <c r="H1697" s="37" t="s">
        <v>184</v>
      </c>
      <c r="I1697" s="37" t="n">
        <v>30.5</v>
      </c>
      <c r="J1697" s="39" t="n">
        <v>449.99</v>
      </c>
      <c r="K1697" s="37" t="s">
        <v>518</v>
      </c>
      <c r="L1697" s="39" t="n">
        <v>109.16</v>
      </c>
      <c r="M1697" s="39" t="n">
        <v>65.63</v>
      </c>
      <c r="N1697" s="39" t="n">
        <f aca="false">J1697*Resumo!$C$6</f>
        <v>0</v>
      </c>
      <c r="O1697" s="39" t="n">
        <f aca="false">J1697*Resumo!$C$7</f>
        <v>0.944979</v>
      </c>
      <c r="P1697" s="39" t="n">
        <f aca="false">J1697*Resumo!$C$8</f>
        <v>0.944979</v>
      </c>
      <c r="Q1697" s="39" t="n">
        <f aca="false">Resumo!$C$10*CEILING(I1697/100,1)</f>
        <v>1.05</v>
      </c>
      <c r="R1697" s="39" t="n">
        <f aca="false">Resumo!$C$9</f>
        <v>0</v>
      </c>
      <c r="S1697" s="39" t="n">
        <f aca="false">Resumo!$C$13</f>
        <v>13.55</v>
      </c>
      <c r="T1697" s="39" t="n">
        <f aca="false">Resumo!$C$14*CEILING(I1697,1)</f>
        <v>13.95</v>
      </c>
      <c r="U1697" s="39" t="n">
        <f aca="false">SUM(M1697:T1697)*Resumo!$C$11</f>
        <v>0</v>
      </c>
      <c r="V1697" s="39" t="n">
        <f aca="false">SUM(M1697:U1697)</f>
        <v>96.069958</v>
      </c>
      <c r="W1697" s="39" t="n">
        <f aca="false">V1697/(1-Resumo!$C$5)</f>
        <v>109.170406818182</v>
      </c>
      <c r="X1697" s="39" t="n">
        <v>108.83</v>
      </c>
      <c r="Y1697" s="39" t="n">
        <f aca="false">J1697*Resumo!$B$6</f>
        <v>0.44999</v>
      </c>
      <c r="Z1697" s="39" t="n">
        <f aca="false">J1697*Resumo!$B$7</f>
        <v>0.89998</v>
      </c>
      <c r="AA1697" s="39" t="n">
        <f aca="false">Resumo!$B$9</f>
        <v>1</v>
      </c>
      <c r="AB1697" s="39" t="n">
        <f aca="false">Resumo!$B$10*CEILING(I1697/100,1)</f>
        <v>4.5</v>
      </c>
      <c r="AC1697" s="39" t="n">
        <f aca="false">Resumo!$B$12*CEILING(I1697,1)</f>
        <v>1.86</v>
      </c>
      <c r="AD1697" s="39" t="n">
        <f aca="false">Resumo!$B$14*CEILING(I1697,1)</f>
        <v>13.95</v>
      </c>
      <c r="AE1697" s="39" t="n">
        <f aca="false">SUM(X1697:AD1697)</f>
        <v>131.48997</v>
      </c>
      <c r="AF1697" s="39" t="n">
        <f aca="false">AE1697/(1-Resumo!$B$5)</f>
        <v>149.420420454545</v>
      </c>
      <c r="AG1697" s="39" t="n">
        <f aca="false">AF1697-W1697</f>
        <v>40.2500136363636</v>
      </c>
      <c r="AH1697" s="40" t="n">
        <f aca="false">AF1697/W1697-1</f>
        <v>0.368689783334765</v>
      </c>
      <c r="AI1697" s="37" t="str">
        <f aca="false">IF(AF1697&lt;W1697,"SIM","NÃO")</f>
        <v>NÃO</v>
      </c>
      <c r="AJ1697" s="37" t="n">
        <v>13</v>
      </c>
      <c r="AK1697" s="37" t="n">
        <v>10</v>
      </c>
      <c r="AL1697" s="37" t="s">
        <v>343</v>
      </c>
      <c r="AM1697" s="39" t="n">
        <v>109.34</v>
      </c>
    </row>
    <row r="1698" customFormat="false" ht="15" hidden="false" customHeight="false" outlineLevel="0" collapsed="false">
      <c r="A1698" s="37" t="n">
        <v>391997365</v>
      </c>
      <c r="B1698" s="38" t="n">
        <v>46275.0656828704</v>
      </c>
      <c r="C1698" s="37" t="s">
        <v>340</v>
      </c>
      <c r="D1698" s="37" t="s">
        <v>541</v>
      </c>
      <c r="E1698" s="37" t="n">
        <v>21911310</v>
      </c>
      <c r="F1698" s="37" t="s">
        <v>159</v>
      </c>
      <c r="G1698" s="37" t="s">
        <v>196</v>
      </c>
      <c r="H1698" s="37" t="s">
        <v>184</v>
      </c>
      <c r="I1698" s="37" t="n">
        <v>24.8</v>
      </c>
      <c r="J1698" s="39" t="n">
        <v>299.99</v>
      </c>
      <c r="K1698" s="37" t="s">
        <v>342</v>
      </c>
      <c r="L1698" s="39" t="n">
        <v>81.76</v>
      </c>
      <c r="M1698" s="39" t="n">
        <v>42.11</v>
      </c>
      <c r="N1698" s="39" t="n">
        <f aca="false">J1698*Resumo!$C$6</f>
        <v>0</v>
      </c>
      <c r="O1698" s="39" t="n">
        <f aca="false">J1698*Resumo!$C$7</f>
        <v>0.629979</v>
      </c>
      <c r="P1698" s="39" t="n">
        <f aca="false">J1698*Resumo!$C$8</f>
        <v>0.629979</v>
      </c>
      <c r="Q1698" s="39" t="n">
        <f aca="false">Resumo!$C$10*CEILING(I1698/100,1)</f>
        <v>1.05</v>
      </c>
      <c r="R1698" s="39" t="n">
        <f aca="false">Resumo!$C$9</f>
        <v>0</v>
      </c>
      <c r="S1698" s="39" t="n">
        <f aca="false">Resumo!$C$13</f>
        <v>13.55</v>
      </c>
      <c r="T1698" s="39" t="n">
        <f aca="false">Resumo!$C$14*CEILING(I1698,1)</f>
        <v>11.25</v>
      </c>
      <c r="U1698" s="39" t="n">
        <f aca="false">SUM(M1698:T1698)*Resumo!$C$11</f>
        <v>0</v>
      </c>
      <c r="V1698" s="39" t="n">
        <f aca="false">SUM(M1698:U1698)</f>
        <v>69.219958</v>
      </c>
      <c r="W1698" s="39" t="n">
        <f aca="false">V1698/(1-Resumo!$C$5)</f>
        <v>78.6590431818182</v>
      </c>
      <c r="X1698" s="39" t="n">
        <v>82.21</v>
      </c>
      <c r="Y1698" s="39" t="n">
        <f aca="false">J1698*Resumo!$B$6</f>
        <v>0.29999</v>
      </c>
      <c r="Z1698" s="39" t="n">
        <f aca="false">J1698*Resumo!$B$7</f>
        <v>0.59998</v>
      </c>
      <c r="AA1698" s="39" t="n">
        <f aca="false">Resumo!$B$9</f>
        <v>1</v>
      </c>
      <c r="AB1698" s="39" t="n">
        <f aca="false">Resumo!$B$10*CEILING(I1698/100,1)</f>
        <v>4.5</v>
      </c>
      <c r="AC1698" s="39" t="n">
        <f aca="false">Resumo!$B$12*CEILING(I1698,1)</f>
        <v>1.5</v>
      </c>
      <c r="AD1698" s="39" t="n">
        <f aca="false">Resumo!$B$14*CEILING(I1698,1)</f>
        <v>11.25</v>
      </c>
      <c r="AE1698" s="39" t="n">
        <f aca="false">SUM(X1698:AD1698)</f>
        <v>101.35997</v>
      </c>
      <c r="AF1698" s="39" t="n">
        <f aca="false">AE1698/(1-Resumo!$B$5)</f>
        <v>115.181784090909</v>
      </c>
      <c r="AG1698" s="39" t="n">
        <f aca="false">AF1698-W1698</f>
        <v>36.5227409090909</v>
      </c>
      <c r="AH1698" s="40" t="n">
        <f aca="false">AF1698/W1698-1</f>
        <v>0.464317126572079</v>
      </c>
      <c r="AI1698" s="37" t="str">
        <f aca="false">IF(AF1698&lt;W1698,"SIM","NÃO")</f>
        <v>NÃO</v>
      </c>
      <c r="AJ1698" s="37" t="n">
        <v>2</v>
      </c>
      <c r="AK1698" s="37" t="n">
        <v>5</v>
      </c>
      <c r="AL1698" s="37" t="s">
        <v>343</v>
      </c>
      <c r="AM1698" s="39" t="n">
        <v>81.76</v>
      </c>
    </row>
    <row r="1699" customFormat="false" ht="15" hidden="false" customHeight="false" outlineLevel="0" collapsed="false">
      <c r="A1699" s="37" t="n">
        <v>392174837</v>
      </c>
      <c r="B1699" s="38" t="n">
        <v>46275.3884259259</v>
      </c>
      <c r="C1699" s="37" t="s">
        <v>345</v>
      </c>
      <c r="D1699" s="37" t="s">
        <v>1892</v>
      </c>
      <c r="E1699" s="37" t="n">
        <v>28165000</v>
      </c>
      <c r="F1699" s="37" t="s">
        <v>164</v>
      </c>
      <c r="G1699" s="37" t="s">
        <v>198</v>
      </c>
      <c r="H1699" s="37" t="s">
        <v>186</v>
      </c>
      <c r="I1699" s="37" t="n">
        <v>43.5</v>
      </c>
      <c r="J1699" s="39" t="n">
        <v>601.04</v>
      </c>
      <c r="K1699" s="37" t="s">
        <v>518</v>
      </c>
      <c r="L1699" s="39" t="n">
        <v>130.25</v>
      </c>
      <c r="M1699" s="39" t="n">
        <v>77.7</v>
      </c>
      <c r="N1699" s="39" t="n">
        <f aca="false">J1699*Resumo!$C$6</f>
        <v>0</v>
      </c>
      <c r="O1699" s="39" t="n">
        <f aca="false">J1699*Resumo!$C$7</f>
        <v>1.262184</v>
      </c>
      <c r="P1699" s="39" t="n">
        <f aca="false">J1699*Resumo!$C$8</f>
        <v>1.262184</v>
      </c>
      <c r="Q1699" s="39" t="n">
        <f aca="false">Resumo!$C$10*CEILING(I1699/100,1)</f>
        <v>1.05</v>
      </c>
      <c r="R1699" s="39" t="n">
        <f aca="false">Resumo!$C$9</f>
        <v>0</v>
      </c>
      <c r="S1699" s="39" t="n">
        <f aca="false">Resumo!$C$13</f>
        <v>13.55</v>
      </c>
      <c r="T1699" s="39" t="n">
        <f aca="false">Resumo!$C$14*CEILING(I1699,1)</f>
        <v>19.8</v>
      </c>
      <c r="U1699" s="39" t="n">
        <f aca="false">SUM(M1699:T1699)*Resumo!$C$11</f>
        <v>0</v>
      </c>
      <c r="V1699" s="39" t="n">
        <f aca="false">SUM(M1699:U1699)</f>
        <v>114.624368</v>
      </c>
      <c r="W1699" s="39" t="n">
        <f aca="false">V1699/(1-Resumo!$C$5)</f>
        <v>130.254963636364</v>
      </c>
      <c r="X1699" s="39" t="n">
        <v>152.54</v>
      </c>
      <c r="Y1699" s="39" t="n">
        <f aca="false">J1699*Resumo!$B$6</f>
        <v>0.60104</v>
      </c>
      <c r="Z1699" s="39" t="n">
        <f aca="false">J1699*Resumo!$B$7</f>
        <v>1.20208</v>
      </c>
      <c r="AA1699" s="39" t="n">
        <f aca="false">Resumo!$B$9</f>
        <v>1</v>
      </c>
      <c r="AB1699" s="39" t="n">
        <f aca="false">Resumo!$B$10*CEILING(I1699/100,1)</f>
        <v>4.5</v>
      </c>
      <c r="AC1699" s="39" t="n">
        <f aca="false">Resumo!$B$12*CEILING(I1699,1)</f>
        <v>2.64</v>
      </c>
      <c r="AD1699" s="39" t="n">
        <f aca="false">Resumo!$B$14*CEILING(I1699,1)</f>
        <v>19.8</v>
      </c>
      <c r="AE1699" s="39" t="n">
        <f aca="false">SUM(X1699:AD1699)</f>
        <v>182.28312</v>
      </c>
      <c r="AF1699" s="39" t="n">
        <f aca="false">AE1699/(1-Resumo!$B$5)</f>
        <v>207.139909090909</v>
      </c>
      <c r="AG1699" s="39" t="n">
        <f aca="false">AF1699-W1699</f>
        <v>76.8849454545455</v>
      </c>
      <c r="AH1699" s="40" t="n">
        <f aca="false">AF1699/W1699-1</f>
        <v>0.59026499496163</v>
      </c>
      <c r="AI1699" s="37" t="str">
        <f aca="false">IF(AF1699&lt;W1699,"SIM","NÃO")</f>
        <v>NÃO</v>
      </c>
      <c r="AJ1699" s="37" t="n">
        <v>13</v>
      </c>
      <c r="AK1699" s="37" t="n">
        <v>11</v>
      </c>
      <c r="AL1699" s="37" t="s">
        <v>343</v>
      </c>
      <c r="AM1699" s="39" t="n">
        <v>131.04</v>
      </c>
    </row>
    <row r="1700" customFormat="false" ht="15" hidden="false" customHeight="false" outlineLevel="0" collapsed="false">
      <c r="A1700" s="37" t="n">
        <v>392177859</v>
      </c>
      <c r="B1700" s="38" t="n">
        <v>46275.392025463</v>
      </c>
      <c r="C1700" s="37" t="s">
        <v>345</v>
      </c>
      <c r="D1700" s="37" t="s">
        <v>1666</v>
      </c>
      <c r="E1700" s="37" t="n">
        <v>28220000</v>
      </c>
      <c r="F1700" s="37" t="s">
        <v>259</v>
      </c>
      <c r="G1700" s="37" t="s">
        <v>198</v>
      </c>
      <c r="H1700" s="37" t="s">
        <v>184</v>
      </c>
      <c r="I1700" s="37" t="n">
        <v>22.6</v>
      </c>
      <c r="J1700" s="39" t="n">
        <v>460</v>
      </c>
      <c r="K1700" s="37" t="s">
        <v>518</v>
      </c>
      <c r="L1700" s="39" t="n">
        <v>105.14</v>
      </c>
      <c r="M1700" s="39" t="n">
        <v>65.63</v>
      </c>
      <c r="N1700" s="39" t="n">
        <f aca="false">J1700*Resumo!$C$6</f>
        <v>0</v>
      </c>
      <c r="O1700" s="39" t="n">
        <f aca="false">J1700*Resumo!$C$7</f>
        <v>0.966</v>
      </c>
      <c r="P1700" s="39" t="n">
        <f aca="false">J1700*Resumo!$C$8</f>
        <v>0.966</v>
      </c>
      <c r="Q1700" s="39" t="n">
        <f aca="false">Resumo!$C$10*CEILING(I1700/100,1)</f>
        <v>1.05</v>
      </c>
      <c r="R1700" s="39" t="n">
        <f aca="false">Resumo!$C$9</f>
        <v>0</v>
      </c>
      <c r="S1700" s="39" t="n">
        <f aca="false">Resumo!$C$13</f>
        <v>13.55</v>
      </c>
      <c r="T1700" s="39" t="n">
        <f aca="false">Resumo!$C$14*CEILING(I1700,1)</f>
        <v>10.35</v>
      </c>
      <c r="U1700" s="39" t="n">
        <f aca="false">SUM(M1700:T1700)*Resumo!$C$11</f>
        <v>0</v>
      </c>
      <c r="V1700" s="39" t="n">
        <f aca="false">SUM(M1700:U1700)</f>
        <v>92.512</v>
      </c>
      <c r="W1700" s="39" t="n">
        <f aca="false">V1700/(1-Resumo!$C$5)</f>
        <v>105.127272727273</v>
      </c>
      <c r="X1700" s="39" t="n">
        <v>138.29</v>
      </c>
      <c r="Y1700" s="39" t="n">
        <f aca="false">J1700*Resumo!$B$6</f>
        <v>0.46</v>
      </c>
      <c r="Z1700" s="39" t="n">
        <f aca="false">J1700*Resumo!$B$7</f>
        <v>0.92</v>
      </c>
      <c r="AA1700" s="39" t="n">
        <f aca="false">Resumo!$B$9</f>
        <v>1</v>
      </c>
      <c r="AB1700" s="39" t="n">
        <f aca="false">Resumo!$B$10*CEILING(I1700/100,1)</f>
        <v>4.5</v>
      </c>
      <c r="AC1700" s="39" t="n">
        <f aca="false">Resumo!$B$12*CEILING(I1700,1)</f>
        <v>1.38</v>
      </c>
      <c r="AD1700" s="39" t="n">
        <f aca="false">Resumo!$B$14*CEILING(I1700,1)</f>
        <v>10.35</v>
      </c>
      <c r="AE1700" s="39" t="n">
        <f aca="false">SUM(X1700:AD1700)</f>
        <v>156.9</v>
      </c>
      <c r="AF1700" s="39" t="n">
        <f aca="false">AE1700/(1-Resumo!$B$5)</f>
        <v>178.295454545455</v>
      </c>
      <c r="AG1700" s="39" t="n">
        <f aca="false">AF1700-W1700</f>
        <v>73.1681818181818</v>
      </c>
      <c r="AH1700" s="40" t="n">
        <f aca="false">AF1700/W1700-1</f>
        <v>0.695996195088205</v>
      </c>
      <c r="AI1700" s="37" t="str">
        <f aca="false">IF(AF1700&lt;W1700,"SIM","NÃO")</f>
        <v>NÃO</v>
      </c>
      <c r="AJ1700" s="37" t="n">
        <v>13</v>
      </c>
      <c r="AK1700" s="37" t="n">
        <v>11</v>
      </c>
      <c r="AL1700" s="37" t="s">
        <v>347</v>
      </c>
      <c r="AM1700" s="39" t="n">
        <v>109.38</v>
      </c>
    </row>
    <row r="1701" customFormat="false" ht="15" hidden="false" customHeight="false" outlineLevel="0" collapsed="false">
      <c r="A1701" s="37" t="n">
        <v>392218303</v>
      </c>
      <c r="B1701" s="38" t="n">
        <v>46275.4398032407</v>
      </c>
      <c r="C1701" s="37" t="s">
        <v>345</v>
      </c>
      <c r="D1701" s="37" t="s">
        <v>1893</v>
      </c>
      <c r="E1701" s="37" t="n">
        <v>25802250</v>
      </c>
      <c r="F1701" s="37" t="s">
        <v>228</v>
      </c>
      <c r="G1701" s="37" t="s">
        <v>198</v>
      </c>
      <c r="H1701" s="37" t="s">
        <v>187</v>
      </c>
      <c r="I1701" s="37" t="n">
        <v>52.3</v>
      </c>
      <c r="J1701" s="39" t="n">
        <v>620</v>
      </c>
      <c r="K1701" s="37" t="s">
        <v>518</v>
      </c>
      <c r="L1701" s="39" t="n">
        <v>141.63</v>
      </c>
      <c r="M1701" s="39" t="n">
        <v>83.58</v>
      </c>
      <c r="N1701" s="39" t="n">
        <f aca="false">J1701*Resumo!$C$6</f>
        <v>0</v>
      </c>
      <c r="O1701" s="39" t="n">
        <f aca="false">J1701*Resumo!$C$7</f>
        <v>1.302</v>
      </c>
      <c r="P1701" s="39" t="n">
        <f aca="false">J1701*Resumo!$C$8</f>
        <v>1.302</v>
      </c>
      <c r="Q1701" s="39" t="n">
        <f aca="false">Resumo!$C$10*CEILING(I1701/100,1)</f>
        <v>1.05</v>
      </c>
      <c r="R1701" s="39" t="n">
        <f aca="false">Resumo!$C$9</f>
        <v>0</v>
      </c>
      <c r="S1701" s="39" t="n">
        <f aca="false">Resumo!$C$13</f>
        <v>13.55</v>
      </c>
      <c r="T1701" s="39" t="n">
        <f aca="false">Resumo!$C$14*CEILING(I1701,1)</f>
        <v>23.85</v>
      </c>
      <c r="U1701" s="39" t="n">
        <f aca="false">SUM(M1701:T1701)*Resumo!$C$11</f>
        <v>0</v>
      </c>
      <c r="V1701" s="39" t="n">
        <f aca="false">SUM(M1701:U1701)</f>
        <v>124.634</v>
      </c>
      <c r="W1701" s="39" t="n">
        <f aca="false">V1701/(1-Resumo!$C$5)</f>
        <v>141.629545454545</v>
      </c>
      <c r="X1701" s="39" t="n">
        <v>142.32</v>
      </c>
      <c r="Y1701" s="39" t="n">
        <f aca="false">J1701*Resumo!$B$6</f>
        <v>0.62</v>
      </c>
      <c r="Z1701" s="39" t="n">
        <f aca="false">J1701*Resumo!$B$7</f>
        <v>1.24</v>
      </c>
      <c r="AA1701" s="39" t="n">
        <f aca="false">Resumo!$B$9</f>
        <v>1</v>
      </c>
      <c r="AB1701" s="39" t="n">
        <f aca="false">Resumo!$B$10*CEILING(I1701/100,1)</f>
        <v>4.5</v>
      </c>
      <c r="AC1701" s="39" t="n">
        <f aca="false">Resumo!$B$12*CEILING(I1701,1)</f>
        <v>3.18</v>
      </c>
      <c r="AD1701" s="39" t="n">
        <f aca="false">Resumo!$B$14*CEILING(I1701,1)</f>
        <v>23.85</v>
      </c>
      <c r="AE1701" s="39" t="n">
        <f aca="false">SUM(X1701:AD1701)</f>
        <v>176.71</v>
      </c>
      <c r="AF1701" s="39" t="n">
        <f aca="false">AE1701/(1-Resumo!$B$5)</f>
        <v>200.806818181818</v>
      </c>
      <c r="AG1701" s="39" t="n">
        <f aca="false">AF1701-W1701</f>
        <v>59.1772727272727</v>
      </c>
      <c r="AH1701" s="40" t="n">
        <f aca="false">AF1701/W1701-1</f>
        <v>0.417831410369562</v>
      </c>
      <c r="AI1701" s="37" t="str">
        <f aca="false">IF(AF1701&lt;W1701,"SIM","NÃO")</f>
        <v>NÃO</v>
      </c>
      <c r="AJ1701" s="37" t="n">
        <v>13</v>
      </c>
      <c r="AK1701" s="37" t="n">
        <v>8</v>
      </c>
      <c r="AL1701" s="37" t="s">
        <v>347</v>
      </c>
      <c r="AM1701" s="39" t="n">
        <v>142.64</v>
      </c>
    </row>
    <row r="1702" customFormat="false" ht="15" hidden="false" customHeight="false" outlineLevel="0" collapsed="false">
      <c r="A1702" s="37" t="n">
        <v>392228125</v>
      </c>
      <c r="B1702" s="38" t="n">
        <v>46275.4511805556</v>
      </c>
      <c r="C1702" s="37" t="s">
        <v>340</v>
      </c>
      <c r="D1702" s="37" t="s">
        <v>1894</v>
      </c>
      <c r="E1702" s="37" t="n">
        <v>25665442</v>
      </c>
      <c r="F1702" s="37" t="s">
        <v>170</v>
      </c>
      <c r="G1702" s="37" t="s">
        <v>198</v>
      </c>
      <c r="H1702" s="37" t="s">
        <v>187</v>
      </c>
      <c r="I1702" s="37" t="n">
        <v>60</v>
      </c>
      <c r="J1702" s="39" t="n">
        <v>879.99</v>
      </c>
      <c r="K1702" s="37" t="s">
        <v>518</v>
      </c>
      <c r="L1702" s="39" t="n">
        <v>146.45</v>
      </c>
      <c r="M1702" s="39" t="n">
        <v>83.58</v>
      </c>
      <c r="N1702" s="39" t="n">
        <f aca="false">J1702*Resumo!$C$6</f>
        <v>0</v>
      </c>
      <c r="O1702" s="39" t="n">
        <f aca="false">J1702*Resumo!$C$7</f>
        <v>1.847979</v>
      </c>
      <c r="P1702" s="39" t="n">
        <f aca="false">J1702*Resumo!$C$8</f>
        <v>1.847979</v>
      </c>
      <c r="Q1702" s="39" t="n">
        <f aca="false">Resumo!$C$10*CEILING(I1702/100,1)</f>
        <v>1.05</v>
      </c>
      <c r="R1702" s="39" t="n">
        <f aca="false">Resumo!$C$9</f>
        <v>0</v>
      </c>
      <c r="S1702" s="39" t="n">
        <f aca="false">Resumo!$C$13</f>
        <v>13.55</v>
      </c>
      <c r="T1702" s="39" t="n">
        <f aca="false">Resumo!$C$14*CEILING(I1702,1)</f>
        <v>27</v>
      </c>
      <c r="U1702" s="39" t="n">
        <f aca="false">SUM(M1702:T1702)*Resumo!$C$11</f>
        <v>0</v>
      </c>
      <c r="V1702" s="39" t="n">
        <f aca="false">SUM(M1702:U1702)</f>
        <v>128.875958</v>
      </c>
      <c r="W1702" s="39" t="n">
        <f aca="false">V1702/(1-Resumo!$C$5)</f>
        <v>146.449952272727</v>
      </c>
      <c r="X1702" s="39" t="n">
        <v>142.32</v>
      </c>
      <c r="Y1702" s="39" t="n">
        <f aca="false">J1702*Resumo!$B$6</f>
        <v>0.87999</v>
      </c>
      <c r="Z1702" s="39" t="n">
        <f aca="false">J1702*Resumo!$B$7</f>
        <v>1.75998</v>
      </c>
      <c r="AA1702" s="39" t="n">
        <f aca="false">Resumo!$B$9</f>
        <v>1</v>
      </c>
      <c r="AB1702" s="39" t="n">
        <f aca="false">Resumo!$B$10*CEILING(I1702/100,1)</f>
        <v>4.5</v>
      </c>
      <c r="AC1702" s="39" t="n">
        <f aca="false">Resumo!$B$12*CEILING(I1702,1)</f>
        <v>3.6</v>
      </c>
      <c r="AD1702" s="39" t="n">
        <f aca="false">Resumo!$B$14*CEILING(I1702,1)</f>
        <v>27</v>
      </c>
      <c r="AE1702" s="39" t="n">
        <f aca="false">SUM(X1702:AD1702)</f>
        <v>181.05997</v>
      </c>
      <c r="AF1702" s="39" t="n">
        <f aca="false">AE1702/(1-Resumo!$B$5)</f>
        <v>205.749965909091</v>
      </c>
      <c r="AG1702" s="39" t="n">
        <f aca="false">AF1702-W1702</f>
        <v>59.3000136363636</v>
      </c>
      <c r="AH1702" s="40" t="n">
        <f aca="false">AF1702/W1702-1</f>
        <v>0.404916578777246</v>
      </c>
      <c r="AI1702" s="37" t="str">
        <f aca="false">IF(AF1702&lt;W1702,"SIM","NÃO")</f>
        <v>NÃO</v>
      </c>
      <c r="AJ1702" s="37" t="n">
        <v>13</v>
      </c>
      <c r="AK1702" s="37" t="n">
        <v>8</v>
      </c>
      <c r="AL1702" s="37" t="s">
        <v>343</v>
      </c>
      <c r="AM1702" s="39" t="n">
        <v>143.89</v>
      </c>
    </row>
    <row r="1703" customFormat="false" ht="15" hidden="false" customHeight="false" outlineLevel="0" collapsed="false">
      <c r="A1703" s="37" t="n">
        <v>391900448</v>
      </c>
      <c r="B1703" s="38" t="n">
        <v>46275.4870486111</v>
      </c>
      <c r="C1703" s="37" t="s">
        <v>361</v>
      </c>
      <c r="D1703" s="37" t="s">
        <v>1895</v>
      </c>
      <c r="E1703" s="37" t="n">
        <v>21645521</v>
      </c>
      <c r="F1703" s="37" t="s">
        <v>159</v>
      </c>
      <c r="G1703" s="37" t="s">
        <v>196</v>
      </c>
      <c r="H1703" s="37" t="s">
        <v>184</v>
      </c>
      <c r="I1703" s="37" t="n">
        <v>26.4</v>
      </c>
      <c r="J1703" s="39" t="n">
        <v>399.99</v>
      </c>
      <c r="K1703" s="37" t="s">
        <v>342</v>
      </c>
      <c r="L1703" s="39" t="n">
        <v>82.24</v>
      </c>
      <c r="M1703" s="39" t="n">
        <v>42.11</v>
      </c>
      <c r="N1703" s="39" t="n">
        <f aca="false">J1703*Resumo!$C$6</f>
        <v>0</v>
      </c>
      <c r="O1703" s="39" t="n">
        <f aca="false">J1703*Resumo!$C$7</f>
        <v>0.839979</v>
      </c>
      <c r="P1703" s="39" t="n">
        <f aca="false">J1703*Resumo!$C$8</f>
        <v>0.839979</v>
      </c>
      <c r="Q1703" s="39" t="n">
        <f aca="false">Resumo!$C$10*CEILING(I1703/100,1)</f>
        <v>1.05</v>
      </c>
      <c r="R1703" s="39" t="n">
        <f aca="false">Resumo!$C$9</f>
        <v>0</v>
      </c>
      <c r="S1703" s="39" t="n">
        <f aca="false">Resumo!$C$13</f>
        <v>13.55</v>
      </c>
      <c r="T1703" s="39" t="n">
        <f aca="false">Resumo!$C$14*CEILING(I1703,1)</f>
        <v>12.15</v>
      </c>
      <c r="U1703" s="39" t="n">
        <f aca="false">SUM(M1703:T1703)*Resumo!$C$11</f>
        <v>0</v>
      </c>
      <c r="V1703" s="39" t="n">
        <f aca="false">SUM(M1703:U1703)</f>
        <v>70.539958</v>
      </c>
      <c r="W1703" s="39" t="n">
        <f aca="false">V1703/(1-Resumo!$C$5)</f>
        <v>80.1590431818182</v>
      </c>
      <c r="X1703" s="39" t="n">
        <v>82.21</v>
      </c>
      <c r="Y1703" s="39" t="n">
        <f aca="false">J1703*Resumo!$B$6</f>
        <v>0.39999</v>
      </c>
      <c r="Z1703" s="39" t="n">
        <f aca="false">J1703*Resumo!$B$7</f>
        <v>0.79998</v>
      </c>
      <c r="AA1703" s="39" t="n">
        <f aca="false">Resumo!$B$9</f>
        <v>1</v>
      </c>
      <c r="AB1703" s="39" t="n">
        <f aca="false">Resumo!$B$10*CEILING(I1703/100,1)</f>
        <v>4.5</v>
      </c>
      <c r="AC1703" s="39" t="n">
        <f aca="false">Resumo!$B$12*CEILING(I1703,1)</f>
        <v>1.62</v>
      </c>
      <c r="AD1703" s="39" t="n">
        <f aca="false">Resumo!$B$14*CEILING(I1703,1)</f>
        <v>12.15</v>
      </c>
      <c r="AE1703" s="39" t="n">
        <f aca="false">SUM(X1703:AD1703)</f>
        <v>102.67997</v>
      </c>
      <c r="AF1703" s="39" t="n">
        <f aca="false">AE1703/(1-Resumo!$B$5)</f>
        <v>116.681784090909</v>
      </c>
      <c r="AG1703" s="39" t="n">
        <f aca="false">AF1703-W1703</f>
        <v>36.5227409090909</v>
      </c>
      <c r="AH1703" s="40" t="n">
        <f aca="false">AF1703/W1703-1</f>
        <v>0.455628453875745</v>
      </c>
      <c r="AI1703" s="37" t="str">
        <f aca="false">IF(AF1703&lt;W1703,"SIM","NÃO")</f>
        <v>NÃO</v>
      </c>
      <c r="AJ1703" s="37" t="n">
        <v>2</v>
      </c>
      <c r="AK1703" s="37" t="n">
        <v>5</v>
      </c>
      <c r="AL1703" s="37" t="s">
        <v>343</v>
      </c>
      <c r="AM1703" s="39" t="n">
        <v>82.24</v>
      </c>
    </row>
    <row r="1704" customFormat="false" ht="15" hidden="false" customHeight="false" outlineLevel="0" collapsed="false">
      <c r="A1704" s="37" t="n">
        <v>392272195</v>
      </c>
      <c r="B1704" s="38" t="n">
        <v>46275.5027430556</v>
      </c>
      <c r="C1704" s="37" t="s">
        <v>340</v>
      </c>
      <c r="D1704" s="37" t="s">
        <v>1896</v>
      </c>
      <c r="E1704" s="37" t="n">
        <v>27214615</v>
      </c>
      <c r="F1704" s="37" t="s">
        <v>168</v>
      </c>
      <c r="G1704" s="37" t="s">
        <v>198</v>
      </c>
      <c r="H1704" s="37" t="s">
        <v>184</v>
      </c>
      <c r="I1704" s="37" t="n">
        <v>27.6</v>
      </c>
      <c r="J1704" s="39" t="n">
        <v>537.45</v>
      </c>
      <c r="K1704" s="37" t="s">
        <v>518</v>
      </c>
      <c r="L1704" s="39" t="n">
        <v>108.06</v>
      </c>
      <c r="M1704" s="39" t="n">
        <v>65.63</v>
      </c>
      <c r="N1704" s="39" t="n">
        <f aca="false">J1704*Resumo!$C$6</f>
        <v>0</v>
      </c>
      <c r="O1704" s="39" t="n">
        <f aca="false">J1704*Resumo!$C$7</f>
        <v>1.128645</v>
      </c>
      <c r="P1704" s="39" t="n">
        <f aca="false">J1704*Resumo!$C$8</f>
        <v>1.128645</v>
      </c>
      <c r="Q1704" s="39" t="n">
        <f aca="false">Resumo!$C$10*CEILING(I1704/100,1)</f>
        <v>1.05</v>
      </c>
      <c r="R1704" s="39" t="n">
        <f aca="false">Resumo!$C$9</f>
        <v>0</v>
      </c>
      <c r="S1704" s="39" t="n">
        <f aca="false">Resumo!$C$13</f>
        <v>13.55</v>
      </c>
      <c r="T1704" s="39" t="n">
        <f aca="false">Resumo!$C$14*CEILING(I1704,1)</f>
        <v>12.6</v>
      </c>
      <c r="U1704" s="39" t="n">
        <f aca="false">SUM(M1704:T1704)*Resumo!$C$11</f>
        <v>0</v>
      </c>
      <c r="V1704" s="39" t="n">
        <f aca="false">SUM(M1704:U1704)</f>
        <v>95.08729</v>
      </c>
      <c r="W1704" s="39" t="n">
        <f aca="false">V1704/(1-Resumo!$C$5)</f>
        <v>108.053738636364</v>
      </c>
      <c r="X1704" s="39" t="n">
        <v>108.83</v>
      </c>
      <c r="Y1704" s="39" t="n">
        <f aca="false">J1704*Resumo!$B$6</f>
        <v>0.53745</v>
      </c>
      <c r="Z1704" s="39" t="n">
        <f aca="false">J1704*Resumo!$B$7</f>
        <v>1.0749</v>
      </c>
      <c r="AA1704" s="39" t="n">
        <f aca="false">Resumo!$B$9</f>
        <v>1</v>
      </c>
      <c r="AB1704" s="39" t="n">
        <f aca="false">Resumo!$B$10*CEILING(I1704/100,1)</f>
        <v>4.5</v>
      </c>
      <c r="AC1704" s="39" t="n">
        <f aca="false">Resumo!$B$12*CEILING(I1704,1)</f>
        <v>1.68</v>
      </c>
      <c r="AD1704" s="39" t="n">
        <f aca="false">Resumo!$B$14*CEILING(I1704,1)</f>
        <v>12.6</v>
      </c>
      <c r="AE1704" s="39" t="n">
        <f aca="false">SUM(X1704:AD1704)</f>
        <v>130.22235</v>
      </c>
      <c r="AF1704" s="39" t="n">
        <f aca="false">AE1704/(1-Resumo!$B$5)</f>
        <v>147.979943181818</v>
      </c>
      <c r="AG1704" s="39" t="n">
        <f aca="false">AF1704-W1704</f>
        <v>39.9262045454546</v>
      </c>
      <c r="AH1704" s="40" t="n">
        <f aca="false">AF1704/W1704-1</f>
        <v>0.369503221723955</v>
      </c>
      <c r="AI1704" s="37" t="str">
        <f aca="false">IF(AF1704&lt;W1704,"SIM","NÃO")</f>
        <v>NÃO</v>
      </c>
      <c r="AJ1704" s="37" t="n">
        <v>13</v>
      </c>
      <c r="AK1704" s="37" t="n">
        <v>10</v>
      </c>
      <c r="AL1704" s="37" t="s">
        <v>343</v>
      </c>
      <c r="AM1704" s="39" t="n">
        <v>109.76</v>
      </c>
    </row>
    <row r="1705" customFormat="false" ht="15" hidden="false" customHeight="false" outlineLevel="0" collapsed="false">
      <c r="A1705" s="37" t="n">
        <v>392273152</v>
      </c>
      <c r="B1705" s="38" t="n">
        <v>46275.5038078704</v>
      </c>
      <c r="C1705" s="37" t="s">
        <v>340</v>
      </c>
      <c r="D1705" s="37" t="s">
        <v>1897</v>
      </c>
      <c r="E1705" s="37" t="n">
        <v>24130345</v>
      </c>
      <c r="F1705" s="37" t="s">
        <v>163</v>
      </c>
      <c r="G1705" s="37" t="s">
        <v>197</v>
      </c>
      <c r="H1705" s="37" t="s">
        <v>185</v>
      </c>
      <c r="I1705" s="37" t="n">
        <v>40</v>
      </c>
      <c r="J1705" s="39" t="n">
        <v>569.99</v>
      </c>
      <c r="K1705" s="37" t="s">
        <v>342</v>
      </c>
      <c r="L1705" s="39" t="n">
        <v>113.69</v>
      </c>
      <c r="M1705" s="39" t="n">
        <v>66.83</v>
      </c>
      <c r="N1705" s="39" t="n">
        <f aca="false">J1705*Resumo!$C$6</f>
        <v>0</v>
      </c>
      <c r="O1705" s="39" t="n">
        <f aca="false">J1705*Resumo!$C$7</f>
        <v>1.196979</v>
      </c>
      <c r="P1705" s="39" t="n">
        <f aca="false">J1705*Resumo!$C$8</f>
        <v>1.196979</v>
      </c>
      <c r="Q1705" s="39" t="n">
        <f aca="false">Resumo!$C$10*CEILING(I1705/100,1)</f>
        <v>1.05</v>
      </c>
      <c r="R1705" s="39" t="n">
        <f aca="false">Resumo!$C$9</f>
        <v>0</v>
      </c>
      <c r="S1705" s="39" t="n">
        <f aca="false">Resumo!$C$13</f>
        <v>13.55</v>
      </c>
      <c r="T1705" s="39" t="n">
        <f aca="false">Resumo!$C$14*CEILING(I1705,1)</f>
        <v>18</v>
      </c>
      <c r="U1705" s="39" t="n">
        <f aca="false">SUM(M1705:T1705)*Resumo!$C$11</f>
        <v>0</v>
      </c>
      <c r="V1705" s="39" t="n">
        <f aca="false">SUM(M1705:U1705)</f>
        <v>101.823958</v>
      </c>
      <c r="W1705" s="39" t="n">
        <f aca="false">V1705/(1-Resumo!$C$5)</f>
        <v>115.709043181818</v>
      </c>
      <c r="X1705" s="39" t="n">
        <v>114.95</v>
      </c>
      <c r="Y1705" s="39" t="n">
        <f aca="false">J1705*Resumo!$B$6</f>
        <v>0.56999</v>
      </c>
      <c r="Z1705" s="39" t="n">
        <f aca="false">J1705*Resumo!$B$7</f>
        <v>1.13998</v>
      </c>
      <c r="AA1705" s="39" t="n">
        <f aca="false">Resumo!$B$9</f>
        <v>1</v>
      </c>
      <c r="AB1705" s="39" t="n">
        <f aca="false">Resumo!$B$10*CEILING(I1705/100,1)</f>
        <v>4.5</v>
      </c>
      <c r="AC1705" s="39" t="n">
        <f aca="false">Resumo!$B$12*CEILING(I1705,1)</f>
        <v>2.4</v>
      </c>
      <c r="AD1705" s="39" t="n">
        <f aca="false">Resumo!$B$14*CEILING(I1705,1)</f>
        <v>18</v>
      </c>
      <c r="AE1705" s="39" t="n">
        <f aca="false">SUM(X1705:AD1705)</f>
        <v>142.55997</v>
      </c>
      <c r="AF1705" s="39" t="n">
        <f aca="false">AE1705/(1-Resumo!$B$5)</f>
        <v>161.999965909091</v>
      </c>
      <c r="AG1705" s="39" t="n">
        <f aca="false">AF1705-W1705</f>
        <v>46.2909227272728</v>
      </c>
      <c r="AH1705" s="40" t="n">
        <f aca="false">AF1705/W1705-1</f>
        <v>0.400063136418249</v>
      </c>
      <c r="AI1705" s="37" t="str">
        <f aca="false">IF(AF1705&lt;W1705,"SIM","NÃO")</f>
        <v>NÃO</v>
      </c>
      <c r="AJ1705" s="37" t="n">
        <v>2</v>
      </c>
      <c r="AK1705" s="37" t="n">
        <v>7</v>
      </c>
      <c r="AL1705" s="37" t="s">
        <v>343</v>
      </c>
      <c r="AM1705" s="39" t="n">
        <v>113.69</v>
      </c>
    </row>
    <row r="1706" customFormat="false" ht="15" hidden="false" customHeight="false" outlineLevel="0" collapsed="false">
      <c r="A1706" s="37" t="n">
        <v>392279689</v>
      </c>
      <c r="B1706" s="38" t="n">
        <v>46275.5138657407</v>
      </c>
      <c r="C1706" s="37" t="s">
        <v>372</v>
      </c>
      <c r="D1706" s="37" t="s">
        <v>1244</v>
      </c>
      <c r="E1706" s="37" t="n">
        <v>20211020</v>
      </c>
      <c r="F1706" s="37" t="s">
        <v>159</v>
      </c>
      <c r="G1706" s="37" t="s">
        <v>196</v>
      </c>
      <c r="H1706" s="37" t="s">
        <v>185</v>
      </c>
      <c r="I1706" s="37" t="n">
        <v>37.2</v>
      </c>
      <c r="J1706" s="39" t="n">
        <v>444.43</v>
      </c>
      <c r="K1706" s="37" t="s">
        <v>342</v>
      </c>
      <c r="L1706" s="39" t="n">
        <v>91.99</v>
      </c>
      <c r="M1706" s="39" t="n">
        <v>48.35</v>
      </c>
      <c r="N1706" s="39" t="n">
        <f aca="false">J1706*Resumo!$C$6</f>
        <v>0</v>
      </c>
      <c r="O1706" s="39" t="n">
        <f aca="false">J1706*Resumo!$C$7</f>
        <v>0.933303</v>
      </c>
      <c r="P1706" s="39" t="n">
        <f aca="false">J1706*Resumo!$C$8</f>
        <v>0.933303</v>
      </c>
      <c r="Q1706" s="39" t="n">
        <f aca="false">Resumo!$C$10*CEILING(I1706/100,1)</f>
        <v>1.05</v>
      </c>
      <c r="R1706" s="39" t="n">
        <f aca="false">Resumo!$C$9</f>
        <v>0</v>
      </c>
      <c r="S1706" s="39" t="n">
        <f aca="false">Resumo!$C$13</f>
        <v>13.55</v>
      </c>
      <c r="T1706" s="39" t="n">
        <f aca="false">Resumo!$C$14*CEILING(I1706,1)</f>
        <v>17.1</v>
      </c>
      <c r="U1706" s="39" t="n">
        <f aca="false">SUM(M1706:T1706)*Resumo!$C$11</f>
        <v>0</v>
      </c>
      <c r="V1706" s="39" t="n">
        <f aca="false">SUM(M1706:U1706)</f>
        <v>81.916606</v>
      </c>
      <c r="W1706" s="39" t="n">
        <f aca="false">V1706/(1-Resumo!$C$5)</f>
        <v>93.0870522727273</v>
      </c>
      <c r="X1706" s="39" t="n">
        <v>93.97</v>
      </c>
      <c r="Y1706" s="39" t="n">
        <f aca="false">J1706*Resumo!$B$6</f>
        <v>0.44443</v>
      </c>
      <c r="Z1706" s="39" t="n">
        <f aca="false">J1706*Resumo!$B$7</f>
        <v>0.88886</v>
      </c>
      <c r="AA1706" s="39" t="n">
        <f aca="false">Resumo!$B$9</f>
        <v>1</v>
      </c>
      <c r="AB1706" s="39" t="n">
        <f aca="false">Resumo!$B$10*CEILING(I1706/100,1)</f>
        <v>4.5</v>
      </c>
      <c r="AC1706" s="39" t="n">
        <f aca="false">Resumo!$B$12*CEILING(I1706,1)</f>
        <v>2.28</v>
      </c>
      <c r="AD1706" s="39" t="n">
        <f aca="false">Resumo!$B$14*CEILING(I1706,1)</f>
        <v>17.1</v>
      </c>
      <c r="AE1706" s="39" t="n">
        <f aca="false">SUM(X1706:AD1706)</f>
        <v>120.18329</v>
      </c>
      <c r="AF1706" s="39" t="n">
        <f aca="false">AE1706/(1-Resumo!$B$5)</f>
        <v>136.571920454545</v>
      </c>
      <c r="AG1706" s="39" t="n">
        <f aca="false">AF1706-W1706</f>
        <v>43.4848681818182</v>
      </c>
      <c r="AH1706" s="40" t="n">
        <f aca="false">AF1706/W1706-1</f>
        <v>0.467141961423548</v>
      </c>
      <c r="AI1706" s="37" t="str">
        <f aca="false">IF(AF1706&lt;W1706,"SIM","NÃO")</f>
        <v>NÃO</v>
      </c>
      <c r="AJ1706" s="37" t="n">
        <v>2</v>
      </c>
      <c r="AK1706" s="37" t="n">
        <v>5</v>
      </c>
      <c r="AL1706" s="37" t="s">
        <v>343</v>
      </c>
      <c r="AM1706" s="39" t="n">
        <v>91.99</v>
      </c>
    </row>
    <row r="1707" customFormat="false" ht="15" hidden="false" customHeight="false" outlineLevel="0" collapsed="false">
      <c r="A1707" s="37" t="n">
        <v>392308079</v>
      </c>
      <c r="B1707" s="38" t="n">
        <v>46275.5432175926</v>
      </c>
      <c r="C1707" s="37" t="s">
        <v>340</v>
      </c>
      <c r="D1707" s="37" t="s">
        <v>1898</v>
      </c>
      <c r="E1707" s="37" t="n">
        <v>25060140</v>
      </c>
      <c r="F1707" s="37" t="s">
        <v>161</v>
      </c>
      <c r="G1707" s="37" t="s">
        <v>197</v>
      </c>
      <c r="H1707" s="37" t="s">
        <v>183</v>
      </c>
      <c r="I1707" s="37" t="n">
        <v>19.5</v>
      </c>
      <c r="J1707" s="39" t="n">
        <v>379.99</v>
      </c>
      <c r="K1707" s="37" t="s">
        <v>342</v>
      </c>
      <c r="L1707" s="39" t="n">
        <v>75.66</v>
      </c>
      <c r="M1707" s="39" t="n">
        <v>42.72</v>
      </c>
      <c r="N1707" s="39" t="n">
        <f aca="false">J1707*Resumo!$C$6</f>
        <v>0</v>
      </c>
      <c r="O1707" s="39" t="n">
        <f aca="false">J1707*Resumo!$C$7</f>
        <v>0.797979</v>
      </c>
      <c r="P1707" s="39" t="n">
        <f aca="false">J1707*Resumo!$C$8</f>
        <v>0.797979</v>
      </c>
      <c r="Q1707" s="39" t="n">
        <f aca="false">Resumo!$C$10*CEILING(I1707/100,1)</f>
        <v>1.05</v>
      </c>
      <c r="R1707" s="39" t="n">
        <f aca="false">Resumo!$C$9</f>
        <v>0</v>
      </c>
      <c r="S1707" s="39" t="n">
        <f aca="false">Resumo!$C$13</f>
        <v>13.55</v>
      </c>
      <c r="T1707" s="39" t="n">
        <f aca="false">Resumo!$C$14*CEILING(I1707,1)</f>
        <v>9</v>
      </c>
      <c r="U1707" s="39" t="n">
        <f aca="false">SUM(M1707:T1707)*Resumo!$C$11</f>
        <v>0</v>
      </c>
      <c r="V1707" s="39" t="n">
        <f aca="false">SUM(M1707:U1707)</f>
        <v>67.915958</v>
      </c>
      <c r="W1707" s="39" t="n">
        <f aca="false">V1707/(1-Resumo!$C$5)</f>
        <v>77.177225</v>
      </c>
      <c r="X1707" s="39" t="n">
        <v>46.98</v>
      </c>
      <c r="Y1707" s="39" t="n">
        <f aca="false">J1707*Resumo!$B$6</f>
        <v>0.37999</v>
      </c>
      <c r="Z1707" s="39" t="n">
        <f aca="false">J1707*Resumo!$B$7</f>
        <v>0.75998</v>
      </c>
      <c r="AA1707" s="39" t="n">
        <f aca="false">Resumo!$B$9</f>
        <v>1</v>
      </c>
      <c r="AB1707" s="39" t="n">
        <f aca="false">Resumo!$B$10*CEILING(I1707/100,1)</f>
        <v>4.5</v>
      </c>
      <c r="AC1707" s="39" t="n">
        <f aca="false">Resumo!$B$12*CEILING(I1707,1)</f>
        <v>1.2</v>
      </c>
      <c r="AD1707" s="39" t="n">
        <f aca="false">Resumo!$B$14*CEILING(I1707,1)</f>
        <v>9</v>
      </c>
      <c r="AE1707" s="39" t="n">
        <f aca="false">SUM(X1707:AD1707)</f>
        <v>63.81997</v>
      </c>
      <c r="AF1707" s="39" t="n">
        <f aca="false">AE1707/(1-Resumo!$B$5)</f>
        <v>72.5226931818182</v>
      </c>
      <c r="AG1707" s="39" t="n">
        <f aca="false">AF1707-W1707</f>
        <v>-4.65453181818181</v>
      </c>
      <c r="AH1707" s="40" t="n">
        <f aca="false">AF1707/W1707-1</f>
        <v>-0.0603096550592718</v>
      </c>
      <c r="AI1707" s="37" t="str">
        <f aca="false">IF(AF1707&lt;W1707,"SIM","NÃO")</f>
        <v>SIM</v>
      </c>
      <c r="AJ1707" s="37" t="n">
        <v>2</v>
      </c>
      <c r="AK1707" s="37" t="n">
        <v>5</v>
      </c>
      <c r="AL1707" s="37" t="s">
        <v>343</v>
      </c>
      <c r="AM1707" s="39" t="n">
        <v>75.66</v>
      </c>
    </row>
    <row r="1708" customFormat="false" ht="15" hidden="false" customHeight="false" outlineLevel="0" collapsed="false">
      <c r="A1708" s="37" t="n">
        <v>392317012</v>
      </c>
      <c r="B1708" s="38" t="n">
        <v>46275.5566435185</v>
      </c>
      <c r="C1708" s="37" t="s">
        <v>361</v>
      </c>
      <c r="D1708" s="37" t="s">
        <v>1899</v>
      </c>
      <c r="E1708" s="37" t="n">
        <v>24943255</v>
      </c>
      <c r="F1708" s="37" t="s">
        <v>171</v>
      </c>
      <c r="G1708" s="37" t="s">
        <v>198</v>
      </c>
      <c r="H1708" s="37" t="s">
        <v>185</v>
      </c>
      <c r="I1708" s="37" t="n">
        <v>36.9</v>
      </c>
      <c r="J1708" s="39" t="n">
        <v>439.99</v>
      </c>
      <c r="K1708" s="37" t="s">
        <v>518</v>
      </c>
      <c r="L1708" s="39" t="n">
        <v>122.8</v>
      </c>
      <c r="M1708" s="39" t="n">
        <v>74.97</v>
      </c>
      <c r="N1708" s="39" t="n">
        <f aca="false">J1708*Resumo!$C$6</f>
        <v>0</v>
      </c>
      <c r="O1708" s="39" t="n">
        <f aca="false">J1708*Resumo!$C$7</f>
        <v>0.923979</v>
      </c>
      <c r="P1708" s="39" t="n">
        <f aca="false">J1708*Resumo!$C$8</f>
        <v>0.923979</v>
      </c>
      <c r="Q1708" s="39" t="n">
        <f aca="false">Resumo!$C$10*CEILING(I1708/100,1)</f>
        <v>1.05</v>
      </c>
      <c r="R1708" s="39" t="n">
        <f aca="false">Resumo!$C$9</f>
        <v>0</v>
      </c>
      <c r="S1708" s="39" t="n">
        <f aca="false">Resumo!$C$13</f>
        <v>13.55</v>
      </c>
      <c r="T1708" s="39" t="n">
        <f aca="false">Resumo!$C$14*CEILING(I1708,1)</f>
        <v>16.65</v>
      </c>
      <c r="U1708" s="39" t="n">
        <f aca="false">SUM(M1708:T1708)*Resumo!$C$11</f>
        <v>0</v>
      </c>
      <c r="V1708" s="39" t="n">
        <f aca="false">SUM(M1708:U1708)</f>
        <v>108.067958</v>
      </c>
      <c r="W1708" s="39" t="n">
        <f aca="false">V1708/(1-Resumo!$C$5)</f>
        <v>122.804497727273</v>
      </c>
      <c r="X1708" s="39" t="n">
        <v>114.95</v>
      </c>
      <c r="Y1708" s="39" t="n">
        <f aca="false">J1708*Resumo!$B$6</f>
        <v>0.43999</v>
      </c>
      <c r="Z1708" s="39" t="n">
        <f aca="false">J1708*Resumo!$B$7</f>
        <v>0.87998</v>
      </c>
      <c r="AA1708" s="39" t="n">
        <f aca="false">Resumo!$B$9</f>
        <v>1</v>
      </c>
      <c r="AB1708" s="39" t="n">
        <f aca="false">Resumo!$B$10*CEILING(I1708/100,1)</f>
        <v>4.5</v>
      </c>
      <c r="AC1708" s="39" t="n">
        <f aca="false">Resumo!$B$12*CEILING(I1708,1)</f>
        <v>2.22</v>
      </c>
      <c r="AD1708" s="39" t="n">
        <f aca="false">Resumo!$B$14*CEILING(I1708,1)</f>
        <v>16.65</v>
      </c>
      <c r="AE1708" s="39" t="n">
        <f aca="false">SUM(X1708:AD1708)</f>
        <v>140.63997</v>
      </c>
      <c r="AF1708" s="39" t="n">
        <f aca="false">AE1708/(1-Resumo!$B$5)</f>
        <v>159.818147727273</v>
      </c>
      <c r="AG1708" s="39" t="n">
        <f aca="false">AF1708-W1708</f>
        <v>37.01365</v>
      </c>
      <c r="AH1708" s="40" t="n">
        <f aca="false">AF1708/W1708-1</f>
        <v>0.301403048626125</v>
      </c>
      <c r="AI1708" s="37" t="str">
        <f aca="false">IF(AF1708&lt;W1708,"SIM","NÃO")</f>
        <v>NÃO</v>
      </c>
      <c r="AJ1708" s="37" t="n">
        <v>13</v>
      </c>
      <c r="AK1708" s="37" t="n">
        <v>7</v>
      </c>
      <c r="AL1708" s="37" t="s">
        <v>343</v>
      </c>
      <c r="AM1708" s="39" t="n">
        <v>122.36</v>
      </c>
    </row>
    <row r="1709" customFormat="false" ht="15" hidden="false" customHeight="false" outlineLevel="0" collapsed="false">
      <c r="A1709" s="37" t="n">
        <v>392326542</v>
      </c>
      <c r="B1709" s="38" t="n">
        <v>46275.5677893519</v>
      </c>
      <c r="C1709" s="37" t="s">
        <v>340</v>
      </c>
      <c r="D1709" s="37" t="s">
        <v>1900</v>
      </c>
      <c r="E1709" s="37" t="n">
        <v>24802245</v>
      </c>
      <c r="F1709" s="37" t="s">
        <v>174</v>
      </c>
      <c r="G1709" s="37" t="s">
        <v>198</v>
      </c>
      <c r="H1709" s="37" t="s">
        <v>185</v>
      </c>
      <c r="I1709" s="37" t="n">
        <v>37.2</v>
      </c>
      <c r="J1709" s="39" t="n">
        <v>366.5</v>
      </c>
      <c r="K1709" s="37" t="s">
        <v>518</v>
      </c>
      <c r="L1709" s="39" t="n">
        <v>122.97</v>
      </c>
      <c r="M1709" s="39" t="n">
        <v>74.97</v>
      </c>
      <c r="N1709" s="39" t="n">
        <f aca="false">J1709*Resumo!$C$6</f>
        <v>0</v>
      </c>
      <c r="O1709" s="39" t="n">
        <f aca="false">J1709*Resumo!$C$7</f>
        <v>0.76965</v>
      </c>
      <c r="P1709" s="39" t="n">
        <f aca="false">J1709*Resumo!$C$8</f>
        <v>0.76965</v>
      </c>
      <c r="Q1709" s="39" t="n">
        <f aca="false">Resumo!$C$10*CEILING(I1709/100,1)</f>
        <v>1.05</v>
      </c>
      <c r="R1709" s="39" t="n">
        <f aca="false">Resumo!$C$9</f>
        <v>0</v>
      </c>
      <c r="S1709" s="39" t="n">
        <f aca="false">Resumo!$C$13</f>
        <v>13.55</v>
      </c>
      <c r="T1709" s="39" t="n">
        <f aca="false">Resumo!$C$14*CEILING(I1709,1)</f>
        <v>17.1</v>
      </c>
      <c r="U1709" s="39" t="n">
        <f aca="false">SUM(M1709:T1709)*Resumo!$C$11</f>
        <v>0</v>
      </c>
      <c r="V1709" s="39" t="n">
        <f aca="false">SUM(M1709:U1709)</f>
        <v>108.2093</v>
      </c>
      <c r="W1709" s="39" t="n">
        <f aca="false">V1709/(1-Resumo!$C$5)</f>
        <v>122.965113636364</v>
      </c>
      <c r="X1709" s="39" t="n">
        <v>114.95</v>
      </c>
      <c r="Y1709" s="39" t="n">
        <f aca="false">J1709*Resumo!$B$6</f>
        <v>0.3665</v>
      </c>
      <c r="Z1709" s="39" t="n">
        <f aca="false">J1709*Resumo!$B$7</f>
        <v>0.733</v>
      </c>
      <c r="AA1709" s="39" t="n">
        <f aca="false">Resumo!$B$9</f>
        <v>1</v>
      </c>
      <c r="AB1709" s="39" t="n">
        <f aca="false">Resumo!$B$10*CEILING(I1709/100,1)</f>
        <v>4.5</v>
      </c>
      <c r="AC1709" s="39" t="n">
        <f aca="false">Resumo!$B$12*CEILING(I1709,1)</f>
        <v>2.28</v>
      </c>
      <c r="AD1709" s="39" t="n">
        <f aca="false">Resumo!$B$14*CEILING(I1709,1)</f>
        <v>17.1</v>
      </c>
      <c r="AE1709" s="39" t="n">
        <f aca="false">SUM(X1709:AD1709)</f>
        <v>140.9295</v>
      </c>
      <c r="AF1709" s="39" t="n">
        <f aca="false">AE1709/(1-Resumo!$B$5)</f>
        <v>160.147159090909</v>
      </c>
      <c r="AG1709" s="39" t="n">
        <f aca="false">AF1709-W1709</f>
        <v>37.1820454545454</v>
      </c>
      <c r="AH1709" s="40" t="n">
        <f aca="false">AF1709/W1709-1</f>
        <v>0.302378815868876</v>
      </c>
      <c r="AI1709" s="37" t="str">
        <f aca="false">IF(AF1709&lt;W1709,"SIM","NÃO")</f>
        <v>NÃO</v>
      </c>
      <c r="AJ1709" s="37" t="n">
        <v>13</v>
      </c>
      <c r="AK1709" s="37" t="n">
        <v>7</v>
      </c>
      <c r="AL1709" s="37" t="s">
        <v>343</v>
      </c>
      <c r="AM1709" s="39" t="n">
        <v>122</v>
      </c>
    </row>
    <row r="1710" customFormat="false" ht="15" hidden="false" customHeight="false" outlineLevel="0" collapsed="false">
      <c r="A1710" s="37" t="n">
        <v>392368557</v>
      </c>
      <c r="B1710" s="38" t="n">
        <v>46275.6080092593</v>
      </c>
      <c r="C1710" s="37" t="s">
        <v>537</v>
      </c>
      <c r="D1710" s="37" t="s">
        <v>1901</v>
      </c>
      <c r="E1710" s="37" t="n">
        <v>26053200</v>
      </c>
      <c r="F1710" s="37" t="s">
        <v>162</v>
      </c>
      <c r="G1710" s="37" t="s">
        <v>197</v>
      </c>
      <c r="H1710" s="37" t="s">
        <v>188</v>
      </c>
      <c r="I1710" s="37" t="n">
        <v>68.85</v>
      </c>
      <c r="J1710" s="39" t="n">
        <v>779.99</v>
      </c>
      <c r="K1710" s="37" t="s">
        <v>342</v>
      </c>
      <c r="L1710" s="39" t="n">
        <v>140.17</v>
      </c>
      <c r="M1710" s="39" t="n">
        <v>76.55</v>
      </c>
      <c r="N1710" s="39" t="n">
        <f aca="false">J1710*Resumo!$C$6</f>
        <v>0</v>
      </c>
      <c r="O1710" s="39" t="n">
        <f aca="false">J1710*Resumo!$C$7</f>
        <v>1.637979</v>
      </c>
      <c r="P1710" s="39" t="n">
        <f aca="false">J1710*Resumo!$C$8</f>
        <v>1.637979</v>
      </c>
      <c r="Q1710" s="39" t="n">
        <f aca="false">Resumo!$C$10*CEILING(I1710/100,1)</f>
        <v>1.05</v>
      </c>
      <c r="R1710" s="39" t="n">
        <f aca="false">Resumo!$C$9</f>
        <v>0</v>
      </c>
      <c r="S1710" s="39" t="n">
        <f aca="false">Resumo!$C$13</f>
        <v>13.55</v>
      </c>
      <c r="T1710" s="39" t="n">
        <f aca="false">Resumo!$C$14*CEILING(I1710,1)</f>
        <v>31.05</v>
      </c>
      <c r="U1710" s="39" t="n">
        <f aca="false">SUM(M1710:T1710)*Resumo!$C$11</f>
        <v>0</v>
      </c>
      <c r="V1710" s="39" t="n">
        <f aca="false">SUM(M1710:U1710)</f>
        <v>125.475958</v>
      </c>
      <c r="W1710" s="39" t="n">
        <f aca="false">V1710/(1-Resumo!$C$5)</f>
        <v>142.586315909091</v>
      </c>
      <c r="X1710" s="39" t="n">
        <v>131.02</v>
      </c>
      <c r="Y1710" s="39" t="n">
        <f aca="false">J1710*Resumo!$B$6</f>
        <v>0.77999</v>
      </c>
      <c r="Z1710" s="39" t="n">
        <f aca="false">J1710*Resumo!$B$7</f>
        <v>1.55998</v>
      </c>
      <c r="AA1710" s="39" t="n">
        <f aca="false">Resumo!$B$9</f>
        <v>1</v>
      </c>
      <c r="AB1710" s="39" t="n">
        <f aca="false">Resumo!$B$10*CEILING(I1710/100,1)</f>
        <v>4.5</v>
      </c>
      <c r="AC1710" s="39" t="n">
        <f aca="false">Resumo!$B$12*CEILING(I1710,1)</f>
        <v>4.14</v>
      </c>
      <c r="AD1710" s="39" t="n">
        <f aca="false">Resumo!$B$14*CEILING(I1710,1)</f>
        <v>31.05</v>
      </c>
      <c r="AE1710" s="39" t="n">
        <f aca="false">SUM(X1710:AD1710)</f>
        <v>174.04997</v>
      </c>
      <c r="AF1710" s="39" t="n">
        <f aca="false">AE1710/(1-Resumo!$B$5)</f>
        <v>197.784056818182</v>
      </c>
      <c r="AG1710" s="39" t="n">
        <f aca="false">AF1710-W1710</f>
        <v>55.197740909091</v>
      </c>
      <c r="AH1710" s="40" t="n">
        <f aca="false">AF1710/W1710-1</f>
        <v>0.387118080421431</v>
      </c>
      <c r="AI1710" s="37" t="str">
        <f aca="false">IF(AF1710&lt;W1710,"SIM","NÃO")</f>
        <v>NÃO</v>
      </c>
      <c r="AJ1710" s="37" t="n">
        <v>2</v>
      </c>
      <c r="AK1710" s="37" t="n">
        <v>5</v>
      </c>
      <c r="AL1710" s="37" t="s">
        <v>343</v>
      </c>
      <c r="AM1710" s="39" t="n">
        <v>140.17</v>
      </c>
    </row>
    <row r="1711" customFormat="false" ht="15" hidden="false" customHeight="false" outlineLevel="0" collapsed="false">
      <c r="A1711" s="37" t="n">
        <v>392383294</v>
      </c>
      <c r="B1711" s="38" t="n">
        <v>46275.6410416667</v>
      </c>
      <c r="C1711" s="37" t="s">
        <v>340</v>
      </c>
      <c r="D1711" s="37" t="s">
        <v>1902</v>
      </c>
      <c r="E1711" s="37" t="n">
        <v>21046035</v>
      </c>
      <c r="F1711" s="37" t="s">
        <v>159</v>
      </c>
      <c r="G1711" s="37" t="s">
        <v>196</v>
      </c>
      <c r="H1711" s="37" t="s">
        <v>185</v>
      </c>
      <c r="I1711" s="37" t="n">
        <v>37.2</v>
      </c>
      <c r="J1711" s="39" t="n">
        <v>399.99</v>
      </c>
      <c r="K1711" s="37" t="s">
        <v>342</v>
      </c>
      <c r="L1711" s="39" t="n">
        <v>91.77</v>
      </c>
      <c r="M1711" s="39" t="n">
        <v>48.35</v>
      </c>
      <c r="N1711" s="39" t="n">
        <f aca="false">J1711*Resumo!$C$6</f>
        <v>0</v>
      </c>
      <c r="O1711" s="39" t="n">
        <f aca="false">J1711*Resumo!$C$7</f>
        <v>0.839979</v>
      </c>
      <c r="P1711" s="39" t="n">
        <f aca="false">J1711*Resumo!$C$8</f>
        <v>0.839979</v>
      </c>
      <c r="Q1711" s="39" t="n">
        <f aca="false">Resumo!$C$10*CEILING(I1711/100,1)</f>
        <v>1.05</v>
      </c>
      <c r="R1711" s="39" t="n">
        <f aca="false">Resumo!$C$9</f>
        <v>0</v>
      </c>
      <c r="S1711" s="39" t="n">
        <f aca="false">Resumo!$C$13</f>
        <v>13.55</v>
      </c>
      <c r="T1711" s="39" t="n">
        <f aca="false">Resumo!$C$14*CEILING(I1711,1)</f>
        <v>17.1</v>
      </c>
      <c r="U1711" s="39" t="n">
        <f aca="false">SUM(M1711:T1711)*Resumo!$C$11</f>
        <v>0</v>
      </c>
      <c r="V1711" s="39" t="n">
        <f aca="false">SUM(M1711:U1711)</f>
        <v>81.729958</v>
      </c>
      <c r="W1711" s="39" t="n">
        <f aca="false">V1711/(1-Resumo!$C$5)</f>
        <v>92.8749522727273</v>
      </c>
      <c r="X1711" s="39" t="n">
        <v>93.97</v>
      </c>
      <c r="Y1711" s="39" t="n">
        <f aca="false">J1711*Resumo!$B$6</f>
        <v>0.39999</v>
      </c>
      <c r="Z1711" s="39" t="n">
        <f aca="false">J1711*Resumo!$B$7</f>
        <v>0.79998</v>
      </c>
      <c r="AA1711" s="39" t="n">
        <f aca="false">Resumo!$B$9</f>
        <v>1</v>
      </c>
      <c r="AB1711" s="39" t="n">
        <f aca="false">Resumo!$B$10*CEILING(I1711/100,1)</f>
        <v>4.5</v>
      </c>
      <c r="AC1711" s="39" t="n">
        <f aca="false">Resumo!$B$12*CEILING(I1711,1)</f>
        <v>2.28</v>
      </c>
      <c r="AD1711" s="39" t="n">
        <f aca="false">Resumo!$B$14*CEILING(I1711,1)</f>
        <v>17.1</v>
      </c>
      <c r="AE1711" s="39" t="n">
        <f aca="false">SUM(X1711:AD1711)</f>
        <v>120.04997</v>
      </c>
      <c r="AF1711" s="39" t="n">
        <f aca="false">AE1711/(1-Resumo!$B$5)</f>
        <v>136.420420454545</v>
      </c>
      <c r="AG1711" s="39" t="n">
        <f aca="false">AF1711-W1711</f>
        <v>43.5454681818182</v>
      </c>
      <c r="AH1711" s="40" t="n">
        <f aca="false">AF1711/W1711-1</f>
        <v>0.468861271163262</v>
      </c>
      <c r="AI1711" s="37" t="str">
        <f aca="false">IF(AF1711&lt;W1711,"SIM","NÃO")</f>
        <v>NÃO</v>
      </c>
      <c r="AJ1711" s="37" t="n">
        <v>2</v>
      </c>
      <c r="AK1711" s="37" t="n">
        <v>5</v>
      </c>
      <c r="AL1711" s="37" t="s">
        <v>343</v>
      </c>
      <c r="AM1711" s="39" t="n">
        <v>91.77</v>
      </c>
    </row>
    <row r="1712" customFormat="false" ht="15" hidden="false" customHeight="false" outlineLevel="0" collapsed="false">
      <c r="A1712" s="37" t="n">
        <v>392432048</v>
      </c>
      <c r="B1712" s="38" t="n">
        <v>46275.7028472222</v>
      </c>
      <c r="C1712" s="37" t="s">
        <v>340</v>
      </c>
      <c r="D1712" s="37" t="s">
        <v>1903</v>
      </c>
      <c r="E1712" s="37" t="n">
        <v>21775490</v>
      </c>
      <c r="F1712" s="37" t="s">
        <v>159</v>
      </c>
      <c r="G1712" s="37" t="s">
        <v>196</v>
      </c>
      <c r="H1712" s="37" t="s">
        <v>184</v>
      </c>
      <c r="I1712" s="37" t="n">
        <v>23</v>
      </c>
      <c r="J1712" s="39" t="n">
        <v>349.99</v>
      </c>
      <c r="K1712" s="37" t="s">
        <v>342</v>
      </c>
      <c r="L1712" s="39" t="n">
        <v>82</v>
      </c>
      <c r="M1712" s="39" t="n">
        <v>42.11</v>
      </c>
      <c r="N1712" s="39" t="n">
        <f aca="false">J1712*Resumo!$C$6</f>
        <v>0</v>
      </c>
      <c r="O1712" s="39" t="n">
        <f aca="false">J1712*Resumo!$C$7</f>
        <v>0.734979</v>
      </c>
      <c r="P1712" s="39" t="n">
        <f aca="false">J1712*Resumo!$C$8</f>
        <v>0.734979</v>
      </c>
      <c r="Q1712" s="39" t="n">
        <f aca="false">Resumo!$C$10*CEILING(I1712/100,1)</f>
        <v>1.05</v>
      </c>
      <c r="R1712" s="39" t="n">
        <f aca="false">Resumo!$C$9</f>
        <v>0</v>
      </c>
      <c r="S1712" s="39" t="n">
        <f aca="false">Resumo!$C$13</f>
        <v>13.55</v>
      </c>
      <c r="T1712" s="39" t="n">
        <f aca="false">Resumo!$C$14*CEILING(I1712,1)</f>
        <v>10.35</v>
      </c>
      <c r="U1712" s="39" t="n">
        <f aca="false">SUM(M1712:T1712)*Resumo!$C$11</f>
        <v>0</v>
      </c>
      <c r="V1712" s="39" t="n">
        <f aca="false">SUM(M1712:U1712)</f>
        <v>68.529958</v>
      </c>
      <c r="W1712" s="39" t="n">
        <f aca="false">V1712/(1-Resumo!$C$5)</f>
        <v>77.8749522727273</v>
      </c>
      <c r="X1712" s="39" t="n">
        <v>82.21</v>
      </c>
      <c r="Y1712" s="39" t="n">
        <f aca="false">J1712*Resumo!$B$6</f>
        <v>0.34999</v>
      </c>
      <c r="Z1712" s="39" t="n">
        <f aca="false">J1712*Resumo!$B$7</f>
        <v>0.69998</v>
      </c>
      <c r="AA1712" s="39" t="n">
        <f aca="false">Resumo!$B$9</f>
        <v>1</v>
      </c>
      <c r="AB1712" s="39" t="n">
        <f aca="false">Resumo!$B$10*CEILING(I1712/100,1)</f>
        <v>4.5</v>
      </c>
      <c r="AC1712" s="39" t="n">
        <f aca="false">Resumo!$B$12*CEILING(I1712,1)</f>
        <v>1.38</v>
      </c>
      <c r="AD1712" s="39" t="n">
        <f aca="false">Resumo!$B$14*CEILING(I1712,1)</f>
        <v>10.35</v>
      </c>
      <c r="AE1712" s="39" t="n">
        <f aca="false">SUM(X1712:AD1712)</f>
        <v>100.48997</v>
      </c>
      <c r="AF1712" s="39" t="n">
        <f aca="false">AE1712/(1-Resumo!$B$5)</f>
        <v>114.193147727273</v>
      </c>
      <c r="AG1712" s="39" t="n">
        <f aca="false">AF1712-W1712</f>
        <v>36.3181954545454</v>
      </c>
      <c r="AH1712" s="40" t="n">
        <f aca="false">AF1712/W1712-1</f>
        <v>0.466365556505959</v>
      </c>
      <c r="AI1712" s="37" t="str">
        <f aca="false">IF(AF1712&lt;W1712,"SIM","NÃO")</f>
        <v>NÃO</v>
      </c>
      <c r="AJ1712" s="37" t="n">
        <v>2</v>
      </c>
      <c r="AK1712" s="37" t="n">
        <v>5</v>
      </c>
      <c r="AL1712" s="37" t="s">
        <v>343</v>
      </c>
      <c r="AM1712" s="39" t="n">
        <v>82</v>
      </c>
    </row>
    <row r="1713" customFormat="false" ht="15" hidden="false" customHeight="false" outlineLevel="0" collapsed="false">
      <c r="A1713" s="37" t="n">
        <v>392468142</v>
      </c>
      <c r="B1713" s="38" t="n">
        <v>46275.7619675926</v>
      </c>
      <c r="C1713" s="37" t="s">
        <v>340</v>
      </c>
      <c r="D1713" s="37" t="s">
        <v>1904</v>
      </c>
      <c r="E1713" s="37" t="n">
        <v>21370650</v>
      </c>
      <c r="F1713" s="37" t="s">
        <v>159</v>
      </c>
      <c r="G1713" s="37" t="s">
        <v>196</v>
      </c>
      <c r="H1713" s="37" t="s">
        <v>188</v>
      </c>
      <c r="I1713" s="37" t="n">
        <v>66.8</v>
      </c>
      <c r="J1713" s="39" t="n">
        <v>666.29</v>
      </c>
      <c r="K1713" s="37" t="s">
        <v>342</v>
      </c>
      <c r="L1713" s="39" t="n">
        <v>124.4</v>
      </c>
      <c r="M1713" s="39" t="n">
        <v>63.21</v>
      </c>
      <c r="N1713" s="39" t="n">
        <f aca="false">J1713*Resumo!$C$6</f>
        <v>0</v>
      </c>
      <c r="O1713" s="39" t="n">
        <f aca="false">J1713*Resumo!$C$7</f>
        <v>1.399209</v>
      </c>
      <c r="P1713" s="39" t="n">
        <f aca="false">J1713*Resumo!$C$8</f>
        <v>1.399209</v>
      </c>
      <c r="Q1713" s="39" t="n">
        <f aca="false">Resumo!$C$10*CEILING(I1713/100,1)</f>
        <v>1.05</v>
      </c>
      <c r="R1713" s="39" t="n">
        <f aca="false">Resumo!$C$9</f>
        <v>0</v>
      </c>
      <c r="S1713" s="39" t="n">
        <f aca="false">Resumo!$C$13</f>
        <v>13.55</v>
      </c>
      <c r="T1713" s="39" t="n">
        <f aca="false">Resumo!$C$14*CEILING(I1713,1)</f>
        <v>30.15</v>
      </c>
      <c r="U1713" s="39" t="n">
        <f aca="false">SUM(M1713:T1713)*Resumo!$C$11</f>
        <v>0</v>
      </c>
      <c r="V1713" s="39" t="n">
        <f aca="false">SUM(M1713:U1713)</f>
        <v>110.758418</v>
      </c>
      <c r="W1713" s="39" t="n">
        <f aca="false">V1713/(1-Resumo!$C$5)</f>
        <v>125.861838636364</v>
      </c>
      <c r="X1713" s="39" t="n">
        <v>131.02</v>
      </c>
      <c r="Y1713" s="39" t="n">
        <f aca="false">J1713*Resumo!$B$6</f>
        <v>0.66629</v>
      </c>
      <c r="Z1713" s="39" t="n">
        <f aca="false">J1713*Resumo!$B$7</f>
        <v>1.33258</v>
      </c>
      <c r="AA1713" s="39" t="n">
        <f aca="false">Resumo!$B$9</f>
        <v>1</v>
      </c>
      <c r="AB1713" s="39" t="n">
        <f aca="false">Resumo!$B$10*CEILING(I1713/100,1)</f>
        <v>4.5</v>
      </c>
      <c r="AC1713" s="39" t="n">
        <f aca="false">Resumo!$B$12*CEILING(I1713,1)</f>
        <v>4.02</v>
      </c>
      <c r="AD1713" s="39" t="n">
        <f aca="false">Resumo!$B$14*CEILING(I1713,1)</f>
        <v>30.15</v>
      </c>
      <c r="AE1713" s="39" t="n">
        <f aca="false">SUM(X1713:AD1713)</f>
        <v>172.68887</v>
      </c>
      <c r="AF1713" s="39" t="n">
        <f aca="false">AE1713/(1-Resumo!$B$5)</f>
        <v>196.237352272727</v>
      </c>
      <c r="AG1713" s="39" t="n">
        <f aca="false">AF1713-W1713</f>
        <v>70.3755136363637</v>
      </c>
      <c r="AH1713" s="40" t="n">
        <f aca="false">AF1713/W1713-1</f>
        <v>0.559148939812412</v>
      </c>
      <c r="AI1713" s="37" t="str">
        <f aca="false">IF(AF1713&lt;W1713,"SIM","NÃO")</f>
        <v>NÃO</v>
      </c>
      <c r="AJ1713" s="37" t="n">
        <v>2</v>
      </c>
      <c r="AK1713" s="37" t="n">
        <v>5</v>
      </c>
      <c r="AL1713" s="37" t="s">
        <v>343</v>
      </c>
      <c r="AM1713" s="39" t="n">
        <v>124.4</v>
      </c>
    </row>
    <row r="1714" customFormat="false" ht="15" hidden="false" customHeight="false" outlineLevel="0" collapsed="false">
      <c r="A1714" s="37" t="n">
        <v>392473327</v>
      </c>
      <c r="B1714" s="38" t="n">
        <v>46275.7769675926</v>
      </c>
      <c r="C1714" s="37" t="s">
        <v>361</v>
      </c>
      <c r="D1714" s="37" t="s">
        <v>1905</v>
      </c>
      <c r="E1714" s="37" t="n">
        <v>28962284</v>
      </c>
      <c r="F1714" s="37" t="s">
        <v>294</v>
      </c>
      <c r="G1714" s="37" t="s">
        <v>198</v>
      </c>
      <c r="H1714" s="37" t="s">
        <v>184</v>
      </c>
      <c r="I1714" s="37" t="n">
        <v>34.4</v>
      </c>
      <c r="J1714" s="39" t="n">
        <v>499.99</v>
      </c>
      <c r="K1714" s="37" t="s">
        <v>342</v>
      </c>
      <c r="L1714" s="39" t="n">
        <v>109.58</v>
      </c>
      <c r="M1714" s="39" t="n">
        <v>65.63</v>
      </c>
      <c r="N1714" s="39" t="n">
        <f aca="false">J1714*Resumo!$C$6</f>
        <v>0</v>
      </c>
      <c r="O1714" s="39" t="n">
        <f aca="false">J1714*Resumo!$C$7</f>
        <v>1.049979</v>
      </c>
      <c r="P1714" s="39" t="n">
        <f aca="false">J1714*Resumo!$C$8</f>
        <v>1.049979</v>
      </c>
      <c r="Q1714" s="39" t="n">
        <f aca="false">Resumo!$C$10*CEILING(I1714/100,1)</f>
        <v>1.05</v>
      </c>
      <c r="R1714" s="39" t="n">
        <f aca="false">Resumo!$C$9</f>
        <v>0</v>
      </c>
      <c r="S1714" s="39" t="n">
        <f aca="false">Resumo!$C$13</f>
        <v>13.55</v>
      </c>
      <c r="T1714" s="39" t="n">
        <f aca="false">Resumo!$C$14*CEILING(I1714,1)</f>
        <v>15.75</v>
      </c>
      <c r="U1714" s="39" t="n">
        <f aca="false">SUM(M1714:T1714)*Resumo!$C$11</f>
        <v>0</v>
      </c>
      <c r="V1714" s="39" t="n">
        <f aca="false">SUM(M1714:U1714)</f>
        <v>98.079958</v>
      </c>
      <c r="W1714" s="39" t="n">
        <f aca="false">V1714/(1-Resumo!$C$5)</f>
        <v>111.454497727273</v>
      </c>
      <c r="X1714" s="39" t="n">
        <v>114.95</v>
      </c>
      <c r="Y1714" s="39" t="n">
        <f aca="false">J1714*Resumo!$B$6</f>
        <v>0.49999</v>
      </c>
      <c r="Z1714" s="39" t="n">
        <f aca="false">J1714*Resumo!$B$7</f>
        <v>0.99998</v>
      </c>
      <c r="AA1714" s="39" t="n">
        <f aca="false">Resumo!$B$9</f>
        <v>1</v>
      </c>
      <c r="AB1714" s="39" t="n">
        <f aca="false">Resumo!$B$10*CEILING(I1714/100,1)</f>
        <v>4.5</v>
      </c>
      <c r="AC1714" s="39" t="n">
        <f aca="false">Resumo!$B$12*CEILING(I1714,1)</f>
        <v>2.1</v>
      </c>
      <c r="AD1714" s="39" t="n">
        <f aca="false">Resumo!$B$14*CEILING(I1714,1)</f>
        <v>15.75</v>
      </c>
      <c r="AE1714" s="39" t="n">
        <f aca="false">SUM(X1714:AD1714)</f>
        <v>139.79997</v>
      </c>
      <c r="AF1714" s="39" t="n">
        <f aca="false">AE1714/(1-Resumo!$B$5)</f>
        <v>158.863602272727</v>
      </c>
      <c r="AG1714" s="39" t="n">
        <f aca="false">AF1714-W1714</f>
        <v>47.4091045454546</v>
      </c>
      <c r="AH1714" s="40" t="n">
        <f aca="false">AF1714/W1714-1</f>
        <v>0.425367351809021</v>
      </c>
      <c r="AI1714" s="37" t="str">
        <f aca="false">IF(AF1714&lt;W1714,"SIM","NÃO")</f>
        <v>NÃO</v>
      </c>
      <c r="AJ1714" s="37" t="n">
        <v>13</v>
      </c>
      <c r="AK1714" s="37" t="n">
        <v>10</v>
      </c>
      <c r="AL1714" s="37" t="s">
        <v>347</v>
      </c>
      <c r="AM1714" s="39" t="n">
        <v>109.58</v>
      </c>
    </row>
    <row r="1715" customFormat="false" ht="15" hidden="false" customHeight="false" outlineLevel="0" collapsed="false">
      <c r="A1715" s="37" t="n">
        <v>392497171</v>
      </c>
      <c r="B1715" s="38" t="n">
        <v>46275.8004398148</v>
      </c>
      <c r="C1715" s="37" t="s">
        <v>340</v>
      </c>
      <c r="D1715" s="37" t="s">
        <v>1906</v>
      </c>
      <c r="E1715" s="37" t="n">
        <v>21073230</v>
      </c>
      <c r="F1715" s="37" t="s">
        <v>159</v>
      </c>
      <c r="G1715" s="37" t="s">
        <v>196</v>
      </c>
      <c r="H1715" s="37" t="s">
        <v>187</v>
      </c>
      <c r="I1715" s="37" t="n">
        <v>52.3</v>
      </c>
      <c r="J1715" s="39" t="n">
        <v>699.99</v>
      </c>
      <c r="K1715" s="37" t="s">
        <v>342</v>
      </c>
      <c r="L1715" s="39" t="n">
        <v>114.5</v>
      </c>
      <c r="M1715" s="39" t="n">
        <v>58.6</v>
      </c>
      <c r="N1715" s="39" t="n">
        <f aca="false">J1715*Resumo!$C$6</f>
        <v>0</v>
      </c>
      <c r="O1715" s="39" t="n">
        <f aca="false">J1715*Resumo!$C$7</f>
        <v>1.469979</v>
      </c>
      <c r="P1715" s="39" t="n">
        <f aca="false">J1715*Resumo!$C$8</f>
        <v>1.469979</v>
      </c>
      <c r="Q1715" s="39" t="n">
        <f aca="false">Resumo!$C$10*CEILING(I1715/100,1)</f>
        <v>1.05</v>
      </c>
      <c r="R1715" s="39" t="n">
        <f aca="false">Resumo!$C$9</f>
        <v>0</v>
      </c>
      <c r="S1715" s="39" t="n">
        <f aca="false">Resumo!$C$13</f>
        <v>13.55</v>
      </c>
      <c r="T1715" s="39" t="n">
        <f aca="false">Resumo!$C$14*CEILING(I1715,1)</f>
        <v>23.85</v>
      </c>
      <c r="U1715" s="39" t="n">
        <f aca="false">SUM(M1715:T1715)*Resumo!$C$11</f>
        <v>0</v>
      </c>
      <c r="V1715" s="39" t="n">
        <f aca="false">SUM(M1715:U1715)</f>
        <v>99.989958</v>
      </c>
      <c r="W1715" s="39" t="n">
        <f aca="false">V1715/(1-Resumo!$C$5)</f>
        <v>113.624952272727</v>
      </c>
      <c r="X1715" s="39" t="n">
        <v>112.3</v>
      </c>
      <c r="Y1715" s="39" t="n">
        <f aca="false">J1715*Resumo!$B$6</f>
        <v>0.69999</v>
      </c>
      <c r="Z1715" s="39" t="n">
        <f aca="false">J1715*Resumo!$B$7</f>
        <v>1.39998</v>
      </c>
      <c r="AA1715" s="39" t="n">
        <f aca="false">Resumo!$B$9</f>
        <v>1</v>
      </c>
      <c r="AB1715" s="39" t="n">
        <f aca="false">Resumo!$B$10*CEILING(I1715/100,1)</f>
        <v>4.5</v>
      </c>
      <c r="AC1715" s="39" t="n">
        <f aca="false">Resumo!$B$12*CEILING(I1715,1)</f>
        <v>3.18</v>
      </c>
      <c r="AD1715" s="39" t="n">
        <f aca="false">Resumo!$B$14*CEILING(I1715,1)</f>
        <v>23.85</v>
      </c>
      <c r="AE1715" s="39" t="n">
        <f aca="false">SUM(X1715:AD1715)</f>
        <v>146.92997</v>
      </c>
      <c r="AF1715" s="39" t="n">
        <f aca="false">AE1715/(1-Resumo!$B$5)</f>
        <v>166.965875</v>
      </c>
      <c r="AG1715" s="39" t="n">
        <f aca="false">AF1715-W1715</f>
        <v>53.3409227272727</v>
      </c>
      <c r="AH1715" s="40" t="n">
        <f aca="false">AF1715/W1715-1</f>
        <v>0.469447261894039</v>
      </c>
      <c r="AI1715" s="37" t="str">
        <f aca="false">IF(AF1715&lt;W1715,"SIM","NÃO")</f>
        <v>NÃO</v>
      </c>
      <c r="AJ1715" s="37" t="n">
        <v>2</v>
      </c>
      <c r="AK1715" s="37" t="n">
        <v>5</v>
      </c>
      <c r="AL1715" s="37" t="s">
        <v>343</v>
      </c>
      <c r="AM1715" s="39" t="n">
        <v>114.5</v>
      </c>
    </row>
    <row r="1716" customFormat="false" ht="15" hidden="false" customHeight="false" outlineLevel="0" collapsed="false">
      <c r="A1716" s="37" t="n">
        <v>392499642</v>
      </c>
      <c r="B1716" s="38" t="n">
        <v>46275.804525463</v>
      </c>
      <c r="C1716" s="37" t="s">
        <v>340</v>
      </c>
      <c r="D1716" s="37" t="s">
        <v>1907</v>
      </c>
      <c r="E1716" s="37" t="n">
        <v>28994816</v>
      </c>
      <c r="F1716" s="37" t="s">
        <v>295</v>
      </c>
      <c r="G1716" s="37" t="s">
        <v>198</v>
      </c>
      <c r="H1716" s="37" t="s">
        <v>183</v>
      </c>
      <c r="I1716" s="37" t="n">
        <v>19.5</v>
      </c>
      <c r="J1716" s="39" t="n">
        <v>528.08</v>
      </c>
      <c r="K1716" s="37" t="s">
        <v>342</v>
      </c>
      <c r="L1716" s="39" t="n">
        <v>81.2</v>
      </c>
      <c r="M1716" s="39" t="n">
        <v>46.95</v>
      </c>
      <c r="N1716" s="39" t="n">
        <f aca="false">J1716*Resumo!$C$6</f>
        <v>0</v>
      </c>
      <c r="O1716" s="39" t="n">
        <f aca="false">J1716*Resumo!$C$7</f>
        <v>1.108968</v>
      </c>
      <c r="P1716" s="39" t="n">
        <f aca="false">J1716*Resumo!$C$8</f>
        <v>1.108968</v>
      </c>
      <c r="Q1716" s="39" t="n">
        <f aca="false">Resumo!$C$10*CEILING(I1716/100,1)</f>
        <v>1.05</v>
      </c>
      <c r="R1716" s="39" t="n">
        <f aca="false">Resumo!$C$9</f>
        <v>0</v>
      </c>
      <c r="S1716" s="39" t="n">
        <f aca="false">Resumo!$C$13</f>
        <v>13.55</v>
      </c>
      <c r="T1716" s="39" t="n">
        <f aca="false">Resumo!$C$14*CEILING(I1716,1)</f>
        <v>9</v>
      </c>
      <c r="U1716" s="39" t="n">
        <f aca="false">SUM(M1716:T1716)*Resumo!$C$11</f>
        <v>0</v>
      </c>
      <c r="V1716" s="39" t="n">
        <f aca="false">SUM(M1716:U1716)</f>
        <v>72.767936</v>
      </c>
      <c r="W1716" s="39" t="n">
        <f aca="false">V1716/(1-Resumo!$C$5)</f>
        <v>82.6908363636364</v>
      </c>
      <c r="X1716" s="39" t="n">
        <v>100.7</v>
      </c>
      <c r="Y1716" s="39" t="n">
        <f aca="false">J1716*Resumo!$B$6</f>
        <v>0.52808</v>
      </c>
      <c r="Z1716" s="39" t="n">
        <f aca="false">J1716*Resumo!$B$7</f>
        <v>1.05616</v>
      </c>
      <c r="AA1716" s="39" t="n">
        <f aca="false">Resumo!$B$9</f>
        <v>1</v>
      </c>
      <c r="AB1716" s="39" t="n">
        <f aca="false">Resumo!$B$10*CEILING(I1716/100,1)</f>
        <v>4.5</v>
      </c>
      <c r="AC1716" s="39" t="n">
        <f aca="false">Resumo!$B$12*CEILING(I1716,1)</f>
        <v>1.2</v>
      </c>
      <c r="AD1716" s="39" t="n">
        <f aca="false">Resumo!$B$14*CEILING(I1716,1)</f>
        <v>9</v>
      </c>
      <c r="AE1716" s="39" t="n">
        <f aca="false">SUM(X1716:AD1716)</f>
        <v>117.98424</v>
      </c>
      <c r="AF1716" s="39" t="n">
        <f aca="false">AE1716/(1-Resumo!$B$5)</f>
        <v>134.073</v>
      </c>
      <c r="AG1716" s="39" t="n">
        <f aca="false">AF1716-W1716</f>
        <v>51.3821636363636</v>
      </c>
      <c r="AH1716" s="40" t="n">
        <f aca="false">AF1716/W1716-1</f>
        <v>0.621376755828281</v>
      </c>
      <c r="AI1716" s="37" t="str">
        <f aca="false">IF(AF1716&lt;W1716,"SIM","NÃO")</f>
        <v>NÃO</v>
      </c>
      <c r="AJ1716" s="37" t="n">
        <v>13</v>
      </c>
      <c r="AK1716" s="37" t="n">
        <v>10</v>
      </c>
      <c r="AL1716" s="37" t="s">
        <v>347</v>
      </c>
      <c r="AM1716" s="39" t="n">
        <v>81.19</v>
      </c>
    </row>
    <row r="1717" customFormat="false" ht="15" hidden="false" customHeight="false" outlineLevel="0" collapsed="false">
      <c r="A1717" s="37" t="n">
        <v>392511038</v>
      </c>
      <c r="B1717" s="38" t="n">
        <v>46275.8287384259</v>
      </c>
      <c r="C1717" s="37" t="s">
        <v>340</v>
      </c>
      <c r="D1717" s="37" t="s">
        <v>1908</v>
      </c>
      <c r="E1717" s="37" t="n">
        <v>27240110</v>
      </c>
      <c r="F1717" s="37" t="s">
        <v>168</v>
      </c>
      <c r="G1717" s="37" t="s">
        <v>198</v>
      </c>
      <c r="H1717" s="37" t="s">
        <v>184</v>
      </c>
      <c r="I1717" s="37" t="n">
        <v>27.6</v>
      </c>
      <c r="J1717" s="39" t="n">
        <v>537.45</v>
      </c>
      <c r="K1717" s="37" t="s">
        <v>342</v>
      </c>
      <c r="L1717" s="39" t="n">
        <v>109.74</v>
      </c>
      <c r="M1717" s="39" t="n">
        <v>65.63</v>
      </c>
      <c r="N1717" s="39" t="n">
        <f aca="false">J1717*Resumo!$C$6</f>
        <v>0</v>
      </c>
      <c r="O1717" s="39" t="n">
        <f aca="false">J1717*Resumo!$C$7</f>
        <v>1.128645</v>
      </c>
      <c r="P1717" s="39" t="n">
        <f aca="false">J1717*Resumo!$C$8</f>
        <v>1.128645</v>
      </c>
      <c r="Q1717" s="39" t="n">
        <f aca="false">Resumo!$C$10*CEILING(I1717/100,1)</f>
        <v>1.05</v>
      </c>
      <c r="R1717" s="39" t="n">
        <f aca="false">Resumo!$C$9</f>
        <v>0</v>
      </c>
      <c r="S1717" s="39" t="n">
        <f aca="false">Resumo!$C$13</f>
        <v>13.55</v>
      </c>
      <c r="T1717" s="39" t="n">
        <f aca="false">Resumo!$C$14*CEILING(I1717,1)</f>
        <v>12.6</v>
      </c>
      <c r="U1717" s="39" t="n">
        <f aca="false">SUM(M1717:T1717)*Resumo!$C$11</f>
        <v>0</v>
      </c>
      <c r="V1717" s="39" t="n">
        <f aca="false">SUM(M1717:U1717)</f>
        <v>95.08729</v>
      </c>
      <c r="W1717" s="39" t="n">
        <f aca="false">V1717/(1-Resumo!$C$5)</f>
        <v>108.053738636364</v>
      </c>
      <c r="X1717" s="39" t="n">
        <v>108.83</v>
      </c>
      <c r="Y1717" s="39" t="n">
        <f aca="false">J1717*Resumo!$B$6</f>
        <v>0.53745</v>
      </c>
      <c r="Z1717" s="39" t="n">
        <f aca="false">J1717*Resumo!$B$7</f>
        <v>1.0749</v>
      </c>
      <c r="AA1717" s="39" t="n">
        <f aca="false">Resumo!$B$9</f>
        <v>1</v>
      </c>
      <c r="AB1717" s="39" t="n">
        <f aca="false">Resumo!$B$10*CEILING(I1717/100,1)</f>
        <v>4.5</v>
      </c>
      <c r="AC1717" s="39" t="n">
        <f aca="false">Resumo!$B$12*CEILING(I1717,1)</f>
        <v>1.68</v>
      </c>
      <c r="AD1717" s="39" t="n">
        <f aca="false">Resumo!$B$14*CEILING(I1717,1)</f>
        <v>12.6</v>
      </c>
      <c r="AE1717" s="39" t="n">
        <f aca="false">SUM(X1717:AD1717)</f>
        <v>130.22235</v>
      </c>
      <c r="AF1717" s="39" t="n">
        <f aca="false">AE1717/(1-Resumo!$B$5)</f>
        <v>147.979943181818</v>
      </c>
      <c r="AG1717" s="39" t="n">
        <f aca="false">AF1717-W1717</f>
        <v>39.9262045454546</v>
      </c>
      <c r="AH1717" s="40" t="n">
        <f aca="false">AF1717/W1717-1</f>
        <v>0.369503221723955</v>
      </c>
      <c r="AI1717" s="37" t="str">
        <f aca="false">IF(AF1717&lt;W1717,"SIM","NÃO")</f>
        <v>NÃO</v>
      </c>
      <c r="AJ1717" s="37" t="n">
        <v>13</v>
      </c>
      <c r="AK1717" s="37" t="n">
        <v>10</v>
      </c>
      <c r="AL1717" s="37" t="s">
        <v>343</v>
      </c>
      <c r="AM1717" s="39" t="n">
        <v>109.76</v>
      </c>
    </row>
    <row r="1718" customFormat="false" ht="15" hidden="false" customHeight="false" outlineLevel="0" collapsed="false">
      <c r="A1718" s="37" t="n">
        <v>392513541</v>
      </c>
      <c r="B1718" s="38" t="n">
        <v>46275.8341087963</v>
      </c>
      <c r="C1718" s="37" t="s">
        <v>340</v>
      </c>
      <c r="D1718" s="37" t="s">
        <v>1909</v>
      </c>
      <c r="E1718" s="37" t="n">
        <v>27276000</v>
      </c>
      <c r="F1718" s="37" t="s">
        <v>168</v>
      </c>
      <c r="G1718" s="37" t="s">
        <v>198</v>
      </c>
      <c r="H1718" s="37" t="s">
        <v>184</v>
      </c>
      <c r="I1718" s="37" t="n">
        <v>33.21</v>
      </c>
      <c r="J1718" s="39" t="n">
        <v>439.99</v>
      </c>
      <c r="K1718" s="37" t="s">
        <v>342</v>
      </c>
      <c r="L1718" s="39" t="n">
        <v>109.28</v>
      </c>
      <c r="M1718" s="39" t="n">
        <v>65.63</v>
      </c>
      <c r="N1718" s="39" t="n">
        <f aca="false">J1718*Resumo!$C$6</f>
        <v>0</v>
      </c>
      <c r="O1718" s="39" t="n">
        <f aca="false">J1718*Resumo!$C$7</f>
        <v>0.923979</v>
      </c>
      <c r="P1718" s="39" t="n">
        <f aca="false">J1718*Resumo!$C$8</f>
        <v>0.923979</v>
      </c>
      <c r="Q1718" s="39" t="n">
        <f aca="false">Resumo!$C$10*CEILING(I1718/100,1)</f>
        <v>1.05</v>
      </c>
      <c r="R1718" s="39" t="n">
        <f aca="false">Resumo!$C$9</f>
        <v>0</v>
      </c>
      <c r="S1718" s="39" t="n">
        <f aca="false">Resumo!$C$13</f>
        <v>13.55</v>
      </c>
      <c r="T1718" s="39" t="n">
        <f aca="false">Resumo!$C$14*CEILING(I1718,1)</f>
        <v>15.3</v>
      </c>
      <c r="U1718" s="39" t="n">
        <f aca="false">SUM(M1718:T1718)*Resumo!$C$11</f>
        <v>0</v>
      </c>
      <c r="V1718" s="39" t="n">
        <f aca="false">SUM(M1718:U1718)</f>
        <v>97.377958</v>
      </c>
      <c r="W1718" s="39" t="n">
        <f aca="false">V1718/(1-Resumo!$C$5)</f>
        <v>110.656770454545</v>
      </c>
      <c r="X1718" s="39" t="n">
        <v>108.83</v>
      </c>
      <c r="Y1718" s="39" t="n">
        <f aca="false">J1718*Resumo!$B$6</f>
        <v>0.43999</v>
      </c>
      <c r="Z1718" s="39" t="n">
        <f aca="false">J1718*Resumo!$B$7</f>
        <v>0.87998</v>
      </c>
      <c r="AA1718" s="39" t="n">
        <f aca="false">Resumo!$B$9</f>
        <v>1</v>
      </c>
      <c r="AB1718" s="39" t="n">
        <f aca="false">Resumo!$B$10*CEILING(I1718/100,1)</f>
        <v>4.5</v>
      </c>
      <c r="AC1718" s="39" t="n">
        <f aca="false">Resumo!$B$12*CEILING(I1718,1)</f>
        <v>2.04</v>
      </c>
      <c r="AD1718" s="39" t="n">
        <f aca="false">Resumo!$B$14*CEILING(I1718,1)</f>
        <v>15.3</v>
      </c>
      <c r="AE1718" s="39" t="n">
        <f aca="false">SUM(X1718:AD1718)</f>
        <v>132.98997</v>
      </c>
      <c r="AF1718" s="39" t="n">
        <f aca="false">AE1718/(1-Resumo!$B$5)</f>
        <v>151.124965909091</v>
      </c>
      <c r="AG1718" s="39" t="n">
        <f aca="false">AF1718-W1718</f>
        <v>40.4681954545455</v>
      </c>
      <c r="AH1718" s="40" t="n">
        <f aca="false">AF1718/W1718-1</f>
        <v>0.365709167982348</v>
      </c>
      <c r="AI1718" s="37" t="str">
        <f aca="false">IF(AF1718&lt;W1718,"SIM","NÃO")</f>
        <v>NÃO</v>
      </c>
      <c r="AJ1718" s="37" t="n">
        <v>13</v>
      </c>
      <c r="AK1718" s="37" t="n">
        <v>10</v>
      </c>
      <c r="AL1718" s="37" t="s">
        <v>343</v>
      </c>
      <c r="AM1718" s="39" t="n">
        <v>109.29</v>
      </c>
    </row>
    <row r="1719" customFormat="false" ht="15" hidden="false" customHeight="false" outlineLevel="0" collapsed="false">
      <c r="A1719" s="37" t="n">
        <v>392534946</v>
      </c>
      <c r="B1719" s="38" t="n">
        <v>46275.8749421296</v>
      </c>
      <c r="C1719" s="37" t="s">
        <v>340</v>
      </c>
      <c r="D1719" s="37" t="s">
        <v>568</v>
      </c>
      <c r="E1719" s="37" t="n">
        <v>23036060</v>
      </c>
      <c r="F1719" s="37" t="s">
        <v>159</v>
      </c>
      <c r="G1719" s="37" t="s">
        <v>196</v>
      </c>
      <c r="H1719" s="37" t="s">
        <v>184</v>
      </c>
      <c r="I1719" s="37" t="n">
        <v>27.4</v>
      </c>
      <c r="J1719" s="39" t="n">
        <v>369.99</v>
      </c>
      <c r="K1719" s="37" t="s">
        <v>342</v>
      </c>
      <c r="L1719" s="39" t="n">
        <v>82.1</v>
      </c>
      <c r="M1719" s="39" t="n">
        <v>42.11</v>
      </c>
      <c r="N1719" s="39" t="n">
        <f aca="false">J1719*Resumo!$C$6</f>
        <v>0</v>
      </c>
      <c r="O1719" s="39" t="n">
        <f aca="false">J1719*Resumo!$C$7</f>
        <v>0.776979</v>
      </c>
      <c r="P1719" s="39" t="n">
        <f aca="false">J1719*Resumo!$C$8</f>
        <v>0.776979</v>
      </c>
      <c r="Q1719" s="39" t="n">
        <f aca="false">Resumo!$C$10*CEILING(I1719/100,1)</f>
        <v>1.05</v>
      </c>
      <c r="R1719" s="39" t="n">
        <f aca="false">Resumo!$C$9</f>
        <v>0</v>
      </c>
      <c r="S1719" s="39" t="n">
        <f aca="false">Resumo!$C$13</f>
        <v>13.55</v>
      </c>
      <c r="T1719" s="39" t="n">
        <f aca="false">Resumo!$C$14*CEILING(I1719,1)</f>
        <v>12.6</v>
      </c>
      <c r="U1719" s="39" t="n">
        <f aca="false">SUM(M1719:T1719)*Resumo!$C$11</f>
        <v>0</v>
      </c>
      <c r="V1719" s="39" t="n">
        <f aca="false">SUM(M1719:U1719)</f>
        <v>70.863958</v>
      </c>
      <c r="W1719" s="39" t="n">
        <f aca="false">V1719/(1-Resumo!$C$5)</f>
        <v>80.527225</v>
      </c>
      <c r="X1719" s="39" t="n">
        <v>82.21</v>
      </c>
      <c r="Y1719" s="39" t="n">
        <f aca="false">J1719*Resumo!$B$6</f>
        <v>0.36999</v>
      </c>
      <c r="Z1719" s="39" t="n">
        <f aca="false">J1719*Resumo!$B$7</f>
        <v>0.73998</v>
      </c>
      <c r="AA1719" s="39" t="n">
        <f aca="false">Resumo!$B$9</f>
        <v>1</v>
      </c>
      <c r="AB1719" s="39" t="n">
        <f aca="false">Resumo!$B$10*CEILING(I1719/100,1)</f>
        <v>4.5</v>
      </c>
      <c r="AC1719" s="39" t="n">
        <f aca="false">Resumo!$B$12*CEILING(I1719,1)</f>
        <v>1.68</v>
      </c>
      <c r="AD1719" s="39" t="n">
        <f aca="false">Resumo!$B$14*CEILING(I1719,1)</f>
        <v>12.6</v>
      </c>
      <c r="AE1719" s="39" t="n">
        <f aca="false">SUM(X1719:AD1719)</f>
        <v>103.09997</v>
      </c>
      <c r="AF1719" s="39" t="n">
        <f aca="false">AE1719/(1-Resumo!$B$5)</f>
        <v>117.159056818182</v>
      </c>
      <c r="AG1719" s="39" t="n">
        <f aca="false">AF1719-W1719</f>
        <v>36.6318318181818</v>
      </c>
      <c r="AH1719" s="40" t="n">
        <f aca="false">AF1719/W1719-1</f>
        <v>0.454899964802982</v>
      </c>
      <c r="AI1719" s="37" t="str">
        <f aca="false">IF(AF1719&lt;W1719,"SIM","NÃO")</f>
        <v>NÃO</v>
      </c>
      <c r="AJ1719" s="37" t="n">
        <v>2</v>
      </c>
      <c r="AK1719" s="37" t="n">
        <v>5</v>
      </c>
      <c r="AL1719" s="37" t="s">
        <v>343</v>
      </c>
      <c r="AM1719" s="39" t="n">
        <v>82.1</v>
      </c>
    </row>
    <row r="1720" customFormat="false" ht="15" hidden="false" customHeight="false" outlineLevel="0" collapsed="false">
      <c r="A1720" s="37" t="n">
        <v>392585778</v>
      </c>
      <c r="B1720" s="38" t="n">
        <v>46275.9489467593</v>
      </c>
      <c r="C1720" s="37" t="s">
        <v>340</v>
      </c>
      <c r="D1720" s="37" t="s">
        <v>1910</v>
      </c>
      <c r="E1720" s="37" t="n">
        <v>20750310</v>
      </c>
      <c r="F1720" s="37" t="s">
        <v>159</v>
      </c>
      <c r="G1720" s="37" t="s">
        <v>196</v>
      </c>
      <c r="H1720" s="37" t="s">
        <v>186</v>
      </c>
      <c r="I1720" s="37" t="n">
        <v>46.8</v>
      </c>
      <c r="J1720" s="39" t="n">
        <v>599.99</v>
      </c>
      <c r="K1720" s="37" t="s">
        <v>342</v>
      </c>
      <c r="L1720" s="39" t="n">
        <v>103.47</v>
      </c>
      <c r="M1720" s="39" t="n">
        <v>53.55</v>
      </c>
      <c r="N1720" s="39" t="n">
        <f aca="false">J1720*Resumo!$C$6</f>
        <v>0</v>
      </c>
      <c r="O1720" s="39" t="n">
        <f aca="false">J1720*Resumo!$C$7</f>
        <v>1.259979</v>
      </c>
      <c r="P1720" s="39" t="n">
        <f aca="false">J1720*Resumo!$C$8</f>
        <v>1.259979</v>
      </c>
      <c r="Q1720" s="39" t="n">
        <f aca="false">Resumo!$C$10*CEILING(I1720/100,1)</f>
        <v>1.05</v>
      </c>
      <c r="R1720" s="39" t="n">
        <f aca="false">Resumo!$C$9</f>
        <v>0</v>
      </c>
      <c r="S1720" s="39" t="n">
        <f aca="false">Resumo!$C$13</f>
        <v>13.55</v>
      </c>
      <c r="T1720" s="39" t="n">
        <f aca="false">Resumo!$C$14*CEILING(I1720,1)</f>
        <v>21.15</v>
      </c>
      <c r="U1720" s="39" t="n">
        <f aca="false">SUM(M1720:T1720)*Resumo!$C$11</f>
        <v>0</v>
      </c>
      <c r="V1720" s="39" t="n">
        <f aca="false">SUM(M1720:U1720)</f>
        <v>91.819958</v>
      </c>
      <c r="W1720" s="39" t="n">
        <f aca="false">V1720/(1-Resumo!$C$5)</f>
        <v>104.340861363636</v>
      </c>
      <c r="X1720" s="39" t="n">
        <v>93.97</v>
      </c>
      <c r="Y1720" s="39" t="n">
        <f aca="false">J1720*Resumo!$B$6</f>
        <v>0.59999</v>
      </c>
      <c r="Z1720" s="39" t="n">
        <f aca="false">J1720*Resumo!$B$7</f>
        <v>1.19998</v>
      </c>
      <c r="AA1720" s="39" t="n">
        <f aca="false">Resumo!$B$9</f>
        <v>1</v>
      </c>
      <c r="AB1720" s="39" t="n">
        <f aca="false">Resumo!$B$10*CEILING(I1720/100,1)</f>
        <v>4.5</v>
      </c>
      <c r="AC1720" s="39" t="n">
        <f aca="false">Resumo!$B$12*CEILING(I1720,1)</f>
        <v>2.82</v>
      </c>
      <c r="AD1720" s="39" t="n">
        <f aca="false">Resumo!$B$14*CEILING(I1720,1)</f>
        <v>21.15</v>
      </c>
      <c r="AE1720" s="39" t="n">
        <f aca="false">SUM(X1720:AD1720)</f>
        <v>125.23997</v>
      </c>
      <c r="AF1720" s="39" t="n">
        <f aca="false">AE1720/(1-Resumo!$B$5)</f>
        <v>142.318147727273</v>
      </c>
      <c r="AG1720" s="39" t="n">
        <f aca="false">AF1720-W1720</f>
        <v>37.9772863636364</v>
      </c>
      <c r="AH1720" s="40" t="n">
        <f aca="false">AF1720/W1720-1</f>
        <v>0.363973287811785</v>
      </c>
      <c r="AI1720" s="37" t="str">
        <f aca="false">IF(AF1720&lt;W1720,"SIM","NÃO")</f>
        <v>NÃO</v>
      </c>
      <c r="AJ1720" s="37" t="n">
        <v>2</v>
      </c>
      <c r="AK1720" s="37" t="n">
        <v>5</v>
      </c>
      <c r="AL1720" s="37" t="s">
        <v>343</v>
      </c>
      <c r="AM1720" s="39" t="n">
        <v>103.46</v>
      </c>
    </row>
    <row r="1721" customFormat="false" ht="15" hidden="false" customHeight="false" outlineLevel="0" collapsed="false">
      <c r="A1721" s="37" t="n">
        <v>392733873</v>
      </c>
      <c r="B1721" s="38" t="n">
        <v>46276.2527546296</v>
      </c>
      <c r="C1721" s="37" t="s">
        <v>345</v>
      </c>
      <c r="D1721" s="37" t="s">
        <v>1911</v>
      </c>
      <c r="E1721" s="37" t="n">
        <v>22240006</v>
      </c>
      <c r="F1721" s="37" t="s">
        <v>159</v>
      </c>
      <c r="G1721" s="37" t="s">
        <v>196</v>
      </c>
      <c r="H1721" s="37" t="s">
        <v>184</v>
      </c>
      <c r="I1721" s="37" t="n">
        <v>34.4</v>
      </c>
      <c r="J1721" s="39" t="n">
        <v>439.95</v>
      </c>
      <c r="K1721" s="37" t="s">
        <v>342</v>
      </c>
      <c r="L1721" s="39" t="n">
        <v>82.43</v>
      </c>
      <c r="M1721" s="39" t="n">
        <v>42.11</v>
      </c>
      <c r="N1721" s="39" t="n">
        <f aca="false">J1721*Resumo!$C$6</f>
        <v>0</v>
      </c>
      <c r="O1721" s="39" t="n">
        <f aca="false">J1721*Resumo!$C$7</f>
        <v>0.923895</v>
      </c>
      <c r="P1721" s="39" t="n">
        <f aca="false">J1721*Resumo!$C$8</f>
        <v>0.923895</v>
      </c>
      <c r="Q1721" s="39" t="n">
        <f aca="false">Resumo!$C$10*CEILING(I1721/100,1)</f>
        <v>1.05</v>
      </c>
      <c r="R1721" s="39" t="n">
        <f aca="false">Resumo!$C$9</f>
        <v>0</v>
      </c>
      <c r="S1721" s="39" t="n">
        <f aca="false">Resumo!$C$13</f>
        <v>13.55</v>
      </c>
      <c r="T1721" s="39" t="n">
        <f aca="false">Resumo!$C$14*CEILING(I1721,1)</f>
        <v>15.75</v>
      </c>
      <c r="U1721" s="39" t="n">
        <f aca="false">SUM(M1721:T1721)*Resumo!$C$11</f>
        <v>0</v>
      </c>
      <c r="V1721" s="39" t="n">
        <f aca="false">SUM(M1721:U1721)</f>
        <v>74.30779</v>
      </c>
      <c r="W1721" s="39" t="n">
        <f aca="false">V1721/(1-Resumo!$C$5)</f>
        <v>84.4406704545455</v>
      </c>
      <c r="X1721" s="39" t="n">
        <v>82.21</v>
      </c>
      <c r="Y1721" s="39" t="n">
        <f aca="false">J1721*Resumo!$B$6</f>
        <v>0.43995</v>
      </c>
      <c r="Z1721" s="39" t="n">
        <f aca="false">J1721*Resumo!$B$7</f>
        <v>0.8799</v>
      </c>
      <c r="AA1721" s="39" t="n">
        <f aca="false">Resumo!$B$9</f>
        <v>1</v>
      </c>
      <c r="AB1721" s="39" t="n">
        <f aca="false">Resumo!$B$10*CEILING(I1721/100,1)</f>
        <v>4.5</v>
      </c>
      <c r="AC1721" s="39" t="n">
        <f aca="false">Resumo!$B$12*CEILING(I1721,1)</f>
        <v>2.1</v>
      </c>
      <c r="AD1721" s="39" t="n">
        <f aca="false">Resumo!$B$14*CEILING(I1721,1)</f>
        <v>15.75</v>
      </c>
      <c r="AE1721" s="39" t="n">
        <f aca="false">SUM(X1721:AD1721)</f>
        <v>106.87985</v>
      </c>
      <c r="AF1721" s="39" t="n">
        <f aca="false">AE1721/(1-Resumo!$B$5)</f>
        <v>121.454375</v>
      </c>
      <c r="AG1721" s="39" t="n">
        <f aca="false">AF1721-W1721</f>
        <v>37.0137045454545</v>
      </c>
      <c r="AH1721" s="40" t="n">
        <f aca="false">AF1721/W1721-1</f>
        <v>0.438339775681661</v>
      </c>
      <c r="AI1721" s="37" t="str">
        <f aca="false">IF(AF1721&lt;W1721,"SIM","NÃO")</f>
        <v>NÃO</v>
      </c>
      <c r="AJ1721" s="37" t="n">
        <v>2</v>
      </c>
      <c r="AK1721" s="37" t="n">
        <v>5</v>
      </c>
      <c r="AL1721" s="37" t="s">
        <v>343</v>
      </c>
      <c r="AM1721" s="39" t="n">
        <v>82.43</v>
      </c>
    </row>
    <row r="1722" customFormat="false" ht="15" hidden="false" customHeight="false" outlineLevel="0" collapsed="false">
      <c r="A1722" s="37" t="n">
        <v>392846560</v>
      </c>
      <c r="B1722" s="38" t="n">
        <v>46276.4425231482</v>
      </c>
      <c r="C1722" s="37" t="s">
        <v>340</v>
      </c>
      <c r="D1722" s="37" t="s">
        <v>1912</v>
      </c>
      <c r="E1722" s="37" t="n">
        <v>20961130</v>
      </c>
      <c r="F1722" s="37" t="s">
        <v>159</v>
      </c>
      <c r="G1722" s="37" t="s">
        <v>196</v>
      </c>
      <c r="H1722" s="37" t="s">
        <v>183</v>
      </c>
      <c r="I1722" s="37" t="n">
        <v>19.5</v>
      </c>
      <c r="J1722" s="39" t="n">
        <v>379.99</v>
      </c>
      <c r="K1722" s="37" t="s">
        <v>342</v>
      </c>
      <c r="L1722" s="39" t="n">
        <v>65.03</v>
      </c>
      <c r="M1722" s="39" t="n">
        <v>33.42</v>
      </c>
      <c r="N1722" s="39" t="n">
        <f aca="false">J1722*Resumo!$C$6</f>
        <v>0</v>
      </c>
      <c r="O1722" s="39" t="n">
        <f aca="false">J1722*Resumo!$C$7</f>
        <v>0.797979</v>
      </c>
      <c r="P1722" s="39" t="n">
        <f aca="false">J1722*Resumo!$C$8</f>
        <v>0.797979</v>
      </c>
      <c r="Q1722" s="39" t="n">
        <f aca="false">Resumo!$C$10*CEILING(I1722/100,1)</f>
        <v>1.05</v>
      </c>
      <c r="R1722" s="39" t="n">
        <f aca="false">Resumo!$C$9</f>
        <v>0</v>
      </c>
      <c r="S1722" s="39" t="n">
        <f aca="false">Resumo!$C$13</f>
        <v>13.55</v>
      </c>
      <c r="T1722" s="39" t="n">
        <f aca="false">Resumo!$C$14*CEILING(I1722,1)</f>
        <v>9</v>
      </c>
      <c r="U1722" s="39" t="n">
        <f aca="false">SUM(M1722:T1722)*Resumo!$C$11</f>
        <v>0</v>
      </c>
      <c r="V1722" s="39" t="n">
        <f aca="false">SUM(M1722:U1722)</f>
        <v>58.615958</v>
      </c>
      <c r="W1722" s="39" t="n">
        <f aca="false">V1722/(1-Resumo!$C$5)</f>
        <v>66.6090431818182</v>
      </c>
      <c r="X1722" s="39" t="n">
        <v>46.98</v>
      </c>
      <c r="Y1722" s="39" t="n">
        <f aca="false">J1722*Resumo!$B$6</f>
        <v>0.37999</v>
      </c>
      <c r="Z1722" s="39" t="n">
        <f aca="false">J1722*Resumo!$B$7</f>
        <v>0.75998</v>
      </c>
      <c r="AA1722" s="39" t="n">
        <f aca="false">Resumo!$B$9</f>
        <v>1</v>
      </c>
      <c r="AB1722" s="39" t="n">
        <f aca="false">Resumo!$B$10*CEILING(I1722/100,1)</f>
        <v>4.5</v>
      </c>
      <c r="AC1722" s="39" t="n">
        <f aca="false">Resumo!$B$12*CEILING(I1722,1)</f>
        <v>1.2</v>
      </c>
      <c r="AD1722" s="39" t="n">
        <f aca="false">Resumo!$B$14*CEILING(I1722,1)</f>
        <v>9</v>
      </c>
      <c r="AE1722" s="39" t="n">
        <f aca="false">SUM(X1722:AD1722)</f>
        <v>63.81997</v>
      </c>
      <c r="AF1722" s="39" t="n">
        <f aca="false">AE1722/(1-Resumo!$B$5)</f>
        <v>72.5226931818182</v>
      </c>
      <c r="AG1722" s="39" t="n">
        <f aca="false">AF1722-W1722</f>
        <v>5.91365</v>
      </c>
      <c r="AH1722" s="40" t="n">
        <f aca="false">AF1722/W1722-1</f>
        <v>0.0887814884813449</v>
      </c>
      <c r="AI1722" s="37" t="str">
        <f aca="false">IF(AF1722&lt;W1722,"SIM","NÃO")</f>
        <v>NÃO</v>
      </c>
      <c r="AJ1722" s="37" t="n">
        <v>2</v>
      </c>
      <c r="AK1722" s="37" t="n">
        <v>5</v>
      </c>
      <c r="AL1722" s="37" t="s">
        <v>343</v>
      </c>
      <c r="AM1722" s="39" t="n">
        <v>65.04</v>
      </c>
    </row>
    <row r="1723" customFormat="false" ht="15" hidden="false" customHeight="false" outlineLevel="0" collapsed="false">
      <c r="A1723" s="37" t="n">
        <v>392860817</v>
      </c>
      <c r="B1723" s="38" t="n">
        <v>46276.4608101852</v>
      </c>
      <c r="C1723" s="37" t="s">
        <v>345</v>
      </c>
      <c r="D1723" s="37" t="s">
        <v>1913</v>
      </c>
      <c r="E1723" s="37" t="n">
        <v>22715090</v>
      </c>
      <c r="F1723" s="37" t="s">
        <v>159</v>
      </c>
      <c r="G1723" s="37" t="s">
        <v>196</v>
      </c>
      <c r="H1723" s="37" t="s">
        <v>187</v>
      </c>
      <c r="I1723" s="37" t="n">
        <v>52.3</v>
      </c>
      <c r="J1723" s="39" t="n">
        <v>572.88</v>
      </c>
      <c r="K1723" s="37" t="s">
        <v>342</v>
      </c>
      <c r="L1723" s="39" t="n">
        <v>113.91</v>
      </c>
      <c r="M1723" s="39" t="n">
        <v>58.6</v>
      </c>
      <c r="N1723" s="39" t="n">
        <f aca="false">J1723*Resumo!$C$6</f>
        <v>0</v>
      </c>
      <c r="O1723" s="39" t="n">
        <f aca="false">J1723*Resumo!$C$7</f>
        <v>1.203048</v>
      </c>
      <c r="P1723" s="39" t="n">
        <f aca="false">J1723*Resumo!$C$8</f>
        <v>1.203048</v>
      </c>
      <c r="Q1723" s="39" t="n">
        <f aca="false">Resumo!$C$10*CEILING(I1723/100,1)</f>
        <v>1.05</v>
      </c>
      <c r="R1723" s="39" t="n">
        <f aca="false">Resumo!$C$9</f>
        <v>0</v>
      </c>
      <c r="S1723" s="39" t="n">
        <f aca="false">Resumo!$C$13</f>
        <v>13.55</v>
      </c>
      <c r="T1723" s="39" t="n">
        <f aca="false">Resumo!$C$14*CEILING(I1723,1)</f>
        <v>23.85</v>
      </c>
      <c r="U1723" s="39" t="n">
        <f aca="false">SUM(M1723:T1723)*Resumo!$C$11</f>
        <v>0</v>
      </c>
      <c r="V1723" s="39" t="n">
        <f aca="false">SUM(M1723:U1723)</f>
        <v>99.456096</v>
      </c>
      <c r="W1723" s="39" t="n">
        <f aca="false">V1723/(1-Resumo!$C$5)</f>
        <v>113.018290909091</v>
      </c>
      <c r="X1723" s="39" t="n">
        <v>112.3</v>
      </c>
      <c r="Y1723" s="39" t="n">
        <f aca="false">J1723*Resumo!$B$6</f>
        <v>0.57288</v>
      </c>
      <c r="Z1723" s="39" t="n">
        <f aca="false">J1723*Resumo!$B$7</f>
        <v>1.14576</v>
      </c>
      <c r="AA1723" s="39" t="n">
        <f aca="false">Resumo!$B$9</f>
        <v>1</v>
      </c>
      <c r="AB1723" s="39" t="n">
        <f aca="false">Resumo!$B$10*CEILING(I1723/100,1)</f>
        <v>4.5</v>
      </c>
      <c r="AC1723" s="39" t="n">
        <f aca="false">Resumo!$B$12*CEILING(I1723,1)</f>
        <v>3.18</v>
      </c>
      <c r="AD1723" s="39" t="n">
        <f aca="false">Resumo!$B$14*CEILING(I1723,1)</f>
        <v>23.85</v>
      </c>
      <c r="AE1723" s="39" t="n">
        <f aca="false">SUM(X1723:AD1723)</f>
        <v>146.54864</v>
      </c>
      <c r="AF1723" s="39" t="n">
        <f aca="false">AE1723/(1-Resumo!$B$5)</f>
        <v>166.532545454545</v>
      </c>
      <c r="AG1723" s="39" t="n">
        <f aca="false">AF1723-W1723</f>
        <v>53.5142545454546</v>
      </c>
      <c r="AH1723" s="40" t="n">
        <f aca="false">AF1723/W1723-1</f>
        <v>0.473500829954154</v>
      </c>
      <c r="AI1723" s="37" t="str">
        <f aca="false">IF(AF1723&lt;W1723,"SIM","NÃO")</f>
        <v>NÃO</v>
      </c>
      <c r="AJ1723" s="37" t="n">
        <v>2</v>
      </c>
      <c r="AK1723" s="37" t="n">
        <v>5</v>
      </c>
      <c r="AL1723" s="37" t="s">
        <v>343</v>
      </c>
      <c r="AM1723" s="39" t="n">
        <v>113.89</v>
      </c>
    </row>
    <row r="1724" customFormat="false" ht="15" hidden="false" customHeight="false" outlineLevel="0" collapsed="false">
      <c r="A1724" s="37" t="n">
        <v>392869062</v>
      </c>
      <c r="B1724" s="38" t="n">
        <v>46276.4725</v>
      </c>
      <c r="C1724" s="37" t="s">
        <v>340</v>
      </c>
      <c r="D1724" s="37" t="s">
        <v>1106</v>
      </c>
      <c r="E1724" s="37" t="n">
        <v>24415000</v>
      </c>
      <c r="F1724" s="37" t="s">
        <v>160</v>
      </c>
      <c r="G1724" s="37" t="s">
        <v>197</v>
      </c>
      <c r="H1724" s="37" t="s">
        <v>191</v>
      </c>
      <c r="I1724" s="37" t="n">
        <v>106.5</v>
      </c>
      <c r="J1724" s="39" t="n">
        <v>1112.08</v>
      </c>
      <c r="K1724" s="37" t="s">
        <v>342</v>
      </c>
      <c r="L1724" s="39" t="n">
        <v>195.15</v>
      </c>
      <c r="M1724" s="39" t="n">
        <v>101.26</v>
      </c>
      <c r="N1724" s="39" t="n">
        <f aca="false">J1724*Resumo!$C$6</f>
        <v>0</v>
      </c>
      <c r="O1724" s="39" t="n">
        <f aca="false">J1724*Resumo!$C$7</f>
        <v>2.335368</v>
      </c>
      <c r="P1724" s="39" t="n">
        <f aca="false">J1724*Resumo!$C$8</f>
        <v>2.335368</v>
      </c>
      <c r="Q1724" s="39" t="n">
        <f aca="false">Resumo!$C$10*CEILING(I1724/100,1)</f>
        <v>2.1</v>
      </c>
      <c r="R1724" s="39" t="n">
        <f aca="false">Resumo!$C$9</f>
        <v>0</v>
      </c>
      <c r="S1724" s="39" t="n">
        <f aca="false">Resumo!$C$13</f>
        <v>13.55</v>
      </c>
      <c r="T1724" s="39" t="n">
        <f aca="false">Resumo!$C$14*CEILING(I1724,1)</f>
        <v>48.15</v>
      </c>
      <c r="U1724" s="39" t="n">
        <f aca="false">SUM(M1724:T1724)*Resumo!$C$11</f>
        <v>0</v>
      </c>
      <c r="V1724" s="39" t="n">
        <f aca="false">SUM(M1724:U1724)</f>
        <v>169.730736</v>
      </c>
      <c r="W1724" s="39" t="n">
        <f aca="false">V1724/(1-Resumo!$C$5)</f>
        <v>192.875836363636</v>
      </c>
      <c r="X1724" s="39" t="n">
        <v>214.11</v>
      </c>
      <c r="Y1724" s="39" t="n">
        <f aca="false">J1724*Resumo!$B$6</f>
        <v>1.11208</v>
      </c>
      <c r="Z1724" s="39" t="n">
        <f aca="false">J1724*Resumo!$B$7</f>
        <v>2.22416</v>
      </c>
      <c r="AA1724" s="39" t="n">
        <f aca="false">Resumo!$B$9</f>
        <v>1</v>
      </c>
      <c r="AB1724" s="39" t="n">
        <f aca="false">Resumo!$B$10*CEILING(I1724/100,1)</f>
        <v>9</v>
      </c>
      <c r="AC1724" s="39" t="n">
        <f aca="false">Resumo!$B$12*CEILING(I1724,1)</f>
        <v>6.42</v>
      </c>
      <c r="AD1724" s="39" t="n">
        <f aca="false">Resumo!$B$14*CEILING(I1724,1)</f>
        <v>48.15</v>
      </c>
      <c r="AE1724" s="39" t="n">
        <f aca="false">SUM(X1724:AD1724)</f>
        <v>282.01624</v>
      </c>
      <c r="AF1724" s="39" t="n">
        <f aca="false">AE1724/(1-Resumo!$B$5)</f>
        <v>320.473</v>
      </c>
      <c r="AG1724" s="39" t="n">
        <f aca="false">AF1724-W1724</f>
        <v>127.597163636364</v>
      </c>
      <c r="AH1724" s="40" t="n">
        <f aca="false">AF1724/W1724-1</f>
        <v>0.661550798907747</v>
      </c>
      <c r="AI1724" s="37" t="str">
        <f aca="false">IF(AF1724&lt;W1724,"SIM","NÃO")</f>
        <v>NÃO</v>
      </c>
      <c r="AJ1724" s="37" t="n">
        <v>2</v>
      </c>
      <c r="AK1724" s="37" t="n">
        <v>7</v>
      </c>
      <c r="AL1724" s="37" t="s">
        <v>343</v>
      </c>
      <c r="AM1724" s="39" t="n">
        <v>195.16</v>
      </c>
    </row>
    <row r="1725" customFormat="false" ht="15" hidden="false" customHeight="false" outlineLevel="0" collapsed="false">
      <c r="A1725" s="37" t="n">
        <v>392884535</v>
      </c>
      <c r="B1725" s="38" t="n">
        <v>46276.4936342593</v>
      </c>
      <c r="C1725" s="37" t="s">
        <v>345</v>
      </c>
      <c r="D1725" s="37" t="s">
        <v>398</v>
      </c>
      <c r="E1725" s="37" t="n">
        <v>23520400</v>
      </c>
      <c r="F1725" s="37" t="s">
        <v>159</v>
      </c>
      <c r="G1725" s="37" t="s">
        <v>196</v>
      </c>
      <c r="H1725" s="37" t="s">
        <v>184</v>
      </c>
      <c r="I1725" s="37" t="n">
        <v>27.4</v>
      </c>
      <c r="J1725" s="39" t="n">
        <v>315</v>
      </c>
      <c r="K1725" s="37" t="s">
        <v>342</v>
      </c>
      <c r="L1725" s="39" t="n">
        <v>81.83</v>
      </c>
      <c r="M1725" s="39" t="n">
        <v>42.11</v>
      </c>
      <c r="N1725" s="39" t="n">
        <f aca="false">J1725*Resumo!$C$6</f>
        <v>0</v>
      </c>
      <c r="O1725" s="39" t="n">
        <f aca="false">J1725*Resumo!$C$7</f>
        <v>0.6615</v>
      </c>
      <c r="P1725" s="39" t="n">
        <f aca="false">J1725*Resumo!$C$8</f>
        <v>0.6615</v>
      </c>
      <c r="Q1725" s="39" t="n">
        <f aca="false">Resumo!$C$10*CEILING(I1725/100,1)</f>
        <v>1.05</v>
      </c>
      <c r="R1725" s="39" t="n">
        <f aca="false">Resumo!$C$9</f>
        <v>0</v>
      </c>
      <c r="S1725" s="39" t="n">
        <f aca="false">Resumo!$C$13</f>
        <v>13.55</v>
      </c>
      <c r="T1725" s="39" t="n">
        <f aca="false">Resumo!$C$14*CEILING(I1725,1)</f>
        <v>12.6</v>
      </c>
      <c r="U1725" s="39" t="n">
        <f aca="false">SUM(M1725:T1725)*Resumo!$C$11</f>
        <v>0</v>
      </c>
      <c r="V1725" s="39" t="n">
        <f aca="false">SUM(M1725:U1725)</f>
        <v>70.633</v>
      </c>
      <c r="W1725" s="39" t="n">
        <f aca="false">V1725/(1-Resumo!$C$5)</f>
        <v>80.2647727272727</v>
      </c>
      <c r="X1725" s="39" t="n">
        <v>82.21</v>
      </c>
      <c r="Y1725" s="39" t="n">
        <f aca="false">J1725*Resumo!$B$6</f>
        <v>0.315</v>
      </c>
      <c r="Z1725" s="39" t="n">
        <f aca="false">J1725*Resumo!$B$7</f>
        <v>0.63</v>
      </c>
      <c r="AA1725" s="39" t="n">
        <f aca="false">Resumo!$B$9</f>
        <v>1</v>
      </c>
      <c r="AB1725" s="39" t="n">
        <f aca="false">Resumo!$B$10*CEILING(I1725/100,1)</f>
        <v>4.5</v>
      </c>
      <c r="AC1725" s="39" t="n">
        <f aca="false">Resumo!$B$12*CEILING(I1725,1)</f>
        <v>1.68</v>
      </c>
      <c r="AD1725" s="39" t="n">
        <f aca="false">Resumo!$B$14*CEILING(I1725,1)</f>
        <v>12.6</v>
      </c>
      <c r="AE1725" s="39" t="n">
        <f aca="false">SUM(X1725:AD1725)</f>
        <v>102.935</v>
      </c>
      <c r="AF1725" s="39" t="n">
        <f aca="false">AE1725/(1-Resumo!$B$5)</f>
        <v>116.971590909091</v>
      </c>
      <c r="AG1725" s="39" t="n">
        <f aca="false">AF1725-W1725</f>
        <v>36.7068181818182</v>
      </c>
      <c r="AH1725" s="40" t="n">
        <f aca="false">AF1725/W1725-1</f>
        <v>0.457321648521229</v>
      </c>
      <c r="AI1725" s="37" t="str">
        <f aca="false">IF(AF1725&lt;W1725,"SIM","NÃO")</f>
        <v>NÃO</v>
      </c>
      <c r="AJ1725" s="37" t="n">
        <v>2</v>
      </c>
      <c r="AK1725" s="37" t="n">
        <v>5</v>
      </c>
      <c r="AL1725" s="37" t="s">
        <v>343</v>
      </c>
      <c r="AM1725" s="39" t="n">
        <v>81.83</v>
      </c>
    </row>
    <row r="1726" customFormat="false" ht="15" hidden="false" customHeight="false" outlineLevel="0" collapsed="false">
      <c r="A1726" s="37" t="n">
        <v>392893029</v>
      </c>
      <c r="B1726" s="38" t="n">
        <v>46276.5057060185</v>
      </c>
      <c r="C1726" s="37" t="s">
        <v>340</v>
      </c>
      <c r="D1726" s="37" t="s">
        <v>1914</v>
      </c>
      <c r="E1726" s="37" t="n">
        <v>24350105</v>
      </c>
      <c r="F1726" s="37" t="s">
        <v>163</v>
      </c>
      <c r="G1726" s="37" t="s">
        <v>197</v>
      </c>
      <c r="H1726" s="37" t="s">
        <v>187</v>
      </c>
      <c r="I1726" s="37" t="n">
        <v>52.3</v>
      </c>
      <c r="J1726" s="39" t="n">
        <v>614.63</v>
      </c>
      <c r="K1726" s="37" t="s">
        <v>342</v>
      </c>
      <c r="L1726" s="39" t="n">
        <v>128.23</v>
      </c>
      <c r="M1726" s="39" t="n">
        <v>70.98</v>
      </c>
      <c r="N1726" s="39" t="n">
        <f aca="false">J1726*Resumo!$C$6</f>
        <v>0</v>
      </c>
      <c r="O1726" s="39" t="n">
        <f aca="false">J1726*Resumo!$C$7</f>
        <v>1.290723</v>
      </c>
      <c r="P1726" s="39" t="n">
        <f aca="false">J1726*Resumo!$C$8</f>
        <v>1.290723</v>
      </c>
      <c r="Q1726" s="39" t="n">
        <f aca="false">Resumo!$C$10*CEILING(I1726/100,1)</f>
        <v>1.05</v>
      </c>
      <c r="R1726" s="39" t="n">
        <f aca="false">Resumo!$C$9</f>
        <v>0</v>
      </c>
      <c r="S1726" s="39" t="n">
        <f aca="false">Resumo!$C$13</f>
        <v>13.55</v>
      </c>
      <c r="T1726" s="39" t="n">
        <f aca="false">Resumo!$C$14*CEILING(I1726,1)</f>
        <v>23.85</v>
      </c>
      <c r="U1726" s="39" t="n">
        <f aca="false">SUM(M1726:T1726)*Resumo!$C$11</f>
        <v>0</v>
      </c>
      <c r="V1726" s="39" t="n">
        <f aca="false">SUM(M1726:U1726)</f>
        <v>112.011446</v>
      </c>
      <c r="W1726" s="39" t="n">
        <f aca="false">V1726/(1-Resumo!$C$5)</f>
        <v>127.285734090909</v>
      </c>
      <c r="X1726" s="39" t="n">
        <v>128.14</v>
      </c>
      <c r="Y1726" s="39" t="n">
        <f aca="false">J1726*Resumo!$B$6</f>
        <v>0.61463</v>
      </c>
      <c r="Z1726" s="39" t="n">
        <f aca="false">J1726*Resumo!$B$7</f>
        <v>1.22926</v>
      </c>
      <c r="AA1726" s="39" t="n">
        <f aca="false">Resumo!$B$9</f>
        <v>1</v>
      </c>
      <c r="AB1726" s="39" t="n">
        <f aca="false">Resumo!$B$10*CEILING(I1726/100,1)</f>
        <v>4.5</v>
      </c>
      <c r="AC1726" s="39" t="n">
        <f aca="false">Resumo!$B$12*CEILING(I1726,1)</f>
        <v>3.18</v>
      </c>
      <c r="AD1726" s="39" t="n">
        <f aca="false">Resumo!$B$14*CEILING(I1726,1)</f>
        <v>23.85</v>
      </c>
      <c r="AE1726" s="39" t="n">
        <f aca="false">SUM(X1726:AD1726)</f>
        <v>162.51389</v>
      </c>
      <c r="AF1726" s="39" t="n">
        <f aca="false">AE1726/(1-Resumo!$B$5)</f>
        <v>184.674875</v>
      </c>
      <c r="AG1726" s="39" t="n">
        <f aca="false">AF1726-W1726</f>
        <v>57.3891409090909</v>
      </c>
      <c r="AH1726" s="40" t="n">
        <f aca="false">AF1726/W1726-1</f>
        <v>0.450868601410609</v>
      </c>
      <c r="AI1726" s="37" t="str">
        <f aca="false">IF(AF1726&lt;W1726,"SIM","NÃO")</f>
        <v>NÃO</v>
      </c>
      <c r="AJ1726" s="37" t="n">
        <v>2</v>
      </c>
      <c r="AK1726" s="37" t="n">
        <v>7</v>
      </c>
      <c r="AL1726" s="37" t="s">
        <v>343</v>
      </c>
      <c r="AM1726" s="39" t="n">
        <v>128.23</v>
      </c>
    </row>
    <row r="1727" customFormat="false" ht="15" hidden="false" customHeight="false" outlineLevel="0" collapsed="false">
      <c r="A1727" s="37" t="n">
        <v>392896039</v>
      </c>
      <c r="B1727" s="38" t="n">
        <v>46276.5098148148</v>
      </c>
      <c r="C1727" s="37" t="s">
        <v>340</v>
      </c>
      <c r="D1727" s="37" t="s">
        <v>1915</v>
      </c>
      <c r="E1727" s="37" t="n">
        <v>25847140</v>
      </c>
      <c r="F1727" s="37" t="s">
        <v>229</v>
      </c>
      <c r="G1727" s="37" t="s">
        <v>198</v>
      </c>
      <c r="H1727" s="37" t="s">
        <v>185</v>
      </c>
      <c r="I1727" s="37" t="n">
        <v>36.8</v>
      </c>
      <c r="J1727" s="39" t="n">
        <v>499.99</v>
      </c>
      <c r="K1727" s="37" t="s">
        <v>342</v>
      </c>
      <c r="L1727" s="39" t="n">
        <v>122.65</v>
      </c>
      <c r="M1727" s="39" t="n">
        <v>74.97</v>
      </c>
      <c r="N1727" s="39" t="n">
        <f aca="false">J1727*Resumo!$C$6</f>
        <v>0</v>
      </c>
      <c r="O1727" s="39" t="n">
        <f aca="false">J1727*Resumo!$C$7</f>
        <v>1.049979</v>
      </c>
      <c r="P1727" s="39" t="n">
        <f aca="false">J1727*Resumo!$C$8</f>
        <v>1.049979</v>
      </c>
      <c r="Q1727" s="39" t="n">
        <f aca="false">Resumo!$C$10*CEILING(I1727/100,1)</f>
        <v>1.05</v>
      </c>
      <c r="R1727" s="39" t="n">
        <f aca="false">Resumo!$C$9</f>
        <v>0</v>
      </c>
      <c r="S1727" s="39" t="n">
        <f aca="false">Resumo!$C$13</f>
        <v>13.55</v>
      </c>
      <c r="T1727" s="39" t="n">
        <f aca="false">Resumo!$C$14*CEILING(I1727,1)</f>
        <v>16.65</v>
      </c>
      <c r="U1727" s="39" t="n">
        <f aca="false">SUM(M1727:T1727)*Resumo!$C$11</f>
        <v>0</v>
      </c>
      <c r="V1727" s="39" t="n">
        <f aca="false">SUM(M1727:U1727)</f>
        <v>108.319958</v>
      </c>
      <c r="W1727" s="39" t="n">
        <f aca="false">V1727/(1-Resumo!$C$5)</f>
        <v>123.090861363636</v>
      </c>
      <c r="X1727" s="39" t="n">
        <v>124.38</v>
      </c>
      <c r="Y1727" s="39" t="n">
        <f aca="false">J1727*Resumo!$B$6</f>
        <v>0.49999</v>
      </c>
      <c r="Z1727" s="39" t="n">
        <f aca="false">J1727*Resumo!$B$7</f>
        <v>0.99998</v>
      </c>
      <c r="AA1727" s="39" t="n">
        <f aca="false">Resumo!$B$9</f>
        <v>1</v>
      </c>
      <c r="AB1727" s="39" t="n">
        <f aca="false">Resumo!$B$10*CEILING(I1727/100,1)</f>
        <v>4.5</v>
      </c>
      <c r="AC1727" s="39" t="n">
        <f aca="false">Resumo!$B$12*CEILING(I1727,1)</f>
        <v>2.22</v>
      </c>
      <c r="AD1727" s="39" t="n">
        <f aca="false">Resumo!$B$14*CEILING(I1727,1)</f>
        <v>16.65</v>
      </c>
      <c r="AE1727" s="39" t="n">
        <f aca="false">SUM(X1727:AD1727)</f>
        <v>150.24997</v>
      </c>
      <c r="AF1727" s="39" t="n">
        <f aca="false">AE1727/(1-Resumo!$B$5)</f>
        <v>170.738602272727</v>
      </c>
      <c r="AG1727" s="39" t="n">
        <f aca="false">AF1727-W1727</f>
        <v>47.6477409090909</v>
      </c>
      <c r="AH1727" s="40" t="n">
        <f aca="false">AF1727/W1727-1</f>
        <v>0.387094057034254</v>
      </c>
      <c r="AI1727" s="37" t="str">
        <f aca="false">IF(AF1727&lt;W1727,"SIM","NÃO")</f>
        <v>NÃO</v>
      </c>
      <c r="AJ1727" s="37" t="n">
        <v>13</v>
      </c>
      <c r="AK1727" s="37" t="n">
        <v>8</v>
      </c>
      <c r="AL1727" s="37" t="s">
        <v>347</v>
      </c>
      <c r="AM1727" s="39" t="n">
        <v>122.64</v>
      </c>
    </row>
    <row r="1728" customFormat="false" ht="15" hidden="false" customHeight="false" outlineLevel="0" collapsed="false">
      <c r="A1728" s="37" t="n">
        <v>392911430</v>
      </c>
      <c r="B1728" s="38" t="n">
        <v>46276.5326273148</v>
      </c>
      <c r="C1728" s="37" t="s">
        <v>340</v>
      </c>
      <c r="D1728" s="37" t="s">
        <v>1472</v>
      </c>
      <c r="E1728" s="37" t="n">
        <v>27943120</v>
      </c>
      <c r="F1728" s="37" t="s">
        <v>166</v>
      </c>
      <c r="G1728" s="37" t="s">
        <v>198</v>
      </c>
      <c r="H1728" s="37" t="s">
        <v>188</v>
      </c>
      <c r="I1728" s="37" t="n">
        <v>63.9</v>
      </c>
      <c r="J1728" s="39" t="n">
        <v>716.35</v>
      </c>
      <c r="K1728" s="37" t="s">
        <v>342</v>
      </c>
      <c r="L1728" s="39" t="n">
        <v>155.44</v>
      </c>
      <c r="M1728" s="39" t="n">
        <v>90.2</v>
      </c>
      <c r="N1728" s="39" t="n">
        <f aca="false">J1728*Resumo!$C$6</f>
        <v>0</v>
      </c>
      <c r="O1728" s="39" t="n">
        <f aca="false">J1728*Resumo!$C$7</f>
        <v>1.504335</v>
      </c>
      <c r="P1728" s="39" t="n">
        <f aca="false">J1728*Resumo!$C$8</f>
        <v>1.504335</v>
      </c>
      <c r="Q1728" s="39" t="n">
        <f aca="false">Resumo!$C$10*CEILING(I1728/100,1)</f>
        <v>1.05</v>
      </c>
      <c r="R1728" s="39" t="n">
        <f aca="false">Resumo!$C$9</f>
        <v>0</v>
      </c>
      <c r="S1728" s="39" t="n">
        <f aca="false">Resumo!$C$13</f>
        <v>13.55</v>
      </c>
      <c r="T1728" s="39" t="n">
        <f aca="false">Resumo!$C$14*CEILING(I1728,1)</f>
        <v>28.8</v>
      </c>
      <c r="U1728" s="39" t="n">
        <f aca="false">SUM(M1728:T1728)*Resumo!$C$11</f>
        <v>0</v>
      </c>
      <c r="V1728" s="39" t="n">
        <f aca="false">SUM(M1728:U1728)</f>
        <v>136.60867</v>
      </c>
      <c r="W1728" s="39" t="n">
        <f aca="false">V1728/(1-Resumo!$C$5)</f>
        <v>155.237125</v>
      </c>
      <c r="X1728" s="39" t="n">
        <v>171.54</v>
      </c>
      <c r="Y1728" s="39" t="n">
        <f aca="false">J1728*Resumo!$B$6</f>
        <v>0.71635</v>
      </c>
      <c r="Z1728" s="39" t="n">
        <f aca="false">J1728*Resumo!$B$7</f>
        <v>1.4327</v>
      </c>
      <c r="AA1728" s="39" t="n">
        <f aca="false">Resumo!$B$9</f>
        <v>1</v>
      </c>
      <c r="AB1728" s="39" t="n">
        <f aca="false">Resumo!$B$10*CEILING(I1728/100,1)</f>
        <v>4.5</v>
      </c>
      <c r="AC1728" s="39" t="n">
        <f aca="false">Resumo!$B$12*CEILING(I1728,1)</f>
        <v>3.84</v>
      </c>
      <c r="AD1728" s="39" t="n">
        <f aca="false">Resumo!$B$14*CEILING(I1728,1)</f>
        <v>28.8</v>
      </c>
      <c r="AE1728" s="39" t="n">
        <f aca="false">SUM(X1728:AD1728)</f>
        <v>211.82905</v>
      </c>
      <c r="AF1728" s="39" t="n">
        <f aca="false">AE1728/(1-Resumo!$B$5)</f>
        <v>240.714829545455</v>
      </c>
      <c r="AG1728" s="39" t="n">
        <f aca="false">AF1728-W1728</f>
        <v>85.4777045454545</v>
      </c>
      <c r="AH1728" s="40" t="n">
        <f aca="false">AF1728/W1728-1</f>
        <v>0.550626691556253</v>
      </c>
      <c r="AI1728" s="37" t="str">
        <f aca="false">IF(AF1728&lt;W1728,"SIM","NÃO")</f>
        <v>NÃO</v>
      </c>
      <c r="AJ1728" s="37" t="n">
        <v>13</v>
      </c>
      <c r="AK1728" s="37" t="n">
        <v>11</v>
      </c>
      <c r="AL1728" s="37" t="s">
        <v>343</v>
      </c>
      <c r="AM1728" s="39" t="n">
        <v>155.45</v>
      </c>
    </row>
    <row r="1729" customFormat="false" ht="15" hidden="false" customHeight="false" outlineLevel="0" collapsed="false">
      <c r="A1729" s="37" t="n">
        <v>392935556</v>
      </c>
      <c r="B1729" s="38" t="n">
        <v>46276.5671875</v>
      </c>
      <c r="C1729" s="37" t="s">
        <v>345</v>
      </c>
      <c r="D1729" s="37" t="s">
        <v>1916</v>
      </c>
      <c r="E1729" s="37" t="n">
        <v>27197868</v>
      </c>
      <c r="F1729" s="37" t="s">
        <v>246</v>
      </c>
      <c r="G1729" s="37" t="s">
        <v>198</v>
      </c>
      <c r="H1729" s="37" t="s">
        <v>188</v>
      </c>
      <c r="I1729" s="37" t="n">
        <v>68.1</v>
      </c>
      <c r="J1729" s="39" t="n">
        <v>898</v>
      </c>
      <c r="K1729" s="37" t="s">
        <v>342</v>
      </c>
      <c r="L1729" s="39" t="n">
        <v>156.33</v>
      </c>
      <c r="M1729" s="39" t="n">
        <v>90.2</v>
      </c>
      <c r="N1729" s="39" t="n">
        <f aca="false">J1729*Resumo!$C$6</f>
        <v>0</v>
      </c>
      <c r="O1729" s="39" t="n">
        <f aca="false">J1729*Resumo!$C$7</f>
        <v>1.8858</v>
      </c>
      <c r="P1729" s="39" t="n">
        <f aca="false">J1729*Resumo!$C$8</f>
        <v>1.8858</v>
      </c>
      <c r="Q1729" s="39" t="n">
        <f aca="false">Resumo!$C$10*CEILING(I1729/100,1)</f>
        <v>1.05</v>
      </c>
      <c r="R1729" s="39" t="n">
        <f aca="false">Resumo!$C$9</f>
        <v>0</v>
      </c>
      <c r="S1729" s="39" t="n">
        <f aca="false">Resumo!$C$13</f>
        <v>13.55</v>
      </c>
      <c r="T1729" s="39" t="n">
        <f aca="false">Resumo!$C$14*CEILING(I1729,1)</f>
        <v>31.05</v>
      </c>
      <c r="U1729" s="39" t="n">
        <f aca="false">SUM(M1729:T1729)*Resumo!$C$11</f>
        <v>0</v>
      </c>
      <c r="V1729" s="39" t="n">
        <f aca="false">SUM(M1729:U1729)</f>
        <v>139.6216</v>
      </c>
      <c r="W1729" s="39" t="n">
        <f aca="false">V1729/(1-Resumo!$C$5)</f>
        <v>158.660909090909</v>
      </c>
      <c r="X1729" s="39" t="n">
        <v>166.05</v>
      </c>
      <c r="Y1729" s="39" t="n">
        <f aca="false">J1729*Resumo!$B$6</f>
        <v>0.898</v>
      </c>
      <c r="Z1729" s="39" t="n">
        <f aca="false">J1729*Resumo!$B$7</f>
        <v>1.796</v>
      </c>
      <c r="AA1729" s="39" t="n">
        <f aca="false">Resumo!$B$9</f>
        <v>1</v>
      </c>
      <c r="AB1729" s="39" t="n">
        <f aca="false">Resumo!$B$10*CEILING(I1729/100,1)</f>
        <v>4.5</v>
      </c>
      <c r="AC1729" s="39" t="n">
        <f aca="false">Resumo!$B$12*CEILING(I1729,1)</f>
        <v>4.14</v>
      </c>
      <c r="AD1729" s="39" t="n">
        <f aca="false">Resumo!$B$14*CEILING(I1729,1)</f>
        <v>31.05</v>
      </c>
      <c r="AE1729" s="39" t="n">
        <f aca="false">SUM(X1729:AD1729)</f>
        <v>209.434</v>
      </c>
      <c r="AF1729" s="39" t="n">
        <f aca="false">AE1729/(1-Resumo!$B$5)</f>
        <v>237.993181818182</v>
      </c>
      <c r="AG1729" s="39" t="n">
        <f aca="false">AF1729-W1729</f>
        <v>79.3322727272728</v>
      </c>
      <c r="AH1729" s="40" t="n">
        <f aca="false">AF1729/W1729-1</f>
        <v>0.500011459544942</v>
      </c>
      <c r="AI1729" s="37" t="str">
        <f aca="false">IF(AF1729&lt;W1729,"SIM","NÃO")</f>
        <v>NÃO</v>
      </c>
      <c r="AJ1729" s="37" t="n">
        <v>13</v>
      </c>
      <c r="AK1729" s="37" t="n">
        <v>10</v>
      </c>
      <c r="AL1729" s="37" t="s">
        <v>347</v>
      </c>
      <c r="AM1729" s="39" t="n">
        <v>156.32</v>
      </c>
    </row>
    <row r="1730" customFormat="false" ht="15" hidden="false" customHeight="false" outlineLevel="0" collapsed="false">
      <c r="A1730" s="37" t="n">
        <v>392935894</v>
      </c>
      <c r="B1730" s="38" t="n">
        <v>46276.5677546296</v>
      </c>
      <c r="C1730" s="37" t="s">
        <v>345</v>
      </c>
      <c r="D1730" s="37" t="s">
        <v>1917</v>
      </c>
      <c r="E1730" s="37" t="n">
        <v>28148000</v>
      </c>
      <c r="F1730" s="37" t="s">
        <v>164</v>
      </c>
      <c r="G1730" s="37" t="s">
        <v>198</v>
      </c>
      <c r="H1730" s="37" t="s">
        <v>185</v>
      </c>
      <c r="I1730" s="37" t="n">
        <v>38.2</v>
      </c>
      <c r="J1730" s="39" t="n">
        <v>676</v>
      </c>
      <c r="K1730" s="37" t="s">
        <v>342</v>
      </c>
      <c r="L1730" s="39" t="n">
        <v>123.49</v>
      </c>
      <c r="M1730" s="39" t="n">
        <v>74.97</v>
      </c>
      <c r="N1730" s="39" t="n">
        <f aca="false">J1730*Resumo!$C$6</f>
        <v>0</v>
      </c>
      <c r="O1730" s="39" t="n">
        <f aca="false">J1730*Resumo!$C$7</f>
        <v>1.4196</v>
      </c>
      <c r="P1730" s="39" t="n">
        <f aca="false">J1730*Resumo!$C$8</f>
        <v>1.4196</v>
      </c>
      <c r="Q1730" s="39" t="n">
        <f aca="false">Resumo!$C$10*CEILING(I1730/100,1)</f>
        <v>1.05</v>
      </c>
      <c r="R1730" s="39" t="n">
        <f aca="false">Resumo!$C$9</f>
        <v>0</v>
      </c>
      <c r="S1730" s="39" t="n">
        <f aca="false">Resumo!$C$13</f>
        <v>13.55</v>
      </c>
      <c r="T1730" s="39" t="n">
        <f aca="false">Resumo!$C$14*CEILING(I1730,1)</f>
        <v>17.55</v>
      </c>
      <c r="U1730" s="39" t="n">
        <f aca="false">SUM(M1730:T1730)*Resumo!$C$11</f>
        <v>0</v>
      </c>
      <c r="V1730" s="39" t="n">
        <f aca="false">SUM(M1730:U1730)</f>
        <v>109.9592</v>
      </c>
      <c r="W1730" s="39" t="n">
        <f aca="false">V1730/(1-Resumo!$C$5)</f>
        <v>124.953636363636</v>
      </c>
      <c r="X1730" s="39" t="n">
        <v>143.04</v>
      </c>
      <c r="Y1730" s="39" t="n">
        <f aca="false">J1730*Resumo!$B$6</f>
        <v>0.676</v>
      </c>
      <c r="Z1730" s="39" t="n">
        <f aca="false">J1730*Resumo!$B$7</f>
        <v>1.352</v>
      </c>
      <c r="AA1730" s="39" t="n">
        <f aca="false">Resumo!$B$9</f>
        <v>1</v>
      </c>
      <c r="AB1730" s="39" t="n">
        <f aca="false">Resumo!$B$10*CEILING(I1730/100,1)</f>
        <v>4.5</v>
      </c>
      <c r="AC1730" s="39" t="n">
        <f aca="false">Resumo!$B$12*CEILING(I1730,1)</f>
        <v>2.34</v>
      </c>
      <c r="AD1730" s="39" t="n">
        <f aca="false">Resumo!$B$14*CEILING(I1730,1)</f>
        <v>17.55</v>
      </c>
      <c r="AE1730" s="39" t="n">
        <f aca="false">SUM(X1730:AD1730)</f>
        <v>170.458</v>
      </c>
      <c r="AF1730" s="39" t="n">
        <f aca="false">AE1730/(1-Resumo!$B$5)</f>
        <v>193.702272727273</v>
      </c>
      <c r="AG1730" s="39" t="n">
        <f aca="false">AF1730-W1730</f>
        <v>68.7486363636364</v>
      </c>
      <c r="AH1730" s="40" t="n">
        <f aca="false">AF1730/W1730-1</f>
        <v>0.550193162554838</v>
      </c>
      <c r="AI1730" s="37" t="str">
        <f aca="false">IF(AF1730&lt;W1730,"SIM","NÃO")</f>
        <v>NÃO</v>
      </c>
      <c r="AJ1730" s="37" t="n">
        <v>13</v>
      </c>
      <c r="AK1730" s="37" t="n">
        <v>11</v>
      </c>
      <c r="AL1730" s="37" t="s">
        <v>343</v>
      </c>
      <c r="AM1730" s="39" t="n">
        <v>123.49</v>
      </c>
    </row>
    <row r="1731" customFormat="false" ht="15" hidden="false" customHeight="false" outlineLevel="0" collapsed="false">
      <c r="A1731" s="37" t="n">
        <v>392939505</v>
      </c>
      <c r="B1731" s="38" t="n">
        <v>46276.5726967593</v>
      </c>
      <c r="C1731" s="37" t="s">
        <v>340</v>
      </c>
      <c r="D1731" s="37" t="s">
        <v>1286</v>
      </c>
      <c r="E1731" s="37" t="n">
        <v>23098393</v>
      </c>
      <c r="F1731" s="37" t="s">
        <v>159</v>
      </c>
      <c r="G1731" s="37" t="s">
        <v>196</v>
      </c>
      <c r="H1731" s="37" t="s">
        <v>187</v>
      </c>
      <c r="I1731" s="37" t="n">
        <v>51.06</v>
      </c>
      <c r="J1731" s="39" t="n">
        <v>749.99</v>
      </c>
      <c r="K1731" s="37" t="s">
        <v>342</v>
      </c>
      <c r="L1731" s="39" t="n">
        <v>114.74</v>
      </c>
      <c r="M1731" s="39" t="n">
        <v>58.6</v>
      </c>
      <c r="N1731" s="39" t="n">
        <f aca="false">J1731*Resumo!$C$6</f>
        <v>0</v>
      </c>
      <c r="O1731" s="39" t="n">
        <f aca="false">J1731*Resumo!$C$7</f>
        <v>1.574979</v>
      </c>
      <c r="P1731" s="39" t="n">
        <f aca="false">J1731*Resumo!$C$8</f>
        <v>1.574979</v>
      </c>
      <c r="Q1731" s="39" t="n">
        <f aca="false">Resumo!$C$10*CEILING(I1731/100,1)</f>
        <v>1.05</v>
      </c>
      <c r="R1731" s="39" t="n">
        <f aca="false">Resumo!$C$9</f>
        <v>0</v>
      </c>
      <c r="S1731" s="39" t="n">
        <f aca="false">Resumo!$C$13</f>
        <v>13.55</v>
      </c>
      <c r="T1731" s="39" t="n">
        <f aca="false">Resumo!$C$14*CEILING(I1731,1)</f>
        <v>23.4</v>
      </c>
      <c r="U1731" s="39" t="n">
        <f aca="false">SUM(M1731:T1731)*Resumo!$C$11</f>
        <v>0</v>
      </c>
      <c r="V1731" s="39" t="n">
        <f aca="false">SUM(M1731:U1731)</f>
        <v>99.749958</v>
      </c>
      <c r="W1731" s="39" t="n">
        <f aca="false">V1731/(1-Resumo!$C$5)</f>
        <v>113.352225</v>
      </c>
      <c r="X1731" s="39" t="n">
        <v>112.3</v>
      </c>
      <c r="Y1731" s="39" t="n">
        <f aca="false">J1731*Resumo!$B$6</f>
        <v>0.74999</v>
      </c>
      <c r="Z1731" s="39" t="n">
        <f aca="false">J1731*Resumo!$B$7</f>
        <v>1.49998</v>
      </c>
      <c r="AA1731" s="39" t="n">
        <f aca="false">Resumo!$B$9</f>
        <v>1</v>
      </c>
      <c r="AB1731" s="39" t="n">
        <f aca="false">Resumo!$B$10*CEILING(I1731/100,1)</f>
        <v>4.5</v>
      </c>
      <c r="AC1731" s="39" t="n">
        <f aca="false">Resumo!$B$12*CEILING(I1731,1)</f>
        <v>3.12</v>
      </c>
      <c r="AD1731" s="39" t="n">
        <f aca="false">Resumo!$B$14*CEILING(I1731,1)</f>
        <v>23.4</v>
      </c>
      <c r="AE1731" s="39" t="n">
        <f aca="false">SUM(X1731:AD1731)</f>
        <v>146.56997</v>
      </c>
      <c r="AF1731" s="39" t="n">
        <f aca="false">AE1731/(1-Resumo!$B$5)</f>
        <v>166.556784090909</v>
      </c>
      <c r="AG1731" s="39" t="n">
        <f aca="false">AF1731-W1731</f>
        <v>53.2045590909091</v>
      </c>
      <c r="AH1731" s="40" t="n">
        <f aca="false">AF1731/W1731-1</f>
        <v>0.469373751515765</v>
      </c>
      <c r="AI1731" s="37" t="str">
        <f aca="false">IF(AF1731&lt;W1731,"SIM","NÃO")</f>
        <v>NÃO</v>
      </c>
      <c r="AJ1731" s="37" t="n">
        <v>2</v>
      </c>
      <c r="AK1731" s="37" t="n">
        <v>5</v>
      </c>
      <c r="AL1731" s="37" t="s">
        <v>343</v>
      </c>
      <c r="AM1731" s="39" t="n">
        <v>114.74</v>
      </c>
    </row>
    <row r="1732" customFormat="false" ht="15" hidden="false" customHeight="false" outlineLevel="0" collapsed="false">
      <c r="A1732" s="37" t="n">
        <v>392939764</v>
      </c>
      <c r="B1732" s="38" t="n">
        <v>46276.5732407407</v>
      </c>
      <c r="C1732" s="37" t="s">
        <v>345</v>
      </c>
      <c r="D1732" s="37" t="s">
        <v>1918</v>
      </c>
      <c r="E1732" s="37" t="n">
        <v>24241001</v>
      </c>
      <c r="F1732" s="37" t="s">
        <v>163</v>
      </c>
      <c r="G1732" s="37" t="s">
        <v>197</v>
      </c>
      <c r="H1732" s="37" t="s">
        <v>184</v>
      </c>
      <c r="I1732" s="37" t="n">
        <v>27.4</v>
      </c>
      <c r="J1732" s="39" t="n">
        <v>320</v>
      </c>
      <c r="K1732" s="37" t="s">
        <v>342</v>
      </c>
      <c r="L1732" s="39" t="n">
        <v>100.92</v>
      </c>
      <c r="M1732" s="39" t="n">
        <v>58.8</v>
      </c>
      <c r="N1732" s="39" t="n">
        <f aca="false">J1732*Resumo!$C$6</f>
        <v>0</v>
      </c>
      <c r="O1732" s="39" t="n">
        <f aca="false">J1732*Resumo!$C$7</f>
        <v>0.672</v>
      </c>
      <c r="P1732" s="39" t="n">
        <f aca="false">J1732*Resumo!$C$8</f>
        <v>0.672</v>
      </c>
      <c r="Q1732" s="39" t="n">
        <f aca="false">Resumo!$C$10*CEILING(I1732/100,1)</f>
        <v>1.05</v>
      </c>
      <c r="R1732" s="39" t="n">
        <f aca="false">Resumo!$C$9</f>
        <v>0</v>
      </c>
      <c r="S1732" s="39" t="n">
        <f aca="false">Resumo!$C$13</f>
        <v>13.55</v>
      </c>
      <c r="T1732" s="39" t="n">
        <f aca="false">Resumo!$C$14*CEILING(I1732,1)</f>
        <v>12.6</v>
      </c>
      <c r="U1732" s="39" t="n">
        <f aca="false">SUM(M1732:T1732)*Resumo!$C$11</f>
        <v>0</v>
      </c>
      <c r="V1732" s="39" t="n">
        <f aca="false">SUM(M1732:U1732)</f>
        <v>87.344</v>
      </c>
      <c r="W1732" s="39" t="n">
        <f aca="false">V1732/(1-Resumo!$C$5)</f>
        <v>99.2545454545455</v>
      </c>
      <c r="X1732" s="39" t="n">
        <v>100.58</v>
      </c>
      <c r="Y1732" s="39" t="n">
        <f aca="false">J1732*Resumo!$B$6</f>
        <v>0.32</v>
      </c>
      <c r="Z1732" s="39" t="n">
        <f aca="false">J1732*Resumo!$B$7</f>
        <v>0.64</v>
      </c>
      <c r="AA1732" s="39" t="n">
        <f aca="false">Resumo!$B$9</f>
        <v>1</v>
      </c>
      <c r="AB1732" s="39" t="n">
        <f aca="false">Resumo!$B$10*CEILING(I1732/100,1)</f>
        <v>4.5</v>
      </c>
      <c r="AC1732" s="39" t="n">
        <f aca="false">Resumo!$B$12*CEILING(I1732,1)</f>
        <v>1.68</v>
      </c>
      <c r="AD1732" s="39" t="n">
        <f aca="false">Resumo!$B$14*CEILING(I1732,1)</f>
        <v>12.6</v>
      </c>
      <c r="AE1732" s="39" t="n">
        <f aca="false">SUM(X1732:AD1732)</f>
        <v>121.32</v>
      </c>
      <c r="AF1732" s="39" t="n">
        <f aca="false">AE1732/(1-Resumo!$B$5)</f>
        <v>137.863636363636</v>
      </c>
      <c r="AG1732" s="39" t="n">
        <f aca="false">AF1732-W1732</f>
        <v>38.6090909090909</v>
      </c>
      <c r="AH1732" s="40" t="n">
        <f aca="false">AF1732/W1732-1</f>
        <v>0.388990657629602</v>
      </c>
      <c r="AI1732" s="37" t="str">
        <f aca="false">IF(AF1732&lt;W1732,"SIM","NÃO")</f>
        <v>NÃO</v>
      </c>
      <c r="AJ1732" s="37" t="n">
        <v>2</v>
      </c>
      <c r="AK1732" s="37" t="n">
        <v>7</v>
      </c>
      <c r="AL1732" s="37" t="s">
        <v>343</v>
      </c>
      <c r="AM1732" s="39" t="n">
        <v>100.92</v>
      </c>
    </row>
    <row r="1733" customFormat="false" ht="15" hidden="false" customHeight="false" outlineLevel="0" collapsed="false">
      <c r="A1733" s="37" t="n">
        <v>392943968</v>
      </c>
      <c r="B1733" s="38" t="n">
        <v>46276.5846296296</v>
      </c>
      <c r="C1733" s="37" t="s">
        <v>361</v>
      </c>
      <c r="D1733" s="37" t="s">
        <v>1919</v>
      </c>
      <c r="E1733" s="37" t="n">
        <v>28897364</v>
      </c>
      <c r="F1733" s="37" t="s">
        <v>178</v>
      </c>
      <c r="G1733" s="37" t="s">
        <v>198</v>
      </c>
      <c r="H1733" s="37" t="s">
        <v>184</v>
      </c>
      <c r="I1733" s="37" t="n">
        <v>33</v>
      </c>
      <c r="J1733" s="39" t="n">
        <v>439.99</v>
      </c>
      <c r="K1733" s="37" t="s">
        <v>342</v>
      </c>
      <c r="L1733" s="39" t="n">
        <v>109.28</v>
      </c>
      <c r="M1733" s="39" t="n">
        <v>65.63</v>
      </c>
      <c r="N1733" s="39" t="n">
        <f aca="false">J1733*Resumo!$C$6</f>
        <v>0</v>
      </c>
      <c r="O1733" s="39" t="n">
        <f aca="false">J1733*Resumo!$C$7</f>
        <v>0.923979</v>
      </c>
      <c r="P1733" s="39" t="n">
        <f aca="false">J1733*Resumo!$C$8</f>
        <v>0.923979</v>
      </c>
      <c r="Q1733" s="39" t="n">
        <f aca="false">Resumo!$C$10*CEILING(I1733/100,1)</f>
        <v>1.05</v>
      </c>
      <c r="R1733" s="39" t="n">
        <f aca="false">Resumo!$C$9</f>
        <v>0</v>
      </c>
      <c r="S1733" s="39" t="n">
        <f aca="false">Resumo!$C$13</f>
        <v>13.55</v>
      </c>
      <c r="T1733" s="39" t="n">
        <f aca="false">Resumo!$C$14*CEILING(I1733,1)</f>
        <v>14.85</v>
      </c>
      <c r="U1733" s="39" t="n">
        <f aca="false">SUM(M1733:T1733)*Resumo!$C$11</f>
        <v>0</v>
      </c>
      <c r="V1733" s="39" t="n">
        <f aca="false">SUM(M1733:U1733)</f>
        <v>96.927958</v>
      </c>
      <c r="W1733" s="39" t="n">
        <f aca="false">V1733/(1-Resumo!$C$5)</f>
        <v>110.145406818182</v>
      </c>
      <c r="X1733" s="39" t="n">
        <v>114.95</v>
      </c>
      <c r="Y1733" s="39" t="n">
        <f aca="false">J1733*Resumo!$B$6</f>
        <v>0.43999</v>
      </c>
      <c r="Z1733" s="39" t="n">
        <f aca="false">J1733*Resumo!$B$7</f>
        <v>0.87998</v>
      </c>
      <c r="AA1733" s="39" t="n">
        <f aca="false">Resumo!$B$9</f>
        <v>1</v>
      </c>
      <c r="AB1733" s="39" t="n">
        <f aca="false">Resumo!$B$10*CEILING(I1733/100,1)</f>
        <v>4.5</v>
      </c>
      <c r="AC1733" s="39" t="n">
        <f aca="false">Resumo!$B$12*CEILING(I1733,1)</f>
        <v>1.98</v>
      </c>
      <c r="AD1733" s="39" t="n">
        <f aca="false">Resumo!$B$14*CEILING(I1733,1)</f>
        <v>14.85</v>
      </c>
      <c r="AE1733" s="39" t="n">
        <f aca="false">SUM(X1733:AD1733)</f>
        <v>138.59997</v>
      </c>
      <c r="AF1733" s="39" t="n">
        <f aca="false">AE1733/(1-Resumo!$B$5)</f>
        <v>157.499965909091</v>
      </c>
      <c r="AG1733" s="39" t="n">
        <f aca="false">AF1733-W1733</f>
        <v>47.3545590909091</v>
      </c>
      <c r="AH1733" s="40" t="n">
        <f aca="false">AF1733/W1733-1</f>
        <v>0.429927678864338</v>
      </c>
      <c r="AI1733" s="37" t="str">
        <f aca="false">IF(AF1733&lt;W1733,"SIM","NÃO")</f>
        <v>NÃO</v>
      </c>
      <c r="AJ1733" s="37" t="n">
        <v>13</v>
      </c>
      <c r="AK1733" s="37" t="n">
        <v>10</v>
      </c>
      <c r="AL1733" s="37" t="s">
        <v>343</v>
      </c>
      <c r="AM1733" s="39" t="n">
        <v>109.29</v>
      </c>
    </row>
    <row r="1734" customFormat="false" ht="15" hidden="false" customHeight="false" outlineLevel="0" collapsed="false">
      <c r="A1734" s="37" t="n">
        <v>392949142</v>
      </c>
      <c r="B1734" s="38" t="n">
        <v>46276.5866550926</v>
      </c>
      <c r="C1734" s="37" t="s">
        <v>340</v>
      </c>
      <c r="D1734" s="37" t="s">
        <v>1920</v>
      </c>
      <c r="E1734" s="37" t="n">
        <v>20972450</v>
      </c>
      <c r="F1734" s="37" t="s">
        <v>159</v>
      </c>
      <c r="G1734" s="37" t="s">
        <v>196</v>
      </c>
      <c r="H1734" s="37" t="s">
        <v>184</v>
      </c>
      <c r="I1734" s="37" t="n">
        <v>34.8</v>
      </c>
      <c r="J1734" s="39" t="n">
        <v>469.99</v>
      </c>
      <c r="K1734" s="37" t="s">
        <v>342</v>
      </c>
      <c r="L1734" s="39" t="n">
        <v>82.58</v>
      </c>
      <c r="M1734" s="39" t="n">
        <v>42.11</v>
      </c>
      <c r="N1734" s="39" t="n">
        <f aca="false">J1734*Resumo!$C$6</f>
        <v>0</v>
      </c>
      <c r="O1734" s="39" t="n">
        <f aca="false">J1734*Resumo!$C$7</f>
        <v>0.986979</v>
      </c>
      <c r="P1734" s="39" t="n">
        <f aca="false">J1734*Resumo!$C$8</f>
        <v>0.986979</v>
      </c>
      <c r="Q1734" s="39" t="n">
        <f aca="false">Resumo!$C$10*CEILING(I1734/100,1)</f>
        <v>1.05</v>
      </c>
      <c r="R1734" s="39" t="n">
        <f aca="false">Resumo!$C$9</f>
        <v>0</v>
      </c>
      <c r="S1734" s="39" t="n">
        <f aca="false">Resumo!$C$13</f>
        <v>13.55</v>
      </c>
      <c r="T1734" s="39" t="n">
        <f aca="false">Resumo!$C$14*CEILING(I1734,1)</f>
        <v>15.75</v>
      </c>
      <c r="U1734" s="39" t="n">
        <f aca="false">SUM(M1734:T1734)*Resumo!$C$11</f>
        <v>0</v>
      </c>
      <c r="V1734" s="39" t="n">
        <f aca="false">SUM(M1734:U1734)</f>
        <v>74.433958</v>
      </c>
      <c r="W1734" s="39" t="n">
        <f aca="false">V1734/(1-Resumo!$C$5)</f>
        <v>84.5840431818182</v>
      </c>
      <c r="X1734" s="39" t="n">
        <v>82.21</v>
      </c>
      <c r="Y1734" s="39" t="n">
        <f aca="false">J1734*Resumo!$B$6</f>
        <v>0.46999</v>
      </c>
      <c r="Z1734" s="39" t="n">
        <f aca="false">J1734*Resumo!$B$7</f>
        <v>0.93998</v>
      </c>
      <c r="AA1734" s="39" t="n">
        <f aca="false">Resumo!$B$9</f>
        <v>1</v>
      </c>
      <c r="AB1734" s="39" t="n">
        <f aca="false">Resumo!$B$10*CEILING(I1734/100,1)</f>
        <v>4.5</v>
      </c>
      <c r="AC1734" s="39" t="n">
        <f aca="false">Resumo!$B$12*CEILING(I1734,1)</f>
        <v>2.1</v>
      </c>
      <c r="AD1734" s="39" t="n">
        <f aca="false">Resumo!$B$14*CEILING(I1734,1)</f>
        <v>15.75</v>
      </c>
      <c r="AE1734" s="39" t="n">
        <f aca="false">SUM(X1734:AD1734)</f>
        <v>106.96997</v>
      </c>
      <c r="AF1734" s="39" t="n">
        <f aca="false">AE1734/(1-Resumo!$B$5)</f>
        <v>121.556784090909</v>
      </c>
      <c r="AG1734" s="39" t="n">
        <f aca="false">AF1734-W1734</f>
        <v>36.9727409090909</v>
      </c>
      <c r="AH1734" s="40" t="n">
        <f aca="false">AF1734/W1734-1</f>
        <v>0.437112480300994</v>
      </c>
      <c r="AI1734" s="37" t="str">
        <f aca="false">IF(AF1734&lt;W1734,"SIM","NÃO")</f>
        <v>NÃO</v>
      </c>
      <c r="AJ1734" s="37" t="n">
        <v>2</v>
      </c>
      <c r="AK1734" s="37" t="n">
        <v>5</v>
      </c>
      <c r="AL1734" s="37" t="s">
        <v>343</v>
      </c>
      <c r="AM1734" s="39" t="n">
        <v>82.58</v>
      </c>
    </row>
    <row r="1735" customFormat="false" ht="15" hidden="false" customHeight="false" outlineLevel="0" collapsed="false">
      <c r="A1735" s="37" t="n">
        <v>392978867</v>
      </c>
      <c r="B1735" s="38" t="n">
        <v>46276.6275115741</v>
      </c>
      <c r="C1735" s="37" t="s">
        <v>345</v>
      </c>
      <c r="D1735" s="37" t="s">
        <v>1921</v>
      </c>
      <c r="E1735" s="37" t="n">
        <v>24360005</v>
      </c>
      <c r="F1735" s="37" t="s">
        <v>163</v>
      </c>
      <c r="G1735" s="37" t="s">
        <v>197</v>
      </c>
      <c r="H1735" s="37" t="s">
        <v>187</v>
      </c>
      <c r="I1735" s="37" t="n">
        <v>52.3</v>
      </c>
      <c r="J1735" s="39" t="n">
        <v>620</v>
      </c>
      <c r="K1735" s="37" t="s">
        <v>342</v>
      </c>
      <c r="L1735" s="39" t="n">
        <v>128.25</v>
      </c>
      <c r="M1735" s="39" t="n">
        <v>70.98</v>
      </c>
      <c r="N1735" s="39" t="n">
        <f aca="false">J1735*Resumo!$C$6</f>
        <v>0</v>
      </c>
      <c r="O1735" s="39" t="n">
        <f aca="false">J1735*Resumo!$C$7</f>
        <v>1.302</v>
      </c>
      <c r="P1735" s="39" t="n">
        <f aca="false">J1735*Resumo!$C$8</f>
        <v>1.302</v>
      </c>
      <c r="Q1735" s="39" t="n">
        <f aca="false">Resumo!$C$10*CEILING(I1735/100,1)</f>
        <v>1.05</v>
      </c>
      <c r="R1735" s="39" t="n">
        <f aca="false">Resumo!$C$9</f>
        <v>0</v>
      </c>
      <c r="S1735" s="39" t="n">
        <f aca="false">Resumo!$C$13</f>
        <v>13.55</v>
      </c>
      <c r="T1735" s="39" t="n">
        <f aca="false">Resumo!$C$14*CEILING(I1735,1)</f>
        <v>23.85</v>
      </c>
      <c r="U1735" s="39" t="n">
        <f aca="false">SUM(M1735:T1735)*Resumo!$C$11</f>
        <v>0</v>
      </c>
      <c r="V1735" s="39" t="n">
        <f aca="false">SUM(M1735:U1735)</f>
        <v>112.034</v>
      </c>
      <c r="W1735" s="39" t="n">
        <f aca="false">V1735/(1-Resumo!$C$5)</f>
        <v>127.311363636364</v>
      </c>
      <c r="X1735" s="39" t="n">
        <v>128.14</v>
      </c>
      <c r="Y1735" s="39" t="n">
        <f aca="false">J1735*Resumo!$B$6</f>
        <v>0.62</v>
      </c>
      <c r="Z1735" s="39" t="n">
        <f aca="false">J1735*Resumo!$B$7</f>
        <v>1.24</v>
      </c>
      <c r="AA1735" s="39" t="n">
        <f aca="false">Resumo!$B$9</f>
        <v>1</v>
      </c>
      <c r="AB1735" s="39" t="n">
        <f aca="false">Resumo!$B$10*CEILING(I1735/100,1)</f>
        <v>4.5</v>
      </c>
      <c r="AC1735" s="39" t="n">
        <f aca="false">Resumo!$B$12*CEILING(I1735,1)</f>
        <v>3.18</v>
      </c>
      <c r="AD1735" s="39" t="n">
        <f aca="false">Resumo!$B$14*CEILING(I1735,1)</f>
        <v>23.85</v>
      </c>
      <c r="AE1735" s="39" t="n">
        <f aca="false">SUM(X1735:AD1735)</f>
        <v>162.53</v>
      </c>
      <c r="AF1735" s="39" t="n">
        <f aca="false">AE1735/(1-Resumo!$B$5)</f>
        <v>184.693181818182</v>
      </c>
      <c r="AG1735" s="39" t="n">
        <f aca="false">AF1735-W1735</f>
        <v>57.3818181818182</v>
      </c>
      <c r="AH1735" s="40" t="n">
        <f aca="false">AF1735/W1735-1</f>
        <v>0.450720317046611</v>
      </c>
      <c r="AI1735" s="37" t="str">
        <f aca="false">IF(AF1735&lt;W1735,"SIM","NÃO")</f>
        <v>NÃO</v>
      </c>
      <c r="AJ1735" s="37" t="n">
        <v>2</v>
      </c>
      <c r="AK1735" s="37" t="n">
        <v>7</v>
      </c>
      <c r="AL1735" s="37" t="s">
        <v>343</v>
      </c>
      <c r="AM1735" s="39" t="n">
        <v>128.25</v>
      </c>
    </row>
    <row r="1736" customFormat="false" ht="15" hidden="false" customHeight="false" outlineLevel="0" collapsed="false">
      <c r="A1736" s="37" t="n">
        <v>393047552</v>
      </c>
      <c r="B1736" s="38" t="n">
        <v>46276.7347337963</v>
      </c>
      <c r="C1736" s="37" t="s">
        <v>340</v>
      </c>
      <c r="D1736" s="37" t="s">
        <v>1922</v>
      </c>
      <c r="E1736" s="37" t="n">
        <v>23062220</v>
      </c>
      <c r="F1736" s="37" t="s">
        <v>159</v>
      </c>
      <c r="G1736" s="37" t="s">
        <v>196</v>
      </c>
      <c r="H1736" s="37" t="s">
        <v>187</v>
      </c>
      <c r="I1736" s="37" t="n">
        <v>59.9</v>
      </c>
      <c r="J1736" s="39" t="n">
        <v>883.45</v>
      </c>
      <c r="K1736" s="37" t="s">
        <v>342</v>
      </c>
      <c r="L1736" s="39" t="n">
        <v>115.39</v>
      </c>
      <c r="M1736" s="39" t="n">
        <v>58.6</v>
      </c>
      <c r="N1736" s="39" t="n">
        <f aca="false">J1736*Resumo!$C$6</f>
        <v>0</v>
      </c>
      <c r="O1736" s="39" t="n">
        <f aca="false">J1736*Resumo!$C$7</f>
        <v>1.855245</v>
      </c>
      <c r="P1736" s="39" t="n">
        <f aca="false">J1736*Resumo!$C$8</f>
        <v>1.855245</v>
      </c>
      <c r="Q1736" s="39" t="n">
        <f aca="false">Resumo!$C$10*CEILING(I1736/100,1)</f>
        <v>1.05</v>
      </c>
      <c r="R1736" s="39" t="n">
        <f aca="false">Resumo!$C$9</f>
        <v>0</v>
      </c>
      <c r="S1736" s="39" t="n">
        <f aca="false">Resumo!$C$13</f>
        <v>13.55</v>
      </c>
      <c r="T1736" s="39" t="n">
        <f aca="false">Resumo!$C$14*CEILING(I1736,1)</f>
        <v>27</v>
      </c>
      <c r="U1736" s="39" t="n">
        <f aca="false">SUM(M1736:T1736)*Resumo!$C$11</f>
        <v>0</v>
      </c>
      <c r="V1736" s="39" t="n">
        <f aca="false">SUM(M1736:U1736)</f>
        <v>103.91049</v>
      </c>
      <c r="W1736" s="39" t="n">
        <f aca="false">V1736/(1-Resumo!$C$5)</f>
        <v>118.080102272727</v>
      </c>
      <c r="X1736" s="39" t="n">
        <v>112.3</v>
      </c>
      <c r="Y1736" s="39" t="n">
        <f aca="false">J1736*Resumo!$B$6</f>
        <v>0.88345</v>
      </c>
      <c r="Z1736" s="39" t="n">
        <f aca="false">J1736*Resumo!$B$7</f>
        <v>1.7669</v>
      </c>
      <c r="AA1736" s="39" t="n">
        <f aca="false">Resumo!$B$9</f>
        <v>1</v>
      </c>
      <c r="AB1736" s="39" t="n">
        <f aca="false">Resumo!$B$10*CEILING(I1736/100,1)</f>
        <v>4.5</v>
      </c>
      <c r="AC1736" s="39" t="n">
        <f aca="false">Resumo!$B$12*CEILING(I1736,1)</f>
        <v>3.6</v>
      </c>
      <c r="AD1736" s="39" t="n">
        <f aca="false">Resumo!$B$14*CEILING(I1736,1)</f>
        <v>27</v>
      </c>
      <c r="AE1736" s="39" t="n">
        <f aca="false">SUM(X1736:AD1736)</f>
        <v>151.05035</v>
      </c>
      <c r="AF1736" s="39" t="n">
        <f aca="false">AE1736/(1-Resumo!$B$5)</f>
        <v>171.648125</v>
      </c>
      <c r="AG1736" s="39" t="n">
        <f aca="false">AF1736-W1736</f>
        <v>53.5680227272727</v>
      </c>
      <c r="AH1736" s="40" t="n">
        <f aca="false">AF1736/W1736-1</f>
        <v>0.453658336131414</v>
      </c>
      <c r="AI1736" s="37" t="str">
        <f aca="false">IF(AF1736&lt;W1736,"SIM","NÃO")</f>
        <v>NÃO</v>
      </c>
      <c r="AJ1736" s="37" t="n">
        <v>2</v>
      </c>
      <c r="AK1736" s="37" t="n">
        <v>5</v>
      </c>
      <c r="AL1736" s="37" t="s">
        <v>343</v>
      </c>
      <c r="AM1736" s="39" t="n">
        <v>115.38</v>
      </c>
    </row>
    <row r="1737" customFormat="false" ht="15" hidden="false" customHeight="false" outlineLevel="0" collapsed="false">
      <c r="A1737" s="37" t="n">
        <v>393070343</v>
      </c>
      <c r="B1737" s="38" t="n">
        <v>46276.7762962963</v>
      </c>
      <c r="C1737" s="37" t="s">
        <v>361</v>
      </c>
      <c r="D1737" s="37" t="s">
        <v>1923</v>
      </c>
      <c r="E1737" s="37" t="n">
        <v>21941480</v>
      </c>
      <c r="F1737" s="37" t="s">
        <v>159</v>
      </c>
      <c r="G1737" s="37" t="s">
        <v>196</v>
      </c>
      <c r="H1737" s="37" t="s">
        <v>185</v>
      </c>
      <c r="I1737" s="37" t="n">
        <v>36.8</v>
      </c>
      <c r="J1737" s="39" t="n">
        <v>549.99</v>
      </c>
      <c r="K1737" s="37" t="s">
        <v>342</v>
      </c>
      <c r="L1737" s="39" t="n">
        <v>92.49</v>
      </c>
      <c r="M1737" s="39" t="n">
        <v>48.35</v>
      </c>
      <c r="N1737" s="39" t="n">
        <f aca="false">J1737*Resumo!$C$6</f>
        <v>0</v>
      </c>
      <c r="O1737" s="39" t="n">
        <f aca="false">J1737*Resumo!$C$7</f>
        <v>1.154979</v>
      </c>
      <c r="P1737" s="39" t="n">
        <f aca="false">J1737*Resumo!$C$8</f>
        <v>1.154979</v>
      </c>
      <c r="Q1737" s="39" t="n">
        <f aca="false">Resumo!$C$10*CEILING(I1737/100,1)</f>
        <v>1.05</v>
      </c>
      <c r="R1737" s="39" t="n">
        <f aca="false">Resumo!$C$9</f>
        <v>0</v>
      </c>
      <c r="S1737" s="39" t="n">
        <f aca="false">Resumo!$C$13</f>
        <v>13.55</v>
      </c>
      <c r="T1737" s="39" t="n">
        <f aca="false">Resumo!$C$14*CEILING(I1737,1)</f>
        <v>16.65</v>
      </c>
      <c r="U1737" s="39" t="n">
        <f aca="false">SUM(M1737:T1737)*Resumo!$C$11</f>
        <v>0</v>
      </c>
      <c r="V1737" s="39" t="n">
        <f aca="false">SUM(M1737:U1737)</f>
        <v>81.909958</v>
      </c>
      <c r="W1737" s="39" t="n">
        <f aca="false">V1737/(1-Resumo!$C$5)</f>
        <v>93.0794977272727</v>
      </c>
      <c r="X1737" s="39" t="n">
        <v>93.97</v>
      </c>
      <c r="Y1737" s="39" t="n">
        <f aca="false">J1737*Resumo!$B$6</f>
        <v>0.54999</v>
      </c>
      <c r="Z1737" s="39" t="n">
        <f aca="false">J1737*Resumo!$B$7</f>
        <v>1.09998</v>
      </c>
      <c r="AA1737" s="39" t="n">
        <f aca="false">Resumo!$B$9</f>
        <v>1</v>
      </c>
      <c r="AB1737" s="39" t="n">
        <f aca="false">Resumo!$B$10*CEILING(I1737/100,1)</f>
        <v>4.5</v>
      </c>
      <c r="AC1737" s="39" t="n">
        <f aca="false">Resumo!$B$12*CEILING(I1737,1)</f>
        <v>2.22</v>
      </c>
      <c r="AD1737" s="39" t="n">
        <f aca="false">Resumo!$B$14*CEILING(I1737,1)</f>
        <v>16.65</v>
      </c>
      <c r="AE1737" s="39" t="n">
        <f aca="false">SUM(X1737:AD1737)</f>
        <v>119.98997</v>
      </c>
      <c r="AF1737" s="39" t="n">
        <f aca="false">AE1737/(1-Resumo!$B$5)</f>
        <v>136.352238636364</v>
      </c>
      <c r="AG1737" s="39" t="n">
        <f aca="false">AF1737-W1737</f>
        <v>43.2727409090909</v>
      </c>
      <c r="AH1737" s="40" t="n">
        <f aca="false">AF1737/W1737-1</f>
        <v>0.464900885433246</v>
      </c>
      <c r="AI1737" s="37" t="str">
        <f aca="false">IF(AF1737&lt;W1737,"SIM","NÃO")</f>
        <v>NÃO</v>
      </c>
      <c r="AJ1737" s="37" t="n">
        <v>2</v>
      </c>
      <c r="AK1737" s="37" t="n">
        <v>5</v>
      </c>
      <c r="AL1737" s="37" t="s">
        <v>343</v>
      </c>
      <c r="AM1737" s="39" t="n">
        <v>92.49</v>
      </c>
    </row>
    <row r="1738" customFormat="false" ht="15" hidden="false" customHeight="false" outlineLevel="0" collapsed="false">
      <c r="A1738" s="37" t="n">
        <v>393082746</v>
      </c>
      <c r="B1738" s="38" t="n">
        <v>46276.7889583333</v>
      </c>
      <c r="C1738" s="37" t="s">
        <v>340</v>
      </c>
      <c r="D1738" s="37" t="s">
        <v>1924</v>
      </c>
      <c r="E1738" s="37" t="n">
        <v>21610520</v>
      </c>
      <c r="F1738" s="37" t="s">
        <v>159</v>
      </c>
      <c r="G1738" s="37" t="s">
        <v>196</v>
      </c>
      <c r="H1738" s="37" t="s">
        <v>188</v>
      </c>
      <c r="I1738" s="37" t="n">
        <v>63.9</v>
      </c>
      <c r="J1738" s="39" t="n">
        <v>716.35</v>
      </c>
      <c r="K1738" s="37" t="s">
        <v>342</v>
      </c>
      <c r="L1738" s="39" t="n">
        <v>124.64</v>
      </c>
      <c r="M1738" s="39" t="n">
        <v>63.21</v>
      </c>
      <c r="N1738" s="39" t="n">
        <f aca="false">J1738*Resumo!$C$6</f>
        <v>0</v>
      </c>
      <c r="O1738" s="39" t="n">
        <f aca="false">J1738*Resumo!$C$7</f>
        <v>1.504335</v>
      </c>
      <c r="P1738" s="39" t="n">
        <f aca="false">J1738*Resumo!$C$8</f>
        <v>1.504335</v>
      </c>
      <c r="Q1738" s="39" t="n">
        <f aca="false">Resumo!$C$10*CEILING(I1738/100,1)</f>
        <v>1.05</v>
      </c>
      <c r="R1738" s="39" t="n">
        <f aca="false">Resumo!$C$9</f>
        <v>0</v>
      </c>
      <c r="S1738" s="39" t="n">
        <f aca="false">Resumo!$C$13</f>
        <v>13.55</v>
      </c>
      <c r="T1738" s="39" t="n">
        <f aca="false">Resumo!$C$14*CEILING(I1738,1)</f>
        <v>28.8</v>
      </c>
      <c r="U1738" s="39" t="n">
        <f aca="false">SUM(M1738:T1738)*Resumo!$C$11</f>
        <v>0</v>
      </c>
      <c r="V1738" s="39" t="n">
        <f aca="false">SUM(M1738:U1738)</f>
        <v>109.61867</v>
      </c>
      <c r="W1738" s="39" t="n">
        <f aca="false">V1738/(1-Resumo!$C$5)</f>
        <v>124.566670454545</v>
      </c>
      <c r="X1738" s="39" t="n">
        <v>131.02</v>
      </c>
      <c r="Y1738" s="39" t="n">
        <f aca="false">J1738*Resumo!$B$6</f>
        <v>0.71635</v>
      </c>
      <c r="Z1738" s="39" t="n">
        <f aca="false">J1738*Resumo!$B$7</f>
        <v>1.4327</v>
      </c>
      <c r="AA1738" s="39" t="n">
        <f aca="false">Resumo!$B$9</f>
        <v>1</v>
      </c>
      <c r="AB1738" s="39" t="n">
        <f aca="false">Resumo!$B$10*CEILING(I1738/100,1)</f>
        <v>4.5</v>
      </c>
      <c r="AC1738" s="39" t="n">
        <f aca="false">Resumo!$B$12*CEILING(I1738,1)</f>
        <v>3.84</v>
      </c>
      <c r="AD1738" s="39" t="n">
        <f aca="false">Resumo!$B$14*CEILING(I1738,1)</f>
        <v>28.8</v>
      </c>
      <c r="AE1738" s="39" t="n">
        <f aca="false">SUM(X1738:AD1738)</f>
        <v>171.30905</v>
      </c>
      <c r="AF1738" s="39" t="n">
        <f aca="false">AE1738/(1-Resumo!$B$5)</f>
        <v>194.669375</v>
      </c>
      <c r="AG1738" s="39" t="n">
        <f aca="false">AF1738-W1738</f>
        <v>70.1027045454546</v>
      </c>
      <c r="AH1738" s="40" t="n">
        <f aca="false">AF1738/W1738-1</f>
        <v>0.562772564199146</v>
      </c>
      <c r="AI1738" s="37" t="str">
        <f aca="false">IF(AF1738&lt;W1738,"SIM","NÃO")</f>
        <v>NÃO</v>
      </c>
      <c r="AJ1738" s="37" t="n">
        <v>2</v>
      </c>
      <c r="AK1738" s="37" t="n">
        <v>5</v>
      </c>
      <c r="AL1738" s="37" t="s">
        <v>343</v>
      </c>
      <c r="AM1738" s="39" t="n">
        <v>124.64</v>
      </c>
    </row>
    <row r="1739" customFormat="false" ht="15" hidden="false" customHeight="false" outlineLevel="0" collapsed="false">
      <c r="A1739" s="37" t="n">
        <v>393091015</v>
      </c>
      <c r="B1739" s="38" t="n">
        <v>46276.8066203704</v>
      </c>
      <c r="C1739" s="37" t="s">
        <v>361</v>
      </c>
      <c r="D1739" s="37" t="s">
        <v>1131</v>
      </c>
      <c r="E1739" s="37" t="n">
        <v>21725180</v>
      </c>
      <c r="F1739" s="37" t="s">
        <v>159</v>
      </c>
      <c r="G1739" s="37" t="s">
        <v>196</v>
      </c>
      <c r="H1739" s="37" t="s">
        <v>184</v>
      </c>
      <c r="I1739" s="37" t="n">
        <v>31.2</v>
      </c>
      <c r="J1739" s="39" t="n">
        <v>399.99</v>
      </c>
      <c r="K1739" s="37" t="s">
        <v>342</v>
      </c>
      <c r="L1739" s="39" t="n">
        <v>82.24</v>
      </c>
      <c r="M1739" s="39" t="n">
        <v>42.11</v>
      </c>
      <c r="N1739" s="39" t="n">
        <f aca="false">J1739*Resumo!$C$6</f>
        <v>0</v>
      </c>
      <c r="O1739" s="39" t="n">
        <f aca="false">J1739*Resumo!$C$7</f>
        <v>0.839979</v>
      </c>
      <c r="P1739" s="39" t="n">
        <f aca="false">J1739*Resumo!$C$8</f>
        <v>0.839979</v>
      </c>
      <c r="Q1739" s="39" t="n">
        <f aca="false">Resumo!$C$10*CEILING(I1739/100,1)</f>
        <v>1.05</v>
      </c>
      <c r="R1739" s="39" t="n">
        <f aca="false">Resumo!$C$9</f>
        <v>0</v>
      </c>
      <c r="S1739" s="39" t="n">
        <f aca="false">Resumo!$C$13</f>
        <v>13.55</v>
      </c>
      <c r="T1739" s="39" t="n">
        <f aca="false">Resumo!$C$14*CEILING(I1739,1)</f>
        <v>14.4</v>
      </c>
      <c r="U1739" s="39" t="n">
        <f aca="false">SUM(M1739:T1739)*Resumo!$C$11</f>
        <v>0</v>
      </c>
      <c r="V1739" s="39" t="n">
        <f aca="false">SUM(M1739:U1739)</f>
        <v>72.789958</v>
      </c>
      <c r="W1739" s="39" t="n">
        <f aca="false">V1739/(1-Resumo!$C$5)</f>
        <v>82.7158613636364</v>
      </c>
      <c r="X1739" s="39" t="n">
        <v>82.21</v>
      </c>
      <c r="Y1739" s="39" t="n">
        <f aca="false">J1739*Resumo!$B$6</f>
        <v>0.39999</v>
      </c>
      <c r="Z1739" s="39" t="n">
        <f aca="false">J1739*Resumo!$B$7</f>
        <v>0.79998</v>
      </c>
      <c r="AA1739" s="39" t="n">
        <f aca="false">Resumo!$B$9</f>
        <v>1</v>
      </c>
      <c r="AB1739" s="39" t="n">
        <f aca="false">Resumo!$B$10*CEILING(I1739/100,1)</f>
        <v>4.5</v>
      </c>
      <c r="AC1739" s="39" t="n">
        <f aca="false">Resumo!$B$12*CEILING(I1739,1)</f>
        <v>1.92</v>
      </c>
      <c r="AD1739" s="39" t="n">
        <f aca="false">Resumo!$B$14*CEILING(I1739,1)</f>
        <v>14.4</v>
      </c>
      <c r="AE1739" s="39" t="n">
        <f aca="false">SUM(X1739:AD1739)</f>
        <v>105.22997</v>
      </c>
      <c r="AF1739" s="39" t="n">
        <f aca="false">AE1739/(1-Resumo!$B$5)</f>
        <v>119.579511363636</v>
      </c>
      <c r="AG1739" s="39" t="n">
        <f aca="false">AF1739-W1739</f>
        <v>36.86365</v>
      </c>
      <c r="AH1739" s="40" t="n">
        <f aca="false">AF1739/W1739-1</f>
        <v>0.445666035416588</v>
      </c>
      <c r="AI1739" s="37" t="str">
        <f aca="false">IF(AF1739&lt;W1739,"SIM","NÃO")</f>
        <v>NÃO</v>
      </c>
      <c r="AJ1739" s="37" t="n">
        <v>2</v>
      </c>
      <c r="AK1739" s="37" t="n">
        <v>5</v>
      </c>
      <c r="AL1739" s="37" t="s">
        <v>343</v>
      </c>
      <c r="AM1739" s="39" t="n">
        <v>82.24</v>
      </c>
    </row>
    <row r="1740" customFormat="false" ht="15" hidden="false" customHeight="false" outlineLevel="0" collapsed="false">
      <c r="A1740" s="37" t="n">
        <v>393100294</v>
      </c>
      <c r="B1740" s="38" t="n">
        <v>46276.8157291667</v>
      </c>
      <c r="C1740" s="37" t="s">
        <v>345</v>
      </c>
      <c r="D1740" s="37" t="s">
        <v>1925</v>
      </c>
      <c r="E1740" s="37" t="n">
        <v>21250392</v>
      </c>
      <c r="F1740" s="37" t="s">
        <v>159</v>
      </c>
      <c r="G1740" s="37" t="s">
        <v>196</v>
      </c>
      <c r="H1740" s="37" t="s">
        <v>184</v>
      </c>
      <c r="I1740" s="37" t="n">
        <v>31.9</v>
      </c>
      <c r="J1740" s="39" t="n">
        <v>483.99</v>
      </c>
      <c r="K1740" s="37" t="s">
        <v>342</v>
      </c>
      <c r="L1740" s="39" t="n">
        <v>82.65</v>
      </c>
      <c r="M1740" s="39" t="n">
        <v>42.11</v>
      </c>
      <c r="N1740" s="39" t="n">
        <f aca="false">J1740*Resumo!$C$6</f>
        <v>0</v>
      </c>
      <c r="O1740" s="39" t="n">
        <f aca="false">J1740*Resumo!$C$7</f>
        <v>1.016379</v>
      </c>
      <c r="P1740" s="39" t="n">
        <f aca="false">J1740*Resumo!$C$8</f>
        <v>1.016379</v>
      </c>
      <c r="Q1740" s="39" t="n">
        <f aca="false">Resumo!$C$10*CEILING(I1740/100,1)</f>
        <v>1.05</v>
      </c>
      <c r="R1740" s="39" t="n">
        <f aca="false">Resumo!$C$9</f>
        <v>0</v>
      </c>
      <c r="S1740" s="39" t="n">
        <f aca="false">Resumo!$C$13</f>
        <v>13.55</v>
      </c>
      <c r="T1740" s="39" t="n">
        <f aca="false">Resumo!$C$14*CEILING(I1740,1)</f>
        <v>14.4</v>
      </c>
      <c r="U1740" s="39" t="n">
        <f aca="false">SUM(M1740:T1740)*Resumo!$C$11</f>
        <v>0</v>
      </c>
      <c r="V1740" s="39" t="n">
        <f aca="false">SUM(M1740:U1740)</f>
        <v>73.142758</v>
      </c>
      <c r="W1740" s="39" t="n">
        <f aca="false">V1740/(1-Resumo!$C$5)</f>
        <v>83.1167704545455</v>
      </c>
      <c r="X1740" s="39" t="n">
        <v>82.21</v>
      </c>
      <c r="Y1740" s="39" t="n">
        <f aca="false">J1740*Resumo!$B$6</f>
        <v>0.48399</v>
      </c>
      <c r="Z1740" s="39" t="n">
        <f aca="false">J1740*Resumo!$B$7</f>
        <v>0.96798</v>
      </c>
      <c r="AA1740" s="39" t="n">
        <f aca="false">Resumo!$B$9</f>
        <v>1</v>
      </c>
      <c r="AB1740" s="39" t="n">
        <f aca="false">Resumo!$B$10*CEILING(I1740/100,1)</f>
        <v>4.5</v>
      </c>
      <c r="AC1740" s="39" t="n">
        <f aca="false">Resumo!$B$12*CEILING(I1740,1)</f>
        <v>1.92</v>
      </c>
      <c r="AD1740" s="39" t="n">
        <f aca="false">Resumo!$B$14*CEILING(I1740,1)</f>
        <v>14.4</v>
      </c>
      <c r="AE1740" s="39" t="n">
        <f aca="false">SUM(X1740:AD1740)</f>
        <v>105.48197</v>
      </c>
      <c r="AF1740" s="39" t="n">
        <f aca="false">AE1740/(1-Resumo!$B$5)</f>
        <v>119.865875</v>
      </c>
      <c r="AG1740" s="39" t="n">
        <f aca="false">AF1740-W1740</f>
        <v>36.7491045454545</v>
      </c>
      <c r="AH1740" s="40" t="n">
        <f aca="false">AF1740/W1740-1</f>
        <v>0.442138263367099</v>
      </c>
      <c r="AI1740" s="37" t="str">
        <f aca="false">IF(AF1740&lt;W1740,"SIM","NÃO")</f>
        <v>NÃO</v>
      </c>
      <c r="AJ1740" s="37" t="n">
        <v>2</v>
      </c>
      <c r="AK1740" s="37" t="n">
        <v>5</v>
      </c>
      <c r="AL1740" s="37" t="s">
        <v>343</v>
      </c>
      <c r="AM1740" s="39" t="n">
        <v>82.64</v>
      </c>
    </row>
    <row r="1741" customFormat="false" ht="15" hidden="false" customHeight="false" outlineLevel="0" collapsed="false">
      <c r="A1741" s="37" t="n">
        <v>393121524</v>
      </c>
      <c r="B1741" s="38" t="n">
        <v>46276.8487384259</v>
      </c>
      <c r="C1741" s="37" t="s">
        <v>345</v>
      </c>
      <c r="D1741" s="37" t="s">
        <v>427</v>
      </c>
      <c r="E1741" s="37" t="n">
        <v>22755155</v>
      </c>
      <c r="F1741" s="37" t="s">
        <v>159</v>
      </c>
      <c r="G1741" s="37" t="s">
        <v>196</v>
      </c>
      <c r="H1741" s="37" t="s">
        <v>184</v>
      </c>
      <c r="I1741" s="37" t="n">
        <v>31.2</v>
      </c>
      <c r="J1741" s="39" t="n">
        <v>323</v>
      </c>
      <c r="K1741" s="37" t="s">
        <v>342</v>
      </c>
      <c r="L1741" s="39" t="n">
        <v>81.89</v>
      </c>
      <c r="M1741" s="39" t="n">
        <v>42.11</v>
      </c>
      <c r="N1741" s="39" t="n">
        <f aca="false">J1741*Resumo!$C$6</f>
        <v>0</v>
      </c>
      <c r="O1741" s="39" t="n">
        <f aca="false">J1741*Resumo!$C$7</f>
        <v>0.6783</v>
      </c>
      <c r="P1741" s="39" t="n">
        <f aca="false">J1741*Resumo!$C$8</f>
        <v>0.6783</v>
      </c>
      <c r="Q1741" s="39" t="n">
        <f aca="false">Resumo!$C$10*CEILING(I1741/100,1)</f>
        <v>1.05</v>
      </c>
      <c r="R1741" s="39" t="n">
        <f aca="false">Resumo!$C$9</f>
        <v>0</v>
      </c>
      <c r="S1741" s="39" t="n">
        <f aca="false">Resumo!$C$13</f>
        <v>13.55</v>
      </c>
      <c r="T1741" s="39" t="n">
        <f aca="false">Resumo!$C$14*CEILING(I1741,1)</f>
        <v>14.4</v>
      </c>
      <c r="U1741" s="39" t="n">
        <f aca="false">SUM(M1741:T1741)*Resumo!$C$11</f>
        <v>0</v>
      </c>
      <c r="V1741" s="39" t="n">
        <f aca="false">SUM(M1741:U1741)</f>
        <v>72.4666</v>
      </c>
      <c r="W1741" s="39" t="n">
        <f aca="false">V1741/(1-Resumo!$C$5)</f>
        <v>82.3484090909091</v>
      </c>
      <c r="X1741" s="39" t="n">
        <v>82.21</v>
      </c>
      <c r="Y1741" s="39" t="n">
        <f aca="false">J1741*Resumo!$B$6</f>
        <v>0.323</v>
      </c>
      <c r="Z1741" s="39" t="n">
        <f aca="false">J1741*Resumo!$B$7</f>
        <v>0.646</v>
      </c>
      <c r="AA1741" s="39" t="n">
        <f aca="false">Resumo!$B$9</f>
        <v>1</v>
      </c>
      <c r="AB1741" s="39" t="n">
        <f aca="false">Resumo!$B$10*CEILING(I1741/100,1)</f>
        <v>4.5</v>
      </c>
      <c r="AC1741" s="39" t="n">
        <f aca="false">Resumo!$B$12*CEILING(I1741,1)</f>
        <v>1.92</v>
      </c>
      <c r="AD1741" s="39" t="n">
        <f aca="false">Resumo!$B$14*CEILING(I1741,1)</f>
        <v>14.4</v>
      </c>
      <c r="AE1741" s="39" t="n">
        <f aca="false">SUM(X1741:AD1741)</f>
        <v>104.999</v>
      </c>
      <c r="AF1741" s="39" t="n">
        <f aca="false">AE1741/(1-Resumo!$B$5)</f>
        <v>119.317045454545</v>
      </c>
      <c r="AG1741" s="39" t="n">
        <f aca="false">AF1741-W1741</f>
        <v>36.9686363636364</v>
      </c>
      <c r="AH1741" s="40" t="n">
        <f aca="false">AF1741/W1741-1</f>
        <v>0.448929575832177</v>
      </c>
      <c r="AI1741" s="37" t="str">
        <f aca="false">IF(AF1741&lt;W1741,"SIM","NÃO")</f>
        <v>NÃO</v>
      </c>
      <c r="AJ1741" s="37" t="n">
        <v>2</v>
      </c>
      <c r="AK1741" s="37" t="n">
        <v>5</v>
      </c>
      <c r="AL1741" s="37" t="s">
        <v>343</v>
      </c>
      <c r="AM1741" s="39" t="n">
        <v>81.87</v>
      </c>
    </row>
    <row r="1742" customFormat="false" ht="15" hidden="false" customHeight="false" outlineLevel="0" collapsed="false">
      <c r="A1742" s="37" t="n">
        <v>393130247</v>
      </c>
      <c r="B1742" s="38" t="n">
        <v>46276.8626041667</v>
      </c>
      <c r="C1742" s="37" t="s">
        <v>340</v>
      </c>
      <c r="D1742" s="37" t="s">
        <v>1926</v>
      </c>
      <c r="E1742" s="37" t="n">
        <v>27212050</v>
      </c>
      <c r="F1742" s="37" t="s">
        <v>168</v>
      </c>
      <c r="G1742" s="37" t="s">
        <v>198</v>
      </c>
      <c r="H1742" s="37" t="s">
        <v>185</v>
      </c>
      <c r="I1742" s="37" t="n">
        <v>35.3</v>
      </c>
      <c r="J1742" s="39" t="n">
        <v>434.97</v>
      </c>
      <c r="K1742" s="37" t="s">
        <v>342</v>
      </c>
      <c r="L1742" s="39" t="n">
        <v>122.33</v>
      </c>
      <c r="M1742" s="39" t="n">
        <v>74.97</v>
      </c>
      <c r="N1742" s="39" t="n">
        <f aca="false">J1742*Resumo!$C$6</f>
        <v>0</v>
      </c>
      <c r="O1742" s="39" t="n">
        <f aca="false">J1742*Resumo!$C$7</f>
        <v>0.913437</v>
      </c>
      <c r="P1742" s="39" t="n">
        <f aca="false">J1742*Resumo!$C$8</f>
        <v>0.913437</v>
      </c>
      <c r="Q1742" s="39" t="n">
        <f aca="false">Resumo!$C$10*CEILING(I1742/100,1)</f>
        <v>1.05</v>
      </c>
      <c r="R1742" s="39" t="n">
        <f aca="false">Resumo!$C$9</f>
        <v>0</v>
      </c>
      <c r="S1742" s="39" t="n">
        <f aca="false">Resumo!$C$13</f>
        <v>13.55</v>
      </c>
      <c r="T1742" s="39" t="n">
        <f aca="false">Resumo!$C$14*CEILING(I1742,1)</f>
        <v>16.2</v>
      </c>
      <c r="U1742" s="39" t="n">
        <f aca="false">SUM(M1742:T1742)*Resumo!$C$11</f>
        <v>0</v>
      </c>
      <c r="V1742" s="39" t="n">
        <f aca="false">SUM(M1742:U1742)</f>
        <v>107.596874</v>
      </c>
      <c r="W1742" s="39" t="n">
        <f aca="false">V1742/(1-Resumo!$C$5)</f>
        <v>122.269175</v>
      </c>
      <c r="X1742" s="39" t="n">
        <v>124.38</v>
      </c>
      <c r="Y1742" s="39" t="n">
        <f aca="false">J1742*Resumo!$B$6</f>
        <v>0.43497</v>
      </c>
      <c r="Z1742" s="39" t="n">
        <f aca="false">J1742*Resumo!$B$7</f>
        <v>0.86994</v>
      </c>
      <c r="AA1742" s="39" t="n">
        <f aca="false">Resumo!$B$9</f>
        <v>1</v>
      </c>
      <c r="AB1742" s="39" t="n">
        <f aca="false">Resumo!$B$10*CEILING(I1742/100,1)</f>
        <v>4.5</v>
      </c>
      <c r="AC1742" s="39" t="n">
        <f aca="false">Resumo!$B$12*CEILING(I1742,1)</f>
        <v>2.16</v>
      </c>
      <c r="AD1742" s="39" t="n">
        <f aca="false">Resumo!$B$14*CEILING(I1742,1)</f>
        <v>16.2</v>
      </c>
      <c r="AE1742" s="39" t="n">
        <f aca="false">SUM(X1742:AD1742)</f>
        <v>149.54491</v>
      </c>
      <c r="AF1742" s="39" t="n">
        <f aca="false">AE1742/(1-Resumo!$B$5)</f>
        <v>169.937397727273</v>
      </c>
      <c r="AG1742" s="39" t="n">
        <f aca="false">AF1742-W1742</f>
        <v>47.6682227272727</v>
      </c>
      <c r="AH1742" s="40" t="n">
        <f aca="false">AF1742/W1742-1</f>
        <v>0.389862962003896</v>
      </c>
      <c r="AI1742" s="37" t="str">
        <f aca="false">IF(AF1742&lt;W1742,"SIM","NÃO")</f>
        <v>NÃO</v>
      </c>
      <c r="AJ1742" s="37" t="n">
        <v>13</v>
      </c>
      <c r="AK1742" s="37" t="n">
        <v>10</v>
      </c>
      <c r="AL1742" s="37" t="s">
        <v>343</v>
      </c>
      <c r="AM1742" s="39" t="n">
        <v>122.33</v>
      </c>
    </row>
    <row r="1743" customFormat="false" ht="15" hidden="false" customHeight="false" outlineLevel="0" collapsed="false">
      <c r="A1743" s="37" t="n">
        <v>393165867</v>
      </c>
      <c r="B1743" s="38" t="n">
        <v>46276.9223263889</v>
      </c>
      <c r="C1743" s="37" t="s">
        <v>340</v>
      </c>
      <c r="D1743" s="37" t="s">
        <v>1927</v>
      </c>
      <c r="E1743" s="37" t="n">
        <v>26520332</v>
      </c>
      <c r="F1743" s="37" t="s">
        <v>238</v>
      </c>
      <c r="G1743" s="37" t="s">
        <v>197</v>
      </c>
      <c r="H1743" s="37" t="s">
        <v>184</v>
      </c>
      <c r="I1743" s="37" t="n">
        <v>27</v>
      </c>
      <c r="J1743" s="39" t="n">
        <v>349.99</v>
      </c>
      <c r="K1743" s="37" t="s">
        <v>342</v>
      </c>
      <c r="L1743" s="39" t="n">
        <v>101.07</v>
      </c>
      <c r="M1743" s="39" t="n">
        <v>58.8</v>
      </c>
      <c r="N1743" s="39" t="n">
        <f aca="false">J1743*Resumo!$C$6</f>
        <v>0</v>
      </c>
      <c r="O1743" s="39" t="n">
        <f aca="false">J1743*Resumo!$C$7</f>
        <v>0.734979</v>
      </c>
      <c r="P1743" s="39" t="n">
        <f aca="false">J1743*Resumo!$C$8</f>
        <v>0.734979</v>
      </c>
      <c r="Q1743" s="39" t="n">
        <f aca="false">Resumo!$C$10*CEILING(I1743/100,1)</f>
        <v>1.05</v>
      </c>
      <c r="R1743" s="39" t="n">
        <f aca="false">Resumo!$C$9</f>
        <v>0</v>
      </c>
      <c r="S1743" s="39" t="n">
        <f aca="false">Resumo!$C$13</f>
        <v>13.55</v>
      </c>
      <c r="T1743" s="39" t="n">
        <f aca="false">Resumo!$C$14*CEILING(I1743,1)</f>
        <v>12.15</v>
      </c>
      <c r="U1743" s="39" t="n">
        <f aca="false">SUM(M1743:T1743)*Resumo!$C$11</f>
        <v>0</v>
      </c>
      <c r="V1743" s="39" t="n">
        <f aca="false">SUM(M1743:U1743)</f>
        <v>87.019958</v>
      </c>
      <c r="W1743" s="39" t="n">
        <f aca="false">V1743/(1-Resumo!$C$5)</f>
        <v>98.8863159090909</v>
      </c>
      <c r="X1743" s="39" t="n">
        <v>82.21</v>
      </c>
      <c r="Y1743" s="39" t="n">
        <f aca="false">J1743*Resumo!$B$6</f>
        <v>0.34999</v>
      </c>
      <c r="Z1743" s="39" t="n">
        <f aca="false">J1743*Resumo!$B$7</f>
        <v>0.69998</v>
      </c>
      <c r="AA1743" s="39" t="n">
        <f aca="false">Resumo!$B$9</f>
        <v>1</v>
      </c>
      <c r="AB1743" s="39" t="n">
        <f aca="false">Resumo!$B$10*CEILING(I1743/100,1)</f>
        <v>4.5</v>
      </c>
      <c r="AC1743" s="39" t="n">
        <f aca="false">Resumo!$B$12*CEILING(I1743,1)</f>
        <v>1.62</v>
      </c>
      <c r="AD1743" s="39" t="n">
        <f aca="false">Resumo!$B$14*CEILING(I1743,1)</f>
        <v>12.15</v>
      </c>
      <c r="AE1743" s="39" t="n">
        <f aca="false">SUM(X1743:AD1743)</f>
        <v>102.52997</v>
      </c>
      <c r="AF1743" s="39" t="n">
        <f aca="false">AE1743/(1-Resumo!$B$5)</f>
        <v>116.511329545455</v>
      </c>
      <c r="AG1743" s="39" t="n">
        <f aca="false">AF1743-W1743</f>
        <v>17.6250136363636</v>
      </c>
      <c r="AH1743" s="40" t="n">
        <f aca="false">AF1743/W1743-1</f>
        <v>0.178235112455467</v>
      </c>
      <c r="AI1743" s="37" t="str">
        <f aca="false">IF(AF1743&lt;W1743,"SIM","NÃO")</f>
        <v>NÃO</v>
      </c>
      <c r="AJ1743" s="37" t="n">
        <v>2</v>
      </c>
      <c r="AK1743" s="37" t="n">
        <v>5</v>
      </c>
      <c r="AL1743" s="37" t="s">
        <v>347</v>
      </c>
      <c r="AM1743" s="39" t="n">
        <v>101.06</v>
      </c>
    </row>
    <row r="1744" customFormat="false" ht="15" hidden="false" customHeight="false" outlineLevel="0" collapsed="false">
      <c r="A1744" s="37" t="n">
        <v>393207170</v>
      </c>
      <c r="B1744" s="38" t="n">
        <v>46277.011099537</v>
      </c>
      <c r="C1744" s="37" t="s">
        <v>345</v>
      </c>
      <c r="D1744" s="37" t="s">
        <v>1928</v>
      </c>
      <c r="E1744" s="37" t="n">
        <v>24715316</v>
      </c>
      <c r="F1744" s="37" t="s">
        <v>160</v>
      </c>
      <c r="G1744" s="37" t="s">
        <v>197</v>
      </c>
      <c r="H1744" s="37" t="s">
        <v>187</v>
      </c>
      <c r="I1744" s="37" t="n">
        <v>58.6</v>
      </c>
      <c r="J1744" s="39" t="n">
        <v>658.98</v>
      </c>
      <c r="K1744" s="37" t="s">
        <v>342</v>
      </c>
      <c r="L1744" s="39" t="n">
        <v>128.44</v>
      </c>
      <c r="M1744" s="39" t="n">
        <v>70.98</v>
      </c>
      <c r="N1744" s="39" t="n">
        <f aca="false">J1744*Resumo!$C$6</f>
        <v>0</v>
      </c>
      <c r="O1744" s="39" t="n">
        <f aca="false">J1744*Resumo!$C$7</f>
        <v>1.383858</v>
      </c>
      <c r="P1744" s="39" t="n">
        <f aca="false">J1744*Resumo!$C$8</f>
        <v>1.383858</v>
      </c>
      <c r="Q1744" s="39" t="n">
        <f aca="false">Resumo!$C$10*CEILING(I1744/100,1)</f>
        <v>1.05</v>
      </c>
      <c r="R1744" s="39" t="n">
        <f aca="false">Resumo!$C$9</f>
        <v>0</v>
      </c>
      <c r="S1744" s="39" t="n">
        <f aca="false">Resumo!$C$13</f>
        <v>13.55</v>
      </c>
      <c r="T1744" s="39" t="n">
        <f aca="false">Resumo!$C$14*CEILING(I1744,1)</f>
        <v>26.55</v>
      </c>
      <c r="U1744" s="39" t="n">
        <f aca="false">SUM(M1744:T1744)*Resumo!$C$11</f>
        <v>0</v>
      </c>
      <c r="V1744" s="39" t="n">
        <f aca="false">SUM(M1744:U1744)</f>
        <v>114.897716</v>
      </c>
      <c r="W1744" s="39" t="n">
        <f aca="false">V1744/(1-Resumo!$C$5)</f>
        <v>130.565586363636</v>
      </c>
      <c r="X1744" s="39" t="n">
        <v>128.14</v>
      </c>
      <c r="Y1744" s="39" t="n">
        <f aca="false">J1744*Resumo!$B$6</f>
        <v>0.65898</v>
      </c>
      <c r="Z1744" s="39" t="n">
        <f aca="false">J1744*Resumo!$B$7</f>
        <v>1.31796</v>
      </c>
      <c r="AA1744" s="39" t="n">
        <f aca="false">Resumo!$B$9</f>
        <v>1</v>
      </c>
      <c r="AB1744" s="39" t="n">
        <f aca="false">Resumo!$B$10*CEILING(I1744/100,1)</f>
        <v>4.5</v>
      </c>
      <c r="AC1744" s="39" t="n">
        <f aca="false">Resumo!$B$12*CEILING(I1744,1)</f>
        <v>3.54</v>
      </c>
      <c r="AD1744" s="39" t="n">
        <f aca="false">Resumo!$B$14*CEILING(I1744,1)</f>
        <v>26.55</v>
      </c>
      <c r="AE1744" s="39" t="n">
        <f aca="false">SUM(X1744:AD1744)</f>
        <v>165.70694</v>
      </c>
      <c r="AF1744" s="39" t="n">
        <f aca="false">AE1744/(1-Resumo!$B$5)</f>
        <v>188.303340909091</v>
      </c>
      <c r="AG1744" s="39" t="n">
        <f aca="false">AF1744-W1744</f>
        <v>57.7377545454546</v>
      </c>
      <c r="AH1744" s="40" t="n">
        <f aca="false">AF1744/W1744-1</f>
        <v>0.44221265460142</v>
      </c>
      <c r="AI1744" s="37" t="str">
        <f aca="false">IF(AF1744&lt;W1744,"SIM","NÃO")</f>
        <v>NÃO</v>
      </c>
      <c r="AJ1744" s="37" t="n">
        <v>2</v>
      </c>
      <c r="AK1744" s="37" t="n">
        <v>7</v>
      </c>
      <c r="AL1744" s="37" t="s">
        <v>343</v>
      </c>
      <c r="AM1744" s="39" t="n">
        <v>128.44</v>
      </c>
    </row>
    <row r="1745" customFormat="false" ht="15" hidden="false" customHeight="false" outlineLevel="0" collapsed="false">
      <c r="A1745" s="37" t="n">
        <v>393214620</v>
      </c>
      <c r="B1745" s="38" t="n">
        <v>46277.0288078704</v>
      </c>
      <c r="C1745" s="37" t="s">
        <v>345</v>
      </c>
      <c r="D1745" s="37" t="s">
        <v>1929</v>
      </c>
      <c r="E1745" s="37" t="n">
        <v>27273480</v>
      </c>
      <c r="F1745" s="37" t="s">
        <v>168</v>
      </c>
      <c r="G1745" s="37" t="s">
        <v>198</v>
      </c>
      <c r="H1745" s="37" t="s">
        <v>186</v>
      </c>
      <c r="I1745" s="37" t="n">
        <v>41.6</v>
      </c>
      <c r="J1745" s="39" t="n">
        <v>523.75</v>
      </c>
      <c r="K1745" s="37" t="s">
        <v>342</v>
      </c>
      <c r="L1745" s="39" t="n">
        <v>130.68</v>
      </c>
      <c r="M1745" s="39" t="n">
        <v>77.7</v>
      </c>
      <c r="N1745" s="39" t="n">
        <f aca="false">J1745*Resumo!$C$6</f>
        <v>0</v>
      </c>
      <c r="O1745" s="39" t="n">
        <f aca="false">J1745*Resumo!$C$7</f>
        <v>1.099875</v>
      </c>
      <c r="P1745" s="39" t="n">
        <f aca="false">J1745*Resumo!$C$8</f>
        <v>1.099875</v>
      </c>
      <c r="Q1745" s="39" t="n">
        <f aca="false">Resumo!$C$10*CEILING(I1745/100,1)</f>
        <v>1.05</v>
      </c>
      <c r="R1745" s="39" t="n">
        <f aca="false">Resumo!$C$9</f>
        <v>0</v>
      </c>
      <c r="S1745" s="39" t="n">
        <f aca="false">Resumo!$C$13</f>
        <v>13.55</v>
      </c>
      <c r="T1745" s="39" t="n">
        <f aca="false">Resumo!$C$14*CEILING(I1745,1)</f>
        <v>18.9</v>
      </c>
      <c r="U1745" s="39" t="n">
        <f aca="false">SUM(M1745:T1745)*Resumo!$C$11</f>
        <v>0</v>
      </c>
      <c r="V1745" s="39" t="n">
        <f aca="false">SUM(M1745:U1745)</f>
        <v>113.39975</v>
      </c>
      <c r="W1745" s="39" t="n">
        <f aca="false">V1745/(1-Resumo!$C$5)</f>
        <v>128.863352272727</v>
      </c>
      <c r="X1745" s="39" t="n">
        <v>124.38</v>
      </c>
      <c r="Y1745" s="39" t="n">
        <f aca="false">J1745*Resumo!$B$6</f>
        <v>0.52375</v>
      </c>
      <c r="Z1745" s="39" t="n">
        <f aca="false">J1745*Resumo!$B$7</f>
        <v>1.0475</v>
      </c>
      <c r="AA1745" s="39" t="n">
        <f aca="false">Resumo!$B$9</f>
        <v>1</v>
      </c>
      <c r="AB1745" s="39" t="n">
        <f aca="false">Resumo!$B$10*CEILING(I1745/100,1)</f>
        <v>4.5</v>
      </c>
      <c r="AC1745" s="39" t="n">
        <f aca="false">Resumo!$B$12*CEILING(I1745,1)</f>
        <v>2.52</v>
      </c>
      <c r="AD1745" s="39" t="n">
        <f aca="false">Resumo!$B$14*CEILING(I1745,1)</f>
        <v>18.9</v>
      </c>
      <c r="AE1745" s="39" t="n">
        <f aca="false">SUM(X1745:AD1745)</f>
        <v>152.87125</v>
      </c>
      <c r="AF1745" s="39" t="n">
        <f aca="false">AE1745/(1-Resumo!$B$5)</f>
        <v>173.717329545455</v>
      </c>
      <c r="AG1745" s="39" t="n">
        <f aca="false">AF1745-W1745</f>
        <v>44.8539772727273</v>
      </c>
      <c r="AH1745" s="40" t="n">
        <f aca="false">AF1745/W1745-1</f>
        <v>0.348073959598676</v>
      </c>
      <c r="AI1745" s="37" t="str">
        <f aca="false">IF(AF1745&lt;W1745,"SIM","NÃO")</f>
        <v>NÃO</v>
      </c>
      <c r="AJ1745" s="37" t="n">
        <v>13</v>
      </c>
      <c r="AK1745" s="37" t="n">
        <v>10</v>
      </c>
      <c r="AL1745" s="37" t="s">
        <v>343</v>
      </c>
      <c r="AM1745" s="39" t="n">
        <v>130.67</v>
      </c>
    </row>
    <row r="1746" customFormat="false" ht="15" hidden="false" customHeight="false" outlineLevel="0" collapsed="false">
      <c r="A1746" s="37" t="n">
        <v>393149982</v>
      </c>
      <c r="B1746" s="38" t="n">
        <v>46277.3816666667</v>
      </c>
      <c r="C1746" s="37" t="s">
        <v>361</v>
      </c>
      <c r="D1746" s="37" t="s">
        <v>1930</v>
      </c>
      <c r="E1746" s="37" t="n">
        <v>27943210</v>
      </c>
      <c r="F1746" s="37" t="s">
        <v>166</v>
      </c>
      <c r="G1746" s="37" t="s">
        <v>198</v>
      </c>
      <c r="H1746" s="37" t="s">
        <v>185</v>
      </c>
      <c r="I1746" s="37" t="n">
        <v>36.9</v>
      </c>
      <c r="J1746" s="39" t="n">
        <v>373.99</v>
      </c>
      <c r="K1746" s="37" t="s">
        <v>342</v>
      </c>
      <c r="L1746" s="39" t="n">
        <v>122.05</v>
      </c>
      <c r="M1746" s="39" t="n">
        <v>74.97</v>
      </c>
      <c r="N1746" s="39" t="n">
        <f aca="false">J1746*Resumo!$C$6</f>
        <v>0</v>
      </c>
      <c r="O1746" s="39" t="n">
        <f aca="false">J1746*Resumo!$C$7</f>
        <v>0.785379</v>
      </c>
      <c r="P1746" s="39" t="n">
        <f aca="false">J1746*Resumo!$C$8</f>
        <v>0.785379</v>
      </c>
      <c r="Q1746" s="39" t="n">
        <f aca="false">Resumo!$C$10*CEILING(I1746/100,1)</f>
        <v>1.05</v>
      </c>
      <c r="R1746" s="39" t="n">
        <f aca="false">Resumo!$C$9</f>
        <v>0</v>
      </c>
      <c r="S1746" s="39" t="n">
        <f aca="false">Resumo!$C$13</f>
        <v>13.55</v>
      </c>
      <c r="T1746" s="39" t="n">
        <f aca="false">Resumo!$C$14*CEILING(I1746,1)</f>
        <v>16.65</v>
      </c>
      <c r="U1746" s="39" t="n">
        <f aca="false">SUM(M1746:T1746)*Resumo!$C$11</f>
        <v>0</v>
      </c>
      <c r="V1746" s="39" t="n">
        <f aca="false">SUM(M1746:U1746)</f>
        <v>107.790758</v>
      </c>
      <c r="W1746" s="39" t="n">
        <f aca="false">V1746/(1-Resumo!$C$5)</f>
        <v>122.489497727273</v>
      </c>
      <c r="X1746" s="39" t="n">
        <v>143.04</v>
      </c>
      <c r="Y1746" s="39" t="n">
        <f aca="false">J1746*Resumo!$B$6</f>
        <v>0.37399</v>
      </c>
      <c r="Z1746" s="39" t="n">
        <f aca="false">J1746*Resumo!$B$7</f>
        <v>0.74798</v>
      </c>
      <c r="AA1746" s="39" t="n">
        <f aca="false">Resumo!$B$9</f>
        <v>1</v>
      </c>
      <c r="AB1746" s="39" t="n">
        <f aca="false">Resumo!$B$10*CEILING(I1746/100,1)</f>
        <v>4.5</v>
      </c>
      <c r="AC1746" s="39" t="n">
        <f aca="false">Resumo!$B$12*CEILING(I1746,1)</f>
        <v>2.22</v>
      </c>
      <c r="AD1746" s="39" t="n">
        <f aca="false">Resumo!$B$14*CEILING(I1746,1)</f>
        <v>16.65</v>
      </c>
      <c r="AE1746" s="39" t="n">
        <f aca="false">SUM(X1746:AD1746)</f>
        <v>168.53197</v>
      </c>
      <c r="AF1746" s="39" t="n">
        <f aca="false">AE1746/(1-Resumo!$B$5)</f>
        <v>191.513602272727</v>
      </c>
      <c r="AG1746" s="39" t="n">
        <f aca="false">AF1746-W1746</f>
        <v>69.0241045454545</v>
      </c>
      <c r="AH1746" s="40" t="n">
        <f aca="false">AF1746/W1746-1</f>
        <v>0.563510389267325</v>
      </c>
      <c r="AI1746" s="37" t="str">
        <f aca="false">IF(AF1746&lt;W1746,"SIM","NÃO")</f>
        <v>NÃO</v>
      </c>
      <c r="AJ1746" s="37" t="n">
        <v>13</v>
      </c>
      <c r="AK1746" s="37" t="n">
        <v>11</v>
      </c>
      <c r="AL1746" s="37" t="s">
        <v>343</v>
      </c>
      <c r="AM1746" s="39" t="n">
        <v>122.04</v>
      </c>
    </row>
    <row r="1747" customFormat="false" ht="15" hidden="false" customHeight="false" outlineLevel="0" collapsed="false">
      <c r="A1747" s="37" t="n">
        <v>393411024</v>
      </c>
      <c r="B1747" s="38" t="n">
        <v>46277.4853125</v>
      </c>
      <c r="C1747" s="37" t="s">
        <v>340</v>
      </c>
      <c r="D1747" s="37" t="s">
        <v>1651</v>
      </c>
      <c r="E1747" s="37" t="n">
        <v>22031071</v>
      </c>
      <c r="F1747" s="37" t="s">
        <v>159</v>
      </c>
      <c r="G1747" s="37" t="s">
        <v>196</v>
      </c>
      <c r="H1747" s="37" t="s">
        <v>187</v>
      </c>
      <c r="I1747" s="37" t="n">
        <v>52.3</v>
      </c>
      <c r="J1747" s="39" t="n">
        <v>645.14</v>
      </c>
      <c r="K1747" s="37" t="s">
        <v>342</v>
      </c>
      <c r="L1747" s="39" t="n">
        <v>114.24</v>
      </c>
      <c r="M1747" s="39" t="n">
        <v>58.6</v>
      </c>
      <c r="N1747" s="39" t="n">
        <f aca="false">J1747*Resumo!$C$6</f>
        <v>0</v>
      </c>
      <c r="O1747" s="39" t="n">
        <f aca="false">J1747*Resumo!$C$7</f>
        <v>1.354794</v>
      </c>
      <c r="P1747" s="39" t="n">
        <f aca="false">J1747*Resumo!$C$8</f>
        <v>1.354794</v>
      </c>
      <c r="Q1747" s="39" t="n">
        <f aca="false">Resumo!$C$10*CEILING(I1747/100,1)</f>
        <v>1.05</v>
      </c>
      <c r="R1747" s="39" t="n">
        <f aca="false">Resumo!$C$9</f>
        <v>0</v>
      </c>
      <c r="S1747" s="39" t="n">
        <f aca="false">Resumo!$C$13</f>
        <v>13.55</v>
      </c>
      <c r="T1747" s="39" t="n">
        <f aca="false">Resumo!$C$14*CEILING(I1747,1)</f>
        <v>23.85</v>
      </c>
      <c r="U1747" s="39" t="n">
        <f aca="false">SUM(M1747:T1747)*Resumo!$C$11</f>
        <v>0</v>
      </c>
      <c r="V1747" s="39" t="n">
        <f aca="false">SUM(M1747:U1747)</f>
        <v>99.759588</v>
      </c>
      <c r="W1747" s="39" t="n">
        <f aca="false">V1747/(1-Resumo!$C$5)</f>
        <v>113.363168181818</v>
      </c>
      <c r="X1747" s="39" t="n">
        <v>112.3</v>
      </c>
      <c r="Y1747" s="39" t="n">
        <f aca="false">J1747*Resumo!$B$6</f>
        <v>0.64514</v>
      </c>
      <c r="Z1747" s="39" t="n">
        <f aca="false">J1747*Resumo!$B$7</f>
        <v>1.29028</v>
      </c>
      <c r="AA1747" s="39" t="n">
        <f aca="false">Resumo!$B$9</f>
        <v>1</v>
      </c>
      <c r="AB1747" s="39" t="n">
        <f aca="false">Resumo!$B$10*CEILING(I1747/100,1)</f>
        <v>4.5</v>
      </c>
      <c r="AC1747" s="39" t="n">
        <f aca="false">Resumo!$B$12*CEILING(I1747,1)</f>
        <v>3.18</v>
      </c>
      <c r="AD1747" s="39" t="n">
        <f aca="false">Resumo!$B$14*CEILING(I1747,1)</f>
        <v>23.85</v>
      </c>
      <c r="AE1747" s="39" t="n">
        <f aca="false">SUM(X1747:AD1747)</f>
        <v>146.76542</v>
      </c>
      <c r="AF1747" s="39" t="n">
        <f aca="false">AE1747/(1-Resumo!$B$5)</f>
        <v>166.778886363636</v>
      </c>
      <c r="AG1747" s="39" t="n">
        <f aca="false">AF1747-W1747</f>
        <v>53.4157181818182</v>
      </c>
      <c r="AH1747" s="40" t="n">
        <f aca="false">AF1747/W1747-1</f>
        <v>0.471191119995403</v>
      </c>
      <c r="AI1747" s="37" t="str">
        <f aca="false">IF(AF1747&lt;W1747,"SIM","NÃO")</f>
        <v>NÃO</v>
      </c>
      <c r="AJ1747" s="37" t="n">
        <v>2</v>
      </c>
      <c r="AK1747" s="37" t="n">
        <v>5</v>
      </c>
      <c r="AL1747" s="37" t="s">
        <v>343</v>
      </c>
      <c r="AM1747" s="39" t="n">
        <v>114.24</v>
      </c>
    </row>
    <row r="1748" customFormat="false" ht="15" hidden="false" customHeight="false" outlineLevel="0" collapsed="false">
      <c r="A1748" s="37" t="n">
        <v>393428649</v>
      </c>
      <c r="B1748" s="38" t="n">
        <v>46277.5101736111</v>
      </c>
      <c r="C1748" s="37" t="s">
        <v>340</v>
      </c>
      <c r="D1748" s="37" t="s">
        <v>1931</v>
      </c>
      <c r="E1748" s="37" t="n">
        <v>27948075</v>
      </c>
      <c r="F1748" s="37" t="s">
        <v>166</v>
      </c>
      <c r="G1748" s="37" t="s">
        <v>198</v>
      </c>
      <c r="H1748" s="37" t="s">
        <v>186</v>
      </c>
      <c r="I1748" s="37" t="n">
        <v>41</v>
      </c>
      <c r="J1748" s="39" t="n">
        <v>559.99</v>
      </c>
      <c r="K1748" s="37" t="s">
        <v>342</v>
      </c>
      <c r="L1748" s="39" t="n">
        <v>130.84</v>
      </c>
      <c r="M1748" s="39" t="n">
        <v>77.7</v>
      </c>
      <c r="N1748" s="39" t="n">
        <f aca="false">J1748*Resumo!$C$6</f>
        <v>0</v>
      </c>
      <c r="O1748" s="39" t="n">
        <f aca="false">J1748*Resumo!$C$7</f>
        <v>1.175979</v>
      </c>
      <c r="P1748" s="39" t="n">
        <f aca="false">J1748*Resumo!$C$8</f>
        <v>1.175979</v>
      </c>
      <c r="Q1748" s="39" t="n">
        <f aca="false">Resumo!$C$10*CEILING(I1748/100,1)</f>
        <v>1.05</v>
      </c>
      <c r="R1748" s="39" t="n">
        <f aca="false">Resumo!$C$9</f>
        <v>0</v>
      </c>
      <c r="S1748" s="39" t="n">
        <f aca="false">Resumo!$C$13</f>
        <v>13.55</v>
      </c>
      <c r="T1748" s="39" t="n">
        <f aca="false">Resumo!$C$14*CEILING(I1748,1)</f>
        <v>18.45</v>
      </c>
      <c r="U1748" s="39" t="n">
        <f aca="false">SUM(M1748:T1748)*Resumo!$C$11</f>
        <v>0</v>
      </c>
      <c r="V1748" s="39" t="n">
        <f aca="false">SUM(M1748:U1748)</f>
        <v>113.101958</v>
      </c>
      <c r="W1748" s="39" t="n">
        <f aca="false">V1748/(1-Resumo!$C$5)</f>
        <v>128.524952272727</v>
      </c>
      <c r="X1748" s="39" t="n">
        <v>152.54</v>
      </c>
      <c r="Y1748" s="39" t="n">
        <f aca="false">J1748*Resumo!$B$6</f>
        <v>0.55999</v>
      </c>
      <c r="Z1748" s="39" t="n">
        <f aca="false">J1748*Resumo!$B$7</f>
        <v>1.11998</v>
      </c>
      <c r="AA1748" s="39" t="n">
        <f aca="false">Resumo!$B$9</f>
        <v>1</v>
      </c>
      <c r="AB1748" s="39" t="n">
        <f aca="false">Resumo!$B$10*CEILING(I1748/100,1)</f>
        <v>4.5</v>
      </c>
      <c r="AC1748" s="39" t="n">
        <f aca="false">Resumo!$B$12*CEILING(I1748,1)</f>
        <v>2.46</v>
      </c>
      <c r="AD1748" s="39" t="n">
        <f aca="false">Resumo!$B$14*CEILING(I1748,1)</f>
        <v>18.45</v>
      </c>
      <c r="AE1748" s="39" t="n">
        <f aca="false">SUM(X1748:AD1748)</f>
        <v>180.62997</v>
      </c>
      <c r="AF1748" s="39" t="n">
        <f aca="false">AE1748/(1-Resumo!$B$5)</f>
        <v>205.261329545455</v>
      </c>
      <c r="AG1748" s="39" t="n">
        <f aca="false">AF1748-W1748</f>
        <v>76.7363772727272</v>
      </c>
      <c r="AH1748" s="40" t="n">
        <f aca="false">AF1748/W1748-1</f>
        <v>0.597054314479683</v>
      </c>
      <c r="AI1748" s="37" t="str">
        <f aca="false">IF(AF1748&lt;W1748,"SIM","NÃO")</f>
        <v>NÃO</v>
      </c>
      <c r="AJ1748" s="37" t="n">
        <v>13</v>
      </c>
      <c r="AK1748" s="37" t="n">
        <v>11</v>
      </c>
      <c r="AL1748" s="37" t="s">
        <v>343</v>
      </c>
      <c r="AM1748" s="39" t="n">
        <v>130.84</v>
      </c>
    </row>
    <row r="1749" customFormat="false" ht="15" hidden="false" customHeight="false" outlineLevel="0" collapsed="false">
      <c r="A1749" s="37" t="n">
        <v>393433068</v>
      </c>
      <c r="B1749" s="38" t="n">
        <v>46277.5209143519</v>
      </c>
      <c r="C1749" s="37" t="s">
        <v>379</v>
      </c>
      <c r="D1749" s="37" t="s">
        <v>1932</v>
      </c>
      <c r="E1749" s="37" t="n">
        <v>27251085</v>
      </c>
      <c r="F1749" s="37" t="s">
        <v>168</v>
      </c>
      <c r="G1749" s="37" t="s">
        <v>198</v>
      </c>
      <c r="H1749" s="37" t="s">
        <v>184</v>
      </c>
      <c r="I1749" s="37" t="n">
        <v>27.6</v>
      </c>
      <c r="J1749" s="39" t="n">
        <v>552.49</v>
      </c>
      <c r="K1749" s="37" t="s">
        <v>342</v>
      </c>
      <c r="L1749" s="39" t="n">
        <v>109.82</v>
      </c>
      <c r="M1749" s="39" t="n">
        <v>65.63</v>
      </c>
      <c r="N1749" s="39" t="n">
        <f aca="false">J1749*Resumo!$C$6</f>
        <v>0</v>
      </c>
      <c r="O1749" s="39" t="n">
        <f aca="false">J1749*Resumo!$C$7</f>
        <v>1.160229</v>
      </c>
      <c r="P1749" s="39" t="n">
        <f aca="false">J1749*Resumo!$C$8</f>
        <v>1.160229</v>
      </c>
      <c r="Q1749" s="39" t="n">
        <f aca="false">Resumo!$C$10*CEILING(I1749/100,1)</f>
        <v>1.05</v>
      </c>
      <c r="R1749" s="39" t="n">
        <f aca="false">Resumo!$C$9</f>
        <v>0</v>
      </c>
      <c r="S1749" s="39" t="n">
        <f aca="false">Resumo!$C$13</f>
        <v>13.55</v>
      </c>
      <c r="T1749" s="39" t="n">
        <f aca="false">Resumo!$C$14*CEILING(I1749,1)</f>
        <v>12.6</v>
      </c>
      <c r="U1749" s="39" t="n">
        <f aca="false">SUM(M1749:T1749)*Resumo!$C$11</f>
        <v>0</v>
      </c>
      <c r="V1749" s="39" t="n">
        <f aca="false">SUM(M1749:U1749)</f>
        <v>95.150458</v>
      </c>
      <c r="W1749" s="39" t="n">
        <f aca="false">V1749/(1-Resumo!$C$5)</f>
        <v>108.125520454545</v>
      </c>
      <c r="X1749" s="39" t="n">
        <v>108.83</v>
      </c>
      <c r="Y1749" s="39" t="n">
        <f aca="false">J1749*Resumo!$B$6</f>
        <v>0.55249</v>
      </c>
      <c r="Z1749" s="39" t="n">
        <f aca="false">J1749*Resumo!$B$7</f>
        <v>1.10498</v>
      </c>
      <c r="AA1749" s="39" t="n">
        <f aca="false">Resumo!$B$9</f>
        <v>1</v>
      </c>
      <c r="AB1749" s="39" t="n">
        <f aca="false">Resumo!$B$10*CEILING(I1749/100,1)</f>
        <v>4.5</v>
      </c>
      <c r="AC1749" s="39" t="n">
        <f aca="false">Resumo!$B$12*CEILING(I1749,1)</f>
        <v>1.68</v>
      </c>
      <c r="AD1749" s="39" t="n">
        <f aca="false">Resumo!$B$14*CEILING(I1749,1)</f>
        <v>12.6</v>
      </c>
      <c r="AE1749" s="39" t="n">
        <f aca="false">SUM(X1749:AD1749)</f>
        <v>130.26747</v>
      </c>
      <c r="AF1749" s="39" t="n">
        <f aca="false">AE1749/(1-Resumo!$B$5)</f>
        <v>148.031215909091</v>
      </c>
      <c r="AG1749" s="39" t="n">
        <f aca="false">AF1749-W1749</f>
        <v>39.9056954545455</v>
      </c>
      <c r="AH1749" s="40" t="n">
        <f aca="false">AF1749/W1749-1</f>
        <v>0.369068239272165</v>
      </c>
      <c r="AI1749" s="37" t="str">
        <f aca="false">IF(AF1749&lt;W1749,"SIM","NÃO")</f>
        <v>NÃO</v>
      </c>
      <c r="AJ1749" s="37" t="n">
        <v>13</v>
      </c>
      <c r="AK1749" s="37" t="n">
        <v>10</v>
      </c>
      <c r="AL1749" s="37" t="s">
        <v>343</v>
      </c>
      <c r="AM1749" s="39" t="n">
        <v>109.83</v>
      </c>
    </row>
    <row r="1750" customFormat="false" ht="15" hidden="false" customHeight="false" outlineLevel="0" collapsed="false">
      <c r="A1750" s="37" t="n">
        <v>393433681</v>
      </c>
      <c r="B1750" s="38" t="n">
        <v>46277.5400115741</v>
      </c>
      <c r="C1750" s="37" t="s">
        <v>372</v>
      </c>
      <c r="D1750" s="37" t="s">
        <v>1933</v>
      </c>
      <c r="E1750" s="37" t="n">
        <v>22723320</v>
      </c>
      <c r="F1750" s="37" t="s">
        <v>159</v>
      </c>
      <c r="G1750" s="37" t="s">
        <v>196</v>
      </c>
      <c r="H1750" s="37" t="s">
        <v>187</v>
      </c>
      <c r="I1750" s="37" t="n">
        <v>56.6</v>
      </c>
      <c r="J1750" s="39" t="n">
        <v>1249.99</v>
      </c>
      <c r="K1750" s="37" t="s">
        <v>342</v>
      </c>
      <c r="L1750" s="39" t="n">
        <v>117.14</v>
      </c>
      <c r="M1750" s="39" t="n">
        <v>58.6</v>
      </c>
      <c r="N1750" s="39" t="n">
        <f aca="false">J1750*Resumo!$C$6</f>
        <v>0</v>
      </c>
      <c r="O1750" s="39" t="n">
        <f aca="false">J1750*Resumo!$C$7</f>
        <v>2.624979</v>
      </c>
      <c r="P1750" s="39" t="n">
        <f aca="false">J1750*Resumo!$C$8</f>
        <v>2.624979</v>
      </c>
      <c r="Q1750" s="39" t="n">
        <f aca="false">Resumo!$C$10*CEILING(I1750/100,1)</f>
        <v>1.05</v>
      </c>
      <c r="R1750" s="39" t="n">
        <f aca="false">Resumo!$C$9</f>
        <v>0</v>
      </c>
      <c r="S1750" s="39" t="n">
        <f aca="false">Resumo!$C$13</f>
        <v>13.55</v>
      </c>
      <c r="T1750" s="39" t="n">
        <f aca="false">Resumo!$C$14*CEILING(I1750,1)</f>
        <v>25.65</v>
      </c>
      <c r="U1750" s="39" t="n">
        <f aca="false">SUM(M1750:T1750)*Resumo!$C$11</f>
        <v>0</v>
      </c>
      <c r="V1750" s="39" t="n">
        <f aca="false">SUM(M1750:U1750)</f>
        <v>104.099958</v>
      </c>
      <c r="W1750" s="39" t="n">
        <f aca="false">V1750/(1-Resumo!$C$5)</f>
        <v>118.295406818182</v>
      </c>
      <c r="X1750" s="39" t="n">
        <v>112.3</v>
      </c>
      <c r="Y1750" s="39" t="n">
        <f aca="false">J1750*Resumo!$B$6</f>
        <v>1.24999</v>
      </c>
      <c r="Z1750" s="39" t="n">
        <f aca="false">J1750*Resumo!$B$7</f>
        <v>2.49998</v>
      </c>
      <c r="AA1750" s="39" t="n">
        <f aca="false">Resumo!$B$9</f>
        <v>1</v>
      </c>
      <c r="AB1750" s="39" t="n">
        <f aca="false">Resumo!$B$10*CEILING(I1750/100,1)</f>
        <v>4.5</v>
      </c>
      <c r="AC1750" s="39" t="n">
        <f aca="false">Resumo!$B$12*CEILING(I1750,1)</f>
        <v>3.42</v>
      </c>
      <c r="AD1750" s="39" t="n">
        <f aca="false">Resumo!$B$14*CEILING(I1750,1)</f>
        <v>25.65</v>
      </c>
      <c r="AE1750" s="39" t="n">
        <f aca="false">SUM(X1750:AD1750)</f>
        <v>150.61997</v>
      </c>
      <c r="AF1750" s="39" t="n">
        <f aca="false">AE1750/(1-Resumo!$B$5)</f>
        <v>171.159056818182</v>
      </c>
      <c r="AG1750" s="39" t="n">
        <f aca="false">AF1750-W1750</f>
        <v>52.86365</v>
      </c>
      <c r="AH1750" s="40" t="n">
        <f aca="false">AF1750/W1750-1</f>
        <v>0.446878297491724</v>
      </c>
      <c r="AI1750" s="37" t="str">
        <f aca="false">IF(AF1750&lt;W1750,"SIM","NÃO")</f>
        <v>NÃO</v>
      </c>
      <c r="AJ1750" s="37" t="n">
        <v>2</v>
      </c>
      <c r="AK1750" s="37" t="n">
        <v>5</v>
      </c>
      <c r="AL1750" s="37" t="s">
        <v>343</v>
      </c>
      <c r="AM1750" s="39" t="n">
        <v>117.14</v>
      </c>
    </row>
    <row r="1751" customFormat="false" ht="15" hidden="false" customHeight="false" outlineLevel="0" collapsed="false">
      <c r="A1751" s="37" t="n">
        <v>393484917</v>
      </c>
      <c r="B1751" s="38" t="n">
        <v>46277.6137152778</v>
      </c>
      <c r="C1751" s="37" t="s">
        <v>345</v>
      </c>
      <c r="D1751" s="37" t="s">
        <v>1934</v>
      </c>
      <c r="E1751" s="37" t="n">
        <v>20770150</v>
      </c>
      <c r="F1751" s="37" t="s">
        <v>159</v>
      </c>
      <c r="G1751" s="37" t="s">
        <v>196</v>
      </c>
      <c r="H1751" s="37" t="s">
        <v>183</v>
      </c>
      <c r="I1751" s="37" t="n">
        <v>13.18</v>
      </c>
      <c r="J1751" s="39" t="n">
        <v>239</v>
      </c>
      <c r="K1751" s="37" t="s">
        <v>342</v>
      </c>
      <c r="L1751" s="39" t="n">
        <v>64.36</v>
      </c>
      <c r="M1751" s="39" t="n">
        <v>33.42</v>
      </c>
      <c r="N1751" s="39" t="n">
        <f aca="false">J1751*Resumo!$C$6</f>
        <v>0</v>
      </c>
      <c r="O1751" s="39" t="n">
        <f aca="false">J1751*Resumo!$C$7</f>
        <v>0.5019</v>
      </c>
      <c r="P1751" s="39" t="n">
        <f aca="false">J1751*Resumo!$C$8</f>
        <v>0.5019</v>
      </c>
      <c r="Q1751" s="39" t="n">
        <f aca="false">Resumo!$C$10*CEILING(I1751/100,1)</f>
        <v>1.05</v>
      </c>
      <c r="R1751" s="39" t="n">
        <f aca="false">Resumo!$C$9</f>
        <v>0</v>
      </c>
      <c r="S1751" s="39" t="n">
        <f aca="false">Resumo!$C$13</f>
        <v>13.55</v>
      </c>
      <c r="T1751" s="39" t="n">
        <f aca="false">Resumo!$C$14*CEILING(I1751,1)</f>
        <v>6.3</v>
      </c>
      <c r="U1751" s="39" t="n">
        <f aca="false">SUM(M1751:T1751)*Resumo!$C$11</f>
        <v>0</v>
      </c>
      <c r="V1751" s="39" t="n">
        <f aca="false">SUM(M1751:U1751)</f>
        <v>55.3238</v>
      </c>
      <c r="W1751" s="39" t="n">
        <f aca="false">V1751/(1-Resumo!$C$5)</f>
        <v>62.8679545454545</v>
      </c>
      <c r="X1751" s="39" t="n">
        <v>46.98</v>
      </c>
      <c r="Y1751" s="39" t="n">
        <f aca="false">J1751*Resumo!$B$6</f>
        <v>0.239</v>
      </c>
      <c r="Z1751" s="39" t="n">
        <f aca="false">J1751*Resumo!$B$7</f>
        <v>0.478</v>
      </c>
      <c r="AA1751" s="39" t="n">
        <f aca="false">Resumo!$B$9</f>
        <v>1</v>
      </c>
      <c r="AB1751" s="39" t="n">
        <f aca="false">Resumo!$B$10*CEILING(I1751/100,1)</f>
        <v>4.5</v>
      </c>
      <c r="AC1751" s="39" t="n">
        <f aca="false">Resumo!$B$12*CEILING(I1751,1)</f>
        <v>0.84</v>
      </c>
      <c r="AD1751" s="39" t="n">
        <f aca="false">Resumo!$B$14*CEILING(I1751,1)</f>
        <v>6.3</v>
      </c>
      <c r="AE1751" s="39" t="n">
        <f aca="false">SUM(X1751:AD1751)</f>
        <v>60.337</v>
      </c>
      <c r="AF1751" s="39" t="n">
        <f aca="false">AE1751/(1-Resumo!$B$5)</f>
        <v>68.5647727272727</v>
      </c>
      <c r="AG1751" s="39" t="n">
        <f aca="false">AF1751-W1751</f>
        <v>5.69681818181818</v>
      </c>
      <c r="AH1751" s="40" t="n">
        <f aca="false">AF1751/W1751-1</f>
        <v>0.0906156120873838</v>
      </c>
      <c r="AI1751" s="37" t="str">
        <f aca="false">IF(AF1751&lt;W1751,"SIM","NÃO")</f>
        <v>NÃO</v>
      </c>
      <c r="AJ1751" s="37" t="n">
        <v>2</v>
      </c>
      <c r="AK1751" s="37" t="n">
        <v>5</v>
      </c>
      <c r="AL1751" s="37" t="s">
        <v>343</v>
      </c>
      <c r="AM1751" s="39" t="n">
        <v>64.36</v>
      </c>
    </row>
    <row r="1752" customFormat="false" ht="15" hidden="false" customHeight="false" outlineLevel="0" collapsed="false">
      <c r="A1752" s="37" t="n">
        <v>393485058</v>
      </c>
      <c r="B1752" s="38" t="n">
        <v>46277.6144212963</v>
      </c>
      <c r="C1752" s="37" t="s">
        <v>340</v>
      </c>
      <c r="D1752" s="37" t="s">
        <v>978</v>
      </c>
      <c r="E1752" s="37" t="n">
        <v>21215060</v>
      </c>
      <c r="F1752" s="37" t="s">
        <v>159</v>
      </c>
      <c r="G1752" s="37" t="s">
        <v>196</v>
      </c>
      <c r="H1752" s="37" t="s">
        <v>187</v>
      </c>
      <c r="I1752" s="37" t="n">
        <v>52.3</v>
      </c>
      <c r="J1752" s="39" t="n">
        <v>614.63</v>
      </c>
      <c r="K1752" s="37" t="s">
        <v>342</v>
      </c>
      <c r="L1752" s="39" t="n">
        <v>114.09</v>
      </c>
      <c r="M1752" s="39" t="n">
        <v>58.6</v>
      </c>
      <c r="N1752" s="39" t="n">
        <f aca="false">J1752*Resumo!$C$6</f>
        <v>0</v>
      </c>
      <c r="O1752" s="39" t="n">
        <f aca="false">J1752*Resumo!$C$7</f>
        <v>1.290723</v>
      </c>
      <c r="P1752" s="39" t="n">
        <f aca="false">J1752*Resumo!$C$8</f>
        <v>1.290723</v>
      </c>
      <c r="Q1752" s="39" t="n">
        <f aca="false">Resumo!$C$10*CEILING(I1752/100,1)</f>
        <v>1.05</v>
      </c>
      <c r="R1752" s="39" t="n">
        <f aca="false">Resumo!$C$9</f>
        <v>0</v>
      </c>
      <c r="S1752" s="39" t="n">
        <f aca="false">Resumo!$C$13</f>
        <v>13.55</v>
      </c>
      <c r="T1752" s="39" t="n">
        <f aca="false">Resumo!$C$14*CEILING(I1752,1)</f>
        <v>23.85</v>
      </c>
      <c r="U1752" s="39" t="n">
        <f aca="false">SUM(M1752:T1752)*Resumo!$C$11</f>
        <v>0</v>
      </c>
      <c r="V1752" s="39" t="n">
        <f aca="false">SUM(M1752:U1752)</f>
        <v>99.631446</v>
      </c>
      <c r="W1752" s="39" t="n">
        <f aca="false">V1752/(1-Resumo!$C$5)</f>
        <v>113.217552272727</v>
      </c>
      <c r="X1752" s="39" t="n">
        <v>112.3</v>
      </c>
      <c r="Y1752" s="39" t="n">
        <f aca="false">J1752*Resumo!$B$6</f>
        <v>0.61463</v>
      </c>
      <c r="Z1752" s="39" t="n">
        <f aca="false">J1752*Resumo!$B$7</f>
        <v>1.22926</v>
      </c>
      <c r="AA1752" s="39" t="n">
        <f aca="false">Resumo!$B$9</f>
        <v>1</v>
      </c>
      <c r="AB1752" s="39" t="n">
        <f aca="false">Resumo!$B$10*CEILING(I1752/100,1)</f>
        <v>4.5</v>
      </c>
      <c r="AC1752" s="39" t="n">
        <f aca="false">Resumo!$B$12*CEILING(I1752,1)</f>
        <v>3.18</v>
      </c>
      <c r="AD1752" s="39" t="n">
        <f aca="false">Resumo!$B$14*CEILING(I1752,1)</f>
        <v>23.85</v>
      </c>
      <c r="AE1752" s="39" t="n">
        <f aca="false">SUM(X1752:AD1752)</f>
        <v>146.67389</v>
      </c>
      <c r="AF1752" s="39" t="n">
        <f aca="false">AE1752/(1-Resumo!$B$5)</f>
        <v>166.674875</v>
      </c>
      <c r="AG1752" s="39" t="n">
        <f aca="false">AF1752-W1752</f>
        <v>53.4573227272727</v>
      </c>
      <c r="AH1752" s="40" t="n">
        <f aca="false">AF1752/W1752-1</f>
        <v>0.472164621599489</v>
      </c>
      <c r="AI1752" s="37" t="str">
        <f aca="false">IF(AF1752&lt;W1752,"SIM","NÃO")</f>
        <v>NÃO</v>
      </c>
      <c r="AJ1752" s="37" t="n">
        <v>2</v>
      </c>
      <c r="AK1752" s="37" t="n">
        <v>5</v>
      </c>
      <c r="AL1752" s="37" t="s">
        <v>343</v>
      </c>
      <c r="AM1752" s="39" t="n">
        <v>114.09</v>
      </c>
    </row>
    <row r="1753" customFormat="false" ht="15" hidden="false" customHeight="false" outlineLevel="0" collapsed="false">
      <c r="A1753" s="37" t="n">
        <v>393498944</v>
      </c>
      <c r="B1753" s="38" t="n">
        <v>46277.6431828704</v>
      </c>
      <c r="C1753" s="37" t="s">
        <v>340</v>
      </c>
      <c r="D1753" s="37" t="s">
        <v>1935</v>
      </c>
      <c r="E1753" s="37" t="n">
        <v>20031204</v>
      </c>
      <c r="F1753" s="37" t="s">
        <v>159</v>
      </c>
      <c r="G1753" s="37" t="s">
        <v>196</v>
      </c>
      <c r="H1753" s="37" t="s">
        <v>187</v>
      </c>
      <c r="I1753" s="37" t="n">
        <v>52.3</v>
      </c>
      <c r="J1753" s="39" t="n">
        <v>614.63</v>
      </c>
      <c r="K1753" s="37" t="s">
        <v>342</v>
      </c>
      <c r="L1753" s="39" t="n">
        <v>114.09</v>
      </c>
      <c r="M1753" s="39" t="n">
        <v>58.6</v>
      </c>
      <c r="N1753" s="39" t="n">
        <f aca="false">J1753*Resumo!$C$6</f>
        <v>0</v>
      </c>
      <c r="O1753" s="39" t="n">
        <f aca="false">J1753*Resumo!$C$7</f>
        <v>1.290723</v>
      </c>
      <c r="P1753" s="39" t="n">
        <f aca="false">J1753*Resumo!$C$8</f>
        <v>1.290723</v>
      </c>
      <c r="Q1753" s="39" t="n">
        <f aca="false">Resumo!$C$10*CEILING(I1753/100,1)</f>
        <v>1.05</v>
      </c>
      <c r="R1753" s="39" t="n">
        <f aca="false">Resumo!$C$9</f>
        <v>0</v>
      </c>
      <c r="S1753" s="39" t="n">
        <f aca="false">Resumo!$C$13</f>
        <v>13.55</v>
      </c>
      <c r="T1753" s="39" t="n">
        <f aca="false">Resumo!$C$14*CEILING(I1753,1)</f>
        <v>23.85</v>
      </c>
      <c r="U1753" s="39" t="n">
        <f aca="false">SUM(M1753:T1753)*Resumo!$C$11</f>
        <v>0</v>
      </c>
      <c r="V1753" s="39" t="n">
        <f aca="false">SUM(M1753:U1753)</f>
        <v>99.631446</v>
      </c>
      <c r="W1753" s="39" t="n">
        <f aca="false">V1753/(1-Resumo!$C$5)</f>
        <v>113.217552272727</v>
      </c>
      <c r="X1753" s="39" t="n">
        <v>112.3</v>
      </c>
      <c r="Y1753" s="39" t="n">
        <f aca="false">J1753*Resumo!$B$6</f>
        <v>0.61463</v>
      </c>
      <c r="Z1753" s="39" t="n">
        <f aca="false">J1753*Resumo!$B$7</f>
        <v>1.22926</v>
      </c>
      <c r="AA1753" s="39" t="n">
        <f aca="false">Resumo!$B$9</f>
        <v>1</v>
      </c>
      <c r="AB1753" s="39" t="n">
        <f aca="false">Resumo!$B$10*CEILING(I1753/100,1)</f>
        <v>4.5</v>
      </c>
      <c r="AC1753" s="39" t="n">
        <f aca="false">Resumo!$B$12*CEILING(I1753,1)</f>
        <v>3.18</v>
      </c>
      <c r="AD1753" s="39" t="n">
        <f aca="false">Resumo!$B$14*CEILING(I1753,1)</f>
        <v>23.85</v>
      </c>
      <c r="AE1753" s="39" t="n">
        <f aca="false">SUM(X1753:AD1753)</f>
        <v>146.67389</v>
      </c>
      <c r="AF1753" s="39" t="n">
        <f aca="false">AE1753/(1-Resumo!$B$5)</f>
        <v>166.674875</v>
      </c>
      <c r="AG1753" s="39" t="n">
        <f aca="false">AF1753-W1753</f>
        <v>53.4573227272727</v>
      </c>
      <c r="AH1753" s="40" t="n">
        <f aca="false">AF1753/W1753-1</f>
        <v>0.472164621599489</v>
      </c>
      <c r="AI1753" s="37" t="str">
        <f aca="false">IF(AF1753&lt;W1753,"SIM","NÃO")</f>
        <v>NÃO</v>
      </c>
      <c r="AJ1753" s="37" t="n">
        <v>2</v>
      </c>
      <c r="AK1753" s="37" t="n">
        <v>5</v>
      </c>
      <c r="AL1753" s="37" t="s">
        <v>343</v>
      </c>
      <c r="AM1753" s="39" t="n">
        <v>114.09</v>
      </c>
    </row>
    <row r="1754" customFormat="false" ht="15" hidden="false" customHeight="false" outlineLevel="0" collapsed="false">
      <c r="A1754" s="37" t="n">
        <v>393502564</v>
      </c>
      <c r="B1754" s="38" t="n">
        <v>46277.6495949074</v>
      </c>
      <c r="C1754" s="37" t="s">
        <v>340</v>
      </c>
      <c r="D1754" s="37" t="s">
        <v>1936</v>
      </c>
      <c r="E1754" s="37" t="n">
        <v>25015370</v>
      </c>
      <c r="F1754" s="37" t="s">
        <v>161</v>
      </c>
      <c r="G1754" s="37" t="s">
        <v>197</v>
      </c>
      <c r="H1754" s="37" t="s">
        <v>187</v>
      </c>
      <c r="I1754" s="37" t="n">
        <v>52.3</v>
      </c>
      <c r="J1754" s="39" t="n">
        <v>614.63</v>
      </c>
      <c r="K1754" s="37" t="s">
        <v>342</v>
      </c>
      <c r="L1754" s="39" t="n">
        <v>128.23</v>
      </c>
      <c r="M1754" s="39" t="n">
        <v>70.98</v>
      </c>
      <c r="N1754" s="39" t="n">
        <f aca="false">J1754*Resumo!$C$6</f>
        <v>0</v>
      </c>
      <c r="O1754" s="39" t="n">
        <f aca="false">J1754*Resumo!$C$7</f>
        <v>1.290723</v>
      </c>
      <c r="P1754" s="39" t="n">
        <f aca="false">J1754*Resumo!$C$8</f>
        <v>1.290723</v>
      </c>
      <c r="Q1754" s="39" t="n">
        <f aca="false">Resumo!$C$10*CEILING(I1754/100,1)</f>
        <v>1.05</v>
      </c>
      <c r="R1754" s="39" t="n">
        <f aca="false">Resumo!$C$9</f>
        <v>0</v>
      </c>
      <c r="S1754" s="39" t="n">
        <f aca="false">Resumo!$C$13</f>
        <v>13.55</v>
      </c>
      <c r="T1754" s="39" t="n">
        <f aca="false">Resumo!$C$14*CEILING(I1754,1)</f>
        <v>23.85</v>
      </c>
      <c r="U1754" s="39" t="n">
        <f aca="false">SUM(M1754:T1754)*Resumo!$C$11</f>
        <v>0</v>
      </c>
      <c r="V1754" s="39" t="n">
        <f aca="false">SUM(M1754:U1754)</f>
        <v>112.011446</v>
      </c>
      <c r="W1754" s="39" t="n">
        <f aca="false">V1754/(1-Resumo!$C$5)</f>
        <v>127.285734090909</v>
      </c>
      <c r="X1754" s="39" t="n">
        <v>112.3</v>
      </c>
      <c r="Y1754" s="39" t="n">
        <f aca="false">J1754*Resumo!$B$6</f>
        <v>0.61463</v>
      </c>
      <c r="Z1754" s="39" t="n">
        <f aca="false">J1754*Resumo!$B$7</f>
        <v>1.22926</v>
      </c>
      <c r="AA1754" s="39" t="n">
        <f aca="false">Resumo!$B$9</f>
        <v>1</v>
      </c>
      <c r="AB1754" s="39" t="n">
        <f aca="false">Resumo!$B$10*CEILING(I1754/100,1)</f>
        <v>4.5</v>
      </c>
      <c r="AC1754" s="39" t="n">
        <f aca="false">Resumo!$B$12*CEILING(I1754,1)</f>
        <v>3.18</v>
      </c>
      <c r="AD1754" s="39" t="n">
        <f aca="false">Resumo!$B$14*CEILING(I1754,1)</f>
        <v>23.85</v>
      </c>
      <c r="AE1754" s="39" t="n">
        <f aca="false">SUM(X1754:AD1754)</f>
        <v>146.67389</v>
      </c>
      <c r="AF1754" s="39" t="n">
        <f aca="false">AE1754/(1-Resumo!$B$5)</f>
        <v>166.674875</v>
      </c>
      <c r="AG1754" s="39" t="n">
        <f aca="false">AF1754-W1754</f>
        <v>39.3891409090909</v>
      </c>
      <c r="AH1754" s="40" t="n">
        <f aca="false">AF1754/W1754-1</f>
        <v>0.309454481999991</v>
      </c>
      <c r="AI1754" s="37" t="str">
        <f aca="false">IF(AF1754&lt;W1754,"SIM","NÃO")</f>
        <v>NÃO</v>
      </c>
      <c r="AJ1754" s="37" t="n">
        <v>2</v>
      </c>
      <c r="AK1754" s="37" t="n">
        <v>5</v>
      </c>
      <c r="AL1754" s="37" t="s">
        <v>343</v>
      </c>
      <c r="AM1754" s="39" t="n">
        <v>128.23</v>
      </c>
    </row>
    <row r="1755" customFormat="false" ht="15" hidden="false" customHeight="false" outlineLevel="0" collapsed="false">
      <c r="A1755" s="37" t="n">
        <v>393525371</v>
      </c>
      <c r="B1755" s="38" t="n">
        <v>46277.68875</v>
      </c>
      <c r="C1755" s="37" t="s">
        <v>345</v>
      </c>
      <c r="D1755" s="37" t="s">
        <v>1937</v>
      </c>
      <c r="E1755" s="37" t="n">
        <v>22790728</v>
      </c>
      <c r="F1755" s="37" t="s">
        <v>159</v>
      </c>
      <c r="G1755" s="37" t="s">
        <v>196</v>
      </c>
      <c r="H1755" s="37" t="s">
        <v>186</v>
      </c>
      <c r="I1755" s="37" t="n">
        <v>40.6</v>
      </c>
      <c r="J1755" s="39" t="n">
        <v>444.42</v>
      </c>
      <c r="K1755" s="37" t="s">
        <v>342</v>
      </c>
      <c r="L1755" s="39" t="n">
        <v>102.72</v>
      </c>
      <c r="M1755" s="39" t="n">
        <v>53.55</v>
      </c>
      <c r="N1755" s="39" t="n">
        <f aca="false">J1755*Resumo!$C$6</f>
        <v>0</v>
      </c>
      <c r="O1755" s="39" t="n">
        <f aca="false">J1755*Resumo!$C$7</f>
        <v>0.933282</v>
      </c>
      <c r="P1755" s="39" t="n">
        <f aca="false">J1755*Resumo!$C$8</f>
        <v>0.933282</v>
      </c>
      <c r="Q1755" s="39" t="n">
        <f aca="false">Resumo!$C$10*CEILING(I1755/100,1)</f>
        <v>1.05</v>
      </c>
      <c r="R1755" s="39" t="n">
        <f aca="false">Resumo!$C$9</f>
        <v>0</v>
      </c>
      <c r="S1755" s="39" t="n">
        <f aca="false">Resumo!$C$13</f>
        <v>13.55</v>
      </c>
      <c r="T1755" s="39" t="n">
        <f aca="false">Resumo!$C$14*CEILING(I1755,1)</f>
        <v>18.45</v>
      </c>
      <c r="U1755" s="39" t="n">
        <f aca="false">SUM(M1755:T1755)*Resumo!$C$11</f>
        <v>0</v>
      </c>
      <c r="V1755" s="39" t="n">
        <f aca="false">SUM(M1755:U1755)</f>
        <v>88.466564</v>
      </c>
      <c r="W1755" s="39" t="n">
        <f aca="false">V1755/(1-Resumo!$C$5)</f>
        <v>100.530186363636</v>
      </c>
      <c r="X1755" s="39" t="n">
        <v>93.97</v>
      </c>
      <c r="Y1755" s="39" t="n">
        <f aca="false">J1755*Resumo!$B$6</f>
        <v>0.44442</v>
      </c>
      <c r="Z1755" s="39" t="n">
        <f aca="false">J1755*Resumo!$B$7</f>
        <v>0.88884</v>
      </c>
      <c r="AA1755" s="39" t="n">
        <f aca="false">Resumo!$B$9</f>
        <v>1</v>
      </c>
      <c r="AB1755" s="39" t="n">
        <f aca="false">Resumo!$B$10*CEILING(I1755/100,1)</f>
        <v>4.5</v>
      </c>
      <c r="AC1755" s="39" t="n">
        <f aca="false">Resumo!$B$12*CEILING(I1755,1)</f>
        <v>2.46</v>
      </c>
      <c r="AD1755" s="39" t="n">
        <f aca="false">Resumo!$B$14*CEILING(I1755,1)</f>
        <v>18.45</v>
      </c>
      <c r="AE1755" s="39" t="n">
        <f aca="false">SUM(X1755:AD1755)</f>
        <v>121.71326</v>
      </c>
      <c r="AF1755" s="39" t="n">
        <f aca="false">AE1755/(1-Resumo!$B$5)</f>
        <v>138.310522727273</v>
      </c>
      <c r="AG1755" s="39" t="n">
        <f aca="false">AF1755-W1755</f>
        <v>37.7803363636364</v>
      </c>
      <c r="AH1755" s="40" t="n">
        <f aca="false">AF1755/W1755-1</f>
        <v>0.375810865673499</v>
      </c>
      <c r="AI1755" s="37" t="str">
        <f aca="false">IF(AF1755&lt;W1755,"SIM","NÃO")</f>
        <v>NÃO</v>
      </c>
      <c r="AJ1755" s="37" t="n">
        <v>2</v>
      </c>
      <c r="AK1755" s="37" t="n">
        <v>5</v>
      </c>
      <c r="AL1755" s="37" t="s">
        <v>343</v>
      </c>
      <c r="AM1755" s="39" t="n">
        <v>102.72</v>
      </c>
    </row>
    <row r="1756" customFormat="false" ht="15" hidden="false" customHeight="false" outlineLevel="0" collapsed="false">
      <c r="A1756" s="37" t="n">
        <v>393542286</v>
      </c>
      <c r="B1756" s="38" t="n">
        <v>46277.7167708333</v>
      </c>
      <c r="C1756" s="37" t="s">
        <v>340</v>
      </c>
      <c r="D1756" s="37" t="s">
        <v>1938</v>
      </c>
      <c r="E1756" s="37" t="n">
        <v>21750320</v>
      </c>
      <c r="F1756" s="37" t="s">
        <v>159</v>
      </c>
      <c r="G1756" s="37" t="s">
        <v>196</v>
      </c>
      <c r="H1756" s="37" t="s">
        <v>183</v>
      </c>
      <c r="I1756" s="37" t="n">
        <v>19.5</v>
      </c>
      <c r="J1756" s="39" t="n">
        <v>379.99</v>
      </c>
      <c r="K1756" s="37" t="s">
        <v>342</v>
      </c>
      <c r="L1756" s="39" t="n">
        <v>65.03</v>
      </c>
      <c r="M1756" s="39" t="n">
        <v>33.42</v>
      </c>
      <c r="N1756" s="39" t="n">
        <f aca="false">J1756*Resumo!$C$6</f>
        <v>0</v>
      </c>
      <c r="O1756" s="39" t="n">
        <f aca="false">J1756*Resumo!$C$7</f>
        <v>0.797979</v>
      </c>
      <c r="P1756" s="39" t="n">
        <f aca="false">J1756*Resumo!$C$8</f>
        <v>0.797979</v>
      </c>
      <c r="Q1756" s="39" t="n">
        <f aca="false">Resumo!$C$10*CEILING(I1756/100,1)</f>
        <v>1.05</v>
      </c>
      <c r="R1756" s="39" t="n">
        <f aca="false">Resumo!$C$9</f>
        <v>0</v>
      </c>
      <c r="S1756" s="39" t="n">
        <f aca="false">Resumo!$C$13</f>
        <v>13.55</v>
      </c>
      <c r="T1756" s="39" t="n">
        <f aca="false">Resumo!$C$14*CEILING(I1756,1)</f>
        <v>9</v>
      </c>
      <c r="U1756" s="39" t="n">
        <f aca="false">SUM(M1756:T1756)*Resumo!$C$11</f>
        <v>0</v>
      </c>
      <c r="V1756" s="39" t="n">
        <f aca="false">SUM(M1756:U1756)</f>
        <v>58.615958</v>
      </c>
      <c r="W1756" s="39" t="n">
        <f aca="false">V1756/(1-Resumo!$C$5)</f>
        <v>66.6090431818182</v>
      </c>
      <c r="X1756" s="39" t="n">
        <v>46.98</v>
      </c>
      <c r="Y1756" s="39" t="n">
        <f aca="false">J1756*Resumo!$B$6</f>
        <v>0.37999</v>
      </c>
      <c r="Z1756" s="39" t="n">
        <f aca="false">J1756*Resumo!$B$7</f>
        <v>0.75998</v>
      </c>
      <c r="AA1756" s="39" t="n">
        <f aca="false">Resumo!$B$9</f>
        <v>1</v>
      </c>
      <c r="AB1756" s="39" t="n">
        <f aca="false">Resumo!$B$10*CEILING(I1756/100,1)</f>
        <v>4.5</v>
      </c>
      <c r="AC1756" s="39" t="n">
        <f aca="false">Resumo!$B$12*CEILING(I1756,1)</f>
        <v>1.2</v>
      </c>
      <c r="AD1756" s="39" t="n">
        <f aca="false">Resumo!$B$14*CEILING(I1756,1)</f>
        <v>9</v>
      </c>
      <c r="AE1756" s="39" t="n">
        <f aca="false">SUM(X1756:AD1756)</f>
        <v>63.81997</v>
      </c>
      <c r="AF1756" s="39" t="n">
        <f aca="false">AE1756/(1-Resumo!$B$5)</f>
        <v>72.5226931818182</v>
      </c>
      <c r="AG1756" s="39" t="n">
        <f aca="false">AF1756-W1756</f>
        <v>5.91365</v>
      </c>
      <c r="AH1756" s="40" t="n">
        <f aca="false">AF1756/W1756-1</f>
        <v>0.0887814884813449</v>
      </c>
      <c r="AI1756" s="37" t="str">
        <f aca="false">IF(AF1756&lt;W1756,"SIM","NÃO")</f>
        <v>NÃO</v>
      </c>
      <c r="AJ1756" s="37" t="n">
        <v>2</v>
      </c>
      <c r="AK1756" s="37" t="n">
        <v>5</v>
      </c>
      <c r="AL1756" s="37" t="s">
        <v>343</v>
      </c>
      <c r="AM1756" s="39" t="n">
        <v>65.04</v>
      </c>
    </row>
    <row r="1757" customFormat="false" ht="15" hidden="false" customHeight="false" outlineLevel="0" collapsed="false">
      <c r="A1757" s="37" t="n">
        <v>393543382</v>
      </c>
      <c r="B1757" s="38" t="n">
        <v>46277.7187152778</v>
      </c>
      <c r="C1757" s="37" t="s">
        <v>340</v>
      </c>
      <c r="D1757" s="37" t="s">
        <v>1939</v>
      </c>
      <c r="E1757" s="37" t="n">
        <v>28800000</v>
      </c>
      <c r="F1757" s="37" t="s">
        <v>288</v>
      </c>
      <c r="G1757" s="37" t="s">
        <v>198</v>
      </c>
      <c r="H1757" s="37" t="s">
        <v>187</v>
      </c>
      <c r="I1757" s="37" t="n">
        <v>52.3</v>
      </c>
      <c r="J1757" s="39" t="n">
        <v>614.63</v>
      </c>
      <c r="K1757" s="37" t="s">
        <v>342</v>
      </c>
      <c r="L1757" s="39" t="n">
        <v>142.61</v>
      </c>
      <c r="M1757" s="39" t="n">
        <v>83.58</v>
      </c>
      <c r="N1757" s="39" t="n">
        <f aca="false">J1757*Resumo!$C$6</f>
        <v>0</v>
      </c>
      <c r="O1757" s="39" t="n">
        <f aca="false">J1757*Resumo!$C$7</f>
        <v>1.290723</v>
      </c>
      <c r="P1757" s="39" t="n">
        <f aca="false">J1757*Resumo!$C$8</f>
        <v>1.290723</v>
      </c>
      <c r="Q1757" s="39" t="n">
        <f aca="false">Resumo!$C$10*CEILING(I1757/100,1)</f>
        <v>1.05</v>
      </c>
      <c r="R1757" s="39" t="n">
        <f aca="false">Resumo!$C$9</f>
        <v>0</v>
      </c>
      <c r="S1757" s="39" t="n">
        <f aca="false">Resumo!$C$13</f>
        <v>13.55</v>
      </c>
      <c r="T1757" s="39" t="n">
        <f aca="false">Resumo!$C$14*CEILING(I1757,1)</f>
        <v>23.85</v>
      </c>
      <c r="U1757" s="39" t="n">
        <f aca="false">SUM(M1757:T1757)*Resumo!$C$11</f>
        <v>0</v>
      </c>
      <c r="V1757" s="39" t="n">
        <f aca="false">SUM(M1757:U1757)</f>
        <v>124.611446</v>
      </c>
      <c r="W1757" s="39" t="n">
        <f aca="false">V1757/(1-Resumo!$C$5)</f>
        <v>141.603915909091</v>
      </c>
      <c r="X1757" s="39" t="n">
        <v>128.14</v>
      </c>
      <c r="Y1757" s="39" t="n">
        <f aca="false">J1757*Resumo!$B$6</f>
        <v>0.61463</v>
      </c>
      <c r="Z1757" s="39" t="n">
        <f aca="false">J1757*Resumo!$B$7</f>
        <v>1.22926</v>
      </c>
      <c r="AA1757" s="39" t="n">
        <f aca="false">Resumo!$B$9</f>
        <v>1</v>
      </c>
      <c r="AB1757" s="39" t="n">
        <f aca="false">Resumo!$B$10*CEILING(I1757/100,1)</f>
        <v>4.5</v>
      </c>
      <c r="AC1757" s="39" t="n">
        <f aca="false">Resumo!$B$12*CEILING(I1757,1)</f>
        <v>3.18</v>
      </c>
      <c r="AD1757" s="39" t="n">
        <f aca="false">Resumo!$B$14*CEILING(I1757,1)</f>
        <v>23.85</v>
      </c>
      <c r="AE1757" s="39" t="n">
        <f aca="false">SUM(X1757:AD1757)</f>
        <v>162.51389</v>
      </c>
      <c r="AF1757" s="39" t="n">
        <f aca="false">AE1757/(1-Resumo!$B$5)</f>
        <v>184.674875</v>
      </c>
      <c r="AG1757" s="39" t="n">
        <f aca="false">AF1757-W1757</f>
        <v>43.070959090909</v>
      </c>
      <c r="AH1757" s="40" t="n">
        <f aca="false">AF1757/W1757-1</f>
        <v>0.304165028307271</v>
      </c>
      <c r="AI1757" s="37" t="str">
        <f aca="false">IF(AF1757&lt;W1757,"SIM","NÃO")</f>
        <v>NÃO</v>
      </c>
      <c r="AJ1757" s="37" t="n">
        <v>13</v>
      </c>
      <c r="AK1757" s="37" t="n">
        <v>7</v>
      </c>
      <c r="AL1757" s="37" t="s">
        <v>347</v>
      </c>
      <c r="AM1757" s="39" t="n">
        <v>142.62</v>
      </c>
    </row>
    <row r="1758" customFormat="false" ht="15" hidden="false" customHeight="false" outlineLevel="0" collapsed="false">
      <c r="A1758" s="37" t="n">
        <v>393551915</v>
      </c>
      <c r="B1758" s="38" t="n">
        <v>46277.7330902778</v>
      </c>
      <c r="C1758" s="37" t="s">
        <v>340</v>
      </c>
      <c r="D1758" s="37" t="s">
        <v>1940</v>
      </c>
      <c r="E1758" s="37" t="n">
        <v>27935070</v>
      </c>
      <c r="F1758" s="37" t="s">
        <v>166</v>
      </c>
      <c r="G1758" s="37" t="s">
        <v>198</v>
      </c>
      <c r="H1758" s="37" t="s">
        <v>188</v>
      </c>
      <c r="I1758" s="37" t="n">
        <v>63.9</v>
      </c>
      <c r="J1758" s="39" t="n">
        <v>716.35</v>
      </c>
      <c r="K1758" s="37" t="s">
        <v>342</v>
      </c>
      <c r="L1758" s="39" t="n">
        <v>155.44</v>
      </c>
      <c r="M1758" s="39" t="n">
        <v>90.2</v>
      </c>
      <c r="N1758" s="39" t="n">
        <f aca="false">J1758*Resumo!$C$6</f>
        <v>0</v>
      </c>
      <c r="O1758" s="39" t="n">
        <f aca="false">J1758*Resumo!$C$7</f>
        <v>1.504335</v>
      </c>
      <c r="P1758" s="39" t="n">
        <f aca="false">J1758*Resumo!$C$8</f>
        <v>1.504335</v>
      </c>
      <c r="Q1758" s="39" t="n">
        <f aca="false">Resumo!$C$10*CEILING(I1758/100,1)</f>
        <v>1.05</v>
      </c>
      <c r="R1758" s="39" t="n">
        <f aca="false">Resumo!$C$9</f>
        <v>0</v>
      </c>
      <c r="S1758" s="39" t="n">
        <f aca="false">Resumo!$C$13</f>
        <v>13.55</v>
      </c>
      <c r="T1758" s="39" t="n">
        <f aca="false">Resumo!$C$14*CEILING(I1758,1)</f>
        <v>28.8</v>
      </c>
      <c r="U1758" s="39" t="n">
        <f aca="false">SUM(M1758:T1758)*Resumo!$C$11</f>
        <v>0</v>
      </c>
      <c r="V1758" s="39" t="n">
        <f aca="false">SUM(M1758:U1758)</f>
        <v>136.60867</v>
      </c>
      <c r="W1758" s="39" t="n">
        <f aca="false">V1758/(1-Resumo!$C$5)</f>
        <v>155.237125</v>
      </c>
      <c r="X1758" s="39" t="n">
        <v>171.54</v>
      </c>
      <c r="Y1758" s="39" t="n">
        <f aca="false">J1758*Resumo!$B$6</f>
        <v>0.71635</v>
      </c>
      <c r="Z1758" s="39" t="n">
        <f aca="false">J1758*Resumo!$B$7</f>
        <v>1.4327</v>
      </c>
      <c r="AA1758" s="39" t="n">
        <f aca="false">Resumo!$B$9</f>
        <v>1</v>
      </c>
      <c r="AB1758" s="39" t="n">
        <f aca="false">Resumo!$B$10*CEILING(I1758/100,1)</f>
        <v>4.5</v>
      </c>
      <c r="AC1758" s="39" t="n">
        <f aca="false">Resumo!$B$12*CEILING(I1758,1)</f>
        <v>3.84</v>
      </c>
      <c r="AD1758" s="39" t="n">
        <f aca="false">Resumo!$B$14*CEILING(I1758,1)</f>
        <v>28.8</v>
      </c>
      <c r="AE1758" s="39" t="n">
        <f aca="false">SUM(X1758:AD1758)</f>
        <v>211.82905</v>
      </c>
      <c r="AF1758" s="39" t="n">
        <f aca="false">AE1758/(1-Resumo!$B$5)</f>
        <v>240.714829545455</v>
      </c>
      <c r="AG1758" s="39" t="n">
        <f aca="false">AF1758-W1758</f>
        <v>85.4777045454545</v>
      </c>
      <c r="AH1758" s="40" t="n">
        <f aca="false">AF1758/W1758-1</f>
        <v>0.550626691556253</v>
      </c>
      <c r="AI1758" s="37" t="str">
        <f aca="false">IF(AF1758&lt;W1758,"SIM","NÃO")</f>
        <v>NÃO</v>
      </c>
      <c r="AJ1758" s="37" t="n">
        <v>13</v>
      </c>
      <c r="AK1758" s="37" t="n">
        <v>11</v>
      </c>
      <c r="AL1758" s="37" t="s">
        <v>343</v>
      </c>
      <c r="AM1758" s="39" t="n">
        <v>155.45</v>
      </c>
    </row>
    <row r="1759" customFormat="false" ht="15" hidden="false" customHeight="false" outlineLevel="0" collapsed="false">
      <c r="A1759" s="37" t="n">
        <v>393574315</v>
      </c>
      <c r="B1759" s="38" t="n">
        <v>46277.7675578704</v>
      </c>
      <c r="C1759" s="37" t="s">
        <v>340</v>
      </c>
      <c r="D1759" s="37" t="s">
        <v>1941</v>
      </c>
      <c r="E1759" s="37" t="n">
        <v>23895340</v>
      </c>
      <c r="F1759" s="37" t="s">
        <v>221</v>
      </c>
      <c r="G1759" s="37" t="s">
        <v>198</v>
      </c>
      <c r="H1759" s="37" t="s">
        <v>187</v>
      </c>
      <c r="I1759" s="37" t="n">
        <v>52.3</v>
      </c>
      <c r="J1759" s="39" t="n">
        <v>645.14</v>
      </c>
      <c r="K1759" s="37" t="s">
        <v>342</v>
      </c>
      <c r="L1759" s="39" t="n">
        <v>142.76</v>
      </c>
      <c r="M1759" s="39" t="n">
        <v>83.58</v>
      </c>
      <c r="N1759" s="39" t="n">
        <f aca="false">J1759*Resumo!$C$6</f>
        <v>0</v>
      </c>
      <c r="O1759" s="39" t="n">
        <f aca="false">J1759*Resumo!$C$7</f>
        <v>1.354794</v>
      </c>
      <c r="P1759" s="39" t="n">
        <f aca="false">J1759*Resumo!$C$8</f>
        <v>1.354794</v>
      </c>
      <c r="Q1759" s="39" t="n">
        <f aca="false">Resumo!$C$10*CEILING(I1759/100,1)</f>
        <v>1.05</v>
      </c>
      <c r="R1759" s="39" t="n">
        <f aca="false">Resumo!$C$9</f>
        <v>0</v>
      </c>
      <c r="S1759" s="39" t="n">
        <f aca="false">Resumo!$C$13</f>
        <v>13.55</v>
      </c>
      <c r="T1759" s="39" t="n">
        <f aca="false">Resumo!$C$14*CEILING(I1759,1)</f>
        <v>23.85</v>
      </c>
      <c r="U1759" s="39" t="n">
        <f aca="false">SUM(M1759:T1759)*Resumo!$C$11</f>
        <v>0</v>
      </c>
      <c r="V1759" s="39" t="n">
        <f aca="false">SUM(M1759:U1759)</f>
        <v>124.739588</v>
      </c>
      <c r="W1759" s="39" t="n">
        <f aca="false">V1759/(1-Resumo!$C$5)</f>
        <v>141.749531818182</v>
      </c>
      <c r="X1759" s="39" t="n">
        <v>122.3</v>
      </c>
      <c r="Y1759" s="39" t="n">
        <f aca="false">J1759*Resumo!$B$6</f>
        <v>0.64514</v>
      </c>
      <c r="Z1759" s="39" t="n">
        <f aca="false">J1759*Resumo!$B$7</f>
        <v>1.29028</v>
      </c>
      <c r="AA1759" s="39" t="n">
        <f aca="false">Resumo!$B$9</f>
        <v>1</v>
      </c>
      <c r="AB1759" s="39" t="n">
        <f aca="false">Resumo!$B$10*CEILING(I1759/100,1)</f>
        <v>4.5</v>
      </c>
      <c r="AC1759" s="39" t="n">
        <f aca="false">Resumo!$B$12*CEILING(I1759,1)</f>
        <v>3.18</v>
      </c>
      <c r="AD1759" s="39" t="n">
        <f aca="false">Resumo!$B$14*CEILING(I1759,1)</f>
        <v>23.85</v>
      </c>
      <c r="AE1759" s="39" t="n">
        <f aca="false">SUM(X1759:AD1759)</f>
        <v>156.76542</v>
      </c>
      <c r="AF1759" s="39" t="n">
        <f aca="false">AE1759/(1-Resumo!$B$5)</f>
        <v>178.142522727273</v>
      </c>
      <c r="AG1759" s="39" t="n">
        <f aca="false">AF1759-W1759</f>
        <v>36.3929909090909</v>
      </c>
      <c r="AH1759" s="40" t="n">
        <f aca="false">AF1759/W1759-1</f>
        <v>0.256741524591215</v>
      </c>
      <c r="AI1759" s="37" t="str">
        <f aca="false">IF(AF1759&lt;W1759,"SIM","NÃO")</f>
        <v>NÃO</v>
      </c>
      <c r="AJ1759" s="37" t="n">
        <v>13</v>
      </c>
      <c r="AK1759" s="37" t="n">
        <v>5</v>
      </c>
      <c r="AL1759" s="37" t="s">
        <v>347</v>
      </c>
      <c r="AM1759" s="39" t="n">
        <v>142.76</v>
      </c>
    </row>
    <row r="1760" customFormat="false" ht="15" hidden="false" customHeight="false" outlineLevel="0" collapsed="false">
      <c r="A1760" s="37" t="n">
        <v>393619383</v>
      </c>
      <c r="B1760" s="38" t="n">
        <v>46277.8421875</v>
      </c>
      <c r="C1760" s="37" t="s">
        <v>340</v>
      </c>
      <c r="D1760" s="37" t="s">
        <v>1649</v>
      </c>
      <c r="E1760" s="37" t="n">
        <v>28053100</v>
      </c>
      <c r="F1760" s="37" t="s">
        <v>164</v>
      </c>
      <c r="G1760" s="37" t="s">
        <v>198</v>
      </c>
      <c r="H1760" s="37" t="s">
        <v>184</v>
      </c>
      <c r="I1760" s="37" t="n">
        <v>27.5</v>
      </c>
      <c r="J1760" s="39" t="n">
        <v>399.99</v>
      </c>
      <c r="K1760" s="37" t="s">
        <v>342</v>
      </c>
      <c r="L1760" s="39" t="n">
        <v>109.1</v>
      </c>
      <c r="M1760" s="39" t="n">
        <v>65.63</v>
      </c>
      <c r="N1760" s="39" t="n">
        <f aca="false">J1760*Resumo!$C$6</f>
        <v>0</v>
      </c>
      <c r="O1760" s="39" t="n">
        <f aca="false">J1760*Resumo!$C$7</f>
        <v>0.839979</v>
      </c>
      <c r="P1760" s="39" t="n">
        <f aca="false">J1760*Resumo!$C$8</f>
        <v>0.839979</v>
      </c>
      <c r="Q1760" s="39" t="n">
        <f aca="false">Resumo!$C$10*CEILING(I1760/100,1)</f>
        <v>1.05</v>
      </c>
      <c r="R1760" s="39" t="n">
        <f aca="false">Resumo!$C$9</f>
        <v>0</v>
      </c>
      <c r="S1760" s="39" t="n">
        <f aca="false">Resumo!$C$13</f>
        <v>13.55</v>
      </c>
      <c r="T1760" s="39" t="n">
        <f aca="false">Resumo!$C$14*CEILING(I1760,1)</f>
        <v>12.6</v>
      </c>
      <c r="U1760" s="39" t="n">
        <f aca="false">SUM(M1760:T1760)*Resumo!$C$11</f>
        <v>0</v>
      </c>
      <c r="V1760" s="39" t="n">
        <f aca="false">SUM(M1760:U1760)</f>
        <v>94.509958</v>
      </c>
      <c r="W1760" s="39" t="n">
        <f aca="false">V1760/(1-Resumo!$C$5)</f>
        <v>107.397679545455</v>
      </c>
      <c r="X1760" s="39" t="n">
        <v>138.29</v>
      </c>
      <c r="Y1760" s="39" t="n">
        <f aca="false">J1760*Resumo!$B$6</f>
        <v>0.39999</v>
      </c>
      <c r="Z1760" s="39" t="n">
        <f aca="false">J1760*Resumo!$B$7</f>
        <v>0.79998</v>
      </c>
      <c r="AA1760" s="39" t="n">
        <f aca="false">Resumo!$B$9</f>
        <v>1</v>
      </c>
      <c r="AB1760" s="39" t="n">
        <f aca="false">Resumo!$B$10*CEILING(I1760/100,1)</f>
        <v>4.5</v>
      </c>
      <c r="AC1760" s="39" t="n">
        <f aca="false">Resumo!$B$12*CEILING(I1760,1)</f>
        <v>1.68</v>
      </c>
      <c r="AD1760" s="39" t="n">
        <f aca="false">Resumo!$B$14*CEILING(I1760,1)</f>
        <v>12.6</v>
      </c>
      <c r="AE1760" s="39" t="n">
        <f aca="false">SUM(X1760:AD1760)</f>
        <v>159.26997</v>
      </c>
      <c r="AF1760" s="39" t="n">
        <f aca="false">AE1760/(1-Resumo!$B$5)</f>
        <v>180.988602272727</v>
      </c>
      <c r="AG1760" s="39" t="n">
        <f aca="false">AF1760-W1760</f>
        <v>73.5909227272727</v>
      </c>
      <c r="AH1760" s="40" t="n">
        <f aca="false">AF1760/W1760-1</f>
        <v>0.685218926877526</v>
      </c>
      <c r="AI1760" s="37" t="str">
        <f aca="false">IF(AF1760&lt;W1760,"SIM","NÃO")</f>
        <v>NÃO</v>
      </c>
      <c r="AJ1760" s="37" t="n">
        <v>13</v>
      </c>
      <c r="AK1760" s="37" t="n">
        <v>11</v>
      </c>
      <c r="AL1760" s="37" t="s">
        <v>343</v>
      </c>
      <c r="AM1760" s="39" t="n">
        <v>109.1</v>
      </c>
    </row>
    <row r="1761" customFormat="false" ht="15" hidden="false" customHeight="false" outlineLevel="0" collapsed="false">
      <c r="A1761" s="37" t="n">
        <v>393631360</v>
      </c>
      <c r="B1761" s="38" t="n">
        <v>46277.8628819444</v>
      </c>
      <c r="C1761" s="37" t="s">
        <v>340</v>
      </c>
      <c r="D1761" s="37" t="s">
        <v>1942</v>
      </c>
      <c r="E1761" s="37" t="n">
        <v>27940700</v>
      </c>
      <c r="F1761" s="37" t="s">
        <v>166</v>
      </c>
      <c r="G1761" s="37" t="s">
        <v>198</v>
      </c>
      <c r="H1761" s="37" t="s">
        <v>183</v>
      </c>
      <c r="I1761" s="37" t="n">
        <v>15</v>
      </c>
      <c r="J1761" s="39" t="n">
        <v>219.99</v>
      </c>
      <c r="K1761" s="37" t="s">
        <v>342</v>
      </c>
      <c r="L1761" s="39" t="n">
        <v>79.72</v>
      </c>
      <c r="M1761" s="39" t="n">
        <v>46.95</v>
      </c>
      <c r="N1761" s="39" t="n">
        <f aca="false">J1761*Resumo!$C$6</f>
        <v>0</v>
      </c>
      <c r="O1761" s="39" t="n">
        <f aca="false">J1761*Resumo!$C$7</f>
        <v>0.461979</v>
      </c>
      <c r="P1761" s="39" t="n">
        <f aca="false">J1761*Resumo!$C$8</f>
        <v>0.461979</v>
      </c>
      <c r="Q1761" s="39" t="n">
        <f aca="false">Resumo!$C$10*CEILING(I1761/100,1)</f>
        <v>1.05</v>
      </c>
      <c r="R1761" s="39" t="n">
        <f aca="false">Resumo!$C$9</f>
        <v>0</v>
      </c>
      <c r="S1761" s="39" t="n">
        <f aca="false">Resumo!$C$13</f>
        <v>13.55</v>
      </c>
      <c r="T1761" s="39" t="n">
        <f aca="false">Resumo!$C$14*CEILING(I1761,1)</f>
        <v>6.75</v>
      </c>
      <c r="U1761" s="39" t="n">
        <f aca="false">SUM(M1761:T1761)*Resumo!$C$11</f>
        <v>0</v>
      </c>
      <c r="V1761" s="39" t="n">
        <f aca="false">SUM(M1761:U1761)</f>
        <v>69.223958</v>
      </c>
      <c r="W1761" s="39" t="n">
        <f aca="false">V1761/(1-Resumo!$C$5)</f>
        <v>78.6635886363636</v>
      </c>
      <c r="X1761" s="39" t="n">
        <v>124.04</v>
      </c>
      <c r="Y1761" s="39" t="n">
        <f aca="false">J1761*Resumo!$B$6</f>
        <v>0.21999</v>
      </c>
      <c r="Z1761" s="39" t="n">
        <f aca="false">J1761*Resumo!$B$7</f>
        <v>0.43998</v>
      </c>
      <c r="AA1761" s="39" t="n">
        <f aca="false">Resumo!$B$9</f>
        <v>1</v>
      </c>
      <c r="AB1761" s="39" t="n">
        <f aca="false">Resumo!$B$10*CEILING(I1761/100,1)</f>
        <v>4.5</v>
      </c>
      <c r="AC1761" s="39" t="n">
        <f aca="false">Resumo!$B$12*CEILING(I1761,1)</f>
        <v>0.9</v>
      </c>
      <c r="AD1761" s="39" t="n">
        <f aca="false">Resumo!$B$14*CEILING(I1761,1)</f>
        <v>6.75</v>
      </c>
      <c r="AE1761" s="39" t="n">
        <f aca="false">SUM(X1761:AD1761)</f>
        <v>137.84997</v>
      </c>
      <c r="AF1761" s="39" t="n">
        <f aca="false">AE1761/(1-Resumo!$B$5)</f>
        <v>156.647693181818</v>
      </c>
      <c r="AG1761" s="39" t="n">
        <f aca="false">AF1761-W1761</f>
        <v>77.9841045454546</v>
      </c>
      <c r="AH1761" s="40" t="n">
        <f aca="false">AF1761/W1761-1</f>
        <v>0.991362152392384</v>
      </c>
      <c r="AI1761" s="37" t="str">
        <f aca="false">IF(AF1761&lt;W1761,"SIM","NÃO")</f>
        <v>NÃO</v>
      </c>
      <c r="AJ1761" s="37" t="n">
        <v>13</v>
      </c>
      <c r="AK1761" s="37" t="n">
        <v>11</v>
      </c>
      <c r="AL1761" s="37" t="s">
        <v>343</v>
      </c>
      <c r="AM1761" s="39" t="n">
        <v>79.71</v>
      </c>
    </row>
    <row r="1762" customFormat="false" ht="15" hidden="false" customHeight="false" outlineLevel="0" collapsed="false">
      <c r="A1762" s="37" t="n">
        <v>393645579</v>
      </c>
      <c r="B1762" s="38" t="n">
        <v>46277.889224537</v>
      </c>
      <c r="C1762" s="37" t="s">
        <v>340</v>
      </c>
      <c r="D1762" s="37" t="s">
        <v>1943</v>
      </c>
      <c r="E1762" s="37" t="n">
        <v>24724310</v>
      </c>
      <c r="F1762" s="37" t="s">
        <v>160</v>
      </c>
      <c r="G1762" s="37" t="s">
        <v>197</v>
      </c>
      <c r="H1762" s="37" t="s">
        <v>188</v>
      </c>
      <c r="I1762" s="37" t="n">
        <v>69</v>
      </c>
      <c r="J1762" s="39" t="n">
        <v>699.18</v>
      </c>
      <c r="K1762" s="37" t="s">
        <v>342</v>
      </c>
      <c r="L1762" s="39" t="n">
        <v>139.78</v>
      </c>
      <c r="M1762" s="39" t="n">
        <v>76.55</v>
      </c>
      <c r="N1762" s="39" t="n">
        <f aca="false">J1762*Resumo!$C$6</f>
        <v>0</v>
      </c>
      <c r="O1762" s="39" t="n">
        <f aca="false">J1762*Resumo!$C$7</f>
        <v>1.468278</v>
      </c>
      <c r="P1762" s="39" t="n">
        <f aca="false">J1762*Resumo!$C$8</f>
        <v>1.468278</v>
      </c>
      <c r="Q1762" s="39" t="n">
        <f aca="false">Resumo!$C$10*CEILING(I1762/100,1)</f>
        <v>1.05</v>
      </c>
      <c r="R1762" s="39" t="n">
        <f aca="false">Resumo!$C$9</f>
        <v>0</v>
      </c>
      <c r="S1762" s="39" t="n">
        <f aca="false">Resumo!$C$13</f>
        <v>13.55</v>
      </c>
      <c r="T1762" s="39" t="n">
        <f aca="false">Resumo!$C$14*CEILING(I1762,1)</f>
        <v>31.05</v>
      </c>
      <c r="U1762" s="39" t="n">
        <f aca="false">SUM(M1762:T1762)*Resumo!$C$11</f>
        <v>0</v>
      </c>
      <c r="V1762" s="39" t="n">
        <f aca="false">SUM(M1762:U1762)</f>
        <v>125.136556</v>
      </c>
      <c r="W1762" s="39" t="n">
        <f aca="false">V1762/(1-Resumo!$C$5)</f>
        <v>142.200631818182</v>
      </c>
      <c r="X1762" s="39" t="n">
        <v>149.5</v>
      </c>
      <c r="Y1762" s="39" t="n">
        <f aca="false">J1762*Resumo!$B$6</f>
        <v>0.69918</v>
      </c>
      <c r="Z1762" s="39" t="n">
        <f aca="false">J1762*Resumo!$B$7</f>
        <v>1.39836</v>
      </c>
      <c r="AA1762" s="39" t="n">
        <f aca="false">Resumo!$B$9</f>
        <v>1</v>
      </c>
      <c r="AB1762" s="39" t="n">
        <f aca="false">Resumo!$B$10*CEILING(I1762/100,1)</f>
        <v>4.5</v>
      </c>
      <c r="AC1762" s="39" t="n">
        <f aca="false">Resumo!$B$12*CEILING(I1762,1)</f>
        <v>4.14</v>
      </c>
      <c r="AD1762" s="39" t="n">
        <f aca="false">Resumo!$B$14*CEILING(I1762,1)</f>
        <v>31.05</v>
      </c>
      <c r="AE1762" s="39" t="n">
        <f aca="false">SUM(X1762:AD1762)</f>
        <v>192.28754</v>
      </c>
      <c r="AF1762" s="39" t="n">
        <f aca="false">AE1762/(1-Resumo!$B$5)</f>
        <v>218.508568181818</v>
      </c>
      <c r="AG1762" s="39" t="n">
        <f aca="false">AF1762-W1762</f>
        <v>76.3079363636364</v>
      </c>
      <c r="AH1762" s="40" t="n">
        <f aca="false">AF1762/W1762-1</f>
        <v>0.536621640761793</v>
      </c>
      <c r="AI1762" s="37" t="str">
        <f aca="false">IF(AF1762&lt;W1762,"SIM","NÃO")</f>
        <v>NÃO</v>
      </c>
      <c r="AJ1762" s="37" t="n">
        <v>2</v>
      </c>
      <c r="AK1762" s="37" t="n">
        <v>7</v>
      </c>
      <c r="AL1762" s="37" t="s">
        <v>343</v>
      </c>
      <c r="AM1762" s="39" t="n">
        <v>139.78</v>
      </c>
    </row>
    <row r="1763" customFormat="false" ht="15" hidden="false" customHeight="false" outlineLevel="0" collapsed="false">
      <c r="A1763" s="37" t="n">
        <v>393647371</v>
      </c>
      <c r="B1763" s="38" t="n">
        <v>46277.8933101852</v>
      </c>
      <c r="C1763" s="37" t="s">
        <v>340</v>
      </c>
      <c r="D1763" s="37" t="s">
        <v>1876</v>
      </c>
      <c r="E1763" s="37" t="n">
        <v>24730530</v>
      </c>
      <c r="F1763" s="37" t="s">
        <v>160</v>
      </c>
      <c r="G1763" s="37" t="s">
        <v>197</v>
      </c>
      <c r="H1763" s="37" t="s">
        <v>184</v>
      </c>
      <c r="I1763" s="37" t="n">
        <v>31.9</v>
      </c>
      <c r="J1763" s="39" t="n">
        <v>649.99</v>
      </c>
      <c r="K1763" s="37" t="s">
        <v>342</v>
      </c>
      <c r="L1763" s="39" t="n">
        <v>102.5</v>
      </c>
      <c r="M1763" s="39" t="n">
        <v>58.8</v>
      </c>
      <c r="N1763" s="39" t="n">
        <f aca="false">J1763*Resumo!$C$6</f>
        <v>0</v>
      </c>
      <c r="O1763" s="39" t="n">
        <f aca="false">J1763*Resumo!$C$7</f>
        <v>1.364979</v>
      </c>
      <c r="P1763" s="39" t="n">
        <f aca="false">J1763*Resumo!$C$8</f>
        <v>1.364979</v>
      </c>
      <c r="Q1763" s="39" t="n">
        <f aca="false">Resumo!$C$10*CEILING(I1763/100,1)</f>
        <v>1.05</v>
      </c>
      <c r="R1763" s="39" t="n">
        <f aca="false">Resumo!$C$9</f>
        <v>0</v>
      </c>
      <c r="S1763" s="39" t="n">
        <f aca="false">Resumo!$C$13</f>
        <v>13.55</v>
      </c>
      <c r="T1763" s="39" t="n">
        <f aca="false">Resumo!$C$14*CEILING(I1763,1)</f>
        <v>14.4</v>
      </c>
      <c r="U1763" s="39" t="n">
        <f aca="false">SUM(M1763:T1763)*Resumo!$C$11</f>
        <v>0</v>
      </c>
      <c r="V1763" s="39" t="n">
        <f aca="false">SUM(M1763:U1763)</f>
        <v>90.529958</v>
      </c>
      <c r="W1763" s="39" t="n">
        <f aca="false">V1763/(1-Resumo!$C$5)</f>
        <v>102.874952272727</v>
      </c>
      <c r="X1763" s="39" t="n">
        <v>100.58</v>
      </c>
      <c r="Y1763" s="39" t="n">
        <f aca="false">J1763*Resumo!$B$6</f>
        <v>0.64999</v>
      </c>
      <c r="Z1763" s="39" t="n">
        <f aca="false">J1763*Resumo!$B$7</f>
        <v>1.29998</v>
      </c>
      <c r="AA1763" s="39" t="n">
        <f aca="false">Resumo!$B$9</f>
        <v>1</v>
      </c>
      <c r="AB1763" s="39" t="n">
        <f aca="false">Resumo!$B$10*CEILING(I1763/100,1)</f>
        <v>4.5</v>
      </c>
      <c r="AC1763" s="39" t="n">
        <f aca="false">Resumo!$B$12*CEILING(I1763,1)</f>
        <v>1.92</v>
      </c>
      <c r="AD1763" s="39" t="n">
        <f aca="false">Resumo!$B$14*CEILING(I1763,1)</f>
        <v>14.4</v>
      </c>
      <c r="AE1763" s="39" t="n">
        <f aca="false">SUM(X1763:AD1763)</f>
        <v>124.34997</v>
      </c>
      <c r="AF1763" s="39" t="n">
        <f aca="false">AE1763/(1-Resumo!$B$5)</f>
        <v>141.306784090909</v>
      </c>
      <c r="AG1763" s="39" t="n">
        <f aca="false">AF1763-W1763</f>
        <v>38.4318318181818</v>
      </c>
      <c r="AH1763" s="40" t="n">
        <f aca="false">AF1763/W1763-1</f>
        <v>0.373578125375911</v>
      </c>
      <c r="AI1763" s="37" t="str">
        <f aca="false">IF(AF1763&lt;W1763,"SIM","NÃO")</f>
        <v>NÃO</v>
      </c>
      <c r="AJ1763" s="37" t="n">
        <v>2</v>
      </c>
      <c r="AK1763" s="37" t="n">
        <v>7</v>
      </c>
      <c r="AL1763" s="37" t="s">
        <v>343</v>
      </c>
      <c r="AM1763" s="39" t="n">
        <v>102.5</v>
      </c>
    </row>
    <row r="1764" customFormat="false" ht="15" hidden="false" customHeight="false" outlineLevel="0" collapsed="false">
      <c r="A1764" s="37" t="n">
        <v>393654673</v>
      </c>
      <c r="B1764" s="38" t="n">
        <v>46277.910787037</v>
      </c>
      <c r="C1764" s="37" t="s">
        <v>340</v>
      </c>
      <c r="D1764" s="37" t="s">
        <v>1944</v>
      </c>
      <c r="E1764" s="37" t="n">
        <v>27347370</v>
      </c>
      <c r="F1764" s="37" t="s">
        <v>247</v>
      </c>
      <c r="G1764" s="37" t="s">
        <v>198</v>
      </c>
      <c r="H1764" s="37" t="s">
        <v>188</v>
      </c>
      <c r="I1764" s="37" t="n">
        <v>63.9</v>
      </c>
      <c r="J1764" s="39" t="n">
        <v>716.35</v>
      </c>
      <c r="K1764" s="37" t="s">
        <v>342</v>
      </c>
      <c r="L1764" s="39" t="n">
        <v>155.44</v>
      </c>
      <c r="M1764" s="39" t="n">
        <v>90.2</v>
      </c>
      <c r="N1764" s="39" t="n">
        <f aca="false">J1764*Resumo!$C$6</f>
        <v>0</v>
      </c>
      <c r="O1764" s="39" t="n">
        <f aca="false">J1764*Resumo!$C$7</f>
        <v>1.504335</v>
      </c>
      <c r="P1764" s="39" t="n">
        <f aca="false">J1764*Resumo!$C$8</f>
        <v>1.504335</v>
      </c>
      <c r="Q1764" s="39" t="n">
        <f aca="false">Resumo!$C$10*CEILING(I1764/100,1)</f>
        <v>1.05</v>
      </c>
      <c r="R1764" s="39" t="n">
        <f aca="false">Resumo!$C$9</f>
        <v>0</v>
      </c>
      <c r="S1764" s="39" t="n">
        <f aca="false">Resumo!$C$13</f>
        <v>13.55</v>
      </c>
      <c r="T1764" s="39" t="n">
        <f aca="false">Resumo!$C$14*CEILING(I1764,1)</f>
        <v>28.8</v>
      </c>
      <c r="U1764" s="39" t="n">
        <f aca="false">SUM(M1764:T1764)*Resumo!$C$11</f>
        <v>0</v>
      </c>
      <c r="V1764" s="39" t="n">
        <f aca="false">SUM(M1764:U1764)</f>
        <v>136.60867</v>
      </c>
      <c r="W1764" s="39" t="n">
        <f aca="false">V1764/(1-Resumo!$C$5)</f>
        <v>155.237125</v>
      </c>
      <c r="X1764" s="39" t="n">
        <v>166.05</v>
      </c>
      <c r="Y1764" s="39" t="n">
        <f aca="false">J1764*Resumo!$B$6</f>
        <v>0.71635</v>
      </c>
      <c r="Z1764" s="39" t="n">
        <f aca="false">J1764*Resumo!$B$7</f>
        <v>1.4327</v>
      </c>
      <c r="AA1764" s="39" t="n">
        <f aca="false">Resumo!$B$9</f>
        <v>1</v>
      </c>
      <c r="AB1764" s="39" t="n">
        <f aca="false">Resumo!$B$10*CEILING(I1764/100,1)</f>
        <v>4.5</v>
      </c>
      <c r="AC1764" s="39" t="n">
        <f aca="false">Resumo!$B$12*CEILING(I1764,1)</f>
        <v>3.84</v>
      </c>
      <c r="AD1764" s="39" t="n">
        <f aca="false">Resumo!$B$14*CEILING(I1764,1)</f>
        <v>28.8</v>
      </c>
      <c r="AE1764" s="39" t="n">
        <f aca="false">SUM(X1764:AD1764)</f>
        <v>206.33905</v>
      </c>
      <c r="AF1764" s="39" t="n">
        <f aca="false">AE1764/(1-Resumo!$B$5)</f>
        <v>234.476193181818</v>
      </c>
      <c r="AG1764" s="39" t="n">
        <f aca="false">AF1764-W1764</f>
        <v>79.2390681818182</v>
      </c>
      <c r="AH1764" s="40" t="n">
        <f aca="false">AF1764/W1764-1</f>
        <v>0.51043890552481</v>
      </c>
      <c r="AI1764" s="37" t="str">
        <f aca="false">IF(AF1764&lt;W1764,"SIM","NÃO")</f>
        <v>NÃO</v>
      </c>
      <c r="AJ1764" s="37" t="n">
        <v>13</v>
      </c>
      <c r="AK1764" s="37" t="n">
        <v>10</v>
      </c>
      <c r="AL1764" s="37" t="s">
        <v>347</v>
      </c>
      <c r="AM1764" s="39" t="n">
        <v>155.45</v>
      </c>
    </row>
    <row r="1765" customFormat="false" ht="15" hidden="false" customHeight="false" outlineLevel="0" collapsed="false">
      <c r="A1765" s="37" t="n">
        <v>393654861</v>
      </c>
      <c r="B1765" s="38" t="n">
        <v>46277.9111226852</v>
      </c>
      <c r="C1765" s="37" t="s">
        <v>340</v>
      </c>
      <c r="D1765" s="37" t="s">
        <v>1945</v>
      </c>
      <c r="E1765" s="37" t="n">
        <v>20960045</v>
      </c>
      <c r="F1765" s="37" t="s">
        <v>159</v>
      </c>
      <c r="G1765" s="37" t="s">
        <v>196</v>
      </c>
      <c r="H1765" s="37" t="s">
        <v>192</v>
      </c>
      <c r="I1765" s="37" t="n">
        <v>124.2</v>
      </c>
      <c r="J1765" s="39" t="n">
        <v>1699.99</v>
      </c>
      <c r="K1765" s="37" t="s">
        <v>342</v>
      </c>
      <c r="L1765" s="39" t="n">
        <v>234.44</v>
      </c>
      <c r="M1765" s="39" t="n">
        <v>120.59</v>
      </c>
      <c r="N1765" s="39" t="n">
        <f aca="false">J1765*Resumo!$C$6</f>
        <v>0</v>
      </c>
      <c r="O1765" s="39" t="n">
        <f aca="false">J1765*Resumo!$C$7</f>
        <v>3.569979</v>
      </c>
      <c r="P1765" s="39" t="n">
        <f aca="false">J1765*Resumo!$C$8</f>
        <v>3.569979</v>
      </c>
      <c r="Q1765" s="39" t="n">
        <f aca="false">Resumo!$C$10*CEILING(I1765/100,1)</f>
        <v>2.1</v>
      </c>
      <c r="R1765" s="39" t="n">
        <f aca="false">Resumo!$C$9</f>
        <v>0</v>
      </c>
      <c r="S1765" s="39" t="n">
        <f aca="false">Resumo!$C$13</f>
        <v>13.55</v>
      </c>
      <c r="T1765" s="39" t="n">
        <f aca="false">Resumo!$C$14*CEILING(I1765,1)</f>
        <v>56.25</v>
      </c>
      <c r="U1765" s="39" t="n">
        <f aca="false">SUM(M1765:T1765)*Resumo!$C$11</f>
        <v>0</v>
      </c>
      <c r="V1765" s="39" t="n">
        <f aca="false">SUM(M1765:U1765)</f>
        <v>199.629958</v>
      </c>
      <c r="W1765" s="39" t="n">
        <f aca="false">V1765/(1-Resumo!$C$5)</f>
        <v>226.852225</v>
      </c>
      <c r="X1765" s="39" t="n">
        <v>239.25</v>
      </c>
      <c r="Y1765" s="39" t="n">
        <f aca="false">J1765*Resumo!$B$6</f>
        <v>1.69999</v>
      </c>
      <c r="Z1765" s="39" t="n">
        <f aca="false">J1765*Resumo!$B$7</f>
        <v>3.39998</v>
      </c>
      <c r="AA1765" s="39" t="n">
        <f aca="false">Resumo!$B$9</f>
        <v>1</v>
      </c>
      <c r="AB1765" s="39" t="n">
        <f aca="false">Resumo!$B$10*CEILING(I1765/100,1)</f>
        <v>9</v>
      </c>
      <c r="AC1765" s="39" t="n">
        <f aca="false">Resumo!$B$12*CEILING(I1765,1)</f>
        <v>7.5</v>
      </c>
      <c r="AD1765" s="39" t="n">
        <f aca="false">Resumo!$B$14*CEILING(I1765,1)</f>
        <v>56.25</v>
      </c>
      <c r="AE1765" s="39" t="n">
        <f aca="false">SUM(X1765:AD1765)</f>
        <v>318.09997</v>
      </c>
      <c r="AF1765" s="39" t="n">
        <f aca="false">AE1765/(1-Resumo!$B$5)</f>
        <v>361.477238636364</v>
      </c>
      <c r="AG1765" s="39" t="n">
        <f aca="false">AF1765-W1765</f>
        <v>134.625013636364</v>
      </c>
      <c r="AH1765" s="40" t="n">
        <f aca="false">AF1765/W1765-1</f>
        <v>0.593448063541645</v>
      </c>
      <c r="AI1765" s="37" t="str">
        <f aca="false">IF(AF1765&lt;W1765,"SIM","NÃO")</f>
        <v>NÃO</v>
      </c>
      <c r="AJ1765" s="37" t="n">
        <v>2</v>
      </c>
      <c r="AK1765" s="37" t="n">
        <v>5</v>
      </c>
      <c r="AL1765" s="37" t="s">
        <v>343</v>
      </c>
      <c r="AM1765" s="39" t="n">
        <v>234.44</v>
      </c>
    </row>
    <row r="1766" customFormat="false" ht="15" hidden="false" customHeight="false" outlineLevel="0" collapsed="false">
      <c r="A1766" s="37" t="n">
        <v>393671081</v>
      </c>
      <c r="B1766" s="38" t="n">
        <v>46277.9438194444</v>
      </c>
      <c r="C1766" s="37" t="s">
        <v>340</v>
      </c>
      <c r="D1766" s="37" t="s">
        <v>1946</v>
      </c>
      <c r="E1766" s="37" t="n">
        <v>24330060</v>
      </c>
      <c r="F1766" s="37" t="s">
        <v>163</v>
      </c>
      <c r="G1766" s="37" t="s">
        <v>197</v>
      </c>
      <c r="H1766" s="37" t="s">
        <v>187</v>
      </c>
      <c r="I1766" s="37" t="n">
        <v>52.3</v>
      </c>
      <c r="J1766" s="39" t="n">
        <v>645.14</v>
      </c>
      <c r="K1766" s="37" t="s">
        <v>342</v>
      </c>
      <c r="L1766" s="39" t="n">
        <v>128.38</v>
      </c>
      <c r="M1766" s="39" t="n">
        <v>70.98</v>
      </c>
      <c r="N1766" s="39" t="n">
        <f aca="false">J1766*Resumo!$C$6</f>
        <v>0</v>
      </c>
      <c r="O1766" s="39" t="n">
        <f aca="false">J1766*Resumo!$C$7</f>
        <v>1.354794</v>
      </c>
      <c r="P1766" s="39" t="n">
        <f aca="false">J1766*Resumo!$C$8</f>
        <v>1.354794</v>
      </c>
      <c r="Q1766" s="39" t="n">
        <f aca="false">Resumo!$C$10*CEILING(I1766/100,1)</f>
        <v>1.05</v>
      </c>
      <c r="R1766" s="39" t="n">
        <f aca="false">Resumo!$C$9</f>
        <v>0</v>
      </c>
      <c r="S1766" s="39" t="n">
        <f aca="false">Resumo!$C$13</f>
        <v>13.55</v>
      </c>
      <c r="T1766" s="39" t="n">
        <f aca="false">Resumo!$C$14*CEILING(I1766,1)</f>
        <v>23.85</v>
      </c>
      <c r="U1766" s="39" t="n">
        <f aca="false">SUM(M1766:T1766)*Resumo!$C$11</f>
        <v>0</v>
      </c>
      <c r="V1766" s="39" t="n">
        <f aca="false">SUM(M1766:U1766)</f>
        <v>112.139588</v>
      </c>
      <c r="W1766" s="39" t="n">
        <f aca="false">V1766/(1-Resumo!$C$5)</f>
        <v>127.43135</v>
      </c>
      <c r="X1766" s="39" t="n">
        <v>128.14</v>
      </c>
      <c r="Y1766" s="39" t="n">
        <f aca="false">J1766*Resumo!$B$6</f>
        <v>0.64514</v>
      </c>
      <c r="Z1766" s="39" t="n">
        <f aca="false">J1766*Resumo!$B$7</f>
        <v>1.29028</v>
      </c>
      <c r="AA1766" s="39" t="n">
        <f aca="false">Resumo!$B$9</f>
        <v>1</v>
      </c>
      <c r="AB1766" s="39" t="n">
        <f aca="false">Resumo!$B$10*CEILING(I1766/100,1)</f>
        <v>4.5</v>
      </c>
      <c r="AC1766" s="39" t="n">
        <f aca="false">Resumo!$B$12*CEILING(I1766,1)</f>
        <v>3.18</v>
      </c>
      <c r="AD1766" s="39" t="n">
        <f aca="false">Resumo!$B$14*CEILING(I1766,1)</f>
        <v>23.85</v>
      </c>
      <c r="AE1766" s="39" t="n">
        <f aca="false">SUM(X1766:AD1766)</f>
        <v>162.60542</v>
      </c>
      <c r="AF1766" s="39" t="n">
        <f aca="false">AE1766/(1-Resumo!$B$5)</f>
        <v>184.778886363636</v>
      </c>
      <c r="AG1766" s="39" t="n">
        <f aca="false">AF1766-W1766</f>
        <v>57.3475363636363</v>
      </c>
      <c r="AH1766" s="40" t="n">
        <f aca="false">AF1766/W1766-1</f>
        <v>0.45002690753599</v>
      </c>
      <c r="AI1766" s="37" t="str">
        <f aca="false">IF(AF1766&lt;W1766,"SIM","NÃO")</f>
        <v>NÃO</v>
      </c>
      <c r="AJ1766" s="37" t="n">
        <v>2</v>
      </c>
      <c r="AK1766" s="37" t="n">
        <v>7</v>
      </c>
      <c r="AL1766" s="37" t="s">
        <v>343</v>
      </c>
      <c r="AM1766" s="39" t="n">
        <v>128.37</v>
      </c>
    </row>
    <row r="1767" customFormat="false" ht="15" hidden="false" customHeight="false" outlineLevel="0" collapsed="false">
      <c r="A1767" s="37" t="n">
        <v>393702937</v>
      </c>
      <c r="B1767" s="38" t="n">
        <v>46278.0131134259</v>
      </c>
      <c r="C1767" s="37" t="s">
        <v>340</v>
      </c>
      <c r="D1767" s="37" t="s">
        <v>1947</v>
      </c>
      <c r="E1767" s="37" t="n">
        <v>24460310</v>
      </c>
      <c r="F1767" s="37" t="s">
        <v>160</v>
      </c>
      <c r="G1767" s="37" t="s">
        <v>197</v>
      </c>
      <c r="H1767" s="37" t="s">
        <v>188</v>
      </c>
      <c r="I1767" s="37" t="n">
        <v>66.8</v>
      </c>
      <c r="J1767" s="39" t="n">
        <v>719.99</v>
      </c>
      <c r="K1767" s="37" t="s">
        <v>342</v>
      </c>
      <c r="L1767" s="39" t="n">
        <v>139.89</v>
      </c>
      <c r="M1767" s="39" t="n">
        <v>76.55</v>
      </c>
      <c r="N1767" s="39" t="n">
        <f aca="false">J1767*Resumo!$C$6</f>
        <v>0</v>
      </c>
      <c r="O1767" s="39" t="n">
        <f aca="false">J1767*Resumo!$C$7</f>
        <v>1.511979</v>
      </c>
      <c r="P1767" s="39" t="n">
        <f aca="false">J1767*Resumo!$C$8</f>
        <v>1.511979</v>
      </c>
      <c r="Q1767" s="39" t="n">
        <f aca="false">Resumo!$C$10*CEILING(I1767/100,1)</f>
        <v>1.05</v>
      </c>
      <c r="R1767" s="39" t="n">
        <f aca="false">Resumo!$C$9</f>
        <v>0</v>
      </c>
      <c r="S1767" s="39" t="n">
        <f aca="false">Resumo!$C$13</f>
        <v>13.55</v>
      </c>
      <c r="T1767" s="39" t="n">
        <f aca="false">Resumo!$C$14*CEILING(I1767,1)</f>
        <v>30.15</v>
      </c>
      <c r="U1767" s="39" t="n">
        <f aca="false">SUM(M1767:T1767)*Resumo!$C$11</f>
        <v>0</v>
      </c>
      <c r="V1767" s="39" t="n">
        <f aca="false">SUM(M1767:U1767)</f>
        <v>124.323958</v>
      </c>
      <c r="W1767" s="39" t="n">
        <f aca="false">V1767/(1-Resumo!$C$5)</f>
        <v>141.277225</v>
      </c>
      <c r="X1767" s="39" t="n">
        <v>149.5</v>
      </c>
      <c r="Y1767" s="39" t="n">
        <f aca="false">J1767*Resumo!$B$6</f>
        <v>0.71999</v>
      </c>
      <c r="Z1767" s="39" t="n">
        <f aca="false">J1767*Resumo!$B$7</f>
        <v>1.43998</v>
      </c>
      <c r="AA1767" s="39" t="n">
        <f aca="false">Resumo!$B$9</f>
        <v>1</v>
      </c>
      <c r="AB1767" s="39" t="n">
        <f aca="false">Resumo!$B$10*CEILING(I1767/100,1)</f>
        <v>4.5</v>
      </c>
      <c r="AC1767" s="39" t="n">
        <f aca="false">Resumo!$B$12*CEILING(I1767,1)</f>
        <v>4.02</v>
      </c>
      <c r="AD1767" s="39" t="n">
        <f aca="false">Resumo!$B$14*CEILING(I1767,1)</f>
        <v>30.15</v>
      </c>
      <c r="AE1767" s="39" t="n">
        <f aca="false">SUM(X1767:AD1767)</f>
        <v>191.32997</v>
      </c>
      <c r="AF1767" s="39" t="n">
        <f aca="false">AE1767/(1-Resumo!$B$5)</f>
        <v>217.420420454545</v>
      </c>
      <c r="AG1767" s="39" t="n">
        <f aca="false">AF1767-W1767</f>
        <v>76.1431954545454</v>
      </c>
      <c r="AH1767" s="40" t="n">
        <f aca="false">AF1767/W1767-1</f>
        <v>0.538962988935729</v>
      </c>
      <c r="AI1767" s="37" t="str">
        <f aca="false">IF(AF1767&lt;W1767,"SIM","NÃO")</f>
        <v>NÃO</v>
      </c>
      <c r="AJ1767" s="37" t="n">
        <v>2</v>
      </c>
      <c r="AK1767" s="37" t="n">
        <v>7</v>
      </c>
      <c r="AL1767" s="37" t="s">
        <v>343</v>
      </c>
      <c r="AM1767" s="39" t="n">
        <v>139.88</v>
      </c>
    </row>
    <row r="1768" customFormat="false" ht="15" hidden="false" customHeight="false" outlineLevel="0" collapsed="false">
      <c r="A1768" s="37" t="n">
        <v>393836138</v>
      </c>
      <c r="B1768" s="38" t="n">
        <v>46278.2715856481</v>
      </c>
      <c r="C1768" s="37" t="s">
        <v>340</v>
      </c>
      <c r="D1768" s="37" t="s">
        <v>1948</v>
      </c>
      <c r="E1768" s="37" t="n">
        <v>21921525</v>
      </c>
      <c r="F1768" s="37" t="s">
        <v>159</v>
      </c>
      <c r="G1768" s="37" t="s">
        <v>196</v>
      </c>
      <c r="H1768" s="37" t="s">
        <v>187</v>
      </c>
      <c r="I1768" s="37" t="n">
        <v>52.3</v>
      </c>
      <c r="J1768" s="39" t="n">
        <v>645.14</v>
      </c>
      <c r="K1768" s="37" t="s">
        <v>342</v>
      </c>
      <c r="L1768" s="39" t="n">
        <v>114.24</v>
      </c>
      <c r="M1768" s="39" t="n">
        <v>58.6</v>
      </c>
      <c r="N1768" s="39" t="n">
        <f aca="false">J1768*Resumo!$C$6</f>
        <v>0</v>
      </c>
      <c r="O1768" s="39" t="n">
        <f aca="false">J1768*Resumo!$C$7</f>
        <v>1.354794</v>
      </c>
      <c r="P1768" s="39" t="n">
        <f aca="false">J1768*Resumo!$C$8</f>
        <v>1.354794</v>
      </c>
      <c r="Q1768" s="39" t="n">
        <f aca="false">Resumo!$C$10*CEILING(I1768/100,1)</f>
        <v>1.05</v>
      </c>
      <c r="R1768" s="39" t="n">
        <f aca="false">Resumo!$C$9</f>
        <v>0</v>
      </c>
      <c r="S1768" s="39" t="n">
        <f aca="false">Resumo!$C$13</f>
        <v>13.55</v>
      </c>
      <c r="T1768" s="39" t="n">
        <f aca="false">Resumo!$C$14*CEILING(I1768,1)</f>
        <v>23.85</v>
      </c>
      <c r="U1768" s="39" t="n">
        <f aca="false">SUM(M1768:T1768)*Resumo!$C$11</f>
        <v>0</v>
      </c>
      <c r="V1768" s="39" t="n">
        <f aca="false">SUM(M1768:U1768)</f>
        <v>99.759588</v>
      </c>
      <c r="W1768" s="39" t="n">
        <f aca="false">V1768/(1-Resumo!$C$5)</f>
        <v>113.363168181818</v>
      </c>
      <c r="X1768" s="39" t="n">
        <v>112.3</v>
      </c>
      <c r="Y1768" s="39" t="n">
        <f aca="false">J1768*Resumo!$B$6</f>
        <v>0.64514</v>
      </c>
      <c r="Z1768" s="39" t="n">
        <f aca="false">J1768*Resumo!$B$7</f>
        <v>1.29028</v>
      </c>
      <c r="AA1768" s="39" t="n">
        <f aca="false">Resumo!$B$9</f>
        <v>1</v>
      </c>
      <c r="AB1768" s="39" t="n">
        <f aca="false">Resumo!$B$10*CEILING(I1768/100,1)</f>
        <v>4.5</v>
      </c>
      <c r="AC1768" s="39" t="n">
        <f aca="false">Resumo!$B$12*CEILING(I1768,1)</f>
        <v>3.18</v>
      </c>
      <c r="AD1768" s="39" t="n">
        <f aca="false">Resumo!$B$14*CEILING(I1768,1)</f>
        <v>23.85</v>
      </c>
      <c r="AE1768" s="39" t="n">
        <f aca="false">SUM(X1768:AD1768)</f>
        <v>146.76542</v>
      </c>
      <c r="AF1768" s="39" t="n">
        <f aca="false">AE1768/(1-Resumo!$B$5)</f>
        <v>166.778886363636</v>
      </c>
      <c r="AG1768" s="39" t="n">
        <f aca="false">AF1768-W1768</f>
        <v>53.4157181818182</v>
      </c>
      <c r="AH1768" s="40" t="n">
        <f aca="false">AF1768/W1768-1</f>
        <v>0.471191119995403</v>
      </c>
      <c r="AI1768" s="37" t="str">
        <f aca="false">IF(AF1768&lt;W1768,"SIM","NÃO")</f>
        <v>NÃO</v>
      </c>
      <c r="AJ1768" s="37" t="n">
        <v>2</v>
      </c>
      <c r="AK1768" s="37" t="n">
        <v>5</v>
      </c>
      <c r="AL1768" s="37" t="s">
        <v>343</v>
      </c>
      <c r="AM1768" s="39" t="n">
        <v>114.24</v>
      </c>
    </row>
    <row r="1769" customFormat="false" ht="15" hidden="false" customHeight="false" outlineLevel="0" collapsed="false">
      <c r="A1769" s="37" t="n">
        <v>393895716</v>
      </c>
      <c r="B1769" s="38" t="n">
        <v>46278.3925925926</v>
      </c>
      <c r="C1769" s="37" t="s">
        <v>340</v>
      </c>
      <c r="D1769" s="37" t="s">
        <v>1949</v>
      </c>
      <c r="E1769" s="37" t="n">
        <v>24717070</v>
      </c>
      <c r="F1769" s="37" t="s">
        <v>160</v>
      </c>
      <c r="G1769" s="37" t="s">
        <v>197</v>
      </c>
      <c r="H1769" s="37" t="s">
        <v>184</v>
      </c>
      <c r="I1769" s="37" t="n">
        <v>33</v>
      </c>
      <c r="J1769" s="39" t="n">
        <v>344.13</v>
      </c>
      <c r="K1769" s="37" t="s">
        <v>342</v>
      </c>
      <c r="L1769" s="39" t="n">
        <v>101.05</v>
      </c>
      <c r="M1769" s="39" t="n">
        <v>58.8</v>
      </c>
      <c r="N1769" s="39" t="n">
        <f aca="false">J1769*Resumo!$C$6</f>
        <v>0</v>
      </c>
      <c r="O1769" s="39" t="n">
        <f aca="false">J1769*Resumo!$C$7</f>
        <v>0.722673</v>
      </c>
      <c r="P1769" s="39" t="n">
        <f aca="false">J1769*Resumo!$C$8</f>
        <v>0.722673</v>
      </c>
      <c r="Q1769" s="39" t="n">
        <f aca="false">Resumo!$C$10*CEILING(I1769/100,1)</f>
        <v>1.05</v>
      </c>
      <c r="R1769" s="39" t="n">
        <f aca="false">Resumo!$C$9</f>
        <v>0</v>
      </c>
      <c r="S1769" s="39" t="n">
        <f aca="false">Resumo!$C$13</f>
        <v>13.55</v>
      </c>
      <c r="T1769" s="39" t="n">
        <f aca="false">Resumo!$C$14*CEILING(I1769,1)</f>
        <v>14.85</v>
      </c>
      <c r="U1769" s="39" t="n">
        <f aca="false">SUM(M1769:T1769)*Resumo!$C$11</f>
        <v>0</v>
      </c>
      <c r="V1769" s="39" t="n">
        <f aca="false">SUM(M1769:U1769)</f>
        <v>89.695346</v>
      </c>
      <c r="W1769" s="39" t="n">
        <f aca="false">V1769/(1-Resumo!$C$5)</f>
        <v>101.926529545455</v>
      </c>
      <c r="X1769" s="39" t="n">
        <v>100.58</v>
      </c>
      <c r="Y1769" s="39" t="n">
        <f aca="false">J1769*Resumo!$B$6</f>
        <v>0.34413</v>
      </c>
      <c r="Z1769" s="39" t="n">
        <f aca="false">J1769*Resumo!$B$7</f>
        <v>0.68826</v>
      </c>
      <c r="AA1769" s="39" t="n">
        <f aca="false">Resumo!$B$9</f>
        <v>1</v>
      </c>
      <c r="AB1769" s="39" t="n">
        <f aca="false">Resumo!$B$10*CEILING(I1769/100,1)</f>
        <v>4.5</v>
      </c>
      <c r="AC1769" s="39" t="n">
        <f aca="false">Resumo!$B$12*CEILING(I1769,1)</f>
        <v>1.98</v>
      </c>
      <c r="AD1769" s="39" t="n">
        <f aca="false">Resumo!$B$14*CEILING(I1769,1)</f>
        <v>14.85</v>
      </c>
      <c r="AE1769" s="39" t="n">
        <f aca="false">SUM(X1769:AD1769)</f>
        <v>123.94239</v>
      </c>
      <c r="AF1769" s="39" t="n">
        <f aca="false">AE1769/(1-Resumo!$B$5)</f>
        <v>140.843625</v>
      </c>
      <c r="AG1769" s="39" t="n">
        <f aca="false">AF1769-W1769</f>
        <v>38.9170954545454</v>
      </c>
      <c r="AH1769" s="40" t="n">
        <f aca="false">AF1769/W1769-1</f>
        <v>0.381815172439382</v>
      </c>
      <c r="AI1769" s="37" t="str">
        <f aca="false">IF(AF1769&lt;W1769,"SIM","NÃO")</f>
        <v>NÃO</v>
      </c>
      <c r="AJ1769" s="37" t="n">
        <v>2</v>
      </c>
      <c r="AK1769" s="37" t="n">
        <v>7</v>
      </c>
      <c r="AL1769" s="37" t="s">
        <v>343</v>
      </c>
      <c r="AM1769" s="39" t="n">
        <v>101.04</v>
      </c>
    </row>
    <row r="1770" customFormat="false" ht="15" hidden="false" customHeight="false" outlineLevel="0" collapsed="false">
      <c r="A1770" s="37" t="n">
        <v>393896312</v>
      </c>
      <c r="B1770" s="38" t="n">
        <v>46278.3935069444</v>
      </c>
      <c r="C1770" s="37" t="s">
        <v>345</v>
      </c>
      <c r="D1770" s="37" t="s">
        <v>1709</v>
      </c>
      <c r="E1770" s="37" t="n">
        <v>22745270</v>
      </c>
      <c r="F1770" s="37" t="s">
        <v>159</v>
      </c>
      <c r="G1770" s="37" t="s">
        <v>196</v>
      </c>
      <c r="H1770" s="37" t="s">
        <v>188</v>
      </c>
      <c r="I1770" s="37" t="n">
        <v>69.15</v>
      </c>
      <c r="J1770" s="39" t="n">
        <v>740.03</v>
      </c>
      <c r="K1770" s="37" t="s">
        <v>342</v>
      </c>
      <c r="L1770" s="39" t="n">
        <v>124.75</v>
      </c>
      <c r="M1770" s="39" t="n">
        <v>63.21</v>
      </c>
      <c r="N1770" s="39" t="n">
        <f aca="false">J1770*Resumo!$C$6</f>
        <v>0</v>
      </c>
      <c r="O1770" s="39" t="n">
        <f aca="false">J1770*Resumo!$C$7</f>
        <v>1.554063</v>
      </c>
      <c r="P1770" s="39" t="n">
        <f aca="false">J1770*Resumo!$C$8</f>
        <v>1.554063</v>
      </c>
      <c r="Q1770" s="39" t="n">
        <f aca="false">Resumo!$C$10*CEILING(I1770/100,1)</f>
        <v>1.05</v>
      </c>
      <c r="R1770" s="39" t="n">
        <f aca="false">Resumo!$C$9</f>
        <v>0</v>
      </c>
      <c r="S1770" s="39" t="n">
        <f aca="false">Resumo!$C$13</f>
        <v>13.55</v>
      </c>
      <c r="T1770" s="39" t="n">
        <f aca="false">Resumo!$C$14*CEILING(I1770,1)</f>
        <v>31.5</v>
      </c>
      <c r="U1770" s="39" t="n">
        <f aca="false">SUM(M1770:T1770)*Resumo!$C$11</f>
        <v>0</v>
      </c>
      <c r="V1770" s="39" t="n">
        <f aca="false">SUM(M1770:U1770)</f>
        <v>112.418126</v>
      </c>
      <c r="W1770" s="39" t="n">
        <f aca="false">V1770/(1-Resumo!$C$5)</f>
        <v>127.747870454545</v>
      </c>
      <c r="X1770" s="39" t="n">
        <v>131.02</v>
      </c>
      <c r="Y1770" s="39" t="n">
        <f aca="false">J1770*Resumo!$B$6</f>
        <v>0.74003</v>
      </c>
      <c r="Z1770" s="39" t="n">
        <f aca="false">J1770*Resumo!$B$7</f>
        <v>1.48006</v>
      </c>
      <c r="AA1770" s="39" t="n">
        <f aca="false">Resumo!$B$9</f>
        <v>1</v>
      </c>
      <c r="AB1770" s="39" t="n">
        <f aca="false">Resumo!$B$10*CEILING(I1770/100,1)</f>
        <v>4.5</v>
      </c>
      <c r="AC1770" s="39" t="n">
        <f aca="false">Resumo!$B$12*CEILING(I1770,1)</f>
        <v>4.2</v>
      </c>
      <c r="AD1770" s="39" t="n">
        <f aca="false">Resumo!$B$14*CEILING(I1770,1)</f>
        <v>31.5</v>
      </c>
      <c r="AE1770" s="39" t="n">
        <f aca="false">SUM(X1770:AD1770)</f>
        <v>174.44009</v>
      </c>
      <c r="AF1770" s="39" t="n">
        <f aca="false">AE1770/(1-Resumo!$B$5)</f>
        <v>198.227375</v>
      </c>
      <c r="AG1770" s="39" t="n">
        <f aca="false">AF1770-W1770</f>
        <v>70.4795045454546</v>
      </c>
      <c r="AH1770" s="40" t="n">
        <f aca="false">AF1770/W1770-1</f>
        <v>0.551707862484739</v>
      </c>
      <c r="AI1770" s="37" t="str">
        <f aca="false">IF(AF1770&lt;W1770,"SIM","NÃO")</f>
        <v>NÃO</v>
      </c>
      <c r="AJ1770" s="37" t="n">
        <v>2</v>
      </c>
      <c r="AK1770" s="37" t="n">
        <v>5</v>
      </c>
      <c r="AL1770" s="37" t="s">
        <v>343</v>
      </c>
      <c r="AM1770" s="39" t="n">
        <v>124.75</v>
      </c>
    </row>
    <row r="1771" customFormat="false" ht="15" hidden="false" customHeight="false" outlineLevel="0" collapsed="false">
      <c r="A1771" s="37" t="n">
        <v>393918448</v>
      </c>
      <c r="B1771" s="38" t="n">
        <v>46278.4333796296</v>
      </c>
      <c r="C1771" s="37" t="s">
        <v>340</v>
      </c>
      <c r="D1771" s="37" t="s">
        <v>1950</v>
      </c>
      <c r="E1771" s="37" t="n">
        <v>22710092</v>
      </c>
      <c r="F1771" s="37" t="s">
        <v>159</v>
      </c>
      <c r="G1771" s="37" t="s">
        <v>196</v>
      </c>
      <c r="H1771" s="37" t="s">
        <v>184</v>
      </c>
      <c r="I1771" s="37" t="n">
        <v>31.9</v>
      </c>
      <c r="J1771" s="39" t="n">
        <v>599.99</v>
      </c>
      <c r="K1771" s="37" t="s">
        <v>342</v>
      </c>
      <c r="L1771" s="39" t="n">
        <v>83.2</v>
      </c>
      <c r="M1771" s="39" t="n">
        <v>42.11</v>
      </c>
      <c r="N1771" s="39" t="n">
        <f aca="false">J1771*Resumo!$C$6</f>
        <v>0</v>
      </c>
      <c r="O1771" s="39" t="n">
        <f aca="false">J1771*Resumo!$C$7</f>
        <v>1.259979</v>
      </c>
      <c r="P1771" s="39" t="n">
        <f aca="false">J1771*Resumo!$C$8</f>
        <v>1.259979</v>
      </c>
      <c r="Q1771" s="39" t="n">
        <f aca="false">Resumo!$C$10*CEILING(I1771/100,1)</f>
        <v>1.05</v>
      </c>
      <c r="R1771" s="39" t="n">
        <f aca="false">Resumo!$C$9</f>
        <v>0</v>
      </c>
      <c r="S1771" s="39" t="n">
        <f aca="false">Resumo!$C$13</f>
        <v>13.55</v>
      </c>
      <c r="T1771" s="39" t="n">
        <f aca="false">Resumo!$C$14*CEILING(I1771,1)</f>
        <v>14.4</v>
      </c>
      <c r="U1771" s="39" t="n">
        <f aca="false">SUM(M1771:T1771)*Resumo!$C$11</f>
        <v>0</v>
      </c>
      <c r="V1771" s="39" t="n">
        <f aca="false">SUM(M1771:U1771)</f>
        <v>73.629958</v>
      </c>
      <c r="W1771" s="39" t="n">
        <f aca="false">V1771/(1-Resumo!$C$5)</f>
        <v>83.6704068181818</v>
      </c>
      <c r="X1771" s="39" t="n">
        <v>82.21</v>
      </c>
      <c r="Y1771" s="39" t="n">
        <f aca="false">J1771*Resumo!$B$6</f>
        <v>0.59999</v>
      </c>
      <c r="Z1771" s="39" t="n">
        <f aca="false">J1771*Resumo!$B$7</f>
        <v>1.19998</v>
      </c>
      <c r="AA1771" s="39" t="n">
        <f aca="false">Resumo!$B$9</f>
        <v>1</v>
      </c>
      <c r="AB1771" s="39" t="n">
        <f aca="false">Resumo!$B$10*CEILING(I1771/100,1)</f>
        <v>4.5</v>
      </c>
      <c r="AC1771" s="39" t="n">
        <f aca="false">Resumo!$B$12*CEILING(I1771,1)</f>
        <v>1.92</v>
      </c>
      <c r="AD1771" s="39" t="n">
        <f aca="false">Resumo!$B$14*CEILING(I1771,1)</f>
        <v>14.4</v>
      </c>
      <c r="AE1771" s="39" t="n">
        <f aca="false">SUM(X1771:AD1771)</f>
        <v>105.82997</v>
      </c>
      <c r="AF1771" s="39" t="n">
        <f aca="false">AE1771/(1-Resumo!$B$5)</f>
        <v>120.261329545455</v>
      </c>
      <c r="AG1771" s="39" t="n">
        <f aca="false">AF1771-W1771</f>
        <v>36.5909227272727</v>
      </c>
      <c r="AH1771" s="40" t="n">
        <f aca="false">AF1771/W1771-1</f>
        <v>0.437322156288613</v>
      </c>
      <c r="AI1771" s="37" t="str">
        <f aca="false">IF(AF1771&lt;W1771,"SIM","NÃO")</f>
        <v>NÃO</v>
      </c>
      <c r="AJ1771" s="37" t="n">
        <v>2</v>
      </c>
      <c r="AK1771" s="37" t="n">
        <v>5</v>
      </c>
      <c r="AL1771" s="37" t="s">
        <v>343</v>
      </c>
      <c r="AM1771" s="39" t="n">
        <v>83.2</v>
      </c>
    </row>
    <row r="1772" customFormat="false" ht="15" hidden="false" customHeight="false" outlineLevel="0" collapsed="false">
      <c r="A1772" s="37" t="n">
        <v>393946921</v>
      </c>
      <c r="B1772" s="38" t="n">
        <v>46278.481712963</v>
      </c>
      <c r="C1772" s="37" t="s">
        <v>340</v>
      </c>
      <c r="D1772" s="37" t="s">
        <v>1951</v>
      </c>
      <c r="E1772" s="37" t="n">
        <v>20760005</v>
      </c>
      <c r="F1772" s="37" t="s">
        <v>159</v>
      </c>
      <c r="G1772" s="37" t="s">
        <v>196</v>
      </c>
      <c r="H1772" s="37" t="s">
        <v>188</v>
      </c>
      <c r="I1772" s="37" t="n">
        <v>67.3</v>
      </c>
      <c r="J1772" s="39" t="n">
        <v>789.99</v>
      </c>
      <c r="K1772" s="37" t="s">
        <v>342</v>
      </c>
      <c r="L1772" s="39" t="n">
        <v>124.99</v>
      </c>
      <c r="M1772" s="39" t="n">
        <v>63.21</v>
      </c>
      <c r="N1772" s="39" t="n">
        <f aca="false">J1772*Resumo!$C$6</f>
        <v>0</v>
      </c>
      <c r="O1772" s="39" t="n">
        <f aca="false">J1772*Resumo!$C$7</f>
        <v>1.658979</v>
      </c>
      <c r="P1772" s="39" t="n">
        <f aca="false">J1772*Resumo!$C$8</f>
        <v>1.658979</v>
      </c>
      <c r="Q1772" s="39" t="n">
        <f aca="false">Resumo!$C$10*CEILING(I1772/100,1)</f>
        <v>1.05</v>
      </c>
      <c r="R1772" s="39" t="n">
        <f aca="false">Resumo!$C$9</f>
        <v>0</v>
      </c>
      <c r="S1772" s="39" t="n">
        <f aca="false">Resumo!$C$13</f>
        <v>13.55</v>
      </c>
      <c r="T1772" s="39" t="n">
        <f aca="false">Resumo!$C$14*CEILING(I1772,1)</f>
        <v>30.6</v>
      </c>
      <c r="U1772" s="39" t="n">
        <f aca="false">SUM(M1772:T1772)*Resumo!$C$11</f>
        <v>0</v>
      </c>
      <c r="V1772" s="39" t="n">
        <f aca="false">SUM(M1772:U1772)</f>
        <v>111.727958</v>
      </c>
      <c r="W1772" s="39" t="n">
        <f aca="false">V1772/(1-Resumo!$C$5)</f>
        <v>126.963588636364</v>
      </c>
      <c r="X1772" s="39" t="n">
        <v>131.02</v>
      </c>
      <c r="Y1772" s="39" t="n">
        <f aca="false">J1772*Resumo!$B$6</f>
        <v>0.78999</v>
      </c>
      <c r="Z1772" s="39" t="n">
        <f aca="false">J1772*Resumo!$B$7</f>
        <v>1.57998</v>
      </c>
      <c r="AA1772" s="39" t="n">
        <f aca="false">Resumo!$B$9</f>
        <v>1</v>
      </c>
      <c r="AB1772" s="39" t="n">
        <f aca="false">Resumo!$B$10*CEILING(I1772/100,1)</f>
        <v>4.5</v>
      </c>
      <c r="AC1772" s="39" t="n">
        <f aca="false">Resumo!$B$12*CEILING(I1772,1)</f>
        <v>4.08</v>
      </c>
      <c r="AD1772" s="39" t="n">
        <f aca="false">Resumo!$B$14*CEILING(I1772,1)</f>
        <v>30.6</v>
      </c>
      <c r="AE1772" s="39" t="n">
        <f aca="false">SUM(X1772:AD1772)</f>
        <v>173.56997</v>
      </c>
      <c r="AF1772" s="39" t="n">
        <f aca="false">AE1772/(1-Resumo!$B$5)</f>
        <v>197.238602272727</v>
      </c>
      <c r="AG1772" s="39" t="n">
        <f aca="false">AF1772-W1772</f>
        <v>70.2750136363637</v>
      </c>
      <c r="AH1772" s="40" t="n">
        <f aca="false">AF1772/W1772-1</f>
        <v>0.553505256043434</v>
      </c>
      <c r="AI1772" s="37" t="str">
        <f aca="false">IF(AF1772&lt;W1772,"SIM","NÃO")</f>
        <v>NÃO</v>
      </c>
      <c r="AJ1772" s="37" t="n">
        <v>2</v>
      </c>
      <c r="AK1772" s="37" t="n">
        <v>5</v>
      </c>
      <c r="AL1772" s="37" t="s">
        <v>343</v>
      </c>
      <c r="AM1772" s="39" t="n">
        <v>124.99</v>
      </c>
    </row>
    <row r="1773" customFormat="false" ht="15" hidden="false" customHeight="false" outlineLevel="0" collapsed="false">
      <c r="A1773" s="37" t="n">
        <v>393956557</v>
      </c>
      <c r="B1773" s="38" t="n">
        <v>46278.4972685185</v>
      </c>
      <c r="C1773" s="37" t="s">
        <v>345</v>
      </c>
      <c r="D1773" s="37" t="s">
        <v>1131</v>
      </c>
      <c r="E1773" s="37" t="n">
        <v>21725180</v>
      </c>
      <c r="F1773" s="37" t="s">
        <v>159</v>
      </c>
      <c r="G1773" s="37" t="s">
        <v>196</v>
      </c>
      <c r="H1773" s="37" t="s">
        <v>187</v>
      </c>
      <c r="I1773" s="37" t="n">
        <v>52.3</v>
      </c>
      <c r="J1773" s="39" t="n">
        <v>609.99</v>
      </c>
      <c r="K1773" s="37" t="s">
        <v>342</v>
      </c>
      <c r="L1773" s="39" t="n">
        <v>114.07</v>
      </c>
      <c r="M1773" s="39" t="n">
        <v>58.6</v>
      </c>
      <c r="N1773" s="39" t="n">
        <f aca="false">J1773*Resumo!$C$6</f>
        <v>0</v>
      </c>
      <c r="O1773" s="39" t="n">
        <f aca="false">J1773*Resumo!$C$7</f>
        <v>1.280979</v>
      </c>
      <c r="P1773" s="39" t="n">
        <f aca="false">J1773*Resumo!$C$8</f>
        <v>1.280979</v>
      </c>
      <c r="Q1773" s="39" t="n">
        <f aca="false">Resumo!$C$10*CEILING(I1773/100,1)</f>
        <v>1.05</v>
      </c>
      <c r="R1773" s="39" t="n">
        <f aca="false">Resumo!$C$9</f>
        <v>0</v>
      </c>
      <c r="S1773" s="39" t="n">
        <f aca="false">Resumo!$C$13</f>
        <v>13.55</v>
      </c>
      <c r="T1773" s="39" t="n">
        <f aca="false">Resumo!$C$14*CEILING(I1773,1)</f>
        <v>23.85</v>
      </c>
      <c r="U1773" s="39" t="n">
        <f aca="false">SUM(M1773:T1773)*Resumo!$C$11</f>
        <v>0</v>
      </c>
      <c r="V1773" s="39" t="n">
        <f aca="false">SUM(M1773:U1773)</f>
        <v>99.611958</v>
      </c>
      <c r="W1773" s="39" t="n">
        <f aca="false">V1773/(1-Resumo!$C$5)</f>
        <v>113.195406818182</v>
      </c>
      <c r="X1773" s="39" t="n">
        <v>112.3</v>
      </c>
      <c r="Y1773" s="39" t="n">
        <f aca="false">J1773*Resumo!$B$6</f>
        <v>0.60999</v>
      </c>
      <c r="Z1773" s="39" t="n">
        <f aca="false">J1773*Resumo!$B$7</f>
        <v>1.21998</v>
      </c>
      <c r="AA1773" s="39" t="n">
        <f aca="false">Resumo!$B$9</f>
        <v>1</v>
      </c>
      <c r="AB1773" s="39" t="n">
        <f aca="false">Resumo!$B$10*CEILING(I1773/100,1)</f>
        <v>4.5</v>
      </c>
      <c r="AC1773" s="39" t="n">
        <f aca="false">Resumo!$B$12*CEILING(I1773,1)</f>
        <v>3.18</v>
      </c>
      <c r="AD1773" s="39" t="n">
        <f aca="false">Resumo!$B$14*CEILING(I1773,1)</f>
        <v>23.85</v>
      </c>
      <c r="AE1773" s="39" t="n">
        <f aca="false">SUM(X1773:AD1773)</f>
        <v>146.65997</v>
      </c>
      <c r="AF1773" s="39" t="n">
        <f aca="false">AE1773/(1-Resumo!$B$5)</f>
        <v>166.659056818182</v>
      </c>
      <c r="AG1773" s="39" t="n">
        <f aca="false">AF1773-W1773</f>
        <v>53.46365</v>
      </c>
      <c r="AH1773" s="40" t="n">
        <f aca="false">AF1773/W1773-1</f>
        <v>0.472312892393903</v>
      </c>
      <c r="AI1773" s="37" t="str">
        <f aca="false">IF(AF1773&lt;W1773,"SIM","NÃO")</f>
        <v>NÃO</v>
      </c>
      <c r="AJ1773" s="37" t="n">
        <v>2</v>
      </c>
      <c r="AK1773" s="37" t="n">
        <v>5</v>
      </c>
      <c r="AL1773" s="37" t="s">
        <v>343</v>
      </c>
      <c r="AM1773" s="39" t="n">
        <v>114.07</v>
      </c>
    </row>
    <row r="1774" customFormat="false" ht="15" hidden="false" customHeight="false" outlineLevel="0" collapsed="false">
      <c r="A1774" s="37" t="n">
        <v>393961127</v>
      </c>
      <c r="B1774" s="38" t="n">
        <v>46278.5045833333</v>
      </c>
      <c r="C1774" s="37" t="s">
        <v>340</v>
      </c>
      <c r="D1774" s="37" t="s">
        <v>1952</v>
      </c>
      <c r="E1774" s="37" t="n">
        <v>20943000</v>
      </c>
      <c r="F1774" s="37" t="s">
        <v>159</v>
      </c>
      <c r="G1774" s="37" t="s">
        <v>196</v>
      </c>
      <c r="H1774" s="37" t="s">
        <v>185</v>
      </c>
      <c r="I1774" s="37" t="n">
        <v>37.2</v>
      </c>
      <c r="J1774" s="39" t="n">
        <v>399.99</v>
      </c>
      <c r="K1774" s="37" t="s">
        <v>342</v>
      </c>
      <c r="L1774" s="39" t="n">
        <v>91.77</v>
      </c>
      <c r="M1774" s="39" t="n">
        <v>48.35</v>
      </c>
      <c r="N1774" s="39" t="n">
        <f aca="false">J1774*Resumo!$C$6</f>
        <v>0</v>
      </c>
      <c r="O1774" s="39" t="n">
        <f aca="false">J1774*Resumo!$C$7</f>
        <v>0.839979</v>
      </c>
      <c r="P1774" s="39" t="n">
        <f aca="false">J1774*Resumo!$C$8</f>
        <v>0.839979</v>
      </c>
      <c r="Q1774" s="39" t="n">
        <f aca="false">Resumo!$C$10*CEILING(I1774/100,1)</f>
        <v>1.05</v>
      </c>
      <c r="R1774" s="39" t="n">
        <f aca="false">Resumo!$C$9</f>
        <v>0</v>
      </c>
      <c r="S1774" s="39" t="n">
        <f aca="false">Resumo!$C$13</f>
        <v>13.55</v>
      </c>
      <c r="T1774" s="39" t="n">
        <f aca="false">Resumo!$C$14*CEILING(I1774,1)</f>
        <v>17.1</v>
      </c>
      <c r="U1774" s="39" t="n">
        <f aca="false">SUM(M1774:T1774)*Resumo!$C$11</f>
        <v>0</v>
      </c>
      <c r="V1774" s="39" t="n">
        <f aca="false">SUM(M1774:U1774)</f>
        <v>81.729958</v>
      </c>
      <c r="W1774" s="39" t="n">
        <f aca="false">V1774/(1-Resumo!$C$5)</f>
        <v>92.8749522727273</v>
      </c>
      <c r="X1774" s="39" t="n">
        <v>93.97</v>
      </c>
      <c r="Y1774" s="39" t="n">
        <f aca="false">J1774*Resumo!$B$6</f>
        <v>0.39999</v>
      </c>
      <c r="Z1774" s="39" t="n">
        <f aca="false">J1774*Resumo!$B$7</f>
        <v>0.79998</v>
      </c>
      <c r="AA1774" s="39" t="n">
        <f aca="false">Resumo!$B$9</f>
        <v>1</v>
      </c>
      <c r="AB1774" s="39" t="n">
        <f aca="false">Resumo!$B$10*CEILING(I1774/100,1)</f>
        <v>4.5</v>
      </c>
      <c r="AC1774" s="39" t="n">
        <f aca="false">Resumo!$B$12*CEILING(I1774,1)</f>
        <v>2.28</v>
      </c>
      <c r="AD1774" s="39" t="n">
        <f aca="false">Resumo!$B$14*CEILING(I1774,1)</f>
        <v>17.1</v>
      </c>
      <c r="AE1774" s="39" t="n">
        <f aca="false">SUM(X1774:AD1774)</f>
        <v>120.04997</v>
      </c>
      <c r="AF1774" s="39" t="n">
        <f aca="false">AE1774/(1-Resumo!$B$5)</f>
        <v>136.420420454545</v>
      </c>
      <c r="AG1774" s="39" t="n">
        <f aca="false">AF1774-W1774</f>
        <v>43.5454681818182</v>
      </c>
      <c r="AH1774" s="40" t="n">
        <f aca="false">AF1774/W1774-1</f>
        <v>0.468861271163262</v>
      </c>
      <c r="AI1774" s="37" t="str">
        <f aca="false">IF(AF1774&lt;W1774,"SIM","NÃO")</f>
        <v>NÃO</v>
      </c>
      <c r="AJ1774" s="37" t="n">
        <v>2</v>
      </c>
      <c r="AK1774" s="37" t="n">
        <v>5</v>
      </c>
      <c r="AL1774" s="37" t="s">
        <v>343</v>
      </c>
      <c r="AM1774" s="39" t="n">
        <v>91.77</v>
      </c>
    </row>
    <row r="1775" customFormat="false" ht="15" hidden="false" customHeight="false" outlineLevel="0" collapsed="false">
      <c r="A1775" s="37" t="n">
        <v>393969544</v>
      </c>
      <c r="B1775" s="38" t="n">
        <v>46278.5187962963</v>
      </c>
      <c r="C1775" s="37" t="s">
        <v>345</v>
      </c>
      <c r="D1775" s="37" t="s">
        <v>1953</v>
      </c>
      <c r="E1775" s="37" t="n">
        <v>26053440</v>
      </c>
      <c r="F1775" s="37" t="s">
        <v>162</v>
      </c>
      <c r="G1775" s="37" t="s">
        <v>197</v>
      </c>
      <c r="H1775" s="37" t="s">
        <v>191</v>
      </c>
      <c r="I1775" s="37" t="n">
        <v>117</v>
      </c>
      <c r="J1775" s="39" t="n">
        <v>1201.97</v>
      </c>
      <c r="K1775" s="37" t="s">
        <v>342</v>
      </c>
      <c r="L1775" s="39" t="n">
        <v>195.58</v>
      </c>
      <c r="M1775" s="39" t="n">
        <v>101.26</v>
      </c>
      <c r="N1775" s="39" t="n">
        <f aca="false">J1775*Resumo!$C$6</f>
        <v>0</v>
      </c>
      <c r="O1775" s="39" t="n">
        <f aca="false">J1775*Resumo!$C$7</f>
        <v>2.524137</v>
      </c>
      <c r="P1775" s="39" t="n">
        <f aca="false">J1775*Resumo!$C$8</f>
        <v>2.524137</v>
      </c>
      <c r="Q1775" s="39" t="n">
        <f aca="false">Resumo!$C$10*CEILING(I1775/100,1)</f>
        <v>2.1</v>
      </c>
      <c r="R1775" s="39" t="n">
        <f aca="false">Resumo!$C$9</f>
        <v>0</v>
      </c>
      <c r="S1775" s="39" t="n">
        <f aca="false">Resumo!$C$13</f>
        <v>13.55</v>
      </c>
      <c r="T1775" s="39" t="n">
        <f aca="false">Resumo!$C$14*CEILING(I1775,1)</f>
        <v>52.65</v>
      </c>
      <c r="U1775" s="39" t="n">
        <f aca="false">SUM(M1775:T1775)*Resumo!$C$11</f>
        <v>0</v>
      </c>
      <c r="V1775" s="39" t="n">
        <f aca="false">SUM(M1775:U1775)</f>
        <v>174.608274</v>
      </c>
      <c r="W1775" s="39" t="n">
        <f aca="false">V1775/(1-Resumo!$C$5)</f>
        <v>198.418493181818</v>
      </c>
      <c r="X1775" s="39" t="n">
        <v>201.59</v>
      </c>
      <c r="Y1775" s="39" t="n">
        <f aca="false">J1775*Resumo!$B$6</f>
        <v>1.20197</v>
      </c>
      <c r="Z1775" s="39" t="n">
        <f aca="false">J1775*Resumo!$B$7</f>
        <v>2.40394</v>
      </c>
      <c r="AA1775" s="39" t="n">
        <f aca="false">Resumo!$B$9</f>
        <v>1</v>
      </c>
      <c r="AB1775" s="39" t="n">
        <f aca="false">Resumo!$B$10*CEILING(I1775/100,1)</f>
        <v>9</v>
      </c>
      <c r="AC1775" s="39" t="n">
        <f aca="false">Resumo!$B$12*CEILING(I1775,1)</f>
        <v>7.02</v>
      </c>
      <c r="AD1775" s="39" t="n">
        <f aca="false">Resumo!$B$14*CEILING(I1775,1)</f>
        <v>52.65</v>
      </c>
      <c r="AE1775" s="39" t="n">
        <f aca="false">SUM(X1775:AD1775)</f>
        <v>274.86591</v>
      </c>
      <c r="AF1775" s="39" t="n">
        <f aca="false">AE1775/(1-Resumo!$B$5)</f>
        <v>312.347625</v>
      </c>
      <c r="AG1775" s="39" t="n">
        <f aca="false">AF1775-W1775</f>
        <v>113.929131818182</v>
      </c>
      <c r="AH1775" s="40" t="n">
        <f aca="false">AF1775/W1775-1</f>
        <v>0.574186054894512</v>
      </c>
      <c r="AI1775" s="37" t="str">
        <f aca="false">IF(AF1775&lt;W1775,"SIM","NÃO")</f>
        <v>NÃO</v>
      </c>
      <c r="AJ1775" s="37" t="n">
        <v>2</v>
      </c>
      <c r="AK1775" s="37" t="n">
        <v>5</v>
      </c>
      <c r="AL1775" s="37" t="s">
        <v>343</v>
      </c>
      <c r="AM1775" s="39" t="n">
        <v>195.59</v>
      </c>
    </row>
    <row r="1776" customFormat="false" ht="15" hidden="false" customHeight="false" outlineLevel="0" collapsed="false">
      <c r="A1776" s="37" t="n">
        <v>393971962</v>
      </c>
      <c r="B1776" s="38" t="n">
        <v>46278.5229513889</v>
      </c>
      <c r="C1776" s="37" t="s">
        <v>340</v>
      </c>
      <c r="D1776" s="37" t="s">
        <v>1954</v>
      </c>
      <c r="E1776" s="37" t="n">
        <v>27185000</v>
      </c>
      <c r="F1776" s="37" t="s">
        <v>245</v>
      </c>
      <c r="G1776" s="37" t="s">
        <v>198</v>
      </c>
      <c r="H1776" s="37" t="s">
        <v>184</v>
      </c>
      <c r="I1776" s="37" t="n">
        <v>30.5</v>
      </c>
      <c r="J1776" s="39" t="n">
        <v>449.99</v>
      </c>
      <c r="K1776" s="37" t="s">
        <v>342</v>
      </c>
      <c r="L1776" s="39" t="n">
        <v>109.34</v>
      </c>
      <c r="M1776" s="39" t="n">
        <v>65.63</v>
      </c>
      <c r="N1776" s="39" t="n">
        <f aca="false">J1776*Resumo!$C$6</f>
        <v>0</v>
      </c>
      <c r="O1776" s="39" t="n">
        <f aca="false">J1776*Resumo!$C$7</f>
        <v>0.944979</v>
      </c>
      <c r="P1776" s="39" t="n">
        <f aca="false">J1776*Resumo!$C$8</f>
        <v>0.944979</v>
      </c>
      <c r="Q1776" s="39" t="n">
        <f aca="false">Resumo!$C$10*CEILING(I1776/100,1)</f>
        <v>1.05</v>
      </c>
      <c r="R1776" s="39" t="n">
        <f aca="false">Resumo!$C$9</f>
        <v>0</v>
      </c>
      <c r="S1776" s="39" t="n">
        <f aca="false">Resumo!$C$13</f>
        <v>13.55</v>
      </c>
      <c r="T1776" s="39" t="n">
        <f aca="false">Resumo!$C$14*CEILING(I1776,1)</f>
        <v>13.95</v>
      </c>
      <c r="U1776" s="39" t="n">
        <f aca="false">SUM(M1776:T1776)*Resumo!$C$11</f>
        <v>0</v>
      </c>
      <c r="V1776" s="39" t="n">
        <f aca="false">SUM(M1776:U1776)</f>
        <v>96.069958</v>
      </c>
      <c r="W1776" s="39" t="n">
        <f aca="false">V1776/(1-Resumo!$C$5)</f>
        <v>109.170406818182</v>
      </c>
      <c r="X1776" s="39" t="n">
        <v>108.83</v>
      </c>
      <c r="Y1776" s="39" t="n">
        <f aca="false">J1776*Resumo!$B$6</f>
        <v>0.44999</v>
      </c>
      <c r="Z1776" s="39" t="n">
        <f aca="false">J1776*Resumo!$B$7</f>
        <v>0.89998</v>
      </c>
      <c r="AA1776" s="39" t="n">
        <f aca="false">Resumo!$B$9</f>
        <v>1</v>
      </c>
      <c r="AB1776" s="39" t="n">
        <f aca="false">Resumo!$B$10*CEILING(I1776/100,1)</f>
        <v>4.5</v>
      </c>
      <c r="AC1776" s="39" t="n">
        <f aca="false">Resumo!$B$12*CEILING(I1776,1)</f>
        <v>1.86</v>
      </c>
      <c r="AD1776" s="39" t="n">
        <f aca="false">Resumo!$B$14*CEILING(I1776,1)</f>
        <v>13.95</v>
      </c>
      <c r="AE1776" s="39" t="n">
        <f aca="false">SUM(X1776:AD1776)</f>
        <v>131.48997</v>
      </c>
      <c r="AF1776" s="39" t="n">
        <f aca="false">AE1776/(1-Resumo!$B$5)</f>
        <v>149.420420454545</v>
      </c>
      <c r="AG1776" s="39" t="n">
        <f aca="false">AF1776-W1776</f>
        <v>40.2500136363636</v>
      </c>
      <c r="AH1776" s="40" t="n">
        <f aca="false">AF1776/W1776-1</f>
        <v>0.368689783334765</v>
      </c>
      <c r="AI1776" s="37" t="str">
        <f aca="false">IF(AF1776&lt;W1776,"SIM","NÃO")</f>
        <v>NÃO</v>
      </c>
      <c r="AJ1776" s="37" t="n">
        <v>13</v>
      </c>
      <c r="AK1776" s="37" t="n">
        <v>10</v>
      </c>
      <c r="AL1776" s="37" t="s">
        <v>347</v>
      </c>
      <c r="AM1776" s="39" t="n">
        <v>109.34</v>
      </c>
    </row>
    <row r="1777" customFormat="false" ht="15" hidden="false" customHeight="false" outlineLevel="0" collapsed="false">
      <c r="A1777" s="37" t="n">
        <v>393974270</v>
      </c>
      <c r="B1777" s="38" t="n">
        <v>46278.5268865741</v>
      </c>
      <c r="C1777" s="37" t="s">
        <v>340</v>
      </c>
      <c r="D1777" s="37" t="s">
        <v>1955</v>
      </c>
      <c r="E1777" s="37" t="n">
        <v>27460000</v>
      </c>
      <c r="F1777" s="37" t="s">
        <v>249</v>
      </c>
      <c r="G1777" s="37" t="s">
        <v>198</v>
      </c>
      <c r="H1777" s="37" t="s">
        <v>188</v>
      </c>
      <c r="I1777" s="37" t="n">
        <v>63.9</v>
      </c>
      <c r="J1777" s="39" t="n">
        <v>716.35</v>
      </c>
      <c r="K1777" s="37" t="s">
        <v>342</v>
      </c>
      <c r="L1777" s="39" t="n">
        <v>155.44</v>
      </c>
      <c r="M1777" s="39" t="n">
        <v>90.2</v>
      </c>
      <c r="N1777" s="39" t="n">
        <f aca="false">J1777*Resumo!$C$6</f>
        <v>0</v>
      </c>
      <c r="O1777" s="39" t="n">
        <f aca="false">J1777*Resumo!$C$7</f>
        <v>1.504335</v>
      </c>
      <c r="P1777" s="39" t="n">
        <f aca="false">J1777*Resumo!$C$8</f>
        <v>1.504335</v>
      </c>
      <c r="Q1777" s="39" t="n">
        <f aca="false">Resumo!$C$10*CEILING(I1777/100,1)</f>
        <v>1.05</v>
      </c>
      <c r="R1777" s="39" t="n">
        <f aca="false">Resumo!$C$9</f>
        <v>0</v>
      </c>
      <c r="S1777" s="39" t="n">
        <f aca="false">Resumo!$C$13</f>
        <v>13.55</v>
      </c>
      <c r="T1777" s="39" t="n">
        <f aca="false">Resumo!$C$14*CEILING(I1777,1)</f>
        <v>28.8</v>
      </c>
      <c r="U1777" s="39" t="n">
        <f aca="false">SUM(M1777:T1777)*Resumo!$C$11</f>
        <v>0</v>
      </c>
      <c r="V1777" s="39" t="n">
        <f aca="false">SUM(M1777:U1777)</f>
        <v>136.60867</v>
      </c>
      <c r="W1777" s="39" t="n">
        <f aca="false">V1777/(1-Resumo!$C$5)</f>
        <v>155.237125</v>
      </c>
      <c r="X1777" s="39" t="n">
        <v>166.05</v>
      </c>
      <c r="Y1777" s="39" t="n">
        <f aca="false">J1777*Resumo!$B$6</f>
        <v>0.71635</v>
      </c>
      <c r="Z1777" s="39" t="n">
        <f aca="false">J1777*Resumo!$B$7</f>
        <v>1.4327</v>
      </c>
      <c r="AA1777" s="39" t="n">
        <f aca="false">Resumo!$B$9</f>
        <v>1</v>
      </c>
      <c r="AB1777" s="39" t="n">
        <f aca="false">Resumo!$B$10*CEILING(I1777/100,1)</f>
        <v>4.5</v>
      </c>
      <c r="AC1777" s="39" t="n">
        <f aca="false">Resumo!$B$12*CEILING(I1777,1)</f>
        <v>3.84</v>
      </c>
      <c r="AD1777" s="39" t="n">
        <f aca="false">Resumo!$B$14*CEILING(I1777,1)</f>
        <v>28.8</v>
      </c>
      <c r="AE1777" s="39" t="n">
        <f aca="false">SUM(X1777:AD1777)</f>
        <v>206.33905</v>
      </c>
      <c r="AF1777" s="39" t="n">
        <f aca="false">AE1777/(1-Resumo!$B$5)</f>
        <v>234.476193181818</v>
      </c>
      <c r="AG1777" s="39" t="n">
        <f aca="false">AF1777-W1777</f>
        <v>79.2390681818182</v>
      </c>
      <c r="AH1777" s="40" t="n">
        <f aca="false">AF1777/W1777-1</f>
        <v>0.51043890552481</v>
      </c>
      <c r="AI1777" s="37" t="str">
        <f aca="false">IF(AF1777&lt;W1777,"SIM","NÃO")</f>
        <v>NÃO</v>
      </c>
      <c r="AJ1777" s="37" t="n">
        <v>13</v>
      </c>
      <c r="AK1777" s="37" t="n">
        <v>10</v>
      </c>
      <c r="AL1777" s="37" t="s">
        <v>347</v>
      </c>
      <c r="AM1777" s="39" t="n">
        <v>155.45</v>
      </c>
    </row>
    <row r="1778" customFormat="false" ht="15" hidden="false" customHeight="false" outlineLevel="0" collapsed="false">
      <c r="A1778" s="37" t="n">
        <v>393978722</v>
      </c>
      <c r="B1778" s="38" t="n">
        <v>46278.5345833333</v>
      </c>
      <c r="C1778" s="37" t="s">
        <v>340</v>
      </c>
      <c r="D1778" s="37" t="s">
        <v>1956</v>
      </c>
      <c r="E1778" s="37" t="n">
        <v>28943784</v>
      </c>
      <c r="F1778" s="37" t="s">
        <v>292</v>
      </c>
      <c r="G1778" s="37" t="s">
        <v>198</v>
      </c>
      <c r="H1778" s="37" t="s">
        <v>187</v>
      </c>
      <c r="I1778" s="37" t="n">
        <v>52.3</v>
      </c>
      <c r="J1778" s="39" t="n">
        <v>699.99</v>
      </c>
      <c r="K1778" s="37" t="s">
        <v>342</v>
      </c>
      <c r="L1778" s="39" t="n">
        <v>143.02</v>
      </c>
      <c r="M1778" s="39" t="n">
        <v>83.58</v>
      </c>
      <c r="N1778" s="39" t="n">
        <f aca="false">J1778*Resumo!$C$6</f>
        <v>0</v>
      </c>
      <c r="O1778" s="39" t="n">
        <f aca="false">J1778*Resumo!$C$7</f>
        <v>1.469979</v>
      </c>
      <c r="P1778" s="39" t="n">
        <f aca="false">J1778*Resumo!$C$8</f>
        <v>1.469979</v>
      </c>
      <c r="Q1778" s="39" t="n">
        <f aca="false">Resumo!$C$10*CEILING(I1778/100,1)</f>
        <v>1.05</v>
      </c>
      <c r="R1778" s="39" t="n">
        <f aca="false">Resumo!$C$9</f>
        <v>0</v>
      </c>
      <c r="S1778" s="39" t="n">
        <f aca="false">Resumo!$C$13</f>
        <v>13.55</v>
      </c>
      <c r="T1778" s="39" t="n">
        <f aca="false">Resumo!$C$14*CEILING(I1778,1)</f>
        <v>23.85</v>
      </c>
      <c r="U1778" s="39" t="n">
        <f aca="false">SUM(M1778:T1778)*Resumo!$C$11</f>
        <v>0</v>
      </c>
      <c r="V1778" s="39" t="n">
        <f aca="false">SUM(M1778:U1778)</f>
        <v>124.969958</v>
      </c>
      <c r="W1778" s="39" t="n">
        <f aca="false">V1778/(1-Resumo!$C$5)</f>
        <v>142.011315909091</v>
      </c>
      <c r="X1778" s="39" t="n">
        <v>142.32</v>
      </c>
      <c r="Y1778" s="39" t="n">
        <f aca="false">J1778*Resumo!$B$6</f>
        <v>0.69999</v>
      </c>
      <c r="Z1778" s="39" t="n">
        <f aca="false">J1778*Resumo!$B$7</f>
        <v>1.39998</v>
      </c>
      <c r="AA1778" s="39" t="n">
        <f aca="false">Resumo!$B$9</f>
        <v>1</v>
      </c>
      <c r="AB1778" s="39" t="n">
        <f aca="false">Resumo!$B$10*CEILING(I1778/100,1)</f>
        <v>4.5</v>
      </c>
      <c r="AC1778" s="39" t="n">
        <f aca="false">Resumo!$B$12*CEILING(I1778,1)</f>
        <v>3.18</v>
      </c>
      <c r="AD1778" s="39" t="n">
        <f aca="false">Resumo!$B$14*CEILING(I1778,1)</f>
        <v>23.85</v>
      </c>
      <c r="AE1778" s="39" t="n">
        <f aca="false">SUM(X1778:AD1778)</f>
        <v>176.94997</v>
      </c>
      <c r="AF1778" s="39" t="n">
        <f aca="false">AE1778/(1-Resumo!$B$5)</f>
        <v>201.079511363636</v>
      </c>
      <c r="AG1778" s="39" t="n">
        <f aca="false">AF1778-W1778</f>
        <v>59.0681954545454</v>
      </c>
      <c r="AH1778" s="40" t="n">
        <f aca="false">AF1778/W1778-1</f>
        <v>0.415940061370589</v>
      </c>
      <c r="AI1778" s="37" t="str">
        <f aca="false">IF(AF1778&lt;W1778,"SIM","NÃO")</f>
        <v>NÃO</v>
      </c>
      <c r="AJ1778" s="37" t="n">
        <v>13</v>
      </c>
      <c r="AK1778" s="37" t="n">
        <v>10</v>
      </c>
      <c r="AL1778" s="37" t="s">
        <v>347</v>
      </c>
      <c r="AM1778" s="39" t="n">
        <v>143.02</v>
      </c>
    </row>
    <row r="1779" customFormat="false" ht="15" hidden="false" customHeight="false" outlineLevel="0" collapsed="false">
      <c r="A1779" s="37" t="n">
        <v>394029225</v>
      </c>
      <c r="B1779" s="38" t="n">
        <v>46278.6224652778</v>
      </c>
      <c r="C1779" s="37" t="s">
        <v>345</v>
      </c>
      <c r="D1779" s="37" t="s">
        <v>1838</v>
      </c>
      <c r="E1779" s="37" t="n">
        <v>22790495</v>
      </c>
      <c r="F1779" s="37" t="s">
        <v>159</v>
      </c>
      <c r="G1779" s="37" t="s">
        <v>196</v>
      </c>
      <c r="H1779" s="37" t="s">
        <v>184</v>
      </c>
      <c r="I1779" s="37" t="n">
        <v>33</v>
      </c>
      <c r="J1779" s="39" t="n">
        <v>535.79</v>
      </c>
      <c r="K1779" s="37" t="s">
        <v>342</v>
      </c>
      <c r="L1779" s="39" t="n">
        <v>82.89</v>
      </c>
      <c r="M1779" s="39" t="n">
        <v>42.11</v>
      </c>
      <c r="N1779" s="39" t="n">
        <f aca="false">J1779*Resumo!$C$6</f>
        <v>0</v>
      </c>
      <c r="O1779" s="39" t="n">
        <f aca="false">J1779*Resumo!$C$7</f>
        <v>1.125159</v>
      </c>
      <c r="P1779" s="39" t="n">
        <f aca="false">J1779*Resumo!$C$8</f>
        <v>1.125159</v>
      </c>
      <c r="Q1779" s="39" t="n">
        <f aca="false">Resumo!$C$10*CEILING(I1779/100,1)</f>
        <v>1.05</v>
      </c>
      <c r="R1779" s="39" t="n">
        <f aca="false">Resumo!$C$9</f>
        <v>0</v>
      </c>
      <c r="S1779" s="39" t="n">
        <f aca="false">Resumo!$C$13</f>
        <v>13.55</v>
      </c>
      <c r="T1779" s="39" t="n">
        <f aca="false">Resumo!$C$14*CEILING(I1779,1)</f>
        <v>14.85</v>
      </c>
      <c r="U1779" s="39" t="n">
        <f aca="false">SUM(M1779:T1779)*Resumo!$C$11</f>
        <v>0</v>
      </c>
      <c r="V1779" s="39" t="n">
        <f aca="false">SUM(M1779:U1779)</f>
        <v>73.810318</v>
      </c>
      <c r="W1779" s="39" t="n">
        <f aca="false">V1779/(1-Resumo!$C$5)</f>
        <v>83.8753613636364</v>
      </c>
      <c r="X1779" s="39" t="n">
        <v>82.21</v>
      </c>
      <c r="Y1779" s="39" t="n">
        <f aca="false">J1779*Resumo!$B$6</f>
        <v>0.53579</v>
      </c>
      <c r="Z1779" s="39" t="n">
        <f aca="false">J1779*Resumo!$B$7</f>
        <v>1.07158</v>
      </c>
      <c r="AA1779" s="39" t="n">
        <f aca="false">Resumo!$B$9</f>
        <v>1</v>
      </c>
      <c r="AB1779" s="39" t="n">
        <f aca="false">Resumo!$B$10*CEILING(I1779/100,1)</f>
        <v>4.5</v>
      </c>
      <c r="AC1779" s="39" t="n">
        <f aca="false">Resumo!$B$12*CEILING(I1779,1)</f>
        <v>1.98</v>
      </c>
      <c r="AD1779" s="39" t="n">
        <f aca="false">Resumo!$B$14*CEILING(I1779,1)</f>
        <v>14.85</v>
      </c>
      <c r="AE1779" s="39" t="n">
        <f aca="false">SUM(X1779:AD1779)</f>
        <v>106.14737</v>
      </c>
      <c r="AF1779" s="39" t="n">
        <f aca="false">AE1779/(1-Resumo!$B$5)</f>
        <v>120.622011363636</v>
      </c>
      <c r="AG1779" s="39" t="n">
        <f aca="false">AF1779-W1779</f>
        <v>36.74665</v>
      </c>
      <c r="AH1779" s="40" t="n">
        <f aca="false">AF1779/W1779-1</f>
        <v>0.438110183998936</v>
      </c>
      <c r="AI1779" s="37" t="str">
        <f aca="false">IF(AF1779&lt;W1779,"SIM","NÃO")</f>
        <v>NÃO</v>
      </c>
      <c r="AJ1779" s="37" t="n">
        <v>2</v>
      </c>
      <c r="AK1779" s="37" t="n">
        <v>5</v>
      </c>
      <c r="AL1779" s="37" t="s">
        <v>343</v>
      </c>
      <c r="AM1779" s="39" t="n">
        <v>82.89</v>
      </c>
    </row>
    <row r="1780" customFormat="false" ht="15" hidden="false" customHeight="false" outlineLevel="0" collapsed="false">
      <c r="A1780" s="37" t="n">
        <v>394037436</v>
      </c>
      <c r="B1780" s="38" t="n">
        <v>46278.6375694444</v>
      </c>
      <c r="C1780" s="37" t="s">
        <v>340</v>
      </c>
      <c r="D1780" s="37" t="s">
        <v>1957</v>
      </c>
      <c r="E1780" s="37" t="n">
        <v>23020240</v>
      </c>
      <c r="F1780" s="37" t="s">
        <v>159</v>
      </c>
      <c r="G1780" s="37" t="s">
        <v>196</v>
      </c>
      <c r="H1780" s="37" t="s">
        <v>183</v>
      </c>
      <c r="I1780" s="37" t="n">
        <v>19.9</v>
      </c>
      <c r="J1780" s="39" t="n">
        <v>299.99</v>
      </c>
      <c r="K1780" s="37" t="s">
        <v>385</v>
      </c>
      <c r="L1780" s="39" t="n">
        <v>69.47</v>
      </c>
      <c r="M1780" s="39" t="n">
        <v>33.42</v>
      </c>
      <c r="N1780" s="39" t="n">
        <f aca="false">J1780*Resumo!$C$6</f>
        <v>0</v>
      </c>
      <c r="O1780" s="39" t="n">
        <f aca="false">J1780*Resumo!$C$7</f>
        <v>0.629979</v>
      </c>
      <c r="P1780" s="39" t="n">
        <f aca="false">J1780*Resumo!$C$8</f>
        <v>0.629979</v>
      </c>
      <c r="Q1780" s="39" t="n">
        <f aca="false">Resumo!$C$10*CEILING(I1780/100,1)</f>
        <v>1.05</v>
      </c>
      <c r="R1780" s="39" t="n">
        <f aca="false">Resumo!$C$9</f>
        <v>0</v>
      </c>
      <c r="S1780" s="39" t="n">
        <f aca="false">Resumo!$C$13</f>
        <v>13.55</v>
      </c>
      <c r="T1780" s="39" t="n">
        <f aca="false">Resumo!$C$14*CEILING(I1780,1)</f>
        <v>9</v>
      </c>
      <c r="U1780" s="39" t="n">
        <f aca="false">SUM(M1780:T1780)*Resumo!$C$11</f>
        <v>0</v>
      </c>
      <c r="V1780" s="39" t="n">
        <f aca="false">SUM(M1780:U1780)</f>
        <v>58.279958</v>
      </c>
      <c r="W1780" s="39" t="n">
        <f aca="false">V1780/(1-Resumo!$C$5)</f>
        <v>66.227225</v>
      </c>
      <c r="X1780" s="39" t="n">
        <v>46.98</v>
      </c>
      <c r="Y1780" s="39" t="n">
        <f aca="false">J1780*Resumo!$B$6</f>
        <v>0.29999</v>
      </c>
      <c r="Z1780" s="39" t="n">
        <f aca="false">J1780*Resumo!$B$7</f>
        <v>0.59998</v>
      </c>
      <c r="AA1780" s="39" t="n">
        <f aca="false">Resumo!$B$9</f>
        <v>1</v>
      </c>
      <c r="AB1780" s="39" t="n">
        <f aca="false">Resumo!$B$10*CEILING(I1780/100,1)</f>
        <v>4.5</v>
      </c>
      <c r="AC1780" s="39" t="n">
        <f aca="false">Resumo!$B$12*CEILING(I1780,1)</f>
        <v>1.2</v>
      </c>
      <c r="AD1780" s="39" t="n">
        <f aca="false">Resumo!$B$14*CEILING(I1780,1)</f>
        <v>9</v>
      </c>
      <c r="AE1780" s="39" t="n">
        <f aca="false">SUM(X1780:AD1780)</f>
        <v>63.57997</v>
      </c>
      <c r="AF1780" s="39" t="n">
        <f aca="false">AE1780/(1-Resumo!$B$5)</f>
        <v>72.2499659090909</v>
      </c>
      <c r="AG1780" s="39" t="n">
        <f aca="false">AF1780-W1780</f>
        <v>6.0227409090909</v>
      </c>
      <c r="AH1780" s="40" t="n">
        <f aca="false">AF1780/W1780-1</f>
        <v>0.0909405597032171</v>
      </c>
      <c r="AI1780" s="37" t="str">
        <f aca="false">IF(AF1780&lt;W1780,"SIM","NÃO")</f>
        <v>NÃO</v>
      </c>
      <c r="AJ1780" s="37" t="n">
        <v>2</v>
      </c>
      <c r="AK1780" s="37" t="n">
        <v>5</v>
      </c>
      <c r="AL1780" s="37" t="s">
        <v>343</v>
      </c>
      <c r="AM1780" s="39" t="n">
        <v>64.65</v>
      </c>
    </row>
    <row r="1781" customFormat="false" ht="15" hidden="false" customHeight="false" outlineLevel="0" collapsed="false">
      <c r="A1781" s="37" t="n">
        <v>394039258</v>
      </c>
      <c r="B1781" s="38" t="n">
        <v>46278.6413888889</v>
      </c>
      <c r="C1781" s="37" t="s">
        <v>340</v>
      </c>
      <c r="D1781" s="37" t="s">
        <v>940</v>
      </c>
      <c r="E1781" s="37" t="n">
        <v>22753050</v>
      </c>
      <c r="F1781" s="37" t="s">
        <v>159</v>
      </c>
      <c r="G1781" s="37" t="s">
        <v>196</v>
      </c>
      <c r="H1781" s="37" t="s">
        <v>184</v>
      </c>
      <c r="I1781" s="37" t="n">
        <v>20.9</v>
      </c>
      <c r="J1781" s="39" t="n">
        <v>499.99</v>
      </c>
      <c r="K1781" s="37" t="s">
        <v>342</v>
      </c>
      <c r="L1781" s="39" t="n">
        <v>82.73</v>
      </c>
      <c r="M1781" s="39" t="n">
        <v>42.11</v>
      </c>
      <c r="N1781" s="39" t="n">
        <f aca="false">J1781*Resumo!$C$6</f>
        <v>0</v>
      </c>
      <c r="O1781" s="39" t="n">
        <f aca="false">J1781*Resumo!$C$7</f>
        <v>1.049979</v>
      </c>
      <c r="P1781" s="39" t="n">
        <f aca="false">J1781*Resumo!$C$8</f>
        <v>1.049979</v>
      </c>
      <c r="Q1781" s="39" t="n">
        <f aca="false">Resumo!$C$10*CEILING(I1781/100,1)</f>
        <v>1.05</v>
      </c>
      <c r="R1781" s="39" t="n">
        <f aca="false">Resumo!$C$9</f>
        <v>0</v>
      </c>
      <c r="S1781" s="39" t="n">
        <f aca="false">Resumo!$C$13</f>
        <v>13.55</v>
      </c>
      <c r="T1781" s="39" t="n">
        <f aca="false">Resumo!$C$14*CEILING(I1781,1)</f>
        <v>9.45</v>
      </c>
      <c r="U1781" s="39" t="n">
        <f aca="false">SUM(M1781:T1781)*Resumo!$C$11</f>
        <v>0</v>
      </c>
      <c r="V1781" s="39" t="n">
        <f aca="false">SUM(M1781:U1781)</f>
        <v>68.259958</v>
      </c>
      <c r="W1781" s="39" t="n">
        <f aca="false">V1781/(1-Resumo!$C$5)</f>
        <v>77.5681340909091</v>
      </c>
      <c r="X1781" s="39" t="n">
        <v>82.21</v>
      </c>
      <c r="Y1781" s="39" t="n">
        <f aca="false">J1781*Resumo!$B$6</f>
        <v>0.49999</v>
      </c>
      <c r="Z1781" s="39" t="n">
        <f aca="false">J1781*Resumo!$B$7</f>
        <v>0.99998</v>
      </c>
      <c r="AA1781" s="39" t="n">
        <f aca="false">Resumo!$B$9</f>
        <v>1</v>
      </c>
      <c r="AB1781" s="39" t="n">
        <f aca="false">Resumo!$B$10*CEILING(I1781/100,1)</f>
        <v>4.5</v>
      </c>
      <c r="AC1781" s="39" t="n">
        <f aca="false">Resumo!$B$12*CEILING(I1781,1)</f>
        <v>1.26</v>
      </c>
      <c r="AD1781" s="39" t="n">
        <f aca="false">Resumo!$B$14*CEILING(I1781,1)</f>
        <v>9.45</v>
      </c>
      <c r="AE1781" s="39" t="n">
        <f aca="false">SUM(X1781:AD1781)</f>
        <v>99.91997</v>
      </c>
      <c r="AF1781" s="39" t="n">
        <f aca="false">AE1781/(1-Resumo!$B$5)</f>
        <v>113.545420454545</v>
      </c>
      <c r="AG1781" s="39" t="n">
        <f aca="false">AF1781-W1781</f>
        <v>35.9772863636364</v>
      </c>
      <c r="AH1781" s="40" t="n">
        <f aca="false">AF1781/W1781-1</f>
        <v>0.463815286847964</v>
      </c>
      <c r="AI1781" s="37" t="str">
        <f aca="false">IF(AF1781&lt;W1781,"SIM","NÃO")</f>
        <v>NÃO</v>
      </c>
      <c r="AJ1781" s="37" t="n">
        <v>2</v>
      </c>
      <c r="AK1781" s="37" t="n">
        <v>5</v>
      </c>
      <c r="AL1781" s="37" t="s">
        <v>343</v>
      </c>
      <c r="AM1781" s="39" t="n">
        <v>82.72</v>
      </c>
    </row>
    <row r="1782" customFormat="false" ht="15" hidden="false" customHeight="false" outlineLevel="0" collapsed="false">
      <c r="A1782" s="37" t="n">
        <v>394066556</v>
      </c>
      <c r="B1782" s="38" t="n">
        <v>46278.6924189815</v>
      </c>
      <c r="C1782" s="37" t="s">
        <v>340</v>
      </c>
      <c r="D1782" s="37" t="s">
        <v>1958</v>
      </c>
      <c r="E1782" s="37" t="n">
        <v>21725500</v>
      </c>
      <c r="F1782" s="37" t="s">
        <v>159</v>
      </c>
      <c r="G1782" s="37" t="s">
        <v>196</v>
      </c>
      <c r="H1782" s="37" t="s">
        <v>187</v>
      </c>
      <c r="I1782" s="37" t="n">
        <v>52.3</v>
      </c>
      <c r="J1782" s="39" t="n">
        <v>614.63</v>
      </c>
      <c r="K1782" s="37" t="s">
        <v>342</v>
      </c>
      <c r="L1782" s="39" t="n">
        <v>114.09</v>
      </c>
      <c r="M1782" s="39" t="n">
        <v>58.6</v>
      </c>
      <c r="N1782" s="39" t="n">
        <f aca="false">J1782*Resumo!$C$6</f>
        <v>0</v>
      </c>
      <c r="O1782" s="39" t="n">
        <f aca="false">J1782*Resumo!$C$7</f>
        <v>1.290723</v>
      </c>
      <c r="P1782" s="39" t="n">
        <f aca="false">J1782*Resumo!$C$8</f>
        <v>1.290723</v>
      </c>
      <c r="Q1782" s="39" t="n">
        <f aca="false">Resumo!$C$10*CEILING(I1782/100,1)</f>
        <v>1.05</v>
      </c>
      <c r="R1782" s="39" t="n">
        <f aca="false">Resumo!$C$9</f>
        <v>0</v>
      </c>
      <c r="S1782" s="39" t="n">
        <f aca="false">Resumo!$C$13</f>
        <v>13.55</v>
      </c>
      <c r="T1782" s="39" t="n">
        <f aca="false">Resumo!$C$14*CEILING(I1782,1)</f>
        <v>23.85</v>
      </c>
      <c r="U1782" s="39" t="n">
        <f aca="false">SUM(M1782:T1782)*Resumo!$C$11</f>
        <v>0</v>
      </c>
      <c r="V1782" s="39" t="n">
        <f aca="false">SUM(M1782:U1782)</f>
        <v>99.631446</v>
      </c>
      <c r="W1782" s="39" t="n">
        <f aca="false">V1782/(1-Resumo!$C$5)</f>
        <v>113.217552272727</v>
      </c>
      <c r="X1782" s="39" t="n">
        <v>112.3</v>
      </c>
      <c r="Y1782" s="39" t="n">
        <f aca="false">J1782*Resumo!$B$6</f>
        <v>0.61463</v>
      </c>
      <c r="Z1782" s="39" t="n">
        <f aca="false">J1782*Resumo!$B$7</f>
        <v>1.22926</v>
      </c>
      <c r="AA1782" s="39" t="n">
        <f aca="false">Resumo!$B$9</f>
        <v>1</v>
      </c>
      <c r="AB1782" s="39" t="n">
        <f aca="false">Resumo!$B$10*CEILING(I1782/100,1)</f>
        <v>4.5</v>
      </c>
      <c r="AC1782" s="39" t="n">
        <f aca="false">Resumo!$B$12*CEILING(I1782,1)</f>
        <v>3.18</v>
      </c>
      <c r="AD1782" s="39" t="n">
        <f aca="false">Resumo!$B$14*CEILING(I1782,1)</f>
        <v>23.85</v>
      </c>
      <c r="AE1782" s="39" t="n">
        <f aca="false">SUM(X1782:AD1782)</f>
        <v>146.67389</v>
      </c>
      <c r="AF1782" s="39" t="n">
        <f aca="false">AE1782/(1-Resumo!$B$5)</f>
        <v>166.674875</v>
      </c>
      <c r="AG1782" s="39" t="n">
        <f aca="false">AF1782-W1782</f>
        <v>53.4573227272727</v>
      </c>
      <c r="AH1782" s="40" t="n">
        <f aca="false">AF1782/W1782-1</f>
        <v>0.472164621599489</v>
      </c>
      <c r="AI1782" s="37" t="str">
        <f aca="false">IF(AF1782&lt;W1782,"SIM","NÃO")</f>
        <v>NÃO</v>
      </c>
      <c r="AJ1782" s="37" t="n">
        <v>2</v>
      </c>
      <c r="AK1782" s="37" t="n">
        <v>5</v>
      </c>
      <c r="AL1782" s="37" t="s">
        <v>343</v>
      </c>
      <c r="AM1782" s="39" t="n">
        <v>114.09</v>
      </c>
    </row>
    <row r="1783" customFormat="false" ht="15" hidden="false" customHeight="false" outlineLevel="0" collapsed="false">
      <c r="A1783" s="37" t="n">
        <v>394082384</v>
      </c>
      <c r="B1783" s="38" t="n">
        <v>46278.721400463</v>
      </c>
      <c r="C1783" s="37" t="s">
        <v>340</v>
      </c>
      <c r="D1783" s="37" t="s">
        <v>1959</v>
      </c>
      <c r="E1783" s="37" t="n">
        <v>24410230</v>
      </c>
      <c r="F1783" s="37" t="s">
        <v>160</v>
      </c>
      <c r="G1783" s="37" t="s">
        <v>197</v>
      </c>
      <c r="H1783" s="37" t="s">
        <v>185</v>
      </c>
      <c r="I1783" s="37" t="n">
        <v>36.55</v>
      </c>
      <c r="J1783" s="39" t="n">
        <v>449.99</v>
      </c>
      <c r="K1783" s="37" t="s">
        <v>342</v>
      </c>
      <c r="L1783" s="39" t="n">
        <v>113.11</v>
      </c>
      <c r="M1783" s="39" t="n">
        <v>66.83</v>
      </c>
      <c r="N1783" s="39" t="n">
        <f aca="false">J1783*Resumo!$C$6</f>
        <v>0</v>
      </c>
      <c r="O1783" s="39" t="n">
        <f aca="false">J1783*Resumo!$C$7</f>
        <v>0.944979</v>
      </c>
      <c r="P1783" s="39" t="n">
        <f aca="false">J1783*Resumo!$C$8</f>
        <v>0.944979</v>
      </c>
      <c r="Q1783" s="39" t="n">
        <f aca="false">Resumo!$C$10*CEILING(I1783/100,1)</f>
        <v>1.05</v>
      </c>
      <c r="R1783" s="39" t="n">
        <f aca="false">Resumo!$C$9</f>
        <v>0</v>
      </c>
      <c r="S1783" s="39" t="n">
        <f aca="false">Resumo!$C$13</f>
        <v>13.55</v>
      </c>
      <c r="T1783" s="39" t="n">
        <f aca="false">Resumo!$C$14*CEILING(I1783,1)</f>
        <v>16.65</v>
      </c>
      <c r="U1783" s="39" t="n">
        <f aca="false">SUM(M1783:T1783)*Resumo!$C$11</f>
        <v>0</v>
      </c>
      <c r="V1783" s="39" t="n">
        <f aca="false">SUM(M1783:U1783)</f>
        <v>99.969958</v>
      </c>
      <c r="W1783" s="39" t="n">
        <f aca="false">V1783/(1-Resumo!$C$5)</f>
        <v>113.602225</v>
      </c>
      <c r="X1783" s="39" t="n">
        <v>114.95</v>
      </c>
      <c r="Y1783" s="39" t="n">
        <f aca="false">J1783*Resumo!$B$6</f>
        <v>0.44999</v>
      </c>
      <c r="Z1783" s="39" t="n">
        <f aca="false">J1783*Resumo!$B$7</f>
        <v>0.89998</v>
      </c>
      <c r="AA1783" s="39" t="n">
        <f aca="false">Resumo!$B$9</f>
        <v>1</v>
      </c>
      <c r="AB1783" s="39" t="n">
        <f aca="false">Resumo!$B$10*CEILING(I1783/100,1)</f>
        <v>4.5</v>
      </c>
      <c r="AC1783" s="39" t="n">
        <f aca="false">Resumo!$B$12*CEILING(I1783,1)</f>
        <v>2.22</v>
      </c>
      <c r="AD1783" s="39" t="n">
        <f aca="false">Resumo!$B$14*CEILING(I1783,1)</f>
        <v>16.65</v>
      </c>
      <c r="AE1783" s="39" t="n">
        <f aca="false">SUM(X1783:AD1783)</f>
        <v>140.66997</v>
      </c>
      <c r="AF1783" s="39" t="n">
        <f aca="false">AE1783/(1-Resumo!$B$5)</f>
        <v>159.852238636364</v>
      </c>
      <c r="AG1783" s="39" t="n">
        <f aca="false">AF1783-W1783</f>
        <v>46.2500136363636</v>
      </c>
      <c r="AH1783" s="40" t="n">
        <f aca="false">AF1783/W1783-1</f>
        <v>0.407122427719736</v>
      </c>
      <c r="AI1783" s="37" t="str">
        <f aca="false">IF(AF1783&lt;W1783,"SIM","NÃO")</f>
        <v>NÃO</v>
      </c>
      <c r="AJ1783" s="37" t="n">
        <v>2</v>
      </c>
      <c r="AK1783" s="37" t="n">
        <v>7</v>
      </c>
      <c r="AL1783" s="37" t="s">
        <v>343</v>
      </c>
      <c r="AM1783" s="39" t="n">
        <v>113.11</v>
      </c>
    </row>
    <row r="1784" customFormat="false" ht="15" hidden="false" customHeight="false" outlineLevel="0" collapsed="false">
      <c r="A1784" s="37" t="n">
        <v>394085477</v>
      </c>
      <c r="B1784" s="38" t="n">
        <v>46278.727337963</v>
      </c>
      <c r="C1784" s="37" t="s">
        <v>340</v>
      </c>
      <c r="D1784" s="37" t="s">
        <v>1960</v>
      </c>
      <c r="E1784" s="37" t="n">
        <v>21050320</v>
      </c>
      <c r="F1784" s="37" t="s">
        <v>159</v>
      </c>
      <c r="G1784" s="37" t="s">
        <v>196</v>
      </c>
      <c r="H1784" s="37" t="s">
        <v>185</v>
      </c>
      <c r="I1784" s="37" t="n">
        <v>37.2</v>
      </c>
      <c r="J1784" s="39" t="n">
        <v>399.99</v>
      </c>
      <c r="K1784" s="37" t="s">
        <v>342</v>
      </c>
      <c r="L1784" s="39" t="n">
        <v>91.77</v>
      </c>
      <c r="M1784" s="39" t="n">
        <v>48.35</v>
      </c>
      <c r="N1784" s="39" t="n">
        <f aca="false">J1784*Resumo!$C$6</f>
        <v>0</v>
      </c>
      <c r="O1784" s="39" t="n">
        <f aca="false">J1784*Resumo!$C$7</f>
        <v>0.839979</v>
      </c>
      <c r="P1784" s="39" t="n">
        <f aca="false">J1784*Resumo!$C$8</f>
        <v>0.839979</v>
      </c>
      <c r="Q1784" s="39" t="n">
        <f aca="false">Resumo!$C$10*CEILING(I1784/100,1)</f>
        <v>1.05</v>
      </c>
      <c r="R1784" s="39" t="n">
        <f aca="false">Resumo!$C$9</f>
        <v>0</v>
      </c>
      <c r="S1784" s="39" t="n">
        <f aca="false">Resumo!$C$13</f>
        <v>13.55</v>
      </c>
      <c r="T1784" s="39" t="n">
        <f aca="false">Resumo!$C$14*CEILING(I1784,1)</f>
        <v>17.1</v>
      </c>
      <c r="U1784" s="39" t="n">
        <f aca="false">SUM(M1784:T1784)*Resumo!$C$11</f>
        <v>0</v>
      </c>
      <c r="V1784" s="39" t="n">
        <f aca="false">SUM(M1784:U1784)</f>
        <v>81.729958</v>
      </c>
      <c r="W1784" s="39" t="n">
        <f aca="false">V1784/(1-Resumo!$C$5)</f>
        <v>92.8749522727273</v>
      </c>
      <c r="X1784" s="39" t="n">
        <v>93.97</v>
      </c>
      <c r="Y1784" s="39" t="n">
        <f aca="false">J1784*Resumo!$B$6</f>
        <v>0.39999</v>
      </c>
      <c r="Z1784" s="39" t="n">
        <f aca="false">J1784*Resumo!$B$7</f>
        <v>0.79998</v>
      </c>
      <c r="AA1784" s="39" t="n">
        <f aca="false">Resumo!$B$9</f>
        <v>1</v>
      </c>
      <c r="AB1784" s="39" t="n">
        <f aca="false">Resumo!$B$10*CEILING(I1784/100,1)</f>
        <v>4.5</v>
      </c>
      <c r="AC1784" s="39" t="n">
        <f aca="false">Resumo!$B$12*CEILING(I1784,1)</f>
        <v>2.28</v>
      </c>
      <c r="AD1784" s="39" t="n">
        <f aca="false">Resumo!$B$14*CEILING(I1784,1)</f>
        <v>17.1</v>
      </c>
      <c r="AE1784" s="39" t="n">
        <f aca="false">SUM(X1784:AD1784)</f>
        <v>120.04997</v>
      </c>
      <c r="AF1784" s="39" t="n">
        <f aca="false">AE1784/(1-Resumo!$B$5)</f>
        <v>136.420420454545</v>
      </c>
      <c r="AG1784" s="39" t="n">
        <f aca="false">AF1784-W1784</f>
        <v>43.5454681818182</v>
      </c>
      <c r="AH1784" s="40" t="n">
        <f aca="false">AF1784/W1784-1</f>
        <v>0.468861271163262</v>
      </c>
      <c r="AI1784" s="37" t="str">
        <f aca="false">IF(AF1784&lt;W1784,"SIM","NÃO")</f>
        <v>NÃO</v>
      </c>
      <c r="AJ1784" s="37" t="n">
        <v>2</v>
      </c>
      <c r="AK1784" s="37" t="n">
        <v>5</v>
      </c>
      <c r="AL1784" s="37" t="s">
        <v>343</v>
      </c>
      <c r="AM1784" s="39" t="n">
        <v>91.77</v>
      </c>
    </row>
    <row r="1785" customFormat="false" ht="15" hidden="false" customHeight="false" outlineLevel="0" collapsed="false">
      <c r="A1785" s="37" t="n">
        <v>394092014</v>
      </c>
      <c r="B1785" s="38" t="n">
        <v>46278.7392361111</v>
      </c>
      <c r="C1785" s="37" t="s">
        <v>340</v>
      </c>
      <c r="D1785" s="37" t="s">
        <v>1961</v>
      </c>
      <c r="E1785" s="37" t="n">
        <v>20720011</v>
      </c>
      <c r="F1785" s="37" t="s">
        <v>159</v>
      </c>
      <c r="G1785" s="37" t="s">
        <v>196</v>
      </c>
      <c r="H1785" s="37" t="s">
        <v>184</v>
      </c>
      <c r="I1785" s="37" t="n">
        <v>27.4</v>
      </c>
      <c r="J1785" s="39" t="n">
        <v>349.99</v>
      </c>
      <c r="K1785" s="37" t="s">
        <v>342</v>
      </c>
      <c r="L1785" s="39" t="n">
        <v>82</v>
      </c>
      <c r="M1785" s="39" t="n">
        <v>42.11</v>
      </c>
      <c r="N1785" s="39" t="n">
        <f aca="false">J1785*Resumo!$C$6</f>
        <v>0</v>
      </c>
      <c r="O1785" s="39" t="n">
        <f aca="false">J1785*Resumo!$C$7</f>
        <v>0.734979</v>
      </c>
      <c r="P1785" s="39" t="n">
        <f aca="false">J1785*Resumo!$C$8</f>
        <v>0.734979</v>
      </c>
      <c r="Q1785" s="39" t="n">
        <f aca="false">Resumo!$C$10*CEILING(I1785/100,1)</f>
        <v>1.05</v>
      </c>
      <c r="R1785" s="39" t="n">
        <f aca="false">Resumo!$C$9</f>
        <v>0</v>
      </c>
      <c r="S1785" s="39" t="n">
        <f aca="false">Resumo!$C$13</f>
        <v>13.55</v>
      </c>
      <c r="T1785" s="39" t="n">
        <f aca="false">Resumo!$C$14*CEILING(I1785,1)</f>
        <v>12.6</v>
      </c>
      <c r="U1785" s="39" t="n">
        <f aca="false">SUM(M1785:T1785)*Resumo!$C$11</f>
        <v>0</v>
      </c>
      <c r="V1785" s="39" t="n">
        <f aca="false">SUM(M1785:U1785)</f>
        <v>70.779958</v>
      </c>
      <c r="W1785" s="39" t="n">
        <f aca="false">V1785/(1-Resumo!$C$5)</f>
        <v>80.4317704545454</v>
      </c>
      <c r="X1785" s="39" t="n">
        <v>82.21</v>
      </c>
      <c r="Y1785" s="39" t="n">
        <f aca="false">J1785*Resumo!$B$6</f>
        <v>0.34999</v>
      </c>
      <c r="Z1785" s="39" t="n">
        <f aca="false">J1785*Resumo!$B$7</f>
        <v>0.69998</v>
      </c>
      <c r="AA1785" s="39" t="n">
        <f aca="false">Resumo!$B$9</f>
        <v>1</v>
      </c>
      <c r="AB1785" s="39" t="n">
        <f aca="false">Resumo!$B$10*CEILING(I1785/100,1)</f>
        <v>4.5</v>
      </c>
      <c r="AC1785" s="39" t="n">
        <f aca="false">Resumo!$B$12*CEILING(I1785,1)</f>
        <v>1.68</v>
      </c>
      <c r="AD1785" s="39" t="n">
        <f aca="false">Resumo!$B$14*CEILING(I1785,1)</f>
        <v>12.6</v>
      </c>
      <c r="AE1785" s="39" t="n">
        <f aca="false">SUM(X1785:AD1785)</f>
        <v>103.03997</v>
      </c>
      <c r="AF1785" s="39" t="n">
        <f aca="false">AE1785/(1-Resumo!$B$5)</f>
        <v>117.090875</v>
      </c>
      <c r="AG1785" s="39" t="n">
        <f aca="false">AF1785-W1785</f>
        <v>36.6591045454545</v>
      </c>
      <c r="AH1785" s="40" t="n">
        <f aca="false">AF1785/W1785-1</f>
        <v>0.455778908487061</v>
      </c>
      <c r="AI1785" s="37" t="str">
        <f aca="false">IF(AF1785&lt;W1785,"SIM","NÃO")</f>
        <v>NÃO</v>
      </c>
      <c r="AJ1785" s="37" t="n">
        <v>2</v>
      </c>
      <c r="AK1785" s="37" t="n">
        <v>5</v>
      </c>
      <c r="AL1785" s="37" t="s">
        <v>343</v>
      </c>
      <c r="AM1785" s="39" t="n">
        <v>82</v>
      </c>
    </row>
    <row r="1786" customFormat="false" ht="15" hidden="false" customHeight="false" outlineLevel="0" collapsed="false">
      <c r="A1786" s="37" t="n">
        <v>394092767</v>
      </c>
      <c r="B1786" s="38" t="n">
        <v>46278.7406018519</v>
      </c>
      <c r="C1786" s="37" t="s">
        <v>340</v>
      </c>
      <c r="D1786" s="37" t="s">
        <v>1962</v>
      </c>
      <c r="E1786" s="37" t="n">
        <v>25953600</v>
      </c>
      <c r="F1786" s="37" t="s">
        <v>235</v>
      </c>
      <c r="G1786" s="37" t="s">
        <v>198</v>
      </c>
      <c r="H1786" s="37" t="s">
        <v>184</v>
      </c>
      <c r="I1786" s="37" t="n">
        <v>27.5</v>
      </c>
      <c r="J1786" s="39" t="n">
        <v>332.86</v>
      </c>
      <c r="K1786" s="37" t="s">
        <v>342</v>
      </c>
      <c r="L1786" s="39" t="n">
        <v>108.78</v>
      </c>
      <c r="M1786" s="39" t="n">
        <v>65.63</v>
      </c>
      <c r="N1786" s="39" t="n">
        <f aca="false">J1786*Resumo!$C$6</f>
        <v>0</v>
      </c>
      <c r="O1786" s="39" t="n">
        <f aca="false">J1786*Resumo!$C$7</f>
        <v>0.699006</v>
      </c>
      <c r="P1786" s="39" t="n">
        <f aca="false">J1786*Resumo!$C$8</f>
        <v>0.699006</v>
      </c>
      <c r="Q1786" s="39" t="n">
        <f aca="false">Resumo!$C$10*CEILING(I1786/100,1)</f>
        <v>1.05</v>
      </c>
      <c r="R1786" s="39" t="n">
        <f aca="false">Resumo!$C$9</f>
        <v>0</v>
      </c>
      <c r="S1786" s="39" t="n">
        <f aca="false">Resumo!$C$13</f>
        <v>13.55</v>
      </c>
      <c r="T1786" s="39" t="n">
        <f aca="false">Resumo!$C$14*CEILING(I1786,1)</f>
        <v>12.6</v>
      </c>
      <c r="U1786" s="39" t="n">
        <f aca="false">SUM(M1786:T1786)*Resumo!$C$11</f>
        <v>0</v>
      </c>
      <c r="V1786" s="39" t="n">
        <f aca="false">SUM(M1786:U1786)</f>
        <v>94.228012</v>
      </c>
      <c r="W1786" s="39" t="n">
        <f aca="false">V1786/(1-Resumo!$C$5)</f>
        <v>107.077286363636</v>
      </c>
      <c r="X1786" s="39" t="n">
        <v>120.78</v>
      </c>
      <c r="Y1786" s="39" t="n">
        <f aca="false">J1786*Resumo!$B$6</f>
        <v>0.33286</v>
      </c>
      <c r="Z1786" s="39" t="n">
        <f aca="false">J1786*Resumo!$B$7</f>
        <v>0.66572</v>
      </c>
      <c r="AA1786" s="39" t="n">
        <f aca="false">Resumo!$B$9</f>
        <v>1</v>
      </c>
      <c r="AB1786" s="39" t="n">
        <f aca="false">Resumo!$B$10*CEILING(I1786/100,1)</f>
        <v>4.5</v>
      </c>
      <c r="AC1786" s="39" t="n">
        <f aca="false">Resumo!$B$12*CEILING(I1786,1)</f>
        <v>1.68</v>
      </c>
      <c r="AD1786" s="39" t="n">
        <f aca="false">Resumo!$B$14*CEILING(I1786,1)</f>
        <v>12.6</v>
      </c>
      <c r="AE1786" s="39" t="n">
        <f aca="false">SUM(X1786:AD1786)</f>
        <v>141.55858</v>
      </c>
      <c r="AF1786" s="39" t="n">
        <f aca="false">AE1786/(1-Resumo!$B$5)</f>
        <v>160.862022727273</v>
      </c>
      <c r="AG1786" s="39" t="n">
        <f aca="false">AF1786-W1786</f>
        <v>53.7847363636364</v>
      </c>
      <c r="AH1786" s="40" t="n">
        <f aca="false">AF1786/W1786-1</f>
        <v>0.502298276228093</v>
      </c>
      <c r="AI1786" s="37" t="str">
        <f aca="false">IF(AF1786&lt;W1786,"SIM","NÃO")</f>
        <v>NÃO</v>
      </c>
      <c r="AJ1786" s="37" t="n">
        <v>13</v>
      </c>
      <c r="AK1786" s="37" t="n">
        <v>10</v>
      </c>
      <c r="AL1786" s="37" t="s">
        <v>347</v>
      </c>
      <c r="AM1786" s="39" t="n">
        <v>108.77</v>
      </c>
    </row>
    <row r="1787" customFormat="false" ht="15" hidden="false" customHeight="false" outlineLevel="0" collapsed="false">
      <c r="A1787" s="37" t="n">
        <v>394096559</v>
      </c>
      <c r="B1787" s="38" t="n">
        <v>46278.7458796296</v>
      </c>
      <c r="C1787" s="37" t="s">
        <v>345</v>
      </c>
      <c r="D1787" s="37" t="s">
        <v>446</v>
      </c>
      <c r="E1787" s="37" t="n">
        <v>22790587</v>
      </c>
      <c r="F1787" s="37" t="s">
        <v>159</v>
      </c>
      <c r="G1787" s="37" t="s">
        <v>196</v>
      </c>
      <c r="H1787" s="37" t="s">
        <v>187</v>
      </c>
      <c r="I1787" s="37" t="n">
        <v>52.3</v>
      </c>
      <c r="J1787" s="39" t="n">
        <v>649.99</v>
      </c>
      <c r="K1787" s="37" t="s">
        <v>342</v>
      </c>
      <c r="L1787" s="39" t="n">
        <v>114.26</v>
      </c>
      <c r="M1787" s="39" t="n">
        <v>58.6</v>
      </c>
      <c r="N1787" s="39" t="n">
        <f aca="false">J1787*Resumo!$C$6</f>
        <v>0</v>
      </c>
      <c r="O1787" s="39" t="n">
        <f aca="false">J1787*Resumo!$C$7</f>
        <v>1.364979</v>
      </c>
      <c r="P1787" s="39" t="n">
        <f aca="false">J1787*Resumo!$C$8</f>
        <v>1.364979</v>
      </c>
      <c r="Q1787" s="39" t="n">
        <f aca="false">Resumo!$C$10*CEILING(I1787/100,1)</f>
        <v>1.05</v>
      </c>
      <c r="R1787" s="39" t="n">
        <f aca="false">Resumo!$C$9</f>
        <v>0</v>
      </c>
      <c r="S1787" s="39" t="n">
        <f aca="false">Resumo!$C$13</f>
        <v>13.55</v>
      </c>
      <c r="T1787" s="39" t="n">
        <f aca="false">Resumo!$C$14*CEILING(I1787,1)</f>
        <v>23.85</v>
      </c>
      <c r="U1787" s="39" t="n">
        <f aca="false">SUM(M1787:T1787)*Resumo!$C$11</f>
        <v>0</v>
      </c>
      <c r="V1787" s="39" t="n">
        <f aca="false">SUM(M1787:U1787)</f>
        <v>99.779958</v>
      </c>
      <c r="W1787" s="39" t="n">
        <f aca="false">V1787/(1-Resumo!$C$5)</f>
        <v>113.386315909091</v>
      </c>
      <c r="X1787" s="39" t="n">
        <v>112.3</v>
      </c>
      <c r="Y1787" s="39" t="n">
        <f aca="false">J1787*Resumo!$B$6</f>
        <v>0.64999</v>
      </c>
      <c r="Z1787" s="39" t="n">
        <f aca="false">J1787*Resumo!$B$7</f>
        <v>1.29998</v>
      </c>
      <c r="AA1787" s="39" t="n">
        <f aca="false">Resumo!$B$9</f>
        <v>1</v>
      </c>
      <c r="AB1787" s="39" t="n">
        <f aca="false">Resumo!$B$10*CEILING(I1787/100,1)</f>
        <v>4.5</v>
      </c>
      <c r="AC1787" s="39" t="n">
        <f aca="false">Resumo!$B$12*CEILING(I1787,1)</f>
        <v>3.18</v>
      </c>
      <c r="AD1787" s="39" t="n">
        <f aca="false">Resumo!$B$14*CEILING(I1787,1)</f>
        <v>23.85</v>
      </c>
      <c r="AE1787" s="39" t="n">
        <f aca="false">SUM(X1787:AD1787)</f>
        <v>146.77997</v>
      </c>
      <c r="AF1787" s="39" t="n">
        <f aca="false">AE1787/(1-Resumo!$B$5)</f>
        <v>166.795420454545</v>
      </c>
      <c r="AG1787" s="39" t="n">
        <f aca="false">AF1787-W1787</f>
        <v>53.4091045454546</v>
      </c>
      <c r="AH1787" s="40" t="n">
        <f aca="false">AF1787/W1787-1</f>
        <v>0.471036598351745</v>
      </c>
      <c r="AI1787" s="37" t="str">
        <f aca="false">IF(AF1787&lt;W1787,"SIM","NÃO")</f>
        <v>NÃO</v>
      </c>
      <c r="AJ1787" s="37" t="n">
        <v>2</v>
      </c>
      <c r="AK1787" s="37" t="n">
        <v>5</v>
      </c>
      <c r="AL1787" s="37" t="s">
        <v>343</v>
      </c>
      <c r="AM1787" s="39" t="n">
        <v>114.26</v>
      </c>
    </row>
    <row r="1788" customFormat="false" ht="15" hidden="false" customHeight="false" outlineLevel="0" collapsed="false">
      <c r="A1788" s="37" t="n">
        <v>394109107</v>
      </c>
      <c r="B1788" s="38" t="n">
        <v>46278.7617592593</v>
      </c>
      <c r="C1788" s="37" t="s">
        <v>340</v>
      </c>
      <c r="D1788" s="37" t="s">
        <v>1963</v>
      </c>
      <c r="E1788" s="37" t="n">
        <v>20715010</v>
      </c>
      <c r="F1788" s="37" t="s">
        <v>159</v>
      </c>
      <c r="G1788" s="37" t="s">
        <v>196</v>
      </c>
      <c r="H1788" s="37" t="s">
        <v>187</v>
      </c>
      <c r="I1788" s="37" t="n">
        <v>52.3</v>
      </c>
      <c r="J1788" s="39" t="n">
        <v>614.63</v>
      </c>
      <c r="K1788" s="37" t="s">
        <v>342</v>
      </c>
      <c r="L1788" s="39" t="n">
        <v>114.09</v>
      </c>
      <c r="M1788" s="39" t="n">
        <v>58.6</v>
      </c>
      <c r="N1788" s="39" t="n">
        <f aca="false">J1788*Resumo!$C$6</f>
        <v>0</v>
      </c>
      <c r="O1788" s="39" t="n">
        <f aca="false">J1788*Resumo!$C$7</f>
        <v>1.290723</v>
      </c>
      <c r="P1788" s="39" t="n">
        <f aca="false">J1788*Resumo!$C$8</f>
        <v>1.290723</v>
      </c>
      <c r="Q1788" s="39" t="n">
        <f aca="false">Resumo!$C$10*CEILING(I1788/100,1)</f>
        <v>1.05</v>
      </c>
      <c r="R1788" s="39" t="n">
        <f aca="false">Resumo!$C$9</f>
        <v>0</v>
      </c>
      <c r="S1788" s="39" t="n">
        <f aca="false">Resumo!$C$13</f>
        <v>13.55</v>
      </c>
      <c r="T1788" s="39" t="n">
        <f aca="false">Resumo!$C$14*CEILING(I1788,1)</f>
        <v>23.85</v>
      </c>
      <c r="U1788" s="39" t="n">
        <f aca="false">SUM(M1788:T1788)*Resumo!$C$11</f>
        <v>0</v>
      </c>
      <c r="V1788" s="39" t="n">
        <f aca="false">SUM(M1788:U1788)</f>
        <v>99.631446</v>
      </c>
      <c r="W1788" s="39" t="n">
        <f aca="false">V1788/(1-Resumo!$C$5)</f>
        <v>113.217552272727</v>
      </c>
      <c r="X1788" s="39" t="n">
        <v>112.3</v>
      </c>
      <c r="Y1788" s="39" t="n">
        <f aca="false">J1788*Resumo!$B$6</f>
        <v>0.61463</v>
      </c>
      <c r="Z1788" s="39" t="n">
        <f aca="false">J1788*Resumo!$B$7</f>
        <v>1.22926</v>
      </c>
      <c r="AA1788" s="39" t="n">
        <f aca="false">Resumo!$B$9</f>
        <v>1</v>
      </c>
      <c r="AB1788" s="39" t="n">
        <f aca="false">Resumo!$B$10*CEILING(I1788/100,1)</f>
        <v>4.5</v>
      </c>
      <c r="AC1788" s="39" t="n">
        <f aca="false">Resumo!$B$12*CEILING(I1788,1)</f>
        <v>3.18</v>
      </c>
      <c r="AD1788" s="39" t="n">
        <f aca="false">Resumo!$B$14*CEILING(I1788,1)</f>
        <v>23.85</v>
      </c>
      <c r="AE1788" s="39" t="n">
        <f aca="false">SUM(X1788:AD1788)</f>
        <v>146.67389</v>
      </c>
      <c r="AF1788" s="39" t="n">
        <f aca="false">AE1788/(1-Resumo!$B$5)</f>
        <v>166.674875</v>
      </c>
      <c r="AG1788" s="39" t="n">
        <f aca="false">AF1788-W1788</f>
        <v>53.4573227272727</v>
      </c>
      <c r="AH1788" s="40" t="n">
        <f aca="false">AF1788/W1788-1</f>
        <v>0.472164621599489</v>
      </c>
      <c r="AI1788" s="37" t="str">
        <f aca="false">IF(AF1788&lt;W1788,"SIM","NÃO")</f>
        <v>NÃO</v>
      </c>
      <c r="AJ1788" s="37" t="n">
        <v>2</v>
      </c>
      <c r="AK1788" s="37" t="n">
        <v>5</v>
      </c>
      <c r="AL1788" s="37" t="s">
        <v>343</v>
      </c>
      <c r="AM1788" s="39" t="n">
        <v>114.09</v>
      </c>
    </row>
    <row r="1789" customFormat="false" ht="15" hidden="false" customHeight="false" outlineLevel="0" collapsed="false">
      <c r="A1789" s="37" t="n">
        <v>394110545</v>
      </c>
      <c r="B1789" s="38" t="n">
        <v>46278.7636342593</v>
      </c>
      <c r="C1789" s="37" t="s">
        <v>340</v>
      </c>
      <c r="D1789" s="37" t="s">
        <v>1964</v>
      </c>
      <c r="E1789" s="37" t="n">
        <v>25044030</v>
      </c>
      <c r="F1789" s="37" t="s">
        <v>161</v>
      </c>
      <c r="G1789" s="37" t="s">
        <v>197</v>
      </c>
      <c r="H1789" s="37" t="s">
        <v>187</v>
      </c>
      <c r="I1789" s="37" t="n">
        <v>52.3</v>
      </c>
      <c r="J1789" s="39" t="n">
        <v>614.63</v>
      </c>
      <c r="K1789" s="37" t="s">
        <v>342</v>
      </c>
      <c r="L1789" s="39" t="n">
        <v>128.23</v>
      </c>
      <c r="M1789" s="39" t="n">
        <v>70.98</v>
      </c>
      <c r="N1789" s="39" t="n">
        <f aca="false">J1789*Resumo!$C$6</f>
        <v>0</v>
      </c>
      <c r="O1789" s="39" t="n">
        <f aca="false">J1789*Resumo!$C$7</f>
        <v>1.290723</v>
      </c>
      <c r="P1789" s="39" t="n">
        <f aca="false">J1789*Resumo!$C$8</f>
        <v>1.290723</v>
      </c>
      <c r="Q1789" s="39" t="n">
        <f aca="false">Resumo!$C$10*CEILING(I1789/100,1)</f>
        <v>1.05</v>
      </c>
      <c r="R1789" s="39" t="n">
        <f aca="false">Resumo!$C$9</f>
        <v>0</v>
      </c>
      <c r="S1789" s="39" t="n">
        <f aca="false">Resumo!$C$13</f>
        <v>13.55</v>
      </c>
      <c r="T1789" s="39" t="n">
        <f aca="false">Resumo!$C$14*CEILING(I1789,1)</f>
        <v>23.85</v>
      </c>
      <c r="U1789" s="39" t="n">
        <f aca="false">SUM(M1789:T1789)*Resumo!$C$11</f>
        <v>0</v>
      </c>
      <c r="V1789" s="39" t="n">
        <f aca="false">SUM(M1789:U1789)</f>
        <v>112.011446</v>
      </c>
      <c r="W1789" s="39" t="n">
        <f aca="false">V1789/(1-Resumo!$C$5)</f>
        <v>127.285734090909</v>
      </c>
      <c r="X1789" s="39" t="n">
        <v>112.3</v>
      </c>
      <c r="Y1789" s="39" t="n">
        <f aca="false">J1789*Resumo!$B$6</f>
        <v>0.61463</v>
      </c>
      <c r="Z1789" s="39" t="n">
        <f aca="false">J1789*Resumo!$B$7</f>
        <v>1.22926</v>
      </c>
      <c r="AA1789" s="39" t="n">
        <f aca="false">Resumo!$B$9</f>
        <v>1</v>
      </c>
      <c r="AB1789" s="39" t="n">
        <f aca="false">Resumo!$B$10*CEILING(I1789/100,1)</f>
        <v>4.5</v>
      </c>
      <c r="AC1789" s="39" t="n">
        <f aca="false">Resumo!$B$12*CEILING(I1789,1)</f>
        <v>3.18</v>
      </c>
      <c r="AD1789" s="39" t="n">
        <f aca="false">Resumo!$B$14*CEILING(I1789,1)</f>
        <v>23.85</v>
      </c>
      <c r="AE1789" s="39" t="n">
        <f aca="false">SUM(X1789:AD1789)</f>
        <v>146.67389</v>
      </c>
      <c r="AF1789" s="39" t="n">
        <f aca="false">AE1789/(1-Resumo!$B$5)</f>
        <v>166.674875</v>
      </c>
      <c r="AG1789" s="39" t="n">
        <f aca="false">AF1789-W1789</f>
        <v>39.3891409090909</v>
      </c>
      <c r="AH1789" s="40" t="n">
        <f aca="false">AF1789/W1789-1</f>
        <v>0.309454481999991</v>
      </c>
      <c r="AI1789" s="37" t="str">
        <f aca="false">IF(AF1789&lt;W1789,"SIM","NÃO")</f>
        <v>NÃO</v>
      </c>
      <c r="AJ1789" s="37" t="n">
        <v>2</v>
      </c>
      <c r="AK1789" s="37" t="n">
        <v>5</v>
      </c>
      <c r="AL1789" s="37" t="s">
        <v>343</v>
      </c>
      <c r="AM1789" s="39" t="n">
        <v>128.23</v>
      </c>
    </row>
    <row r="1790" customFormat="false" ht="15" hidden="false" customHeight="false" outlineLevel="0" collapsed="false">
      <c r="A1790" s="37" t="n">
        <v>394120299</v>
      </c>
      <c r="B1790" s="38" t="n">
        <v>46278.7755439815</v>
      </c>
      <c r="C1790" s="37" t="s">
        <v>340</v>
      </c>
      <c r="D1790" s="37" t="s">
        <v>1965</v>
      </c>
      <c r="E1790" s="37" t="n">
        <v>22790703</v>
      </c>
      <c r="F1790" s="37" t="s">
        <v>159</v>
      </c>
      <c r="G1790" s="37" t="s">
        <v>196</v>
      </c>
      <c r="H1790" s="37" t="s">
        <v>187</v>
      </c>
      <c r="I1790" s="37" t="n">
        <v>52.3</v>
      </c>
      <c r="J1790" s="39" t="n">
        <v>645.14</v>
      </c>
      <c r="K1790" s="37" t="s">
        <v>342</v>
      </c>
      <c r="L1790" s="39" t="n">
        <v>114.24</v>
      </c>
      <c r="M1790" s="39" t="n">
        <v>58.6</v>
      </c>
      <c r="N1790" s="39" t="n">
        <f aca="false">J1790*Resumo!$C$6</f>
        <v>0</v>
      </c>
      <c r="O1790" s="39" t="n">
        <f aca="false">J1790*Resumo!$C$7</f>
        <v>1.354794</v>
      </c>
      <c r="P1790" s="39" t="n">
        <f aca="false">J1790*Resumo!$C$8</f>
        <v>1.354794</v>
      </c>
      <c r="Q1790" s="39" t="n">
        <f aca="false">Resumo!$C$10*CEILING(I1790/100,1)</f>
        <v>1.05</v>
      </c>
      <c r="R1790" s="39" t="n">
        <f aca="false">Resumo!$C$9</f>
        <v>0</v>
      </c>
      <c r="S1790" s="39" t="n">
        <f aca="false">Resumo!$C$13</f>
        <v>13.55</v>
      </c>
      <c r="T1790" s="39" t="n">
        <f aca="false">Resumo!$C$14*CEILING(I1790,1)</f>
        <v>23.85</v>
      </c>
      <c r="U1790" s="39" t="n">
        <f aca="false">SUM(M1790:T1790)*Resumo!$C$11</f>
        <v>0</v>
      </c>
      <c r="V1790" s="39" t="n">
        <f aca="false">SUM(M1790:U1790)</f>
        <v>99.759588</v>
      </c>
      <c r="W1790" s="39" t="n">
        <f aca="false">V1790/(1-Resumo!$C$5)</f>
        <v>113.363168181818</v>
      </c>
      <c r="X1790" s="39" t="n">
        <v>112.3</v>
      </c>
      <c r="Y1790" s="39" t="n">
        <f aca="false">J1790*Resumo!$B$6</f>
        <v>0.64514</v>
      </c>
      <c r="Z1790" s="39" t="n">
        <f aca="false">J1790*Resumo!$B$7</f>
        <v>1.29028</v>
      </c>
      <c r="AA1790" s="39" t="n">
        <f aca="false">Resumo!$B$9</f>
        <v>1</v>
      </c>
      <c r="AB1790" s="39" t="n">
        <f aca="false">Resumo!$B$10*CEILING(I1790/100,1)</f>
        <v>4.5</v>
      </c>
      <c r="AC1790" s="39" t="n">
        <f aca="false">Resumo!$B$12*CEILING(I1790,1)</f>
        <v>3.18</v>
      </c>
      <c r="AD1790" s="39" t="n">
        <f aca="false">Resumo!$B$14*CEILING(I1790,1)</f>
        <v>23.85</v>
      </c>
      <c r="AE1790" s="39" t="n">
        <f aca="false">SUM(X1790:AD1790)</f>
        <v>146.76542</v>
      </c>
      <c r="AF1790" s="39" t="n">
        <f aca="false">AE1790/(1-Resumo!$B$5)</f>
        <v>166.778886363636</v>
      </c>
      <c r="AG1790" s="39" t="n">
        <f aca="false">AF1790-W1790</f>
        <v>53.4157181818182</v>
      </c>
      <c r="AH1790" s="40" t="n">
        <f aca="false">AF1790/W1790-1</f>
        <v>0.471191119995403</v>
      </c>
      <c r="AI1790" s="37" t="str">
        <f aca="false">IF(AF1790&lt;W1790,"SIM","NÃO")</f>
        <v>NÃO</v>
      </c>
      <c r="AJ1790" s="37" t="n">
        <v>2</v>
      </c>
      <c r="AK1790" s="37" t="n">
        <v>5</v>
      </c>
      <c r="AL1790" s="37" t="s">
        <v>343</v>
      </c>
      <c r="AM1790" s="39" t="n">
        <v>114.24</v>
      </c>
    </row>
    <row r="1791" customFormat="false" ht="15" hidden="false" customHeight="false" outlineLevel="0" collapsed="false">
      <c r="A1791" s="37" t="n">
        <v>394122402</v>
      </c>
      <c r="B1791" s="38" t="n">
        <v>46278.7782060185</v>
      </c>
      <c r="C1791" s="37" t="s">
        <v>340</v>
      </c>
      <c r="D1791" s="37" t="s">
        <v>1966</v>
      </c>
      <c r="E1791" s="37" t="n">
        <v>21930135</v>
      </c>
      <c r="F1791" s="37" t="s">
        <v>159</v>
      </c>
      <c r="G1791" s="37" t="s">
        <v>196</v>
      </c>
      <c r="H1791" s="37" t="s">
        <v>187</v>
      </c>
      <c r="I1791" s="37" t="n">
        <v>52.3</v>
      </c>
      <c r="J1791" s="39" t="n">
        <v>645.14</v>
      </c>
      <c r="K1791" s="37" t="s">
        <v>342</v>
      </c>
      <c r="L1791" s="39" t="n">
        <v>114.24</v>
      </c>
      <c r="M1791" s="39" t="n">
        <v>58.6</v>
      </c>
      <c r="N1791" s="39" t="n">
        <f aca="false">J1791*Resumo!$C$6</f>
        <v>0</v>
      </c>
      <c r="O1791" s="39" t="n">
        <f aca="false">J1791*Resumo!$C$7</f>
        <v>1.354794</v>
      </c>
      <c r="P1791" s="39" t="n">
        <f aca="false">J1791*Resumo!$C$8</f>
        <v>1.354794</v>
      </c>
      <c r="Q1791" s="39" t="n">
        <f aca="false">Resumo!$C$10*CEILING(I1791/100,1)</f>
        <v>1.05</v>
      </c>
      <c r="R1791" s="39" t="n">
        <f aca="false">Resumo!$C$9</f>
        <v>0</v>
      </c>
      <c r="S1791" s="39" t="n">
        <f aca="false">Resumo!$C$13</f>
        <v>13.55</v>
      </c>
      <c r="T1791" s="39" t="n">
        <f aca="false">Resumo!$C$14*CEILING(I1791,1)</f>
        <v>23.85</v>
      </c>
      <c r="U1791" s="39" t="n">
        <f aca="false">SUM(M1791:T1791)*Resumo!$C$11</f>
        <v>0</v>
      </c>
      <c r="V1791" s="39" t="n">
        <f aca="false">SUM(M1791:U1791)</f>
        <v>99.759588</v>
      </c>
      <c r="W1791" s="39" t="n">
        <f aca="false">V1791/(1-Resumo!$C$5)</f>
        <v>113.363168181818</v>
      </c>
      <c r="X1791" s="39" t="n">
        <v>112.3</v>
      </c>
      <c r="Y1791" s="39" t="n">
        <f aca="false">J1791*Resumo!$B$6</f>
        <v>0.64514</v>
      </c>
      <c r="Z1791" s="39" t="n">
        <f aca="false">J1791*Resumo!$B$7</f>
        <v>1.29028</v>
      </c>
      <c r="AA1791" s="39" t="n">
        <f aca="false">Resumo!$B$9</f>
        <v>1</v>
      </c>
      <c r="AB1791" s="39" t="n">
        <f aca="false">Resumo!$B$10*CEILING(I1791/100,1)</f>
        <v>4.5</v>
      </c>
      <c r="AC1791" s="39" t="n">
        <f aca="false">Resumo!$B$12*CEILING(I1791,1)</f>
        <v>3.18</v>
      </c>
      <c r="AD1791" s="39" t="n">
        <f aca="false">Resumo!$B$14*CEILING(I1791,1)</f>
        <v>23.85</v>
      </c>
      <c r="AE1791" s="39" t="n">
        <f aca="false">SUM(X1791:AD1791)</f>
        <v>146.76542</v>
      </c>
      <c r="AF1791" s="39" t="n">
        <f aca="false">AE1791/(1-Resumo!$B$5)</f>
        <v>166.778886363636</v>
      </c>
      <c r="AG1791" s="39" t="n">
        <f aca="false">AF1791-W1791</f>
        <v>53.4157181818182</v>
      </c>
      <c r="AH1791" s="40" t="n">
        <f aca="false">AF1791/W1791-1</f>
        <v>0.471191119995403</v>
      </c>
      <c r="AI1791" s="37" t="str">
        <f aca="false">IF(AF1791&lt;W1791,"SIM","NÃO")</f>
        <v>NÃO</v>
      </c>
      <c r="AJ1791" s="37" t="n">
        <v>2</v>
      </c>
      <c r="AK1791" s="37" t="n">
        <v>5</v>
      </c>
      <c r="AL1791" s="37" t="s">
        <v>343</v>
      </c>
      <c r="AM1791" s="39" t="n">
        <v>114.24</v>
      </c>
    </row>
    <row r="1792" customFormat="false" ht="15" hidden="false" customHeight="false" outlineLevel="0" collapsed="false">
      <c r="A1792" s="37" t="n">
        <v>394124383</v>
      </c>
      <c r="B1792" s="38" t="n">
        <v>46278.7806481482</v>
      </c>
      <c r="C1792" s="37" t="s">
        <v>340</v>
      </c>
      <c r="D1792" s="37" t="s">
        <v>808</v>
      </c>
      <c r="E1792" s="37" t="n">
        <v>22783410</v>
      </c>
      <c r="F1792" s="37" t="s">
        <v>159</v>
      </c>
      <c r="G1792" s="37" t="s">
        <v>196</v>
      </c>
      <c r="H1792" s="37" t="s">
        <v>188</v>
      </c>
      <c r="I1792" s="37" t="n">
        <v>63.9</v>
      </c>
      <c r="J1792" s="39" t="n">
        <v>716.35</v>
      </c>
      <c r="K1792" s="37" t="s">
        <v>342</v>
      </c>
      <c r="L1792" s="39" t="n">
        <v>124.64</v>
      </c>
      <c r="M1792" s="39" t="n">
        <v>63.21</v>
      </c>
      <c r="N1792" s="39" t="n">
        <f aca="false">J1792*Resumo!$C$6</f>
        <v>0</v>
      </c>
      <c r="O1792" s="39" t="n">
        <f aca="false">J1792*Resumo!$C$7</f>
        <v>1.504335</v>
      </c>
      <c r="P1792" s="39" t="n">
        <f aca="false">J1792*Resumo!$C$8</f>
        <v>1.504335</v>
      </c>
      <c r="Q1792" s="39" t="n">
        <f aca="false">Resumo!$C$10*CEILING(I1792/100,1)</f>
        <v>1.05</v>
      </c>
      <c r="R1792" s="39" t="n">
        <f aca="false">Resumo!$C$9</f>
        <v>0</v>
      </c>
      <c r="S1792" s="39" t="n">
        <f aca="false">Resumo!$C$13</f>
        <v>13.55</v>
      </c>
      <c r="T1792" s="39" t="n">
        <f aca="false">Resumo!$C$14*CEILING(I1792,1)</f>
        <v>28.8</v>
      </c>
      <c r="U1792" s="39" t="n">
        <f aca="false">SUM(M1792:T1792)*Resumo!$C$11</f>
        <v>0</v>
      </c>
      <c r="V1792" s="39" t="n">
        <f aca="false">SUM(M1792:U1792)</f>
        <v>109.61867</v>
      </c>
      <c r="W1792" s="39" t="n">
        <f aca="false">V1792/(1-Resumo!$C$5)</f>
        <v>124.566670454545</v>
      </c>
      <c r="X1792" s="39" t="n">
        <v>131.02</v>
      </c>
      <c r="Y1792" s="39" t="n">
        <f aca="false">J1792*Resumo!$B$6</f>
        <v>0.71635</v>
      </c>
      <c r="Z1792" s="39" t="n">
        <f aca="false">J1792*Resumo!$B$7</f>
        <v>1.4327</v>
      </c>
      <c r="AA1792" s="39" t="n">
        <f aca="false">Resumo!$B$9</f>
        <v>1</v>
      </c>
      <c r="AB1792" s="39" t="n">
        <f aca="false">Resumo!$B$10*CEILING(I1792/100,1)</f>
        <v>4.5</v>
      </c>
      <c r="AC1792" s="39" t="n">
        <f aca="false">Resumo!$B$12*CEILING(I1792,1)</f>
        <v>3.84</v>
      </c>
      <c r="AD1792" s="39" t="n">
        <f aca="false">Resumo!$B$14*CEILING(I1792,1)</f>
        <v>28.8</v>
      </c>
      <c r="AE1792" s="39" t="n">
        <f aca="false">SUM(X1792:AD1792)</f>
        <v>171.30905</v>
      </c>
      <c r="AF1792" s="39" t="n">
        <f aca="false">AE1792/(1-Resumo!$B$5)</f>
        <v>194.669375</v>
      </c>
      <c r="AG1792" s="39" t="n">
        <f aca="false">AF1792-W1792</f>
        <v>70.1027045454546</v>
      </c>
      <c r="AH1792" s="40" t="n">
        <f aca="false">AF1792/W1792-1</f>
        <v>0.562772564199146</v>
      </c>
      <c r="AI1792" s="37" t="str">
        <f aca="false">IF(AF1792&lt;W1792,"SIM","NÃO")</f>
        <v>NÃO</v>
      </c>
      <c r="AJ1792" s="37" t="n">
        <v>2</v>
      </c>
      <c r="AK1792" s="37" t="n">
        <v>5</v>
      </c>
      <c r="AL1792" s="37" t="s">
        <v>343</v>
      </c>
      <c r="AM1792" s="39" t="n">
        <v>124.64</v>
      </c>
    </row>
    <row r="1793" customFormat="false" ht="15" hidden="false" customHeight="false" outlineLevel="0" collapsed="false">
      <c r="A1793" s="37" t="n">
        <v>394130127</v>
      </c>
      <c r="B1793" s="38" t="n">
        <v>46278.7966550926</v>
      </c>
      <c r="C1793" s="37" t="s">
        <v>375</v>
      </c>
      <c r="D1793" s="37" t="s">
        <v>486</v>
      </c>
      <c r="E1793" s="37" t="n">
        <v>22765240</v>
      </c>
      <c r="F1793" s="37" t="s">
        <v>159</v>
      </c>
      <c r="G1793" s="37" t="s">
        <v>196</v>
      </c>
      <c r="H1793" s="37" t="s">
        <v>183</v>
      </c>
      <c r="I1793" s="37" t="n">
        <v>15.15</v>
      </c>
      <c r="J1793" s="39" t="n">
        <v>269.99</v>
      </c>
      <c r="K1793" s="37" t="s">
        <v>342</v>
      </c>
      <c r="L1793" s="39" t="n">
        <v>64.51</v>
      </c>
      <c r="M1793" s="39" t="n">
        <v>33.42</v>
      </c>
      <c r="N1793" s="39" t="n">
        <f aca="false">J1793*Resumo!$C$6</f>
        <v>0</v>
      </c>
      <c r="O1793" s="39" t="n">
        <f aca="false">J1793*Resumo!$C$7</f>
        <v>0.566979</v>
      </c>
      <c r="P1793" s="39" t="n">
        <f aca="false">J1793*Resumo!$C$8</f>
        <v>0.566979</v>
      </c>
      <c r="Q1793" s="39" t="n">
        <f aca="false">Resumo!$C$10*CEILING(I1793/100,1)</f>
        <v>1.05</v>
      </c>
      <c r="R1793" s="39" t="n">
        <f aca="false">Resumo!$C$9</f>
        <v>0</v>
      </c>
      <c r="S1793" s="39" t="n">
        <f aca="false">Resumo!$C$13</f>
        <v>13.55</v>
      </c>
      <c r="T1793" s="39" t="n">
        <f aca="false">Resumo!$C$14*CEILING(I1793,1)</f>
        <v>7.2</v>
      </c>
      <c r="U1793" s="39" t="n">
        <f aca="false">SUM(M1793:T1793)*Resumo!$C$11</f>
        <v>0</v>
      </c>
      <c r="V1793" s="39" t="n">
        <f aca="false">SUM(M1793:U1793)</f>
        <v>56.353958</v>
      </c>
      <c r="W1793" s="39" t="n">
        <f aca="false">V1793/(1-Resumo!$C$5)</f>
        <v>64.0385886363636</v>
      </c>
      <c r="X1793" s="39" t="n">
        <v>46.98</v>
      </c>
      <c r="Y1793" s="39" t="n">
        <f aca="false">J1793*Resumo!$B$6</f>
        <v>0.26999</v>
      </c>
      <c r="Z1793" s="39" t="n">
        <f aca="false">J1793*Resumo!$B$7</f>
        <v>0.53998</v>
      </c>
      <c r="AA1793" s="39" t="n">
        <f aca="false">Resumo!$B$9</f>
        <v>1</v>
      </c>
      <c r="AB1793" s="39" t="n">
        <f aca="false">Resumo!$B$10*CEILING(I1793/100,1)</f>
        <v>4.5</v>
      </c>
      <c r="AC1793" s="39" t="n">
        <f aca="false">Resumo!$B$12*CEILING(I1793,1)</f>
        <v>0.96</v>
      </c>
      <c r="AD1793" s="39" t="n">
        <f aca="false">Resumo!$B$14*CEILING(I1793,1)</f>
        <v>7.2</v>
      </c>
      <c r="AE1793" s="39" t="n">
        <f aca="false">SUM(X1793:AD1793)</f>
        <v>61.44997</v>
      </c>
      <c r="AF1793" s="39" t="n">
        <f aca="false">AE1793/(1-Resumo!$B$5)</f>
        <v>69.8295113636364</v>
      </c>
      <c r="AG1793" s="39" t="n">
        <f aca="false">AF1793-W1793</f>
        <v>5.79092272727272</v>
      </c>
      <c r="AH1793" s="40" t="n">
        <f aca="false">AF1793/W1793-1</f>
        <v>0.0904286438940098</v>
      </c>
      <c r="AI1793" s="37" t="str">
        <f aca="false">IF(AF1793&lt;W1793,"SIM","NÃO")</f>
        <v>NÃO</v>
      </c>
      <c r="AJ1793" s="37" t="n">
        <v>2</v>
      </c>
      <c r="AK1793" s="37" t="n">
        <v>5</v>
      </c>
      <c r="AL1793" s="37" t="s">
        <v>343</v>
      </c>
      <c r="AM1793" s="39" t="n">
        <v>64.51</v>
      </c>
    </row>
    <row r="1794" customFormat="false" ht="15" hidden="false" customHeight="false" outlineLevel="0" collapsed="false">
      <c r="A1794" s="37" t="n">
        <v>394185318</v>
      </c>
      <c r="B1794" s="38" t="n">
        <v>46278.8783680556</v>
      </c>
      <c r="C1794" s="37" t="s">
        <v>345</v>
      </c>
      <c r="D1794" s="37" t="s">
        <v>1967</v>
      </c>
      <c r="E1794" s="37" t="n">
        <v>23068155</v>
      </c>
      <c r="F1794" s="37" t="s">
        <v>159</v>
      </c>
      <c r="G1794" s="37" t="s">
        <v>196</v>
      </c>
      <c r="H1794" s="37" t="s">
        <v>187</v>
      </c>
      <c r="I1794" s="37" t="n">
        <v>56.7</v>
      </c>
      <c r="J1794" s="39" t="n">
        <v>645.77</v>
      </c>
      <c r="K1794" s="37" t="s">
        <v>342</v>
      </c>
      <c r="L1794" s="39" t="n">
        <v>114.24</v>
      </c>
      <c r="M1794" s="39" t="n">
        <v>58.6</v>
      </c>
      <c r="N1794" s="39" t="n">
        <f aca="false">J1794*Resumo!$C$6</f>
        <v>0</v>
      </c>
      <c r="O1794" s="39" t="n">
        <f aca="false">J1794*Resumo!$C$7</f>
        <v>1.356117</v>
      </c>
      <c r="P1794" s="39" t="n">
        <f aca="false">J1794*Resumo!$C$8</f>
        <v>1.356117</v>
      </c>
      <c r="Q1794" s="39" t="n">
        <f aca="false">Resumo!$C$10*CEILING(I1794/100,1)</f>
        <v>1.05</v>
      </c>
      <c r="R1794" s="39" t="n">
        <f aca="false">Resumo!$C$9</f>
        <v>0</v>
      </c>
      <c r="S1794" s="39" t="n">
        <f aca="false">Resumo!$C$13</f>
        <v>13.55</v>
      </c>
      <c r="T1794" s="39" t="n">
        <f aca="false">Resumo!$C$14*CEILING(I1794,1)</f>
        <v>25.65</v>
      </c>
      <c r="U1794" s="39" t="n">
        <f aca="false">SUM(M1794:T1794)*Resumo!$C$11</f>
        <v>0</v>
      </c>
      <c r="V1794" s="39" t="n">
        <f aca="false">SUM(M1794:U1794)</f>
        <v>101.562234</v>
      </c>
      <c r="W1794" s="39" t="n">
        <f aca="false">V1794/(1-Resumo!$C$5)</f>
        <v>115.411629545455</v>
      </c>
      <c r="X1794" s="39" t="n">
        <v>112.3</v>
      </c>
      <c r="Y1794" s="39" t="n">
        <f aca="false">J1794*Resumo!$B$6</f>
        <v>0.64577</v>
      </c>
      <c r="Z1794" s="39" t="n">
        <f aca="false">J1794*Resumo!$B$7</f>
        <v>1.29154</v>
      </c>
      <c r="AA1794" s="39" t="n">
        <f aca="false">Resumo!$B$9</f>
        <v>1</v>
      </c>
      <c r="AB1794" s="39" t="n">
        <f aca="false">Resumo!$B$10*CEILING(I1794/100,1)</f>
        <v>4.5</v>
      </c>
      <c r="AC1794" s="39" t="n">
        <f aca="false">Resumo!$B$12*CEILING(I1794,1)</f>
        <v>3.42</v>
      </c>
      <c r="AD1794" s="39" t="n">
        <f aca="false">Resumo!$B$14*CEILING(I1794,1)</f>
        <v>25.65</v>
      </c>
      <c r="AE1794" s="39" t="n">
        <f aca="false">SUM(X1794:AD1794)</f>
        <v>148.80731</v>
      </c>
      <c r="AF1794" s="39" t="n">
        <f aca="false">AE1794/(1-Resumo!$B$5)</f>
        <v>169.099215909091</v>
      </c>
      <c r="AG1794" s="39" t="n">
        <f aca="false">AF1794-W1794</f>
        <v>53.6875863636364</v>
      </c>
      <c r="AH1794" s="40" t="n">
        <f aca="false">AF1794/W1794-1</f>
        <v>0.465183505120614</v>
      </c>
      <c r="AI1794" s="37" t="str">
        <f aca="false">IF(AF1794&lt;W1794,"SIM","NÃO")</f>
        <v>NÃO</v>
      </c>
      <c r="AJ1794" s="37" t="n">
        <v>2</v>
      </c>
      <c r="AK1794" s="37" t="n">
        <v>5</v>
      </c>
      <c r="AL1794" s="37" t="s">
        <v>343</v>
      </c>
      <c r="AM1794" s="39" t="n">
        <v>114.24</v>
      </c>
    </row>
    <row r="1795" customFormat="false" ht="15" hidden="false" customHeight="false" outlineLevel="0" collapsed="false">
      <c r="A1795" s="37" t="n">
        <v>394192604</v>
      </c>
      <c r="B1795" s="38" t="n">
        <v>46278.8900231482</v>
      </c>
      <c r="C1795" s="37" t="s">
        <v>340</v>
      </c>
      <c r="D1795" s="37" t="s">
        <v>1968</v>
      </c>
      <c r="E1795" s="37" t="n">
        <v>23050360</v>
      </c>
      <c r="F1795" s="37" t="s">
        <v>159</v>
      </c>
      <c r="G1795" s="37" t="s">
        <v>196</v>
      </c>
      <c r="H1795" s="37" t="s">
        <v>188</v>
      </c>
      <c r="I1795" s="37" t="n">
        <v>67.3</v>
      </c>
      <c r="J1795" s="39" t="n">
        <v>779.99</v>
      </c>
      <c r="K1795" s="37" t="s">
        <v>342</v>
      </c>
      <c r="L1795" s="39" t="n">
        <v>124.94</v>
      </c>
      <c r="M1795" s="39" t="n">
        <v>63.21</v>
      </c>
      <c r="N1795" s="39" t="n">
        <f aca="false">J1795*Resumo!$C$6</f>
        <v>0</v>
      </c>
      <c r="O1795" s="39" t="n">
        <f aca="false">J1795*Resumo!$C$7</f>
        <v>1.637979</v>
      </c>
      <c r="P1795" s="39" t="n">
        <f aca="false">J1795*Resumo!$C$8</f>
        <v>1.637979</v>
      </c>
      <c r="Q1795" s="39" t="n">
        <f aca="false">Resumo!$C$10*CEILING(I1795/100,1)</f>
        <v>1.05</v>
      </c>
      <c r="R1795" s="39" t="n">
        <f aca="false">Resumo!$C$9</f>
        <v>0</v>
      </c>
      <c r="S1795" s="39" t="n">
        <f aca="false">Resumo!$C$13</f>
        <v>13.55</v>
      </c>
      <c r="T1795" s="39" t="n">
        <f aca="false">Resumo!$C$14*CEILING(I1795,1)</f>
        <v>30.6</v>
      </c>
      <c r="U1795" s="39" t="n">
        <f aca="false">SUM(M1795:T1795)*Resumo!$C$11</f>
        <v>0</v>
      </c>
      <c r="V1795" s="39" t="n">
        <f aca="false">SUM(M1795:U1795)</f>
        <v>111.685958</v>
      </c>
      <c r="W1795" s="39" t="n">
        <f aca="false">V1795/(1-Resumo!$C$5)</f>
        <v>126.915861363636</v>
      </c>
      <c r="X1795" s="39" t="n">
        <v>131.02</v>
      </c>
      <c r="Y1795" s="39" t="n">
        <f aca="false">J1795*Resumo!$B$6</f>
        <v>0.77999</v>
      </c>
      <c r="Z1795" s="39" t="n">
        <f aca="false">J1795*Resumo!$B$7</f>
        <v>1.55998</v>
      </c>
      <c r="AA1795" s="39" t="n">
        <f aca="false">Resumo!$B$9</f>
        <v>1</v>
      </c>
      <c r="AB1795" s="39" t="n">
        <f aca="false">Resumo!$B$10*CEILING(I1795/100,1)</f>
        <v>4.5</v>
      </c>
      <c r="AC1795" s="39" t="n">
        <f aca="false">Resumo!$B$12*CEILING(I1795,1)</f>
        <v>4.08</v>
      </c>
      <c r="AD1795" s="39" t="n">
        <f aca="false">Resumo!$B$14*CEILING(I1795,1)</f>
        <v>30.6</v>
      </c>
      <c r="AE1795" s="39" t="n">
        <f aca="false">SUM(X1795:AD1795)</f>
        <v>173.53997</v>
      </c>
      <c r="AF1795" s="39" t="n">
        <f aca="false">AE1795/(1-Resumo!$B$5)</f>
        <v>197.204511363636</v>
      </c>
      <c r="AG1795" s="39" t="n">
        <f aca="false">AF1795-W1795</f>
        <v>70.28865</v>
      </c>
      <c r="AH1795" s="40" t="n">
        <f aca="false">AF1795/W1795-1</f>
        <v>0.553820848275304</v>
      </c>
      <c r="AI1795" s="37" t="str">
        <f aca="false">IF(AF1795&lt;W1795,"SIM","NÃO")</f>
        <v>NÃO</v>
      </c>
      <c r="AJ1795" s="37" t="n">
        <v>2</v>
      </c>
      <c r="AK1795" s="37" t="n">
        <v>5</v>
      </c>
      <c r="AL1795" s="37" t="s">
        <v>343</v>
      </c>
      <c r="AM1795" s="39" t="n">
        <v>124.95</v>
      </c>
    </row>
    <row r="1796" customFormat="false" ht="15" hidden="false" customHeight="false" outlineLevel="0" collapsed="false">
      <c r="A1796" s="37" t="n">
        <v>394219365</v>
      </c>
      <c r="B1796" s="38" t="n">
        <v>46278.9387615741</v>
      </c>
      <c r="C1796" s="37" t="s">
        <v>345</v>
      </c>
      <c r="D1796" s="37" t="s">
        <v>1969</v>
      </c>
      <c r="E1796" s="37" t="n">
        <v>21931242</v>
      </c>
      <c r="F1796" s="37" t="s">
        <v>159</v>
      </c>
      <c r="G1796" s="37" t="s">
        <v>196</v>
      </c>
      <c r="H1796" s="37" t="s">
        <v>188</v>
      </c>
      <c r="I1796" s="37" t="n">
        <v>67.3</v>
      </c>
      <c r="J1796" s="39" t="n">
        <v>709</v>
      </c>
      <c r="K1796" s="37" t="s">
        <v>342</v>
      </c>
      <c r="L1796" s="39" t="n">
        <v>124.61</v>
      </c>
      <c r="M1796" s="39" t="n">
        <v>63.21</v>
      </c>
      <c r="N1796" s="39" t="n">
        <f aca="false">J1796*Resumo!$C$6</f>
        <v>0</v>
      </c>
      <c r="O1796" s="39" t="n">
        <f aca="false">J1796*Resumo!$C$7</f>
        <v>1.4889</v>
      </c>
      <c r="P1796" s="39" t="n">
        <f aca="false">J1796*Resumo!$C$8</f>
        <v>1.4889</v>
      </c>
      <c r="Q1796" s="39" t="n">
        <f aca="false">Resumo!$C$10*CEILING(I1796/100,1)</f>
        <v>1.05</v>
      </c>
      <c r="R1796" s="39" t="n">
        <f aca="false">Resumo!$C$9</f>
        <v>0</v>
      </c>
      <c r="S1796" s="39" t="n">
        <f aca="false">Resumo!$C$13</f>
        <v>13.55</v>
      </c>
      <c r="T1796" s="39" t="n">
        <f aca="false">Resumo!$C$14*CEILING(I1796,1)</f>
        <v>30.6</v>
      </c>
      <c r="U1796" s="39" t="n">
        <f aca="false">SUM(M1796:T1796)*Resumo!$C$11</f>
        <v>0</v>
      </c>
      <c r="V1796" s="39" t="n">
        <f aca="false">SUM(M1796:U1796)</f>
        <v>111.3878</v>
      </c>
      <c r="W1796" s="39" t="n">
        <f aca="false">V1796/(1-Resumo!$C$5)</f>
        <v>126.577045454545</v>
      </c>
      <c r="X1796" s="39" t="n">
        <v>131.02</v>
      </c>
      <c r="Y1796" s="39" t="n">
        <f aca="false">J1796*Resumo!$B$6</f>
        <v>0.709</v>
      </c>
      <c r="Z1796" s="39" t="n">
        <f aca="false">J1796*Resumo!$B$7</f>
        <v>1.418</v>
      </c>
      <c r="AA1796" s="39" t="n">
        <f aca="false">Resumo!$B$9</f>
        <v>1</v>
      </c>
      <c r="AB1796" s="39" t="n">
        <f aca="false">Resumo!$B$10*CEILING(I1796/100,1)</f>
        <v>4.5</v>
      </c>
      <c r="AC1796" s="39" t="n">
        <f aca="false">Resumo!$B$12*CEILING(I1796,1)</f>
        <v>4.08</v>
      </c>
      <c r="AD1796" s="39" t="n">
        <f aca="false">Resumo!$B$14*CEILING(I1796,1)</f>
        <v>30.6</v>
      </c>
      <c r="AE1796" s="39" t="n">
        <f aca="false">SUM(X1796:AD1796)</f>
        <v>173.327</v>
      </c>
      <c r="AF1796" s="39" t="n">
        <f aca="false">AE1796/(1-Resumo!$B$5)</f>
        <v>196.9625</v>
      </c>
      <c r="AG1796" s="39" t="n">
        <f aca="false">AF1796-W1796</f>
        <v>70.3854545454546</v>
      </c>
      <c r="AH1796" s="40" t="n">
        <f aca="false">AF1796/W1796-1</f>
        <v>0.556068079269004</v>
      </c>
      <c r="AI1796" s="37" t="str">
        <f aca="false">IF(AF1796&lt;W1796,"SIM","NÃO")</f>
        <v>NÃO</v>
      </c>
      <c r="AJ1796" s="37" t="n">
        <v>2</v>
      </c>
      <c r="AK1796" s="37" t="n">
        <v>5</v>
      </c>
      <c r="AL1796" s="37" t="s">
        <v>343</v>
      </c>
      <c r="AM1796" s="39" t="n">
        <v>124.61</v>
      </c>
    </row>
    <row r="1797" customFormat="false" ht="15" hidden="false" customHeight="false" outlineLevel="0" collapsed="false">
      <c r="A1797" s="37" t="n">
        <v>394222719</v>
      </c>
      <c r="B1797" s="38" t="n">
        <v>46278.9438541667</v>
      </c>
      <c r="C1797" s="37" t="s">
        <v>345</v>
      </c>
      <c r="D1797" s="37" t="s">
        <v>1970</v>
      </c>
      <c r="E1797" s="37" t="n">
        <v>23020715</v>
      </c>
      <c r="F1797" s="37" t="s">
        <v>159</v>
      </c>
      <c r="G1797" s="37" t="s">
        <v>196</v>
      </c>
      <c r="H1797" s="37" t="s">
        <v>184</v>
      </c>
      <c r="I1797" s="37" t="n">
        <v>27</v>
      </c>
      <c r="J1797" s="39" t="n">
        <v>486.62</v>
      </c>
      <c r="K1797" s="37" t="s">
        <v>342</v>
      </c>
      <c r="L1797" s="39" t="n">
        <v>82.65</v>
      </c>
      <c r="M1797" s="39" t="n">
        <v>42.11</v>
      </c>
      <c r="N1797" s="39" t="n">
        <f aca="false">J1797*Resumo!$C$6</f>
        <v>0</v>
      </c>
      <c r="O1797" s="39" t="n">
        <f aca="false">J1797*Resumo!$C$7</f>
        <v>1.021902</v>
      </c>
      <c r="P1797" s="39" t="n">
        <f aca="false">J1797*Resumo!$C$8</f>
        <v>1.021902</v>
      </c>
      <c r="Q1797" s="39" t="n">
        <f aca="false">Resumo!$C$10*CEILING(I1797/100,1)</f>
        <v>1.05</v>
      </c>
      <c r="R1797" s="39" t="n">
        <f aca="false">Resumo!$C$9</f>
        <v>0</v>
      </c>
      <c r="S1797" s="39" t="n">
        <f aca="false">Resumo!$C$13</f>
        <v>13.55</v>
      </c>
      <c r="T1797" s="39" t="n">
        <f aca="false">Resumo!$C$14*CEILING(I1797,1)</f>
        <v>12.15</v>
      </c>
      <c r="U1797" s="39" t="n">
        <f aca="false">SUM(M1797:T1797)*Resumo!$C$11</f>
        <v>0</v>
      </c>
      <c r="V1797" s="39" t="n">
        <f aca="false">SUM(M1797:U1797)</f>
        <v>70.903804</v>
      </c>
      <c r="W1797" s="39" t="n">
        <f aca="false">V1797/(1-Resumo!$C$5)</f>
        <v>80.5725045454546</v>
      </c>
      <c r="X1797" s="39" t="n">
        <v>82.21</v>
      </c>
      <c r="Y1797" s="39" t="n">
        <f aca="false">J1797*Resumo!$B$6</f>
        <v>0.48662</v>
      </c>
      <c r="Z1797" s="39" t="n">
        <f aca="false">J1797*Resumo!$B$7</f>
        <v>0.97324</v>
      </c>
      <c r="AA1797" s="39" t="n">
        <f aca="false">Resumo!$B$9</f>
        <v>1</v>
      </c>
      <c r="AB1797" s="39" t="n">
        <f aca="false">Resumo!$B$10*CEILING(I1797/100,1)</f>
        <v>4.5</v>
      </c>
      <c r="AC1797" s="39" t="n">
        <f aca="false">Resumo!$B$12*CEILING(I1797,1)</f>
        <v>1.62</v>
      </c>
      <c r="AD1797" s="39" t="n">
        <f aca="false">Resumo!$B$14*CEILING(I1797,1)</f>
        <v>12.15</v>
      </c>
      <c r="AE1797" s="39" t="n">
        <f aca="false">SUM(X1797:AD1797)</f>
        <v>102.93986</v>
      </c>
      <c r="AF1797" s="39" t="n">
        <f aca="false">AE1797/(1-Resumo!$B$5)</f>
        <v>116.977113636364</v>
      </c>
      <c r="AG1797" s="39" t="n">
        <f aca="false">AF1797-W1797</f>
        <v>36.4046090909091</v>
      </c>
      <c r="AH1797" s="40" t="n">
        <f aca="false">AF1797/W1797-1</f>
        <v>0.451824220883833</v>
      </c>
      <c r="AI1797" s="37" t="str">
        <f aca="false">IF(AF1797&lt;W1797,"SIM","NÃO")</f>
        <v>NÃO</v>
      </c>
      <c r="AJ1797" s="37" t="n">
        <v>2</v>
      </c>
      <c r="AK1797" s="37" t="n">
        <v>5</v>
      </c>
      <c r="AL1797" s="37" t="s">
        <v>343</v>
      </c>
      <c r="AM1797" s="39" t="n">
        <v>82.66</v>
      </c>
    </row>
    <row r="1798" customFormat="false" ht="15" hidden="false" customHeight="false" outlineLevel="0" collapsed="false">
      <c r="A1798" s="37" t="n">
        <v>394246647</v>
      </c>
      <c r="B1798" s="38" t="n">
        <v>46278.9808449074</v>
      </c>
      <c r="C1798" s="37" t="s">
        <v>340</v>
      </c>
      <c r="D1798" s="37" t="s">
        <v>1971</v>
      </c>
      <c r="E1798" s="37" t="n">
        <v>28750000</v>
      </c>
      <c r="F1798" s="37" t="s">
        <v>286</v>
      </c>
      <c r="G1798" s="37" t="s">
        <v>198</v>
      </c>
      <c r="H1798" s="37" t="s">
        <v>184</v>
      </c>
      <c r="I1798" s="37" t="n">
        <v>27</v>
      </c>
      <c r="J1798" s="39" t="n">
        <v>339.99</v>
      </c>
      <c r="K1798" s="37" t="s">
        <v>342</v>
      </c>
      <c r="L1798" s="39" t="n">
        <v>108.81</v>
      </c>
      <c r="M1798" s="39" t="n">
        <v>65.63</v>
      </c>
      <c r="N1798" s="39" t="n">
        <f aca="false">J1798*Resumo!$C$6</f>
        <v>0</v>
      </c>
      <c r="O1798" s="39" t="n">
        <f aca="false">J1798*Resumo!$C$7</f>
        <v>0.713979</v>
      </c>
      <c r="P1798" s="39" t="n">
        <f aca="false">J1798*Resumo!$C$8</f>
        <v>0.713979</v>
      </c>
      <c r="Q1798" s="39" t="n">
        <f aca="false">Resumo!$C$10*CEILING(I1798/100,1)</f>
        <v>1.05</v>
      </c>
      <c r="R1798" s="39" t="n">
        <f aca="false">Resumo!$C$9</f>
        <v>0</v>
      </c>
      <c r="S1798" s="39" t="n">
        <f aca="false">Resumo!$C$13</f>
        <v>13.55</v>
      </c>
      <c r="T1798" s="39" t="n">
        <f aca="false">Resumo!$C$14*CEILING(I1798,1)</f>
        <v>12.15</v>
      </c>
      <c r="U1798" s="39" t="n">
        <f aca="false">SUM(M1798:T1798)*Resumo!$C$11</f>
        <v>0</v>
      </c>
      <c r="V1798" s="39" t="n">
        <f aca="false">SUM(M1798:U1798)</f>
        <v>93.807958</v>
      </c>
      <c r="W1798" s="39" t="n">
        <f aca="false">V1798/(1-Resumo!$C$5)</f>
        <v>106.599952272727</v>
      </c>
      <c r="X1798" s="39" t="n">
        <v>138.29</v>
      </c>
      <c r="Y1798" s="39" t="n">
        <f aca="false">J1798*Resumo!$B$6</f>
        <v>0.33999</v>
      </c>
      <c r="Z1798" s="39" t="n">
        <f aca="false">J1798*Resumo!$B$7</f>
        <v>0.67998</v>
      </c>
      <c r="AA1798" s="39" t="n">
        <f aca="false">Resumo!$B$9</f>
        <v>1</v>
      </c>
      <c r="AB1798" s="39" t="n">
        <f aca="false">Resumo!$B$10*CEILING(I1798/100,1)</f>
        <v>4.5</v>
      </c>
      <c r="AC1798" s="39" t="n">
        <f aca="false">Resumo!$B$12*CEILING(I1798,1)</f>
        <v>1.62</v>
      </c>
      <c r="AD1798" s="39" t="n">
        <f aca="false">Resumo!$B$14*CEILING(I1798,1)</f>
        <v>12.15</v>
      </c>
      <c r="AE1798" s="39" t="n">
        <f aca="false">SUM(X1798:AD1798)</f>
        <v>158.57997</v>
      </c>
      <c r="AF1798" s="39" t="n">
        <f aca="false">AE1798/(1-Resumo!$B$5)</f>
        <v>180.204511363636</v>
      </c>
      <c r="AG1798" s="39" t="n">
        <f aca="false">AF1798-W1798</f>
        <v>73.6045590909091</v>
      </c>
      <c r="AH1798" s="40" t="n">
        <f aca="false">AF1798/W1798-1</f>
        <v>0.690474597048579</v>
      </c>
      <c r="AI1798" s="37" t="str">
        <f aca="false">IF(AF1798&lt;W1798,"SIM","NÃO")</f>
        <v>NÃO</v>
      </c>
      <c r="AJ1798" s="37" t="n">
        <v>13</v>
      </c>
      <c r="AK1798" s="37" t="n">
        <v>11</v>
      </c>
      <c r="AL1798" s="37" t="s">
        <v>347</v>
      </c>
      <c r="AM1798" s="39" t="n">
        <v>108.81</v>
      </c>
    </row>
    <row r="1799" customFormat="false" ht="15" hidden="false" customHeight="false" outlineLevel="0" collapsed="false">
      <c r="A1799" s="37" t="n">
        <v>394460134</v>
      </c>
      <c r="B1799" s="38" t="n">
        <v>46279.5200115741</v>
      </c>
      <c r="C1799" s="37" t="s">
        <v>340</v>
      </c>
      <c r="D1799" s="37" t="s">
        <v>1972</v>
      </c>
      <c r="E1799" s="37" t="n">
        <v>27581714</v>
      </c>
      <c r="F1799" s="37" t="s">
        <v>252</v>
      </c>
      <c r="G1799" s="37" t="s">
        <v>198</v>
      </c>
      <c r="H1799" s="37" t="s">
        <v>184</v>
      </c>
      <c r="I1799" s="37" t="n">
        <v>33</v>
      </c>
      <c r="J1799" s="39" t="n">
        <v>344.13</v>
      </c>
      <c r="K1799" s="37" t="s">
        <v>342</v>
      </c>
      <c r="L1799" s="39" t="n">
        <v>108.83</v>
      </c>
      <c r="M1799" s="39" t="n">
        <v>65.63</v>
      </c>
      <c r="N1799" s="39" t="n">
        <f aca="false">J1799*Resumo!$C$6</f>
        <v>0</v>
      </c>
      <c r="O1799" s="39" t="n">
        <f aca="false">J1799*Resumo!$C$7</f>
        <v>0.722673</v>
      </c>
      <c r="P1799" s="39" t="n">
        <f aca="false">J1799*Resumo!$C$8</f>
        <v>0.722673</v>
      </c>
      <c r="Q1799" s="39" t="n">
        <f aca="false">Resumo!$C$10*CEILING(I1799/100,1)</f>
        <v>1.05</v>
      </c>
      <c r="R1799" s="39" t="n">
        <f aca="false">Resumo!$C$9</f>
        <v>0</v>
      </c>
      <c r="S1799" s="39" t="n">
        <f aca="false">Resumo!$C$13</f>
        <v>13.55</v>
      </c>
      <c r="T1799" s="39" t="n">
        <f aca="false">Resumo!$C$14*CEILING(I1799,1)</f>
        <v>14.85</v>
      </c>
      <c r="U1799" s="39" t="n">
        <f aca="false">SUM(M1799:T1799)*Resumo!$C$11</f>
        <v>0</v>
      </c>
      <c r="V1799" s="39" t="n">
        <f aca="false">SUM(M1799:U1799)</f>
        <v>96.525346</v>
      </c>
      <c r="W1799" s="39" t="n">
        <f aca="false">V1799/(1-Resumo!$C$5)</f>
        <v>109.687893181818</v>
      </c>
      <c r="X1799" s="39" t="n">
        <v>108.83</v>
      </c>
      <c r="Y1799" s="39" t="n">
        <f aca="false">J1799*Resumo!$B$6</f>
        <v>0.34413</v>
      </c>
      <c r="Z1799" s="39" t="n">
        <f aca="false">J1799*Resumo!$B$7</f>
        <v>0.68826</v>
      </c>
      <c r="AA1799" s="39" t="n">
        <f aca="false">Resumo!$B$9</f>
        <v>1</v>
      </c>
      <c r="AB1799" s="39" t="n">
        <f aca="false">Resumo!$B$10*CEILING(I1799/100,1)</f>
        <v>4.5</v>
      </c>
      <c r="AC1799" s="39" t="n">
        <f aca="false">Resumo!$B$12*CEILING(I1799,1)</f>
        <v>1.98</v>
      </c>
      <c r="AD1799" s="39" t="n">
        <f aca="false">Resumo!$B$14*CEILING(I1799,1)</f>
        <v>14.85</v>
      </c>
      <c r="AE1799" s="39" t="n">
        <f aca="false">SUM(X1799:AD1799)</f>
        <v>132.19239</v>
      </c>
      <c r="AF1799" s="39" t="n">
        <f aca="false">AE1799/(1-Resumo!$B$5)</f>
        <v>150.218625</v>
      </c>
      <c r="AG1799" s="39" t="n">
        <f aca="false">AF1799-W1799</f>
        <v>40.5307318181818</v>
      </c>
      <c r="AH1799" s="40" t="n">
        <f aca="false">AF1799/W1799-1</f>
        <v>0.369509620820214</v>
      </c>
      <c r="AI1799" s="37" t="str">
        <f aca="false">IF(AF1799&lt;W1799,"SIM","NÃO")</f>
        <v>NÃO</v>
      </c>
      <c r="AJ1799" s="37" t="n">
        <v>13</v>
      </c>
      <c r="AK1799" s="37" t="n">
        <v>10</v>
      </c>
      <c r="AL1799" s="37" t="s">
        <v>347</v>
      </c>
      <c r="AM1799" s="39" t="n">
        <v>108.83</v>
      </c>
    </row>
    <row r="1800" customFormat="false" ht="15" hidden="false" customHeight="false" outlineLevel="0" collapsed="false">
      <c r="A1800" s="37" t="n">
        <v>394462754</v>
      </c>
      <c r="B1800" s="38" t="n">
        <v>46279.5240277778</v>
      </c>
      <c r="C1800" s="37" t="s">
        <v>340</v>
      </c>
      <c r="D1800" s="37" t="s">
        <v>1973</v>
      </c>
      <c r="E1800" s="37" t="n">
        <v>22220030</v>
      </c>
      <c r="F1800" s="37" t="s">
        <v>159</v>
      </c>
      <c r="G1800" s="37" t="s">
        <v>196</v>
      </c>
      <c r="H1800" s="37" t="s">
        <v>184</v>
      </c>
      <c r="I1800" s="37" t="n">
        <v>21.3</v>
      </c>
      <c r="J1800" s="39" t="n">
        <v>299.96</v>
      </c>
      <c r="K1800" s="37" t="s">
        <v>342</v>
      </c>
      <c r="L1800" s="39" t="n">
        <v>81.76</v>
      </c>
      <c r="M1800" s="39" t="n">
        <v>42.11</v>
      </c>
      <c r="N1800" s="39" t="n">
        <f aca="false">J1800*Resumo!$C$6</f>
        <v>0</v>
      </c>
      <c r="O1800" s="39" t="n">
        <f aca="false">J1800*Resumo!$C$7</f>
        <v>0.629916</v>
      </c>
      <c r="P1800" s="39" t="n">
        <f aca="false">J1800*Resumo!$C$8</f>
        <v>0.629916</v>
      </c>
      <c r="Q1800" s="39" t="n">
        <f aca="false">Resumo!$C$10*CEILING(I1800/100,1)</f>
        <v>1.05</v>
      </c>
      <c r="R1800" s="39" t="n">
        <f aca="false">Resumo!$C$9</f>
        <v>0</v>
      </c>
      <c r="S1800" s="39" t="n">
        <f aca="false">Resumo!$C$13</f>
        <v>13.55</v>
      </c>
      <c r="T1800" s="39" t="n">
        <f aca="false">Resumo!$C$14*CEILING(I1800,1)</f>
        <v>9.9</v>
      </c>
      <c r="U1800" s="39" t="n">
        <f aca="false">SUM(M1800:T1800)*Resumo!$C$11</f>
        <v>0</v>
      </c>
      <c r="V1800" s="39" t="n">
        <f aca="false">SUM(M1800:U1800)</f>
        <v>67.869832</v>
      </c>
      <c r="W1800" s="39" t="n">
        <f aca="false">V1800/(1-Resumo!$C$5)</f>
        <v>77.1248090909091</v>
      </c>
      <c r="X1800" s="39" t="n">
        <v>82.21</v>
      </c>
      <c r="Y1800" s="39" t="n">
        <f aca="false">J1800*Resumo!$B$6</f>
        <v>0.29996</v>
      </c>
      <c r="Z1800" s="39" t="n">
        <f aca="false">J1800*Resumo!$B$7</f>
        <v>0.59992</v>
      </c>
      <c r="AA1800" s="39" t="n">
        <f aca="false">Resumo!$B$9</f>
        <v>1</v>
      </c>
      <c r="AB1800" s="39" t="n">
        <f aca="false">Resumo!$B$10*CEILING(I1800/100,1)</f>
        <v>4.5</v>
      </c>
      <c r="AC1800" s="39" t="n">
        <f aca="false">Resumo!$B$12*CEILING(I1800,1)</f>
        <v>1.32</v>
      </c>
      <c r="AD1800" s="39" t="n">
        <f aca="false">Resumo!$B$14*CEILING(I1800,1)</f>
        <v>9.9</v>
      </c>
      <c r="AE1800" s="39" t="n">
        <f aca="false">SUM(X1800:AD1800)</f>
        <v>99.82988</v>
      </c>
      <c r="AF1800" s="39" t="n">
        <f aca="false">AE1800/(1-Resumo!$B$5)</f>
        <v>113.443045454545</v>
      </c>
      <c r="AG1800" s="39" t="n">
        <f aca="false">AF1800-W1800</f>
        <v>36.3182363636364</v>
      </c>
      <c r="AH1800" s="40" t="n">
        <f aca="false">AF1800/W1800-1</f>
        <v>0.470902123346939</v>
      </c>
      <c r="AI1800" s="37" t="str">
        <f aca="false">IF(AF1800&lt;W1800,"SIM","NÃO")</f>
        <v>NÃO</v>
      </c>
      <c r="AJ1800" s="37" t="n">
        <v>2</v>
      </c>
      <c r="AK1800" s="37" t="n">
        <v>5</v>
      </c>
      <c r="AL1800" s="37" t="s">
        <v>343</v>
      </c>
      <c r="AM1800" s="39" t="n">
        <v>81.76</v>
      </c>
    </row>
    <row r="1801" customFormat="false" ht="15" hidden="false" customHeight="false" outlineLevel="0" collapsed="false">
      <c r="A1801" s="37" t="n">
        <v>394465712</v>
      </c>
      <c r="B1801" s="38" t="n">
        <v>46279.5285185185</v>
      </c>
      <c r="C1801" s="37" t="s">
        <v>340</v>
      </c>
      <c r="D1801" s="37" t="s">
        <v>1974</v>
      </c>
      <c r="E1801" s="37" t="n">
        <v>28635000</v>
      </c>
      <c r="F1801" s="37" t="s">
        <v>177</v>
      </c>
      <c r="G1801" s="37" t="s">
        <v>198</v>
      </c>
      <c r="H1801" s="37" t="s">
        <v>186</v>
      </c>
      <c r="I1801" s="37" t="n">
        <v>45.4</v>
      </c>
      <c r="J1801" s="39" t="n">
        <v>579.93</v>
      </c>
      <c r="K1801" s="37" t="s">
        <v>342</v>
      </c>
      <c r="L1801" s="39" t="n">
        <v>130.94</v>
      </c>
      <c r="M1801" s="39" t="n">
        <v>77.7</v>
      </c>
      <c r="N1801" s="39" t="n">
        <f aca="false">J1801*Resumo!$C$6</f>
        <v>0</v>
      </c>
      <c r="O1801" s="39" t="n">
        <f aca="false">J1801*Resumo!$C$7</f>
        <v>1.217853</v>
      </c>
      <c r="P1801" s="39" t="n">
        <f aca="false">J1801*Resumo!$C$8</f>
        <v>1.217853</v>
      </c>
      <c r="Q1801" s="39" t="n">
        <f aca="false">Resumo!$C$10*CEILING(I1801/100,1)</f>
        <v>1.05</v>
      </c>
      <c r="R1801" s="39" t="n">
        <f aca="false">Resumo!$C$9</f>
        <v>0</v>
      </c>
      <c r="S1801" s="39" t="n">
        <f aca="false">Resumo!$C$13</f>
        <v>13.55</v>
      </c>
      <c r="T1801" s="39" t="n">
        <f aca="false">Resumo!$C$14*CEILING(I1801,1)</f>
        <v>20.7</v>
      </c>
      <c r="U1801" s="39" t="n">
        <f aca="false">SUM(M1801:T1801)*Resumo!$C$11</f>
        <v>0</v>
      </c>
      <c r="V1801" s="39" t="n">
        <f aca="false">SUM(M1801:U1801)</f>
        <v>115.435706</v>
      </c>
      <c r="W1801" s="39" t="n">
        <f aca="false">V1801/(1-Resumo!$C$5)</f>
        <v>131.176938636364</v>
      </c>
      <c r="X1801" s="39" t="n">
        <v>135.03</v>
      </c>
      <c r="Y1801" s="39" t="n">
        <f aca="false">J1801*Resumo!$B$6</f>
        <v>0.57993</v>
      </c>
      <c r="Z1801" s="39" t="n">
        <f aca="false">J1801*Resumo!$B$7</f>
        <v>1.15986</v>
      </c>
      <c r="AA1801" s="39" t="n">
        <f aca="false">Resumo!$B$9</f>
        <v>1</v>
      </c>
      <c r="AB1801" s="39" t="n">
        <f aca="false">Resumo!$B$10*CEILING(I1801/100,1)</f>
        <v>4.5</v>
      </c>
      <c r="AC1801" s="39" t="n">
        <f aca="false">Resumo!$B$12*CEILING(I1801,1)</f>
        <v>2.76</v>
      </c>
      <c r="AD1801" s="39" t="n">
        <f aca="false">Resumo!$B$14*CEILING(I1801,1)</f>
        <v>20.7</v>
      </c>
      <c r="AE1801" s="39" t="n">
        <f aca="false">SUM(X1801:AD1801)</f>
        <v>165.72979</v>
      </c>
      <c r="AF1801" s="39" t="n">
        <f aca="false">AE1801/(1-Resumo!$B$5)</f>
        <v>188.329306818182</v>
      </c>
      <c r="AG1801" s="39" t="n">
        <f aca="false">AF1801-W1801</f>
        <v>57.1523681818182</v>
      </c>
      <c r="AH1801" s="40" t="n">
        <f aca="false">AF1801/W1801-1</f>
        <v>0.435689144570225</v>
      </c>
      <c r="AI1801" s="37" t="str">
        <f aca="false">IF(AF1801&lt;W1801,"SIM","NÃO")</f>
        <v>NÃO</v>
      </c>
      <c r="AJ1801" s="37" t="n">
        <v>13</v>
      </c>
      <c r="AK1801" s="37" t="n">
        <v>10</v>
      </c>
      <c r="AL1801" s="37" t="s">
        <v>343</v>
      </c>
      <c r="AM1801" s="39" t="n">
        <v>130.94</v>
      </c>
    </row>
    <row r="1802" customFormat="false" ht="15" hidden="false" customHeight="false" outlineLevel="0" collapsed="false">
      <c r="A1802" s="37" t="n">
        <v>394492703</v>
      </c>
      <c r="B1802" s="38" t="n">
        <v>46279.5723842593</v>
      </c>
      <c r="C1802" s="37" t="s">
        <v>340</v>
      </c>
      <c r="D1802" s="37" t="s">
        <v>1975</v>
      </c>
      <c r="E1802" s="37" t="n">
        <v>24210130</v>
      </c>
      <c r="F1802" s="37" t="s">
        <v>163</v>
      </c>
      <c r="G1802" s="37" t="s">
        <v>197</v>
      </c>
      <c r="H1802" s="37" t="s">
        <v>186</v>
      </c>
      <c r="I1802" s="37" t="n">
        <v>48</v>
      </c>
      <c r="J1802" s="39" t="n">
        <v>929.99</v>
      </c>
      <c r="K1802" s="37" t="s">
        <v>342</v>
      </c>
      <c r="L1802" s="39" t="n">
        <v>118.53</v>
      </c>
      <c r="M1802" s="39" t="n">
        <v>65.36</v>
      </c>
      <c r="N1802" s="39" t="n">
        <f aca="false">J1802*Resumo!$C$6</f>
        <v>0</v>
      </c>
      <c r="O1802" s="39" t="n">
        <f aca="false">J1802*Resumo!$C$7</f>
        <v>1.952979</v>
      </c>
      <c r="P1802" s="39" t="n">
        <f aca="false">J1802*Resumo!$C$8</f>
        <v>1.952979</v>
      </c>
      <c r="Q1802" s="39" t="n">
        <f aca="false">Resumo!$C$10*CEILING(I1802/100,1)</f>
        <v>1.05</v>
      </c>
      <c r="R1802" s="39" t="n">
        <f aca="false">Resumo!$C$9</f>
        <v>0</v>
      </c>
      <c r="S1802" s="39" t="n">
        <f aca="false">Resumo!$C$13</f>
        <v>13.55</v>
      </c>
      <c r="T1802" s="39" t="n">
        <f aca="false">Resumo!$C$14*CEILING(I1802,1)</f>
        <v>21.6</v>
      </c>
      <c r="U1802" s="39" t="n">
        <f aca="false">SUM(M1802:T1802)*Resumo!$C$11</f>
        <v>0</v>
      </c>
      <c r="V1802" s="39" t="n">
        <f aca="false">SUM(M1802:U1802)</f>
        <v>105.465958</v>
      </c>
      <c r="W1802" s="39" t="n">
        <f aca="false">V1802/(1-Resumo!$C$5)</f>
        <v>119.847679545455</v>
      </c>
      <c r="X1802" s="39" t="n">
        <v>114.95</v>
      </c>
      <c r="Y1802" s="39" t="n">
        <f aca="false">J1802*Resumo!$B$6</f>
        <v>0.92999</v>
      </c>
      <c r="Z1802" s="39" t="n">
        <f aca="false">J1802*Resumo!$B$7</f>
        <v>1.85998</v>
      </c>
      <c r="AA1802" s="39" t="n">
        <f aca="false">Resumo!$B$9</f>
        <v>1</v>
      </c>
      <c r="AB1802" s="39" t="n">
        <f aca="false">Resumo!$B$10*CEILING(I1802/100,1)</f>
        <v>4.5</v>
      </c>
      <c r="AC1802" s="39" t="n">
        <f aca="false">Resumo!$B$12*CEILING(I1802,1)</f>
        <v>2.88</v>
      </c>
      <c r="AD1802" s="39" t="n">
        <f aca="false">Resumo!$B$14*CEILING(I1802,1)</f>
        <v>21.6</v>
      </c>
      <c r="AE1802" s="39" t="n">
        <f aca="false">SUM(X1802:AD1802)</f>
        <v>147.71997</v>
      </c>
      <c r="AF1802" s="39" t="n">
        <f aca="false">AE1802/(1-Resumo!$B$5)</f>
        <v>167.863602272727</v>
      </c>
      <c r="AG1802" s="39" t="n">
        <f aca="false">AF1802-W1802</f>
        <v>48.0159227272728</v>
      </c>
      <c r="AH1802" s="40" t="n">
        <f aca="false">AF1802/W1802-1</f>
        <v>0.400641238189862</v>
      </c>
      <c r="AI1802" s="37" t="str">
        <f aca="false">IF(AF1802&lt;W1802,"SIM","NÃO")</f>
        <v>NÃO</v>
      </c>
      <c r="AJ1802" s="37" t="n">
        <v>2</v>
      </c>
      <c r="AK1802" s="37" t="n">
        <v>7</v>
      </c>
      <c r="AL1802" s="37" t="s">
        <v>343</v>
      </c>
      <c r="AM1802" s="39" t="n">
        <v>118.53</v>
      </c>
    </row>
    <row r="1803" customFormat="false" ht="15" hidden="false" customHeight="false" outlineLevel="0" collapsed="false">
      <c r="A1803" s="37" t="n">
        <v>394529022</v>
      </c>
      <c r="B1803" s="38" t="n">
        <v>46279.626400463</v>
      </c>
      <c r="C1803" s="37" t="s">
        <v>379</v>
      </c>
      <c r="D1803" s="37" t="s">
        <v>1976</v>
      </c>
      <c r="E1803" s="37" t="n">
        <v>21021422</v>
      </c>
      <c r="F1803" s="37" t="s">
        <v>159</v>
      </c>
      <c r="G1803" s="37" t="s">
        <v>196</v>
      </c>
      <c r="H1803" s="37" t="s">
        <v>188</v>
      </c>
      <c r="I1803" s="37" t="n">
        <v>69.3</v>
      </c>
      <c r="J1803" s="39" t="n">
        <v>879.99</v>
      </c>
      <c r="K1803" s="37" t="s">
        <v>342</v>
      </c>
      <c r="L1803" s="39" t="n">
        <v>125.42</v>
      </c>
      <c r="M1803" s="39" t="n">
        <v>63.21</v>
      </c>
      <c r="N1803" s="39" t="n">
        <f aca="false">J1803*Resumo!$C$6</f>
        <v>0</v>
      </c>
      <c r="O1803" s="39" t="n">
        <f aca="false">J1803*Resumo!$C$7</f>
        <v>1.847979</v>
      </c>
      <c r="P1803" s="39" t="n">
        <f aca="false">J1803*Resumo!$C$8</f>
        <v>1.847979</v>
      </c>
      <c r="Q1803" s="39" t="n">
        <f aca="false">Resumo!$C$10*CEILING(I1803/100,1)</f>
        <v>1.05</v>
      </c>
      <c r="R1803" s="39" t="n">
        <f aca="false">Resumo!$C$9</f>
        <v>0</v>
      </c>
      <c r="S1803" s="39" t="n">
        <f aca="false">Resumo!$C$13</f>
        <v>13.55</v>
      </c>
      <c r="T1803" s="39" t="n">
        <f aca="false">Resumo!$C$14*CEILING(I1803,1)</f>
        <v>31.5</v>
      </c>
      <c r="U1803" s="39" t="n">
        <f aca="false">SUM(M1803:T1803)*Resumo!$C$11</f>
        <v>0</v>
      </c>
      <c r="V1803" s="39" t="n">
        <f aca="false">SUM(M1803:U1803)</f>
        <v>113.005958</v>
      </c>
      <c r="W1803" s="39" t="n">
        <f aca="false">V1803/(1-Resumo!$C$5)</f>
        <v>128.415861363636</v>
      </c>
      <c r="X1803" s="39" t="n">
        <v>131.02</v>
      </c>
      <c r="Y1803" s="39" t="n">
        <f aca="false">J1803*Resumo!$B$6</f>
        <v>0.87999</v>
      </c>
      <c r="Z1803" s="39" t="n">
        <f aca="false">J1803*Resumo!$B$7</f>
        <v>1.75998</v>
      </c>
      <c r="AA1803" s="39" t="n">
        <f aca="false">Resumo!$B$9</f>
        <v>1</v>
      </c>
      <c r="AB1803" s="39" t="n">
        <f aca="false">Resumo!$B$10*CEILING(I1803/100,1)</f>
        <v>4.5</v>
      </c>
      <c r="AC1803" s="39" t="n">
        <f aca="false">Resumo!$B$12*CEILING(I1803,1)</f>
        <v>4.2</v>
      </c>
      <c r="AD1803" s="39" t="n">
        <f aca="false">Resumo!$B$14*CEILING(I1803,1)</f>
        <v>31.5</v>
      </c>
      <c r="AE1803" s="39" t="n">
        <f aca="false">SUM(X1803:AD1803)</f>
        <v>174.85997</v>
      </c>
      <c r="AF1803" s="39" t="n">
        <f aca="false">AE1803/(1-Resumo!$B$5)</f>
        <v>198.704511363636</v>
      </c>
      <c r="AG1803" s="39" t="n">
        <f aca="false">AF1803-W1803</f>
        <v>70.28865</v>
      </c>
      <c r="AH1803" s="40" t="n">
        <f aca="false">AF1803/W1803-1</f>
        <v>0.547351777682377</v>
      </c>
      <c r="AI1803" s="37" t="str">
        <f aca="false">IF(AF1803&lt;W1803,"SIM","NÃO")</f>
        <v>NÃO</v>
      </c>
      <c r="AJ1803" s="37" t="n">
        <v>2</v>
      </c>
      <c r="AK1803" s="37" t="n">
        <v>5</v>
      </c>
      <c r="AL1803" s="37" t="s">
        <v>343</v>
      </c>
      <c r="AM1803" s="39" t="n">
        <v>125.43</v>
      </c>
    </row>
    <row r="1804" customFormat="false" ht="15" hidden="false" customHeight="false" outlineLevel="0" collapsed="false">
      <c r="A1804" s="37" t="n">
        <v>394534333</v>
      </c>
      <c r="B1804" s="38" t="n">
        <v>46279.6336342593</v>
      </c>
      <c r="C1804" s="37" t="s">
        <v>345</v>
      </c>
      <c r="D1804" s="37" t="s">
        <v>1977</v>
      </c>
      <c r="E1804" s="37" t="n">
        <v>20920350</v>
      </c>
      <c r="F1804" s="37" t="s">
        <v>159</v>
      </c>
      <c r="G1804" s="37" t="s">
        <v>196</v>
      </c>
      <c r="H1804" s="37" t="s">
        <v>184</v>
      </c>
      <c r="I1804" s="37" t="n">
        <v>33.7</v>
      </c>
      <c r="J1804" s="39" t="n">
        <v>374.53</v>
      </c>
      <c r="K1804" s="37" t="s">
        <v>342</v>
      </c>
      <c r="L1804" s="39" t="n">
        <v>82.13</v>
      </c>
      <c r="M1804" s="39" t="n">
        <v>42.11</v>
      </c>
      <c r="N1804" s="39" t="n">
        <f aca="false">J1804*Resumo!$C$6</f>
        <v>0</v>
      </c>
      <c r="O1804" s="39" t="n">
        <f aca="false">J1804*Resumo!$C$7</f>
        <v>0.786513</v>
      </c>
      <c r="P1804" s="39" t="n">
        <f aca="false">J1804*Resumo!$C$8</f>
        <v>0.786513</v>
      </c>
      <c r="Q1804" s="39" t="n">
        <f aca="false">Resumo!$C$10*CEILING(I1804/100,1)</f>
        <v>1.05</v>
      </c>
      <c r="R1804" s="39" t="n">
        <f aca="false">Resumo!$C$9</f>
        <v>0</v>
      </c>
      <c r="S1804" s="39" t="n">
        <f aca="false">Resumo!$C$13</f>
        <v>13.55</v>
      </c>
      <c r="T1804" s="39" t="n">
        <f aca="false">Resumo!$C$14*CEILING(I1804,1)</f>
        <v>15.3</v>
      </c>
      <c r="U1804" s="39" t="n">
        <f aca="false">SUM(M1804:T1804)*Resumo!$C$11</f>
        <v>0</v>
      </c>
      <c r="V1804" s="39" t="n">
        <f aca="false">SUM(M1804:U1804)</f>
        <v>73.583026</v>
      </c>
      <c r="W1804" s="39" t="n">
        <f aca="false">V1804/(1-Resumo!$C$5)</f>
        <v>83.617075</v>
      </c>
      <c r="X1804" s="39" t="n">
        <v>82.21</v>
      </c>
      <c r="Y1804" s="39" t="n">
        <f aca="false">J1804*Resumo!$B$6</f>
        <v>0.37453</v>
      </c>
      <c r="Z1804" s="39" t="n">
        <f aca="false">J1804*Resumo!$B$7</f>
        <v>0.74906</v>
      </c>
      <c r="AA1804" s="39" t="n">
        <f aca="false">Resumo!$B$9</f>
        <v>1</v>
      </c>
      <c r="AB1804" s="39" t="n">
        <f aca="false">Resumo!$B$10*CEILING(I1804/100,1)</f>
        <v>4.5</v>
      </c>
      <c r="AC1804" s="39" t="n">
        <f aca="false">Resumo!$B$12*CEILING(I1804,1)</f>
        <v>2.04</v>
      </c>
      <c r="AD1804" s="39" t="n">
        <f aca="false">Resumo!$B$14*CEILING(I1804,1)</f>
        <v>15.3</v>
      </c>
      <c r="AE1804" s="39" t="n">
        <f aca="false">SUM(X1804:AD1804)</f>
        <v>106.17359</v>
      </c>
      <c r="AF1804" s="39" t="n">
        <f aca="false">AE1804/(1-Resumo!$B$5)</f>
        <v>120.651806818182</v>
      </c>
      <c r="AG1804" s="39" t="n">
        <f aca="false">AF1804-W1804</f>
        <v>37.0347318181818</v>
      </c>
      <c r="AH1804" s="40" t="n">
        <f aca="false">AF1804/W1804-1</f>
        <v>0.442908721910947</v>
      </c>
      <c r="AI1804" s="37" t="str">
        <f aca="false">IF(AF1804&lt;W1804,"SIM","NÃO")</f>
        <v>NÃO</v>
      </c>
      <c r="AJ1804" s="37" t="n">
        <v>2</v>
      </c>
      <c r="AK1804" s="37" t="n">
        <v>5</v>
      </c>
      <c r="AL1804" s="37" t="s">
        <v>343</v>
      </c>
      <c r="AM1804" s="39" t="n">
        <v>82.12</v>
      </c>
    </row>
    <row r="1805" customFormat="false" ht="15" hidden="false" customHeight="false" outlineLevel="0" collapsed="false">
      <c r="A1805" s="37" t="n">
        <v>394533211</v>
      </c>
      <c r="B1805" s="38" t="n">
        <v>46279.6344097222</v>
      </c>
      <c r="C1805" s="37" t="s">
        <v>372</v>
      </c>
      <c r="D1805" s="37" t="s">
        <v>1978</v>
      </c>
      <c r="E1805" s="37" t="n">
        <v>20521060</v>
      </c>
      <c r="F1805" s="37" t="s">
        <v>159</v>
      </c>
      <c r="G1805" s="37" t="s">
        <v>196</v>
      </c>
      <c r="H1805" s="37" t="s">
        <v>188</v>
      </c>
      <c r="I1805" s="37" t="n">
        <v>67.3</v>
      </c>
      <c r="J1805" s="39" t="n">
        <v>999.99</v>
      </c>
      <c r="K1805" s="37" t="s">
        <v>342</v>
      </c>
      <c r="L1805" s="39" t="n">
        <v>126</v>
      </c>
      <c r="M1805" s="39" t="n">
        <v>63.21</v>
      </c>
      <c r="N1805" s="39" t="n">
        <f aca="false">J1805*Resumo!$C$6</f>
        <v>0</v>
      </c>
      <c r="O1805" s="39" t="n">
        <f aca="false">J1805*Resumo!$C$7</f>
        <v>2.099979</v>
      </c>
      <c r="P1805" s="39" t="n">
        <f aca="false">J1805*Resumo!$C$8</f>
        <v>2.099979</v>
      </c>
      <c r="Q1805" s="39" t="n">
        <f aca="false">Resumo!$C$10*CEILING(I1805/100,1)</f>
        <v>1.05</v>
      </c>
      <c r="R1805" s="39" t="n">
        <f aca="false">Resumo!$C$9</f>
        <v>0</v>
      </c>
      <c r="S1805" s="39" t="n">
        <f aca="false">Resumo!$C$13</f>
        <v>13.55</v>
      </c>
      <c r="T1805" s="39" t="n">
        <f aca="false">Resumo!$C$14*CEILING(I1805,1)</f>
        <v>30.6</v>
      </c>
      <c r="U1805" s="39" t="n">
        <f aca="false">SUM(M1805:T1805)*Resumo!$C$11</f>
        <v>0</v>
      </c>
      <c r="V1805" s="39" t="n">
        <f aca="false">SUM(M1805:U1805)</f>
        <v>112.609958</v>
      </c>
      <c r="W1805" s="39" t="n">
        <f aca="false">V1805/(1-Resumo!$C$5)</f>
        <v>127.965861363636</v>
      </c>
      <c r="X1805" s="39" t="n">
        <v>131.02</v>
      </c>
      <c r="Y1805" s="39" t="n">
        <f aca="false">J1805*Resumo!$B$6</f>
        <v>0.99999</v>
      </c>
      <c r="Z1805" s="39" t="n">
        <f aca="false">J1805*Resumo!$B$7</f>
        <v>1.99998</v>
      </c>
      <c r="AA1805" s="39" t="n">
        <f aca="false">Resumo!$B$9</f>
        <v>1</v>
      </c>
      <c r="AB1805" s="39" t="n">
        <f aca="false">Resumo!$B$10*CEILING(I1805/100,1)</f>
        <v>4.5</v>
      </c>
      <c r="AC1805" s="39" t="n">
        <f aca="false">Resumo!$B$12*CEILING(I1805,1)</f>
        <v>4.08</v>
      </c>
      <c r="AD1805" s="39" t="n">
        <f aca="false">Resumo!$B$14*CEILING(I1805,1)</f>
        <v>30.6</v>
      </c>
      <c r="AE1805" s="39" t="n">
        <f aca="false">SUM(X1805:AD1805)</f>
        <v>174.19997</v>
      </c>
      <c r="AF1805" s="39" t="n">
        <f aca="false">AE1805/(1-Resumo!$B$5)</f>
        <v>197.954511363636</v>
      </c>
      <c r="AG1805" s="39" t="n">
        <f aca="false">AF1805-W1805</f>
        <v>69.98865</v>
      </c>
      <c r="AH1805" s="40" t="n">
        <f aca="false">AF1805/W1805-1</f>
        <v>0.546932199370859</v>
      </c>
      <c r="AI1805" s="37" t="str">
        <f aca="false">IF(AF1805&lt;W1805,"SIM","NÃO")</f>
        <v>NÃO</v>
      </c>
      <c r="AJ1805" s="37" t="n">
        <v>2</v>
      </c>
      <c r="AK1805" s="37" t="n">
        <v>5</v>
      </c>
      <c r="AL1805" s="37" t="s">
        <v>343</v>
      </c>
      <c r="AM1805" s="39" t="n">
        <v>126</v>
      </c>
    </row>
    <row r="1806" customFormat="false" ht="15" hidden="false" customHeight="false" outlineLevel="0" collapsed="false">
      <c r="A1806" s="37" t="n">
        <v>394589510</v>
      </c>
      <c r="B1806" s="38" t="n">
        <v>46279.713275463</v>
      </c>
      <c r="C1806" s="37" t="s">
        <v>375</v>
      </c>
      <c r="D1806" s="37" t="s">
        <v>1979</v>
      </c>
      <c r="E1806" s="37" t="n">
        <v>25931858</v>
      </c>
      <c r="F1806" s="37" t="s">
        <v>176</v>
      </c>
      <c r="G1806" s="37" t="s">
        <v>198</v>
      </c>
      <c r="H1806" s="37" t="s">
        <v>188</v>
      </c>
      <c r="I1806" s="37" t="n">
        <v>69.15</v>
      </c>
      <c r="J1806" s="39" t="n">
        <v>859.99</v>
      </c>
      <c r="K1806" s="37" t="s">
        <v>342</v>
      </c>
      <c r="L1806" s="39" t="n">
        <v>156.14</v>
      </c>
      <c r="M1806" s="39" t="n">
        <v>90.2</v>
      </c>
      <c r="N1806" s="39" t="n">
        <f aca="false">J1806*Resumo!$C$6</f>
        <v>0</v>
      </c>
      <c r="O1806" s="39" t="n">
        <f aca="false">J1806*Resumo!$C$7</f>
        <v>1.805979</v>
      </c>
      <c r="P1806" s="39" t="n">
        <f aca="false">J1806*Resumo!$C$8</f>
        <v>1.805979</v>
      </c>
      <c r="Q1806" s="39" t="n">
        <f aca="false">Resumo!$C$10*CEILING(I1806/100,1)</f>
        <v>1.05</v>
      </c>
      <c r="R1806" s="39" t="n">
        <f aca="false">Resumo!$C$9</f>
        <v>0</v>
      </c>
      <c r="S1806" s="39" t="n">
        <f aca="false">Resumo!$C$13</f>
        <v>13.55</v>
      </c>
      <c r="T1806" s="39" t="n">
        <f aca="false">Resumo!$C$14*CEILING(I1806,1)</f>
        <v>31.5</v>
      </c>
      <c r="U1806" s="39" t="n">
        <f aca="false">SUM(M1806:T1806)*Resumo!$C$11</f>
        <v>0</v>
      </c>
      <c r="V1806" s="39" t="n">
        <f aca="false">SUM(M1806:U1806)</f>
        <v>139.911958</v>
      </c>
      <c r="W1806" s="39" t="n">
        <f aca="false">V1806/(1-Resumo!$C$5)</f>
        <v>158.990861363636</v>
      </c>
      <c r="X1806" s="39" t="n">
        <v>136.53</v>
      </c>
      <c r="Y1806" s="39" t="n">
        <f aca="false">J1806*Resumo!$B$6</f>
        <v>0.85999</v>
      </c>
      <c r="Z1806" s="39" t="n">
        <f aca="false">J1806*Resumo!$B$7</f>
        <v>1.71998</v>
      </c>
      <c r="AA1806" s="39" t="n">
        <f aca="false">Resumo!$B$9</f>
        <v>1</v>
      </c>
      <c r="AB1806" s="39" t="n">
        <f aca="false">Resumo!$B$10*CEILING(I1806/100,1)</f>
        <v>4.5</v>
      </c>
      <c r="AC1806" s="39" t="n">
        <f aca="false">Resumo!$B$12*CEILING(I1806,1)</f>
        <v>4.2</v>
      </c>
      <c r="AD1806" s="39" t="n">
        <f aca="false">Resumo!$B$14*CEILING(I1806,1)</f>
        <v>31.5</v>
      </c>
      <c r="AE1806" s="39" t="n">
        <f aca="false">SUM(X1806:AD1806)</f>
        <v>180.30997</v>
      </c>
      <c r="AF1806" s="39" t="n">
        <f aca="false">AE1806/(1-Resumo!$B$5)</f>
        <v>204.897693181818</v>
      </c>
      <c r="AG1806" s="39" t="n">
        <f aca="false">AF1806-W1806</f>
        <v>45.9068318181818</v>
      </c>
      <c r="AH1806" s="40" t="n">
        <f aca="false">AF1806/W1806-1</f>
        <v>0.288738808158199</v>
      </c>
      <c r="AI1806" s="37" t="str">
        <f aca="false">IF(AF1806&lt;W1806,"SIM","NÃO")</f>
        <v>NÃO</v>
      </c>
      <c r="AJ1806" s="37" t="n">
        <v>13</v>
      </c>
      <c r="AK1806" s="37" t="n">
        <v>6</v>
      </c>
      <c r="AL1806" s="37" t="s">
        <v>343</v>
      </c>
      <c r="AM1806" s="39" t="n">
        <v>156.14</v>
      </c>
    </row>
    <row r="1807" customFormat="false" ht="15" hidden="false" customHeight="false" outlineLevel="0" collapsed="false">
      <c r="A1807" s="37" t="n">
        <v>394591141</v>
      </c>
      <c r="B1807" s="38" t="n">
        <v>46279.7135069444</v>
      </c>
      <c r="C1807" s="37" t="s">
        <v>361</v>
      </c>
      <c r="D1807" s="37" t="s">
        <v>1980</v>
      </c>
      <c r="E1807" s="37" t="n">
        <v>27525500</v>
      </c>
      <c r="F1807" s="37" t="s">
        <v>250</v>
      </c>
      <c r="G1807" s="37" t="s">
        <v>198</v>
      </c>
      <c r="H1807" s="37" t="s">
        <v>184</v>
      </c>
      <c r="I1807" s="37" t="n">
        <v>27.6</v>
      </c>
      <c r="J1807" s="39" t="n">
        <v>399.99</v>
      </c>
      <c r="K1807" s="37" t="s">
        <v>342</v>
      </c>
      <c r="L1807" s="39" t="n">
        <v>109.1</v>
      </c>
      <c r="M1807" s="39" t="n">
        <v>65.63</v>
      </c>
      <c r="N1807" s="39" t="n">
        <f aca="false">J1807*Resumo!$C$6</f>
        <v>0</v>
      </c>
      <c r="O1807" s="39" t="n">
        <f aca="false">J1807*Resumo!$C$7</f>
        <v>0.839979</v>
      </c>
      <c r="P1807" s="39" t="n">
        <f aca="false">J1807*Resumo!$C$8</f>
        <v>0.839979</v>
      </c>
      <c r="Q1807" s="39" t="n">
        <f aca="false">Resumo!$C$10*CEILING(I1807/100,1)</f>
        <v>1.05</v>
      </c>
      <c r="R1807" s="39" t="n">
        <f aca="false">Resumo!$C$9</f>
        <v>0</v>
      </c>
      <c r="S1807" s="39" t="n">
        <f aca="false">Resumo!$C$13</f>
        <v>13.55</v>
      </c>
      <c r="T1807" s="39" t="n">
        <f aca="false">Resumo!$C$14*CEILING(I1807,1)</f>
        <v>12.6</v>
      </c>
      <c r="U1807" s="39" t="n">
        <f aca="false">SUM(M1807:T1807)*Resumo!$C$11</f>
        <v>0</v>
      </c>
      <c r="V1807" s="39" t="n">
        <f aca="false">SUM(M1807:U1807)</f>
        <v>94.509958</v>
      </c>
      <c r="W1807" s="39" t="n">
        <f aca="false">V1807/(1-Resumo!$C$5)</f>
        <v>107.397679545455</v>
      </c>
      <c r="X1807" s="39" t="n">
        <v>108.83</v>
      </c>
      <c r="Y1807" s="39" t="n">
        <f aca="false">J1807*Resumo!$B$6</f>
        <v>0.39999</v>
      </c>
      <c r="Z1807" s="39" t="n">
        <f aca="false">J1807*Resumo!$B$7</f>
        <v>0.79998</v>
      </c>
      <c r="AA1807" s="39" t="n">
        <f aca="false">Resumo!$B$9</f>
        <v>1</v>
      </c>
      <c r="AB1807" s="39" t="n">
        <f aca="false">Resumo!$B$10*CEILING(I1807/100,1)</f>
        <v>4.5</v>
      </c>
      <c r="AC1807" s="39" t="n">
        <f aca="false">Resumo!$B$12*CEILING(I1807,1)</f>
        <v>1.68</v>
      </c>
      <c r="AD1807" s="39" t="n">
        <f aca="false">Resumo!$B$14*CEILING(I1807,1)</f>
        <v>12.6</v>
      </c>
      <c r="AE1807" s="39" t="n">
        <f aca="false">SUM(X1807:AD1807)</f>
        <v>129.80997</v>
      </c>
      <c r="AF1807" s="39" t="n">
        <f aca="false">AE1807/(1-Resumo!$B$5)</f>
        <v>147.511329545455</v>
      </c>
      <c r="AG1807" s="39" t="n">
        <f aca="false">AF1807-W1807</f>
        <v>40.11365</v>
      </c>
      <c r="AH1807" s="40" t="n">
        <f aca="false">AF1807/W1807-1</f>
        <v>0.373505742114498</v>
      </c>
      <c r="AI1807" s="37" t="str">
        <f aca="false">IF(AF1807&lt;W1807,"SIM","NÃO")</f>
        <v>NÃO</v>
      </c>
      <c r="AJ1807" s="37" t="n">
        <v>13</v>
      </c>
      <c r="AK1807" s="37" t="n">
        <v>10</v>
      </c>
      <c r="AL1807" s="37" t="s">
        <v>347</v>
      </c>
      <c r="AM1807" s="39" t="n">
        <v>109.1</v>
      </c>
    </row>
    <row r="1808" customFormat="false" ht="15" hidden="false" customHeight="false" outlineLevel="0" collapsed="false">
      <c r="A1808" s="37" t="n">
        <v>394599163</v>
      </c>
      <c r="B1808" s="38" t="n">
        <v>46279.7192708333</v>
      </c>
      <c r="C1808" s="37" t="s">
        <v>340</v>
      </c>
      <c r="D1808" s="37" t="s">
        <v>1981</v>
      </c>
      <c r="E1808" s="37" t="n">
        <v>27240050</v>
      </c>
      <c r="F1808" s="37" t="s">
        <v>168</v>
      </c>
      <c r="G1808" s="37" t="s">
        <v>198</v>
      </c>
      <c r="H1808" s="37" t="s">
        <v>185</v>
      </c>
      <c r="I1808" s="37" t="n">
        <v>37.2</v>
      </c>
      <c r="J1808" s="39" t="n">
        <v>366.5</v>
      </c>
      <c r="K1808" s="37" t="s">
        <v>342</v>
      </c>
      <c r="L1808" s="39" t="n">
        <v>122</v>
      </c>
      <c r="M1808" s="39" t="n">
        <v>74.97</v>
      </c>
      <c r="N1808" s="39" t="n">
        <f aca="false">J1808*Resumo!$C$6</f>
        <v>0</v>
      </c>
      <c r="O1808" s="39" t="n">
        <f aca="false">J1808*Resumo!$C$7</f>
        <v>0.76965</v>
      </c>
      <c r="P1808" s="39" t="n">
        <f aca="false">J1808*Resumo!$C$8</f>
        <v>0.76965</v>
      </c>
      <c r="Q1808" s="39" t="n">
        <f aca="false">Resumo!$C$10*CEILING(I1808/100,1)</f>
        <v>1.05</v>
      </c>
      <c r="R1808" s="39" t="n">
        <f aca="false">Resumo!$C$9</f>
        <v>0</v>
      </c>
      <c r="S1808" s="39" t="n">
        <f aca="false">Resumo!$C$13</f>
        <v>13.55</v>
      </c>
      <c r="T1808" s="39" t="n">
        <f aca="false">Resumo!$C$14*CEILING(I1808,1)</f>
        <v>17.1</v>
      </c>
      <c r="U1808" s="39" t="n">
        <f aca="false">SUM(M1808:T1808)*Resumo!$C$11</f>
        <v>0</v>
      </c>
      <c r="V1808" s="39" t="n">
        <f aca="false">SUM(M1808:U1808)</f>
        <v>108.2093</v>
      </c>
      <c r="W1808" s="39" t="n">
        <f aca="false">V1808/(1-Resumo!$C$5)</f>
        <v>122.965113636364</v>
      </c>
      <c r="X1808" s="39" t="n">
        <v>124.38</v>
      </c>
      <c r="Y1808" s="39" t="n">
        <f aca="false">J1808*Resumo!$B$6</f>
        <v>0.3665</v>
      </c>
      <c r="Z1808" s="39" t="n">
        <f aca="false">J1808*Resumo!$B$7</f>
        <v>0.733</v>
      </c>
      <c r="AA1808" s="39" t="n">
        <f aca="false">Resumo!$B$9</f>
        <v>1</v>
      </c>
      <c r="AB1808" s="39" t="n">
        <f aca="false">Resumo!$B$10*CEILING(I1808/100,1)</f>
        <v>4.5</v>
      </c>
      <c r="AC1808" s="39" t="n">
        <f aca="false">Resumo!$B$12*CEILING(I1808,1)</f>
        <v>2.28</v>
      </c>
      <c r="AD1808" s="39" t="n">
        <f aca="false">Resumo!$B$14*CEILING(I1808,1)</f>
        <v>17.1</v>
      </c>
      <c r="AE1808" s="39" t="n">
        <f aca="false">SUM(X1808:AD1808)</f>
        <v>150.3595</v>
      </c>
      <c r="AF1808" s="39" t="n">
        <f aca="false">AE1808/(1-Resumo!$B$5)</f>
        <v>170.863068181818</v>
      </c>
      <c r="AG1808" s="39" t="n">
        <f aca="false">AF1808-W1808</f>
        <v>47.8979545454545</v>
      </c>
      <c r="AH1808" s="40" t="n">
        <f aca="false">AF1808/W1808-1</f>
        <v>0.389524745100467</v>
      </c>
      <c r="AI1808" s="37" t="str">
        <f aca="false">IF(AF1808&lt;W1808,"SIM","NÃO")</f>
        <v>NÃO</v>
      </c>
      <c r="AJ1808" s="37" t="n">
        <v>13</v>
      </c>
      <c r="AK1808" s="37" t="n">
        <v>10</v>
      </c>
      <c r="AL1808" s="37" t="s">
        <v>343</v>
      </c>
      <c r="AM1808" s="39" t="n">
        <v>122</v>
      </c>
    </row>
    <row r="1809" customFormat="false" ht="15" hidden="false" customHeight="false" outlineLevel="0" collapsed="false">
      <c r="A1809" s="37" t="n">
        <v>394606045</v>
      </c>
      <c r="B1809" s="38" t="n">
        <v>46279.7370949074</v>
      </c>
      <c r="C1809" s="37" t="s">
        <v>361</v>
      </c>
      <c r="D1809" s="37" t="s">
        <v>1982</v>
      </c>
      <c r="E1809" s="37" t="n">
        <v>20745110</v>
      </c>
      <c r="F1809" s="37" t="s">
        <v>159</v>
      </c>
      <c r="G1809" s="37" t="s">
        <v>196</v>
      </c>
      <c r="H1809" s="37" t="s">
        <v>184</v>
      </c>
      <c r="I1809" s="37" t="n">
        <v>33.3</v>
      </c>
      <c r="J1809" s="39" t="n">
        <v>439.99</v>
      </c>
      <c r="K1809" s="37" t="s">
        <v>342</v>
      </c>
      <c r="L1809" s="39" t="n">
        <v>82.43</v>
      </c>
      <c r="M1809" s="39" t="n">
        <v>42.11</v>
      </c>
      <c r="N1809" s="39" t="n">
        <f aca="false">J1809*Resumo!$C$6</f>
        <v>0</v>
      </c>
      <c r="O1809" s="39" t="n">
        <f aca="false">J1809*Resumo!$C$7</f>
        <v>0.923979</v>
      </c>
      <c r="P1809" s="39" t="n">
        <f aca="false">J1809*Resumo!$C$8</f>
        <v>0.923979</v>
      </c>
      <c r="Q1809" s="39" t="n">
        <f aca="false">Resumo!$C$10*CEILING(I1809/100,1)</f>
        <v>1.05</v>
      </c>
      <c r="R1809" s="39" t="n">
        <f aca="false">Resumo!$C$9</f>
        <v>0</v>
      </c>
      <c r="S1809" s="39" t="n">
        <f aca="false">Resumo!$C$13</f>
        <v>13.55</v>
      </c>
      <c r="T1809" s="39" t="n">
        <f aca="false">Resumo!$C$14*CEILING(I1809,1)</f>
        <v>15.3</v>
      </c>
      <c r="U1809" s="39" t="n">
        <f aca="false">SUM(M1809:T1809)*Resumo!$C$11</f>
        <v>0</v>
      </c>
      <c r="V1809" s="39" t="n">
        <f aca="false">SUM(M1809:U1809)</f>
        <v>73.857958</v>
      </c>
      <c r="W1809" s="39" t="n">
        <f aca="false">V1809/(1-Resumo!$C$5)</f>
        <v>83.9294977272727</v>
      </c>
      <c r="X1809" s="39" t="n">
        <v>82.21</v>
      </c>
      <c r="Y1809" s="39" t="n">
        <f aca="false">J1809*Resumo!$B$6</f>
        <v>0.43999</v>
      </c>
      <c r="Z1809" s="39" t="n">
        <f aca="false">J1809*Resumo!$B$7</f>
        <v>0.87998</v>
      </c>
      <c r="AA1809" s="39" t="n">
        <f aca="false">Resumo!$B$9</f>
        <v>1</v>
      </c>
      <c r="AB1809" s="39" t="n">
        <f aca="false">Resumo!$B$10*CEILING(I1809/100,1)</f>
        <v>4.5</v>
      </c>
      <c r="AC1809" s="39" t="n">
        <f aca="false">Resumo!$B$12*CEILING(I1809,1)</f>
        <v>2.04</v>
      </c>
      <c r="AD1809" s="39" t="n">
        <f aca="false">Resumo!$B$14*CEILING(I1809,1)</f>
        <v>15.3</v>
      </c>
      <c r="AE1809" s="39" t="n">
        <f aca="false">SUM(X1809:AD1809)</f>
        <v>106.36997</v>
      </c>
      <c r="AF1809" s="39" t="n">
        <f aca="false">AE1809/(1-Resumo!$B$5)</f>
        <v>120.874965909091</v>
      </c>
      <c r="AG1809" s="39" t="n">
        <f aca="false">AF1809-W1809</f>
        <v>36.9454681818182</v>
      </c>
      <c r="AH1809" s="40" t="n">
        <f aca="false">AF1809/W1809-1</f>
        <v>0.440196464678864</v>
      </c>
      <c r="AI1809" s="37" t="str">
        <f aca="false">IF(AF1809&lt;W1809,"SIM","NÃO")</f>
        <v>NÃO</v>
      </c>
      <c r="AJ1809" s="37" t="n">
        <v>2</v>
      </c>
      <c r="AK1809" s="37" t="n">
        <v>5</v>
      </c>
      <c r="AL1809" s="37" t="s">
        <v>343</v>
      </c>
      <c r="AM1809" s="39" t="n">
        <v>82.43</v>
      </c>
    </row>
    <row r="1810" customFormat="false" ht="15" hidden="false" customHeight="false" outlineLevel="0" collapsed="false">
      <c r="A1810" s="37" t="n">
        <v>394608962</v>
      </c>
      <c r="B1810" s="38" t="n">
        <v>46279.740474537</v>
      </c>
      <c r="C1810" s="37" t="s">
        <v>345</v>
      </c>
      <c r="D1810" s="37" t="s">
        <v>1983</v>
      </c>
      <c r="E1810" s="37" t="n">
        <v>21755380</v>
      </c>
      <c r="F1810" s="37" t="s">
        <v>159</v>
      </c>
      <c r="G1810" s="37" t="s">
        <v>196</v>
      </c>
      <c r="H1810" s="37" t="s">
        <v>184</v>
      </c>
      <c r="I1810" s="37" t="n">
        <v>31.9</v>
      </c>
      <c r="J1810" s="39" t="n">
        <v>483.99</v>
      </c>
      <c r="K1810" s="37" t="s">
        <v>342</v>
      </c>
      <c r="L1810" s="39" t="n">
        <v>82.65</v>
      </c>
      <c r="M1810" s="39" t="n">
        <v>42.11</v>
      </c>
      <c r="N1810" s="39" t="n">
        <f aca="false">J1810*Resumo!$C$6</f>
        <v>0</v>
      </c>
      <c r="O1810" s="39" t="n">
        <f aca="false">J1810*Resumo!$C$7</f>
        <v>1.016379</v>
      </c>
      <c r="P1810" s="39" t="n">
        <f aca="false">J1810*Resumo!$C$8</f>
        <v>1.016379</v>
      </c>
      <c r="Q1810" s="39" t="n">
        <f aca="false">Resumo!$C$10*CEILING(I1810/100,1)</f>
        <v>1.05</v>
      </c>
      <c r="R1810" s="39" t="n">
        <f aca="false">Resumo!$C$9</f>
        <v>0</v>
      </c>
      <c r="S1810" s="39" t="n">
        <f aca="false">Resumo!$C$13</f>
        <v>13.55</v>
      </c>
      <c r="T1810" s="39" t="n">
        <f aca="false">Resumo!$C$14*CEILING(I1810,1)</f>
        <v>14.4</v>
      </c>
      <c r="U1810" s="39" t="n">
        <f aca="false">SUM(M1810:T1810)*Resumo!$C$11</f>
        <v>0</v>
      </c>
      <c r="V1810" s="39" t="n">
        <f aca="false">SUM(M1810:U1810)</f>
        <v>73.142758</v>
      </c>
      <c r="W1810" s="39" t="n">
        <f aca="false">V1810/(1-Resumo!$C$5)</f>
        <v>83.1167704545455</v>
      </c>
      <c r="X1810" s="39" t="n">
        <v>82.21</v>
      </c>
      <c r="Y1810" s="39" t="n">
        <f aca="false">J1810*Resumo!$B$6</f>
        <v>0.48399</v>
      </c>
      <c r="Z1810" s="39" t="n">
        <f aca="false">J1810*Resumo!$B$7</f>
        <v>0.96798</v>
      </c>
      <c r="AA1810" s="39" t="n">
        <f aca="false">Resumo!$B$9</f>
        <v>1</v>
      </c>
      <c r="AB1810" s="39" t="n">
        <f aca="false">Resumo!$B$10*CEILING(I1810/100,1)</f>
        <v>4.5</v>
      </c>
      <c r="AC1810" s="39" t="n">
        <f aca="false">Resumo!$B$12*CEILING(I1810,1)</f>
        <v>1.92</v>
      </c>
      <c r="AD1810" s="39" t="n">
        <f aca="false">Resumo!$B$14*CEILING(I1810,1)</f>
        <v>14.4</v>
      </c>
      <c r="AE1810" s="39" t="n">
        <f aca="false">SUM(X1810:AD1810)</f>
        <v>105.48197</v>
      </c>
      <c r="AF1810" s="39" t="n">
        <f aca="false">AE1810/(1-Resumo!$B$5)</f>
        <v>119.865875</v>
      </c>
      <c r="AG1810" s="39" t="n">
        <f aca="false">AF1810-W1810</f>
        <v>36.7491045454545</v>
      </c>
      <c r="AH1810" s="40" t="n">
        <f aca="false">AF1810/W1810-1</f>
        <v>0.442138263367099</v>
      </c>
      <c r="AI1810" s="37" t="str">
        <f aca="false">IF(AF1810&lt;W1810,"SIM","NÃO")</f>
        <v>NÃO</v>
      </c>
      <c r="AJ1810" s="37" t="n">
        <v>2</v>
      </c>
      <c r="AK1810" s="37" t="n">
        <v>5</v>
      </c>
      <c r="AL1810" s="37" t="s">
        <v>343</v>
      </c>
      <c r="AM1810" s="39" t="n">
        <v>82.64</v>
      </c>
    </row>
    <row r="1811" customFormat="false" ht="15" hidden="false" customHeight="false" outlineLevel="0" collapsed="false">
      <c r="A1811" s="37" t="n">
        <v>394613536</v>
      </c>
      <c r="B1811" s="38" t="n">
        <v>46279.7512962963</v>
      </c>
      <c r="C1811" s="37" t="s">
        <v>345</v>
      </c>
      <c r="D1811" s="37" t="s">
        <v>1984</v>
      </c>
      <c r="E1811" s="37" t="n">
        <v>23575920</v>
      </c>
      <c r="F1811" s="37" t="s">
        <v>159</v>
      </c>
      <c r="G1811" s="37" t="s">
        <v>196</v>
      </c>
      <c r="H1811" s="37" t="s">
        <v>184</v>
      </c>
      <c r="I1811" s="37" t="n">
        <v>27.6</v>
      </c>
      <c r="J1811" s="39" t="n">
        <v>332.45</v>
      </c>
      <c r="K1811" s="37" t="s">
        <v>342</v>
      </c>
      <c r="L1811" s="39" t="n">
        <v>81.91</v>
      </c>
      <c r="M1811" s="39" t="n">
        <v>42.11</v>
      </c>
      <c r="N1811" s="39" t="n">
        <f aca="false">J1811*Resumo!$C$6</f>
        <v>0</v>
      </c>
      <c r="O1811" s="39" t="n">
        <f aca="false">J1811*Resumo!$C$7</f>
        <v>0.698145</v>
      </c>
      <c r="P1811" s="39" t="n">
        <f aca="false">J1811*Resumo!$C$8</f>
        <v>0.698145</v>
      </c>
      <c r="Q1811" s="39" t="n">
        <f aca="false">Resumo!$C$10*CEILING(I1811/100,1)</f>
        <v>1.05</v>
      </c>
      <c r="R1811" s="39" t="n">
        <f aca="false">Resumo!$C$9</f>
        <v>0</v>
      </c>
      <c r="S1811" s="39" t="n">
        <f aca="false">Resumo!$C$13</f>
        <v>13.55</v>
      </c>
      <c r="T1811" s="39" t="n">
        <f aca="false">Resumo!$C$14*CEILING(I1811,1)</f>
        <v>12.6</v>
      </c>
      <c r="U1811" s="39" t="n">
        <f aca="false">SUM(M1811:T1811)*Resumo!$C$11</f>
        <v>0</v>
      </c>
      <c r="V1811" s="39" t="n">
        <f aca="false">SUM(M1811:U1811)</f>
        <v>70.70629</v>
      </c>
      <c r="W1811" s="39" t="n">
        <f aca="false">V1811/(1-Resumo!$C$5)</f>
        <v>80.3480568181818</v>
      </c>
      <c r="X1811" s="39" t="n">
        <v>82.21</v>
      </c>
      <c r="Y1811" s="39" t="n">
        <f aca="false">J1811*Resumo!$B$6</f>
        <v>0.33245</v>
      </c>
      <c r="Z1811" s="39" t="n">
        <f aca="false">J1811*Resumo!$B$7</f>
        <v>0.6649</v>
      </c>
      <c r="AA1811" s="39" t="n">
        <f aca="false">Resumo!$B$9</f>
        <v>1</v>
      </c>
      <c r="AB1811" s="39" t="n">
        <f aca="false">Resumo!$B$10*CEILING(I1811/100,1)</f>
        <v>4.5</v>
      </c>
      <c r="AC1811" s="39" t="n">
        <f aca="false">Resumo!$B$12*CEILING(I1811,1)</f>
        <v>1.68</v>
      </c>
      <c r="AD1811" s="39" t="n">
        <f aca="false">Resumo!$B$14*CEILING(I1811,1)</f>
        <v>12.6</v>
      </c>
      <c r="AE1811" s="39" t="n">
        <f aca="false">SUM(X1811:AD1811)</f>
        <v>102.98735</v>
      </c>
      <c r="AF1811" s="39" t="n">
        <f aca="false">AE1811/(1-Resumo!$B$5)</f>
        <v>117.031079545455</v>
      </c>
      <c r="AG1811" s="39" t="n">
        <f aca="false">AF1811-W1811</f>
        <v>36.6830227272727</v>
      </c>
      <c r="AH1811" s="40" t="n">
        <f aca="false">AF1811/W1811-1</f>
        <v>0.456551460980345</v>
      </c>
      <c r="AI1811" s="37" t="str">
        <f aca="false">IF(AF1811&lt;W1811,"SIM","NÃO")</f>
        <v>NÃO</v>
      </c>
      <c r="AJ1811" s="37" t="n">
        <v>2</v>
      </c>
      <c r="AK1811" s="37" t="n">
        <v>5</v>
      </c>
      <c r="AL1811" s="37" t="s">
        <v>343</v>
      </c>
      <c r="AM1811" s="39" t="n">
        <v>81.92</v>
      </c>
    </row>
    <row r="1812" customFormat="false" ht="15" hidden="false" customHeight="false" outlineLevel="0" collapsed="false">
      <c r="A1812" s="37" t="n">
        <v>394637079</v>
      </c>
      <c r="B1812" s="38" t="n">
        <v>46279.7655671296</v>
      </c>
      <c r="C1812" s="37" t="s">
        <v>537</v>
      </c>
      <c r="D1812" s="37" t="s">
        <v>1985</v>
      </c>
      <c r="E1812" s="37" t="n">
        <v>27603830</v>
      </c>
      <c r="F1812" s="37" t="s">
        <v>253</v>
      </c>
      <c r="G1812" s="37" t="s">
        <v>198</v>
      </c>
      <c r="H1812" s="37" t="s">
        <v>187</v>
      </c>
      <c r="I1812" s="37" t="n">
        <v>51.3</v>
      </c>
      <c r="J1812" s="39" t="n">
        <v>552.32</v>
      </c>
      <c r="K1812" s="37" t="s">
        <v>342</v>
      </c>
      <c r="L1812" s="39" t="n">
        <v>142.31</v>
      </c>
      <c r="M1812" s="39" t="n">
        <v>83.58</v>
      </c>
      <c r="N1812" s="39" t="n">
        <f aca="false">J1812*Resumo!$C$6</f>
        <v>0</v>
      </c>
      <c r="O1812" s="39" t="n">
        <f aca="false">J1812*Resumo!$C$7</f>
        <v>1.159872</v>
      </c>
      <c r="P1812" s="39" t="n">
        <f aca="false">J1812*Resumo!$C$8</f>
        <v>1.159872</v>
      </c>
      <c r="Q1812" s="39" t="n">
        <f aca="false">Resumo!$C$10*CEILING(I1812/100,1)</f>
        <v>1.05</v>
      </c>
      <c r="R1812" s="39" t="n">
        <f aca="false">Resumo!$C$9</f>
        <v>0</v>
      </c>
      <c r="S1812" s="39" t="n">
        <f aca="false">Resumo!$C$13</f>
        <v>13.55</v>
      </c>
      <c r="T1812" s="39" t="n">
        <f aca="false">Resumo!$C$14*CEILING(I1812,1)</f>
        <v>23.4</v>
      </c>
      <c r="U1812" s="39" t="n">
        <f aca="false">SUM(M1812:T1812)*Resumo!$C$11</f>
        <v>0</v>
      </c>
      <c r="V1812" s="39" t="n">
        <f aca="false">SUM(M1812:U1812)</f>
        <v>123.899744</v>
      </c>
      <c r="W1812" s="39" t="n">
        <f aca="false">V1812/(1-Resumo!$C$5)</f>
        <v>140.795163636364</v>
      </c>
      <c r="X1812" s="39" t="n">
        <v>142.32</v>
      </c>
      <c r="Y1812" s="39" t="n">
        <f aca="false">J1812*Resumo!$B$6</f>
        <v>0.55232</v>
      </c>
      <c r="Z1812" s="39" t="n">
        <f aca="false">J1812*Resumo!$B$7</f>
        <v>1.10464</v>
      </c>
      <c r="AA1812" s="39" t="n">
        <f aca="false">Resumo!$B$9</f>
        <v>1</v>
      </c>
      <c r="AB1812" s="39" t="n">
        <f aca="false">Resumo!$B$10*CEILING(I1812/100,1)</f>
        <v>4.5</v>
      </c>
      <c r="AC1812" s="39" t="n">
        <f aca="false">Resumo!$B$12*CEILING(I1812,1)</f>
        <v>3.12</v>
      </c>
      <c r="AD1812" s="39" t="n">
        <f aca="false">Resumo!$B$14*CEILING(I1812,1)</f>
        <v>23.4</v>
      </c>
      <c r="AE1812" s="39" t="n">
        <f aca="false">SUM(X1812:AD1812)</f>
        <v>175.99696</v>
      </c>
      <c r="AF1812" s="39" t="n">
        <f aca="false">AE1812/(1-Resumo!$B$5)</f>
        <v>199.996545454545</v>
      </c>
      <c r="AG1812" s="39" t="n">
        <f aca="false">AF1812-W1812</f>
        <v>59.2013818181818</v>
      </c>
      <c r="AH1812" s="40" t="n">
        <f aca="false">AF1812/W1812-1</f>
        <v>0.420478802603499</v>
      </c>
      <c r="AI1812" s="37" t="str">
        <f aca="false">IF(AF1812&lt;W1812,"SIM","NÃO")</f>
        <v>NÃO</v>
      </c>
      <c r="AJ1812" s="37" t="n">
        <v>13</v>
      </c>
      <c r="AK1812" s="37" t="n">
        <v>10</v>
      </c>
      <c r="AL1812" s="37" t="s">
        <v>347</v>
      </c>
      <c r="AM1812" s="39" t="n">
        <v>142.32</v>
      </c>
    </row>
    <row r="1813" customFormat="false" ht="15" hidden="false" customHeight="false" outlineLevel="0" collapsed="false">
      <c r="A1813" s="37" t="n">
        <v>394652635</v>
      </c>
      <c r="B1813" s="38" t="n">
        <v>46279.8032523148</v>
      </c>
      <c r="C1813" s="37" t="s">
        <v>340</v>
      </c>
      <c r="D1813" s="37" t="s">
        <v>1986</v>
      </c>
      <c r="E1813" s="37" t="n">
        <v>27175000</v>
      </c>
      <c r="F1813" s="37" t="s">
        <v>245</v>
      </c>
      <c r="G1813" s="37" t="s">
        <v>198</v>
      </c>
      <c r="H1813" s="37" t="s">
        <v>187</v>
      </c>
      <c r="I1813" s="37" t="n">
        <v>60</v>
      </c>
      <c r="J1813" s="39" t="n">
        <v>823.09</v>
      </c>
      <c r="K1813" s="37" t="s">
        <v>342</v>
      </c>
      <c r="L1813" s="39" t="n">
        <v>143.63</v>
      </c>
      <c r="M1813" s="39" t="n">
        <v>83.58</v>
      </c>
      <c r="N1813" s="39" t="n">
        <f aca="false">J1813*Resumo!$C$6</f>
        <v>0</v>
      </c>
      <c r="O1813" s="39" t="n">
        <f aca="false">J1813*Resumo!$C$7</f>
        <v>1.728489</v>
      </c>
      <c r="P1813" s="39" t="n">
        <f aca="false">J1813*Resumo!$C$8</f>
        <v>1.728489</v>
      </c>
      <c r="Q1813" s="39" t="n">
        <f aca="false">Resumo!$C$10*CEILING(I1813/100,1)</f>
        <v>1.05</v>
      </c>
      <c r="R1813" s="39" t="n">
        <f aca="false">Resumo!$C$9</f>
        <v>0</v>
      </c>
      <c r="S1813" s="39" t="n">
        <f aca="false">Resumo!$C$13</f>
        <v>13.55</v>
      </c>
      <c r="T1813" s="39" t="n">
        <f aca="false">Resumo!$C$14*CEILING(I1813,1)</f>
        <v>27</v>
      </c>
      <c r="U1813" s="39" t="n">
        <f aca="false">SUM(M1813:T1813)*Resumo!$C$11</f>
        <v>0</v>
      </c>
      <c r="V1813" s="39" t="n">
        <f aca="false">SUM(M1813:U1813)</f>
        <v>128.636978</v>
      </c>
      <c r="W1813" s="39" t="n">
        <f aca="false">V1813/(1-Resumo!$C$5)</f>
        <v>146.178384090909</v>
      </c>
      <c r="X1813" s="39" t="n">
        <v>142.32</v>
      </c>
      <c r="Y1813" s="39" t="n">
        <f aca="false">J1813*Resumo!$B$6</f>
        <v>0.82309</v>
      </c>
      <c r="Z1813" s="39" t="n">
        <f aca="false">J1813*Resumo!$B$7</f>
        <v>1.64618</v>
      </c>
      <c r="AA1813" s="39" t="n">
        <f aca="false">Resumo!$B$9</f>
        <v>1</v>
      </c>
      <c r="AB1813" s="39" t="n">
        <f aca="false">Resumo!$B$10*CEILING(I1813/100,1)</f>
        <v>4.5</v>
      </c>
      <c r="AC1813" s="39" t="n">
        <f aca="false">Resumo!$B$12*CEILING(I1813,1)</f>
        <v>3.6</v>
      </c>
      <c r="AD1813" s="39" t="n">
        <f aca="false">Resumo!$B$14*CEILING(I1813,1)</f>
        <v>27</v>
      </c>
      <c r="AE1813" s="39" t="n">
        <f aca="false">SUM(X1813:AD1813)</f>
        <v>180.88927</v>
      </c>
      <c r="AF1813" s="39" t="n">
        <f aca="false">AE1813/(1-Resumo!$B$5)</f>
        <v>205.555988636364</v>
      </c>
      <c r="AG1813" s="39" t="n">
        <f aca="false">AF1813-W1813</f>
        <v>59.3776045454545</v>
      </c>
      <c r="AH1813" s="40" t="n">
        <f aca="false">AF1813/W1813-1</f>
        <v>0.406199623252965</v>
      </c>
      <c r="AI1813" s="37" t="str">
        <f aca="false">IF(AF1813&lt;W1813,"SIM","NÃO")</f>
        <v>NÃO</v>
      </c>
      <c r="AJ1813" s="37" t="n">
        <v>13</v>
      </c>
      <c r="AK1813" s="37" t="n">
        <v>10</v>
      </c>
      <c r="AL1813" s="37" t="s">
        <v>347</v>
      </c>
      <c r="AM1813" s="39" t="n">
        <v>143.61</v>
      </c>
    </row>
    <row r="1814" customFormat="false" ht="15" hidden="false" customHeight="false" outlineLevel="0" collapsed="false">
      <c r="A1814" s="37" t="n">
        <v>394686997</v>
      </c>
      <c r="B1814" s="38" t="n">
        <v>46279.8598263889</v>
      </c>
      <c r="C1814" s="37" t="s">
        <v>345</v>
      </c>
      <c r="D1814" s="37" t="s">
        <v>1987</v>
      </c>
      <c r="E1814" s="37" t="n">
        <v>21250520</v>
      </c>
      <c r="F1814" s="37" t="s">
        <v>159</v>
      </c>
      <c r="G1814" s="37" t="s">
        <v>196</v>
      </c>
      <c r="H1814" s="37" t="s">
        <v>184</v>
      </c>
      <c r="I1814" s="37" t="n">
        <v>27.6</v>
      </c>
      <c r="J1814" s="39" t="n">
        <v>331.25</v>
      </c>
      <c r="K1814" s="37" t="s">
        <v>342</v>
      </c>
      <c r="L1814" s="39" t="n">
        <v>81.91</v>
      </c>
      <c r="M1814" s="39" t="n">
        <v>42.11</v>
      </c>
      <c r="N1814" s="39" t="n">
        <f aca="false">J1814*Resumo!$C$6</f>
        <v>0</v>
      </c>
      <c r="O1814" s="39" t="n">
        <f aca="false">J1814*Resumo!$C$7</f>
        <v>0.695625</v>
      </c>
      <c r="P1814" s="39" t="n">
        <f aca="false">J1814*Resumo!$C$8</f>
        <v>0.695625</v>
      </c>
      <c r="Q1814" s="39" t="n">
        <f aca="false">Resumo!$C$10*CEILING(I1814/100,1)</f>
        <v>1.05</v>
      </c>
      <c r="R1814" s="39" t="n">
        <f aca="false">Resumo!$C$9</f>
        <v>0</v>
      </c>
      <c r="S1814" s="39" t="n">
        <f aca="false">Resumo!$C$13</f>
        <v>13.55</v>
      </c>
      <c r="T1814" s="39" t="n">
        <f aca="false">Resumo!$C$14*CEILING(I1814,1)</f>
        <v>12.6</v>
      </c>
      <c r="U1814" s="39" t="n">
        <f aca="false">SUM(M1814:T1814)*Resumo!$C$11</f>
        <v>0</v>
      </c>
      <c r="V1814" s="39" t="n">
        <f aca="false">SUM(M1814:U1814)</f>
        <v>70.70125</v>
      </c>
      <c r="W1814" s="39" t="n">
        <f aca="false">V1814/(1-Resumo!$C$5)</f>
        <v>80.3423295454546</v>
      </c>
      <c r="X1814" s="39" t="n">
        <v>82.21</v>
      </c>
      <c r="Y1814" s="39" t="n">
        <f aca="false">J1814*Resumo!$B$6</f>
        <v>0.33125</v>
      </c>
      <c r="Z1814" s="39" t="n">
        <f aca="false">J1814*Resumo!$B$7</f>
        <v>0.6625</v>
      </c>
      <c r="AA1814" s="39" t="n">
        <f aca="false">Resumo!$B$9</f>
        <v>1</v>
      </c>
      <c r="AB1814" s="39" t="n">
        <f aca="false">Resumo!$B$10*CEILING(I1814/100,1)</f>
        <v>4.5</v>
      </c>
      <c r="AC1814" s="39" t="n">
        <f aca="false">Resumo!$B$12*CEILING(I1814,1)</f>
        <v>1.68</v>
      </c>
      <c r="AD1814" s="39" t="n">
        <f aca="false">Resumo!$B$14*CEILING(I1814,1)</f>
        <v>12.6</v>
      </c>
      <c r="AE1814" s="39" t="n">
        <f aca="false">SUM(X1814:AD1814)</f>
        <v>102.98375</v>
      </c>
      <c r="AF1814" s="39" t="n">
        <f aca="false">AE1814/(1-Resumo!$B$5)</f>
        <v>117.026988636364</v>
      </c>
      <c r="AG1814" s="39" t="n">
        <f aca="false">AF1814-W1814</f>
        <v>36.6846590909091</v>
      </c>
      <c r="AH1814" s="40" t="n">
        <f aca="false">AF1814/W1814-1</f>
        <v>0.456604374038648</v>
      </c>
      <c r="AI1814" s="37" t="str">
        <f aca="false">IF(AF1814&lt;W1814,"SIM","NÃO")</f>
        <v>NÃO</v>
      </c>
      <c r="AJ1814" s="37" t="n">
        <v>2</v>
      </c>
      <c r="AK1814" s="37" t="n">
        <v>5</v>
      </c>
      <c r="AL1814" s="37" t="s">
        <v>343</v>
      </c>
      <c r="AM1814" s="39" t="n">
        <v>81.91</v>
      </c>
    </row>
    <row r="1815" customFormat="false" ht="15" hidden="false" customHeight="false" outlineLevel="0" collapsed="false">
      <c r="A1815" s="37" t="n">
        <v>394704443</v>
      </c>
      <c r="B1815" s="38" t="n">
        <v>46279.8917592593</v>
      </c>
      <c r="C1815" s="37" t="s">
        <v>345</v>
      </c>
      <c r="D1815" s="37" t="s">
        <v>1988</v>
      </c>
      <c r="E1815" s="37" t="n">
        <v>23943140</v>
      </c>
      <c r="F1815" s="37" t="s">
        <v>169</v>
      </c>
      <c r="G1815" s="37" t="s">
        <v>198</v>
      </c>
      <c r="H1815" s="37" t="s">
        <v>184</v>
      </c>
      <c r="I1815" s="37" t="n">
        <v>33.3</v>
      </c>
      <c r="J1815" s="39" t="n">
        <v>389.28</v>
      </c>
      <c r="K1815" s="37" t="s">
        <v>342</v>
      </c>
      <c r="L1815" s="39" t="n">
        <v>109.05</v>
      </c>
      <c r="M1815" s="39" t="n">
        <v>65.63</v>
      </c>
      <c r="N1815" s="39" t="n">
        <f aca="false">J1815*Resumo!$C$6</f>
        <v>0</v>
      </c>
      <c r="O1815" s="39" t="n">
        <f aca="false">J1815*Resumo!$C$7</f>
        <v>0.817488</v>
      </c>
      <c r="P1815" s="39" t="n">
        <f aca="false">J1815*Resumo!$C$8</f>
        <v>0.817488</v>
      </c>
      <c r="Q1815" s="39" t="n">
        <f aca="false">Resumo!$C$10*CEILING(I1815/100,1)</f>
        <v>1.05</v>
      </c>
      <c r="R1815" s="39" t="n">
        <f aca="false">Resumo!$C$9</f>
        <v>0</v>
      </c>
      <c r="S1815" s="39" t="n">
        <f aca="false">Resumo!$C$13</f>
        <v>13.55</v>
      </c>
      <c r="T1815" s="39" t="n">
        <f aca="false">Resumo!$C$14*CEILING(I1815,1)</f>
        <v>15.3</v>
      </c>
      <c r="U1815" s="39" t="n">
        <f aca="false">SUM(M1815:T1815)*Resumo!$C$11</f>
        <v>0</v>
      </c>
      <c r="V1815" s="39" t="n">
        <f aca="false">SUM(M1815:U1815)</f>
        <v>97.164976</v>
      </c>
      <c r="W1815" s="39" t="n">
        <f aca="false">V1815/(1-Resumo!$C$5)</f>
        <v>110.414745454545</v>
      </c>
      <c r="X1815" s="39" t="n">
        <v>108.83</v>
      </c>
      <c r="Y1815" s="39" t="n">
        <f aca="false">J1815*Resumo!$B$6</f>
        <v>0.38928</v>
      </c>
      <c r="Z1815" s="39" t="n">
        <f aca="false">J1815*Resumo!$B$7</f>
        <v>0.77856</v>
      </c>
      <c r="AA1815" s="39" t="n">
        <f aca="false">Resumo!$B$9</f>
        <v>1</v>
      </c>
      <c r="AB1815" s="39" t="n">
        <f aca="false">Resumo!$B$10*CEILING(I1815/100,1)</f>
        <v>4.5</v>
      </c>
      <c r="AC1815" s="39" t="n">
        <f aca="false">Resumo!$B$12*CEILING(I1815,1)</f>
        <v>2.04</v>
      </c>
      <c r="AD1815" s="39" t="n">
        <f aca="false">Resumo!$B$14*CEILING(I1815,1)</f>
        <v>15.3</v>
      </c>
      <c r="AE1815" s="39" t="n">
        <f aca="false">SUM(X1815:AD1815)</f>
        <v>132.83784</v>
      </c>
      <c r="AF1815" s="39" t="n">
        <f aca="false">AE1815/(1-Resumo!$B$5)</f>
        <v>150.952090909091</v>
      </c>
      <c r="AG1815" s="39" t="n">
        <f aca="false">AF1815-W1815</f>
        <v>40.5373454545455</v>
      </c>
      <c r="AH1815" s="40" t="n">
        <f aca="false">AF1815/W1815-1</f>
        <v>0.367137063873715</v>
      </c>
      <c r="AI1815" s="37" t="str">
        <f aca="false">IF(AF1815&lt;W1815,"SIM","NÃO")</f>
        <v>NÃO</v>
      </c>
      <c r="AJ1815" s="37" t="n">
        <v>13</v>
      </c>
      <c r="AK1815" s="37" t="n">
        <v>10</v>
      </c>
      <c r="AL1815" s="37" t="s">
        <v>343</v>
      </c>
      <c r="AM1815" s="39" t="n">
        <v>109.05</v>
      </c>
    </row>
    <row r="1816" customFormat="false" ht="15" hidden="false" customHeight="false" outlineLevel="0" collapsed="false">
      <c r="A1816" s="37" t="n">
        <v>394719780</v>
      </c>
      <c r="B1816" s="38" t="n">
        <v>46279.9203703704</v>
      </c>
      <c r="C1816" s="37" t="s">
        <v>345</v>
      </c>
      <c r="D1816" s="37" t="s">
        <v>1989</v>
      </c>
      <c r="E1816" s="37" t="n">
        <v>20940010</v>
      </c>
      <c r="F1816" s="37" t="s">
        <v>159</v>
      </c>
      <c r="G1816" s="37" t="s">
        <v>196</v>
      </c>
      <c r="H1816" s="37" t="s">
        <v>188</v>
      </c>
      <c r="I1816" s="37" t="n">
        <v>63.9</v>
      </c>
      <c r="J1816" s="39" t="n">
        <v>776</v>
      </c>
      <c r="K1816" s="37" t="s">
        <v>342</v>
      </c>
      <c r="L1816" s="39" t="n">
        <v>124.92</v>
      </c>
      <c r="M1816" s="39" t="n">
        <v>63.21</v>
      </c>
      <c r="N1816" s="39" t="n">
        <f aca="false">J1816*Resumo!$C$6</f>
        <v>0</v>
      </c>
      <c r="O1816" s="39" t="n">
        <f aca="false">J1816*Resumo!$C$7</f>
        <v>1.6296</v>
      </c>
      <c r="P1816" s="39" t="n">
        <f aca="false">J1816*Resumo!$C$8</f>
        <v>1.6296</v>
      </c>
      <c r="Q1816" s="39" t="n">
        <f aca="false">Resumo!$C$10*CEILING(I1816/100,1)</f>
        <v>1.05</v>
      </c>
      <c r="R1816" s="39" t="n">
        <f aca="false">Resumo!$C$9</f>
        <v>0</v>
      </c>
      <c r="S1816" s="39" t="n">
        <f aca="false">Resumo!$C$13</f>
        <v>13.55</v>
      </c>
      <c r="T1816" s="39" t="n">
        <f aca="false">Resumo!$C$14*CEILING(I1816,1)</f>
        <v>28.8</v>
      </c>
      <c r="U1816" s="39" t="n">
        <f aca="false">SUM(M1816:T1816)*Resumo!$C$11</f>
        <v>0</v>
      </c>
      <c r="V1816" s="39" t="n">
        <f aca="false">SUM(M1816:U1816)</f>
        <v>109.8692</v>
      </c>
      <c r="W1816" s="39" t="n">
        <f aca="false">V1816/(1-Resumo!$C$5)</f>
        <v>124.851363636364</v>
      </c>
      <c r="X1816" s="39" t="n">
        <v>131.02</v>
      </c>
      <c r="Y1816" s="39" t="n">
        <f aca="false">J1816*Resumo!$B$6</f>
        <v>0.776</v>
      </c>
      <c r="Z1816" s="39" t="n">
        <f aca="false">J1816*Resumo!$B$7</f>
        <v>1.552</v>
      </c>
      <c r="AA1816" s="39" t="n">
        <f aca="false">Resumo!$B$9</f>
        <v>1</v>
      </c>
      <c r="AB1816" s="39" t="n">
        <f aca="false">Resumo!$B$10*CEILING(I1816/100,1)</f>
        <v>4.5</v>
      </c>
      <c r="AC1816" s="39" t="n">
        <f aca="false">Resumo!$B$12*CEILING(I1816,1)</f>
        <v>3.84</v>
      </c>
      <c r="AD1816" s="39" t="n">
        <f aca="false">Resumo!$B$14*CEILING(I1816,1)</f>
        <v>28.8</v>
      </c>
      <c r="AE1816" s="39" t="n">
        <f aca="false">SUM(X1816:AD1816)</f>
        <v>171.488</v>
      </c>
      <c r="AF1816" s="39" t="n">
        <f aca="false">AE1816/(1-Resumo!$B$5)</f>
        <v>194.872727272727</v>
      </c>
      <c r="AG1816" s="39" t="n">
        <f aca="false">AF1816-W1816</f>
        <v>70.0213636363637</v>
      </c>
      <c r="AH1816" s="40" t="n">
        <f aca="false">AF1816/W1816-1</f>
        <v>0.560837796215864</v>
      </c>
      <c r="AI1816" s="37" t="str">
        <f aca="false">IF(AF1816&lt;W1816,"SIM","NÃO")</f>
        <v>NÃO</v>
      </c>
      <c r="AJ1816" s="37" t="n">
        <v>2</v>
      </c>
      <c r="AK1816" s="37" t="n">
        <v>5</v>
      </c>
      <c r="AL1816" s="37" t="s">
        <v>343</v>
      </c>
      <c r="AM1816" s="39" t="n">
        <v>124.93</v>
      </c>
    </row>
    <row r="1817" customFormat="false" ht="15" hidden="false" customHeight="false" outlineLevel="0" collapsed="false">
      <c r="A1817" s="37" t="n">
        <v>394743199</v>
      </c>
      <c r="B1817" s="38" t="n">
        <v>46279.9688541667</v>
      </c>
      <c r="C1817" s="37" t="s">
        <v>340</v>
      </c>
      <c r="D1817" s="37" t="s">
        <v>465</v>
      </c>
      <c r="E1817" s="37" t="n">
        <v>21321620</v>
      </c>
      <c r="F1817" s="37" t="s">
        <v>159</v>
      </c>
      <c r="G1817" s="37" t="s">
        <v>196</v>
      </c>
      <c r="H1817" s="37" t="s">
        <v>186</v>
      </c>
      <c r="I1817" s="37" t="n">
        <v>46.8</v>
      </c>
      <c r="J1817" s="39" t="n">
        <v>492.2</v>
      </c>
      <c r="K1817" s="37" t="s">
        <v>342</v>
      </c>
      <c r="L1817" s="39" t="n">
        <v>102.93</v>
      </c>
      <c r="M1817" s="39" t="n">
        <v>53.55</v>
      </c>
      <c r="N1817" s="39" t="n">
        <f aca="false">J1817*Resumo!$C$6</f>
        <v>0</v>
      </c>
      <c r="O1817" s="39" t="n">
        <f aca="false">J1817*Resumo!$C$7</f>
        <v>1.03362</v>
      </c>
      <c r="P1817" s="39" t="n">
        <f aca="false">J1817*Resumo!$C$8</f>
        <v>1.03362</v>
      </c>
      <c r="Q1817" s="39" t="n">
        <f aca="false">Resumo!$C$10*CEILING(I1817/100,1)</f>
        <v>1.05</v>
      </c>
      <c r="R1817" s="39" t="n">
        <f aca="false">Resumo!$C$9</f>
        <v>0</v>
      </c>
      <c r="S1817" s="39" t="n">
        <f aca="false">Resumo!$C$13</f>
        <v>13.55</v>
      </c>
      <c r="T1817" s="39" t="n">
        <f aca="false">Resumo!$C$14*CEILING(I1817,1)</f>
        <v>21.15</v>
      </c>
      <c r="U1817" s="39" t="n">
        <f aca="false">SUM(M1817:T1817)*Resumo!$C$11</f>
        <v>0</v>
      </c>
      <c r="V1817" s="39" t="n">
        <f aca="false">SUM(M1817:U1817)</f>
        <v>91.36724</v>
      </c>
      <c r="W1817" s="39" t="n">
        <f aca="false">V1817/(1-Resumo!$C$5)</f>
        <v>103.826409090909</v>
      </c>
      <c r="X1817" s="39" t="n">
        <v>93.97</v>
      </c>
      <c r="Y1817" s="39" t="n">
        <f aca="false">J1817*Resumo!$B$6</f>
        <v>0.4922</v>
      </c>
      <c r="Z1817" s="39" t="n">
        <f aca="false">J1817*Resumo!$B$7</f>
        <v>0.9844</v>
      </c>
      <c r="AA1817" s="39" t="n">
        <f aca="false">Resumo!$B$9</f>
        <v>1</v>
      </c>
      <c r="AB1817" s="39" t="n">
        <f aca="false">Resumo!$B$10*CEILING(I1817/100,1)</f>
        <v>4.5</v>
      </c>
      <c r="AC1817" s="39" t="n">
        <f aca="false">Resumo!$B$12*CEILING(I1817,1)</f>
        <v>2.82</v>
      </c>
      <c r="AD1817" s="39" t="n">
        <f aca="false">Resumo!$B$14*CEILING(I1817,1)</f>
        <v>21.15</v>
      </c>
      <c r="AE1817" s="39" t="n">
        <f aca="false">SUM(X1817:AD1817)</f>
        <v>124.9166</v>
      </c>
      <c r="AF1817" s="39" t="n">
        <f aca="false">AE1817/(1-Resumo!$B$5)</f>
        <v>141.950681818182</v>
      </c>
      <c r="AG1817" s="39" t="n">
        <f aca="false">AF1817-W1817</f>
        <v>38.1242727272727</v>
      </c>
      <c r="AH1817" s="40" t="n">
        <f aca="false">AF1817/W1817-1</f>
        <v>0.367192442280187</v>
      </c>
      <c r="AI1817" s="37" t="str">
        <f aca="false">IF(AF1817&lt;W1817,"SIM","NÃO")</f>
        <v>NÃO</v>
      </c>
      <c r="AJ1817" s="37" t="n">
        <v>2</v>
      </c>
      <c r="AK1817" s="37" t="n">
        <v>5</v>
      </c>
      <c r="AL1817" s="37" t="s">
        <v>343</v>
      </c>
      <c r="AM1817" s="39" t="n">
        <v>102.94</v>
      </c>
    </row>
    <row r="1818" customFormat="false" ht="15" hidden="false" customHeight="false" outlineLevel="0" collapsed="false">
      <c r="A1818" s="37" t="n">
        <v>394761265</v>
      </c>
      <c r="B1818" s="38" t="n">
        <v>46280.0072106482</v>
      </c>
      <c r="C1818" s="37" t="s">
        <v>345</v>
      </c>
      <c r="D1818" s="37" t="s">
        <v>1990</v>
      </c>
      <c r="E1818" s="37" t="n">
        <v>22793105</v>
      </c>
      <c r="F1818" s="37" t="s">
        <v>159</v>
      </c>
      <c r="G1818" s="37" t="s">
        <v>196</v>
      </c>
      <c r="H1818" s="37" t="s">
        <v>185</v>
      </c>
      <c r="I1818" s="37" t="n">
        <v>35.3</v>
      </c>
      <c r="J1818" s="39" t="n">
        <v>458.79</v>
      </c>
      <c r="K1818" s="37" t="s">
        <v>342</v>
      </c>
      <c r="L1818" s="39" t="n">
        <v>92.06</v>
      </c>
      <c r="M1818" s="39" t="n">
        <v>48.35</v>
      </c>
      <c r="N1818" s="39" t="n">
        <f aca="false">J1818*Resumo!$C$6</f>
        <v>0</v>
      </c>
      <c r="O1818" s="39" t="n">
        <f aca="false">J1818*Resumo!$C$7</f>
        <v>0.963459</v>
      </c>
      <c r="P1818" s="39" t="n">
        <f aca="false">J1818*Resumo!$C$8</f>
        <v>0.963459</v>
      </c>
      <c r="Q1818" s="39" t="n">
        <f aca="false">Resumo!$C$10*CEILING(I1818/100,1)</f>
        <v>1.05</v>
      </c>
      <c r="R1818" s="39" t="n">
        <f aca="false">Resumo!$C$9</f>
        <v>0</v>
      </c>
      <c r="S1818" s="39" t="n">
        <f aca="false">Resumo!$C$13</f>
        <v>13.55</v>
      </c>
      <c r="T1818" s="39" t="n">
        <f aca="false">Resumo!$C$14*CEILING(I1818,1)</f>
        <v>16.2</v>
      </c>
      <c r="U1818" s="39" t="n">
        <f aca="false">SUM(M1818:T1818)*Resumo!$C$11</f>
        <v>0</v>
      </c>
      <c r="V1818" s="39" t="n">
        <f aca="false">SUM(M1818:U1818)</f>
        <v>81.076918</v>
      </c>
      <c r="W1818" s="39" t="n">
        <f aca="false">V1818/(1-Resumo!$C$5)</f>
        <v>92.1328613636364</v>
      </c>
      <c r="X1818" s="39" t="n">
        <v>93.97</v>
      </c>
      <c r="Y1818" s="39" t="n">
        <f aca="false">J1818*Resumo!$B$6</f>
        <v>0.45879</v>
      </c>
      <c r="Z1818" s="39" t="n">
        <f aca="false">J1818*Resumo!$B$7</f>
        <v>0.91758</v>
      </c>
      <c r="AA1818" s="39" t="n">
        <f aca="false">Resumo!$B$9</f>
        <v>1</v>
      </c>
      <c r="AB1818" s="39" t="n">
        <f aca="false">Resumo!$B$10*CEILING(I1818/100,1)</f>
        <v>4.5</v>
      </c>
      <c r="AC1818" s="39" t="n">
        <f aca="false">Resumo!$B$12*CEILING(I1818,1)</f>
        <v>2.16</v>
      </c>
      <c r="AD1818" s="39" t="n">
        <f aca="false">Resumo!$B$14*CEILING(I1818,1)</f>
        <v>16.2</v>
      </c>
      <c r="AE1818" s="39" t="n">
        <f aca="false">SUM(X1818:AD1818)</f>
        <v>119.20637</v>
      </c>
      <c r="AF1818" s="39" t="n">
        <f aca="false">AE1818/(1-Resumo!$B$5)</f>
        <v>135.461784090909</v>
      </c>
      <c r="AG1818" s="39" t="n">
        <f aca="false">AF1818-W1818</f>
        <v>43.3289227272727</v>
      </c>
      <c r="AH1818" s="40" t="n">
        <f aca="false">AF1818/W1818-1</f>
        <v>0.470287388082512</v>
      </c>
      <c r="AI1818" s="37" t="str">
        <f aca="false">IF(AF1818&lt;W1818,"SIM","NÃO")</f>
        <v>NÃO</v>
      </c>
      <c r="AJ1818" s="37" t="n">
        <v>2</v>
      </c>
      <c r="AK1818" s="37" t="n">
        <v>5</v>
      </c>
      <c r="AL1818" s="37" t="s">
        <v>343</v>
      </c>
      <c r="AM1818" s="39" t="n">
        <v>92.05</v>
      </c>
    </row>
    <row r="1819" customFormat="false" ht="15" hidden="false" customHeight="false" outlineLevel="0" collapsed="false">
      <c r="A1819" s="37" t="n">
        <v>394846808</v>
      </c>
      <c r="B1819" s="38" t="n">
        <v>46280.2914236111</v>
      </c>
      <c r="C1819" s="37" t="s">
        <v>340</v>
      </c>
      <c r="D1819" s="37" t="s">
        <v>1991</v>
      </c>
      <c r="E1819" s="37" t="n">
        <v>23933630</v>
      </c>
      <c r="F1819" s="37" t="s">
        <v>169</v>
      </c>
      <c r="G1819" s="37" t="s">
        <v>198</v>
      </c>
      <c r="H1819" s="37" t="s">
        <v>186</v>
      </c>
      <c r="I1819" s="37" t="n">
        <v>48</v>
      </c>
      <c r="J1819" s="39" t="n">
        <v>849.99</v>
      </c>
      <c r="K1819" s="37" t="s">
        <v>342</v>
      </c>
      <c r="L1819" s="39" t="n">
        <v>132.24</v>
      </c>
      <c r="M1819" s="39" t="n">
        <v>77.7</v>
      </c>
      <c r="N1819" s="39" t="n">
        <f aca="false">J1819*Resumo!$C$6</f>
        <v>0</v>
      </c>
      <c r="O1819" s="39" t="n">
        <f aca="false">J1819*Resumo!$C$7</f>
        <v>1.784979</v>
      </c>
      <c r="P1819" s="39" t="n">
        <f aca="false">J1819*Resumo!$C$8</f>
        <v>1.784979</v>
      </c>
      <c r="Q1819" s="39" t="n">
        <f aca="false">Resumo!$C$10*CEILING(I1819/100,1)</f>
        <v>1.05</v>
      </c>
      <c r="R1819" s="39" t="n">
        <f aca="false">Resumo!$C$9</f>
        <v>0</v>
      </c>
      <c r="S1819" s="39" t="n">
        <f aca="false">Resumo!$C$13</f>
        <v>13.55</v>
      </c>
      <c r="T1819" s="39" t="n">
        <f aca="false">Resumo!$C$14*CEILING(I1819,1)</f>
        <v>21.6</v>
      </c>
      <c r="U1819" s="39" t="n">
        <f aca="false">SUM(M1819:T1819)*Resumo!$C$11</f>
        <v>0</v>
      </c>
      <c r="V1819" s="39" t="n">
        <f aca="false">SUM(M1819:U1819)</f>
        <v>117.469958</v>
      </c>
      <c r="W1819" s="39" t="n">
        <f aca="false">V1819/(1-Resumo!$C$5)</f>
        <v>133.488588636364</v>
      </c>
      <c r="X1819" s="39" t="n">
        <v>124.38</v>
      </c>
      <c r="Y1819" s="39" t="n">
        <f aca="false">J1819*Resumo!$B$6</f>
        <v>0.84999</v>
      </c>
      <c r="Z1819" s="39" t="n">
        <f aca="false">J1819*Resumo!$B$7</f>
        <v>1.69998</v>
      </c>
      <c r="AA1819" s="39" t="n">
        <f aca="false">Resumo!$B$9</f>
        <v>1</v>
      </c>
      <c r="AB1819" s="39" t="n">
        <f aca="false">Resumo!$B$10*CEILING(I1819/100,1)</f>
        <v>4.5</v>
      </c>
      <c r="AC1819" s="39" t="n">
        <f aca="false">Resumo!$B$12*CEILING(I1819,1)</f>
        <v>2.88</v>
      </c>
      <c r="AD1819" s="39" t="n">
        <f aca="false">Resumo!$B$14*CEILING(I1819,1)</f>
        <v>21.6</v>
      </c>
      <c r="AE1819" s="39" t="n">
        <f aca="false">SUM(X1819:AD1819)</f>
        <v>156.90997</v>
      </c>
      <c r="AF1819" s="39" t="n">
        <f aca="false">AE1819/(1-Resumo!$B$5)</f>
        <v>178.306784090909</v>
      </c>
      <c r="AG1819" s="39" t="n">
        <f aca="false">AF1819-W1819</f>
        <v>44.8181954545454</v>
      </c>
      <c r="AH1819" s="40" t="n">
        <f aca="false">AF1819/W1819-1</f>
        <v>0.335745518867045</v>
      </c>
      <c r="AI1819" s="37" t="str">
        <f aca="false">IF(AF1819&lt;W1819,"SIM","NÃO")</f>
        <v>NÃO</v>
      </c>
      <c r="AJ1819" s="37" t="n">
        <v>13</v>
      </c>
      <c r="AK1819" s="37" t="n">
        <v>10</v>
      </c>
      <c r="AL1819" s="37" t="s">
        <v>343</v>
      </c>
      <c r="AM1819" s="39" t="n">
        <v>132.23</v>
      </c>
    </row>
    <row r="1820" customFormat="false" ht="15" hidden="false" customHeight="false" outlineLevel="0" collapsed="false">
      <c r="A1820" s="37" t="n">
        <v>394870816</v>
      </c>
      <c r="B1820" s="38" t="n">
        <v>46280.3565856482</v>
      </c>
      <c r="C1820" s="37" t="s">
        <v>340</v>
      </c>
      <c r="D1820" s="37" t="s">
        <v>1992</v>
      </c>
      <c r="E1820" s="37" t="n">
        <v>20750130</v>
      </c>
      <c r="F1820" s="37" t="s">
        <v>159</v>
      </c>
      <c r="G1820" s="37" t="s">
        <v>196</v>
      </c>
      <c r="H1820" s="37" t="s">
        <v>188</v>
      </c>
      <c r="I1820" s="37" t="n">
        <v>66.8</v>
      </c>
      <c r="J1820" s="39" t="n">
        <v>719.99</v>
      </c>
      <c r="K1820" s="37" t="s">
        <v>342</v>
      </c>
      <c r="L1820" s="39" t="n">
        <v>124.66</v>
      </c>
      <c r="M1820" s="39" t="n">
        <v>63.21</v>
      </c>
      <c r="N1820" s="39" t="n">
        <f aca="false">J1820*Resumo!$C$6</f>
        <v>0</v>
      </c>
      <c r="O1820" s="39" t="n">
        <f aca="false">J1820*Resumo!$C$7</f>
        <v>1.511979</v>
      </c>
      <c r="P1820" s="39" t="n">
        <f aca="false">J1820*Resumo!$C$8</f>
        <v>1.511979</v>
      </c>
      <c r="Q1820" s="39" t="n">
        <f aca="false">Resumo!$C$10*CEILING(I1820/100,1)</f>
        <v>1.05</v>
      </c>
      <c r="R1820" s="39" t="n">
        <f aca="false">Resumo!$C$9</f>
        <v>0</v>
      </c>
      <c r="S1820" s="39" t="n">
        <f aca="false">Resumo!$C$13</f>
        <v>13.55</v>
      </c>
      <c r="T1820" s="39" t="n">
        <f aca="false">Resumo!$C$14*CEILING(I1820,1)</f>
        <v>30.15</v>
      </c>
      <c r="U1820" s="39" t="n">
        <f aca="false">SUM(M1820:T1820)*Resumo!$C$11</f>
        <v>0</v>
      </c>
      <c r="V1820" s="39" t="n">
        <f aca="false">SUM(M1820:U1820)</f>
        <v>110.983958</v>
      </c>
      <c r="W1820" s="39" t="n">
        <f aca="false">V1820/(1-Resumo!$C$5)</f>
        <v>126.118134090909</v>
      </c>
      <c r="X1820" s="39" t="n">
        <v>131.02</v>
      </c>
      <c r="Y1820" s="39" t="n">
        <f aca="false">J1820*Resumo!$B$6</f>
        <v>0.71999</v>
      </c>
      <c r="Z1820" s="39" t="n">
        <f aca="false">J1820*Resumo!$B$7</f>
        <v>1.43998</v>
      </c>
      <c r="AA1820" s="39" t="n">
        <f aca="false">Resumo!$B$9</f>
        <v>1</v>
      </c>
      <c r="AB1820" s="39" t="n">
        <f aca="false">Resumo!$B$10*CEILING(I1820/100,1)</f>
        <v>4.5</v>
      </c>
      <c r="AC1820" s="39" t="n">
        <f aca="false">Resumo!$B$12*CEILING(I1820,1)</f>
        <v>4.02</v>
      </c>
      <c r="AD1820" s="39" t="n">
        <f aca="false">Resumo!$B$14*CEILING(I1820,1)</f>
        <v>30.15</v>
      </c>
      <c r="AE1820" s="39" t="n">
        <f aca="false">SUM(X1820:AD1820)</f>
        <v>172.84997</v>
      </c>
      <c r="AF1820" s="39" t="n">
        <f aca="false">AE1820/(1-Resumo!$B$5)</f>
        <v>196.420420454545</v>
      </c>
      <c r="AG1820" s="39" t="n">
        <f aca="false">AF1820-W1820</f>
        <v>70.3022863636364</v>
      </c>
      <c r="AH1820" s="40" t="n">
        <f aca="false">AF1820/W1820-1</f>
        <v>0.557432020941261</v>
      </c>
      <c r="AI1820" s="37" t="str">
        <f aca="false">IF(AF1820&lt;W1820,"SIM","NÃO")</f>
        <v>NÃO</v>
      </c>
      <c r="AJ1820" s="37" t="n">
        <v>2</v>
      </c>
      <c r="AK1820" s="37" t="n">
        <v>5</v>
      </c>
      <c r="AL1820" s="37" t="s">
        <v>343</v>
      </c>
      <c r="AM1820" s="39" t="n">
        <v>124.66</v>
      </c>
    </row>
    <row r="1821" customFormat="false" ht="15" hidden="false" customHeight="false" outlineLevel="0" collapsed="false">
      <c r="A1821" s="37" t="n">
        <v>394879355</v>
      </c>
      <c r="B1821" s="38" t="n">
        <v>46280.374224537</v>
      </c>
      <c r="C1821" s="37" t="s">
        <v>340</v>
      </c>
      <c r="D1821" s="37" t="s">
        <v>1993</v>
      </c>
      <c r="E1821" s="37" t="n">
        <v>28956144</v>
      </c>
      <c r="F1821" s="37" t="s">
        <v>293</v>
      </c>
      <c r="G1821" s="37" t="s">
        <v>198</v>
      </c>
      <c r="H1821" s="37" t="s">
        <v>186</v>
      </c>
      <c r="I1821" s="37" t="n">
        <v>41</v>
      </c>
      <c r="J1821" s="39" t="n">
        <v>559.99</v>
      </c>
      <c r="K1821" s="37" t="s">
        <v>342</v>
      </c>
      <c r="L1821" s="39" t="n">
        <v>130.84</v>
      </c>
      <c r="M1821" s="39" t="n">
        <v>77.7</v>
      </c>
      <c r="N1821" s="39" t="n">
        <f aca="false">J1821*Resumo!$C$6</f>
        <v>0</v>
      </c>
      <c r="O1821" s="39" t="n">
        <f aca="false">J1821*Resumo!$C$7</f>
        <v>1.175979</v>
      </c>
      <c r="P1821" s="39" t="n">
        <f aca="false">J1821*Resumo!$C$8</f>
        <v>1.175979</v>
      </c>
      <c r="Q1821" s="39" t="n">
        <f aca="false">Resumo!$C$10*CEILING(I1821/100,1)</f>
        <v>1.05</v>
      </c>
      <c r="R1821" s="39" t="n">
        <f aca="false">Resumo!$C$9</f>
        <v>0</v>
      </c>
      <c r="S1821" s="39" t="n">
        <f aca="false">Resumo!$C$13</f>
        <v>13.55</v>
      </c>
      <c r="T1821" s="39" t="n">
        <f aca="false">Resumo!$C$14*CEILING(I1821,1)</f>
        <v>18.45</v>
      </c>
      <c r="U1821" s="39" t="n">
        <f aca="false">SUM(M1821:T1821)*Resumo!$C$11</f>
        <v>0</v>
      </c>
      <c r="V1821" s="39" t="n">
        <f aca="false">SUM(M1821:U1821)</f>
        <v>113.101958</v>
      </c>
      <c r="W1821" s="39" t="n">
        <f aca="false">V1821/(1-Resumo!$C$5)</f>
        <v>128.524952272727</v>
      </c>
      <c r="X1821" s="39" t="n">
        <v>129.29</v>
      </c>
      <c r="Y1821" s="39" t="n">
        <f aca="false">J1821*Resumo!$B$6</f>
        <v>0.55999</v>
      </c>
      <c r="Z1821" s="39" t="n">
        <f aca="false">J1821*Resumo!$B$7</f>
        <v>1.11998</v>
      </c>
      <c r="AA1821" s="39" t="n">
        <f aca="false">Resumo!$B$9</f>
        <v>1</v>
      </c>
      <c r="AB1821" s="39" t="n">
        <f aca="false">Resumo!$B$10*CEILING(I1821/100,1)</f>
        <v>4.5</v>
      </c>
      <c r="AC1821" s="39" t="n">
        <f aca="false">Resumo!$B$12*CEILING(I1821,1)</f>
        <v>2.46</v>
      </c>
      <c r="AD1821" s="39" t="n">
        <f aca="false">Resumo!$B$14*CEILING(I1821,1)</f>
        <v>18.45</v>
      </c>
      <c r="AE1821" s="39" t="n">
        <f aca="false">SUM(X1821:AD1821)</f>
        <v>157.37997</v>
      </c>
      <c r="AF1821" s="39" t="n">
        <f aca="false">AE1821/(1-Resumo!$B$5)</f>
        <v>178.840875</v>
      </c>
      <c r="AG1821" s="39" t="n">
        <f aca="false">AF1821-W1821</f>
        <v>50.3159227272727</v>
      </c>
      <c r="AH1821" s="40" t="n">
        <f aca="false">AF1821/W1821-1</f>
        <v>0.391487581497042</v>
      </c>
      <c r="AI1821" s="37" t="str">
        <f aca="false">IF(AF1821&lt;W1821,"SIM","NÃO")</f>
        <v>NÃO</v>
      </c>
      <c r="AJ1821" s="37" t="n">
        <v>13</v>
      </c>
      <c r="AK1821" s="37" t="n">
        <v>10</v>
      </c>
      <c r="AL1821" s="37" t="s">
        <v>347</v>
      </c>
      <c r="AM1821" s="39" t="n">
        <v>130.84</v>
      </c>
    </row>
    <row r="1822" customFormat="false" ht="15" hidden="false" customHeight="false" outlineLevel="0" collapsed="false">
      <c r="A1822" s="37" t="n">
        <v>394911153</v>
      </c>
      <c r="B1822" s="38" t="n">
        <v>46280.438275463</v>
      </c>
      <c r="C1822" s="37" t="s">
        <v>375</v>
      </c>
      <c r="D1822" s="37" t="s">
        <v>1994</v>
      </c>
      <c r="E1822" s="37" t="n">
        <v>24240460</v>
      </c>
      <c r="F1822" s="37" t="s">
        <v>163</v>
      </c>
      <c r="G1822" s="37" t="s">
        <v>197</v>
      </c>
      <c r="H1822" s="37" t="s">
        <v>186</v>
      </c>
      <c r="I1822" s="37" t="n">
        <v>49.6</v>
      </c>
      <c r="J1822" s="39" t="n">
        <v>799.99</v>
      </c>
      <c r="K1822" s="37" t="s">
        <v>342</v>
      </c>
      <c r="L1822" s="39" t="n">
        <v>117.91</v>
      </c>
      <c r="M1822" s="39" t="n">
        <v>65.36</v>
      </c>
      <c r="N1822" s="39" t="n">
        <f aca="false">J1822*Resumo!$C$6</f>
        <v>0</v>
      </c>
      <c r="O1822" s="39" t="n">
        <f aca="false">J1822*Resumo!$C$7</f>
        <v>1.679979</v>
      </c>
      <c r="P1822" s="39" t="n">
        <f aca="false">J1822*Resumo!$C$8</f>
        <v>1.679979</v>
      </c>
      <c r="Q1822" s="39" t="n">
        <f aca="false">Resumo!$C$10*CEILING(I1822/100,1)</f>
        <v>1.05</v>
      </c>
      <c r="R1822" s="39" t="n">
        <f aca="false">Resumo!$C$9</f>
        <v>0</v>
      </c>
      <c r="S1822" s="39" t="n">
        <f aca="false">Resumo!$C$13</f>
        <v>13.55</v>
      </c>
      <c r="T1822" s="39" t="n">
        <f aca="false">Resumo!$C$14*CEILING(I1822,1)</f>
        <v>22.5</v>
      </c>
      <c r="U1822" s="39" t="n">
        <f aca="false">SUM(M1822:T1822)*Resumo!$C$11</f>
        <v>0</v>
      </c>
      <c r="V1822" s="39" t="n">
        <f aca="false">SUM(M1822:U1822)</f>
        <v>105.819958</v>
      </c>
      <c r="W1822" s="39" t="n">
        <f aca="false">V1822/(1-Resumo!$C$5)</f>
        <v>120.249952272727</v>
      </c>
      <c r="X1822" s="39" t="n">
        <v>114.95</v>
      </c>
      <c r="Y1822" s="39" t="n">
        <f aca="false">J1822*Resumo!$B$6</f>
        <v>0.79999</v>
      </c>
      <c r="Z1822" s="39" t="n">
        <f aca="false">J1822*Resumo!$B$7</f>
        <v>1.59998</v>
      </c>
      <c r="AA1822" s="39" t="n">
        <f aca="false">Resumo!$B$9</f>
        <v>1</v>
      </c>
      <c r="AB1822" s="39" t="n">
        <f aca="false">Resumo!$B$10*CEILING(I1822/100,1)</f>
        <v>4.5</v>
      </c>
      <c r="AC1822" s="39" t="n">
        <f aca="false">Resumo!$B$12*CEILING(I1822,1)</f>
        <v>3</v>
      </c>
      <c r="AD1822" s="39" t="n">
        <f aca="false">Resumo!$B$14*CEILING(I1822,1)</f>
        <v>22.5</v>
      </c>
      <c r="AE1822" s="39" t="n">
        <f aca="false">SUM(X1822:AD1822)</f>
        <v>148.34997</v>
      </c>
      <c r="AF1822" s="39" t="n">
        <f aca="false">AE1822/(1-Resumo!$B$5)</f>
        <v>168.579511363636</v>
      </c>
      <c r="AG1822" s="39" t="n">
        <f aca="false">AF1822-W1822</f>
        <v>48.3295590909091</v>
      </c>
      <c r="AH1822" s="40" t="n">
        <f aca="false">AF1822/W1822-1</f>
        <v>0.401909174826926</v>
      </c>
      <c r="AI1822" s="37" t="str">
        <f aca="false">IF(AF1822&lt;W1822,"SIM","NÃO")</f>
        <v>NÃO</v>
      </c>
      <c r="AJ1822" s="37" t="n">
        <v>2</v>
      </c>
      <c r="AK1822" s="37" t="n">
        <v>7</v>
      </c>
      <c r="AL1822" s="37" t="s">
        <v>343</v>
      </c>
      <c r="AM1822" s="39" t="n">
        <v>117.91</v>
      </c>
    </row>
    <row r="1823" customFormat="false" ht="15" hidden="false" customHeight="false" outlineLevel="0" collapsed="false">
      <c r="A1823" s="37" t="n">
        <v>394977667</v>
      </c>
      <c r="B1823" s="38" t="n">
        <v>46280.5351041667</v>
      </c>
      <c r="C1823" s="37" t="s">
        <v>340</v>
      </c>
      <c r="D1823" s="37" t="s">
        <v>1995</v>
      </c>
      <c r="E1823" s="37" t="n">
        <v>25922144</v>
      </c>
      <c r="F1823" s="37" t="s">
        <v>176</v>
      </c>
      <c r="G1823" s="37" t="s">
        <v>198</v>
      </c>
      <c r="H1823" s="37" t="s">
        <v>186</v>
      </c>
      <c r="I1823" s="37" t="n">
        <v>46.8</v>
      </c>
      <c r="J1823" s="39" t="n">
        <v>492.2</v>
      </c>
      <c r="K1823" s="37" t="s">
        <v>342</v>
      </c>
      <c r="L1823" s="39" t="n">
        <v>130.51</v>
      </c>
      <c r="M1823" s="39" t="n">
        <v>77.7</v>
      </c>
      <c r="N1823" s="39" t="n">
        <f aca="false">J1823*Resumo!$C$6</f>
        <v>0</v>
      </c>
      <c r="O1823" s="39" t="n">
        <f aca="false">J1823*Resumo!$C$7</f>
        <v>1.03362</v>
      </c>
      <c r="P1823" s="39" t="n">
        <f aca="false">J1823*Resumo!$C$8</f>
        <v>1.03362</v>
      </c>
      <c r="Q1823" s="39" t="n">
        <f aca="false">Resumo!$C$10*CEILING(I1823/100,1)</f>
        <v>1.05</v>
      </c>
      <c r="R1823" s="39" t="n">
        <f aca="false">Resumo!$C$9</f>
        <v>0</v>
      </c>
      <c r="S1823" s="39" t="n">
        <f aca="false">Resumo!$C$13</f>
        <v>13.55</v>
      </c>
      <c r="T1823" s="39" t="n">
        <f aca="false">Resumo!$C$14*CEILING(I1823,1)</f>
        <v>21.15</v>
      </c>
      <c r="U1823" s="39" t="n">
        <f aca="false">SUM(M1823:T1823)*Resumo!$C$11</f>
        <v>0</v>
      </c>
      <c r="V1823" s="39" t="n">
        <f aca="false">SUM(M1823:U1823)</f>
        <v>115.51724</v>
      </c>
      <c r="W1823" s="39" t="n">
        <f aca="false">V1823/(1-Resumo!$C$5)</f>
        <v>131.269590909091</v>
      </c>
      <c r="X1823" s="39" t="n">
        <v>117.23</v>
      </c>
      <c r="Y1823" s="39" t="n">
        <f aca="false">J1823*Resumo!$B$6</f>
        <v>0.4922</v>
      </c>
      <c r="Z1823" s="39" t="n">
        <f aca="false">J1823*Resumo!$B$7</f>
        <v>0.9844</v>
      </c>
      <c r="AA1823" s="39" t="n">
        <f aca="false">Resumo!$B$9</f>
        <v>1</v>
      </c>
      <c r="AB1823" s="39" t="n">
        <f aca="false">Resumo!$B$10*CEILING(I1823/100,1)</f>
        <v>4.5</v>
      </c>
      <c r="AC1823" s="39" t="n">
        <f aca="false">Resumo!$B$12*CEILING(I1823,1)</f>
        <v>2.82</v>
      </c>
      <c r="AD1823" s="39" t="n">
        <f aca="false">Resumo!$B$14*CEILING(I1823,1)</f>
        <v>21.15</v>
      </c>
      <c r="AE1823" s="39" t="n">
        <f aca="false">SUM(X1823:AD1823)</f>
        <v>148.1766</v>
      </c>
      <c r="AF1823" s="39" t="n">
        <f aca="false">AE1823/(1-Resumo!$B$5)</f>
        <v>168.3825</v>
      </c>
      <c r="AG1823" s="39" t="n">
        <f aca="false">AF1823-W1823</f>
        <v>37.1129090909091</v>
      </c>
      <c r="AH1823" s="40" t="n">
        <f aca="false">AF1823/W1823-1</f>
        <v>0.282722821286243</v>
      </c>
      <c r="AI1823" s="37" t="str">
        <f aca="false">IF(AF1823&lt;W1823,"SIM","NÃO")</f>
        <v>NÃO</v>
      </c>
      <c r="AJ1823" s="37" t="n">
        <v>13</v>
      </c>
      <c r="AK1823" s="37" t="n">
        <v>6</v>
      </c>
      <c r="AL1823" s="37" t="s">
        <v>343</v>
      </c>
      <c r="AM1823" s="39" t="n">
        <v>130.52</v>
      </c>
    </row>
    <row r="1824" customFormat="false" ht="15" hidden="false" customHeight="false" outlineLevel="0" collapsed="false">
      <c r="A1824" s="37" t="n">
        <v>395253310</v>
      </c>
      <c r="B1824" s="38" t="n">
        <v>46280.5671643519</v>
      </c>
      <c r="C1824" s="37" t="s">
        <v>340</v>
      </c>
      <c r="D1824" s="37" t="s">
        <v>1666</v>
      </c>
      <c r="E1824" s="37" t="n">
        <v>28220000</v>
      </c>
      <c r="F1824" s="37" t="s">
        <v>259</v>
      </c>
      <c r="G1824" s="37" t="s">
        <v>198</v>
      </c>
      <c r="H1824" s="37" t="s">
        <v>187</v>
      </c>
      <c r="I1824" s="37" t="n">
        <v>51.3</v>
      </c>
      <c r="J1824" s="39" t="n">
        <v>573.13</v>
      </c>
      <c r="K1824" s="37" t="s">
        <v>342</v>
      </c>
      <c r="L1824" s="39" t="n">
        <v>142.42</v>
      </c>
      <c r="M1824" s="39" t="n">
        <v>83.58</v>
      </c>
      <c r="N1824" s="39" t="n">
        <f aca="false">J1824*Resumo!$C$6</f>
        <v>0</v>
      </c>
      <c r="O1824" s="39" t="n">
        <f aca="false">J1824*Resumo!$C$7</f>
        <v>1.203573</v>
      </c>
      <c r="P1824" s="39" t="n">
        <f aca="false">J1824*Resumo!$C$8</f>
        <v>1.203573</v>
      </c>
      <c r="Q1824" s="39" t="n">
        <f aca="false">Resumo!$C$10*CEILING(I1824/100,1)</f>
        <v>1.05</v>
      </c>
      <c r="R1824" s="39" t="n">
        <f aca="false">Resumo!$C$9</f>
        <v>0</v>
      </c>
      <c r="S1824" s="39" t="n">
        <f aca="false">Resumo!$C$13</f>
        <v>13.55</v>
      </c>
      <c r="T1824" s="39" t="n">
        <f aca="false">Resumo!$C$14*CEILING(I1824,1)</f>
        <v>23.4</v>
      </c>
      <c r="U1824" s="39" t="n">
        <f aca="false">SUM(M1824:T1824)*Resumo!$C$11</f>
        <v>0</v>
      </c>
      <c r="V1824" s="39" t="n">
        <f aca="false">SUM(M1824:U1824)</f>
        <v>123.987146</v>
      </c>
      <c r="W1824" s="39" t="n">
        <f aca="false">V1824/(1-Resumo!$C$5)</f>
        <v>140.894484090909</v>
      </c>
      <c r="X1824" s="39" t="n">
        <v>162.04</v>
      </c>
      <c r="Y1824" s="39" t="n">
        <f aca="false">J1824*Resumo!$B$6</f>
        <v>0.57313</v>
      </c>
      <c r="Z1824" s="39" t="n">
        <f aca="false">J1824*Resumo!$B$7</f>
        <v>1.14626</v>
      </c>
      <c r="AA1824" s="39" t="n">
        <f aca="false">Resumo!$B$9</f>
        <v>1</v>
      </c>
      <c r="AB1824" s="39" t="n">
        <f aca="false">Resumo!$B$10*CEILING(I1824/100,1)</f>
        <v>4.5</v>
      </c>
      <c r="AC1824" s="39" t="n">
        <f aca="false">Resumo!$B$12*CEILING(I1824,1)</f>
        <v>3.12</v>
      </c>
      <c r="AD1824" s="39" t="n">
        <f aca="false">Resumo!$B$14*CEILING(I1824,1)</f>
        <v>23.4</v>
      </c>
      <c r="AE1824" s="39" t="n">
        <f aca="false">SUM(X1824:AD1824)</f>
        <v>195.77939</v>
      </c>
      <c r="AF1824" s="39" t="n">
        <f aca="false">AE1824/(1-Resumo!$B$5)</f>
        <v>222.476579545455</v>
      </c>
      <c r="AG1824" s="39" t="n">
        <f aca="false">AF1824-W1824</f>
        <v>81.5820954545455</v>
      </c>
      <c r="AH1824" s="40" t="n">
        <f aca="false">AF1824/W1824-1</f>
        <v>0.579029732646641</v>
      </c>
      <c r="AI1824" s="37" t="str">
        <f aca="false">IF(AF1824&lt;W1824,"SIM","NÃO")</f>
        <v>NÃO</v>
      </c>
      <c r="AJ1824" s="37" t="n">
        <v>13</v>
      </c>
      <c r="AK1824" s="37" t="n">
        <v>11</v>
      </c>
      <c r="AL1824" s="37" t="s">
        <v>347</v>
      </c>
      <c r="AM1824" s="39" t="n">
        <v>142.42</v>
      </c>
    </row>
    <row r="1825" customFormat="false" ht="15" hidden="false" customHeight="false" outlineLevel="0" collapsed="false">
      <c r="A1825" s="37" t="n">
        <v>395094981</v>
      </c>
      <c r="B1825" s="38" t="n">
        <v>46280.6261342593</v>
      </c>
      <c r="C1825" s="37" t="s">
        <v>361</v>
      </c>
      <c r="D1825" s="37" t="s">
        <v>1996</v>
      </c>
      <c r="E1825" s="37" t="n">
        <v>23595250</v>
      </c>
      <c r="F1825" s="37" t="s">
        <v>159</v>
      </c>
      <c r="G1825" s="37" t="s">
        <v>196</v>
      </c>
      <c r="H1825" s="37" t="s">
        <v>185</v>
      </c>
      <c r="I1825" s="37" t="n">
        <v>39</v>
      </c>
      <c r="J1825" s="39" t="n">
        <v>549.99</v>
      </c>
      <c r="K1825" s="37" t="s">
        <v>342</v>
      </c>
      <c r="L1825" s="39" t="n">
        <v>92.49</v>
      </c>
      <c r="M1825" s="39" t="n">
        <v>48.35</v>
      </c>
      <c r="N1825" s="39" t="n">
        <f aca="false">J1825*Resumo!$C$6</f>
        <v>0</v>
      </c>
      <c r="O1825" s="39" t="n">
        <f aca="false">J1825*Resumo!$C$7</f>
        <v>1.154979</v>
      </c>
      <c r="P1825" s="39" t="n">
        <f aca="false">J1825*Resumo!$C$8</f>
        <v>1.154979</v>
      </c>
      <c r="Q1825" s="39" t="n">
        <f aca="false">Resumo!$C$10*CEILING(I1825/100,1)</f>
        <v>1.05</v>
      </c>
      <c r="R1825" s="39" t="n">
        <f aca="false">Resumo!$C$9</f>
        <v>0</v>
      </c>
      <c r="S1825" s="39" t="n">
        <f aca="false">Resumo!$C$13</f>
        <v>13.55</v>
      </c>
      <c r="T1825" s="39" t="n">
        <f aca="false">Resumo!$C$14*CEILING(I1825,1)</f>
        <v>17.55</v>
      </c>
      <c r="U1825" s="39" t="n">
        <f aca="false">SUM(M1825:T1825)*Resumo!$C$11</f>
        <v>0</v>
      </c>
      <c r="V1825" s="39" t="n">
        <f aca="false">SUM(M1825:U1825)</f>
        <v>82.809958</v>
      </c>
      <c r="W1825" s="39" t="n">
        <f aca="false">V1825/(1-Resumo!$C$5)</f>
        <v>94.102225</v>
      </c>
      <c r="X1825" s="39" t="n">
        <v>93.97</v>
      </c>
      <c r="Y1825" s="39" t="n">
        <f aca="false">J1825*Resumo!$B$6</f>
        <v>0.54999</v>
      </c>
      <c r="Z1825" s="39" t="n">
        <f aca="false">J1825*Resumo!$B$7</f>
        <v>1.09998</v>
      </c>
      <c r="AA1825" s="39" t="n">
        <f aca="false">Resumo!$B$9</f>
        <v>1</v>
      </c>
      <c r="AB1825" s="39" t="n">
        <f aca="false">Resumo!$B$10*CEILING(I1825/100,1)</f>
        <v>4.5</v>
      </c>
      <c r="AC1825" s="39" t="n">
        <f aca="false">Resumo!$B$12*CEILING(I1825,1)</f>
        <v>2.34</v>
      </c>
      <c r="AD1825" s="39" t="n">
        <f aca="false">Resumo!$B$14*CEILING(I1825,1)</f>
        <v>17.55</v>
      </c>
      <c r="AE1825" s="39" t="n">
        <f aca="false">SUM(X1825:AD1825)</f>
        <v>121.00997</v>
      </c>
      <c r="AF1825" s="39" t="n">
        <f aca="false">AE1825/(1-Resumo!$B$5)</f>
        <v>137.511329545455</v>
      </c>
      <c r="AG1825" s="39" t="n">
        <f aca="false">AF1825-W1825</f>
        <v>43.4091045454546</v>
      </c>
      <c r="AH1825" s="40" t="n">
        <f aca="false">AF1825/W1825-1</f>
        <v>0.461297323686603</v>
      </c>
      <c r="AI1825" s="37" t="str">
        <f aca="false">IF(AF1825&lt;W1825,"SIM","NÃO")</f>
        <v>NÃO</v>
      </c>
      <c r="AJ1825" s="37" t="n">
        <v>2</v>
      </c>
      <c r="AK1825" s="37" t="n">
        <v>5</v>
      </c>
      <c r="AL1825" s="37" t="s">
        <v>343</v>
      </c>
      <c r="AM1825" s="39" t="n">
        <v>92.49</v>
      </c>
    </row>
    <row r="1826" customFormat="false" ht="15" hidden="false" customHeight="false" outlineLevel="0" collapsed="false">
      <c r="A1826" s="37" t="n">
        <v>395053088</v>
      </c>
      <c r="B1826" s="38" t="n">
        <v>46280.6681018519</v>
      </c>
      <c r="C1826" s="37" t="s">
        <v>340</v>
      </c>
      <c r="D1826" s="37" t="s">
        <v>1997</v>
      </c>
      <c r="E1826" s="37" t="n">
        <v>22773200</v>
      </c>
      <c r="F1826" s="37" t="s">
        <v>159</v>
      </c>
      <c r="G1826" s="37" t="s">
        <v>196</v>
      </c>
      <c r="H1826" s="37" t="s">
        <v>185</v>
      </c>
      <c r="I1826" s="37" t="n">
        <v>37.5</v>
      </c>
      <c r="J1826" s="39" t="n">
        <v>399.99</v>
      </c>
      <c r="K1826" s="37" t="s">
        <v>342</v>
      </c>
      <c r="L1826" s="39" t="n">
        <v>91.77</v>
      </c>
      <c r="M1826" s="39" t="n">
        <v>48.35</v>
      </c>
      <c r="N1826" s="39" t="n">
        <f aca="false">J1826*Resumo!$C$6</f>
        <v>0</v>
      </c>
      <c r="O1826" s="39" t="n">
        <f aca="false">J1826*Resumo!$C$7</f>
        <v>0.839979</v>
      </c>
      <c r="P1826" s="39" t="n">
        <f aca="false">J1826*Resumo!$C$8</f>
        <v>0.839979</v>
      </c>
      <c r="Q1826" s="39" t="n">
        <f aca="false">Resumo!$C$10*CEILING(I1826/100,1)</f>
        <v>1.05</v>
      </c>
      <c r="R1826" s="39" t="n">
        <f aca="false">Resumo!$C$9</f>
        <v>0</v>
      </c>
      <c r="S1826" s="39" t="n">
        <f aca="false">Resumo!$C$13</f>
        <v>13.55</v>
      </c>
      <c r="T1826" s="39" t="n">
        <f aca="false">Resumo!$C$14*CEILING(I1826,1)</f>
        <v>17.1</v>
      </c>
      <c r="U1826" s="39" t="n">
        <f aca="false">SUM(M1826:T1826)*Resumo!$C$11</f>
        <v>0</v>
      </c>
      <c r="V1826" s="39" t="n">
        <f aca="false">SUM(M1826:U1826)</f>
        <v>81.729958</v>
      </c>
      <c r="W1826" s="39" t="n">
        <f aca="false">V1826/(1-Resumo!$C$5)</f>
        <v>92.8749522727273</v>
      </c>
      <c r="X1826" s="39" t="n">
        <v>93.97</v>
      </c>
      <c r="Y1826" s="39" t="n">
        <f aca="false">J1826*Resumo!$B$6</f>
        <v>0.39999</v>
      </c>
      <c r="Z1826" s="39" t="n">
        <f aca="false">J1826*Resumo!$B$7</f>
        <v>0.79998</v>
      </c>
      <c r="AA1826" s="39" t="n">
        <f aca="false">Resumo!$B$9</f>
        <v>1</v>
      </c>
      <c r="AB1826" s="39" t="n">
        <f aca="false">Resumo!$B$10*CEILING(I1826/100,1)</f>
        <v>4.5</v>
      </c>
      <c r="AC1826" s="39" t="n">
        <f aca="false">Resumo!$B$12*CEILING(I1826,1)</f>
        <v>2.28</v>
      </c>
      <c r="AD1826" s="39" t="n">
        <f aca="false">Resumo!$B$14*CEILING(I1826,1)</f>
        <v>17.1</v>
      </c>
      <c r="AE1826" s="39" t="n">
        <f aca="false">SUM(X1826:AD1826)</f>
        <v>120.04997</v>
      </c>
      <c r="AF1826" s="39" t="n">
        <f aca="false">AE1826/(1-Resumo!$B$5)</f>
        <v>136.420420454545</v>
      </c>
      <c r="AG1826" s="39" t="n">
        <f aca="false">AF1826-W1826</f>
        <v>43.5454681818182</v>
      </c>
      <c r="AH1826" s="40" t="n">
        <f aca="false">AF1826/W1826-1</f>
        <v>0.468861271163262</v>
      </c>
      <c r="AI1826" s="37" t="str">
        <f aca="false">IF(AF1826&lt;W1826,"SIM","NÃO")</f>
        <v>NÃO</v>
      </c>
      <c r="AJ1826" s="37" t="n">
        <v>2</v>
      </c>
      <c r="AK1826" s="37" t="n">
        <v>5</v>
      </c>
      <c r="AL1826" s="37" t="s">
        <v>343</v>
      </c>
      <c r="AM1826" s="39" t="n">
        <v>91.77</v>
      </c>
    </row>
    <row r="1827" customFormat="false" ht="15" hidden="false" customHeight="false" outlineLevel="0" collapsed="false">
      <c r="A1827" s="37" t="n">
        <v>395074645</v>
      </c>
      <c r="B1827" s="38" t="n">
        <v>46280.7078009259</v>
      </c>
      <c r="C1827" s="37" t="s">
        <v>340</v>
      </c>
      <c r="D1827" s="37" t="s">
        <v>1998</v>
      </c>
      <c r="E1827" s="37" t="n">
        <v>22790701</v>
      </c>
      <c r="F1827" s="37" t="s">
        <v>159</v>
      </c>
      <c r="G1827" s="37" t="s">
        <v>196</v>
      </c>
      <c r="H1827" s="37" t="s">
        <v>183</v>
      </c>
      <c r="I1827" s="37" t="n">
        <v>15.05</v>
      </c>
      <c r="J1827" s="39" t="n">
        <v>239.99</v>
      </c>
      <c r="K1827" s="37" t="s">
        <v>342</v>
      </c>
      <c r="L1827" s="39" t="n">
        <v>64.36</v>
      </c>
      <c r="M1827" s="39" t="n">
        <v>33.42</v>
      </c>
      <c r="N1827" s="39" t="n">
        <f aca="false">J1827*Resumo!$C$6</f>
        <v>0</v>
      </c>
      <c r="O1827" s="39" t="n">
        <f aca="false">J1827*Resumo!$C$7</f>
        <v>0.503979</v>
      </c>
      <c r="P1827" s="39" t="n">
        <f aca="false">J1827*Resumo!$C$8</f>
        <v>0.503979</v>
      </c>
      <c r="Q1827" s="39" t="n">
        <f aca="false">Resumo!$C$10*CEILING(I1827/100,1)</f>
        <v>1.05</v>
      </c>
      <c r="R1827" s="39" t="n">
        <f aca="false">Resumo!$C$9</f>
        <v>0</v>
      </c>
      <c r="S1827" s="39" t="n">
        <f aca="false">Resumo!$C$13</f>
        <v>13.55</v>
      </c>
      <c r="T1827" s="39" t="n">
        <f aca="false">Resumo!$C$14*CEILING(I1827,1)</f>
        <v>7.2</v>
      </c>
      <c r="U1827" s="39" t="n">
        <f aca="false">SUM(M1827:T1827)*Resumo!$C$11</f>
        <v>0</v>
      </c>
      <c r="V1827" s="39" t="n">
        <f aca="false">SUM(M1827:U1827)</f>
        <v>56.227958</v>
      </c>
      <c r="W1827" s="39" t="n">
        <f aca="false">V1827/(1-Resumo!$C$5)</f>
        <v>63.8954068181818</v>
      </c>
      <c r="X1827" s="39" t="n">
        <v>46.98</v>
      </c>
      <c r="Y1827" s="39" t="n">
        <f aca="false">J1827*Resumo!$B$6</f>
        <v>0.23999</v>
      </c>
      <c r="Z1827" s="39" t="n">
        <f aca="false">J1827*Resumo!$B$7</f>
        <v>0.47998</v>
      </c>
      <c r="AA1827" s="39" t="n">
        <f aca="false">Resumo!$B$9</f>
        <v>1</v>
      </c>
      <c r="AB1827" s="39" t="n">
        <f aca="false">Resumo!$B$10*CEILING(I1827/100,1)</f>
        <v>4.5</v>
      </c>
      <c r="AC1827" s="39" t="n">
        <f aca="false">Resumo!$B$12*CEILING(I1827,1)</f>
        <v>0.96</v>
      </c>
      <c r="AD1827" s="39" t="n">
        <f aca="false">Resumo!$B$14*CEILING(I1827,1)</f>
        <v>7.2</v>
      </c>
      <c r="AE1827" s="39" t="n">
        <f aca="false">SUM(X1827:AD1827)</f>
        <v>61.35997</v>
      </c>
      <c r="AF1827" s="39" t="n">
        <f aca="false">AE1827/(1-Resumo!$B$5)</f>
        <v>69.7272386363636</v>
      </c>
      <c r="AG1827" s="39" t="n">
        <f aca="false">AF1827-W1827</f>
        <v>5.83183181818181</v>
      </c>
      <c r="AH1827" s="40" t="n">
        <f aca="false">AF1827/W1827-1</f>
        <v>0.0912715343495134</v>
      </c>
      <c r="AI1827" s="37" t="str">
        <f aca="false">IF(AF1827&lt;W1827,"SIM","NÃO")</f>
        <v>NÃO</v>
      </c>
      <c r="AJ1827" s="37" t="n">
        <v>2</v>
      </c>
      <c r="AK1827" s="37" t="n">
        <v>5</v>
      </c>
      <c r="AL1827" s="37" t="s">
        <v>343</v>
      </c>
      <c r="AM1827" s="39" t="n">
        <v>64.37</v>
      </c>
    </row>
    <row r="1828" customFormat="false" ht="15" hidden="false" customHeight="false" outlineLevel="0" collapsed="false">
      <c r="A1828" s="37" t="n">
        <v>395091478</v>
      </c>
      <c r="B1828" s="38" t="n">
        <v>46280.7393055556</v>
      </c>
      <c r="C1828" s="37" t="s">
        <v>340</v>
      </c>
      <c r="D1828" s="37" t="s">
        <v>726</v>
      </c>
      <c r="E1828" s="37" t="n">
        <v>22753005</v>
      </c>
      <c r="F1828" s="37" t="s">
        <v>159</v>
      </c>
      <c r="G1828" s="37" t="s">
        <v>196</v>
      </c>
      <c r="H1828" s="37" t="s">
        <v>187</v>
      </c>
      <c r="I1828" s="37" t="n">
        <v>60</v>
      </c>
      <c r="J1828" s="39" t="n">
        <v>823.09</v>
      </c>
      <c r="K1828" s="37" t="s">
        <v>342</v>
      </c>
      <c r="L1828" s="39" t="n">
        <v>115.1</v>
      </c>
      <c r="M1828" s="39" t="n">
        <v>58.6</v>
      </c>
      <c r="N1828" s="39" t="n">
        <f aca="false">J1828*Resumo!$C$6</f>
        <v>0</v>
      </c>
      <c r="O1828" s="39" t="n">
        <f aca="false">J1828*Resumo!$C$7</f>
        <v>1.728489</v>
      </c>
      <c r="P1828" s="39" t="n">
        <f aca="false">J1828*Resumo!$C$8</f>
        <v>1.728489</v>
      </c>
      <c r="Q1828" s="39" t="n">
        <f aca="false">Resumo!$C$10*CEILING(I1828/100,1)</f>
        <v>1.05</v>
      </c>
      <c r="R1828" s="39" t="n">
        <f aca="false">Resumo!$C$9</f>
        <v>0</v>
      </c>
      <c r="S1828" s="39" t="n">
        <f aca="false">Resumo!$C$13</f>
        <v>13.55</v>
      </c>
      <c r="T1828" s="39" t="n">
        <f aca="false">Resumo!$C$14*CEILING(I1828,1)</f>
        <v>27</v>
      </c>
      <c r="U1828" s="39" t="n">
        <f aca="false">SUM(M1828:T1828)*Resumo!$C$11</f>
        <v>0</v>
      </c>
      <c r="V1828" s="39" t="n">
        <f aca="false">SUM(M1828:U1828)</f>
        <v>103.656978</v>
      </c>
      <c r="W1828" s="39" t="n">
        <f aca="false">V1828/(1-Resumo!$C$5)</f>
        <v>117.792020454545</v>
      </c>
      <c r="X1828" s="39" t="n">
        <v>112.3</v>
      </c>
      <c r="Y1828" s="39" t="n">
        <f aca="false">J1828*Resumo!$B$6</f>
        <v>0.82309</v>
      </c>
      <c r="Z1828" s="39" t="n">
        <f aca="false">J1828*Resumo!$B$7</f>
        <v>1.64618</v>
      </c>
      <c r="AA1828" s="39" t="n">
        <f aca="false">Resumo!$B$9</f>
        <v>1</v>
      </c>
      <c r="AB1828" s="39" t="n">
        <f aca="false">Resumo!$B$10*CEILING(I1828/100,1)</f>
        <v>4.5</v>
      </c>
      <c r="AC1828" s="39" t="n">
        <f aca="false">Resumo!$B$12*CEILING(I1828,1)</f>
        <v>3.6</v>
      </c>
      <c r="AD1828" s="39" t="n">
        <f aca="false">Resumo!$B$14*CEILING(I1828,1)</f>
        <v>27</v>
      </c>
      <c r="AE1828" s="39" t="n">
        <f aca="false">SUM(X1828:AD1828)</f>
        <v>150.86927</v>
      </c>
      <c r="AF1828" s="39" t="n">
        <f aca="false">AE1828/(1-Resumo!$B$5)</f>
        <v>171.442352272727</v>
      </c>
      <c r="AG1828" s="39" t="n">
        <f aca="false">AF1828-W1828</f>
        <v>53.6503318181818</v>
      </c>
      <c r="AH1828" s="40" t="n">
        <f aca="false">AF1828/W1828-1</f>
        <v>0.455466606406372</v>
      </c>
      <c r="AI1828" s="37" t="str">
        <f aca="false">IF(AF1828&lt;W1828,"SIM","NÃO")</f>
        <v>NÃO</v>
      </c>
      <c r="AJ1828" s="37" t="n">
        <v>2</v>
      </c>
      <c r="AK1828" s="37" t="n">
        <v>5</v>
      </c>
      <c r="AL1828" s="37" t="s">
        <v>343</v>
      </c>
      <c r="AM1828" s="39" t="n">
        <v>115.09</v>
      </c>
    </row>
    <row r="1829" customFormat="false" ht="15" hidden="false" customHeight="false" outlineLevel="0" collapsed="false">
      <c r="A1829" s="37" t="n">
        <v>395124390</v>
      </c>
      <c r="B1829" s="38" t="n">
        <v>46280.7992592593</v>
      </c>
      <c r="C1829" s="37" t="s">
        <v>340</v>
      </c>
      <c r="D1829" s="37" t="s">
        <v>1999</v>
      </c>
      <c r="E1829" s="37" t="n">
        <v>23575000</v>
      </c>
      <c r="F1829" s="37" t="s">
        <v>159</v>
      </c>
      <c r="G1829" s="37" t="s">
        <v>196</v>
      </c>
      <c r="H1829" s="37" t="s">
        <v>183</v>
      </c>
      <c r="I1829" s="37" t="n">
        <v>19.9</v>
      </c>
      <c r="J1829" s="39" t="n">
        <v>299.99</v>
      </c>
      <c r="K1829" s="37" t="s">
        <v>385</v>
      </c>
      <c r="L1829" s="39" t="n">
        <v>69.47</v>
      </c>
      <c r="M1829" s="39" t="n">
        <v>33.42</v>
      </c>
      <c r="N1829" s="39" t="n">
        <f aca="false">J1829*Resumo!$C$6</f>
        <v>0</v>
      </c>
      <c r="O1829" s="39" t="n">
        <f aca="false">J1829*Resumo!$C$7</f>
        <v>0.629979</v>
      </c>
      <c r="P1829" s="39" t="n">
        <f aca="false">J1829*Resumo!$C$8</f>
        <v>0.629979</v>
      </c>
      <c r="Q1829" s="39" t="n">
        <f aca="false">Resumo!$C$10*CEILING(I1829/100,1)</f>
        <v>1.05</v>
      </c>
      <c r="R1829" s="39" t="n">
        <f aca="false">Resumo!$C$9</f>
        <v>0</v>
      </c>
      <c r="S1829" s="39" t="n">
        <f aca="false">Resumo!$C$13</f>
        <v>13.55</v>
      </c>
      <c r="T1829" s="39" t="n">
        <f aca="false">Resumo!$C$14*CEILING(I1829,1)</f>
        <v>9</v>
      </c>
      <c r="U1829" s="39" t="n">
        <f aca="false">SUM(M1829:T1829)*Resumo!$C$11</f>
        <v>0</v>
      </c>
      <c r="V1829" s="39" t="n">
        <f aca="false">SUM(M1829:U1829)</f>
        <v>58.279958</v>
      </c>
      <c r="W1829" s="39" t="n">
        <f aca="false">V1829/(1-Resumo!$C$5)</f>
        <v>66.227225</v>
      </c>
      <c r="X1829" s="39" t="n">
        <v>46.98</v>
      </c>
      <c r="Y1829" s="39" t="n">
        <f aca="false">J1829*Resumo!$B$6</f>
        <v>0.29999</v>
      </c>
      <c r="Z1829" s="39" t="n">
        <f aca="false">J1829*Resumo!$B$7</f>
        <v>0.59998</v>
      </c>
      <c r="AA1829" s="39" t="n">
        <f aca="false">Resumo!$B$9</f>
        <v>1</v>
      </c>
      <c r="AB1829" s="39" t="n">
        <f aca="false">Resumo!$B$10*CEILING(I1829/100,1)</f>
        <v>4.5</v>
      </c>
      <c r="AC1829" s="39" t="n">
        <f aca="false">Resumo!$B$12*CEILING(I1829,1)</f>
        <v>1.2</v>
      </c>
      <c r="AD1829" s="39" t="n">
        <f aca="false">Resumo!$B$14*CEILING(I1829,1)</f>
        <v>9</v>
      </c>
      <c r="AE1829" s="39" t="n">
        <f aca="false">SUM(X1829:AD1829)</f>
        <v>63.57997</v>
      </c>
      <c r="AF1829" s="39" t="n">
        <f aca="false">AE1829/(1-Resumo!$B$5)</f>
        <v>72.2499659090909</v>
      </c>
      <c r="AG1829" s="39" t="n">
        <f aca="false">AF1829-W1829</f>
        <v>6.0227409090909</v>
      </c>
      <c r="AH1829" s="40" t="n">
        <f aca="false">AF1829/W1829-1</f>
        <v>0.0909405597032171</v>
      </c>
      <c r="AI1829" s="37" t="str">
        <f aca="false">IF(AF1829&lt;W1829,"SIM","NÃO")</f>
        <v>NÃO</v>
      </c>
      <c r="AJ1829" s="37" t="n">
        <v>2</v>
      </c>
      <c r="AK1829" s="37" t="n">
        <v>5</v>
      </c>
      <c r="AL1829" s="37" t="s">
        <v>343</v>
      </c>
      <c r="AM1829" s="39" t="n">
        <v>64.65</v>
      </c>
    </row>
    <row r="1830" customFormat="false" ht="15" hidden="false" customHeight="false" outlineLevel="0" collapsed="false">
      <c r="A1830" s="37" t="n">
        <v>395281913</v>
      </c>
      <c r="B1830" s="38" t="n">
        <v>46280.819525463</v>
      </c>
      <c r="C1830" s="37" t="s">
        <v>345</v>
      </c>
      <c r="D1830" s="37" t="s">
        <v>2000</v>
      </c>
      <c r="E1830" s="37" t="n">
        <v>25959195</v>
      </c>
      <c r="F1830" s="37" t="s">
        <v>235</v>
      </c>
      <c r="G1830" s="37" t="s">
        <v>198</v>
      </c>
      <c r="H1830" s="37" t="s">
        <v>188</v>
      </c>
      <c r="I1830" s="37" t="n">
        <v>67.3</v>
      </c>
      <c r="J1830" s="39" t="n">
        <v>716</v>
      </c>
      <c r="K1830" s="37" t="s">
        <v>342</v>
      </c>
      <c r="L1830" s="39" t="n">
        <v>155.44</v>
      </c>
      <c r="M1830" s="39" t="n">
        <v>90.2</v>
      </c>
      <c r="N1830" s="39" t="n">
        <f aca="false">J1830*Resumo!$C$6</f>
        <v>0</v>
      </c>
      <c r="O1830" s="39" t="n">
        <f aca="false">J1830*Resumo!$C$7</f>
        <v>1.5036</v>
      </c>
      <c r="P1830" s="39" t="n">
        <f aca="false">J1830*Resumo!$C$8</f>
        <v>1.5036</v>
      </c>
      <c r="Q1830" s="39" t="n">
        <f aca="false">Resumo!$C$10*CEILING(I1830/100,1)</f>
        <v>1.05</v>
      </c>
      <c r="R1830" s="39" t="n">
        <f aca="false">Resumo!$C$9</f>
        <v>0</v>
      </c>
      <c r="S1830" s="39" t="n">
        <f aca="false">Resumo!$C$13</f>
        <v>13.55</v>
      </c>
      <c r="T1830" s="39" t="n">
        <f aca="false">Resumo!$C$14*CEILING(I1830,1)</f>
        <v>30.6</v>
      </c>
      <c r="U1830" s="39" t="n">
        <f aca="false">SUM(M1830:T1830)*Resumo!$C$11</f>
        <v>0</v>
      </c>
      <c r="V1830" s="39" t="n">
        <f aca="false">SUM(M1830:U1830)</f>
        <v>138.4072</v>
      </c>
      <c r="W1830" s="39" t="n">
        <f aca="false">V1830/(1-Resumo!$C$5)</f>
        <v>157.280909090909</v>
      </c>
      <c r="X1830" s="39" t="n">
        <v>166.05</v>
      </c>
      <c r="Y1830" s="39" t="n">
        <f aca="false">J1830*Resumo!$B$6</f>
        <v>0.716</v>
      </c>
      <c r="Z1830" s="39" t="n">
        <f aca="false">J1830*Resumo!$B$7</f>
        <v>1.432</v>
      </c>
      <c r="AA1830" s="39" t="n">
        <f aca="false">Resumo!$B$9</f>
        <v>1</v>
      </c>
      <c r="AB1830" s="39" t="n">
        <f aca="false">Resumo!$B$10*CEILING(I1830/100,1)</f>
        <v>4.5</v>
      </c>
      <c r="AC1830" s="39" t="n">
        <f aca="false">Resumo!$B$12*CEILING(I1830,1)</f>
        <v>4.08</v>
      </c>
      <c r="AD1830" s="39" t="n">
        <f aca="false">Resumo!$B$14*CEILING(I1830,1)</f>
        <v>30.6</v>
      </c>
      <c r="AE1830" s="39" t="n">
        <f aca="false">SUM(X1830:AD1830)</f>
        <v>208.378</v>
      </c>
      <c r="AF1830" s="39" t="n">
        <f aca="false">AE1830/(1-Resumo!$B$5)</f>
        <v>236.793181818182</v>
      </c>
      <c r="AG1830" s="39" t="n">
        <f aca="false">AF1830-W1830</f>
        <v>79.5122727272727</v>
      </c>
      <c r="AH1830" s="40" t="n">
        <f aca="false">AF1830/W1830-1</f>
        <v>0.505543064233653</v>
      </c>
      <c r="AI1830" s="37" t="str">
        <f aca="false">IF(AF1830&lt;W1830,"SIM","NÃO")</f>
        <v>NÃO</v>
      </c>
      <c r="AJ1830" s="37" t="n">
        <v>13</v>
      </c>
      <c r="AK1830" s="37" t="n">
        <v>10</v>
      </c>
      <c r="AL1830" s="37" t="s">
        <v>347</v>
      </c>
      <c r="AM1830" s="39" t="n">
        <v>155.45</v>
      </c>
    </row>
    <row r="1831" customFormat="false" ht="15" hidden="false" customHeight="false" outlineLevel="0" collapsed="false">
      <c r="A1831" s="37" t="n">
        <v>395136429</v>
      </c>
      <c r="B1831" s="38" t="n">
        <v>46280.820462963</v>
      </c>
      <c r="C1831" s="37" t="s">
        <v>345</v>
      </c>
      <c r="D1831" s="37" t="s">
        <v>2001</v>
      </c>
      <c r="E1831" s="37" t="n">
        <v>21351080</v>
      </c>
      <c r="F1831" s="37" t="s">
        <v>159</v>
      </c>
      <c r="G1831" s="37" t="s">
        <v>196</v>
      </c>
      <c r="H1831" s="37" t="s">
        <v>184</v>
      </c>
      <c r="I1831" s="37" t="n">
        <v>27.5</v>
      </c>
      <c r="J1831" s="39" t="n">
        <v>359.95</v>
      </c>
      <c r="K1831" s="37" t="s">
        <v>342</v>
      </c>
      <c r="L1831" s="39" t="n">
        <v>82.05</v>
      </c>
      <c r="M1831" s="39" t="n">
        <v>42.11</v>
      </c>
      <c r="N1831" s="39" t="n">
        <f aca="false">J1831*Resumo!$C$6</f>
        <v>0</v>
      </c>
      <c r="O1831" s="39" t="n">
        <f aca="false">J1831*Resumo!$C$7</f>
        <v>0.755895</v>
      </c>
      <c r="P1831" s="39" t="n">
        <f aca="false">J1831*Resumo!$C$8</f>
        <v>0.755895</v>
      </c>
      <c r="Q1831" s="39" t="n">
        <f aca="false">Resumo!$C$10*CEILING(I1831/100,1)</f>
        <v>1.05</v>
      </c>
      <c r="R1831" s="39" t="n">
        <f aca="false">Resumo!$C$9</f>
        <v>0</v>
      </c>
      <c r="S1831" s="39" t="n">
        <f aca="false">Resumo!$C$13</f>
        <v>13.55</v>
      </c>
      <c r="T1831" s="39" t="n">
        <f aca="false">Resumo!$C$14*CEILING(I1831,1)</f>
        <v>12.6</v>
      </c>
      <c r="U1831" s="39" t="n">
        <f aca="false">SUM(M1831:T1831)*Resumo!$C$11</f>
        <v>0</v>
      </c>
      <c r="V1831" s="39" t="n">
        <f aca="false">SUM(M1831:U1831)</f>
        <v>70.82179</v>
      </c>
      <c r="W1831" s="39" t="n">
        <f aca="false">V1831/(1-Resumo!$C$5)</f>
        <v>80.4793068181818</v>
      </c>
      <c r="X1831" s="39" t="n">
        <v>82.21</v>
      </c>
      <c r="Y1831" s="39" t="n">
        <f aca="false">J1831*Resumo!$B$6</f>
        <v>0.35995</v>
      </c>
      <c r="Z1831" s="39" t="n">
        <f aca="false">J1831*Resumo!$B$7</f>
        <v>0.7199</v>
      </c>
      <c r="AA1831" s="39" t="n">
        <f aca="false">Resumo!$B$9</f>
        <v>1</v>
      </c>
      <c r="AB1831" s="39" t="n">
        <f aca="false">Resumo!$B$10*CEILING(I1831/100,1)</f>
        <v>4.5</v>
      </c>
      <c r="AC1831" s="39" t="n">
        <f aca="false">Resumo!$B$12*CEILING(I1831,1)</f>
        <v>1.68</v>
      </c>
      <c r="AD1831" s="39" t="n">
        <f aca="false">Resumo!$B$14*CEILING(I1831,1)</f>
        <v>12.6</v>
      </c>
      <c r="AE1831" s="39" t="n">
        <f aca="false">SUM(X1831:AD1831)</f>
        <v>103.06985</v>
      </c>
      <c r="AF1831" s="39" t="n">
        <f aca="false">AE1831/(1-Resumo!$B$5)</f>
        <v>117.124829545455</v>
      </c>
      <c r="AG1831" s="39" t="n">
        <f aca="false">AF1831-W1831</f>
        <v>36.6455227272727</v>
      </c>
      <c r="AH1831" s="40" t="n">
        <f aca="false">AF1831/W1831-1</f>
        <v>0.455340933913136</v>
      </c>
      <c r="AI1831" s="37" t="str">
        <f aca="false">IF(AF1831&lt;W1831,"SIM","NÃO")</f>
        <v>NÃO</v>
      </c>
      <c r="AJ1831" s="37" t="n">
        <v>2</v>
      </c>
      <c r="AK1831" s="37" t="n">
        <v>5</v>
      </c>
      <c r="AL1831" s="37" t="s">
        <v>343</v>
      </c>
      <c r="AM1831" s="39" t="n">
        <v>82.05</v>
      </c>
    </row>
    <row r="1832" customFormat="false" ht="15" hidden="false" customHeight="false" outlineLevel="0" collapsed="false">
      <c r="A1832" s="37" t="n">
        <v>395138690</v>
      </c>
      <c r="B1832" s="38" t="n">
        <v>46280.8246064815</v>
      </c>
      <c r="C1832" s="37" t="s">
        <v>340</v>
      </c>
      <c r="D1832" s="37" t="s">
        <v>2002</v>
      </c>
      <c r="E1832" s="37" t="n">
        <v>21755370</v>
      </c>
      <c r="F1832" s="37" t="s">
        <v>159</v>
      </c>
      <c r="G1832" s="37" t="s">
        <v>196</v>
      </c>
      <c r="H1832" s="37" t="s">
        <v>184</v>
      </c>
      <c r="I1832" s="37" t="n">
        <v>22.57</v>
      </c>
      <c r="J1832" s="39" t="n">
        <v>299.96</v>
      </c>
      <c r="K1832" s="37" t="s">
        <v>342</v>
      </c>
      <c r="L1832" s="39" t="n">
        <v>81.76</v>
      </c>
      <c r="M1832" s="39" t="n">
        <v>42.11</v>
      </c>
      <c r="N1832" s="39" t="n">
        <f aca="false">J1832*Resumo!$C$6</f>
        <v>0</v>
      </c>
      <c r="O1832" s="39" t="n">
        <f aca="false">J1832*Resumo!$C$7</f>
        <v>0.629916</v>
      </c>
      <c r="P1832" s="39" t="n">
        <f aca="false">J1832*Resumo!$C$8</f>
        <v>0.629916</v>
      </c>
      <c r="Q1832" s="39" t="n">
        <f aca="false">Resumo!$C$10*CEILING(I1832/100,1)</f>
        <v>1.05</v>
      </c>
      <c r="R1832" s="39" t="n">
        <f aca="false">Resumo!$C$9</f>
        <v>0</v>
      </c>
      <c r="S1832" s="39" t="n">
        <f aca="false">Resumo!$C$13</f>
        <v>13.55</v>
      </c>
      <c r="T1832" s="39" t="n">
        <f aca="false">Resumo!$C$14*CEILING(I1832,1)</f>
        <v>10.35</v>
      </c>
      <c r="U1832" s="39" t="n">
        <f aca="false">SUM(M1832:T1832)*Resumo!$C$11</f>
        <v>0</v>
      </c>
      <c r="V1832" s="39" t="n">
        <f aca="false">SUM(M1832:U1832)</f>
        <v>68.319832</v>
      </c>
      <c r="W1832" s="39" t="n">
        <f aca="false">V1832/(1-Resumo!$C$5)</f>
        <v>77.6361727272727</v>
      </c>
      <c r="X1832" s="39" t="n">
        <v>82.21</v>
      </c>
      <c r="Y1832" s="39" t="n">
        <f aca="false">J1832*Resumo!$B$6</f>
        <v>0.29996</v>
      </c>
      <c r="Z1832" s="39" t="n">
        <f aca="false">J1832*Resumo!$B$7</f>
        <v>0.59992</v>
      </c>
      <c r="AA1832" s="39" t="n">
        <f aca="false">Resumo!$B$9</f>
        <v>1</v>
      </c>
      <c r="AB1832" s="39" t="n">
        <f aca="false">Resumo!$B$10*CEILING(I1832/100,1)</f>
        <v>4.5</v>
      </c>
      <c r="AC1832" s="39" t="n">
        <f aca="false">Resumo!$B$12*CEILING(I1832,1)</f>
        <v>1.38</v>
      </c>
      <c r="AD1832" s="39" t="n">
        <f aca="false">Resumo!$B$14*CEILING(I1832,1)</f>
        <v>10.35</v>
      </c>
      <c r="AE1832" s="39" t="n">
        <f aca="false">SUM(X1832:AD1832)</f>
        <v>100.33988</v>
      </c>
      <c r="AF1832" s="39" t="n">
        <f aca="false">AE1832/(1-Resumo!$B$5)</f>
        <v>114.022590909091</v>
      </c>
      <c r="AG1832" s="39" t="n">
        <f aca="false">AF1832-W1832</f>
        <v>36.3864181818182</v>
      </c>
      <c r="AH1832" s="40" t="n">
        <f aca="false">AF1832/W1832-1</f>
        <v>0.468678670052936</v>
      </c>
      <c r="AI1832" s="37" t="str">
        <f aca="false">IF(AF1832&lt;W1832,"SIM","NÃO")</f>
        <v>NÃO</v>
      </c>
      <c r="AJ1832" s="37" t="n">
        <v>2</v>
      </c>
      <c r="AK1832" s="37" t="n">
        <v>5</v>
      </c>
      <c r="AL1832" s="37" t="s">
        <v>343</v>
      </c>
      <c r="AM1832" s="39" t="n">
        <v>81.76</v>
      </c>
    </row>
    <row r="1833" customFormat="false" ht="15" hidden="false" customHeight="false" outlineLevel="0" collapsed="false">
      <c r="A1833" s="37" t="n">
        <v>395139149</v>
      </c>
      <c r="B1833" s="38" t="n">
        <v>46280.8255671296</v>
      </c>
      <c r="C1833" s="37" t="s">
        <v>340</v>
      </c>
      <c r="D1833" s="37" t="s">
        <v>2003</v>
      </c>
      <c r="E1833" s="37" t="n">
        <v>28979476</v>
      </c>
      <c r="F1833" s="37" t="s">
        <v>173</v>
      </c>
      <c r="G1833" s="37" t="s">
        <v>198</v>
      </c>
      <c r="H1833" s="37" t="s">
        <v>186</v>
      </c>
      <c r="I1833" s="37" t="n">
        <v>48.3</v>
      </c>
      <c r="J1833" s="39" t="n">
        <v>449.65</v>
      </c>
      <c r="K1833" s="37" t="s">
        <v>342</v>
      </c>
      <c r="L1833" s="39" t="n">
        <v>130.32</v>
      </c>
      <c r="M1833" s="39" t="n">
        <v>77.7</v>
      </c>
      <c r="N1833" s="39" t="n">
        <f aca="false">J1833*Resumo!$C$6</f>
        <v>0</v>
      </c>
      <c r="O1833" s="39" t="n">
        <f aca="false">J1833*Resumo!$C$7</f>
        <v>0.944265</v>
      </c>
      <c r="P1833" s="39" t="n">
        <f aca="false">J1833*Resumo!$C$8</f>
        <v>0.944265</v>
      </c>
      <c r="Q1833" s="39" t="n">
        <f aca="false">Resumo!$C$10*CEILING(I1833/100,1)</f>
        <v>1.05</v>
      </c>
      <c r="R1833" s="39" t="n">
        <f aca="false">Resumo!$C$9</f>
        <v>0</v>
      </c>
      <c r="S1833" s="39" t="n">
        <f aca="false">Resumo!$C$13</f>
        <v>13.55</v>
      </c>
      <c r="T1833" s="39" t="n">
        <f aca="false">Resumo!$C$14*CEILING(I1833,1)</f>
        <v>22.05</v>
      </c>
      <c r="U1833" s="39" t="n">
        <f aca="false">SUM(M1833:T1833)*Resumo!$C$11</f>
        <v>0</v>
      </c>
      <c r="V1833" s="39" t="n">
        <f aca="false">SUM(M1833:U1833)</f>
        <v>116.23853</v>
      </c>
      <c r="W1833" s="39" t="n">
        <f aca="false">V1833/(1-Resumo!$C$5)</f>
        <v>132.089238636364</v>
      </c>
      <c r="X1833" s="39" t="n">
        <v>129.29</v>
      </c>
      <c r="Y1833" s="39" t="n">
        <f aca="false">J1833*Resumo!$B$6</f>
        <v>0.44965</v>
      </c>
      <c r="Z1833" s="39" t="n">
        <f aca="false">J1833*Resumo!$B$7</f>
        <v>0.8993</v>
      </c>
      <c r="AA1833" s="39" t="n">
        <f aca="false">Resumo!$B$9</f>
        <v>1</v>
      </c>
      <c r="AB1833" s="39" t="n">
        <f aca="false">Resumo!$B$10*CEILING(I1833/100,1)</f>
        <v>4.5</v>
      </c>
      <c r="AC1833" s="39" t="n">
        <f aca="false">Resumo!$B$12*CEILING(I1833,1)</f>
        <v>2.94</v>
      </c>
      <c r="AD1833" s="39" t="n">
        <f aca="false">Resumo!$B$14*CEILING(I1833,1)</f>
        <v>22.05</v>
      </c>
      <c r="AE1833" s="39" t="n">
        <f aca="false">SUM(X1833:AD1833)</f>
        <v>161.12895</v>
      </c>
      <c r="AF1833" s="39" t="n">
        <f aca="false">AE1833/(1-Resumo!$B$5)</f>
        <v>183.101079545455</v>
      </c>
      <c r="AG1833" s="39" t="n">
        <f aca="false">AF1833-W1833</f>
        <v>51.0118409090909</v>
      </c>
      <c r="AH1833" s="40" t="n">
        <f aca="false">AF1833/W1833-1</f>
        <v>0.386192254840112</v>
      </c>
      <c r="AI1833" s="37" t="str">
        <f aca="false">IF(AF1833&lt;W1833,"SIM","NÃO")</f>
        <v>NÃO</v>
      </c>
      <c r="AJ1833" s="37" t="n">
        <v>13</v>
      </c>
      <c r="AK1833" s="37" t="n">
        <v>10</v>
      </c>
      <c r="AL1833" s="37" t="s">
        <v>343</v>
      </c>
      <c r="AM1833" s="39" t="n">
        <v>130.31</v>
      </c>
    </row>
    <row r="1834" customFormat="false" ht="15" hidden="false" customHeight="false" outlineLevel="0" collapsed="false">
      <c r="A1834" s="37" t="n">
        <v>395155065</v>
      </c>
      <c r="B1834" s="38" t="n">
        <v>46280.8543518519</v>
      </c>
      <c r="C1834" s="37" t="s">
        <v>340</v>
      </c>
      <c r="D1834" s="37" t="s">
        <v>2004</v>
      </c>
      <c r="E1834" s="37" t="n">
        <v>24110007</v>
      </c>
      <c r="F1834" s="37" t="s">
        <v>163</v>
      </c>
      <c r="G1834" s="37" t="s">
        <v>197</v>
      </c>
      <c r="H1834" s="37" t="s">
        <v>185</v>
      </c>
      <c r="I1834" s="37" t="n">
        <v>36.8</v>
      </c>
      <c r="J1834" s="39" t="n">
        <v>479.99</v>
      </c>
      <c r="K1834" s="37" t="s">
        <v>342</v>
      </c>
      <c r="L1834" s="39" t="n">
        <v>113.26</v>
      </c>
      <c r="M1834" s="39" t="n">
        <v>66.83</v>
      </c>
      <c r="N1834" s="39" t="n">
        <f aca="false">J1834*Resumo!$C$6</f>
        <v>0</v>
      </c>
      <c r="O1834" s="39" t="n">
        <f aca="false">J1834*Resumo!$C$7</f>
        <v>1.007979</v>
      </c>
      <c r="P1834" s="39" t="n">
        <f aca="false">J1834*Resumo!$C$8</f>
        <v>1.007979</v>
      </c>
      <c r="Q1834" s="39" t="n">
        <f aca="false">Resumo!$C$10*CEILING(I1834/100,1)</f>
        <v>1.05</v>
      </c>
      <c r="R1834" s="39" t="n">
        <f aca="false">Resumo!$C$9</f>
        <v>0</v>
      </c>
      <c r="S1834" s="39" t="n">
        <f aca="false">Resumo!$C$13</f>
        <v>13.55</v>
      </c>
      <c r="T1834" s="39" t="n">
        <f aca="false">Resumo!$C$14*CEILING(I1834,1)</f>
        <v>16.65</v>
      </c>
      <c r="U1834" s="39" t="n">
        <f aca="false">SUM(M1834:T1834)*Resumo!$C$11</f>
        <v>0</v>
      </c>
      <c r="V1834" s="39" t="n">
        <f aca="false">SUM(M1834:U1834)</f>
        <v>100.095958</v>
      </c>
      <c r="W1834" s="39" t="n">
        <f aca="false">V1834/(1-Resumo!$C$5)</f>
        <v>113.745406818182</v>
      </c>
      <c r="X1834" s="39" t="n">
        <v>114.95</v>
      </c>
      <c r="Y1834" s="39" t="n">
        <f aca="false">J1834*Resumo!$B$6</f>
        <v>0.47999</v>
      </c>
      <c r="Z1834" s="39" t="n">
        <f aca="false">J1834*Resumo!$B$7</f>
        <v>0.95998</v>
      </c>
      <c r="AA1834" s="39" t="n">
        <f aca="false">Resumo!$B$9</f>
        <v>1</v>
      </c>
      <c r="AB1834" s="39" t="n">
        <f aca="false">Resumo!$B$10*CEILING(I1834/100,1)</f>
        <v>4.5</v>
      </c>
      <c r="AC1834" s="39" t="n">
        <f aca="false">Resumo!$B$12*CEILING(I1834,1)</f>
        <v>2.22</v>
      </c>
      <c r="AD1834" s="39" t="n">
        <f aca="false">Resumo!$B$14*CEILING(I1834,1)</f>
        <v>16.65</v>
      </c>
      <c r="AE1834" s="39" t="n">
        <f aca="false">SUM(X1834:AD1834)</f>
        <v>140.75997</v>
      </c>
      <c r="AF1834" s="39" t="n">
        <f aca="false">AE1834/(1-Resumo!$B$5)</f>
        <v>159.954511363636</v>
      </c>
      <c r="AG1834" s="39" t="n">
        <f aca="false">AF1834-W1834</f>
        <v>46.2091045454546</v>
      </c>
      <c r="AH1834" s="40" t="n">
        <f aca="false">AF1834/W1834-1</f>
        <v>0.406250290346389</v>
      </c>
      <c r="AI1834" s="37" t="str">
        <f aca="false">IF(AF1834&lt;W1834,"SIM","NÃO")</f>
        <v>NÃO</v>
      </c>
      <c r="AJ1834" s="37" t="n">
        <v>2</v>
      </c>
      <c r="AK1834" s="37" t="n">
        <v>7</v>
      </c>
      <c r="AL1834" s="37" t="s">
        <v>343</v>
      </c>
      <c r="AM1834" s="39" t="n">
        <v>113.26</v>
      </c>
    </row>
    <row r="1835" customFormat="false" ht="15" hidden="false" customHeight="false" outlineLevel="0" collapsed="false">
      <c r="A1835" s="37" t="n">
        <v>395164014</v>
      </c>
      <c r="B1835" s="38" t="n">
        <v>46280.8715162037</v>
      </c>
      <c r="C1835" s="37" t="s">
        <v>372</v>
      </c>
      <c r="D1835" s="37" t="s">
        <v>2005</v>
      </c>
      <c r="E1835" s="37" t="n">
        <v>26022136</v>
      </c>
      <c r="F1835" s="37" t="s">
        <v>162</v>
      </c>
      <c r="G1835" s="37" t="s">
        <v>197</v>
      </c>
      <c r="H1835" s="37" t="s">
        <v>188</v>
      </c>
      <c r="I1835" s="37" t="n">
        <v>67.3</v>
      </c>
      <c r="J1835" s="39" t="n">
        <v>819.99</v>
      </c>
      <c r="K1835" s="37" t="s">
        <v>342</v>
      </c>
      <c r="L1835" s="39" t="n">
        <v>140.36</v>
      </c>
      <c r="M1835" s="39" t="n">
        <v>76.55</v>
      </c>
      <c r="N1835" s="39" t="n">
        <f aca="false">J1835*Resumo!$C$6</f>
        <v>0</v>
      </c>
      <c r="O1835" s="39" t="n">
        <f aca="false">J1835*Resumo!$C$7</f>
        <v>1.721979</v>
      </c>
      <c r="P1835" s="39" t="n">
        <f aca="false">J1835*Resumo!$C$8</f>
        <v>1.721979</v>
      </c>
      <c r="Q1835" s="39" t="n">
        <f aca="false">Resumo!$C$10*CEILING(I1835/100,1)</f>
        <v>1.05</v>
      </c>
      <c r="R1835" s="39" t="n">
        <f aca="false">Resumo!$C$9</f>
        <v>0</v>
      </c>
      <c r="S1835" s="39" t="n">
        <f aca="false">Resumo!$C$13</f>
        <v>13.55</v>
      </c>
      <c r="T1835" s="39" t="n">
        <f aca="false">Resumo!$C$14*CEILING(I1835,1)</f>
        <v>30.6</v>
      </c>
      <c r="U1835" s="39" t="n">
        <f aca="false">SUM(M1835:T1835)*Resumo!$C$11</f>
        <v>0</v>
      </c>
      <c r="V1835" s="39" t="n">
        <f aca="false">SUM(M1835:U1835)</f>
        <v>125.193958</v>
      </c>
      <c r="W1835" s="39" t="n">
        <f aca="false">V1835/(1-Resumo!$C$5)</f>
        <v>142.265861363636</v>
      </c>
      <c r="X1835" s="39" t="n">
        <v>131.02</v>
      </c>
      <c r="Y1835" s="39" t="n">
        <f aca="false">J1835*Resumo!$B$6</f>
        <v>0.81999</v>
      </c>
      <c r="Z1835" s="39" t="n">
        <f aca="false">J1835*Resumo!$B$7</f>
        <v>1.63998</v>
      </c>
      <c r="AA1835" s="39" t="n">
        <f aca="false">Resumo!$B$9</f>
        <v>1</v>
      </c>
      <c r="AB1835" s="39" t="n">
        <f aca="false">Resumo!$B$10*CEILING(I1835/100,1)</f>
        <v>4.5</v>
      </c>
      <c r="AC1835" s="39" t="n">
        <f aca="false">Resumo!$B$12*CEILING(I1835,1)</f>
        <v>4.08</v>
      </c>
      <c r="AD1835" s="39" t="n">
        <f aca="false">Resumo!$B$14*CEILING(I1835,1)</f>
        <v>30.6</v>
      </c>
      <c r="AE1835" s="39" t="n">
        <f aca="false">SUM(X1835:AD1835)</f>
        <v>173.65997</v>
      </c>
      <c r="AF1835" s="39" t="n">
        <f aca="false">AE1835/(1-Resumo!$B$5)</f>
        <v>197.340875</v>
      </c>
      <c r="AG1835" s="39" t="n">
        <f aca="false">AF1835-W1835</f>
        <v>55.0750136363637</v>
      </c>
      <c r="AH1835" s="40" t="n">
        <f aca="false">AF1835/W1835-1</f>
        <v>0.387127404343267</v>
      </c>
      <c r="AI1835" s="37" t="str">
        <f aca="false">IF(AF1835&lt;W1835,"SIM","NÃO")</f>
        <v>NÃO</v>
      </c>
      <c r="AJ1835" s="37" t="n">
        <v>2</v>
      </c>
      <c r="AK1835" s="37" t="n">
        <v>5</v>
      </c>
      <c r="AL1835" s="37" t="s">
        <v>343</v>
      </c>
      <c r="AM1835" s="39" t="n">
        <v>140.36</v>
      </c>
    </row>
    <row r="1836" customFormat="false" ht="15" hidden="false" customHeight="false" outlineLevel="0" collapsed="false">
      <c r="A1836" s="37" t="n">
        <v>395167733</v>
      </c>
      <c r="B1836" s="38" t="n">
        <v>46280.8757523148</v>
      </c>
      <c r="C1836" s="37" t="s">
        <v>340</v>
      </c>
      <c r="D1836" s="37" t="s">
        <v>2006</v>
      </c>
      <c r="E1836" s="37" t="n">
        <v>27525662</v>
      </c>
      <c r="F1836" s="37" t="s">
        <v>250</v>
      </c>
      <c r="G1836" s="37" t="s">
        <v>198</v>
      </c>
      <c r="H1836" s="37" t="s">
        <v>185</v>
      </c>
      <c r="I1836" s="37" t="n">
        <v>39</v>
      </c>
      <c r="J1836" s="39" t="n">
        <v>539.99</v>
      </c>
      <c r="K1836" s="37" t="s">
        <v>342</v>
      </c>
      <c r="L1836" s="39" t="n">
        <v>122.84</v>
      </c>
      <c r="M1836" s="39" t="n">
        <v>74.97</v>
      </c>
      <c r="N1836" s="39" t="n">
        <f aca="false">J1836*Resumo!$C$6</f>
        <v>0</v>
      </c>
      <c r="O1836" s="39" t="n">
        <f aca="false">J1836*Resumo!$C$7</f>
        <v>1.133979</v>
      </c>
      <c r="P1836" s="39" t="n">
        <f aca="false">J1836*Resumo!$C$8</f>
        <v>1.133979</v>
      </c>
      <c r="Q1836" s="39" t="n">
        <f aca="false">Resumo!$C$10*CEILING(I1836/100,1)</f>
        <v>1.05</v>
      </c>
      <c r="R1836" s="39" t="n">
        <f aca="false">Resumo!$C$9</f>
        <v>0</v>
      </c>
      <c r="S1836" s="39" t="n">
        <f aca="false">Resumo!$C$13</f>
        <v>13.55</v>
      </c>
      <c r="T1836" s="39" t="n">
        <f aca="false">Resumo!$C$14*CEILING(I1836,1)</f>
        <v>17.55</v>
      </c>
      <c r="U1836" s="39" t="n">
        <f aca="false">SUM(M1836:T1836)*Resumo!$C$11</f>
        <v>0</v>
      </c>
      <c r="V1836" s="39" t="n">
        <f aca="false">SUM(M1836:U1836)</f>
        <v>109.387958</v>
      </c>
      <c r="W1836" s="39" t="n">
        <f aca="false">V1836/(1-Resumo!$C$5)</f>
        <v>124.304497727273</v>
      </c>
      <c r="X1836" s="39" t="n">
        <v>124.38</v>
      </c>
      <c r="Y1836" s="39" t="n">
        <f aca="false">J1836*Resumo!$B$6</f>
        <v>0.53999</v>
      </c>
      <c r="Z1836" s="39" t="n">
        <f aca="false">J1836*Resumo!$B$7</f>
        <v>1.07998</v>
      </c>
      <c r="AA1836" s="39" t="n">
        <f aca="false">Resumo!$B$9</f>
        <v>1</v>
      </c>
      <c r="AB1836" s="39" t="n">
        <f aca="false">Resumo!$B$10*CEILING(I1836/100,1)</f>
        <v>4.5</v>
      </c>
      <c r="AC1836" s="39" t="n">
        <f aca="false">Resumo!$B$12*CEILING(I1836,1)</f>
        <v>2.34</v>
      </c>
      <c r="AD1836" s="39" t="n">
        <f aca="false">Resumo!$B$14*CEILING(I1836,1)</f>
        <v>17.55</v>
      </c>
      <c r="AE1836" s="39" t="n">
        <f aca="false">SUM(X1836:AD1836)</f>
        <v>151.38997</v>
      </c>
      <c r="AF1836" s="39" t="n">
        <f aca="false">AE1836/(1-Resumo!$B$5)</f>
        <v>172.034056818182</v>
      </c>
      <c r="AG1836" s="39" t="n">
        <f aca="false">AF1836-W1836</f>
        <v>47.7295590909091</v>
      </c>
      <c r="AH1836" s="40" t="n">
        <f aca="false">AF1836/W1836-1</f>
        <v>0.38397290495175</v>
      </c>
      <c r="AI1836" s="37" t="str">
        <f aca="false">IF(AF1836&lt;W1836,"SIM","NÃO")</f>
        <v>NÃO</v>
      </c>
      <c r="AJ1836" s="37" t="n">
        <v>13</v>
      </c>
      <c r="AK1836" s="37" t="n">
        <v>10</v>
      </c>
      <c r="AL1836" s="37" t="s">
        <v>347</v>
      </c>
      <c r="AM1836" s="39" t="n">
        <v>122.84</v>
      </c>
    </row>
    <row r="1837" customFormat="false" ht="15" hidden="false" customHeight="false" outlineLevel="0" collapsed="false">
      <c r="A1837" s="37" t="n">
        <v>395171437</v>
      </c>
      <c r="B1837" s="38" t="n">
        <v>46280.881724537</v>
      </c>
      <c r="C1837" s="37" t="s">
        <v>340</v>
      </c>
      <c r="D1837" s="37" t="s">
        <v>2007</v>
      </c>
      <c r="E1837" s="37" t="n">
        <v>28860000</v>
      </c>
      <c r="F1837" s="37" t="s">
        <v>290</v>
      </c>
      <c r="G1837" s="37" t="s">
        <v>198</v>
      </c>
      <c r="H1837" s="37" t="s">
        <v>187</v>
      </c>
      <c r="I1837" s="37" t="n">
        <v>52.3</v>
      </c>
      <c r="J1837" s="39" t="n">
        <v>614.63</v>
      </c>
      <c r="K1837" s="37" t="s">
        <v>342</v>
      </c>
      <c r="L1837" s="39" t="n">
        <v>142.61</v>
      </c>
      <c r="M1837" s="39" t="n">
        <v>83.58</v>
      </c>
      <c r="N1837" s="39" t="n">
        <f aca="false">J1837*Resumo!$C$6</f>
        <v>0</v>
      </c>
      <c r="O1837" s="39" t="n">
        <f aca="false">J1837*Resumo!$C$7</f>
        <v>1.290723</v>
      </c>
      <c r="P1837" s="39" t="n">
        <f aca="false">J1837*Resumo!$C$8</f>
        <v>1.290723</v>
      </c>
      <c r="Q1837" s="39" t="n">
        <f aca="false">Resumo!$C$10*CEILING(I1837/100,1)</f>
        <v>1.05</v>
      </c>
      <c r="R1837" s="39" t="n">
        <f aca="false">Resumo!$C$9</f>
        <v>0</v>
      </c>
      <c r="S1837" s="39" t="n">
        <f aca="false">Resumo!$C$13</f>
        <v>13.55</v>
      </c>
      <c r="T1837" s="39" t="n">
        <f aca="false">Resumo!$C$14*CEILING(I1837,1)</f>
        <v>23.85</v>
      </c>
      <c r="U1837" s="39" t="n">
        <f aca="false">SUM(M1837:T1837)*Resumo!$C$11</f>
        <v>0</v>
      </c>
      <c r="V1837" s="39" t="n">
        <f aca="false">SUM(M1837:U1837)</f>
        <v>124.611446</v>
      </c>
      <c r="W1837" s="39" t="n">
        <f aca="false">V1837/(1-Resumo!$C$5)</f>
        <v>141.603915909091</v>
      </c>
      <c r="X1837" s="39" t="n">
        <v>142.32</v>
      </c>
      <c r="Y1837" s="39" t="n">
        <f aca="false">J1837*Resumo!$B$6</f>
        <v>0.61463</v>
      </c>
      <c r="Z1837" s="39" t="n">
        <f aca="false">J1837*Resumo!$B$7</f>
        <v>1.22926</v>
      </c>
      <c r="AA1837" s="39" t="n">
        <f aca="false">Resumo!$B$9</f>
        <v>1</v>
      </c>
      <c r="AB1837" s="39" t="n">
        <f aca="false">Resumo!$B$10*CEILING(I1837/100,1)</f>
        <v>4.5</v>
      </c>
      <c r="AC1837" s="39" t="n">
        <f aca="false">Resumo!$B$12*CEILING(I1837,1)</f>
        <v>3.18</v>
      </c>
      <c r="AD1837" s="39" t="n">
        <f aca="false">Resumo!$B$14*CEILING(I1837,1)</f>
        <v>23.85</v>
      </c>
      <c r="AE1837" s="39" t="n">
        <f aca="false">SUM(X1837:AD1837)</f>
        <v>176.69389</v>
      </c>
      <c r="AF1837" s="39" t="n">
        <f aca="false">AE1837/(1-Resumo!$B$5)</f>
        <v>200.788511363636</v>
      </c>
      <c r="AG1837" s="39" t="n">
        <f aca="false">AF1837-W1837</f>
        <v>59.1845954545454</v>
      </c>
      <c r="AH1837" s="40" t="n">
        <f aca="false">AF1837/W1837-1</f>
        <v>0.417958748348045</v>
      </c>
      <c r="AI1837" s="37" t="str">
        <f aca="false">IF(AF1837&lt;W1837,"SIM","NÃO")</f>
        <v>NÃO</v>
      </c>
      <c r="AJ1837" s="37" t="n">
        <v>13</v>
      </c>
      <c r="AK1837" s="37" t="n">
        <v>10</v>
      </c>
      <c r="AL1837" s="37" t="s">
        <v>347</v>
      </c>
      <c r="AM1837" s="39" t="n">
        <v>142.62</v>
      </c>
    </row>
    <row r="1838" customFormat="false" ht="15" hidden="false" customHeight="false" outlineLevel="0" collapsed="false">
      <c r="A1838" s="37" t="n">
        <v>395195446</v>
      </c>
      <c r="B1838" s="38" t="n">
        <v>46280.9246875</v>
      </c>
      <c r="C1838" s="37" t="s">
        <v>340</v>
      </c>
      <c r="D1838" s="37" t="s">
        <v>2008</v>
      </c>
      <c r="E1838" s="37" t="n">
        <v>21311050</v>
      </c>
      <c r="F1838" s="37" t="s">
        <v>159</v>
      </c>
      <c r="G1838" s="37" t="s">
        <v>196</v>
      </c>
      <c r="H1838" s="37" t="s">
        <v>184</v>
      </c>
      <c r="I1838" s="37" t="n">
        <v>33</v>
      </c>
      <c r="J1838" s="39" t="n">
        <v>344.13</v>
      </c>
      <c r="K1838" s="37" t="s">
        <v>342</v>
      </c>
      <c r="L1838" s="39" t="n">
        <v>81.98</v>
      </c>
      <c r="M1838" s="39" t="n">
        <v>42.11</v>
      </c>
      <c r="N1838" s="39" t="n">
        <f aca="false">J1838*Resumo!$C$6</f>
        <v>0</v>
      </c>
      <c r="O1838" s="39" t="n">
        <f aca="false">J1838*Resumo!$C$7</f>
        <v>0.722673</v>
      </c>
      <c r="P1838" s="39" t="n">
        <f aca="false">J1838*Resumo!$C$8</f>
        <v>0.722673</v>
      </c>
      <c r="Q1838" s="39" t="n">
        <f aca="false">Resumo!$C$10*CEILING(I1838/100,1)</f>
        <v>1.05</v>
      </c>
      <c r="R1838" s="39" t="n">
        <f aca="false">Resumo!$C$9</f>
        <v>0</v>
      </c>
      <c r="S1838" s="39" t="n">
        <f aca="false">Resumo!$C$13</f>
        <v>13.55</v>
      </c>
      <c r="T1838" s="39" t="n">
        <f aca="false">Resumo!$C$14*CEILING(I1838,1)</f>
        <v>14.85</v>
      </c>
      <c r="U1838" s="39" t="n">
        <f aca="false">SUM(M1838:T1838)*Resumo!$C$11</f>
        <v>0</v>
      </c>
      <c r="V1838" s="39" t="n">
        <f aca="false">SUM(M1838:U1838)</f>
        <v>73.005346</v>
      </c>
      <c r="W1838" s="39" t="n">
        <f aca="false">V1838/(1-Resumo!$C$5)</f>
        <v>82.9606204545455</v>
      </c>
      <c r="X1838" s="39" t="n">
        <v>82.21</v>
      </c>
      <c r="Y1838" s="39" t="n">
        <f aca="false">J1838*Resumo!$B$6</f>
        <v>0.34413</v>
      </c>
      <c r="Z1838" s="39" t="n">
        <f aca="false">J1838*Resumo!$B$7</f>
        <v>0.68826</v>
      </c>
      <c r="AA1838" s="39" t="n">
        <f aca="false">Resumo!$B$9</f>
        <v>1</v>
      </c>
      <c r="AB1838" s="39" t="n">
        <f aca="false">Resumo!$B$10*CEILING(I1838/100,1)</f>
        <v>4.5</v>
      </c>
      <c r="AC1838" s="39" t="n">
        <f aca="false">Resumo!$B$12*CEILING(I1838,1)</f>
        <v>1.98</v>
      </c>
      <c r="AD1838" s="39" t="n">
        <f aca="false">Resumo!$B$14*CEILING(I1838,1)</f>
        <v>14.85</v>
      </c>
      <c r="AE1838" s="39" t="n">
        <f aca="false">SUM(X1838:AD1838)</f>
        <v>105.57239</v>
      </c>
      <c r="AF1838" s="39" t="n">
        <f aca="false">AE1838/(1-Resumo!$B$5)</f>
        <v>119.968625</v>
      </c>
      <c r="AG1838" s="39" t="n">
        <f aca="false">AF1838-W1838</f>
        <v>37.0080045454545</v>
      </c>
      <c r="AH1838" s="40" t="n">
        <f aca="false">AF1838/W1838-1</f>
        <v>0.446091221867505</v>
      </c>
      <c r="AI1838" s="37" t="str">
        <f aca="false">IF(AF1838&lt;W1838,"SIM","NÃO")</f>
        <v>NÃO</v>
      </c>
      <c r="AJ1838" s="37" t="n">
        <v>2</v>
      </c>
      <c r="AK1838" s="37" t="n">
        <v>5</v>
      </c>
      <c r="AL1838" s="37" t="s">
        <v>343</v>
      </c>
      <c r="AM1838" s="39" t="n">
        <v>81.97</v>
      </c>
    </row>
    <row r="1839" customFormat="false" ht="15" hidden="false" customHeight="false" outlineLevel="0" collapsed="false">
      <c r="A1839" s="37" t="n">
        <v>395194834</v>
      </c>
      <c r="B1839" s="38" t="n">
        <v>46280.9266782407</v>
      </c>
      <c r="C1839" s="37" t="s">
        <v>372</v>
      </c>
      <c r="D1839" s="37" t="s">
        <v>2009</v>
      </c>
      <c r="E1839" s="37" t="n">
        <v>27115270</v>
      </c>
      <c r="F1839" s="37" t="s">
        <v>244</v>
      </c>
      <c r="G1839" s="37" t="s">
        <v>198</v>
      </c>
      <c r="H1839" s="37" t="s">
        <v>188</v>
      </c>
      <c r="I1839" s="37" t="n">
        <v>68.1</v>
      </c>
      <c r="J1839" s="39" t="n">
        <v>746.99</v>
      </c>
      <c r="K1839" s="37" t="s">
        <v>342</v>
      </c>
      <c r="L1839" s="39" t="n">
        <v>155.59</v>
      </c>
      <c r="M1839" s="39" t="n">
        <v>90.2</v>
      </c>
      <c r="N1839" s="39" t="n">
        <f aca="false">J1839*Resumo!$C$6</f>
        <v>0</v>
      </c>
      <c r="O1839" s="39" t="n">
        <f aca="false">J1839*Resumo!$C$7</f>
        <v>1.568679</v>
      </c>
      <c r="P1839" s="39" t="n">
        <f aca="false">J1839*Resumo!$C$8</f>
        <v>1.568679</v>
      </c>
      <c r="Q1839" s="39" t="n">
        <f aca="false">Resumo!$C$10*CEILING(I1839/100,1)</f>
        <v>1.05</v>
      </c>
      <c r="R1839" s="39" t="n">
        <f aca="false">Resumo!$C$9</f>
        <v>0</v>
      </c>
      <c r="S1839" s="39" t="n">
        <f aca="false">Resumo!$C$13</f>
        <v>13.55</v>
      </c>
      <c r="T1839" s="39" t="n">
        <f aca="false">Resumo!$C$14*CEILING(I1839,1)</f>
        <v>31.05</v>
      </c>
      <c r="U1839" s="39" t="n">
        <f aca="false">SUM(M1839:T1839)*Resumo!$C$11</f>
        <v>0</v>
      </c>
      <c r="V1839" s="39" t="n">
        <f aca="false">SUM(M1839:U1839)</f>
        <v>138.987358</v>
      </c>
      <c r="W1839" s="39" t="n">
        <f aca="false">V1839/(1-Resumo!$C$5)</f>
        <v>157.940179545455</v>
      </c>
      <c r="X1839" s="39" t="n">
        <v>166.05</v>
      </c>
      <c r="Y1839" s="39" t="n">
        <f aca="false">J1839*Resumo!$B$6</f>
        <v>0.74699</v>
      </c>
      <c r="Z1839" s="39" t="n">
        <f aca="false">J1839*Resumo!$B$7</f>
        <v>1.49398</v>
      </c>
      <c r="AA1839" s="39" t="n">
        <f aca="false">Resumo!$B$9</f>
        <v>1</v>
      </c>
      <c r="AB1839" s="39" t="n">
        <f aca="false">Resumo!$B$10*CEILING(I1839/100,1)</f>
        <v>4.5</v>
      </c>
      <c r="AC1839" s="39" t="n">
        <f aca="false">Resumo!$B$12*CEILING(I1839,1)</f>
        <v>4.14</v>
      </c>
      <c r="AD1839" s="39" t="n">
        <f aca="false">Resumo!$B$14*CEILING(I1839,1)</f>
        <v>31.05</v>
      </c>
      <c r="AE1839" s="39" t="n">
        <f aca="false">SUM(X1839:AD1839)</f>
        <v>208.98097</v>
      </c>
      <c r="AF1839" s="39" t="n">
        <f aca="false">AE1839/(1-Resumo!$B$5)</f>
        <v>237.478375</v>
      </c>
      <c r="AG1839" s="39" t="n">
        <f aca="false">AF1839-W1839</f>
        <v>79.5381954545455</v>
      </c>
      <c r="AH1839" s="40" t="n">
        <f aca="false">AF1839/W1839-1</f>
        <v>0.503596967430664</v>
      </c>
      <c r="AI1839" s="37" t="str">
        <f aca="false">IF(AF1839&lt;W1839,"SIM","NÃO")</f>
        <v>NÃO</v>
      </c>
      <c r="AJ1839" s="37" t="n">
        <v>13</v>
      </c>
      <c r="AK1839" s="37" t="n">
        <v>10</v>
      </c>
      <c r="AL1839" s="37" t="s">
        <v>347</v>
      </c>
      <c r="AM1839" s="39" t="n">
        <v>155.6</v>
      </c>
    </row>
    <row r="1840" customFormat="false" ht="15" hidden="false" customHeight="false" outlineLevel="0" collapsed="false">
      <c r="A1840" s="37" t="n">
        <v>395197756</v>
      </c>
      <c r="B1840" s="38" t="n">
        <v>46280.9293055556</v>
      </c>
      <c r="C1840" s="37" t="s">
        <v>340</v>
      </c>
      <c r="D1840" s="37" t="s">
        <v>2010</v>
      </c>
      <c r="E1840" s="37" t="n">
        <v>24726123</v>
      </c>
      <c r="F1840" s="37" t="s">
        <v>160</v>
      </c>
      <c r="G1840" s="37" t="s">
        <v>197</v>
      </c>
      <c r="H1840" s="37" t="s">
        <v>189</v>
      </c>
      <c r="I1840" s="37" t="n">
        <v>73</v>
      </c>
      <c r="J1840" s="39" t="n">
        <v>782.92</v>
      </c>
      <c r="K1840" s="37" t="s">
        <v>342</v>
      </c>
      <c r="L1840" s="39" t="n">
        <v>151.76</v>
      </c>
      <c r="M1840" s="39" t="n">
        <v>82.48</v>
      </c>
      <c r="N1840" s="39" t="n">
        <f aca="false">J1840*Resumo!$C$6</f>
        <v>0</v>
      </c>
      <c r="O1840" s="39" t="n">
        <f aca="false">J1840*Resumo!$C$7</f>
        <v>1.644132</v>
      </c>
      <c r="P1840" s="39" t="n">
        <f aca="false">J1840*Resumo!$C$8</f>
        <v>1.644132</v>
      </c>
      <c r="Q1840" s="39" t="n">
        <f aca="false">Resumo!$C$10*CEILING(I1840/100,1)</f>
        <v>1.05</v>
      </c>
      <c r="R1840" s="39" t="n">
        <f aca="false">Resumo!$C$9</f>
        <v>0</v>
      </c>
      <c r="S1840" s="39" t="n">
        <f aca="false">Resumo!$C$13</f>
        <v>13.55</v>
      </c>
      <c r="T1840" s="39" t="n">
        <f aca="false">Resumo!$C$14*CEILING(I1840,1)</f>
        <v>32.85</v>
      </c>
      <c r="U1840" s="39" t="n">
        <f aca="false">SUM(M1840:T1840)*Resumo!$C$11</f>
        <v>0</v>
      </c>
      <c r="V1840" s="39" t="n">
        <f aca="false">SUM(M1840:U1840)</f>
        <v>133.218264</v>
      </c>
      <c r="W1840" s="39" t="n">
        <f aca="false">V1840/(1-Resumo!$C$5)</f>
        <v>151.384390909091</v>
      </c>
      <c r="X1840" s="39" t="n">
        <v>142.74</v>
      </c>
      <c r="Y1840" s="39" t="n">
        <f aca="false">J1840*Resumo!$B$6</f>
        <v>0.78292</v>
      </c>
      <c r="Z1840" s="39" t="n">
        <f aca="false">J1840*Resumo!$B$7</f>
        <v>1.56584</v>
      </c>
      <c r="AA1840" s="39" t="n">
        <f aca="false">Resumo!$B$9</f>
        <v>1</v>
      </c>
      <c r="AB1840" s="39" t="n">
        <f aca="false">Resumo!$B$10*CEILING(I1840/100,1)</f>
        <v>4.5</v>
      </c>
      <c r="AC1840" s="39" t="n">
        <f aca="false">Resumo!$B$12*CEILING(I1840,1)</f>
        <v>4.38</v>
      </c>
      <c r="AD1840" s="39" t="n">
        <f aca="false">Resumo!$B$14*CEILING(I1840,1)</f>
        <v>32.85</v>
      </c>
      <c r="AE1840" s="39" t="n">
        <f aca="false">SUM(X1840:AD1840)</f>
        <v>187.81876</v>
      </c>
      <c r="AF1840" s="39" t="n">
        <f aca="false">AE1840/(1-Resumo!$B$5)</f>
        <v>213.430409090909</v>
      </c>
      <c r="AG1840" s="39" t="n">
        <f aca="false">AF1840-W1840</f>
        <v>62.0460181818182</v>
      </c>
      <c r="AH1840" s="40" t="n">
        <f aca="false">AF1840/W1840-1</f>
        <v>0.409857435163695</v>
      </c>
      <c r="AI1840" s="37" t="str">
        <f aca="false">IF(AF1840&lt;W1840,"SIM","NÃO")</f>
        <v>NÃO</v>
      </c>
      <c r="AJ1840" s="37" t="n">
        <v>2</v>
      </c>
      <c r="AK1840" s="37" t="n">
        <v>7</v>
      </c>
      <c r="AL1840" s="37" t="s">
        <v>343</v>
      </c>
      <c r="AM1840" s="39" t="n">
        <v>151.75</v>
      </c>
    </row>
    <row r="1841" customFormat="false" ht="15" hidden="false" customHeight="false" outlineLevel="0" collapsed="false">
      <c r="A1841" s="37" t="n">
        <v>395333144</v>
      </c>
      <c r="B1841" s="38" t="n">
        <v>46281.3265856481</v>
      </c>
      <c r="C1841" s="37" t="s">
        <v>340</v>
      </c>
      <c r="D1841" s="37" t="s">
        <v>2011</v>
      </c>
      <c r="E1841" s="37" t="n">
        <v>27343430</v>
      </c>
      <c r="F1841" s="37" t="s">
        <v>247</v>
      </c>
      <c r="G1841" s="37" t="s">
        <v>198</v>
      </c>
      <c r="H1841" s="37" t="s">
        <v>191</v>
      </c>
      <c r="I1841" s="37" t="n">
        <v>106.5</v>
      </c>
      <c r="J1841" s="39" t="n">
        <v>1229.99</v>
      </c>
      <c r="K1841" s="37" t="s">
        <v>342</v>
      </c>
      <c r="L1841" s="39" t="n">
        <v>216.55</v>
      </c>
      <c r="M1841" s="39" t="n">
        <v>119.5</v>
      </c>
      <c r="N1841" s="39" t="n">
        <f aca="false">J1841*Resumo!$C$6</f>
        <v>0</v>
      </c>
      <c r="O1841" s="39" t="n">
        <f aca="false">J1841*Resumo!$C$7</f>
        <v>2.582979</v>
      </c>
      <c r="P1841" s="39" t="n">
        <f aca="false">J1841*Resumo!$C$8</f>
        <v>2.582979</v>
      </c>
      <c r="Q1841" s="39" t="n">
        <f aca="false">Resumo!$C$10*CEILING(I1841/100,1)</f>
        <v>2.1</v>
      </c>
      <c r="R1841" s="39" t="n">
        <f aca="false">Resumo!$C$9</f>
        <v>0</v>
      </c>
      <c r="S1841" s="39" t="n">
        <f aca="false">Resumo!$C$13</f>
        <v>13.55</v>
      </c>
      <c r="T1841" s="39" t="n">
        <f aca="false">Resumo!$C$14*CEILING(I1841,1)</f>
        <v>48.15</v>
      </c>
      <c r="U1841" s="39" t="n">
        <f aca="false">SUM(M1841:T1841)*Resumo!$C$11</f>
        <v>0</v>
      </c>
      <c r="V1841" s="39" t="n">
        <f aca="false">SUM(M1841:U1841)</f>
        <v>188.465958</v>
      </c>
      <c r="W1841" s="39" t="n">
        <f aca="false">V1841/(1-Resumo!$C$5)</f>
        <v>214.165861363636</v>
      </c>
      <c r="X1841" s="39" t="n">
        <v>236.82</v>
      </c>
      <c r="Y1841" s="39" t="n">
        <f aca="false">J1841*Resumo!$B$6</f>
        <v>1.22999</v>
      </c>
      <c r="Z1841" s="39" t="n">
        <f aca="false">J1841*Resumo!$B$7</f>
        <v>2.45998</v>
      </c>
      <c r="AA1841" s="39" t="n">
        <f aca="false">Resumo!$B$9</f>
        <v>1</v>
      </c>
      <c r="AB1841" s="39" t="n">
        <f aca="false">Resumo!$B$10*CEILING(I1841/100,1)</f>
        <v>9</v>
      </c>
      <c r="AC1841" s="39" t="n">
        <f aca="false">Resumo!$B$12*CEILING(I1841,1)</f>
        <v>6.42</v>
      </c>
      <c r="AD1841" s="39" t="n">
        <f aca="false">Resumo!$B$14*CEILING(I1841,1)</f>
        <v>48.15</v>
      </c>
      <c r="AE1841" s="39" t="n">
        <f aca="false">SUM(X1841:AD1841)</f>
        <v>305.07997</v>
      </c>
      <c r="AF1841" s="39" t="n">
        <f aca="false">AE1841/(1-Resumo!$B$5)</f>
        <v>346.681784090909</v>
      </c>
      <c r="AG1841" s="39" t="n">
        <f aca="false">AF1841-W1841</f>
        <v>132.515922727273</v>
      </c>
      <c r="AH1841" s="40" t="n">
        <f aca="false">AF1841/W1841-1</f>
        <v>0.618753716785288</v>
      </c>
      <c r="AI1841" s="37" t="str">
        <f aca="false">IF(AF1841&lt;W1841,"SIM","NÃO")</f>
        <v>NÃO</v>
      </c>
      <c r="AJ1841" s="37" t="n">
        <v>13</v>
      </c>
      <c r="AK1841" s="37" t="n">
        <v>10</v>
      </c>
      <c r="AL1841" s="37" t="s">
        <v>347</v>
      </c>
      <c r="AM1841" s="39" t="n">
        <v>216.55</v>
      </c>
    </row>
    <row r="1842" customFormat="false" ht="15" hidden="false" customHeight="false" outlineLevel="0" collapsed="false">
      <c r="A1842" s="37" t="n">
        <v>395347654</v>
      </c>
      <c r="B1842" s="38" t="n">
        <v>46281.3599421296</v>
      </c>
      <c r="C1842" s="37" t="s">
        <v>345</v>
      </c>
      <c r="D1842" s="37" t="s">
        <v>2012</v>
      </c>
      <c r="E1842" s="37" t="n">
        <v>28997710</v>
      </c>
      <c r="F1842" s="37" t="s">
        <v>295</v>
      </c>
      <c r="G1842" s="37" t="s">
        <v>198</v>
      </c>
      <c r="H1842" s="37" t="s">
        <v>188</v>
      </c>
      <c r="I1842" s="37" t="n">
        <v>69</v>
      </c>
      <c r="J1842" s="39" t="n">
        <v>772.43</v>
      </c>
      <c r="K1842" s="37" t="s">
        <v>342</v>
      </c>
      <c r="L1842" s="39" t="n">
        <v>155.7</v>
      </c>
      <c r="M1842" s="39" t="n">
        <v>90.2</v>
      </c>
      <c r="N1842" s="39" t="n">
        <f aca="false">J1842*Resumo!$C$6</f>
        <v>0</v>
      </c>
      <c r="O1842" s="39" t="n">
        <f aca="false">J1842*Resumo!$C$7</f>
        <v>1.622103</v>
      </c>
      <c r="P1842" s="39" t="n">
        <f aca="false">J1842*Resumo!$C$8</f>
        <v>1.622103</v>
      </c>
      <c r="Q1842" s="39" t="n">
        <f aca="false">Resumo!$C$10*CEILING(I1842/100,1)</f>
        <v>1.05</v>
      </c>
      <c r="R1842" s="39" t="n">
        <f aca="false">Resumo!$C$9</f>
        <v>0</v>
      </c>
      <c r="S1842" s="39" t="n">
        <f aca="false">Resumo!$C$13</f>
        <v>13.55</v>
      </c>
      <c r="T1842" s="39" t="n">
        <f aca="false">Resumo!$C$14*CEILING(I1842,1)</f>
        <v>31.05</v>
      </c>
      <c r="U1842" s="39" t="n">
        <f aca="false">SUM(M1842:T1842)*Resumo!$C$11</f>
        <v>0</v>
      </c>
      <c r="V1842" s="39" t="n">
        <f aca="false">SUM(M1842:U1842)</f>
        <v>139.094206</v>
      </c>
      <c r="W1842" s="39" t="n">
        <f aca="false">V1842/(1-Resumo!$C$5)</f>
        <v>158.061597727273</v>
      </c>
      <c r="X1842" s="39" t="n">
        <v>166.05</v>
      </c>
      <c r="Y1842" s="39" t="n">
        <f aca="false">J1842*Resumo!$B$6</f>
        <v>0.77243</v>
      </c>
      <c r="Z1842" s="39" t="n">
        <f aca="false">J1842*Resumo!$B$7</f>
        <v>1.54486</v>
      </c>
      <c r="AA1842" s="39" t="n">
        <f aca="false">Resumo!$B$9</f>
        <v>1</v>
      </c>
      <c r="AB1842" s="39" t="n">
        <f aca="false">Resumo!$B$10*CEILING(I1842/100,1)</f>
        <v>4.5</v>
      </c>
      <c r="AC1842" s="39" t="n">
        <f aca="false">Resumo!$B$12*CEILING(I1842,1)</f>
        <v>4.14</v>
      </c>
      <c r="AD1842" s="39" t="n">
        <f aca="false">Resumo!$B$14*CEILING(I1842,1)</f>
        <v>31.05</v>
      </c>
      <c r="AE1842" s="39" t="n">
        <f aca="false">SUM(X1842:AD1842)</f>
        <v>209.05729</v>
      </c>
      <c r="AF1842" s="39" t="n">
        <f aca="false">AE1842/(1-Resumo!$B$5)</f>
        <v>237.565102272727</v>
      </c>
      <c r="AG1842" s="39" t="n">
        <f aca="false">AF1842-W1842</f>
        <v>79.5035045454546</v>
      </c>
      <c r="AH1842" s="40" t="n">
        <f aca="false">AF1842/W1842-1</f>
        <v>0.502990642183902</v>
      </c>
      <c r="AI1842" s="37" t="str">
        <f aca="false">IF(AF1842&lt;W1842,"SIM","NÃO")</f>
        <v>NÃO</v>
      </c>
      <c r="AJ1842" s="37" t="n">
        <v>13</v>
      </c>
      <c r="AK1842" s="37" t="n">
        <v>10</v>
      </c>
      <c r="AL1842" s="37" t="s">
        <v>347</v>
      </c>
      <c r="AM1842" s="39" t="n">
        <v>155.72</v>
      </c>
    </row>
    <row r="1843" customFormat="false" ht="15" hidden="false" customHeight="false" outlineLevel="0" collapsed="false">
      <c r="A1843" s="37" t="n">
        <v>395441522</v>
      </c>
      <c r="B1843" s="38" t="n">
        <v>46281.4181481482</v>
      </c>
      <c r="C1843" s="37" t="s">
        <v>361</v>
      </c>
      <c r="D1843" s="37" t="s">
        <v>1824</v>
      </c>
      <c r="E1843" s="37" t="n">
        <v>28740000</v>
      </c>
      <c r="F1843" s="37" t="s">
        <v>285</v>
      </c>
      <c r="G1843" s="37" t="s">
        <v>198</v>
      </c>
      <c r="H1843" s="37" t="s">
        <v>189</v>
      </c>
      <c r="I1843" s="37" t="n">
        <v>72.7</v>
      </c>
      <c r="J1843" s="39" t="n">
        <v>849.99</v>
      </c>
      <c r="K1843" s="37" t="s">
        <v>342</v>
      </c>
      <c r="L1843" s="39" t="n">
        <v>168.4</v>
      </c>
      <c r="M1843" s="39" t="n">
        <v>96.77</v>
      </c>
      <c r="N1843" s="39" t="n">
        <f aca="false">J1843*Resumo!$C$6</f>
        <v>0</v>
      </c>
      <c r="O1843" s="39" t="n">
        <f aca="false">J1843*Resumo!$C$7</f>
        <v>1.784979</v>
      </c>
      <c r="P1843" s="39" t="n">
        <f aca="false">J1843*Resumo!$C$8</f>
        <v>1.784979</v>
      </c>
      <c r="Q1843" s="39" t="n">
        <f aca="false">Resumo!$C$10*CEILING(I1843/100,1)</f>
        <v>1.05</v>
      </c>
      <c r="R1843" s="39" t="n">
        <f aca="false">Resumo!$C$9</f>
        <v>0</v>
      </c>
      <c r="S1843" s="39" t="n">
        <f aca="false">Resumo!$C$13</f>
        <v>13.55</v>
      </c>
      <c r="T1843" s="39" t="n">
        <f aca="false">Resumo!$C$14*CEILING(I1843,1)</f>
        <v>32.85</v>
      </c>
      <c r="U1843" s="39" t="n">
        <f aca="false">SUM(M1843:T1843)*Resumo!$C$11</f>
        <v>0</v>
      </c>
      <c r="V1843" s="39" t="n">
        <f aca="false">SUM(M1843:U1843)</f>
        <v>147.789958</v>
      </c>
      <c r="W1843" s="39" t="n">
        <f aca="false">V1843/(1-Resumo!$C$5)</f>
        <v>167.943134090909</v>
      </c>
      <c r="X1843" s="39" t="n">
        <v>181.04</v>
      </c>
      <c r="Y1843" s="39" t="n">
        <f aca="false">J1843*Resumo!$B$6</f>
        <v>0.84999</v>
      </c>
      <c r="Z1843" s="39" t="n">
        <f aca="false">J1843*Resumo!$B$7</f>
        <v>1.69998</v>
      </c>
      <c r="AA1843" s="39" t="n">
        <f aca="false">Resumo!$B$9</f>
        <v>1</v>
      </c>
      <c r="AB1843" s="39" t="n">
        <f aca="false">Resumo!$B$10*CEILING(I1843/100,1)</f>
        <v>4.5</v>
      </c>
      <c r="AC1843" s="39" t="n">
        <f aca="false">Resumo!$B$12*CEILING(I1843,1)</f>
        <v>4.38</v>
      </c>
      <c r="AD1843" s="39" t="n">
        <f aca="false">Resumo!$B$14*CEILING(I1843,1)</f>
        <v>32.85</v>
      </c>
      <c r="AE1843" s="39" t="n">
        <f aca="false">SUM(X1843:AD1843)</f>
        <v>226.31997</v>
      </c>
      <c r="AF1843" s="39" t="n">
        <f aca="false">AE1843/(1-Resumo!$B$5)</f>
        <v>257.181784090909</v>
      </c>
      <c r="AG1843" s="39" t="n">
        <f aca="false">AF1843-W1843</f>
        <v>89.23865</v>
      </c>
      <c r="AH1843" s="40" t="n">
        <f aca="false">AF1843/W1843-1</f>
        <v>0.531362300001466</v>
      </c>
      <c r="AI1843" s="37" t="str">
        <f aca="false">IF(AF1843&lt;W1843,"SIM","NÃO")</f>
        <v>NÃO</v>
      </c>
      <c r="AJ1843" s="37" t="n">
        <v>13</v>
      </c>
      <c r="AK1843" s="37" t="n">
        <v>11</v>
      </c>
      <c r="AL1843" s="37" t="s">
        <v>347</v>
      </c>
      <c r="AM1843" s="39" t="n">
        <v>168.39</v>
      </c>
    </row>
    <row r="1844" customFormat="false" ht="15" hidden="false" customHeight="false" outlineLevel="0" collapsed="false">
      <c r="A1844" s="37" t="n">
        <v>395412194</v>
      </c>
      <c r="B1844" s="38" t="n">
        <v>46281.4804861111</v>
      </c>
      <c r="C1844" s="37" t="s">
        <v>2013</v>
      </c>
      <c r="D1844" s="37" t="s">
        <v>2014</v>
      </c>
      <c r="E1844" s="37" t="n">
        <v>20770290</v>
      </c>
      <c r="F1844" s="37" t="s">
        <v>159</v>
      </c>
      <c r="G1844" s="37" t="s">
        <v>196</v>
      </c>
      <c r="H1844" s="37" t="s">
        <v>186</v>
      </c>
      <c r="I1844" s="37" t="n">
        <v>45</v>
      </c>
      <c r="J1844" s="39" t="n">
        <v>659.99</v>
      </c>
      <c r="K1844" s="37" t="s">
        <v>342</v>
      </c>
      <c r="L1844" s="39" t="n">
        <v>103.75</v>
      </c>
      <c r="M1844" s="39" t="n">
        <v>53.55</v>
      </c>
      <c r="N1844" s="39" t="n">
        <f aca="false">J1844*Resumo!$C$6</f>
        <v>0</v>
      </c>
      <c r="O1844" s="39" t="n">
        <f aca="false">J1844*Resumo!$C$7</f>
        <v>1.385979</v>
      </c>
      <c r="P1844" s="39" t="n">
        <f aca="false">J1844*Resumo!$C$8</f>
        <v>1.385979</v>
      </c>
      <c r="Q1844" s="39" t="n">
        <f aca="false">Resumo!$C$10*CEILING(I1844/100,1)</f>
        <v>1.05</v>
      </c>
      <c r="R1844" s="39" t="n">
        <f aca="false">Resumo!$C$9</f>
        <v>0</v>
      </c>
      <c r="S1844" s="39" t="n">
        <f aca="false">Resumo!$C$13</f>
        <v>13.55</v>
      </c>
      <c r="T1844" s="39" t="n">
        <f aca="false">Resumo!$C$14*CEILING(I1844,1)</f>
        <v>20.25</v>
      </c>
      <c r="U1844" s="39" t="n">
        <f aca="false">SUM(M1844:T1844)*Resumo!$C$11</f>
        <v>0</v>
      </c>
      <c r="V1844" s="39" t="n">
        <f aca="false">SUM(M1844:U1844)</f>
        <v>91.171958</v>
      </c>
      <c r="W1844" s="39" t="n">
        <f aca="false">V1844/(1-Resumo!$C$5)</f>
        <v>103.604497727273</v>
      </c>
      <c r="X1844" s="39" t="n">
        <v>93.97</v>
      </c>
      <c r="Y1844" s="39" t="n">
        <f aca="false">J1844*Resumo!$B$6</f>
        <v>0.65999</v>
      </c>
      <c r="Z1844" s="39" t="n">
        <f aca="false">J1844*Resumo!$B$7</f>
        <v>1.31998</v>
      </c>
      <c r="AA1844" s="39" t="n">
        <f aca="false">Resumo!$B$9</f>
        <v>1</v>
      </c>
      <c r="AB1844" s="39" t="n">
        <f aca="false">Resumo!$B$10*CEILING(I1844/100,1)</f>
        <v>4.5</v>
      </c>
      <c r="AC1844" s="39" t="n">
        <f aca="false">Resumo!$B$12*CEILING(I1844,1)</f>
        <v>2.7</v>
      </c>
      <c r="AD1844" s="39" t="n">
        <f aca="false">Resumo!$B$14*CEILING(I1844,1)</f>
        <v>20.25</v>
      </c>
      <c r="AE1844" s="39" t="n">
        <f aca="false">SUM(X1844:AD1844)</f>
        <v>124.39997</v>
      </c>
      <c r="AF1844" s="39" t="n">
        <f aca="false">AE1844/(1-Resumo!$B$5)</f>
        <v>141.363602272727</v>
      </c>
      <c r="AG1844" s="39" t="n">
        <f aca="false">AF1844-W1844</f>
        <v>37.7591045454545</v>
      </c>
      <c r="AH1844" s="40" t="n">
        <f aca="false">AF1844/W1844-1</f>
        <v>0.364454298546489</v>
      </c>
      <c r="AI1844" s="37" t="str">
        <f aca="false">IF(AF1844&lt;W1844,"SIM","NÃO")</f>
        <v>NÃO</v>
      </c>
      <c r="AJ1844" s="37" t="n">
        <v>2</v>
      </c>
      <c r="AK1844" s="37" t="n">
        <v>5</v>
      </c>
      <c r="AL1844" s="37" t="s">
        <v>343</v>
      </c>
      <c r="AM1844" s="39" t="n">
        <v>103.75</v>
      </c>
    </row>
    <row r="1845" customFormat="false" ht="15" hidden="false" customHeight="false" outlineLevel="0" collapsed="false">
      <c r="A1845" s="37" t="n">
        <v>395461947</v>
      </c>
      <c r="B1845" s="38" t="n">
        <v>46281.569837963</v>
      </c>
      <c r="C1845" s="37" t="s">
        <v>340</v>
      </c>
      <c r="D1845" s="37" t="s">
        <v>2015</v>
      </c>
      <c r="E1845" s="37" t="n">
        <v>21510014</v>
      </c>
      <c r="F1845" s="37" t="s">
        <v>159</v>
      </c>
      <c r="G1845" s="37" t="s">
        <v>196</v>
      </c>
      <c r="H1845" s="37" t="s">
        <v>187</v>
      </c>
      <c r="I1845" s="37" t="n">
        <v>52.3</v>
      </c>
      <c r="J1845" s="39" t="n">
        <v>645.14</v>
      </c>
      <c r="K1845" s="37" t="s">
        <v>342</v>
      </c>
      <c r="L1845" s="39" t="n">
        <v>114.24</v>
      </c>
      <c r="M1845" s="39" t="n">
        <v>58.6</v>
      </c>
      <c r="N1845" s="39" t="n">
        <f aca="false">J1845*Resumo!$C$6</f>
        <v>0</v>
      </c>
      <c r="O1845" s="39" t="n">
        <f aca="false">J1845*Resumo!$C$7</f>
        <v>1.354794</v>
      </c>
      <c r="P1845" s="39" t="n">
        <f aca="false">J1845*Resumo!$C$8</f>
        <v>1.354794</v>
      </c>
      <c r="Q1845" s="39" t="n">
        <f aca="false">Resumo!$C$10*CEILING(I1845/100,1)</f>
        <v>1.05</v>
      </c>
      <c r="R1845" s="39" t="n">
        <f aca="false">Resumo!$C$9</f>
        <v>0</v>
      </c>
      <c r="S1845" s="39" t="n">
        <f aca="false">Resumo!$C$13</f>
        <v>13.55</v>
      </c>
      <c r="T1845" s="39" t="n">
        <f aca="false">Resumo!$C$14*CEILING(I1845,1)</f>
        <v>23.85</v>
      </c>
      <c r="U1845" s="39" t="n">
        <f aca="false">SUM(M1845:T1845)*Resumo!$C$11</f>
        <v>0</v>
      </c>
      <c r="V1845" s="39" t="n">
        <f aca="false">SUM(M1845:U1845)</f>
        <v>99.759588</v>
      </c>
      <c r="W1845" s="39" t="n">
        <f aca="false">V1845/(1-Resumo!$C$5)</f>
        <v>113.363168181818</v>
      </c>
      <c r="X1845" s="39" t="n">
        <v>112.3</v>
      </c>
      <c r="Y1845" s="39" t="n">
        <f aca="false">J1845*Resumo!$B$6</f>
        <v>0.64514</v>
      </c>
      <c r="Z1845" s="39" t="n">
        <f aca="false">J1845*Resumo!$B$7</f>
        <v>1.29028</v>
      </c>
      <c r="AA1845" s="39" t="n">
        <f aca="false">Resumo!$B$9</f>
        <v>1</v>
      </c>
      <c r="AB1845" s="39" t="n">
        <f aca="false">Resumo!$B$10*CEILING(I1845/100,1)</f>
        <v>4.5</v>
      </c>
      <c r="AC1845" s="39" t="n">
        <f aca="false">Resumo!$B$12*CEILING(I1845,1)</f>
        <v>3.18</v>
      </c>
      <c r="AD1845" s="39" t="n">
        <f aca="false">Resumo!$B$14*CEILING(I1845,1)</f>
        <v>23.85</v>
      </c>
      <c r="AE1845" s="39" t="n">
        <f aca="false">SUM(X1845:AD1845)</f>
        <v>146.76542</v>
      </c>
      <c r="AF1845" s="39" t="n">
        <f aca="false">AE1845/(1-Resumo!$B$5)</f>
        <v>166.778886363636</v>
      </c>
      <c r="AG1845" s="39" t="n">
        <f aca="false">AF1845-W1845</f>
        <v>53.4157181818182</v>
      </c>
      <c r="AH1845" s="40" t="n">
        <f aca="false">AF1845/W1845-1</f>
        <v>0.471191119995403</v>
      </c>
      <c r="AI1845" s="37" t="str">
        <f aca="false">IF(AF1845&lt;W1845,"SIM","NÃO")</f>
        <v>NÃO</v>
      </c>
      <c r="AJ1845" s="37" t="n">
        <v>2</v>
      </c>
      <c r="AK1845" s="37" t="n">
        <v>5</v>
      </c>
      <c r="AL1845" s="37" t="s">
        <v>343</v>
      </c>
      <c r="AM1845" s="39" t="n">
        <v>114.24</v>
      </c>
    </row>
    <row r="1846" customFormat="false" ht="15" hidden="false" customHeight="false" outlineLevel="0" collapsed="false">
      <c r="A1846" s="37" t="n">
        <v>395466237</v>
      </c>
      <c r="B1846" s="38" t="n">
        <v>46281.5771990741</v>
      </c>
      <c r="C1846" s="37" t="s">
        <v>345</v>
      </c>
      <c r="D1846" s="37" t="s">
        <v>2016</v>
      </c>
      <c r="E1846" s="37" t="n">
        <v>21710000</v>
      </c>
      <c r="F1846" s="37" t="s">
        <v>159</v>
      </c>
      <c r="G1846" s="37" t="s">
        <v>196</v>
      </c>
      <c r="H1846" s="37" t="s">
        <v>184</v>
      </c>
      <c r="I1846" s="37" t="n">
        <v>20.8</v>
      </c>
      <c r="J1846" s="39" t="n">
        <v>417.99</v>
      </c>
      <c r="K1846" s="37" t="s">
        <v>342</v>
      </c>
      <c r="L1846" s="39" t="n">
        <v>82.34</v>
      </c>
      <c r="M1846" s="39" t="n">
        <v>42.11</v>
      </c>
      <c r="N1846" s="39" t="n">
        <f aca="false">J1846*Resumo!$C$6</f>
        <v>0</v>
      </c>
      <c r="O1846" s="39" t="n">
        <f aca="false">J1846*Resumo!$C$7</f>
        <v>0.877779</v>
      </c>
      <c r="P1846" s="39" t="n">
        <f aca="false">J1846*Resumo!$C$8</f>
        <v>0.877779</v>
      </c>
      <c r="Q1846" s="39" t="n">
        <f aca="false">Resumo!$C$10*CEILING(I1846/100,1)</f>
        <v>1.05</v>
      </c>
      <c r="R1846" s="39" t="n">
        <f aca="false">Resumo!$C$9</f>
        <v>0</v>
      </c>
      <c r="S1846" s="39" t="n">
        <f aca="false">Resumo!$C$13</f>
        <v>13.55</v>
      </c>
      <c r="T1846" s="39" t="n">
        <f aca="false">Resumo!$C$14*CEILING(I1846,1)</f>
        <v>9.45</v>
      </c>
      <c r="U1846" s="39" t="n">
        <f aca="false">SUM(M1846:T1846)*Resumo!$C$11</f>
        <v>0</v>
      </c>
      <c r="V1846" s="39" t="n">
        <f aca="false">SUM(M1846:U1846)</f>
        <v>67.915558</v>
      </c>
      <c r="W1846" s="39" t="n">
        <f aca="false">V1846/(1-Resumo!$C$5)</f>
        <v>77.1767704545455</v>
      </c>
      <c r="X1846" s="39" t="n">
        <v>82.21</v>
      </c>
      <c r="Y1846" s="39" t="n">
        <f aca="false">J1846*Resumo!$B$6</f>
        <v>0.41799</v>
      </c>
      <c r="Z1846" s="39" t="n">
        <f aca="false">J1846*Resumo!$B$7</f>
        <v>0.83598</v>
      </c>
      <c r="AA1846" s="39" t="n">
        <f aca="false">Resumo!$B$9</f>
        <v>1</v>
      </c>
      <c r="AB1846" s="39" t="n">
        <f aca="false">Resumo!$B$10*CEILING(I1846/100,1)</f>
        <v>4.5</v>
      </c>
      <c r="AC1846" s="39" t="n">
        <f aca="false">Resumo!$B$12*CEILING(I1846,1)</f>
        <v>1.26</v>
      </c>
      <c r="AD1846" s="39" t="n">
        <f aca="false">Resumo!$B$14*CEILING(I1846,1)</f>
        <v>9.45</v>
      </c>
      <c r="AE1846" s="39" t="n">
        <f aca="false">SUM(X1846:AD1846)</f>
        <v>99.67397</v>
      </c>
      <c r="AF1846" s="39" t="n">
        <f aca="false">AE1846/(1-Resumo!$B$5)</f>
        <v>113.265875</v>
      </c>
      <c r="AG1846" s="39" t="n">
        <f aca="false">AF1846-W1846</f>
        <v>36.0891045454545</v>
      </c>
      <c r="AH1846" s="40" t="n">
        <f aca="false">AF1846/W1846-1</f>
        <v>0.467616153577064</v>
      </c>
      <c r="AI1846" s="37" t="str">
        <f aca="false">IF(AF1846&lt;W1846,"SIM","NÃO")</f>
        <v>NÃO</v>
      </c>
      <c r="AJ1846" s="37" t="n">
        <v>2</v>
      </c>
      <c r="AK1846" s="37" t="n">
        <v>5</v>
      </c>
      <c r="AL1846" s="37" t="s">
        <v>343</v>
      </c>
      <c r="AM1846" s="39" t="n">
        <v>82.33</v>
      </c>
    </row>
    <row r="1847" customFormat="false" ht="15" hidden="false" customHeight="false" outlineLevel="0" collapsed="false">
      <c r="A1847" s="37" t="n">
        <v>395475172</v>
      </c>
      <c r="B1847" s="38" t="n">
        <v>46281.5924305556</v>
      </c>
      <c r="C1847" s="37" t="s">
        <v>345</v>
      </c>
      <c r="D1847" s="37" t="s">
        <v>1679</v>
      </c>
      <c r="E1847" s="37" t="n">
        <v>22753211</v>
      </c>
      <c r="F1847" s="37" t="s">
        <v>159</v>
      </c>
      <c r="G1847" s="37" t="s">
        <v>196</v>
      </c>
      <c r="H1847" s="37" t="s">
        <v>184</v>
      </c>
      <c r="I1847" s="37" t="n">
        <v>27.6</v>
      </c>
      <c r="J1847" s="39" t="n">
        <v>514.79</v>
      </c>
      <c r="K1847" s="37" t="s">
        <v>342</v>
      </c>
      <c r="L1847" s="39" t="n">
        <v>82.8</v>
      </c>
      <c r="M1847" s="39" t="n">
        <v>42.11</v>
      </c>
      <c r="N1847" s="39" t="n">
        <f aca="false">J1847*Resumo!$C$6</f>
        <v>0</v>
      </c>
      <c r="O1847" s="39" t="n">
        <f aca="false">J1847*Resumo!$C$7</f>
        <v>1.081059</v>
      </c>
      <c r="P1847" s="39" t="n">
        <f aca="false">J1847*Resumo!$C$8</f>
        <v>1.081059</v>
      </c>
      <c r="Q1847" s="39" t="n">
        <f aca="false">Resumo!$C$10*CEILING(I1847/100,1)</f>
        <v>1.05</v>
      </c>
      <c r="R1847" s="39" t="n">
        <f aca="false">Resumo!$C$9</f>
        <v>0</v>
      </c>
      <c r="S1847" s="39" t="n">
        <f aca="false">Resumo!$C$13</f>
        <v>13.55</v>
      </c>
      <c r="T1847" s="39" t="n">
        <f aca="false">Resumo!$C$14*CEILING(I1847,1)</f>
        <v>12.6</v>
      </c>
      <c r="U1847" s="39" t="n">
        <f aca="false">SUM(M1847:T1847)*Resumo!$C$11</f>
        <v>0</v>
      </c>
      <c r="V1847" s="39" t="n">
        <f aca="false">SUM(M1847:U1847)</f>
        <v>71.472118</v>
      </c>
      <c r="W1847" s="39" t="n">
        <f aca="false">V1847/(1-Resumo!$C$5)</f>
        <v>81.2183159090909</v>
      </c>
      <c r="X1847" s="39" t="n">
        <v>82.21</v>
      </c>
      <c r="Y1847" s="39" t="n">
        <f aca="false">J1847*Resumo!$B$6</f>
        <v>0.51479</v>
      </c>
      <c r="Z1847" s="39" t="n">
        <f aca="false">J1847*Resumo!$B$7</f>
        <v>1.02958</v>
      </c>
      <c r="AA1847" s="39" t="n">
        <f aca="false">Resumo!$B$9</f>
        <v>1</v>
      </c>
      <c r="AB1847" s="39" t="n">
        <f aca="false">Resumo!$B$10*CEILING(I1847/100,1)</f>
        <v>4.5</v>
      </c>
      <c r="AC1847" s="39" t="n">
        <f aca="false">Resumo!$B$12*CEILING(I1847,1)</f>
        <v>1.68</v>
      </c>
      <c r="AD1847" s="39" t="n">
        <f aca="false">Resumo!$B$14*CEILING(I1847,1)</f>
        <v>12.6</v>
      </c>
      <c r="AE1847" s="39" t="n">
        <f aca="false">SUM(X1847:AD1847)</f>
        <v>103.53437</v>
      </c>
      <c r="AF1847" s="39" t="n">
        <f aca="false">AE1847/(1-Resumo!$B$5)</f>
        <v>117.652693181818</v>
      </c>
      <c r="AG1847" s="39" t="n">
        <f aca="false">AF1847-W1847</f>
        <v>36.4343772727273</v>
      </c>
      <c r="AH1847" s="40" t="n">
        <f aca="false">AF1847/W1847-1</f>
        <v>0.44859803930814</v>
      </c>
      <c r="AI1847" s="37" t="str">
        <f aca="false">IF(AF1847&lt;W1847,"SIM","NÃO")</f>
        <v>NÃO</v>
      </c>
      <c r="AJ1847" s="37" t="n">
        <v>2</v>
      </c>
      <c r="AK1847" s="37" t="n">
        <v>5</v>
      </c>
      <c r="AL1847" s="37" t="s">
        <v>343</v>
      </c>
      <c r="AM1847" s="39" t="n">
        <v>82.79</v>
      </c>
    </row>
    <row r="1848" customFormat="false" ht="15" hidden="false" customHeight="false" outlineLevel="0" collapsed="false">
      <c r="A1848" s="37" t="n">
        <v>395555174</v>
      </c>
      <c r="B1848" s="38" t="n">
        <v>46281.6205324074</v>
      </c>
      <c r="C1848" s="37" t="s">
        <v>361</v>
      </c>
      <c r="D1848" s="37" t="s">
        <v>2017</v>
      </c>
      <c r="E1848" s="37" t="n">
        <v>26290672</v>
      </c>
      <c r="F1848" s="37" t="s">
        <v>162</v>
      </c>
      <c r="G1848" s="37" t="s">
        <v>197</v>
      </c>
      <c r="H1848" s="37" t="s">
        <v>185</v>
      </c>
      <c r="I1848" s="37" t="n">
        <v>37.2</v>
      </c>
      <c r="J1848" s="39" t="n">
        <v>373.99</v>
      </c>
      <c r="K1848" s="37" t="s">
        <v>342</v>
      </c>
      <c r="L1848" s="39" t="n">
        <v>112.75</v>
      </c>
      <c r="M1848" s="39" t="n">
        <v>66.83</v>
      </c>
      <c r="N1848" s="39" t="n">
        <f aca="false">J1848*Resumo!$C$6</f>
        <v>0</v>
      </c>
      <c r="O1848" s="39" t="n">
        <f aca="false">J1848*Resumo!$C$7</f>
        <v>0.785379</v>
      </c>
      <c r="P1848" s="39" t="n">
        <f aca="false">J1848*Resumo!$C$8</f>
        <v>0.785379</v>
      </c>
      <c r="Q1848" s="39" t="n">
        <f aca="false">Resumo!$C$10*CEILING(I1848/100,1)</f>
        <v>1.05</v>
      </c>
      <c r="R1848" s="39" t="n">
        <f aca="false">Resumo!$C$9</f>
        <v>0</v>
      </c>
      <c r="S1848" s="39" t="n">
        <f aca="false">Resumo!$C$13</f>
        <v>13.55</v>
      </c>
      <c r="T1848" s="39" t="n">
        <f aca="false">Resumo!$C$14*CEILING(I1848,1)</f>
        <v>17.1</v>
      </c>
      <c r="U1848" s="39" t="n">
        <f aca="false">SUM(M1848:T1848)*Resumo!$C$11</f>
        <v>0</v>
      </c>
      <c r="V1848" s="39" t="n">
        <f aca="false">SUM(M1848:U1848)</f>
        <v>100.100758</v>
      </c>
      <c r="W1848" s="39" t="n">
        <f aca="false">V1848/(1-Resumo!$C$5)</f>
        <v>113.750861363636</v>
      </c>
      <c r="X1848" s="39" t="n">
        <v>93.97</v>
      </c>
      <c r="Y1848" s="39" t="n">
        <f aca="false">J1848*Resumo!$B$6</f>
        <v>0.37399</v>
      </c>
      <c r="Z1848" s="39" t="n">
        <f aca="false">J1848*Resumo!$B$7</f>
        <v>0.74798</v>
      </c>
      <c r="AA1848" s="39" t="n">
        <f aca="false">Resumo!$B$9</f>
        <v>1</v>
      </c>
      <c r="AB1848" s="39" t="n">
        <f aca="false">Resumo!$B$10*CEILING(I1848/100,1)</f>
        <v>4.5</v>
      </c>
      <c r="AC1848" s="39" t="n">
        <f aca="false">Resumo!$B$12*CEILING(I1848,1)</f>
        <v>2.28</v>
      </c>
      <c r="AD1848" s="39" t="n">
        <f aca="false">Resumo!$B$14*CEILING(I1848,1)</f>
        <v>17.1</v>
      </c>
      <c r="AE1848" s="39" t="n">
        <f aca="false">SUM(X1848:AD1848)</f>
        <v>119.97197</v>
      </c>
      <c r="AF1848" s="39" t="n">
        <f aca="false">AE1848/(1-Resumo!$B$5)</f>
        <v>136.331784090909</v>
      </c>
      <c r="AG1848" s="39" t="n">
        <f aca="false">AF1848-W1848</f>
        <v>22.5809227272727</v>
      </c>
      <c r="AH1848" s="40" t="n">
        <f aca="false">AF1848/W1848-1</f>
        <v>0.198512103175083</v>
      </c>
      <c r="AI1848" s="37" t="str">
        <f aca="false">IF(AF1848&lt;W1848,"SIM","NÃO")</f>
        <v>NÃO</v>
      </c>
      <c r="AJ1848" s="37" t="n">
        <v>2</v>
      </c>
      <c r="AK1848" s="37" t="n">
        <v>5</v>
      </c>
      <c r="AL1848" s="37" t="s">
        <v>343</v>
      </c>
      <c r="AM1848" s="39" t="n">
        <v>112.75</v>
      </c>
    </row>
    <row r="1849" customFormat="false" ht="15" hidden="false" customHeight="false" outlineLevel="0" collapsed="false">
      <c r="A1849" s="37" t="n">
        <v>395499661</v>
      </c>
      <c r="B1849" s="38" t="n">
        <v>46281.6356134259</v>
      </c>
      <c r="C1849" s="37" t="s">
        <v>340</v>
      </c>
      <c r="D1849" s="37" t="s">
        <v>2018</v>
      </c>
      <c r="E1849" s="37" t="n">
        <v>23062410</v>
      </c>
      <c r="F1849" s="37" t="s">
        <v>159</v>
      </c>
      <c r="G1849" s="37" t="s">
        <v>196</v>
      </c>
      <c r="H1849" s="37" t="s">
        <v>184</v>
      </c>
      <c r="I1849" s="37" t="n">
        <v>27</v>
      </c>
      <c r="J1849" s="39" t="n">
        <v>349.99</v>
      </c>
      <c r="K1849" s="37" t="s">
        <v>342</v>
      </c>
      <c r="L1849" s="39" t="n">
        <v>82</v>
      </c>
      <c r="M1849" s="39" t="n">
        <v>42.11</v>
      </c>
      <c r="N1849" s="39" t="n">
        <f aca="false">J1849*Resumo!$C$6</f>
        <v>0</v>
      </c>
      <c r="O1849" s="39" t="n">
        <f aca="false">J1849*Resumo!$C$7</f>
        <v>0.734979</v>
      </c>
      <c r="P1849" s="39" t="n">
        <f aca="false">J1849*Resumo!$C$8</f>
        <v>0.734979</v>
      </c>
      <c r="Q1849" s="39" t="n">
        <f aca="false">Resumo!$C$10*CEILING(I1849/100,1)</f>
        <v>1.05</v>
      </c>
      <c r="R1849" s="39" t="n">
        <f aca="false">Resumo!$C$9</f>
        <v>0</v>
      </c>
      <c r="S1849" s="39" t="n">
        <f aca="false">Resumo!$C$13</f>
        <v>13.55</v>
      </c>
      <c r="T1849" s="39" t="n">
        <f aca="false">Resumo!$C$14*CEILING(I1849,1)</f>
        <v>12.15</v>
      </c>
      <c r="U1849" s="39" t="n">
        <f aca="false">SUM(M1849:T1849)*Resumo!$C$11</f>
        <v>0</v>
      </c>
      <c r="V1849" s="39" t="n">
        <f aca="false">SUM(M1849:U1849)</f>
        <v>70.329958</v>
      </c>
      <c r="W1849" s="39" t="n">
        <f aca="false">V1849/(1-Resumo!$C$5)</f>
        <v>79.9204068181818</v>
      </c>
      <c r="X1849" s="39" t="n">
        <v>82.21</v>
      </c>
      <c r="Y1849" s="39" t="n">
        <f aca="false">J1849*Resumo!$B$6</f>
        <v>0.34999</v>
      </c>
      <c r="Z1849" s="39" t="n">
        <f aca="false">J1849*Resumo!$B$7</f>
        <v>0.69998</v>
      </c>
      <c r="AA1849" s="39" t="n">
        <f aca="false">Resumo!$B$9</f>
        <v>1</v>
      </c>
      <c r="AB1849" s="39" t="n">
        <f aca="false">Resumo!$B$10*CEILING(I1849/100,1)</f>
        <v>4.5</v>
      </c>
      <c r="AC1849" s="39" t="n">
        <f aca="false">Resumo!$B$12*CEILING(I1849,1)</f>
        <v>1.62</v>
      </c>
      <c r="AD1849" s="39" t="n">
        <f aca="false">Resumo!$B$14*CEILING(I1849,1)</f>
        <v>12.15</v>
      </c>
      <c r="AE1849" s="39" t="n">
        <f aca="false">SUM(X1849:AD1849)</f>
        <v>102.52997</v>
      </c>
      <c r="AF1849" s="39" t="n">
        <f aca="false">AE1849/(1-Resumo!$B$5)</f>
        <v>116.511329545455</v>
      </c>
      <c r="AG1849" s="39" t="n">
        <f aca="false">AF1849-W1849</f>
        <v>36.5909227272727</v>
      </c>
      <c r="AH1849" s="40" t="n">
        <f aca="false">AF1849/W1849-1</f>
        <v>0.457842047907949</v>
      </c>
      <c r="AI1849" s="37" t="str">
        <f aca="false">IF(AF1849&lt;W1849,"SIM","NÃO")</f>
        <v>NÃO</v>
      </c>
      <c r="AJ1849" s="37" t="n">
        <v>2</v>
      </c>
      <c r="AK1849" s="37" t="n">
        <v>5</v>
      </c>
      <c r="AL1849" s="37" t="s">
        <v>343</v>
      </c>
      <c r="AM1849" s="39" t="n">
        <v>82</v>
      </c>
    </row>
    <row r="1850" customFormat="false" ht="15" hidden="false" customHeight="false" outlineLevel="0" collapsed="false">
      <c r="A1850" s="37" t="n">
        <v>395501177</v>
      </c>
      <c r="B1850" s="38" t="n">
        <v>46281.6383217593</v>
      </c>
      <c r="C1850" s="37" t="s">
        <v>340</v>
      </c>
      <c r="D1850" s="37" t="s">
        <v>1242</v>
      </c>
      <c r="E1850" s="37" t="n">
        <v>22753155</v>
      </c>
      <c r="F1850" s="37" t="s">
        <v>159</v>
      </c>
      <c r="G1850" s="37" t="s">
        <v>196</v>
      </c>
      <c r="H1850" s="37" t="s">
        <v>184</v>
      </c>
      <c r="I1850" s="37" t="n">
        <v>20.9</v>
      </c>
      <c r="J1850" s="39" t="n">
        <v>440.99</v>
      </c>
      <c r="K1850" s="37" t="s">
        <v>342</v>
      </c>
      <c r="L1850" s="39" t="n">
        <v>82.43</v>
      </c>
      <c r="M1850" s="39" t="n">
        <v>42.11</v>
      </c>
      <c r="N1850" s="39" t="n">
        <f aca="false">J1850*Resumo!$C$6</f>
        <v>0</v>
      </c>
      <c r="O1850" s="39" t="n">
        <f aca="false">J1850*Resumo!$C$7</f>
        <v>0.926079</v>
      </c>
      <c r="P1850" s="39" t="n">
        <f aca="false">J1850*Resumo!$C$8</f>
        <v>0.926079</v>
      </c>
      <c r="Q1850" s="39" t="n">
        <f aca="false">Resumo!$C$10*CEILING(I1850/100,1)</f>
        <v>1.05</v>
      </c>
      <c r="R1850" s="39" t="n">
        <f aca="false">Resumo!$C$9</f>
        <v>0</v>
      </c>
      <c r="S1850" s="39" t="n">
        <f aca="false">Resumo!$C$13</f>
        <v>13.55</v>
      </c>
      <c r="T1850" s="39" t="n">
        <f aca="false">Resumo!$C$14*CEILING(I1850,1)</f>
        <v>9.45</v>
      </c>
      <c r="U1850" s="39" t="n">
        <f aca="false">SUM(M1850:T1850)*Resumo!$C$11</f>
        <v>0</v>
      </c>
      <c r="V1850" s="39" t="n">
        <f aca="false">SUM(M1850:U1850)</f>
        <v>68.012158</v>
      </c>
      <c r="W1850" s="39" t="n">
        <f aca="false">V1850/(1-Resumo!$C$5)</f>
        <v>77.2865431818182</v>
      </c>
      <c r="X1850" s="39" t="n">
        <v>82.21</v>
      </c>
      <c r="Y1850" s="39" t="n">
        <f aca="false">J1850*Resumo!$B$6</f>
        <v>0.44099</v>
      </c>
      <c r="Z1850" s="39" t="n">
        <f aca="false">J1850*Resumo!$B$7</f>
        <v>0.88198</v>
      </c>
      <c r="AA1850" s="39" t="n">
        <f aca="false">Resumo!$B$9</f>
        <v>1</v>
      </c>
      <c r="AB1850" s="39" t="n">
        <f aca="false">Resumo!$B$10*CEILING(I1850/100,1)</f>
        <v>4.5</v>
      </c>
      <c r="AC1850" s="39" t="n">
        <f aca="false">Resumo!$B$12*CEILING(I1850,1)</f>
        <v>1.26</v>
      </c>
      <c r="AD1850" s="39" t="n">
        <f aca="false">Resumo!$B$14*CEILING(I1850,1)</f>
        <v>9.45</v>
      </c>
      <c r="AE1850" s="39" t="n">
        <f aca="false">SUM(X1850:AD1850)</f>
        <v>99.74297</v>
      </c>
      <c r="AF1850" s="39" t="n">
        <f aca="false">AE1850/(1-Resumo!$B$5)</f>
        <v>113.344284090909</v>
      </c>
      <c r="AG1850" s="39" t="n">
        <f aca="false">AF1850-W1850</f>
        <v>36.0577409090909</v>
      </c>
      <c r="AH1850" s="40" t="n">
        <f aca="false">AF1850/W1850-1</f>
        <v>0.466546172524036</v>
      </c>
      <c r="AI1850" s="37" t="str">
        <f aca="false">IF(AF1850&lt;W1850,"SIM","NÃO")</f>
        <v>NÃO</v>
      </c>
      <c r="AJ1850" s="37" t="n">
        <v>2</v>
      </c>
      <c r="AK1850" s="37" t="n">
        <v>5</v>
      </c>
      <c r="AL1850" s="37" t="s">
        <v>343</v>
      </c>
      <c r="AM1850" s="39" t="n">
        <v>82.44</v>
      </c>
    </row>
    <row r="1851" customFormat="false" ht="15" hidden="false" customHeight="false" outlineLevel="0" collapsed="false">
      <c r="A1851" s="37" t="n">
        <v>395526784</v>
      </c>
      <c r="B1851" s="38" t="n">
        <v>46281.687037037</v>
      </c>
      <c r="C1851" s="37" t="s">
        <v>345</v>
      </c>
      <c r="D1851" s="37" t="s">
        <v>2019</v>
      </c>
      <c r="E1851" s="37" t="n">
        <v>23016480</v>
      </c>
      <c r="F1851" s="37" t="s">
        <v>159</v>
      </c>
      <c r="G1851" s="37" t="s">
        <v>196</v>
      </c>
      <c r="H1851" s="37" t="s">
        <v>184</v>
      </c>
      <c r="I1851" s="37" t="n">
        <v>34.8</v>
      </c>
      <c r="J1851" s="39" t="n">
        <v>425</v>
      </c>
      <c r="K1851" s="37" t="s">
        <v>342</v>
      </c>
      <c r="L1851" s="39" t="n">
        <v>82.36</v>
      </c>
      <c r="M1851" s="39" t="n">
        <v>42.11</v>
      </c>
      <c r="N1851" s="39" t="n">
        <f aca="false">J1851*Resumo!$C$6</f>
        <v>0</v>
      </c>
      <c r="O1851" s="39" t="n">
        <f aca="false">J1851*Resumo!$C$7</f>
        <v>0.8925</v>
      </c>
      <c r="P1851" s="39" t="n">
        <f aca="false">J1851*Resumo!$C$8</f>
        <v>0.8925</v>
      </c>
      <c r="Q1851" s="39" t="n">
        <f aca="false">Resumo!$C$10*CEILING(I1851/100,1)</f>
        <v>1.05</v>
      </c>
      <c r="R1851" s="39" t="n">
        <f aca="false">Resumo!$C$9</f>
        <v>0</v>
      </c>
      <c r="S1851" s="39" t="n">
        <f aca="false">Resumo!$C$13</f>
        <v>13.55</v>
      </c>
      <c r="T1851" s="39" t="n">
        <f aca="false">Resumo!$C$14*CEILING(I1851,1)</f>
        <v>15.75</v>
      </c>
      <c r="U1851" s="39" t="n">
        <f aca="false">SUM(M1851:T1851)*Resumo!$C$11</f>
        <v>0</v>
      </c>
      <c r="V1851" s="39" t="n">
        <f aca="false">SUM(M1851:U1851)</f>
        <v>74.245</v>
      </c>
      <c r="W1851" s="39" t="n">
        <f aca="false">V1851/(1-Resumo!$C$5)</f>
        <v>84.3693181818182</v>
      </c>
      <c r="X1851" s="39" t="n">
        <v>82.21</v>
      </c>
      <c r="Y1851" s="39" t="n">
        <f aca="false">J1851*Resumo!$B$6</f>
        <v>0.425</v>
      </c>
      <c r="Z1851" s="39" t="n">
        <f aca="false">J1851*Resumo!$B$7</f>
        <v>0.85</v>
      </c>
      <c r="AA1851" s="39" t="n">
        <f aca="false">Resumo!$B$9</f>
        <v>1</v>
      </c>
      <c r="AB1851" s="39" t="n">
        <f aca="false">Resumo!$B$10*CEILING(I1851/100,1)</f>
        <v>4.5</v>
      </c>
      <c r="AC1851" s="39" t="n">
        <f aca="false">Resumo!$B$12*CEILING(I1851,1)</f>
        <v>2.1</v>
      </c>
      <c r="AD1851" s="39" t="n">
        <f aca="false">Resumo!$B$14*CEILING(I1851,1)</f>
        <v>15.75</v>
      </c>
      <c r="AE1851" s="39" t="n">
        <f aca="false">SUM(X1851:AD1851)</f>
        <v>106.835</v>
      </c>
      <c r="AF1851" s="39" t="n">
        <f aca="false">AE1851/(1-Resumo!$B$5)</f>
        <v>121.403409090909</v>
      </c>
      <c r="AG1851" s="39" t="n">
        <f aca="false">AF1851-W1851</f>
        <v>37.0340909090909</v>
      </c>
      <c r="AH1851" s="40" t="n">
        <f aca="false">AF1851/W1851-1</f>
        <v>0.438952117987743</v>
      </c>
      <c r="AI1851" s="37" t="str">
        <f aca="false">IF(AF1851&lt;W1851,"SIM","NÃO")</f>
        <v>NÃO</v>
      </c>
      <c r="AJ1851" s="37" t="n">
        <v>2</v>
      </c>
      <c r="AK1851" s="37" t="n">
        <v>5</v>
      </c>
      <c r="AL1851" s="37" t="s">
        <v>343</v>
      </c>
      <c r="AM1851" s="39" t="n">
        <v>82.36</v>
      </c>
    </row>
    <row r="1852" customFormat="false" ht="15" hidden="false" customHeight="false" outlineLevel="0" collapsed="false">
      <c r="A1852" s="37" t="n">
        <v>395531108</v>
      </c>
      <c r="B1852" s="38" t="n">
        <v>46281.695462963</v>
      </c>
      <c r="C1852" s="37" t="s">
        <v>340</v>
      </c>
      <c r="D1852" s="37" t="s">
        <v>2020</v>
      </c>
      <c r="E1852" s="37" t="n">
        <v>24350068</v>
      </c>
      <c r="F1852" s="37" t="s">
        <v>163</v>
      </c>
      <c r="G1852" s="37" t="s">
        <v>197</v>
      </c>
      <c r="H1852" s="37" t="s">
        <v>184</v>
      </c>
      <c r="I1852" s="37" t="n">
        <v>34.1</v>
      </c>
      <c r="J1852" s="39" t="n">
        <v>419.6</v>
      </c>
      <c r="K1852" s="37" t="s">
        <v>342</v>
      </c>
      <c r="L1852" s="39" t="n">
        <v>101.4</v>
      </c>
      <c r="M1852" s="39" t="n">
        <v>58.8</v>
      </c>
      <c r="N1852" s="39" t="n">
        <f aca="false">J1852*Resumo!$C$6</f>
        <v>0</v>
      </c>
      <c r="O1852" s="39" t="n">
        <f aca="false">J1852*Resumo!$C$7</f>
        <v>0.88116</v>
      </c>
      <c r="P1852" s="39" t="n">
        <f aca="false">J1852*Resumo!$C$8</f>
        <v>0.88116</v>
      </c>
      <c r="Q1852" s="39" t="n">
        <f aca="false">Resumo!$C$10*CEILING(I1852/100,1)</f>
        <v>1.05</v>
      </c>
      <c r="R1852" s="39" t="n">
        <f aca="false">Resumo!$C$9</f>
        <v>0</v>
      </c>
      <c r="S1852" s="39" t="n">
        <f aca="false">Resumo!$C$13</f>
        <v>13.55</v>
      </c>
      <c r="T1852" s="39" t="n">
        <f aca="false">Resumo!$C$14*CEILING(I1852,1)</f>
        <v>15.75</v>
      </c>
      <c r="U1852" s="39" t="n">
        <f aca="false">SUM(M1852:T1852)*Resumo!$C$11</f>
        <v>0</v>
      </c>
      <c r="V1852" s="39" t="n">
        <f aca="false">SUM(M1852:U1852)</f>
        <v>90.91232</v>
      </c>
      <c r="W1852" s="39" t="n">
        <f aca="false">V1852/(1-Resumo!$C$5)</f>
        <v>103.309454545455</v>
      </c>
      <c r="X1852" s="39" t="n">
        <v>100.58</v>
      </c>
      <c r="Y1852" s="39" t="n">
        <f aca="false">J1852*Resumo!$B$6</f>
        <v>0.4196</v>
      </c>
      <c r="Z1852" s="39" t="n">
        <f aca="false">J1852*Resumo!$B$7</f>
        <v>0.8392</v>
      </c>
      <c r="AA1852" s="39" t="n">
        <f aca="false">Resumo!$B$9</f>
        <v>1</v>
      </c>
      <c r="AB1852" s="39" t="n">
        <f aca="false">Resumo!$B$10*CEILING(I1852/100,1)</f>
        <v>4.5</v>
      </c>
      <c r="AC1852" s="39" t="n">
        <f aca="false">Resumo!$B$12*CEILING(I1852,1)</f>
        <v>2.1</v>
      </c>
      <c r="AD1852" s="39" t="n">
        <f aca="false">Resumo!$B$14*CEILING(I1852,1)</f>
        <v>15.75</v>
      </c>
      <c r="AE1852" s="39" t="n">
        <f aca="false">SUM(X1852:AD1852)</f>
        <v>125.1888</v>
      </c>
      <c r="AF1852" s="39" t="n">
        <f aca="false">AE1852/(1-Resumo!$B$5)</f>
        <v>142.26</v>
      </c>
      <c r="AG1852" s="39" t="n">
        <f aca="false">AF1852-W1852</f>
        <v>38.9505454545455</v>
      </c>
      <c r="AH1852" s="40" t="n">
        <f aca="false">AF1852/W1852-1</f>
        <v>0.377027887969419</v>
      </c>
      <c r="AI1852" s="37" t="str">
        <f aca="false">IF(AF1852&lt;W1852,"SIM","NÃO")</f>
        <v>NÃO</v>
      </c>
      <c r="AJ1852" s="37" t="n">
        <v>2</v>
      </c>
      <c r="AK1852" s="37" t="n">
        <v>7</v>
      </c>
      <c r="AL1852" s="37" t="s">
        <v>343</v>
      </c>
      <c r="AM1852" s="39" t="n">
        <v>101.4</v>
      </c>
    </row>
    <row r="1853" customFormat="false" ht="15" hidden="false" customHeight="false" outlineLevel="0" collapsed="false">
      <c r="A1853" s="37" t="n">
        <v>395536611</v>
      </c>
      <c r="B1853" s="38" t="n">
        <v>46281.7062268519</v>
      </c>
      <c r="C1853" s="37" t="s">
        <v>340</v>
      </c>
      <c r="D1853" s="37" t="s">
        <v>2021</v>
      </c>
      <c r="E1853" s="37" t="n">
        <v>23065620</v>
      </c>
      <c r="F1853" s="37" t="s">
        <v>159</v>
      </c>
      <c r="G1853" s="37" t="s">
        <v>196</v>
      </c>
      <c r="H1853" s="37" t="s">
        <v>186</v>
      </c>
      <c r="I1853" s="37" t="n">
        <v>48.3</v>
      </c>
      <c r="J1853" s="39" t="n">
        <v>449.65</v>
      </c>
      <c r="K1853" s="37" t="s">
        <v>342</v>
      </c>
      <c r="L1853" s="39" t="n">
        <v>102.74</v>
      </c>
      <c r="M1853" s="39" t="n">
        <v>53.55</v>
      </c>
      <c r="N1853" s="39" t="n">
        <f aca="false">J1853*Resumo!$C$6</f>
        <v>0</v>
      </c>
      <c r="O1853" s="39" t="n">
        <f aca="false">J1853*Resumo!$C$7</f>
        <v>0.944265</v>
      </c>
      <c r="P1853" s="39" t="n">
        <f aca="false">J1853*Resumo!$C$8</f>
        <v>0.944265</v>
      </c>
      <c r="Q1853" s="39" t="n">
        <f aca="false">Resumo!$C$10*CEILING(I1853/100,1)</f>
        <v>1.05</v>
      </c>
      <c r="R1853" s="39" t="n">
        <f aca="false">Resumo!$C$9</f>
        <v>0</v>
      </c>
      <c r="S1853" s="39" t="n">
        <f aca="false">Resumo!$C$13</f>
        <v>13.55</v>
      </c>
      <c r="T1853" s="39" t="n">
        <f aca="false">Resumo!$C$14*CEILING(I1853,1)</f>
        <v>22.05</v>
      </c>
      <c r="U1853" s="39" t="n">
        <f aca="false">SUM(M1853:T1853)*Resumo!$C$11</f>
        <v>0</v>
      </c>
      <c r="V1853" s="39" t="n">
        <f aca="false">SUM(M1853:U1853)</f>
        <v>92.08853</v>
      </c>
      <c r="W1853" s="39" t="n">
        <f aca="false">V1853/(1-Resumo!$C$5)</f>
        <v>104.646056818182</v>
      </c>
      <c r="X1853" s="39" t="n">
        <v>93.97</v>
      </c>
      <c r="Y1853" s="39" t="n">
        <f aca="false">J1853*Resumo!$B$6</f>
        <v>0.44965</v>
      </c>
      <c r="Z1853" s="39" t="n">
        <f aca="false">J1853*Resumo!$B$7</f>
        <v>0.8993</v>
      </c>
      <c r="AA1853" s="39" t="n">
        <f aca="false">Resumo!$B$9</f>
        <v>1</v>
      </c>
      <c r="AB1853" s="39" t="n">
        <f aca="false">Resumo!$B$10*CEILING(I1853/100,1)</f>
        <v>4.5</v>
      </c>
      <c r="AC1853" s="39" t="n">
        <f aca="false">Resumo!$B$12*CEILING(I1853,1)</f>
        <v>2.94</v>
      </c>
      <c r="AD1853" s="39" t="n">
        <f aca="false">Resumo!$B$14*CEILING(I1853,1)</f>
        <v>22.05</v>
      </c>
      <c r="AE1853" s="39" t="n">
        <f aca="false">SUM(X1853:AD1853)</f>
        <v>125.80895</v>
      </c>
      <c r="AF1853" s="39" t="n">
        <f aca="false">AE1853/(1-Resumo!$B$5)</f>
        <v>142.964715909091</v>
      </c>
      <c r="AG1853" s="39" t="n">
        <f aca="false">AF1853-W1853</f>
        <v>38.3186590909091</v>
      </c>
      <c r="AH1853" s="40" t="n">
        <f aca="false">AF1853/W1853-1</f>
        <v>0.366173941532132</v>
      </c>
      <c r="AI1853" s="37" t="str">
        <f aca="false">IF(AF1853&lt;W1853,"SIM","NÃO")</f>
        <v>NÃO</v>
      </c>
      <c r="AJ1853" s="37" t="n">
        <v>2</v>
      </c>
      <c r="AK1853" s="37" t="n">
        <v>5</v>
      </c>
      <c r="AL1853" s="37" t="s">
        <v>343</v>
      </c>
      <c r="AM1853" s="39" t="n">
        <v>102.74</v>
      </c>
    </row>
    <row r="1854" customFormat="false" ht="15" hidden="false" customHeight="false" outlineLevel="0" collapsed="false">
      <c r="A1854" s="37" t="n">
        <v>395565951</v>
      </c>
      <c r="B1854" s="38" t="n">
        <v>46281.7634606482</v>
      </c>
      <c r="C1854" s="37" t="s">
        <v>375</v>
      </c>
      <c r="D1854" s="37" t="s">
        <v>2022</v>
      </c>
      <c r="E1854" s="37" t="n">
        <v>25075300</v>
      </c>
      <c r="F1854" s="37" t="s">
        <v>161</v>
      </c>
      <c r="G1854" s="37" t="s">
        <v>197</v>
      </c>
      <c r="H1854" s="37" t="s">
        <v>187</v>
      </c>
      <c r="I1854" s="37" t="n">
        <v>52.3</v>
      </c>
      <c r="J1854" s="39" t="n">
        <v>612.73</v>
      </c>
      <c r="K1854" s="37" t="s">
        <v>342</v>
      </c>
      <c r="L1854" s="39" t="n">
        <v>128.23</v>
      </c>
      <c r="M1854" s="39" t="n">
        <v>70.98</v>
      </c>
      <c r="N1854" s="39" t="n">
        <f aca="false">J1854*Resumo!$C$6</f>
        <v>0</v>
      </c>
      <c r="O1854" s="39" t="n">
        <f aca="false">J1854*Resumo!$C$7</f>
        <v>1.286733</v>
      </c>
      <c r="P1854" s="39" t="n">
        <f aca="false">J1854*Resumo!$C$8</f>
        <v>1.286733</v>
      </c>
      <c r="Q1854" s="39" t="n">
        <f aca="false">Resumo!$C$10*CEILING(I1854/100,1)</f>
        <v>1.05</v>
      </c>
      <c r="R1854" s="39" t="n">
        <f aca="false">Resumo!$C$9</f>
        <v>0</v>
      </c>
      <c r="S1854" s="39" t="n">
        <f aca="false">Resumo!$C$13</f>
        <v>13.55</v>
      </c>
      <c r="T1854" s="39" t="n">
        <f aca="false">Resumo!$C$14*CEILING(I1854,1)</f>
        <v>23.85</v>
      </c>
      <c r="U1854" s="39" t="n">
        <f aca="false">SUM(M1854:T1854)*Resumo!$C$11</f>
        <v>0</v>
      </c>
      <c r="V1854" s="39" t="n">
        <f aca="false">SUM(M1854:U1854)</f>
        <v>112.003466</v>
      </c>
      <c r="W1854" s="39" t="n">
        <f aca="false">V1854/(1-Resumo!$C$5)</f>
        <v>127.276665909091</v>
      </c>
      <c r="X1854" s="39" t="n">
        <v>112.3</v>
      </c>
      <c r="Y1854" s="39" t="n">
        <f aca="false">J1854*Resumo!$B$6</f>
        <v>0.61273</v>
      </c>
      <c r="Z1854" s="39" t="n">
        <f aca="false">J1854*Resumo!$B$7</f>
        <v>1.22546</v>
      </c>
      <c r="AA1854" s="39" t="n">
        <f aca="false">Resumo!$B$9</f>
        <v>1</v>
      </c>
      <c r="AB1854" s="39" t="n">
        <f aca="false">Resumo!$B$10*CEILING(I1854/100,1)</f>
        <v>4.5</v>
      </c>
      <c r="AC1854" s="39" t="n">
        <f aca="false">Resumo!$B$12*CEILING(I1854,1)</f>
        <v>3.18</v>
      </c>
      <c r="AD1854" s="39" t="n">
        <f aca="false">Resumo!$B$14*CEILING(I1854,1)</f>
        <v>23.85</v>
      </c>
      <c r="AE1854" s="39" t="n">
        <f aca="false">SUM(X1854:AD1854)</f>
        <v>146.66819</v>
      </c>
      <c r="AF1854" s="39" t="n">
        <f aca="false">AE1854/(1-Resumo!$B$5)</f>
        <v>166.668397727273</v>
      </c>
      <c r="AG1854" s="39" t="n">
        <f aca="false">AF1854-W1854</f>
        <v>39.3917318181818</v>
      </c>
      <c r="AH1854" s="40" t="n">
        <f aca="false">AF1854/W1854-1</f>
        <v>0.309496886462425</v>
      </c>
      <c r="AI1854" s="37" t="str">
        <f aca="false">IF(AF1854&lt;W1854,"SIM","NÃO")</f>
        <v>NÃO</v>
      </c>
      <c r="AJ1854" s="37" t="n">
        <v>2</v>
      </c>
      <c r="AK1854" s="37" t="n">
        <v>5</v>
      </c>
      <c r="AL1854" s="37" t="s">
        <v>343</v>
      </c>
      <c r="AM1854" s="39" t="n">
        <v>128.22</v>
      </c>
    </row>
    <row r="1855" customFormat="false" ht="15" hidden="false" customHeight="false" outlineLevel="0" collapsed="false">
      <c r="A1855" s="37" t="n">
        <v>395568620</v>
      </c>
      <c r="B1855" s="38" t="n">
        <v>46281.7673032407</v>
      </c>
      <c r="C1855" s="37" t="s">
        <v>345</v>
      </c>
      <c r="D1855" s="37" t="s">
        <v>2023</v>
      </c>
      <c r="E1855" s="37" t="n">
        <v>21665062</v>
      </c>
      <c r="F1855" s="37" t="s">
        <v>159</v>
      </c>
      <c r="G1855" s="37" t="s">
        <v>196</v>
      </c>
      <c r="H1855" s="37" t="s">
        <v>188</v>
      </c>
      <c r="I1855" s="37" t="n">
        <v>69.45</v>
      </c>
      <c r="J1855" s="39" t="n">
        <v>761.79</v>
      </c>
      <c r="K1855" s="37" t="s">
        <v>342</v>
      </c>
      <c r="L1855" s="39" t="n">
        <v>124.85</v>
      </c>
      <c r="M1855" s="39" t="n">
        <v>63.21</v>
      </c>
      <c r="N1855" s="39" t="n">
        <f aca="false">J1855*Resumo!$C$6</f>
        <v>0</v>
      </c>
      <c r="O1855" s="39" t="n">
        <f aca="false">J1855*Resumo!$C$7</f>
        <v>1.599759</v>
      </c>
      <c r="P1855" s="39" t="n">
        <f aca="false">J1855*Resumo!$C$8</f>
        <v>1.599759</v>
      </c>
      <c r="Q1855" s="39" t="n">
        <f aca="false">Resumo!$C$10*CEILING(I1855/100,1)</f>
        <v>1.05</v>
      </c>
      <c r="R1855" s="39" t="n">
        <f aca="false">Resumo!$C$9</f>
        <v>0</v>
      </c>
      <c r="S1855" s="39" t="n">
        <f aca="false">Resumo!$C$13</f>
        <v>13.55</v>
      </c>
      <c r="T1855" s="39" t="n">
        <f aca="false">Resumo!$C$14*CEILING(I1855,1)</f>
        <v>31.5</v>
      </c>
      <c r="U1855" s="39" t="n">
        <f aca="false">SUM(M1855:T1855)*Resumo!$C$11</f>
        <v>0</v>
      </c>
      <c r="V1855" s="39" t="n">
        <f aca="false">SUM(M1855:U1855)</f>
        <v>112.509518</v>
      </c>
      <c r="W1855" s="39" t="n">
        <f aca="false">V1855/(1-Resumo!$C$5)</f>
        <v>127.851725</v>
      </c>
      <c r="X1855" s="39" t="n">
        <v>131.02</v>
      </c>
      <c r="Y1855" s="39" t="n">
        <f aca="false">J1855*Resumo!$B$6</f>
        <v>0.76179</v>
      </c>
      <c r="Z1855" s="39" t="n">
        <f aca="false">J1855*Resumo!$B$7</f>
        <v>1.52358</v>
      </c>
      <c r="AA1855" s="39" t="n">
        <f aca="false">Resumo!$B$9</f>
        <v>1</v>
      </c>
      <c r="AB1855" s="39" t="n">
        <f aca="false">Resumo!$B$10*CEILING(I1855/100,1)</f>
        <v>4.5</v>
      </c>
      <c r="AC1855" s="39" t="n">
        <f aca="false">Resumo!$B$12*CEILING(I1855,1)</f>
        <v>4.2</v>
      </c>
      <c r="AD1855" s="39" t="n">
        <f aca="false">Resumo!$B$14*CEILING(I1855,1)</f>
        <v>31.5</v>
      </c>
      <c r="AE1855" s="39" t="n">
        <f aca="false">SUM(X1855:AD1855)</f>
        <v>174.50537</v>
      </c>
      <c r="AF1855" s="39" t="n">
        <f aca="false">AE1855/(1-Resumo!$B$5)</f>
        <v>198.301556818182</v>
      </c>
      <c r="AG1855" s="39" t="n">
        <f aca="false">AF1855-W1855</f>
        <v>70.4498318181818</v>
      </c>
      <c r="AH1855" s="40" t="n">
        <f aca="false">AF1855/W1855-1</f>
        <v>0.551027620614284</v>
      </c>
      <c r="AI1855" s="37" t="str">
        <f aca="false">IF(AF1855&lt;W1855,"SIM","NÃO")</f>
        <v>NÃO</v>
      </c>
      <c r="AJ1855" s="37" t="n">
        <v>2</v>
      </c>
      <c r="AK1855" s="37" t="n">
        <v>5</v>
      </c>
      <c r="AL1855" s="37" t="s">
        <v>343</v>
      </c>
      <c r="AM1855" s="39" t="n">
        <v>124.86</v>
      </c>
    </row>
    <row r="1856" customFormat="false" ht="15" hidden="false" customHeight="false" outlineLevel="0" collapsed="false">
      <c r="A1856" s="37" t="n">
        <v>395572874</v>
      </c>
      <c r="B1856" s="38" t="n">
        <v>46281.7761805556</v>
      </c>
      <c r="C1856" s="37" t="s">
        <v>340</v>
      </c>
      <c r="D1856" s="37" t="s">
        <v>888</v>
      </c>
      <c r="E1856" s="37" t="n">
        <v>28360000</v>
      </c>
      <c r="F1856" s="37" t="s">
        <v>264</v>
      </c>
      <c r="G1856" s="37" t="s">
        <v>198</v>
      </c>
      <c r="H1856" s="37" t="s">
        <v>186</v>
      </c>
      <c r="I1856" s="37" t="n">
        <v>41.4</v>
      </c>
      <c r="J1856" s="39" t="n">
        <v>413.55</v>
      </c>
      <c r="K1856" s="37" t="s">
        <v>342</v>
      </c>
      <c r="L1856" s="39" t="n">
        <v>130.15</v>
      </c>
      <c r="M1856" s="39" t="n">
        <v>77.7</v>
      </c>
      <c r="N1856" s="39" t="n">
        <f aca="false">J1856*Resumo!$C$6</f>
        <v>0</v>
      </c>
      <c r="O1856" s="39" t="n">
        <f aca="false">J1856*Resumo!$C$7</f>
        <v>0.868455</v>
      </c>
      <c r="P1856" s="39" t="n">
        <f aca="false">J1856*Resumo!$C$8</f>
        <v>0.868455</v>
      </c>
      <c r="Q1856" s="39" t="n">
        <f aca="false">Resumo!$C$10*CEILING(I1856/100,1)</f>
        <v>1.05</v>
      </c>
      <c r="R1856" s="39" t="n">
        <f aca="false">Resumo!$C$9</f>
        <v>0</v>
      </c>
      <c r="S1856" s="39" t="n">
        <f aca="false">Resumo!$C$13</f>
        <v>13.55</v>
      </c>
      <c r="T1856" s="39" t="n">
        <f aca="false">Resumo!$C$14*CEILING(I1856,1)</f>
        <v>18.9</v>
      </c>
      <c r="U1856" s="39" t="n">
        <f aca="false">SUM(M1856:T1856)*Resumo!$C$11</f>
        <v>0</v>
      </c>
      <c r="V1856" s="39" t="n">
        <f aca="false">SUM(M1856:U1856)</f>
        <v>112.93691</v>
      </c>
      <c r="W1856" s="39" t="n">
        <f aca="false">V1856/(1-Resumo!$C$5)</f>
        <v>128.337397727273</v>
      </c>
      <c r="X1856" s="39" t="n">
        <v>152.54</v>
      </c>
      <c r="Y1856" s="39" t="n">
        <f aca="false">J1856*Resumo!$B$6</f>
        <v>0.41355</v>
      </c>
      <c r="Z1856" s="39" t="n">
        <f aca="false">J1856*Resumo!$B$7</f>
        <v>0.8271</v>
      </c>
      <c r="AA1856" s="39" t="n">
        <f aca="false">Resumo!$B$9</f>
        <v>1</v>
      </c>
      <c r="AB1856" s="39" t="n">
        <f aca="false">Resumo!$B$10*CEILING(I1856/100,1)</f>
        <v>4.5</v>
      </c>
      <c r="AC1856" s="39" t="n">
        <f aca="false">Resumo!$B$12*CEILING(I1856,1)</f>
        <v>2.52</v>
      </c>
      <c r="AD1856" s="39" t="n">
        <f aca="false">Resumo!$B$14*CEILING(I1856,1)</f>
        <v>18.9</v>
      </c>
      <c r="AE1856" s="39" t="n">
        <f aca="false">SUM(X1856:AD1856)</f>
        <v>180.70065</v>
      </c>
      <c r="AF1856" s="39" t="n">
        <f aca="false">AE1856/(1-Resumo!$B$5)</f>
        <v>205.341647727273</v>
      </c>
      <c r="AG1856" s="39" t="n">
        <f aca="false">AF1856-W1856</f>
        <v>77.00425</v>
      </c>
      <c r="AH1856" s="40" t="n">
        <f aca="false">AF1856/W1856-1</f>
        <v>0.600014114074841</v>
      </c>
      <c r="AI1856" s="37" t="str">
        <f aca="false">IF(AF1856&lt;W1856,"SIM","NÃO")</f>
        <v>NÃO</v>
      </c>
      <c r="AJ1856" s="37" t="n">
        <v>13</v>
      </c>
      <c r="AK1856" s="37" t="n">
        <v>11</v>
      </c>
      <c r="AL1856" s="37" t="s">
        <v>347</v>
      </c>
      <c r="AM1856" s="39" t="n">
        <v>130.14</v>
      </c>
    </row>
    <row r="1857" customFormat="false" ht="15" hidden="false" customHeight="false" outlineLevel="0" collapsed="false">
      <c r="A1857" s="37" t="n">
        <v>395579102</v>
      </c>
      <c r="B1857" s="38" t="n">
        <v>46281.788599537</v>
      </c>
      <c r="C1857" s="37" t="s">
        <v>340</v>
      </c>
      <c r="D1857" s="37" t="s">
        <v>2024</v>
      </c>
      <c r="E1857" s="37" t="n">
        <v>21060060</v>
      </c>
      <c r="F1857" s="37" t="s">
        <v>159</v>
      </c>
      <c r="G1857" s="37" t="s">
        <v>196</v>
      </c>
      <c r="H1857" s="37" t="s">
        <v>187</v>
      </c>
      <c r="I1857" s="37" t="n">
        <v>52.3</v>
      </c>
      <c r="J1857" s="39" t="n">
        <v>645.14</v>
      </c>
      <c r="K1857" s="37" t="s">
        <v>342</v>
      </c>
      <c r="L1857" s="39" t="n">
        <v>114.24</v>
      </c>
      <c r="M1857" s="39" t="n">
        <v>58.6</v>
      </c>
      <c r="N1857" s="39" t="n">
        <f aca="false">J1857*Resumo!$C$6</f>
        <v>0</v>
      </c>
      <c r="O1857" s="39" t="n">
        <f aca="false">J1857*Resumo!$C$7</f>
        <v>1.354794</v>
      </c>
      <c r="P1857" s="39" t="n">
        <f aca="false">J1857*Resumo!$C$8</f>
        <v>1.354794</v>
      </c>
      <c r="Q1857" s="39" t="n">
        <f aca="false">Resumo!$C$10*CEILING(I1857/100,1)</f>
        <v>1.05</v>
      </c>
      <c r="R1857" s="39" t="n">
        <f aca="false">Resumo!$C$9</f>
        <v>0</v>
      </c>
      <c r="S1857" s="39" t="n">
        <f aca="false">Resumo!$C$13</f>
        <v>13.55</v>
      </c>
      <c r="T1857" s="39" t="n">
        <f aca="false">Resumo!$C$14*CEILING(I1857,1)</f>
        <v>23.85</v>
      </c>
      <c r="U1857" s="39" t="n">
        <f aca="false">SUM(M1857:T1857)*Resumo!$C$11</f>
        <v>0</v>
      </c>
      <c r="V1857" s="39" t="n">
        <f aca="false">SUM(M1857:U1857)</f>
        <v>99.759588</v>
      </c>
      <c r="W1857" s="39" t="n">
        <f aca="false">V1857/(1-Resumo!$C$5)</f>
        <v>113.363168181818</v>
      </c>
      <c r="X1857" s="39" t="n">
        <v>112.3</v>
      </c>
      <c r="Y1857" s="39" t="n">
        <f aca="false">J1857*Resumo!$B$6</f>
        <v>0.64514</v>
      </c>
      <c r="Z1857" s="39" t="n">
        <f aca="false">J1857*Resumo!$B$7</f>
        <v>1.29028</v>
      </c>
      <c r="AA1857" s="39" t="n">
        <f aca="false">Resumo!$B$9</f>
        <v>1</v>
      </c>
      <c r="AB1857" s="39" t="n">
        <f aca="false">Resumo!$B$10*CEILING(I1857/100,1)</f>
        <v>4.5</v>
      </c>
      <c r="AC1857" s="39" t="n">
        <f aca="false">Resumo!$B$12*CEILING(I1857,1)</f>
        <v>3.18</v>
      </c>
      <c r="AD1857" s="39" t="n">
        <f aca="false">Resumo!$B$14*CEILING(I1857,1)</f>
        <v>23.85</v>
      </c>
      <c r="AE1857" s="39" t="n">
        <f aca="false">SUM(X1857:AD1857)</f>
        <v>146.76542</v>
      </c>
      <c r="AF1857" s="39" t="n">
        <f aca="false">AE1857/(1-Resumo!$B$5)</f>
        <v>166.778886363636</v>
      </c>
      <c r="AG1857" s="39" t="n">
        <f aca="false">AF1857-W1857</f>
        <v>53.4157181818182</v>
      </c>
      <c r="AH1857" s="40" t="n">
        <f aca="false">AF1857/W1857-1</f>
        <v>0.471191119995403</v>
      </c>
      <c r="AI1857" s="37" t="str">
        <f aca="false">IF(AF1857&lt;W1857,"SIM","NÃO")</f>
        <v>NÃO</v>
      </c>
      <c r="AJ1857" s="37" t="n">
        <v>2</v>
      </c>
      <c r="AK1857" s="37" t="n">
        <v>5</v>
      </c>
      <c r="AL1857" s="37" t="s">
        <v>343</v>
      </c>
      <c r="AM1857" s="39" t="n">
        <v>114.24</v>
      </c>
    </row>
    <row r="1858" customFormat="false" ht="15" hidden="false" customHeight="false" outlineLevel="0" collapsed="false">
      <c r="A1858" s="37" t="n">
        <v>395594745</v>
      </c>
      <c r="B1858" s="38" t="n">
        <v>46281.8208333333</v>
      </c>
      <c r="C1858" s="37" t="s">
        <v>340</v>
      </c>
      <c r="D1858" s="37" t="s">
        <v>2025</v>
      </c>
      <c r="E1858" s="37" t="n">
        <v>21061520</v>
      </c>
      <c r="F1858" s="37" t="s">
        <v>159</v>
      </c>
      <c r="G1858" s="37" t="s">
        <v>196</v>
      </c>
      <c r="H1858" s="37" t="s">
        <v>187</v>
      </c>
      <c r="I1858" s="37" t="n">
        <v>52.3</v>
      </c>
      <c r="J1858" s="39" t="n">
        <v>645.14</v>
      </c>
      <c r="K1858" s="37" t="s">
        <v>342</v>
      </c>
      <c r="L1858" s="39" t="n">
        <v>114.24</v>
      </c>
      <c r="M1858" s="39" t="n">
        <v>58.6</v>
      </c>
      <c r="N1858" s="39" t="n">
        <f aca="false">J1858*Resumo!$C$6</f>
        <v>0</v>
      </c>
      <c r="O1858" s="39" t="n">
        <f aca="false">J1858*Resumo!$C$7</f>
        <v>1.354794</v>
      </c>
      <c r="P1858" s="39" t="n">
        <f aca="false">J1858*Resumo!$C$8</f>
        <v>1.354794</v>
      </c>
      <c r="Q1858" s="39" t="n">
        <f aca="false">Resumo!$C$10*CEILING(I1858/100,1)</f>
        <v>1.05</v>
      </c>
      <c r="R1858" s="39" t="n">
        <f aca="false">Resumo!$C$9</f>
        <v>0</v>
      </c>
      <c r="S1858" s="39" t="n">
        <f aca="false">Resumo!$C$13</f>
        <v>13.55</v>
      </c>
      <c r="T1858" s="39" t="n">
        <f aca="false">Resumo!$C$14*CEILING(I1858,1)</f>
        <v>23.85</v>
      </c>
      <c r="U1858" s="39" t="n">
        <f aca="false">SUM(M1858:T1858)*Resumo!$C$11</f>
        <v>0</v>
      </c>
      <c r="V1858" s="39" t="n">
        <f aca="false">SUM(M1858:U1858)</f>
        <v>99.759588</v>
      </c>
      <c r="W1858" s="39" t="n">
        <f aca="false">V1858/(1-Resumo!$C$5)</f>
        <v>113.363168181818</v>
      </c>
      <c r="X1858" s="39" t="n">
        <v>112.3</v>
      </c>
      <c r="Y1858" s="39" t="n">
        <f aca="false">J1858*Resumo!$B$6</f>
        <v>0.64514</v>
      </c>
      <c r="Z1858" s="39" t="n">
        <f aca="false">J1858*Resumo!$B$7</f>
        <v>1.29028</v>
      </c>
      <c r="AA1858" s="39" t="n">
        <f aca="false">Resumo!$B$9</f>
        <v>1</v>
      </c>
      <c r="AB1858" s="39" t="n">
        <f aca="false">Resumo!$B$10*CEILING(I1858/100,1)</f>
        <v>4.5</v>
      </c>
      <c r="AC1858" s="39" t="n">
        <f aca="false">Resumo!$B$12*CEILING(I1858,1)</f>
        <v>3.18</v>
      </c>
      <c r="AD1858" s="39" t="n">
        <f aca="false">Resumo!$B$14*CEILING(I1858,1)</f>
        <v>23.85</v>
      </c>
      <c r="AE1858" s="39" t="n">
        <f aca="false">SUM(X1858:AD1858)</f>
        <v>146.76542</v>
      </c>
      <c r="AF1858" s="39" t="n">
        <f aca="false">AE1858/(1-Resumo!$B$5)</f>
        <v>166.778886363636</v>
      </c>
      <c r="AG1858" s="39" t="n">
        <f aca="false">AF1858-W1858</f>
        <v>53.4157181818182</v>
      </c>
      <c r="AH1858" s="40" t="n">
        <f aca="false">AF1858/W1858-1</f>
        <v>0.471191119995403</v>
      </c>
      <c r="AI1858" s="37" t="str">
        <f aca="false">IF(AF1858&lt;W1858,"SIM","NÃO")</f>
        <v>NÃO</v>
      </c>
      <c r="AJ1858" s="37" t="n">
        <v>2</v>
      </c>
      <c r="AK1858" s="37" t="n">
        <v>5</v>
      </c>
      <c r="AL1858" s="37" t="s">
        <v>343</v>
      </c>
      <c r="AM1858" s="39" t="n">
        <v>114.24</v>
      </c>
    </row>
    <row r="1859" customFormat="false" ht="15" hidden="false" customHeight="false" outlineLevel="0" collapsed="false">
      <c r="A1859" s="37" t="n">
        <v>395595689</v>
      </c>
      <c r="B1859" s="38" t="n">
        <v>46281.8217939815</v>
      </c>
      <c r="C1859" s="37" t="s">
        <v>345</v>
      </c>
      <c r="D1859" s="37" t="s">
        <v>1952</v>
      </c>
      <c r="E1859" s="37" t="n">
        <v>20943000</v>
      </c>
      <c r="F1859" s="37" t="s">
        <v>159</v>
      </c>
      <c r="G1859" s="37" t="s">
        <v>196</v>
      </c>
      <c r="H1859" s="37" t="s">
        <v>188</v>
      </c>
      <c r="I1859" s="37" t="n">
        <v>66.8</v>
      </c>
      <c r="J1859" s="39" t="n">
        <v>691.9</v>
      </c>
      <c r="K1859" s="37" t="s">
        <v>342</v>
      </c>
      <c r="L1859" s="39" t="n">
        <v>124.51</v>
      </c>
      <c r="M1859" s="39" t="n">
        <v>63.21</v>
      </c>
      <c r="N1859" s="39" t="n">
        <f aca="false">J1859*Resumo!$C$6</f>
        <v>0</v>
      </c>
      <c r="O1859" s="39" t="n">
        <f aca="false">J1859*Resumo!$C$7</f>
        <v>1.45299</v>
      </c>
      <c r="P1859" s="39" t="n">
        <f aca="false">J1859*Resumo!$C$8</f>
        <v>1.45299</v>
      </c>
      <c r="Q1859" s="39" t="n">
        <f aca="false">Resumo!$C$10*CEILING(I1859/100,1)</f>
        <v>1.05</v>
      </c>
      <c r="R1859" s="39" t="n">
        <f aca="false">Resumo!$C$9</f>
        <v>0</v>
      </c>
      <c r="S1859" s="39" t="n">
        <f aca="false">Resumo!$C$13</f>
        <v>13.55</v>
      </c>
      <c r="T1859" s="39" t="n">
        <f aca="false">Resumo!$C$14*CEILING(I1859,1)</f>
        <v>30.15</v>
      </c>
      <c r="U1859" s="39" t="n">
        <f aca="false">SUM(M1859:T1859)*Resumo!$C$11</f>
        <v>0</v>
      </c>
      <c r="V1859" s="39" t="n">
        <f aca="false">SUM(M1859:U1859)</f>
        <v>110.86598</v>
      </c>
      <c r="W1859" s="39" t="n">
        <f aca="false">V1859/(1-Resumo!$C$5)</f>
        <v>125.984068181818</v>
      </c>
      <c r="X1859" s="39" t="n">
        <v>131.02</v>
      </c>
      <c r="Y1859" s="39" t="n">
        <f aca="false">J1859*Resumo!$B$6</f>
        <v>0.6919</v>
      </c>
      <c r="Z1859" s="39" t="n">
        <f aca="false">J1859*Resumo!$B$7</f>
        <v>1.3838</v>
      </c>
      <c r="AA1859" s="39" t="n">
        <f aca="false">Resumo!$B$9</f>
        <v>1</v>
      </c>
      <c r="AB1859" s="39" t="n">
        <f aca="false">Resumo!$B$10*CEILING(I1859/100,1)</f>
        <v>4.5</v>
      </c>
      <c r="AC1859" s="39" t="n">
        <f aca="false">Resumo!$B$12*CEILING(I1859,1)</f>
        <v>4.02</v>
      </c>
      <c r="AD1859" s="39" t="n">
        <f aca="false">Resumo!$B$14*CEILING(I1859,1)</f>
        <v>30.15</v>
      </c>
      <c r="AE1859" s="39" t="n">
        <f aca="false">SUM(X1859:AD1859)</f>
        <v>172.7657</v>
      </c>
      <c r="AF1859" s="39" t="n">
        <f aca="false">AE1859/(1-Resumo!$B$5)</f>
        <v>196.324659090909</v>
      </c>
      <c r="AG1859" s="39" t="n">
        <f aca="false">AF1859-W1859</f>
        <v>70.3405909090909</v>
      </c>
      <c r="AH1859" s="40" t="n">
        <f aca="false">AF1859/W1859-1</f>
        <v>0.558329254835433</v>
      </c>
      <c r="AI1859" s="37" t="str">
        <f aca="false">IF(AF1859&lt;W1859,"SIM","NÃO")</f>
        <v>NÃO</v>
      </c>
      <c r="AJ1859" s="37" t="n">
        <v>2</v>
      </c>
      <c r="AK1859" s="37" t="n">
        <v>5</v>
      </c>
      <c r="AL1859" s="37" t="s">
        <v>343</v>
      </c>
      <c r="AM1859" s="39" t="n">
        <v>124.52</v>
      </c>
    </row>
    <row r="1860" customFormat="false" ht="15" hidden="false" customHeight="false" outlineLevel="0" collapsed="false">
      <c r="A1860" s="37" t="n">
        <v>395603279</v>
      </c>
      <c r="B1860" s="38" t="n">
        <v>46281.8372222222</v>
      </c>
      <c r="C1860" s="37" t="s">
        <v>345</v>
      </c>
      <c r="D1860" s="37" t="s">
        <v>2026</v>
      </c>
      <c r="E1860" s="37" t="n">
        <v>22743370</v>
      </c>
      <c r="F1860" s="37" t="s">
        <v>159</v>
      </c>
      <c r="G1860" s="37" t="s">
        <v>196</v>
      </c>
      <c r="H1860" s="37" t="s">
        <v>188</v>
      </c>
      <c r="I1860" s="37" t="n">
        <v>63</v>
      </c>
      <c r="J1860" s="39" t="n">
        <v>779.95</v>
      </c>
      <c r="K1860" s="37" t="s">
        <v>342</v>
      </c>
      <c r="L1860" s="39" t="n">
        <v>124.94</v>
      </c>
      <c r="M1860" s="39" t="n">
        <v>63.21</v>
      </c>
      <c r="N1860" s="39" t="n">
        <f aca="false">J1860*Resumo!$C$6</f>
        <v>0</v>
      </c>
      <c r="O1860" s="39" t="n">
        <f aca="false">J1860*Resumo!$C$7</f>
        <v>1.637895</v>
      </c>
      <c r="P1860" s="39" t="n">
        <f aca="false">J1860*Resumo!$C$8</f>
        <v>1.637895</v>
      </c>
      <c r="Q1860" s="39" t="n">
        <f aca="false">Resumo!$C$10*CEILING(I1860/100,1)</f>
        <v>1.05</v>
      </c>
      <c r="R1860" s="39" t="n">
        <f aca="false">Resumo!$C$9</f>
        <v>0</v>
      </c>
      <c r="S1860" s="39" t="n">
        <f aca="false">Resumo!$C$13</f>
        <v>13.55</v>
      </c>
      <c r="T1860" s="39" t="n">
        <f aca="false">Resumo!$C$14*CEILING(I1860,1)</f>
        <v>28.35</v>
      </c>
      <c r="U1860" s="39" t="n">
        <f aca="false">SUM(M1860:T1860)*Resumo!$C$11</f>
        <v>0</v>
      </c>
      <c r="V1860" s="39" t="n">
        <f aca="false">SUM(M1860:U1860)</f>
        <v>109.43579</v>
      </c>
      <c r="W1860" s="39" t="n">
        <f aca="false">V1860/(1-Resumo!$C$5)</f>
        <v>124.358852272727</v>
      </c>
      <c r="X1860" s="39" t="n">
        <v>131.02</v>
      </c>
      <c r="Y1860" s="39" t="n">
        <f aca="false">J1860*Resumo!$B$6</f>
        <v>0.77995</v>
      </c>
      <c r="Z1860" s="39" t="n">
        <f aca="false">J1860*Resumo!$B$7</f>
        <v>1.5599</v>
      </c>
      <c r="AA1860" s="39" t="n">
        <f aca="false">Resumo!$B$9</f>
        <v>1</v>
      </c>
      <c r="AB1860" s="39" t="n">
        <f aca="false">Resumo!$B$10*CEILING(I1860/100,1)</f>
        <v>4.5</v>
      </c>
      <c r="AC1860" s="39" t="n">
        <f aca="false">Resumo!$B$12*CEILING(I1860,1)</f>
        <v>3.78</v>
      </c>
      <c r="AD1860" s="39" t="n">
        <f aca="false">Resumo!$B$14*CEILING(I1860,1)</f>
        <v>28.35</v>
      </c>
      <c r="AE1860" s="39" t="n">
        <f aca="false">SUM(X1860:AD1860)</f>
        <v>170.98985</v>
      </c>
      <c r="AF1860" s="39" t="n">
        <f aca="false">AE1860/(1-Resumo!$B$5)</f>
        <v>194.306647727273</v>
      </c>
      <c r="AG1860" s="39" t="n">
        <f aca="false">AF1860-W1860</f>
        <v>69.9477954545455</v>
      </c>
      <c r="AH1860" s="40" t="n">
        <f aca="false">AF1860/W1860-1</f>
        <v>0.562467360997714</v>
      </c>
      <c r="AI1860" s="37" t="str">
        <f aca="false">IF(AF1860&lt;W1860,"SIM","NÃO")</f>
        <v>NÃO</v>
      </c>
      <c r="AJ1860" s="37" t="n">
        <v>2</v>
      </c>
      <c r="AK1860" s="37" t="n">
        <v>5</v>
      </c>
      <c r="AL1860" s="37" t="s">
        <v>343</v>
      </c>
      <c r="AM1860" s="39" t="n">
        <v>124.95</v>
      </c>
    </row>
    <row r="1861" customFormat="false" ht="15" hidden="false" customHeight="false" outlineLevel="0" collapsed="false">
      <c r="A1861" s="37" t="n">
        <v>395603339</v>
      </c>
      <c r="B1861" s="38" t="n">
        <v>46281.8375925926</v>
      </c>
      <c r="C1861" s="37" t="s">
        <v>340</v>
      </c>
      <c r="D1861" s="37" t="s">
        <v>1978</v>
      </c>
      <c r="E1861" s="37" t="n">
        <v>20521060</v>
      </c>
      <c r="F1861" s="37" t="s">
        <v>159</v>
      </c>
      <c r="G1861" s="37" t="s">
        <v>196</v>
      </c>
      <c r="H1861" s="37" t="s">
        <v>186</v>
      </c>
      <c r="I1861" s="37" t="n">
        <v>46.8</v>
      </c>
      <c r="J1861" s="39" t="n">
        <v>492.2</v>
      </c>
      <c r="K1861" s="37" t="s">
        <v>342</v>
      </c>
      <c r="L1861" s="39" t="n">
        <v>102.93</v>
      </c>
      <c r="M1861" s="39" t="n">
        <v>53.55</v>
      </c>
      <c r="N1861" s="39" t="n">
        <f aca="false">J1861*Resumo!$C$6</f>
        <v>0</v>
      </c>
      <c r="O1861" s="39" t="n">
        <f aca="false">J1861*Resumo!$C$7</f>
        <v>1.03362</v>
      </c>
      <c r="P1861" s="39" t="n">
        <f aca="false">J1861*Resumo!$C$8</f>
        <v>1.03362</v>
      </c>
      <c r="Q1861" s="39" t="n">
        <f aca="false">Resumo!$C$10*CEILING(I1861/100,1)</f>
        <v>1.05</v>
      </c>
      <c r="R1861" s="39" t="n">
        <f aca="false">Resumo!$C$9</f>
        <v>0</v>
      </c>
      <c r="S1861" s="39" t="n">
        <f aca="false">Resumo!$C$13</f>
        <v>13.55</v>
      </c>
      <c r="T1861" s="39" t="n">
        <f aca="false">Resumo!$C$14*CEILING(I1861,1)</f>
        <v>21.15</v>
      </c>
      <c r="U1861" s="39" t="n">
        <f aca="false">SUM(M1861:T1861)*Resumo!$C$11</f>
        <v>0</v>
      </c>
      <c r="V1861" s="39" t="n">
        <f aca="false">SUM(M1861:U1861)</f>
        <v>91.36724</v>
      </c>
      <c r="W1861" s="39" t="n">
        <f aca="false">V1861/(1-Resumo!$C$5)</f>
        <v>103.826409090909</v>
      </c>
      <c r="X1861" s="39" t="n">
        <v>93.97</v>
      </c>
      <c r="Y1861" s="39" t="n">
        <f aca="false">J1861*Resumo!$B$6</f>
        <v>0.4922</v>
      </c>
      <c r="Z1861" s="39" t="n">
        <f aca="false">J1861*Resumo!$B$7</f>
        <v>0.9844</v>
      </c>
      <c r="AA1861" s="39" t="n">
        <f aca="false">Resumo!$B$9</f>
        <v>1</v>
      </c>
      <c r="AB1861" s="39" t="n">
        <f aca="false">Resumo!$B$10*CEILING(I1861/100,1)</f>
        <v>4.5</v>
      </c>
      <c r="AC1861" s="39" t="n">
        <f aca="false">Resumo!$B$12*CEILING(I1861,1)</f>
        <v>2.82</v>
      </c>
      <c r="AD1861" s="39" t="n">
        <f aca="false">Resumo!$B$14*CEILING(I1861,1)</f>
        <v>21.15</v>
      </c>
      <c r="AE1861" s="39" t="n">
        <f aca="false">SUM(X1861:AD1861)</f>
        <v>124.9166</v>
      </c>
      <c r="AF1861" s="39" t="n">
        <f aca="false">AE1861/(1-Resumo!$B$5)</f>
        <v>141.950681818182</v>
      </c>
      <c r="AG1861" s="39" t="n">
        <f aca="false">AF1861-W1861</f>
        <v>38.1242727272727</v>
      </c>
      <c r="AH1861" s="40" t="n">
        <f aca="false">AF1861/W1861-1</f>
        <v>0.367192442280187</v>
      </c>
      <c r="AI1861" s="37" t="str">
        <f aca="false">IF(AF1861&lt;W1861,"SIM","NÃO")</f>
        <v>NÃO</v>
      </c>
      <c r="AJ1861" s="37" t="n">
        <v>2</v>
      </c>
      <c r="AK1861" s="37" t="n">
        <v>5</v>
      </c>
      <c r="AL1861" s="37" t="s">
        <v>343</v>
      </c>
      <c r="AM1861" s="39" t="n">
        <v>102.94</v>
      </c>
    </row>
    <row r="1862" customFormat="false" ht="15" hidden="false" customHeight="false" outlineLevel="0" collapsed="false">
      <c r="A1862" s="37" t="n">
        <v>395611996</v>
      </c>
      <c r="B1862" s="38" t="n">
        <v>46281.8533912037</v>
      </c>
      <c r="C1862" s="37" t="s">
        <v>340</v>
      </c>
      <c r="D1862" s="37" t="s">
        <v>1700</v>
      </c>
      <c r="E1862" s="37" t="n">
        <v>28230000</v>
      </c>
      <c r="F1862" s="37" t="s">
        <v>260</v>
      </c>
      <c r="G1862" s="37" t="s">
        <v>198</v>
      </c>
      <c r="H1862" s="37" t="s">
        <v>188</v>
      </c>
      <c r="I1862" s="37" t="n">
        <v>66.8</v>
      </c>
      <c r="J1862" s="39" t="n">
        <v>666.23</v>
      </c>
      <c r="K1862" s="37" t="s">
        <v>1780</v>
      </c>
      <c r="L1862" s="39" t="n">
        <v>165.98</v>
      </c>
      <c r="M1862" s="39" t="n">
        <v>90.2</v>
      </c>
      <c r="N1862" s="39" t="n">
        <f aca="false">J1862*Resumo!$C$6</f>
        <v>0</v>
      </c>
      <c r="O1862" s="39" t="n">
        <f aca="false">J1862*Resumo!$C$7</f>
        <v>1.399083</v>
      </c>
      <c r="P1862" s="39" t="n">
        <f aca="false">J1862*Resumo!$C$8</f>
        <v>1.399083</v>
      </c>
      <c r="Q1862" s="39" t="n">
        <f aca="false">Resumo!$C$10*CEILING(I1862/100,1)</f>
        <v>1.05</v>
      </c>
      <c r="R1862" s="39" t="n">
        <f aca="false">Resumo!$C$9</f>
        <v>0</v>
      </c>
      <c r="S1862" s="39" t="n">
        <f aca="false">Resumo!$C$13</f>
        <v>13.55</v>
      </c>
      <c r="T1862" s="39" t="n">
        <f aca="false">Resumo!$C$14*CEILING(I1862,1)</f>
        <v>30.15</v>
      </c>
      <c r="U1862" s="39" t="n">
        <f aca="false">SUM(M1862:T1862)*Resumo!$C$11</f>
        <v>0</v>
      </c>
      <c r="V1862" s="39" t="n">
        <f aca="false">SUM(M1862:U1862)</f>
        <v>137.748166</v>
      </c>
      <c r="W1862" s="39" t="n">
        <f aca="false">V1862/(1-Resumo!$C$5)</f>
        <v>156.532006818182</v>
      </c>
      <c r="X1862" s="39" t="n">
        <v>171.54</v>
      </c>
      <c r="Y1862" s="39" t="n">
        <f aca="false">J1862*Resumo!$B$6</f>
        <v>0.66623</v>
      </c>
      <c r="Z1862" s="39" t="n">
        <f aca="false">J1862*Resumo!$B$7</f>
        <v>1.33246</v>
      </c>
      <c r="AA1862" s="39" t="n">
        <f aca="false">Resumo!$B$9</f>
        <v>1</v>
      </c>
      <c r="AB1862" s="39" t="n">
        <f aca="false">Resumo!$B$10*CEILING(I1862/100,1)</f>
        <v>4.5</v>
      </c>
      <c r="AC1862" s="39" t="n">
        <f aca="false">Resumo!$B$12*CEILING(I1862,1)</f>
        <v>4.02</v>
      </c>
      <c r="AD1862" s="39" t="n">
        <f aca="false">Resumo!$B$14*CEILING(I1862,1)</f>
        <v>30.15</v>
      </c>
      <c r="AE1862" s="39" t="n">
        <f aca="false">SUM(X1862:AD1862)</f>
        <v>213.20869</v>
      </c>
      <c r="AF1862" s="39" t="n">
        <f aca="false">AE1862/(1-Resumo!$B$5)</f>
        <v>242.282602272727</v>
      </c>
      <c r="AG1862" s="39" t="n">
        <f aca="false">AF1862-W1862</f>
        <v>85.7505954545455</v>
      </c>
      <c r="AH1862" s="40" t="n">
        <f aca="false">AF1862/W1862-1</f>
        <v>0.547815090329406</v>
      </c>
      <c r="AI1862" s="37" t="str">
        <f aca="false">IF(AF1862&lt;W1862,"SIM","NÃO")</f>
        <v>NÃO</v>
      </c>
      <c r="AJ1862" s="37" t="n">
        <v>13</v>
      </c>
      <c r="AK1862" s="37" t="n">
        <v>11</v>
      </c>
      <c r="AL1862" s="37" t="s">
        <v>347</v>
      </c>
      <c r="AM1862" s="39" t="n">
        <v>155.21</v>
      </c>
    </row>
    <row r="1863" customFormat="false" ht="15" hidden="false" customHeight="false" outlineLevel="0" collapsed="false">
      <c r="A1863" s="37" t="n">
        <v>395631224</v>
      </c>
      <c r="B1863" s="38" t="n">
        <v>46281.8899305556</v>
      </c>
      <c r="C1863" s="37" t="s">
        <v>340</v>
      </c>
      <c r="D1863" s="37" t="s">
        <v>1178</v>
      </c>
      <c r="E1863" s="37" t="n">
        <v>21215395</v>
      </c>
      <c r="F1863" s="37" t="s">
        <v>159</v>
      </c>
      <c r="G1863" s="37" t="s">
        <v>196</v>
      </c>
      <c r="H1863" s="37" t="s">
        <v>184</v>
      </c>
      <c r="I1863" s="37" t="n">
        <v>26.4</v>
      </c>
      <c r="J1863" s="39" t="n">
        <v>399.99</v>
      </c>
      <c r="K1863" s="37" t="s">
        <v>342</v>
      </c>
      <c r="L1863" s="39" t="n">
        <v>82.24</v>
      </c>
      <c r="M1863" s="39" t="n">
        <v>42.11</v>
      </c>
      <c r="N1863" s="39" t="n">
        <f aca="false">J1863*Resumo!$C$6</f>
        <v>0</v>
      </c>
      <c r="O1863" s="39" t="n">
        <f aca="false">J1863*Resumo!$C$7</f>
        <v>0.839979</v>
      </c>
      <c r="P1863" s="39" t="n">
        <f aca="false">J1863*Resumo!$C$8</f>
        <v>0.839979</v>
      </c>
      <c r="Q1863" s="39" t="n">
        <f aca="false">Resumo!$C$10*CEILING(I1863/100,1)</f>
        <v>1.05</v>
      </c>
      <c r="R1863" s="39" t="n">
        <f aca="false">Resumo!$C$9</f>
        <v>0</v>
      </c>
      <c r="S1863" s="39" t="n">
        <f aca="false">Resumo!$C$13</f>
        <v>13.55</v>
      </c>
      <c r="T1863" s="39" t="n">
        <f aca="false">Resumo!$C$14*CEILING(I1863,1)</f>
        <v>12.15</v>
      </c>
      <c r="U1863" s="39" t="n">
        <f aca="false">SUM(M1863:T1863)*Resumo!$C$11</f>
        <v>0</v>
      </c>
      <c r="V1863" s="39" t="n">
        <f aca="false">SUM(M1863:U1863)</f>
        <v>70.539958</v>
      </c>
      <c r="W1863" s="39" t="n">
        <f aca="false">V1863/(1-Resumo!$C$5)</f>
        <v>80.1590431818182</v>
      </c>
      <c r="X1863" s="39" t="n">
        <v>82.21</v>
      </c>
      <c r="Y1863" s="39" t="n">
        <f aca="false">J1863*Resumo!$B$6</f>
        <v>0.39999</v>
      </c>
      <c r="Z1863" s="39" t="n">
        <f aca="false">J1863*Resumo!$B$7</f>
        <v>0.79998</v>
      </c>
      <c r="AA1863" s="39" t="n">
        <f aca="false">Resumo!$B$9</f>
        <v>1</v>
      </c>
      <c r="AB1863" s="39" t="n">
        <f aca="false">Resumo!$B$10*CEILING(I1863/100,1)</f>
        <v>4.5</v>
      </c>
      <c r="AC1863" s="39" t="n">
        <f aca="false">Resumo!$B$12*CEILING(I1863,1)</f>
        <v>1.62</v>
      </c>
      <c r="AD1863" s="39" t="n">
        <f aca="false">Resumo!$B$14*CEILING(I1863,1)</f>
        <v>12.15</v>
      </c>
      <c r="AE1863" s="39" t="n">
        <f aca="false">SUM(X1863:AD1863)</f>
        <v>102.67997</v>
      </c>
      <c r="AF1863" s="39" t="n">
        <f aca="false">AE1863/(1-Resumo!$B$5)</f>
        <v>116.681784090909</v>
      </c>
      <c r="AG1863" s="39" t="n">
        <f aca="false">AF1863-W1863</f>
        <v>36.5227409090909</v>
      </c>
      <c r="AH1863" s="40" t="n">
        <f aca="false">AF1863/W1863-1</f>
        <v>0.455628453875745</v>
      </c>
      <c r="AI1863" s="37" t="str">
        <f aca="false">IF(AF1863&lt;W1863,"SIM","NÃO")</f>
        <v>NÃO</v>
      </c>
      <c r="AJ1863" s="37" t="n">
        <v>2</v>
      </c>
      <c r="AK1863" s="37" t="n">
        <v>5</v>
      </c>
      <c r="AL1863" s="37" t="s">
        <v>343</v>
      </c>
      <c r="AM1863" s="39" t="n">
        <v>82.24</v>
      </c>
    </row>
    <row r="1864" customFormat="false" ht="15" hidden="false" customHeight="false" outlineLevel="0" collapsed="false">
      <c r="A1864" s="37" t="n">
        <v>395650935</v>
      </c>
      <c r="B1864" s="38" t="n">
        <v>46281.8965740741</v>
      </c>
      <c r="C1864" s="37" t="s">
        <v>372</v>
      </c>
      <c r="D1864" s="37" t="s">
        <v>2027</v>
      </c>
      <c r="E1864" s="37" t="n">
        <v>23028620</v>
      </c>
      <c r="F1864" s="37" t="s">
        <v>159</v>
      </c>
      <c r="G1864" s="37" t="s">
        <v>196</v>
      </c>
      <c r="H1864" s="37" t="s">
        <v>188</v>
      </c>
      <c r="I1864" s="37" t="n">
        <v>66.8</v>
      </c>
      <c r="J1864" s="39" t="n">
        <v>823.52</v>
      </c>
      <c r="K1864" s="37" t="s">
        <v>342</v>
      </c>
      <c r="L1864" s="39" t="n">
        <v>125.16</v>
      </c>
      <c r="M1864" s="39" t="n">
        <v>63.21</v>
      </c>
      <c r="N1864" s="39" t="n">
        <f aca="false">J1864*Resumo!$C$6</f>
        <v>0</v>
      </c>
      <c r="O1864" s="39" t="n">
        <f aca="false">J1864*Resumo!$C$7</f>
        <v>1.729392</v>
      </c>
      <c r="P1864" s="39" t="n">
        <f aca="false">J1864*Resumo!$C$8</f>
        <v>1.729392</v>
      </c>
      <c r="Q1864" s="39" t="n">
        <f aca="false">Resumo!$C$10*CEILING(I1864/100,1)</f>
        <v>1.05</v>
      </c>
      <c r="R1864" s="39" t="n">
        <f aca="false">Resumo!$C$9</f>
        <v>0</v>
      </c>
      <c r="S1864" s="39" t="n">
        <f aca="false">Resumo!$C$13</f>
        <v>13.55</v>
      </c>
      <c r="T1864" s="39" t="n">
        <f aca="false">Resumo!$C$14*CEILING(I1864,1)</f>
        <v>30.15</v>
      </c>
      <c r="U1864" s="39" t="n">
        <f aca="false">SUM(M1864:T1864)*Resumo!$C$11</f>
        <v>0</v>
      </c>
      <c r="V1864" s="39" t="n">
        <f aca="false">SUM(M1864:U1864)</f>
        <v>111.418784</v>
      </c>
      <c r="W1864" s="39" t="n">
        <f aca="false">V1864/(1-Resumo!$C$5)</f>
        <v>126.612254545455</v>
      </c>
      <c r="X1864" s="39" t="n">
        <v>131.02</v>
      </c>
      <c r="Y1864" s="39" t="n">
        <f aca="false">J1864*Resumo!$B$6</f>
        <v>0.82352</v>
      </c>
      <c r="Z1864" s="39" t="n">
        <f aca="false">J1864*Resumo!$B$7</f>
        <v>1.64704</v>
      </c>
      <c r="AA1864" s="39" t="n">
        <f aca="false">Resumo!$B$9</f>
        <v>1</v>
      </c>
      <c r="AB1864" s="39" t="n">
        <f aca="false">Resumo!$B$10*CEILING(I1864/100,1)</f>
        <v>4.5</v>
      </c>
      <c r="AC1864" s="39" t="n">
        <f aca="false">Resumo!$B$12*CEILING(I1864,1)</f>
        <v>4.02</v>
      </c>
      <c r="AD1864" s="39" t="n">
        <f aca="false">Resumo!$B$14*CEILING(I1864,1)</f>
        <v>30.15</v>
      </c>
      <c r="AE1864" s="39" t="n">
        <f aca="false">SUM(X1864:AD1864)</f>
        <v>173.16056</v>
      </c>
      <c r="AF1864" s="39" t="n">
        <f aca="false">AE1864/(1-Resumo!$B$5)</f>
        <v>196.773363636364</v>
      </c>
      <c r="AG1864" s="39" t="n">
        <f aca="false">AF1864-W1864</f>
        <v>70.1611090909091</v>
      </c>
      <c r="AH1864" s="40" t="n">
        <f aca="false">AF1864/W1864-1</f>
        <v>0.5541415350575</v>
      </c>
      <c r="AI1864" s="37" t="str">
        <f aca="false">IF(AF1864&lt;W1864,"SIM","NÃO")</f>
        <v>NÃO</v>
      </c>
      <c r="AJ1864" s="37" t="n">
        <v>2</v>
      </c>
      <c r="AK1864" s="37" t="n">
        <v>5</v>
      </c>
      <c r="AL1864" s="37" t="s">
        <v>343</v>
      </c>
      <c r="AM1864" s="39" t="n">
        <v>125.15</v>
      </c>
    </row>
    <row r="1865" customFormat="false" ht="15" hidden="false" customHeight="false" outlineLevel="0" collapsed="false">
      <c r="A1865" s="37" t="n">
        <v>395640483</v>
      </c>
      <c r="B1865" s="38" t="n">
        <v>46281.9081712963</v>
      </c>
      <c r="C1865" s="37" t="s">
        <v>340</v>
      </c>
      <c r="D1865" s="37" t="s">
        <v>2028</v>
      </c>
      <c r="E1865" s="37" t="n">
        <v>24416170</v>
      </c>
      <c r="F1865" s="37" t="s">
        <v>160</v>
      </c>
      <c r="G1865" s="37" t="s">
        <v>197</v>
      </c>
      <c r="H1865" s="37" t="s">
        <v>187</v>
      </c>
      <c r="I1865" s="37" t="n">
        <v>52.3</v>
      </c>
      <c r="J1865" s="39" t="n">
        <v>645.14</v>
      </c>
      <c r="K1865" s="37" t="s">
        <v>342</v>
      </c>
      <c r="L1865" s="39" t="n">
        <v>128.38</v>
      </c>
      <c r="M1865" s="39" t="n">
        <v>70.98</v>
      </c>
      <c r="N1865" s="39" t="n">
        <f aca="false">J1865*Resumo!$C$6</f>
        <v>0</v>
      </c>
      <c r="O1865" s="39" t="n">
        <f aca="false">J1865*Resumo!$C$7</f>
        <v>1.354794</v>
      </c>
      <c r="P1865" s="39" t="n">
        <f aca="false">J1865*Resumo!$C$8</f>
        <v>1.354794</v>
      </c>
      <c r="Q1865" s="39" t="n">
        <f aca="false">Resumo!$C$10*CEILING(I1865/100,1)</f>
        <v>1.05</v>
      </c>
      <c r="R1865" s="39" t="n">
        <f aca="false">Resumo!$C$9</f>
        <v>0</v>
      </c>
      <c r="S1865" s="39" t="n">
        <f aca="false">Resumo!$C$13</f>
        <v>13.55</v>
      </c>
      <c r="T1865" s="39" t="n">
        <f aca="false">Resumo!$C$14*CEILING(I1865,1)</f>
        <v>23.85</v>
      </c>
      <c r="U1865" s="39" t="n">
        <f aca="false">SUM(M1865:T1865)*Resumo!$C$11</f>
        <v>0</v>
      </c>
      <c r="V1865" s="39" t="n">
        <f aca="false">SUM(M1865:U1865)</f>
        <v>112.139588</v>
      </c>
      <c r="W1865" s="39" t="n">
        <f aca="false">V1865/(1-Resumo!$C$5)</f>
        <v>127.43135</v>
      </c>
      <c r="X1865" s="39" t="n">
        <v>128.14</v>
      </c>
      <c r="Y1865" s="39" t="n">
        <f aca="false">J1865*Resumo!$B$6</f>
        <v>0.64514</v>
      </c>
      <c r="Z1865" s="39" t="n">
        <f aca="false">J1865*Resumo!$B$7</f>
        <v>1.29028</v>
      </c>
      <c r="AA1865" s="39" t="n">
        <f aca="false">Resumo!$B$9</f>
        <v>1</v>
      </c>
      <c r="AB1865" s="39" t="n">
        <f aca="false">Resumo!$B$10*CEILING(I1865/100,1)</f>
        <v>4.5</v>
      </c>
      <c r="AC1865" s="39" t="n">
        <f aca="false">Resumo!$B$12*CEILING(I1865,1)</f>
        <v>3.18</v>
      </c>
      <c r="AD1865" s="39" t="n">
        <f aca="false">Resumo!$B$14*CEILING(I1865,1)</f>
        <v>23.85</v>
      </c>
      <c r="AE1865" s="39" t="n">
        <f aca="false">SUM(X1865:AD1865)</f>
        <v>162.60542</v>
      </c>
      <c r="AF1865" s="39" t="n">
        <f aca="false">AE1865/(1-Resumo!$B$5)</f>
        <v>184.778886363636</v>
      </c>
      <c r="AG1865" s="39" t="n">
        <f aca="false">AF1865-W1865</f>
        <v>57.3475363636363</v>
      </c>
      <c r="AH1865" s="40" t="n">
        <f aca="false">AF1865/W1865-1</f>
        <v>0.45002690753599</v>
      </c>
      <c r="AI1865" s="37" t="str">
        <f aca="false">IF(AF1865&lt;W1865,"SIM","NÃO")</f>
        <v>NÃO</v>
      </c>
      <c r="AJ1865" s="37" t="n">
        <v>2</v>
      </c>
      <c r="AK1865" s="37" t="n">
        <v>7</v>
      </c>
      <c r="AL1865" s="37" t="s">
        <v>343</v>
      </c>
      <c r="AM1865" s="39" t="n">
        <v>128.37</v>
      </c>
    </row>
    <row r="1866" customFormat="false" ht="15" hidden="false" customHeight="false" outlineLevel="0" collapsed="false">
      <c r="A1866" s="37" t="n">
        <v>395640734</v>
      </c>
      <c r="B1866" s="38" t="n">
        <v>46281.908599537</v>
      </c>
      <c r="C1866" s="37" t="s">
        <v>345</v>
      </c>
      <c r="D1866" s="37" t="s">
        <v>2029</v>
      </c>
      <c r="E1866" s="37" t="n">
        <v>27910060</v>
      </c>
      <c r="F1866" s="37" t="s">
        <v>166</v>
      </c>
      <c r="G1866" s="37" t="s">
        <v>198</v>
      </c>
      <c r="H1866" s="37" t="s">
        <v>190</v>
      </c>
      <c r="I1866" s="37" t="n">
        <v>81.7</v>
      </c>
      <c r="J1866" s="39" t="n">
        <v>645.99</v>
      </c>
      <c r="K1866" s="37" t="s">
        <v>342</v>
      </c>
      <c r="L1866" s="39" t="n">
        <v>191.68</v>
      </c>
      <c r="M1866" s="39" t="n">
        <v>109.63</v>
      </c>
      <c r="N1866" s="39" t="n">
        <f aca="false">J1866*Resumo!$C$6</f>
        <v>0</v>
      </c>
      <c r="O1866" s="39" t="n">
        <f aca="false">J1866*Resumo!$C$7</f>
        <v>1.356579</v>
      </c>
      <c r="P1866" s="39" t="n">
        <f aca="false">J1866*Resumo!$C$8</f>
        <v>1.356579</v>
      </c>
      <c r="Q1866" s="39" t="n">
        <f aca="false">Resumo!$C$10*CEILING(I1866/100,1)</f>
        <v>1.05</v>
      </c>
      <c r="R1866" s="39" t="n">
        <f aca="false">Resumo!$C$9</f>
        <v>0</v>
      </c>
      <c r="S1866" s="39" t="n">
        <f aca="false">Resumo!$C$13</f>
        <v>13.55</v>
      </c>
      <c r="T1866" s="39" t="n">
        <f aca="false">Resumo!$C$14*CEILING(I1866,1)</f>
        <v>36.9</v>
      </c>
      <c r="U1866" s="39" t="n">
        <f aca="false">SUM(M1866:T1866)*Resumo!$C$11</f>
        <v>0</v>
      </c>
      <c r="V1866" s="39" t="n">
        <f aca="false">SUM(M1866:U1866)</f>
        <v>163.843158</v>
      </c>
      <c r="W1866" s="39" t="n">
        <f aca="false">V1866/(1-Resumo!$C$5)</f>
        <v>186.185406818182</v>
      </c>
      <c r="X1866" s="39" t="n">
        <v>200.04</v>
      </c>
      <c r="Y1866" s="39" t="n">
        <f aca="false">J1866*Resumo!$B$6</f>
        <v>0.64599</v>
      </c>
      <c r="Z1866" s="39" t="n">
        <f aca="false">J1866*Resumo!$B$7</f>
        <v>1.29198</v>
      </c>
      <c r="AA1866" s="39" t="n">
        <f aca="false">Resumo!$B$9</f>
        <v>1</v>
      </c>
      <c r="AB1866" s="39" t="n">
        <f aca="false">Resumo!$B$10*CEILING(I1866/100,1)</f>
        <v>4.5</v>
      </c>
      <c r="AC1866" s="39" t="n">
        <f aca="false">Resumo!$B$12*CEILING(I1866,1)</f>
        <v>4.92</v>
      </c>
      <c r="AD1866" s="39" t="n">
        <f aca="false">Resumo!$B$14*CEILING(I1866,1)</f>
        <v>36.9</v>
      </c>
      <c r="AE1866" s="39" t="n">
        <f aca="false">SUM(X1866:AD1866)</f>
        <v>249.29797</v>
      </c>
      <c r="AF1866" s="39" t="n">
        <f aca="false">AE1866/(1-Resumo!$B$5)</f>
        <v>283.293147727273</v>
      </c>
      <c r="AG1866" s="39" t="n">
        <f aca="false">AF1866-W1866</f>
        <v>97.1077409090909</v>
      </c>
      <c r="AH1866" s="40" t="n">
        <f aca="false">AF1866/W1866-1</f>
        <v>0.521564727164255</v>
      </c>
      <c r="AI1866" s="37" t="str">
        <f aca="false">IF(AF1866&lt;W1866,"SIM","NÃO")</f>
        <v>NÃO</v>
      </c>
      <c r="AJ1866" s="37" t="n">
        <v>13</v>
      </c>
      <c r="AK1866" s="37" t="n">
        <v>11</v>
      </c>
      <c r="AL1866" s="37" t="s">
        <v>343</v>
      </c>
      <c r="AM1866" s="39" t="n">
        <v>191.69</v>
      </c>
    </row>
    <row r="1867" customFormat="false" ht="15" hidden="false" customHeight="false" outlineLevel="0" collapsed="false">
      <c r="A1867" s="37" t="n">
        <v>395640983</v>
      </c>
      <c r="B1867" s="38" t="n">
        <v>46281.9095717593</v>
      </c>
      <c r="C1867" s="37" t="s">
        <v>379</v>
      </c>
      <c r="D1867" s="37" t="s">
        <v>2030</v>
      </c>
      <c r="E1867" s="37" t="n">
        <v>24410100</v>
      </c>
      <c r="F1867" s="37" t="s">
        <v>160</v>
      </c>
      <c r="G1867" s="37" t="s">
        <v>197</v>
      </c>
      <c r="H1867" s="37" t="s">
        <v>190</v>
      </c>
      <c r="I1867" s="37" t="n">
        <v>81.7</v>
      </c>
      <c r="J1867" s="39" t="n">
        <v>879.99</v>
      </c>
      <c r="K1867" s="37" t="s">
        <v>342</v>
      </c>
      <c r="L1867" s="39" t="n">
        <v>173.05</v>
      </c>
      <c r="M1867" s="39" t="n">
        <v>92.32</v>
      </c>
      <c r="N1867" s="39" t="n">
        <f aca="false">J1867*Resumo!$C$6</f>
        <v>0</v>
      </c>
      <c r="O1867" s="39" t="n">
        <f aca="false">J1867*Resumo!$C$7</f>
        <v>1.847979</v>
      </c>
      <c r="P1867" s="39" t="n">
        <f aca="false">J1867*Resumo!$C$8</f>
        <v>1.847979</v>
      </c>
      <c r="Q1867" s="39" t="n">
        <f aca="false">Resumo!$C$10*CEILING(I1867/100,1)</f>
        <v>1.05</v>
      </c>
      <c r="R1867" s="39" t="n">
        <f aca="false">Resumo!$C$9</f>
        <v>0</v>
      </c>
      <c r="S1867" s="39" t="n">
        <f aca="false">Resumo!$C$13</f>
        <v>13.55</v>
      </c>
      <c r="T1867" s="39" t="n">
        <f aca="false">Resumo!$C$14*CEILING(I1867,1)</f>
        <v>36.9</v>
      </c>
      <c r="U1867" s="39" t="n">
        <f aca="false">SUM(M1867:T1867)*Resumo!$C$11</f>
        <v>0</v>
      </c>
      <c r="V1867" s="39" t="n">
        <f aca="false">SUM(M1867:U1867)</f>
        <v>147.515958</v>
      </c>
      <c r="W1867" s="39" t="n">
        <f aca="false">V1867/(1-Resumo!$C$5)</f>
        <v>167.631770454545</v>
      </c>
      <c r="X1867" s="39" t="n">
        <v>178.42</v>
      </c>
      <c r="Y1867" s="39" t="n">
        <f aca="false">J1867*Resumo!$B$6</f>
        <v>0.87999</v>
      </c>
      <c r="Z1867" s="39" t="n">
        <f aca="false">J1867*Resumo!$B$7</f>
        <v>1.75998</v>
      </c>
      <c r="AA1867" s="39" t="n">
        <f aca="false">Resumo!$B$9</f>
        <v>1</v>
      </c>
      <c r="AB1867" s="39" t="n">
        <f aca="false">Resumo!$B$10*CEILING(I1867/100,1)</f>
        <v>4.5</v>
      </c>
      <c r="AC1867" s="39" t="n">
        <f aca="false">Resumo!$B$12*CEILING(I1867,1)</f>
        <v>4.92</v>
      </c>
      <c r="AD1867" s="39" t="n">
        <f aca="false">Resumo!$B$14*CEILING(I1867,1)</f>
        <v>36.9</v>
      </c>
      <c r="AE1867" s="39" t="n">
        <f aca="false">SUM(X1867:AD1867)</f>
        <v>228.37997</v>
      </c>
      <c r="AF1867" s="39" t="n">
        <f aca="false">AE1867/(1-Resumo!$B$5)</f>
        <v>259.522693181818</v>
      </c>
      <c r="AG1867" s="39" t="n">
        <f aca="false">AF1867-W1867</f>
        <v>91.8909227272727</v>
      </c>
      <c r="AH1867" s="40" t="n">
        <f aca="false">AF1867/W1867-1</f>
        <v>0.548171283272282</v>
      </c>
      <c r="AI1867" s="37" t="str">
        <f aca="false">IF(AF1867&lt;W1867,"SIM","NÃO")</f>
        <v>NÃO</v>
      </c>
      <c r="AJ1867" s="37" t="n">
        <v>2</v>
      </c>
      <c r="AK1867" s="37" t="n">
        <v>7</v>
      </c>
      <c r="AL1867" s="37" t="s">
        <v>343</v>
      </c>
      <c r="AM1867" s="39" t="n">
        <v>173.04</v>
      </c>
    </row>
    <row r="1868" customFormat="false" ht="15" hidden="false" customHeight="false" outlineLevel="0" collapsed="false">
      <c r="A1868" s="37" t="n">
        <v>395645540</v>
      </c>
      <c r="B1868" s="38" t="n">
        <v>46281.9181018519</v>
      </c>
      <c r="C1868" s="37" t="s">
        <v>340</v>
      </c>
      <c r="D1868" s="37" t="s">
        <v>2031</v>
      </c>
      <c r="E1868" s="37" t="n">
        <v>21850510</v>
      </c>
      <c r="F1868" s="37" t="s">
        <v>159</v>
      </c>
      <c r="G1868" s="37" t="s">
        <v>196</v>
      </c>
      <c r="H1868" s="37" t="s">
        <v>184</v>
      </c>
      <c r="I1868" s="37" t="n">
        <v>21.3</v>
      </c>
      <c r="J1868" s="39" t="n">
        <v>299.99</v>
      </c>
      <c r="K1868" s="37" t="s">
        <v>342</v>
      </c>
      <c r="L1868" s="39" t="n">
        <v>81.76</v>
      </c>
      <c r="M1868" s="39" t="n">
        <v>42.11</v>
      </c>
      <c r="N1868" s="39" t="n">
        <f aca="false">J1868*Resumo!$C$6</f>
        <v>0</v>
      </c>
      <c r="O1868" s="39" t="n">
        <f aca="false">J1868*Resumo!$C$7</f>
        <v>0.629979</v>
      </c>
      <c r="P1868" s="39" t="n">
        <f aca="false">J1868*Resumo!$C$8</f>
        <v>0.629979</v>
      </c>
      <c r="Q1868" s="39" t="n">
        <f aca="false">Resumo!$C$10*CEILING(I1868/100,1)</f>
        <v>1.05</v>
      </c>
      <c r="R1868" s="39" t="n">
        <f aca="false">Resumo!$C$9</f>
        <v>0</v>
      </c>
      <c r="S1868" s="39" t="n">
        <f aca="false">Resumo!$C$13</f>
        <v>13.55</v>
      </c>
      <c r="T1868" s="39" t="n">
        <f aca="false">Resumo!$C$14*CEILING(I1868,1)</f>
        <v>9.9</v>
      </c>
      <c r="U1868" s="39" t="n">
        <f aca="false">SUM(M1868:T1868)*Resumo!$C$11</f>
        <v>0</v>
      </c>
      <c r="V1868" s="39" t="n">
        <f aca="false">SUM(M1868:U1868)</f>
        <v>67.869958</v>
      </c>
      <c r="W1868" s="39" t="n">
        <f aca="false">V1868/(1-Resumo!$C$5)</f>
        <v>77.1249522727273</v>
      </c>
      <c r="X1868" s="39" t="n">
        <v>82.21</v>
      </c>
      <c r="Y1868" s="39" t="n">
        <f aca="false">J1868*Resumo!$B$6</f>
        <v>0.29999</v>
      </c>
      <c r="Z1868" s="39" t="n">
        <f aca="false">J1868*Resumo!$B$7</f>
        <v>0.59998</v>
      </c>
      <c r="AA1868" s="39" t="n">
        <f aca="false">Resumo!$B$9</f>
        <v>1</v>
      </c>
      <c r="AB1868" s="39" t="n">
        <f aca="false">Resumo!$B$10*CEILING(I1868/100,1)</f>
        <v>4.5</v>
      </c>
      <c r="AC1868" s="39" t="n">
        <f aca="false">Resumo!$B$12*CEILING(I1868,1)</f>
        <v>1.32</v>
      </c>
      <c r="AD1868" s="39" t="n">
        <f aca="false">Resumo!$B$14*CEILING(I1868,1)</f>
        <v>9.9</v>
      </c>
      <c r="AE1868" s="39" t="n">
        <f aca="false">SUM(X1868:AD1868)</f>
        <v>99.82997</v>
      </c>
      <c r="AF1868" s="39" t="n">
        <f aca="false">AE1868/(1-Resumo!$B$5)</f>
        <v>113.443147727273</v>
      </c>
      <c r="AG1868" s="39" t="n">
        <f aca="false">AF1868-W1868</f>
        <v>36.3181954545455</v>
      </c>
      <c r="AH1868" s="40" t="n">
        <f aca="false">AF1868/W1868-1</f>
        <v>0.470900718695008</v>
      </c>
      <c r="AI1868" s="37" t="str">
        <f aca="false">IF(AF1868&lt;W1868,"SIM","NÃO")</f>
        <v>NÃO</v>
      </c>
      <c r="AJ1868" s="37" t="n">
        <v>2</v>
      </c>
      <c r="AK1868" s="37" t="n">
        <v>5</v>
      </c>
      <c r="AL1868" s="37" t="s">
        <v>343</v>
      </c>
      <c r="AM1868" s="39" t="n">
        <v>81.76</v>
      </c>
    </row>
    <row r="1869" customFormat="false" ht="15" hidden="false" customHeight="false" outlineLevel="0" collapsed="false">
      <c r="A1869" s="37" t="n">
        <v>395654553</v>
      </c>
      <c r="B1869" s="38" t="n">
        <v>46281.9363657407</v>
      </c>
      <c r="C1869" s="37" t="s">
        <v>340</v>
      </c>
      <c r="D1869" s="37" t="s">
        <v>2032</v>
      </c>
      <c r="E1869" s="37" t="n">
        <v>22715410</v>
      </c>
      <c r="F1869" s="37" t="s">
        <v>159</v>
      </c>
      <c r="G1869" s="37" t="s">
        <v>196</v>
      </c>
      <c r="H1869" s="37" t="s">
        <v>184</v>
      </c>
      <c r="I1869" s="37" t="n">
        <v>34</v>
      </c>
      <c r="J1869" s="39" t="n">
        <v>529.32</v>
      </c>
      <c r="K1869" s="37" t="s">
        <v>342</v>
      </c>
      <c r="L1869" s="39" t="n">
        <v>82.86</v>
      </c>
      <c r="M1869" s="39" t="n">
        <v>42.11</v>
      </c>
      <c r="N1869" s="39" t="n">
        <f aca="false">J1869*Resumo!$C$6</f>
        <v>0</v>
      </c>
      <c r="O1869" s="39" t="n">
        <f aca="false">J1869*Resumo!$C$7</f>
        <v>1.111572</v>
      </c>
      <c r="P1869" s="39" t="n">
        <f aca="false">J1869*Resumo!$C$8</f>
        <v>1.111572</v>
      </c>
      <c r="Q1869" s="39" t="n">
        <f aca="false">Resumo!$C$10*CEILING(I1869/100,1)</f>
        <v>1.05</v>
      </c>
      <c r="R1869" s="39" t="n">
        <f aca="false">Resumo!$C$9</f>
        <v>0</v>
      </c>
      <c r="S1869" s="39" t="n">
        <f aca="false">Resumo!$C$13</f>
        <v>13.55</v>
      </c>
      <c r="T1869" s="39" t="n">
        <f aca="false">Resumo!$C$14*CEILING(I1869,1)</f>
        <v>15.3</v>
      </c>
      <c r="U1869" s="39" t="n">
        <f aca="false">SUM(M1869:T1869)*Resumo!$C$11</f>
        <v>0</v>
      </c>
      <c r="V1869" s="39" t="n">
        <f aca="false">SUM(M1869:U1869)</f>
        <v>74.233144</v>
      </c>
      <c r="W1869" s="39" t="n">
        <f aca="false">V1869/(1-Resumo!$C$5)</f>
        <v>84.3558454545455</v>
      </c>
      <c r="X1869" s="39" t="n">
        <v>82.21</v>
      </c>
      <c r="Y1869" s="39" t="n">
        <f aca="false">J1869*Resumo!$B$6</f>
        <v>0.52932</v>
      </c>
      <c r="Z1869" s="39" t="n">
        <f aca="false">J1869*Resumo!$B$7</f>
        <v>1.05864</v>
      </c>
      <c r="AA1869" s="39" t="n">
        <f aca="false">Resumo!$B$9</f>
        <v>1</v>
      </c>
      <c r="AB1869" s="39" t="n">
        <f aca="false">Resumo!$B$10*CEILING(I1869/100,1)</f>
        <v>4.5</v>
      </c>
      <c r="AC1869" s="39" t="n">
        <f aca="false">Resumo!$B$12*CEILING(I1869,1)</f>
        <v>2.04</v>
      </c>
      <c r="AD1869" s="39" t="n">
        <f aca="false">Resumo!$B$14*CEILING(I1869,1)</f>
        <v>15.3</v>
      </c>
      <c r="AE1869" s="39" t="n">
        <f aca="false">SUM(X1869:AD1869)</f>
        <v>106.63796</v>
      </c>
      <c r="AF1869" s="39" t="n">
        <f aca="false">AE1869/(1-Resumo!$B$5)</f>
        <v>121.1795</v>
      </c>
      <c r="AG1869" s="39" t="n">
        <f aca="false">AF1869-W1869</f>
        <v>36.8236545454545</v>
      </c>
      <c r="AH1869" s="40" t="n">
        <f aca="false">AF1869/W1869-1</f>
        <v>0.436527597430064</v>
      </c>
      <c r="AI1869" s="37" t="str">
        <f aca="false">IF(AF1869&lt;W1869,"SIM","NÃO")</f>
        <v>NÃO</v>
      </c>
      <c r="AJ1869" s="37" t="n">
        <v>2</v>
      </c>
      <c r="AK1869" s="37" t="n">
        <v>5</v>
      </c>
      <c r="AL1869" s="37" t="s">
        <v>343</v>
      </c>
      <c r="AM1869" s="39" t="n">
        <v>82.86</v>
      </c>
    </row>
    <row r="1870" customFormat="false" ht="15" hidden="false" customHeight="false" outlineLevel="0" collapsed="false">
      <c r="A1870" s="37" t="n">
        <v>395665084</v>
      </c>
      <c r="B1870" s="38" t="n">
        <v>46281.9581597222</v>
      </c>
      <c r="C1870" s="37" t="s">
        <v>345</v>
      </c>
      <c r="D1870" s="37" t="s">
        <v>2033</v>
      </c>
      <c r="E1870" s="37" t="n">
        <v>22783551</v>
      </c>
      <c r="F1870" s="37" t="s">
        <v>159</v>
      </c>
      <c r="G1870" s="37" t="s">
        <v>196</v>
      </c>
      <c r="H1870" s="37" t="s">
        <v>187</v>
      </c>
      <c r="I1870" s="37" t="n">
        <v>58.6</v>
      </c>
      <c r="J1870" s="39" t="n">
        <v>669.2</v>
      </c>
      <c r="K1870" s="37" t="s">
        <v>342</v>
      </c>
      <c r="L1870" s="39" t="n">
        <v>114.36</v>
      </c>
      <c r="M1870" s="39" t="n">
        <v>58.6</v>
      </c>
      <c r="N1870" s="39" t="n">
        <f aca="false">J1870*Resumo!$C$6</f>
        <v>0</v>
      </c>
      <c r="O1870" s="39" t="n">
        <f aca="false">J1870*Resumo!$C$7</f>
        <v>1.40532</v>
      </c>
      <c r="P1870" s="39" t="n">
        <f aca="false">J1870*Resumo!$C$8</f>
        <v>1.40532</v>
      </c>
      <c r="Q1870" s="39" t="n">
        <f aca="false">Resumo!$C$10*CEILING(I1870/100,1)</f>
        <v>1.05</v>
      </c>
      <c r="R1870" s="39" t="n">
        <f aca="false">Resumo!$C$9</f>
        <v>0</v>
      </c>
      <c r="S1870" s="39" t="n">
        <f aca="false">Resumo!$C$13</f>
        <v>13.55</v>
      </c>
      <c r="T1870" s="39" t="n">
        <f aca="false">Resumo!$C$14*CEILING(I1870,1)</f>
        <v>26.55</v>
      </c>
      <c r="U1870" s="39" t="n">
        <f aca="false">SUM(M1870:T1870)*Resumo!$C$11</f>
        <v>0</v>
      </c>
      <c r="V1870" s="39" t="n">
        <f aca="false">SUM(M1870:U1870)</f>
        <v>102.56064</v>
      </c>
      <c r="W1870" s="39" t="n">
        <f aca="false">V1870/(1-Resumo!$C$5)</f>
        <v>116.546181818182</v>
      </c>
      <c r="X1870" s="39" t="n">
        <v>112.3</v>
      </c>
      <c r="Y1870" s="39" t="n">
        <f aca="false">J1870*Resumo!$B$6</f>
        <v>0.6692</v>
      </c>
      <c r="Z1870" s="39" t="n">
        <f aca="false">J1870*Resumo!$B$7</f>
        <v>1.3384</v>
      </c>
      <c r="AA1870" s="39" t="n">
        <f aca="false">Resumo!$B$9</f>
        <v>1</v>
      </c>
      <c r="AB1870" s="39" t="n">
        <f aca="false">Resumo!$B$10*CEILING(I1870/100,1)</f>
        <v>4.5</v>
      </c>
      <c r="AC1870" s="39" t="n">
        <f aca="false">Resumo!$B$12*CEILING(I1870,1)</f>
        <v>3.54</v>
      </c>
      <c r="AD1870" s="39" t="n">
        <f aca="false">Resumo!$B$14*CEILING(I1870,1)</f>
        <v>26.55</v>
      </c>
      <c r="AE1870" s="39" t="n">
        <f aca="false">SUM(X1870:AD1870)</f>
        <v>149.8976</v>
      </c>
      <c r="AF1870" s="39" t="n">
        <f aca="false">AE1870/(1-Resumo!$B$5)</f>
        <v>170.338181818182</v>
      </c>
      <c r="AG1870" s="39" t="n">
        <f aca="false">AF1870-W1870</f>
        <v>53.792</v>
      </c>
      <c r="AH1870" s="40" t="n">
        <f aca="false">AF1870/W1870-1</f>
        <v>0.461550941959801</v>
      </c>
      <c r="AI1870" s="37" t="str">
        <f aca="false">IF(AF1870&lt;W1870,"SIM","NÃO")</f>
        <v>NÃO</v>
      </c>
      <c r="AJ1870" s="37" t="n">
        <v>2</v>
      </c>
      <c r="AK1870" s="37" t="n">
        <v>5</v>
      </c>
      <c r="AL1870" s="37" t="s">
        <v>343</v>
      </c>
      <c r="AM1870" s="39" t="n">
        <v>114.36</v>
      </c>
    </row>
    <row r="1871" customFormat="false" ht="15" hidden="false" customHeight="false" outlineLevel="0" collapsed="false">
      <c r="A1871" s="37" t="n">
        <v>395668545</v>
      </c>
      <c r="B1871" s="38" t="n">
        <v>46281.9659606482</v>
      </c>
      <c r="C1871" s="37" t="s">
        <v>340</v>
      </c>
      <c r="D1871" s="37" t="s">
        <v>2034</v>
      </c>
      <c r="E1871" s="37" t="n">
        <v>25650390</v>
      </c>
      <c r="F1871" s="37" t="s">
        <v>170</v>
      </c>
      <c r="G1871" s="37" t="s">
        <v>198</v>
      </c>
      <c r="H1871" s="37" t="s">
        <v>185</v>
      </c>
      <c r="I1871" s="37" t="n">
        <v>37.2</v>
      </c>
      <c r="J1871" s="39" t="n">
        <v>399.99</v>
      </c>
      <c r="K1871" s="37" t="s">
        <v>342</v>
      </c>
      <c r="L1871" s="39" t="n">
        <v>122.16</v>
      </c>
      <c r="M1871" s="39" t="n">
        <v>74.97</v>
      </c>
      <c r="N1871" s="39" t="n">
        <f aca="false">J1871*Resumo!$C$6</f>
        <v>0</v>
      </c>
      <c r="O1871" s="39" t="n">
        <f aca="false">J1871*Resumo!$C$7</f>
        <v>0.839979</v>
      </c>
      <c r="P1871" s="39" t="n">
        <f aca="false">J1871*Resumo!$C$8</f>
        <v>0.839979</v>
      </c>
      <c r="Q1871" s="39" t="n">
        <f aca="false">Resumo!$C$10*CEILING(I1871/100,1)</f>
        <v>1.05</v>
      </c>
      <c r="R1871" s="39" t="n">
        <f aca="false">Resumo!$C$9</f>
        <v>0</v>
      </c>
      <c r="S1871" s="39" t="n">
        <f aca="false">Resumo!$C$13</f>
        <v>13.55</v>
      </c>
      <c r="T1871" s="39" t="n">
        <f aca="false">Resumo!$C$14*CEILING(I1871,1)</f>
        <v>17.1</v>
      </c>
      <c r="U1871" s="39" t="n">
        <f aca="false">SUM(M1871:T1871)*Resumo!$C$11</f>
        <v>0</v>
      </c>
      <c r="V1871" s="39" t="n">
        <f aca="false">SUM(M1871:U1871)</f>
        <v>108.349958</v>
      </c>
      <c r="W1871" s="39" t="n">
        <f aca="false">V1871/(1-Resumo!$C$5)</f>
        <v>123.124952272727</v>
      </c>
      <c r="X1871" s="39" t="n">
        <v>124.38</v>
      </c>
      <c r="Y1871" s="39" t="n">
        <f aca="false">J1871*Resumo!$B$6</f>
        <v>0.39999</v>
      </c>
      <c r="Z1871" s="39" t="n">
        <f aca="false">J1871*Resumo!$B$7</f>
        <v>0.79998</v>
      </c>
      <c r="AA1871" s="39" t="n">
        <f aca="false">Resumo!$B$9</f>
        <v>1</v>
      </c>
      <c r="AB1871" s="39" t="n">
        <f aca="false">Resumo!$B$10*CEILING(I1871/100,1)</f>
        <v>4.5</v>
      </c>
      <c r="AC1871" s="39" t="n">
        <f aca="false">Resumo!$B$12*CEILING(I1871,1)</f>
        <v>2.28</v>
      </c>
      <c r="AD1871" s="39" t="n">
        <f aca="false">Resumo!$B$14*CEILING(I1871,1)</f>
        <v>17.1</v>
      </c>
      <c r="AE1871" s="39" t="n">
        <f aca="false">SUM(X1871:AD1871)</f>
        <v>150.45997</v>
      </c>
      <c r="AF1871" s="39" t="n">
        <f aca="false">AE1871/(1-Resumo!$B$5)</f>
        <v>170.977238636364</v>
      </c>
      <c r="AG1871" s="39" t="n">
        <f aca="false">AF1871-W1871</f>
        <v>47.8522863636364</v>
      </c>
      <c r="AH1871" s="40" t="n">
        <f aca="false">AF1871/W1871-1</f>
        <v>0.388648161727945</v>
      </c>
      <c r="AI1871" s="37" t="str">
        <f aca="false">IF(AF1871&lt;W1871,"SIM","NÃO")</f>
        <v>NÃO</v>
      </c>
      <c r="AJ1871" s="37" t="n">
        <v>13</v>
      </c>
      <c r="AK1871" s="37" t="n">
        <v>8</v>
      </c>
      <c r="AL1871" s="37" t="s">
        <v>343</v>
      </c>
      <c r="AM1871" s="39" t="n">
        <v>122.16</v>
      </c>
    </row>
    <row r="1872" customFormat="false" ht="15" hidden="false" customHeight="false" outlineLevel="0" collapsed="false">
      <c r="A1872" s="37" t="n">
        <v>395680133</v>
      </c>
      <c r="B1872" s="38" t="n">
        <v>46281.9907060185</v>
      </c>
      <c r="C1872" s="37" t="s">
        <v>340</v>
      </c>
      <c r="D1872" s="37" t="s">
        <v>2035</v>
      </c>
      <c r="E1872" s="37" t="n">
        <v>20530420</v>
      </c>
      <c r="F1872" s="37" t="s">
        <v>159</v>
      </c>
      <c r="G1872" s="37" t="s">
        <v>196</v>
      </c>
      <c r="H1872" s="37" t="s">
        <v>185</v>
      </c>
      <c r="I1872" s="37" t="n">
        <v>39</v>
      </c>
      <c r="J1872" s="39" t="n">
        <v>819.99</v>
      </c>
      <c r="K1872" s="37" t="s">
        <v>342</v>
      </c>
      <c r="L1872" s="39" t="n">
        <v>93.78</v>
      </c>
      <c r="M1872" s="39" t="n">
        <v>48.35</v>
      </c>
      <c r="N1872" s="39" t="n">
        <f aca="false">J1872*Resumo!$C$6</f>
        <v>0</v>
      </c>
      <c r="O1872" s="39" t="n">
        <f aca="false">J1872*Resumo!$C$7</f>
        <v>1.721979</v>
      </c>
      <c r="P1872" s="39" t="n">
        <f aca="false">J1872*Resumo!$C$8</f>
        <v>1.721979</v>
      </c>
      <c r="Q1872" s="39" t="n">
        <f aca="false">Resumo!$C$10*CEILING(I1872/100,1)</f>
        <v>1.05</v>
      </c>
      <c r="R1872" s="39" t="n">
        <f aca="false">Resumo!$C$9</f>
        <v>0</v>
      </c>
      <c r="S1872" s="39" t="n">
        <f aca="false">Resumo!$C$13</f>
        <v>13.55</v>
      </c>
      <c r="T1872" s="39" t="n">
        <f aca="false">Resumo!$C$14*CEILING(I1872,1)</f>
        <v>17.55</v>
      </c>
      <c r="U1872" s="39" t="n">
        <f aca="false">SUM(M1872:T1872)*Resumo!$C$11</f>
        <v>0</v>
      </c>
      <c r="V1872" s="39" t="n">
        <f aca="false">SUM(M1872:U1872)</f>
        <v>83.943958</v>
      </c>
      <c r="W1872" s="39" t="n">
        <f aca="false">V1872/(1-Resumo!$C$5)</f>
        <v>95.3908613636364</v>
      </c>
      <c r="X1872" s="39" t="n">
        <v>93.97</v>
      </c>
      <c r="Y1872" s="39" t="n">
        <f aca="false">J1872*Resumo!$B$6</f>
        <v>0.81999</v>
      </c>
      <c r="Z1872" s="39" t="n">
        <f aca="false">J1872*Resumo!$B$7</f>
        <v>1.63998</v>
      </c>
      <c r="AA1872" s="39" t="n">
        <f aca="false">Resumo!$B$9</f>
        <v>1</v>
      </c>
      <c r="AB1872" s="39" t="n">
        <f aca="false">Resumo!$B$10*CEILING(I1872/100,1)</f>
        <v>4.5</v>
      </c>
      <c r="AC1872" s="39" t="n">
        <f aca="false">Resumo!$B$12*CEILING(I1872,1)</f>
        <v>2.34</v>
      </c>
      <c r="AD1872" s="39" t="n">
        <f aca="false">Resumo!$B$14*CEILING(I1872,1)</f>
        <v>17.55</v>
      </c>
      <c r="AE1872" s="39" t="n">
        <f aca="false">SUM(X1872:AD1872)</f>
        <v>121.81997</v>
      </c>
      <c r="AF1872" s="39" t="n">
        <f aca="false">AE1872/(1-Resumo!$B$5)</f>
        <v>138.431784090909</v>
      </c>
      <c r="AG1872" s="39" t="n">
        <f aca="false">AF1872-W1872</f>
        <v>43.0409227272727</v>
      </c>
      <c r="AH1872" s="40" t="n">
        <f aca="false">AF1872/W1872-1</f>
        <v>0.451205934321086</v>
      </c>
      <c r="AI1872" s="37" t="str">
        <f aca="false">IF(AF1872&lt;W1872,"SIM","NÃO")</f>
        <v>NÃO</v>
      </c>
      <c r="AJ1872" s="37" t="n">
        <v>2</v>
      </c>
      <c r="AK1872" s="37" t="n">
        <v>5</v>
      </c>
      <c r="AL1872" s="37" t="s">
        <v>343</v>
      </c>
      <c r="AM1872" s="39" t="n">
        <v>93.79</v>
      </c>
    </row>
    <row r="1873" customFormat="false" ht="15" hidden="false" customHeight="false" outlineLevel="0" collapsed="false">
      <c r="A1873" s="37" t="n">
        <v>395688188</v>
      </c>
      <c r="B1873" s="38" t="n">
        <v>46282.0111342593</v>
      </c>
      <c r="C1873" s="37" t="s">
        <v>340</v>
      </c>
      <c r="D1873" s="37" t="s">
        <v>2036</v>
      </c>
      <c r="E1873" s="37" t="n">
        <v>26160455</v>
      </c>
      <c r="F1873" s="37" t="s">
        <v>165</v>
      </c>
      <c r="G1873" s="37" t="s">
        <v>197</v>
      </c>
      <c r="H1873" s="37" t="s">
        <v>188</v>
      </c>
      <c r="I1873" s="37" t="n">
        <v>63</v>
      </c>
      <c r="J1873" s="39" t="n">
        <v>702.57</v>
      </c>
      <c r="K1873" s="37" t="s">
        <v>342</v>
      </c>
      <c r="L1873" s="39" t="n">
        <v>139.81</v>
      </c>
      <c r="M1873" s="39" t="n">
        <v>76.55</v>
      </c>
      <c r="N1873" s="39" t="n">
        <f aca="false">J1873*Resumo!$C$6</f>
        <v>0</v>
      </c>
      <c r="O1873" s="39" t="n">
        <f aca="false">J1873*Resumo!$C$7</f>
        <v>1.475397</v>
      </c>
      <c r="P1873" s="39" t="n">
        <f aca="false">J1873*Resumo!$C$8</f>
        <v>1.475397</v>
      </c>
      <c r="Q1873" s="39" t="n">
        <f aca="false">Resumo!$C$10*CEILING(I1873/100,1)</f>
        <v>1.05</v>
      </c>
      <c r="R1873" s="39" t="n">
        <f aca="false">Resumo!$C$9</f>
        <v>0</v>
      </c>
      <c r="S1873" s="39" t="n">
        <f aca="false">Resumo!$C$13</f>
        <v>13.55</v>
      </c>
      <c r="T1873" s="39" t="n">
        <f aca="false">Resumo!$C$14*CEILING(I1873,1)</f>
        <v>28.35</v>
      </c>
      <c r="U1873" s="39" t="n">
        <f aca="false">SUM(M1873:T1873)*Resumo!$C$11</f>
        <v>0</v>
      </c>
      <c r="V1873" s="39" t="n">
        <f aca="false">SUM(M1873:U1873)</f>
        <v>122.450794</v>
      </c>
      <c r="W1873" s="39" t="n">
        <f aca="false">V1873/(1-Resumo!$C$5)</f>
        <v>139.148629545455</v>
      </c>
      <c r="X1873" s="39" t="n">
        <v>131.02</v>
      </c>
      <c r="Y1873" s="39" t="n">
        <f aca="false">J1873*Resumo!$B$6</f>
        <v>0.70257</v>
      </c>
      <c r="Z1873" s="39" t="n">
        <f aca="false">J1873*Resumo!$B$7</f>
        <v>1.40514</v>
      </c>
      <c r="AA1873" s="39" t="n">
        <f aca="false">Resumo!$B$9</f>
        <v>1</v>
      </c>
      <c r="AB1873" s="39" t="n">
        <f aca="false">Resumo!$B$10*CEILING(I1873/100,1)</f>
        <v>4.5</v>
      </c>
      <c r="AC1873" s="39" t="n">
        <f aca="false">Resumo!$B$12*CEILING(I1873,1)</f>
        <v>3.78</v>
      </c>
      <c r="AD1873" s="39" t="n">
        <f aca="false">Resumo!$B$14*CEILING(I1873,1)</f>
        <v>28.35</v>
      </c>
      <c r="AE1873" s="39" t="n">
        <f aca="false">SUM(X1873:AD1873)</f>
        <v>170.75771</v>
      </c>
      <c r="AF1873" s="39" t="n">
        <f aca="false">AE1873/(1-Resumo!$B$5)</f>
        <v>194.042852272727</v>
      </c>
      <c r="AG1873" s="39" t="n">
        <f aca="false">AF1873-W1873</f>
        <v>54.8942227272727</v>
      </c>
      <c r="AH1873" s="40" t="n">
        <f aca="false">AF1873/W1873-1</f>
        <v>0.394500635087756</v>
      </c>
      <c r="AI1873" s="37" t="str">
        <f aca="false">IF(AF1873&lt;W1873,"SIM","NÃO")</f>
        <v>NÃO</v>
      </c>
      <c r="AJ1873" s="37" t="n">
        <v>2</v>
      </c>
      <c r="AK1873" s="37" t="n">
        <v>5</v>
      </c>
      <c r="AL1873" s="37" t="s">
        <v>343</v>
      </c>
      <c r="AM1873" s="39" t="n">
        <v>139.8</v>
      </c>
    </row>
    <row r="1874" customFormat="false" ht="15" hidden="false" customHeight="false" outlineLevel="0" collapsed="false">
      <c r="A1874" s="37" t="n">
        <v>395710154</v>
      </c>
      <c r="B1874" s="38" t="n">
        <v>46282.0831481482</v>
      </c>
      <c r="C1874" s="37" t="s">
        <v>379</v>
      </c>
      <c r="D1874" s="37" t="s">
        <v>2037</v>
      </c>
      <c r="E1874" s="37" t="n">
        <v>24130410</v>
      </c>
      <c r="F1874" s="37" t="s">
        <v>163</v>
      </c>
      <c r="G1874" s="37" t="s">
        <v>197</v>
      </c>
      <c r="H1874" s="37" t="s">
        <v>184</v>
      </c>
      <c r="I1874" s="37" t="n">
        <v>24.4</v>
      </c>
      <c r="J1874" s="39" t="n">
        <v>297.49</v>
      </c>
      <c r="K1874" s="37" t="s">
        <v>342</v>
      </c>
      <c r="L1874" s="39" t="n">
        <v>100.8</v>
      </c>
      <c r="M1874" s="39" t="n">
        <v>58.8</v>
      </c>
      <c r="N1874" s="39" t="n">
        <f aca="false">J1874*Resumo!$C$6</f>
        <v>0</v>
      </c>
      <c r="O1874" s="39" t="n">
        <f aca="false">J1874*Resumo!$C$7</f>
        <v>0.624729</v>
      </c>
      <c r="P1874" s="39" t="n">
        <f aca="false">J1874*Resumo!$C$8</f>
        <v>0.624729</v>
      </c>
      <c r="Q1874" s="39" t="n">
        <f aca="false">Resumo!$C$10*CEILING(I1874/100,1)</f>
        <v>1.05</v>
      </c>
      <c r="R1874" s="39" t="n">
        <f aca="false">Resumo!$C$9</f>
        <v>0</v>
      </c>
      <c r="S1874" s="39" t="n">
        <f aca="false">Resumo!$C$13</f>
        <v>13.55</v>
      </c>
      <c r="T1874" s="39" t="n">
        <f aca="false">Resumo!$C$14*CEILING(I1874,1)</f>
        <v>11.25</v>
      </c>
      <c r="U1874" s="39" t="n">
        <f aca="false">SUM(M1874:T1874)*Resumo!$C$11</f>
        <v>0</v>
      </c>
      <c r="V1874" s="39" t="n">
        <f aca="false">SUM(M1874:U1874)</f>
        <v>85.899458</v>
      </c>
      <c r="W1874" s="39" t="n">
        <f aca="false">V1874/(1-Resumo!$C$5)</f>
        <v>97.6130204545455</v>
      </c>
      <c r="X1874" s="39" t="n">
        <v>100.58</v>
      </c>
      <c r="Y1874" s="39" t="n">
        <f aca="false">J1874*Resumo!$B$6</f>
        <v>0.29749</v>
      </c>
      <c r="Z1874" s="39" t="n">
        <f aca="false">J1874*Resumo!$B$7</f>
        <v>0.59498</v>
      </c>
      <c r="AA1874" s="39" t="n">
        <f aca="false">Resumo!$B$9</f>
        <v>1</v>
      </c>
      <c r="AB1874" s="39" t="n">
        <f aca="false">Resumo!$B$10*CEILING(I1874/100,1)</f>
        <v>4.5</v>
      </c>
      <c r="AC1874" s="39" t="n">
        <f aca="false">Resumo!$B$12*CEILING(I1874,1)</f>
        <v>1.5</v>
      </c>
      <c r="AD1874" s="39" t="n">
        <f aca="false">Resumo!$B$14*CEILING(I1874,1)</f>
        <v>11.25</v>
      </c>
      <c r="AE1874" s="39" t="n">
        <f aca="false">SUM(X1874:AD1874)</f>
        <v>119.72247</v>
      </c>
      <c r="AF1874" s="39" t="n">
        <f aca="false">AE1874/(1-Resumo!$B$5)</f>
        <v>136.048261363636</v>
      </c>
      <c r="AG1874" s="39" t="n">
        <f aca="false">AF1874-W1874</f>
        <v>38.4352409090909</v>
      </c>
      <c r="AH1874" s="40" t="n">
        <f aca="false">AF1874/W1874-1</f>
        <v>0.393751168953825</v>
      </c>
      <c r="AI1874" s="37" t="str">
        <f aca="false">IF(AF1874&lt;W1874,"SIM","NÃO")</f>
        <v>NÃO</v>
      </c>
      <c r="AJ1874" s="37" t="n">
        <v>2</v>
      </c>
      <c r="AK1874" s="37" t="n">
        <v>7</v>
      </c>
      <c r="AL1874" s="37" t="s">
        <v>343</v>
      </c>
      <c r="AM1874" s="39" t="n">
        <v>100.81</v>
      </c>
    </row>
    <row r="1875" customFormat="false" ht="15" hidden="false" customHeight="false" outlineLevel="0" collapsed="false">
      <c r="A1875" s="37" t="n">
        <v>395714575</v>
      </c>
      <c r="B1875" s="38" t="n">
        <v>46282.1010763889</v>
      </c>
      <c r="C1875" s="37" t="s">
        <v>340</v>
      </c>
      <c r="D1875" s="37" t="s">
        <v>2038</v>
      </c>
      <c r="E1875" s="37" t="n">
        <v>28905165</v>
      </c>
      <c r="F1875" s="37" t="s">
        <v>172</v>
      </c>
      <c r="G1875" s="37" t="s">
        <v>198</v>
      </c>
      <c r="H1875" s="37" t="s">
        <v>184</v>
      </c>
      <c r="I1875" s="37" t="n">
        <v>27.4</v>
      </c>
      <c r="J1875" s="39" t="n">
        <v>329.99</v>
      </c>
      <c r="K1875" s="37" t="s">
        <v>342</v>
      </c>
      <c r="L1875" s="39" t="n">
        <v>108.76</v>
      </c>
      <c r="M1875" s="39" t="n">
        <v>65.63</v>
      </c>
      <c r="N1875" s="39" t="n">
        <f aca="false">J1875*Resumo!$C$6</f>
        <v>0</v>
      </c>
      <c r="O1875" s="39" t="n">
        <f aca="false">J1875*Resumo!$C$7</f>
        <v>0.692979</v>
      </c>
      <c r="P1875" s="39" t="n">
        <f aca="false">J1875*Resumo!$C$8</f>
        <v>0.692979</v>
      </c>
      <c r="Q1875" s="39" t="n">
        <f aca="false">Resumo!$C$10*CEILING(I1875/100,1)</f>
        <v>1.05</v>
      </c>
      <c r="R1875" s="39" t="n">
        <f aca="false">Resumo!$C$9</f>
        <v>0</v>
      </c>
      <c r="S1875" s="39" t="n">
        <f aca="false">Resumo!$C$13</f>
        <v>13.55</v>
      </c>
      <c r="T1875" s="39" t="n">
        <f aca="false">Resumo!$C$14*CEILING(I1875,1)</f>
        <v>12.6</v>
      </c>
      <c r="U1875" s="39" t="n">
        <f aca="false">SUM(M1875:T1875)*Resumo!$C$11</f>
        <v>0</v>
      </c>
      <c r="V1875" s="39" t="n">
        <f aca="false">SUM(M1875:U1875)</f>
        <v>94.215958</v>
      </c>
      <c r="W1875" s="39" t="n">
        <f aca="false">V1875/(1-Resumo!$C$5)</f>
        <v>107.063588636364</v>
      </c>
      <c r="X1875" s="39" t="n">
        <v>114.95</v>
      </c>
      <c r="Y1875" s="39" t="n">
        <f aca="false">J1875*Resumo!$B$6</f>
        <v>0.32999</v>
      </c>
      <c r="Z1875" s="39" t="n">
        <f aca="false">J1875*Resumo!$B$7</f>
        <v>0.65998</v>
      </c>
      <c r="AA1875" s="39" t="n">
        <f aca="false">Resumo!$B$9</f>
        <v>1</v>
      </c>
      <c r="AB1875" s="39" t="n">
        <f aca="false">Resumo!$B$10*CEILING(I1875/100,1)</f>
        <v>4.5</v>
      </c>
      <c r="AC1875" s="39" t="n">
        <f aca="false">Resumo!$B$12*CEILING(I1875,1)</f>
        <v>1.68</v>
      </c>
      <c r="AD1875" s="39" t="n">
        <f aca="false">Resumo!$B$14*CEILING(I1875,1)</f>
        <v>12.6</v>
      </c>
      <c r="AE1875" s="39" t="n">
        <f aca="false">SUM(X1875:AD1875)</f>
        <v>135.71997</v>
      </c>
      <c r="AF1875" s="39" t="n">
        <f aca="false">AE1875/(1-Resumo!$B$5)</f>
        <v>154.227238636364</v>
      </c>
      <c r="AG1875" s="39" t="n">
        <f aca="false">AF1875-W1875</f>
        <v>47.1636500000001</v>
      </c>
      <c r="AH1875" s="40" t="n">
        <f aca="false">AF1875/W1875-1</f>
        <v>0.440519980702208</v>
      </c>
      <c r="AI1875" s="37" t="str">
        <f aca="false">IF(AF1875&lt;W1875,"SIM","NÃO")</f>
        <v>NÃO</v>
      </c>
      <c r="AJ1875" s="37" t="n">
        <v>13</v>
      </c>
      <c r="AK1875" s="37" t="n">
        <v>10</v>
      </c>
      <c r="AL1875" s="37" t="s">
        <v>343</v>
      </c>
      <c r="AM1875" s="39" t="n">
        <v>108.76</v>
      </c>
    </row>
    <row r="1876" customFormat="false" ht="15" hidden="false" customHeight="false" outlineLevel="0" collapsed="false">
      <c r="A1876" s="37" t="n">
        <v>395744090</v>
      </c>
      <c r="B1876" s="38" t="n">
        <v>46282.2219791667</v>
      </c>
      <c r="C1876" s="37" t="s">
        <v>340</v>
      </c>
      <c r="D1876" s="37" t="s">
        <v>1309</v>
      </c>
      <c r="E1876" s="37" t="n">
        <v>21725020</v>
      </c>
      <c r="F1876" s="37" t="s">
        <v>159</v>
      </c>
      <c r="G1876" s="37" t="s">
        <v>196</v>
      </c>
      <c r="H1876" s="37" t="s">
        <v>185</v>
      </c>
      <c r="I1876" s="37" t="n">
        <v>37.2</v>
      </c>
      <c r="J1876" s="39" t="n">
        <v>399.99</v>
      </c>
      <c r="K1876" s="37" t="s">
        <v>342</v>
      </c>
      <c r="L1876" s="39" t="n">
        <v>91.77</v>
      </c>
      <c r="M1876" s="39" t="n">
        <v>48.35</v>
      </c>
      <c r="N1876" s="39" t="n">
        <f aca="false">J1876*Resumo!$C$6</f>
        <v>0</v>
      </c>
      <c r="O1876" s="39" t="n">
        <f aca="false">J1876*Resumo!$C$7</f>
        <v>0.839979</v>
      </c>
      <c r="P1876" s="39" t="n">
        <f aca="false">J1876*Resumo!$C$8</f>
        <v>0.839979</v>
      </c>
      <c r="Q1876" s="39" t="n">
        <f aca="false">Resumo!$C$10*CEILING(I1876/100,1)</f>
        <v>1.05</v>
      </c>
      <c r="R1876" s="39" t="n">
        <f aca="false">Resumo!$C$9</f>
        <v>0</v>
      </c>
      <c r="S1876" s="39" t="n">
        <f aca="false">Resumo!$C$13</f>
        <v>13.55</v>
      </c>
      <c r="T1876" s="39" t="n">
        <f aca="false">Resumo!$C$14*CEILING(I1876,1)</f>
        <v>17.1</v>
      </c>
      <c r="U1876" s="39" t="n">
        <f aca="false">SUM(M1876:T1876)*Resumo!$C$11</f>
        <v>0</v>
      </c>
      <c r="V1876" s="39" t="n">
        <f aca="false">SUM(M1876:U1876)</f>
        <v>81.729958</v>
      </c>
      <c r="W1876" s="39" t="n">
        <f aca="false">V1876/(1-Resumo!$C$5)</f>
        <v>92.8749522727273</v>
      </c>
      <c r="X1876" s="39" t="n">
        <v>93.97</v>
      </c>
      <c r="Y1876" s="39" t="n">
        <f aca="false">J1876*Resumo!$B$6</f>
        <v>0.39999</v>
      </c>
      <c r="Z1876" s="39" t="n">
        <f aca="false">J1876*Resumo!$B$7</f>
        <v>0.79998</v>
      </c>
      <c r="AA1876" s="39" t="n">
        <f aca="false">Resumo!$B$9</f>
        <v>1</v>
      </c>
      <c r="AB1876" s="39" t="n">
        <f aca="false">Resumo!$B$10*CEILING(I1876/100,1)</f>
        <v>4.5</v>
      </c>
      <c r="AC1876" s="39" t="n">
        <f aca="false">Resumo!$B$12*CEILING(I1876,1)</f>
        <v>2.28</v>
      </c>
      <c r="AD1876" s="39" t="n">
        <f aca="false">Resumo!$B$14*CEILING(I1876,1)</f>
        <v>17.1</v>
      </c>
      <c r="AE1876" s="39" t="n">
        <f aca="false">SUM(X1876:AD1876)</f>
        <v>120.04997</v>
      </c>
      <c r="AF1876" s="39" t="n">
        <f aca="false">AE1876/(1-Resumo!$B$5)</f>
        <v>136.420420454545</v>
      </c>
      <c r="AG1876" s="39" t="n">
        <f aca="false">AF1876-W1876</f>
        <v>43.5454681818182</v>
      </c>
      <c r="AH1876" s="40" t="n">
        <f aca="false">AF1876/W1876-1</f>
        <v>0.468861271163262</v>
      </c>
      <c r="AI1876" s="37" t="str">
        <f aca="false">IF(AF1876&lt;W1876,"SIM","NÃO")</f>
        <v>NÃO</v>
      </c>
      <c r="AJ1876" s="37" t="n">
        <v>2</v>
      </c>
      <c r="AK1876" s="37" t="n">
        <v>5</v>
      </c>
      <c r="AL1876" s="37" t="s">
        <v>343</v>
      </c>
      <c r="AM1876" s="39" t="n">
        <v>91.77</v>
      </c>
    </row>
    <row r="1877" customFormat="false" ht="15" hidden="false" customHeight="false" outlineLevel="0" collapsed="false">
      <c r="A1877" s="37" t="n">
        <v>395771362</v>
      </c>
      <c r="B1877" s="38" t="n">
        <v>46282.3222106482</v>
      </c>
      <c r="C1877" s="37" t="s">
        <v>340</v>
      </c>
      <c r="D1877" s="37" t="s">
        <v>2039</v>
      </c>
      <c r="E1877" s="37" t="n">
        <v>27197970</v>
      </c>
      <c r="F1877" s="37" t="s">
        <v>246</v>
      </c>
      <c r="G1877" s="37" t="s">
        <v>198</v>
      </c>
      <c r="H1877" s="37" t="s">
        <v>187</v>
      </c>
      <c r="I1877" s="37" t="n">
        <v>52.3</v>
      </c>
      <c r="J1877" s="39" t="n">
        <v>645.14</v>
      </c>
      <c r="K1877" s="37" t="s">
        <v>342</v>
      </c>
      <c r="L1877" s="39" t="n">
        <v>142.76</v>
      </c>
      <c r="M1877" s="39" t="n">
        <v>83.58</v>
      </c>
      <c r="N1877" s="39" t="n">
        <f aca="false">J1877*Resumo!$C$6</f>
        <v>0</v>
      </c>
      <c r="O1877" s="39" t="n">
        <f aca="false">J1877*Resumo!$C$7</f>
        <v>1.354794</v>
      </c>
      <c r="P1877" s="39" t="n">
        <f aca="false">J1877*Resumo!$C$8</f>
        <v>1.354794</v>
      </c>
      <c r="Q1877" s="39" t="n">
        <f aca="false">Resumo!$C$10*CEILING(I1877/100,1)</f>
        <v>1.05</v>
      </c>
      <c r="R1877" s="39" t="n">
        <f aca="false">Resumo!$C$9</f>
        <v>0</v>
      </c>
      <c r="S1877" s="39" t="n">
        <f aca="false">Resumo!$C$13</f>
        <v>13.55</v>
      </c>
      <c r="T1877" s="39" t="n">
        <f aca="false">Resumo!$C$14*CEILING(I1877,1)</f>
        <v>23.85</v>
      </c>
      <c r="U1877" s="39" t="n">
        <f aca="false">SUM(M1877:T1877)*Resumo!$C$11</f>
        <v>0</v>
      </c>
      <c r="V1877" s="39" t="n">
        <f aca="false">SUM(M1877:U1877)</f>
        <v>124.739588</v>
      </c>
      <c r="W1877" s="39" t="n">
        <f aca="false">V1877/(1-Resumo!$C$5)</f>
        <v>141.749531818182</v>
      </c>
      <c r="X1877" s="39" t="n">
        <v>142.32</v>
      </c>
      <c r="Y1877" s="39" t="n">
        <f aca="false">J1877*Resumo!$B$6</f>
        <v>0.64514</v>
      </c>
      <c r="Z1877" s="39" t="n">
        <f aca="false">J1877*Resumo!$B$7</f>
        <v>1.29028</v>
      </c>
      <c r="AA1877" s="39" t="n">
        <f aca="false">Resumo!$B$9</f>
        <v>1</v>
      </c>
      <c r="AB1877" s="39" t="n">
        <f aca="false">Resumo!$B$10*CEILING(I1877/100,1)</f>
        <v>4.5</v>
      </c>
      <c r="AC1877" s="39" t="n">
        <f aca="false">Resumo!$B$12*CEILING(I1877,1)</f>
        <v>3.18</v>
      </c>
      <c r="AD1877" s="39" t="n">
        <f aca="false">Resumo!$B$14*CEILING(I1877,1)</f>
        <v>23.85</v>
      </c>
      <c r="AE1877" s="39" t="n">
        <f aca="false">SUM(X1877:AD1877)</f>
        <v>176.78542</v>
      </c>
      <c r="AF1877" s="39" t="n">
        <f aca="false">AE1877/(1-Resumo!$B$5)</f>
        <v>200.892522727273</v>
      </c>
      <c r="AG1877" s="39" t="n">
        <f aca="false">AF1877-W1877</f>
        <v>59.1429909090909</v>
      </c>
      <c r="AH1877" s="40" t="n">
        <f aca="false">AF1877/W1877-1</f>
        <v>0.417235881843701</v>
      </c>
      <c r="AI1877" s="37" t="str">
        <f aca="false">IF(AF1877&lt;W1877,"SIM","NÃO")</f>
        <v>NÃO</v>
      </c>
      <c r="AJ1877" s="37" t="n">
        <v>13</v>
      </c>
      <c r="AK1877" s="37" t="n">
        <v>10</v>
      </c>
      <c r="AL1877" s="37" t="s">
        <v>347</v>
      </c>
      <c r="AM1877" s="39" t="n">
        <v>142.76</v>
      </c>
    </row>
    <row r="1878" customFormat="false" ht="15" hidden="false" customHeight="false" outlineLevel="0" collapsed="false">
      <c r="A1878" s="37" t="n">
        <v>395774633</v>
      </c>
      <c r="B1878" s="38" t="n">
        <v>46282.3348263889</v>
      </c>
      <c r="C1878" s="37" t="s">
        <v>372</v>
      </c>
      <c r="D1878" s="37" t="s">
        <v>1283</v>
      </c>
      <c r="E1878" s="37" t="n">
        <v>21020160</v>
      </c>
      <c r="F1878" s="37" t="s">
        <v>159</v>
      </c>
      <c r="G1878" s="37" t="s">
        <v>196</v>
      </c>
      <c r="H1878" s="37" t="s">
        <v>187</v>
      </c>
      <c r="I1878" s="37" t="n">
        <v>58.6</v>
      </c>
      <c r="J1878" s="39" t="n">
        <v>692.99</v>
      </c>
      <c r="K1878" s="37" t="s">
        <v>342</v>
      </c>
      <c r="L1878" s="39" t="n">
        <v>114.48</v>
      </c>
      <c r="M1878" s="39" t="n">
        <v>58.6</v>
      </c>
      <c r="N1878" s="39" t="n">
        <f aca="false">J1878*Resumo!$C$6</f>
        <v>0</v>
      </c>
      <c r="O1878" s="39" t="n">
        <f aca="false">J1878*Resumo!$C$7</f>
        <v>1.455279</v>
      </c>
      <c r="P1878" s="39" t="n">
        <f aca="false">J1878*Resumo!$C$8</f>
        <v>1.455279</v>
      </c>
      <c r="Q1878" s="39" t="n">
        <f aca="false">Resumo!$C$10*CEILING(I1878/100,1)</f>
        <v>1.05</v>
      </c>
      <c r="R1878" s="39" t="n">
        <f aca="false">Resumo!$C$9</f>
        <v>0</v>
      </c>
      <c r="S1878" s="39" t="n">
        <f aca="false">Resumo!$C$13</f>
        <v>13.55</v>
      </c>
      <c r="T1878" s="39" t="n">
        <f aca="false">Resumo!$C$14*CEILING(I1878,1)</f>
        <v>26.55</v>
      </c>
      <c r="U1878" s="39" t="n">
        <f aca="false">SUM(M1878:T1878)*Resumo!$C$11</f>
        <v>0</v>
      </c>
      <c r="V1878" s="39" t="n">
        <f aca="false">SUM(M1878:U1878)</f>
        <v>102.660558</v>
      </c>
      <c r="W1878" s="39" t="n">
        <f aca="false">V1878/(1-Resumo!$C$5)</f>
        <v>116.659725</v>
      </c>
      <c r="X1878" s="39" t="n">
        <v>112.3</v>
      </c>
      <c r="Y1878" s="39" t="n">
        <f aca="false">J1878*Resumo!$B$6</f>
        <v>0.69299</v>
      </c>
      <c r="Z1878" s="39" t="n">
        <f aca="false">J1878*Resumo!$B$7</f>
        <v>1.38598</v>
      </c>
      <c r="AA1878" s="39" t="n">
        <f aca="false">Resumo!$B$9</f>
        <v>1</v>
      </c>
      <c r="AB1878" s="39" t="n">
        <f aca="false">Resumo!$B$10*CEILING(I1878/100,1)</f>
        <v>4.5</v>
      </c>
      <c r="AC1878" s="39" t="n">
        <f aca="false">Resumo!$B$12*CEILING(I1878,1)</f>
        <v>3.54</v>
      </c>
      <c r="AD1878" s="39" t="n">
        <f aca="false">Resumo!$B$14*CEILING(I1878,1)</f>
        <v>26.55</v>
      </c>
      <c r="AE1878" s="39" t="n">
        <f aca="false">SUM(X1878:AD1878)</f>
        <v>149.96897</v>
      </c>
      <c r="AF1878" s="39" t="n">
        <f aca="false">AE1878/(1-Resumo!$B$5)</f>
        <v>170.419284090909</v>
      </c>
      <c r="AG1878" s="39" t="n">
        <f aca="false">AF1878-W1878</f>
        <v>53.7595590909091</v>
      </c>
      <c r="AH1878" s="40" t="n">
        <f aca="false">AF1878/W1878-1</f>
        <v>0.460823639785788</v>
      </c>
      <c r="AI1878" s="37" t="str">
        <f aca="false">IF(AF1878&lt;W1878,"SIM","NÃO")</f>
        <v>NÃO</v>
      </c>
      <c r="AJ1878" s="37" t="n">
        <v>2</v>
      </c>
      <c r="AK1878" s="37" t="n">
        <v>5</v>
      </c>
      <c r="AL1878" s="37" t="s">
        <v>343</v>
      </c>
      <c r="AM1878" s="39" t="n">
        <v>114.47</v>
      </c>
    </row>
    <row r="1879" customFormat="false" ht="15" hidden="false" customHeight="false" outlineLevel="0" collapsed="false">
      <c r="A1879" s="37" t="n">
        <v>395786580</v>
      </c>
      <c r="B1879" s="38" t="n">
        <v>46282.3651967593</v>
      </c>
      <c r="C1879" s="37" t="s">
        <v>340</v>
      </c>
      <c r="D1879" s="37" t="s">
        <v>2040</v>
      </c>
      <c r="E1879" s="37" t="n">
        <v>28090230</v>
      </c>
      <c r="F1879" s="37" t="s">
        <v>164</v>
      </c>
      <c r="G1879" s="37" t="s">
        <v>198</v>
      </c>
      <c r="H1879" s="37" t="s">
        <v>187</v>
      </c>
      <c r="I1879" s="37" t="n">
        <v>56.7</v>
      </c>
      <c r="J1879" s="39" t="n">
        <v>799.99</v>
      </c>
      <c r="K1879" s="37" t="s">
        <v>342</v>
      </c>
      <c r="L1879" s="39" t="n">
        <v>143.5</v>
      </c>
      <c r="M1879" s="39" t="n">
        <v>83.58</v>
      </c>
      <c r="N1879" s="39" t="n">
        <f aca="false">J1879*Resumo!$C$6</f>
        <v>0</v>
      </c>
      <c r="O1879" s="39" t="n">
        <f aca="false">J1879*Resumo!$C$7</f>
        <v>1.679979</v>
      </c>
      <c r="P1879" s="39" t="n">
        <f aca="false">J1879*Resumo!$C$8</f>
        <v>1.679979</v>
      </c>
      <c r="Q1879" s="39" t="n">
        <f aca="false">Resumo!$C$10*CEILING(I1879/100,1)</f>
        <v>1.05</v>
      </c>
      <c r="R1879" s="39" t="n">
        <f aca="false">Resumo!$C$9</f>
        <v>0</v>
      </c>
      <c r="S1879" s="39" t="n">
        <f aca="false">Resumo!$C$13</f>
        <v>13.55</v>
      </c>
      <c r="T1879" s="39" t="n">
        <f aca="false">Resumo!$C$14*CEILING(I1879,1)</f>
        <v>25.65</v>
      </c>
      <c r="U1879" s="39" t="n">
        <f aca="false">SUM(M1879:T1879)*Resumo!$C$11</f>
        <v>0</v>
      </c>
      <c r="V1879" s="39" t="n">
        <f aca="false">SUM(M1879:U1879)</f>
        <v>127.189958</v>
      </c>
      <c r="W1879" s="39" t="n">
        <f aca="false">V1879/(1-Resumo!$C$5)</f>
        <v>144.534043181818</v>
      </c>
      <c r="X1879" s="39" t="n">
        <v>162.04</v>
      </c>
      <c r="Y1879" s="39" t="n">
        <f aca="false">J1879*Resumo!$B$6</f>
        <v>0.79999</v>
      </c>
      <c r="Z1879" s="39" t="n">
        <f aca="false">J1879*Resumo!$B$7</f>
        <v>1.59998</v>
      </c>
      <c r="AA1879" s="39" t="n">
        <f aca="false">Resumo!$B$9</f>
        <v>1</v>
      </c>
      <c r="AB1879" s="39" t="n">
        <f aca="false">Resumo!$B$10*CEILING(I1879/100,1)</f>
        <v>4.5</v>
      </c>
      <c r="AC1879" s="39" t="n">
        <f aca="false">Resumo!$B$12*CEILING(I1879,1)</f>
        <v>3.42</v>
      </c>
      <c r="AD1879" s="39" t="n">
        <f aca="false">Resumo!$B$14*CEILING(I1879,1)</f>
        <v>25.65</v>
      </c>
      <c r="AE1879" s="39" t="n">
        <f aca="false">SUM(X1879:AD1879)</f>
        <v>199.00997</v>
      </c>
      <c r="AF1879" s="39" t="n">
        <f aca="false">AE1879/(1-Resumo!$B$5)</f>
        <v>226.147693181818</v>
      </c>
      <c r="AG1879" s="39" t="n">
        <f aca="false">AF1879-W1879</f>
        <v>81.61365</v>
      </c>
      <c r="AH1879" s="40" t="n">
        <f aca="false">AF1879/W1879-1</f>
        <v>0.564667314380275</v>
      </c>
      <c r="AI1879" s="37" t="str">
        <f aca="false">IF(AF1879&lt;W1879,"SIM","NÃO")</f>
        <v>NÃO</v>
      </c>
      <c r="AJ1879" s="37" t="n">
        <v>13</v>
      </c>
      <c r="AK1879" s="37" t="n">
        <v>11</v>
      </c>
      <c r="AL1879" s="37" t="s">
        <v>343</v>
      </c>
      <c r="AM1879" s="39" t="n">
        <v>143.5</v>
      </c>
    </row>
    <row r="1880" customFormat="false" ht="15" hidden="false" customHeight="false" outlineLevel="0" collapsed="false">
      <c r="A1880" s="37" t="n">
        <v>395800048</v>
      </c>
      <c r="B1880" s="38" t="n">
        <v>46282.3974652778</v>
      </c>
      <c r="C1880" s="37" t="s">
        <v>340</v>
      </c>
      <c r="D1880" s="37" t="s">
        <v>2041</v>
      </c>
      <c r="E1880" s="37" t="n">
        <v>26210022</v>
      </c>
      <c r="F1880" s="37" t="s">
        <v>162</v>
      </c>
      <c r="G1880" s="37" t="s">
        <v>197</v>
      </c>
      <c r="H1880" s="37" t="s">
        <v>187</v>
      </c>
      <c r="I1880" s="37" t="n">
        <v>52.3</v>
      </c>
      <c r="J1880" s="39" t="n">
        <v>699.99</v>
      </c>
      <c r="K1880" s="37" t="s">
        <v>342</v>
      </c>
      <c r="L1880" s="39" t="n">
        <v>128.64</v>
      </c>
      <c r="M1880" s="39" t="n">
        <v>70.98</v>
      </c>
      <c r="N1880" s="39" t="n">
        <f aca="false">J1880*Resumo!$C$6</f>
        <v>0</v>
      </c>
      <c r="O1880" s="39" t="n">
        <f aca="false">J1880*Resumo!$C$7</f>
        <v>1.469979</v>
      </c>
      <c r="P1880" s="39" t="n">
        <f aca="false">J1880*Resumo!$C$8</f>
        <v>1.469979</v>
      </c>
      <c r="Q1880" s="39" t="n">
        <f aca="false">Resumo!$C$10*CEILING(I1880/100,1)</f>
        <v>1.05</v>
      </c>
      <c r="R1880" s="39" t="n">
        <f aca="false">Resumo!$C$9</f>
        <v>0</v>
      </c>
      <c r="S1880" s="39" t="n">
        <f aca="false">Resumo!$C$13</f>
        <v>13.55</v>
      </c>
      <c r="T1880" s="39" t="n">
        <f aca="false">Resumo!$C$14*CEILING(I1880,1)</f>
        <v>23.85</v>
      </c>
      <c r="U1880" s="39" t="n">
        <f aca="false">SUM(M1880:T1880)*Resumo!$C$11</f>
        <v>0</v>
      </c>
      <c r="V1880" s="39" t="n">
        <f aca="false">SUM(M1880:U1880)</f>
        <v>112.369958</v>
      </c>
      <c r="W1880" s="39" t="n">
        <f aca="false">V1880/(1-Resumo!$C$5)</f>
        <v>127.693134090909</v>
      </c>
      <c r="X1880" s="39" t="n">
        <v>112.3</v>
      </c>
      <c r="Y1880" s="39" t="n">
        <f aca="false">J1880*Resumo!$B$6</f>
        <v>0.69999</v>
      </c>
      <c r="Z1880" s="39" t="n">
        <f aca="false">J1880*Resumo!$B$7</f>
        <v>1.39998</v>
      </c>
      <c r="AA1880" s="39" t="n">
        <f aca="false">Resumo!$B$9</f>
        <v>1</v>
      </c>
      <c r="AB1880" s="39" t="n">
        <f aca="false">Resumo!$B$10*CEILING(I1880/100,1)</f>
        <v>4.5</v>
      </c>
      <c r="AC1880" s="39" t="n">
        <f aca="false">Resumo!$B$12*CEILING(I1880,1)</f>
        <v>3.18</v>
      </c>
      <c r="AD1880" s="39" t="n">
        <f aca="false">Resumo!$B$14*CEILING(I1880,1)</f>
        <v>23.85</v>
      </c>
      <c r="AE1880" s="39" t="n">
        <f aca="false">SUM(X1880:AD1880)</f>
        <v>146.92997</v>
      </c>
      <c r="AF1880" s="39" t="n">
        <f aca="false">AE1880/(1-Resumo!$B$5)</f>
        <v>166.965875</v>
      </c>
      <c r="AG1880" s="39" t="n">
        <f aca="false">AF1880-W1880</f>
        <v>39.2727409090909</v>
      </c>
      <c r="AH1880" s="40" t="n">
        <f aca="false">AF1880/W1880-1</f>
        <v>0.307555619091715</v>
      </c>
      <c r="AI1880" s="37" t="str">
        <f aca="false">IF(AF1880&lt;W1880,"SIM","NÃO")</f>
        <v>NÃO</v>
      </c>
      <c r="AJ1880" s="37" t="n">
        <v>2</v>
      </c>
      <c r="AK1880" s="37" t="n">
        <v>5</v>
      </c>
      <c r="AL1880" s="37" t="s">
        <v>343</v>
      </c>
      <c r="AM1880" s="39" t="n">
        <v>128.64</v>
      </c>
    </row>
    <row r="1881" customFormat="false" ht="15" hidden="false" customHeight="false" outlineLevel="0" collapsed="false">
      <c r="A1881" s="37" t="n">
        <v>395808305</v>
      </c>
      <c r="B1881" s="38" t="n">
        <v>46282.4158449074</v>
      </c>
      <c r="C1881" s="37" t="s">
        <v>340</v>
      </c>
      <c r="D1881" s="37" t="s">
        <v>2042</v>
      </c>
      <c r="E1881" s="37" t="n">
        <v>28959880</v>
      </c>
      <c r="F1881" s="37" t="s">
        <v>293</v>
      </c>
      <c r="G1881" s="37" t="s">
        <v>198</v>
      </c>
      <c r="H1881" s="37" t="s">
        <v>183</v>
      </c>
      <c r="I1881" s="37" t="n">
        <v>19.5</v>
      </c>
      <c r="J1881" s="39" t="n">
        <v>450.7</v>
      </c>
      <c r="K1881" s="37" t="s">
        <v>342</v>
      </c>
      <c r="L1881" s="39" t="n">
        <v>80.82</v>
      </c>
      <c r="M1881" s="39" t="n">
        <v>46.95</v>
      </c>
      <c r="N1881" s="39" t="n">
        <f aca="false">J1881*Resumo!$C$6</f>
        <v>0</v>
      </c>
      <c r="O1881" s="39" t="n">
        <f aca="false">J1881*Resumo!$C$7</f>
        <v>0.94647</v>
      </c>
      <c r="P1881" s="39" t="n">
        <f aca="false">J1881*Resumo!$C$8</f>
        <v>0.94647</v>
      </c>
      <c r="Q1881" s="39" t="n">
        <f aca="false">Resumo!$C$10*CEILING(I1881/100,1)</f>
        <v>1.05</v>
      </c>
      <c r="R1881" s="39" t="n">
        <f aca="false">Resumo!$C$9</f>
        <v>0</v>
      </c>
      <c r="S1881" s="39" t="n">
        <f aca="false">Resumo!$C$13</f>
        <v>13.55</v>
      </c>
      <c r="T1881" s="39" t="n">
        <f aca="false">Resumo!$C$14*CEILING(I1881,1)</f>
        <v>9</v>
      </c>
      <c r="U1881" s="39" t="n">
        <f aca="false">SUM(M1881:T1881)*Resumo!$C$11</f>
        <v>0</v>
      </c>
      <c r="V1881" s="39" t="n">
        <f aca="false">SUM(M1881:U1881)</f>
        <v>72.44294</v>
      </c>
      <c r="W1881" s="39" t="n">
        <f aca="false">V1881/(1-Resumo!$C$5)</f>
        <v>82.3215227272727</v>
      </c>
      <c r="X1881" s="39" t="n">
        <v>100.7</v>
      </c>
      <c r="Y1881" s="39" t="n">
        <f aca="false">J1881*Resumo!$B$6</f>
        <v>0.4507</v>
      </c>
      <c r="Z1881" s="39" t="n">
        <f aca="false">J1881*Resumo!$B$7</f>
        <v>0.9014</v>
      </c>
      <c r="AA1881" s="39" t="n">
        <f aca="false">Resumo!$B$9</f>
        <v>1</v>
      </c>
      <c r="AB1881" s="39" t="n">
        <f aca="false">Resumo!$B$10*CEILING(I1881/100,1)</f>
        <v>4.5</v>
      </c>
      <c r="AC1881" s="39" t="n">
        <f aca="false">Resumo!$B$12*CEILING(I1881,1)</f>
        <v>1.2</v>
      </c>
      <c r="AD1881" s="39" t="n">
        <f aca="false">Resumo!$B$14*CEILING(I1881,1)</f>
        <v>9</v>
      </c>
      <c r="AE1881" s="39" t="n">
        <f aca="false">SUM(X1881:AD1881)</f>
        <v>117.7521</v>
      </c>
      <c r="AF1881" s="39" t="n">
        <f aca="false">AE1881/(1-Resumo!$B$5)</f>
        <v>133.809204545455</v>
      </c>
      <c r="AG1881" s="39" t="n">
        <f aca="false">AF1881-W1881</f>
        <v>51.4876818181818</v>
      </c>
      <c r="AH1881" s="40" t="n">
        <f aca="false">AF1881/W1881-1</f>
        <v>0.625446178744264</v>
      </c>
      <c r="AI1881" s="37" t="str">
        <f aca="false">IF(AF1881&lt;W1881,"SIM","NÃO")</f>
        <v>NÃO</v>
      </c>
      <c r="AJ1881" s="37" t="n">
        <v>13</v>
      </c>
      <c r="AK1881" s="37" t="n">
        <v>10</v>
      </c>
      <c r="AL1881" s="37" t="s">
        <v>347</v>
      </c>
      <c r="AM1881" s="39" t="n">
        <v>80.82</v>
      </c>
    </row>
    <row r="1882" customFormat="false" ht="15" hidden="false" customHeight="false" outlineLevel="0" collapsed="false">
      <c r="A1882" s="37" t="n">
        <v>395809443</v>
      </c>
      <c r="B1882" s="38" t="n">
        <v>46282.4192361111</v>
      </c>
      <c r="C1882" s="37" t="s">
        <v>340</v>
      </c>
      <c r="D1882" s="37" t="s">
        <v>2043</v>
      </c>
      <c r="E1882" s="37" t="n">
        <v>28635010</v>
      </c>
      <c r="F1882" s="37" t="s">
        <v>177</v>
      </c>
      <c r="G1882" s="37" t="s">
        <v>198</v>
      </c>
      <c r="H1882" s="37" t="s">
        <v>187</v>
      </c>
      <c r="I1882" s="37" t="n">
        <v>52.3</v>
      </c>
      <c r="J1882" s="39" t="n">
        <v>645.14</v>
      </c>
      <c r="K1882" s="37" t="s">
        <v>342</v>
      </c>
      <c r="L1882" s="39" t="n">
        <v>142.76</v>
      </c>
      <c r="M1882" s="39" t="n">
        <v>83.58</v>
      </c>
      <c r="N1882" s="39" t="n">
        <f aca="false">J1882*Resumo!$C$6</f>
        <v>0</v>
      </c>
      <c r="O1882" s="39" t="n">
        <f aca="false">J1882*Resumo!$C$7</f>
        <v>1.354794</v>
      </c>
      <c r="P1882" s="39" t="n">
        <f aca="false">J1882*Resumo!$C$8</f>
        <v>1.354794</v>
      </c>
      <c r="Q1882" s="39" t="n">
        <f aca="false">Resumo!$C$10*CEILING(I1882/100,1)</f>
        <v>1.05</v>
      </c>
      <c r="R1882" s="39" t="n">
        <f aca="false">Resumo!$C$9</f>
        <v>0</v>
      </c>
      <c r="S1882" s="39" t="n">
        <f aca="false">Resumo!$C$13</f>
        <v>13.55</v>
      </c>
      <c r="T1882" s="39" t="n">
        <f aca="false">Resumo!$C$14*CEILING(I1882,1)</f>
        <v>23.85</v>
      </c>
      <c r="U1882" s="39" t="n">
        <f aca="false">SUM(M1882:T1882)*Resumo!$C$11</f>
        <v>0</v>
      </c>
      <c r="V1882" s="39" t="n">
        <f aca="false">SUM(M1882:U1882)</f>
        <v>124.739588</v>
      </c>
      <c r="W1882" s="39" t="n">
        <f aca="false">V1882/(1-Resumo!$C$5)</f>
        <v>141.749531818182</v>
      </c>
      <c r="X1882" s="39" t="n">
        <v>144.53</v>
      </c>
      <c r="Y1882" s="39" t="n">
        <f aca="false">J1882*Resumo!$B$6</f>
        <v>0.64514</v>
      </c>
      <c r="Z1882" s="39" t="n">
        <f aca="false">J1882*Resumo!$B$7</f>
        <v>1.29028</v>
      </c>
      <c r="AA1882" s="39" t="n">
        <f aca="false">Resumo!$B$9</f>
        <v>1</v>
      </c>
      <c r="AB1882" s="39" t="n">
        <f aca="false">Resumo!$B$10*CEILING(I1882/100,1)</f>
        <v>4.5</v>
      </c>
      <c r="AC1882" s="39" t="n">
        <f aca="false">Resumo!$B$12*CEILING(I1882,1)</f>
        <v>3.18</v>
      </c>
      <c r="AD1882" s="39" t="n">
        <f aca="false">Resumo!$B$14*CEILING(I1882,1)</f>
        <v>23.85</v>
      </c>
      <c r="AE1882" s="39" t="n">
        <f aca="false">SUM(X1882:AD1882)</f>
        <v>178.99542</v>
      </c>
      <c r="AF1882" s="39" t="n">
        <f aca="false">AE1882/(1-Resumo!$B$5)</f>
        <v>203.403886363636</v>
      </c>
      <c r="AG1882" s="39" t="n">
        <f aca="false">AF1882-W1882</f>
        <v>61.6543545454545</v>
      </c>
      <c r="AH1882" s="40" t="n">
        <f aca="false">AF1882/W1882-1</f>
        <v>0.434952791410534</v>
      </c>
      <c r="AI1882" s="37" t="str">
        <f aca="false">IF(AF1882&lt;W1882,"SIM","NÃO")</f>
        <v>NÃO</v>
      </c>
      <c r="AJ1882" s="37" t="n">
        <v>13</v>
      </c>
      <c r="AK1882" s="37" t="n">
        <v>10</v>
      </c>
      <c r="AL1882" s="37" t="s">
        <v>343</v>
      </c>
      <c r="AM1882" s="39" t="n">
        <v>142.76</v>
      </c>
    </row>
    <row r="1883" customFormat="false" ht="15" hidden="false" customHeight="false" outlineLevel="0" collapsed="false">
      <c r="A1883" s="37" t="n">
        <v>395828342</v>
      </c>
      <c r="B1883" s="38" t="n">
        <v>46282.4647222222</v>
      </c>
      <c r="C1883" s="37" t="s">
        <v>340</v>
      </c>
      <c r="D1883" s="37" t="s">
        <v>1374</v>
      </c>
      <c r="E1883" s="37" t="n">
        <v>24422400</v>
      </c>
      <c r="F1883" s="37" t="s">
        <v>160</v>
      </c>
      <c r="G1883" s="37" t="s">
        <v>197</v>
      </c>
      <c r="H1883" s="37" t="s">
        <v>187</v>
      </c>
      <c r="I1883" s="37" t="n">
        <v>60</v>
      </c>
      <c r="J1883" s="39" t="n">
        <v>823.09</v>
      </c>
      <c r="K1883" s="37" t="s">
        <v>342</v>
      </c>
      <c r="L1883" s="39" t="n">
        <v>129.24</v>
      </c>
      <c r="M1883" s="39" t="n">
        <v>70.98</v>
      </c>
      <c r="N1883" s="39" t="n">
        <f aca="false">J1883*Resumo!$C$6</f>
        <v>0</v>
      </c>
      <c r="O1883" s="39" t="n">
        <f aca="false">J1883*Resumo!$C$7</f>
        <v>1.728489</v>
      </c>
      <c r="P1883" s="39" t="n">
        <f aca="false">J1883*Resumo!$C$8</f>
        <v>1.728489</v>
      </c>
      <c r="Q1883" s="39" t="n">
        <f aca="false">Resumo!$C$10*CEILING(I1883/100,1)</f>
        <v>1.05</v>
      </c>
      <c r="R1883" s="39" t="n">
        <f aca="false">Resumo!$C$9</f>
        <v>0</v>
      </c>
      <c r="S1883" s="39" t="n">
        <f aca="false">Resumo!$C$13</f>
        <v>13.55</v>
      </c>
      <c r="T1883" s="39" t="n">
        <f aca="false">Resumo!$C$14*CEILING(I1883,1)</f>
        <v>27</v>
      </c>
      <c r="U1883" s="39" t="n">
        <f aca="false">SUM(M1883:T1883)*Resumo!$C$11</f>
        <v>0</v>
      </c>
      <c r="V1883" s="39" t="n">
        <f aca="false">SUM(M1883:U1883)</f>
        <v>116.036978</v>
      </c>
      <c r="W1883" s="39" t="n">
        <f aca="false">V1883/(1-Resumo!$C$5)</f>
        <v>131.860202272727</v>
      </c>
      <c r="X1883" s="39" t="n">
        <v>128.14</v>
      </c>
      <c r="Y1883" s="39" t="n">
        <f aca="false">J1883*Resumo!$B$6</f>
        <v>0.82309</v>
      </c>
      <c r="Z1883" s="39" t="n">
        <f aca="false">J1883*Resumo!$B$7</f>
        <v>1.64618</v>
      </c>
      <c r="AA1883" s="39" t="n">
        <f aca="false">Resumo!$B$9</f>
        <v>1</v>
      </c>
      <c r="AB1883" s="39" t="n">
        <f aca="false">Resumo!$B$10*CEILING(I1883/100,1)</f>
        <v>4.5</v>
      </c>
      <c r="AC1883" s="39" t="n">
        <f aca="false">Resumo!$B$12*CEILING(I1883,1)</f>
        <v>3.6</v>
      </c>
      <c r="AD1883" s="39" t="n">
        <f aca="false">Resumo!$B$14*CEILING(I1883,1)</f>
        <v>27</v>
      </c>
      <c r="AE1883" s="39" t="n">
        <f aca="false">SUM(X1883:AD1883)</f>
        <v>166.70927</v>
      </c>
      <c r="AF1883" s="39" t="n">
        <f aca="false">AE1883/(1-Resumo!$B$5)</f>
        <v>189.442352272727</v>
      </c>
      <c r="AG1883" s="39" t="n">
        <f aca="false">AF1883-W1883</f>
        <v>57.58215</v>
      </c>
      <c r="AH1883" s="40" t="n">
        <f aca="false">AF1883/W1883-1</f>
        <v>0.436690896931149</v>
      </c>
      <c r="AI1883" s="37" t="str">
        <f aca="false">IF(AF1883&lt;W1883,"SIM","NÃO")</f>
        <v>NÃO</v>
      </c>
      <c r="AJ1883" s="37" t="n">
        <v>2</v>
      </c>
      <c r="AK1883" s="37" t="n">
        <v>7</v>
      </c>
      <c r="AL1883" s="37" t="s">
        <v>343</v>
      </c>
      <c r="AM1883" s="39" t="n">
        <v>129.23</v>
      </c>
    </row>
    <row r="1884" customFormat="false" ht="15" hidden="false" customHeight="false" outlineLevel="0" collapsed="false">
      <c r="A1884" s="37" t="n">
        <v>395837545</v>
      </c>
      <c r="B1884" s="38" t="n">
        <v>46282.4882175926</v>
      </c>
      <c r="C1884" s="37" t="s">
        <v>340</v>
      </c>
      <c r="D1884" s="37" t="s">
        <v>2044</v>
      </c>
      <c r="E1884" s="37" t="n">
        <v>21910160</v>
      </c>
      <c r="F1884" s="37" t="s">
        <v>159</v>
      </c>
      <c r="G1884" s="37" t="s">
        <v>196</v>
      </c>
      <c r="H1884" s="37" t="s">
        <v>185</v>
      </c>
      <c r="I1884" s="37" t="n">
        <v>40</v>
      </c>
      <c r="J1884" s="39" t="n">
        <v>562.42</v>
      </c>
      <c r="K1884" s="37" t="s">
        <v>342</v>
      </c>
      <c r="L1884" s="39" t="n">
        <v>92.55</v>
      </c>
      <c r="M1884" s="39" t="n">
        <v>48.35</v>
      </c>
      <c r="N1884" s="39" t="n">
        <f aca="false">J1884*Resumo!$C$6</f>
        <v>0</v>
      </c>
      <c r="O1884" s="39" t="n">
        <f aca="false">J1884*Resumo!$C$7</f>
        <v>1.181082</v>
      </c>
      <c r="P1884" s="39" t="n">
        <f aca="false">J1884*Resumo!$C$8</f>
        <v>1.181082</v>
      </c>
      <c r="Q1884" s="39" t="n">
        <f aca="false">Resumo!$C$10*CEILING(I1884/100,1)</f>
        <v>1.05</v>
      </c>
      <c r="R1884" s="39" t="n">
        <f aca="false">Resumo!$C$9</f>
        <v>0</v>
      </c>
      <c r="S1884" s="39" t="n">
        <f aca="false">Resumo!$C$13</f>
        <v>13.55</v>
      </c>
      <c r="T1884" s="39" t="n">
        <f aca="false">Resumo!$C$14*CEILING(I1884,1)</f>
        <v>18</v>
      </c>
      <c r="U1884" s="39" t="n">
        <f aca="false">SUM(M1884:T1884)*Resumo!$C$11</f>
        <v>0</v>
      </c>
      <c r="V1884" s="39" t="n">
        <f aca="false">SUM(M1884:U1884)</f>
        <v>83.312164</v>
      </c>
      <c r="W1884" s="39" t="n">
        <f aca="false">V1884/(1-Resumo!$C$5)</f>
        <v>94.6729136363636</v>
      </c>
      <c r="X1884" s="39" t="n">
        <v>93.97</v>
      </c>
      <c r="Y1884" s="39" t="n">
        <f aca="false">J1884*Resumo!$B$6</f>
        <v>0.56242</v>
      </c>
      <c r="Z1884" s="39" t="n">
        <f aca="false">J1884*Resumo!$B$7</f>
        <v>1.12484</v>
      </c>
      <c r="AA1884" s="39" t="n">
        <f aca="false">Resumo!$B$9</f>
        <v>1</v>
      </c>
      <c r="AB1884" s="39" t="n">
        <f aca="false">Resumo!$B$10*CEILING(I1884/100,1)</f>
        <v>4.5</v>
      </c>
      <c r="AC1884" s="39" t="n">
        <f aca="false">Resumo!$B$12*CEILING(I1884,1)</f>
        <v>2.4</v>
      </c>
      <c r="AD1884" s="39" t="n">
        <f aca="false">Resumo!$B$14*CEILING(I1884,1)</f>
        <v>18</v>
      </c>
      <c r="AE1884" s="39" t="n">
        <f aca="false">SUM(X1884:AD1884)</f>
        <v>121.55726</v>
      </c>
      <c r="AF1884" s="39" t="n">
        <f aca="false">AE1884/(1-Resumo!$B$5)</f>
        <v>138.13325</v>
      </c>
      <c r="AG1884" s="39" t="n">
        <f aca="false">AF1884-W1884</f>
        <v>43.4603363636364</v>
      </c>
      <c r="AH1884" s="40" t="n">
        <f aca="false">AF1884/W1884-1</f>
        <v>0.459057767362759</v>
      </c>
      <c r="AI1884" s="37" t="str">
        <f aca="false">IF(AF1884&lt;W1884,"SIM","NÃO")</f>
        <v>NÃO</v>
      </c>
      <c r="AJ1884" s="37" t="n">
        <v>2</v>
      </c>
      <c r="AK1884" s="37" t="n">
        <v>5</v>
      </c>
      <c r="AL1884" s="37" t="s">
        <v>343</v>
      </c>
      <c r="AM1884" s="39" t="n">
        <v>92.55</v>
      </c>
    </row>
    <row r="1885" customFormat="false" ht="15" hidden="false" customHeight="false" outlineLevel="0" collapsed="false">
      <c r="A1885" s="37" t="n">
        <v>395859493</v>
      </c>
      <c r="B1885" s="38" t="n">
        <v>46282.5369444444</v>
      </c>
      <c r="C1885" s="37" t="s">
        <v>345</v>
      </c>
      <c r="D1885" s="37" t="s">
        <v>2045</v>
      </c>
      <c r="E1885" s="37" t="n">
        <v>22471180</v>
      </c>
      <c r="F1885" s="37" t="s">
        <v>159</v>
      </c>
      <c r="G1885" s="37" t="s">
        <v>196</v>
      </c>
      <c r="H1885" s="37" t="s">
        <v>187</v>
      </c>
      <c r="I1885" s="37" t="n">
        <v>52.3</v>
      </c>
      <c r="J1885" s="39" t="n">
        <v>649.99</v>
      </c>
      <c r="K1885" s="37" t="s">
        <v>342</v>
      </c>
      <c r="L1885" s="39" t="n">
        <v>114.26</v>
      </c>
      <c r="M1885" s="39" t="n">
        <v>58.6</v>
      </c>
      <c r="N1885" s="39" t="n">
        <f aca="false">J1885*Resumo!$C$6</f>
        <v>0</v>
      </c>
      <c r="O1885" s="39" t="n">
        <f aca="false">J1885*Resumo!$C$7</f>
        <v>1.364979</v>
      </c>
      <c r="P1885" s="39" t="n">
        <f aca="false">J1885*Resumo!$C$8</f>
        <v>1.364979</v>
      </c>
      <c r="Q1885" s="39" t="n">
        <f aca="false">Resumo!$C$10*CEILING(I1885/100,1)</f>
        <v>1.05</v>
      </c>
      <c r="R1885" s="39" t="n">
        <f aca="false">Resumo!$C$9</f>
        <v>0</v>
      </c>
      <c r="S1885" s="39" t="n">
        <f aca="false">Resumo!$C$13</f>
        <v>13.55</v>
      </c>
      <c r="T1885" s="39" t="n">
        <f aca="false">Resumo!$C$14*CEILING(I1885,1)</f>
        <v>23.85</v>
      </c>
      <c r="U1885" s="39" t="n">
        <f aca="false">SUM(M1885:T1885)*Resumo!$C$11</f>
        <v>0</v>
      </c>
      <c r="V1885" s="39" t="n">
        <f aca="false">SUM(M1885:U1885)</f>
        <v>99.779958</v>
      </c>
      <c r="W1885" s="39" t="n">
        <f aca="false">V1885/(1-Resumo!$C$5)</f>
        <v>113.386315909091</v>
      </c>
      <c r="X1885" s="39" t="n">
        <v>112.3</v>
      </c>
      <c r="Y1885" s="39" t="n">
        <f aca="false">J1885*Resumo!$B$6</f>
        <v>0.64999</v>
      </c>
      <c r="Z1885" s="39" t="n">
        <f aca="false">J1885*Resumo!$B$7</f>
        <v>1.29998</v>
      </c>
      <c r="AA1885" s="39" t="n">
        <f aca="false">Resumo!$B$9</f>
        <v>1</v>
      </c>
      <c r="AB1885" s="39" t="n">
        <f aca="false">Resumo!$B$10*CEILING(I1885/100,1)</f>
        <v>4.5</v>
      </c>
      <c r="AC1885" s="39" t="n">
        <f aca="false">Resumo!$B$12*CEILING(I1885,1)</f>
        <v>3.18</v>
      </c>
      <c r="AD1885" s="39" t="n">
        <f aca="false">Resumo!$B$14*CEILING(I1885,1)</f>
        <v>23.85</v>
      </c>
      <c r="AE1885" s="39" t="n">
        <f aca="false">SUM(X1885:AD1885)</f>
        <v>146.77997</v>
      </c>
      <c r="AF1885" s="39" t="n">
        <f aca="false">AE1885/(1-Resumo!$B$5)</f>
        <v>166.795420454545</v>
      </c>
      <c r="AG1885" s="39" t="n">
        <f aca="false">AF1885-W1885</f>
        <v>53.4091045454546</v>
      </c>
      <c r="AH1885" s="40" t="n">
        <f aca="false">AF1885/W1885-1</f>
        <v>0.471036598351745</v>
      </c>
      <c r="AI1885" s="37" t="str">
        <f aca="false">IF(AF1885&lt;W1885,"SIM","NÃO")</f>
        <v>NÃO</v>
      </c>
      <c r="AJ1885" s="37" t="n">
        <v>2</v>
      </c>
      <c r="AK1885" s="37" t="n">
        <v>5</v>
      </c>
      <c r="AL1885" s="37" t="s">
        <v>343</v>
      </c>
      <c r="AM1885" s="39" t="n">
        <v>114.26</v>
      </c>
    </row>
    <row r="1886" customFormat="false" ht="15" hidden="false" customHeight="false" outlineLevel="0" collapsed="false">
      <c r="A1886" s="37" t="n">
        <v>395895631</v>
      </c>
      <c r="B1886" s="38" t="n">
        <v>46282.6074768519</v>
      </c>
      <c r="C1886" s="37" t="s">
        <v>340</v>
      </c>
      <c r="D1886" s="37" t="s">
        <v>454</v>
      </c>
      <c r="E1886" s="37" t="n">
        <v>28200000</v>
      </c>
      <c r="F1886" s="37" t="s">
        <v>259</v>
      </c>
      <c r="G1886" s="37" t="s">
        <v>198</v>
      </c>
      <c r="H1886" s="37" t="s">
        <v>187</v>
      </c>
      <c r="I1886" s="37" t="n">
        <v>58.9</v>
      </c>
      <c r="J1886" s="39" t="n">
        <v>759.99</v>
      </c>
      <c r="K1886" s="37" t="s">
        <v>342</v>
      </c>
      <c r="L1886" s="39" t="n">
        <v>143.31</v>
      </c>
      <c r="M1886" s="39" t="n">
        <v>83.58</v>
      </c>
      <c r="N1886" s="39" t="n">
        <f aca="false">J1886*Resumo!$C$6</f>
        <v>0</v>
      </c>
      <c r="O1886" s="39" t="n">
        <f aca="false">J1886*Resumo!$C$7</f>
        <v>1.595979</v>
      </c>
      <c r="P1886" s="39" t="n">
        <f aca="false">J1886*Resumo!$C$8</f>
        <v>1.595979</v>
      </c>
      <c r="Q1886" s="39" t="n">
        <f aca="false">Resumo!$C$10*CEILING(I1886/100,1)</f>
        <v>1.05</v>
      </c>
      <c r="R1886" s="39" t="n">
        <f aca="false">Resumo!$C$9</f>
        <v>0</v>
      </c>
      <c r="S1886" s="39" t="n">
        <f aca="false">Resumo!$C$13</f>
        <v>13.55</v>
      </c>
      <c r="T1886" s="39" t="n">
        <f aca="false">Resumo!$C$14*CEILING(I1886,1)</f>
        <v>26.55</v>
      </c>
      <c r="U1886" s="39" t="n">
        <f aca="false">SUM(M1886:T1886)*Resumo!$C$11</f>
        <v>0</v>
      </c>
      <c r="V1886" s="39" t="n">
        <f aca="false">SUM(M1886:U1886)</f>
        <v>127.921958</v>
      </c>
      <c r="W1886" s="39" t="n">
        <f aca="false">V1886/(1-Resumo!$C$5)</f>
        <v>145.365861363636</v>
      </c>
      <c r="X1886" s="39" t="n">
        <v>162.04</v>
      </c>
      <c r="Y1886" s="39" t="n">
        <f aca="false">J1886*Resumo!$B$6</f>
        <v>0.75999</v>
      </c>
      <c r="Z1886" s="39" t="n">
        <f aca="false">J1886*Resumo!$B$7</f>
        <v>1.51998</v>
      </c>
      <c r="AA1886" s="39" t="n">
        <f aca="false">Resumo!$B$9</f>
        <v>1</v>
      </c>
      <c r="AB1886" s="39" t="n">
        <f aca="false">Resumo!$B$10*CEILING(I1886/100,1)</f>
        <v>4.5</v>
      </c>
      <c r="AC1886" s="39" t="n">
        <f aca="false">Resumo!$B$12*CEILING(I1886,1)</f>
        <v>3.54</v>
      </c>
      <c r="AD1886" s="39" t="n">
        <f aca="false">Resumo!$B$14*CEILING(I1886,1)</f>
        <v>26.55</v>
      </c>
      <c r="AE1886" s="39" t="n">
        <f aca="false">SUM(X1886:AD1886)</f>
        <v>199.90997</v>
      </c>
      <c r="AF1886" s="39" t="n">
        <f aca="false">AE1886/(1-Resumo!$B$5)</f>
        <v>227.170420454545</v>
      </c>
      <c r="AG1886" s="39" t="n">
        <f aca="false">AF1886-W1886</f>
        <v>81.8045590909091</v>
      </c>
      <c r="AH1886" s="40" t="n">
        <f aca="false">AF1886/W1886-1</f>
        <v>0.562749453850605</v>
      </c>
      <c r="AI1886" s="37" t="str">
        <f aca="false">IF(AF1886&lt;W1886,"SIM","NÃO")</f>
        <v>NÃO</v>
      </c>
      <c r="AJ1886" s="37" t="n">
        <v>13</v>
      </c>
      <c r="AK1886" s="37" t="n">
        <v>11</v>
      </c>
      <c r="AL1886" s="37" t="s">
        <v>347</v>
      </c>
      <c r="AM1886" s="39" t="n">
        <v>143.31</v>
      </c>
    </row>
    <row r="1887" customFormat="false" ht="15" hidden="false" customHeight="false" outlineLevel="0" collapsed="false">
      <c r="A1887" s="37" t="n">
        <v>395896388</v>
      </c>
      <c r="B1887" s="38" t="n">
        <v>46282.6089236111</v>
      </c>
      <c r="C1887" s="37" t="s">
        <v>340</v>
      </c>
      <c r="D1887" s="37" t="s">
        <v>454</v>
      </c>
      <c r="E1887" s="37" t="n">
        <v>28200000</v>
      </c>
      <c r="F1887" s="37" t="s">
        <v>259</v>
      </c>
      <c r="G1887" s="37" t="s">
        <v>198</v>
      </c>
      <c r="H1887" s="37" t="s">
        <v>184</v>
      </c>
      <c r="I1887" s="37" t="n">
        <v>31.3</v>
      </c>
      <c r="J1887" s="39" t="n">
        <v>399.99</v>
      </c>
      <c r="K1887" s="37" t="s">
        <v>342</v>
      </c>
      <c r="L1887" s="39" t="n">
        <v>109.1</v>
      </c>
      <c r="M1887" s="39" t="n">
        <v>65.63</v>
      </c>
      <c r="N1887" s="39" t="n">
        <f aca="false">J1887*Resumo!$C$6</f>
        <v>0</v>
      </c>
      <c r="O1887" s="39" t="n">
        <f aca="false">J1887*Resumo!$C$7</f>
        <v>0.839979</v>
      </c>
      <c r="P1887" s="39" t="n">
        <f aca="false">J1887*Resumo!$C$8</f>
        <v>0.839979</v>
      </c>
      <c r="Q1887" s="39" t="n">
        <f aca="false">Resumo!$C$10*CEILING(I1887/100,1)</f>
        <v>1.05</v>
      </c>
      <c r="R1887" s="39" t="n">
        <f aca="false">Resumo!$C$9</f>
        <v>0</v>
      </c>
      <c r="S1887" s="39" t="n">
        <f aca="false">Resumo!$C$13</f>
        <v>13.55</v>
      </c>
      <c r="T1887" s="39" t="n">
        <f aca="false">Resumo!$C$14*CEILING(I1887,1)</f>
        <v>14.4</v>
      </c>
      <c r="U1887" s="39" t="n">
        <f aca="false">SUM(M1887:T1887)*Resumo!$C$11</f>
        <v>0</v>
      </c>
      <c r="V1887" s="39" t="n">
        <f aca="false">SUM(M1887:U1887)</f>
        <v>96.309958</v>
      </c>
      <c r="W1887" s="39" t="n">
        <f aca="false">V1887/(1-Resumo!$C$5)</f>
        <v>109.443134090909</v>
      </c>
      <c r="X1887" s="39" t="n">
        <v>138.29</v>
      </c>
      <c r="Y1887" s="39" t="n">
        <f aca="false">J1887*Resumo!$B$6</f>
        <v>0.39999</v>
      </c>
      <c r="Z1887" s="39" t="n">
        <f aca="false">J1887*Resumo!$B$7</f>
        <v>0.79998</v>
      </c>
      <c r="AA1887" s="39" t="n">
        <f aca="false">Resumo!$B$9</f>
        <v>1</v>
      </c>
      <c r="AB1887" s="39" t="n">
        <f aca="false">Resumo!$B$10*CEILING(I1887/100,1)</f>
        <v>4.5</v>
      </c>
      <c r="AC1887" s="39" t="n">
        <f aca="false">Resumo!$B$12*CEILING(I1887,1)</f>
        <v>1.92</v>
      </c>
      <c r="AD1887" s="39" t="n">
        <f aca="false">Resumo!$B$14*CEILING(I1887,1)</f>
        <v>14.4</v>
      </c>
      <c r="AE1887" s="39" t="n">
        <f aca="false">SUM(X1887:AD1887)</f>
        <v>161.30997</v>
      </c>
      <c r="AF1887" s="39" t="n">
        <f aca="false">AE1887/(1-Resumo!$B$5)</f>
        <v>183.306784090909</v>
      </c>
      <c r="AG1887" s="39" t="n">
        <f aca="false">AF1887-W1887</f>
        <v>73.86365</v>
      </c>
      <c r="AH1887" s="40" t="n">
        <f aca="false">AF1887/W1887-1</f>
        <v>0.674904374893404</v>
      </c>
      <c r="AI1887" s="37" t="str">
        <f aca="false">IF(AF1887&lt;W1887,"SIM","NÃO")</f>
        <v>NÃO</v>
      </c>
      <c r="AJ1887" s="37" t="n">
        <v>13</v>
      </c>
      <c r="AK1887" s="37" t="n">
        <v>11</v>
      </c>
      <c r="AL1887" s="37" t="s">
        <v>347</v>
      </c>
      <c r="AM1887" s="39" t="n">
        <v>109.1</v>
      </c>
    </row>
    <row r="1888" customFormat="false" ht="15" hidden="false" customHeight="false" outlineLevel="0" collapsed="false">
      <c r="A1888" s="37" t="n">
        <v>395903306</v>
      </c>
      <c r="B1888" s="38" t="n">
        <v>46282.6327546296</v>
      </c>
      <c r="C1888" s="37" t="s">
        <v>375</v>
      </c>
      <c r="D1888" s="37" t="s">
        <v>785</v>
      </c>
      <c r="E1888" s="37" t="n">
        <v>23520286</v>
      </c>
      <c r="F1888" s="37" t="s">
        <v>159</v>
      </c>
      <c r="G1888" s="37" t="s">
        <v>196</v>
      </c>
      <c r="H1888" s="37" t="s">
        <v>184</v>
      </c>
      <c r="I1888" s="37" t="n">
        <v>24.8</v>
      </c>
      <c r="J1888" s="39" t="n">
        <v>399.99</v>
      </c>
      <c r="K1888" s="37" t="s">
        <v>342</v>
      </c>
      <c r="L1888" s="39" t="n">
        <v>82.24</v>
      </c>
      <c r="M1888" s="39" t="n">
        <v>42.11</v>
      </c>
      <c r="N1888" s="39" t="n">
        <f aca="false">J1888*Resumo!$C$6</f>
        <v>0</v>
      </c>
      <c r="O1888" s="39" t="n">
        <f aca="false">J1888*Resumo!$C$7</f>
        <v>0.839979</v>
      </c>
      <c r="P1888" s="39" t="n">
        <f aca="false">J1888*Resumo!$C$8</f>
        <v>0.839979</v>
      </c>
      <c r="Q1888" s="39" t="n">
        <f aca="false">Resumo!$C$10*CEILING(I1888/100,1)</f>
        <v>1.05</v>
      </c>
      <c r="R1888" s="39" t="n">
        <f aca="false">Resumo!$C$9</f>
        <v>0</v>
      </c>
      <c r="S1888" s="39" t="n">
        <f aca="false">Resumo!$C$13</f>
        <v>13.55</v>
      </c>
      <c r="T1888" s="39" t="n">
        <f aca="false">Resumo!$C$14*CEILING(I1888,1)</f>
        <v>11.25</v>
      </c>
      <c r="U1888" s="39" t="n">
        <f aca="false">SUM(M1888:T1888)*Resumo!$C$11</f>
        <v>0</v>
      </c>
      <c r="V1888" s="39" t="n">
        <f aca="false">SUM(M1888:U1888)</f>
        <v>69.639958</v>
      </c>
      <c r="W1888" s="39" t="n">
        <f aca="false">V1888/(1-Resumo!$C$5)</f>
        <v>79.1363159090909</v>
      </c>
      <c r="X1888" s="39" t="n">
        <v>82.21</v>
      </c>
      <c r="Y1888" s="39" t="n">
        <f aca="false">J1888*Resumo!$B$6</f>
        <v>0.39999</v>
      </c>
      <c r="Z1888" s="39" t="n">
        <f aca="false">J1888*Resumo!$B$7</f>
        <v>0.79998</v>
      </c>
      <c r="AA1888" s="39" t="n">
        <f aca="false">Resumo!$B$9</f>
        <v>1</v>
      </c>
      <c r="AB1888" s="39" t="n">
        <f aca="false">Resumo!$B$10*CEILING(I1888/100,1)</f>
        <v>4.5</v>
      </c>
      <c r="AC1888" s="39" t="n">
        <f aca="false">Resumo!$B$12*CEILING(I1888,1)</f>
        <v>1.5</v>
      </c>
      <c r="AD1888" s="39" t="n">
        <f aca="false">Resumo!$B$14*CEILING(I1888,1)</f>
        <v>11.25</v>
      </c>
      <c r="AE1888" s="39" t="n">
        <f aca="false">SUM(X1888:AD1888)</f>
        <v>101.65997</v>
      </c>
      <c r="AF1888" s="39" t="n">
        <f aca="false">AE1888/(1-Resumo!$B$5)</f>
        <v>115.522693181818</v>
      </c>
      <c r="AG1888" s="39" t="n">
        <f aca="false">AF1888-W1888</f>
        <v>36.3863772727273</v>
      </c>
      <c r="AH1888" s="40" t="n">
        <f aca="false">AF1888/W1888-1</f>
        <v>0.459793671903133</v>
      </c>
      <c r="AI1888" s="37" t="str">
        <f aca="false">IF(AF1888&lt;W1888,"SIM","NÃO")</f>
        <v>NÃO</v>
      </c>
      <c r="AJ1888" s="37" t="n">
        <v>2</v>
      </c>
      <c r="AK1888" s="37" t="n">
        <v>5</v>
      </c>
      <c r="AL1888" s="37" t="s">
        <v>343</v>
      </c>
      <c r="AM1888" s="39" t="n">
        <v>82.24</v>
      </c>
    </row>
    <row r="1889" customFormat="false" ht="15" hidden="false" customHeight="false" outlineLevel="0" collapsed="false">
      <c r="A1889" s="37" t="n">
        <v>395922080</v>
      </c>
      <c r="B1889" s="38" t="n">
        <v>46282.6438425926</v>
      </c>
      <c r="C1889" s="37" t="s">
        <v>537</v>
      </c>
      <c r="D1889" s="37" t="s">
        <v>2046</v>
      </c>
      <c r="E1889" s="37" t="n">
        <v>20745230</v>
      </c>
      <c r="F1889" s="37" t="s">
        <v>159</v>
      </c>
      <c r="G1889" s="37" t="s">
        <v>196</v>
      </c>
      <c r="H1889" s="37" t="s">
        <v>185</v>
      </c>
      <c r="I1889" s="37" t="n">
        <v>40</v>
      </c>
      <c r="J1889" s="39" t="n">
        <v>579.99</v>
      </c>
      <c r="K1889" s="37" t="s">
        <v>342</v>
      </c>
      <c r="L1889" s="39" t="n">
        <v>92.64</v>
      </c>
      <c r="M1889" s="39" t="n">
        <v>48.35</v>
      </c>
      <c r="N1889" s="39" t="n">
        <f aca="false">J1889*Resumo!$C$6</f>
        <v>0</v>
      </c>
      <c r="O1889" s="39" t="n">
        <f aca="false">J1889*Resumo!$C$7</f>
        <v>1.217979</v>
      </c>
      <c r="P1889" s="39" t="n">
        <f aca="false">J1889*Resumo!$C$8</f>
        <v>1.217979</v>
      </c>
      <c r="Q1889" s="39" t="n">
        <f aca="false">Resumo!$C$10*CEILING(I1889/100,1)</f>
        <v>1.05</v>
      </c>
      <c r="R1889" s="39" t="n">
        <f aca="false">Resumo!$C$9</f>
        <v>0</v>
      </c>
      <c r="S1889" s="39" t="n">
        <f aca="false">Resumo!$C$13</f>
        <v>13.55</v>
      </c>
      <c r="T1889" s="39" t="n">
        <f aca="false">Resumo!$C$14*CEILING(I1889,1)</f>
        <v>18</v>
      </c>
      <c r="U1889" s="39" t="n">
        <f aca="false">SUM(M1889:T1889)*Resumo!$C$11</f>
        <v>0</v>
      </c>
      <c r="V1889" s="39" t="n">
        <f aca="false">SUM(M1889:U1889)</f>
        <v>83.385958</v>
      </c>
      <c r="W1889" s="39" t="n">
        <f aca="false">V1889/(1-Resumo!$C$5)</f>
        <v>94.7567704545455</v>
      </c>
      <c r="X1889" s="39" t="n">
        <v>93.97</v>
      </c>
      <c r="Y1889" s="39" t="n">
        <f aca="false">J1889*Resumo!$B$6</f>
        <v>0.57999</v>
      </c>
      <c r="Z1889" s="39" t="n">
        <f aca="false">J1889*Resumo!$B$7</f>
        <v>1.15998</v>
      </c>
      <c r="AA1889" s="39" t="n">
        <f aca="false">Resumo!$B$9</f>
        <v>1</v>
      </c>
      <c r="AB1889" s="39" t="n">
        <f aca="false">Resumo!$B$10*CEILING(I1889/100,1)</f>
        <v>4.5</v>
      </c>
      <c r="AC1889" s="39" t="n">
        <f aca="false">Resumo!$B$12*CEILING(I1889,1)</f>
        <v>2.4</v>
      </c>
      <c r="AD1889" s="39" t="n">
        <f aca="false">Resumo!$B$14*CEILING(I1889,1)</f>
        <v>18</v>
      </c>
      <c r="AE1889" s="39" t="n">
        <f aca="false">SUM(X1889:AD1889)</f>
        <v>121.60997</v>
      </c>
      <c r="AF1889" s="39" t="n">
        <f aca="false">AE1889/(1-Resumo!$B$5)</f>
        <v>138.193147727273</v>
      </c>
      <c r="AG1889" s="39" t="n">
        <f aca="false">AF1889-W1889</f>
        <v>43.4363772727273</v>
      </c>
      <c r="AH1889" s="40" t="n">
        <f aca="false">AF1889/W1889-1</f>
        <v>0.458398667075337</v>
      </c>
      <c r="AI1889" s="37" t="str">
        <f aca="false">IF(AF1889&lt;W1889,"SIM","NÃO")</f>
        <v>NÃO</v>
      </c>
      <c r="AJ1889" s="37" t="n">
        <v>2</v>
      </c>
      <c r="AK1889" s="37" t="n">
        <v>5</v>
      </c>
      <c r="AL1889" s="37" t="s">
        <v>343</v>
      </c>
      <c r="AM1889" s="39" t="n">
        <v>92.64</v>
      </c>
    </row>
    <row r="1890" customFormat="false" ht="15" hidden="false" customHeight="false" outlineLevel="0" collapsed="false">
      <c r="A1890" s="37" t="n">
        <v>395948335</v>
      </c>
      <c r="B1890" s="38" t="n">
        <v>46282.7233217593</v>
      </c>
      <c r="C1890" s="37" t="s">
        <v>340</v>
      </c>
      <c r="D1890" s="37" t="s">
        <v>2047</v>
      </c>
      <c r="E1890" s="37" t="n">
        <v>24070000</v>
      </c>
      <c r="F1890" s="37" t="s">
        <v>163</v>
      </c>
      <c r="G1890" s="37" t="s">
        <v>197</v>
      </c>
      <c r="H1890" s="37" t="s">
        <v>184</v>
      </c>
      <c r="I1890" s="37" t="n">
        <v>27</v>
      </c>
      <c r="J1890" s="39" t="n">
        <v>339.99</v>
      </c>
      <c r="K1890" s="37" t="s">
        <v>342</v>
      </c>
      <c r="L1890" s="39" t="n">
        <v>101.01</v>
      </c>
      <c r="M1890" s="39" t="n">
        <v>58.8</v>
      </c>
      <c r="N1890" s="39" t="n">
        <f aca="false">J1890*Resumo!$C$6</f>
        <v>0</v>
      </c>
      <c r="O1890" s="39" t="n">
        <f aca="false">J1890*Resumo!$C$7</f>
        <v>0.713979</v>
      </c>
      <c r="P1890" s="39" t="n">
        <f aca="false">J1890*Resumo!$C$8</f>
        <v>0.713979</v>
      </c>
      <c r="Q1890" s="39" t="n">
        <f aca="false">Resumo!$C$10*CEILING(I1890/100,1)</f>
        <v>1.05</v>
      </c>
      <c r="R1890" s="39" t="n">
        <f aca="false">Resumo!$C$9</f>
        <v>0</v>
      </c>
      <c r="S1890" s="39" t="n">
        <f aca="false">Resumo!$C$13</f>
        <v>13.55</v>
      </c>
      <c r="T1890" s="39" t="n">
        <f aca="false">Resumo!$C$14*CEILING(I1890,1)</f>
        <v>12.15</v>
      </c>
      <c r="U1890" s="39" t="n">
        <f aca="false">SUM(M1890:T1890)*Resumo!$C$11</f>
        <v>0</v>
      </c>
      <c r="V1890" s="39" t="n">
        <f aca="false">SUM(M1890:U1890)</f>
        <v>86.977958</v>
      </c>
      <c r="W1890" s="39" t="n">
        <f aca="false">V1890/(1-Resumo!$C$5)</f>
        <v>98.8385886363636</v>
      </c>
      <c r="X1890" s="39" t="n">
        <v>100.58</v>
      </c>
      <c r="Y1890" s="39" t="n">
        <f aca="false">J1890*Resumo!$B$6</f>
        <v>0.33999</v>
      </c>
      <c r="Z1890" s="39" t="n">
        <f aca="false">J1890*Resumo!$B$7</f>
        <v>0.67998</v>
      </c>
      <c r="AA1890" s="39" t="n">
        <f aca="false">Resumo!$B$9</f>
        <v>1</v>
      </c>
      <c r="AB1890" s="39" t="n">
        <f aca="false">Resumo!$B$10*CEILING(I1890/100,1)</f>
        <v>4.5</v>
      </c>
      <c r="AC1890" s="39" t="n">
        <f aca="false">Resumo!$B$12*CEILING(I1890,1)</f>
        <v>1.62</v>
      </c>
      <c r="AD1890" s="39" t="n">
        <f aca="false">Resumo!$B$14*CEILING(I1890,1)</f>
        <v>12.15</v>
      </c>
      <c r="AE1890" s="39" t="n">
        <f aca="false">SUM(X1890:AD1890)</f>
        <v>120.86997</v>
      </c>
      <c r="AF1890" s="39" t="n">
        <f aca="false">AE1890/(1-Resumo!$B$5)</f>
        <v>137.352238636364</v>
      </c>
      <c r="AG1890" s="39" t="n">
        <f aca="false">AF1890-W1890</f>
        <v>38.51365</v>
      </c>
      <c r="AH1890" s="40" t="n">
        <f aca="false">AF1890/W1890-1</f>
        <v>0.389662079673105</v>
      </c>
      <c r="AI1890" s="37" t="str">
        <f aca="false">IF(AF1890&lt;W1890,"SIM","NÃO")</f>
        <v>NÃO</v>
      </c>
      <c r="AJ1890" s="37" t="n">
        <v>2</v>
      </c>
      <c r="AK1890" s="37" t="n">
        <v>7</v>
      </c>
      <c r="AL1890" s="37" t="s">
        <v>343</v>
      </c>
      <c r="AM1890" s="39" t="n">
        <v>101.02</v>
      </c>
    </row>
    <row r="1891" customFormat="false" ht="15" hidden="false" customHeight="false" outlineLevel="0" collapsed="false">
      <c r="A1891" s="37" t="n">
        <v>395956377</v>
      </c>
      <c r="B1891" s="38" t="n">
        <v>46282.7409722222</v>
      </c>
      <c r="C1891" s="37" t="s">
        <v>340</v>
      </c>
      <c r="D1891" s="37" t="s">
        <v>2048</v>
      </c>
      <c r="E1891" s="37" t="n">
        <v>21840096</v>
      </c>
      <c r="F1891" s="37" t="s">
        <v>159</v>
      </c>
      <c r="G1891" s="37" t="s">
        <v>196</v>
      </c>
      <c r="H1891" s="37" t="s">
        <v>184</v>
      </c>
      <c r="I1891" s="37" t="n">
        <v>23</v>
      </c>
      <c r="J1891" s="39" t="n">
        <v>349.99</v>
      </c>
      <c r="K1891" s="37" t="s">
        <v>342</v>
      </c>
      <c r="L1891" s="39" t="n">
        <v>82</v>
      </c>
      <c r="M1891" s="39" t="n">
        <v>42.11</v>
      </c>
      <c r="N1891" s="39" t="n">
        <f aca="false">J1891*Resumo!$C$6</f>
        <v>0</v>
      </c>
      <c r="O1891" s="39" t="n">
        <f aca="false">J1891*Resumo!$C$7</f>
        <v>0.734979</v>
      </c>
      <c r="P1891" s="39" t="n">
        <f aca="false">J1891*Resumo!$C$8</f>
        <v>0.734979</v>
      </c>
      <c r="Q1891" s="39" t="n">
        <f aca="false">Resumo!$C$10*CEILING(I1891/100,1)</f>
        <v>1.05</v>
      </c>
      <c r="R1891" s="39" t="n">
        <f aca="false">Resumo!$C$9</f>
        <v>0</v>
      </c>
      <c r="S1891" s="39" t="n">
        <f aca="false">Resumo!$C$13</f>
        <v>13.55</v>
      </c>
      <c r="T1891" s="39" t="n">
        <f aca="false">Resumo!$C$14*CEILING(I1891,1)</f>
        <v>10.35</v>
      </c>
      <c r="U1891" s="39" t="n">
        <f aca="false">SUM(M1891:T1891)*Resumo!$C$11</f>
        <v>0</v>
      </c>
      <c r="V1891" s="39" t="n">
        <f aca="false">SUM(M1891:U1891)</f>
        <v>68.529958</v>
      </c>
      <c r="W1891" s="39" t="n">
        <f aca="false">V1891/(1-Resumo!$C$5)</f>
        <v>77.8749522727273</v>
      </c>
      <c r="X1891" s="39" t="n">
        <v>82.21</v>
      </c>
      <c r="Y1891" s="39" t="n">
        <f aca="false">J1891*Resumo!$B$6</f>
        <v>0.34999</v>
      </c>
      <c r="Z1891" s="39" t="n">
        <f aca="false">J1891*Resumo!$B$7</f>
        <v>0.69998</v>
      </c>
      <c r="AA1891" s="39" t="n">
        <f aca="false">Resumo!$B$9</f>
        <v>1</v>
      </c>
      <c r="AB1891" s="39" t="n">
        <f aca="false">Resumo!$B$10*CEILING(I1891/100,1)</f>
        <v>4.5</v>
      </c>
      <c r="AC1891" s="39" t="n">
        <f aca="false">Resumo!$B$12*CEILING(I1891,1)</f>
        <v>1.38</v>
      </c>
      <c r="AD1891" s="39" t="n">
        <f aca="false">Resumo!$B$14*CEILING(I1891,1)</f>
        <v>10.35</v>
      </c>
      <c r="AE1891" s="39" t="n">
        <f aca="false">SUM(X1891:AD1891)</f>
        <v>100.48997</v>
      </c>
      <c r="AF1891" s="39" t="n">
        <f aca="false">AE1891/(1-Resumo!$B$5)</f>
        <v>114.193147727273</v>
      </c>
      <c r="AG1891" s="39" t="n">
        <f aca="false">AF1891-W1891</f>
        <v>36.3181954545454</v>
      </c>
      <c r="AH1891" s="40" t="n">
        <f aca="false">AF1891/W1891-1</f>
        <v>0.466365556505959</v>
      </c>
      <c r="AI1891" s="37" t="str">
        <f aca="false">IF(AF1891&lt;W1891,"SIM","NÃO")</f>
        <v>NÃO</v>
      </c>
      <c r="AJ1891" s="37" t="n">
        <v>2</v>
      </c>
      <c r="AK1891" s="37" t="n">
        <v>5</v>
      </c>
      <c r="AL1891" s="37" t="s">
        <v>343</v>
      </c>
      <c r="AM1891" s="39" t="n">
        <v>82</v>
      </c>
    </row>
    <row r="1892" customFormat="false" ht="15" hidden="false" customHeight="false" outlineLevel="0" collapsed="false">
      <c r="A1892" s="37" t="n">
        <v>395959912</v>
      </c>
      <c r="B1892" s="38" t="n">
        <v>46282.7503125</v>
      </c>
      <c r="C1892" s="37" t="s">
        <v>340</v>
      </c>
      <c r="D1892" s="37" t="s">
        <v>902</v>
      </c>
      <c r="E1892" s="37" t="n">
        <v>28930000</v>
      </c>
      <c r="F1892" s="37" t="s">
        <v>291</v>
      </c>
      <c r="G1892" s="37" t="s">
        <v>198</v>
      </c>
      <c r="H1892" s="37" t="s">
        <v>187</v>
      </c>
      <c r="I1892" s="37" t="n">
        <v>56.7</v>
      </c>
      <c r="J1892" s="39" t="n">
        <v>769.91</v>
      </c>
      <c r="K1892" s="37" t="s">
        <v>342</v>
      </c>
      <c r="L1892" s="39" t="n">
        <v>143.36</v>
      </c>
      <c r="M1892" s="39" t="n">
        <v>83.58</v>
      </c>
      <c r="N1892" s="39" t="n">
        <f aca="false">J1892*Resumo!$C$6</f>
        <v>0</v>
      </c>
      <c r="O1892" s="39" t="n">
        <f aca="false">J1892*Resumo!$C$7</f>
        <v>1.616811</v>
      </c>
      <c r="P1892" s="39" t="n">
        <f aca="false">J1892*Resumo!$C$8</f>
        <v>1.616811</v>
      </c>
      <c r="Q1892" s="39" t="n">
        <f aca="false">Resumo!$C$10*CEILING(I1892/100,1)</f>
        <v>1.05</v>
      </c>
      <c r="R1892" s="39" t="n">
        <f aca="false">Resumo!$C$9</f>
        <v>0</v>
      </c>
      <c r="S1892" s="39" t="n">
        <f aca="false">Resumo!$C$13</f>
        <v>13.55</v>
      </c>
      <c r="T1892" s="39" t="n">
        <f aca="false">Resumo!$C$14*CEILING(I1892,1)</f>
        <v>25.65</v>
      </c>
      <c r="U1892" s="39" t="n">
        <f aca="false">SUM(M1892:T1892)*Resumo!$C$11</f>
        <v>0</v>
      </c>
      <c r="V1892" s="39" t="n">
        <f aca="false">SUM(M1892:U1892)</f>
        <v>127.063622</v>
      </c>
      <c r="W1892" s="39" t="n">
        <f aca="false">V1892/(1-Resumo!$C$5)</f>
        <v>144.390479545455</v>
      </c>
      <c r="X1892" s="39" t="n">
        <v>142.32</v>
      </c>
      <c r="Y1892" s="39" t="n">
        <f aca="false">J1892*Resumo!$B$6</f>
        <v>0.76991</v>
      </c>
      <c r="Z1892" s="39" t="n">
        <f aca="false">J1892*Resumo!$B$7</f>
        <v>1.53982</v>
      </c>
      <c r="AA1892" s="39" t="n">
        <f aca="false">Resumo!$B$9</f>
        <v>1</v>
      </c>
      <c r="AB1892" s="39" t="n">
        <f aca="false">Resumo!$B$10*CEILING(I1892/100,1)</f>
        <v>4.5</v>
      </c>
      <c r="AC1892" s="39" t="n">
        <f aca="false">Resumo!$B$12*CEILING(I1892,1)</f>
        <v>3.42</v>
      </c>
      <c r="AD1892" s="39" t="n">
        <f aca="false">Resumo!$B$14*CEILING(I1892,1)</f>
        <v>25.65</v>
      </c>
      <c r="AE1892" s="39" t="n">
        <f aca="false">SUM(X1892:AD1892)</f>
        <v>179.19973</v>
      </c>
      <c r="AF1892" s="39" t="n">
        <f aca="false">AE1892/(1-Resumo!$B$5)</f>
        <v>203.636056818182</v>
      </c>
      <c r="AG1892" s="39" t="n">
        <f aca="false">AF1892-W1892</f>
        <v>59.2455772727272</v>
      </c>
      <c r="AH1892" s="40" t="n">
        <f aca="false">AF1892/W1892-1</f>
        <v>0.41031498378033</v>
      </c>
      <c r="AI1892" s="37" t="str">
        <f aca="false">IF(AF1892&lt;W1892,"SIM","NÃO")</f>
        <v>NÃO</v>
      </c>
      <c r="AJ1892" s="37" t="n">
        <v>13</v>
      </c>
      <c r="AK1892" s="37" t="n">
        <v>10</v>
      </c>
      <c r="AL1892" s="37" t="s">
        <v>347</v>
      </c>
      <c r="AM1892" s="39" t="n">
        <v>143.36</v>
      </c>
    </row>
    <row r="1893" customFormat="false" ht="15" hidden="false" customHeight="false" outlineLevel="0" collapsed="false">
      <c r="A1893" s="37" t="n">
        <v>395979164</v>
      </c>
      <c r="B1893" s="38" t="n">
        <v>46282.7926041667</v>
      </c>
      <c r="C1893" s="37" t="s">
        <v>340</v>
      </c>
      <c r="D1893" s="37" t="s">
        <v>2049</v>
      </c>
      <c r="E1893" s="37" t="n">
        <v>21030640</v>
      </c>
      <c r="F1893" s="37" t="s">
        <v>159</v>
      </c>
      <c r="G1893" s="37" t="s">
        <v>196</v>
      </c>
      <c r="H1893" s="37" t="s">
        <v>184</v>
      </c>
      <c r="I1893" s="37" t="n">
        <v>21.5</v>
      </c>
      <c r="J1893" s="39" t="n">
        <v>299.99</v>
      </c>
      <c r="K1893" s="37" t="s">
        <v>342</v>
      </c>
      <c r="L1893" s="39" t="n">
        <v>81.76</v>
      </c>
      <c r="M1893" s="39" t="n">
        <v>42.11</v>
      </c>
      <c r="N1893" s="39" t="n">
        <f aca="false">J1893*Resumo!$C$6</f>
        <v>0</v>
      </c>
      <c r="O1893" s="39" t="n">
        <f aca="false">J1893*Resumo!$C$7</f>
        <v>0.629979</v>
      </c>
      <c r="P1893" s="39" t="n">
        <f aca="false">J1893*Resumo!$C$8</f>
        <v>0.629979</v>
      </c>
      <c r="Q1893" s="39" t="n">
        <f aca="false">Resumo!$C$10*CEILING(I1893/100,1)</f>
        <v>1.05</v>
      </c>
      <c r="R1893" s="39" t="n">
        <f aca="false">Resumo!$C$9</f>
        <v>0</v>
      </c>
      <c r="S1893" s="39" t="n">
        <f aca="false">Resumo!$C$13</f>
        <v>13.55</v>
      </c>
      <c r="T1893" s="39" t="n">
        <f aca="false">Resumo!$C$14*CEILING(I1893,1)</f>
        <v>9.9</v>
      </c>
      <c r="U1893" s="39" t="n">
        <f aca="false">SUM(M1893:T1893)*Resumo!$C$11</f>
        <v>0</v>
      </c>
      <c r="V1893" s="39" t="n">
        <f aca="false">SUM(M1893:U1893)</f>
        <v>67.869958</v>
      </c>
      <c r="W1893" s="39" t="n">
        <f aca="false">V1893/(1-Resumo!$C$5)</f>
        <v>77.1249522727273</v>
      </c>
      <c r="X1893" s="39" t="n">
        <v>82.21</v>
      </c>
      <c r="Y1893" s="39" t="n">
        <f aca="false">J1893*Resumo!$B$6</f>
        <v>0.29999</v>
      </c>
      <c r="Z1893" s="39" t="n">
        <f aca="false">J1893*Resumo!$B$7</f>
        <v>0.59998</v>
      </c>
      <c r="AA1893" s="39" t="n">
        <f aca="false">Resumo!$B$9</f>
        <v>1</v>
      </c>
      <c r="AB1893" s="39" t="n">
        <f aca="false">Resumo!$B$10*CEILING(I1893/100,1)</f>
        <v>4.5</v>
      </c>
      <c r="AC1893" s="39" t="n">
        <f aca="false">Resumo!$B$12*CEILING(I1893,1)</f>
        <v>1.32</v>
      </c>
      <c r="AD1893" s="39" t="n">
        <f aca="false">Resumo!$B$14*CEILING(I1893,1)</f>
        <v>9.9</v>
      </c>
      <c r="AE1893" s="39" t="n">
        <f aca="false">SUM(X1893:AD1893)</f>
        <v>99.82997</v>
      </c>
      <c r="AF1893" s="39" t="n">
        <f aca="false">AE1893/(1-Resumo!$B$5)</f>
        <v>113.443147727273</v>
      </c>
      <c r="AG1893" s="39" t="n">
        <f aca="false">AF1893-W1893</f>
        <v>36.3181954545455</v>
      </c>
      <c r="AH1893" s="40" t="n">
        <f aca="false">AF1893/W1893-1</f>
        <v>0.470900718695008</v>
      </c>
      <c r="AI1893" s="37" t="str">
        <f aca="false">IF(AF1893&lt;W1893,"SIM","NÃO")</f>
        <v>NÃO</v>
      </c>
      <c r="AJ1893" s="37" t="n">
        <v>2</v>
      </c>
      <c r="AK1893" s="37" t="n">
        <v>5</v>
      </c>
      <c r="AL1893" s="37" t="s">
        <v>343</v>
      </c>
      <c r="AM1893" s="39" t="n">
        <v>81.76</v>
      </c>
    </row>
    <row r="1894" customFormat="false" ht="15" hidden="false" customHeight="false" outlineLevel="0" collapsed="false">
      <c r="A1894" s="37" t="n">
        <v>395995280</v>
      </c>
      <c r="B1894" s="38" t="n">
        <v>46282.8268171296</v>
      </c>
      <c r="C1894" s="37" t="s">
        <v>345</v>
      </c>
      <c r="D1894" s="37" t="s">
        <v>2050</v>
      </c>
      <c r="E1894" s="37" t="n">
        <v>22785050</v>
      </c>
      <c r="F1894" s="37" t="s">
        <v>159</v>
      </c>
      <c r="G1894" s="37" t="s">
        <v>196</v>
      </c>
      <c r="H1894" s="37" t="s">
        <v>184</v>
      </c>
      <c r="I1894" s="37" t="n">
        <v>31.9</v>
      </c>
      <c r="J1894" s="39" t="n">
        <v>494.99</v>
      </c>
      <c r="K1894" s="37" t="s">
        <v>342</v>
      </c>
      <c r="L1894" s="39" t="n">
        <v>82.69</v>
      </c>
      <c r="M1894" s="39" t="n">
        <v>42.11</v>
      </c>
      <c r="N1894" s="39" t="n">
        <f aca="false">J1894*Resumo!$C$6</f>
        <v>0</v>
      </c>
      <c r="O1894" s="39" t="n">
        <f aca="false">J1894*Resumo!$C$7</f>
        <v>1.039479</v>
      </c>
      <c r="P1894" s="39" t="n">
        <f aca="false">J1894*Resumo!$C$8</f>
        <v>1.039479</v>
      </c>
      <c r="Q1894" s="39" t="n">
        <f aca="false">Resumo!$C$10*CEILING(I1894/100,1)</f>
        <v>1.05</v>
      </c>
      <c r="R1894" s="39" t="n">
        <f aca="false">Resumo!$C$9</f>
        <v>0</v>
      </c>
      <c r="S1894" s="39" t="n">
        <f aca="false">Resumo!$C$13</f>
        <v>13.55</v>
      </c>
      <c r="T1894" s="39" t="n">
        <f aca="false">Resumo!$C$14*CEILING(I1894,1)</f>
        <v>14.4</v>
      </c>
      <c r="U1894" s="39" t="n">
        <f aca="false">SUM(M1894:T1894)*Resumo!$C$11</f>
        <v>0</v>
      </c>
      <c r="V1894" s="39" t="n">
        <f aca="false">SUM(M1894:U1894)</f>
        <v>73.188958</v>
      </c>
      <c r="W1894" s="39" t="n">
        <f aca="false">V1894/(1-Resumo!$C$5)</f>
        <v>83.1692704545455</v>
      </c>
      <c r="X1894" s="39" t="n">
        <v>82.21</v>
      </c>
      <c r="Y1894" s="39" t="n">
        <f aca="false">J1894*Resumo!$B$6</f>
        <v>0.49499</v>
      </c>
      <c r="Z1894" s="39" t="n">
        <f aca="false">J1894*Resumo!$B$7</f>
        <v>0.98998</v>
      </c>
      <c r="AA1894" s="39" t="n">
        <f aca="false">Resumo!$B$9</f>
        <v>1</v>
      </c>
      <c r="AB1894" s="39" t="n">
        <f aca="false">Resumo!$B$10*CEILING(I1894/100,1)</f>
        <v>4.5</v>
      </c>
      <c r="AC1894" s="39" t="n">
        <f aca="false">Resumo!$B$12*CEILING(I1894,1)</f>
        <v>1.92</v>
      </c>
      <c r="AD1894" s="39" t="n">
        <f aca="false">Resumo!$B$14*CEILING(I1894,1)</f>
        <v>14.4</v>
      </c>
      <c r="AE1894" s="39" t="n">
        <f aca="false">SUM(X1894:AD1894)</f>
        <v>105.51497</v>
      </c>
      <c r="AF1894" s="39" t="n">
        <f aca="false">AE1894/(1-Resumo!$B$5)</f>
        <v>119.903375</v>
      </c>
      <c r="AG1894" s="39" t="n">
        <f aca="false">AF1894-W1894</f>
        <v>36.7341045454546</v>
      </c>
      <c r="AH1894" s="40" t="n">
        <f aca="false">AF1894/W1894-1</f>
        <v>0.441678811713647</v>
      </c>
      <c r="AI1894" s="37" t="str">
        <f aca="false">IF(AF1894&lt;W1894,"SIM","NÃO")</f>
        <v>NÃO</v>
      </c>
      <c r="AJ1894" s="37" t="n">
        <v>2</v>
      </c>
      <c r="AK1894" s="37" t="n">
        <v>5</v>
      </c>
      <c r="AL1894" s="37" t="s">
        <v>343</v>
      </c>
      <c r="AM1894" s="39" t="n">
        <v>82.7</v>
      </c>
    </row>
    <row r="1895" customFormat="false" ht="15" hidden="false" customHeight="false" outlineLevel="0" collapsed="false">
      <c r="A1895" s="37" t="n">
        <v>395998407</v>
      </c>
      <c r="B1895" s="38" t="n">
        <v>46282.8336689815</v>
      </c>
      <c r="C1895" s="37" t="s">
        <v>340</v>
      </c>
      <c r="D1895" s="37" t="s">
        <v>2051</v>
      </c>
      <c r="E1895" s="37" t="n">
        <v>28920231</v>
      </c>
      <c r="F1895" s="37" t="s">
        <v>172</v>
      </c>
      <c r="G1895" s="37" t="s">
        <v>198</v>
      </c>
      <c r="H1895" s="37" t="s">
        <v>188</v>
      </c>
      <c r="I1895" s="37" t="n">
        <v>66.8</v>
      </c>
      <c r="J1895" s="39" t="n">
        <v>643.99</v>
      </c>
      <c r="K1895" s="37" t="s">
        <v>342</v>
      </c>
      <c r="L1895" s="39" t="n">
        <v>155.11</v>
      </c>
      <c r="M1895" s="39" t="n">
        <v>90.2</v>
      </c>
      <c r="N1895" s="39" t="n">
        <f aca="false">J1895*Resumo!$C$6</f>
        <v>0</v>
      </c>
      <c r="O1895" s="39" t="n">
        <f aca="false">J1895*Resumo!$C$7</f>
        <v>1.352379</v>
      </c>
      <c r="P1895" s="39" t="n">
        <f aca="false">J1895*Resumo!$C$8</f>
        <v>1.352379</v>
      </c>
      <c r="Q1895" s="39" t="n">
        <f aca="false">Resumo!$C$10*CEILING(I1895/100,1)</f>
        <v>1.05</v>
      </c>
      <c r="R1895" s="39" t="n">
        <f aca="false">Resumo!$C$9</f>
        <v>0</v>
      </c>
      <c r="S1895" s="39" t="n">
        <f aca="false">Resumo!$C$13</f>
        <v>13.55</v>
      </c>
      <c r="T1895" s="39" t="n">
        <f aca="false">Resumo!$C$14*CEILING(I1895,1)</f>
        <v>30.15</v>
      </c>
      <c r="U1895" s="39" t="n">
        <f aca="false">SUM(M1895:T1895)*Resumo!$C$11</f>
        <v>0</v>
      </c>
      <c r="V1895" s="39" t="n">
        <f aca="false">SUM(M1895:U1895)</f>
        <v>137.654758</v>
      </c>
      <c r="W1895" s="39" t="n">
        <f aca="false">V1895/(1-Resumo!$C$5)</f>
        <v>156.425861363636</v>
      </c>
      <c r="X1895" s="39" t="n">
        <v>166.05</v>
      </c>
      <c r="Y1895" s="39" t="n">
        <f aca="false">J1895*Resumo!$B$6</f>
        <v>0.64399</v>
      </c>
      <c r="Z1895" s="39" t="n">
        <f aca="false">J1895*Resumo!$B$7</f>
        <v>1.28798</v>
      </c>
      <c r="AA1895" s="39" t="n">
        <f aca="false">Resumo!$B$9</f>
        <v>1</v>
      </c>
      <c r="AB1895" s="39" t="n">
        <f aca="false">Resumo!$B$10*CEILING(I1895/100,1)</f>
        <v>4.5</v>
      </c>
      <c r="AC1895" s="39" t="n">
        <f aca="false">Resumo!$B$12*CEILING(I1895,1)</f>
        <v>4.02</v>
      </c>
      <c r="AD1895" s="39" t="n">
        <f aca="false">Resumo!$B$14*CEILING(I1895,1)</f>
        <v>30.15</v>
      </c>
      <c r="AE1895" s="39" t="n">
        <f aca="false">SUM(X1895:AD1895)</f>
        <v>207.65197</v>
      </c>
      <c r="AF1895" s="39" t="n">
        <f aca="false">AE1895/(1-Resumo!$B$5)</f>
        <v>235.968147727273</v>
      </c>
      <c r="AG1895" s="39" t="n">
        <f aca="false">AF1895-W1895</f>
        <v>79.5422863636364</v>
      </c>
      <c r="AH1895" s="40" t="n">
        <f aca="false">AF1895/W1895-1</f>
        <v>0.508498311405988</v>
      </c>
      <c r="AI1895" s="37" t="str">
        <f aca="false">IF(AF1895&lt;W1895,"SIM","NÃO")</f>
        <v>NÃO</v>
      </c>
      <c r="AJ1895" s="37" t="n">
        <v>13</v>
      </c>
      <c r="AK1895" s="37" t="n">
        <v>10</v>
      </c>
      <c r="AL1895" s="37" t="s">
        <v>343</v>
      </c>
      <c r="AM1895" s="39" t="n">
        <v>155.1</v>
      </c>
    </row>
    <row r="1896" customFormat="false" ht="15" hidden="false" customHeight="false" outlineLevel="0" collapsed="false">
      <c r="A1896" s="37" t="n">
        <v>396002204</v>
      </c>
      <c r="B1896" s="38" t="n">
        <v>46282.8422337963</v>
      </c>
      <c r="C1896" s="37" t="s">
        <v>340</v>
      </c>
      <c r="D1896" s="37" t="s">
        <v>2052</v>
      </c>
      <c r="E1896" s="37" t="n">
        <v>24474655</v>
      </c>
      <c r="F1896" s="37" t="s">
        <v>160</v>
      </c>
      <c r="G1896" s="37" t="s">
        <v>197</v>
      </c>
      <c r="H1896" s="37" t="s">
        <v>184</v>
      </c>
      <c r="I1896" s="37" t="n">
        <v>34.1</v>
      </c>
      <c r="J1896" s="39" t="n">
        <v>399.99</v>
      </c>
      <c r="K1896" s="37" t="s">
        <v>342</v>
      </c>
      <c r="L1896" s="39" t="n">
        <v>101.31</v>
      </c>
      <c r="M1896" s="39" t="n">
        <v>58.8</v>
      </c>
      <c r="N1896" s="39" t="n">
        <f aca="false">J1896*Resumo!$C$6</f>
        <v>0</v>
      </c>
      <c r="O1896" s="39" t="n">
        <f aca="false">J1896*Resumo!$C$7</f>
        <v>0.839979</v>
      </c>
      <c r="P1896" s="39" t="n">
        <f aca="false">J1896*Resumo!$C$8</f>
        <v>0.839979</v>
      </c>
      <c r="Q1896" s="39" t="n">
        <f aca="false">Resumo!$C$10*CEILING(I1896/100,1)</f>
        <v>1.05</v>
      </c>
      <c r="R1896" s="39" t="n">
        <f aca="false">Resumo!$C$9</f>
        <v>0</v>
      </c>
      <c r="S1896" s="39" t="n">
        <f aca="false">Resumo!$C$13</f>
        <v>13.55</v>
      </c>
      <c r="T1896" s="39" t="n">
        <f aca="false">Resumo!$C$14*CEILING(I1896,1)</f>
        <v>15.75</v>
      </c>
      <c r="U1896" s="39" t="n">
        <f aca="false">SUM(M1896:T1896)*Resumo!$C$11</f>
        <v>0</v>
      </c>
      <c r="V1896" s="39" t="n">
        <f aca="false">SUM(M1896:U1896)</f>
        <v>90.829958</v>
      </c>
      <c r="W1896" s="39" t="n">
        <f aca="false">V1896/(1-Resumo!$C$5)</f>
        <v>103.215861363636</v>
      </c>
      <c r="X1896" s="39" t="n">
        <v>100.58</v>
      </c>
      <c r="Y1896" s="39" t="n">
        <f aca="false">J1896*Resumo!$B$6</f>
        <v>0.39999</v>
      </c>
      <c r="Z1896" s="39" t="n">
        <f aca="false">J1896*Resumo!$B$7</f>
        <v>0.79998</v>
      </c>
      <c r="AA1896" s="39" t="n">
        <f aca="false">Resumo!$B$9</f>
        <v>1</v>
      </c>
      <c r="AB1896" s="39" t="n">
        <f aca="false">Resumo!$B$10*CEILING(I1896/100,1)</f>
        <v>4.5</v>
      </c>
      <c r="AC1896" s="39" t="n">
        <f aca="false">Resumo!$B$12*CEILING(I1896,1)</f>
        <v>2.1</v>
      </c>
      <c r="AD1896" s="39" t="n">
        <f aca="false">Resumo!$B$14*CEILING(I1896,1)</f>
        <v>15.75</v>
      </c>
      <c r="AE1896" s="39" t="n">
        <f aca="false">SUM(X1896:AD1896)</f>
        <v>125.12997</v>
      </c>
      <c r="AF1896" s="39" t="n">
        <f aca="false">AE1896/(1-Resumo!$B$5)</f>
        <v>142.193147727273</v>
      </c>
      <c r="AG1896" s="39" t="n">
        <f aca="false">AF1896-W1896</f>
        <v>38.9772863636364</v>
      </c>
      <c r="AH1896" s="40" t="n">
        <f aca="false">AF1896/W1896-1</f>
        <v>0.377628843558422</v>
      </c>
      <c r="AI1896" s="37" t="str">
        <f aca="false">IF(AF1896&lt;W1896,"SIM","NÃO")</f>
        <v>NÃO</v>
      </c>
      <c r="AJ1896" s="37" t="n">
        <v>2</v>
      </c>
      <c r="AK1896" s="37" t="n">
        <v>7</v>
      </c>
      <c r="AL1896" s="37" t="s">
        <v>343</v>
      </c>
      <c r="AM1896" s="39" t="n">
        <v>101.3</v>
      </c>
    </row>
    <row r="1897" customFormat="false" ht="15" hidden="false" customHeight="false" outlineLevel="0" collapsed="false">
      <c r="A1897" s="37" t="n">
        <v>396011699</v>
      </c>
      <c r="B1897" s="38" t="n">
        <v>46282.8624421296</v>
      </c>
      <c r="C1897" s="37" t="s">
        <v>340</v>
      </c>
      <c r="D1897" s="37" t="s">
        <v>2053</v>
      </c>
      <c r="E1897" s="37" t="n">
        <v>21555290</v>
      </c>
      <c r="F1897" s="37" t="s">
        <v>159</v>
      </c>
      <c r="G1897" s="37" t="s">
        <v>196</v>
      </c>
      <c r="H1897" s="37" t="s">
        <v>184</v>
      </c>
      <c r="I1897" s="37" t="n">
        <v>31</v>
      </c>
      <c r="J1897" s="39" t="n">
        <v>323.94</v>
      </c>
      <c r="K1897" s="37" t="s">
        <v>342</v>
      </c>
      <c r="L1897" s="39" t="n">
        <v>81.89</v>
      </c>
      <c r="M1897" s="39" t="n">
        <v>42.11</v>
      </c>
      <c r="N1897" s="39" t="n">
        <f aca="false">J1897*Resumo!$C$6</f>
        <v>0</v>
      </c>
      <c r="O1897" s="39" t="n">
        <f aca="false">J1897*Resumo!$C$7</f>
        <v>0.680274</v>
      </c>
      <c r="P1897" s="39" t="n">
        <f aca="false">J1897*Resumo!$C$8</f>
        <v>0.680274</v>
      </c>
      <c r="Q1897" s="39" t="n">
        <f aca="false">Resumo!$C$10*CEILING(I1897/100,1)</f>
        <v>1.05</v>
      </c>
      <c r="R1897" s="39" t="n">
        <f aca="false">Resumo!$C$9</f>
        <v>0</v>
      </c>
      <c r="S1897" s="39" t="n">
        <f aca="false">Resumo!$C$13</f>
        <v>13.55</v>
      </c>
      <c r="T1897" s="39" t="n">
        <f aca="false">Resumo!$C$14*CEILING(I1897,1)</f>
        <v>13.95</v>
      </c>
      <c r="U1897" s="39" t="n">
        <f aca="false">SUM(M1897:T1897)*Resumo!$C$11</f>
        <v>0</v>
      </c>
      <c r="V1897" s="39" t="n">
        <f aca="false">SUM(M1897:U1897)</f>
        <v>72.020548</v>
      </c>
      <c r="W1897" s="39" t="n">
        <f aca="false">V1897/(1-Resumo!$C$5)</f>
        <v>81.8415318181818</v>
      </c>
      <c r="X1897" s="39" t="n">
        <v>82.21</v>
      </c>
      <c r="Y1897" s="39" t="n">
        <f aca="false">J1897*Resumo!$B$6</f>
        <v>0.32394</v>
      </c>
      <c r="Z1897" s="39" t="n">
        <f aca="false">J1897*Resumo!$B$7</f>
        <v>0.64788</v>
      </c>
      <c r="AA1897" s="39" t="n">
        <f aca="false">Resumo!$B$9</f>
        <v>1</v>
      </c>
      <c r="AB1897" s="39" t="n">
        <f aca="false">Resumo!$B$10*CEILING(I1897/100,1)</f>
        <v>4.5</v>
      </c>
      <c r="AC1897" s="39" t="n">
        <f aca="false">Resumo!$B$12*CEILING(I1897,1)</f>
        <v>1.86</v>
      </c>
      <c r="AD1897" s="39" t="n">
        <f aca="false">Resumo!$B$14*CEILING(I1897,1)</f>
        <v>13.95</v>
      </c>
      <c r="AE1897" s="39" t="n">
        <f aca="false">SUM(X1897:AD1897)</f>
        <v>104.49182</v>
      </c>
      <c r="AF1897" s="39" t="n">
        <f aca="false">AE1897/(1-Resumo!$B$5)</f>
        <v>118.740704545455</v>
      </c>
      <c r="AG1897" s="39" t="n">
        <f aca="false">AF1897-W1897</f>
        <v>36.8991727272727</v>
      </c>
      <c r="AH1897" s="40" t="n">
        <f aca="false">AF1897/W1897-1</f>
        <v>0.45086121810681</v>
      </c>
      <c r="AI1897" s="37" t="str">
        <f aca="false">IF(AF1897&lt;W1897,"SIM","NÃO")</f>
        <v>NÃO</v>
      </c>
      <c r="AJ1897" s="37" t="n">
        <v>2</v>
      </c>
      <c r="AK1897" s="37" t="n">
        <v>5</v>
      </c>
      <c r="AL1897" s="37" t="s">
        <v>343</v>
      </c>
      <c r="AM1897" s="39" t="n">
        <v>81.88</v>
      </c>
    </row>
    <row r="1898" customFormat="false" ht="15" hidden="false" customHeight="false" outlineLevel="0" collapsed="false">
      <c r="A1898" s="37" t="n">
        <v>396015371</v>
      </c>
      <c r="B1898" s="38" t="n">
        <v>46282.8701157407</v>
      </c>
      <c r="C1898" s="37" t="s">
        <v>340</v>
      </c>
      <c r="D1898" s="37" t="s">
        <v>2054</v>
      </c>
      <c r="E1898" s="37" t="n">
        <v>24110026</v>
      </c>
      <c r="F1898" s="37" t="s">
        <v>163</v>
      </c>
      <c r="G1898" s="37" t="s">
        <v>197</v>
      </c>
      <c r="H1898" s="37" t="s">
        <v>187</v>
      </c>
      <c r="I1898" s="37" t="n">
        <v>52.3</v>
      </c>
      <c r="J1898" s="39" t="n">
        <v>645.14</v>
      </c>
      <c r="K1898" s="37" t="s">
        <v>342</v>
      </c>
      <c r="L1898" s="39" t="n">
        <v>128.38</v>
      </c>
      <c r="M1898" s="39" t="n">
        <v>70.98</v>
      </c>
      <c r="N1898" s="39" t="n">
        <f aca="false">J1898*Resumo!$C$6</f>
        <v>0</v>
      </c>
      <c r="O1898" s="39" t="n">
        <f aca="false">J1898*Resumo!$C$7</f>
        <v>1.354794</v>
      </c>
      <c r="P1898" s="39" t="n">
        <f aca="false">J1898*Resumo!$C$8</f>
        <v>1.354794</v>
      </c>
      <c r="Q1898" s="39" t="n">
        <f aca="false">Resumo!$C$10*CEILING(I1898/100,1)</f>
        <v>1.05</v>
      </c>
      <c r="R1898" s="39" t="n">
        <f aca="false">Resumo!$C$9</f>
        <v>0</v>
      </c>
      <c r="S1898" s="39" t="n">
        <f aca="false">Resumo!$C$13</f>
        <v>13.55</v>
      </c>
      <c r="T1898" s="39" t="n">
        <f aca="false">Resumo!$C$14*CEILING(I1898,1)</f>
        <v>23.85</v>
      </c>
      <c r="U1898" s="39" t="n">
        <f aca="false">SUM(M1898:T1898)*Resumo!$C$11</f>
        <v>0</v>
      </c>
      <c r="V1898" s="39" t="n">
        <f aca="false">SUM(M1898:U1898)</f>
        <v>112.139588</v>
      </c>
      <c r="W1898" s="39" t="n">
        <f aca="false">V1898/(1-Resumo!$C$5)</f>
        <v>127.43135</v>
      </c>
      <c r="X1898" s="39" t="n">
        <v>128.14</v>
      </c>
      <c r="Y1898" s="39" t="n">
        <f aca="false">J1898*Resumo!$B$6</f>
        <v>0.64514</v>
      </c>
      <c r="Z1898" s="39" t="n">
        <f aca="false">J1898*Resumo!$B$7</f>
        <v>1.29028</v>
      </c>
      <c r="AA1898" s="39" t="n">
        <f aca="false">Resumo!$B$9</f>
        <v>1</v>
      </c>
      <c r="AB1898" s="39" t="n">
        <f aca="false">Resumo!$B$10*CEILING(I1898/100,1)</f>
        <v>4.5</v>
      </c>
      <c r="AC1898" s="39" t="n">
        <f aca="false">Resumo!$B$12*CEILING(I1898,1)</f>
        <v>3.18</v>
      </c>
      <c r="AD1898" s="39" t="n">
        <f aca="false">Resumo!$B$14*CEILING(I1898,1)</f>
        <v>23.85</v>
      </c>
      <c r="AE1898" s="39" t="n">
        <f aca="false">SUM(X1898:AD1898)</f>
        <v>162.60542</v>
      </c>
      <c r="AF1898" s="39" t="n">
        <f aca="false">AE1898/(1-Resumo!$B$5)</f>
        <v>184.778886363636</v>
      </c>
      <c r="AG1898" s="39" t="n">
        <f aca="false">AF1898-W1898</f>
        <v>57.3475363636363</v>
      </c>
      <c r="AH1898" s="40" t="n">
        <f aca="false">AF1898/W1898-1</f>
        <v>0.45002690753599</v>
      </c>
      <c r="AI1898" s="37" t="str">
        <f aca="false">IF(AF1898&lt;W1898,"SIM","NÃO")</f>
        <v>NÃO</v>
      </c>
      <c r="AJ1898" s="37" t="n">
        <v>2</v>
      </c>
      <c r="AK1898" s="37" t="n">
        <v>7</v>
      </c>
      <c r="AL1898" s="37" t="s">
        <v>343</v>
      </c>
      <c r="AM1898" s="39" t="n">
        <v>128.37</v>
      </c>
    </row>
    <row r="1899" customFormat="false" ht="15" hidden="false" customHeight="false" outlineLevel="0" collapsed="false">
      <c r="A1899" s="37" t="n">
        <v>396019865</v>
      </c>
      <c r="B1899" s="38" t="n">
        <v>46282.8803935185</v>
      </c>
      <c r="C1899" s="37" t="s">
        <v>345</v>
      </c>
      <c r="D1899" s="37" t="s">
        <v>2055</v>
      </c>
      <c r="E1899" s="37" t="n">
        <v>22783240</v>
      </c>
      <c r="F1899" s="37" t="s">
        <v>159</v>
      </c>
      <c r="G1899" s="37" t="s">
        <v>196</v>
      </c>
      <c r="H1899" s="37" t="s">
        <v>185</v>
      </c>
      <c r="I1899" s="37" t="n">
        <v>36.8</v>
      </c>
      <c r="J1899" s="39" t="n">
        <v>439.95</v>
      </c>
      <c r="K1899" s="37" t="s">
        <v>342</v>
      </c>
      <c r="L1899" s="39" t="n">
        <v>91.97</v>
      </c>
      <c r="M1899" s="39" t="n">
        <v>48.35</v>
      </c>
      <c r="N1899" s="39" t="n">
        <f aca="false">J1899*Resumo!$C$6</f>
        <v>0</v>
      </c>
      <c r="O1899" s="39" t="n">
        <f aca="false">J1899*Resumo!$C$7</f>
        <v>0.923895</v>
      </c>
      <c r="P1899" s="39" t="n">
        <f aca="false">J1899*Resumo!$C$8</f>
        <v>0.923895</v>
      </c>
      <c r="Q1899" s="39" t="n">
        <f aca="false">Resumo!$C$10*CEILING(I1899/100,1)</f>
        <v>1.05</v>
      </c>
      <c r="R1899" s="39" t="n">
        <f aca="false">Resumo!$C$9</f>
        <v>0</v>
      </c>
      <c r="S1899" s="39" t="n">
        <f aca="false">Resumo!$C$13</f>
        <v>13.55</v>
      </c>
      <c r="T1899" s="39" t="n">
        <f aca="false">Resumo!$C$14*CEILING(I1899,1)</f>
        <v>16.65</v>
      </c>
      <c r="U1899" s="39" t="n">
        <f aca="false">SUM(M1899:T1899)*Resumo!$C$11</f>
        <v>0</v>
      </c>
      <c r="V1899" s="39" t="n">
        <f aca="false">SUM(M1899:U1899)</f>
        <v>81.44779</v>
      </c>
      <c r="W1899" s="39" t="n">
        <f aca="false">V1899/(1-Resumo!$C$5)</f>
        <v>92.5543068181818</v>
      </c>
      <c r="X1899" s="39" t="n">
        <v>93.97</v>
      </c>
      <c r="Y1899" s="39" t="n">
        <f aca="false">J1899*Resumo!$B$6</f>
        <v>0.43995</v>
      </c>
      <c r="Z1899" s="39" t="n">
        <f aca="false">J1899*Resumo!$B$7</f>
        <v>0.8799</v>
      </c>
      <c r="AA1899" s="39" t="n">
        <f aca="false">Resumo!$B$9</f>
        <v>1</v>
      </c>
      <c r="AB1899" s="39" t="n">
        <f aca="false">Resumo!$B$10*CEILING(I1899/100,1)</f>
        <v>4.5</v>
      </c>
      <c r="AC1899" s="39" t="n">
        <f aca="false">Resumo!$B$12*CEILING(I1899,1)</f>
        <v>2.22</v>
      </c>
      <c r="AD1899" s="39" t="n">
        <f aca="false">Resumo!$B$14*CEILING(I1899,1)</f>
        <v>16.65</v>
      </c>
      <c r="AE1899" s="39" t="n">
        <f aca="false">SUM(X1899:AD1899)</f>
        <v>119.65985</v>
      </c>
      <c r="AF1899" s="39" t="n">
        <f aca="false">AE1899/(1-Resumo!$B$5)</f>
        <v>135.977102272727</v>
      </c>
      <c r="AG1899" s="39" t="n">
        <f aca="false">AF1899-W1899</f>
        <v>43.4227954545455</v>
      </c>
      <c r="AH1899" s="40" t="n">
        <f aca="false">AF1899/W1899-1</f>
        <v>0.469160182246811</v>
      </c>
      <c r="AI1899" s="37" t="str">
        <f aca="false">IF(AF1899&lt;W1899,"SIM","NÃO")</f>
        <v>NÃO</v>
      </c>
      <c r="AJ1899" s="37" t="n">
        <v>2</v>
      </c>
      <c r="AK1899" s="37" t="n">
        <v>5</v>
      </c>
      <c r="AL1899" s="37" t="s">
        <v>343</v>
      </c>
      <c r="AM1899" s="39" t="n">
        <v>91.96</v>
      </c>
    </row>
    <row r="1900" customFormat="false" ht="15" hidden="false" customHeight="false" outlineLevel="0" collapsed="false">
      <c r="A1900" s="37" t="n">
        <v>396026937</v>
      </c>
      <c r="B1900" s="38" t="n">
        <v>46282.8964583333</v>
      </c>
      <c r="C1900" s="37" t="s">
        <v>340</v>
      </c>
      <c r="D1900" s="37" t="s">
        <v>529</v>
      </c>
      <c r="E1900" s="37" t="n">
        <v>21031700</v>
      </c>
      <c r="F1900" s="37" t="s">
        <v>159</v>
      </c>
      <c r="G1900" s="37" t="s">
        <v>196</v>
      </c>
      <c r="H1900" s="37" t="s">
        <v>184</v>
      </c>
      <c r="I1900" s="37" t="n">
        <v>33</v>
      </c>
      <c r="J1900" s="39" t="n">
        <v>458.3</v>
      </c>
      <c r="K1900" s="37" t="s">
        <v>342</v>
      </c>
      <c r="L1900" s="39" t="n">
        <v>82.53</v>
      </c>
      <c r="M1900" s="39" t="n">
        <v>42.11</v>
      </c>
      <c r="N1900" s="39" t="n">
        <f aca="false">J1900*Resumo!$C$6</f>
        <v>0</v>
      </c>
      <c r="O1900" s="39" t="n">
        <f aca="false">J1900*Resumo!$C$7</f>
        <v>0.96243</v>
      </c>
      <c r="P1900" s="39" t="n">
        <f aca="false">J1900*Resumo!$C$8</f>
        <v>0.96243</v>
      </c>
      <c r="Q1900" s="39" t="n">
        <f aca="false">Resumo!$C$10*CEILING(I1900/100,1)</f>
        <v>1.05</v>
      </c>
      <c r="R1900" s="39" t="n">
        <f aca="false">Resumo!$C$9</f>
        <v>0</v>
      </c>
      <c r="S1900" s="39" t="n">
        <f aca="false">Resumo!$C$13</f>
        <v>13.55</v>
      </c>
      <c r="T1900" s="39" t="n">
        <f aca="false">Resumo!$C$14*CEILING(I1900,1)</f>
        <v>14.85</v>
      </c>
      <c r="U1900" s="39" t="n">
        <f aca="false">SUM(M1900:T1900)*Resumo!$C$11</f>
        <v>0</v>
      </c>
      <c r="V1900" s="39" t="n">
        <f aca="false">SUM(M1900:U1900)</f>
        <v>73.48486</v>
      </c>
      <c r="W1900" s="39" t="n">
        <f aca="false">V1900/(1-Resumo!$C$5)</f>
        <v>83.5055227272727</v>
      </c>
      <c r="X1900" s="39" t="n">
        <v>82.21</v>
      </c>
      <c r="Y1900" s="39" t="n">
        <f aca="false">J1900*Resumo!$B$6</f>
        <v>0.4583</v>
      </c>
      <c r="Z1900" s="39" t="n">
        <f aca="false">J1900*Resumo!$B$7</f>
        <v>0.9166</v>
      </c>
      <c r="AA1900" s="39" t="n">
        <f aca="false">Resumo!$B$9</f>
        <v>1</v>
      </c>
      <c r="AB1900" s="39" t="n">
        <f aca="false">Resumo!$B$10*CEILING(I1900/100,1)</f>
        <v>4.5</v>
      </c>
      <c r="AC1900" s="39" t="n">
        <f aca="false">Resumo!$B$12*CEILING(I1900,1)</f>
        <v>1.98</v>
      </c>
      <c r="AD1900" s="39" t="n">
        <f aca="false">Resumo!$B$14*CEILING(I1900,1)</f>
        <v>14.85</v>
      </c>
      <c r="AE1900" s="39" t="n">
        <f aca="false">SUM(X1900:AD1900)</f>
        <v>105.9149</v>
      </c>
      <c r="AF1900" s="39" t="n">
        <f aca="false">AE1900/(1-Resumo!$B$5)</f>
        <v>120.357840909091</v>
      </c>
      <c r="AG1900" s="39" t="n">
        <f aca="false">AF1900-W1900</f>
        <v>36.8523181818182</v>
      </c>
      <c r="AH1900" s="40" t="n">
        <f aca="false">AF1900/W1900-1</f>
        <v>0.44131593909276</v>
      </c>
      <c r="AI1900" s="37" t="str">
        <f aca="false">IF(AF1900&lt;W1900,"SIM","NÃO")</f>
        <v>NÃO</v>
      </c>
      <c r="AJ1900" s="37" t="n">
        <v>2</v>
      </c>
      <c r="AK1900" s="37" t="n">
        <v>5</v>
      </c>
      <c r="AL1900" s="37" t="s">
        <v>343</v>
      </c>
      <c r="AM1900" s="39" t="n">
        <v>82.52</v>
      </c>
    </row>
    <row r="1901" customFormat="false" ht="15" hidden="false" customHeight="false" outlineLevel="0" collapsed="false">
      <c r="A1901" s="37" t="n">
        <v>396038496</v>
      </c>
      <c r="B1901" s="38" t="n">
        <v>46282.9242708333</v>
      </c>
      <c r="C1901" s="37" t="s">
        <v>340</v>
      </c>
      <c r="D1901" s="37" t="s">
        <v>2056</v>
      </c>
      <c r="E1901" s="37" t="n">
        <v>27963788</v>
      </c>
      <c r="F1901" s="37" t="s">
        <v>166</v>
      </c>
      <c r="G1901" s="37" t="s">
        <v>198</v>
      </c>
      <c r="H1901" s="37" t="s">
        <v>188</v>
      </c>
      <c r="I1901" s="37" t="n">
        <v>69.45</v>
      </c>
      <c r="J1901" s="39" t="n">
        <v>859.99</v>
      </c>
      <c r="K1901" s="37" t="s">
        <v>342</v>
      </c>
      <c r="L1901" s="39" t="n">
        <v>156.14</v>
      </c>
      <c r="M1901" s="39" t="n">
        <v>90.2</v>
      </c>
      <c r="N1901" s="39" t="n">
        <f aca="false">J1901*Resumo!$C$6</f>
        <v>0</v>
      </c>
      <c r="O1901" s="39" t="n">
        <f aca="false">J1901*Resumo!$C$7</f>
        <v>1.805979</v>
      </c>
      <c r="P1901" s="39" t="n">
        <f aca="false">J1901*Resumo!$C$8</f>
        <v>1.805979</v>
      </c>
      <c r="Q1901" s="39" t="n">
        <f aca="false">Resumo!$C$10*CEILING(I1901/100,1)</f>
        <v>1.05</v>
      </c>
      <c r="R1901" s="39" t="n">
        <f aca="false">Resumo!$C$9</f>
        <v>0</v>
      </c>
      <c r="S1901" s="39" t="n">
        <f aca="false">Resumo!$C$13</f>
        <v>13.55</v>
      </c>
      <c r="T1901" s="39" t="n">
        <f aca="false">Resumo!$C$14*CEILING(I1901,1)</f>
        <v>31.5</v>
      </c>
      <c r="U1901" s="39" t="n">
        <f aca="false">SUM(M1901:T1901)*Resumo!$C$11</f>
        <v>0</v>
      </c>
      <c r="V1901" s="39" t="n">
        <f aca="false">SUM(M1901:U1901)</f>
        <v>139.911958</v>
      </c>
      <c r="W1901" s="39" t="n">
        <f aca="false">V1901/(1-Resumo!$C$5)</f>
        <v>158.990861363636</v>
      </c>
      <c r="X1901" s="39" t="n">
        <v>171.54</v>
      </c>
      <c r="Y1901" s="39" t="n">
        <f aca="false">J1901*Resumo!$B$6</f>
        <v>0.85999</v>
      </c>
      <c r="Z1901" s="39" t="n">
        <f aca="false">J1901*Resumo!$B$7</f>
        <v>1.71998</v>
      </c>
      <c r="AA1901" s="39" t="n">
        <f aca="false">Resumo!$B$9</f>
        <v>1</v>
      </c>
      <c r="AB1901" s="39" t="n">
        <f aca="false">Resumo!$B$10*CEILING(I1901/100,1)</f>
        <v>4.5</v>
      </c>
      <c r="AC1901" s="39" t="n">
        <f aca="false">Resumo!$B$12*CEILING(I1901,1)</f>
        <v>4.2</v>
      </c>
      <c r="AD1901" s="39" t="n">
        <f aca="false">Resumo!$B$14*CEILING(I1901,1)</f>
        <v>31.5</v>
      </c>
      <c r="AE1901" s="39" t="n">
        <f aca="false">SUM(X1901:AD1901)</f>
        <v>215.31997</v>
      </c>
      <c r="AF1901" s="39" t="n">
        <f aca="false">AE1901/(1-Resumo!$B$5)</f>
        <v>244.681784090909</v>
      </c>
      <c r="AG1901" s="39" t="n">
        <f aca="false">AF1901-W1901</f>
        <v>85.6909227272727</v>
      </c>
      <c r="AH1901" s="40" t="n">
        <f aca="false">AF1901/W1901-1</f>
        <v>0.538967598466458</v>
      </c>
      <c r="AI1901" s="37" t="str">
        <f aca="false">IF(AF1901&lt;W1901,"SIM","NÃO")</f>
        <v>NÃO</v>
      </c>
      <c r="AJ1901" s="37" t="n">
        <v>13</v>
      </c>
      <c r="AK1901" s="37" t="n">
        <v>11</v>
      </c>
      <c r="AL1901" s="37" t="s">
        <v>343</v>
      </c>
      <c r="AM1901" s="39" t="n">
        <v>156.14</v>
      </c>
    </row>
    <row r="1902" customFormat="false" ht="15" hidden="false" customHeight="false" outlineLevel="0" collapsed="false">
      <c r="A1902" s="37" t="n">
        <v>396039640</v>
      </c>
      <c r="B1902" s="38" t="n">
        <v>46282.9270949074</v>
      </c>
      <c r="C1902" s="37" t="s">
        <v>340</v>
      </c>
      <c r="D1902" s="37" t="s">
        <v>2057</v>
      </c>
      <c r="E1902" s="37" t="n">
        <v>28053600</v>
      </c>
      <c r="F1902" s="37" t="s">
        <v>164</v>
      </c>
      <c r="G1902" s="37" t="s">
        <v>198</v>
      </c>
      <c r="H1902" s="37" t="s">
        <v>184</v>
      </c>
      <c r="I1902" s="37" t="n">
        <v>27.4</v>
      </c>
      <c r="J1902" s="39" t="n">
        <v>329.99</v>
      </c>
      <c r="K1902" s="37" t="s">
        <v>342</v>
      </c>
      <c r="L1902" s="39" t="n">
        <v>108.76</v>
      </c>
      <c r="M1902" s="39" t="n">
        <v>65.63</v>
      </c>
      <c r="N1902" s="39" t="n">
        <f aca="false">J1902*Resumo!$C$6</f>
        <v>0</v>
      </c>
      <c r="O1902" s="39" t="n">
        <f aca="false">J1902*Resumo!$C$7</f>
        <v>0.692979</v>
      </c>
      <c r="P1902" s="39" t="n">
        <f aca="false">J1902*Resumo!$C$8</f>
        <v>0.692979</v>
      </c>
      <c r="Q1902" s="39" t="n">
        <f aca="false">Resumo!$C$10*CEILING(I1902/100,1)</f>
        <v>1.05</v>
      </c>
      <c r="R1902" s="39" t="n">
        <f aca="false">Resumo!$C$9</f>
        <v>0</v>
      </c>
      <c r="S1902" s="39" t="n">
        <f aca="false">Resumo!$C$13</f>
        <v>13.55</v>
      </c>
      <c r="T1902" s="39" t="n">
        <f aca="false">Resumo!$C$14*CEILING(I1902,1)</f>
        <v>12.6</v>
      </c>
      <c r="U1902" s="39" t="n">
        <f aca="false">SUM(M1902:T1902)*Resumo!$C$11</f>
        <v>0</v>
      </c>
      <c r="V1902" s="39" t="n">
        <f aca="false">SUM(M1902:U1902)</f>
        <v>94.215958</v>
      </c>
      <c r="W1902" s="39" t="n">
        <f aca="false">V1902/(1-Resumo!$C$5)</f>
        <v>107.063588636364</v>
      </c>
      <c r="X1902" s="39" t="n">
        <v>138.29</v>
      </c>
      <c r="Y1902" s="39" t="n">
        <f aca="false">J1902*Resumo!$B$6</f>
        <v>0.32999</v>
      </c>
      <c r="Z1902" s="39" t="n">
        <f aca="false">J1902*Resumo!$B$7</f>
        <v>0.65998</v>
      </c>
      <c r="AA1902" s="39" t="n">
        <f aca="false">Resumo!$B$9</f>
        <v>1</v>
      </c>
      <c r="AB1902" s="39" t="n">
        <f aca="false">Resumo!$B$10*CEILING(I1902/100,1)</f>
        <v>4.5</v>
      </c>
      <c r="AC1902" s="39" t="n">
        <f aca="false">Resumo!$B$12*CEILING(I1902,1)</f>
        <v>1.68</v>
      </c>
      <c r="AD1902" s="39" t="n">
        <f aca="false">Resumo!$B$14*CEILING(I1902,1)</f>
        <v>12.6</v>
      </c>
      <c r="AE1902" s="39" t="n">
        <f aca="false">SUM(X1902:AD1902)</f>
        <v>159.05997</v>
      </c>
      <c r="AF1902" s="39" t="n">
        <f aca="false">AE1902/(1-Resumo!$B$5)</f>
        <v>180.749965909091</v>
      </c>
      <c r="AG1902" s="39" t="n">
        <f aca="false">AF1902-W1902</f>
        <v>73.6863772727273</v>
      </c>
      <c r="AH1902" s="40" t="n">
        <f aca="false">AF1902/W1902-1</f>
        <v>0.688248714724102</v>
      </c>
      <c r="AI1902" s="37" t="str">
        <f aca="false">IF(AF1902&lt;W1902,"SIM","NÃO")</f>
        <v>NÃO</v>
      </c>
      <c r="AJ1902" s="37" t="n">
        <v>13</v>
      </c>
      <c r="AK1902" s="37" t="n">
        <v>11</v>
      </c>
      <c r="AL1902" s="37" t="s">
        <v>343</v>
      </c>
      <c r="AM1902" s="39" t="n">
        <v>108.76</v>
      </c>
    </row>
    <row r="1903" customFormat="false" ht="15" hidden="false" customHeight="false" outlineLevel="0" collapsed="false">
      <c r="A1903" s="37" t="n">
        <v>396126034</v>
      </c>
      <c r="B1903" s="38" t="n">
        <v>46283.2787731482</v>
      </c>
      <c r="C1903" s="37" t="s">
        <v>361</v>
      </c>
      <c r="D1903" s="37" t="s">
        <v>2058</v>
      </c>
      <c r="E1903" s="37" t="n">
        <v>22430190</v>
      </c>
      <c r="F1903" s="37" t="s">
        <v>159</v>
      </c>
      <c r="G1903" s="37" t="s">
        <v>196</v>
      </c>
      <c r="H1903" s="37" t="s">
        <v>185</v>
      </c>
      <c r="I1903" s="37" t="n">
        <v>36.8</v>
      </c>
      <c r="J1903" s="39" t="n">
        <v>549.99</v>
      </c>
      <c r="K1903" s="37" t="s">
        <v>342</v>
      </c>
      <c r="L1903" s="39" t="n">
        <v>92.49</v>
      </c>
      <c r="M1903" s="39" t="n">
        <v>48.35</v>
      </c>
      <c r="N1903" s="39" t="n">
        <f aca="false">J1903*Resumo!$C$6</f>
        <v>0</v>
      </c>
      <c r="O1903" s="39" t="n">
        <f aca="false">J1903*Resumo!$C$7</f>
        <v>1.154979</v>
      </c>
      <c r="P1903" s="39" t="n">
        <f aca="false">J1903*Resumo!$C$8</f>
        <v>1.154979</v>
      </c>
      <c r="Q1903" s="39" t="n">
        <f aca="false">Resumo!$C$10*CEILING(I1903/100,1)</f>
        <v>1.05</v>
      </c>
      <c r="R1903" s="39" t="n">
        <f aca="false">Resumo!$C$9</f>
        <v>0</v>
      </c>
      <c r="S1903" s="39" t="n">
        <f aca="false">Resumo!$C$13</f>
        <v>13.55</v>
      </c>
      <c r="T1903" s="39" t="n">
        <f aca="false">Resumo!$C$14*CEILING(I1903,1)</f>
        <v>16.65</v>
      </c>
      <c r="U1903" s="39" t="n">
        <f aca="false">SUM(M1903:T1903)*Resumo!$C$11</f>
        <v>0</v>
      </c>
      <c r="V1903" s="39" t="n">
        <f aca="false">SUM(M1903:U1903)</f>
        <v>81.909958</v>
      </c>
      <c r="W1903" s="39" t="n">
        <f aca="false">V1903/(1-Resumo!$C$5)</f>
        <v>93.0794977272727</v>
      </c>
      <c r="X1903" s="39" t="n">
        <v>93.97</v>
      </c>
      <c r="Y1903" s="39" t="n">
        <f aca="false">J1903*Resumo!$B$6</f>
        <v>0.54999</v>
      </c>
      <c r="Z1903" s="39" t="n">
        <f aca="false">J1903*Resumo!$B$7</f>
        <v>1.09998</v>
      </c>
      <c r="AA1903" s="39" t="n">
        <f aca="false">Resumo!$B$9</f>
        <v>1</v>
      </c>
      <c r="AB1903" s="39" t="n">
        <f aca="false">Resumo!$B$10*CEILING(I1903/100,1)</f>
        <v>4.5</v>
      </c>
      <c r="AC1903" s="39" t="n">
        <f aca="false">Resumo!$B$12*CEILING(I1903,1)</f>
        <v>2.22</v>
      </c>
      <c r="AD1903" s="39" t="n">
        <f aca="false">Resumo!$B$14*CEILING(I1903,1)</f>
        <v>16.65</v>
      </c>
      <c r="AE1903" s="39" t="n">
        <f aca="false">SUM(X1903:AD1903)</f>
        <v>119.98997</v>
      </c>
      <c r="AF1903" s="39" t="n">
        <f aca="false">AE1903/(1-Resumo!$B$5)</f>
        <v>136.352238636364</v>
      </c>
      <c r="AG1903" s="39" t="n">
        <f aca="false">AF1903-W1903</f>
        <v>43.2727409090909</v>
      </c>
      <c r="AH1903" s="40" t="n">
        <f aca="false">AF1903/W1903-1</f>
        <v>0.464900885433246</v>
      </c>
      <c r="AI1903" s="37" t="str">
        <f aca="false">IF(AF1903&lt;W1903,"SIM","NÃO")</f>
        <v>NÃO</v>
      </c>
      <c r="AJ1903" s="37" t="n">
        <v>2</v>
      </c>
      <c r="AK1903" s="37" t="n">
        <v>5</v>
      </c>
      <c r="AL1903" s="37" t="s">
        <v>343</v>
      </c>
      <c r="AM1903" s="39" t="n">
        <v>92.49</v>
      </c>
    </row>
    <row r="1904" customFormat="false" ht="15" hidden="false" customHeight="false" outlineLevel="0" collapsed="false">
      <c r="A1904" s="37" t="n">
        <v>396164984</v>
      </c>
      <c r="B1904" s="38" t="n">
        <v>46283.3938425926</v>
      </c>
      <c r="C1904" s="37" t="s">
        <v>379</v>
      </c>
      <c r="D1904" s="37" t="s">
        <v>2059</v>
      </c>
      <c r="E1904" s="37" t="n">
        <v>22280030</v>
      </c>
      <c r="F1904" s="37" t="s">
        <v>159</v>
      </c>
      <c r="G1904" s="37" t="s">
        <v>196</v>
      </c>
      <c r="H1904" s="37" t="s">
        <v>186</v>
      </c>
      <c r="I1904" s="37" t="n">
        <v>49.6</v>
      </c>
      <c r="J1904" s="39" t="n">
        <v>799.99</v>
      </c>
      <c r="K1904" s="37" t="s">
        <v>342</v>
      </c>
      <c r="L1904" s="39" t="n">
        <v>104.42</v>
      </c>
      <c r="M1904" s="39" t="n">
        <v>53.55</v>
      </c>
      <c r="N1904" s="39" t="n">
        <f aca="false">J1904*Resumo!$C$6</f>
        <v>0</v>
      </c>
      <c r="O1904" s="39" t="n">
        <f aca="false">J1904*Resumo!$C$7</f>
        <v>1.679979</v>
      </c>
      <c r="P1904" s="39" t="n">
        <f aca="false">J1904*Resumo!$C$8</f>
        <v>1.679979</v>
      </c>
      <c r="Q1904" s="39" t="n">
        <f aca="false">Resumo!$C$10*CEILING(I1904/100,1)</f>
        <v>1.05</v>
      </c>
      <c r="R1904" s="39" t="n">
        <f aca="false">Resumo!$C$9</f>
        <v>0</v>
      </c>
      <c r="S1904" s="39" t="n">
        <f aca="false">Resumo!$C$13</f>
        <v>13.55</v>
      </c>
      <c r="T1904" s="39" t="n">
        <f aca="false">Resumo!$C$14*CEILING(I1904,1)</f>
        <v>22.5</v>
      </c>
      <c r="U1904" s="39" t="n">
        <f aca="false">SUM(M1904:T1904)*Resumo!$C$11</f>
        <v>0</v>
      </c>
      <c r="V1904" s="39" t="n">
        <f aca="false">SUM(M1904:U1904)</f>
        <v>94.009958</v>
      </c>
      <c r="W1904" s="39" t="n">
        <f aca="false">V1904/(1-Resumo!$C$5)</f>
        <v>106.829497727273</v>
      </c>
      <c r="X1904" s="39" t="n">
        <v>93.97</v>
      </c>
      <c r="Y1904" s="39" t="n">
        <f aca="false">J1904*Resumo!$B$6</f>
        <v>0.79999</v>
      </c>
      <c r="Z1904" s="39" t="n">
        <f aca="false">J1904*Resumo!$B$7</f>
        <v>1.59998</v>
      </c>
      <c r="AA1904" s="39" t="n">
        <f aca="false">Resumo!$B$9</f>
        <v>1</v>
      </c>
      <c r="AB1904" s="39" t="n">
        <f aca="false">Resumo!$B$10*CEILING(I1904/100,1)</f>
        <v>4.5</v>
      </c>
      <c r="AC1904" s="39" t="n">
        <f aca="false">Resumo!$B$12*CEILING(I1904,1)</f>
        <v>3</v>
      </c>
      <c r="AD1904" s="39" t="n">
        <f aca="false">Resumo!$B$14*CEILING(I1904,1)</f>
        <v>22.5</v>
      </c>
      <c r="AE1904" s="39" t="n">
        <f aca="false">SUM(X1904:AD1904)</f>
        <v>127.36997</v>
      </c>
      <c r="AF1904" s="39" t="n">
        <f aca="false">AE1904/(1-Resumo!$B$5)</f>
        <v>144.738602272727</v>
      </c>
      <c r="AG1904" s="39" t="n">
        <f aca="false">AF1904-W1904</f>
        <v>37.9091045454545</v>
      </c>
      <c r="AH1904" s="40" t="n">
        <f aca="false">AF1904/W1904-1</f>
        <v>0.35485615257907</v>
      </c>
      <c r="AI1904" s="37" t="str">
        <f aca="false">IF(AF1904&lt;W1904,"SIM","NÃO")</f>
        <v>NÃO</v>
      </c>
      <c r="AJ1904" s="37" t="n">
        <v>2</v>
      </c>
      <c r="AK1904" s="37" t="n">
        <v>5</v>
      </c>
      <c r="AL1904" s="37" t="s">
        <v>343</v>
      </c>
      <c r="AM1904" s="39" t="n">
        <v>104.42</v>
      </c>
    </row>
    <row r="1905" customFormat="false" ht="15" hidden="false" customHeight="false" outlineLevel="0" collapsed="false">
      <c r="A1905" s="37" t="n">
        <v>396174944</v>
      </c>
      <c r="B1905" s="38" t="n">
        <v>46283.417025463</v>
      </c>
      <c r="C1905" s="37" t="s">
        <v>340</v>
      </c>
      <c r="D1905" s="37" t="s">
        <v>2060</v>
      </c>
      <c r="E1905" s="37" t="n">
        <v>21061600</v>
      </c>
      <c r="F1905" s="37" t="s">
        <v>159</v>
      </c>
      <c r="G1905" s="37" t="s">
        <v>196</v>
      </c>
      <c r="H1905" s="37" t="s">
        <v>186</v>
      </c>
      <c r="I1905" s="37" t="n">
        <v>48</v>
      </c>
      <c r="J1905" s="39" t="n">
        <v>725.1</v>
      </c>
      <c r="K1905" s="37" t="s">
        <v>342</v>
      </c>
      <c r="L1905" s="39" t="n">
        <v>104.06</v>
      </c>
      <c r="M1905" s="39" t="n">
        <v>53.55</v>
      </c>
      <c r="N1905" s="39" t="n">
        <f aca="false">J1905*Resumo!$C$6</f>
        <v>0</v>
      </c>
      <c r="O1905" s="39" t="n">
        <f aca="false">J1905*Resumo!$C$7</f>
        <v>1.52271</v>
      </c>
      <c r="P1905" s="39" t="n">
        <f aca="false">J1905*Resumo!$C$8</f>
        <v>1.52271</v>
      </c>
      <c r="Q1905" s="39" t="n">
        <f aca="false">Resumo!$C$10*CEILING(I1905/100,1)</f>
        <v>1.05</v>
      </c>
      <c r="R1905" s="39" t="n">
        <f aca="false">Resumo!$C$9</f>
        <v>0</v>
      </c>
      <c r="S1905" s="39" t="n">
        <f aca="false">Resumo!$C$13</f>
        <v>13.55</v>
      </c>
      <c r="T1905" s="39" t="n">
        <f aca="false">Resumo!$C$14*CEILING(I1905,1)</f>
        <v>21.6</v>
      </c>
      <c r="U1905" s="39" t="n">
        <f aca="false">SUM(M1905:T1905)*Resumo!$C$11</f>
        <v>0</v>
      </c>
      <c r="V1905" s="39" t="n">
        <f aca="false">SUM(M1905:U1905)</f>
        <v>92.79542</v>
      </c>
      <c r="W1905" s="39" t="n">
        <f aca="false">V1905/(1-Resumo!$C$5)</f>
        <v>105.449340909091</v>
      </c>
      <c r="X1905" s="39" t="n">
        <v>93.97</v>
      </c>
      <c r="Y1905" s="39" t="n">
        <f aca="false">J1905*Resumo!$B$6</f>
        <v>0.7251</v>
      </c>
      <c r="Z1905" s="39" t="n">
        <f aca="false">J1905*Resumo!$B$7</f>
        <v>1.4502</v>
      </c>
      <c r="AA1905" s="39" t="n">
        <f aca="false">Resumo!$B$9</f>
        <v>1</v>
      </c>
      <c r="AB1905" s="39" t="n">
        <f aca="false">Resumo!$B$10*CEILING(I1905/100,1)</f>
        <v>4.5</v>
      </c>
      <c r="AC1905" s="39" t="n">
        <f aca="false">Resumo!$B$12*CEILING(I1905,1)</f>
        <v>2.88</v>
      </c>
      <c r="AD1905" s="39" t="n">
        <f aca="false">Resumo!$B$14*CEILING(I1905,1)</f>
        <v>21.6</v>
      </c>
      <c r="AE1905" s="39" t="n">
        <f aca="false">SUM(X1905:AD1905)</f>
        <v>126.1253</v>
      </c>
      <c r="AF1905" s="39" t="n">
        <f aca="false">AE1905/(1-Resumo!$B$5)</f>
        <v>143.324204545455</v>
      </c>
      <c r="AG1905" s="39" t="n">
        <f aca="false">AF1905-W1905</f>
        <v>37.8748636363636</v>
      </c>
      <c r="AH1905" s="40" t="n">
        <f aca="false">AF1905/W1905-1</f>
        <v>0.359175916225176</v>
      </c>
      <c r="AI1905" s="37" t="str">
        <f aca="false">IF(AF1905&lt;W1905,"SIM","NÃO")</f>
        <v>NÃO</v>
      </c>
      <c r="AJ1905" s="37" t="n">
        <v>2</v>
      </c>
      <c r="AK1905" s="37" t="n">
        <v>5</v>
      </c>
      <c r="AL1905" s="37" t="s">
        <v>343</v>
      </c>
      <c r="AM1905" s="39" t="n">
        <v>104.06</v>
      </c>
    </row>
    <row r="1906" customFormat="false" ht="15" hidden="false" customHeight="false" outlineLevel="0" collapsed="false">
      <c r="A1906" s="37" t="n">
        <v>396197357</v>
      </c>
      <c r="B1906" s="38" t="n">
        <v>46283.4628819445</v>
      </c>
      <c r="C1906" s="37" t="s">
        <v>340</v>
      </c>
      <c r="D1906" s="37" t="s">
        <v>1532</v>
      </c>
      <c r="E1906" s="37" t="n">
        <v>21020260</v>
      </c>
      <c r="F1906" s="37" t="s">
        <v>159</v>
      </c>
      <c r="G1906" s="37" t="s">
        <v>196</v>
      </c>
      <c r="H1906" s="37" t="s">
        <v>184</v>
      </c>
      <c r="I1906" s="37" t="n">
        <v>25.8</v>
      </c>
      <c r="J1906" s="39" t="n">
        <v>309.58</v>
      </c>
      <c r="K1906" s="37" t="s">
        <v>342</v>
      </c>
      <c r="L1906" s="39" t="n">
        <v>81.81</v>
      </c>
      <c r="M1906" s="39" t="n">
        <v>42.11</v>
      </c>
      <c r="N1906" s="39" t="n">
        <f aca="false">J1906*Resumo!$C$6</f>
        <v>0</v>
      </c>
      <c r="O1906" s="39" t="n">
        <f aca="false">J1906*Resumo!$C$7</f>
        <v>0.650118</v>
      </c>
      <c r="P1906" s="39" t="n">
        <f aca="false">J1906*Resumo!$C$8</f>
        <v>0.650118</v>
      </c>
      <c r="Q1906" s="39" t="n">
        <f aca="false">Resumo!$C$10*CEILING(I1906/100,1)</f>
        <v>1.05</v>
      </c>
      <c r="R1906" s="39" t="n">
        <f aca="false">Resumo!$C$9</f>
        <v>0</v>
      </c>
      <c r="S1906" s="39" t="n">
        <f aca="false">Resumo!$C$13</f>
        <v>13.55</v>
      </c>
      <c r="T1906" s="39" t="n">
        <f aca="false">Resumo!$C$14*CEILING(I1906,1)</f>
        <v>11.7</v>
      </c>
      <c r="U1906" s="39" t="n">
        <f aca="false">SUM(M1906:T1906)*Resumo!$C$11</f>
        <v>0</v>
      </c>
      <c r="V1906" s="39" t="n">
        <f aca="false">SUM(M1906:U1906)</f>
        <v>69.710236</v>
      </c>
      <c r="W1906" s="39" t="n">
        <f aca="false">V1906/(1-Resumo!$C$5)</f>
        <v>79.2161772727273</v>
      </c>
      <c r="X1906" s="39" t="n">
        <v>82.21</v>
      </c>
      <c r="Y1906" s="39" t="n">
        <f aca="false">J1906*Resumo!$B$6</f>
        <v>0.30958</v>
      </c>
      <c r="Z1906" s="39" t="n">
        <f aca="false">J1906*Resumo!$B$7</f>
        <v>0.61916</v>
      </c>
      <c r="AA1906" s="39" t="n">
        <f aca="false">Resumo!$B$9</f>
        <v>1</v>
      </c>
      <c r="AB1906" s="39" t="n">
        <f aca="false">Resumo!$B$10*CEILING(I1906/100,1)</f>
        <v>4.5</v>
      </c>
      <c r="AC1906" s="39" t="n">
        <f aca="false">Resumo!$B$12*CEILING(I1906,1)</f>
        <v>1.56</v>
      </c>
      <c r="AD1906" s="39" t="n">
        <f aca="false">Resumo!$B$14*CEILING(I1906,1)</f>
        <v>11.7</v>
      </c>
      <c r="AE1906" s="39" t="n">
        <f aca="false">SUM(X1906:AD1906)</f>
        <v>101.89874</v>
      </c>
      <c r="AF1906" s="39" t="n">
        <f aca="false">AE1906/(1-Resumo!$B$5)</f>
        <v>115.794022727273</v>
      </c>
      <c r="AG1906" s="39" t="n">
        <f aca="false">AF1906-W1906</f>
        <v>36.5778454545455</v>
      </c>
      <c r="AH1906" s="40" t="n">
        <f aca="false">AF1906/W1906-1</f>
        <v>0.461747167230936</v>
      </c>
      <c r="AI1906" s="37" t="str">
        <f aca="false">IF(AF1906&lt;W1906,"SIM","NÃO")</f>
        <v>NÃO</v>
      </c>
      <c r="AJ1906" s="37" t="n">
        <v>2</v>
      </c>
      <c r="AK1906" s="37" t="n">
        <v>5</v>
      </c>
      <c r="AL1906" s="37" t="s">
        <v>343</v>
      </c>
      <c r="AM1906" s="39" t="n">
        <v>81.81</v>
      </c>
    </row>
    <row r="1907" customFormat="false" ht="15" hidden="false" customHeight="false" outlineLevel="0" collapsed="false">
      <c r="A1907" s="37" t="n">
        <v>396206956</v>
      </c>
      <c r="B1907" s="38" t="n">
        <v>46283.487025463</v>
      </c>
      <c r="C1907" s="37" t="s">
        <v>361</v>
      </c>
      <c r="D1907" s="37" t="s">
        <v>726</v>
      </c>
      <c r="E1907" s="37" t="n">
        <v>22753005</v>
      </c>
      <c r="F1907" s="37" t="s">
        <v>159</v>
      </c>
      <c r="G1907" s="37" t="s">
        <v>196</v>
      </c>
      <c r="H1907" s="37" t="s">
        <v>184</v>
      </c>
      <c r="I1907" s="37" t="n">
        <v>22.4</v>
      </c>
      <c r="J1907" s="39" t="n">
        <v>599.99</v>
      </c>
      <c r="K1907" s="37" t="s">
        <v>342</v>
      </c>
      <c r="L1907" s="39" t="n">
        <v>83.2</v>
      </c>
      <c r="M1907" s="39" t="n">
        <v>42.11</v>
      </c>
      <c r="N1907" s="39" t="n">
        <f aca="false">J1907*Resumo!$C$6</f>
        <v>0</v>
      </c>
      <c r="O1907" s="39" t="n">
        <f aca="false">J1907*Resumo!$C$7</f>
        <v>1.259979</v>
      </c>
      <c r="P1907" s="39" t="n">
        <f aca="false">J1907*Resumo!$C$8</f>
        <v>1.259979</v>
      </c>
      <c r="Q1907" s="39" t="n">
        <f aca="false">Resumo!$C$10*CEILING(I1907/100,1)</f>
        <v>1.05</v>
      </c>
      <c r="R1907" s="39" t="n">
        <f aca="false">Resumo!$C$9</f>
        <v>0</v>
      </c>
      <c r="S1907" s="39" t="n">
        <f aca="false">Resumo!$C$13</f>
        <v>13.55</v>
      </c>
      <c r="T1907" s="39" t="n">
        <f aca="false">Resumo!$C$14*CEILING(I1907,1)</f>
        <v>10.35</v>
      </c>
      <c r="U1907" s="39" t="n">
        <f aca="false">SUM(M1907:T1907)*Resumo!$C$11</f>
        <v>0</v>
      </c>
      <c r="V1907" s="39" t="n">
        <f aca="false">SUM(M1907:U1907)</f>
        <v>69.579958</v>
      </c>
      <c r="W1907" s="39" t="n">
        <f aca="false">V1907/(1-Resumo!$C$5)</f>
        <v>79.0681340909091</v>
      </c>
      <c r="X1907" s="39" t="n">
        <v>82.21</v>
      </c>
      <c r="Y1907" s="39" t="n">
        <f aca="false">J1907*Resumo!$B$6</f>
        <v>0.59999</v>
      </c>
      <c r="Z1907" s="39" t="n">
        <f aca="false">J1907*Resumo!$B$7</f>
        <v>1.19998</v>
      </c>
      <c r="AA1907" s="39" t="n">
        <f aca="false">Resumo!$B$9</f>
        <v>1</v>
      </c>
      <c r="AB1907" s="39" t="n">
        <f aca="false">Resumo!$B$10*CEILING(I1907/100,1)</f>
        <v>4.5</v>
      </c>
      <c r="AC1907" s="39" t="n">
        <f aca="false">Resumo!$B$12*CEILING(I1907,1)</f>
        <v>1.38</v>
      </c>
      <c r="AD1907" s="39" t="n">
        <f aca="false">Resumo!$B$14*CEILING(I1907,1)</f>
        <v>10.35</v>
      </c>
      <c r="AE1907" s="39" t="n">
        <f aca="false">SUM(X1907:AD1907)</f>
        <v>101.23997</v>
      </c>
      <c r="AF1907" s="39" t="n">
        <f aca="false">AE1907/(1-Resumo!$B$5)</f>
        <v>115.045420454545</v>
      </c>
      <c r="AG1907" s="39" t="n">
        <f aca="false">AF1907-W1907</f>
        <v>35.9772863636363</v>
      </c>
      <c r="AH1907" s="40" t="n">
        <f aca="false">AF1907/W1907-1</f>
        <v>0.455016256261609</v>
      </c>
      <c r="AI1907" s="37" t="str">
        <f aca="false">IF(AF1907&lt;W1907,"SIM","NÃO")</f>
        <v>NÃO</v>
      </c>
      <c r="AJ1907" s="37" t="n">
        <v>2</v>
      </c>
      <c r="AK1907" s="37" t="n">
        <v>5</v>
      </c>
      <c r="AL1907" s="37" t="s">
        <v>343</v>
      </c>
      <c r="AM1907" s="39" t="n">
        <v>83.2</v>
      </c>
    </row>
    <row r="1908" customFormat="false" ht="15" hidden="false" customHeight="false" outlineLevel="0" collapsed="false">
      <c r="A1908" s="37" t="n">
        <v>396209617</v>
      </c>
      <c r="B1908" s="38" t="n">
        <v>46283.4874768519</v>
      </c>
      <c r="C1908" s="37" t="s">
        <v>340</v>
      </c>
      <c r="D1908" s="37" t="s">
        <v>2061</v>
      </c>
      <c r="E1908" s="37" t="n">
        <v>28982235</v>
      </c>
      <c r="F1908" s="37" t="s">
        <v>173</v>
      </c>
      <c r="G1908" s="37" t="s">
        <v>198</v>
      </c>
      <c r="H1908" s="37" t="s">
        <v>184</v>
      </c>
      <c r="I1908" s="37" t="n">
        <v>20.8</v>
      </c>
      <c r="J1908" s="39" t="n">
        <v>339.99</v>
      </c>
      <c r="K1908" s="37" t="s">
        <v>342</v>
      </c>
      <c r="L1908" s="39" t="n">
        <v>108.81</v>
      </c>
      <c r="M1908" s="39" t="n">
        <v>65.63</v>
      </c>
      <c r="N1908" s="39" t="n">
        <f aca="false">J1908*Resumo!$C$6</f>
        <v>0</v>
      </c>
      <c r="O1908" s="39" t="n">
        <f aca="false">J1908*Resumo!$C$7</f>
        <v>0.713979</v>
      </c>
      <c r="P1908" s="39" t="n">
        <f aca="false">J1908*Resumo!$C$8</f>
        <v>0.713979</v>
      </c>
      <c r="Q1908" s="39" t="n">
        <f aca="false">Resumo!$C$10*CEILING(I1908/100,1)</f>
        <v>1.05</v>
      </c>
      <c r="R1908" s="39" t="n">
        <f aca="false">Resumo!$C$9</f>
        <v>0</v>
      </c>
      <c r="S1908" s="39" t="n">
        <f aca="false">Resumo!$C$13</f>
        <v>13.55</v>
      </c>
      <c r="T1908" s="39" t="n">
        <f aca="false">Resumo!$C$14*CEILING(I1908,1)</f>
        <v>9.45</v>
      </c>
      <c r="U1908" s="39" t="n">
        <f aca="false">SUM(M1908:T1908)*Resumo!$C$11</f>
        <v>0</v>
      </c>
      <c r="V1908" s="39" t="n">
        <f aca="false">SUM(M1908:U1908)</f>
        <v>91.107958</v>
      </c>
      <c r="W1908" s="39" t="n">
        <f aca="false">V1908/(1-Resumo!$C$5)</f>
        <v>103.531770454545</v>
      </c>
      <c r="X1908" s="39" t="n">
        <v>114.95</v>
      </c>
      <c r="Y1908" s="39" t="n">
        <f aca="false">J1908*Resumo!$B$6</f>
        <v>0.33999</v>
      </c>
      <c r="Z1908" s="39" t="n">
        <f aca="false">J1908*Resumo!$B$7</f>
        <v>0.67998</v>
      </c>
      <c r="AA1908" s="39" t="n">
        <f aca="false">Resumo!$B$9</f>
        <v>1</v>
      </c>
      <c r="AB1908" s="39" t="n">
        <f aca="false">Resumo!$B$10*CEILING(I1908/100,1)</f>
        <v>4.5</v>
      </c>
      <c r="AC1908" s="39" t="n">
        <f aca="false">Resumo!$B$12*CEILING(I1908,1)</f>
        <v>1.26</v>
      </c>
      <c r="AD1908" s="39" t="n">
        <f aca="false">Resumo!$B$14*CEILING(I1908,1)</f>
        <v>9.45</v>
      </c>
      <c r="AE1908" s="39" t="n">
        <f aca="false">SUM(X1908:AD1908)</f>
        <v>132.17997</v>
      </c>
      <c r="AF1908" s="39" t="n">
        <f aca="false">AE1908/(1-Resumo!$B$5)</f>
        <v>150.204511363636</v>
      </c>
      <c r="AG1908" s="39" t="n">
        <f aca="false">AF1908-W1908</f>
        <v>46.6727409090909</v>
      </c>
      <c r="AH1908" s="40" t="n">
        <f aca="false">AF1908/W1908-1</f>
        <v>0.450805976795134</v>
      </c>
      <c r="AI1908" s="37" t="str">
        <f aca="false">IF(AF1908&lt;W1908,"SIM","NÃO")</f>
        <v>NÃO</v>
      </c>
      <c r="AJ1908" s="37" t="n">
        <v>13</v>
      </c>
      <c r="AK1908" s="37" t="n">
        <v>10</v>
      </c>
      <c r="AL1908" s="37" t="s">
        <v>343</v>
      </c>
      <c r="AM1908" s="39" t="n">
        <v>108.81</v>
      </c>
    </row>
    <row r="1909" customFormat="false" ht="15" hidden="false" customHeight="false" outlineLevel="0" collapsed="false">
      <c r="A1909" s="37" t="n">
        <v>396231856</v>
      </c>
      <c r="B1909" s="38" t="n">
        <v>46283.5308564815</v>
      </c>
      <c r="C1909" s="37" t="s">
        <v>340</v>
      </c>
      <c r="D1909" s="37" t="s">
        <v>2062</v>
      </c>
      <c r="E1909" s="37" t="n">
        <v>21321624</v>
      </c>
      <c r="F1909" s="37" t="s">
        <v>159</v>
      </c>
      <c r="G1909" s="37" t="s">
        <v>196</v>
      </c>
      <c r="H1909" s="37" t="s">
        <v>187</v>
      </c>
      <c r="I1909" s="37" t="n">
        <v>52.3</v>
      </c>
      <c r="J1909" s="39" t="n">
        <v>614.63</v>
      </c>
      <c r="K1909" s="37" t="s">
        <v>342</v>
      </c>
      <c r="L1909" s="39" t="n">
        <v>114.09</v>
      </c>
      <c r="M1909" s="39" t="n">
        <v>58.6</v>
      </c>
      <c r="N1909" s="39" t="n">
        <f aca="false">J1909*Resumo!$C$6</f>
        <v>0</v>
      </c>
      <c r="O1909" s="39" t="n">
        <f aca="false">J1909*Resumo!$C$7</f>
        <v>1.290723</v>
      </c>
      <c r="P1909" s="39" t="n">
        <f aca="false">J1909*Resumo!$C$8</f>
        <v>1.290723</v>
      </c>
      <c r="Q1909" s="39" t="n">
        <f aca="false">Resumo!$C$10*CEILING(I1909/100,1)</f>
        <v>1.05</v>
      </c>
      <c r="R1909" s="39" t="n">
        <f aca="false">Resumo!$C$9</f>
        <v>0</v>
      </c>
      <c r="S1909" s="39" t="n">
        <f aca="false">Resumo!$C$13</f>
        <v>13.55</v>
      </c>
      <c r="T1909" s="39" t="n">
        <f aca="false">Resumo!$C$14*CEILING(I1909,1)</f>
        <v>23.85</v>
      </c>
      <c r="U1909" s="39" t="n">
        <f aca="false">SUM(M1909:T1909)*Resumo!$C$11</f>
        <v>0</v>
      </c>
      <c r="V1909" s="39" t="n">
        <f aca="false">SUM(M1909:U1909)</f>
        <v>99.631446</v>
      </c>
      <c r="W1909" s="39" t="n">
        <f aca="false">V1909/(1-Resumo!$C$5)</f>
        <v>113.217552272727</v>
      </c>
      <c r="X1909" s="39" t="n">
        <v>112.3</v>
      </c>
      <c r="Y1909" s="39" t="n">
        <f aca="false">J1909*Resumo!$B$6</f>
        <v>0.61463</v>
      </c>
      <c r="Z1909" s="39" t="n">
        <f aca="false">J1909*Resumo!$B$7</f>
        <v>1.22926</v>
      </c>
      <c r="AA1909" s="39" t="n">
        <f aca="false">Resumo!$B$9</f>
        <v>1</v>
      </c>
      <c r="AB1909" s="39" t="n">
        <f aca="false">Resumo!$B$10*CEILING(I1909/100,1)</f>
        <v>4.5</v>
      </c>
      <c r="AC1909" s="39" t="n">
        <f aca="false">Resumo!$B$12*CEILING(I1909,1)</f>
        <v>3.18</v>
      </c>
      <c r="AD1909" s="39" t="n">
        <f aca="false">Resumo!$B$14*CEILING(I1909,1)</f>
        <v>23.85</v>
      </c>
      <c r="AE1909" s="39" t="n">
        <f aca="false">SUM(X1909:AD1909)</f>
        <v>146.67389</v>
      </c>
      <c r="AF1909" s="39" t="n">
        <f aca="false">AE1909/(1-Resumo!$B$5)</f>
        <v>166.674875</v>
      </c>
      <c r="AG1909" s="39" t="n">
        <f aca="false">AF1909-W1909</f>
        <v>53.4573227272727</v>
      </c>
      <c r="AH1909" s="40" t="n">
        <f aca="false">AF1909/W1909-1</f>
        <v>0.472164621599489</v>
      </c>
      <c r="AI1909" s="37" t="str">
        <f aca="false">IF(AF1909&lt;W1909,"SIM","NÃO")</f>
        <v>NÃO</v>
      </c>
      <c r="AJ1909" s="37" t="n">
        <v>2</v>
      </c>
      <c r="AK1909" s="37" t="n">
        <v>5</v>
      </c>
      <c r="AL1909" s="37" t="s">
        <v>343</v>
      </c>
      <c r="AM1909" s="39" t="n">
        <v>114.09</v>
      </c>
    </row>
    <row r="1910" customFormat="false" ht="15" hidden="false" customHeight="false" outlineLevel="0" collapsed="false">
      <c r="A1910" s="37" t="n">
        <v>396260048</v>
      </c>
      <c r="B1910" s="38" t="n">
        <v>46283.5845023148</v>
      </c>
      <c r="C1910" s="37" t="s">
        <v>340</v>
      </c>
      <c r="D1910" s="37" t="s">
        <v>2063</v>
      </c>
      <c r="E1910" s="37" t="n">
        <v>21842550</v>
      </c>
      <c r="F1910" s="37" t="s">
        <v>159</v>
      </c>
      <c r="G1910" s="37" t="s">
        <v>196</v>
      </c>
      <c r="H1910" s="37" t="s">
        <v>185</v>
      </c>
      <c r="I1910" s="37" t="n">
        <v>39.9</v>
      </c>
      <c r="J1910" s="39" t="n">
        <v>599.99</v>
      </c>
      <c r="K1910" s="37" t="s">
        <v>342</v>
      </c>
      <c r="L1910" s="39" t="n">
        <v>92.73</v>
      </c>
      <c r="M1910" s="39" t="n">
        <v>48.35</v>
      </c>
      <c r="N1910" s="39" t="n">
        <f aca="false">J1910*Resumo!$C$6</f>
        <v>0</v>
      </c>
      <c r="O1910" s="39" t="n">
        <f aca="false">J1910*Resumo!$C$7</f>
        <v>1.259979</v>
      </c>
      <c r="P1910" s="39" t="n">
        <f aca="false">J1910*Resumo!$C$8</f>
        <v>1.259979</v>
      </c>
      <c r="Q1910" s="39" t="n">
        <f aca="false">Resumo!$C$10*CEILING(I1910/100,1)</f>
        <v>1.05</v>
      </c>
      <c r="R1910" s="39" t="n">
        <f aca="false">Resumo!$C$9</f>
        <v>0</v>
      </c>
      <c r="S1910" s="39" t="n">
        <f aca="false">Resumo!$C$13</f>
        <v>13.55</v>
      </c>
      <c r="T1910" s="39" t="n">
        <f aca="false">Resumo!$C$14*CEILING(I1910,1)</f>
        <v>18</v>
      </c>
      <c r="U1910" s="39" t="n">
        <f aca="false">SUM(M1910:T1910)*Resumo!$C$11</f>
        <v>0</v>
      </c>
      <c r="V1910" s="39" t="n">
        <f aca="false">SUM(M1910:U1910)</f>
        <v>83.469958</v>
      </c>
      <c r="W1910" s="39" t="n">
        <f aca="false">V1910/(1-Resumo!$C$5)</f>
        <v>94.852225</v>
      </c>
      <c r="X1910" s="39" t="n">
        <v>93.97</v>
      </c>
      <c r="Y1910" s="39" t="n">
        <f aca="false">J1910*Resumo!$B$6</f>
        <v>0.59999</v>
      </c>
      <c r="Z1910" s="39" t="n">
        <f aca="false">J1910*Resumo!$B$7</f>
        <v>1.19998</v>
      </c>
      <c r="AA1910" s="39" t="n">
        <f aca="false">Resumo!$B$9</f>
        <v>1</v>
      </c>
      <c r="AB1910" s="39" t="n">
        <f aca="false">Resumo!$B$10*CEILING(I1910/100,1)</f>
        <v>4.5</v>
      </c>
      <c r="AC1910" s="39" t="n">
        <f aca="false">Resumo!$B$12*CEILING(I1910,1)</f>
        <v>2.4</v>
      </c>
      <c r="AD1910" s="39" t="n">
        <f aca="false">Resumo!$B$14*CEILING(I1910,1)</f>
        <v>18</v>
      </c>
      <c r="AE1910" s="39" t="n">
        <f aca="false">SUM(X1910:AD1910)</f>
        <v>121.66997</v>
      </c>
      <c r="AF1910" s="39" t="n">
        <f aca="false">AE1910/(1-Resumo!$B$5)</f>
        <v>138.261329545455</v>
      </c>
      <c r="AG1910" s="39" t="n">
        <f aca="false">AF1910-W1910</f>
        <v>43.4091045454545</v>
      </c>
      <c r="AH1910" s="40" t="n">
        <f aca="false">AF1910/W1910-1</f>
        <v>0.457649828936059</v>
      </c>
      <c r="AI1910" s="37" t="str">
        <f aca="false">IF(AF1910&lt;W1910,"SIM","NÃO")</f>
        <v>NÃO</v>
      </c>
      <c r="AJ1910" s="37" t="n">
        <v>2</v>
      </c>
      <c r="AK1910" s="37" t="n">
        <v>5</v>
      </c>
      <c r="AL1910" s="37" t="s">
        <v>343</v>
      </c>
      <c r="AM1910" s="39" t="n">
        <v>92.73</v>
      </c>
    </row>
    <row r="1911" customFormat="false" ht="15" hidden="false" customHeight="false" outlineLevel="0" collapsed="false">
      <c r="A1911" s="37" t="n">
        <v>396262102</v>
      </c>
      <c r="B1911" s="38" t="n">
        <v>46283.5879282407</v>
      </c>
      <c r="C1911" s="37" t="s">
        <v>340</v>
      </c>
      <c r="D1911" s="37" t="s">
        <v>1621</v>
      </c>
      <c r="E1911" s="37" t="n">
        <v>22011002</v>
      </c>
      <c r="F1911" s="37" t="s">
        <v>159</v>
      </c>
      <c r="G1911" s="37" t="s">
        <v>196</v>
      </c>
      <c r="H1911" s="37" t="s">
        <v>184</v>
      </c>
      <c r="I1911" s="37" t="n">
        <v>34.1</v>
      </c>
      <c r="J1911" s="39" t="n">
        <v>419.3</v>
      </c>
      <c r="K1911" s="37" t="s">
        <v>342</v>
      </c>
      <c r="L1911" s="39" t="n">
        <v>82.34</v>
      </c>
      <c r="M1911" s="39" t="n">
        <v>42.11</v>
      </c>
      <c r="N1911" s="39" t="n">
        <f aca="false">J1911*Resumo!$C$6</f>
        <v>0</v>
      </c>
      <c r="O1911" s="39" t="n">
        <f aca="false">J1911*Resumo!$C$7</f>
        <v>0.88053</v>
      </c>
      <c r="P1911" s="39" t="n">
        <f aca="false">J1911*Resumo!$C$8</f>
        <v>0.88053</v>
      </c>
      <c r="Q1911" s="39" t="n">
        <f aca="false">Resumo!$C$10*CEILING(I1911/100,1)</f>
        <v>1.05</v>
      </c>
      <c r="R1911" s="39" t="n">
        <f aca="false">Resumo!$C$9</f>
        <v>0</v>
      </c>
      <c r="S1911" s="39" t="n">
        <f aca="false">Resumo!$C$13</f>
        <v>13.55</v>
      </c>
      <c r="T1911" s="39" t="n">
        <f aca="false">Resumo!$C$14*CEILING(I1911,1)</f>
        <v>15.75</v>
      </c>
      <c r="U1911" s="39" t="n">
        <f aca="false">SUM(M1911:T1911)*Resumo!$C$11</f>
        <v>0</v>
      </c>
      <c r="V1911" s="39" t="n">
        <f aca="false">SUM(M1911:U1911)</f>
        <v>74.22106</v>
      </c>
      <c r="W1911" s="39" t="n">
        <f aca="false">V1911/(1-Resumo!$C$5)</f>
        <v>84.3421136363636</v>
      </c>
      <c r="X1911" s="39" t="n">
        <v>82.21</v>
      </c>
      <c r="Y1911" s="39" t="n">
        <f aca="false">J1911*Resumo!$B$6</f>
        <v>0.4193</v>
      </c>
      <c r="Z1911" s="39" t="n">
        <f aca="false">J1911*Resumo!$B$7</f>
        <v>0.8386</v>
      </c>
      <c r="AA1911" s="39" t="n">
        <f aca="false">Resumo!$B$9</f>
        <v>1</v>
      </c>
      <c r="AB1911" s="39" t="n">
        <f aca="false">Resumo!$B$10*CEILING(I1911/100,1)</f>
        <v>4.5</v>
      </c>
      <c r="AC1911" s="39" t="n">
        <f aca="false">Resumo!$B$12*CEILING(I1911,1)</f>
        <v>2.1</v>
      </c>
      <c r="AD1911" s="39" t="n">
        <f aca="false">Resumo!$B$14*CEILING(I1911,1)</f>
        <v>15.75</v>
      </c>
      <c r="AE1911" s="39" t="n">
        <f aca="false">SUM(X1911:AD1911)</f>
        <v>106.8179</v>
      </c>
      <c r="AF1911" s="39" t="n">
        <f aca="false">AE1911/(1-Resumo!$B$5)</f>
        <v>121.383977272727</v>
      </c>
      <c r="AG1911" s="39" t="n">
        <f aca="false">AF1911-W1911</f>
        <v>37.0418636363636</v>
      </c>
      <c r="AH1911" s="40" t="n">
        <f aca="false">AF1911/W1911-1</f>
        <v>0.439185859107913</v>
      </c>
      <c r="AI1911" s="37" t="str">
        <f aca="false">IF(AF1911&lt;W1911,"SIM","NÃO")</f>
        <v>NÃO</v>
      </c>
      <c r="AJ1911" s="37" t="n">
        <v>2</v>
      </c>
      <c r="AK1911" s="37" t="n">
        <v>5</v>
      </c>
      <c r="AL1911" s="37" t="s">
        <v>343</v>
      </c>
      <c r="AM1911" s="39" t="n">
        <v>82.33</v>
      </c>
    </row>
    <row r="1912" customFormat="false" ht="15" hidden="false" customHeight="false" outlineLevel="0" collapsed="false">
      <c r="A1912" s="37" t="n">
        <v>396262194</v>
      </c>
      <c r="B1912" s="38" t="n">
        <v>46283.5882175926</v>
      </c>
      <c r="C1912" s="37" t="s">
        <v>345</v>
      </c>
      <c r="D1912" s="37" t="s">
        <v>2064</v>
      </c>
      <c r="E1912" s="37" t="n">
        <v>28899314</v>
      </c>
      <c r="F1912" s="37" t="s">
        <v>178</v>
      </c>
      <c r="G1912" s="37" t="s">
        <v>198</v>
      </c>
      <c r="H1912" s="37" t="s">
        <v>188</v>
      </c>
      <c r="I1912" s="37" t="n">
        <v>67.3</v>
      </c>
      <c r="J1912" s="39" t="n">
        <v>720</v>
      </c>
      <c r="K1912" s="37" t="s">
        <v>342</v>
      </c>
      <c r="L1912" s="39" t="n">
        <v>155.47</v>
      </c>
      <c r="M1912" s="39" t="n">
        <v>90.2</v>
      </c>
      <c r="N1912" s="39" t="n">
        <f aca="false">J1912*Resumo!$C$6</f>
        <v>0</v>
      </c>
      <c r="O1912" s="39" t="n">
        <f aca="false">J1912*Resumo!$C$7</f>
        <v>1.512</v>
      </c>
      <c r="P1912" s="39" t="n">
        <f aca="false">J1912*Resumo!$C$8</f>
        <v>1.512</v>
      </c>
      <c r="Q1912" s="39" t="n">
        <f aca="false">Resumo!$C$10*CEILING(I1912/100,1)</f>
        <v>1.05</v>
      </c>
      <c r="R1912" s="39" t="n">
        <f aca="false">Resumo!$C$9</f>
        <v>0</v>
      </c>
      <c r="S1912" s="39" t="n">
        <f aca="false">Resumo!$C$13</f>
        <v>13.55</v>
      </c>
      <c r="T1912" s="39" t="n">
        <f aca="false">Resumo!$C$14*CEILING(I1912,1)</f>
        <v>30.6</v>
      </c>
      <c r="U1912" s="39" t="n">
        <f aca="false">SUM(M1912:T1912)*Resumo!$C$11</f>
        <v>0</v>
      </c>
      <c r="V1912" s="39" t="n">
        <f aca="false">SUM(M1912:U1912)</f>
        <v>138.424</v>
      </c>
      <c r="W1912" s="39" t="n">
        <f aca="false">V1912/(1-Resumo!$C$5)</f>
        <v>157.3</v>
      </c>
      <c r="X1912" s="39" t="n">
        <v>166.05</v>
      </c>
      <c r="Y1912" s="39" t="n">
        <f aca="false">J1912*Resumo!$B$6</f>
        <v>0.72</v>
      </c>
      <c r="Z1912" s="39" t="n">
        <f aca="false">J1912*Resumo!$B$7</f>
        <v>1.44</v>
      </c>
      <c r="AA1912" s="39" t="n">
        <f aca="false">Resumo!$B$9</f>
        <v>1</v>
      </c>
      <c r="AB1912" s="39" t="n">
        <f aca="false">Resumo!$B$10*CEILING(I1912/100,1)</f>
        <v>4.5</v>
      </c>
      <c r="AC1912" s="39" t="n">
        <f aca="false">Resumo!$B$12*CEILING(I1912,1)</f>
        <v>4.08</v>
      </c>
      <c r="AD1912" s="39" t="n">
        <f aca="false">Resumo!$B$14*CEILING(I1912,1)</f>
        <v>30.6</v>
      </c>
      <c r="AE1912" s="39" t="n">
        <f aca="false">SUM(X1912:AD1912)</f>
        <v>208.39</v>
      </c>
      <c r="AF1912" s="39" t="n">
        <f aca="false">AE1912/(1-Resumo!$B$5)</f>
        <v>236.806818181818</v>
      </c>
      <c r="AG1912" s="39" t="n">
        <f aca="false">AF1912-W1912</f>
        <v>79.5068181818182</v>
      </c>
      <c r="AH1912" s="40" t="n">
        <f aca="false">AF1912/W1912-1</f>
        <v>0.505447032306536</v>
      </c>
      <c r="AI1912" s="37" t="str">
        <f aca="false">IF(AF1912&lt;W1912,"SIM","NÃO")</f>
        <v>NÃO</v>
      </c>
      <c r="AJ1912" s="37" t="n">
        <v>13</v>
      </c>
      <c r="AK1912" s="37" t="n">
        <v>10</v>
      </c>
      <c r="AL1912" s="37" t="s">
        <v>343</v>
      </c>
      <c r="AM1912" s="39" t="n">
        <v>155.47</v>
      </c>
    </row>
    <row r="1913" customFormat="false" ht="15" hidden="false" customHeight="false" outlineLevel="0" collapsed="false">
      <c r="A1913" s="37" t="n">
        <v>396290456</v>
      </c>
      <c r="B1913" s="38" t="n">
        <v>46283.6419560185</v>
      </c>
      <c r="C1913" s="37" t="s">
        <v>340</v>
      </c>
      <c r="D1913" s="37" t="s">
        <v>2065</v>
      </c>
      <c r="E1913" s="37" t="n">
        <v>23032780</v>
      </c>
      <c r="F1913" s="37" t="s">
        <v>159</v>
      </c>
      <c r="G1913" s="37" t="s">
        <v>196</v>
      </c>
      <c r="H1913" s="37" t="s">
        <v>184</v>
      </c>
      <c r="I1913" s="37" t="n">
        <v>29.2</v>
      </c>
      <c r="J1913" s="39" t="n">
        <v>429.99</v>
      </c>
      <c r="K1913" s="37" t="s">
        <v>342</v>
      </c>
      <c r="L1913" s="39" t="n">
        <v>82.39</v>
      </c>
      <c r="M1913" s="39" t="n">
        <v>42.11</v>
      </c>
      <c r="N1913" s="39" t="n">
        <f aca="false">J1913*Resumo!$C$6</f>
        <v>0</v>
      </c>
      <c r="O1913" s="39" t="n">
        <f aca="false">J1913*Resumo!$C$7</f>
        <v>0.902979</v>
      </c>
      <c r="P1913" s="39" t="n">
        <f aca="false">J1913*Resumo!$C$8</f>
        <v>0.902979</v>
      </c>
      <c r="Q1913" s="39" t="n">
        <f aca="false">Resumo!$C$10*CEILING(I1913/100,1)</f>
        <v>1.05</v>
      </c>
      <c r="R1913" s="39" t="n">
        <f aca="false">Resumo!$C$9</f>
        <v>0</v>
      </c>
      <c r="S1913" s="39" t="n">
        <f aca="false">Resumo!$C$13</f>
        <v>13.55</v>
      </c>
      <c r="T1913" s="39" t="n">
        <f aca="false">Resumo!$C$14*CEILING(I1913,1)</f>
        <v>13.5</v>
      </c>
      <c r="U1913" s="39" t="n">
        <f aca="false">SUM(M1913:T1913)*Resumo!$C$11</f>
        <v>0</v>
      </c>
      <c r="V1913" s="39" t="n">
        <f aca="false">SUM(M1913:U1913)</f>
        <v>72.015958</v>
      </c>
      <c r="W1913" s="39" t="n">
        <f aca="false">V1913/(1-Resumo!$C$5)</f>
        <v>81.8363159090909</v>
      </c>
      <c r="X1913" s="39" t="n">
        <v>82.21</v>
      </c>
      <c r="Y1913" s="39" t="n">
        <f aca="false">J1913*Resumo!$B$6</f>
        <v>0.42999</v>
      </c>
      <c r="Z1913" s="39" t="n">
        <f aca="false">J1913*Resumo!$B$7</f>
        <v>0.85998</v>
      </c>
      <c r="AA1913" s="39" t="n">
        <f aca="false">Resumo!$B$9</f>
        <v>1</v>
      </c>
      <c r="AB1913" s="39" t="n">
        <f aca="false">Resumo!$B$10*CEILING(I1913/100,1)</f>
        <v>4.5</v>
      </c>
      <c r="AC1913" s="39" t="n">
        <f aca="false">Resumo!$B$12*CEILING(I1913,1)</f>
        <v>1.8</v>
      </c>
      <c r="AD1913" s="39" t="n">
        <f aca="false">Resumo!$B$14*CEILING(I1913,1)</f>
        <v>13.5</v>
      </c>
      <c r="AE1913" s="39" t="n">
        <f aca="false">SUM(X1913:AD1913)</f>
        <v>104.29997</v>
      </c>
      <c r="AF1913" s="39" t="n">
        <f aca="false">AE1913/(1-Resumo!$B$5)</f>
        <v>118.522693181818</v>
      </c>
      <c r="AG1913" s="39" t="n">
        <f aca="false">AF1913-W1913</f>
        <v>36.6863772727273</v>
      </c>
      <c r="AH1913" s="40" t="n">
        <f aca="false">AF1913/W1913-1</f>
        <v>0.448289697125184</v>
      </c>
      <c r="AI1913" s="37" t="str">
        <f aca="false">IF(AF1913&lt;W1913,"SIM","NÃO")</f>
        <v>NÃO</v>
      </c>
      <c r="AJ1913" s="37" t="n">
        <v>2</v>
      </c>
      <c r="AK1913" s="37" t="n">
        <v>5</v>
      </c>
      <c r="AL1913" s="37" t="s">
        <v>343</v>
      </c>
      <c r="AM1913" s="39" t="n">
        <v>82.39</v>
      </c>
    </row>
    <row r="1914" customFormat="false" ht="15" hidden="false" customHeight="false" outlineLevel="0" collapsed="false">
      <c r="A1914" s="37" t="n">
        <v>396324931</v>
      </c>
      <c r="B1914" s="38" t="n">
        <v>46283.7087962963</v>
      </c>
      <c r="C1914" s="37" t="s">
        <v>345</v>
      </c>
      <c r="D1914" s="37" t="s">
        <v>2066</v>
      </c>
      <c r="E1914" s="37" t="n">
        <v>23030360</v>
      </c>
      <c r="F1914" s="37" t="s">
        <v>159</v>
      </c>
      <c r="G1914" s="37" t="s">
        <v>196</v>
      </c>
      <c r="H1914" s="37" t="s">
        <v>188</v>
      </c>
      <c r="I1914" s="37" t="n">
        <v>66.8</v>
      </c>
      <c r="J1914" s="39" t="n">
        <v>691.9</v>
      </c>
      <c r="K1914" s="37" t="s">
        <v>342</v>
      </c>
      <c r="L1914" s="39" t="n">
        <v>124.51</v>
      </c>
      <c r="M1914" s="39" t="n">
        <v>63.21</v>
      </c>
      <c r="N1914" s="39" t="n">
        <f aca="false">J1914*Resumo!$C$6</f>
        <v>0</v>
      </c>
      <c r="O1914" s="39" t="n">
        <f aca="false">J1914*Resumo!$C$7</f>
        <v>1.45299</v>
      </c>
      <c r="P1914" s="39" t="n">
        <f aca="false">J1914*Resumo!$C$8</f>
        <v>1.45299</v>
      </c>
      <c r="Q1914" s="39" t="n">
        <f aca="false">Resumo!$C$10*CEILING(I1914/100,1)</f>
        <v>1.05</v>
      </c>
      <c r="R1914" s="39" t="n">
        <f aca="false">Resumo!$C$9</f>
        <v>0</v>
      </c>
      <c r="S1914" s="39" t="n">
        <f aca="false">Resumo!$C$13</f>
        <v>13.55</v>
      </c>
      <c r="T1914" s="39" t="n">
        <f aca="false">Resumo!$C$14*CEILING(I1914,1)</f>
        <v>30.15</v>
      </c>
      <c r="U1914" s="39" t="n">
        <f aca="false">SUM(M1914:T1914)*Resumo!$C$11</f>
        <v>0</v>
      </c>
      <c r="V1914" s="39" t="n">
        <f aca="false">SUM(M1914:U1914)</f>
        <v>110.86598</v>
      </c>
      <c r="W1914" s="39" t="n">
        <f aca="false">V1914/(1-Resumo!$C$5)</f>
        <v>125.984068181818</v>
      </c>
      <c r="X1914" s="39" t="n">
        <v>131.02</v>
      </c>
      <c r="Y1914" s="39" t="n">
        <f aca="false">J1914*Resumo!$B$6</f>
        <v>0.6919</v>
      </c>
      <c r="Z1914" s="39" t="n">
        <f aca="false">J1914*Resumo!$B$7</f>
        <v>1.3838</v>
      </c>
      <c r="AA1914" s="39" t="n">
        <f aca="false">Resumo!$B$9</f>
        <v>1</v>
      </c>
      <c r="AB1914" s="39" t="n">
        <f aca="false">Resumo!$B$10*CEILING(I1914/100,1)</f>
        <v>4.5</v>
      </c>
      <c r="AC1914" s="39" t="n">
        <f aca="false">Resumo!$B$12*CEILING(I1914,1)</f>
        <v>4.02</v>
      </c>
      <c r="AD1914" s="39" t="n">
        <f aca="false">Resumo!$B$14*CEILING(I1914,1)</f>
        <v>30.15</v>
      </c>
      <c r="AE1914" s="39" t="n">
        <f aca="false">SUM(X1914:AD1914)</f>
        <v>172.7657</v>
      </c>
      <c r="AF1914" s="39" t="n">
        <f aca="false">AE1914/(1-Resumo!$B$5)</f>
        <v>196.324659090909</v>
      </c>
      <c r="AG1914" s="39" t="n">
        <f aca="false">AF1914-W1914</f>
        <v>70.3405909090909</v>
      </c>
      <c r="AH1914" s="40" t="n">
        <f aca="false">AF1914/W1914-1</f>
        <v>0.558329254835433</v>
      </c>
      <c r="AI1914" s="37" t="str">
        <f aca="false">IF(AF1914&lt;W1914,"SIM","NÃO")</f>
        <v>NÃO</v>
      </c>
      <c r="AJ1914" s="37" t="n">
        <v>2</v>
      </c>
      <c r="AK1914" s="37" t="n">
        <v>5</v>
      </c>
      <c r="AL1914" s="37" t="s">
        <v>343</v>
      </c>
      <c r="AM1914" s="39" t="n">
        <v>124.52</v>
      </c>
    </row>
    <row r="1915" customFormat="false" ht="15" hidden="false" customHeight="false" outlineLevel="0" collapsed="false">
      <c r="A1915" s="37" t="n">
        <v>396359410</v>
      </c>
      <c r="B1915" s="38" t="n">
        <v>46283.7637615741</v>
      </c>
      <c r="C1915" s="37" t="s">
        <v>340</v>
      </c>
      <c r="D1915" s="37" t="s">
        <v>2067</v>
      </c>
      <c r="E1915" s="37" t="n">
        <v>27323340</v>
      </c>
      <c r="F1915" s="37" t="s">
        <v>247</v>
      </c>
      <c r="G1915" s="37" t="s">
        <v>198</v>
      </c>
      <c r="H1915" s="37" t="s">
        <v>187</v>
      </c>
      <c r="I1915" s="37" t="n">
        <v>60</v>
      </c>
      <c r="J1915" s="39" t="n">
        <v>762.34</v>
      </c>
      <c r="K1915" s="37" t="s">
        <v>342</v>
      </c>
      <c r="L1915" s="39" t="n">
        <v>143.31</v>
      </c>
      <c r="M1915" s="39" t="n">
        <v>83.58</v>
      </c>
      <c r="N1915" s="39" t="n">
        <f aca="false">J1915*Resumo!$C$6</f>
        <v>0</v>
      </c>
      <c r="O1915" s="39" t="n">
        <f aca="false">J1915*Resumo!$C$7</f>
        <v>1.600914</v>
      </c>
      <c r="P1915" s="39" t="n">
        <f aca="false">J1915*Resumo!$C$8</f>
        <v>1.600914</v>
      </c>
      <c r="Q1915" s="39" t="n">
        <f aca="false">Resumo!$C$10*CEILING(I1915/100,1)</f>
        <v>1.05</v>
      </c>
      <c r="R1915" s="39" t="n">
        <f aca="false">Resumo!$C$9</f>
        <v>0</v>
      </c>
      <c r="S1915" s="39" t="n">
        <f aca="false">Resumo!$C$13</f>
        <v>13.55</v>
      </c>
      <c r="T1915" s="39" t="n">
        <f aca="false">Resumo!$C$14*CEILING(I1915,1)</f>
        <v>27</v>
      </c>
      <c r="U1915" s="39" t="n">
        <f aca="false">SUM(M1915:T1915)*Resumo!$C$11</f>
        <v>0</v>
      </c>
      <c r="V1915" s="39" t="n">
        <f aca="false">SUM(M1915:U1915)</f>
        <v>128.381828</v>
      </c>
      <c r="W1915" s="39" t="n">
        <f aca="false">V1915/(1-Resumo!$C$5)</f>
        <v>145.888440909091</v>
      </c>
      <c r="X1915" s="39" t="n">
        <v>142.32</v>
      </c>
      <c r="Y1915" s="39" t="n">
        <f aca="false">J1915*Resumo!$B$6</f>
        <v>0.76234</v>
      </c>
      <c r="Z1915" s="39" t="n">
        <f aca="false">J1915*Resumo!$B$7</f>
        <v>1.52468</v>
      </c>
      <c r="AA1915" s="39" t="n">
        <f aca="false">Resumo!$B$9</f>
        <v>1</v>
      </c>
      <c r="AB1915" s="39" t="n">
        <f aca="false">Resumo!$B$10*CEILING(I1915/100,1)</f>
        <v>4.5</v>
      </c>
      <c r="AC1915" s="39" t="n">
        <f aca="false">Resumo!$B$12*CEILING(I1915,1)</f>
        <v>3.6</v>
      </c>
      <c r="AD1915" s="39" t="n">
        <f aca="false">Resumo!$B$14*CEILING(I1915,1)</f>
        <v>27</v>
      </c>
      <c r="AE1915" s="39" t="n">
        <f aca="false">SUM(X1915:AD1915)</f>
        <v>180.70702</v>
      </c>
      <c r="AF1915" s="39" t="n">
        <f aca="false">AE1915/(1-Resumo!$B$5)</f>
        <v>205.348886363636</v>
      </c>
      <c r="AG1915" s="39" t="n">
        <f aca="false">AF1915-W1915</f>
        <v>59.4604454545455</v>
      </c>
      <c r="AH1915" s="40" t="n">
        <f aca="false">AF1915/W1915-1</f>
        <v>0.407574754271298</v>
      </c>
      <c r="AI1915" s="37" t="str">
        <f aca="false">IF(AF1915&lt;W1915,"SIM","NÃO")</f>
        <v>NÃO</v>
      </c>
      <c r="AJ1915" s="37" t="n">
        <v>13</v>
      </c>
      <c r="AK1915" s="37" t="n">
        <v>10</v>
      </c>
      <c r="AL1915" s="37" t="s">
        <v>347</v>
      </c>
      <c r="AM1915" s="39" t="n">
        <v>143.32</v>
      </c>
    </row>
    <row r="1916" customFormat="false" ht="15" hidden="false" customHeight="false" outlineLevel="0" collapsed="false">
      <c r="A1916" s="37" t="n">
        <v>396369019</v>
      </c>
      <c r="B1916" s="38" t="n">
        <v>46283.781724537</v>
      </c>
      <c r="C1916" s="37" t="s">
        <v>340</v>
      </c>
      <c r="D1916" s="37" t="s">
        <v>2068</v>
      </c>
      <c r="E1916" s="37" t="n">
        <v>21941598</v>
      </c>
      <c r="F1916" s="37" t="s">
        <v>159</v>
      </c>
      <c r="G1916" s="37" t="s">
        <v>196</v>
      </c>
      <c r="H1916" s="37" t="s">
        <v>184</v>
      </c>
      <c r="I1916" s="37" t="n">
        <v>27.5</v>
      </c>
      <c r="J1916" s="39" t="n">
        <v>332.86</v>
      </c>
      <c r="K1916" s="37" t="s">
        <v>342</v>
      </c>
      <c r="L1916" s="39" t="n">
        <v>81.93</v>
      </c>
      <c r="M1916" s="39" t="n">
        <v>42.11</v>
      </c>
      <c r="N1916" s="39" t="n">
        <f aca="false">J1916*Resumo!$C$6</f>
        <v>0</v>
      </c>
      <c r="O1916" s="39" t="n">
        <f aca="false">J1916*Resumo!$C$7</f>
        <v>0.699006</v>
      </c>
      <c r="P1916" s="39" t="n">
        <f aca="false">J1916*Resumo!$C$8</f>
        <v>0.699006</v>
      </c>
      <c r="Q1916" s="39" t="n">
        <f aca="false">Resumo!$C$10*CEILING(I1916/100,1)</f>
        <v>1.05</v>
      </c>
      <c r="R1916" s="39" t="n">
        <f aca="false">Resumo!$C$9</f>
        <v>0</v>
      </c>
      <c r="S1916" s="39" t="n">
        <f aca="false">Resumo!$C$13</f>
        <v>13.55</v>
      </c>
      <c r="T1916" s="39" t="n">
        <f aca="false">Resumo!$C$14*CEILING(I1916,1)</f>
        <v>12.6</v>
      </c>
      <c r="U1916" s="39" t="n">
        <f aca="false">SUM(M1916:T1916)*Resumo!$C$11</f>
        <v>0</v>
      </c>
      <c r="V1916" s="39" t="n">
        <f aca="false">SUM(M1916:U1916)</f>
        <v>70.708012</v>
      </c>
      <c r="W1916" s="39" t="n">
        <f aca="false">V1916/(1-Resumo!$C$5)</f>
        <v>80.3500136363636</v>
      </c>
      <c r="X1916" s="39" t="n">
        <v>82.21</v>
      </c>
      <c r="Y1916" s="39" t="n">
        <f aca="false">J1916*Resumo!$B$6</f>
        <v>0.33286</v>
      </c>
      <c r="Z1916" s="39" t="n">
        <f aca="false">J1916*Resumo!$B$7</f>
        <v>0.66572</v>
      </c>
      <c r="AA1916" s="39" t="n">
        <f aca="false">Resumo!$B$9</f>
        <v>1</v>
      </c>
      <c r="AB1916" s="39" t="n">
        <f aca="false">Resumo!$B$10*CEILING(I1916/100,1)</f>
        <v>4.5</v>
      </c>
      <c r="AC1916" s="39" t="n">
        <f aca="false">Resumo!$B$12*CEILING(I1916,1)</f>
        <v>1.68</v>
      </c>
      <c r="AD1916" s="39" t="n">
        <f aca="false">Resumo!$B$14*CEILING(I1916,1)</f>
        <v>12.6</v>
      </c>
      <c r="AE1916" s="39" t="n">
        <f aca="false">SUM(X1916:AD1916)</f>
        <v>102.98858</v>
      </c>
      <c r="AF1916" s="39" t="n">
        <f aca="false">AE1916/(1-Resumo!$B$5)</f>
        <v>117.032477272727</v>
      </c>
      <c r="AG1916" s="39" t="n">
        <f aca="false">AF1916-W1916</f>
        <v>36.6824636363636</v>
      </c>
      <c r="AH1916" s="40" t="n">
        <f aca="false">AF1916/W1916-1</f>
        <v>0.456533384081</v>
      </c>
      <c r="AI1916" s="37" t="str">
        <f aca="false">IF(AF1916&lt;W1916,"SIM","NÃO")</f>
        <v>NÃO</v>
      </c>
      <c r="AJ1916" s="37" t="n">
        <v>2</v>
      </c>
      <c r="AK1916" s="37" t="n">
        <v>5</v>
      </c>
      <c r="AL1916" s="37" t="s">
        <v>343</v>
      </c>
      <c r="AM1916" s="39" t="n">
        <v>81.92</v>
      </c>
    </row>
    <row r="1917" customFormat="false" ht="15" hidden="false" customHeight="false" outlineLevel="0" collapsed="false">
      <c r="A1917" s="37" t="n">
        <v>396406947</v>
      </c>
      <c r="B1917" s="38" t="n">
        <v>46283.8301388889</v>
      </c>
      <c r="C1917" s="37" t="s">
        <v>537</v>
      </c>
      <c r="D1917" s="37" t="s">
        <v>2069</v>
      </c>
      <c r="E1917" s="37" t="n">
        <v>26275580</v>
      </c>
      <c r="F1917" s="37" t="s">
        <v>162</v>
      </c>
      <c r="G1917" s="37" t="s">
        <v>197</v>
      </c>
      <c r="H1917" s="37" t="s">
        <v>187</v>
      </c>
      <c r="I1917" s="37" t="n">
        <v>52.3</v>
      </c>
      <c r="J1917" s="39" t="n">
        <v>620.49</v>
      </c>
      <c r="K1917" s="37" t="s">
        <v>342</v>
      </c>
      <c r="L1917" s="39" t="n">
        <v>128.25</v>
      </c>
      <c r="M1917" s="39" t="n">
        <v>70.98</v>
      </c>
      <c r="N1917" s="39" t="n">
        <f aca="false">J1917*Resumo!$C$6</f>
        <v>0</v>
      </c>
      <c r="O1917" s="39" t="n">
        <f aca="false">J1917*Resumo!$C$7</f>
        <v>1.303029</v>
      </c>
      <c r="P1917" s="39" t="n">
        <f aca="false">J1917*Resumo!$C$8</f>
        <v>1.303029</v>
      </c>
      <c r="Q1917" s="39" t="n">
        <f aca="false">Resumo!$C$10*CEILING(I1917/100,1)</f>
        <v>1.05</v>
      </c>
      <c r="R1917" s="39" t="n">
        <f aca="false">Resumo!$C$9</f>
        <v>0</v>
      </c>
      <c r="S1917" s="39" t="n">
        <f aca="false">Resumo!$C$13</f>
        <v>13.55</v>
      </c>
      <c r="T1917" s="39" t="n">
        <f aca="false">Resumo!$C$14*CEILING(I1917,1)</f>
        <v>23.85</v>
      </c>
      <c r="U1917" s="39" t="n">
        <f aca="false">SUM(M1917:T1917)*Resumo!$C$11</f>
        <v>0</v>
      </c>
      <c r="V1917" s="39" t="n">
        <f aca="false">SUM(M1917:U1917)</f>
        <v>112.036058</v>
      </c>
      <c r="W1917" s="39" t="n">
        <f aca="false">V1917/(1-Resumo!$C$5)</f>
        <v>127.313702272727</v>
      </c>
      <c r="X1917" s="39" t="n">
        <v>112.3</v>
      </c>
      <c r="Y1917" s="39" t="n">
        <f aca="false">J1917*Resumo!$B$6</f>
        <v>0.62049</v>
      </c>
      <c r="Z1917" s="39" t="n">
        <f aca="false">J1917*Resumo!$B$7</f>
        <v>1.24098</v>
      </c>
      <c r="AA1917" s="39" t="n">
        <f aca="false">Resumo!$B$9</f>
        <v>1</v>
      </c>
      <c r="AB1917" s="39" t="n">
        <f aca="false">Resumo!$B$10*CEILING(I1917/100,1)</f>
        <v>4.5</v>
      </c>
      <c r="AC1917" s="39" t="n">
        <f aca="false">Resumo!$B$12*CEILING(I1917,1)</f>
        <v>3.18</v>
      </c>
      <c r="AD1917" s="39" t="n">
        <f aca="false">Resumo!$B$14*CEILING(I1917,1)</f>
        <v>23.85</v>
      </c>
      <c r="AE1917" s="39" t="n">
        <f aca="false">SUM(X1917:AD1917)</f>
        <v>146.69147</v>
      </c>
      <c r="AF1917" s="39" t="n">
        <f aca="false">AE1917/(1-Resumo!$B$5)</f>
        <v>166.694852272727</v>
      </c>
      <c r="AG1917" s="39" t="n">
        <f aca="false">AF1917-W1917</f>
        <v>39.38115</v>
      </c>
      <c r="AH1917" s="40" t="n">
        <f aca="false">AF1917/W1917-1</f>
        <v>0.309323735756572</v>
      </c>
      <c r="AI1917" s="37" t="str">
        <f aca="false">IF(AF1917&lt;W1917,"SIM","NÃO")</f>
        <v>NÃO</v>
      </c>
      <c r="AJ1917" s="37" t="n">
        <v>2</v>
      </c>
      <c r="AK1917" s="37" t="n">
        <v>5</v>
      </c>
      <c r="AL1917" s="37" t="s">
        <v>343</v>
      </c>
      <c r="AM1917" s="39" t="n">
        <v>128.26</v>
      </c>
    </row>
    <row r="1918" customFormat="false" ht="15" hidden="false" customHeight="false" outlineLevel="0" collapsed="false">
      <c r="A1918" s="37" t="n">
        <v>396421064</v>
      </c>
      <c r="B1918" s="38" t="n">
        <v>46283.8767476852</v>
      </c>
      <c r="C1918" s="37" t="s">
        <v>340</v>
      </c>
      <c r="D1918" s="37" t="s">
        <v>2070</v>
      </c>
      <c r="E1918" s="37" t="n">
        <v>23914250</v>
      </c>
      <c r="F1918" s="37" t="s">
        <v>169</v>
      </c>
      <c r="G1918" s="37" t="s">
        <v>198</v>
      </c>
      <c r="H1918" s="37" t="s">
        <v>185</v>
      </c>
      <c r="I1918" s="37" t="n">
        <v>40</v>
      </c>
      <c r="J1918" s="39" t="n">
        <v>562.42</v>
      </c>
      <c r="K1918" s="37" t="s">
        <v>342</v>
      </c>
      <c r="L1918" s="39" t="n">
        <v>122.93</v>
      </c>
      <c r="M1918" s="39" t="n">
        <v>74.97</v>
      </c>
      <c r="N1918" s="39" t="n">
        <f aca="false">J1918*Resumo!$C$6</f>
        <v>0</v>
      </c>
      <c r="O1918" s="39" t="n">
        <f aca="false">J1918*Resumo!$C$7</f>
        <v>1.181082</v>
      </c>
      <c r="P1918" s="39" t="n">
        <f aca="false">J1918*Resumo!$C$8</f>
        <v>1.181082</v>
      </c>
      <c r="Q1918" s="39" t="n">
        <f aca="false">Resumo!$C$10*CEILING(I1918/100,1)</f>
        <v>1.05</v>
      </c>
      <c r="R1918" s="39" t="n">
        <f aca="false">Resumo!$C$9</f>
        <v>0</v>
      </c>
      <c r="S1918" s="39" t="n">
        <f aca="false">Resumo!$C$13</f>
        <v>13.55</v>
      </c>
      <c r="T1918" s="39" t="n">
        <f aca="false">Resumo!$C$14*CEILING(I1918,1)</f>
        <v>18</v>
      </c>
      <c r="U1918" s="39" t="n">
        <f aca="false">SUM(M1918:T1918)*Resumo!$C$11</f>
        <v>0</v>
      </c>
      <c r="V1918" s="39" t="n">
        <f aca="false">SUM(M1918:U1918)</f>
        <v>109.932164</v>
      </c>
      <c r="W1918" s="39" t="n">
        <f aca="false">V1918/(1-Resumo!$C$5)</f>
        <v>124.922913636364</v>
      </c>
      <c r="X1918" s="39" t="n">
        <v>124.38</v>
      </c>
      <c r="Y1918" s="39" t="n">
        <f aca="false">J1918*Resumo!$B$6</f>
        <v>0.56242</v>
      </c>
      <c r="Z1918" s="39" t="n">
        <f aca="false">J1918*Resumo!$B$7</f>
        <v>1.12484</v>
      </c>
      <c r="AA1918" s="39" t="n">
        <f aca="false">Resumo!$B$9</f>
        <v>1</v>
      </c>
      <c r="AB1918" s="39" t="n">
        <f aca="false">Resumo!$B$10*CEILING(I1918/100,1)</f>
        <v>4.5</v>
      </c>
      <c r="AC1918" s="39" t="n">
        <f aca="false">Resumo!$B$12*CEILING(I1918,1)</f>
        <v>2.4</v>
      </c>
      <c r="AD1918" s="39" t="n">
        <f aca="false">Resumo!$B$14*CEILING(I1918,1)</f>
        <v>18</v>
      </c>
      <c r="AE1918" s="39" t="n">
        <f aca="false">SUM(X1918:AD1918)</f>
        <v>151.96726</v>
      </c>
      <c r="AF1918" s="39" t="n">
        <f aca="false">AE1918/(1-Resumo!$B$5)</f>
        <v>172.690068181818</v>
      </c>
      <c r="AG1918" s="39" t="n">
        <f aca="false">AF1918-W1918</f>
        <v>47.7671545454545</v>
      </c>
      <c r="AH1918" s="40" t="n">
        <f aca="false">AF1918/W1918-1</f>
        <v>0.382373042342731</v>
      </c>
      <c r="AI1918" s="37" t="str">
        <f aca="false">IF(AF1918&lt;W1918,"SIM","NÃO")</f>
        <v>NÃO</v>
      </c>
      <c r="AJ1918" s="37" t="n">
        <v>13</v>
      </c>
      <c r="AK1918" s="37" t="n">
        <v>10</v>
      </c>
      <c r="AL1918" s="37" t="s">
        <v>343</v>
      </c>
      <c r="AM1918" s="39" t="n">
        <v>122.94</v>
      </c>
    </row>
    <row r="1919" customFormat="false" ht="15" hidden="false" customHeight="false" outlineLevel="0" collapsed="false">
      <c r="A1919" s="37" t="n">
        <v>396429267</v>
      </c>
      <c r="B1919" s="38" t="n">
        <v>46283.8917824074</v>
      </c>
      <c r="C1919" s="37" t="s">
        <v>340</v>
      </c>
      <c r="D1919" s="37" t="s">
        <v>735</v>
      </c>
      <c r="E1919" s="37" t="n">
        <v>22031112</v>
      </c>
      <c r="F1919" s="37" t="s">
        <v>159</v>
      </c>
      <c r="G1919" s="37" t="s">
        <v>196</v>
      </c>
      <c r="H1919" s="37" t="s">
        <v>187</v>
      </c>
      <c r="I1919" s="37" t="n">
        <v>52.3</v>
      </c>
      <c r="J1919" s="39" t="n">
        <v>614.63</v>
      </c>
      <c r="K1919" s="37" t="s">
        <v>342</v>
      </c>
      <c r="L1919" s="39" t="n">
        <v>114.09</v>
      </c>
      <c r="M1919" s="39" t="n">
        <v>58.6</v>
      </c>
      <c r="N1919" s="39" t="n">
        <f aca="false">J1919*Resumo!$C$6</f>
        <v>0</v>
      </c>
      <c r="O1919" s="39" t="n">
        <f aca="false">J1919*Resumo!$C$7</f>
        <v>1.290723</v>
      </c>
      <c r="P1919" s="39" t="n">
        <f aca="false">J1919*Resumo!$C$8</f>
        <v>1.290723</v>
      </c>
      <c r="Q1919" s="39" t="n">
        <f aca="false">Resumo!$C$10*CEILING(I1919/100,1)</f>
        <v>1.05</v>
      </c>
      <c r="R1919" s="39" t="n">
        <f aca="false">Resumo!$C$9</f>
        <v>0</v>
      </c>
      <c r="S1919" s="39" t="n">
        <f aca="false">Resumo!$C$13</f>
        <v>13.55</v>
      </c>
      <c r="T1919" s="39" t="n">
        <f aca="false">Resumo!$C$14*CEILING(I1919,1)</f>
        <v>23.85</v>
      </c>
      <c r="U1919" s="39" t="n">
        <f aca="false">SUM(M1919:T1919)*Resumo!$C$11</f>
        <v>0</v>
      </c>
      <c r="V1919" s="39" t="n">
        <f aca="false">SUM(M1919:U1919)</f>
        <v>99.631446</v>
      </c>
      <c r="W1919" s="39" t="n">
        <f aca="false">V1919/(1-Resumo!$C$5)</f>
        <v>113.217552272727</v>
      </c>
      <c r="X1919" s="39" t="n">
        <v>112.3</v>
      </c>
      <c r="Y1919" s="39" t="n">
        <f aca="false">J1919*Resumo!$B$6</f>
        <v>0.61463</v>
      </c>
      <c r="Z1919" s="39" t="n">
        <f aca="false">J1919*Resumo!$B$7</f>
        <v>1.22926</v>
      </c>
      <c r="AA1919" s="39" t="n">
        <f aca="false">Resumo!$B$9</f>
        <v>1</v>
      </c>
      <c r="AB1919" s="39" t="n">
        <f aca="false">Resumo!$B$10*CEILING(I1919/100,1)</f>
        <v>4.5</v>
      </c>
      <c r="AC1919" s="39" t="n">
        <f aca="false">Resumo!$B$12*CEILING(I1919,1)</f>
        <v>3.18</v>
      </c>
      <c r="AD1919" s="39" t="n">
        <f aca="false">Resumo!$B$14*CEILING(I1919,1)</f>
        <v>23.85</v>
      </c>
      <c r="AE1919" s="39" t="n">
        <f aca="false">SUM(X1919:AD1919)</f>
        <v>146.67389</v>
      </c>
      <c r="AF1919" s="39" t="n">
        <f aca="false">AE1919/(1-Resumo!$B$5)</f>
        <v>166.674875</v>
      </c>
      <c r="AG1919" s="39" t="n">
        <f aca="false">AF1919-W1919</f>
        <v>53.4573227272727</v>
      </c>
      <c r="AH1919" s="40" t="n">
        <f aca="false">AF1919/W1919-1</f>
        <v>0.472164621599489</v>
      </c>
      <c r="AI1919" s="37" t="str">
        <f aca="false">IF(AF1919&lt;W1919,"SIM","NÃO")</f>
        <v>NÃO</v>
      </c>
      <c r="AJ1919" s="37" t="n">
        <v>2</v>
      </c>
      <c r="AK1919" s="37" t="n">
        <v>5</v>
      </c>
      <c r="AL1919" s="37" t="s">
        <v>343</v>
      </c>
      <c r="AM1919" s="39" t="n">
        <v>114.09</v>
      </c>
    </row>
    <row r="1920" customFormat="false" ht="15" hidden="false" customHeight="false" outlineLevel="0" collapsed="false">
      <c r="A1920" s="37" t="n">
        <v>396445921</v>
      </c>
      <c r="B1920" s="38" t="n">
        <v>46283.906087963</v>
      </c>
      <c r="C1920" s="37" t="s">
        <v>537</v>
      </c>
      <c r="D1920" s="37" t="s">
        <v>2071</v>
      </c>
      <c r="E1920" s="37" t="n">
        <v>22610095</v>
      </c>
      <c r="F1920" s="37" t="s">
        <v>159</v>
      </c>
      <c r="G1920" s="37" t="s">
        <v>196</v>
      </c>
      <c r="H1920" s="37" t="s">
        <v>184</v>
      </c>
      <c r="I1920" s="37" t="n">
        <v>21.75</v>
      </c>
      <c r="J1920" s="39" t="n">
        <v>329.99</v>
      </c>
      <c r="K1920" s="37" t="s">
        <v>342</v>
      </c>
      <c r="L1920" s="39" t="n">
        <v>81.91</v>
      </c>
      <c r="M1920" s="39" t="n">
        <v>42.11</v>
      </c>
      <c r="N1920" s="39" t="n">
        <f aca="false">J1920*Resumo!$C$6</f>
        <v>0</v>
      </c>
      <c r="O1920" s="39" t="n">
        <f aca="false">J1920*Resumo!$C$7</f>
        <v>0.692979</v>
      </c>
      <c r="P1920" s="39" t="n">
        <f aca="false">J1920*Resumo!$C$8</f>
        <v>0.692979</v>
      </c>
      <c r="Q1920" s="39" t="n">
        <f aca="false">Resumo!$C$10*CEILING(I1920/100,1)</f>
        <v>1.05</v>
      </c>
      <c r="R1920" s="39" t="n">
        <f aca="false">Resumo!$C$9</f>
        <v>0</v>
      </c>
      <c r="S1920" s="39" t="n">
        <f aca="false">Resumo!$C$13</f>
        <v>13.55</v>
      </c>
      <c r="T1920" s="39" t="n">
        <f aca="false">Resumo!$C$14*CEILING(I1920,1)</f>
        <v>9.9</v>
      </c>
      <c r="U1920" s="39" t="n">
        <f aca="false">SUM(M1920:T1920)*Resumo!$C$11</f>
        <v>0</v>
      </c>
      <c r="V1920" s="39" t="n">
        <f aca="false">SUM(M1920:U1920)</f>
        <v>67.995958</v>
      </c>
      <c r="W1920" s="39" t="n">
        <f aca="false">V1920/(1-Resumo!$C$5)</f>
        <v>77.2681340909091</v>
      </c>
      <c r="X1920" s="39" t="n">
        <v>82.21</v>
      </c>
      <c r="Y1920" s="39" t="n">
        <f aca="false">J1920*Resumo!$B$6</f>
        <v>0.32999</v>
      </c>
      <c r="Z1920" s="39" t="n">
        <f aca="false">J1920*Resumo!$B$7</f>
        <v>0.65998</v>
      </c>
      <c r="AA1920" s="39" t="n">
        <f aca="false">Resumo!$B$9</f>
        <v>1</v>
      </c>
      <c r="AB1920" s="39" t="n">
        <f aca="false">Resumo!$B$10*CEILING(I1920/100,1)</f>
        <v>4.5</v>
      </c>
      <c r="AC1920" s="39" t="n">
        <f aca="false">Resumo!$B$12*CEILING(I1920,1)</f>
        <v>1.32</v>
      </c>
      <c r="AD1920" s="39" t="n">
        <f aca="false">Resumo!$B$14*CEILING(I1920,1)</f>
        <v>9.9</v>
      </c>
      <c r="AE1920" s="39" t="n">
        <f aca="false">SUM(X1920:AD1920)</f>
        <v>99.91997</v>
      </c>
      <c r="AF1920" s="39" t="n">
        <f aca="false">AE1920/(1-Resumo!$B$5)</f>
        <v>113.545420454545</v>
      </c>
      <c r="AG1920" s="39" t="n">
        <f aca="false">AF1920-W1920</f>
        <v>36.2772863636364</v>
      </c>
      <c r="AH1920" s="40" t="n">
        <f aca="false">AF1920/W1920-1</f>
        <v>0.469498672259313</v>
      </c>
      <c r="AI1920" s="37" t="str">
        <f aca="false">IF(AF1920&lt;W1920,"SIM","NÃO")</f>
        <v>NÃO</v>
      </c>
      <c r="AJ1920" s="37" t="n">
        <v>2</v>
      </c>
      <c r="AK1920" s="37" t="n">
        <v>5</v>
      </c>
      <c r="AL1920" s="37" t="s">
        <v>343</v>
      </c>
      <c r="AM1920" s="39" t="n">
        <v>81.91</v>
      </c>
    </row>
    <row r="1921" customFormat="false" ht="15" hidden="false" customHeight="false" outlineLevel="0" collapsed="false">
      <c r="A1921" s="37" t="n">
        <v>396438599</v>
      </c>
      <c r="B1921" s="38" t="n">
        <v>46283.9089930556</v>
      </c>
      <c r="C1921" s="37" t="s">
        <v>345</v>
      </c>
      <c r="D1921" s="37" t="s">
        <v>2072</v>
      </c>
      <c r="E1921" s="37" t="n">
        <v>26585400</v>
      </c>
      <c r="F1921" s="37" t="s">
        <v>175</v>
      </c>
      <c r="G1921" s="37" t="s">
        <v>197</v>
      </c>
      <c r="H1921" s="37" t="s">
        <v>186</v>
      </c>
      <c r="I1921" s="37" t="n">
        <v>48</v>
      </c>
      <c r="J1921" s="39" t="n">
        <v>828.99</v>
      </c>
      <c r="K1921" s="37" t="s">
        <v>342</v>
      </c>
      <c r="L1921" s="39" t="n">
        <v>118.06</v>
      </c>
      <c r="M1921" s="39" t="n">
        <v>65.36</v>
      </c>
      <c r="N1921" s="39" t="n">
        <f aca="false">J1921*Resumo!$C$6</f>
        <v>0</v>
      </c>
      <c r="O1921" s="39" t="n">
        <f aca="false">J1921*Resumo!$C$7</f>
        <v>1.740879</v>
      </c>
      <c r="P1921" s="39" t="n">
        <f aca="false">J1921*Resumo!$C$8</f>
        <v>1.740879</v>
      </c>
      <c r="Q1921" s="39" t="n">
        <f aca="false">Resumo!$C$10*CEILING(I1921/100,1)</f>
        <v>1.05</v>
      </c>
      <c r="R1921" s="39" t="n">
        <f aca="false">Resumo!$C$9</f>
        <v>0</v>
      </c>
      <c r="S1921" s="39" t="n">
        <f aca="false">Resumo!$C$13</f>
        <v>13.55</v>
      </c>
      <c r="T1921" s="39" t="n">
        <f aca="false">Resumo!$C$14*CEILING(I1921,1)</f>
        <v>21.6</v>
      </c>
      <c r="U1921" s="39" t="n">
        <f aca="false">SUM(M1921:T1921)*Resumo!$C$11</f>
        <v>0</v>
      </c>
      <c r="V1921" s="39" t="n">
        <f aca="false">SUM(M1921:U1921)</f>
        <v>105.041758</v>
      </c>
      <c r="W1921" s="39" t="n">
        <f aca="false">V1921/(1-Resumo!$C$5)</f>
        <v>119.365634090909</v>
      </c>
      <c r="X1921" s="39" t="n">
        <v>93.97</v>
      </c>
      <c r="Y1921" s="39" t="n">
        <f aca="false">J1921*Resumo!$B$6</f>
        <v>0.82899</v>
      </c>
      <c r="Z1921" s="39" t="n">
        <f aca="false">J1921*Resumo!$B$7</f>
        <v>1.65798</v>
      </c>
      <c r="AA1921" s="39" t="n">
        <f aca="false">Resumo!$B$9</f>
        <v>1</v>
      </c>
      <c r="AB1921" s="39" t="n">
        <f aca="false">Resumo!$B$10*CEILING(I1921/100,1)</f>
        <v>4.5</v>
      </c>
      <c r="AC1921" s="39" t="n">
        <f aca="false">Resumo!$B$12*CEILING(I1921,1)</f>
        <v>2.88</v>
      </c>
      <c r="AD1921" s="39" t="n">
        <f aca="false">Resumo!$B$14*CEILING(I1921,1)</f>
        <v>21.6</v>
      </c>
      <c r="AE1921" s="39" t="n">
        <f aca="false">SUM(X1921:AD1921)</f>
        <v>126.43697</v>
      </c>
      <c r="AF1921" s="39" t="n">
        <f aca="false">AE1921/(1-Resumo!$B$5)</f>
        <v>143.678375</v>
      </c>
      <c r="AG1921" s="39" t="n">
        <f aca="false">AF1921-W1921</f>
        <v>24.3127409090909</v>
      </c>
      <c r="AH1921" s="40" t="n">
        <f aca="false">AF1921/W1921-1</f>
        <v>0.203682920082126</v>
      </c>
      <c r="AI1921" s="37" t="str">
        <f aca="false">IF(AF1921&lt;W1921,"SIM","NÃO")</f>
        <v>NÃO</v>
      </c>
      <c r="AJ1921" s="37" t="n">
        <v>2</v>
      </c>
      <c r="AK1921" s="37" t="n">
        <v>5</v>
      </c>
      <c r="AL1921" s="37" t="s">
        <v>343</v>
      </c>
      <c r="AM1921" s="39" t="n">
        <v>118.05</v>
      </c>
    </row>
    <row r="1922" customFormat="false" ht="15" hidden="false" customHeight="false" outlineLevel="0" collapsed="false">
      <c r="A1922" s="37" t="n">
        <v>396443070</v>
      </c>
      <c r="B1922" s="38" t="n">
        <v>46283.917974537</v>
      </c>
      <c r="C1922" s="37" t="s">
        <v>340</v>
      </c>
      <c r="D1922" s="37" t="s">
        <v>2073</v>
      </c>
      <c r="E1922" s="37" t="n">
        <v>24475290</v>
      </c>
      <c r="F1922" s="37" t="s">
        <v>160</v>
      </c>
      <c r="G1922" s="37" t="s">
        <v>197</v>
      </c>
      <c r="H1922" s="37" t="s">
        <v>185</v>
      </c>
      <c r="I1922" s="37" t="n">
        <v>37.2</v>
      </c>
      <c r="J1922" s="39" t="n">
        <v>399.99</v>
      </c>
      <c r="K1922" s="37" t="s">
        <v>342</v>
      </c>
      <c r="L1922" s="39" t="n">
        <v>112.88</v>
      </c>
      <c r="M1922" s="39" t="n">
        <v>66.83</v>
      </c>
      <c r="N1922" s="39" t="n">
        <f aca="false">J1922*Resumo!$C$6</f>
        <v>0</v>
      </c>
      <c r="O1922" s="39" t="n">
        <f aca="false">J1922*Resumo!$C$7</f>
        <v>0.839979</v>
      </c>
      <c r="P1922" s="39" t="n">
        <f aca="false">J1922*Resumo!$C$8</f>
        <v>0.839979</v>
      </c>
      <c r="Q1922" s="39" t="n">
        <f aca="false">Resumo!$C$10*CEILING(I1922/100,1)</f>
        <v>1.05</v>
      </c>
      <c r="R1922" s="39" t="n">
        <f aca="false">Resumo!$C$9</f>
        <v>0</v>
      </c>
      <c r="S1922" s="39" t="n">
        <f aca="false">Resumo!$C$13</f>
        <v>13.55</v>
      </c>
      <c r="T1922" s="39" t="n">
        <f aca="false">Resumo!$C$14*CEILING(I1922,1)</f>
        <v>17.1</v>
      </c>
      <c r="U1922" s="39" t="n">
        <f aca="false">SUM(M1922:T1922)*Resumo!$C$11</f>
        <v>0</v>
      </c>
      <c r="V1922" s="39" t="n">
        <f aca="false">SUM(M1922:U1922)</f>
        <v>100.209958</v>
      </c>
      <c r="W1922" s="39" t="n">
        <f aca="false">V1922/(1-Resumo!$C$5)</f>
        <v>113.874952272727</v>
      </c>
      <c r="X1922" s="39" t="n">
        <v>114.95</v>
      </c>
      <c r="Y1922" s="39" t="n">
        <f aca="false">J1922*Resumo!$B$6</f>
        <v>0.39999</v>
      </c>
      <c r="Z1922" s="39" t="n">
        <f aca="false">J1922*Resumo!$B$7</f>
        <v>0.79998</v>
      </c>
      <c r="AA1922" s="39" t="n">
        <f aca="false">Resumo!$B$9</f>
        <v>1</v>
      </c>
      <c r="AB1922" s="39" t="n">
        <f aca="false">Resumo!$B$10*CEILING(I1922/100,1)</f>
        <v>4.5</v>
      </c>
      <c r="AC1922" s="39" t="n">
        <f aca="false">Resumo!$B$12*CEILING(I1922,1)</f>
        <v>2.28</v>
      </c>
      <c r="AD1922" s="39" t="n">
        <f aca="false">Resumo!$B$14*CEILING(I1922,1)</f>
        <v>17.1</v>
      </c>
      <c r="AE1922" s="39" t="n">
        <f aca="false">SUM(X1922:AD1922)</f>
        <v>141.02997</v>
      </c>
      <c r="AF1922" s="39" t="n">
        <f aca="false">AE1922/(1-Resumo!$B$5)</f>
        <v>160.261329545455</v>
      </c>
      <c r="AG1922" s="39" t="n">
        <f aca="false">AF1922-W1922</f>
        <v>46.3863772727273</v>
      </c>
      <c r="AH1922" s="40" t="n">
        <f aca="false">AF1922/W1922-1</f>
        <v>0.407344866864429</v>
      </c>
      <c r="AI1922" s="37" t="str">
        <f aca="false">IF(AF1922&lt;W1922,"SIM","NÃO")</f>
        <v>NÃO</v>
      </c>
      <c r="AJ1922" s="37" t="n">
        <v>2</v>
      </c>
      <c r="AK1922" s="37" t="n">
        <v>7</v>
      </c>
      <c r="AL1922" s="37" t="s">
        <v>343</v>
      </c>
      <c r="AM1922" s="39" t="n">
        <v>112.87</v>
      </c>
    </row>
    <row r="1923" customFormat="false" ht="15" hidden="false" customHeight="false" outlineLevel="0" collapsed="false">
      <c r="A1923" s="37" t="n">
        <v>396618673</v>
      </c>
      <c r="B1923" s="38" t="n">
        <v>46284.3352662037</v>
      </c>
      <c r="C1923" s="37" t="s">
        <v>345</v>
      </c>
      <c r="D1923" s="37" t="s">
        <v>1558</v>
      </c>
      <c r="E1923" s="37" t="n">
        <v>21770190</v>
      </c>
      <c r="F1923" s="37" t="s">
        <v>159</v>
      </c>
      <c r="G1923" s="37" t="s">
        <v>196</v>
      </c>
      <c r="H1923" s="37" t="s">
        <v>192</v>
      </c>
      <c r="I1923" s="37" t="n">
        <v>124.2</v>
      </c>
      <c r="J1923" s="39" t="n">
        <v>1475</v>
      </c>
      <c r="K1923" s="37" t="s">
        <v>342</v>
      </c>
      <c r="L1923" s="39" t="n">
        <v>233.36</v>
      </c>
      <c r="M1923" s="39" t="n">
        <v>120.59</v>
      </c>
      <c r="N1923" s="39" t="n">
        <f aca="false">J1923*Resumo!$C$6</f>
        <v>0</v>
      </c>
      <c r="O1923" s="39" t="n">
        <f aca="false">J1923*Resumo!$C$7</f>
        <v>3.0975</v>
      </c>
      <c r="P1923" s="39" t="n">
        <f aca="false">J1923*Resumo!$C$8</f>
        <v>3.0975</v>
      </c>
      <c r="Q1923" s="39" t="n">
        <f aca="false">Resumo!$C$10*CEILING(I1923/100,1)</f>
        <v>2.1</v>
      </c>
      <c r="R1923" s="39" t="n">
        <f aca="false">Resumo!$C$9</f>
        <v>0</v>
      </c>
      <c r="S1923" s="39" t="n">
        <f aca="false">Resumo!$C$13</f>
        <v>13.55</v>
      </c>
      <c r="T1923" s="39" t="n">
        <f aca="false">Resumo!$C$14*CEILING(I1923,1)</f>
        <v>56.25</v>
      </c>
      <c r="U1923" s="39" t="n">
        <f aca="false">SUM(M1923:T1923)*Resumo!$C$11</f>
        <v>0</v>
      </c>
      <c r="V1923" s="39" t="n">
        <f aca="false">SUM(M1923:U1923)</f>
        <v>198.685</v>
      </c>
      <c r="W1923" s="39" t="n">
        <f aca="false">V1923/(1-Resumo!$C$5)</f>
        <v>225.778409090909</v>
      </c>
      <c r="X1923" s="39" t="n">
        <v>239.25</v>
      </c>
      <c r="Y1923" s="39" t="n">
        <f aca="false">J1923*Resumo!$B$6</f>
        <v>1.475</v>
      </c>
      <c r="Z1923" s="39" t="n">
        <f aca="false">J1923*Resumo!$B$7</f>
        <v>2.95</v>
      </c>
      <c r="AA1923" s="39" t="n">
        <f aca="false">Resumo!$B$9</f>
        <v>1</v>
      </c>
      <c r="AB1923" s="39" t="n">
        <f aca="false">Resumo!$B$10*CEILING(I1923/100,1)</f>
        <v>9</v>
      </c>
      <c r="AC1923" s="39" t="n">
        <f aca="false">Resumo!$B$12*CEILING(I1923,1)</f>
        <v>7.5</v>
      </c>
      <c r="AD1923" s="39" t="n">
        <f aca="false">Resumo!$B$14*CEILING(I1923,1)</f>
        <v>56.25</v>
      </c>
      <c r="AE1923" s="39" t="n">
        <f aca="false">SUM(X1923:AD1923)</f>
        <v>317.425</v>
      </c>
      <c r="AF1923" s="39" t="n">
        <f aca="false">AE1923/(1-Resumo!$B$5)</f>
        <v>360.710227272727</v>
      </c>
      <c r="AG1923" s="39" t="n">
        <f aca="false">AF1923-W1923</f>
        <v>134.931818181818</v>
      </c>
      <c r="AH1923" s="40" t="n">
        <f aca="false">AF1923/W1923-1</f>
        <v>0.59762941339306</v>
      </c>
      <c r="AI1923" s="37" t="str">
        <f aca="false">IF(AF1923&lt;W1923,"SIM","NÃO")</f>
        <v>NÃO</v>
      </c>
      <c r="AJ1923" s="37" t="n">
        <v>2</v>
      </c>
      <c r="AK1923" s="37" t="n">
        <v>5</v>
      </c>
      <c r="AL1923" s="37" t="s">
        <v>343</v>
      </c>
      <c r="AM1923" s="39" t="n">
        <v>233.36</v>
      </c>
    </row>
    <row r="1924" customFormat="false" ht="15" hidden="false" customHeight="false" outlineLevel="0" collapsed="false">
      <c r="A1924" s="37" t="n">
        <v>396668452</v>
      </c>
      <c r="B1924" s="38" t="n">
        <v>46284.4299652778</v>
      </c>
      <c r="C1924" s="37" t="s">
        <v>345</v>
      </c>
      <c r="D1924" s="37" t="s">
        <v>2074</v>
      </c>
      <c r="E1924" s="37" t="n">
        <v>22793084</v>
      </c>
      <c r="F1924" s="37" t="s">
        <v>159</v>
      </c>
      <c r="G1924" s="37" t="s">
        <v>196</v>
      </c>
      <c r="H1924" s="37" t="s">
        <v>189</v>
      </c>
      <c r="I1924" s="37" t="n">
        <v>78.7</v>
      </c>
      <c r="J1924" s="39" t="n">
        <v>1541</v>
      </c>
      <c r="K1924" s="37" t="s">
        <v>342</v>
      </c>
      <c r="L1924" s="39" t="n">
        <v>139.86</v>
      </c>
      <c r="M1924" s="39" t="n">
        <v>68.88</v>
      </c>
      <c r="N1924" s="39" t="n">
        <f aca="false">J1924*Resumo!$C$6</f>
        <v>0</v>
      </c>
      <c r="O1924" s="39" t="n">
        <f aca="false">J1924*Resumo!$C$7</f>
        <v>3.2361</v>
      </c>
      <c r="P1924" s="39" t="n">
        <f aca="false">J1924*Resumo!$C$8</f>
        <v>3.2361</v>
      </c>
      <c r="Q1924" s="39" t="n">
        <f aca="false">Resumo!$C$10*CEILING(I1924/100,1)</f>
        <v>1.05</v>
      </c>
      <c r="R1924" s="39" t="n">
        <f aca="false">Resumo!$C$9</f>
        <v>0</v>
      </c>
      <c r="S1924" s="39" t="n">
        <f aca="false">Resumo!$C$13</f>
        <v>13.55</v>
      </c>
      <c r="T1924" s="39" t="n">
        <f aca="false">Resumo!$C$14*CEILING(I1924,1)</f>
        <v>35.55</v>
      </c>
      <c r="U1924" s="39" t="n">
        <f aca="false">SUM(M1924:T1924)*Resumo!$C$11</f>
        <v>0</v>
      </c>
      <c r="V1924" s="39" t="n">
        <f aca="false">SUM(M1924:U1924)</f>
        <v>125.5022</v>
      </c>
      <c r="W1924" s="39" t="n">
        <f aca="false">V1924/(1-Resumo!$C$5)</f>
        <v>142.616136363636</v>
      </c>
      <c r="X1924" s="39" t="n">
        <v>134.39</v>
      </c>
      <c r="Y1924" s="39" t="n">
        <f aca="false">J1924*Resumo!$B$6</f>
        <v>1.541</v>
      </c>
      <c r="Z1924" s="39" t="n">
        <f aca="false">J1924*Resumo!$B$7</f>
        <v>3.082</v>
      </c>
      <c r="AA1924" s="39" t="n">
        <f aca="false">Resumo!$B$9</f>
        <v>1</v>
      </c>
      <c r="AB1924" s="39" t="n">
        <f aca="false">Resumo!$B$10*CEILING(I1924/100,1)</f>
        <v>4.5</v>
      </c>
      <c r="AC1924" s="39" t="n">
        <f aca="false">Resumo!$B$12*CEILING(I1924,1)</f>
        <v>4.74</v>
      </c>
      <c r="AD1924" s="39" t="n">
        <f aca="false">Resumo!$B$14*CEILING(I1924,1)</f>
        <v>35.55</v>
      </c>
      <c r="AE1924" s="39" t="n">
        <f aca="false">SUM(X1924:AD1924)</f>
        <v>184.803</v>
      </c>
      <c r="AF1924" s="39" t="n">
        <f aca="false">AE1924/(1-Resumo!$B$5)</f>
        <v>210.003409090909</v>
      </c>
      <c r="AG1924" s="39" t="n">
        <f aca="false">AF1924-W1924</f>
        <v>67.3872727272727</v>
      </c>
      <c r="AH1924" s="40" t="n">
        <f aca="false">AF1924/W1924-1</f>
        <v>0.472508051651684</v>
      </c>
      <c r="AI1924" s="37" t="str">
        <f aca="false">IF(AF1924&lt;W1924,"SIM","NÃO")</f>
        <v>NÃO</v>
      </c>
      <c r="AJ1924" s="37" t="n">
        <v>2</v>
      </c>
      <c r="AK1924" s="37" t="n">
        <v>5</v>
      </c>
      <c r="AL1924" s="37" t="s">
        <v>343</v>
      </c>
      <c r="AM1924" s="39" t="n">
        <v>139.86</v>
      </c>
    </row>
    <row r="1925" customFormat="false" ht="15" hidden="false" customHeight="false" outlineLevel="0" collapsed="false">
      <c r="A1925" s="37" t="n">
        <v>396715738</v>
      </c>
      <c r="B1925" s="38" t="n">
        <v>46284.4979282407</v>
      </c>
      <c r="C1925" s="37" t="s">
        <v>340</v>
      </c>
      <c r="D1925" s="37" t="s">
        <v>2075</v>
      </c>
      <c r="E1925" s="37" t="n">
        <v>24930628</v>
      </c>
      <c r="F1925" s="37" t="s">
        <v>171</v>
      </c>
      <c r="G1925" s="37" t="s">
        <v>198</v>
      </c>
      <c r="H1925" s="37" t="s">
        <v>185</v>
      </c>
      <c r="I1925" s="37" t="n">
        <v>37.6</v>
      </c>
      <c r="J1925" s="39" t="n">
        <v>378.18</v>
      </c>
      <c r="K1925" s="37" t="s">
        <v>342</v>
      </c>
      <c r="L1925" s="39" t="n">
        <v>122.07</v>
      </c>
      <c r="M1925" s="39" t="n">
        <v>74.97</v>
      </c>
      <c r="N1925" s="39" t="n">
        <f aca="false">J1925*Resumo!$C$6</f>
        <v>0</v>
      </c>
      <c r="O1925" s="39" t="n">
        <f aca="false">J1925*Resumo!$C$7</f>
        <v>0.794178</v>
      </c>
      <c r="P1925" s="39" t="n">
        <f aca="false">J1925*Resumo!$C$8</f>
        <v>0.794178</v>
      </c>
      <c r="Q1925" s="39" t="n">
        <f aca="false">Resumo!$C$10*CEILING(I1925/100,1)</f>
        <v>1.05</v>
      </c>
      <c r="R1925" s="39" t="n">
        <f aca="false">Resumo!$C$9</f>
        <v>0</v>
      </c>
      <c r="S1925" s="39" t="n">
        <f aca="false">Resumo!$C$13</f>
        <v>13.55</v>
      </c>
      <c r="T1925" s="39" t="n">
        <f aca="false">Resumo!$C$14*CEILING(I1925,1)</f>
        <v>17.1</v>
      </c>
      <c r="U1925" s="39" t="n">
        <f aca="false">SUM(M1925:T1925)*Resumo!$C$11</f>
        <v>0</v>
      </c>
      <c r="V1925" s="39" t="n">
        <f aca="false">SUM(M1925:U1925)</f>
        <v>108.258356</v>
      </c>
      <c r="W1925" s="39" t="n">
        <f aca="false">V1925/(1-Resumo!$C$5)</f>
        <v>123.020859090909</v>
      </c>
      <c r="X1925" s="39" t="n">
        <v>114.95</v>
      </c>
      <c r="Y1925" s="39" t="n">
        <f aca="false">J1925*Resumo!$B$6</f>
        <v>0.37818</v>
      </c>
      <c r="Z1925" s="39" t="n">
        <f aca="false">J1925*Resumo!$B$7</f>
        <v>0.75636</v>
      </c>
      <c r="AA1925" s="39" t="n">
        <f aca="false">Resumo!$B$9</f>
        <v>1</v>
      </c>
      <c r="AB1925" s="39" t="n">
        <f aca="false">Resumo!$B$10*CEILING(I1925/100,1)</f>
        <v>4.5</v>
      </c>
      <c r="AC1925" s="39" t="n">
        <f aca="false">Resumo!$B$12*CEILING(I1925,1)</f>
        <v>2.28</v>
      </c>
      <c r="AD1925" s="39" t="n">
        <f aca="false">Resumo!$B$14*CEILING(I1925,1)</f>
        <v>17.1</v>
      </c>
      <c r="AE1925" s="39" t="n">
        <f aca="false">SUM(X1925:AD1925)</f>
        <v>140.96454</v>
      </c>
      <c r="AF1925" s="39" t="n">
        <f aca="false">AE1925/(1-Resumo!$B$5)</f>
        <v>160.186977272727</v>
      </c>
      <c r="AG1925" s="39" t="n">
        <f aca="false">AF1925-W1925</f>
        <v>37.1661181818182</v>
      </c>
      <c r="AH1925" s="40" t="n">
        <f aca="false">AF1925/W1925-1</f>
        <v>0.302112328400775</v>
      </c>
      <c r="AI1925" s="37" t="str">
        <f aca="false">IF(AF1925&lt;W1925,"SIM","NÃO")</f>
        <v>NÃO</v>
      </c>
      <c r="AJ1925" s="37" t="n">
        <v>13</v>
      </c>
      <c r="AK1925" s="37" t="n">
        <v>7</v>
      </c>
      <c r="AL1925" s="37" t="s">
        <v>343</v>
      </c>
      <c r="AM1925" s="39" t="n">
        <v>122.06</v>
      </c>
    </row>
    <row r="1926" customFormat="false" ht="15" hidden="false" customHeight="false" outlineLevel="0" collapsed="false">
      <c r="A1926" s="37" t="n">
        <v>396719512</v>
      </c>
      <c r="B1926" s="38" t="n">
        <v>46284.5028472222</v>
      </c>
      <c r="C1926" s="37" t="s">
        <v>340</v>
      </c>
      <c r="D1926" s="37" t="s">
        <v>2076</v>
      </c>
      <c r="E1926" s="37" t="n">
        <v>20250460</v>
      </c>
      <c r="F1926" s="37" t="s">
        <v>159</v>
      </c>
      <c r="G1926" s="37" t="s">
        <v>196</v>
      </c>
      <c r="H1926" s="37" t="s">
        <v>184</v>
      </c>
      <c r="I1926" s="37" t="n">
        <v>30.5</v>
      </c>
      <c r="J1926" s="39" t="n">
        <v>406.6</v>
      </c>
      <c r="K1926" s="37" t="s">
        <v>342</v>
      </c>
      <c r="L1926" s="39" t="n">
        <v>82.26</v>
      </c>
      <c r="M1926" s="39" t="n">
        <v>42.11</v>
      </c>
      <c r="N1926" s="39" t="n">
        <f aca="false">J1926*Resumo!$C$6</f>
        <v>0</v>
      </c>
      <c r="O1926" s="39" t="n">
        <f aca="false">J1926*Resumo!$C$7</f>
        <v>0.85386</v>
      </c>
      <c r="P1926" s="39" t="n">
        <f aca="false">J1926*Resumo!$C$8</f>
        <v>0.85386</v>
      </c>
      <c r="Q1926" s="39" t="n">
        <f aca="false">Resumo!$C$10*CEILING(I1926/100,1)</f>
        <v>1.05</v>
      </c>
      <c r="R1926" s="39" t="n">
        <f aca="false">Resumo!$C$9</f>
        <v>0</v>
      </c>
      <c r="S1926" s="39" t="n">
        <f aca="false">Resumo!$C$13</f>
        <v>13.55</v>
      </c>
      <c r="T1926" s="39" t="n">
        <f aca="false">Resumo!$C$14*CEILING(I1926,1)</f>
        <v>13.95</v>
      </c>
      <c r="U1926" s="39" t="n">
        <f aca="false">SUM(M1926:T1926)*Resumo!$C$11</f>
        <v>0</v>
      </c>
      <c r="V1926" s="39" t="n">
        <f aca="false">SUM(M1926:U1926)</f>
        <v>72.36772</v>
      </c>
      <c r="W1926" s="39" t="n">
        <f aca="false">V1926/(1-Resumo!$C$5)</f>
        <v>82.2360454545455</v>
      </c>
      <c r="X1926" s="39" t="n">
        <v>82.21</v>
      </c>
      <c r="Y1926" s="39" t="n">
        <f aca="false">J1926*Resumo!$B$6</f>
        <v>0.4066</v>
      </c>
      <c r="Z1926" s="39" t="n">
        <f aca="false">J1926*Resumo!$B$7</f>
        <v>0.8132</v>
      </c>
      <c r="AA1926" s="39" t="n">
        <f aca="false">Resumo!$B$9</f>
        <v>1</v>
      </c>
      <c r="AB1926" s="39" t="n">
        <f aca="false">Resumo!$B$10*CEILING(I1926/100,1)</f>
        <v>4.5</v>
      </c>
      <c r="AC1926" s="39" t="n">
        <f aca="false">Resumo!$B$12*CEILING(I1926,1)</f>
        <v>1.86</v>
      </c>
      <c r="AD1926" s="39" t="n">
        <f aca="false">Resumo!$B$14*CEILING(I1926,1)</f>
        <v>13.95</v>
      </c>
      <c r="AE1926" s="39" t="n">
        <f aca="false">SUM(X1926:AD1926)</f>
        <v>104.7398</v>
      </c>
      <c r="AF1926" s="39" t="n">
        <f aca="false">AE1926/(1-Resumo!$B$5)</f>
        <v>119.0225</v>
      </c>
      <c r="AG1926" s="39" t="n">
        <f aca="false">AF1926-W1926</f>
        <v>36.7864545454545</v>
      </c>
      <c r="AH1926" s="40" t="n">
        <f aca="false">AF1926/W1926-1</f>
        <v>0.447327620657387</v>
      </c>
      <c r="AI1926" s="37" t="str">
        <f aca="false">IF(AF1926&lt;W1926,"SIM","NÃO")</f>
        <v>NÃO</v>
      </c>
      <c r="AJ1926" s="37" t="n">
        <v>2</v>
      </c>
      <c r="AK1926" s="37" t="n">
        <v>5</v>
      </c>
      <c r="AL1926" s="37" t="s">
        <v>343</v>
      </c>
      <c r="AM1926" s="39" t="n">
        <v>82.27</v>
      </c>
    </row>
    <row r="1927" customFormat="false" ht="15" hidden="false" customHeight="false" outlineLevel="0" collapsed="false">
      <c r="A1927" s="37" t="n">
        <v>396732352</v>
      </c>
      <c r="B1927" s="38" t="n">
        <v>46284.5200578704</v>
      </c>
      <c r="C1927" s="37" t="s">
        <v>340</v>
      </c>
      <c r="D1927" s="37" t="s">
        <v>2077</v>
      </c>
      <c r="E1927" s="37" t="n">
        <v>20973011</v>
      </c>
      <c r="F1927" s="37" t="s">
        <v>159</v>
      </c>
      <c r="G1927" s="37" t="s">
        <v>196</v>
      </c>
      <c r="H1927" s="37" t="s">
        <v>184</v>
      </c>
      <c r="I1927" s="37" t="n">
        <v>22.9</v>
      </c>
      <c r="J1927" s="39" t="n">
        <v>369.99</v>
      </c>
      <c r="K1927" s="37" t="s">
        <v>342</v>
      </c>
      <c r="L1927" s="39" t="n">
        <v>82.1</v>
      </c>
      <c r="M1927" s="39" t="n">
        <v>42.11</v>
      </c>
      <c r="N1927" s="39" t="n">
        <f aca="false">J1927*Resumo!$C$6</f>
        <v>0</v>
      </c>
      <c r="O1927" s="39" t="n">
        <f aca="false">J1927*Resumo!$C$7</f>
        <v>0.776979</v>
      </c>
      <c r="P1927" s="39" t="n">
        <f aca="false">J1927*Resumo!$C$8</f>
        <v>0.776979</v>
      </c>
      <c r="Q1927" s="39" t="n">
        <f aca="false">Resumo!$C$10*CEILING(I1927/100,1)</f>
        <v>1.05</v>
      </c>
      <c r="R1927" s="39" t="n">
        <f aca="false">Resumo!$C$9</f>
        <v>0</v>
      </c>
      <c r="S1927" s="39" t="n">
        <f aca="false">Resumo!$C$13</f>
        <v>13.55</v>
      </c>
      <c r="T1927" s="39" t="n">
        <f aca="false">Resumo!$C$14*CEILING(I1927,1)</f>
        <v>10.35</v>
      </c>
      <c r="U1927" s="39" t="n">
        <f aca="false">SUM(M1927:T1927)*Resumo!$C$11</f>
        <v>0</v>
      </c>
      <c r="V1927" s="39" t="n">
        <f aca="false">SUM(M1927:U1927)</f>
        <v>68.613958</v>
      </c>
      <c r="W1927" s="39" t="n">
        <f aca="false">V1927/(1-Resumo!$C$5)</f>
        <v>77.9704068181818</v>
      </c>
      <c r="X1927" s="39" t="n">
        <v>82.21</v>
      </c>
      <c r="Y1927" s="39" t="n">
        <f aca="false">J1927*Resumo!$B$6</f>
        <v>0.36999</v>
      </c>
      <c r="Z1927" s="39" t="n">
        <f aca="false">J1927*Resumo!$B$7</f>
        <v>0.73998</v>
      </c>
      <c r="AA1927" s="39" t="n">
        <f aca="false">Resumo!$B$9</f>
        <v>1</v>
      </c>
      <c r="AB1927" s="39" t="n">
        <f aca="false">Resumo!$B$10*CEILING(I1927/100,1)</f>
        <v>4.5</v>
      </c>
      <c r="AC1927" s="39" t="n">
        <f aca="false">Resumo!$B$12*CEILING(I1927,1)</f>
        <v>1.38</v>
      </c>
      <c r="AD1927" s="39" t="n">
        <f aca="false">Resumo!$B$14*CEILING(I1927,1)</f>
        <v>10.35</v>
      </c>
      <c r="AE1927" s="39" t="n">
        <f aca="false">SUM(X1927:AD1927)</f>
        <v>100.54997</v>
      </c>
      <c r="AF1927" s="39" t="n">
        <f aca="false">AE1927/(1-Resumo!$B$5)</f>
        <v>114.261329545455</v>
      </c>
      <c r="AG1927" s="39" t="n">
        <f aca="false">AF1927-W1927</f>
        <v>36.2909227272727</v>
      </c>
      <c r="AH1927" s="40" t="n">
        <f aca="false">AF1927/W1927-1</f>
        <v>0.465444829753153</v>
      </c>
      <c r="AI1927" s="37" t="str">
        <f aca="false">IF(AF1927&lt;W1927,"SIM","NÃO")</f>
        <v>NÃO</v>
      </c>
      <c r="AJ1927" s="37" t="n">
        <v>2</v>
      </c>
      <c r="AK1927" s="37" t="n">
        <v>5</v>
      </c>
      <c r="AL1927" s="37" t="s">
        <v>343</v>
      </c>
      <c r="AM1927" s="39" t="n">
        <v>82.1</v>
      </c>
    </row>
    <row r="1928" customFormat="false" ht="15" hidden="false" customHeight="false" outlineLevel="0" collapsed="false">
      <c r="A1928" s="37" t="n">
        <v>396757559</v>
      </c>
      <c r="B1928" s="38" t="n">
        <v>46284.5584143519</v>
      </c>
      <c r="C1928" s="37" t="s">
        <v>340</v>
      </c>
      <c r="D1928" s="37" t="s">
        <v>2078</v>
      </c>
      <c r="E1928" s="37" t="n">
        <v>24470270</v>
      </c>
      <c r="F1928" s="37" t="s">
        <v>160</v>
      </c>
      <c r="G1928" s="37" t="s">
        <v>197</v>
      </c>
      <c r="H1928" s="37" t="s">
        <v>185</v>
      </c>
      <c r="I1928" s="37" t="n">
        <v>36.8</v>
      </c>
      <c r="J1928" s="39" t="n">
        <v>469.99</v>
      </c>
      <c r="K1928" s="37" t="s">
        <v>342</v>
      </c>
      <c r="L1928" s="39" t="n">
        <v>113.2</v>
      </c>
      <c r="M1928" s="39" t="n">
        <v>66.83</v>
      </c>
      <c r="N1928" s="39" t="n">
        <f aca="false">J1928*Resumo!$C$6</f>
        <v>0</v>
      </c>
      <c r="O1928" s="39" t="n">
        <f aca="false">J1928*Resumo!$C$7</f>
        <v>0.986979</v>
      </c>
      <c r="P1928" s="39" t="n">
        <f aca="false">J1928*Resumo!$C$8</f>
        <v>0.986979</v>
      </c>
      <c r="Q1928" s="39" t="n">
        <f aca="false">Resumo!$C$10*CEILING(I1928/100,1)</f>
        <v>1.05</v>
      </c>
      <c r="R1928" s="39" t="n">
        <f aca="false">Resumo!$C$9</f>
        <v>0</v>
      </c>
      <c r="S1928" s="39" t="n">
        <f aca="false">Resumo!$C$13</f>
        <v>13.55</v>
      </c>
      <c r="T1928" s="39" t="n">
        <f aca="false">Resumo!$C$14*CEILING(I1928,1)</f>
        <v>16.65</v>
      </c>
      <c r="U1928" s="39" t="n">
        <f aca="false">SUM(M1928:T1928)*Resumo!$C$11</f>
        <v>0</v>
      </c>
      <c r="V1928" s="39" t="n">
        <f aca="false">SUM(M1928:U1928)</f>
        <v>100.053958</v>
      </c>
      <c r="W1928" s="39" t="n">
        <f aca="false">V1928/(1-Resumo!$C$5)</f>
        <v>113.697679545455</v>
      </c>
      <c r="X1928" s="39" t="n">
        <v>114.95</v>
      </c>
      <c r="Y1928" s="39" t="n">
        <f aca="false">J1928*Resumo!$B$6</f>
        <v>0.46999</v>
      </c>
      <c r="Z1928" s="39" t="n">
        <f aca="false">J1928*Resumo!$B$7</f>
        <v>0.93998</v>
      </c>
      <c r="AA1928" s="39" t="n">
        <f aca="false">Resumo!$B$9</f>
        <v>1</v>
      </c>
      <c r="AB1928" s="39" t="n">
        <f aca="false">Resumo!$B$10*CEILING(I1928/100,1)</f>
        <v>4.5</v>
      </c>
      <c r="AC1928" s="39" t="n">
        <f aca="false">Resumo!$B$12*CEILING(I1928,1)</f>
        <v>2.22</v>
      </c>
      <c r="AD1928" s="39" t="n">
        <f aca="false">Resumo!$B$14*CEILING(I1928,1)</f>
        <v>16.65</v>
      </c>
      <c r="AE1928" s="39" t="n">
        <f aca="false">SUM(X1928:AD1928)</f>
        <v>140.72997</v>
      </c>
      <c r="AF1928" s="39" t="n">
        <f aca="false">AE1928/(1-Resumo!$B$5)</f>
        <v>159.920420454545</v>
      </c>
      <c r="AG1928" s="39" t="n">
        <f aca="false">AF1928-W1928</f>
        <v>46.2227409090909</v>
      </c>
      <c r="AH1928" s="40" t="n">
        <f aca="false">AF1928/W1928-1</f>
        <v>0.4065407587374</v>
      </c>
      <c r="AI1928" s="37" t="str">
        <f aca="false">IF(AF1928&lt;W1928,"SIM","NÃO")</f>
        <v>NÃO</v>
      </c>
      <c r="AJ1928" s="37" t="n">
        <v>2</v>
      </c>
      <c r="AK1928" s="37" t="n">
        <v>7</v>
      </c>
      <c r="AL1928" s="37" t="s">
        <v>343</v>
      </c>
      <c r="AM1928" s="39" t="n">
        <v>113.21</v>
      </c>
    </row>
    <row r="1929" customFormat="false" ht="15" hidden="false" customHeight="false" outlineLevel="0" collapsed="false">
      <c r="A1929" s="37" t="n">
        <v>396762183</v>
      </c>
      <c r="B1929" s="38" t="n">
        <v>46284.5639351852</v>
      </c>
      <c r="C1929" s="37" t="s">
        <v>345</v>
      </c>
      <c r="D1929" s="37" t="s">
        <v>2079</v>
      </c>
      <c r="E1929" s="37" t="n">
        <v>24921768</v>
      </c>
      <c r="F1929" s="37" t="s">
        <v>171</v>
      </c>
      <c r="G1929" s="37" t="s">
        <v>198</v>
      </c>
      <c r="H1929" s="37" t="s">
        <v>184</v>
      </c>
      <c r="I1929" s="37" t="n">
        <v>24</v>
      </c>
      <c r="J1929" s="39" t="n">
        <v>506.43</v>
      </c>
      <c r="K1929" s="37" t="s">
        <v>342</v>
      </c>
      <c r="L1929" s="39" t="n">
        <v>109.6</v>
      </c>
      <c r="M1929" s="39" t="n">
        <v>65.63</v>
      </c>
      <c r="N1929" s="39" t="n">
        <f aca="false">J1929*Resumo!$C$6</f>
        <v>0</v>
      </c>
      <c r="O1929" s="39" t="n">
        <f aca="false">J1929*Resumo!$C$7</f>
        <v>1.063503</v>
      </c>
      <c r="P1929" s="39" t="n">
        <f aca="false">J1929*Resumo!$C$8</f>
        <v>1.063503</v>
      </c>
      <c r="Q1929" s="39" t="n">
        <f aca="false">Resumo!$C$10*CEILING(I1929/100,1)</f>
        <v>1.05</v>
      </c>
      <c r="R1929" s="39" t="n">
        <f aca="false">Resumo!$C$9</f>
        <v>0</v>
      </c>
      <c r="S1929" s="39" t="n">
        <f aca="false">Resumo!$C$13</f>
        <v>13.55</v>
      </c>
      <c r="T1929" s="39" t="n">
        <f aca="false">Resumo!$C$14*CEILING(I1929,1)</f>
        <v>10.8</v>
      </c>
      <c r="U1929" s="39" t="n">
        <f aca="false">SUM(M1929:T1929)*Resumo!$C$11</f>
        <v>0</v>
      </c>
      <c r="V1929" s="39" t="n">
        <f aca="false">SUM(M1929:U1929)</f>
        <v>93.157006</v>
      </c>
      <c r="W1929" s="39" t="n">
        <f aca="false">V1929/(1-Resumo!$C$5)</f>
        <v>105.860234090909</v>
      </c>
      <c r="X1929" s="39" t="n">
        <v>100.58</v>
      </c>
      <c r="Y1929" s="39" t="n">
        <f aca="false">J1929*Resumo!$B$6</f>
        <v>0.50643</v>
      </c>
      <c r="Z1929" s="39" t="n">
        <f aca="false">J1929*Resumo!$B$7</f>
        <v>1.01286</v>
      </c>
      <c r="AA1929" s="39" t="n">
        <f aca="false">Resumo!$B$9</f>
        <v>1</v>
      </c>
      <c r="AB1929" s="39" t="n">
        <f aca="false">Resumo!$B$10*CEILING(I1929/100,1)</f>
        <v>4.5</v>
      </c>
      <c r="AC1929" s="39" t="n">
        <f aca="false">Resumo!$B$12*CEILING(I1929,1)</f>
        <v>1.44</v>
      </c>
      <c r="AD1929" s="39" t="n">
        <f aca="false">Resumo!$B$14*CEILING(I1929,1)</f>
        <v>10.8</v>
      </c>
      <c r="AE1929" s="39" t="n">
        <f aca="false">SUM(X1929:AD1929)</f>
        <v>119.83929</v>
      </c>
      <c r="AF1929" s="39" t="n">
        <f aca="false">AE1929/(1-Resumo!$B$5)</f>
        <v>136.181011363636</v>
      </c>
      <c r="AG1929" s="39" t="n">
        <f aca="false">AF1929-W1929</f>
        <v>30.3207772727273</v>
      </c>
      <c r="AH1929" s="40" t="n">
        <f aca="false">AF1929/W1929-1</f>
        <v>0.286422730245324</v>
      </c>
      <c r="AI1929" s="37" t="str">
        <f aca="false">IF(AF1929&lt;W1929,"SIM","NÃO")</f>
        <v>NÃO</v>
      </c>
      <c r="AJ1929" s="37" t="n">
        <v>13</v>
      </c>
      <c r="AK1929" s="37" t="n">
        <v>7</v>
      </c>
      <c r="AL1929" s="37" t="s">
        <v>343</v>
      </c>
      <c r="AM1929" s="39" t="n">
        <v>109.61</v>
      </c>
    </row>
    <row r="1930" customFormat="false" ht="15" hidden="false" customHeight="false" outlineLevel="0" collapsed="false">
      <c r="A1930" s="37" t="n">
        <v>396807678</v>
      </c>
      <c r="B1930" s="38" t="n">
        <v>46284.6320601852</v>
      </c>
      <c r="C1930" s="37" t="s">
        <v>379</v>
      </c>
      <c r="D1930" s="37" t="s">
        <v>2080</v>
      </c>
      <c r="E1930" s="37" t="n">
        <v>27256005</v>
      </c>
      <c r="F1930" s="37" t="s">
        <v>168</v>
      </c>
      <c r="G1930" s="37" t="s">
        <v>198</v>
      </c>
      <c r="H1930" s="37" t="s">
        <v>190</v>
      </c>
      <c r="I1930" s="37" t="n">
        <v>97.2</v>
      </c>
      <c r="J1930" s="39" t="n">
        <v>1399.99</v>
      </c>
      <c r="K1930" s="37" t="s">
        <v>342</v>
      </c>
      <c r="L1930" s="39" t="n">
        <v>195.31</v>
      </c>
      <c r="M1930" s="39" t="n">
        <v>109.63</v>
      </c>
      <c r="N1930" s="39" t="n">
        <f aca="false">J1930*Resumo!$C$6</f>
        <v>0</v>
      </c>
      <c r="O1930" s="39" t="n">
        <f aca="false">J1930*Resumo!$C$7</f>
        <v>2.939979</v>
      </c>
      <c r="P1930" s="39" t="n">
        <f aca="false">J1930*Resumo!$C$8</f>
        <v>2.939979</v>
      </c>
      <c r="Q1930" s="39" t="n">
        <f aca="false">Resumo!$C$10*CEILING(I1930/100,1)</f>
        <v>1.05</v>
      </c>
      <c r="R1930" s="39" t="n">
        <f aca="false">Resumo!$C$9</f>
        <v>0</v>
      </c>
      <c r="S1930" s="39" t="n">
        <f aca="false">Resumo!$C$13</f>
        <v>13.55</v>
      </c>
      <c r="T1930" s="39" t="n">
        <f aca="false">Resumo!$C$14*CEILING(I1930,1)</f>
        <v>44.1</v>
      </c>
      <c r="U1930" s="39" t="n">
        <f aca="false">SUM(M1930:T1930)*Resumo!$C$11</f>
        <v>0</v>
      </c>
      <c r="V1930" s="39" t="n">
        <f aca="false">SUM(M1930:U1930)</f>
        <v>174.209958</v>
      </c>
      <c r="W1930" s="39" t="n">
        <f aca="false">V1930/(1-Resumo!$C$5)</f>
        <v>197.965861363636</v>
      </c>
      <c r="X1930" s="39" t="n">
        <v>197.35</v>
      </c>
      <c r="Y1930" s="39" t="n">
        <f aca="false">J1930*Resumo!$B$6</f>
        <v>1.39999</v>
      </c>
      <c r="Z1930" s="39" t="n">
        <f aca="false">J1930*Resumo!$B$7</f>
        <v>2.79998</v>
      </c>
      <c r="AA1930" s="39" t="n">
        <f aca="false">Resumo!$B$9</f>
        <v>1</v>
      </c>
      <c r="AB1930" s="39" t="n">
        <f aca="false">Resumo!$B$10*CEILING(I1930/100,1)</f>
        <v>4.5</v>
      </c>
      <c r="AC1930" s="39" t="n">
        <f aca="false">Resumo!$B$12*CEILING(I1930,1)</f>
        <v>5.88</v>
      </c>
      <c r="AD1930" s="39" t="n">
        <f aca="false">Resumo!$B$14*CEILING(I1930,1)</f>
        <v>44.1</v>
      </c>
      <c r="AE1930" s="39" t="n">
        <f aca="false">SUM(X1930:AD1930)</f>
        <v>257.02997</v>
      </c>
      <c r="AF1930" s="39" t="n">
        <f aca="false">AE1930/(1-Resumo!$B$5)</f>
        <v>292.079511363636</v>
      </c>
      <c r="AG1930" s="39" t="n">
        <f aca="false">AF1930-W1930</f>
        <v>94.11365</v>
      </c>
      <c r="AH1930" s="40" t="n">
        <f aca="false">AF1930/W1930-1</f>
        <v>0.475403432449022</v>
      </c>
      <c r="AI1930" s="37" t="str">
        <f aca="false">IF(AF1930&lt;W1930,"SIM","NÃO")</f>
        <v>NÃO</v>
      </c>
      <c r="AJ1930" s="37" t="n">
        <v>13</v>
      </c>
      <c r="AK1930" s="37" t="n">
        <v>10</v>
      </c>
      <c r="AL1930" s="37" t="s">
        <v>343</v>
      </c>
      <c r="AM1930" s="39" t="n">
        <v>195.31</v>
      </c>
    </row>
    <row r="1931" customFormat="false" ht="15" hidden="false" customHeight="false" outlineLevel="0" collapsed="false">
      <c r="A1931" s="37" t="n">
        <v>396818595</v>
      </c>
      <c r="B1931" s="38" t="n">
        <v>46284.6461689815</v>
      </c>
      <c r="C1931" s="37" t="s">
        <v>340</v>
      </c>
      <c r="D1931" s="37" t="s">
        <v>2081</v>
      </c>
      <c r="E1931" s="37" t="n">
        <v>25730204</v>
      </c>
      <c r="F1931" s="37" t="s">
        <v>170</v>
      </c>
      <c r="G1931" s="37" t="s">
        <v>198</v>
      </c>
      <c r="H1931" s="37" t="s">
        <v>184</v>
      </c>
      <c r="I1931" s="37" t="n">
        <v>34.4</v>
      </c>
      <c r="J1931" s="39" t="n">
        <v>499.98</v>
      </c>
      <c r="K1931" s="37" t="s">
        <v>342</v>
      </c>
      <c r="L1931" s="39" t="n">
        <v>109.58</v>
      </c>
      <c r="M1931" s="39" t="n">
        <v>65.63</v>
      </c>
      <c r="N1931" s="39" t="n">
        <f aca="false">J1931*Resumo!$C$6</f>
        <v>0</v>
      </c>
      <c r="O1931" s="39" t="n">
        <f aca="false">J1931*Resumo!$C$7</f>
        <v>1.049958</v>
      </c>
      <c r="P1931" s="39" t="n">
        <f aca="false">J1931*Resumo!$C$8</f>
        <v>1.049958</v>
      </c>
      <c r="Q1931" s="39" t="n">
        <f aca="false">Resumo!$C$10*CEILING(I1931/100,1)</f>
        <v>1.05</v>
      </c>
      <c r="R1931" s="39" t="n">
        <f aca="false">Resumo!$C$9</f>
        <v>0</v>
      </c>
      <c r="S1931" s="39" t="n">
        <f aca="false">Resumo!$C$13</f>
        <v>13.55</v>
      </c>
      <c r="T1931" s="39" t="n">
        <f aca="false">Resumo!$C$14*CEILING(I1931,1)</f>
        <v>15.75</v>
      </c>
      <c r="U1931" s="39" t="n">
        <f aca="false">SUM(M1931:T1931)*Resumo!$C$11</f>
        <v>0</v>
      </c>
      <c r="V1931" s="39" t="n">
        <f aca="false">SUM(M1931:U1931)</f>
        <v>98.079916</v>
      </c>
      <c r="W1931" s="39" t="n">
        <f aca="false">V1931/(1-Resumo!$C$5)</f>
        <v>111.45445</v>
      </c>
      <c r="X1931" s="39" t="n">
        <v>108.83</v>
      </c>
      <c r="Y1931" s="39" t="n">
        <f aca="false">J1931*Resumo!$B$6</f>
        <v>0.49998</v>
      </c>
      <c r="Z1931" s="39" t="n">
        <f aca="false">J1931*Resumo!$B$7</f>
        <v>0.99996</v>
      </c>
      <c r="AA1931" s="39" t="n">
        <f aca="false">Resumo!$B$9</f>
        <v>1</v>
      </c>
      <c r="AB1931" s="39" t="n">
        <f aca="false">Resumo!$B$10*CEILING(I1931/100,1)</f>
        <v>4.5</v>
      </c>
      <c r="AC1931" s="39" t="n">
        <f aca="false">Resumo!$B$12*CEILING(I1931,1)</f>
        <v>2.1</v>
      </c>
      <c r="AD1931" s="39" t="n">
        <f aca="false">Resumo!$B$14*CEILING(I1931,1)</f>
        <v>15.75</v>
      </c>
      <c r="AE1931" s="39" t="n">
        <f aca="false">SUM(X1931:AD1931)</f>
        <v>133.67994</v>
      </c>
      <c r="AF1931" s="39" t="n">
        <f aca="false">AE1931/(1-Resumo!$B$5)</f>
        <v>151.909022727273</v>
      </c>
      <c r="AG1931" s="39" t="n">
        <f aca="false">AF1931-W1931</f>
        <v>40.4545727272727</v>
      </c>
      <c r="AH1931" s="40" t="n">
        <f aca="false">AF1931/W1931-1</f>
        <v>0.36296956045517</v>
      </c>
      <c r="AI1931" s="37" t="str">
        <f aca="false">IF(AF1931&lt;W1931,"SIM","NÃO")</f>
        <v>NÃO</v>
      </c>
      <c r="AJ1931" s="37" t="n">
        <v>13</v>
      </c>
      <c r="AK1931" s="37" t="n">
        <v>8</v>
      </c>
      <c r="AL1931" s="37" t="s">
        <v>343</v>
      </c>
      <c r="AM1931" s="39" t="n">
        <v>109.58</v>
      </c>
    </row>
    <row r="1932" customFormat="false" ht="15" hidden="false" customHeight="false" outlineLevel="0" collapsed="false">
      <c r="A1932" s="37" t="n">
        <v>396833311</v>
      </c>
      <c r="B1932" s="38" t="n">
        <v>46284.6650115741</v>
      </c>
      <c r="C1932" s="37" t="s">
        <v>345</v>
      </c>
      <c r="D1932" s="37" t="s">
        <v>541</v>
      </c>
      <c r="E1932" s="37" t="n">
        <v>21911310</v>
      </c>
      <c r="F1932" s="37" t="s">
        <v>159</v>
      </c>
      <c r="G1932" s="37" t="s">
        <v>196</v>
      </c>
      <c r="H1932" s="37" t="s">
        <v>186</v>
      </c>
      <c r="I1932" s="37" t="n">
        <v>48</v>
      </c>
      <c r="J1932" s="39" t="n">
        <v>828.99</v>
      </c>
      <c r="K1932" s="37" t="s">
        <v>342</v>
      </c>
      <c r="L1932" s="39" t="n">
        <v>104.57</v>
      </c>
      <c r="M1932" s="39" t="n">
        <v>53.55</v>
      </c>
      <c r="N1932" s="39" t="n">
        <f aca="false">J1932*Resumo!$C$6</f>
        <v>0</v>
      </c>
      <c r="O1932" s="39" t="n">
        <f aca="false">J1932*Resumo!$C$7</f>
        <v>1.740879</v>
      </c>
      <c r="P1932" s="39" t="n">
        <f aca="false">J1932*Resumo!$C$8</f>
        <v>1.740879</v>
      </c>
      <c r="Q1932" s="39" t="n">
        <f aca="false">Resumo!$C$10*CEILING(I1932/100,1)</f>
        <v>1.05</v>
      </c>
      <c r="R1932" s="39" t="n">
        <f aca="false">Resumo!$C$9</f>
        <v>0</v>
      </c>
      <c r="S1932" s="39" t="n">
        <f aca="false">Resumo!$C$13</f>
        <v>13.55</v>
      </c>
      <c r="T1932" s="39" t="n">
        <f aca="false">Resumo!$C$14*CEILING(I1932,1)</f>
        <v>21.6</v>
      </c>
      <c r="U1932" s="39" t="n">
        <f aca="false">SUM(M1932:T1932)*Resumo!$C$11</f>
        <v>0</v>
      </c>
      <c r="V1932" s="39" t="n">
        <f aca="false">SUM(M1932:U1932)</f>
        <v>93.231758</v>
      </c>
      <c r="W1932" s="39" t="n">
        <f aca="false">V1932/(1-Resumo!$C$5)</f>
        <v>105.945179545455</v>
      </c>
      <c r="X1932" s="39" t="n">
        <v>93.97</v>
      </c>
      <c r="Y1932" s="39" t="n">
        <f aca="false">J1932*Resumo!$B$6</f>
        <v>0.82899</v>
      </c>
      <c r="Z1932" s="39" t="n">
        <f aca="false">J1932*Resumo!$B$7</f>
        <v>1.65798</v>
      </c>
      <c r="AA1932" s="39" t="n">
        <f aca="false">Resumo!$B$9</f>
        <v>1</v>
      </c>
      <c r="AB1932" s="39" t="n">
        <f aca="false">Resumo!$B$10*CEILING(I1932/100,1)</f>
        <v>4.5</v>
      </c>
      <c r="AC1932" s="39" t="n">
        <f aca="false">Resumo!$B$12*CEILING(I1932,1)</f>
        <v>2.88</v>
      </c>
      <c r="AD1932" s="39" t="n">
        <f aca="false">Resumo!$B$14*CEILING(I1932,1)</f>
        <v>21.6</v>
      </c>
      <c r="AE1932" s="39" t="n">
        <f aca="false">SUM(X1932:AD1932)</f>
        <v>126.43697</v>
      </c>
      <c r="AF1932" s="39" t="n">
        <f aca="false">AE1932/(1-Resumo!$B$5)</f>
        <v>143.678375</v>
      </c>
      <c r="AG1932" s="39" t="n">
        <f aca="false">AF1932-W1932</f>
        <v>37.7331954545455</v>
      </c>
      <c r="AH1932" s="40" t="n">
        <f aca="false">AF1932/W1932-1</f>
        <v>0.356157737581222</v>
      </c>
      <c r="AI1932" s="37" t="str">
        <f aca="false">IF(AF1932&lt;W1932,"SIM","NÃO")</f>
        <v>NÃO</v>
      </c>
      <c r="AJ1932" s="37" t="n">
        <v>2</v>
      </c>
      <c r="AK1932" s="37" t="n">
        <v>5</v>
      </c>
      <c r="AL1932" s="37" t="s">
        <v>343</v>
      </c>
      <c r="AM1932" s="39" t="n">
        <v>104.56</v>
      </c>
    </row>
    <row r="1933" customFormat="false" ht="15" hidden="false" customHeight="false" outlineLevel="0" collapsed="false">
      <c r="A1933" s="37" t="n">
        <v>396859541</v>
      </c>
      <c r="B1933" s="38" t="n">
        <v>46284.6867708333</v>
      </c>
      <c r="C1933" s="37" t="s">
        <v>537</v>
      </c>
      <c r="D1933" s="37" t="s">
        <v>2082</v>
      </c>
      <c r="E1933" s="37" t="n">
        <v>21320080</v>
      </c>
      <c r="F1933" s="37" t="s">
        <v>159</v>
      </c>
      <c r="G1933" s="37" t="s">
        <v>196</v>
      </c>
      <c r="H1933" s="37" t="s">
        <v>185</v>
      </c>
      <c r="I1933" s="37" t="n">
        <v>37.2</v>
      </c>
      <c r="J1933" s="39" t="n">
        <v>419.99</v>
      </c>
      <c r="K1933" s="37" t="s">
        <v>342</v>
      </c>
      <c r="L1933" s="39" t="n">
        <v>91.86</v>
      </c>
      <c r="M1933" s="39" t="n">
        <v>48.35</v>
      </c>
      <c r="N1933" s="39" t="n">
        <f aca="false">J1933*Resumo!$C$6</f>
        <v>0</v>
      </c>
      <c r="O1933" s="39" t="n">
        <f aca="false">J1933*Resumo!$C$7</f>
        <v>0.881979</v>
      </c>
      <c r="P1933" s="39" t="n">
        <f aca="false">J1933*Resumo!$C$8</f>
        <v>0.881979</v>
      </c>
      <c r="Q1933" s="39" t="n">
        <f aca="false">Resumo!$C$10*CEILING(I1933/100,1)</f>
        <v>1.05</v>
      </c>
      <c r="R1933" s="39" t="n">
        <f aca="false">Resumo!$C$9</f>
        <v>0</v>
      </c>
      <c r="S1933" s="39" t="n">
        <f aca="false">Resumo!$C$13</f>
        <v>13.55</v>
      </c>
      <c r="T1933" s="39" t="n">
        <f aca="false">Resumo!$C$14*CEILING(I1933,1)</f>
        <v>17.1</v>
      </c>
      <c r="U1933" s="39" t="n">
        <f aca="false">SUM(M1933:T1933)*Resumo!$C$11</f>
        <v>0</v>
      </c>
      <c r="V1933" s="39" t="n">
        <f aca="false">SUM(M1933:U1933)</f>
        <v>81.813958</v>
      </c>
      <c r="W1933" s="39" t="n">
        <f aca="false">V1933/(1-Resumo!$C$5)</f>
        <v>92.9704068181818</v>
      </c>
      <c r="X1933" s="39" t="n">
        <v>93.97</v>
      </c>
      <c r="Y1933" s="39" t="n">
        <f aca="false">J1933*Resumo!$B$6</f>
        <v>0.41999</v>
      </c>
      <c r="Z1933" s="39" t="n">
        <f aca="false">J1933*Resumo!$B$7</f>
        <v>0.83998</v>
      </c>
      <c r="AA1933" s="39" t="n">
        <f aca="false">Resumo!$B$9</f>
        <v>1</v>
      </c>
      <c r="AB1933" s="39" t="n">
        <f aca="false">Resumo!$B$10*CEILING(I1933/100,1)</f>
        <v>4.5</v>
      </c>
      <c r="AC1933" s="39" t="n">
        <f aca="false">Resumo!$B$12*CEILING(I1933,1)</f>
        <v>2.28</v>
      </c>
      <c r="AD1933" s="39" t="n">
        <f aca="false">Resumo!$B$14*CEILING(I1933,1)</f>
        <v>17.1</v>
      </c>
      <c r="AE1933" s="39" t="n">
        <f aca="false">SUM(X1933:AD1933)</f>
        <v>120.10997</v>
      </c>
      <c r="AF1933" s="39" t="n">
        <f aca="false">AE1933/(1-Resumo!$B$5)</f>
        <v>136.488602272727</v>
      </c>
      <c r="AG1933" s="39" t="n">
        <f aca="false">AF1933-W1933</f>
        <v>43.5181954545454</v>
      </c>
      <c r="AH1933" s="40" t="n">
        <f aca="false">AF1933/W1933-1</f>
        <v>0.468086533596138</v>
      </c>
      <c r="AI1933" s="37" t="str">
        <f aca="false">IF(AF1933&lt;W1933,"SIM","NÃO")</f>
        <v>NÃO</v>
      </c>
      <c r="AJ1933" s="37" t="n">
        <v>2</v>
      </c>
      <c r="AK1933" s="37" t="n">
        <v>5</v>
      </c>
      <c r="AL1933" s="37" t="s">
        <v>343</v>
      </c>
      <c r="AM1933" s="39" t="n">
        <v>91.87</v>
      </c>
    </row>
    <row r="1934" customFormat="false" ht="15" hidden="false" customHeight="false" outlineLevel="0" collapsed="false">
      <c r="A1934" s="37" t="n">
        <v>396849252</v>
      </c>
      <c r="B1934" s="38" t="n">
        <v>46284.6896412037</v>
      </c>
      <c r="C1934" s="37" t="s">
        <v>345</v>
      </c>
      <c r="D1934" s="37" t="s">
        <v>1481</v>
      </c>
      <c r="E1934" s="37" t="n">
        <v>21815340</v>
      </c>
      <c r="F1934" s="37" t="s">
        <v>159</v>
      </c>
      <c r="G1934" s="37" t="s">
        <v>196</v>
      </c>
      <c r="H1934" s="37" t="s">
        <v>184</v>
      </c>
      <c r="I1934" s="37" t="n">
        <v>21.75</v>
      </c>
      <c r="J1934" s="39" t="n">
        <v>285</v>
      </c>
      <c r="K1934" s="37" t="s">
        <v>342</v>
      </c>
      <c r="L1934" s="39" t="n">
        <v>81.69</v>
      </c>
      <c r="M1934" s="39" t="n">
        <v>42.11</v>
      </c>
      <c r="N1934" s="39" t="n">
        <f aca="false">J1934*Resumo!$C$6</f>
        <v>0</v>
      </c>
      <c r="O1934" s="39" t="n">
        <f aca="false">J1934*Resumo!$C$7</f>
        <v>0.5985</v>
      </c>
      <c r="P1934" s="39" t="n">
        <f aca="false">J1934*Resumo!$C$8</f>
        <v>0.5985</v>
      </c>
      <c r="Q1934" s="39" t="n">
        <f aca="false">Resumo!$C$10*CEILING(I1934/100,1)</f>
        <v>1.05</v>
      </c>
      <c r="R1934" s="39" t="n">
        <f aca="false">Resumo!$C$9</f>
        <v>0</v>
      </c>
      <c r="S1934" s="39" t="n">
        <f aca="false">Resumo!$C$13</f>
        <v>13.55</v>
      </c>
      <c r="T1934" s="39" t="n">
        <f aca="false">Resumo!$C$14*CEILING(I1934,1)</f>
        <v>9.9</v>
      </c>
      <c r="U1934" s="39" t="n">
        <f aca="false">SUM(M1934:T1934)*Resumo!$C$11</f>
        <v>0</v>
      </c>
      <c r="V1934" s="39" t="n">
        <f aca="false">SUM(M1934:U1934)</f>
        <v>67.807</v>
      </c>
      <c r="W1934" s="39" t="n">
        <f aca="false">V1934/(1-Resumo!$C$5)</f>
        <v>77.0534090909091</v>
      </c>
      <c r="X1934" s="39" t="n">
        <v>82.21</v>
      </c>
      <c r="Y1934" s="39" t="n">
        <f aca="false">J1934*Resumo!$B$6</f>
        <v>0.285</v>
      </c>
      <c r="Z1934" s="39" t="n">
        <f aca="false">J1934*Resumo!$B$7</f>
        <v>0.57</v>
      </c>
      <c r="AA1934" s="39" t="n">
        <f aca="false">Resumo!$B$9</f>
        <v>1</v>
      </c>
      <c r="AB1934" s="39" t="n">
        <f aca="false">Resumo!$B$10*CEILING(I1934/100,1)</f>
        <v>4.5</v>
      </c>
      <c r="AC1934" s="39" t="n">
        <f aca="false">Resumo!$B$12*CEILING(I1934,1)</f>
        <v>1.32</v>
      </c>
      <c r="AD1934" s="39" t="n">
        <f aca="false">Resumo!$B$14*CEILING(I1934,1)</f>
        <v>9.9</v>
      </c>
      <c r="AE1934" s="39" t="n">
        <f aca="false">SUM(X1934:AD1934)</f>
        <v>99.785</v>
      </c>
      <c r="AF1934" s="39" t="n">
        <f aca="false">AE1934/(1-Resumo!$B$5)</f>
        <v>113.392045454545</v>
      </c>
      <c r="AG1934" s="39" t="n">
        <f aca="false">AF1934-W1934</f>
        <v>36.3386363636364</v>
      </c>
      <c r="AH1934" s="40" t="n">
        <f aca="false">AF1934/W1934-1</f>
        <v>0.471603226805492</v>
      </c>
      <c r="AI1934" s="37" t="str">
        <f aca="false">IF(AF1934&lt;W1934,"SIM","NÃO")</f>
        <v>NÃO</v>
      </c>
      <c r="AJ1934" s="37" t="n">
        <v>2</v>
      </c>
      <c r="AK1934" s="37" t="n">
        <v>5</v>
      </c>
      <c r="AL1934" s="37" t="s">
        <v>343</v>
      </c>
      <c r="AM1934" s="39" t="n">
        <v>81.69</v>
      </c>
    </row>
    <row r="1935" customFormat="false" ht="15" hidden="false" customHeight="false" outlineLevel="0" collapsed="false">
      <c r="A1935" s="37" t="n">
        <v>396854941</v>
      </c>
      <c r="B1935" s="38" t="n">
        <v>46284.6992939815</v>
      </c>
      <c r="C1935" s="37" t="s">
        <v>345</v>
      </c>
      <c r="D1935" s="37" t="s">
        <v>2083</v>
      </c>
      <c r="E1935" s="37" t="n">
        <v>24736050</v>
      </c>
      <c r="F1935" s="37" t="s">
        <v>160</v>
      </c>
      <c r="G1935" s="37" t="s">
        <v>197</v>
      </c>
      <c r="H1935" s="37" t="s">
        <v>192</v>
      </c>
      <c r="I1935" s="37" t="n">
        <v>124.2</v>
      </c>
      <c r="J1935" s="39" t="n">
        <v>1526.91</v>
      </c>
      <c r="K1935" s="37" t="s">
        <v>342</v>
      </c>
      <c r="L1935" s="39" t="n">
        <v>243.91</v>
      </c>
      <c r="M1935" s="39" t="n">
        <v>129.62</v>
      </c>
      <c r="N1935" s="39" t="n">
        <f aca="false">J1935*Resumo!$C$6</f>
        <v>0</v>
      </c>
      <c r="O1935" s="39" t="n">
        <f aca="false">J1935*Resumo!$C$7</f>
        <v>3.206511</v>
      </c>
      <c r="P1935" s="39" t="n">
        <f aca="false">J1935*Resumo!$C$8</f>
        <v>3.206511</v>
      </c>
      <c r="Q1935" s="39" t="n">
        <f aca="false">Resumo!$C$10*CEILING(I1935/100,1)</f>
        <v>2.1</v>
      </c>
      <c r="R1935" s="39" t="n">
        <f aca="false">Resumo!$C$9</f>
        <v>0</v>
      </c>
      <c r="S1935" s="39" t="n">
        <f aca="false">Resumo!$C$13</f>
        <v>13.55</v>
      </c>
      <c r="T1935" s="39" t="n">
        <f aca="false">Resumo!$C$14*CEILING(I1935,1)</f>
        <v>56.25</v>
      </c>
      <c r="U1935" s="39" t="n">
        <f aca="false">SUM(M1935:T1935)*Resumo!$C$11</f>
        <v>0</v>
      </c>
      <c r="V1935" s="39" t="n">
        <f aca="false">SUM(M1935:U1935)</f>
        <v>207.933022</v>
      </c>
      <c r="W1935" s="39" t="n">
        <f aca="false">V1935/(1-Resumo!$C$5)</f>
        <v>236.287525</v>
      </c>
      <c r="X1935" s="39" t="n">
        <v>249.03</v>
      </c>
      <c r="Y1935" s="39" t="n">
        <f aca="false">J1935*Resumo!$B$6</f>
        <v>1.52691</v>
      </c>
      <c r="Z1935" s="39" t="n">
        <f aca="false">J1935*Resumo!$B$7</f>
        <v>3.05382</v>
      </c>
      <c r="AA1935" s="39" t="n">
        <f aca="false">Resumo!$B$9</f>
        <v>1</v>
      </c>
      <c r="AB1935" s="39" t="n">
        <f aca="false">Resumo!$B$10*CEILING(I1935/100,1)</f>
        <v>9</v>
      </c>
      <c r="AC1935" s="39" t="n">
        <f aca="false">Resumo!$B$12*CEILING(I1935,1)</f>
        <v>7.5</v>
      </c>
      <c r="AD1935" s="39" t="n">
        <f aca="false">Resumo!$B$14*CEILING(I1935,1)</f>
        <v>56.25</v>
      </c>
      <c r="AE1935" s="39" t="n">
        <f aca="false">SUM(X1935:AD1935)</f>
        <v>327.36073</v>
      </c>
      <c r="AF1935" s="39" t="n">
        <f aca="false">AE1935/(1-Resumo!$B$5)</f>
        <v>372.000829545455</v>
      </c>
      <c r="AG1935" s="39" t="n">
        <f aca="false">AF1935-W1935</f>
        <v>135.713304545455</v>
      </c>
      <c r="AH1935" s="40" t="n">
        <f aca="false">AF1935/W1935-1</f>
        <v>0.574356621431684</v>
      </c>
      <c r="AI1935" s="37" t="str">
        <f aca="false">IF(AF1935&lt;W1935,"SIM","NÃO")</f>
        <v>NÃO</v>
      </c>
      <c r="AJ1935" s="37" t="n">
        <v>2</v>
      </c>
      <c r="AK1935" s="37" t="n">
        <v>7</v>
      </c>
      <c r="AL1935" s="37" t="s">
        <v>343</v>
      </c>
      <c r="AM1935" s="39" t="n">
        <v>243.92</v>
      </c>
    </row>
    <row r="1936" customFormat="false" ht="15" hidden="false" customHeight="false" outlineLevel="0" collapsed="false">
      <c r="A1936" s="37" t="n">
        <v>396884792</v>
      </c>
      <c r="B1936" s="38" t="n">
        <v>46284.753900463</v>
      </c>
      <c r="C1936" s="37" t="s">
        <v>340</v>
      </c>
      <c r="D1936" s="37" t="s">
        <v>2084</v>
      </c>
      <c r="E1936" s="37" t="n">
        <v>21853470</v>
      </c>
      <c r="F1936" s="37" t="s">
        <v>159</v>
      </c>
      <c r="G1936" s="37" t="s">
        <v>196</v>
      </c>
      <c r="H1936" s="37" t="s">
        <v>188</v>
      </c>
      <c r="I1936" s="37" t="n">
        <v>66.8</v>
      </c>
      <c r="J1936" s="39" t="n">
        <v>719.99</v>
      </c>
      <c r="K1936" s="37" t="s">
        <v>342</v>
      </c>
      <c r="L1936" s="39" t="n">
        <v>124.66</v>
      </c>
      <c r="M1936" s="39" t="n">
        <v>63.21</v>
      </c>
      <c r="N1936" s="39" t="n">
        <f aca="false">J1936*Resumo!$C$6</f>
        <v>0</v>
      </c>
      <c r="O1936" s="39" t="n">
        <f aca="false">J1936*Resumo!$C$7</f>
        <v>1.511979</v>
      </c>
      <c r="P1936" s="39" t="n">
        <f aca="false">J1936*Resumo!$C$8</f>
        <v>1.511979</v>
      </c>
      <c r="Q1936" s="39" t="n">
        <f aca="false">Resumo!$C$10*CEILING(I1936/100,1)</f>
        <v>1.05</v>
      </c>
      <c r="R1936" s="39" t="n">
        <f aca="false">Resumo!$C$9</f>
        <v>0</v>
      </c>
      <c r="S1936" s="39" t="n">
        <f aca="false">Resumo!$C$13</f>
        <v>13.55</v>
      </c>
      <c r="T1936" s="39" t="n">
        <f aca="false">Resumo!$C$14*CEILING(I1936,1)</f>
        <v>30.15</v>
      </c>
      <c r="U1936" s="39" t="n">
        <f aca="false">SUM(M1936:T1936)*Resumo!$C$11</f>
        <v>0</v>
      </c>
      <c r="V1936" s="39" t="n">
        <f aca="false">SUM(M1936:U1936)</f>
        <v>110.983958</v>
      </c>
      <c r="W1936" s="39" t="n">
        <f aca="false">V1936/(1-Resumo!$C$5)</f>
        <v>126.118134090909</v>
      </c>
      <c r="X1936" s="39" t="n">
        <v>131.02</v>
      </c>
      <c r="Y1936" s="39" t="n">
        <f aca="false">J1936*Resumo!$B$6</f>
        <v>0.71999</v>
      </c>
      <c r="Z1936" s="39" t="n">
        <f aca="false">J1936*Resumo!$B$7</f>
        <v>1.43998</v>
      </c>
      <c r="AA1936" s="39" t="n">
        <f aca="false">Resumo!$B$9</f>
        <v>1</v>
      </c>
      <c r="AB1936" s="39" t="n">
        <f aca="false">Resumo!$B$10*CEILING(I1936/100,1)</f>
        <v>4.5</v>
      </c>
      <c r="AC1936" s="39" t="n">
        <f aca="false">Resumo!$B$12*CEILING(I1936,1)</f>
        <v>4.02</v>
      </c>
      <c r="AD1936" s="39" t="n">
        <f aca="false">Resumo!$B$14*CEILING(I1936,1)</f>
        <v>30.15</v>
      </c>
      <c r="AE1936" s="39" t="n">
        <f aca="false">SUM(X1936:AD1936)</f>
        <v>172.84997</v>
      </c>
      <c r="AF1936" s="39" t="n">
        <f aca="false">AE1936/(1-Resumo!$B$5)</f>
        <v>196.420420454545</v>
      </c>
      <c r="AG1936" s="39" t="n">
        <f aca="false">AF1936-W1936</f>
        <v>70.3022863636364</v>
      </c>
      <c r="AH1936" s="40" t="n">
        <f aca="false">AF1936/W1936-1</f>
        <v>0.557432020941261</v>
      </c>
      <c r="AI1936" s="37" t="str">
        <f aca="false">IF(AF1936&lt;W1936,"SIM","NÃO")</f>
        <v>NÃO</v>
      </c>
      <c r="AJ1936" s="37" t="n">
        <v>2</v>
      </c>
      <c r="AK1936" s="37" t="n">
        <v>5</v>
      </c>
      <c r="AL1936" s="37" t="s">
        <v>343</v>
      </c>
      <c r="AM1936" s="39" t="n">
        <v>124.66</v>
      </c>
    </row>
    <row r="1937" customFormat="false" ht="15" hidden="false" customHeight="false" outlineLevel="0" collapsed="false">
      <c r="A1937" s="37" t="n">
        <v>396908178</v>
      </c>
      <c r="B1937" s="38" t="n">
        <v>46284.7961226852</v>
      </c>
      <c r="C1937" s="37" t="s">
        <v>340</v>
      </c>
      <c r="D1937" s="37" t="s">
        <v>2085</v>
      </c>
      <c r="E1937" s="37" t="n">
        <v>20745220</v>
      </c>
      <c r="F1937" s="37" t="s">
        <v>159</v>
      </c>
      <c r="G1937" s="37" t="s">
        <v>196</v>
      </c>
      <c r="H1937" s="37" t="s">
        <v>188</v>
      </c>
      <c r="I1937" s="37" t="n">
        <v>68.7</v>
      </c>
      <c r="J1937" s="39" t="n">
        <v>749.99</v>
      </c>
      <c r="K1937" s="37" t="s">
        <v>342</v>
      </c>
      <c r="L1937" s="39" t="n">
        <v>124.81</v>
      </c>
      <c r="M1937" s="39" t="n">
        <v>63.21</v>
      </c>
      <c r="N1937" s="39" t="n">
        <f aca="false">J1937*Resumo!$C$6</f>
        <v>0</v>
      </c>
      <c r="O1937" s="39" t="n">
        <f aca="false">J1937*Resumo!$C$7</f>
        <v>1.574979</v>
      </c>
      <c r="P1937" s="39" t="n">
        <f aca="false">J1937*Resumo!$C$8</f>
        <v>1.574979</v>
      </c>
      <c r="Q1937" s="39" t="n">
        <f aca="false">Resumo!$C$10*CEILING(I1937/100,1)</f>
        <v>1.05</v>
      </c>
      <c r="R1937" s="39" t="n">
        <f aca="false">Resumo!$C$9</f>
        <v>0</v>
      </c>
      <c r="S1937" s="39" t="n">
        <f aca="false">Resumo!$C$13</f>
        <v>13.55</v>
      </c>
      <c r="T1937" s="39" t="n">
        <f aca="false">Resumo!$C$14*CEILING(I1937,1)</f>
        <v>31.05</v>
      </c>
      <c r="U1937" s="39" t="n">
        <f aca="false">SUM(M1937:T1937)*Resumo!$C$11</f>
        <v>0</v>
      </c>
      <c r="V1937" s="39" t="n">
        <f aca="false">SUM(M1937:U1937)</f>
        <v>112.009958</v>
      </c>
      <c r="W1937" s="39" t="n">
        <f aca="false">V1937/(1-Resumo!$C$5)</f>
        <v>127.284043181818</v>
      </c>
      <c r="X1937" s="39" t="n">
        <v>131.02</v>
      </c>
      <c r="Y1937" s="39" t="n">
        <f aca="false">J1937*Resumo!$B$6</f>
        <v>0.74999</v>
      </c>
      <c r="Z1937" s="39" t="n">
        <f aca="false">J1937*Resumo!$B$7</f>
        <v>1.49998</v>
      </c>
      <c r="AA1937" s="39" t="n">
        <f aca="false">Resumo!$B$9</f>
        <v>1</v>
      </c>
      <c r="AB1937" s="39" t="n">
        <f aca="false">Resumo!$B$10*CEILING(I1937/100,1)</f>
        <v>4.5</v>
      </c>
      <c r="AC1937" s="39" t="n">
        <f aca="false">Resumo!$B$12*CEILING(I1937,1)</f>
        <v>4.14</v>
      </c>
      <c r="AD1937" s="39" t="n">
        <f aca="false">Resumo!$B$14*CEILING(I1937,1)</f>
        <v>31.05</v>
      </c>
      <c r="AE1937" s="39" t="n">
        <f aca="false">SUM(X1937:AD1937)</f>
        <v>173.95997</v>
      </c>
      <c r="AF1937" s="39" t="n">
        <f aca="false">AE1937/(1-Resumo!$B$5)</f>
        <v>197.681784090909</v>
      </c>
      <c r="AG1937" s="39" t="n">
        <f aca="false">AF1937-W1937</f>
        <v>70.397740909091</v>
      </c>
      <c r="AH1937" s="40" t="n">
        <f aca="false">AF1937/W1937-1</f>
        <v>0.553075932766621</v>
      </c>
      <c r="AI1937" s="37" t="str">
        <f aca="false">IF(AF1937&lt;W1937,"SIM","NÃO")</f>
        <v>NÃO</v>
      </c>
      <c r="AJ1937" s="37" t="n">
        <v>2</v>
      </c>
      <c r="AK1937" s="37" t="n">
        <v>5</v>
      </c>
      <c r="AL1937" s="37" t="s">
        <v>343</v>
      </c>
      <c r="AM1937" s="39" t="n">
        <v>124.8</v>
      </c>
    </row>
    <row r="1938" customFormat="false" ht="15" hidden="false" customHeight="false" outlineLevel="0" collapsed="false">
      <c r="A1938" s="37" t="n">
        <v>396923130</v>
      </c>
      <c r="B1938" s="38" t="n">
        <v>46284.8237152778</v>
      </c>
      <c r="C1938" s="37" t="s">
        <v>345</v>
      </c>
      <c r="D1938" s="37" t="s">
        <v>2086</v>
      </c>
      <c r="E1938" s="37" t="n">
        <v>24900798</v>
      </c>
      <c r="F1938" s="37" t="s">
        <v>171</v>
      </c>
      <c r="G1938" s="37" t="s">
        <v>198</v>
      </c>
      <c r="H1938" s="37" t="s">
        <v>184</v>
      </c>
      <c r="I1938" s="37" t="n">
        <v>33</v>
      </c>
      <c r="J1938" s="39" t="n">
        <v>458.3</v>
      </c>
      <c r="K1938" s="37" t="s">
        <v>342</v>
      </c>
      <c r="L1938" s="39" t="n">
        <v>109.39</v>
      </c>
      <c r="M1938" s="39" t="n">
        <v>65.63</v>
      </c>
      <c r="N1938" s="39" t="n">
        <f aca="false">J1938*Resumo!$C$6</f>
        <v>0</v>
      </c>
      <c r="O1938" s="39" t="n">
        <f aca="false">J1938*Resumo!$C$7</f>
        <v>0.96243</v>
      </c>
      <c r="P1938" s="39" t="n">
        <f aca="false">J1938*Resumo!$C$8</f>
        <v>0.96243</v>
      </c>
      <c r="Q1938" s="39" t="n">
        <f aca="false">Resumo!$C$10*CEILING(I1938/100,1)</f>
        <v>1.05</v>
      </c>
      <c r="R1938" s="39" t="n">
        <f aca="false">Resumo!$C$9</f>
        <v>0</v>
      </c>
      <c r="S1938" s="39" t="n">
        <f aca="false">Resumo!$C$13</f>
        <v>13.55</v>
      </c>
      <c r="T1938" s="39" t="n">
        <f aca="false">Resumo!$C$14*CEILING(I1938,1)</f>
        <v>14.85</v>
      </c>
      <c r="U1938" s="39" t="n">
        <f aca="false">SUM(M1938:T1938)*Resumo!$C$11</f>
        <v>0</v>
      </c>
      <c r="V1938" s="39" t="n">
        <f aca="false">SUM(M1938:U1938)</f>
        <v>97.00486</v>
      </c>
      <c r="W1938" s="39" t="n">
        <f aca="false">V1938/(1-Resumo!$C$5)</f>
        <v>110.232795454545</v>
      </c>
      <c r="X1938" s="39" t="n">
        <v>100.58</v>
      </c>
      <c r="Y1938" s="39" t="n">
        <f aca="false">J1938*Resumo!$B$6</f>
        <v>0.4583</v>
      </c>
      <c r="Z1938" s="39" t="n">
        <f aca="false">J1938*Resumo!$B$7</f>
        <v>0.9166</v>
      </c>
      <c r="AA1938" s="39" t="n">
        <f aca="false">Resumo!$B$9</f>
        <v>1</v>
      </c>
      <c r="AB1938" s="39" t="n">
        <f aca="false">Resumo!$B$10*CEILING(I1938/100,1)</f>
        <v>4.5</v>
      </c>
      <c r="AC1938" s="39" t="n">
        <f aca="false">Resumo!$B$12*CEILING(I1938,1)</f>
        <v>1.98</v>
      </c>
      <c r="AD1938" s="39" t="n">
        <f aca="false">Resumo!$B$14*CEILING(I1938,1)</f>
        <v>14.85</v>
      </c>
      <c r="AE1938" s="39" t="n">
        <f aca="false">SUM(X1938:AD1938)</f>
        <v>124.2849</v>
      </c>
      <c r="AF1938" s="39" t="n">
        <f aca="false">AE1938/(1-Resumo!$B$5)</f>
        <v>141.232840909091</v>
      </c>
      <c r="AG1938" s="39" t="n">
        <f aca="false">AF1938-W1938</f>
        <v>31.0000454545454</v>
      </c>
      <c r="AH1938" s="40" t="n">
        <f aca="false">AF1938/W1938-1</f>
        <v>0.281223435609309</v>
      </c>
      <c r="AI1938" s="37" t="str">
        <f aca="false">IF(AF1938&lt;W1938,"SIM","NÃO")</f>
        <v>NÃO</v>
      </c>
      <c r="AJ1938" s="37" t="n">
        <v>13</v>
      </c>
      <c r="AK1938" s="37" t="n">
        <v>7</v>
      </c>
      <c r="AL1938" s="37" t="s">
        <v>343</v>
      </c>
      <c r="AM1938" s="39" t="n">
        <v>109.38</v>
      </c>
    </row>
    <row r="1939" customFormat="false" ht="15" hidden="false" customHeight="false" outlineLevel="0" collapsed="false">
      <c r="A1939" s="37" t="n">
        <v>396929050</v>
      </c>
      <c r="B1939" s="38" t="n">
        <v>46284.834837963</v>
      </c>
      <c r="C1939" s="37" t="s">
        <v>340</v>
      </c>
      <c r="D1939" s="37" t="s">
        <v>2087</v>
      </c>
      <c r="E1939" s="37" t="n">
        <v>28143000</v>
      </c>
      <c r="F1939" s="37" t="s">
        <v>164</v>
      </c>
      <c r="G1939" s="37" t="s">
        <v>198</v>
      </c>
      <c r="H1939" s="37" t="s">
        <v>188</v>
      </c>
      <c r="I1939" s="37" t="n">
        <v>61.4</v>
      </c>
      <c r="J1939" s="39" t="n">
        <v>999.99</v>
      </c>
      <c r="K1939" s="37" t="s">
        <v>342</v>
      </c>
      <c r="L1939" s="39" t="n">
        <v>156.81</v>
      </c>
      <c r="M1939" s="39" t="n">
        <v>90.2</v>
      </c>
      <c r="N1939" s="39" t="n">
        <f aca="false">J1939*Resumo!$C$6</f>
        <v>0</v>
      </c>
      <c r="O1939" s="39" t="n">
        <f aca="false">J1939*Resumo!$C$7</f>
        <v>2.099979</v>
      </c>
      <c r="P1939" s="39" t="n">
        <f aca="false">J1939*Resumo!$C$8</f>
        <v>2.099979</v>
      </c>
      <c r="Q1939" s="39" t="n">
        <f aca="false">Resumo!$C$10*CEILING(I1939/100,1)</f>
        <v>1.05</v>
      </c>
      <c r="R1939" s="39" t="n">
        <f aca="false">Resumo!$C$9</f>
        <v>0</v>
      </c>
      <c r="S1939" s="39" t="n">
        <f aca="false">Resumo!$C$13</f>
        <v>13.55</v>
      </c>
      <c r="T1939" s="39" t="n">
        <f aca="false">Resumo!$C$14*CEILING(I1939,1)</f>
        <v>27.9</v>
      </c>
      <c r="U1939" s="39" t="n">
        <f aca="false">SUM(M1939:T1939)*Resumo!$C$11</f>
        <v>0</v>
      </c>
      <c r="V1939" s="39" t="n">
        <f aca="false">SUM(M1939:U1939)</f>
        <v>136.899958</v>
      </c>
      <c r="W1939" s="39" t="n">
        <f aca="false">V1939/(1-Resumo!$C$5)</f>
        <v>155.568134090909</v>
      </c>
      <c r="X1939" s="39" t="n">
        <v>171.54</v>
      </c>
      <c r="Y1939" s="39" t="n">
        <f aca="false">J1939*Resumo!$B$6</f>
        <v>0.99999</v>
      </c>
      <c r="Z1939" s="39" t="n">
        <f aca="false">J1939*Resumo!$B$7</f>
        <v>1.99998</v>
      </c>
      <c r="AA1939" s="39" t="n">
        <f aca="false">Resumo!$B$9</f>
        <v>1</v>
      </c>
      <c r="AB1939" s="39" t="n">
        <f aca="false">Resumo!$B$10*CEILING(I1939/100,1)</f>
        <v>4.5</v>
      </c>
      <c r="AC1939" s="39" t="n">
        <f aca="false">Resumo!$B$12*CEILING(I1939,1)</f>
        <v>3.72</v>
      </c>
      <c r="AD1939" s="39" t="n">
        <f aca="false">Resumo!$B$14*CEILING(I1939,1)</f>
        <v>27.9</v>
      </c>
      <c r="AE1939" s="39" t="n">
        <f aca="false">SUM(X1939:AD1939)</f>
        <v>211.65997</v>
      </c>
      <c r="AF1939" s="39" t="n">
        <f aca="false">AE1939/(1-Resumo!$B$5)</f>
        <v>240.522693181818</v>
      </c>
      <c r="AG1939" s="39" t="n">
        <f aca="false">AF1939-W1939</f>
        <v>84.9545590909091</v>
      </c>
      <c r="AH1939" s="40" t="n">
        <f aca="false">AF1939/W1939-1</f>
        <v>0.546092293176598</v>
      </c>
      <c r="AI1939" s="37" t="str">
        <f aca="false">IF(AF1939&lt;W1939,"SIM","NÃO")</f>
        <v>NÃO</v>
      </c>
      <c r="AJ1939" s="37" t="n">
        <v>13</v>
      </c>
      <c r="AK1939" s="37" t="n">
        <v>11</v>
      </c>
      <c r="AL1939" s="37" t="s">
        <v>343</v>
      </c>
      <c r="AM1939" s="39" t="n">
        <v>156.81</v>
      </c>
    </row>
    <row r="1940" customFormat="false" ht="15" hidden="false" customHeight="false" outlineLevel="0" collapsed="false">
      <c r="A1940" s="37" t="n">
        <v>396944457</v>
      </c>
      <c r="B1940" s="38" t="n">
        <v>46284.8609953704</v>
      </c>
      <c r="C1940" s="37" t="s">
        <v>372</v>
      </c>
      <c r="D1940" s="37" t="s">
        <v>2088</v>
      </c>
      <c r="E1940" s="37" t="n">
        <v>23050200</v>
      </c>
      <c r="F1940" s="37" t="s">
        <v>159</v>
      </c>
      <c r="G1940" s="37" t="s">
        <v>196</v>
      </c>
      <c r="H1940" s="37" t="s">
        <v>185</v>
      </c>
      <c r="I1940" s="37" t="n">
        <v>36.8</v>
      </c>
      <c r="J1940" s="39" t="n">
        <v>467.49</v>
      </c>
      <c r="K1940" s="37" t="s">
        <v>342</v>
      </c>
      <c r="L1940" s="39" t="n">
        <v>92.08</v>
      </c>
      <c r="M1940" s="39" t="n">
        <v>48.35</v>
      </c>
      <c r="N1940" s="39" t="n">
        <f aca="false">J1940*Resumo!$C$6</f>
        <v>0</v>
      </c>
      <c r="O1940" s="39" t="n">
        <f aca="false">J1940*Resumo!$C$7</f>
        <v>0.981729</v>
      </c>
      <c r="P1940" s="39" t="n">
        <f aca="false">J1940*Resumo!$C$8</f>
        <v>0.981729</v>
      </c>
      <c r="Q1940" s="39" t="n">
        <f aca="false">Resumo!$C$10*CEILING(I1940/100,1)</f>
        <v>1.05</v>
      </c>
      <c r="R1940" s="39" t="n">
        <f aca="false">Resumo!$C$9</f>
        <v>0</v>
      </c>
      <c r="S1940" s="39" t="n">
        <f aca="false">Resumo!$C$13</f>
        <v>13.55</v>
      </c>
      <c r="T1940" s="39" t="n">
        <f aca="false">Resumo!$C$14*CEILING(I1940,1)</f>
        <v>16.65</v>
      </c>
      <c r="U1940" s="39" t="n">
        <f aca="false">SUM(M1940:T1940)*Resumo!$C$11</f>
        <v>0</v>
      </c>
      <c r="V1940" s="39" t="n">
        <f aca="false">SUM(M1940:U1940)</f>
        <v>81.563458</v>
      </c>
      <c r="W1940" s="39" t="n">
        <f aca="false">V1940/(1-Resumo!$C$5)</f>
        <v>92.6857477272727</v>
      </c>
      <c r="X1940" s="39" t="n">
        <v>93.97</v>
      </c>
      <c r="Y1940" s="39" t="n">
        <f aca="false">J1940*Resumo!$B$6</f>
        <v>0.46749</v>
      </c>
      <c r="Z1940" s="39" t="n">
        <f aca="false">J1940*Resumo!$B$7</f>
        <v>0.93498</v>
      </c>
      <c r="AA1940" s="39" t="n">
        <f aca="false">Resumo!$B$9</f>
        <v>1</v>
      </c>
      <c r="AB1940" s="39" t="n">
        <f aca="false">Resumo!$B$10*CEILING(I1940/100,1)</f>
        <v>4.5</v>
      </c>
      <c r="AC1940" s="39" t="n">
        <f aca="false">Resumo!$B$12*CEILING(I1940,1)</f>
        <v>2.22</v>
      </c>
      <c r="AD1940" s="39" t="n">
        <f aca="false">Resumo!$B$14*CEILING(I1940,1)</f>
        <v>16.65</v>
      </c>
      <c r="AE1940" s="39" t="n">
        <f aca="false">SUM(X1940:AD1940)</f>
        <v>119.74247</v>
      </c>
      <c r="AF1940" s="39" t="n">
        <f aca="false">AE1940/(1-Resumo!$B$5)</f>
        <v>136.070988636364</v>
      </c>
      <c r="AG1940" s="39" t="n">
        <f aca="false">AF1940-W1940</f>
        <v>43.3852409090909</v>
      </c>
      <c r="AH1940" s="40" t="n">
        <f aca="false">AF1940/W1940-1</f>
        <v>0.468089668292386</v>
      </c>
      <c r="AI1940" s="37" t="str">
        <f aca="false">IF(AF1940&lt;W1940,"SIM","NÃO")</f>
        <v>NÃO</v>
      </c>
      <c r="AJ1940" s="37" t="n">
        <v>2</v>
      </c>
      <c r="AK1940" s="37" t="n">
        <v>5</v>
      </c>
      <c r="AL1940" s="37" t="s">
        <v>343</v>
      </c>
      <c r="AM1940" s="39" t="n">
        <v>92.1</v>
      </c>
    </row>
    <row r="1941" customFormat="false" ht="15" hidden="false" customHeight="false" outlineLevel="0" collapsed="false">
      <c r="A1941" s="37" t="n">
        <v>396951842</v>
      </c>
      <c r="B1941" s="38" t="n">
        <v>46284.8726736111</v>
      </c>
      <c r="C1941" s="37" t="s">
        <v>340</v>
      </c>
      <c r="D1941" s="37" t="s">
        <v>785</v>
      </c>
      <c r="E1941" s="37" t="n">
        <v>23520286</v>
      </c>
      <c r="F1941" s="37" t="s">
        <v>159</v>
      </c>
      <c r="G1941" s="37" t="s">
        <v>196</v>
      </c>
      <c r="H1941" s="37" t="s">
        <v>185</v>
      </c>
      <c r="I1941" s="37" t="n">
        <v>37.6</v>
      </c>
      <c r="J1941" s="39" t="n">
        <v>459.99</v>
      </c>
      <c r="K1941" s="37" t="s">
        <v>342</v>
      </c>
      <c r="L1941" s="39" t="n">
        <v>92.06</v>
      </c>
      <c r="M1941" s="39" t="n">
        <v>48.35</v>
      </c>
      <c r="N1941" s="39" t="n">
        <f aca="false">J1941*Resumo!$C$6</f>
        <v>0</v>
      </c>
      <c r="O1941" s="39" t="n">
        <f aca="false">J1941*Resumo!$C$7</f>
        <v>0.965979</v>
      </c>
      <c r="P1941" s="39" t="n">
        <f aca="false">J1941*Resumo!$C$8</f>
        <v>0.965979</v>
      </c>
      <c r="Q1941" s="39" t="n">
        <f aca="false">Resumo!$C$10*CEILING(I1941/100,1)</f>
        <v>1.05</v>
      </c>
      <c r="R1941" s="39" t="n">
        <f aca="false">Resumo!$C$9</f>
        <v>0</v>
      </c>
      <c r="S1941" s="39" t="n">
        <f aca="false">Resumo!$C$13</f>
        <v>13.55</v>
      </c>
      <c r="T1941" s="39" t="n">
        <f aca="false">Resumo!$C$14*CEILING(I1941,1)</f>
        <v>17.1</v>
      </c>
      <c r="U1941" s="39" t="n">
        <f aca="false">SUM(M1941:T1941)*Resumo!$C$11</f>
        <v>0</v>
      </c>
      <c r="V1941" s="39" t="n">
        <f aca="false">SUM(M1941:U1941)</f>
        <v>81.981958</v>
      </c>
      <c r="W1941" s="39" t="n">
        <f aca="false">V1941/(1-Resumo!$C$5)</f>
        <v>93.1613159090909</v>
      </c>
      <c r="X1941" s="39" t="n">
        <v>93.97</v>
      </c>
      <c r="Y1941" s="39" t="n">
        <f aca="false">J1941*Resumo!$B$6</f>
        <v>0.45999</v>
      </c>
      <c r="Z1941" s="39" t="n">
        <f aca="false">J1941*Resumo!$B$7</f>
        <v>0.91998</v>
      </c>
      <c r="AA1941" s="39" t="n">
        <f aca="false">Resumo!$B$9</f>
        <v>1</v>
      </c>
      <c r="AB1941" s="39" t="n">
        <f aca="false">Resumo!$B$10*CEILING(I1941/100,1)</f>
        <v>4.5</v>
      </c>
      <c r="AC1941" s="39" t="n">
        <f aca="false">Resumo!$B$12*CEILING(I1941,1)</f>
        <v>2.28</v>
      </c>
      <c r="AD1941" s="39" t="n">
        <f aca="false">Resumo!$B$14*CEILING(I1941,1)</f>
        <v>17.1</v>
      </c>
      <c r="AE1941" s="39" t="n">
        <f aca="false">SUM(X1941:AD1941)</f>
        <v>120.22997</v>
      </c>
      <c r="AF1941" s="39" t="n">
        <f aca="false">AE1941/(1-Resumo!$B$5)</f>
        <v>136.624965909091</v>
      </c>
      <c r="AG1941" s="39" t="n">
        <f aca="false">AF1941-W1941</f>
        <v>43.46365</v>
      </c>
      <c r="AH1941" s="40" t="n">
        <f aca="false">AF1941/W1941-1</f>
        <v>0.466541821311465</v>
      </c>
      <c r="AI1941" s="37" t="str">
        <f aca="false">IF(AF1941&lt;W1941,"SIM","NÃO")</f>
        <v>NÃO</v>
      </c>
      <c r="AJ1941" s="37" t="n">
        <v>2</v>
      </c>
      <c r="AK1941" s="37" t="n">
        <v>5</v>
      </c>
      <c r="AL1941" s="37" t="s">
        <v>343</v>
      </c>
      <c r="AM1941" s="39" t="n">
        <v>92.06</v>
      </c>
    </row>
    <row r="1942" customFormat="false" ht="15" hidden="false" customHeight="false" outlineLevel="0" collapsed="false">
      <c r="A1942" s="37" t="n">
        <v>396951868</v>
      </c>
      <c r="B1942" s="38" t="n">
        <v>46284.8726736111</v>
      </c>
      <c r="C1942" s="37" t="s">
        <v>340</v>
      </c>
      <c r="D1942" s="37" t="s">
        <v>785</v>
      </c>
      <c r="E1942" s="37" t="n">
        <v>23520286</v>
      </c>
      <c r="F1942" s="37" t="s">
        <v>159</v>
      </c>
      <c r="G1942" s="37" t="s">
        <v>196</v>
      </c>
      <c r="H1942" s="37" t="s">
        <v>184</v>
      </c>
      <c r="I1942" s="37" t="n">
        <v>31.4</v>
      </c>
      <c r="J1942" s="39" t="n">
        <v>399.95</v>
      </c>
      <c r="K1942" s="37" t="s">
        <v>342</v>
      </c>
      <c r="L1942" s="39" t="n">
        <v>82.24</v>
      </c>
      <c r="M1942" s="39" t="n">
        <v>42.11</v>
      </c>
      <c r="N1942" s="39" t="n">
        <f aca="false">J1942*Resumo!$C$6</f>
        <v>0</v>
      </c>
      <c r="O1942" s="39" t="n">
        <f aca="false">J1942*Resumo!$C$7</f>
        <v>0.839895</v>
      </c>
      <c r="P1942" s="39" t="n">
        <f aca="false">J1942*Resumo!$C$8</f>
        <v>0.839895</v>
      </c>
      <c r="Q1942" s="39" t="n">
        <f aca="false">Resumo!$C$10*CEILING(I1942/100,1)</f>
        <v>1.05</v>
      </c>
      <c r="R1942" s="39" t="n">
        <f aca="false">Resumo!$C$9</f>
        <v>0</v>
      </c>
      <c r="S1942" s="39" t="n">
        <f aca="false">Resumo!$C$13</f>
        <v>13.55</v>
      </c>
      <c r="T1942" s="39" t="n">
        <f aca="false">Resumo!$C$14*CEILING(I1942,1)</f>
        <v>14.4</v>
      </c>
      <c r="U1942" s="39" t="n">
        <f aca="false">SUM(M1942:T1942)*Resumo!$C$11</f>
        <v>0</v>
      </c>
      <c r="V1942" s="39" t="n">
        <f aca="false">SUM(M1942:U1942)</f>
        <v>72.78979</v>
      </c>
      <c r="W1942" s="39" t="n">
        <f aca="false">V1942/(1-Resumo!$C$5)</f>
        <v>82.7156704545455</v>
      </c>
      <c r="X1942" s="39" t="n">
        <v>82.21</v>
      </c>
      <c r="Y1942" s="39" t="n">
        <f aca="false">J1942*Resumo!$B$6</f>
        <v>0.39995</v>
      </c>
      <c r="Z1942" s="39" t="n">
        <f aca="false">J1942*Resumo!$B$7</f>
        <v>0.7999</v>
      </c>
      <c r="AA1942" s="39" t="n">
        <f aca="false">Resumo!$B$9</f>
        <v>1</v>
      </c>
      <c r="AB1942" s="39" t="n">
        <f aca="false">Resumo!$B$10*CEILING(I1942/100,1)</f>
        <v>4.5</v>
      </c>
      <c r="AC1942" s="39" t="n">
        <f aca="false">Resumo!$B$12*CEILING(I1942,1)</f>
        <v>1.92</v>
      </c>
      <c r="AD1942" s="39" t="n">
        <f aca="false">Resumo!$B$14*CEILING(I1942,1)</f>
        <v>14.4</v>
      </c>
      <c r="AE1942" s="39" t="n">
        <f aca="false">SUM(X1942:AD1942)</f>
        <v>105.22985</v>
      </c>
      <c r="AF1942" s="39" t="n">
        <f aca="false">AE1942/(1-Resumo!$B$5)</f>
        <v>119.579375</v>
      </c>
      <c r="AG1942" s="39" t="n">
        <f aca="false">AF1942-W1942</f>
        <v>36.8637045454546</v>
      </c>
      <c r="AH1942" s="40" t="n">
        <f aca="false">AF1942/W1942-1</f>
        <v>0.445667723454072</v>
      </c>
      <c r="AI1942" s="37" t="str">
        <f aca="false">IF(AF1942&lt;W1942,"SIM","NÃO")</f>
        <v>NÃO</v>
      </c>
      <c r="AJ1942" s="37" t="n">
        <v>2</v>
      </c>
      <c r="AK1942" s="37" t="n">
        <v>5</v>
      </c>
      <c r="AL1942" s="37" t="s">
        <v>343</v>
      </c>
      <c r="AM1942" s="39" t="n">
        <v>82.24</v>
      </c>
    </row>
    <row r="1943" customFormat="false" ht="15" hidden="false" customHeight="false" outlineLevel="0" collapsed="false">
      <c r="A1943" s="37" t="n">
        <v>396965036</v>
      </c>
      <c r="B1943" s="38" t="n">
        <v>46284.8932523148</v>
      </c>
      <c r="C1943" s="37" t="s">
        <v>340</v>
      </c>
      <c r="D1943" s="37" t="s">
        <v>2089</v>
      </c>
      <c r="E1943" s="37" t="n">
        <v>25808360</v>
      </c>
      <c r="F1943" s="37" t="s">
        <v>228</v>
      </c>
      <c r="G1943" s="37" t="s">
        <v>198</v>
      </c>
      <c r="H1943" s="37" t="s">
        <v>185</v>
      </c>
      <c r="I1943" s="37" t="n">
        <v>37.2</v>
      </c>
      <c r="J1943" s="39" t="n">
        <v>366.5</v>
      </c>
      <c r="K1943" s="37" t="s">
        <v>342</v>
      </c>
      <c r="L1943" s="39" t="n">
        <v>122</v>
      </c>
      <c r="M1943" s="39" t="n">
        <v>74.97</v>
      </c>
      <c r="N1943" s="39" t="n">
        <f aca="false">J1943*Resumo!$C$6</f>
        <v>0</v>
      </c>
      <c r="O1943" s="39" t="n">
        <f aca="false">J1943*Resumo!$C$7</f>
        <v>0.76965</v>
      </c>
      <c r="P1943" s="39" t="n">
        <f aca="false">J1943*Resumo!$C$8</f>
        <v>0.76965</v>
      </c>
      <c r="Q1943" s="39" t="n">
        <f aca="false">Resumo!$C$10*CEILING(I1943/100,1)</f>
        <v>1.05</v>
      </c>
      <c r="R1943" s="39" t="n">
        <f aca="false">Resumo!$C$9</f>
        <v>0</v>
      </c>
      <c r="S1943" s="39" t="n">
        <f aca="false">Resumo!$C$13</f>
        <v>13.55</v>
      </c>
      <c r="T1943" s="39" t="n">
        <f aca="false">Resumo!$C$14*CEILING(I1943,1)</f>
        <v>17.1</v>
      </c>
      <c r="U1943" s="39" t="n">
        <f aca="false">SUM(M1943:T1943)*Resumo!$C$11</f>
        <v>0</v>
      </c>
      <c r="V1943" s="39" t="n">
        <f aca="false">SUM(M1943:U1943)</f>
        <v>108.2093</v>
      </c>
      <c r="W1943" s="39" t="n">
        <f aca="false">V1943/(1-Resumo!$C$5)</f>
        <v>122.965113636364</v>
      </c>
      <c r="X1943" s="39" t="n">
        <v>124.38</v>
      </c>
      <c r="Y1943" s="39" t="n">
        <f aca="false">J1943*Resumo!$B$6</f>
        <v>0.3665</v>
      </c>
      <c r="Z1943" s="39" t="n">
        <f aca="false">J1943*Resumo!$B$7</f>
        <v>0.733</v>
      </c>
      <c r="AA1943" s="39" t="n">
        <f aca="false">Resumo!$B$9</f>
        <v>1</v>
      </c>
      <c r="AB1943" s="39" t="n">
        <f aca="false">Resumo!$B$10*CEILING(I1943/100,1)</f>
        <v>4.5</v>
      </c>
      <c r="AC1943" s="39" t="n">
        <f aca="false">Resumo!$B$12*CEILING(I1943,1)</f>
        <v>2.28</v>
      </c>
      <c r="AD1943" s="39" t="n">
        <f aca="false">Resumo!$B$14*CEILING(I1943,1)</f>
        <v>17.1</v>
      </c>
      <c r="AE1943" s="39" t="n">
        <f aca="false">SUM(X1943:AD1943)</f>
        <v>150.3595</v>
      </c>
      <c r="AF1943" s="39" t="n">
        <f aca="false">AE1943/(1-Resumo!$B$5)</f>
        <v>170.863068181818</v>
      </c>
      <c r="AG1943" s="39" t="n">
        <f aca="false">AF1943-W1943</f>
        <v>47.8979545454545</v>
      </c>
      <c r="AH1943" s="40" t="n">
        <f aca="false">AF1943/W1943-1</f>
        <v>0.389524745100467</v>
      </c>
      <c r="AI1943" s="37" t="str">
        <f aca="false">IF(AF1943&lt;W1943,"SIM","NÃO")</f>
        <v>NÃO</v>
      </c>
      <c r="AJ1943" s="37" t="n">
        <v>13</v>
      </c>
      <c r="AK1943" s="37" t="n">
        <v>8</v>
      </c>
      <c r="AL1943" s="37" t="s">
        <v>347</v>
      </c>
      <c r="AM1943" s="39" t="n">
        <v>122</v>
      </c>
    </row>
    <row r="1944" customFormat="false" ht="15" hidden="false" customHeight="false" outlineLevel="0" collapsed="false">
      <c r="A1944" s="37" t="n">
        <v>396972606</v>
      </c>
      <c r="B1944" s="38" t="n">
        <v>46284.9047569444</v>
      </c>
      <c r="C1944" s="37" t="s">
        <v>340</v>
      </c>
      <c r="D1944" s="37" t="s">
        <v>2090</v>
      </c>
      <c r="E1944" s="37" t="n">
        <v>23570020</v>
      </c>
      <c r="F1944" s="37" t="s">
        <v>159</v>
      </c>
      <c r="G1944" s="37" t="s">
        <v>196</v>
      </c>
      <c r="H1944" s="37" t="s">
        <v>186</v>
      </c>
      <c r="I1944" s="37" t="n">
        <v>49.6</v>
      </c>
      <c r="J1944" s="39" t="n">
        <v>769.99</v>
      </c>
      <c r="K1944" s="37" t="s">
        <v>342</v>
      </c>
      <c r="L1944" s="39" t="n">
        <v>104.27</v>
      </c>
      <c r="M1944" s="39" t="n">
        <v>53.55</v>
      </c>
      <c r="N1944" s="39" t="n">
        <f aca="false">J1944*Resumo!$C$6</f>
        <v>0</v>
      </c>
      <c r="O1944" s="39" t="n">
        <f aca="false">J1944*Resumo!$C$7</f>
        <v>1.616979</v>
      </c>
      <c r="P1944" s="39" t="n">
        <f aca="false">J1944*Resumo!$C$8</f>
        <v>1.616979</v>
      </c>
      <c r="Q1944" s="39" t="n">
        <f aca="false">Resumo!$C$10*CEILING(I1944/100,1)</f>
        <v>1.05</v>
      </c>
      <c r="R1944" s="39" t="n">
        <f aca="false">Resumo!$C$9</f>
        <v>0</v>
      </c>
      <c r="S1944" s="39" t="n">
        <f aca="false">Resumo!$C$13</f>
        <v>13.55</v>
      </c>
      <c r="T1944" s="39" t="n">
        <f aca="false">Resumo!$C$14*CEILING(I1944,1)</f>
        <v>22.5</v>
      </c>
      <c r="U1944" s="39" t="n">
        <f aca="false">SUM(M1944:T1944)*Resumo!$C$11</f>
        <v>0</v>
      </c>
      <c r="V1944" s="39" t="n">
        <f aca="false">SUM(M1944:U1944)</f>
        <v>93.883958</v>
      </c>
      <c r="W1944" s="39" t="n">
        <f aca="false">V1944/(1-Resumo!$C$5)</f>
        <v>106.686315909091</v>
      </c>
      <c r="X1944" s="39" t="n">
        <v>93.97</v>
      </c>
      <c r="Y1944" s="39" t="n">
        <f aca="false">J1944*Resumo!$B$6</f>
        <v>0.76999</v>
      </c>
      <c r="Z1944" s="39" t="n">
        <f aca="false">J1944*Resumo!$B$7</f>
        <v>1.53998</v>
      </c>
      <c r="AA1944" s="39" t="n">
        <f aca="false">Resumo!$B$9</f>
        <v>1</v>
      </c>
      <c r="AB1944" s="39" t="n">
        <f aca="false">Resumo!$B$10*CEILING(I1944/100,1)</f>
        <v>4.5</v>
      </c>
      <c r="AC1944" s="39" t="n">
        <f aca="false">Resumo!$B$12*CEILING(I1944,1)</f>
        <v>3</v>
      </c>
      <c r="AD1944" s="39" t="n">
        <f aca="false">Resumo!$B$14*CEILING(I1944,1)</f>
        <v>22.5</v>
      </c>
      <c r="AE1944" s="39" t="n">
        <f aca="false">SUM(X1944:AD1944)</f>
        <v>127.27997</v>
      </c>
      <c r="AF1944" s="39" t="n">
        <f aca="false">AE1944/(1-Resumo!$B$5)</f>
        <v>144.636329545455</v>
      </c>
      <c r="AG1944" s="39" t="n">
        <f aca="false">AF1944-W1944</f>
        <v>37.9500136363637</v>
      </c>
      <c r="AH1944" s="40" t="n">
        <f aca="false">AF1944/W1944-1</f>
        <v>0.355715850837904</v>
      </c>
      <c r="AI1944" s="37" t="str">
        <f aca="false">IF(AF1944&lt;W1944,"SIM","NÃO")</f>
        <v>NÃO</v>
      </c>
      <c r="AJ1944" s="37" t="n">
        <v>2</v>
      </c>
      <c r="AK1944" s="37" t="n">
        <v>5</v>
      </c>
      <c r="AL1944" s="37" t="s">
        <v>343</v>
      </c>
      <c r="AM1944" s="39" t="n">
        <v>104.28</v>
      </c>
    </row>
    <row r="1945" customFormat="false" ht="15" hidden="false" customHeight="false" outlineLevel="0" collapsed="false">
      <c r="A1945" s="37" t="n">
        <v>397035999</v>
      </c>
      <c r="B1945" s="38" t="n">
        <v>46285.0417476852</v>
      </c>
      <c r="C1945" s="37" t="s">
        <v>340</v>
      </c>
      <c r="D1945" s="37" t="s">
        <v>1895</v>
      </c>
      <c r="E1945" s="37" t="n">
        <v>21645521</v>
      </c>
      <c r="F1945" s="37" t="s">
        <v>159</v>
      </c>
      <c r="G1945" s="37" t="s">
        <v>196</v>
      </c>
      <c r="H1945" s="37" t="s">
        <v>185</v>
      </c>
      <c r="I1945" s="37" t="n">
        <v>37.2</v>
      </c>
      <c r="J1945" s="39" t="n">
        <v>366.5</v>
      </c>
      <c r="K1945" s="37" t="s">
        <v>342</v>
      </c>
      <c r="L1945" s="39" t="n">
        <v>91.6</v>
      </c>
      <c r="M1945" s="39" t="n">
        <v>48.35</v>
      </c>
      <c r="N1945" s="39" t="n">
        <f aca="false">J1945*Resumo!$C$6</f>
        <v>0</v>
      </c>
      <c r="O1945" s="39" t="n">
        <f aca="false">J1945*Resumo!$C$7</f>
        <v>0.76965</v>
      </c>
      <c r="P1945" s="39" t="n">
        <f aca="false">J1945*Resumo!$C$8</f>
        <v>0.76965</v>
      </c>
      <c r="Q1945" s="39" t="n">
        <f aca="false">Resumo!$C$10*CEILING(I1945/100,1)</f>
        <v>1.05</v>
      </c>
      <c r="R1945" s="39" t="n">
        <f aca="false">Resumo!$C$9</f>
        <v>0</v>
      </c>
      <c r="S1945" s="39" t="n">
        <f aca="false">Resumo!$C$13</f>
        <v>13.55</v>
      </c>
      <c r="T1945" s="39" t="n">
        <f aca="false">Resumo!$C$14*CEILING(I1945,1)</f>
        <v>17.1</v>
      </c>
      <c r="U1945" s="39" t="n">
        <f aca="false">SUM(M1945:T1945)*Resumo!$C$11</f>
        <v>0</v>
      </c>
      <c r="V1945" s="39" t="n">
        <f aca="false">SUM(M1945:U1945)</f>
        <v>81.5893</v>
      </c>
      <c r="W1945" s="39" t="n">
        <f aca="false">V1945/(1-Resumo!$C$5)</f>
        <v>92.7151136363636</v>
      </c>
      <c r="X1945" s="39" t="n">
        <v>93.97</v>
      </c>
      <c r="Y1945" s="39" t="n">
        <f aca="false">J1945*Resumo!$B$6</f>
        <v>0.3665</v>
      </c>
      <c r="Z1945" s="39" t="n">
        <f aca="false">J1945*Resumo!$B$7</f>
        <v>0.733</v>
      </c>
      <c r="AA1945" s="39" t="n">
        <f aca="false">Resumo!$B$9</f>
        <v>1</v>
      </c>
      <c r="AB1945" s="39" t="n">
        <f aca="false">Resumo!$B$10*CEILING(I1945/100,1)</f>
        <v>4.5</v>
      </c>
      <c r="AC1945" s="39" t="n">
        <f aca="false">Resumo!$B$12*CEILING(I1945,1)</f>
        <v>2.28</v>
      </c>
      <c r="AD1945" s="39" t="n">
        <f aca="false">Resumo!$B$14*CEILING(I1945,1)</f>
        <v>17.1</v>
      </c>
      <c r="AE1945" s="39" t="n">
        <f aca="false">SUM(X1945:AD1945)</f>
        <v>119.9495</v>
      </c>
      <c r="AF1945" s="39" t="n">
        <f aca="false">AE1945/(1-Resumo!$B$5)</f>
        <v>136.30625</v>
      </c>
      <c r="AG1945" s="39" t="n">
        <f aca="false">AF1945-W1945</f>
        <v>43.5911363636364</v>
      </c>
      <c r="AH1945" s="40" t="n">
        <f aca="false">AF1945/W1945-1</f>
        <v>0.470162141359222</v>
      </c>
      <c r="AI1945" s="37" t="str">
        <f aca="false">IF(AF1945&lt;W1945,"SIM","NÃO")</f>
        <v>NÃO</v>
      </c>
      <c r="AJ1945" s="37" t="n">
        <v>2</v>
      </c>
      <c r="AK1945" s="37" t="n">
        <v>5</v>
      </c>
      <c r="AL1945" s="37" t="s">
        <v>343</v>
      </c>
      <c r="AM1945" s="39" t="n">
        <v>91.61</v>
      </c>
    </row>
    <row r="1946" customFormat="false" ht="15" hidden="false" customHeight="false" outlineLevel="0" collapsed="false">
      <c r="A1946" s="37" t="n">
        <v>397085866</v>
      </c>
      <c r="B1946" s="38" t="n">
        <v>46285.1699768519</v>
      </c>
      <c r="C1946" s="37" t="s">
        <v>340</v>
      </c>
      <c r="D1946" s="37" t="s">
        <v>2091</v>
      </c>
      <c r="E1946" s="37" t="n">
        <v>25086540</v>
      </c>
      <c r="F1946" s="37" t="s">
        <v>161</v>
      </c>
      <c r="G1946" s="37" t="s">
        <v>197</v>
      </c>
      <c r="H1946" s="37" t="s">
        <v>186</v>
      </c>
      <c r="I1946" s="37" t="n">
        <v>43.5</v>
      </c>
      <c r="J1946" s="39" t="n">
        <v>662.38</v>
      </c>
      <c r="K1946" s="37" t="s">
        <v>342</v>
      </c>
      <c r="L1946" s="39" t="n">
        <v>117.24</v>
      </c>
      <c r="M1946" s="39" t="n">
        <v>65.36</v>
      </c>
      <c r="N1946" s="39" t="n">
        <f aca="false">J1946*Resumo!$C$6</f>
        <v>0</v>
      </c>
      <c r="O1946" s="39" t="n">
        <f aca="false">J1946*Resumo!$C$7</f>
        <v>1.390998</v>
      </c>
      <c r="P1946" s="39" t="n">
        <f aca="false">J1946*Resumo!$C$8</f>
        <v>1.390998</v>
      </c>
      <c r="Q1946" s="39" t="n">
        <f aca="false">Resumo!$C$10*CEILING(I1946/100,1)</f>
        <v>1.05</v>
      </c>
      <c r="R1946" s="39" t="n">
        <f aca="false">Resumo!$C$9</f>
        <v>0</v>
      </c>
      <c r="S1946" s="39" t="n">
        <f aca="false">Resumo!$C$13</f>
        <v>13.55</v>
      </c>
      <c r="T1946" s="39" t="n">
        <f aca="false">Resumo!$C$14*CEILING(I1946,1)</f>
        <v>19.8</v>
      </c>
      <c r="U1946" s="39" t="n">
        <f aca="false">SUM(M1946:T1946)*Resumo!$C$11</f>
        <v>0</v>
      </c>
      <c r="V1946" s="39" t="n">
        <f aca="false">SUM(M1946:U1946)</f>
        <v>102.541996</v>
      </c>
      <c r="W1946" s="39" t="n">
        <f aca="false">V1946/(1-Resumo!$C$5)</f>
        <v>116.524995454545</v>
      </c>
      <c r="X1946" s="39" t="n">
        <v>93.97</v>
      </c>
      <c r="Y1946" s="39" t="n">
        <f aca="false">J1946*Resumo!$B$6</f>
        <v>0.66238</v>
      </c>
      <c r="Z1946" s="39" t="n">
        <f aca="false">J1946*Resumo!$B$7</f>
        <v>1.32476</v>
      </c>
      <c r="AA1946" s="39" t="n">
        <f aca="false">Resumo!$B$9</f>
        <v>1</v>
      </c>
      <c r="AB1946" s="39" t="n">
        <f aca="false">Resumo!$B$10*CEILING(I1946/100,1)</f>
        <v>4.5</v>
      </c>
      <c r="AC1946" s="39" t="n">
        <f aca="false">Resumo!$B$12*CEILING(I1946,1)</f>
        <v>2.64</v>
      </c>
      <c r="AD1946" s="39" t="n">
        <f aca="false">Resumo!$B$14*CEILING(I1946,1)</f>
        <v>19.8</v>
      </c>
      <c r="AE1946" s="39" t="n">
        <f aca="false">SUM(X1946:AD1946)</f>
        <v>123.89714</v>
      </c>
      <c r="AF1946" s="39" t="n">
        <f aca="false">AE1946/(1-Resumo!$B$5)</f>
        <v>140.792204545455</v>
      </c>
      <c r="AG1946" s="39" t="n">
        <f aca="false">AF1946-W1946</f>
        <v>24.2672090909091</v>
      </c>
      <c r="AH1946" s="40" t="n">
        <f aca="false">AF1946/W1946-1</f>
        <v>0.208257541622264</v>
      </c>
      <c r="AI1946" s="37" t="str">
        <f aca="false">IF(AF1946&lt;W1946,"SIM","NÃO")</f>
        <v>NÃO</v>
      </c>
      <c r="AJ1946" s="37" t="n">
        <v>2</v>
      </c>
      <c r="AK1946" s="37" t="n">
        <v>5</v>
      </c>
      <c r="AL1946" s="37" t="s">
        <v>343</v>
      </c>
      <c r="AM1946" s="39" t="n">
        <v>117.25</v>
      </c>
    </row>
    <row r="1947" customFormat="false" ht="15" hidden="false" customHeight="false" outlineLevel="0" collapsed="false">
      <c r="A1947" s="37" t="n">
        <v>397135916</v>
      </c>
      <c r="B1947" s="38" t="n">
        <v>46285.3014583333</v>
      </c>
      <c r="C1947" s="37" t="s">
        <v>345</v>
      </c>
      <c r="D1947" s="37" t="s">
        <v>2092</v>
      </c>
      <c r="E1947" s="37" t="n">
        <v>20550160</v>
      </c>
      <c r="F1947" s="37" t="s">
        <v>159</v>
      </c>
      <c r="G1947" s="37" t="s">
        <v>196</v>
      </c>
      <c r="H1947" s="37" t="s">
        <v>187</v>
      </c>
      <c r="I1947" s="37" t="n">
        <v>58.5</v>
      </c>
      <c r="J1947" s="39" t="n">
        <v>855.88</v>
      </c>
      <c r="K1947" s="37" t="s">
        <v>342</v>
      </c>
      <c r="L1947" s="39" t="n">
        <v>115.25</v>
      </c>
      <c r="M1947" s="39" t="n">
        <v>58.6</v>
      </c>
      <c r="N1947" s="39" t="n">
        <f aca="false">J1947*Resumo!$C$6</f>
        <v>0</v>
      </c>
      <c r="O1947" s="39" t="n">
        <f aca="false">J1947*Resumo!$C$7</f>
        <v>1.797348</v>
      </c>
      <c r="P1947" s="39" t="n">
        <f aca="false">J1947*Resumo!$C$8</f>
        <v>1.797348</v>
      </c>
      <c r="Q1947" s="39" t="n">
        <f aca="false">Resumo!$C$10*CEILING(I1947/100,1)</f>
        <v>1.05</v>
      </c>
      <c r="R1947" s="39" t="n">
        <f aca="false">Resumo!$C$9</f>
        <v>0</v>
      </c>
      <c r="S1947" s="39" t="n">
        <f aca="false">Resumo!$C$13</f>
        <v>13.55</v>
      </c>
      <c r="T1947" s="39" t="n">
        <f aca="false">Resumo!$C$14*CEILING(I1947,1)</f>
        <v>26.55</v>
      </c>
      <c r="U1947" s="39" t="n">
        <f aca="false">SUM(M1947:T1947)*Resumo!$C$11</f>
        <v>0</v>
      </c>
      <c r="V1947" s="39" t="n">
        <f aca="false">SUM(M1947:U1947)</f>
        <v>103.344696</v>
      </c>
      <c r="W1947" s="39" t="n">
        <f aca="false">V1947/(1-Resumo!$C$5)</f>
        <v>117.437154545455</v>
      </c>
      <c r="X1947" s="39" t="n">
        <v>112.3</v>
      </c>
      <c r="Y1947" s="39" t="n">
        <f aca="false">J1947*Resumo!$B$6</f>
        <v>0.85588</v>
      </c>
      <c r="Z1947" s="39" t="n">
        <f aca="false">J1947*Resumo!$B$7</f>
        <v>1.71176</v>
      </c>
      <c r="AA1947" s="39" t="n">
        <f aca="false">Resumo!$B$9</f>
        <v>1</v>
      </c>
      <c r="AB1947" s="39" t="n">
        <f aca="false">Resumo!$B$10*CEILING(I1947/100,1)</f>
        <v>4.5</v>
      </c>
      <c r="AC1947" s="39" t="n">
        <f aca="false">Resumo!$B$12*CEILING(I1947,1)</f>
        <v>3.54</v>
      </c>
      <c r="AD1947" s="39" t="n">
        <f aca="false">Resumo!$B$14*CEILING(I1947,1)</f>
        <v>26.55</v>
      </c>
      <c r="AE1947" s="39" t="n">
        <f aca="false">SUM(X1947:AD1947)</f>
        <v>150.45764</v>
      </c>
      <c r="AF1947" s="39" t="n">
        <f aca="false">AE1947/(1-Resumo!$B$5)</f>
        <v>170.974590909091</v>
      </c>
      <c r="AG1947" s="39" t="n">
        <f aca="false">AF1947-W1947</f>
        <v>53.5374363636363</v>
      </c>
      <c r="AH1947" s="40" t="n">
        <f aca="false">AF1947/W1947-1</f>
        <v>0.455881586801513</v>
      </c>
      <c r="AI1947" s="37" t="str">
        <f aca="false">IF(AF1947&lt;W1947,"SIM","NÃO")</f>
        <v>NÃO</v>
      </c>
      <c r="AJ1947" s="37" t="n">
        <v>2</v>
      </c>
      <c r="AK1947" s="37" t="n">
        <v>5</v>
      </c>
      <c r="AL1947" s="37" t="s">
        <v>343</v>
      </c>
      <c r="AM1947" s="39" t="n">
        <v>115.25</v>
      </c>
    </row>
    <row r="1948" customFormat="false" ht="15" hidden="false" customHeight="false" outlineLevel="0" collapsed="false">
      <c r="A1948" s="37" t="n">
        <v>397171543</v>
      </c>
      <c r="B1948" s="38" t="n">
        <v>46285.3826851852</v>
      </c>
      <c r="C1948" s="37" t="s">
        <v>345</v>
      </c>
      <c r="D1948" s="37" t="s">
        <v>2093</v>
      </c>
      <c r="E1948" s="37" t="n">
        <v>24431580</v>
      </c>
      <c r="F1948" s="37" t="s">
        <v>160</v>
      </c>
      <c r="G1948" s="37" t="s">
        <v>197</v>
      </c>
      <c r="H1948" s="37" t="s">
        <v>188</v>
      </c>
      <c r="I1948" s="37" t="n">
        <v>66.8</v>
      </c>
      <c r="J1948" s="39" t="n">
        <v>691.9</v>
      </c>
      <c r="K1948" s="37" t="s">
        <v>342</v>
      </c>
      <c r="L1948" s="39" t="n">
        <v>139.74</v>
      </c>
      <c r="M1948" s="39" t="n">
        <v>76.55</v>
      </c>
      <c r="N1948" s="39" t="n">
        <f aca="false">J1948*Resumo!$C$6</f>
        <v>0</v>
      </c>
      <c r="O1948" s="39" t="n">
        <f aca="false">J1948*Resumo!$C$7</f>
        <v>1.45299</v>
      </c>
      <c r="P1948" s="39" t="n">
        <f aca="false">J1948*Resumo!$C$8</f>
        <v>1.45299</v>
      </c>
      <c r="Q1948" s="39" t="n">
        <f aca="false">Resumo!$C$10*CEILING(I1948/100,1)</f>
        <v>1.05</v>
      </c>
      <c r="R1948" s="39" t="n">
        <f aca="false">Resumo!$C$9</f>
        <v>0</v>
      </c>
      <c r="S1948" s="39" t="n">
        <f aca="false">Resumo!$C$13</f>
        <v>13.55</v>
      </c>
      <c r="T1948" s="39" t="n">
        <f aca="false">Resumo!$C$14*CEILING(I1948,1)</f>
        <v>30.15</v>
      </c>
      <c r="U1948" s="39" t="n">
        <f aca="false">SUM(M1948:T1948)*Resumo!$C$11</f>
        <v>0</v>
      </c>
      <c r="V1948" s="39" t="n">
        <f aca="false">SUM(M1948:U1948)</f>
        <v>124.20598</v>
      </c>
      <c r="W1948" s="39" t="n">
        <f aca="false">V1948/(1-Resumo!$C$5)</f>
        <v>141.143159090909</v>
      </c>
      <c r="X1948" s="39" t="n">
        <v>149.5</v>
      </c>
      <c r="Y1948" s="39" t="n">
        <f aca="false">J1948*Resumo!$B$6</f>
        <v>0.6919</v>
      </c>
      <c r="Z1948" s="39" t="n">
        <f aca="false">J1948*Resumo!$B$7</f>
        <v>1.3838</v>
      </c>
      <c r="AA1948" s="39" t="n">
        <f aca="false">Resumo!$B$9</f>
        <v>1</v>
      </c>
      <c r="AB1948" s="39" t="n">
        <f aca="false">Resumo!$B$10*CEILING(I1948/100,1)</f>
        <v>4.5</v>
      </c>
      <c r="AC1948" s="39" t="n">
        <f aca="false">Resumo!$B$12*CEILING(I1948,1)</f>
        <v>4.02</v>
      </c>
      <c r="AD1948" s="39" t="n">
        <f aca="false">Resumo!$B$14*CEILING(I1948,1)</f>
        <v>30.15</v>
      </c>
      <c r="AE1948" s="39" t="n">
        <f aca="false">SUM(X1948:AD1948)</f>
        <v>191.2457</v>
      </c>
      <c r="AF1948" s="39" t="n">
        <f aca="false">AE1948/(1-Resumo!$B$5)</f>
        <v>217.324659090909</v>
      </c>
      <c r="AG1948" s="39" t="n">
        <f aca="false">AF1948-W1948</f>
        <v>76.1815</v>
      </c>
      <c r="AH1948" s="40" t="n">
        <f aca="false">AF1948/W1948-1</f>
        <v>0.539746314951985</v>
      </c>
      <c r="AI1948" s="37" t="str">
        <f aca="false">IF(AF1948&lt;W1948,"SIM","NÃO")</f>
        <v>NÃO</v>
      </c>
      <c r="AJ1948" s="37" t="n">
        <v>2</v>
      </c>
      <c r="AK1948" s="37" t="n">
        <v>7</v>
      </c>
      <c r="AL1948" s="37" t="s">
        <v>343</v>
      </c>
      <c r="AM1948" s="39" t="n">
        <v>139.75</v>
      </c>
    </row>
    <row r="1949" customFormat="false" ht="15" hidden="false" customHeight="false" outlineLevel="0" collapsed="false">
      <c r="A1949" s="37" t="n">
        <v>397204517</v>
      </c>
      <c r="B1949" s="38" t="n">
        <v>46285.442650463</v>
      </c>
      <c r="C1949" s="37" t="s">
        <v>345</v>
      </c>
      <c r="D1949" s="37" t="s">
        <v>1970</v>
      </c>
      <c r="E1949" s="37" t="n">
        <v>23020715</v>
      </c>
      <c r="F1949" s="37" t="s">
        <v>159</v>
      </c>
      <c r="G1949" s="37" t="s">
        <v>196</v>
      </c>
      <c r="H1949" s="37" t="s">
        <v>188</v>
      </c>
      <c r="I1949" s="37" t="n">
        <v>69.15</v>
      </c>
      <c r="J1949" s="39" t="n">
        <v>742.64</v>
      </c>
      <c r="K1949" s="37" t="s">
        <v>342</v>
      </c>
      <c r="L1949" s="39" t="n">
        <v>124.77</v>
      </c>
      <c r="M1949" s="39" t="n">
        <v>63.21</v>
      </c>
      <c r="N1949" s="39" t="n">
        <f aca="false">J1949*Resumo!$C$6</f>
        <v>0</v>
      </c>
      <c r="O1949" s="39" t="n">
        <f aca="false">J1949*Resumo!$C$7</f>
        <v>1.559544</v>
      </c>
      <c r="P1949" s="39" t="n">
        <f aca="false">J1949*Resumo!$C$8</f>
        <v>1.559544</v>
      </c>
      <c r="Q1949" s="39" t="n">
        <f aca="false">Resumo!$C$10*CEILING(I1949/100,1)</f>
        <v>1.05</v>
      </c>
      <c r="R1949" s="39" t="n">
        <f aca="false">Resumo!$C$9</f>
        <v>0</v>
      </c>
      <c r="S1949" s="39" t="n">
        <f aca="false">Resumo!$C$13</f>
        <v>13.55</v>
      </c>
      <c r="T1949" s="39" t="n">
        <f aca="false">Resumo!$C$14*CEILING(I1949,1)</f>
        <v>31.5</v>
      </c>
      <c r="U1949" s="39" t="n">
        <f aca="false">SUM(M1949:T1949)*Resumo!$C$11</f>
        <v>0</v>
      </c>
      <c r="V1949" s="39" t="n">
        <f aca="false">SUM(M1949:U1949)</f>
        <v>112.429088</v>
      </c>
      <c r="W1949" s="39" t="n">
        <f aca="false">V1949/(1-Resumo!$C$5)</f>
        <v>127.760327272727</v>
      </c>
      <c r="X1949" s="39" t="n">
        <v>131.02</v>
      </c>
      <c r="Y1949" s="39" t="n">
        <f aca="false">J1949*Resumo!$B$6</f>
        <v>0.74264</v>
      </c>
      <c r="Z1949" s="39" t="n">
        <f aca="false">J1949*Resumo!$B$7</f>
        <v>1.48528</v>
      </c>
      <c r="AA1949" s="39" t="n">
        <f aca="false">Resumo!$B$9</f>
        <v>1</v>
      </c>
      <c r="AB1949" s="39" t="n">
        <f aca="false">Resumo!$B$10*CEILING(I1949/100,1)</f>
        <v>4.5</v>
      </c>
      <c r="AC1949" s="39" t="n">
        <f aca="false">Resumo!$B$12*CEILING(I1949,1)</f>
        <v>4.2</v>
      </c>
      <c r="AD1949" s="39" t="n">
        <f aca="false">Resumo!$B$14*CEILING(I1949,1)</f>
        <v>31.5</v>
      </c>
      <c r="AE1949" s="39" t="n">
        <f aca="false">SUM(X1949:AD1949)</f>
        <v>174.44792</v>
      </c>
      <c r="AF1949" s="39" t="n">
        <f aca="false">AE1949/(1-Resumo!$B$5)</f>
        <v>198.236272727273</v>
      </c>
      <c r="AG1949" s="39" t="n">
        <f aca="false">AF1949-W1949</f>
        <v>70.4759454545455</v>
      </c>
      <c r="AH1949" s="40" t="n">
        <f aca="false">AF1949/W1949-1</f>
        <v>0.551626212604339</v>
      </c>
      <c r="AI1949" s="37" t="str">
        <f aca="false">IF(AF1949&lt;W1949,"SIM","NÃO")</f>
        <v>NÃO</v>
      </c>
      <c r="AJ1949" s="37" t="n">
        <v>2</v>
      </c>
      <c r="AK1949" s="37" t="n">
        <v>5</v>
      </c>
      <c r="AL1949" s="37" t="s">
        <v>343</v>
      </c>
      <c r="AM1949" s="39" t="n">
        <v>124.77</v>
      </c>
    </row>
    <row r="1950" customFormat="false" ht="15" hidden="false" customHeight="false" outlineLevel="0" collapsed="false">
      <c r="A1950" s="37" t="n">
        <v>397214834</v>
      </c>
      <c r="B1950" s="38" t="n">
        <v>46285.4590972222</v>
      </c>
      <c r="C1950" s="37" t="s">
        <v>340</v>
      </c>
      <c r="D1950" s="37" t="s">
        <v>2094</v>
      </c>
      <c r="E1950" s="37" t="n">
        <v>24472090</v>
      </c>
      <c r="F1950" s="37" t="s">
        <v>160</v>
      </c>
      <c r="G1950" s="37" t="s">
        <v>197</v>
      </c>
      <c r="H1950" s="37" t="s">
        <v>187</v>
      </c>
      <c r="I1950" s="37" t="n">
        <v>60</v>
      </c>
      <c r="J1950" s="39" t="n">
        <v>762.34</v>
      </c>
      <c r="K1950" s="37" t="s">
        <v>342</v>
      </c>
      <c r="L1950" s="39" t="n">
        <v>128.92</v>
      </c>
      <c r="M1950" s="39" t="n">
        <v>70.98</v>
      </c>
      <c r="N1950" s="39" t="n">
        <f aca="false">J1950*Resumo!$C$6</f>
        <v>0</v>
      </c>
      <c r="O1950" s="39" t="n">
        <f aca="false">J1950*Resumo!$C$7</f>
        <v>1.600914</v>
      </c>
      <c r="P1950" s="39" t="n">
        <f aca="false">J1950*Resumo!$C$8</f>
        <v>1.600914</v>
      </c>
      <c r="Q1950" s="39" t="n">
        <f aca="false">Resumo!$C$10*CEILING(I1950/100,1)</f>
        <v>1.05</v>
      </c>
      <c r="R1950" s="39" t="n">
        <f aca="false">Resumo!$C$9</f>
        <v>0</v>
      </c>
      <c r="S1950" s="39" t="n">
        <f aca="false">Resumo!$C$13</f>
        <v>13.55</v>
      </c>
      <c r="T1950" s="39" t="n">
        <f aca="false">Resumo!$C$14*CEILING(I1950,1)</f>
        <v>27</v>
      </c>
      <c r="U1950" s="39" t="n">
        <f aca="false">SUM(M1950:T1950)*Resumo!$C$11</f>
        <v>0</v>
      </c>
      <c r="V1950" s="39" t="n">
        <f aca="false">SUM(M1950:U1950)</f>
        <v>115.781828</v>
      </c>
      <c r="W1950" s="39" t="n">
        <f aca="false">V1950/(1-Resumo!$C$5)</f>
        <v>131.570259090909</v>
      </c>
      <c r="X1950" s="39" t="n">
        <v>128.14</v>
      </c>
      <c r="Y1950" s="39" t="n">
        <f aca="false">J1950*Resumo!$B$6</f>
        <v>0.76234</v>
      </c>
      <c r="Z1950" s="39" t="n">
        <f aca="false">J1950*Resumo!$B$7</f>
        <v>1.52468</v>
      </c>
      <c r="AA1950" s="39" t="n">
        <f aca="false">Resumo!$B$9</f>
        <v>1</v>
      </c>
      <c r="AB1950" s="39" t="n">
        <f aca="false">Resumo!$B$10*CEILING(I1950/100,1)</f>
        <v>4.5</v>
      </c>
      <c r="AC1950" s="39" t="n">
        <f aca="false">Resumo!$B$12*CEILING(I1950,1)</f>
        <v>3.6</v>
      </c>
      <c r="AD1950" s="39" t="n">
        <f aca="false">Resumo!$B$14*CEILING(I1950,1)</f>
        <v>27</v>
      </c>
      <c r="AE1950" s="39" t="n">
        <f aca="false">SUM(X1950:AD1950)</f>
        <v>166.52702</v>
      </c>
      <c r="AF1950" s="39" t="n">
        <f aca="false">AE1950/(1-Resumo!$B$5)</f>
        <v>189.23525</v>
      </c>
      <c r="AG1950" s="39" t="n">
        <f aca="false">AF1950-W1950</f>
        <v>57.6649909090909</v>
      </c>
      <c r="AH1950" s="40" t="n">
        <f aca="false">AF1950/W1950-1</f>
        <v>0.43828287112551</v>
      </c>
      <c r="AI1950" s="37" t="str">
        <f aca="false">IF(AF1950&lt;W1950,"SIM","NÃO")</f>
        <v>NÃO</v>
      </c>
      <c r="AJ1950" s="37" t="n">
        <v>2</v>
      </c>
      <c r="AK1950" s="37" t="n">
        <v>7</v>
      </c>
      <c r="AL1950" s="37" t="s">
        <v>343</v>
      </c>
      <c r="AM1950" s="39" t="n">
        <v>128.94</v>
      </c>
    </row>
    <row r="1951" customFormat="false" ht="15" hidden="false" customHeight="false" outlineLevel="0" collapsed="false">
      <c r="A1951" s="37" t="n">
        <v>397277866</v>
      </c>
      <c r="B1951" s="38" t="n">
        <v>46285.5565046296</v>
      </c>
      <c r="C1951" s="37" t="s">
        <v>340</v>
      </c>
      <c r="D1951" s="37" t="s">
        <v>2095</v>
      </c>
      <c r="E1951" s="37" t="n">
        <v>27258180</v>
      </c>
      <c r="F1951" s="37" t="s">
        <v>168</v>
      </c>
      <c r="G1951" s="37" t="s">
        <v>198</v>
      </c>
      <c r="H1951" s="37" t="s">
        <v>185</v>
      </c>
      <c r="I1951" s="37" t="n">
        <v>40</v>
      </c>
      <c r="J1951" s="39" t="n">
        <v>569.99</v>
      </c>
      <c r="K1951" s="37" t="s">
        <v>342</v>
      </c>
      <c r="L1951" s="39" t="n">
        <v>122.98</v>
      </c>
      <c r="M1951" s="39" t="n">
        <v>74.97</v>
      </c>
      <c r="N1951" s="39" t="n">
        <f aca="false">J1951*Resumo!$C$6</f>
        <v>0</v>
      </c>
      <c r="O1951" s="39" t="n">
        <f aca="false">J1951*Resumo!$C$7</f>
        <v>1.196979</v>
      </c>
      <c r="P1951" s="39" t="n">
        <f aca="false">J1951*Resumo!$C$8</f>
        <v>1.196979</v>
      </c>
      <c r="Q1951" s="39" t="n">
        <f aca="false">Resumo!$C$10*CEILING(I1951/100,1)</f>
        <v>1.05</v>
      </c>
      <c r="R1951" s="39" t="n">
        <f aca="false">Resumo!$C$9</f>
        <v>0</v>
      </c>
      <c r="S1951" s="39" t="n">
        <f aca="false">Resumo!$C$13</f>
        <v>13.55</v>
      </c>
      <c r="T1951" s="39" t="n">
        <f aca="false">Resumo!$C$14*CEILING(I1951,1)</f>
        <v>18</v>
      </c>
      <c r="U1951" s="39" t="n">
        <f aca="false">SUM(M1951:T1951)*Resumo!$C$11</f>
        <v>0</v>
      </c>
      <c r="V1951" s="39" t="n">
        <f aca="false">SUM(M1951:U1951)</f>
        <v>109.963958</v>
      </c>
      <c r="W1951" s="39" t="n">
        <f aca="false">V1951/(1-Resumo!$C$5)</f>
        <v>124.959043181818</v>
      </c>
      <c r="X1951" s="39" t="n">
        <v>124.38</v>
      </c>
      <c r="Y1951" s="39" t="n">
        <f aca="false">J1951*Resumo!$B$6</f>
        <v>0.56999</v>
      </c>
      <c r="Z1951" s="39" t="n">
        <f aca="false">J1951*Resumo!$B$7</f>
        <v>1.13998</v>
      </c>
      <c r="AA1951" s="39" t="n">
        <f aca="false">Resumo!$B$9</f>
        <v>1</v>
      </c>
      <c r="AB1951" s="39" t="n">
        <f aca="false">Resumo!$B$10*CEILING(I1951/100,1)</f>
        <v>4.5</v>
      </c>
      <c r="AC1951" s="39" t="n">
        <f aca="false">Resumo!$B$12*CEILING(I1951,1)</f>
        <v>2.4</v>
      </c>
      <c r="AD1951" s="39" t="n">
        <f aca="false">Resumo!$B$14*CEILING(I1951,1)</f>
        <v>18</v>
      </c>
      <c r="AE1951" s="39" t="n">
        <f aca="false">SUM(X1951:AD1951)</f>
        <v>151.98997</v>
      </c>
      <c r="AF1951" s="39" t="n">
        <f aca="false">AE1951/(1-Resumo!$B$5)</f>
        <v>172.715875</v>
      </c>
      <c r="AG1951" s="39" t="n">
        <f aca="false">AF1951-W1951</f>
        <v>47.7568318181818</v>
      </c>
      <c r="AH1951" s="40" t="n">
        <f aca="false">AF1951/W1951-1</f>
        <v>0.382179877519505</v>
      </c>
      <c r="AI1951" s="37" t="str">
        <f aca="false">IF(AF1951&lt;W1951,"SIM","NÃO")</f>
        <v>NÃO</v>
      </c>
      <c r="AJ1951" s="37" t="n">
        <v>13</v>
      </c>
      <c r="AK1951" s="37" t="n">
        <v>10</v>
      </c>
      <c r="AL1951" s="37" t="s">
        <v>343</v>
      </c>
      <c r="AM1951" s="39" t="n">
        <v>122.98</v>
      </c>
    </row>
    <row r="1952" customFormat="false" ht="15" hidden="false" customHeight="false" outlineLevel="0" collapsed="false">
      <c r="A1952" s="37" t="n">
        <v>397313251</v>
      </c>
      <c r="B1952" s="38" t="n">
        <v>46285.589375</v>
      </c>
      <c r="C1952" s="37" t="s">
        <v>537</v>
      </c>
      <c r="D1952" s="37" t="s">
        <v>2096</v>
      </c>
      <c r="E1952" s="37" t="n">
        <v>25821060</v>
      </c>
      <c r="F1952" s="37" t="s">
        <v>228</v>
      </c>
      <c r="G1952" s="37" t="s">
        <v>198</v>
      </c>
      <c r="H1952" s="37" t="s">
        <v>189</v>
      </c>
      <c r="I1952" s="37" t="n">
        <v>80</v>
      </c>
      <c r="J1952" s="39" t="n">
        <v>989.98</v>
      </c>
      <c r="K1952" s="37" t="s">
        <v>342</v>
      </c>
      <c r="L1952" s="39" t="n">
        <v>169.07</v>
      </c>
      <c r="M1952" s="39" t="n">
        <v>96.77</v>
      </c>
      <c r="N1952" s="39" t="n">
        <f aca="false">J1952*Resumo!$C$6</f>
        <v>0</v>
      </c>
      <c r="O1952" s="39" t="n">
        <f aca="false">J1952*Resumo!$C$7</f>
        <v>2.078958</v>
      </c>
      <c r="P1952" s="39" t="n">
        <f aca="false">J1952*Resumo!$C$8</f>
        <v>2.078958</v>
      </c>
      <c r="Q1952" s="39" t="n">
        <f aca="false">Resumo!$C$10*CEILING(I1952/100,1)</f>
        <v>1.05</v>
      </c>
      <c r="R1952" s="39" t="n">
        <f aca="false">Resumo!$C$9</f>
        <v>0</v>
      </c>
      <c r="S1952" s="39" t="n">
        <f aca="false">Resumo!$C$13</f>
        <v>13.55</v>
      </c>
      <c r="T1952" s="39" t="n">
        <f aca="false">Resumo!$C$14*CEILING(I1952,1)</f>
        <v>36</v>
      </c>
      <c r="U1952" s="39" t="n">
        <f aca="false">SUM(M1952:T1952)*Resumo!$C$11</f>
        <v>0</v>
      </c>
      <c r="V1952" s="39" t="n">
        <f aca="false">SUM(M1952:U1952)</f>
        <v>151.527916</v>
      </c>
      <c r="W1952" s="39" t="n">
        <f aca="false">V1952/(1-Resumo!$C$5)</f>
        <v>172.190813636364</v>
      </c>
      <c r="X1952" s="39" t="n">
        <v>166.05</v>
      </c>
      <c r="Y1952" s="39" t="n">
        <f aca="false">J1952*Resumo!$B$6</f>
        <v>0.98998</v>
      </c>
      <c r="Z1952" s="39" t="n">
        <f aca="false">J1952*Resumo!$B$7</f>
        <v>1.97996</v>
      </c>
      <c r="AA1952" s="39" t="n">
        <f aca="false">Resumo!$B$9</f>
        <v>1</v>
      </c>
      <c r="AB1952" s="39" t="n">
        <f aca="false">Resumo!$B$10*CEILING(I1952/100,1)</f>
        <v>4.5</v>
      </c>
      <c r="AC1952" s="39" t="n">
        <f aca="false">Resumo!$B$12*CEILING(I1952,1)</f>
        <v>4.8</v>
      </c>
      <c r="AD1952" s="39" t="n">
        <f aca="false">Resumo!$B$14*CEILING(I1952,1)</f>
        <v>36</v>
      </c>
      <c r="AE1952" s="39" t="n">
        <f aca="false">SUM(X1952:AD1952)</f>
        <v>215.31994</v>
      </c>
      <c r="AF1952" s="39" t="n">
        <f aca="false">AE1952/(1-Resumo!$B$5)</f>
        <v>244.68175</v>
      </c>
      <c r="AG1952" s="39" t="n">
        <f aca="false">AF1952-W1952</f>
        <v>72.4909363636364</v>
      </c>
      <c r="AH1952" s="40" t="n">
        <f aca="false">AF1952/W1952-1</f>
        <v>0.42099189168549</v>
      </c>
      <c r="AI1952" s="37" t="str">
        <f aca="false">IF(AF1952&lt;W1952,"SIM","NÃO")</f>
        <v>NÃO</v>
      </c>
      <c r="AJ1952" s="37" t="n">
        <v>13</v>
      </c>
      <c r="AK1952" s="37" t="n">
        <v>8</v>
      </c>
      <c r="AL1952" s="37" t="s">
        <v>347</v>
      </c>
      <c r="AM1952" s="39" t="n">
        <v>169.06</v>
      </c>
    </row>
    <row r="1953" customFormat="false" ht="15" hidden="false" customHeight="false" outlineLevel="0" collapsed="false">
      <c r="A1953" s="37" t="n">
        <v>397323725</v>
      </c>
      <c r="B1953" s="38" t="n">
        <v>46285.629837963</v>
      </c>
      <c r="C1953" s="37" t="s">
        <v>340</v>
      </c>
      <c r="D1953" s="37" t="s">
        <v>2097</v>
      </c>
      <c r="E1953" s="37" t="n">
        <v>25565071</v>
      </c>
      <c r="F1953" s="37" t="s">
        <v>167</v>
      </c>
      <c r="G1953" s="37" t="s">
        <v>197</v>
      </c>
      <c r="H1953" s="37" t="s">
        <v>186</v>
      </c>
      <c r="I1953" s="37" t="n">
        <v>46.8</v>
      </c>
      <c r="J1953" s="39" t="n">
        <v>492.2</v>
      </c>
      <c r="K1953" s="37" t="s">
        <v>342</v>
      </c>
      <c r="L1953" s="39" t="n">
        <v>116.42</v>
      </c>
      <c r="M1953" s="39" t="n">
        <v>65.36</v>
      </c>
      <c r="N1953" s="39" t="n">
        <f aca="false">J1953*Resumo!$C$6</f>
        <v>0</v>
      </c>
      <c r="O1953" s="39" t="n">
        <f aca="false">J1953*Resumo!$C$7</f>
        <v>1.03362</v>
      </c>
      <c r="P1953" s="39" t="n">
        <f aca="false">J1953*Resumo!$C$8</f>
        <v>1.03362</v>
      </c>
      <c r="Q1953" s="39" t="n">
        <f aca="false">Resumo!$C$10*CEILING(I1953/100,1)</f>
        <v>1.05</v>
      </c>
      <c r="R1953" s="39" t="n">
        <f aca="false">Resumo!$C$9</f>
        <v>0</v>
      </c>
      <c r="S1953" s="39" t="n">
        <f aca="false">Resumo!$C$13</f>
        <v>13.55</v>
      </c>
      <c r="T1953" s="39" t="n">
        <f aca="false">Resumo!$C$14*CEILING(I1953,1)</f>
        <v>21.15</v>
      </c>
      <c r="U1953" s="39" t="n">
        <f aca="false">SUM(M1953:T1953)*Resumo!$C$11</f>
        <v>0</v>
      </c>
      <c r="V1953" s="39" t="n">
        <f aca="false">SUM(M1953:U1953)</f>
        <v>103.17724</v>
      </c>
      <c r="W1953" s="39" t="n">
        <f aca="false">V1953/(1-Resumo!$C$5)</f>
        <v>117.246863636364</v>
      </c>
      <c r="X1953" s="39" t="n">
        <v>93.97</v>
      </c>
      <c r="Y1953" s="39" t="n">
        <f aca="false">J1953*Resumo!$B$6</f>
        <v>0.4922</v>
      </c>
      <c r="Z1953" s="39" t="n">
        <f aca="false">J1953*Resumo!$B$7</f>
        <v>0.9844</v>
      </c>
      <c r="AA1953" s="39" t="n">
        <f aca="false">Resumo!$B$9</f>
        <v>1</v>
      </c>
      <c r="AB1953" s="39" t="n">
        <f aca="false">Resumo!$B$10*CEILING(I1953/100,1)</f>
        <v>4.5</v>
      </c>
      <c r="AC1953" s="39" t="n">
        <f aca="false">Resumo!$B$12*CEILING(I1953,1)</f>
        <v>2.82</v>
      </c>
      <c r="AD1953" s="39" t="n">
        <f aca="false">Resumo!$B$14*CEILING(I1953,1)</f>
        <v>21.15</v>
      </c>
      <c r="AE1953" s="39" t="n">
        <f aca="false">SUM(X1953:AD1953)</f>
        <v>124.9166</v>
      </c>
      <c r="AF1953" s="39" t="n">
        <f aca="false">AE1953/(1-Resumo!$B$5)</f>
        <v>141.950681818182</v>
      </c>
      <c r="AG1953" s="39" t="n">
        <f aca="false">AF1953-W1953</f>
        <v>24.7038181818182</v>
      </c>
      <c r="AH1953" s="40" t="n">
        <f aca="false">AF1953/W1953-1</f>
        <v>0.210699181331076</v>
      </c>
      <c r="AI1953" s="37" t="str">
        <f aca="false">IF(AF1953&lt;W1953,"SIM","NÃO")</f>
        <v>NÃO</v>
      </c>
      <c r="AJ1953" s="37" t="n">
        <v>2</v>
      </c>
      <c r="AK1953" s="37" t="n">
        <v>5</v>
      </c>
      <c r="AL1953" s="37" t="s">
        <v>343</v>
      </c>
      <c r="AM1953" s="39" t="n">
        <v>116.43</v>
      </c>
    </row>
    <row r="1954" customFormat="false" ht="15" hidden="false" customHeight="false" outlineLevel="0" collapsed="false">
      <c r="A1954" s="37" t="n">
        <v>397330956</v>
      </c>
      <c r="B1954" s="38" t="n">
        <v>46285.6419560185</v>
      </c>
      <c r="C1954" s="37" t="s">
        <v>340</v>
      </c>
      <c r="D1954" s="37" t="s">
        <v>485</v>
      </c>
      <c r="E1954" s="37" t="n">
        <v>28660000</v>
      </c>
      <c r="F1954" s="37" t="s">
        <v>282</v>
      </c>
      <c r="G1954" s="37" t="s">
        <v>198</v>
      </c>
      <c r="H1954" s="37" t="s">
        <v>187</v>
      </c>
      <c r="I1954" s="37" t="n">
        <v>52.3</v>
      </c>
      <c r="J1954" s="39" t="n">
        <v>699.99</v>
      </c>
      <c r="K1954" s="37" t="s">
        <v>342</v>
      </c>
      <c r="L1954" s="39" t="n">
        <v>143.02</v>
      </c>
      <c r="M1954" s="39" t="n">
        <v>83.58</v>
      </c>
      <c r="N1954" s="39" t="n">
        <f aca="false">J1954*Resumo!$C$6</f>
        <v>0</v>
      </c>
      <c r="O1954" s="39" t="n">
        <f aca="false">J1954*Resumo!$C$7</f>
        <v>1.469979</v>
      </c>
      <c r="P1954" s="39" t="n">
        <f aca="false">J1954*Resumo!$C$8</f>
        <v>1.469979</v>
      </c>
      <c r="Q1954" s="39" t="n">
        <f aca="false">Resumo!$C$10*CEILING(I1954/100,1)</f>
        <v>1.05</v>
      </c>
      <c r="R1954" s="39" t="n">
        <f aca="false">Resumo!$C$9</f>
        <v>0</v>
      </c>
      <c r="S1954" s="39" t="n">
        <f aca="false">Resumo!$C$13</f>
        <v>13.55</v>
      </c>
      <c r="T1954" s="39" t="n">
        <f aca="false">Resumo!$C$14*CEILING(I1954,1)</f>
        <v>23.85</v>
      </c>
      <c r="U1954" s="39" t="n">
        <f aca="false">SUM(M1954:T1954)*Resumo!$C$11</f>
        <v>0</v>
      </c>
      <c r="V1954" s="39" t="n">
        <f aca="false">SUM(M1954:U1954)</f>
        <v>124.969958</v>
      </c>
      <c r="W1954" s="39" t="n">
        <f aca="false">V1954/(1-Resumo!$C$5)</f>
        <v>142.011315909091</v>
      </c>
      <c r="X1954" s="39" t="n">
        <v>144.53</v>
      </c>
      <c r="Y1954" s="39" t="n">
        <f aca="false">J1954*Resumo!$B$6</f>
        <v>0.69999</v>
      </c>
      <c r="Z1954" s="39" t="n">
        <f aca="false">J1954*Resumo!$B$7</f>
        <v>1.39998</v>
      </c>
      <c r="AA1954" s="39" t="n">
        <f aca="false">Resumo!$B$9</f>
        <v>1</v>
      </c>
      <c r="AB1954" s="39" t="n">
        <f aca="false">Resumo!$B$10*CEILING(I1954/100,1)</f>
        <v>4.5</v>
      </c>
      <c r="AC1954" s="39" t="n">
        <f aca="false">Resumo!$B$12*CEILING(I1954,1)</f>
        <v>3.18</v>
      </c>
      <c r="AD1954" s="39" t="n">
        <f aca="false">Resumo!$B$14*CEILING(I1954,1)</f>
        <v>23.85</v>
      </c>
      <c r="AE1954" s="39" t="n">
        <f aca="false">SUM(X1954:AD1954)</f>
        <v>179.15997</v>
      </c>
      <c r="AF1954" s="39" t="n">
        <f aca="false">AE1954/(1-Resumo!$B$5)</f>
        <v>203.590875</v>
      </c>
      <c r="AG1954" s="39" t="n">
        <f aca="false">AF1954-W1954</f>
        <v>61.5795590909091</v>
      </c>
      <c r="AH1954" s="40" t="n">
        <f aca="false">AF1954/W1954-1</f>
        <v>0.433624311532536</v>
      </c>
      <c r="AI1954" s="37" t="str">
        <f aca="false">IF(AF1954&lt;W1954,"SIM","NÃO")</f>
        <v>NÃO</v>
      </c>
      <c r="AJ1954" s="37" t="n">
        <v>13</v>
      </c>
      <c r="AK1954" s="37" t="n">
        <v>10</v>
      </c>
      <c r="AL1954" s="37" t="s">
        <v>347</v>
      </c>
      <c r="AM1954" s="39" t="n">
        <v>143.02</v>
      </c>
    </row>
    <row r="1955" customFormat="false" ht="15" hidden="false" customHeight="false" outlineLevel="0" collapsed="false">
      <c r="A1955" s="37" t="n">
        <v>397333682</v>
      </c>
      <c r="B1955" s="38" t="n">
        <v>46285.6464814815</v>
      </c>
      <c r="C1955" s="37" t="s">
        <v>345</v>
      </c>
      <c r="D1955" s="37" t="s">
        <v>2098</v>
      </c>
      <c r="E1955" s="37" t="n">
        <v>27288450</v>
      </c>
      <c r="F1955" s="37" t="s">
        <v>168</v>
      </c>
      <c r="G1955" s="37" t="s">
        <v>198</v>
      </c>
      <c r="H1955" s="37" t="s">
        <v>188</v>
      </c>
      <c r="I1955" s="37" t="n">
        <v>66.8</v>
      </c>
      <c r="J1955" s="39" t="n">
        <v>679.99</v>
      </c>
      <c r="K1955" s="37" t="s">
        <v>342</v>
      </c>
      <c r="L1955" s="39" t="n">
        <v>155.27</v>
      </c>
      <c r="M1955" s="39" t="n">
        <v>90.2</v>
      </c>
      <c r="N1955" s="39" t="n">
        <f aca="false">J1955*Resumo!$C$6</f>
        <v>0</v>
      </c>
      <c r="O1955" s="39" t="n">
        <f aca="false">J1955*Resumo!$C$7</f>
        <v>1.427979</v>
      </c>
      <c r="P1955" s="39" t="n">
        <f aca="false">J1955*Resumo!$C$8</f>
        <v>1.427979</v>
      </c>
      <c r="Q1955" s="39" t="n">
        <f aca="false">Resumo!$C$10*CEILING(I1955/100,1)</f>
        <v>1.05</v>
      </c>
      <c r="R1955" s="39" t="n">
        <f aca="false">Resumo!$C$9</f>
        <v>0</v>
      </c>
      <c r="S1955" s="39" t="n">
        <f aca="false">Resumo!$C$13</f>
        <v>13.55</v>
      </c>
      <c r="T1955" s="39" t="n">
        <f aca="false">Resumo!$C$14*CEILING(I1955,1)</f>
        <v>30.15</v>
      </c>
      <c r="U1955" s="39" t="n">
        <f aca="false">SUM(M1955:T1955)*Resumo!$C$11</f>
        <v>0</v>
      </c>
      <c r="V1955" s="39" t="n">
        <f aca="false">SUM(M1955:U1955)</f>
        <v>137.805958</v>
      </c>
      <c r="W1955" s="39" t="n">
        <f aca="false">V1955/(1-Resumo!$C$5)</f>
        <v>156.597679545455</v>
      </c>
      <c r="X1955" s="39" t="n">
        <v>166.05</v>
      </c>
      <c r="Y1955" s="39" t="n">
        <f aca="false">J1955*Resumo!$B$6</f>
        <v>0.67999</v>
      </c>
      <c r="Z1955" s="39" t="n">
        <f aca="false">J1955*Resumo!$B$7</f>
        <v>1.35998</v>
      </c>
      <c r="AA1955" s="39" t="n">
        <f aca="false">Resumo!$B$9</f>
        <v>1</v>
      </c>
      <c r="AB1955" s="39" t="n">
        <f aca="false">Resumo!$B$10*CEILING(I1955/100,1)</f>
        <v>4.5</v>
      </c>
      <c r="AC1955" s="39" t="n">
        <f aca="false">Resumo!$B$12*CEILING(I1955,1)</f>
        <v>4.02</v>
      </c>
      <c r="AD1955" s="39" t="n">
        <f aca="false">Resumo!$B$14*CEILING(I1955,1)</f>
        <v>30.15</v>
      </c>
      <c r="AE1955" s="39" t="n">
        <f aca="false">SUM(X1955:AD1955)</f>
        <v>207.75997</v>
      </c>
      <c r="AF1955" s="39" t="n">
        <f aca="false">AE1955/(1-Resumo!$B$5)</f>
        <v>236.090875</v>
      </c>
      <c r="AG1955" s="39" t="n">
        <f aca="false">AF1955-W1955</f>
        <v>79.4931954545455</v>
      </c>
      <c r="AH1955" s="40" t="n">
        <f aca="false">AF1955/W1955-1</f>
        <v>0.507626905362103</v>
      </c>
      <c r="AI1955" s="37" t="str">
        <f aca="false">IF(AF1955&lt;W1955,"SIM","NÃO")</f>
        <v>NÃO</v>
      </c>
      <c r="AJ1955" s="37" t="n">
        <v>13</v>
      </c>
      <c r="AK1955" s="37" t="n">
        <v>10</v>
      </c>
      <c r="AL1955" s="37" t="s">
        <v>343</v>
      </c>
      <c r="AM1955" s="39" t="n">
        <v>155.28</v>
      </c>
    </row>
    <row r="1956" customFormat="false" ht="15" hidden="false" customHeight="false" outlineLevel="0" collapsed="false">
      <c r="A1956" s="37" t="n">
        <v>397335570</v>
      </c>
      <c r="B1956" s="38" t="n">
        <v>46285.6499305556</v>
      </c>
      <c r="C1956" s="37" t="s">
        <v>340</v>
      </c>
      <c r="D1956" s="37" t="s">
        <v>2076</v>
      </c>
      <c r="E1956" s="37" t="n">
        <v>20250460</v>
      </c>
      <c r="F1956" s="37" t="s">
        <v>159</v>
      </c>
      <c r="G1956" s="37" t="s">
        <v>196</v>
      </c>
      <c r="H1956" s="37" t="s">
        <v>184</v>
      </c>
      <c r="I1956" s="37" t="n">
        <v>30.5</v>
      </c>
      <c r="J1956" s="39" t="n">
        <v>406.6</v>
      </c>
      <c r="K1956" s="37" t="s">
        <v>342</v>
      </c>
      <c r="L1956" s="39" t="n">
        <v>82.26</v>
      </c>
      <c r="M1956" s="39" t="n">
        <v>42.11</v>
      </c>
      <c r="N1956" s="39" t="n">
        <f aca="false">J1956*Resumo!$C$6</f>
        <v>0</v>
      </c>
      <c r="O1956" s="39" t="n">
        <f aca="false">J1956*Resumo!$C$7</f>
        <v>0.85386</v>
      </c>
      <c r="P1956" s="39" t="n">
        <f aca="false">J1956*Resumo!$C$8</f>
        <v>0.85386</v>
      </c>
      <c r="Q1956" s="39" t="n">
        <f aca="false">Resumo!$C$10*CEILING(I1956/100,1)</f>
        <v>1.05</v>
      </c>
      <c r="R1956" s="39" t="n">
        <f aca="false">Resumo!$C$9</f>
        <v>0</v>
      </c>
      <c r="S1956" s="39" t="n">
        <f aca="false">Resumo!$C$13</f>
        <v>13.55</v>
      </c>
      <c r="T1956" s="39" t="n">
        <f aca="false">Resumo!$C$14*CEILING(I1956,1)</f>
        <v>13.95</v>
      </c>
      <c r="U1956" s="39" t="n">
        <f aca="false">SUM(M1956:T1956)*Resumo!$C$11</f>
        <v>0</v>
      </c>
      <c r="V1956" s="39" t="n">
        <f aca="false">SUM(M1956:U1956)</f>
        <v>72.36772</v>
      </c>
      <c r="W1956" s="39" t="n">
        <f aca="false">V1956/(1-Resumo!$C$5)</f>
        <v>82.2360454545455</v>
      </c>
      <c r="X1956" s="39" t="n">
        <v>82.21</v>
      </c>
      <c r="Y1956" s="39" t="n">
        <f aca="false">J1956*Resumo!$B$6</f>
        <v>0.4066</v>
      </c>
      <c r="Z1956" s="39" t="n">
        <f aca="false">J1956*Resumo!$B$7</f>
        <v>0.8132</v>
      </c>
      <c r="AA1956" s="39" t="n">
        <f aca="false">Resumo!$B$9</f>
        <v>1</v>
      </c>
      <c r="AB1956" s="39" t="n">
        <f aca="false">Resumo!$B$10*CEILING(I1956/100,1)</f>
        <v>4.5</v>
      </c>
      <c r="AC1956" s="39" t="n">
        <f aca="false">Resumo!$B$12*CEILING(I1956,1)</f>
        <v>1.86</v>
      </c>
      <c r="AD1956" s="39" t="n">
        <f aca="false">Resumo!$B$14*CEILING(I1956,1)</f>
        <v>13.95</v>
      </c>
      <c r="AE1956" s="39" t="n">
        <f aca="false">SUM(X1956:AD1956)</f>
        <v>104.7398</v>
      </c>
      <c r="AF1956" s="39" t="n">
        <f aca="false">AE1956/(1-Resumo!$B$5)</f>
        <v>119.0225</v>
      </c>
      <c r="AG1956" s="39" t="n">
        <f aca="false">AF1956-W1956</f>
        <v>36.7864545454545</v>
      </c>
      <c r="AH1956" s="40" t="n">
        <f aca="false">AF1956/W1956-1</f>
        <v>0.447327620657387</v>
      </c>
      <c r="AI1956" s="37" t="str">
        <f aca="false">IF(AF1956&lt;W1956,"SIM","NÃO")</f>
        <v>NÃO</v>
      </c>
      <c r="AJ1956" s="37" t="n">
        <v>2</v>
      </c>
      <c r="AK1956" s="37" t="n">
        <v>5</v>
      </c>
      <c r="AL1956" s="37" t="s">
        <v>343</v>
      </c>
      <c r="AM1956" s="39" t="n">
        <v>82.27</v>
      </c>
    </row>
    <row r="1957" customFormat="false" ht="15" hidden="false" customHeight="false" outlineLevel="0" collapsed="false">
      <c r="A1957" s="37" t="n">
        <v>397351950</v>
      </c>
      <c r="B1957" s="38" t="n">
        <v>46285.6872337963</v>
      </c>
      <c r="C1957" s="37" t="s">
        <v>361</v>
      </c>
      <c r="D1957" s="37" t="s">
        <v>2099</v>
      </c>
      <c r="E1957" s="37" t="n">
        <v>22780510</v>
      </c>
      <c r="F1957" s="37" t="s">
        <v>159</v>
      </c>
      <c r="G1957" s="37" t="s">
        <v>196</v>
      </c>
      <c r="H1957" s="37" t="s">
        <v>187</v>
      </c>
      <c r="I1957" s="37" t="n">
        <v>60</v>
      </c>
      <c r="J1957" s="39" t="n">
        <v>999.99</v>
      </c>
      <c r="K1957" s="37" t="s">
        <v>342</v>
      </c>
      <c r="L1957" s="39" t="n">
        <v>115.94</v>
      </c>
      <c r="M1957" s="39" t="n">
        <v>58.6</v>
      </c>
      <c r="N1957" s="39" t="n">
        <f aca="false">J1957*Resumo!$C$6</f>
        <v>0</v>
      </c>
      <c r="O1957" s="39" t="n">
        <f aca="false">J1957*Resumo!$C$7</f>
        <v>2.099979</v>
      </c>
      <c r="P1957" s="39" t="n">
        <f aca="false">J1957*Resumo!$C$8</f>
        <v>2.099979</v>
      </c>
      <c r="Q1957" s="39" t="n">
        <f aca="false">Resumo!$C$10*CEILING(I1957/100,1)</f>
        <v>1.05</v>
      </c>
      <c r="R1957" s="39" t="n">
        <f aca="false">Resumo!$C$9</f>
        <v>0</v>
      </c>
      <c r="S1957" s="39" t="n">
        <f aca="false">Resumo!$C$13</f>
        <v>13.55</v>
      </c>
      <c r="T1957" s="39" t="n">
        <f aca="false">Resumo!$C$14*CEILING(I1957,1)</f>
        <v>27</v>
      </c>
      <c r="U1957" s="39" t="n">
        <f aca="false">SUM(M1957:T1957)*Resumo!$C$11</f>
        <v>0</v>
      </c>
      <c r="V1957" s="39" t="n">
        <f aca="false">SUM(M1957:U1957)</f>
        <v>104.399958</v>
      </c>
      <c r="W1957" s="39" t="n">
        <f aca="false">V1957/(1-Resumo!$C$5)</f>
        <v>118.636315909091</v>
      </c>
      <c r="X1957" s="39" t="n">
        <v>112.3</v>
      </c>
      <c r="Y1957" s="39" t="n">
        <f aca="false">J1957*Resumo!$B$6</f>
        <v>0.99999</v>
      </c>
      <c r="Z1957" s="39" t="n">
        <f aca="false">J1957*Resumo!$B$7</f>
        <v>1.99998</v>
      </c>
      <c r="AA1957" s="39" t="n">
        <f aca="false">Resumo!$B$9</f>
        <v>1</v>
      </c>
      <c r="AB1957" s="39" t="n">
        <f aca="false">Resumo!$B$10*CEILING(I1957/100,1)</f>
        <v>4.5</v>
      </c>
      <c r="AC1957" s="39" t="n">
        <f aca="false">Resumo!$B$12*CEILING(I1957,1)</f>
        <v>3.6</v>
      </c>
      <c r="AD1957" s="39" t="n">
        <f aca="false">Resumo!$B$14*CEILING(I1957,1)</f>
        <v>27</v>
      </c>
      <c r="AE1957" s="39" t="n">
        <f aca="false">SUM(X1957:AD1957)</f>
        <v>151.39997</v>
      </c>
      <c r="AF1957" s="39" t="n">
        <f aca="false">AE1957/(1-Resumo!$B$5)</f>
        <v>172.045420454545</v>
      </c>
      <c r="AG1957" s="39" t="n">
        <f aca="false">AF1957-W1957</f>
        <v>53.4091045454545</v>
      </c>
      <c r="AH1957" s="40" t="n">
        <f aca="false">AF1957/W1957-1</f>
        <v>0.450191866935425</v>
      </c>
      <c r="AI1957" s="37" t="str">
        <f aca="false">IF(AF1957&lt;W1957,"SIM","NÃO")</f>
        <v>NÃO</v>
      </c>
      <c r="AJ1957" s="37" t="n">
        <v>2</v>
      </c>
      <c r="AK1957" s="37" t="n">
        <v>5</v>
      </c>
      <c r="AL1957" s="37" t="s">
        <v>343</v>
      </c>
      <c r="AM1957" s="39" t="n">
        <v>115.94</v>
      </c>
    </row>
    <row r="1958" customFormat="false" ht="15" hidden="false" customHeight="false" outlineLevel="0" collapsed="false">
      <c r="A1958" s="37" t="n">
        <v>397394424</v>
      </c>
      <c r="B1958" s="38" t="n">
        <v>46285.7225578704</v>
      </c>
      <c r="C1958" s="37" t="s">
        <v>537</v>
      </c>
      <c r="D1958" s="37" t="s">
        <v>2100</v>
      </c>
      <c r="E1958" s="37" t="n">
        <v>24346040</v>
      </c>
      <c r="F1958" s="37" t="s">
        <v>163</v>
      </c>
      <c r="G1958" s="37" t="s">
        <v>197</v>
      </c>
      <c r="H1958" s="37" t="s">
        <v>186</v>
      </c>
      <c r="I1958" s="37" t="n">
        <v>49.6</v>
      </c>
      <c r="J1958" s="39" t="n">
        <v>799.99</v>
      </c>
      <c r="K1958" s="37" t="s">
        <v>342</v>
      </c>
      <c r="L1958" s="39" t="n">
        <v>117.91</v>
      </c>
      <c r="M1958" s="39" t="n">
        <v>65.36</v>
      </c>
      <c r="N1958" s="39" t="n">
        <f aca="false">J1958*Resumo!$C$6</f>
        <v>0</v>
      </c>
      <c r="O1958" s="39" t="n">
        <f aca="false">J1958*Resumo!$C$7</f>
        <v>1.679979</v>
      </c>
      <c r="P1958" s="39" t="n">
        <f aca="false">J1958*Resumo!$C$8</f>
        <v>1.679979</v>
      </c>
      <c r="Q1958" s="39" t="n">
        <f aca="false">Resumo!$C$10*CEILING(I1958/100,1)</f>
        <v>1.05</v>
      </c>
      <c r="R1958" s="39" t="n">
        <f aca="false">Resumo!$C$9</f>
        <v>0</v>
      </c>
      <c r="S1958" s="39" t="n">
        <f aca="false">Resumo!$C$13</f>
        <v>13.55</v>
      </c>
      <c r="T1958" s="39" t="n">
        <f aca="false">Resumo!$C$14*CEILING(I1958,1)</f>
        <v>22.5</v>
      </c>
      <c r="U1958" s="39" t="n">
        <f aca="false">SUM(M1958:T1958)*Resumo!$C$11</f>
        <v>0</v>
      </c>
      <c r="V1958" s="39" t="n">
        <f aca="false">SUM(M1958:U1958)</f>
        <v>105.819958</v>
      </c>
      <c r="W1958" s="39" t="n">
        <f aca="false">V1958/(1-Resumo!$C$5)</f>
        <v>120.249952272727</v>
      </c>
      <c r="X1958" s="39" t="n">
        <v>114.95</v>
      </c>
      <c r="Y1958" s="39" t="n">
        <f aca="false">J1958*Resumo!$B$6</f>
        <v>0.79999</v>
      </c>
      <c r="Z1958" s="39" t="n">
        <f aca="false">J1958*Resumo!$B$7</f>
        <v>1.59998</v>
      </c>
      <c r="AA1958" s="39" t="n">
        <f aca="false">Resumo!$B$9</f>
        <v>1</v>
      </c>
      <c r="AB1958" s="39" t="n">
        <f aca="false">Resumo!$B$10*CEILING(I1958/100,1)</f>
        <v>4.5</v>
      </c>
      <c r="AC1958" s="39" t="n">
        <f aca="false">Resumo!$B$12*CEILING(I1958,1)</f>
        <v>3</v>
      </c>
      <c r="AD1958" s="39" t="n">
        <f aca="false">Resumo!$B$14*CEILING(I1958,1)</f>
        <v>22.5</v>
      </c>
      <c r="AE1958" s="39" t="n">
        <f aca="false">SUM(X1958:AD1958)</f>
        <v>148.34997</v>
      </c>
      <c r="AF1958" s="39" t="n">
        <f aca="false">AE1958/(1-Resumo!$B$5)</f>
        <v>168.579511363636</v>
      </c>
      <c r="AG1958" s="39" t="n">
        <f aca="false">AF1958-W1958</f>
        <v>48.3295590909091</v>
      </c>
      <c r="AH1958" s="40" t="n">
        <f aca="false">AF1958/W1958-1</f>
        <v>0.401909174826926</v>
      </c>
      <c r="AI1958" s="37" t="str">
        <f aca="false">IF(AF1958&lt;W1958,"SIM","NÃO")</f>
        <v>NÃO</v>
      </c>
      <c r="AJ1958" s="37" t="n">
        <v>2</v>
      </c>
      <c r="AK1958" s="37" t="n">
        <v>7</v>
      </c>
      <c r="AL1958" s="37" t="s">
        <v>343</v>
      </c>
      <c r="AM1958" s="39" t="n">
        <v>117.91</v>
      </c>
    </row>
    <row r="1959" customFormat="false" ht="15" hidden="false" customHeight="false" outlineLevel="0" collapsed="false">
      <c r="A1959" s="37" t="n">
        <v>397400600</v>
      </c>
      <c r="B1959" s="38" t="n">
        <v>46285.7355555556</v>
      </c>
      <c r="C1959" s="37" t="s">
        <v>537</v>
      </c>
      <c r="D1959" s="37" t="s">
        <v>2101</v>
      </c>
      <c r="E1959" s="37" t="n">
        <v>28977010</v>
      </c>
      <c r="F1959" s="37" t="s">
        <v>173</v>
      </c>
      <c r="G1959" s="37" t="s">
        <v>198</v>
      </c>
      <c r="H1959" s="37" t="s">
        <v>187</v>
      </c>
      <c r="I1959" s="37" t="n">
        <v>54.1</v>
      </c>
      <c r="J1959" s="39" t="n">
        <v>1199.99</v>
      </c>
      <c r="K1959" s="37" t="s">
        <v>342</v>
      </c>
      <c r="L1959" s="39" t="n">
        <v>145.42</v>
      </c>
      <c r="M1959" s="39" t="n">
        <v>83.58</v>
      </c>
      <c r="N1959" s="39" t="n">
        <f aca="false">J1959*Resumo!$C$6</f>
        <v>0</v>
      </c>
      <c r="O1959" s="39" t="n">
        <f aca="false">J1959*Resumo!$C$7</f>
        <v>2.519979</v>
      </c>
      <c r="P1959" s="39" t="n">
        <f aca="false">J1959*Resumo!$C$8</f>
        <v>2.519979</v>
      </c>
      <c r="Q1959" s="39" t="n">
        <f aca="false">Resumo!$C$10*CEILING(I1959/100,1)</f>
        <v>1.05</v>
      </c>
      <c r="R1959" s="39" t="n">
        <f aca="false">Resumo!$C$9</f>
        <v>0</v>
      </c>
      <c r="S1959" s="39" t="n">
        <f aca="false">Resumo!$C$13</f>
        <v>13.55</v>
      </c>
      <c r="T1959" s="39" t="n">
        <f aca="false">Resumo!$C$14*CEILING(I1959,1)</f>
        <v>24.75</v>
      </c>
      <c r="U1959" s="39" t="n">
        <f aca="false">SUM(M1959:T1959)*Resumo!$C$11</f>
        <v>0</v>
      </c>
      <c r="V1959" s="39" t="n">
        <f aca="false">SUM(M1959:U1959)</f>
        <v>127.969958</v>
      </c>
      <c r="W1959" s="39" t="n">
        <f aca="false">V1959/(1-Resumo!$C$5)</f>
        <v>145.420406818182</v>
      </c>
      <c r="X1959" s="39" t="n">
        <v>142.32</v>
      </c>
      <c r="Y1959" s="39" t="n">
        <f aca="false">J1959*Resumo!$B$6</f>
        <v>1.19999</v>
      </c>
      <c r="Z1959" s="39" t="n">
        <f aca="false">J1959*Resumo!$B$7</f>
        <v>2.39998</v>
      </c>
      <c r="AA1959" s="39" t="n">
        <f aca="false">Resumo!$B$9</f>
        <v>1</v>
      </c>
      <c r="AB1959" s="39" t="n">
        <f aca="false">Resumo!$B$10*CEILING(I1959/100,1)</f>
        <v>4.5</v>
      </c>
      <c r="AC1959" s="39" t="n">
        <f aca="false">Resumo!$B$12*CEILING(I1959,1)</f>
        <v>3.3</v>
      </c>
      <c r="AD1959" s="39" t="n">
        <f aca="false">Resumo!$B$14*CEILING(I1959,1)</f>
        <v>24.75</v>
      </c>
      <c r="AE1959" s="39" t="n">
        <f aca="false">SUM(X1959:AD1959)</f>
        <v>179.46997</v>
      </c>
      <c r="AF1959" s="39" t="n">
        <f aca="false">AE1959/(1-Resumo!$B$5)</f>
        <v>203.943147727273</v>
      </c>
      <c r="AG1959" s="39" t="n">
        <f aca="false">AF1959-W1959</f>
        <v>58.5227409090909</v>
      </c>
      <c r="AH1959" s="40" t="n">
        <f aca="false">AF1959/W1959-1</f>
        <v>0.40243829727599</v>
      </c>
      <c r="AI1959" s="37" t="str">
        <f aca="false">IF(AF1959&lt;W1959,"SIM","NÃO")</f>
        <v>NÃO</v>
      </c>
      <c r="AJ1959" s="37" t="n">
        <v>13</v>
      </c>
      <c r="AK1959" s="37" t="n">
        <v>10</v>
      </c>
      <c r="AL1959" s="37" t="s">
        <v>343</v>
      </c>
      <c r="AM1959" s="39" t="n">
        <v>145.42</v>
      </c>
    </row>
    <row r="1960" customFormat="false" ht="15" hidden="false" customHeight="false" outlineLevel="0" collapsed="false">
      <c r="A1960" s="37" t="n">
        <v>397392267</v>
      </c>
      <c r="B1960" s="38" t="n">
        <v>46285.7389814815</v>
      </c>
      <c r="C1960" s="37" t="s">
        <v>340</v>
      </c>
      <c r="D1960" s="37" t="s">
        <v>2102</v>
      </c>
      <c r="E1960" s="37" t="n">
        <v>25919279</v>
      </c>
      <c r="F1960" s="37" t="s">
        <v>176</v>
      </c>
      <c r="G1960" s="37" t="s">
        <v>198</v>
      </c>
      <c r="H1960" s="37" t="s">
        <v>184</v>
      </c>
      <c r="I1960" s="37" t="n">
        <v>30.5</v>
      </c>
      <c r="J1960" s="39" t="n">
        <v>406.6</v>
      </c>
      <c r="K1960" s="37" t="s">
        <v>342</v>
      </c>
      <c r="L1960" s="39" t="n">
        <v>109.13</v>
      </c>
      <c r="M1960" s="39" t="n">
        <v>65.63</v>
      </c>
      <c r="N1960" s="39" t="n">
        <f aca="false">J1960*Resumo!$C$6</f>
        <v>0</v>
      </c>
      <c r="O1960" s="39" t="n">
        <f aca="false">J1960*Resumo!$C$7</f>
        <v>0.85386</v>
      </c>
      <c r="P1960" s="39" t="n">
        <f aca="false">J1960*Resumo!$C$8</f>
        <v>0.85386</v>
      </c>
      <c r="Q1960" s="39" t="n">
        <f aca="false">Resumo!$C$10*CEILING(I1960/100,1)</f>
        <v>1.05</v>
      </c>
      <c r="R1960" s="39" t="n">
        <f aca="false">Resumo!$C$9</f>
        <v>0</v>
      </c>
      <c r="S1960" s="39" t="n">
        <f aca="false">Resumo!$C$13</f>
        <v>13.55</v>
      </c>
      <c r="T1960" s="39" t="n">
        <f aca="false">Resumo!$C$14*CEILING(I1960,1)</f>
        <v>13.95</v>
      </c>
      <c r="U1960" s="39" t="n">
        <f aca="false">SUM(M1960:T1960)*Resumo!$C$11</f>
        <v>0</v>
      </c>
      <c r="V1960" s="39" t="n">
        <f aca="false">SUM(M1960:U1960)</f>
        <v>95.88772</v>
      </c>
      <c r="W1960" s="39" t="n">
        <f aca="false">V1960/(1-Resumo!$C$5)</f>
        <v>108.963318181818</v>
      </c>
      <c r="X1960" s="39" t="n">
        <v>103.28</v>
      </c>
      <c r="Y1960" s="39" t="n">
        <f aca="false">J1960*Resumo!$B$6</f>
        <v>0.4066</v>
      </c>
      <c r="Z1960" s="39" t="n">
        <f aca="false">J1960*Resumo!$B$7</f>
        <v>0.8132</v>
      </c>
      <c r="AA1960" s="39" t="n">
        <f aca="false">Resumo!$B$9</f>
        <v>1</v>
      </c>
      <c r="AB1960" s="39" t="n">
        <f aca="false">Resumo!$B$10*CEILING(I1960/100,1)</f>
        <v>4.5</v>
      </c>
      <c r="AC1960" s="39" t="n">
        <f aca="false">Resumo!$B$12*CEILING(I1960,1)</f>
        <v>1.86</v>
      </c>
      <c r="AD1960" s="39" t="n">
        <f aca="false">Resumo!$B$14*CEILING(I1960,1)</f>
        <v>13.95</v>
      </c>
      <c r="AE1960" s="39" t="n">
        <f aca="false">SUM(X1960:AD1960)</f>
        <v>125.8098</v>
      </c>
      <c r="AF1960" s="39" t="n">
        <f aca="false">AE1960/(1-Resumo!$B$5)</f>
        <v>142.965681818182</v>
      </c>
      <c r="AG1960" s="39" t="n">
        <f aca="false">AF1960-W1960</f>
        <v>34.0023636363636</v>
      </c>
      <c r="AH1960" s="40" t="n">
        <f aca="false">AF1960/W1960-1</f>
        <v>0.312053305678767</v>
      </c>
      <c r="AI1960" s="37" t="str">
        <f aca="false">IF(AF1960&lt;W1960,"SIM","NÃO")</f>
        <v>NÃO</v>
      </c>
      <c r="AJ1960" s="37" t="n">
        <v>13</v>
      </c>
      <c r="AK1960" s="37" t="n">
        <v>6</v>
      </c>
      <c r="AL1960" s="37" t="s">
        <v>343</v>
      </c>
      <c r="AM1960" s="39" t="n">
        <v>109.13</v>
      </c>
    </row>
    <row r="1961" customFormat="false" ht="15" hidden="false" customHeight="false" outlineLevel="0" collapsed="false">
      <c r="A1961" s="37" t="n">
        <v>397416258</v>
      </c>
      <c r="B1961" s="38" t="n">
        <v>46285.7740972222</v>
      </c>
      <c r="C1961" s="37" t="s">
        <v>379</v>
      </c>
      <c r="D1961" s="37" t="s">
        <v>655</v>
      </c>
      <c r="E1961" s="37" t="n">
        <v>24241002</v>
      </c>
      <c r="F1961" s="37" t="s">
        <v>163</v>
      </c>
      <c r="G1961" s="37" t="s">
        <v>197</v>
      </c>
      <c r="H1961" s="37" t="s">
        <v>185</v>
      </c>
      <c r="I1961" s="37" t="n">
        <v>40</v>
      </c>
      <c r="J1961" s="39" t="n">
        <v>539.99</v>
      </c>
      <c r="K1961" s="37" t="s">
        <v>342</v>
      </c>
      <c r="L1961" s="39" t="n">
        <v>113.55</v>
      </c>
      <c r="M1961" s="39" t="n">
        <v>66.83</v>
      </c>
      <c r="N1961" s="39" t="n">
        <f aca="false">J1961*Resumo!$C$6</f>
        <v>0</v>
      </c>
      <c r="O1961" s="39" t="n">
        <f aca="false">J1961*Resumo!$C$7</f>
        <v>1.133979</v>
      </c>
      <c r="P1961" s="39" t="n">
        <f aca="false">J1961*Resumo!$C$8</f>
        <v>1.133979</v>
      </c>
      <c r="Q1961" s="39" t="n">
        <f aca="false">Resumo!$C$10*CEILING(I1961/100,1)</f>
        <v>1.05</v>
      </c>
      <c r="R1961" s="39" t="n">
        <f aca="false">Resumo!$C$9</f>
        <v>0</v>
      </c>
      <c r="S1961" s="39" t="n">
        <f aca="false">Resumo!$C$13</f>
        <v>13.55</v>
      </c>
      <c r="T1961" s="39" t="n">
        <f aca="false">Resumo!$C$14*CEILING(I1961,1)</f>
        <v>18</v>
      </c>
      <c r="U1961" s="39" t="n">
        <f aca="false">SUM(M1961:T1961)*Resumo!$C$11</f>
        <v>0</v>
      </c>
      <c r="V1961" s="39" t="n">
        <f aca="false">SUM(M1961:U1961)</f>
        <v>101.697958</v>
      </c>
      <c r="W1961" s="39" t="n">
        <f aca="false">V1961/(1-Resumo!$C$5)</f>
        <v>115.565861363636</v>
      </c>
      <c r="X1961" s="39" t="n">
        <v>114.95</v>
      </c>
      <c r="Y1961" s="39" t="n">
        <f aca="false">J1961*Resumo!$B$6</f>
        <v>0.53999</v>
      </c>
      <c r="Z1961" s="39" t="n">
        <f aca="false">J1961*Resumo!$B$7</f>
        <v>1.07998</v>
      </c>
      <c r="AA1961" s="39" t="n">
        <f aca="false">Resumo!$B$9</f>
        <v>1</v>
      </c>
      <c r="AB1961" s="39" t="n">
        <f aca="false">Resumo!$B$10*CEILING(I1961/100,1)</f>
        <v>4.5</v>
      </c>
      <c r="AC1961" s="39" t="n">
        <f aca="false">Resumo!$B$12*CEILING(I1961,1)</f>
        <v>2.4</v>
      </c>
      <c r="AD1961" s="39" t="n">
        <f aca="false">Resumo!$B$14*CEILING(I1961,1)</f>
        <v>18</v>
      </c>
      <c r="AE1961" s="39" t="n">
        <f aca="false">SUM(X1961:AD1961)</f>
        <v>142.46997</v>
      </c>
      <c r="AF1961" s="39" t="n">
        <f aca="false">AE1961/(1-Resumo!$B$5)</f>
        <v>161.897693181818</v>
      </c>
      <c r="AG1961" s="39" t="n">
        <f aca="false">AF1961-W1961</f>
        <v>46.3318318181818</v>
      </c>
      <c r="AH1961" s="40" t="n">
        <f aca="false">AF1961/W1961-1</f>
        <v>0.400912789222375</v>
      </c>
      <c r="AI1961" s="37" t="str">
        <f aca="false">IF(AF1961&lt;W1961,"SIM","NÃO")</f>
        <v>NÃO</v>
      </c>
      <c r="AJ1961" s="37" t="n">
        <v>2</v>
      </c>
      <c r="AK1961" s="37" t="n">
        <v>7</v>
      </c>
      <c r="AL1961" s="37" t="s">
        <v>343</v>
      </c>
      <c r="AM1961" s="39" t="n">
        <v>113.54</v>
      </c>
    </row>
    <row r="1962" customFormat="false" ht="15" hidden="false" customHeight="false" outlineLevel="0" collapsed="false">
      <c r="A1962" s="37" t="n">
        <v>397431770</v>
      </c>
      <c r="B1962" s="38" t="n">
        <v>46285.8024305556</v>
      </c>
      <c r="C1962" s="37" t="s">
        <v>340</v>
      </c>
      <c r="D1962" s="37" t="s">
        <v>429</v>
      </c>
      <c r="E1962" s="37" t="n">
        <v>28880000</v>
      </c>
      <c r="F1962" s="37" t="s">
        <v>290</v>
      </c>
      <c r="G1962" s="37" t="s">
        <v>198</v>
      </c>
      <c r="H1962" s="37" t="s">
        <v>188</v>
      </c>
      <c r="I1962" s="37" t="n">
        <v>67.3</v>
      </c>
      <c r="J1962" s="39" t="n">
        <v>694.72</v>
      </c>
      <c r="K1962" s="37" t="s">
        <v>342</v>
      </c>
      <c r="L1962" s="39" t="n">
        <v>155.35</v>
      </c>
      <c r="M1962" s="39" t="n">
        <v>90.2</v>
      </c>
      <c r="N1962" s="39" t="n">
        <f aca="false">J1962*Resumo!$C$6</f>
        <v>0</v>
      </c>
      <c r="O1962" s="39" t="n">
        <f aca="false">J1962*Resumo!$C$7</f>
        <v>1.458912</v>
      </c>
      <c r="P1962" s="39" t="n">
        <f aca="false">J1962*Resumo!$C$8</f>
        <v>1.458912</v>
      </c>
      <c r="Q1962" s="39" t="n">
        <f aca="false">Resumo!$C$10*CEILING(I1962/100,1)</f>
        <v>1.05</v>
      </c>
      <c r="R1962" s="39" t="n">
        <f aca="false">Resumo!$C$9</f>
        <v>0</v>
      </c>
      <c r="S1962" s="39" t="n">
        <f aca="false">Resumo!$C$13</f>
        <v>13.55</v>
      </c>
      <c r="T1962" s="39" t="n">
        <f aca="false">Resumo!$C$14*CEILING(I1962,1)</f>
        <v>30.6</v>
      </c>
      <c r="U1962" s="39" t="n">
        <f aca="false">SUM(M1962:T1962)*Resumo!$C$11</f>
        <v>0</v>
      </c>
      <c r="V1962" s="39" t="n">
        <f aca="false">SUM(M1962:U1962)</f>
        <v>138.317824</v>
      </c>
      <c r="W1962" s="39" t="n">
        <f aca="false">V1962/(1-Resumo!$C$5)</f>
        <v>157.179345454545</v>
      </c>
      <c r="X1962" s="39" t="n">
        <v>166.05</v>
      </c>
      <c r="Y1962" s="39" t="n">
        <f aca="false">J1962*Resumo!$B$6</f>
        <v>0.69472</v>
      </c>
      <c r="Z1962" s="39" t="n">
        <f aca="false">J1962*Resumo!$B$7</f>
        <v>1.38944</v>
      </c>
      <c r="AA1962" s="39" t="n">
        <f aca="false">Resumo!$B$9</f>
        <v>1</v>
      </c>
      <c r="AB1962" s="39" t="n">
        <f aca="false">Resumo!$B$10*CEILING(I1962/100,1)</f>
        <v>4.5</v>
      </c>
      <c r="AC1962" s="39" t="n">
        <f aca="false">Resumo!$B$12*CEILING(I1962,1)</f>
        <v>4.08</v>
      </c>
      <c r="AD1962" s="39" t="n">
        <f aca="false">Resumo!$B$14*CEILING(I1962,1)</f>
        <v>30.6</v>
      </c>
      <c r="AE1962" s="39" t="n">
        <f aca="false">SUM(X1962:AD1962)</f>
        <v>208.31416</v>
      </c>
      <c r="AF1962" s="39" t="n">
        <f aca="false">AE1962/(1-Resumo!$B$5)</f>
        <v>236.720636363636</v>
      </c>
      <c r="AG1962" s="39" t="n">
        <f aca="false">AF1962-W1962</f>
        <v>79.5412909090909</v>
      </c>
      <c r="AH1962" s="40" t="n">
        <f aca="false">AF1962/W1962-1</f>
        <v>0.506054346256922</v>
      </c>
      <c r="AI1962" s="37" t="str">
        <f aca="false">IF(AF1962&lt;W1962,"SIM","NÃO")</f>
        <v>NÃO</v>
      </c>
      <c r="AJ1962" s="37" t="n">
        <v>13</v>
      </c>
      <c r="AK1962" s="37" t="n">
        <v>10</v>
      </c>
      <c r="AL1962" s="37" t="s">
        <v>347</v>
      </c>
      <c r="AM1962" s="39" t="n">
        <v>155.35</v>
      </c>
    </row>
    <row r="1963" customFormat="false" ht="15" hidden="false" customHeight="false" outlineLevel="0" collapsed="false">
      <c r="A1963" s="37" t="n">
        <v>397438445</v>
      </c>
      <c r="B1963" s="38" t="n">
        <v>46285.8144560185</v>
      </c>
      <c r="C1963" s="37" t="s">
        <v>340</v>
      </c>
      <c r="D1963" s="37" t="s">
        <v>2103</v>
      </c>
      <c r="E1963" s="37" t="n">
        <v>21511200</v>
      </c>
      <c r="F1963" s="37" t="s">
        <v>159</v>
      </c>
      <c r="G1963" s="37" t="s">
        <v>196</v>
      </c>
      <c r="H1963" s="37" t="s">
        <v>186</v>
      </c>
      <c r="I1963" s="37" t="n">
        <v>49.6</v>
      </c>
      <c r="J1963" s="39" t="n">
        <v>769.99</v>
      </c>
      <c r="K1963" s="37" t="s">
        <v>342</v>
      </c>
      <c r="L1963" s="39" t="n">
        <v>104.27</v>
      </c>
      <c r="M1963" s="39" t="n">
        <v>53.55</v>
      </c>
      <c r="N1963" s="39" t="n">
        <f aca="false">J1963*Resumo!$C$6</f>
        <v>0</v>
      </c>
      <c r="O1963" s="39" t="n">
        <f aca="false">J1963*Resumo!$C$7</f>
        <v>1.616979</v>
      </c>
      <c r="P1963" s="39" t="n">
        <f aca="false">J1963*Resumo!$C$8</f>
        <v>1.616979</v>
      </c>
      <c r="Q1963" s="39" t="n">
        <f aca="false">Resumo!$C$10*CEILING(I1963/100,1)</f>
        <v>1.05</v>
      </c>
      <c r="R1963" s="39" t="n">
        <f aca="false">Resumo!$C$9</f>
        <v>0</v>
      </c>
      <c r="S1963" s="39" t="n">
        <f aca="false">Resumo!$C$13</f>
        <v>13.55</v>
      </c>
      <c r="T1963" s="39" t="n">
        <f aca="false">Resumo!$C$14*CEILING(I1963,1)</f>
        <v>22.5</v>
      </c>
      <c r="U1963" s="39" t="n">
        <f aca="false">SUM(M1963:T1963)*Resumo!$C$11</f>
        <v>0</v>
      </c>
      <c r="V1963" s="39" t="n">
        <f aca="false">SUM(M1963:U1963)</f>
        <v>93.883958</v>
      </c>
      <c r="W1963" s="39" t="n">
        <f aca="false">V1963/(1-Resumo!$C$5)</f>
        <v>106.686315909091</v>
      </c>
      <c r="X1963" s="39" t="n">
        <v>93.97</v>
      </c>
      <c r="Y1963" s="39" t="n">
        <f aca="false">J1963*Resumo!$B$6</f>
        <v>0.76999</v>
      </c>
      <c r="Z1963" s="39" t="n">
        <f aca="false">J1963*Resumo!$B$7</f>
        <v>1.53998</v>
      </c>
      <c r="AA1963" s="39" t="n">
        <f aca="false">Resumo!$B$9</f>
        <v>1</v>
      </c>
      <c r="AB1963" s="39" t="n">
        <f aca="false">Resumo!$B$10*CEILING(I1963/100,1)</f>
        <v>4.5</v>
      </c>
      <c r="AC1963" s="39" t="n">
        <f aca="false">Resumo!$B$12*CEILING(I1963,1)</f>
        <v>3</v>
      </c>
      <c r="AD1963" s="39" t="n">
        <f aca="false">Resumo!$B$14*CEILING(I1963,1)</f>
        <v>22.5</v>
      </c>
      <c r="AE1963" s="39" t="n">
        <f aca="false">SUM(X1963:AD1963)</f>
        <v>127.27997</v>
      </c>
      <c r="AF1963" s="39" t="n">
        <f aca="false">AE1963/(1-Resumo!$B$5)</f>
        <v>144.636329545455</v>
      </c>
      <c r="AG1963" s="39" t="n">
        <f aca="false">AF1963-W1963</f>
        <v>37.9500136363637</v>
      </c>
      <c r="AH1963" s="40" t="n">
        <f aca="false">AF1963/W1963-1</f>
        <v>0.355715850837904</v>
      </c>
      <c r="AI1963" s="37" t="str">
        <f aca="false">IF(AF1963&lt;W1963,"SIM","NÃO")</f>
        <v>NÃO</v>
      </c>
      <c r="AJ1963" s="37" t="n">
        <v>2</v>
      </c>
      <c r="AK1963" s="37" t="n">
        <v>5</v>
      </c>
      <c r="AL1963" s="37" t="s">
        <v>343</v>
      </c>
      <c r="AM1963" s="39" t="n">
        <v>104.28</v>
      </c>
    </row>
    <row r="1964" customFormat="false" ht="15" hidden="false" customHeight="false" outlineLevel="0" collapsed="false">
      <c r="A1964" s="37" t="n">
        <v>397457365</v>
      </c>
      <c r="B1964" s="38" t="n">
        <v>46285.8472222222</v>
      </c>
      <c r="C1964" s="37" t="s">
        <v>340</v>
      </c>
      <c r="D1964" s="37" t="s">
        <v>2104</v>
      </c>
      <c r="E1964" s="37" t="n">
        <v>21361640</v>
      </c>
      <c r="F1964" s="37" t="s">
        <v>159</v>
      </c>
      <c r="G1964" s="37" t="s">
        <v>196</v>
      </c>
      <c r="H1964" s="37" t="s">
        <v>186</v>
      </c>
      <c r="I1964" s="37" t="n">
        <v>48.3</v>
      </c>
      <c r="J1964" s="39" t="n">
        <v>449.35</v>
      </c>
      <c r="K1964" s="37" t="s">
        <v>342</v>
      </c>
      <c r="L1964" s="39" t="n">
        <v>102.74</v>
      </c>
      <c r="M1964" s="39" t="n">
        <v>53.55</v>
      </c>
      <c r="N1964" s="39" t="n">
        <f aca="false">J1964*Resumo!$C$6</f>
        <v>0</v>
      </c>
      <c r="O1964" s="39" t="n">
        <f aca="false">J1964*Resumo!$C$7</f>
        <v>0.943635</v>
      </c>
      <c r="P1964" s="39" t="n">
        <f aca="false">J1964*Resumo!$C$8</f>
        <v>0.943635</v>
      </c>
      <c r="Q1964" s="39" t="n">
        <f aca="false">Resumo!$C$10*CEILING(I1964/100,1)</f>
        <v>1.05</v>
      </c>
      <c r="R1964" s="39" t="n">
        <f aca="false">Resumo!$C$9</f>
        <v>0</v>
      </c>
      <c r="S1964" s="39" t="n">
        <f aca="false">Resumo!$C$13</f>
        <v>13.55</v>
      </c>
      <c r="T1964" s="39" t="n">
        <f aca="false">Resumo!$C$14*CEILING(I1964,1)</f>
        <v>22.05</v>
      </c>
      <c r="U1964" s="39" t="n">
        <f aca="false">SUM(M1964:T1964)*Resumo!$C$11</f>
        <v>0</v>
      </c>
      <c r="V1964" s="39" t="n">
        <f aca="false">SUM(M1964:U1964)</f>
        <v>92.08727</v>
      </c>
      <c r="W1964" s="39" t="n">
        <f aca="false">V1964/(1-Resumo!$C$5)</f>
        <v>104.644625</v>
      </c>
      <c r="X1964" s="39" t="n">
        <v>93.97</v>
      </c>
      <c r="Y1964" s="39" t="n">
        <f aca="false">J1964*Resumo!$B$6</f>
        <v>0.44935</v>
      </c>
      <c r="Z1964" s="39" t="n">
        <f aca="false">J1964*Resumo!$B$7</f>
        <v>0.8987</v>
      </c>
      <c r="AA1964" s="39" t="n">
        <f aca="false">Resumo!$B$9</f>
        <v>1</v>
      </c>
      <c r="AB1964" s="39" t="n">
        <f aca="false">Resumo!$B$10*CEILING(I1964/100,1)</f>
        <v>4.5</v>
      </c>
      <c r="AC1964" s="39" t="n">
        <f aca="false">Resumo!$B$12*CEILING(I1964,1)</f>
        <v>2.94</v>
      </c>
      <c r="AD1964" s="39" t="n">
        <f aca="false">Resumo!$B$14*CEILING(I1964,1)</f>
        <v>22.05</v>
      </c>
      <c r="AE1964" s="39" t="n">
        <f aca="false">SUM(X1964:AD1964)</f>
        <v>125.80805</v>
      </c>
      <c r="AF1964" s="39" t="n">
        <f aca="false">AE1964/(1-Resumo!$B$5)</f>
        <v>142.963693181818</v>
      </c>
      <c r="AG1964" s="39" t="n">
        <f aca="false">AF1964-W1964</f>
        <v>38.3190681818182</v>
      </c>
      <c r="AH1964" s="40" t="n">
        <f aca="false">AF1964/W1964-1</f>
        <v>0.366182861105558</v>
      </c>
      <c r="AI1964" s="37" t="str">
        <f aca="false">IF(AF1964&lt;W1964,"SIM","NÃO")</f>
        <v>NÃO</v>
      </c>
      <c r="AJ1964" s="37" t="n">
        <v>2</v>
      </c>
      <c r="AK1964" s="37" t="n">
        <v>5</v>
      </c>
      <c r="AL1964" s="37" t="s">
        <v>343</v>
      </c>
      <c r="AM1964" s="39" t="n">
        <v>102.74</v>
      </c>
    </row>
    <row r="1965" customFormat="false" ht="15" hidden="false" customHeight="false" outlineLevel="0" collapsed="false">
      <c r="A1965" s="37" t="n">
        <v>397508987</v>
      </c>
      <c r="B1965" s="38" t="n">
        <v>46285.9374884259</v>
      </c>
      <c r="C1965" s="37" t="s">
        <v>340</v>
      </c>
      <c r="D1965" s="37" t="s">
        <v>2105</v>
      </c>
      <c r="E1965" s="37" t="n">
        <v>22713460</v>
      </c>
      <c r="F1965" s="37" t="s">
        <v>159</v>
      </c>
      <c r="G1965" s="37" t="s">
        <v>196</v>
      </c>
      <c r="H1965" s="37" t="s">
        <v>184</v>
      </c>
      <c r="I1965" s="37" t="n">
        <v>31</v>
      </c>
      <c r="J1965" s="39" t="n">
        <v>323.94</v>
      </c>
      <c r="K1965" s="37" t="s">
        <v>342</v>
      </c>
      <c r="L1965" s="39" t="n">
        <v>81.89</v>
      </c>
      <c r="M1965" s="39" t="n">
        <v>42.11</v>
      </c>
      <c r="N1965" s="39" t="n">
        <f aca="false">J1965*Resumo!$C$6</f>
        <v>0</v>
      </c>
      <c r="O1965" s="39" t="n">
        <f aca="false">J1965*Resumo!$C$7</f>
        <v>0.680274</v>
      </c>
      <c r="P1965" s="39" t="n">
        <f aca="false">J1965*Resumo!$C$8</f>
        <v>0.680274</v>
      </c>
      <c r="Q1965" s="39" t="n">
        <f aca="false">Resumo!$C$10*CEILING(I1965/100,1)</f>
        <v>1.05</v>
      </c>
      <c r="R1965" s="39" t="n">
        <f aca="false">Resumo!$C$9</f>
        <v>0</v>
      </c>
      <c r="S1965" s="39" t="n">
        <f aca="false">Resumo!$C$13</f>
        <v>13.55</v>
      </c>
      <c r="T1965" s="39" t="n">
        <f aca="false">Resumo!$C$14*CEILING(I1965,1)</f>
        <v>13.95</v>
      </c>
      <c r="U1965" s="39" t="n">
        <f aca="false">SUM(M1965:T1965)*Resumo!$C$11</f>
        <v>0</v>
      </c>
      <c r="V1965" s="39" t="n">
        <f aca="false">SUM(M1965:U1965)</f>
        <v>72.020548</v>
      </c>
      <c r="W1965" s="39" t="n">
        <f aca="false">V1965/(1-Resumo!$C$5)</f>
        <v>81.8415318181818</v>
      </c>
      <c r="X1965" s="39" t="n">
        <v>82.21</v>
      </c>
      <c r="Y1965" s="39" t="n">
        <f aca="false">J1965*Resumo!$B$6</f>
        <v>0.32394</v>
      </c>
      <c r="Z1965" s="39" t="n">
        <f aca="false">J1965*Resumo!$B$7</f>
        <v>0.64788</v>
      </c>
      <c r="AA1965" s="39" t="n">
        <f aca="false">Resumo!$B$9</f>
        <v>1</v>
      </c>
      <c r="AB1965" s="39" t="n">
        <f aca="false">Resumo!$B$10*CEILING(I1965/100,1)</f>
        <v>4.5</v>
      </c>
      <c r="AC1965" s="39" t="n">
        <f aca="false">Resumo!$B$12*CEILING(I1965,1)</f>
        <v>1.86</v>
      </c>
      <c r="AD1965" s="39" t="n">
        <f aca="false">Resumo!$B$14*CEILING(I1965,1)</f>
        <v>13.95</v>
      </c>
      <c r="AE1965" s="39" t="n">
        <f aca="false">SUM(X1965:AD1965)</f>
        <v>104.49182</v>
      </c>
      <c r="AF1965" s="39" t="n">
        <f aca="false">AE1965/(1-Resumo!$B$5)</f>
        <v>118.740704545455</v>
      </c>
      <c r="AG1965" s="39" t="n">
        <f aca="false">AF1965-W1965</f>
        <v>36.8991727272727</v>
      </c>
      <c r="AH1965" s="40" t="n">
        <f aca="false">AF1965/W1965-1</f>
        <v>0.45086121810681</v>
      </c>
      <c r="AI1965" s="37" t="str">
        <f aca="false">IF(AF1965&lt;W1965,"SIM","NÃO")</f>
        <v>NÃO</v>
      </c>
      <c r="AJ1965" s="37" t="n">
        <v>2</v>
      </c>
      <c r="AK1965" s="37" t="n">
        <v>5</v>
      </c>
      <c r="AL1965" s="37" t="s">
        <v>343</v>
      </c>
      <c r="AM1965" s="39" t="n">
        <v>81.88</v>
      </c>
    </row>
    <row r="1966" customFormat="false" ht="15" hidden="false" customHeight="false" outlineLevel="0" collapsed="false">
      <c r="A1966" s="37" t="n">
        <v>397608636</v>
      </c>
      <c r="B1966" s="38" t="n">
        <v>46286.2935185185</v>
      </c>
      <c r="C1966" s="37" t="s">
        <v>340</v>
      </c>
      <c r="D1966" s="37" t="s">
        <v>2106</v>
      </c>
      <c r="E1966" s="37" t="n">
        <v>27264520</v>
      </c>
      <c r="F1966" s="37" t="s">
        <v>168</v>
      </c>
      <c r="G1966" s="37" t="s">
        <v>198</v>
      </c>
      <c r="H1966" s="37" t="s">
        <v>188</v>
      </c>
      <c r="I1966" s="37" t="n">
        <v>69</v>
      </c>
      <c r="J1966" s="39" t="n">
        <v>702.39</v>
      </c>
      <c r="K1966" s="37" t="s">
        <v>342</v>
      </c>
      <c r="L1966" s="39" t="n">
        <v>155.38</v>
      </c>
      <c r="M1966" s="39" t="n">
        <v>90.2</v>
      </c>
      <c r="N1966" s="39" t="n">
        <f aca="false">J1966*Resumo!$C$6</f>
        <v>0</v>
      </c>
      <c r="O1966" s="39" t="n">
        <f aca="false">J1966*Resumo!$C$7</f>
        <v>1.475019</v>
      </c>
      <c r="P1966" s="39" t="n">
        <f aca="false">J1966*Resumo!$C$8</f>
        <v>1.475019</v>
      </c>
      <c r="Q1966" s="39" t="n">
        <f aca="false">Resumo!$C$10*CEILING(I1966/100,1)</f>
        <v>1.05</v>
      </c>
      <c r="R1966" s="39" t="n">
        <f aca="false">Resumo!$C$9</f>
        <v>0</v>
      </c>
      <c r="S1966" s="39" t="n">
        <f aca="false">Resumo!$C$13</f>
        <v>13.55</v>
      </c>
      <c r="T1966" s="39" t="n">
        <f aca="false">Resumo!$C$14*CEILING(I1966,1)</f>
        <v>31.05</v>
      </c>
      <c r="U1966" s="39" t="n">
        <f aca="false">SUM(M1966:T1966)*Resumo!$C$11</f>
        <v>0</v>
      </c>
      <c r="V1966" s="39" t="n">
        <f aca="false">SUM(M1966:U1966)</f>
        <v>138.800038</v>
      </c>
      <c r="W1966" s="39" t="n">
        <f aca="false">V1966/(1-Resumo!$C$5)</f>
        <v>157.727315909091</v>
      </c>
      <c r="X1966" s="39" t="n">
        <v>166.05</v>
      </c>
      <c r="Y1966" s="39" t="n">
        <f aca="false">J1966*Resumo!$B$6</f>
        <v>0.70239</v>
      </c>
      <c r="Z1966" s="39" t="n">
        <f aca="false">J1966*Resumo!$B$7</f>
        <v>1.40478</v>
      </c>
      <c r="AA1966" s="39" t="n">
        <f aca="false">Resumo!$B$9</f>
        <v>1</v>
      </c>
      <c r="AB1966" s="39" t="n">
        <f aca="false">Resumo!$B$10*CEILING(I1966/100,1)</f>
        <v>4.5</v>
      </c>
      <c r="AC1966" s="39" t="n">
        <f aca="false">Resumo!$B$12*CEILING(I1966,1)</f>
        <v>4.14</v>
      </c>
      <c r="AD1966" s="39" t="n">
        <f aca="false">Resumo!$B$14*CEILING(I1966,1)</f>
        <v>31.05</v>
      </c>
      <c r="AE1966" s="39" t="n">
        <f aca="false">SUM(X1966:AD1966)</f>
        <v>208.84717</v>
      </c>
      <c r="AF1966" s="39" t="n">
        <f aca="false">AE1966/(1-Resumo!$B$5)</f>
        <v>237.326329545455</v>
      </c>
      <c r="AG1966" s="39" t="n">
        <f aca="false">AF1966-W1966</f>
        <v>79.5990136363637</v>
      </c>
      <c r="AH1966" s="40" t="n">
        <f aca="false">AF1966/W1966-1</f>
        <v>0.504662196129946</v>
      </c>
      <c r="AI1966" s="37" t="str">
        <f aca="false">IF(AF1966&lt;W1966,"SIM","NÃO")</f>
        <v>NÃO</v>
      </c>
      <c r="AJ1966" s="37" t="n">
        <v>13</v>
      </c>
      <c r="AK1966" s="37" t="n">
        <v>10</v>
      </c>
      <c r="AL1966" s="37" t="s">
        <v>343</v>
      </c>
      <c r="AM1966" s="39" t="n">
        <v>155.38</v>
      </c>
    </row>
    <row r="1967" customFormat="false" ht="15" hidden="false" customHeight="false" outlineLevel="0" collapsed="false">
      <c r="A1967" s="37" t="n">
        <v>397626794</v>
      </c>
      <c r="B1967" s="38" t="n">
        <v>46286.3524768519</v>
      </c>
      <c r="C1967" s="37" t="s">
        <v>340</v>
      </c>
      <c r="D1967" s="37" t="s">
        <v>2100</v>
      </c>
      <c r="E1967" s="37" t="n">
        <v>24346040</v>
      </c>
      <c r="F1967" s="37" t="s">
        <v>163</v>
      </c>
      <c r="G1967" s="37" t="s">
        <v>197</v>
      </c>
      <c r="H1967" s="37" t="s">
        <v>185</v>
      </c>
      <c r="I1967" s="37" t="n">
        <v>35.3</v>
      </c>
      <c r="J1967" s="39" t="n">
        <v>434.97</v>
      </c>
      <c r="K1967" s="37" t="s">
        <v>342</v>
      </c>
      <c r="L1967" s="39" t="n">
        <v>113.05</v>
      </c>
      <c r="M1967" s="39" t="n">
        <v>66.83</v>
      </c>
      <c r="N1967" s="39" t="n">
        <f aca="false">J1967*Resumo!$C$6</f>
        <v>0</v>
      </c>
      <c r="O1967" s="39" t="n">
        <f aca="false">J1967*Resumo!$C$7</f>
        <v>0.913437</v>
      </c>
      <c r="P1967" s="39" t="n">
        <f aca="false">J1967*Resumo!$C$8</f>
        <v>0.913437</v>
      </c>
      <c r="Q1967" s="39" t="n">
        <f aca="false">Resumo!$C$10*CEILING(I1967/100,1)</f>
        <v>1.05</v>
      </c>
      <c r="R1967" s="39" t="n">
        <f aca="false">Resumo!$C$9</f>
        <v>0</v>
      </c>
      <c r="S1967" s="39" t="n">
        <f aca="false">Resumo!$C$13</f>
        <v>13.55</v>
      </c>
      <c r="T1967" s="39" t="n">
        <f aca="false">Resumo!$C$14*CEILING(I1967,1)</f>
        <v>16.2</v>
      </c>
      <c r="U1967" s="39" t="n">
        <f aca="false">SUM(M1967:T1967)*Resumo!$C$11</f>
        <v>0</v>
      </c>
      <c r="V1967" s="39" t="n">
        <f aca="false">SUM(M1967:U1967)</f>
        <v>99.456874</v>
      </c>
      <c r="W1967" s="39" t="n">
        <f aca="false">V1967/(1-Resumo!$C$5)</f>
        <v>113.019175</v>
      </c>
      <c r="X1967" s="39" t="n">
        <v>114.95</v>
      </c>
      <c r="Y1967" s="39" t="n">
        <f aca="false">J1967*Resumo!$B$6</f>
        <v>0.43497</v>
      </c>
      <c r="Z1967" s="39" t="n">
        <f aca="false">J1967*Resumo!$B$7</f>
        <v>0.86994</v>
      </c>
      <c r="AA1967" s="39" t="n">
        <f aca="false">Resumo!$B$9</f>
        <v>1</v>
      </c>
      <c r="AB1967" s="39" t="n">
        <f aca="false">Resumo!$B$10*CEILING(I1967/100,1)</f>
        <v>4.5</v>
      </c>
      <c r="AC1967" s="39" t="n">
        <f aca="false">Resumo!$B$12*CEILING(I1967,1)</f>
        <v>2.16</v>
      </c>
      <c r="AD1967" s="39" t="n">
        <f aca="false">Resumo!$B$14*CEILING(I1967,1)</f>
        <v>16.2</v>
      </c>
      <c r="AE1967" s="39" t="n">
        <f aca="false">SUM(X1967:AD1967)</f>
        <v>140.11491</v>
      </c>
      <c r="AF1967" s="39" t="n">
        <f aca="false">AE1967/(1-Resumo!$B$5)</f>
        <v>159.221488636364</v>
      </c>
      <c r="AG1967" s="39" t="n">
        <f aca="false">AF1967-W1967</f>
        <v>46.2023136363637</v>
      </c>
      <c r="AH1967" s="40" t="n">
        <f aca="false">AF1967/W1967-1</f>
        <v>0.408800662687227</v>
      </c>
      <c r="AI1967" s="37" t="str">
        <f aca="false">IF(AF1967&lt;W1967,"SIM","NÃO")</f>
        <v>NÃO</v>
      </c>
      <c r="AJ1967" s="37" t="n">
        <v>2</v>
      </c>
      <c r="AK1967" s="37" t="n">
        <v>7</v>
      </c>
      <c r="AL1967" s="37" t="s">
        <v>343</v>
      </c>
      <c r="AM1967" s="39" t="n">
        <v>113.04</v>
      </c>
    </row>
    <row r="1968" customFormat="false" ht="15" hidden="false" customHeight="false" outlineLevel="0" collapsed="false">
      <c r="A1968" s="37" t="n">
        <v>397638991</v>
      </c>
      <c r="B1968" s="38" t="n">
        <v>46286.3742708333</v>
      </c>
      <c r="C1968" s="37" t="s">
        <v>2107</v>
      </c>
      <c r="D1968" s="37" t="s">
        <v>2108</v>
      </c>
      <c r="E1968" s="37" t="n">
        <v>22240005</v>
      </c>
      <c r="F1968" s="37" t="s">
        <v>159</v>
      </c>
      <c r="G1968" s="37" t="s">
        <v>196</v>
      </c>
      <c r="H1968" s="37" t="s">
        <v>184</v>
      </c>
      <c r="I1968" s="37" t="n">
        <v>31.6</v>
      </c>
      <c r="J1968" s="39" t="n">
        <v>2439.99</v>
      </c>
      <c r="K1968" s="37" t="s">
        <v>342</v>
      </c>
      <c r="L1968" s="39" t="n">
        <v>92.02</v>
      </c>
      <c r="M1968" s="39" t="n">
        <v>42.11</v>
      </c>
      <c r="N1968" s="39" t="n">
        <f aca="false">J1968*Resumo!$C$6</f>
        <v>0</v>
      </c>
      <c r="O1968" s="39" t="n">
        <f aca="false">J1968*Resumo!$C$7</f>
        <v>5.123979</v>
      </c>
      <c r="P1968" s="39" t="n">
        <f aca="false">J1968*Resumo!$C$8</f>
        <v>5.123979</v>
      </c>
      <c r="Q1968" s="39" t="n">
        <f aca="false">Resumo!$C$10*CEILING(I1968/100,1)</f>
        <v>1.05</v>
      </c>
      <c r="R1968" s="39" t="n">
        <f aca="false">Resumo!$C$9</f>
        <v>0</v>
      </c>
      <c r="S1968" s="39" t="n">
        <f aca="false">Resumo!$C$13</f>
        <v>13.55</v>
      </c>
      <c r="T1968" s="39" t="n">
        <f aca="false">Resumo!$C$14*CEILING(I1968,1)</f>
        <v>14.4</v>
      </c>
      <c r="U1968" s="39" t="n">
        <f aca="false">SUM(M1968:T1968)*Resumo!$C$11</f>
        <v>0</v>
      </c>
      <c r="V1968" s="39" t="n">
        <f aca="false">SUM(M1968:U1968)</f>
        <v>81.357958</v>
      </c>
      <c r="W1968" s="39" t="n">
        <f aca="false">V1968/(1-Resumo!$C$5)</f>
        <v>92.452225</v>
      </c>
      <c r="X1968" s="39" t="n">
        <v>82.21</v>
      </c>
      <c r="Y1968" s="39" t="n">
        <f aca="false">J1968*Resumo!$B$6</f>
        <v>2.43999</v>
      </c>
      <c r="Z1968" s="39" t="n">
        <f aca="false">J1968*Resumo!$B$7</f>
        <v>4.87998</v>
      </c>
      <c r="AA1968" s="39" t="n">
        <f aca="false">Resumo!$B$9</f>
        <v>1</v>
      </c>
      <c r="AB1968" s="39" t="n">
        <f aca="false">Resumo!$B$10*CEILING(I1968/100,1)</f>
        <v>4.5</v>
      </c>
      <c r="AC1968" s="39" t="n">
        <f aca="false">Resumo!$B$12*CEILING(I1968,1)</f>
        <v>1.92</v>
      </c>
      <c r="AD1968" s="39" t="n">
        <f aca="false">Resumo!$B$14*CEILING(I1968,1)</f>
        <v>14.4</v>
      </c>
      <c r="AE1968" s="39" t="n">
        <f aca="false">SUM(X1968:AD1968)</f>
        <v>111.34997</v>
      </c>
      <c r="AF1968" s="39" t="n">
        <f aca="false">AE1968/(1-Resumo!$B$5)</f>
        <v>126.534056818182</v>
      </c>
      <c r="AG1968" s="39" t="n">
        <f aca="false">AF1968-W1968</f>
        <v>34.0818318181818</v>
      </c>
      <c r="AH1968" s="40" t="n">
        <f aca="false">AF1968/W1968-1</f>
        <v>0.368642634811458</v>
      </c>
      <c r="AI1968" s="37" t="str">
        <f aca="false">IF(AF1968&lt;W1968,"SIM","NÃO")</f>
        <v>NÃO</v>
      </c>
      <c r="AJ1968" s="37" t="n">
        <v>2</v>
      </c>
      <c r="AK1968" s="37" t="n">
        <v>5</v>
      </c>
      <c r="AL1968" s="37" t="s">
        <v>343</v>
      </c>
      <c r="AM1968" s="39" t="n">
        <v>92.02</v>
      </c>
    </row>
    <row r="1969" customFormat="false" ht="15" hidden="false" customHeight="false" outlineLevel="0" collapsed="false">
      <c r="A1969" s="37" t="n">
        <v>397640246</v>
      </c>
      <c r="B1969" s="38" t="n">
        <v>46286.3870023148</v>
      </c>
      <c r="C1969" s="37" t="s">
        <v>372</v>
      </c>
      <c r="D1969" s="37" t="s">
        <v>2109</v>
      </c>
      <c r="E1969" s="37" t="n">
        <v>22723000</v>
      </c>
      <c r="F1969" s="37" t="s">
        <v>159</v>
      </c>
      <c r="G1969" s="37" t="s">
        <v>196</v>
      </c>
      <c r="H1969" s="37" t="s">
        <v>184</v>
      </c>
      <c r="I1969" s="37" t="n">
        <v>29.2</v>
      </c>
      <c r="J1969" s="39" t="n">
        <v>469.99</v>
      </c>
      <c r="K1969" s="37" t="s">
        <v>342</v>
      </c>
      <c r="L1969" s="39" t="n">
        <v>82.58</v>
      </c>
      <c r="M1969" s="39" t="n">
        <v>42.11</v>
      </c>
      <c r="N1969" s="39" t="n">
        <f aca="false">J1969*Resumo!$C$6</f>
        <v>0</v>
      </c>
      <c r="O1969" s="39" t="n">
        <f aca="false">J1969*Resumo!$C$7</f>
        <v>0.986979</v>
      </c>
      <c r="P1969" s="39" t="n">
        <f aca="false">J1969*Resumo!$C$8</f>
        <v>0.986979</v>
      </c>
      <c r="Q1969" s="39" t="n">
        <f aca="false">Resumo!$C$10*CEILING(I1969/100,1)</f>
        <v>1.05</v>
      </c>
      <c r="R1969" s="39" t="n">
        <f aca="false">Resumo!$C$9</f>
        <v>0</v>
      </c>
      <c r="S1969" s="39" t="n">
        <f aca="false">Resumo!$C$13</f>
        <v>13.55</v>
      </c>
      <c r="T1969" s="39" t="n">
        <f aca="false">Resumo!$C$14*CEILING(I1969,1)</f>
        <v>13.5</v>
      </c>
      <c r="U1969" s="39" t="n">
        <f aca="false">SUM(M1969:T1969)*Resumo!$C$11</f>
        <v>0</v>
      </c>
      <c r="V1969" s="39" t="n">
        <f aca="false">SUM(M1969:U1969)</f>
        <v>72.183958</v>
      </c>
      <c r="W1969" s="39" t="n">
        <f aca="false">V1969/(1-Resumo!$C$5)</f>
        <v>82.027225</v>
      </c>
      <c r="X1969" s="39" t="n">
        <v>82.21</v>
      </c>
      <c r="Y1969" s="39" t="n">
        <f aca="false">J1969*Resumo!$B$6</f>
        <v>0.46999</v>
      </c>
      <c r="Z1969" s="39" t="n">
        <f aca="false">J1969*Resumo!$B$7</f>
        <v>0.93998</v>
      </c>
      <c r="AA1969" s="39" t="n">
        <f aca="false">Resumo!$B$9</f>
        <v>1</v>
      </c>
      <c r="AB1969" s="39" t="n">
        <f aca="false">Resumo!$B$10*CEILING(I1969/100,1)</f>
        <v>4.5</v>
      </c>
      <c r="AC1969" s="39" t="n">
        <f aca="false">Resumo!$B$12*CEILING(I1969,1)</f>
        <v>1.8</v>
      </c>
      <c r="AD1969" s="39" t="n">
        <f aca="false">Resumo!$B$14*CEILING(I1969,1)</f>
        <v>13.5</v>
      </c>
      <c r="AE1969" s="39" t="n">
        <f aca="false">SUM(X1969:AD1969)</f>
        <v>104.41997</v>
      </c>
      <c r="AF1969" s="39" t="n">
        <f aca="false">AE1969/(1-Resumo!$B$5)</f>
        <v>118.659056818182</v>
      </c>
      <c r="AG1969" s="39" t="n">
        <f aca="false">AF1969-W1969</f>
        <v>36.6318318181818</v>
      </c>
      <c r="AH1969" s="40" t="n">
        <f aca="false">AF1969/W1969-1</f>
        <v>0.446581385853073</v>
      </c>
      <c r="AI1969" s="37" t="str">
        <f aca="false">IF(AF1969&lt;W1969,"SIM","NÃO")</f>
        <v>NÃO</v>
      </c>
      <c r="AJ1969" s="37" t="n">
        <v>2</v>
      </c>
      <c r="AK1969" s="37" t="n">
        <v>5</v>
      </c>
      <c r="AL1969" s="37" t="s">
        <v>343</v>
      </c>
      <c r="AM1969" s="39" t="n">
        <v>82.58</v>
      </c>
    </row>
    <row r="1970" customFormat="false" ht="15" hidden="false" customHeight="false" outlineLevel="0" collapsed="false">
      <c r="A1970" s="37" t="n">
        <v>397644715</v>
      </c>
      <c r="B1970" s="38" t="n">
        <v>46286.3931944444</v>
      </c>
      <c r="C1970" s="37" t="s">
        <v>340</v>
      </c>
      <c r="D1970" s="37" t="s">
        <v>1080</v>
      </c>
      <c r="E1970" s="37" t="n">
        <v>28770000</v>
      </c>
      <c r="F1970" s="37" t="s">
        <v>287</v>
      </c>
      <c r="G1970" s="37" t="s">
        <v>198</v>
      </c>
      <c r="H1970" s="37" t="s">
        <v>185</v>
      </c>
      <c r="I1970" s="37" t="n">
        <v>37.2</v>
      </c>
      <c r="J1970" s="39" t="n">
        <v>366.5</v>
      </c>
      <c r="K1970" s="37" t="s">
        <v>342</v>
      </c>
      <c r="L1970" s="39" t="n">
        <v>122</v>
      </c>
      <c r="M1970" s="39" t="n">
        <v>74.97</v>
      </c>
      <c r="N1970" s="39" t="n">
        <f aca="false">J1970*Resumo!$C$6</f>
        <v>0</v>
      </c>
      <c r="O1970" s="39" t="n">
        <f aca="false">J1970*Resumo!$C$7</f>
        <v>0.76965</v>
      </c>
      <c r="P1970" s="39" t="n">
        <f aca="false">J1970*Resumo!$C$8</f>
        <v>0.76965</v>
      </c>
      <c r="Q1970" s="39" t="n">
        <f aca="false">Resumo!$C$10*CEILING(I1970/100,1)</f>
        <v>1.05</v>
      </c>
      <c r="R1970" s="39" t="n">
        <f aca="false">Resumo!$C$9</f>
        <v>0</v>
      </c>
      <c r="S1970" s="39" t="n">
        <f aca="false">Resumo!$C$13</f>
        <v>13.55</v>
      </c>
      <c r="T1970" s="39" t="n">
        <f aca="false">Resumo!$C$14*CEILING(I1970,1)</f>
        <v>17.1</v>
      </c>
      <c r="U1970" s="39" t="n">
        <f aca="false">SUM(M1970:T1970)*Resumo!$C$11</f>
        <v>0</v>
      </c>
      <c r="V1970" s="39" t="n">
        <f aca="false">SUM(M1970:U1970)</f>
        <v>108.2093</v>
      </c>
      <c r="W1970" s="39" t="n">
        <f aca="false">V1970/(1-Resumo!$C$5)</f>
        <v>122.965113636364</v>
      </c>
      <c r="X1970" s="39" t="n">
        <v>143.04</v>
      </c>
      <c r="Y1970" s="39" t="n">
        <f aca="false">J1970*Resumo!$B$6</f>
        <v>0.3665</v>
      </c>
      <c r="Z1970" s="39" t="n">
        <f aca="false">J1970*Resumo!$B$7</f>
        <v>0.733</v>
      </c>
      <c r="AA1970" s="39" t="n">
        <f aca="false">Resumo!$B$9</f>
        <v>1</v>
      </c>
      <c r="AB1970" s="39" t="n">
        <f aca="false">Resumo!$B$10*CEILING(I1970/100,1)</f>
        <v>4.5</v>
      </c>
      <c r="AC1970" s="39" t="n">
        <f aca="false">Resumo!$B$12*CEILING(I1970,1)</f>
        <v>2.28</v>
      </c>
      <c r="AD1970" s="39" t="n">
        <f aca="false">Resumo!$B$14*CEILING(I1970,1)</f>
        <v>17.1</v>
      </c>
      <c r="AE1970" s="39" t="n">
        <f aca="false">SUM(X1970:AD1970)</f>
        <v>169.0195</v>
      </c>
      <c r="AF1970" s="39" t="n">
        <f aca="false">AE1970/(1-Resumo!$B$5)</f>
        <v>192.067613636364</v>
      </c>
      <c r="AG1970" s="39" t="n">
        <f aca="false">AF1970-W1970</f>
        <v>69.1025</v>
      </c>
      <c r="AH1970" s="40" t="n">
        <f aca="false">AF1970/W1970-1</f>
        <v>0.561968333590551</v>
      </c>
      <c r="AI1970" s="37" t="str">
        <f aca="false">IF(AF1970&lt;W1970,"SIM","NÃO")</f>
        <v>NÃO</v>
      </c>
      <c r="AJ1970" s="37" t="n">
        <v>13</v>
      </c>
      <c r="AK1970" s="37" t="n">
        <v>11</v>
      </c>
      <c r="AL1970" s="37" t="s">
        <v>347</v>
      </c>
      <c r="AM1970" s="39" t="n">
        <v>122</v>
      </c>
    </row>
    <row r="1971" customFormat="false" ht="15" hidden="false" customHeight="false" outlineLevel="0" collapsed="false">
      <c r="A1971" s="37" t="n">
        <v>397675588</v>
      </c>
      <c r="B1971" s="38" t="n">
        <v>46286.4452314815</v>
      </c>
      <c r="C1971" s="37" t="s">
        <v>345</v>
      </c>
      <c r="D1971" s="37" t="s">
        <v>597</v>
      </c>
      <c r="E1971" s="37" t="n">
        <v>23970000</v>
      </c>
      <c r="F1971" s="37" t="s">
        <v>222</v>
      </c>
      <c r="G1971" s="37" t="s">
        <v>198</v>
      </c>
      <c r="H1971" s="37" t="s">
        <v>188</v>
      </c>
      <c r="I1971" s="37" t="n">
        <v>66.8</v>
      </c>
      <c r="J1971" s="39" t="n">
        <v>691.9</v>
      </c>
      <c r="K1971" s="37" t="s">
        <v>342</v>
      </c>
      <c r="L1971" s="39" t="n">
        <v>155.33</v>
      </c>
      <c r="M1971" s="39" t="n">
        <v>90.2</v>
      </c>
      <c r="N1971" s="39" t="n">
        <f aca="false">J1971*Resumo!$C$6</f>
        <v>0</v>
      </c>
      <c r="O1971" s="39" t="n">
        <f aca="false">J1971*Resumo!$C$7</f>
        <v>1.45299</v>
      </c>
      <c r="P1971" s="39" t="n">
        <f aca="false">J1971*Resumo!$C$8</f>
        <v>1.45299</v>
      </c>
      <c r="Q1971" s="39" t="n">
        <f aca="false">Resumo!$C$10*CEILING(I1971/100,1)</f>
        <v>1.05</v>
      </c>
      <c r="R1971" s="39" t="n">
        <f aca="false">Resumo!$C$9</f>
        <v>0</v>
      </c>
      <c r="S1971" s="39" t="n">
        <f aca="false">Resumo!$C$13</f>
        <v>13.55</v>
      </c>
      <c r="T1971" s="39" t="n">
        <f aca="false">Resumo!$C$14*CEILING(I1971,1)</f>
        <v>30.15</v>
      </c>
      <c r="U1971" s="39" t="n">
        <f aca="false">SUM(M1971:T1971)*Resumo!$C$11</f>
        <v>0</v>
      </c>
      <c r="V1971" s="39" t="n">
        <f aca="false">SUM(M1971:U1971)</f>
        <v>137.85598</v>
      </c>
      <c r="W1971" s="39" t="n">
        <f aca="false">V1971/(1-Resumo!$C$5)</f>
        <v>156.654522727273</v>
      </c>
      <c r="X1971" s="39" t="n">
        <v>166.05</v>
      </c>
      <c r="Y1971" s="39" t="n">
        <f aca="false">J1971*Resumo!$B$6</f>
        <v>0.6919</v>
      </c>
      <c r="Z1971" s="39" t="n">
        <f aca="false">J1971*Resumo!$B$7</f>
        <v>1.3838</v>
      </c>
      <c r="AA1971" s="39" t="n">
        <f aca="false">Resumo!$B$9</f>
        <v>1</v>
      </c>
      <c r="AB1971" s="39" t="n">
        <f aca="false">Resumo!$B$10*CEILING(I1971/100,1)</f>
        <v>4.5</v>
      </c>
      <c r="AC1971" s="39" t="n">
        <f aca="false">Resumo!$B$12*CEILING(I1971,1)</f>
        <v>4.02</v>
      </c>
      <c r="AD1971" s="39" t="n">
        <f aca="false">Resumo!$B$14*CEILING(I1971,1)</f>
        <v>30.15</v>
      </c>
      <c r="AE1971" s="39" t="n">
        <f aca="false">SUM(X1971:AD1971)</f>
        <v>207.7957</v>
      </c>
      <c r="AF1971" s="39" t="n">
        <f aca="false">AE1971/(1-Resumo!$B$5)</f>
        <v>236.131477272727</v>
      </c>
      <c r="AG1971" s="39" t="n">
        <f aca="false">AF1971-W1971</f>
        <v>79.4769545454546</v>
      </c>
      <c r="AH1971" s="40" t="n">
        <f aca="false">AF1971/W1971-1</f>
        <v>0.507339035999745</v>
      </c>
      <c r="AI1971" s="37" t="str">
        <f aca="false">IF(AF1971&lt;W1971,"SIM","NÃO")</f>
        <v>NÃO</v>
      </c>
      <c r="AJ1971" s="37" t="n">
        <v>13</v>
      </c>
      <c r="AK1971" s="37" t="n">
        <v>10</v>
      </c>
      <c r="AL1971" s="37" t="s">
        <v>347</v>
      </c>
      <c r="AM1971" s="39" t="n">
        <v>155.33</v>
      </c>
    </row>
    <row r="1972" customFormat="false" ht="15" hidden="false" customHeight="false" outlineLevel="0" collapsed="false">
      <c r="A1972" s="37" t="n">
        <v>397678943</v>
      </c>
      <c r="B1972" s="38" t="n">
        <v>46286.4523726852</v>
      </c>
      <c r="C1972" s="37" t="s">
        <v>340</v>
      </c>
      <c r="D1972" s="37" t="s">
        <v>2110</v>
      </c>
      <c r="E1972" s="37" t="n">
        <v>20931003</v>
      </c>
      <c r="F1972" s="37" t="s">
        <v>159</v>
      </c>
      <c r="G1972" s="37" t="s">
        <v>196</v>
      </c>
      <c r="H1972" s="37" t="s">
        <v>185</v>
      </c>
      <c r="I1972" s="37" t="n">
        <v>40</v>
      </c>
      <c r="J1972" s="39" t="n">
        <v>599.99</v>
      </c>
      <c r="K1972" s="37" t="s">
        <v>342</v>
      </c>
      <c r="L1972" s="39" t="n">
        <v>92.73</v>
      </c>
      <c r="M1972" s="39" t="n">
        <v>48.35</v>
      </c>
      <c r="N1972" s="39" t="n">
        <f aca="false">J1972*Resumo!$C$6</f>
        <v>0</v>
      </c>
      <c r="O1972" s="39" t="n">
        <f aca="false">J1972*Resumo!$C$7</f>
        <v>1.259979</v>
      </c>
      <c r="P1972" s="39" t="n">
        <f aca="false">J1972*Resumo!$C$8</f>
        <v>1.259979</v>
      </c>
      <c r="Q1972" s="39" t="n">
        <f aca="false">Resumo!$C$10*CEILING(I1972/100,1)</f>
        <v>1.05</v>
      </c>
      <c r="R1972" s="39" t="n">
        <f aca="false">Resumo!$C$9</f>
        <v>0</v>
      </c>
      <c r="S1972" s="39" t="n">
        <f aca="false">Resumo!$C$13</f>
        <v>13.55</v>
      </c>
      <c r="T1972" s="39" t="n">
        <f aca="false">Resumo!$C$14*CEILING(I1972,1)</f>
        <v>18</v>
      </c>
      <c r="U1972" s="39" t="n">
        <f aca="false">SUM(M1972:T1972)*Resumo!$C$11</f>
        <v>0</v>
      </c>
      <c r="V1972" s="39" t="n">
        <f aca="false">SUM(M1972:U1972)</f>
        <v>83.469958</v>
      </c>
      <c r="W1972" s="39" t="n">
        <f aca="false">V1972/(1-Resumo!$C$5)</f>
        <v>94.852225</v>
      </c>
      <c r="X1972" s="39" t="n">
        <v>93.97</v>
      </c>
      <c r="Y1972" s="39" t="n">
        <f aca="false">J1972*Resumo!$B$6</f>
        <v>0.59999</v>
      </c>
      <c r="Z1972" s="39" t="n">
        <f aca="false">J1972*Resumo!$B$7</f>
        <v>1.19998</v>
      </c>
      <c r="AA1972" s="39" t="n">
        <f aca="false">Resumo!$B$9</f>
        <v>1</v>
      </c>
      <c r="AB1972" s="39" t="n">
        <f aca="false">Resumo!$B$10*CEILING(I1972/100,1)</f>
        <v>4.5</v>
      </c>
      <c r="AC1972" s="39" t="n">
        <f aca="false">Resumo!$B$12*CEILING(I1972,1)</f>
        <v>2.4</v>
      </c>
      <c r="AD1972" s="39" t="n">
        <f aca="false">Resumo!$B$14*CEILING(I1972,1)</f>
        <v>18</v>
      </c>
      <c r="AE1972" s="39" t="n">
        <f aca="false">SUM(X1972:AD1972)</f>
        <v>121.66997</v>
      </c>
      <c r="AF1972" s="39" t="n">
        <f aca="false">AE1972/(1-Resumo!$B$5)</f>
        <v>138.261329545455</v>
      </c>
      <c r="AG1972" s="39" t="n">
        <f aca="false">AF1972-W1972</f>
        <v>43.4091045454545</v>
      </c>
      <c r="AH1972" s="40" t="n">
        <f aca="false">AF1972/W1972-1</f>
        <v>0.457649828936059</v>
      </c>
      <c r="AI1972" s="37" t="str">
        <f aca="false">IF(AF1972&lt;W1972,"SIM","NÃO")</f>
        <v>NÃO</v>
      </c>
      <c r="AJ1972" s="37" t="n">
        <v>2</v>
      </c>
      <c r="AK1972" s="37" t="n">
        <v>5</v>
      </c>
      <c r="AL1972" s="37" t="s">
        <v>343</v>
      </c>
      <c r="AM1972" s="39" t="n">
        <v>92.73</v>
      </c>
    </row>
    <row r="1973" customFormat="false" ht="15" hidden="false" customHeight="false" outlineLevel="0" collapsed="false">
      <c r="A1973" s="37" t="n">
        <v>397684057</v>
      </c>
      <c r="B1973" s="38" t="n">
        <v>46286.4631944444</v>
      </c>
      <c r="C1973" s="37" t="s">
        <v>340</v>
      </c>
      <c r="D1973" s="37" t="s">
        <v>1863</v>
      </c>
      <c r="E1973" s="37" t="n">
        <v>27963795</v>
      </c>
      <c r="F1973" s="37" t="s">
        <v>166</v>
      </c>
      <c r="G1973" s="37" t="s">
        <v>198</v>
      </c>
      <c r="H1973" s="37" t="s">
        <v>184</v>
      </c>
      <c r="I1973" s="37" t="n">
        <v>33</v>
      </c>
      <c r="J1973" s="39" t="n">
        <v>438.93</v>
      </c>
      <c r="K1973" s="37" t="s">
        <v>342</v>
      </c>
      <c r="L1973" s="39" t="n">
        <v>109.28</v>
      </c>
      <c r="M1973" s="39" t="n">
        <v>65.63</v>
      </c>
      <c r="N1973" s="39" t="n">
        <f aca="false">J1973*Resumo!$C$6</f>
        <v>0</v>
      </c>
      <c r="O1973" s="39" t="n">
        <f aca="false">J1973*Resumo!$C$7</f>
        <v>0.921753</v>
      </c>
      <c r="P1973" s="39" t="n">
        <f aca="false">J1973*Resumo!$C$8</f>
        <v>0.921753</v>
      </c>
      <c r="Q1973" s="39" t="n">
        <f aca="false">Resumo!$C$10*CEILING(I1973/100,1)</f>
        <v>1.05</v>
      </c>
      <c r="R1973" s="39" t="n">
        <f aca="false">Resumo!$C$9</f>
        <v>0</v>
      </c>
      <c r="S1973" s="39" t="n">
        <f aca="false">Resumo!$C$13</f>
        <v>13.55</v>
      </c>
      <c r="T1973" s="39" t="n">
        <f aca="false">Resumo!$C$14*CEILING(I1973,1)</f>
        <v>14.85</v>
      </c>
      <c r="U1973" s="39" t="n">
        <f aca="false">SUM(M1973:T1973)*Resumo!$C$11</f>
        <v>0</v>
      </c>
      <c r="V1973" s="39" t="n">
        <f aca="false">SUM(M1973:U1973)</f>
        <v>96.923506</v>
      </c>
      <c r="W1973" s="39" t="n">
        <f aca="false">V1973/(1-Resumo!$C$5)</f>
        <v>110.140347727273</v>
      </c>
      <c r="X1973" s="39" t="n">
        <v>138.29</v>
      </c>
      <c r="Y1973" s="39" t="n">
        <f aca="false">J1973*Resumo!$B$6</f>
        <v>0.43893</v>
      </c>
      <c r="Z1973" s="39" t="n">
        <f aca="false">J1973*Resumo!$B$7</f>
        <v>0.87786</v>
      </c>
      <c r="AA1973" s="39" t="n">
        <f aca="false">Resumo!$B$9</f>
        <v>1</v>
      </c>
      <c r="AB1973" s="39" t="n">
        <f aca="false">Resumo!$B$10*CEILING(I1973/100,1)</f>
        <v>4.5</v>
      </c>
      <c r="AC1973" s="39" t="n">
        <f aca="false">Resumo!$B$12*CEILING(I1973,1)</f>
        <v>1.98</v>
      </c>
      <c r="AD1973" s="39" t="n">
        <f aca="false">Resumo!$B$14*CEILING(I1973,1)</f>
        <v>14.85</v>
      </c>
      <c r="AE1973" s="39" t="n">
        <f aca="false">SUM(X1973:AD1973)</f>
        <v>161.93679</v>
      </c>
      <c r="AF1973" s="39" t="n">
        <f aca="false">AE1973/(1-Resumo!$B$5)</f>
        <v>184.019079545455</v>
      </c>
      <c r="AG1973" s="39" t="n">
        <f aca="false">AF1973-W1973</f>
        <v>73.8787318181818</v>
      </c>
      <c r="AH1973" s="40" t="n">
        <f aca="false">AF1973/W1973-1</f>
        <v>0.670769008294025</v>
      </c>
      <c r="AI1973" s="37" t="str">
        <f aca="false">IF(AF1973&lt;W1973,"SIM","NÃO")</f>
        <v>NÃO</v>
      </c>
      <c r="AJ1973" s="37" t="n">
        <v>13</v>
      </c>
      <c r="AK1973" s="37" t="n">
        <v>11</v>
      </c>
      <c r="AL1973" s="37" t="s">
        <v>343</v>
      </c>
      <c r="AM1973" s="39" t="n">
        <v>109.28</v>
      </c>
    </row>
    <row r="1974" customFormat="false" ht="15" hidden="false" customHeight="false" outlineLevel="0" collapsed="false">
      <c r="A1974" s="37" t="n">
        <v>397749148</v>
      </c>
      <c r="B1974" s="38" t="n">
        <v>46286.5816782407</v>
      </c>
      <c r="C1974" s="37" t="s">
        <v>537</v>
      </c>
      <c r="D1974" s="37" t="s">
        <v>2111</v>
      </c>
      <c r="E1974" s="37" t="n">
        <v>22750006</v>
      </c>
      <c r="F1974" s="37" t="s">
        <v>159</v>
      </c>
      <c r="G1974" s="37" t="s">
        <v>196</v>
      </c>
      <c r="H1974" s="37" t="s">
        <v>187</v>
      </c>
      <c r="I1974" s="37" t="n">
        <v>52.3</v>
      </c>
      <c r="J1974" s="39" t="n">
        <v>699.99</v>
      </c>
      <c r="K1974" s="37" t="s">
        <v>342</v>
      </c>
      <c r="L1974" s="39" t="n">
        <v>114.5</v>
      </c>
      <c r="M1974" s="39" t="n">
        <v>58.6</v>
      </c>
      <c r="N1974" s="39" t="n">
        <f aca="false">J1974*Resumo!$C$6</f>
        <v>0</v>
      </c>
      <c r="O1974" s="39" t="n">
        <f aca="false">J1974*Resumo!$C$7</f>
        <v>1.469979</v>
      </c>
      <c r="P1974" s="39" t="n">
        <f aca="false">J1974*Resumo!$C$8</f>
        <v>1.469979</v>
      </c>
      <c r="Q1974" s="39" t="n">
        <f aca="false">Resumo!$C$10*CEILING(I1974/100,1)</f>
        <v>1.05</v>
      </c>
      <c r="R1974" s="39" t="n">
        <f aca="false">Resumo!$C$9</f>
        <v>0</v>
      </c>
      <c r="S1974" s="39" t="n">
        <f aca="false">Resumo!$C$13</f>
        <v>13.55</v>
      </c>
      <c r="T1974" s="39" t="n">
        <f aca="false">Resumo!$C$14*CEILING(I1974,1)</f>
        <v>23.85</v>
      </c>
      <c r="U1974" s="39" t="n">
        <f aca="false">SUM(M1974:T1974)*Resumo!$C$11</f>
        <v>0</v>
      </c>
      <c r="V1974" s="39" t="n">
        <f aca="false">SUM(M1974:U1974)</f>
        <v>99.989958</v>
      </c>
      <c r="W1974" s="39" t="n">
        <f aca="false">V1974/(1-Resumo!$C$5)</f>
        <v>113.624952272727</v>
      </c>
      <c r="X1974" s="39" t="n">
        <v>112.3</v>
      </c>
      <c r="Y1974" s="39" t="n">
        <f aca="false">J1974*Resumo!$B$6</f>
        <v>0.69999</v>
      </c>
      <c r="Z1974" s="39" t="n">
        <f aca="false">J1974*Resumo!$B$7</f>
        <v>1.39998</v>
      </c>
      <c r="AA1974" s="39" t="n">
        <f aca="false">Resumo!$B$9</f>
        <v>1</v>
      </c>
      <c r="AB1974" s="39" t="n">
        <f aca="false">Resumo!$B$10*CEILING(I1974/100,1)</f>
        <v>4.5</v>
      </c>
      <c r="AC1974" s="39" t="n">
        <f aca="false">Resumo!$B$12*CEILING(I1974,1)</f>
        <v>3.18</v>
      </c>
      <c r="AD1974" s="39" t="n">
        <f aca="false">Resumo!$B$14*CEILING(I1974,1)</f>
        <v>23.85</v>
      </c>
      <c r="AE1974" s="39" t="n">
        <f aca="false">SUM(X1974:AD1974)</f>
        <v>146.92997</v>
      </c>
      <c r="AF1974" s="39" t="n">
        <f aca="false">AE1974/(1-Resumo!$B$5)</f>
        <v>166.965875</v>
      </c>
      <c r="AG1974" s="39" t="n">
        <f aca="false">AF1974-W1974</f>
        <v>53.3409227272727</v>
      </c>
      <c r="AH1974" s="40" t="n">
        <f aca="false">AF1974/W1974-1</f>
        <v>0.469447261894039</v>
      </c>
      <c r="AI1974" s="37" t="str">
        <f aca="false">IF(AF1974&lt;W1974,"SIM","NÃO")</f>
        <v>NÃO</v>
      </c>
      <c r="AJ1974" s="37" t="n">
        <v>2</v>
      </c>
      <c r="AK1974" s="37" t="n">
        <v>5</v>
      </c>
      <c r="AL1974" s="37" t="s">
        <v>343</v>
      </c>
      <c r="AM1974" s="39" t="n">
        <v>114.5</v>
      </c>
    </row>
    <row r="1975" customFormat="false" ht="15" hidden="false" customHeight="false" outlineLevel="0" collapsed="false">
      <c r="A1975" s="37" t="n">
        <v>397748218</v>
      </c>
      <c r="B1975" s="38" t="n">
        <v>46286.599212963</v>
      </c>
      <c r="C1975" s="37" t="s">
        <v>345</v>
      </c>
      <c r="D1975" s="37" t="s">
        <v>2112</v>
      </c>
      <c r="E1975" s="37" t="n">
        <v>23575080</v>
      </c>
      <c r="F1975" s="37" t="s">
        <v>159</v>
      </c>
      <c r="G1975" s="37" t="s">
        <v>196</v>
      </c>
      <c r="H1975" s="37" t="s">
        <v>187</v>
      </c>
      <c r="I1975" s="37" t="n">
        <v>50.6</v>
      </c>
      <c r="J1975" s="39" t="n">
        <v>563.75</v>
      </c>
      <c r="K1975" s="37" t="s">
        <v>342</v>
      </c>
      <c r="L1975" s="39" t="n">
        <v>113.85</v>
      </c>
      <c r="M1975" s="39" t="n">
        <v>58.6</v>
      </c>
      <c r="N1975" s="39" t="n">
        <f aca="false">J1975*Resumo!$C$6</f>
        <v>0</v>
      </c>
      <c r="O1975" s="39" t="n">
        <f aca="false">J1975*Resumo!$C$7</f>
        <v>1.183875</v>
      </c>
      <c r="P1975" s="39" t="n">
        <f aca="false">J1975*Resumo!$C$8</f>
        <v>1.183875</v>
      </c>
      <c r="Q1975" s="39" t="n">
        <f aca="false">Resumo!$C$10*CEILING(I1975/100,1)</f>
        <v>1.05</v>
      </c>
      <c r="R1975" s="39" t="n">
        <f aca="false">Resumo!$C$9</f>
        <v>0</v>
      </c>
      <c r="S1975" s="39" t="n">
        <f aca="false">Resumo!$C$13</f>
        <v>13.55</v>
      </c>
      <c r="T1975" s="39" t="n">
        <f aca="false">Resumo!$C$14*CEILING(I1975,1)</f>
        <v>22.95</v>
      </c>
      <c r="U1975" s="39" t="n">
        <f aca="false">SUM(M1975:T1975)*Resumo!$C$11</f>
        <v>0</v>
      </c>
      <c r="V1975" s="39" t="n">
        <f aca="false">SUM(M1975:U1975)</f>
        <v>98.51775</v>
      </c>
      <c r="W1975" s="39" t="n">
        <f aca="false">V1975/(1-Resumo!$C$5)</f>
        <v>111.951988636364</v>
      </c>
      <c r="X1975" s="39" t="n">
        <v>112.3</v>
      </c>
      <c r="Y1975" s="39" t="n">
        <f aca="false">J1975*Resumo!$B$6</f>
        <v>0.56375</v>
      </c>
      <c r="Z1975" s="39" t="n">
        <f aca="false">J1975*Resumo!$B$7</f>
        <v>1.1275</v>
      </c>
      <c r="AA1975" s="39" t="n">
        <f aca="false">Resumo!$B$9</f>
        <v>1</v>
      </c>
      <c r="AB1975" s="39" t="n">
        <f aca="false">Resumo!$B$10*CEILING(I1975/100,1)</f>
        <v>4.5</v>
      </c>
      <c r="AC1975" s="39" t="n">
        <f aca="false">Resumo!$B$12*CEILING(I1975,1)</f>
        <v>3.06</v>
      </c>
      <c r="AD1975" s="39" t="n">
        <f aca="false">Resumo!$B$14*CEILING(I1975,1)</f>
        <v>22.95</v>
      </c>
      <c r="AE1975" s="39" t="n">
        <f aca="false">SUM(X1975:AD1975)</f>
        <v>145.50125</v>
      </c>
      <c r="AF1975" s="39" t="n">
        <f aca="false">AE1975/(1-Resumo!$B$5)</f>
        <v>165.342329545455</v>
      </c>
      <c r="AG1975" s="39" t="n">
        <f aca="false">AF1975-W1975</f>
        <v>53.3903409090909</v>
      </c>
      <c r="AH1975" s="40" t="n">
        <f aca="false">AF1975/W1975-1</f>
        <v>0.476903908178983</v>
      </c>
      <c r="AI1975" s="37" t="str">
        <f aca="false">IF(AF1975&lt;W1975,"SIM","NÃO")</f>
        <v>NÃO</v>
      </c>
      <c r="AJ1975" s="37" t="n">
        <v>2</v>
      </c>
      <c r="AK1975" s="37" t="n">
        <v>5</v>
      </c>
      <c r="AL1975" s="37" t="s">
        <v>343</v>
      </c>
      <c r="AM1975" s="39" t="n">
        <v>113.85</v>
      </c>
    </row>
    <row r="1976" customFormat="false" ht="15" hidden="false" customHeight="false" outlineLevel="0" collapsed="false">
      <c r="A1976" s="37" t="n">
        <v>397769065</v>
      </c>
      <c r="B1976" s="38" t="n">
        <v>46286.6438425926</v>
      </c>
      <c r="C1976" s="37" t="s">
        <v>345</v>
      </c>
      <c r="D1976" s="37" t="s">
        <v>2113</v>
      </c>
      <c r="E1976" s="37" t="n">
        <v>26050803</v>
      </c>
      <c r="F1976" s="37" t="s">
        <v>162</v>
      </c>
      <c r="G1976" s="37" t="s">
        <v>197</v>
      </c>
      <c r="H1976" s="37" t="s">
        <v>188</v>
      </c>
      <c r="I1976" s="37" t="n">
        <v>66.8</v>
      </c>
      <c r="J1976" s="39" t="n">
        <v>675.54</v>
      </c>
      <c r="K1976" s="37" t="s">
        <v>342</v>
      </c>
      <c r="L1976" s="39" t="n">
        <v>139.67</v>
      </c>
      <c r="M1976" s="39" t="n">
        <v>76.55</v>
      </c>
      <c r="N1976" s="39" t="n">
        <f aca="false">J1976*Resumo!$C$6</f>
        <v>0</v>
      </c>
      <c r="O1976" s="39" t="n">
        <f aca="false">J1976*Resumo!$C$7</f>
        <v>1.418634</v>
      </c>
      <c r="P1976" s="39" t="n">
        <f aca="false">J1976*Resumo!$C$8</f>
        <v>1.418634</v>
      </c>
      <c r="Q1976" s="39" t="n">
        <f aca="false">Resumo!$C$10*CEILING(I1976/100,1)</f>
        <v>1.05</v>
      </c>
      <c r="R1976" s="39" t="n">
        <f aca="false">Resumo!$C$9</f>
        <v>0</v>
      </c>
      <c r="S1976" s="39" t="n">
        <f aca="false">Resumo!$C$13</f>
        <v>13.55</v>
      </c>
      <c r="T1976" s="39" t="n">
        <f aca="false">Resumo!$C$14*CEILING(I1976,1)</f>
        <v>30.15</v>
      </c>
      <c r="U1976" s="39" t="n">
        <f aca="false">SUM(M1976:T1976)*Resumo!$C$11</f>
        <v>0</v>
      </c>
      <c r="V1976" s="39" t="n">
        <f aca="false">SUM(M1976:U1976)</f>
        <v>124.137268</v>
      </c>
      <c r="W1976" s="39" t="n">
        <f aca="false">V1976/(1-Resumo!$C$5)</f>
        <v>141.065077272727</v>
      </c>
      <c r="X1976" s="39" t="n">
        <v>131.02</v>
      </c>
      <c r="Y1976" s="39" t="n">
        <f aca="false">J1976*Resumo!$B$6</f>
        <v>0.67554</v>
      </c>
      <c r="Z1976" s="39" t="n">
        <f aca="false">J1976*Resumo!$B$7</f>
        <v>1.35108</v>
      </c>
      <c r="AA1976" s="39" t="n">
        <f aca="false">Resumo!$B$9</f>
        <v>1</v>
      </c>
      <c r="AB1976" s="39" t="n">
        <f aca="false">Resumo!$B$10*CEILING(I1976/100,1)</f>
        <v>4.5</v>
      </c>
      <c r="AC1976" s="39" t="n">
        <f aca="false">Resumo!$B$12*CEILING(I1976,1)</f>
        <v>4.02</v>
      </c>
      <c r="AD1976" s="39" t="n">
        <f aca="false">Resumo!$B$14*CEILING(I1976,1)</f>
        <v>30.15</v>
      </c>
      <c r="AE1976" s="39" t="n">
        <f aca="false">SUM(X1976:AD1976)</f>
        <v>172.71662</v>
      </c>
      <c r="AF1976" s="39" t="n">
        <f aca="false">AE1976/(1-Resumo!$B$5)</f>
        <v>196.268886363636</v>
      </c>
      <c r="AG1976" s="39" t="n">
        <f aca="false">AF1976-W1976</f>
        <v>55.2038090909091</v>
      </c>
      <c r="AH1976" s="40" t="n">
        <f aca="false">AF1976/W1976-1</f>
        <v>0.39133575905666</v>
      </c>
      <c r="AI1976" s="37" t="str">
        <f aca="false">IF(AF1976&lt;W1976,"SIM","NÃO")</f>
        <v>NÃO</v>
      </c>
      <c r="AJ1976" s="37" t="n">
        <v>2</v>
      </c>
      <c r="AK1976" s="37" t="n">
        <v>5</v>
      </c>
      <c r="AL1976" s="37" t="s">
        <v>343</v>
      </c>
      <c r="AM1976" s="39" t="n">
        <v>139.67</v>
      </c>
    </row>
    <row r="1977" customFormat="false" ht="15" hidden="false" customHeight="false" outlineLevel="0" collapsed="false">
      <c r="A1977" s="37" t="n">
        <v>397769222</v>
      </c>
      <c r="B1977" s="38" t="n">
        <v>46286.6440509259</v>
      </c>
      <c r="C1977" s="37" t="s">
        <v>340</v>
      </c>
      <c r="D1977" s="37" t="s">
        <v>2114</v>
      </c>
      <c r="E1977" s="37" t="n">
        <v>21842340</v>
      </c>
      <c r="F1977" s="37" t="s">
        <v>159</v>
      </c>
      <c r="G1977" s="37" t="s">
        <v>196</v>
      </c>
      <c r="H1977" s="37" t="s">
        <v>184</v>
      </c>
      <c r="I1977" s="37" t="n">
        <v>21.5</v>
      </c>
      <c r="J1977" s="39" t="n">
        <v>299.99</v>
      </c>
      <c r="K1977" s="37" t="s">
        <v>342</v>
      </c>
      <c r="L1977" s="39" t="n">
        <v>81.76</v>
      </c>
      <c r="M1977" s="39" t="n">
        <v>42.11</v>
      </c>
      <c r="N1977" s="39" t="n">
        <f aca="false">J1977*Resumo!$C$6</f>
        <v>0</v>
      </c>
      <c r="O1977" s="39" t="n">
        <f aca="false">J1977*Resumo!$C$7</f>
        <v>0.629979</v>
      </c>
      <c r="P1977" s="39" t="n">
        <f aca="false">J1977*Resumo!$C$8</f>
        <v>0.629979</v>
      </c>
      <c r="Q1977" s="39" t="n">
        <f aca="false">Resumo!$C$10*CEILING(I1977/100,1)</f>
        <v>1.05</v>
      </c>
      <c r="R1977" s="39" t="n">
        <f aca="false">Resumo!$C$9</f>
        <v>0</v>
      </c>
      <c r="S1977" s="39" t="n">
        <f aca="false">Resumo!$C$13</f>
        <v>13.55</v>
      </c>
      <c r="T1977" s="39" t="n">
        <f aca="false">Resumo!$C$14*CEILING(I1977,1)</f>
        <v>9.9</v>
      </c>
      <c r="U1977" s="39" t="n">
        <f aca="false">SUM(M1977:T1977)*Resumo!$C$11</f>
        <v>0</v>
      </c>
      <c r="V1977" s="39" t="n">
        <f aca="false">SUM(M1977:U1977)</f>
        <v>67.869958</v>
      </c>
      <c r="W1977" s="39" t="n">
        <f aca="false">V1977/(1-Resumo!$C$5)</f>
        <v>77.1249522727273</v>
      </c>
      <c r="X1977" s="39" t="n">
        <v>82.21</v>
      </c>
      <c r="Y1977" s="39" t="n">
        <f aca="false">J1977*Resumo!$B$6</f>
        <v>0.29999</v>
      </c>
      <c r="Z1977" s="39" t="n">
        <f aca="false">J1977*Resumo!$B$7</f>
        <v>0.59998</v>
      </c>
      <c r="AA1977" s="39" t="n">
        <f aca="false">Resumo!$B$9</f>
        <v>1</v>
      </c>
      <c r="AB1977" s="39" t="n">
        <f aca="false">Resumo!$B$10*CEILING(I1977/100,1)</f>
        <v>4.5</v>
      </c>
      <c r="AC1977" s="39" t="n">
        <f aca="false">Resumo!$B$12*CEILING(I1977,1)</f>
        <v>1.32</v>
      </c>
      <c r="AD1977" s="39" t="n">
        <f aca="false">Resumo!$B$14*CEILING(I1977,1)</f>
        <v>9.9</v>
      </c>
      <c r="AE1977" s="39" t="n">
        <f aca="false">SUM(X1977:AD1977)</f>
        <v>99.82997</v>
      </c>
      <c r="AF1977" s="39" t="n">
        <f aca="false">AE1977/(1-Resumo!$B$5)</f>
        <v>113.443147727273</v>
      </c>
      <c r="AG1977" s="39" t="n">
        <f aca="false">AF1977-W1977</f>
        <v>36.3181954545455</v>
      </c>
      <c r="AH1977" s="40" t="n">
        <f aca="false">AF1977/W1977-1</f>
        <v>0.470900718695008</v>
      </c>
      <c r="AI1977" s="37" t="str">
        <f aca="false">IF(AF1977&lt;W1977,"SIM","NÃO")</f>
        <v>NÃO</v>
      </c>
      <c r="AJ1977" s="37" t="n">
        <v>2</v>
      </c>
      <c r="AK1977" s="37" t="n">
        <v>5</v>
      </c>
      <c r="AL1977" s="37" t="s">
        <v>343</v>
      </c>
      <c r="AM1977" s="39" t="n">
        <v>81.76</v>
      </c>
    </row>
    <row r="1978" customFormat="false" ht="15" hidden="false" customHeight="false" outlineLevel="0" collapsed="false">
      <c r="A1978" s="37" t="n">
        <v>397804460</v>
      </c>
      <c r="B1978" s="38" t="n">
        <v>46286.7103125</v>
      </c>
      <c r="C1978" s="37" t="s">
        <v>340</v>
      </c>
      <c r="D1978" s="37" t="s">
        <v>2115</v>
      </c>
      <c r="E1978" s="37" t="n">
        <v>21046425</v>
      </c>
      <c r="F1978" s="37" t="s">
        <v>159</v>
      </c>
      <c r="G1978" s="37" t="s">
        <v>196</v>
      </c>
      <c r="H1978" s="37" t="s">
        <v>184</v>
      </c>
      <c r="I1978" s="37" t="n">
        <v>22.9</v>
      </c>
      <c r="J1978" s="39" t="n">
        <v>349.99</v>
      </c>
      <c r="K1978" s="37" t="s">
        <v>342</v>
      </c>
      <c r="L1978" s="39" t="n">
        <v>82</v>
      </c>
      <c r="M1978" s="39" t="n">
        <v>42.11</v>
      </c>
      <c r="N1978" s="39" t="n">
        <f aca="false">J1978*Resumo!$C$6</f>
        <v>0</v>
      </c>
      <c r="O1978" s="39" t="n">
        <f aca="false">J1978*Resumo!$C$7</f>
        <v>0.734979</v>
      </c>
      <c r="P1978" s="39" t="n">
        <f aca="false">J1978*Resumo!$C$8</f>
        <v>0.734979</v>
      </c>
      <c r="Q1978" s="39" t="n">
        <f aca="false">Resumo!$C$10*CEILING(I1978/100,1)</f>
        <v>1.05</v>
      </c>
      <c r="R1978" s="39" t="n">
        <f aca="false">Resumo!$C$9</f>
        <v>0</v>
      </c>
      <c r="S1978" s="39" t="n">
        <f aca="false">Resumo!$C$13</f>
        <v>13.55</v>
      </c>
      <c r="T1978" s="39" t="n">
        <f aca="false">Resumo!$C$14*CEILING(I1978,1)</f>
        <v>10.35</v>
      </c>
      <c r="U1978" s="39" t="n">
        <f aca="false">SUM(M1978:T1978)*Resumo!$C$11</f>
        <v>0</v>
      </c>
      <c r="V1978" s="39" t="n">
        <f aca="false">SUM(M1978:U1978)</f>
        <v>68.529958</v>
      </c>
      <c r="W1978" s="39" t="n">
        <f aca="false">V1978/(1-Resumo!$C$5)</f>
        <v>77.8749522727273</v>
      </c>
      <c r="X1978" s="39" t="n">
        <v>82.21</v>
      </c>
      <c r="Y1978" s="39" t="n">
        <f aca="false">J1978*Resumo!$B$6</f>
        <v>0.34999</v>
      </c>
      <c r="Z1978" s="39" t="n">
        <f aca="false">J1978*Resumo!$B$7</f>
        <v>0.69998</v>
      </c>
      <c r="AA1978" s="39" t="n">
        <f aca="false">Resumo!$B$9</f>
        <v>1</v>
      </c>
      <c r="AB1978" s="39" t="n">
        <f aca="false">Resumo!$B$10*CEILING(I1978/100,1)</f>
        <v>4.5</v>
      </c>
      <c r="AC1978" s="39" t="n">
        <f aca="false">Resumo!$B$12*CEILING(I1978,1)</f>
        <v>1.38</v>
      </c>
      <c r="AD1978" s="39" t="n">
        <f aca="false">Resumo!$B$14*CEILING(I1978,1)</f>
        <v>10.35</v>
      </c>
      <c r="AE1978" s="39" t="n">
        <f aca="false">SUM(X1978:AD1978)</f>
        <v>100.48997</v>
      </c>
      <c r="AF1978" s="39" t="n">
        <f aca="false">AE1978/(1-Resumo!$B$5)</f>
        <v>114.193147727273</v>
      </c>
      <c r="AG1978" s="39" t="n">
        <f aca="false">AF1978-W1978</f>
        <v>36.3181954545454</v>
      </c>
      <c r="AH1978" s="40" t="n">
        <f aca="false">AF1978/W1978-1</f>
        <v>0.466365556505959</v>
      </c>
      <c r="AI1978" s="37" t="str">
        <f aca="false">IF(AF1978&lt;W1978,"SIM","NÃO")</f>
        <v>NÃO</v>
      </c>
      <c r="AJ1978" s="37" t="n">
        <v>2</v>
      </c>
      <c r="AK1978" s="37" t="n">
        <v>5</v>
      </c>
      <c r="AL1978" s="37" t="s">
        <v>343</v>
      </c>
      <c r="AM1978" s="39" t="n">
        <v>82</v>
      </c>
    </row>
    <row r="1979" customFormat="false" ht="15" hidden="false" customHeight="false" outlineLevel="0" collapsed="false">
      <c r="A1979" s="37" t="n">
        <v>397807096</v>
      </c>
      <c r="B1979" s="38" t="n">
        <v>46286.7157060185</v>
      </c>
      <c r="C1979" s="37" t="s">
        <v>340</v>
      </c>
      <c r="D1979" s="37" t="s">
        <v>2007</v>
      </c>
      <c r="E1979" s="37" t="n">
        <v>28860000</v>
      </c>
      <c r="F1979" s="37" t="s">
        <v>290</v>
      </c>
      <c r="G1979" s="37" t="s">
        <v>198</v>
      </c>
      <c r="H1979" s="37" t="s">
        <v>184</v>
      </c>
      <c r="I1979" s="37" t="n">
        <v>30.5</v>
      </c>
      <c r="J1979" s="39" t="n">
        <v>406.6</v>
      </c>
      <c r="K1979" s="37" t="s">
        <v>342</v>
      </c>
      <c r="L1979" s="39" t="n">
        <v>109.13</v>
      </c>
      <c r="M1979" s="39" t="n">
        <v>65.63</v>
      </c>
      <c r="N1979" s="39" t="n">
        <f aca="false">J1979*Resumo!$C$6</f>
        <v>0</v>
      </c>
      <c r="O1979" s="39" t="n">
        <f aca="false">J1979*Resumo!$C$7</f>
        <v>0.85386</v>
      </c>
      <c r="P1979" s="39" t="n">
        <f aca="false">J1979*Resumo!$C$8</f>
        <v>0.85386</v>
      </c>
      <c r="Q1979" s="39" t="n">
        <f aca="false">Resumo!$C$10*CEILING(I1979/100,1)</f>
        <v>1.05</v>
      </c>
      <c r="R1979" s="39" t="n">
        <f aca="false">Resumo!$C$9</f>
        <v>0</v>
      </c>
      <c r="S1979" s="39" t="n">
        <f aca="false">Resumo!$C$13</f>
        <v>13.55</v>
      </c>
      <c r="T1979" s="39" t="n">
        <f aca="false">Resumo!$C$14*CEILING(I1979,1)</f>
        <v>13.95</v>
      </c>
      <c r="U1979" s="39" t="n">
        <f aca="false">SUM(M1979:T1979)*Resumo!$C$11</f>
        <v>0</v>
      </c>
      <c r="V1979" s="39" t="n">
        <f aca="false">SUM(M1979:U1979)</f>
        <v>95.88772</v>
      </c>
      <c r="W1979" s="39" t="n">
        <f aca="false">V1979/(1-Resumo!$C$5)</f>
        <v>108.963318181818</v>
      </c>
      <c r="X1979" s="39" t="n">
        <v>114.95</v>
      </c>
      <c r="Y1979" s="39" t="n">
        <f aca="false">J1979*Resumo!$B$6</f>
        <v>0.4066</v>
      </c>
      <c r="Z1979" s="39" t="n">
        <f aca="false">J1979*Resumo!$B$7</f>
        <v>0.8132</v>
      </c>
      <c r="AA1979" s="39" t="n">
        <f aca="false">Resumo!$B$9</f>
        <v>1</v>
      </c>
      <c r="AB1979" s="39" t="n">
        <f aca="false">Resumo!$B$10*CEILING(I1979/100,1)</f>
        <v>4.5</v>
      </c>
      <c r="AC1979" s="39" t="n">
        <f aca="false">Resumo!$B$12*CEILING(I1979,1)</f>
        <v>1.86</v>
      </c>
      <c r="AD1979" s="39" t="n">
        <f aca="false">Resumo!$B$14*CEILING(I1979,1)</f>
        <v>13.95</v>
      </c>
      <c r="AE1979" s="39" t="n">
        <f aca="false">SUM(X1979:AD1979)</f>
        <v>137.4798</v>
      </c>
      <c r="AF1979" s="39" t="n">
        <f aca="false">AE1979/(1-Resumo!$B$5)</f>
        <v>156.227045454545</v>
      </c>
      <c r="AG1979" s="39" t="n">
        <f aca="false">AF1979-W1979</f>
        <v>47.2637272727273</v>
      </c>
      <c r="AH1979" s="40" t="n">
        <f aca="false">AF1979/W1979-1</f>
        <v>0.433758149635845</v>
      </c>
      <c r="AI1979" s="37" t="str">
        <f aca="false">IF(AF1979&lt;W1979,"SIM","NÃO")</f>
        <v>NÃO</v>
      </c>
      <c r="AJ1979" s="37" t="n">
        <v>13</v>
      </c>
      <c r="AK1979" s="37" t="n">
        <v>10</v>
      </c>
      <c r="AL1979" s="37" t="s">
        <v>347</v>
      </c>
      <c r="AM1979" s="39" t="n">
        <v>109.13</v>
      </c>
    </row>
    <row r="1980" customFormat="false" ht="15" hidden="false" customHeight="false" outlineLevel="0" collapsed="false">
      <c r="A1980" s="37" t="n">
        <v>397821261</v>
      </c>
      <c r="B1980" s="38" t="n">
        <v>46286.7389930556</v>
      </c>
      <c r="C1980" s="37" t="s">
        <v>340</v>
      </c>
      <c r="D1980" s="37" t="s">
        <v>1558</v>
      </c>
      <c r="E1980" s="37" t="n">
        <v>21770190</v>
      </c>
      <c r="F1980" s="37" t="s">
        <v>159</v>
      </c>
      <c r="G1980" s="37" t="s">
        <v>196</v>
      </c>
      <c r="H1980" s="37" t="s">
        <v>185</v>
      </c>
      <c r="I1980" s="37" t="n">
        <v>35.3</v>
      </c>
      <c r="J1980" s="39" t="n">
        <v>434.97</v>
      </c>
      <c r="K1980" s="37" t="s">
        <v>342</v>
      </c>
      <c r="L1980" s="39" t="n">
        <v>91.94</v>
      </c>
      <c r="M1980" s="39" t="n">
        <v>48.35</v>
      </c>
      <c r="N1980" s="39" t="n">
        <f aca="false">J1980*Resumo!$C$6</f>
        <v>0</v>
      </c>
      <c r="O1980" s="39" t="n">
        <f aca="false">J1980*Resumo!$C$7</f>
        <v>0.913437</v>
      </c>
      <c r="P1980" s="39" t="n">
        <f aca="false">J1980*Resumo!$C$8</f>
        <v>0.913437</v>
      </c>
      <c r="Q1980" s="39" t="n">
        <f aca="false">Resumo!$C$10*CEILING(I1980/100,1)</f>
        <v>1.05</v>
      </c>
      <c r="R1980" s="39" t="n">
        <f aca="false">Resumo!$C$9</f>
        <v>0</v>
      </c>
      <c r="S1980" s="39" t="n">
        <f aca="false">Resumo!$C$13</f>
        <v>13.55</v>
      </c>
      <c r="T1980" s="39" t="n">
        <f aca="false">Resumo!$C$14*CEILING(I1980,1)</f>
        <v>16.2</v>
      </c>
      <c r="U1980" s="39" t="n">
        <f aca="false">SUM(M1980:T1980)*Resumo!$C$11</f>
        <v>0</v>
      </c>
      <c r="V1980" s="39" t="n">
        <f aca="false">SUM(M1980:U1980)</f>
        <v>80.976874</v>
      </c>
      <c r="W1980" s="39" t="n">
        <f aca="false">V1980/(1-Resumo!$C$5)</f>
        <v>92.019175</v>
      </c>
      <c r="X1980" s="39" t="n">
        <v>93.97</v>
      </c>
      <c r="Y1980" s="39" t="n">
        <f aca="false">J1980*Resumo!$B$6</f>
        <v>0.43497</v>
      </c>
      <c r="Z1980" s="39" t="n">
        <f aca="false">J1980*Resumo!$B$7</f>
        <v>0.86994</v>
      </c>
      <c r="AA1980" s="39" t="n">
        <f aca="false">Resumo!$B$9</f>
        <v>1</v>
      </c>
      <c r="AB1980" s="39" t="n">
        <f aca="false">Resumo!$B$10*CEILING(I1980/100,1)</f>
        <v>4.5</v>
      </c>
      <c r="AC1980" s="39" t="n">
        <f aca="false">Resumo!$B$12*CEILING(I1980,1)</f>
        <v>2.16</v>
      </c>
      <c r="AD1980" s="39" t="n">
        <f aca="false">Resumo!$B$14*CEILING(I1980,1)</f>
        <v>16.2</v>
      </c>
      <c r="AE1980" s="39" t="n">
        <f aca="false">SUM(X1980:AD1980)</f>
        <v>119.13491</v>
      </c>
      <c r="AF1980" s="39" t="n">
        <f aca="false">AE1980/(1-Resumo!$B$5)</f>
        <v>135.380579545455</v>
      </c>
      <c r="AG1980" s="39" t="n">
        <f aca="false">AF1980-W1980</f>
        <v>43.3614045454545</v>
      </c>
      <c r="AH1980" s="40" t="n">
        <f aca="false">AF1980/W1980-1</f>
        <v>0.471221400816238</v>
      </c>
      <c r="AI1980" s="37" t="str">
        <f aca="false">IF(AF1980&lt;W1980,"SIM","NÃO")</f>
        <v>NÃO</v>
      </c>
      <c r="AJ1980" s="37" t="n">
        <v>2</v>
      </c>
      <c r="AK1980" s="37" t="n">
        <v>5</v>
      </c>
      <c r="AL1980" s="37" t="s">
        <v>343</v>
      </c>
      <c r="AM1980" s="39" t="n">
        <v>91.94</v>
      </c>
    </row>
    <row r="1981" customFormat="false" ht="15" hidden="false" customHeight="false" outlineLevel="0" collapsed="false">
      <c r="A1981" s="37" t="n">
        <v>397847078</v>
      </c>
      <c r="B1981" s="38" t="n">
        <v>46286.7621990741</v>
      </c>
      <c r="C1981" s="37" t="s">
        <v>537</v>
      </c>
      <c r="D1981" s="37" t="s">
        <v>2116</v>
      </c>
      <c r="E1981" s="37" t="n">
        <v>24725040</v>
      </c>
      <c r="F1981" s="37" t="s">
        <v>160</v>
      </c>
      <c r="G1981" s="37" t="s">
        <v>197</v>
      </c>
      <c r="H1981" s="37" t="s">
        <v>186</v>
      </c>
      <c r="I1981" s="37" t="n">
        <v>49.6</v>
      </c>
      <c r="J1981" s="39" t="n">
        <v>749.99</v>
      </c>
      <c r="K1981" s="37" t="s">
        <v>342</v>
      </c>
      <c r="L1981" s="39" t="n">
        <v>117.67</v>
      </c>
      <c r="M1981" s="39" t="n">
        <v>65.36</v>
      </c>
      <c r="N1981" s="39" t="n">
        <f aca="false">J1981*Resumo!$C$6</f>
        <v>0</v>
      </c>
      <c r="O1981" s="39" t="n">
        <f aca="false">J1981*Resumo!$C$7</f>
        <v>1.574979</v>
      </c>
      <c r="P1981" s="39" t="n">
        <f aca="false">J1981*Resumo!$C$8</f>
        <v>1.574979</v>
      </c>
      <c r="Q1981" s="39" t="n">
        <f aca="false">Resumo!$C$10*CEILING(I1981/100,1)</f>
        <v>1.05</v>
      </c>
      <c r="R1981" s="39" t="n">
        <f aca="false">Resumo!$C$9</f>
        <v>0</v>
      </c>
      <c r="S1981" s="39" t="n">
        <f aca="false">Resumo!$C$13</f>
        <v>13.55</v>
      </c>
      <c r="T1981" s="39" t="n">
        <f aca="false">Resumo!$C$14*CEILING(I1981,1)</f>
        <v>22.5</v>
      </c>
      <c r="U1981" s="39" t="n">
        <f aca="false">SUM(M1981:T1981)*Resumo!$C$11</f>
        <v>0</v>
      </c>
      <c r="V1981" s="39" t="n">
        <f aca="false">SUM(M1981:U1981)</f>
        <v>105.609958</v>
      </c>
      <c r="W1981" s="39" t="n">
        <f aca="false">V1981/(1-Resumo!$C$5)</f>
        <v>120.011315909091</v>
      </c>
      <c r="X1981" s="39" t="n">
        <v>114.95</v>
      </c>
      <c r="Y1981" s="39" t="n">
        <f aca="false">J1981*Resumo!$B$6</f>
        <v>0.74999</v>
      </c>
      <c r="Z1981" s="39" t="n">
        <f aca="false">J1981*Resumo!$B$7</f>
        <v>1.49998</v>
      </c>
      <c r="AA1981" s="39" t="n">
        <f aca="false">Resumo!$B$9</f>
        <v>1</v>
      </c>
      <c r="AB1981" s="39" t="n">
        <f aca="false">Resumo!$B$10*CEILING(I1981/100,1)</f>
        <v>4.5</v>
      </c>
      <c r="AC1981" s="39" t="n">
        <f aca="false">Resumo!$B$12*CEILING(I1981,1)</f>
        <v>3</v>
      </c>
      <c r="AD1981" s="39" t="n">
        <f aca="false">Resumo!$B$14*CEILING(I1981,1)</f>
        <v>22.5</v>
      </c>
      <c r="AE1981" s="39" t="n">
        <f aca="false">SUM(X1981:AD1981)</f>
        <v>148.19997</v>
      </c>
      <c r="AF1981" s="39" t="n">
        <f aca="false">AE1981/(1-Resumo!$B$5)</f>
        <v>168.409056818182</v>
      </c>
      <c r="AG1981" s="39" t="n">
        <f aca="false">AF1981-W1981</f>
        <v>48.3977409090909</v>
      </c>
      <c r="AH1981" s="40" t="n">
        <f aca="false">AF1981/W1981-1</f>
        <v>0.403276478909309</v>
      </c>
      <c r="AI1981" s="37" t="str">
        <f aca="false">IF(AF1981&lt;W1981,"SIM","NÃO")</f>
        <v>NÃO</v>
      </c>
      <c r="AJ1981" s="37" t="n">
        <v>2</v>
      </c>
      <c r="AK1981" s="37" t="n">
        <v>7</v>
      </c>
      <c r="AL1981" s="37" t="s">
        <v>343</v>
      </c>
      <c r="AM1981" s="39" t="n">
        <v>117.67</v>
      </c>
    </row>
    <row r="1982" customFormat="false" ht="15" hidden="false" customHeight="false" outlineLevel="0" collapsed="false">
      <c r="A1982" s="37" t="n">
        <v>397848628</v>
      </c>
      <c r="B1982" s="38" t="n">
        <v>46286.7919444444</v>
      </c>
      <c r="C1982" s="37" t="s">
        <v>340</v>
      </c>
      <c r="D1982" s="37" t="s">
        <v>2117</v>
      </c>
      <c r="E1982" s="37" t="n">
        <v>27966031</v>
      </c>
      <c r="F1982" s="37" t="s">
        <v>166</v>
      </c>
      <c r="G1982" s="37" t="s">
        <v>198</v>
      </c>
      <c r="H1982" s="37" t="s">
        <v>184</v>
      </c>
      <c r="I1982" s="37" t="n">
        <v>33</v>
      </c>
      <c r="J1982" s="39" t="n">
        <v>438.93</v>
      </c>
      <c r="K1982" s="37" t="s">
        <v>342</v>
      </c>
      <c r="L1982" s="39" t="n">
        <v>109.28</v>
      </c>
      <c r="M1982" s="39" t="n">
        <v>65.63</v>
      </c>
      <c r="N1982" s="39" t="n">
        <f aca="false">J1982*Resumo!$C$6</f>
        <v>0</v>
      </c>
      <c r="O1982" s="39" t="n">
        <f aca="false">J1982*Resumo!$C$7</f>
        <v>0.921753</v>
      </c>
      <c r="P1982" s="39" t="n">
        <f aca="false">J1982*Resumo!$C$8</f>
        <v>0.921753</v>
      </c>
      <c r="Q1982" s="39" t="n">
        <f aca="false">Resumo!$C$10*CEILING(I1982/100,1)</f>
        <v>1.05</v>
      </c>
      <c r="R1982" s="39" t="n">
        <f aca="false">Resumo!$C$9</f>
        <v>0</v>
      </c>
      <c r="S1982" s="39" t="n">
        <f aca="false">Resumo!$C$13</f>
        <v>13.55</v>
      </c>
      <c r="T1982" s="39" t="n">
        <f aca="false">Resumo!$C$14*CEILING(I1982,1)</f>
        <v>14.85</v>
      </c>
      <c r="U1982" s="39" t="n">
        <f aca="false">SUM(M1982:T1982)*Resumo!$C$11</f>
        <v>0</v>
      </c>
      <c r="V1982" s="39" t="n">
        <f aca="false">SUM(M1982:U1982)</f>
        <v>96.923506</v>
      </c>
      <c r="W1982" s="39" t="n">
        <f aca="false">V1982/(1-Resumo!$C$5)</f>
        <v>110.140347727273</v>
      </c>
      <c r="X1982" s="39" t="n">
        <v>138.29</v>
      </c>
      <c r="Y1982" s="39" t="n">
        <f aca="false">J1982*Resumo!$B$6</f>
        <v>0.43893</v>
      </c>
      <c r="Z1982" s="39" t="n">
        <f aca="false">J1982*Resumo!$B$7</f>
        <v>0.87786</v>
      </c>
      <c r="AA1982" s="39" t="n">
        <f aca="false">Resumo!$B$9</f>
        <v>1</v>
      </c>
      <c r="AB1982" s="39" t="n">
        <f aca="false">Resumo!$B$10*CEILING(I1982/100,1)</f>
        <v>4.5</v>
      </c>
      <c r="AC1982" s="39" t="n">
        <f aca="false">Resumo!$B$12*CEILING(I1982,1)</f>
        <v>1.98</v>
      </c>
      <c r="AD1982" s="39" t="n">
        <f aca="false">Resumo!$B$14*CEILING(I1982,1)</f>
        <v>14.85</v>
      </c>
      <c r="AE1982" s="39" t="n">
        <f aca="false">SUM(X1982:AD1982)</f>
        <v>161.93679</v>
      </c>
      <c r="AF1982" s="39" t="n">
        <f aca="false">AE1982/(1-Resumo!$B$5)</f>
        <v>184.019079545455</v>
      </c>
      <c r="AG1982" s="39" t="n">
        <f aca="false">AF1982-W1982</f>
        <v>73.8787318181818</v>
      </c>
      <c r="AH1982" s="40" t="n">
        <f aca="false">AF1982/W1982-1</f>
        <v>0.670769008294025</v>
      </c>
      <c r="AI1982" s="37" t="str">
        <f aca="false">IF(AF1982&lt;W1982,"SIM","NÃO")</f>
        <v>NÃO</v>
      </c>
      <c r="AJ1982" s="37" t="n">
        <v>13</v>
      </c>
      <c r="AK1982" s="37" t="n">
        <v>11</v>
      </c>
      <c r="AL1982" s="37" t="s">
        <v>343</v>
      </c>
      <c r="AM1982" s="39" t="n">
        <v>109.28</v>
      </c>
    </row>
    <row r="1983" customFormat="false" ht="15" hidden="false" customHeight="false" outlineLevel="0" collapsed="false">
      <c r="A1983" s="37" t="n">
        <v>397858201</v>
      </c>
      <c r="B1983" s="38" t="n">
        <v>46286.8105092593</v>
      </c>
      <c r="C1983" s="37" t="s">
        <v>345</v>
      </c>
      <c r="D1983" s="37" t="s">
        <v>2118</v>
      </c>
      <c r="E1983" s="37" t="n">
        <v>21381070</v>
      </c>
      <c r="F1983" s="37" t="s">
        <v>159</v>
      </c>
      <c r="G1983" s="37" t="s">
        <v>196</v>
      </c>
      <c r="H1983" s="37" t="s">
        <v>184</v>
      </c>
      <c r="I1983" s="37" t="n">
        <v>31.9</v>
      </c>
      <c r="J1983" s="39" t="n">
        <v>494.99</v>
      </c>
      <c r="K1983" s="37" t="s">
        <v>342</v>
      </c>
      <c r="L1983" s="39" t="n">
        <v>82.69</v>
      </c>
      <c r="M1983" s="39" t="n">
        <v>42.11</v>
      </c>
      <c r="N1983" s="39" t="n">
        <f aca="false">J1983*Resumo!$C$6</f>
        <v>0</v>
      </c>
      <c r="O1983" s="39" t="n">
        <f aca="false">J1983*Resumo!$C$7</f>
        <v>1.039479</v>
      </c>
      <c r="P1983" s="39" t="n">
        <f aca="false">J1983*Resumo!$C$8</f>
        <v>1.039479</v>
      </c>
      <c r="Q1983" s="39" t="n">
        <f aca="false">Resumo!$C$10*CEILING(I1983/100,1)</f>
        <v>1.05</v>
      </c>
      <c r="R1983" s="39" t="n">
        <f aca="false">Resumo!$C$9</f>
        <v>0</v>
      </c>
      <c r="S1983" s="39" t="n">
        <f aca="false">Resumo!$C$13</f>
        <v>13.55</v>
      </c>
      <c r="T1983" s="39" t="n">
        <f aca="false">Resumo!$C$14*CEILING(I1983,1)</f>
        <v>14.4</v>
      </c>
      <c r="U1983" s="39" t="n">
        <f aca="false">SUM(M1983:T1983)*Resumo!$C$11</f>
        <v>0</v>
      </c>
      <c r="V1983" s="39" t="n">
        <f aca="false">SUM(M1983:U1983)</f>
        <v>73.188958</v>
      </c>
      <c r="W1983" s="39" t="n">
        <f aca="false">V1983/(1-Resumo!$C$5)</f>
        <v>83.1692704545455</v>
      </c>
      <c r="X1983" s="39" t="n">
        <v>82.21</v>
      </c>
      <c r="Y1983" s="39" t="n">
        <f aca="false">J1983*Resumo!$B$6</f>
        <v>0.49499</v>
      </c>
      <c r="Z1983" s="39" t="n">
        <f aca="false">J1983*Resumo!$B$7</f>
        <v>0.98998</v>
      </c>
      <c r="AA1983" s="39" t="n">
        <f aca="false">Resumo!$B$9</f>
        <v>1</v>
      </c>
      <c r="AB1983" s="39" t="n">
        <f aca="false">Resumo!$B$10*CEILING(I1983/100,1)</f>
        <v>4.5</v>
      </c>
      <c r="AC1983" s="39" t="n">
        <f aca="false">Resumo!$B$12*CEILING(I1983,1)</f>
        <v>1.92</v>
      </c>
      <c r="AD1983" s="39" t="n">
        <f aca="false">Resumo!$B$14*CEILING(I1983,1)</f>
        <v>14.4</v>
      </c>
      <c r="AE1983" s="39" t="n">
        <f aca="false">SUM(X1983:AD1983)</f>
        <v>105.51497</v>
      </c>
      <c r="AF1983" s="39" t="n">
        <f aca="false">AE1983/(1-Resumo!$B$5)</f>
        <v>119.903375</v>
      </c>
      <c r="AG1983" s="39" t="n">
        <f aca="false">AF1983-W1983</f>
        <v>36.7341045454546</v>
      </c>
      <c r="AH1983" s="40" t="n">
        <f aca="false">AF1983/W1983-1</f>
        <v>0.441678811713647</v>
      </c>
      <c r="AI1983" s="37" t="str">
        <f aca="false">IF(AF1983&lt;W1983,"SIM","NÃO")</f>
        <v>NÃO</v>
      </c>
      <c r="AJ1983" s="37" t="n">
        <v>2</v>
      </c>
      <c r="AK1983" s="37" t="n">
        <v>5</v>
      </c>
      <c r="AL1983" s="37" t="s">
        <v>343</v>
      </c>
      <c r="AM1983" s="39" t="n">
        <v>82.7</v>
      </c>
    </row>
    <row r="1984" customFormat="false" ht="15" hidden="false" customHeight="false" outlineLevel="0" collapsed="false">
      <c r="A1984" s="37" t="n">
        <v>397875357</v>
      </c>
      <c r="B1984" s="38" t="n">
        <v>46286.8386458333</v>
      </c>
      <c r="C1984" s="37" t="s">
        <v>340</v>
      </c>
      <c r="D1984" s="37" t="s">
        <v>2119</v>
      </c>
      <c r="E1984" s="37" t="n">
        <v>23050170</v>
      </c>
      <c r="F1984" s="37" t="s">
        <v>159</v>
      </c>
      <c r="G1984" s="37" t="s">
        <v>196</v>
      </c>
      <c r="H1984" s="37" t="s">
        <v>186</v>
      </c>
      <c r="I1984" s="37" t="n">
        <v>43.5</v>
      </c>
      <c r="J1984" s="39" t="n">
        <v>662.38</v>
      </c>
      <c r="K1984" s="37" t="s">
        <v>342</v>
      </c>
      <c r="L1984" s="39" t="n">
        <v>103.75</v>
      </c>
      <c r="M1984" s="39" t="n">
        <v>53.55</v>
      </c>
      <c r="N1984" s="39" t="n">
        <f aca="false">J1984*Resumo!$C$6</f>
        <v>0</v>
      </c>
      <c r="O1984" s="39" t="n">
        <f aca="false">J1984*Resumo!$C$7</f>
        <v>1.390998</v>
      </c>
      <c r="P1984" s="39" t="n">
        <f aca="false">J1984*Resumo!$C$8</f>
        <v>1.390998</v>
      </c>
      <c r="Q1984" s="39" t="n">
        <f aca="false">Resumo!$C$10*CEILING(I1984/100,1)</f>
        <v>1.05</v>
      </c>
      <c r="R1984" s="39" t="n">
        <f aca="false">Resumo!$C$9</f>
        <v>0</v>
      </c>
      <c r="S1984" s="39" t="n">
        <f aca="false">Resumo!$C$13</f>
        <v>13.55</v>
      </c>
      <c r="T1984" s="39" t="n">
        <f aca="false">Resumo!$C$14*CEILING(I1984,1)</f>
        <v>19.8</v>
      </c>
      <c r="U1984" s="39" t="n">
        <f aca="false">SUM(M1984:T1984)*Resumo!$C$11</f>
        <v>0</v>
      </c>
      <c r="V1984" s="39" t="n">
        <f aca="false">SUM(M1984:U1984)</f>
        <v>90.731996</v>
      </c>
      <c r="W1984" s="39" t="n">
        <f aca="false">V1984/(1-Resumo!$C$5)</f>
        <v>103.104540909091</v>
      </c>
      <c r="X1984" s="39" t="n">
        <v>93.97</v>
      </c>
      <c r="Y1984" s="39" t="n">
        <f aca="false">J1984*Resumo!$B$6</f>
        <v>0.66238</v>
      </c>
      <c r="Z1984" s="39" t="n">
        <f aca="false">J1984*Resumo!$B$7</f>
        <v>1.32476</v>
      </c>
      <c r="AA1984" s="39" t="n">
        <f aca="false">Resumo!$B$9</f>
        <v>1</v>
      </c>
      <c r="AB1984" s="39" t="n">
        <f aca="false">Resumo!$B$10*CEILING(I1984/100,1)</f>
        <v>4.5</v>
      </c>
      <c r="AC1984" s="39" t="n">
        <f aca="false">Resumo!$B$12*CEILING(I1984,1)</f>
        <v>2.64</v>
      </c>
      <c r="AD1984" s="39" t="n">
        <f aca="false">Resumo!$B$14*CEILING(I1984,1)</f>
        <v>19.8</v>
      </c>
      <c r="AE1984" s="39" t="n">
        <f aca="false">SUM(X1984:AD1984)</f>
        <v>123.89714</v>
      </c>
      <c r="AF1984" s="39" t="n">
        <f aca="false">AE1984/(1-Resumo!$B$5)</f>
        <v>140.792204545455</v>
      </c>
      <c r="AG1984" s="39" t="n">
        <f aca="false">AF1984-W1984</f>
        <v>37.6876636363636</v>
      </c>
      <c r="AH1984" s="40" t="n">
        <f aca="false">AF1984/W1984-1</f>
        <v>0.365528649893253</v>
      </c>
      <c r="AI1984" s="37" t="str">
        <f aca="false">IF(AF1984&lt;W1984,"SIM","NÃO")</f>
        <v>NÃO</v>
      </c>
      <c r="AJ1984" s="37" t="n">
        <v>2</v>
      </c>
      <c r="AK1984" s="37" t="n">
        <v>5</v>
      </c>
      <c r="AL1984" s="37" t="s">
        <v>343</v>
      </c>
      <c r="AM1984" s="39" t="n">
        <v>103.76</v>
      </c>
    </row>
    <row r="1985" customFormat="false" ht="15" hidden="false" customHeight="false" outlineLevel="0" collapsed="false">
      <c r="A1985" s="37" t="n">
        <v>397888423</v>
      </c>
      <c r="B1985" s="38" t="n">
        <v>46286.860787037</v>
      </c>
      <c r="C1985" s="37" t="s">
        <v>340</v>
      </c>
      <c r="D1985" s="37" t="s">
        <v>2120</v>
      </c>
      <c r="E1985" s="37" t="n">
        <v>25051020</v>
      </c>
      <c r="F1985" s="37" t="s">
        <v>161</v>
      </c>
      <c r="G1985" s="37" t="s">
        <v>197</v>
      </c>
      <c r="H1985" s="37" t="s">
        <v>188</v>
      </c>
      <c r="I1985" s="37" t="n">
        <v>63.9</v>
      </c>
      <c r="J1985" s="39" t="n">
        <v>716.35</v>
      </c>
      <c r="K1985" s="37" t="s">
        <v>342</v>
      </c>
      <c r="L1985" s="39" t="n">
        <v>139.86</v>
      </c>
      <c r="M1985" s="39" t="n">
        <v>76.55</v>
      </c>
      <c r="N1985" s="39" t="n">
        <f aca="false">J1985*Resumo!$C$6</f>
        <v>0</v>
      </c>
      <c r="O1985" s="39" t="n">
        <f aca="false">J1985*Resumo!$C$7</f>
        <v>1.504335</v>
      </c>
      <c r="P1985" s="39" t="n">
        <f aca="false">J1985*Resumo!$C$8</f>
        <v>1.504335</v>
      </c>
      <c r="Q1985" s="39" t="n">
        <f aca="false">Resumo!$C$10*CEILING(I1985/100,1)</f>
        <v>1.05</v>
      </c>
      <c r="R1985" s="39" t="n">
        <f aca="false">Resumo!$C$9</f>
        <v>0</v>
      </c>
      <c r="S1985" s="39" t="n">
        <f aca="false">Resumo!$C$13</f>
        <v>13.55</v>
      </c>
      <c r="T1985" s="39" t="n">
        <f aca="false">Resumo!$C$14*CEILING(I1985,1)</f>
        <v>28.8</v>
      </c>
      <c r="U1985" s="39" t="n">
        <f aca="false">SUM(M1985:T1985)*Resumo!$C$11</f>
        <v>0</v>
      </c>
      <c r="V1985" s="39" t="n">
        <f aca="false">SUM(M1985:U1985)</f>
        <v>122.95867</v>
      </c>
      <c r="W1985" s="39" t="n">
        <f aca="false">V1985/(1-Resumo!$C$5)</f>
        <v>139.725761363636</v>
      </c>
      <c r="X1985" s="39" t="n">
        <v>131.02</v>
      </c>
      <c r="Y1985" s="39" t="n">
        <f aca="false">J1985*Resumo!$B$6</f>
        <v>0.71635</v>
      </c>
      <c r="Z1985" s="39" t="n">
        <f aca="false">J1985*Resumo!$B$7</f>
        <v>1.4327</v>
      </c>
      <c r="AA1985" s="39" t="n">
        <f aca="false">Resumo!$B$9</f>
        <v>1</v>
      </c>
      <c r="AB1985" s="39" t="n">
        <f aca="false">Resumo!$B$10*CEILING(I1985/100,1)</f>
        <v>4.5</v>
      </c>
      <c r="AC1985" s="39" t="n">
        <f aca="false">Resumo!$B$12*CEILING(I1985,1)</f>
        <v>3.84</v>
      </c>
      <c r="AD1985" s="39" t="n">
        <f aca="false">Resumo!$B$14*CEILING(I1985,1)</f>
        <v>28.8</v>
      </c>
      <c r="AE1985" s="39" t="n">
        <f aca="false">SUM(X1985:AD1985)</f>
        <v>171.30905</v>
      </c>
      <c r="AF1985" s="39" t="n">
        <f aca="false">AE1985/(1-Resumo!$B$5)</f>
        <v>194.669375</v>
      </c>
      <c r="AG1985" s="39" t="n">
        <f aca="false">AF1985-W1985</f>
        <v>54.9436136363636</v>
      </c>
      <c r="AH1985" s="40" t="n">
        <f aca="false">AF1985/W1985-1</f>
        <v>0.393224650201568</v>
      </c>
      <c r="AI1985" s="37" t="str">
        <f aca="false">IF(AF1985&lt;W1985,"SIM","NÃO")</f>
        <v>NÃO</v>
      </c>
      <c r="AJ1985" s="37" t="n">
        <v>2</v>
      </c>
      <c r="AK1985" s="37" t="n">
        <v>5</v>
      </c>
      <c r="AL1985" s="37" t="s">
        <v>343</v>
      </c>
      <c r="AM1985" s="39" t="n">
        <v>139.87</v>
      </c>
    </row>
    <row r="1986" customFormat="false" ht="15" hidden="false" customHeight="false" outlineLevel="0" collapsed="false">
      <c r="A1986" s="37" t="n">
        <v>397893504</v>
      </c>
      <c r="B1986" s="38" t="n">
        <v>46286.8660185185</v>
      </c>
      <c r="C1986" s="37" t="s">
        <v>345</v>
      </c>
      <c r="D1986" s="37" t="s">
        <v>2121</v>
      </c>
      <c r="E1986" s="37" t="n">
        <v>24715562</v>
      </c>
      <c r="F1986" s="37" t="s">
        <v>160</v>
      </c>
      <c r="G1986" s="37" t="s">
        <v>197</v>
      </c>
      <c r="H1986" s="37" t="s">
        <v>190</v>
      </c>
      <c r="I1986" s="37" t="n">
        <v>82.8</v>
      </c>
      <c r="J1986" s="39" t="n">
        <v>879.98</v>
      </c>
      <c r="K1986" s="37" t="s">
        <v>342</v>
      </c>
      <c r="L1986" s="39" t="n">
        <v>173.05</v>
      </c>
      <c r="M1986" s="39" t="n">
        <v>92.32</v>
      </c>
      <c r="N1986" s="39" t="n">
        <f aca="false">J1986*Resumo!$C$6</f>
        <v>0</v>
      </c>
      <c r="O1986" s="39" t="n">
        <f aca="false">J1986*Resumo!$C$7</f>
        <v>1.847958</v>
      </c>
      <c r="P1986" s="39" t="n">
        <f aca="false">J1986*Resumo!$C$8</f>
        <v>1.847958</v>
      </c>
      <c r="Q1986" s="39" t="n">
        <f aca="false">Resumo!$C$10*CEILING(I1986/100,1)</f>
        <v>1.05</v>
      </c>
      <c r="R1986" s="39" t="n">
        <f aca="false">Resumo!$C$9</f>
        <v>0</v>
      </c>
      <c r="S1986" s="39" t="n">
        <f aca="false">Resumo!$C$13</f>
        <v>13.55</v>
      </c>
      <c r="T1986" s="39" t="n">
        <f aca="false">Resumo!$C$14*CEILING(I1986,1)</f>
        <v>37.35</v>
      </c>
      <c r="U1986" s="39" t="n">
        <f aca="false">SUM(M1986:T1986)*Resumo!$C$11</f>
        <v>0</v>
      </c>
      <c r="V1986" s="39" t="n">
        <f aca="false">SUM(M1986:U1986)</f>
        <v>147.965916</v>
      </c>
      <c r="W1986" s="39" t="n">
        <f aca="false">V1986/(1-Resumo!$C$5)</f>
        <v>168.143086363636</v>
      </c>
      <c r="X1986" s="39" t="n">
        <v>178.42</v>
      </c>
      <c r="Y1986" s="39" t="n">
        <f aca="false">J1986*Resumo!$B$6</f>
        <v>0.87998</v>
      </c>
      <c r="Z1986" s="39" t="n">
        <f aca="false">J1986*Resumo!$B$7</f>
        <v>1.75996</v>
      </c>
      <c r="AA1986" s="39" t="n">
        <f aca="false">Resumo!$B$9</f>
        <v>1</v>
      </c>
      <c r="AB1986" s="39" t="n">
        <f aca="false">Resumo!$B$10*CEILING(I1986/100,1)</f>
        <v>4.5</v>
      </c>
      <c r="AC1986" s="39" t="n">
        <f aca="false">Resumo!$B$12*CEILING(I1986,1)</f>
        <v>4.98</v>
      </c>
      <c r="AD1986" s="39" t="n">
        <f aca="false">Resumo!$B$14*CEILING(I1986,1)</f>
        <v>37.35</v>
      </c>
      <c r="AE1986" s="39" t="n">
        <f aca="false">SUM(X1986:AD1986)</f>
        <v>228.88994</v>
      </c>
      <c r="AF1986" s="39" t="n">
        <f aca="false">AE1986/(1-Resumo!$B$5)</f>
        <v>260.102204545455</v>
      </c>
      <c r="AG1986" s="39" t="n">
        <f aca="false">AF1986-W1986</f>
        <v>91.9591181818182</v>
      </c>
      <c r="AH1986" s="40" t="n">
        <f aca="false">AF1986/W1986-1</f>
        <v>0.546909897817278</v>
      </c>
      <c r="AI1986" s="37" t="str">
        <f aca="false">IF(AF1986&lt;W1986,"SIM","NÃO")</f>
        <v>NÃO</v>
      </c>
      <c r="AJ1986" s="37" t="n">
        <v>2</v>
      </c>
      <c r="AK1986" s="37" t="n">
        <v>7</v>
      </c>
      <c r="AL1986" s="37" t="s">
        <v>343</v>
      </c>
      <c r="AM1986" s="39" t="n">
        <v>173.04</v>
      </c>
    </row>
    <row r="1987" customFormat="false" ht="15" hidden="false" customHeight="false" outlineLevel="0" collapsed="false">
      <c r="A1987" s="37" t="n">
        <v>397908065</v>
      </c>
      <c r="B1987" s="38" t="n">
        <v>46286.8812152778</v>
      </c>
      <c r="C1987" s="37" t="s">
        <v>345</v>
      </c>
      <c r="D1987" s="37" t="s">
        <v>1515</v>
      </c>
      <c r="E1987" s="37" t="n">
        <v>20540341</v>
      </c>
      <c r="F1987" s="37" t="s">
        <v>159</v>
      </c>
      <c r="G1987" s="37" t="s">
        <v>196</v>
      </c>
      <c r="H1987" s="37" t="s">
        <v>184</v>
      </c>
      <c r="I1987" s="37" t="n">
        <v>27.6</v>
      </c>
      <c r="J1987" s="39" t="n">
        <v>329.64</v>
      </c>
      <c r="K1987" s="37" t="s">
        <v>342</v>
      </c>
      <c r="L1987" s="39" t="n">
        <v>81.91</v>
      </c>
      <c r="M1987" s="39" t="n">
        <v>42.11</v>
      </c>
      <c r="N1987" s="39" t="n">
        <f aca="false">J1987*Resumo!$C$6</f>
        <v>0</v>
      </c>
      <c r="O1987" s="39" t="n">
        <f aca="false">J1987*Resumo!$C$7</f>
        <v>0.692244</v>
      </c>
      <c r="P1987" s="39" t="n">
        <f aca="false">J1987*Resumo!$C$8</f>
        <v>0.692244</v>
      </c>
      <c r="Q1987" s="39" t="n">
        <f aca="false">Resumo!$C$10*CEILING(I1987/100,1)</f>
        <v>1.05</v>
      </c>
      <c r="R1987" s="39" t="n">
        <f aca="false">Resumo!$C$9</f>
        <v>0</v>
      </c>
      <c r="S1987" s="39" t="n">
        <f aca="false">Resumo!$C$13</f>
        <v>13.55</v>
      </c>
      <c r="T1987" s="39" t="n">
        <f aca="false">Resumo!$C$14*CEILING(I1987,1)</f>
        <v>12.6</v>
      </c>
      <c r="U1987" s="39" t="n">
        <f aca="false">SUM(M1987:T1987)*Resumo!$C$11</f>
        <v>0</v>
      </c>
      <c r="V1987" s="39" t="n">
        <f aca="false">SUM(M1987:U1987)</f>
        <v>70.694488</v>
      </c>
      <c r="W1987" s="39" t="n">
        <f aca="false">V1987/(1-Resumo!$C$5)</f>
        <v>80.3346454545455</v>
      </c>
      <c r="X1987" s="39" t="n">
        <v>82.21</v>
      </c>
      <c r="Y1987" s="39" t="n">
        <f aca="false">J1987*Resumo!$B$6</f>
        <v>0.32964</v>
      </c>
      <c r="Z1987" s="39" t="n">
        <f aca="false">J1987*Resumo!$B$7</f>
        <v>0.65928</v>
      </c>
      <c r="AA1987" s="39" t="n">
        <f aca="false">Resumo!$B$9</f>
        <v>1</v>
      </c>
      <c r="AB1987" s="39" t="n">
        <f aca="false">Resumo!$B$10*CEILING(I1987/100,1)</f>
        <v>4.5</v>
      </c>
      <c r="AC1987" s="39" t="n">
        <f aca="false">Resumo!$B$12*CEILING(I1987,1)</f>
        <v>1.68</v>
      </c>
      <c r="AD1987" s="39" t="n">
        <f aca="false">Resumo!$B$14*CEILING(I1987,1)</f>
        <v>12.6</v>
      </c>
      <c r="AE1987" s="39" t="n">
        <f aca="false">SUM(X1987:AD1987)</f>
        <v>102.97892</v>
      </c>
      <c r="AF1987" s="39" t="n">
        <f aca="false">AE1987/(1-Resumo!$B$5)</f>
        <v>117.0215</v>
      </c>
      <c r="AG1987" s="39" t="n">
        <f aca="false">AF1987-W1987</f>
        <v>36.6868545454545</v>
      </c>
      <c r="AH1987" s="40" t="n">
        <f aca="false">AF1987/W1987-1</f>
        <v>0.45667537757682</v>
      </c>
      <c r="AI1987" s="37" t="str">
        <f aca="false">IF(AF1987&lt;W1987,"SIM","NÃO")</f>
        <v>NÃO</v>
      </c>
      <c r="AJ1987" s="37" t="n">
        <v>2</v>
      </c>
      <c r="AK1987" s="37" t="n">
        <v>5</v>
      </c>
      <c r="AL1987" s="37" t="s">
        <v>343</v>
      </c>
      <c r="AM1987" s="39" t="n">
        <v>81.9</v>
      </c>
    </row>
    <row r="1988" customFormat="false" ht="15" hidden="false" customHeight="false" outlineLevel="0" collapsed="false">
      <c r="A1988" s="37" t="n">
        <v>397918369</v>
      </c>
      <c r="B1988" s="38" t="n">
        <v>46286.8981018519</v>
      </c>
      <c r="C1988" s="37" t="s">
        <v>340</v>
      </c>
      <c r="D1988" s="37" t="s">
        <v>2122</v>
      </c>
      <c r="E1988" s="37" t="n">
        <v>27966843</v>
      </c>
      <c r="F1988" s="37" t="s">
        <v>166</v>
      </c>
      <c r="G1988" s="37" t="s">
        <v>198</v>
      </c>
      <c r="H1988" s="37" t="s">
        <v>186</v>
      </c>
      <c r="I1988" s="37" t="n">
        <v>41</v>
      </c>
      <c r="J1988" s="39" t="n">
        <v>519.99</v>
      </c>
      <c r="K1988" s="37" t="s">
        <v>342</v>
      </c>
      <c r="L1988" s="39" t="n">
        <v>130.65</v>
      </c>
      <c r="M1988" s="39" t="n">
        <v>77.7</v>
      </c>
      <c r="N1988" s="39" t="n">
        <f aca="false">J1988*Resumo!$C$6</f>
        <v>0</v>
      </c>
      <c r="O1988" s="39" t="n">
        <f aca="false">J1988*Resumo!$C$7</f>
        <v>1.091979</v>
      </c>
      <c r="P1988" s="39" t="n">
        <f aca="false">J1988*Resumo!$C$8</f>
        <v>1.091979</v>
      </c>
      <c r="Q1988" s="39" t="n">
        <f aca="false">Resumo!$C$10*CEILING(I1988/100,1)</f>
        <v>1.05</v>
      </c>
      <c r="R1988" s="39" t="n">
        <f aca="false">Resumo!$C$9</f>
        <v>0</v>
      </c>
      <c r="S1988" s="39" t="n">
        <f aca="false">Resumo!$C$13</f>
        <v>13.55</v>
      </c>
      <c r="T1988" s="39" t="n">
        <f aca="false">Resumo!$C$14*CEILING(I1988,1)</f>
        <v>18.45</v>
      </c>
      <c r="U1988" s="39" t="n">
        <f aca="false">SUM(M1988:T1988)*Resumo!$C$11</f>
        <v>0</v>
      </c>
      <c r="V1988" s="39" t="n">
        <f aca="false">SUM(M1988:U1988)</f>
        <v>112.933958</v>
      </c>
      <c r="W1988" s="39" t="n">
        <f aca="false">V1988/(1-Resumo!$C$5)</f>
        <v>128.334043181818</v>
      </c>
      <c r="X1988" s="39" t="n">
        <v>152.54</v>
      </c>
      <c r="Y1988" s="39" t="n">
        <f aca="false">J1988*Resumo!$B$6</f>
        <v>0.51999</v>
      </c>
      <c r="Z1988" s="39" t="n">
        <f aca="false">J1988*Resumo!$B$7</f>
        <v>1.03998</v>
      </c>
      <c r="AA1988" s="39" t="n">
        <f aca="false">Resumo!$B$9</f>
        <v>1</v>
      </c>
      <c r="AB1988" s="39" t="n">
        <f aca="false">Resumo!$B$10*CEILING(I1988/100,1)</f>
        <v>4.5</v>
      </c>
      <c r="AC1988" s="39" t="n">
        <f aca="false">Resumo!$B$12*CEILING(I1988,1)</f>
        <v>2.46</v>
      </c>
      <c r="AD1988" s="39" t="n">
        <f aca="false">Resumo!$B$14*CEILING(I1988,1)</f>
        <v>18.45</v>
      </c>
      <c r="AE1988" s="39" t="n">
        <f aca="false">SUM(X1988:AD1988)</f>
        <v>180.50997</v>
      </c>
      <c r="AF1988" s="39" t="n">
        <f aca="false">AE1988/(1-Resumo!$B$5)</f>
        <v>205.124965909091</v>
      </c>
      <c r="AG1988" s="39" t="n">
        <f aca="false">AF1988-W1988</f>
        <v>76.7909227272727</v>
      </c>
      <c r="AH1988" s="40" t="n">
        <f aca="false">AF1988/W1988-1</f>
        <v>0.598367516703877</v>
      </c>
      <c r="AI1988" s="37" t="str">
        <f aca="false">IF(AF1988&lt;W1988,"SIM","NÃO")</f>
        <v>NÃO</v>
      </c>
      <c r="AJ1988" s="37" t="n">
        <v>13</v>
      </c>
      <c r="AK1988" s="37" t="n">
        <v>11</v>
      </c>
      <c r="AL1988" s="37" t="s">
        <v>343</v>
      </c>
      <c r="AM1988" s="39" t="n">
        <v>130.65</v>
      </c>
    </row>
    <row r="1989" customFormat="false" ht="15" hidden="false" customHeight="false" outlineLevel="0" collapsed="false">
      <c r="A1989" s="37" t="n">
        <v>397925256</v>
      </c>
      <c r="B1989" s="38" t="n">
        <v>46286.912025463</v>
      </c>
      <c r="C1989" s="37" t="s">
        <v>340</v>
      </c>
      <c r="D1989" s="37" t="s">
        <v>2123</v>
      </c>
      <c r="E1989" s="37" t="n">
        <v>25908713</v>
      </c>
      <c r="F1989" s="37" t="s">
        <v>176</v>
      </c>
      <c r="G1989" s="37" t="s">
        <v>198</v>
      </c>
      <c r="H1989" s="37" t="s">
        <v>185</v>
      </c>
      <c r="I1989" s="37" t="n">
        <v>40</v>
      </c>
      <c r="J1989" s="39" t="n">
        <v>562.42</v>
      </c>
      <c r="K1989" s="37" t="s">
        <v>342</v>
      </c>
      <c r="L1989" s="39" t="n">
        <v>122.93</v>
      </c>
      <c r="M1989" s="39" t="n">
        <v>74.97</v>
      </c>
      <c r="N1989" s="39" t="n">
        <f aca="false">J1989*Resumo!$C$6</f>
        <v>0</v>
      </c>
      <c r="O1989" s="39" t="n">
        <f aca="false">J1989*Resumo!$C$7</f>
        <v>1.181082</v>
      </c>
      <c r="P1989" s="39" t="n">
        <f aca="false">J1989*Resumo!$C$8</f>
        <v>1.181082</v>
      </c>
      <c r="Q1989" s="39" t="n">
        <f aca="false">Resumo!$C$10*CEILING(I1989/100,1)</f>
        <v>1.05</v>
      </c>
      <c r="R1989" s="39" t="n">
        <f aca="false">Resumo!$C$9</f>
        <v>0</v>
      </c>
      <c r="S1989" s="39" t="n">
        <f aca="false">Resumo!$C$13</f>
        <v>13.55</v>
      </c>
      <c r="T1989" s="39" t="n">
        <f aca="false">Resumo!$C$14*CEILING(I1989,1)</f>
        <v>18</v>
      </c>
      <c r="U1989" s="39" t="n">
        <f aca="false">SUM(M1989:T1989)*Resumo!$C$11</f>
        <v>0</v>
      </c>
      <c r="V1989" s="39" t="n">
        <f aca="false">SUM(M1989:U1989)</f>
        <v>109.932164</v>
      </c>
      <c r="W1989" s="39" t="n">
        <f aca="false">V1989/(1-Resumo!$C$5)</f>
        <v>124.922913636364</v>
      </c>
      <c r="X1989" s="39" t="n">
        <v>108.03</v>
      </c>
      <c r="Y1989" s="39" t="n">
        <f aca="false">J1989*Resumo!$B$6</f>
        <v>0.56242</v>
      </c>
      <c r="Z1989" s="39" t="n">
        <f aca="false">J1989*Resumo!$B$7</f>
        <v>1.12484</v>
      </c>
      <c r="AA1989" s="39" t="n">
        <f aca="false">Resumo!$B$9</f>
        <v>1</v>
      </c>
      <c r="AB1989" s="39" t="n">
        <f aca="false">Resumo!$B$10*CEILING(I1989/100,1)</f>
        <v>4.5</v>
      </c>
      <c r="AC1989" s="39" t="n">
        <f aca="false">Resumo!$B$12*CEILING(I1989,1)</f>
        <v>2.4</v>
      </c>
      <c r="AD1989" s="39" t="n">
        <f aca="false">Resumo!$B$14*CEILING(I1989,1)</f>
        <v>18</v>
      </c>
      <c r="AE1989" s="39" t="n">
        <f aca="false">SUM(X1989:AD1989)</f>
        <v>135.61726</v>
      </c>
      <c r="AF1989" s="39" t="n">
        <f aca="false">AE1989/(1-Resumo!$B$5)</f>
        <v>154.110522727273</v>
      </c>
      <c r="AG1989" s="39" t="n">
        <f aca="false">AF1989-W1989</f>
        <v>29.1876090909091</v>
      </c>
      <c r="AH1989" s="40" t="n">
        <f aca="false">AF1989/W1989-1</f>
        <v>0.23364495944972</v>
      </c>
      <c r="AI1989" s="37" t="str">
        <f aca="false">IF(AF1989&lt;W1989,"SIM","NÃO")</f>
        <v>NÃO</v>
      </c>
      <c r="AJ1989" s="37" t="n">
        <v>13</v>
      </c>
      <c r="AK1989" s="37" t="n">
        <v>6</v>
      </c>
      <c r="AL1989" s="37" t="s">
        <v>343</v>
      </c>
      <c r="AM1989" s="39" t="n">
        <v>122.94</v>
      </c>
    </row>
    <row r="1990" customFormat="false" ht="15" hidden="false" customHeight="false" outlineLevel="0" collapsed="false">
      <c r="A1990" s="37" t="n">
        <v>397927909</v>
      </c>
      <c r="B1990" s="38" t="n">
        <v>46286.9173842593</v>
      </c>
      <c r="C1990" s="37" t="s">
        <v>345</v>
      </c>
      <c r="D1990" s="37" t="s">
        <v>2124</v>
      </c>
      <c r="E1990" s="37" t="n">
        <v>20766200</v>
      </c>
      <c r="F1990" s="37" t="s">
        <v>159</v>
      </c>
      <c r="G1990" s="37" t="s">
        <v>196</v>
      </c>
      <c r="H1990" s="37" t="s">
        <v>184</v>
      </c>
      <c r="I1990" s="37" t="n">
        <v>33.11</v>
      </c>
      <c r="J1990" s="39" t="n">
        <v>403.53</v>
      </c>
      <c r="K1990" s="37" t="s">
        <v>342</v>
      </c>
      <c r="L1990" s="39" t="n">
        <v>82.26</v>
      </c>
      <c r="M1990" s="39" t="n">
        <v>42.11</v>
      </c>
      <c r="N1990" s="39" t="n">
        <f aca="false">J1990*Resumo!$C$6</f>
        <v>0</v>
      </c>
      <c r="O1990" s="39" t="n">
        <f aca="false">J1990*Resumo!$C$7</f>
        <v>0.847413</v>
      </c>
      <c r="P1990" s="39" t="n">
        <f aca="false">J1990*Resumo!$C$8</f>
        <v>0.847413</v>
      </c>
      <c r="Q1990" s="39" t="n">
        <f aca="false">Resumo!$C$10*CEILING(I1990/100,1)</f>
        <v>1.05</v>
      </c>
      <c r="R1990" s="39" t="n">
        <f aca="false">Resumo!$C$9</f>
        <v>0</v>
      </c>
      <c r="S1990" s="39" t="n">
        <f aca="false">Resumo!$C$13</f>
        <v>13.55</v>
      </c>
      <c r="T1990" s="39" t="n">
        <f aca="false">Resumo!$C$14*CEILING(I1990,1)</f>
        <v>15.3</v>
      </c>
      <c r="U1990" s="39" t="n">
        <f aca="false">SUM(M1990:T1990)*Resumo!$C$11</f>
        <v>0</v>
      </c>
      <c r="V1990" s="39" t="n">
        <f aca="false">SUM(M1990:U1990)</f>
        <v>73.704826</v>
      </c>
      <c r="W1990" s="39" t="n">
        <f aca="false">V1990/(1-Resumo!$C$5)</f>
        <v>83.7554840909091</v>
      </c>
      <c r="X1990" s="39" t="n">
        <v>82.21</v>
      </c>
      <c r="Y1990" s="39" t="n">
        <f aca="false">J1990*Resumo!$B$6</f>
        <v>0.40353</v>
      </c>
      <c r="Z1990" s="39" t="n">
        <f aca="false">J1990*Resumo!$B$7</f>
        <v>0.80706</v>
      </c>
      <c r="AA1990" s="39" t="n">
        <f aca="false">Resumo!$B$9</f>
        <v>1</v>
      </c>
      <c r="AB1990" s="39" t="n">
        <f aca="false">Resumo!$B$10*CEILING(I1990/100,1)</f>
        <v>4.5</v>
      </c>
      <c r="AC1990" s="39" t="n">
        <f aca="false">Resumo!$B$12*CEILING(I1990,1)</f>
        <v>2.04</v>
      </c>
      <c r="AD1990" s="39" t="n">
        <f aca="false">Resumo!$B$14*CEILING(I1990,1)</f>
        <v>15.3</v>
      </c>
      <c r="AE1990" s="39" t="n">
        <f aca="false">SUM(X1990:AD1990)</f>
        <v>106.26059</v>
      </c>
      <c r="AF1990" s="39" t="n">
        <f aca="false">AE1990/(1-Resumo!$B$5)</f>
        <v>120.750670454545</v>
      </c>
      <c r="AG1990" s="39" t="n">
        <f aca="false">AF1990-W1990</f>
        <v>36.9951863636364</v>
      </c>
      <c r="AH1990" s="40" t="n">
        <f aca="false">AF1990/W1990-1</f>
        <v>0.441704644957713</v>
      </c>
      <c r="AI1990" s="37" t="str">
        <f aca="false">IF(AF1990&lt;W1990,"SIM","NÃO")</f>
        <v>NÃO</v>
      </c>
      <c r="AJ1990" s="37" t="n">
        <v>2</v>
      </c>
      <c r="AK1990" s="37" t="n">
        <v>5</v>
      </c>
      <c r="AL1990" s="37" t="s">
        <v>343</v>
      </c>
      <c r="AM1990" s="39" t="n">
        <v>82.26</v>
      </c>
    </row>
    <row r="1991" customFormat="false" ht="15" hidden="false" customHeight="false" outlineLevel="0" collapsed="false">
      <c r="A1991" s="37" t="n">
        <v>397947883</v>
      </c>
      <c r="B1991" s="38" t="n">
        <v>46286.9613773148</v>
      </c>
      <c r="C1991" s="37" t="s">
        <v>340</v>
      </c>
      <c r="D1991" s="37" t="s">
        <v>2125</v>
      </c>
      <c r="E1991" s="37" t="n">
        <v>28620075</v>
      </c>
      <c r="F1991" s="37" t="s">
        <v>177</v>
      </c>
      <c r="G1991" s="37" t="s">
        <v>198</v>
      </c>
      <c r="H1991" s="37" t="s">
        <v>186</v>
      </c>
      <c r="I1991" s="37" t="n">
        <v>41</v>
      </c>
      <c r="J1991" s="39" t="n">
        <v>559.99</v>
      </c>
      <c r="K1991" s="37" t="s">
        <v>342</v>
      </c>
      <c r="L1991" s="39" t="n">
        <v>130.84</v>
      </c>
      <c r="M1991" s="39" t="n">
        <v>77.7</v>
      </c>
      <c r="N1991" s="39" t="n">
        <f aca="false">J1991*Resumo!$C$6</f>
        <v>0</v>
      </c>
      <c r="O1991" s="39" t="n">
        <f aca="false">J1991*Resumo!$C$7</f>
        <v>1.175979</v>
      </c>
      <c r="P1991" s="39" t="n">
        <f aca="false">J1991*Resumo!$C$8</f>
        <v>1.175979</v>
      </c>
      <c r="Q1991" s="39" t="n">
        <f aca="false">Resumo!$C$10*CEILING(I1991/100,1)</f>
        <v>1.05</v>
      </c>
      <c r="R1991" s="39" t="n">
        <f aca="false">Resumo!$C$9</f>
        <v>0</v>
      </c>
      <c r="S1991" s="39" t="n">
        <f aca="false">Resumo!$C$13</f>
        <v>13.55</v>
      </c>
      <c r="T1991" s="39" t="n">
        <f aca="false">Resumo!$C$14*CEILING(I1991,1)</f>
        <v>18.45</v>
      </c>
      <c r="U1991" s="39" t="n">
        <f aca="false">SUM(M1991:T1991)*Resumo!$C$11</f>
        <v>0</v>
      </c>
      <c r="V1991" s="39" t="n">
        <f aca="false">SUM(M1991:U1991)</f>
        <v>113.101958</v>
      </c>
      <c r="W1991" s="39" t="n">
        <f aca="false">V1991/(1-Resumo!$C$5)</f>
        <v>128.524952272727</v>
      </c>
      <c r="X1991" s="39" t="n">
        <v>135.03</v>
      </c>
      <c r="Y1991" s="39" t="n">
        <f aca="false">J1991*Resumo!$B$6</f>
        <v>0.55999</v>
      </c>
      <c r="Z1991" s="39" t="n">
        <f aca="false">J1991*Resumo!$B$7</f>
        <v>1.11998</v>
      </c>
      <c r="AA1991" s="39" t="n">
        <f aca="false">Resumo!$B$9</f>
        <v>1</v>
      </c>
      <c r="AB1991" s="39" t="n">
        <f aca="false">Resumo!$B$10*CEILING(I1991/100,1)</f>
        <v>4.5</v>
      </c>
      <c r="AC1991" s="39" t="n">
        <f aca="false">Resumo!$B$12*CEILING(I1991,1)</f>
        <v>2.46</v>
      </c>
      <c r="AD1991" s="39" t="n">
        <f aca="false">Resumo!$B$14*CEILING(I1991,1)</f>
        <v>18.45</v>
      </c>
      <c r="AE1991" s="39" t="n">
        <f aca="false">SUM(X1991:AD1991)</f>
        <v>163.11997</v>
      </c>
      <c r="AF1991" s="39" t="n">
        <f aca="false">AE1991/(1-Resumo!$B$5)</f>
        <v>185.363602272727</v>
      </c>
      <c r="AG1991" s="39" t="n">
        <f aca="false">AF1991-W1991</f>
        <v>56.83865</v>
      </c>
      <c r="AH1991" s="40" t="n">
        <f aca="false">AF1991/W1991-1</f>
        <v>0.442238250198993</v>
      </c>
      <c r="AI1991" s="37" t="str">
        <f aca="false">IF(AF1991&lt;W1991,"SIM","NÃO")</f>
        <v>NÃO</v>
      </c>
      <c r="AJ1991" s="37" t="n">
        <v>13</v>
      </c>
      <c r="AK1991" s="37" t="n">
        <v>10</v>
      </c>
      <c r="AL1991" s="37" t="s">
        <v>343</v>
      </c>
      <c r="AM1991" s="39" t="n">
        <v>130.84</v>
      </c>
    </row>
    <row r="1992" customFormat="false" ht="15" hidden="false" customHeight="false" outlineLevel="0" collapsed="false">
      <c r="A1992" s="37" t="n">
        <v>397949491</v>
      </c>
      <c r="B1992" s="38" t="n">
        <v>46286.9655092593</v>
      </c>
      <c r="C1992" s="37" t="s">
        <v>345</v>
      </c>
      <c r="D1992" s="37" t="s">
        <v>1713</v>
      </c>
      <c r="E1992" s="37" t="n">
        <v>23075006</v>
      </c>
      <c r="F1992" s="37" t="s">
        <v>159</v>
      </c>
      <c r="G1992" s="37" t="s">
        <v>196</v>
      </c>
      <c r="H1992" s="37" t="s">
        <v>188</v>
      </c>
      <c r="I1992" s="37" t="n">
        <v>68.1</v>
      </c>
      <c r="J1992" s="39" t="n">
        <v>899.99</v>
      </c>
      <c r="K1992" s="37" t="s">
        <v>342</v>
      </c>
      <c r="L1992" s="39" t="n">
        <v>125.52</v>
      </c>
      <c r="M1992" s="39" t="n">
        <v>63.21</v>
      </c>
      <c r="N1992" s="39" t="n">
        <f aca="false">J1992*Resumo!$C$6</f>
        <v>0</v>
      </c>
      <c r="O1992" s="39" t="n">
        <f aca="false">J1992*Resumo!$C$7</f>
        <v>1.889979</v>
      </c>
      <c r="P1992" s="39" t="n">
        <f aca="false">J1992*Resumo!$C$8</f>
        <v>1.889979</v>
      </c>
      <c r="Q1992" s="39" t="n">
        <f aca="false">Resumo!$C$10*CEILING(I1992/100,1)</f>
        <v>1.05</v>
      </c>
      <c r="R1992" s="39" t="n">
        <f aca="false">Resumo!$C$9</f>
        <v>0</v>
      </c>
      <c r="S1992" s="39" t="n">
        <f aca="false">Resumo!$C$13</f>
        <v>13.55</v>
      </c>
      <c r="T1992" s="39" t="n">
        <f aca="false">Resumo!$C$14*CEILING(I1992,1)</f>
        <v>31.05</v>
      </c>
      <c r="U1992" s="39" t="n">
        <f aca="false">SUM(M1992:T1992)*Resumo!$C$11</f>
        <v>0</v>
      </c>
      <c r="V1992" s="39" t="n">
        <f aca="false">SUM(M1992:U1992)</f>
        <v>112.639958</v>
      </c>
      <c r="W1992" s="39" t="n">
        <f aca="false">V1992/(1-Resumo!$C$5)</f>
        <v>127.999952272727</v>
      </c>
      <c r="X1992" s="39" t="n">
        <v>131.02</v>
      </c>
      <c r="Y1992" s="39" t="n">
        <f aca="false">J1992*Resumo!$B$6</f>
        <v>0.89999</v>
      </c>
      <c r="Z1992" s="39" t="n">
        <f aca="false">J1992*Resumo!$B$7</f>
        <v>1.79998</v>
      </c>
      <c r="AA1992" s="39" t="n">
        <f aca="false">Resumo!$B$9</f>
        <v>1</v>
      </c>
      <c r="AB1992" s="39" t="n">
        <f aca="false">Resumo!$B$10*CEILING(I1992/100,1)</f>
        <v>4.5</v>
      </c>
      <c r="AC1992" s="39" t="n">
        <f aca="false">Resumo!$B$12*CEILING(I1992,1)</f>
        <v>4.14</v>
      </c>
      <c r="AD1992" s="39" t="n">
        <f aca="false">Resumo!$B$14*CEILING(I1992,1)</f>
        <v>31.05</v>
      </c>
      <c r="AE1992" s="39" t="n">
        <f aca="false">SUM(X1992:AD1992)</f>
        <v>174.40997</v>
      </c>
      <c r="AF1992" s="39" t="n">
        <f aca="false">AE1992/(1-Resumo!$B$5)</f>
        <v>198.193147727273</v>
      </c>
      <c r="AG1992" s="39" t="n">
        <f aca="false">AF1992-W1992</f>
        <v>70.1931954545455</v>
      </c>
      <c r="AH1992" s="40" t="n">
        <f aca="false">AF1992/W1992-1</f>
        <v>0.548384543964408</v>
      </c>
      <c r="AI1992" s="37" t="str">
        <f aca="false">IF(AF1992&lt;W1992,"SIM","NÃO")</f>
        <v>NÃO</v>
      </c>
      <c r="AJ1992" s="37" t="n">
        <v>2</v>
      </c>
      <c r="AK1992" s="37" t="n">
        <v>5</v>
      </c>
      <c r="AL1992" s="37" t="s">
        <v>343</v>
      </c>
      <c r="AM1992" s="39" t="n">
        <v>125.52</v>
      </c>
    </row>
    <row r="1993" customFormat="false" ht="15" hidden="false" customHeight="false" outlineLevel="0" collapsed="false">
      <c r="A1993" s="37" t="n">
        <v>397976273</v>
      </c>
      <c r="B1993" s="38" t="n">
        <v>46287.0436342593</v>
      </c>
      <c r="C1993" s="37" t="s">
        <v>340</v>
      </c>
      <c r="D1993" s="37" t="s">
        <v>2126</v>
      </c>
      <c r="E1993" s="37" t="n">
        <v>28010801</v>
      </c>
      <c r="F1993" s="37" t="s">
        <v>164</v>
      </c>
      <c r="G1993" s="37" t="s">
        <v>198</v>
      </c>
      <c r="H1993" s="37" t="s">
        <v>185</v>
      </c>
      <c r="I1993" s="37" t="n">
        <v>40</v>
      </c>
      <c r="J1993" s="39" t="n">
        <v>562.42</v>
      </c>
      <c r="K1993" s="37" t="s">
        <v>342</v>
      </c>
      <c r="L1993" s="39" t="n">
        <v>122.93</v>
      </c>
      <c r="M1993" s="39" t="n">
        <v>74.97</v>
      </c>
      <c r="N1993" s="39" t="n">
        <f aca="false">J1993*Resumo!$C$6</f>
        <v>0</v>
      </c>
      <c r="O1993" s="39" t="n">
        <f aca="false">J1993*Resumo!$C$7</f>
        <v>1.181082</v>
      </c>
      <c r="P1993" s="39" t="n">
        <f aca="false">J1993*Resumo!$C$8</f>
        <v>1.181082</v>
      </c>
      <c r="Q1993" s="39" t="n">
        <f aca="false">Resumo!$C$10*CEILING(I1993/100,1)</f>
        <v>1.05</v>
      </c>
      <c r="R1993" s="39" t="n">
        <f aca="false">Resumo!$C$9</f>
        <v>0</v>
      </c>
      <c r="S1993" s="39" t="n">
        <f aca="false">Resumo!$C$13</f>
        <v>13.55</v>
      </c>
      <c r="T1993" s="39" t="n">
        <f aca="false">Resumo!$C$14*CEILING(I1993,1)</f>
        <v>18</v>
      </c>
      <c r="U1993" s="39" t="n">
        <f aca="false">SUM(M1993:T1993)*Resumo!$C$11</f>
        <v>0</v>
      </c>
      <c r="V1993" s="39" t="n">
        <f aca="false">SUM(M1993:U1993)</f>
        <v>109.932164</v>
      </c>
      <c r="W1993" s="39" t="n">
        <f aca="false">V1993/(1-Resumo!$C$5)</f>
        <v>124.922913636364</v>
      </c>
      <c r="X1993" s="39" t="n">
        <v>143.04</v>
      </c>
      <c r="Y1993" s="39" t="n">
        <f aca="false">J1993*Resumo!$B$6</f>
        <v>0.56242</v>
      </c>
      <c r="Z1993" s="39" t="n">
        <f aca="false">J1993*Resumo!$B$7</f>
        <v>1.12484</v>
      </c>
      <c r="AA1993" s="39" t="n">
        <f aca="false">Resumo!$B$9</f>
        <v>1</v>
      </c>
      <c r="AB1993" s="39" t="n">
        <f aca="false">Resumo!$B$10*CEILING(I1993/100,1)</f>
        <v>4.5</v>
      </c>
      <c r="AC1993" s="39" t="n">
        <f aca="false">Resumo!$B$12*CEILING(I1993,1)</f>
        <v>2.4</v>
      </c>
      <c r="AD1993" s="39" t="n">
        <f aca="false">Resumo!$B$14*CEILING(I1993,1)</f>
        <v>18</v>
      </c>
      <c r="AE1993" s="39" t="n">
        <f aca="false">SUM(X1993:AD1993)</f>
        <v>170.62726</v>
      </c>
      <c r="AF1993" s="39" t="n">
        <f aca="false">AE1993/(1-Resumo!$B$5)</f>
        <v>193.894613636364</v>
      </c>
      <c r="AG1993" s="39" t="n">
        <f aca="false">AF1993-W1993</f>
        <v>68.9717</v>
      </c>
      <c r="AH1993" s="40" t="n">
        <f aca="false">AF1993/W1993-1</f>
        <v>0.552114083736221</v>
      </c>
      <c r="AI1993" s="37" t="str">
        <f aca="false">IF(AF1993&lt;W1993,"SIM","NÃO")</f>
        <v>NÃO</v>
      </c>
      <c r="AJ1993" s="37" t="n">
        <v>13</v>
      </c>
      <c r="AK1993" s="37" t="n">
        <v>11</v>
      </c>
      <c r="AL1993" s="37" t="s">
        <v>343</v>
      </c>
      <c r="AM1993" s="39" t="n">
        <v>122.94</v>
      </c>
    </row>
    <row r="1994" customFormat="false" ht="15" hidden="false" customHeight="false" outlineLevel="0" collapsed="false">
      <c r="A1994" s="37" t="n">
        <v>398001716</v>
      </c>
      <c r="B1994" s="38" t="n">
        <v>46287.1474768519</v>
      </c>
      <c r="C1994" s="37" t="s">
        <v>340</v>
      </c>
      <c r="D1994" s="37" t="s">
        <v>2127</v>
      </c>
      <c r="E1994" s="37" t="n">
        <v>28894330</v>
      </c>
      <c r="F1994" s="37" t="s">
        <v>178</v>
      </c>
      <c r="G1994" s="37" t="s">
        <v>198</v>
      </c>
      <c r="H1994" s="37" t="s">
        <v>184</v>
      </c>
      <c r="I1994" s="37" t="n">
        <v>30.5</v>
      </c>
      <c r="J1994" s="39" t="n">
        <v>406.6</v>
      </c>
      <c r="K1994" s="37" t="s">
        <v>342</v>
      </c>
      <c r="L1994" s="39" t="n">
        <v>109.13</v>
      </c>
      <c r="M1994" s="39" t="n">
        <v>65.63</v>
      </c>
      <c r="N1994" s="39" t="n">
        <f aca="false">J1994*Resumo!$C$6</f>
        <v>0</v>
      </c>
      <c r="O1994" s="39" t="n">
        <f aca="false">J1994*Resumo!$C$7</f>
        <v>0.85386</v>
      </c>
      <c r="P1994" s="39" t="n">
        <f aca="false">J1994*Resumo!$C$8</f>
        <v>0.85386</v>
      </c>
      <c r="Q1994" s="39" t="n">
        <f aca="false">Resumo!$C$10*CEILING(I1994/100,1)</f>
        <v>1.05</v>
      </c>
      <c r="R1994" s="39" t="n">
        <f aca="false">Resumo!$C$9</f>
        <v>0</v>
      </c>
      <c r="S1994" s="39" t="n">
        <f aca="false">Resumo!$C$13</f>
        <v>13.55</v>
      </c>
      <c r="T1994" s="39" t="n">
        <f aca="false">Resumo!$C$14*CEILING(I1994,1)</f>
        <v>13.95</v>
      </c>
      <c r="U1994" s="39" t="n">
        <f aca="false">SUM(M1994:T1994)*Resumo!$C$11</f>
        <v>0</v>
      </c>
      <c r="V1994" s="39" t="n">
        <f aca="false">SUM(M1994:U1994)</f>
        <v>95.88772</v>
      </c>
      <c r="W1994" s="39" t="n">
        <f aca="false">V1994/(1-Resumo!$C$5)</f>
        <v>108.963318181818</v>
      </c>
      <c r="X1994" s="39" t="n">
        <v>114.95</v>
      </c>
      <c r="Y1994" s="39" t="n">
        <f aca="false">J1994*Resumo!$B$6</f>
        <v>0.4066</v>
      </c>
      <c r="Z1994" s="39" t="n">
        <f aca="false">J1994*Resumo!$B$7</f>
        <v>0.8132</v>
      </c>
      <c r="AA1994" s="39" t="n">
        <f aca="false">Resumo!$B$9</f>
        <v>1</v>
      </c>
      <c r="AB1994" s="39" t="n">
        <f aca="false">Resumo!$B$10*CEILING(I1994/100,1)</f>
        <v>4.5</v>
      </c>
      <c r="AC1994" s="39" t="n">
        <f aca="false">Resumo!$B$12*CEILING(I1994,1)</f>
        <v>1.86</v>
      </c>
      <c r="AD1994" s="39" t="n">
        <f aca="false">Resumo!$B$14*CEILING(I1994,1)</f>
        <v>13.95</v>
      </c>
      <c r="AE1994" s="39" t="n">
        <f aca="false">SUM(X1994:AD1994)</f>
        <v>137.4798</v>
      </c>
      <c r="AF1994" s="39" t="n">
        <f aca="false">AE1994/(1-Resumo!$B$5)</f>
        <v>156.227045454545</v>
      </c>
      <c r="AG1994" s="39" t="n">
        <f aca="false">AF1994-W1994</f>
        <v>47.2637272727273</v>
      </c>
      <c r="AH1994" s="40" t="n">
        <f aca="false">AF1994/W1994-1</f>
        <v>0.433758149635845</v>
      </c>
      <c r="AI1994" s="37" t="str">
        <f aca="false">IF(AF1994&lt;W1994,"SIM","NÃO")</f>
        <v>NÃO</v>
      </c>
      <c r="AJ1994" s="37" t="n">
        <v>13</v>
      </c>
      <c r="AK1994" s="37" t="n">
        <v>10</v>
      </c>
      <c r="AL1994" s="37" t="s">
        <v>343</v>
      </c>
      <c r="AM1994" s="39" t="n">
        <v>109.13</v>
      </c>
    </row>
    <row r="1995" customFormat="false" ht="15" hidden="false" customHeight="false" outlineLevel="0" collapsed="false">
      <c r="A1995" s="37" t="n">
        <v>398015680</v>
      </c>
      <c r="B1995" s="38" t="n">
        <v>46287.2041435185</v>
      </c>
      <c r="C1995" s="37" t="s">
        <v>345</v>
      </c>
      <c r="D1995" s="37" t="s">
        <v>2128</v>
      </c>
      <c r="E1995" s="37" t="n">
        <v>25685050</v>
      </c>
      <c r="F1995" s="37" t="s">
        <v>170</v>
      </c>
      <c r="G1995" s="37" t="s">
        <v>198</v>
      </c>
      <c r="H1995" s="37" t="s">
        <v>184</v>
      </c>
      <c r="I1995" s="37" t="n">
        <v>29.7</v>
      </c>
      <c r="J1995" s="39" t="n">
        <v>450.44</v>
      </c>
      <c r="K1995" s="37" t="s">
        <v>342</v>
      </c>
      <c r="L1995" s="39" t="n">
        <v>109.34</v>
      </c>
      <c r="M1995" s="39" t="n">
        <v>65.63</v>
      </c>
      <c r="N1995" s="39" t="n">
        <f aca="false">J1995*Resumo!$C$6</f>
        <v>0</v>
      </c>
      <c r="O1995" s="39" t="n">
        <f aca="false">J1995*Resumo!$C$7</f>
        <v>0.945924</v>
      </c>
      <c r="P1995" s="39" t="n">
        <f aca="false">J1995*Resumo!$C$8</f>
        <v>0.945924</v>
      </c>
      <c r="Q1995" s="39" t="n">
        <f aca="false">Resumo!$C$10*CEILING(I1995/100,1)</f>
        <v>1.05</v>
      </c>
      <c r="R1995" s="39" t="n">
        <f aca="false">Resumo!$C$9</f>
        <v>0</v>
      </c>
      <c r="S1995" s="39" t="n">
        <f aca="false">Resumo!$C$13</f>
        <v>13.55</v>
      </c>
      <c r="T1995" s="39" t="n">
        <f aca="false">Resumo!$C$14*CEILING(I1995,1)</f>
        <v>13.5</v>
      </c>
      <c r="U1995" s="39" t="n">
        <f aca="false">SUM(M1995:T1995)*Resumo!$C$11</f>
        <v>0</v>
      </c>
      <c r="V1995" s="39" t="n">
        <f aca="false">SUM(M1995:U1995)</f>
        <v>95.621848</v>
      </c>
      <c r="W1995" s="39" t="n">
        <f aca="false">V1995/(1-Resumo!$C$5)</f>
        <v>108.661190909091</v>
      </c>
      <c r="X1995" s="39" t="n">
        <v>108.83</v>
      </c>
      <c r="Y1995" s="39" t="n">
        <f aca="false">J1995*Resumo!$B$6</f>
        <v>0.45044</v>
      </c>
      <c r="Z1995" s="39" t="n">
        <f aca="false">J1995*Resumo!$B$7</f>
        <v>0.90088</v>
      </c>
      <c r="AA1995" s="39" t="n">
        <f aca="false">Resumo!$B$9</f>
        <v>1</v>
      </c>
      <c r="AB1995" s="39" t="n">
        <f aca="false">Resumo!$B$10*CEILING(I1995/100,1)</f>
        <v>4.5</v>
      </c>
      <c r="AC1995" s="39" t="n">
        <f aca="false">Resumo!$B$12*CEILING(I1995,1)</f>
        <v>1.8</v>
      </c>
      <c r="AD1995" s="39" t="n">
        <f aca="false">Resumo!$B$14*CEILING(I1995,1)</f>
        <v>13.5</v>
      </c>
      <c r="AE1995" s="39" t="n">
        <f aca="false">SUM(X1995:AD1995)</f>
        <v>130.98132</v>
      </c>
      <c r="AF1995" s="39" t="n">
        <f aca="false">AE1995/(1-Resumo!$B$5)</f>
        <v>148.842409090909</v>
      </c>
      <c r="AG1995" s="39" t="n">
        <f aca="false">AF1995-W1995</f>
        <v>40.1812181818182</v>
      </c>
      <c r="AH1995" s="40" t="n">
        <f aca="false">AF1995/W1995-1</f>
        <v>0.369784445077865</v>
      </c>
      <c r="AI1995" s="37" t="str">
        <f aca="false">IF(AF1995&lt;W1995,"SIM","NÃO")</f>
        <v>NÃO</v>
      </c>
      <c r="AJ1995" s="37" t="n">
        <v>13</v>
      </c>
      <c r="AK1995" s="37" t="n">
        <v>8</v>
      </c>
      <c r="AL1995" s="37" t="s">
        <v>343</v>
      </c>
      <c r="AM1995" s="39" t="n">
        <v>109.34</v>
      </c>
    </row>
    <row r="1996" customFormat="false" ht="15" hidden="false" customHeight="false" outlineLevel="0" collapsed="false">
      <c r="A1996" s="37" t="n">
        <v>396294947</v>
      </c>
      <c r="B1996" s="38" t="n">
        <v>46287.2049421296</v>
      </c>
      <c r="C1996" s="37" t="s">
        <v>375</v>
      </c>
      <c r="D1996" s="37" t="s">
        <v>2129</v>
      </c>
      <c r="E1996" s="37" t="n">
        <v>20040001</v>
      </c>
      <c r="F1996" s="37" t="s">
        <v>159</v>
      </c>
      <c r="G1996" s="37" t="s">
        <v>196</v>
      </c>
      <c r="H1996" s="37" t="s">
        <v>184</v>
      </c>
      <c r="I1996" s="37" t="n">
        <v>27.5</v>
      </c>
      <c r="J1996" s="39" t="n">
        <v>429.99</v>
      </c>
      <c r="K1996" s="37" t="s">
        <v>342</v>
      </c>
      <c r="L1996" s="39" t="n">
        <v>82.39</v>
      </c>
      <c r="M1996" s="39" t="n">
        <v>42.11</v>
      </c>
      <c r="N1996" s="39" t="n">
        <f aca="false">J1996*Resumo!$C$6</f>
        <v>0</v>
      </c>
      <c r="O1996" s="39" t="n">
        <f aca="false">J1996*Resumo!$C$7</f>
        <v>0.902979</v>
      </c>
      <c r="P1996" s="39" t="n">
        <f aca="false">J1996*Resumo!$C$8</f>
        <v>0.902979</v>
      </c>
      <c r="Q1996" s="39" t="n">
        <f aca="false">Resumo!$C$10*CEILING(I1996/100,1)</f>
        <v>1.05</v>
      </c>
      <c r="R1996" s="39" t="n">
        <f aca="false">Resumo!$C$9</f>
        <v>0</v>
      </c>
      <c r="S1996" s="39" t="n">
        <f aca="false">Resumo!$C$13</f>
        <v>13.55</v>
      </c>
      <c r="T1996" s="39" t="n">
        <f aca="false">Resumo!$C$14*CEILING(I1996,1)</f>
        <v>12.6</v>
      </c>
      <c r="U1996" s="39" t="n">
        <f aca="false">SUM(M1996:T1996)*Resumo!$C$11</f>
        <v>0</v>
      </c>
      <c r="V1996" s="39" t="n">
        <f aca="false">SUM(M1996:U1996)</f>
        <v>71.115958</v>
      </c>
      <c r="W1996" s="39" t="n">
        <f aca="false">V1996/(1-Resumo!$C$5)</f>
        <v>80.8135886363636</v>
      </c>
      <c r="X1996" s="39" t="n">
        <v>82.21</v>
      </c>
      <c r="Y1996" s="39" t="n">
        <f aca="false">J1996*Resumo!$B$6</f>
        <v>0.42999</v>
      </c>
      <c r="Z1996" s="39" t="n">
        <f aca="false">J1996*Resumo!$B$7</f>
        <v>0.85998</v>
      </c>
      <c r="AA1996" s="39" t="n">
        <f aca="false">Resumo!$B$9</f>
        <v>1</v>
      </c>
      <c r="AB1996" s="39" t="n">
        <f aca="false">Resumo!$B$10*CEILING(I1996/100,1)</f>
        <v>4.5</v>
      </c>
      <c r="AC1996" s="39" t="n">
        <f aca="false">Resumo!$B$12*CEILING(I1996,1)</f>
        <v>1.68</v>
      </c>
      <c r="AD1996" s="39" t="n">
        <f aca="false">Resumo!$B$14*CEILING(I1996,1)</f>
        <v>12.6</v>
      </c>
      <c r="AE1996" s="39" t="n">
        <f aca="false">SUM(X1996:AD1996)</f>
        <v>103.27997</v>
      </c>
      <c r="AF1996" s="39" t="n">
        <f aca="false">AE1996/(1-Resumo!$B$5)</f>
        <v>117.363602272727</v>
      </c>
      <c r="AG1996" s="39" t="n">
        <f aca="false">AF1996-W1996</f>
        <v>36.5500136363636</v>
      </c>
      <c r="AH1996" s="40" t="n">
        <f aca="false">AF1996/W1996-1</f>
        <v>0.452275591928326</v>
      </c>
      <c r="AI1996" s="37" t="str">
        <f aca="false">IF(AF1996&lt;W1996,"SIM","NÃO")</f>
        <v>NÃO</v>
      </c>
      <c r="AJ1996" s="37" t="n">
        <v>2</v>
      </c>
      <c r="AK1996" s="37" t="n">
        <v>5</v>
      </c>
      <c r="AL1996" s="37" t="s">
        <v>343</v>
      </c>
      <c r="AM1996" s="39" t="n">
        <v>82.39</v>
      </c>
    </row>
    <row r="1997" customFormat="false" ht="15" hidden="false" customHeight="false" outlineLevel="0" collapsed="false">
      <c r="A1997" s="37" t="n">
        <v>398042093</v>
      </c>
      <c r="B1997" s="38" t="n">
        <v>46287.2930787037</v>
      </c>
      <c r="C1997" s="37" t="s">
        <v>345</v>
      </c>
      <c r="D1997" s="37" t="s">
        <v>2130</v>
      </c>
      <c r="E1997" s="37" t="n">
        <v>22641005</v>
      </c>
      <c r="F1997" s="37" t="s">
        <v>159</v>
      </c>
      <c r="G1997" s="37" t="s">
        <v>196</v>
      </c>
      <c r="H1997" s="37" t="s">
        <v>184</v>
      </c>
      <c r="I1997" s="37" t="n">
        <v>34.8</v>
      </c>
      <c r="J1997" s="39" t="n">
        <v>425</v>
      </c>
      <c r="K1997" s="37" t="s">
        <v>342</v>
      </c>
      <c r="L1997" s="39" t="n">
        <v>82.36</v>
      </c>
      <c r="M1997" s="39" t="n">
        <v>42.11</v>
      </c>
      <c r="N1997" s="39" t="n">
        <f aca="false">J1997*Resumo!$C$6</f>
        <v>0</v>
      </c>
      <c r="O1997" s="39" t="n">
        <f aca="false">J1997*Resumo!$C$7</f>
        <v>0.8925</v>
      </c>
      <c r="P1997" s="39" t="n">
        <f aca="false">J1997*Resumo!$C$8</f>
        <v>0.8925</v>
      </c>
      <c r="Q1997" s="39" t="n">
        <f aca="false">Resumo!$C$10*CEILING(I1997/100,1)</f>
        <v>1.05</v>
      </c>
      <c r="R1997" s="39" t="n">
        <f aca="false">Resumo!$C$9</f>
        <v>0</v>
      </c>
      <c r="S1997" s="39" t="n">
        <f aca="false">Resumo!$C$13</f>
        <v>13.55</v>
      </c>
      <c r="T1997" s="39" t="n">
        <f aca="false">Resumo!$C$14*CEILING(I1997,1)</f>
        <v>15.75</v>
      </c>
      <c r="U1997" s="39" t="n">
        <f aca="false">SUM(M1997:T1997)*Resumo!$C$11</f>
        <v>0</v>
      </c>
      <c r="V1997" s="39" t="n">
        <f aca="false">SUM(M1997:U1997)</f>
        <v>74.245</v>
      </c>
      <c r="W1997" s="39" t="n">
        <f aca="false">V1997/(1-Resumo!$C$5)</f>
        <v>84.3693181818182</v>
      </c>
      <c r="X1997" s="39" t="n">
        <v>82.21</v>
      </c>
      <c r="Y1997" s="39" t="n">
        <f aca="false">J1997*Resumo!$B$6</f>
        <v>0.425</v>
      </c>
      <c r="Z1997" s="39" t="n">
        <f aca="false">J1997*Resumo!$B$7</f>
        <v>0.85</v>
      </c>
      <c r="AA1997" s="39" t="n">
        <f aca="false">Resumo!$B$9</f>
        <v>1</v>
      </c>
      <c r="AB1997" s="39" t="n">
        <f aca="false">Resumo!$B$10*CEILING(I1997/100,1)</f>
        <v>4.5</v>
      </c>
      <c r="AC1997" s="39" t="n">
        <f aca="false">Resumo!$B$12*CEILING(I1997,1)</f>
        <v>2.1</v>
      </c>
      <c r="AD1997" s="39" t="n">
        <f aca="false">Resumo!$B$14*CEILING(I1997,1)</f>
        <v>15.75</v>
      </c>
      <c r="AE1997" s="39" t="n">
        <f aca="false">SUM(X1997:AD1997)</f>
        <v>106.835</v>
      </c>
      <c r="AF1997" s="39" t="n">
        <f aca="false">AE1997/(1-Resumo!$B$5)</f>
        <v>121.403409090909</v>
      </c>
      <c r="AG1997" s="39" t="n">
        <f aca="false">AF1997-W1997</f>
        <v>37.0340909090909</v>
      </c>
      <c r="AH1997" s="40" t="n">
        <f aca="false">AF1997/W1997-1</f>
        <v>0.438952117987743</v>
      </c>
      <c r="AI1997" s="37" t="str">
        <f aca="false">IF(AF1997&lt;W1997,"SIM","NÃO")</f>
        <v>NÃO</v>
      </c>
      <c r="AJ1997" s="37" t="n">
        <v>2</v>
      </c>
      <c r="AK1997" s="37" t="n">
        <v>5</v>
      </c>
      <c r="AL1997" s="37" t="s">
        <v>343</v>
      </c>
      <c r="AM1997" s="39" t="n">
        <v>82.36</v>
      </c>
    </row>
    <row r="1998" customFormat="false" ht="15" hidden="false" customHeight="false" outlineLevel="0" collapsed="false">
      <c r="A1998" s="37" t="n">
        <v>398060736</v>
      </c>
      <c r="B1998" s="38" t="n">
        <v>46287.3405208333</v>
      </c>
      <c r="C1998" s="37" t="s">
        <v>340</v>
      </c>
      <c r="D1998" s="37" t="s">
        <v>2131</v>
      </c>
      <c r="E1998" s="37" t="n">
        <v>28020822</v>
      </c>
      <c r="F1998" s="37" t="s">
        <v>164</v>
      </c>
      <c r="G1998" s="37" t="s">
        <v>198</v>
      </c>
      <c r="H1998" s="37" t="s">
        <v>184</v>
      </c>
      <c r="I1998" s="37" t="n">
        <v>30.5</v>
      </c>
      <c r="J1998" s="39" t="n">
        <v>406.6</v>
      </c>
      <c r="K1998" s="37" t="s">
        <v>342</v>
      </c>
      <c r="L1998" s="39" t="n">
        <v>109.13</v>
      </c>
      <c r="M1998" s="39" t="n">
        <v>65.63</v>
      </c>
      <c r="N1998" s="39" t="n">
        <f aca="false">J1998*Resumo!$C$6</f>
        <v>0</v>
      </c>
      <c r="O1998" s="39" t="n">
        <f aca="false">J1998*Resumo!$C$7</f>
        <v>0.85386</v>
      </c>
      <c r="P1998" s="39" t="n">
        <f aca="false">J1998*Resumo!$C$8</f>
        <v>0.85386</v>
      </c>
      <c r="Q1998" s="39" t="n">
        <f aca="false">Resumo!$C$10*CEILING(I1998/100,1)</f>
        <v>1.05</v>
      </c>
      <c r="R1998" s="39" t="n">
        <f aca="false">Resumo!$C$9</f>
        <v>0</v>
      </c>
      <c r="S1998" s="39" t="n">
        <f aca="false">Resumo!$C$13</f>
        <v>13.55</v>
      </c>
      <c r="T1998" s="39" t="n">
        <f aca="false">Resumo!$C$14*CEILING(I1998,1)</f>
        <v>13.95</v>
      </c>
      <c r="U1998" s="39" t="n">
        <f aca="false">SUM(M1998:T1998)*Resumo!$C$11</f>
        <v>0</v>
      </c>
      <c r="V1998" s="39" t="n">
        <f aca="false">SUM(M1998:U1998)</f>
        <v>95.88772</v>
      </c>
      <c r="W1998" s="39" t="n">
        <f aca="false">V1998/(1-Resumo!$C$5)</f>
        <v>108.963318181818</v>
      </c>
      <c r="X1998" s="39" t="n">
        <v>138.29</v>
      </c>
      <c r="Y1998" s="39" t="n">
        <f aca="false">J1998*Resumo!$B$6</f>
        <v>0.4066</v>
      </c>
      <c r="Z1998" s="39" t="n">
        <f aca="false">J1998*Resumo!$B$7</f>
        <v>0.8132</v>
      </c>
      <c r="AA1998" s="39" t="n">
        <f aca="false">Resumo!$B$9</f>
        <v>1</v>
      </c>
      <c r="AB1998" s="39" t="n">
        <f aca="false">Resumo!$B$10*CEILING(I1998/100,1)</f>
        <v>4.5</v>
      </c>
      <c r="AC1998" s="39" t="n">
        <f aca="false">Resumo!$B$12*CEILING(I1998,1)</f>
        <v>1.86</v>
      </c>
      <c r="AD1998" s="39" t="n">
        <f aca="false">Resumo!$B$14*CEILING(I1998,1)</f>
        <v>13.95</v>
      </c>
      <c r="AE1998" s="39" t="n">
        <f aca="false">SUM(X1998:AD1998)</f>
        <v>160.8198</v>
      </c>
      <c r="AF1998" s="39" t="n">
        <f aca="false">AE1998/(1-Resumo!$B$5)</f>
        <v>182.749772727273</v>
      </c>
      <c r="AG1998" s="39" t="n">
        <f aca="false">AF1998-W1998</f>
        <v>73.7864545454545</v>
      </c>
      <c r="AH1998" s="40" t="n">
        <f aca="false">AF1998/W1998-1</f>
        <v>0.677167837550001</v>
      </c>
      <c r="AI1998" s="37" t="str">
        <f aca="false">IF(AF1998&lt;W1998,"SIM","NÃO")</f>
        <v>NÃO</v>
      </c>
      <c r="AJ1998" s="37" t="n">
        <v>13</v>
      </c>
      <c r="AK1998" s="37" t="n">
        <v>11</v>
      </c>
      <c r="AL1998" s="37" t="s">
        <v>343</v>
      </c>
      <c r="AM1998" s="39" t="n">
        <v>109.13</v>
      </c>
    </row>
    <row r="1999" customFormat="false" ht="15" hidden="false" customHeight="false" outlineLevel="0" collapsed="false">
      <c r="A1999" s="37" t="n">
        <v>398066522</v>
      </c>
      <c r="B1999" s="38" t="n">
        <v>46287.3566666667</v>
      </c>
      <c r="C1999" s="37" t="s">
        <v>340</v>
      </c>
      <c r="D1999" s="37" t="s">
        <v>611</v>
      </c>
      <c r="E1999" s="37" t="n">
        <v>24736220</v>
      </c>
      <c r="F1999" s="37" t="s">
        <v>160</v>
      </c>
      <c r="G1999" s="37" t="s">
        <v>197</v>
      </c>
      <c r="H1999" s="37" t="s">
        <v>186</v>
      </c>
      <c r="I1999" s="37" t="n">
        <v>41</v>
      </c>
      <c r="J1999" s="39" t="n">
        <v>487.99</v>
      </c>
      <c r="K1999" s="37" t="s">
        <v>342</v>
      </c>
      <c r="L1999" s="39" t="n">
        <v>116.42</v>
      </c>
      <c r="M1999" s="39" t="n">
        <v>65.36</v>
      </c>
      <c r="N1999" s="39" t="n">
        <f aca="false">J1999*Resumo!$C$6</f>
        <v>0</v>
      </c>
      <c r="O1999" s="39" t="n">
        <f aca="false">J1999*Resumo!$C$7</f>
        <v>1.024779</v>
      </c>
      <c r="P1999" s="39" t="n">
        <f aca="false">J1999*Resumo!$C$8</f>
        <v>1.024779</v>
      </c>
      <c r="Q1999" s="39" t="n">
        <f aca="false">Resumo!$C$10*CEILING(I1999/100,1)</f>
        <v>1.05</v>
      </c>
      <c r="R1999" s="39" t="n">
        <f aca="false">Resumo!$C$9</f>
        <v>0</v>
      </c>
      <c r="S1999" s="39" t="n">
        <f aca="false">Resumo!$C$13</f>
        <v>13.55</v>
      </c>
      <c r="T1999" s="39" t="n">
        <f aca="false">Resumo!$C$14*CEILING(I1999,1)</f>
        <v>18.45</v>
      </c>
      <c r="U1999" s="39" t="n">
        <f aca="false">SUM(M1999:T1999)*Resumo!$C$11</f>
        <v>0</v>
      </c>
      <c r="V1999" s="39" t="n">
        <f aca="false">SUM(M1999:U1999)</f>
        <v>100.459558</v>
      </c>
      <c r="W1999" s="39" t="n">
        <f aca="false">V1999/(1-Resumo!$C$5)</f>
        <v>114.158588636364</v>
      </c>
      <c r="X1999" s="39" t="n">
        <v>114.95</v>
      </c>
      <c r="Y1999" s="39" t="n">
        <f aca="false">J1999*Resumo!$B$6</f>
        <v>0.48799</v>
      </c>
      <c r="Z1999" s="39" t="n">
        <f aca="false">J1999*Resumo!$B$7</f>
        <v>0.97598</v>
      </c>
      <c r="AA1999" s="39" t="n">
        <f aca="false">Resumo!$B$9</f>
        <v>1</v>
      </c>
      <c r="AB1999" s="39" t="n">
        <f aca="false">Resumo!$B$10*CEILING(I1999/100,1)</f>
        <v>4.5</v>
      </c>
      <c r="AC1999" s="39" t="n">
        <f aca="false">Resumo!$B$12*CEILING(I1999,1)</f>
        <v>2.46</v>
      </c>
      <c r="AD1999" s="39" t="n">
        <f aca="false">Resumo!$B$14*CEILING(I1999,1)</f>
        <v>18.45</v>
      </c>
      <c r="AE1999" s="39" t="n">
        <f aca="false">SUM(X1999:AD1999)</f>
        <v>142.82397</v>
      </c>
      <c r="AF1999" s="39" t="n">
        <f aca="false">AE1999/(1-Resumo!$B$5)</f>
        <v>162.299965909091</v>
      </c>
      <c r="AG1999" s="39" t="n">
        <f aca="false">AF1999-W1999</f>
        <v>48.1413772727273</v>
      </c>
      <c r="AH1999" s="40" t="n">
        <f aca="false">AF1999/W1999-1</f>
        <v>0.421706135716822</v>
      </c>
      <c r="AI1999" s="37" t="str">
        <f aca="false">IF(AF1999&lt;W1999,"SIM","NÃO")</f>
        <v>NÃO</v>
      </c>
      <c r="AJ1999" s="37" t="n">
        <v>2</v>
      </c>
      <c r="AK1999" s="37" t="n">
        <v>7</v>
      </c>
      <c r="AL1999" s="37" t="s">
        <v>343</v>
      </c>
      <c r="AM1999" s="39" t="n">
        <v>116.41</v>
      </c>
    </row>
    <row r="2000" customFormat="false" ht="15" hidden="false" customHeight="false" outlineLevel="0" collapsed="false">
      <c r="A2000" s="37" t="n">
        <v>398099099</v>
      </c>
      <c r="B2000" s="38" t="n">
        <v>46287.4282175926</v>
      </c>
      <c r="C2000" s="37" t="s">
        <v>340</v>
      </c>
      <c r="D2000" s="37" t="s">
        <v>607</v>
      </c>
      <c r="E2000" s="37" t="n">
        <v>23092093</v>
      </c>
      <c r="F2000" s="37" t="s">
        <v>159</v>
      </c>
      <c r="G2000" s="37" t="s">
        <v>196</v>
      </c>
      <c r="H2000" s="37" t="s">
        <v>185</v>
      </c>
      <c r="I2000" s="37" t="n">
        <v>40</v>
      </c>
      <c r="J2000" s="39" t="n">
        <v>562.42</v>
      </c>
      <c r="K2000" s="37" t="s">
        <v>342</v>
      </c>
      <c r="L2000" s="39" t="n">
        <v>92.55</v>
      </c>
      <c r="M2000" s="39" t="n">
        <v>48.35</v>
      </c>
      <c r="N2000" s="39" t="n">
        <f aca="false">J2000*Resumo!$C$6</f>
        <v>0</v>
      </c>
      <c r="O2000" s="39" t="n">
        <f aca="false">J2000*Resumo!$C$7</f>
        <v>1.181082</v>
      </c>
      <c r="P2000" s="39" t="n">
        <f aca="false">J2000*Resumo!$C$8</f>
        <v>1.181082</v>
      </c>
      <c r="Q2000" s="39" t="n">
        <f aca="false">Resumo!$C$10*CEILING(I2000/100,1)</f>
        <v>1.05</v>
      </c>
      <c r="R2000" s="39" t="n">
        <f aca="false">Resumo!$C$9</f>
        <v>0</v>
      </c>
      <c r="S2000" s="39" t="n">
        <f aca="false">Resumo!$C$13</f>
        <v>13.55</v>
      </c>
      <c r="T2000" s="39" t="n">
        <f aca="false">Resumo!$C$14*CEILING(I2000,1)</f>
        <v>18</v>
      </c>
      <c r="U2000" s="39" t="n">
        <f aca="false">SUM(M2000:T2000)*Resumo!$C$11</f>
        <v>0</v>
      </c>
      <c r="V2000" s="39" t="n">
        <f aca="false">SUM(M2000:U2000)</f>
        <v>83.312164</v>
      </c>
      <c r="W2000" s="39" t="n">
        <f aca="false">V2000/(1-Resumo!$C$5)</f>
        <v>94.6729136363636</v>
      </c>
      <c r="X2000" s="39" t="n">
        <v>93.97</v>
      </c>
      <c r="Y2000" s="39" t="n">
        <f aca="false">J2000*Resumo!$B$6</f>
        <v>0.56242</v>
      </c>
      <c r="Z2000" s="39" t="n">
        <f aca="false">J2000*Resumo!$B$7</f>
        <v>1.12484</v>
      </c>
      <c r="AA2000" s="39" t="n">
        <f aca="false">Resumo!$B$9</f>
        <v>1</v>
      </c>
      <c r="AB2000" s="39" t="n">
        <f aca="false">Resumo!$B$10*CEILING(I2000/100,1)</f>
        <v>4.5</v>
      </c>
      <c r="AC2000" s="39" t="n">
        <f aca="false">Resumo!$B$12*CEILING(I2000,1)</f>
        <v>2.4</v>
      </c>
      <c r="AD2000" s="39" t="n">
        <f aca="false">Resumo!$B$14*CEILING(I2000,1)</f>
        <v>18</v>
      </c>
      <c r="AE2000" s="39" t="n">
        <f aca="false">SUM(X2000:AD2000)</f>
        <v>121.55726</v>
      </c>
      <c r="AF2000" s="39" t="n">
        <f aca="false">AE2000/(1-Resumo!$B$5)</f>
        <v>138.13325</v>
      </c>
      <c r="AG2000" s="39" t="n">
        <f aca="false">AF2000-W2000</f>
        <v>43.4603363636364</v>
      </c>
      <c r="AH2000" s="40" t="n">
        <f aca="false">AF2000/W2000-1</f>
        <v>0.459057767362759</v>
      </c>
      <c r="AI2000" s="37" t="str">
        <f aca="false">IF(AF2000&lt;W2000,"SIM","NÃO")</f>
        <v>NÃO</v>
      </c>
      <c r="AJ2000" s="37" t="n">
        <v>2</v>
      </c>
      <c r="AK2000" s="37" t="n">
        <v>5</v>
      </c>
      <c r="AL2000" s="37" t="s">
        <v>343</v>
      </c>
      <c r="AM2000" s="39" t="n">
        <v>92.55</v>
      </c>
    </row>
    <row r="2001" customFormat="false" ht="15" hidden="false" customHeight="false" outlineLevel="0" collapsed="false">
      <c r="A2001" s="37" t="n">
        <v>398109227</v>
      </c>
      <c r="B2001" s="38" t="n">
        <v>46287.4486574074</v>
      </c>
      <c r="C2001" s="37" t="s">
        <v>340</v>
      </c>
      <c r="D2001" s="37" t="s">
        <v>2132</v>
      </c>
      <c r="E2001" s="37" t="n">
        <v>21381140</v>
      </c>
      <c r="F2001" s="37" t="s">
        <v>159</v>
      </c>
      <c r="G2001" s="37" t="s">
        <v>196</v>
      </c>
      <c r="H2001" s="37" t="s">
        <v>188</v>
      </c>
      <c r="I2001" s="37" t="n">
        <v>63</v>
      </c>
      <c r="J2001" s="39" t="n">
        <v>702.57</v>
      </c>
      <c r="K2001" s="37" t="s">
        <v>342</v>
      </c>
      <c r="L2001" s="39" t="n">
        <v>124.59</v>
      </c>
      <c r="M2001" s="39" t="n">
        <v>63.21</v>
      </c>
      <c r="N2001" s="39" t="n">
        <f aca="false">J2001*Resumo!$C$6</f>
        <v>0</v>
      </c>
      <c r="O2001" s="39" t="n">
        <f aca="false">J2001*Resumo!$C$7</f>
        <v>1.475397</v>
      </c>
      <c r="P2001" s="39" t="n">
        <f aca="false">J2001*Resumo!$C$8</f>
        <v>1.475397</v>
      </c>
      <c r="Q2001" s="39" t="n">
        <f aca="false">Resumo!$C$10*CEILING(I2001/100,1)</f>
        <v>1.05</v>
      </c>
      <c r="R2001" s="39" t="n">
        <f aca="false">Resumo!$C$9</f>
        <v>0</v>
      </c>
      <c r="S2001" s="39" t="n">
        <f aca="false">Resumo!$C$13</f>
        <v>13.55</v>
      </c>
      <c r="T2001" s="39" t="n">
        <f aca="false">Resumo!$C$14*CEILING(I2001,1)</f>
        <v>28.35</v>
      </c>
      <c r="U2001" s="39" t="n">
        <f aca="false">SUM(M2001:T2001)*Resumo!$C$11</f>
        <v>0</v>
      </c>
      <c r="V2001" s="39" t="n">
        <f aca="false">SUM(M2001:U2001)</f>
        <v>109.110794</v>
      </c>
      <c r="W2001" s="39" t="n">
        <f aca="false">V2001/(1-Resumo!$C$5)</f>
        <v>123.989538636364</v>
      </c>
      <c r="X2001" s="39" t="n">
        <v>131.02</v>
      </c>
      <c r="Y2001" s="39" t="n">
        <f aca="false">J2001*Resumo!$B$6</f>
        <v>0.70257</v>
      </c>
      <c r="Z2001" s="39" t="n">
        <f aca="false">J2001*Resumo!$B$7</f>
        <v>1.40514</v>
      </c>
      <c r="AA2001" s="39" t="n">
        <f aca="false">Resumo!$B$9</f>
        <v>1</v>
      </c>
      <c r="AB2001" s="39" t="n">
        <f aca="false">Resumo!$B$10*CEILING(I2001/100,1)</f>
        <v>4.5</v>
      </c>
      <c r="AC2001" s="39" t="n">
        <f aca="false">Resumo!$B$12*CEILING(I2001,1)</f>
        <v>3.78</v>
      </c>
      <c r="AD2001" s="39" t="n">
        <f aca="false">Resumo!$B$14*CEILING(I2001,1)</f>
        <v>28.35</v>
      </c>
      <c r="AE2001" s="39" t="n">
        <f aca="false">SUM(X2001:AD2001)</f>
        <v>170.75771</v>
      </c>
      <c r="AF2001" s="39" t="n">
        <f aca="false">AE2001/(1-Resumo!$B$5)</f>
        <v>194.042852272727</v>
      </c>
      <c r="AG2001" s="39" t="n">
        <f aca="false">AF2001-W2001</f>
        <v>70.0533136363637</v>
      </c>
      <c r="AH2001" s="40" t="n">
        <f aca="false">AF2001/W2001-1</f>
        <v>0.564993743882022</v>
      </c>
      <c r="AI2001" s="37" t="str">
        <f aca="false">IF(AF2001&lt;W2001,"SIM","NÃO")</f>
        <v>NÃO</v>
      </c>
      <c r="AJ2001" s="37" t="n">
        <v>2</v>
      </c>
      <c r="AK2001" s="37" t="n">
        <v>5</v>
      </c>
      <c r="AL2001" s="37" t="s">
        <v>343</v>
      </c>
      <c r="AM2001" s="39" t="n">
        <v>124.57</v>
      </c>
    </row>
    <row r="2002" customFormat="false" ht="15" hidden="false" customHeight="false" outlineLevel="0" collapsed="false">
      <c r="A2002" s="37" t="n">
        <v>398126916</v>
      </c>
      <c r="B2002" s="38" t="n">
        <v>46287.4854282407</v>
      </c>
      <c r="C2002" s="37" t="s">
        <v>340</v>
      </c>
      <c r="D2002" s="37" t="s">
        <v>2133</v>
      </c>
      <c r="E2002" s="37" t="n">
        <v>20720230</v>
      </c>
      <c r="F2002" s="37" t="s">
        <v>159</v>
      </c>
      <c r="G2002" s="37" t="s">
        <v>196</v>
      </c>
      <c r="H2002" s="37" t="s">
        <v>185</v>
      </c>
      <c r="I2002" s="37" t="n">
        <v>40</v>
      </c>
      <c r="J2002" s="39" t="n">
        <v>562.42</v>
      </c>
      <c r="K2002" s="37" t="s">
        <v>342</v>
      </c>
      <c r="L2002" s="39" t="n">
        <v>92.55</v>
      </c>
      <c r="M2002" s="39" t="n">
        <v>48.35</v>
      </c>
      <c r="N2002" s="39" t="n">
        <f aca="false">J2002*Resumo!$C$6</f>
        <v>0</v>
      </c>
      <c r="O2002" s="39" t="n">
        <f aca="false">J2002*Resumo!$C$7</f>
        <v>1.181082</v>
      </c>
      <c r="P2002" s="39" t="n">
        <f aca="false">J2002*Resumo!$C$8</f>
        <v>1.181082</v>
      </c>
      <c r="Q2002" s="39" t="n">
        <f aca="false">Resumo!$C$10*CEILING(I2002/100,1)</f>
        <v>1.05</v>
      </c>
      <c r="R2002" s="39" t="n">
        <f aca="false">Resumo!$C$9</f>
        <v>0</v>
      </c>
      <c r="S2002" s="39" t="n">
        <f aca="false">Resumo!$C$13</f>
        <v>13.55</v>
      </c>
      <c r="T2002" s="39" t="n">
        <f aca="false">Resumo!$C$14*CEILING(I2002,1)</f>
        <v>18</v>
      </c>
      <c r="U2002" s="39" t="n">
        <f aca="false">SUM(M2002:T2002)*Resumo!$C$11</f>
        <v>0</v>
      </c>
      <c r="V2002" s="39" t="n">
        <f aca="false">SUM(M2002:U2002)</f>
        <v>83.312164</v>
      </c>
      <c r="W2002" s="39" t="n">
        <f aca="false">V2002/(1-Resumo!$C$5)</f>
        <v>94.6729136363636</v>
      </c>
      <c r="X2002" s="39" t="n">
        <v>93.97</v>
      </c>
      <c r="Y2002" s="39" t="n">
        <f aca="false">J2002*Resumo!$B$6</f>
        <v>0.56242</v>
      </c>
      <c r="Z2002" s="39" t="n">
        <f aca="false">J2002*Resumo!$B$7</f>
        <v>1.12484</v>
      </c>
      <c r="AA2002" s="39" t="n">
        <f aca="false">Resumo!$B$9</f>
        <v>1</v>
      </c>
      <c r="AB2002" s="39" t="n">
        <f aca="false">Resumo!$B$10*CEILING(I2002/100,1)</f>
        <v>4.5</v>
      </c>
      <c r="AC2002" s="39" t="n">
        <f aca="false">Resumo!$B$12*CEILING(I2002,1)</f>
        <v>2.4</v>
      </c>
      <c r="AD2002" s="39" t="n">
        <f aca="false">Resumo!$B$14*CEILING(I2002,1)</f>
        <v>18</v>
      </c>
      <c r="AE2002" s="39" t="n">
        <f aca="false">SUM(X2002:AD2002)</f>
        <v>121.55726</v>
      </c>
      <c r="AF2002" s="39" t="n">
        <f aca="false">AE2002/(1-Resumo!$B$5)</f>
        <v>138.13325</v>
      </c>
      <c r="AG2002" s="39" t="n">
        <f aca="false">AF2002-W2002</f>
        <v>43.4603363636364</v>
      </c>
      <c r="AH2002" s="40" t="n">
        <f aca="false">AF2002/W2002-1</f>
        <v>0.459057767362759</v>
      </c>
      <c r="AI2002" s="37" t="str">
        <f aca="false">IF(AF2002&lt;W2002,"SIM","NÃO")</f>
        <v>NÃO</v>
      </c>
      <c r="AJ2002" s="37" t="n">
        <v>2</v>
      </c>
      <c r="AK2002" s="37" t="n">
        <v>5</v>
      </c>
      <c r="AL2002" s="37" t="s">
        <v>343</v>
      </c>
      <c r="AM2002" s="39" t="n">
        <v>92.55</v>
      </c>
    </row>
    <row r="2003" customFormat="false" ht="15" hidden="false" customHeight="false" outlineLevel="0" collapsed="false">
      <c r="A2003" s="37" t="n">
        <v>398141863</v>
      </c>
      <c r="B2003" s="38" t="n">
        <v>46287.517337963</v>
      </c>
      <c r="C2003" s="37" t="s">
        <v>340</v>
      </c>
      <c r="D2003" s="37" t="s">
        <v>2134</v>
      </c>
      <c r="E2003" s="37" t="n">
        <v>28963050</v>
      </c>
      <c r="F2003" s="37" t="s">
        <v>294</v>
      </c>
      <c r="G2003" s="37" t="s">
        <v>198</v>
      </c>
      <c r="H2003" s="37" t="s">
        <v>185</v>
      </c>
      <c r="I2003" s="37" t="n">
        <v>35.3</v>
      </c>
      <c r="J2003" s="39" t="n">
        <v>432.99</v>
      </c>
      <c r="K2003" s="37" t="s">
        <v>342</v>
      </c>
      <c r="L2003" s="39" t="n">
        <v>122.33</v>
      </c>
      <c r="M2003" s="39" t="n">
        <v>74.97</v>
      </c>
      <c r="N2003" s="39" t="n">
        <f aca="false">J2003*Resumo!$C$6</f>
        <v>0</v>
      </c>
      <c r="O2003" s="39" t="n">
        <f aca="false">J2003*Resumo!$C$7</f>
        <v>0.909279</v>
      </c>
      <c r="P2003" s="39" t="n">
        <f aca="false">J2003*Resumo!$C$8</f>
        <v>0.909279</v>
      </c>
      <c r="Q2003" s="39" t="n">
        <f aca="false">Resumo!$C$10*CEILING(I2003/100,1)</f>
        <v>1.05</v>
      </c>
      <c r="R2003" s="39" t="n">
        <f aca="false">Resumo!$C$9</f>
        <v>0</v>
      </c>
      <c r="S2003" s="39" t="n">
        <f aca="false">Resumo!$C$13</f>
        <v>13.55</v>
      </c>
      <c r="T2003" s="39" t="n">
        <f aca="false">Resumo!$C$14*CEILING(I2003,1)</f>
        <v>16.2</v>
      </c>
      <c r="U2003" s="39" t="n">
        <f aca="false">SUM(M2003:T2003)*Resumo!$C$11</f>
        <v>0</v>
      </c>
      <c r="V2003" s="39" t="n">
        <f aca="false">SUM(M2003:U2003)</f>
        <v>107.588558</v>
      </c>
      <c r="W2003" s="39" t="n">
        <f aca="false">V2003/(1-Resumo!$C$5)</f>
        <v>122.259725</v>
      </c>
      <c r="X2003" s="39" t="n">
        <v>124.38</v>
      </c>
      <c r="Y2003" s="39" t="n">
        <f aca="false">J2003*Resumo!$B$6</f>
        <v>0.43299</v>
      </c>
      <c r="Z2003" s="39" t="n">
        <f aca="false">J2003*Resumo!$B$7</f>
        <v>0.86598</v>
      </c>
      <c r="AA2003" s="39" t="n">
        <f aca="false">Resumo!$B$9</f>
        <v>1</v>
      </c>
      <c r="AB2003" s="39" t="n">
        <f aca="false">Resumo!$B$10*CEILING(I2003/100,1)</f>
        <v>4.5</v>
      </c>
      <c r="AC2003" s="39" t="n">
        <f aca="false">Resumo!$B$12*CEILING(I2003,1)</f>
        <v>2.16</v>
      </c>
      <c r="AD2003" s="39" t="n">
        <f aca="false">Resumo!$B$14*CEILING(I2003,1)</f>
        <v>16.2</v>
      </c>
      <c r="AE2003" s="39" t="n">
        <f aca="false">SUM(X2003:AD2003)</f>
        <v>149.53897</v>
      </c>
      <c r="AF2003" s="39" t="n">
        <f aca="false">AE2003/(1-Resumo!$B$5)</f>
        <v>169.930647727273</v>
      </c>
      <c r="AG2003" s="39" t="n">
        <f aca="false">AF2003-W2003</f>
        <v>47.6709227272727</v>
      </c>
      <c r="AH2003" s="40" t="n">
        <f aca="false">AF2003/W2003-1</f>
        <v>0.389915180385632</v>
      </c>
      <c r="AI2003" s="37" t="str">
        <f aca="false">IF(AF2003&lt;W2003,"SIM","NÃO")</f>
        <v>NÃO</v>
      </c>
      <c r="AJ2003" s="37" t="n">
        <v>13</v>
      </c>
      <c r="AK2003" s="37" t="n">
        <v>10</v>
      </c>
      <c r="AL2003" s="37" t="s">
        <v>347</v>
      </c>
      <c r="AM2003" s="39" t="n">
        <v>122.32</v>
      </c>
    </row>
    <row r="2004" customFormat="false" ht="15" hidden="false" customHeight="false" outlineLevel="0" collapsed="false">
      <c r="A2004" s="37" t="n">
        <v>398169007</v>
      </c>
      <c r="B2004" s="38" t="n">
        <v>46287.5759953704</v>
      </c>
      <c r="C2004" s="37" t="s">
        <v>345</v>
      </c>
      <c r="D2004" s="37" t="s">
        <v>2135</v>
      </c>
      <c r="E2004" s="37" t="n">
        <v>28140000</v>
      </c>
      <c r="F2004" s="37" t="s">
        <v>164</v>
      </c>
      <c r="G2004" s="37" t="s">
        <v>198</v>
      </c>
      <c r="H2004" s="37" t="s">
        <v>184</v>
      </c>
      <c r="I2004" s="37" t="n">
        <v>31.9</v>
      </c>
      <c r="J2004" s="39" t="n">
        <v>559.99</v>
      </c>
      <c r="K2004" s="37" t="s">
        <v>342</v>
      </c>
      <c r="L2004" s="39" t="n">
        <v>109.86</v>
      </c>
      <c r="M2004" s="39" t="n">
        <v>65.63</v>
      </c>
      <c r="N2004" s="39" t="n">
        <f aca="false">J2004*Resumo!$C$6</f>
        <v>0</v>
      </c>
      <c r="O2004" s="39" t="n">
        <f aca="false">J2004*Resumo!$C$7</f>
        <v>1.175979</v>
      </c>
      <c r="P2004" s="39" t="n">
        <f aca="false">J2004*Resumo!$C$8</f>
        <v>1.175979</v>
      </c>
      <c r="Q2004" s="39" t="n">
        <f aca="false">Resumo!$C$10*CEILING(I2004/100,1)</f>
        <v>1.05</v>
      </c>
      <c r="R2004" s="39" t="n">
        <f aca="false">Resumo!$C$9</f>
        <v>0</v>
      </c>
      <c r="S2004" s="39" t="n">
        <f aca="false">Resumo!$C$13</f>
        <v>13.55</v>
      </c>
      <c r="T2004" s="39" t="n">
        <f aca="false">Resumo!$C$14*CEILING(I2004,1)</f>
        <v>14.4</v>
      </c>
      <c r="U2004" s="39" t="n">
        <f aca="false">SUM(M2004:T2004)*Resumo!$C$11</f>
        <v>0</v>
      </c>
      <c r="V2004" s="39" t="n">
        <f aca="false">SUM(M2004:U2004)</f>
        <v>96.981958</v>
      </c>
      <c r="W2004" s="39" t="n">
        <f aca="false">V2004/(1-Resumo!$C$5)</f>
        <v>110.206770454545</v>
      </c>
      <c r="X2004" s="39" t="n">
        <v>138.29</v>
      </c>
      <c r="Y2004" s="39" t="n">
        <f aca="false">J2004*Resumo!$B$6</f>
        <v>0.55999</v>
      </c>
      <c r="Z2004" s="39" t="n">
        <f aca="false">J2004*Resumo!$B$7</f>
        <v>1.11998</v>
      </c>
      <c r="AA2004" s="39" t="n">
        <f aca="false">Resumo!$B$9</f>
        <v>1</v>
      </c>
      <c r="AB2004" s="39" t="n">
        <f aca="false">Resumo!$B$10*CEILING(I2004/100,1)</f>
        <v>4.5</v>
      </c>
      <c r="AC2004" s="39" t="n">
        <f aca="false">Resumo!$B$12*CEILING(I2004,1)</f>
        <v>1.92</v>
      </c>
      <c r="AD2004" s="39" t="n">
        <f aca="false">Resumo!$B$14*CEILING(I2004,1)</f>
        <v>14.4</v>
      </c>
      <c r="AE2004" s="39" t="n">
        <f aca="false">SUM(X2004:AD2004)</f>
        <v>161.78997</v>
      </c>
      <c r="AF2004" s="39" t="n">
        <f aca="false">AE2004/(1-Resumo!$B$5)</f>
        <v>183.852238636364</v>
      </c>
      <c r="AG2004" s="39" t="n">
        <f aca="false">AF2004-W2004</f>
        <v>73.6454681818182</v>
      </c>
      <c r="AH2004" s="40" t="n">
        <f aca="false">AF2004/W2004-1</f>
        <v>0.668248129203578</v>
      </c>
      <c r="AI2004" s="37" t="str">
        <f aca="false">IF(AF2004&lt;W2004,"SIM","NÃO")</f>
        <v>NÃO</v>
      </c>
      <c r="AJ2004" s="37" t="n">
        <v>13</v>
      </c>
      <c r="AK2004" s="37" t="n">
        <v>11</v>
      </c>
      <c r="AL2004" s="37" t="s">
        <v>343</v>
      </c>
      <c r="AM2004" s="39" t="n">
        <v>109.86</v>
      </c>
    </row>
    <row r="2005" customFormat="false" ht="15" hidden="false" customHeight="false" outlineLevel="0" collapsed="false">
      <c r="A2005" s="37" t="n">
        <v>398177624</v>
      </c>
      <c r="B2005" s="38" t="n">
        <v>46287.5958101852</v>
      </c>
      <c r="C2005" s="37" t="s">
        <v>340</v>
      </c>
      <c r="D2005" s="37" t="s">
        <v>2136</v>
      </c>
      <c r="E2005" s="37" t="n">
        <v>27143460</v>
      </c>
      <c r="F2005" s="37" t="s">
        <v>244</v>
      </c>
      <c r="G2005" s="37" t="s">
        <v>198</v>
      </c>
      <c r="H2005" s="37" t="s">
        <v>185</v>
      </c>
      <c r="I2005" s="37" t="n">
        <v>36.9</v>
      </c>
      <c r="J2005" s="39" t="n">
        <v>389.99</v>
      </c>
      <c r="K2005" s="37" t="s">
        <v>342</v>
      </c>
      <c r="L2005" s="39" t="n">
        <v>122.11</v>
      </c>
      <c r="M2005" s="39" t="n">
        <v>74.97</v>
      </c>
      <c r="N2005" s="39" t="n">
        <f aca="false">J2005*Resumo!$C$6</f>
        <v>0</v>
      </c>
      <c r="O2005" s="39" t="n">
        <f aca="false">J2005*Resumo!$C$7</f>
        <v>0.818979</v>
      </c>
      <c r="P2005" s="39" t="n">
        <f aca="false">J2005*Resumo!$C$8</f>
        <v>0.818979</v>
      </c>
      <c r="Q2005" s="39" t="n">
        <f aca="false">Resumo!$C$10*CEILING(I2005/100,1)</f>
        <v>1.05</v>
      </c>
      <c r="R2005" s="39" t="n">
        <f aca="false">Resumo!$C$9</f>
        <v>0</v>
      </c>
      <c r="S2005" s="39" t="n">
        <f aca="false">Resumo!$C$13</f>
        <v>13.55</v>
      </c>
      <c r="T2005" s="39" t="n">
        <f aca="false">Resumo!$C$14*CEILING(I2005,1)</f>
        <v>16.65</v>
      </c>
      <c r="U2005" s="39" t="n">
        <f aca="false">SUM(M2005:T2005)*Resumo!$C$11</f>
        <v>0</v>
      </c>
      <c r="V2005" s="39" t="n">
        <f aca="false">SUM(M2005:U2005)</f>
        <v>107.857958</v>
      </c>
      <c r="W2005" s="39" t="n">
        <f aca="false">V2005/(1-Resumo!$C$5)</f>
        <v>122.565861363636</v>
      </c>
      <c r="X2005" s="39" t="n">
        <v>124.38</v>
      </c>
      <c r="Y2005" s="39" t="n">
        <f aca="false">J2005*Resumo!$B$6</f>
        <v>0.38999</v>
      </c>
      <c r="Z2005" s="39" t="n">
        <f aca="false">J2005*Resumo!$B$7</f>
        <v>0.77998</v>
      </c>
      <c r="AA2005" s="39" t="n">
        <f aca="false">Resumo!$B$9</f>
        <v>1</v>
      </c>
      <c r="AB2005" s="39" t="n">
        <f aca="false">Resumo!$B$10*CEILING(I2005/100,1)</f>
        <v>4.5</v>
      </c>
      <c r="AC2005" s="39" t="n">
        <f aca="false">Resumo!$B$12*CEILING(I2005,1)</f>
        <v>2.22</v>
      </c>
      <c r="AD2005" s="39" t="n">
        <f aca="false">Resumo!$B$14*CEILING(I2005,1)</f>
        <v>16.65</v>
      </c>
      <c r="AE2005" s="39" t="n">
        <f aca="false">SUM(X2005:AD2005)</f>
        <v>149.91997</v>
      </c>
      <c r="AF2005" s="39" t="n">
        <f aca="false">AE2005/(1-Resumo!$B$5)</f>
        <v>170.363602272727</v>
      </c>
      <c r="AG2005" s="39" t="n">
        <f aca="false">AF2005-W2005</f>
        <v>47.7977409090909</v>
      </c>
      <c r="AH2005" s="40" t="n">
        <f aca="false">AF2005/W2005-1</f>
        <v>0.389975971916694</v>
      </c>
      <c r="AI2005" s="37" t="str">
        <f aca="false">IF(AF2005&lt;W2005,"SIM","NÃO")</f>
        <v>NÃO</v>
      </c>
      <c r="AJ2005" s="37" t="n">
        <v>13</v>
      </c>
      <c r="AK2005" s="37" t="n">
        <v>10</v>
      </c>
      <c r="AL2005" s="37" t="s">
        <v>347</v>
      </c>
      <c r="AM2005" s="39" t="n">
        <v>122.12</v>
      </c>
    </row>
    <row r="2006" customFormat="false" ht="15" hidden="false" customHeight="false" outlineLevel="0" collapsed="false">
      <c r="A2006" s="37" t="n">
        <v>398189600</v>
      </c>
      <c r="B2006" s="38" t="n">
        <v>46287.6212615741</v>
      </c>
      <c r="C2006" s="37" t="s">
        <v>345</v>
      </c>
      <c r="D2006" s="37" t="s">
        <v>2137</v>
      </c>
      <c r="E2006" s="37" t="n">
        <v>28175000</v>
      </c>
      <c r="F2006" s="37" t="s">
        <v>164</v>
      </c>
      <c r="G2006" s="37" t="s">
        <v>198</v>
      </c>
      <c r="H2006" s="37" t="s">
        <v>184</v>
      </c>
      <c r="I2006" s="37" t="n">
        <v>27.6</v>
      </c>
      <c r="J2006" s="39" t="n">
        <v>599.99</v>
      </c>
      <c r="K2006" s="37" t="s">
        <v>342</v>
      </c>
      <c r="L2006" s="39" t="n">
        <v>110.06</v>
      </c>
      <c r="M2006" s="39" t="n">
        <v>65.63</v>
      </c>
      <c r="N2006" s="39" t="n">
        <f aca="false">J2006*Resumo!$C$6</f>
        <v>0</v>
      </c>
      <c r="O2006" s="39" t="n">
        <f aca="false">J2006*Resumo!$C$7</f>
        <v>1.259979</v>
      </c>
      <c r="P2006" s="39" t="n">
        <f aca="false">J2006*Resumo!$C$8</f>
        <v>1.259979</v>
      </c>
      <c r="Q2006" s="39" t="n">
        <f aca="false">Resumo!$C$10*CEILING(I2006/100,1)</f>
        <v>1.05</v>
      </c>
      <c r="R2006" s="39" t="n">
        <f aca="false">Resumo!$C$9</f>
        <v>0</v>
      </c>
      <c r="S2006" s="39" t="n">
        <f aca="false">Resumo!$C$13</f>
        <v>13.55</v>
      </c>
      <c r="T2006" s="39" t="n">
        <f aca="false">Resumo!$C$14*CEILING(I2006,1)</f>
        <v>12.6</v>
      </c>
      <c r="U2006" s="39" t="n">
        <f aca="false">SUM(M2006:T2006)*Resumo!$C$11</f>
        <v>0</v>
      </c>
      <c r="V2006" s="39" t="n">
        <f aca="false">SUM(M2006:U2006)</f>
        <v>95.349958</v>
      </c>
      <c r="W2006" s="39" t="n">
        <f aca="false">V2006/(1-Resumo!$C$5)</f>
        <v>108.352225</v>
      </c>
      <c r="X2006" s="39" t="n">
        <v>138.29</v>
      </c>
      <c r="Y2006" s="39" t="n">
        <f aca="false">J2006*Resumo!$B$6</f>
        <v>0.59999</v>
      </c>
      <c r="Z2006" s="39" t="n">
        <f aca="false">J2006*Resumo!$B$7</f>
        <v>1.19998</v>
      </c>
      <c r="AA2006" s="39" t="n">
        <f aca="false">Resumo!$B$9</f>
        <v>1</v>
      </c>
      <c r="AB2006" s="39" t="n">
        <f aca="false">Resumo!$B$10*CEILING(I2006/100,1)</f>
        <v>4.5</v>
      </c>
      <c r="AC2006" s="39" t="n">
        <f aca="false">Resumo!$B$12*CEILING(I2006,1)</f>
        <v>1.68</v>
      </c>
      <c r="AD2006" s="39" t="n">
        <f aca="false">Resumo!$B$14*CEILING(I2006,1)</f>
        <v>12.6</v>
      </c>
      <c r="AE2006" s="39" t="n">
        <f aca="false">SUM(X2006:AD2006)</f>
        <v>159.86997</v>
      </c>
      <c r="AF2006" s="39" t="n">
        <f aca="false">AE2006/(1-Resumo!$B$5)</f>
        <v>181.670420454545</v>
      </c>
      <c r="AG2006" s="39" t="n">
        <f aca="false">AF2006-W2006</f>
        <v>73.3181954545455</v>
      </c>
      <c r="AH2006" s="40" t="n">
        <f aca="false">AF2006/W2006-1</f>
        <v>0.676665342631824</v>
      </c>
      <c r="AI2006" s="37" t="str">
        <f aca="false">IF(AF2006&lt;W2006,"SIM","NÃO")</f>
        <v>NÃO</v>
      </c>
      <c r="AJ2006" s="37" t="n">
        <v>13</v>
      </c>
      <c r="AK2006" s="37" t="n">
        <v>11</v>
      </c>
      <c r="AL2006" s="37" t="s">
        <v>343</v>
      </c>
      <c r="AM2006" s="39" t="n">
        <v>110.06</v>
      </c>
    </row>
    <row r="2007" customFormat="false" ht="15" hidden="false" customHeight="false" outlineLevel="0" collapsed="false">
      <c r="A2007" s="37" t="n">
        <v>398198221</v>
      </c>
      <c r="B2007" s="38" t="n">
        <v>46287.640150463</v>
      </c>
      <c r="C2007" s="37" t="s">
        <v>345</v>
      </c>
      <c r="D2007" s="37" t="s">
        <v>2138</v>
      </c>
      <c r="E2007" s="37" t="n">
        <v>25635142</v>
      </c>
      <c r="F2007" s="37" t="s">
        <v>170</v>
      </c>
      <c r="G2007" s="37" t="s">
        <v>198</v>
      </c>
      <c r="H2007" s="37" t="s">
        <v>188</v>
      </c>
      <c r="I2007" s="37" t="n">
        <v>68.1</v>
      </c>
      <c r="J2007" s="39" t="n">
        <v>768.92</v>
      </c>
      <c r="K2007" s="37" t="s">
        <v>342</v>
      </c>
      <c r="L2007" s="39" t="n">
        <v>155.7</v>
      </c>
      <c r="M2007" s="39" t="n">
        <v>90.2</v>
      </c>
      <c r="N2007" s="39" t="n">
        <f aca="false">J2007*Resumo!$C$6</f>
        <v>0</v>
      </c>
      <c r="O2007" s="39" t="n">
        <f aca="false">J2007*Resumo!$C$7</f>
        <v>1.614732</v>
      </c>
      <c r="P2007" s="39" t="n">
        <f aca="false">J2007*Resumo!$C$8</f>
        <v>1.614732</v>
      </c>
      <c r="Q2007" s="39" t="n">
        <f aca="false">Resumo!$C$10*CEILING(I2007/100,1)</f>
        <v>1.05</v>
      </c>
      <c r="R2007" s="39" t="n">
        <f aca="false">Resumo!$C$9</f>
        <v>0</v>
      </c>
      <c r="S2007" s="39" t="n">
        <f aca="false">Resumo!$C$13</f>
        <v>13.55</v>
      </c>
      <c r="T2007" s="39" t="n">
        <f aca="false">Resumo!$C$14*CEILING(I2007,1)</f>
        <v>31.05</v>
      </c>
      <c r="U2007" s="39" t="n">
        <f aca="false">SUM(M2007:T2007)*Resumo!$C$11</f>
        <v>0</v>
      </c>
      <c r="V2007" s="39" t="n">
        <f aca="false">SUM(M2007:U2007)</f>
        <v>139.079464</v>
      </c>
      <c r="W2007" s="39" t="n">
        <f aca="false">V2007/(1-Resumo!$C$5)</f>
        <v>158.044845454545</v>
      </c>
      <c r="X2007" s="39" t="n">
        <v>166.05</v>
      </c>
      <c r="Y2007" s="39" t="n">
        <f aca="false">J2007*Resumo!$B$6</f>
        <v>0.76892</v>
      </c>
      <c r="Z2007" s="39" t="n">
        <f aca="false">J2007*Resumo!$B$7</f>
        <v>1.53784</v>
      </c>
      <c r="AA2007" s="39" t="n">
        <f aca="false">Resumo!$B$9</f>
        <v>1</v>
      </c>
      <c r="AB2007" s="39" t="n">
        <f aca="false">Resumo!$B$10*CEILING(I2007/100,1)</f>
        <v>4.5</v>
      </c>
      <c r="AC2007" s="39" t="n">
        <f aca="false">Resumo!$B$12*CEILING(I2007,1)</f>
        <v>4.14</v>
      </c>
      <c r="AD2007" s="39" t="n">
        <f aca="false">Resumo!$B$14*CEILING(I2007,1)</f>
        <v>31.05</v>
      </c>
      <c r="AE2007" s="39" t="n">
        <f aca="false">SUM(X2007:AD2007)</f>
        <v>209.04676</v>
      </c>
      <c r="AF2007" s="39" t="n">
        <f aca="false">AE2007/(1-Resumo!$B$5)</f>
        <v>237.553136363636</v>
      </c>
      <c r="AG2007" s="39" t="n">
        <f aca="false">AF2007-W2007</f>
        <v>79.508290909091</v>
      </c>
      <c r="AH2007" s="40" t="n">
        <f aca="false">AF2007/W2007-1</f>
        <v>0.503074242506428</v>
      </c>
      <c r="AI2007" s="37" t="str">
        <f aca="false">IF(AF2007&lt;W2007,"SIM","NÃO")</f>
        <v>NÃO</v>
      </c>
      <c r="AJ2007" s="37" t="n">
        <v>13</v>
      </c>
      <c r="AK2007" s="37" t="n">
        <v>8</v>
      </c>
      <c r="AL2007" s="37" t="s">
        <v>343</v>
      </c>
      <c r="AM2007" s="39" t="n">
        <v>155.7</v>
      </c>
    </row>
    <row r="2008" customFormat="false" ht="15" hidden="false" customHeight="false" outlineLevel="0" collapsed="false">
      <c r="A2008" s="37" t="n">
        <v>398203855</v>
      </c>
      <c r="B2008" s="38" t="n">
        <v>46287.6526736111</v>
      </c>
      <c r="C2008" s="37" t="s">
        <v>345</v>
      </c>
      <c r="D2008" s="37" t="s">
        <v>2139</v>
      </c>
      <c r="E2008" s="37" t="n">
        <v>21745291</v>
      </c>
      <c r="F2008" s="37" t="s">
        <v>159</v>
      </c>
      <c r="G2008" s="37" t="s">
        <v>196</v>
      </c>
      <c r="H2008" s="37" t="s">
        <v>190</v>
      </c>
      <c r="I2008" s="37" t="n">
        <v>89</v>
      </c>
      <c r="J2008" s="39" t="n">
        <v>1371.8</v>
      </c>
      <c r="K2008" s="37" t="s">
        <v>342</v>
      </c>
      <c r="L2008" s="39" t="n">
        <v>165.66</v>
      </c>
      <c r="M2008" s="39" t="n">
        <v>83.79</v>
      </c>
      <c r="N2008" s="39" t="n">
        <f aca="false">J2008*Resumo!$C$6</f>
        <v>0</v>
      </c>
      <c r="O2008" s="39" t="n">
        <f aca="false">J2008*Resumo!$C$7</f>
        <v>2.88078</v>
      </c>
      <c r="P2008" s="39" t="n">
        <f aca="false">J2008*Resumo!$C$8</f>
        <v>2.88078</v>
      </c>
      <c r="Q2008" s="39" t="n">
        <f aca="false">Resumo!$C$10*CEILING(I2008/100,1)</f>
        <v>1.05</v>
      </c>
      <c r="R2008" s="39" t="n">
        <f aca="false">Resumo!$C$9</f>
        <v>0</v>
      </c>
      <c r="S2008" s="39" t="n">
        <f aca="false">Resumo!$C$13</f>
        <v>13.55</v>
      </c>
      <c r="T2008" s="39" t="n">
        <f aca="false">Resumo!$C$14*CEILING(I2008,1)</f>
        <v>40.05</v>
      </c>
      <c r="U2008" s="39" t="n">
        <f aca="false">SUM(M2008:T2008)*Resumo!$C$11</f>
        <v>0</v>
      </c>
      <c r="V2008" s="39" t="n">
        <f aca="false">SUM(M2008:U2008)</f>
        <v>144.20156</v>
      </c>
      <c r="W2008" s="39" t="n">
        <f aca="false">V2008/(1-Resumo!$C$5)</f>
        <v>163.865409090909</v>
      </c>
      <c r="X2008" s="39" t="n">
        <v>167.99</v>
      </c>
      <c r="Y2008" s="39" t="n">
        <f aca="false">J2008*Resumo!$B$6</f>
        <v>1.3718</v>
      </c>
      <c r="Z2008" s="39" t="n">
        <f aca="false">J2008*Resumo!$B$7</f>
        <v>2.7436</v>
      </c>
      <c r="AA2008" s="39" t="n">
        <f aca="false">Resumo!$B$9</f>
        <v>1</v>
      </c>
      <c r="AB2008" s="39" t="n">
        <f aca="false">Resumo!$B$10*CEILING(I2008/100,1)</f>
        <v>4.5</v>
      </c>
      <c r="AC2008" s="39" t="n">
        <f aca="false">Resumo!$B$12*CEILING(I2008,1)</f>
        <v>5.34</v>
      </c>
      <c r="AD2008" s="39" t="n">
        <f aca="false">Resumo!$B$14*CEILING(I2008,1)</f>
        <v>40.05</v>
      </c>
      <c r="AE2008" s="39" t="n">
        <f aca="false">SUM(X2008:AD2008)</f>
        <v>222.9954</v>
      </c>
      <c r="AF2008" s="39" t="n">
        <f aca="false">AE2008/(1-Resumo!$B$5)</f>
        <v>253.403863636364</v>
      </c>
      <c r="AG2008" s="39" t="n">
        <f aca="false">AF2008-W2008</f>
        <v>89.5384545454546</v>
      </c>
      <c r="AH2008" s="40" t="n">
        <f aca="false">AF2008/W2008-1</f>
        <v>0.546414615764213</v>
      </c>
      <c r="AI2008" s="37" t="str">
        <f aca="false">IF(AF2008&lt;W2008,"SIM","NÃO")</f>
        <v>NÃO</v>
      </c>
      <c r="AJ2008" s="37" t="n">
        <v>2</v>
      </c>
      <c r="AK2008" s="37" t="n">
        <v>5</v>
      </c>
      <c r="AL2008" s="37" t="s">
        <v>343</v>
      </c>
      <c r="AM2008" s="39" t="n">
        <v>165.67</v>
      </c>
    </row>
    <row r="2009" customFormat="false" ht="15" hidden="false" customHeight="false" outlineLevel="0" collapsed="false">
      <c r="A2009" s="37" t="n">
        <v>398206751</v>
      </c>
      <c r="B2009" s="38" t="n">
        <v>46287.6598958333</v>
      </c>
      <c r="C2009" s="37" t="s">
        <v>340</v>
      </c>
      <c r="D2009" s="37" t="s">
        <v>2140</v>
      </c>
      <c r="E2009" s="37" t="n">
        <v>28894030</v>
      </c>
      <c r="F2009" s="37" t="s">
        <v>178</v>
      </c>
      <c r="G2009" s="37" t="s">
        <v>198</v>
      </c>
      <c r="H2009" s="37" t="s">
        <v>186</v>
      </c>
      <c r="I2009" s="37" t="n">
        <v>45</v>
      </c>
      <c r="J2009" s="39" t="n">
        <v>639.93</v>
      </c>
      <c r="K2009" s="37" t="s">
        <v>342</v>
      </c>
      <c r="L2009" s="39" t="n">
        <v>131.23</v>
      </c>
      <c r="M2009" s="39" t="n">
        <v>77.7</v>
      </c>
      <c r="N2009" s="39" t="n">
        <f aca="false">J2009*Resumo!$C$6</f>
        <v>0</v>
      </c>
      <c r="O2009" s="39" t="n">
        <f aca="false">J2009*Resumo!$C$7</f>
        <v>1.343853</v>
      </c>
      <c r="P2009" s="39" t="n">
        <f aca="false">J2009*Resumo!$C$8</f>
        <v>1.343853</v>
      </c>
      <c r="Q2009" s="39" t="n">
        <f aca="false">Resumo!$C$10*CEILING(I2009/100,1)</f>
        <v>1.05</v>
      </c>
      <c r="R2009" s="39" t="n">
        <f aca="false">Resumo!$C$9</f>
        <v>0</v>
      </c>
      <c r="S2009" s="39" t="n">
        <f aca="false">Resumo!$C$13</f>
        <v>13.55</v>
      </c>
      <c r="T2009" s="39" t="n">
        <f aca="false">Resumo!$C$14*CEILING(I2009,1)</f>
        <v>20.25</v>
      </c>
      <c r="U2009" s="39" t="n">
        <f aca="false">SUM(M2009:T2009)*Resumo!$C$11</f>
        <v>0</v>
      </c>
      <c r="V2009" s="39" t="n">
        <f aca="false">SUM(M2009:U2009)</f>
        <v>115.237706</v>
      </c>
      <c r="W2009" s="39" t="n">
        <f aca="false">V2009/(1-Resumo!$C$5)</f>
        <v>130.951938636364</v>
      </c>
      <c r="X2009" s="39" t="n">
        <v>129.29</v>
      </c>
      <c r="Y2009" s="39" t="n">
        <f aca="false">J2009*Resumo!$B$6</f>
        <v>0.63993</v>
      </c>
      <c r="Z2009" s="39" t="n">
        <f aca="false">J2009*Resumo!$B$7</f>
        <v>1.27986</v>
      </c>
      <c r="AA2009" s="39" t="n">
        <f aca="false">Resumo!$B$9</f>
        <v>1</v>
      </c>
      <c r="AB2009" s="39" t="n">
        <f aca="false">Resumo!$B$10*CEILING(I2009/100,1)</f>
        <v>4.5</v>
      </c>
      <c r="AC2009" s="39" t="n">
        <f aca="false">Resumo!$B$12*CEILING(I2009,1)</f>
        <v>2.7</v>
      </c>
      <c r="AD2009" s="39" t="n">
        <f aca="false">Resumo!$B$14*CEILING(I2009,1)</f>
        <v>20.25</v>
      </c>
      <c r="AE2009" s="39" t="n">
        <f aca="false">SUM(X2009:AD2009)</f>
        <v>159.65979</v>
      </c>
      <c r="AF2009" s="39" t="n">
        <f aca="false">AE2009/(1-Resumo!$B$5)</f>
        <v>181.431579545455</v>
      </c>
      <c r="AG2009" s="39" t="n">
        <f aca="false">AF2009-W2009</f>
        <v>50.4796409090909</v>
      </c>
      <c r="AH2009" s="40" t="n">
        <f aca="false">AF2009/W2009-1</f>
        <v>0.385482196252674</v>
      </c>
      <c r="AI2009" s="37" t="str">
        <f aca="false">IF(AF2009&lt;W2009,"SIM","NÃO")</f>
        <v>NÃO</v>
      </c>
      <c r="AJ2009" s="37" t="n">
        <v>13</v>
      </c>
      <c r="AK2009" s="37" t="n">
        <v>10</v>
      </c>
      <c r="AL2009" s="37" t="s">
        <v>343</v>
      </c>
      <c r="AM2009" s="39" t="n">
        <v>131.23</v>
      </c>
    </row>
    <row r="2010" customFormat="false" ht="15" hidden="false" customHeight="false" outlineLevel="0" collapsed="false">
      <c r="A2010" s="37" t="n">
        <v>398211169</v>
      </c>
      <c r="B2010" s="38" t="n">
        <v>46287.6690740741</v>
      </c>
      <c r="C2010" s="37" t="s">
        <v>340</v>
      </c>
      <c r="D2010" s="37" t="s">
        <v>2141</v>
      </c>
      <c r="E2010" s="37" t="n">
        <v>20755010</v>
      </c>
      <c r="F2010" s="37" t="s">
        <v>159</v>
      </c>
      <c r="G2010" s="37" t="s">
        <v>196</v>
      </c>
      <c r="H2010" s="37" t="s">
        <v>187</v>
      </c>
      <c r="I2010" s="37" t="n">
        <v>52.3</v>
      </c>
      <c r="J2010" s="39" t="n">
        <v>699.99</v>
      </c>
      <c r="K2010" s="37" t="s">
        <v>342</v>
      </c>
      <c r="L2010" s="39" t="n">
        <v>114.5</v>
      </c>
      <c r="M2010" s="39" t="n">
        <v>58.6</v>
      </c>
      <c r="N2010" s="39" t="n">
        <f aca="false">J2010*Resumo!$C$6</f>
        <v>0</v>
      </c>
      <c r="O2010" s="39" t="n">
        <f aca="false">J2010*Resumo!$C$7</f>
        <v>1.469979</v>
      </c>
      <c r="P2010" s="39" t="n">
        <f aca="false">J2010*Resumo!$C$8</f>
        <v>1.469979</v>
      </c>
      <c r="Q2010" s="39" t="n">
        <f aca="false">Resumo!$C$10*CEILING(I2010/100,1)</f>
        <v>1.05</v>
      </c>
      <c r="R2010" s="39" t="n">
        <f aca="false">Resumo!$C$9</f>
        <v>0</v>
      </c>
      <c r="S2010" s="39" t="n">
        <f aca="false">Resumo!$C$13</f>
        <v>13.55</v>
      </c>
      <c r="T2010" s="39" t="n">
        <f aca="false">Resumo!$C$14*CEILING(I2010,1)</f>
        <v>23.85</v>
      </c>
      <c r="U2010" s="39" t="n">
        <f aca="false">SUM(M2010:T2010)*Resumo!$C$11</f>
        <v>0</v>
      </c>
      <c r="V2010" s="39" t="n">
        <f aca="false">SUM(M2010:U2010)</f>
        <v>99.989958</v>
      </c>
      <c r="W2010" s="39" t="n">
        <f aca="false">V2010/(1-Resumo!$C$5)</f>
        <v>113.624952272727</v>
      </c>
      <c r="X2010" s="39" t="n">
        <v>112.3</v>
      </c>
      <c r="Y2010" s="39" t="n">
        <f aca="false">J2010*Resumo!$B$6</f>
        <v>0.69999</v>
      </c>
      <c r="Z2010" s="39" t="n">
        <f aca="false">J2010*Resumo!$B$7</f>
        <v>1.39998</v>
      </c>
      <c r="AA2010" s="39" t="n">
        <f aca="false">Resumo!$B$9</f>
        <v>1</v>
      </c>
      <c r="AB2010" s="39" t="n">
        <f aca="false">Resumo!$B$10*CEILING(I2010/100,1)</f>
        <v>4.5</v>
      </c>
      <c r="AC2010" s="39" t="n">
        <f aca="false">Resumo!$B$12*CEILING(I2010,1)</f>
        <v>3.18</v>
      </c>
      <c r="AD2010" s="39" t="n">
        <f aca="false">Resumo!$B$14*CEILING(I2010,1)</f>
        <v>23.85</v>
      </c>
      <c r="AE2010" s="39" t="n">
        <f aca="false">SUM(X2010:AD2010)</f>
        <v>146.92997</v>
      </c>
      <c r="AF2010" s="39" t="n">
        <f aca="false">AE2010/(1-Resumo!$B$5)</f>
        <v>166.965875</v>
      </c>
      <c r="AG2010" s="39" t="n">
        <f aca="false">AF2010-W2010</f>
        <v>53.3409227272727</v>
      </c>
      <c r="AH2010" s="40" t="n">
        <f aca="false">AF2010/W2010-1</f>
        <v>0.469447261894039</v>
      </c>
      <c r="AI2010" s="37" t="str">
        <f aca="false">IF(AF2010&lt;W2010,"SIM","NÃO")</f>
        <v>NÃO</v>
      </c>
      <c r="AJ2010" s="37" t="n">
        <v>2</v>
      </c>
      <c r="AK2010" s="37" t="n">
        <v>5</v>
      </c>
      <c r="AL2010" s="37" t="s">
        <v>343</v>
      </c>
      <c r="AM2010" s="39" t="n">
        <v>114.5</v>
      </c>
    </row>
    <row r="2011" customFormat="false" ht="15" hidden="false" customHeight="false" outlineLevel="0" collapsed="false">
      <c r="A2011" s="37" t="n">
        <v>398217769</v>
      </c>
      <c r="B2011" s="38" t="n">
        <v>46287.6822569444</v>
      </c>
      <c r="C2011" s="37" t="s">
        <v>340</v>
      </c>
      <c r="D2011" s="37" t="s">
        <v>1005</v>
      </c>
      <c r="E2011" s="37" t="n">
        <v>24425290</v>
      </c>
      <c r="F2011" s="37" t="s">
        <v>160</v>
      </c>
      <c r="G2011" s="37" t="s">
        <v>197</v>
      </c>
      <c r="H2011" s="37" t="s">
        <v>184</v>
      </c>
      <c r="I2011" s="37" t="n">
        <v>31</v>
      </c>
      <c r="J2011" s="39" t="n">
        <v>297.99</v>
      </c>
      <c r="K2011" s="37" t="s">
        <v>342</v>
      </c>
      <c r="L2011" s="39" t="n">
        <v>100.83</v>
      </c>
      <c r="M2011" s="39" t="n">
        <v>58.8</v>
      </c>
      <c r="N2011" s="39" t="n">
        <f aca="false">J2011*Resumo!$C$6</f>
        <v>0</v>
      </c>
      <c r="O2011" s="39" t="n">
        <f aca="false">J2011*Resumo!$C$7</f>
        <v>0.625779</v>
      </c>
      <c r="P2011" s="39" t="n">
        <f aca="false">J2011*Resumo!$C$8</f>
        <v>0.625779</v>
      </c>
      <c r="Q2011" s="39" t="n">
        <f aca="false">Resumo!$C$10*CEILING(I2011/100,1)</f>
        <v>1.05</v>
      </c>
      <c r="R2011" s="39" t="n">
        <f aca="false">Resumo!$C$9</f>
        <v>0</v>
      </c>
      <c r="S2011" s="39" t="n">
        <f aca="false">Resumo!$C$13</f>
        <v>13.55</v>
      </c>
      <c r="T2011" s="39" t="n">
        <f aca="false">Resumo!$C$14*CEILING(I2011,1)</f>
        <v>13.95</v>
      </c>
      <c r="U2011" s="39" t="n">
        <f aca="false">SUM(M2011:T2011)*Resumo!$C$11</f>
        <v>0</v>
      </c>
      <c r="V2011" s="39" t="n">
        <f aca="false">SUM(M2011:U2011)</f>
        <v>88.601558</v>
      </c>
      <c r="W2011" s="39" t="n">
        <f aca="false">V2011/(1-Resumo!$C$5)</f>
        <v>100.683588636364</v>
      </c>
      <c r="X2011" s="39" t="n">
        <v>100.58</v>
      </c>
      <c r="Y2011" s="39" t="n">
        <f aca="false">J2011*Resumo!$B$6</f>
        <v>0.29799</v>
      </c>
      <c r="Z2011" s="39" t="n">
        <f aca="false">J2011*Resumo!$B$7</f>
        <v>0.59598</v>
      </c>
      <c r="AA2011" s="39" t="n">
        <f aca="false">Resumo!$B$9</f>
        <v>1</v>
      </c>
      <c r="AB2011" s="39" t="n">
        <f aca="false">Resumo!$B$10*CEILING(I2011/100,1)</f>
        <v>4.5</v>
      </c>
      <c r="AC2011" s="39" t="n">
        <f aca="false">Resumo!$B$12*CEILING(I2011,1)</f>
        <v>1.86</v>
      </c>
      <c r="AD2011" s="39" t="n">
        <f aca="false">Resumo!$B$14*CEILING(I2011,1)</f>
        <v>13.95</v>
      </c>
      <c r="AE2011" s="39" t="n">
        <f aca="false">SUM(X2011:AD2011)</f>
        <v>122.78397</v>
      </c>
      <c r="AF2011" s="39" t="n">
        <f aca="false">AE2011/(1-Resumo!$B$5)</f>
        <v>139.527238636364</v>
      </c>
      <c r="AG2011" s="39" t="n">
        <f aca="false">AF2011-W2011</f>
        <v>38.84365</v>
      </c>
      <c r="AH2011" s="40" t="n">
        <f aca="false">AF2011/W2011-1</f>
        <v>0.385799220370368</v>
      </c>
      <c r="AI2011" s="37" t="str">
        <f aca="false">IF(AF2011&lt;W2011,"SIM","NÃO")</f>
        <v>NÃO</v>
      </c>
      <c r="AJ2011" s="37" t="n">
        <v>2</v>
      </c>
      <c r="AK2011" s="37" t="n">
        <v>7</v>
      </c>
      <c r="AL2011" s="37" t="s">
        <v>343</v>
      </c>
      <c r="AM2011" s="39" t="n">
        <v>100.81</v>
      </c>
    </row>
    <row r="2012" customFormat="false" ht="15" hidden="false" customHeight="false" outlineLevel="0" collapsed="false">
      <c r="A2012" s="37" t="n">
        <v>398236163</v>
      </c>
      <c r="B2012" s="38" t="n">
        <v>46287.7195833333</v>
      </c>
      <c r="C2012" s="37" t="s">
        <v>340</v>
      </c>
      <c r="D2012" s="37" t="s">
        <v>2142</v>
      </c>
      <c r="E2012" s="37" t="n">
        <v>26086195</v>
      </c>
      <c r="F2012" s="37" t="s">
        <v>162</v>
      </c>
      <c r="G2012" s="37" t="s">
        <v>197</v>
      </c>
      <c r="H2012" s="37" t="s">
        <v>185</v>
      </c>
      <c r="I2012" s="37" t="n">
        <v>37.5</v>
      </c>
      <c r="J2012" s="39" t="n">
        <v>399.99</v>
      </c>
      <c r="K2012" s="37" t="s">
        <v>342</v>
      </c>
      <c r="L2012" s="39" t="n">
        <v>112.88</v>
      </c>
      <c r="M2012" s="39" t="n">
        <v>66.83</v>
      </c>
      <c r="N2012" s="39" t="n">
        <f aca="false">J2012*Resumo!$C$6</f>
        <v>0</v>
      </c>
      <c r="O2012" s="39" t="n">
        <f aca="false">J2012*Resumo!$C$7</f>
        <v>0.839979</v>
      </c>
      <c r="P2012" s="39" t="n">
        <f aca="false">J2012*Resumo!$C$8</f>
        <v>0.839979</v>
      </c>
      <c r="Q2012" s="39" t="n">
        <f aca="false">Resumo!$C$10*CEILING(I2012/100,1)</f>
        <v>1.05</v>
      </c>
      <c r="R2012" s="39" t="n">
        <f aca="false">Resumo!$C$9</f>
        <v>0</v>
      </c>
      <c r="S2012" s="39" t="n">
        <f aca="false">Resumo!$C$13</f>
        <v>13.55</v>
      </c>
      <c r="T2012" s="39" t="n">
        <f aca="false">Resumo!$C$14*CEILING(I2012,1)</f>
        <v>17.1</v>
      </c>
      <c r="U2012" s="39" t="n">
        <f aca="false">SUM(M2012:T2012)*Resumo!$C$11</f>
        <v>0</v>
      </c>
      <c r="V2012" s="39" t="n">
        <f aca="false">SUM(M2012:U2012)</f>
        <v>100.209958</v>
      </c>
      <c r="W2012" s="39" t="n">
        <f aca="false">V2012/(1-Resumo!$C$5)</f>
        <v>113.874952272727</v>
      </c>
      <c r="X2012" s="39" t="n">
        <v>93.97</v>
      </c>
      <c r="Y2012" s="39" t="n">
        <f aca="false">J2012*Resumo!$B$6</f>
        <v>0.39999</v>
      </c>
      <c r="Z2012" s="39" t="n">
        <f aca="false">J2012*Resumo!$B$7</f>
        <v>0.79998</v>
      </c>
      <c r="AA2012" s="39" t="n">
        <f aca="false">Resumo!$B$9</f>
        <v>1</v>
      </c>
      <c r="AB2012" s="39" t="n">
        <f aca="false">Resumo!$B$10*CEILING(I2012/100,1)</f>
        <v>4.5</v>
      </c>
      <c r="AC2012" s="39" t="n">
        <f aca="false">Resumo!$B$12*CEILING(I2012,1)</f>
        <v>2.28</v>
      </c>
      <c r="AD2012" s="39" t="n">
        <f aca="false">Resumo!$B$14*CEILING(I2012,1)</f>
        <v>17.1</v>
      </c>
      <c r="AE2012" s="39" t="n">
        <f aca="false">SUM(X2012:AD2012)</f>
        <v>120.04997</v>
      </c>
      <c r="AF2012" s="39" t="n">
        <f aca="false">AE2012/(1-Resumo!$B$5)</f>
        <v>136.420420454545</v>
      </c>
      <c r="AG2012" s="39" t="n">
        <f aca="false">AF2012-W2012</f>
        <v>22.5454681818182</v>
      </c>
      <c r="AH2012" s="40" t="n">
        <f aca="false">AF2012/W2012-1</f>
        <v>0.197984435838203</v>
      </c>
      <c r="AI2012" s="37" t="str">
        <f aca="false">IF(AF2012&lt;W2012,"SIM","NÃO")</f>
        <v>NÃO</v>
      </c>
      <c r="AJ2012" s="37" t="n">
        <v>2</v>
      </c>
      <c r="AK2012" s="37" t="n">
        <v>5</v>
      </c>
      <c r="AL2012" s="37" t="s">
        <v>343</v>
      </c>
      <c r="AM2012" s="39" t="n">
        <v>112.87</v>
      </c>
    </row>
    <row r="2013" customFormat="false" ht="15" hidden="false" customHeight="false" outlineLevel="0" collapsed="false">
      <c r="A2013" s="37" t="n">
        <v>398238291</v>
      </c>
      <c r="B2013" s="38" t="n">
        <v>46287.7236226852</v>
      </c>
      <c r="C2013" s="37" t="s">
        <v>345</v>
      </c>
      <c r="D2013" s="37" t="s">
        <v>2143</v>
      </c>
      <c r="E2013" s="37" t="n">
        <v>28804254</v>
      </c>
      <c r="F2013" s="37" t="s">
        <v>288</v>
      </c>
      <c r="G2013" s="37" t="s">
        <v>198</v>
      </c>
      <c r="H2013" s="37" t="s">
        <v>184</v>
      </c>
      <c r="I2013" s="37" t="n">
        <v>22.04</v>
      </c>
      <c r="J2013" s="39" t="n">
        <v>272.33</v>
      </c>
      <c r="K2013" s="37" t="s">
        <v>342</v>
      </c>
      <c r="L2013" s="39" t="n">
        <v>108.48</v>
      </c>
      <c r="M2013" s="39" t="n">
        <v>65.63</v>
      </c>
      <c r="N2013" s="39" t="n">
        <f aca="false">J2013*Resumo!$C$6</f>
        <v>0</v>
      </c>
      <c r="O2013" s="39" t="n">
        <f aca="false">J2013*Resumo!$C$7</f>
        <v>0.571893</v>
      </c>
      <c r="P2013" s="39" t="n">
        <f aca="false">J2013*Resumo!$C$8</f>
        <v>0.571893</v>
      </c>
      <c r="Q2013" s="39" t="n">
        <f aca="false">Resumo!$C$10*CEILING(I2013/100,1)</f>
        <v>1.05</v>
      </c>
      <c r="R2013" s="39" t="n">
        <f aca="false">Resumo!$C$9</f>
        <v>0</v>
      </c>
      <c r="S2013" s="39" t="n">
        <f aca="false">Resumo!$C$13</f>
        <v>13.55</v>
      </c>
      <c r="T2013" s="39" t="n">
        <f aca="false">Resumo!$C$14*CEILING(I2013,1)</f>
        <v>10.35</v>
      </c>
      <c r="U2013" s="39" t="n">
        <f aca="false">SUM(M2013:T2013)*Resumo!$C$11</f>
        <v>0</v>
      </c>
      <c r="V2013" s="39" t="n">
        <f aca="false">SUM(M2013:U2013)</f>
        <v>91.723786</v>
      </c>
      <c r="W2013" s="39" t="n">
        <f aca="false">V2013/(1-Resumo!$C$5)</f>
        <v>104.231575</v>
      </c>
      <c r="X2013" s="39" t="n">
        <v>100.58</v>
      </c>
      <c r="Y2013" s="39" t="n">
        <f aca="false">J2013*Resumo!$B$6</f>
        <v>0.27233</v>
      </c>
      <c r="Z2013" s="39" t="n">
        <f aca="false">J2013*Resumo!$B$7</f>
        <v>0.54466</v>
      </c>
      <c r="AA2013" s="39" t="n">
        <f aca="false">Resumo!$B$9</f>
        <v>1</v>
      </c>
      <c r="AB2013" s="39" t="n">
        <f aca="false">Resumo!$B$10*CEILING(I2013/100,1)</f>
        <v>4.5</v>
      </c>
      <c r="AC2013" s="39" t="n">
        <f aca="false">Resumo!$B$12*CEILING(I2013,1)</f>
        <v>1.38</v>
      </c>
      <c r="AD2013" s="39" t="n">
        <f aca="false">Resumo!$B$14*CEILING(I2013,1)</f>
        <v>10.35</v>
      </c>
      <c r="AE2013" s="39" t="n">
        <f aca="false">SUM(X2013:AD2013)</f>
        <v>118.62699</v>
      </c>
      <c r="AF2013" s="39" t="n">
        <f aca="false">AE2013/(1-Resumo!$B$5)</f>
        <v>134.803397727273</v>
      </c>
      <c r="AG2013" s="39" t="n">
        <f aca="false">AF2013-W2013</f>
        <v>30.5718227272727</v>
      </c>
      <c r="AH2013" s="40" t="n">
        <f aca="false">AF2013/W2013-1</f>
        <v>0.29330673289042</v>
      </c>
      <c r="AI2013" s="37" t="str">
        <f aca="false">IF(AF2013&lt;W2013,"SIM","NÃO")</f>
        <v>NÃO</v>
      </c>
      <c r="AJ2013" s="37" t="n">
        <v>13</v>
      </c>
      <c r="AK2013" s="37" t="n">
        <v>7</v>
      </c>
      <c r="AL2013" s="37" t="s">
        <v>347</v>
      </c>
      <c r="AM2013" s="39" t="n">
        <v>108.48</v>
      </c>
    </row>
    <row r="2014" customFormat="false" ht="15" hidden="false" customHeight="false" outlineLevel="0" collapsed="false">
      <c r="A2014" s="37" t="n">
        <v>398253167</v>
      </c>
      <c r="B2014" s="38" t="n">
        <v>46287.7556828704</v>
      </c>
      <c r="C2014" s="37" t="s">
        <v>340</v>
      </c>
      <c r="D2014" s="37" t="s">
        <v>888</v>
      </c>
      <c r="E2014" s="37" t="n">
        <v>28360000</v>
      </c>
      <c r="F2014" s="37" t="s">
        <v>264</v>
      </c>
      <c r="G2014" s="37" t="s">
        <v>198</v>
      </c>
      <c r="H2014" s="37" t="s">
        <v>185</v>
      </c>
      <c r="I2014" s="37" t="n">
        <v>40</v>
      </c>
      <c r="J2014" s="39" t="n">
        <v>487.99</v>
      </c>
      <c r="K2014" s="37" t="s">
        <v>342</v>
      </c>
      <c r="L2014" s="39" t="n">
        <v>122.59</v>
      </c>
      <c r="M2014" s="39" t="n">
        <v>74.97</v>
      </c>
      <c r="N2014" s="39" t="n">
        <f aca="false">J2014*Resumo!$C$6</f>
        <v>0</v>
      </c>
      <c r="O2014" s="39" t="n">
        <f aca="false">J2014*Resumo!$C$7</f>
        <v>1.024779</v>
      </c>
      <c r="P2014" s="39" t="n">
        <f aca="false">J2014*Resumo!$C$8</f>
        <v>1.024779</v>
      </c>
      <c r="Q2014" s="39" t="n">
        <f aca="false">Resumo!$C$10*CEILING(I2014/100,1)</f>
        <v>1.05</v>
      </c>
      <c r="R2014" s="39" t="n">
        <f aca="false">Resumo!$C$9</f>
        <v>0</v>
      </c>
      <c r="S2014" s="39" t="n">
        <f aca="false">Resumo!$C$13</f>
        <v>13.55</v>
      </c>
      <c r="T2014" s="39" t="n">
        <f aca="false">Resumo!$C$14*CEILING(I2014,1)</f>
        <v>18</v>
      </c>
      <c r="U2014" s="39" t="n">
        <f aca="false">SUM(M2014:T2014)*Resumo!$C$11</f>
        <v>0</v>
      </c>
      <c r="V2014" s="39" t="n">
        <f aca="false">SUM(M2014:U2014)</f>
        <v>109.619558</v>
      </c>
      <c r="W2014" s="39" t="n">
        <f aca="false">V2014/(1-Resumo!$C$5)</f>
        <v>124.567679545455</v>
      </c>
      <c r="X2014" s="39" t="n">
        <v>143.04</v>
      </c>
      <c r="Y2014" s="39" t="n">
        <f aca="false">J2014*Resumo!$B$6</f>
        <v>0.48799</v>
      </c>
      <c r="Z2014" s="39" t="n">
        <f aca="false">J2014*Resumo!$B$7</f>
        <v>0.97598</v>
      </c>
      <c r="AA2014" s="39" t="n">
        <f aca="false">Resumo!$B$9</f>
        <v>1</v>
      </c>
      <c r="AB2014" s="39" t="n">
        <f aca="false">Resumo!$B$10*CEILING(I2014/100,1)</f>
        <v>4.5</v>
      </c>
      <c r="AC2014" s="39" t="n">
        <f aca="false">Resumo!$B$12*CEILING(I2014,1)</f>
        <v>2.4</v>
      </c>
      <c r="AD2014" s="39" t="n">
        <f aca="false">Resumo!$B$14*CEILING(I2014,1)</f>
        <v>18</v>
      </c>
      <c r="AE2014" s="39" t="n">
        <f aca="false">SUM(X2014:AD2014)</f>
        <v>170.40397</v>
      </c>
      <c r="AF2014" s="39" t="n">
        <f aca="false">AE2014/(1-Resumo!$B$5)</f>
        <v>193.640875</v>
      </c>
      <c r="AG2014" s="39" t="n">
        <f aca="false">AF2014-W2014</f>
        <v>69.0731954545455</v>
      </c>
      <c r="AH2014" s="40" t="n">
        <f aca="false">AF2014/W2014-1</f>
        <v>0.554503348754608</v>
      </c>
      <c r="AI2014" s="37" t="str">
        <f aca="false">IF(AF2014&lt;W2014,"SIM","NÃO")</f>
        <v>NÃO</v>
      </c>
      <c r="AJ2014" s="37" t="n">
        <v>13</v>
      </c>
      <c r="AK2014" s="37" t="n">
        <v>11</v>
      </c>
      <c r="AL2014" s="37" t="s">
        <v>347</v>
      </c>
      <c r="AM2014" s="39" t="n">
        <v>122.59</v>
      </c>
    </row>
    <row r="2015" customFormat="false" ht="15" hidden="false" customHeight="false" outlineLevel="0" collapsed="false">
      <c r="A2015" s="37" t="n">
        <v>398288231</v>
      </c>
      <c r="B2015" s="38" t="n">
        <v>46287.8164583333</v>
      </c>
      <c r="C2015" s="37" t="s">
        <v>345</v>
      </c>
      <c r="D2015" s="37" t="s">
        <v>1983</v>
      </c>
      <c r="E2015" s="37" t="n">
        <v>21755380</v>
      </c>
      <c r="F2015" s="37" t="s">
        <v>159</v>
      </c>
      <c r="G2015" s="37" t="s">
        <v>196</v>
      </c>
      <c r="H2015" s="37" t="s">
        <v>184</v>
      </c>
      <c r="I2015" s="37" t="n">
        <v>27.5</v>
      </c>
      <c r="J2015" s="39" t="n">
        <v>343.52</v>
      </c>
      <c r="K2015" s="37" t="s">
        <v>342</v>
      </c>
      <c r="L2015" s="39" t="n">
        <v>81.98</v>
      </c>
      <c r="M2015" s="39" t="n">
        <v>42.11</v>
      </c>
      <c r="N2015" s="39" t="n">
        <f aca="false">J2015*Resumo!$C$6</f>
        <v>0</v>
      </c>
      <c r="O2015" s="39" t="n">
        <f aca="false">J2015*Resumo!$C$7</f>
        <v>0.721392</v>
      </c>
      <c r="P2015" s="39" t="n">
        <f aca="false">J2015*Resumo!$C$8</f>
        <v>0.721392</v>
      </c>
      <c r="Q2015" s="39" t="n">
        <f aca="false">Resumo!$C$10*CEILING(I2015/100,1)</f>
        <v>1.05</v>
      </c>
      <c r="R2015" s="39" t="n">
        <f aca="false">Resumo!$C$9</f>
        <v>0</v>
      </c>
      <c r="S2015" s="39" t="n">
        <f aca="false">Resumo!$C$13</f>
        <v>13.55</v>
      </c>
      <c r="T2015" s="39" t="n">
        <f aca="false">Resumo!$C$14*CEILING(I2015,1)</f>
        <v>12.6</v>
      </c>
      <c r="U2015" s="39" t="n">
        <f aca="false">SUM(M2015:T2015)*Resumo!$C$11</f>
        <v>0</v>
      </c>
      <c r="V2015" s="39" t="n">
        <f aca="false">SUM(M2015:U2015)</f>
        <v>70.752784</v>
      </c>
      <c r="W2015" s="39" t="n">
        <f aca="false">V2015/(1-Resumo!$C$5)</f>
        <v>80.4008909090909</v>
      </c>
      <c r="X2015" s="39" t="n">
        <v>82.21</v>
      </c>
      <c r="Y2015" s="39" t="n">
        <f aca="false">J2015*Resumo!$B$6</f>
        <v>0.34352</v>
      </c>
      <c r="Z2015" s="39" t="n">
        <f aca="false">J2015*Resumo!$B$7</f>
        <v>0.68704</v>
      </c>
      <c r="AA2015" s="39" t="n">
        <f aca="false">Resumo!$B$9</f>
        <v>1</v>
      </c>
      <c r="AB2015" s="39" t="n">
        <f aca="false">Resumo!$B$10*CEILING(I2015/100,1)</f>
        <v>4.5</v>
      </c>
      <c r="AC2015" s="39" t="n">
        <f aca="false">Resumo!$B$12*CEILING(I2015,1)</f>
        <v>1.68</v>
      </c>
      <c r="AD2015" s="39" t="n">
        <f aca="false">Resumo!$B$14*CEILING(I2015,1)</f>
        <v>12.6</v>
      </c>
      <c r="AE2015" s="39" t="n">
        <f aca="false">SUM(X2015:AD2015)</f>
        <v>103.02056</v>
      </c>
      <c r="AF2015" s="39" t="n">
        <f aca="false">AE2015/(1-Resumo!$B$5)</f>
        <v>117.068818181818</v>
      </c>
      <c r="AG2015" s="39" t="n">
        <f aca="false">AF2015-W2015</f>
        <v>36.6679272727273</v>
      </c>
      <c r="AH2015" s="40" t="n">
        <f aca="false">AF2015/W2015-1</f>
        <v>0.456063693550207</v>
      </c>
      <c r="AI2015" s="37" t="str">
        <f aca="false">IF(AF2015&lt;W2015,"SIM","NÃO")</f>
        <v>NÃO</v>
      </c>
      <c r="AJ2015" s="37" t="n">
        <v>2</v>
      </c>
      <c r="AK2015" s="37" t="n">
        <v>5</v>
      </c>
      <c r="AL2015" s="37" t="s">
        <v>343</v>
      </c>
      <c r="AM2015" s="39" t="n">
        <v>81.97</v>
      </c>
    </row>
    <row r="2016" customFormat="false" ht="15" hidden="false" customHeight="false" outlineLevel="0" collapsed="false">
      <c r="A2016" s="37" t="n">
        <v>398296492</v>
      </c>
      <c r="B2016" s="38" t="n">
        <v>46287.8327199074</v>
      </c>
      <c r="C2016" s="37" t="s">
        <v>340</v>
      </c>
      <c r="D2016" s="37" t="s">
        <v>2144</v>
      </c>
      <c r="E2016" s="37" t="n">
        <v>23057700</v>
      </c>
      <c r="F2016" s="37" t="s">
        <v>159</v>
      </c>
      <c r="G2016" s="37" t="s">
        <v>196</v>
      </c>
      <c r="H2016" s="37" t="s">
        <v>184</v>
      </c>
      <c r="I2016" s="37" t="n">
        <v>30.5</v>
      </c>
      <c r="J2016" s="39" t="n">
        <v>406.6</v>
      </c>
      <c r="K2016" s="37" t="s">
        <v>342</v>
      </c>
      <c r="L2016" s="39" t="n">
        <v>82.26</v>
      </c>
      <c r="M2016" s="39" t="n">
        <v>42.11</v>
      </c>
      <c r="N2016" s="39" t="n">
        <f aca="false">J2016*Resumo!$C$6</f>
        <v>0</v>
      </c>
      <c r="O2016" s="39" t="n">
        <f aca="false">J2016*Resumo!$C$7</f>
        <v>0.85386</v>
      </c>
      <c r="P2016" s="39" t="n">
        <f aca="false">J2016*Resumo!$C$8</f>
        <v>0.85386</v>
      </c>
      <c r="Q2016" s="39" t="n">
        <f aca="false">Resumo!$C$10*CEILING(I2016/100,1)</f>
        <v>1.05</v>
      </c>
      <c r="R2016" s="39" t="n">
        <f aca="false">Resumo!$C$9</f>
        <v>0</v>
      </c>
      <c r="S2016" s="39" t="n">
        <f aca="false">Resumo!$C$13</f>
        <v>13.55</v>
      </c>
      <c r="T2016" s="39" t="n">
        <f aca="false">Resumo!$C$14*CEILING(I2016,1)</f>
        <v>13.95</v>
      </c>
      <c r="U2016" s="39" t="n">
        <f aca="false">SUM(M2016:T2016)*Resumo!$C$11</f>
        <v>0</v>
      </c>
      <c r="V2016" s="39" t="n">
        <f aca="false">SUM(M2016:U2016)</f>
        <v>72.36772</v>
      </c>
      <c r="W2016" s="39" t="n">
        <f aca="false">V2016/(1-Resumo!$C$5)</f>
        <v>82.2360454545455</v>
      </c>
      <c r="X2016" s="39" t="n">
        <v>82.21</v>
      </c>
      <c r="Y2016" s="39" t="n">
        <f aca="false">J2016*Resumo!$B$6</f>
        <v>0.4066</v>
      </c>
      <c r="Z2016" s="39" t="n">
        <f aca="false">J2016*Resumo!$B$7</f>
        <v>0.8132</v>
      </c>
      <c r="AA2016" s="39" t="n">
        <f aca="false">Resumo!$B$9</f>
        <v>1</v>
      </c>
      <c r="AB2016" s="39" t="n">
        <f aca="false">Resumo!$B$10*CEILING(I2016/100,1)</f>
        <v>4.5</v>
      </c>
      <c r="AC2016" s="39" t="n">
        <f aca="false">Resumo!$B$12*CEILING(I2016,1)</f>
        <v>1.86</v>
      </c>
      <c r="AD2016" s="39" t="n">
        <f aca="false">Resumo!$B$14*CEILING(I2016,1)</f>
        <v>13.95</v>
      </c>
      <c r="AE2016" s="39" t="n">
        <f aca="false">SUM(X2016:AD2016)</f>
        <v>104.7398</v>
      </c>
      <c r="AF2016" s="39" t="n">
        <f aca="false">AE2016/(1-Resumo!$B$5)</f>
        <v>119.0225</v>
      </c>
      <c r="AG2016" s="39" t="n">
        <f aca="false">AF2016-W2016</f>
        <v>36.7864545454545</v>
      </c>
      <c r="AH2016" s="40" t="n">
        <f aca="false">AF2016/W2016-1</f>
        <v>0.447327620657387</v>
      </c>
      <c r="AI2016" s="37" t="str">
        <f aca="false">IF(AF2016&lt;W2016,"SIM","NÃO")</f>
        <v>NÃO</v>
      </c>
      <c r="AJ2016" s="37" t="n">
        <v>2</v>
      </c>
      <c r="AK2016" s="37" t="n">
        <v>5</v>
      </c>
      <c r="AL2016" s="37" t="s">
        <v>343</v>
      </c>
      <c r="AM2016" s="39" t="n">
        <v>82.27</v>
      </c>
    </row>
    <row r="2017" customFormat="false" ht="15" hidden="false" customHeight="false" outlineLevel="0" collapsed="false">
      <c r="A2017" s="37" t="n">
        <v>398306012</v>
      </c>
      <c r="B2017" s="38" t="n">
        <v>46287.8519675926</v>
      </c>
      <c r="C2017" s="37" t="s">
        <v>345</v>
      </c>
      <c r="D2017" s="37" t="s">
        <v>2145</v>
      </c>
      <c r="E2017" s="37" t="n">
        <v>23082350</v>
      </c>
      <c r="F2017" s="37" t="s">
        <v>159</v>
      </c>
      <c r="G2017" s="37" t="s">
        <v>196</v>
      </c>
      <c r="H2017" s="37" t="s">
        <v>185</v>
      </c>
      <c r="I2017" s="37" t="n">
        <v>36.8</v>
      </c>
      <c r="J2017" s="39" t="n">
        <v>469.99</v>
      </c>
      <c r="K2017" s="37" t="s">
        <v>342</v>
      </c>
      <c r="L2017" s="39" t="n">
        <v>92.11</v>
      </c>
      <c r="M2017" s="39" t="n">
        <v>48.35</v>
      </c>
      <c r="N2017" s="39" t="n">
        <f aca="false">J2017*Resumo!$C$6</f>
        <v>0</v>
      </c>
      <c r="O2017" s="39" t="n">
        <f aca="false">J2017*Resumo!$C$7</f>
        <v>0.986979</v>
      </c>
      <c r="P2017" s="39" t="n">
        <f aca="false">J2017*Resumo!$C$8</f>
        <v>0.986979</v>
      </c>
      <c r="Q2017" s="39" t="n">
        <f aca="false">Resumo!$C$10*CEILING(I2017/100,1)</f>
        <v>1.05</v>
      </c>
      <c r="R2017" s="39" t="n">
        <f aca="false">Resumo!$C$9</f>
        <v>0</v>
      </c>
      <c r="S2017" s="39" t="n">
        <f aca="false">Resumo!$C$13</f>
        <v>13.55</v>
      </c>
      <c r="T2017" s="39" t="n">
        <f aca="false">Resumo!$C$14*CEILING(I2017,1)</f>
        <v>16.65</v>
      </c>
      <c r="U2017" s="39" t="n">
        <f aca="false">SUM(M2017:T2017)*Resumo!$C$11</f>
        <v>0</v>
      </c>
      <c r="V2017" s="39" t="n">
        <f aca="false">SUM(M2017:U2017)</f>
        <v>81.573958</v>
      </c>
      <c r="W2017" s="39" t="n">
        <f aca="false">V2017/(1-Resumo!$C$5)</f>
        <v>92.6976795454546</v>
      </c>
      <c r="X2017" s="39" t="n">
        <v>93.97</v>
      </c>
      <c r="Y2017" s="39" t="n">
        <f aca="false">J2017*Resumo!$B$6</f>
        <v>0.46999</v>
      </c>
      <c r="Z2017" s="39" t="n">
        <f aca="false">J2017*Resumo!$B$7</f>
        <v>0.93998</v>
      </c>
      <c r="AA2017" s="39" t="n">
        <f aca="false">Resumo!$B$9</f>
        <v>1</v>
      </c>
      <c r="AB2017" s="39" t="n">
        <f aca="false">Resumo!$B$10*CEILING(I2017/100,1)</f>
        <v>4.5</v>
      </c>
      <c r="AC2017" s="39" t="n">
        <f aca="false">Resumo!$B$12*CEILING(I2017,1)</f>
        <v>2.22</v>
      </c>
      <c r="AD2017" s="39" t="n">
        <f aca="false">Resumo!$B$14*CEILING(I2017,1)</f>
        <v>16.65</v>
      </c>
      <c r="AE2017" s="39" t="n">
        <f aca="false">SUM(X2017:AD2017)</f>
        <v>119.74997</v>
      </c>
      <c r="AF2017" s="39" t="n">
        <f aca="false">AE2017/(1-Resumo!$B$5)</f>
        <v>136.079511363636</v>
      </c>
      <c r="AG2017" s="39" t="n">
        <f aca="false">AF2017-W2017</f>
        <v>43.3818318181818</v>
      </c>
      <c r="AH2017" s="40" t="n">
        <f aca="false">AF2017/W2017-1</f>
        <v>0.467992640494409</v>
      </c>
      <c r="AI2017" s="37" t="str">
        <f aca="false">IF(AF2017&lt;W2017,"SIM","NÃO")</f>
        <v>NÃO</v>
      </c>
      <c r="AJ2017" s="37" t="n">
        <v>2</v>
      </c>
      <c r="AK2017" s="37" t="n">
        <v>5</v>
      </c>
      <c r="AL2017" s="37" t="s">
        <v>343</v>
      </c>
      <c r="AM2017" s="39" t="n">
        <v>92.11</v>
      </c>
    </row>
    <row r="2018" customFormat="false" ht="15" hidden="false" customHeight="false" outlineLevel="0" collapsed="false">
      <c r="A2018" s="37" t="n">
        <v>398309939</v>
      </c>
      <c r="B2018" s="38" t="n">
        <v>46287.8618634259</v>
      </c>
      <c r="C2018" s="37" t="s">
        <v>375</v>
      </c>
      <c r="D2018" s="37" t="s">
        <v>486</v>
      </c>
      <c r="E2018" s="37" t="n">
        <v>22765240</v>
      </c>
      <c r="F2018" s="37" t="s">
        <v>159</v>
      </c>
      <c r="G2018" s="37" t="s">
        <v>196</v>
      </c>
      <c r="H2018" s="37" t="s">
        <v>185</v>
      </c>
      <c r="I2018" s="37" t="n">
        <v>35.4</v>
      </c>
      <c r="J2018" s="39" t="n">
        <v>539.99</v>
      </c>
      <c r="K2018" s="37" t="s">
        <v>342</v>
      </c>
      <c r="L2018" s="39" t="n">
        <v>92.44</v>
      </c>
      <c r="M2018" s="39" t="n">
        <v>48.35</v>
      </c>
      <c r="N2018" s="39" t="n">
        <f aca="false">J2018*Resumo!$C$6</f>
        <v>0</v>
      </c>
      <c r="O2018" s="39" t="n">
        <f aca="false">J2018*Resumo!$C$7</f>
        <v>1.133979</v>
      </c>
      <c r="P2018" s="39" t="n">
        <f aca="false">J2018*Resumo!$C$8</f>
        <v>1.133979</v>
      </c>
      <c r="Q2018" s="39" t="n">
        <f aca="false">Resumo!$C$10*CEILING(I2018/100,1)</f>
        <v>1.05</v>
      </c>
      <c r="R2018" s="39" t="n">
        <f aca="false">Resumo!$C$9</f>
        <v>0</v>
      </c>
      <c r="S2018" s="39" t="n">
        <f aca="false">Resumo!$C$13</f>
        <v>13.55</v>
      </c>
      <c r="T2018" s="39" t="n">
        <f aca="false">Resumo!$C$14*CEILING(I2018,1)</f>
        <v>16.2</v>
      </c>
      <c r="U2018" s="39" t="n">
        <f aca="false">SUM(M2018:T2018)*Resumo!$C$11</f>
        <v>0</v>
      </c>
      <c r="V2018" s="39" t="n">
        <f aca="false">SUM(M2018:U2018)</f>
        <v>81.417958</v>
      </c>
      <c r="W2018" s="39" t="n">
        <f aca="false">V2018/(1-Resumo!$C$5)</f>
        <v>92.5204068181818</v>
      </c>
      <c r="X2018" s="39" t="n">
        <v>93.97</v>
      </c>
      <c r="Y2018" s="39" t="n">
        <f aca="false">J2018*Resumo!$B$6</f>
        <v>0.53999</v>
      </c>
      <c r="Z2018" s="39" t="n">
        <f aca="false">J2018*Resumo!$B$7</f>
        <v>1.07998</v>
      </c>
      <c r="AA2018" s="39" t="n">
        <f aca="false">Resumo!$B$9</f>
        <v>1</v>
      </c>
      <c r="AB2018" s="39" t="n">
        <f aca="false">Resumo!$B$10*CEILING(I2018/100,1)</f>
        <v>4.5</v>
      </c>
      <c r="AC2018" s="39" t="n">
        <f aca="false">Resumo!$B$12*CEILING(I2018,1)</f>
        <v>2.16</v>
      </c>
      <c r="AD2018" s="39" t="n">
        <f aca="false">Resumo!$B$14*CEILING(I2018,1)</f>
        <v>16.2</v>
      </c>
      <c r="AE2018" s="39" t="n">
        <f aca="false">SUM(X2018:AD2018)</f>
        <v>119.44997</v>
      </c>
      <c r="AF2018" s="39" t="n">
        <f aca="false">AE2018/(1-Resumo!$B$5)</f>
        <v>135.738602272727</v>
      </c>
      <c r="AG2018" s="39" t="n">
        <f aca="false">AF2018-W2018</f>
        <v>43.2181954545455</v>
      </c>
      <c r="AH2018" s="40" t="n">
        <f aca="false">AF2018/W2018-1</f>
        <v>0.467120681164713</v>
      </c>
      <c r="AI2018" s="37" t="str">
        <f aca="false">IF(AF2018&lt;W2018,"SIM","NÃO")</f>
        <v>NÃO</v>
      </c>
      <c r="AJ2018" s="37" t="n">
        <v>2</v>
      </c>
      <c r="AK2018" s="37" t="n">
        <v>5</v>
      </c>
      <c r="AL2018" s="37" t="s">
        <v>343</v>
      </c>
      <c r="AM2018" s="39" t="n">
        <v>92.44</v>
      </c>
    </row>
    <row r="2019" customFormat="false" ht="15" hidden="false" customHeight="false" outlineLevel="0" collapsed="false">
      <c r="A2019" s="37" t="n">
        <v>398317590</v>
      </c>
      <c r="B2019" s="38" t="n">
        <v>46287.8776736111</v>
      </c>
      <c r="C2019" s="37" t="s">
        <v>340</v>
      </c>
      <c r="D2019" s="37" t="s">
        <v>2146</v>
      </c>
      <c r="E2019" s="37" t="n">
        <v>21843780</v>
      </c>
      <c r="F2019" s="37" t="s">
        <v>159</v>
      </c>
      <c r="G2019" s="37" t="s">
        <v>196</v>
      </c>
      <c r="H2019" s="37" t="s">
        <v>184</v>
      </c>
      <c r="I2019" s="37" t="n">
        <v>33.3</v>
      </c>
      <c r="J2019" s="39" t="n">
        <v>389.99</v>
      </c>
      <c r="K2019" s="37" t="s">
        <v>342</v>
      </c>
      <c r="L2019" s="39" t="n">
        <v>82.19</v>
      </c>
      <c r="M2019" s="39" t="n">
        <v>42.11</v>
      </c>
      <c r="N2019" s="39" t="n">
        <f aca="false">J2019*Resumo!$C$6</f>
        <v>0</v>
      </c>
      <c r="O2019" s="39" t="n">
        <f aca="false">J2019*Resumo!$C$7</f>
        <v>0.818979</v>
      </c>
      <c r="P2019" s="39" t="n">
        <f aca="false">J2019*Resumo!$C$8</f>
        <v>0.818979</v>
      </c>
      <c r="Q2019" s="39" t="n">
        <f aca="false">Resumo!$C$10*CEILING(I2019/100,1)</f>
        <v>1.05</v>
      </c>
      <c r="R2019" s="39" t="n">
        <f aca="false">Resumo!$C$9</f>
        <v>0</v>
      </c>
      <c r="S2019" s="39" t="n">
        <f aca="false">Resumo!$C$13</f>
        <v>13.55</v>
      </c>
      <c r="T2019" s="39" t="n">
        <f aca="false">Resumo!$C$14*CEILING(I2019,1)</f>
        <v>15.3</v>
      </c>
      <c r="U2019" s="39" t="n">
        <f aca="false">SUM(M2019:T2019)*Resumo!$C$11</f>
        <v>0</v>
      </c>
      <c r="V2019" s="39" t="n">
        <f aca="false">SUM(M2019:U2019)</f>
        <v>73.647958</v>
      </c>
      <c r="W2019" s="39" t="n">
        <f aca="false">V2019/(1-Resumo!$C$5)</f>
        <v>83.6908613636364</v>
      </c>
      <c r="X2019" s="39" t="n">
        <v>82.21</v>
      </c>
      <c r="Y2019" s="39" t="n">
        <f aca="false">J2019*Resumo!$B$6</f>
        <v>0.38999</v>
      </c>
      <c r="Z2019" s="39" t="n">
        <f aca="false">J2019*Resumo!$B$7</f>
        <v>0.77998</v>
      </c>
      <c r="AA2019" s="39" t="n">
        <f aca="false">Resumo!$B$9</f>
        <v>1</v>
      </c>
      <c r="AB2019" s="39" t="n">
        <f aca="false">Resumo!$B$10*CEILING(I2019/100,1)</f>
        <v>4.5</v>
      </c>
      <c r="AC2019" s="39" t="n">
        <f aca="false">Resumo!$B$12*CEILING(I2019,1)</f>
        <v>2.04</v>
      </c>
      <c r="AD2019" s="39" t="n">
        <f aca="false">Resumo!$B$14*CEILING(I2019,1)</f>
        <v>15.3</v>
      </c>
      <c r="AE2019" s="39" t="n">
        <f aca="false">SUM(X2019:AD2019)</f>
        <v>106.21997</v>
      </c>
      <c r="AF2019" s="39" t="n">
        <f aca="false">AE2019/(1-Resumo!$B$5)</f>
        <v>120.704511363636</v>
      </c>
      <c r="AG2019" s="39" t="n">
        <f aca="false">AF2019-W2019</f>
        <v>37.01365</v>
      </c>
      <c r="AH2019" s="40" t="n">
        <f aca="false">AF2019/W2019-1</f>
        <v>0.442266328687619</v>
      </c>
      <c r="AI2019" s="37" t="str">
        <f aca="false">IF(AF2019&lt;W2019,"SIM","NÃO")</f>
        <v>NÃO</v>
      </c>
      <c r="AJ2019" s="37" t="n">
        <v>2</v>
      </c>
      <c r="AK2019" s="37" t="n">
        <v>5</v>
      </c>
      <c r="AL2019" s="37" t="s">
        <v>343</v>
      </c>
      <c r="AM2019" s="39" t="n">
        <v>82.19</v>
      </c>
    </row>
    <row r="2020" customFormat="false" ht="15" hidden="false" customHeight="false" outlineLevel="0" collapsed="false">
      <c r="A2020" s="37" t="n">
        <v>398323895</v>
      </c>
      <c r="B2020" s="38" t="n">
        <v>46287.8911458333</v>
      </c>
      <c r="C2020" s="37" t="s">
        <v>345</v>
      </c>
      <c r="D2020" s="37" t="s">
        <v>2147</v>
      </c>
      <c r="E2020" s="37" t="n">
        <v>22620172</v>
      </c>
      <c r="F2020" s="37" t="s">
        <v>159</v>
      </c>
      <c r="G2020" s="37" t="s">
        <v>196</v>
      </c>
      <c r="H2020" s="37" t="s">
        <v>184</v>
      </c>
      <c r="I2020" s="37" t="n">
        <v>22.6</v>
      </c>
      <c r="J2020" s="39" t="n">
        <v>460</v>
      </c>
      <c r="K2020" s="37" t="s">
        <v>342</v>
      </c>
      <c r="L2020" s="39" t="n">
        <v>82.53</v>
      </c>
      <c r="M2020" s="39" t="n">
        <v>42.11</v>
      </c>
      <c r="N2020" s="39" t="n">
        <f aca="false">J2020*Resumo!$C$6</f>
        <v>0</v>
      </c>
      <c r="O2020" s="39" t="n">
        <f aca="false">J2020*Resumo!$C$7</f>
        <v>0.966</v>
      </c>
      <c r="P2020" s="39" t="n">
        <f aca="false">J2020*Resumo!$C$8</f>
        <v>0.966</v>
      </c>
      <c r="Q2020" s="39" t="n">
        <f aca="false">Resumo!$C$10*CEILING(I2020/100,1)</f>
        <v>1.05</v>
      </c>
      <c r="R2020" s="39" t="n">
        <f aca="false">Resumo!$C$9</f>
        <v>0</v>
      </c>
      <c r="S2020" s="39" t="n">
        <f aca="false">Resumo!$C$13</f>
        <v>13.55</v>
      </c>
      <c r="T2020" s="39" t="n">
        <f aca="false">Resumo!$C$14*CEILING(I2020,1)</f>
        <v>10.35</v>
      </c>
      <c r="U2020" s="39" t="n">
        <f aca="false">SUM(M2020:T2020)*Resumo!$C$11</f>
        <v>0</v>
      </c>
      <c r="V2020" s="39" t="n">
        <f aca="false">SUM(M2020:U2020)</f>
        <v>68.992</v>
      </c>
      <c r="W2020" s="39" t="n">
        <f aca="false">V2020/(1-Resumo!$C$5)</f>
        <v>78.4</v>
      </c>
      <c r="X2020" s="39" t="n">
        <v>82.21</v>
      </c>
      <c r="Y2020" s="39" t="n">
        <f aca="false">J2020*Resumo!$B$6</f>
        <v>0.46</v>
      </c>
      <c r="Z2020" s="39" t="n">
        <f aca="false">J2020*Resumo!$B$7</f>
        <v>0.92</v>
      </c>
      <c r="AA2020" s="39" t="n">
        <f aca="false">Resumo!$B$9</f>
        <v>1</v>
      </c>
      <c r="AB2020" s="39" t="n">
        <f aca="false">Resumo!$B$10*CEILING(I2020/100,1)</f>
        <v>4.5</v>
      </c>
      <c r="AC2020" s="39" t="n">
        <f aca="false">Resumo!$B$12*CEILING(I2020,1)</f>
        <v>1.38</v>
      </c>
      <c r="AD2020" s="39" t="n">
        <f aca="false">Resumo!$B$14*CEILING(I2020,1)</f>
        <v>10.35</v>
      </c>
      <c r="AE2020" s="39" t="n">
        <f aca="false">SUM(X2020:AD2020)</f>
        <v>100.82</v>
      </c>
      <c r="AF2020" s="39" t="n">
        <f aca="false">AE2020/(1-Resumo!$B$5)</f>
        <v>114.568181818182</v>
      </c>
      <c r="AG2020" s="39" t="n">
        <f aca="false">AF2020-W2020</f>
        <v>36.1681818181818</v>
      </c>
      <c r="AH2020" s="40" t="n">
        <f aca="false">AF2020/W2020-1</f>
        <v>0.461328849721707</v>
      </c>
      <c r="AI2020" s="37" t="str">
        <f aca="false">IF(AF2020&lt;W2020,"SIM","NÃO")</f>
        <v>NÃO</v>
      </c>
      <c r="AJ2020" s="37" t="n">
        <v>2</v>
      </c>
      <c r="AK2020" s="37" t="n">
        <v>5</v>
      </c>
      <c r="AL2020" s="37" t="s">
        <v>343</v>
      </c>
      <c r="AM2020" s="39" t="n">
        <v>82.53</v>
      </c>
    </row>
    <row r="2021" customFormat="false" ht="15" hidden="false" customHeight="false" outlineLevel="0" collapsed="false">
      <c r="A2021" s="37" t="n">
        <v>398328489</v>
      </c>
      <c r="B2021" s="38" t="n">
        <v>46287.9007175926</v>
      </c>
      <c r="C2021" s="37" t="s">
        <v>340</v>
      </c>
      <c r="D2021" s="37" t="s">
        <v>2148</v>
      </c>
      <c r="E2021" s="37" t="n">
        <v>28956048</v>
      </c>
      <c r="F2021" s="37" t="s">
        <v>293</v>
      </c>
      <c r="G2021" s="37" t="s">
        <v>198</v>
      </c>
      <c r="H2021" s="37" t="s">
        <v>184</v>
      </c>
      <c r="I2021" s="37" t="n">
        <v>33</v>
      </c>
      <c r="J2021" s="39" t="n">
        <v>438.93</v>
      </c>
      <c r="K2021" s="37" t="s">
        <v>342</v>
      </c>
      <c r="L2021" s="39" t="n">
        <v>109.28</v>
      </c>
      <c r="M2021" s="39" t="n">
        <v>65.63</v>
      </c>
      <c r="N2021" s="39" t="n">
        <f aca="false">J2021*Resumo!$C$6</f>
        <v>0</v>
      </c>
      <c r="O2021" s="39" t="n">
        <f aca="false">J2021*Resumo!$C$7</f>
        <v>0.921753</v>
      </c>
      <c r="P2021" s="39" t="n">
        <f aca="false">J2021*Resumo!$C$8</f>
        <v>0.921753</v>
      </c>
      <c r="Q2021" s="39" t="n">
        <f aca="false">Resumo!$C$10*CEILING(I2021/100,1)</f>
        <v>1.05</v>
      </c>
      <c r="R2021" s="39" t="n">
        <f aca="false">Resumo!$C$9</f>
        <v>0</v>
      </c>
      <c r="S2021" s="39" t="n">
        <f aca="false">Resumo!$C$13</f>
        <v>13.55</v>
      </c>
      <c r="T2021" s="39" t="n">
        <f aca="false">Resumo!$C$14*CEILING(I2021,1)</f>
        <v>14.85</v>
      </c>
      <c r="U2021" s="39" t="n">
        <f aca="false">SUM(M2021:T2021)*Resumo!$C$11</f>
        <v>0</v>
      </c>
      <c r="V2021" s="39" t="n">
        <f aca="false">SUM(M2021:U2021)</f>
        <v>96.923506</v>
      </c>
      <c r="W2021" s="39" t="n">
        <f aca="false">V2021/(1-Resumo!$C$5)</f>
        <v>110.140347727273</v>
      </c>
      <c r="X2021" s="39" t="n">
        <v>114.95</v>
      </c>
      <c r="Y2021" s="39" t="n">
        <f aca="false">J2021*Resumo!$B$6</f>
        <v>0.43893</v>
      </c>
      <c r="Z2021" s="39" t="n">
        <f aca="false">J2021*Resumo!$B$7</f>
        <v>0.87786</v>
      </c>
      <c r="AA2021" s="39" t="n">
        <f aca="false">Resumo!$B$9</f>
        <v>1</v>
      </c>
      <c r="AB2021" s="39" t="n">
        <f aca="false">Resumo!$B$10*CEILING(I2021/100,1)</f>
        <v>4.5</v>
      </c>
      <c r="AC2021" s="39" t="n">
        <f aca="false">Resumo!$B$12*CEILING(I2021,1)</f>
        <v>1.98</v>
      </c>
      <c r="AD2021" s="39" t="n">
        <f aca="false">Resumo!$B$14*CEILING(I2021,1)</f>
        <v>14.85</v>
      </c>
      <c r="AE2021" s="39" t="n">
        <f aca="false">SUM(X2021:AD2021)</f>
        <v>138.59679</v>
      </c>
      <c r="AF2021" s="39" t="n">
        <f aca="false">AE2021/(1-Resumo!$B$5)</f>
        <v>157.496352272727</v>
      </c>
      <c r="AG2021" s="39" t="n">
        <f aca="false">AF2021-W2021</f>
        <v>47.3560045454546</v>
      </c>
      <c r="AH2021" s="40" t="n">
        <f aca="false">AF2021/W2021-1</f>
        <v>0.429960550539722</v>
      </c>
      <c r="AI2021" s="37" t="str">
        <f aca="false">IF(AF2021&lt;W2021,"SIM","NÃO")</f>
        <v>NÃO</v>
      </c>
      <c r="AJ2021" s="37" t="n">
        <v>13</v>
      </c>
      <c r="AK2021" s="37" t="n">
        <v>10</v>
      </c>
      <c r="AL2021" s="37" t="s">
        <v>347</v>
      </c>
      <c r="AM2021" s="39" t="n">
        <v>109.28</v>
      </c>
    </row>
    <row r="2022" customFormat="false" ht="15" hidden="false" customHeight="false" outlineLevel="0" collapsed="false">
      <c r="A2022" s="37" t="n">
        <v>398339007</v>
      </c>
      <c r="B2022" s="38" t="n">
        <v>46287.9239814815</v>
      </c>
      <c r="C2022" s="37" t="s">
        <v>340</v>
      </c>
      <c r="D2022" s="37" t="s">
        <v>2149</v>
      </c>
      <c r="E2022" s="37" t="n">
        <v>22631004</v>
      </c>
      <c r="F2022" s="37" t="s">
        <v>159</v>
      </c>
      <c r="G2022" s="37" t="s">
        <v>196</v>
      </c>
      <c r="H2022" s="37" t="s">
        <v>184</v>
      </c>
      <c r="I2022" s="37" t="n">
        <v>22.4</v>
      </c>
      <c r="J2022" s="39" t="n">
        <v>508.23</v>
      </c>
      <c r="K2022" s="37" t="s">
        <v>342</v>
      </c>
      <c r="L2022" s="39" t="n">
        <v>82.77</v>
      </c>
      <c r="M2022" s="39" t="n">
        <v>42.11</v>
      </c>
      <c r="N2022" s="39" t="n">
        <f aca="false">J2022*Resumo!$C$6</f>
        <v>0</v>
      </c>
      <c r="O2022" s="39" t="n">
        <f aca="false">J2022*Resumo!$C$7</f>
        <v>1.067283</v>
      </c>
      <c r="P2022" s="39" t="n">
        <f aca="false">J2022*Resumo!$C$8</f>
        <v>1.067283</v>
      </c>
      <c r="Q2022" s="39" t="n">
        <f aca="false">Resumo!$C$10*CEILING(I2022/100,1)</f>
        <v>1.05</v>
      </c>
      <c r="R2022" s="39" t="n">
        <f aca="false">Resumo!$C$9</f>
        <v>0</v>
      </c>
      <c r="S2022" s="39" t="n">
        <f aca="false">Resumo!$C$13</f>
        <v>13.55</v>
      </c>
      <c r="T2022" s="39" t="n">
        <f aca="false">Resumo!$C$14*CEILING(I2022,1)</f>
        <v>10.35</v>
      </c>
      <c r="U2022" s="39" t="n">
        <f aca="false">SUM(M2022:T2022)*Resumo!$C$11</f>
        <v>0</v>
      </c>
      <c r="V2022" s="39" t="n">
        <f aca="false">SUM(M2022:U2022)</f>
        <v>69.194566</v>
      </c>
      <c r="W2022" s="39" t="n">
        <f aca="false">V2022/(1-Resumo!$C$5)</f>
        <v>78.6301886363636</v>
      </c>
      <c r="X2022" s="39" t="n">
        <v>82.21</v>
      </c>
      <c r="Y2022" s="39" t="n">
        <f aca="false">J2022*Resumo!$B$6</f>
        <v>0.50823</v>
      </c>
      <c r="Z2022" s="39" t="n">
        <f aca="false">J2022*Resumo!$B$7</f>
        <v>1.01646</v>
      </c>
      <c r="AA2022" s="39" t="n">
        <f aca="false">Resumo!$B$9</f>
        <v>1</v>
      </c>
      <c r="AB2022" s="39" t="n">
        <f aca="false">Resumo!$B$10*CEILING(I2022/100,1)</f>
        <v>4.5</v>
      </c>
      <c r="AC2022" s="39" t="n">
        <f aca="false">Resumo!$B$12*CEILING(I2022,1)</f>
        <v>1.38</v>
      </c>
      <c r="AD2022" s="39" t="n">
        <f aca="false">Resumo!$B$14*CEILING(I2022,1)</f>
        <v>10.35</v>
      </c>
      <c r="AE2022" s="39" t="n">
        <f aca="false">SUM(X2022:AD2022)</f>
        <v>100.96469</v>
      </c>
      <c r="AF2022" s="39" t="n">
        <f aca="false">AE2022/(1-Resumo!$B$5)</f>
        <v>114.732602272727</v>
      </c>
      <c r="AG2022" s="39" t="n">
        <f aca="false">AF2022-W2022</f>
        <v>36.1024136363636</v>
      </c>
      <c r="AH2022" s="40" t="n">
        <f aca="false">AF2022/W2022-1</f>
        <v>0.459141892731866</v>
      </c>
      <c r="AI2022" s="37" t="str">
        <f aca="false">IF(AF2022&lt;W2022,"SIM","NÃO")</f>
        <v>NÃO</v>
      </c>
      <c r="AJ2022" s="37" t="n">
        <v>2</v>
      </c>
      <c r="AK2022" s="37" t="n">
        <v>5</v>
      </c>
      <c r="AL2022" s="37" t="s">
        <v>343</v>
      </c>
      <c r="AM2022" s="39" t="n">
        <v>82.76</v>
      </c>
    </row>
    <row r="2023" customFormat="false" ht="15" hidden="false" customHeight="false" outlineLevel="0" collapsed="false">
      <c r="A2023" s="37" t="n">
        <v>398353086</v>
      </c>
      <c r="B2023" s="38" t="n">
        <v>46287.9556365741</v>
      </c>
      <c r="C2023" s="37" t="s">
        <v>379</v>
      </c>
      <c r="D2023" s="37" t="s">
        <v>2150</v>
      </c>
      <c r="E2023" s="37" t="n">
        <v>28895620</v>
      </c>
      <c r="F2023" s="37" t="s">
        <v>178</v>
      </c>
      <c r="G2023" s="37" t="s">
        <v>198</v>
      </c>
      <c r="H2023" s="37" t="s">
        <v>186</v>
      </c>
      <c r="I2023" s="37" t="n">
        <v>49.6</v>
      </c>
      <c r="J2023" s="39" t="n">
        <v>719.99</v>
      </c>
      <c r="K2023" s="37" t="s">
        <v>342</v>
      </c>
      <c r="L2023" s="39" t="n">
        <v>131.61</v>
      </c>
      <c r="M2023" s="39" t="n">
        <v>77.7</v>
      </c>
      <c r="N2023" s="39" t="n">
        <f aca="false">J2023*Resumo!$C$6</f>
        <v>0</v>
      </c>
      <c r="O2023" s="39" t="n">
        <f aca="false">J2023*Resumo!$C$7</f>
        <v>1.511979</v>
      </c>
      <c r="P2023" s="39" t="n">
        <f aca="false">J2023*Resumo!$C$8</f>
        <v>1.511979</v>
      </c>
      <c r="Q2023" s="39" t="n">
        <f aca="false">Resumo!$C$10*CEILING(I2023/100,1)</f>
        <v>1.05</v>
      </c>
      <c r="R2023" s="39" t="n">
        <f aca="false">Resumo!$C$9</f>
        <v>0</v>
      </c>
      <c r="S2023" s="39" t="n">
        <f aca="false">Resumo!$C$13</f>
        <v>13.55</v>
      </c>
      <c r="T2023" s="39" t="n">
        <f aca="false">Resumo!$C$14*CEILING(I2023,1)</f>
        <v>22.5</v>
      </c>
      <c r="U2023" s="39" t="n">
        <f aca="false">SUM(M2023:T2023)*Resumo!$C$11</f>
        <v>0</v>
      </c>
      <c r="V2023" s="39" t="n">
        <f aca="false">SUM(M2023:U2023)</f>
        <v>117.823958</v>
      </c>
      <c r="W2023" s="39" t="n">
        <f aca="false">V2023/(1-Resumo!$C$5)</f>
        <v>133.890861363636</v>
      </c>
      <c r="X2023" s="39" t="n">
        <v>129.29</v>
      </c>
      <c r="Y2023" s="39" t="n">
        <f aca="false">J2023*Resumo!$B$6</f>
        <v>0.71999</v>
      </c>
      <c r="Z2023" s="39" t="n">
        <f aca="false">J2023*Resumo!$B$7</f>
        <v>1.43998</v>
      </c>
      <c r="AA2023" s="39" t="n">
        <f aca="false">Resumo!$B$9</f>
        <v>1</v>
      </c>
      <c r="AB2023" s="39" t="n">
        <f aca="false">Resumo!$B$10*CEILING(I2023/100,1)</f>
        <v>4.5</v>
      </c>
      <c r="AC2023" s="39" t="n">
        <f aca="false">Resumo!$B$12*CEILING(I2023,1)</f>
        <v>3</v>
      </c>
      <c r="AD2023" s="39" t="n">
        <f aca="false">Resumo!$B$14*CEILING(I2023,1)</f>
        <v>22.5</v>
      </c>
      <c r="AE2023" s="39" t="n">
        <f aca="false">SUM(X2023:AD2023)</f>
        <v>162.44997</v>
      </c>
      <c r="AF2023" s="39" t="n">
        <f aca="false">AE2023/(1-Resumo!$B$5)</f>
        <v>184.602238636364</v>
      </c>
      <c r="AG2023" s="39" t="n">
        <f aca="false">AF2023-W2023</f>
        <v>50.7113772727273</v>
      </c>
      <c r="AH2023" s="40" t="n">
        <f aca="false">AF2023/W2023-1</f>
        <v>0.378751594815716</v>
      </c>
      <c r="AI2023" s="37" t="str">
        <f aca="false">IF(AF2023&lt;W2023,"SIM","NÃO")</f>
        <v>NÃO</v>
      </c>
      <c r="AJ2023" s="37" t="n">
        <v>13</v>
      </c>
      <c r="AK2023" s="37" t="n">
        <v>10</v>
      </c>
      <c r="AL2023" s="37" t="s">
        <v>343</v>
      </c>
      <c r="AM2023" s="39" t="n">
        <v>131.61</v>
      </c>
    </row>
    <row r="2024" customFormat="false" ht="15" hidden="false" customHeight="false" outlineLevel="0" collapsed="false">
      <c r="A2024" s="37" t="n">
        <v>398373246</v>
      </c>
      <c r="B2024" s="38" t="n">
        <v>46288.0153703704</v>
      </c>
      <c r="C2024" s="37" t="s">
        <v>372</v>
      </c>
      <c r="D2024" s="37" t="s">
        <v>2151</v>
      </c>
      <c r="E2024" s="37" t="n">
        <v>22783117</v>
      </c>
      <c r="F2024" s="37" t="s">
        <v>159</v>
      </c>
      <c r="G2024" s="37" t="s">
        <v>196</v>
      </c>
      <c r="H2024" s="37" t="s">
        <v>185</v>
      </c>
      <c r="I2024" s="37" t="n">
        <v>37.2</v>
      </c>
      <c r="J2024" s="39" t="n">
        <v>419.99</v>
      </c>
      <c r="K2024" s="37" t="s">
        <v>342</v>
      </c>
      <c r="L2024" s="39" t="n">
        <v>91.86</v>
      </c>
      <c r="M2024" s="39" t="n">
        <v>48.35</v>
      </c>
      <c r="N2024" s="39" t="n">
        <f aca="false">J2024*Resumo!$C$6</f>
        <v>0</v>
      </c>
      <c r="O2024" s="39" t="n">
        <f aca="false">J2024*Resumo!$C$7</f>
        <v>0.881979</v>
      </c>
      <c r="P2024" s="39" t="n">
        <f aca="false">J2024*Resumo!$C$8</f>
        <v>0.881979</v>
      </c>
      <c r="Q2024" s="39" t="n">
        <f aca="false">Resumo!$C$10*CEILING(I2024/100,1)</f>
        <v>1.05</v>
      </c>
      <c r="R2024" s="39" t="n">
        <f aca="false">Resumo!$C$9</f>
        <v>0</v>
      </c>
      <c r="S2024" s="39" t="n">
        <f aca="false">Resumo!$C$13</f>
        <v>13.55</v>
      </c>
      <c r="T2024" s="39" t="n">
        <f aca="false">Resumo!$C$14*CEILING(I2024,1)</f>
        <v>17.1</v>
      </c>
      <c r="U2024" s="39" t="n">
        <f aca="false">SUM(M2024:T2024)*Resumo!$C$11</f>
        <v>0</v>
      </c>
      <c r="V2024" s="39" t="n">
        <f aca="false">SUM(M2024:U2024)</f>
        <v>81.813958</v>
      </c>
      <c r="W2024" s="39" t="n">
        <f aca="false">V2024/(1-Resumo!$C$5)</f>
        <v>92.9704068181818</v>
      </c>
      <c r="X2024" s="39" t="n">
        <v>93.97</v>
      </c>
      <c r="Y2024" s="39" t="n">
        <f aca="false">J2024*Resumo!$B$6</f>
        <v>0.41999</v>
      </c>
      <c r="Z2024" s="39" t="n">
        <f aca="false">J2024*Resumo!$B$7</f>
        <v>0.83998</v>
      </c>
      <c r="AA2024" s="39" t="n">
        <f aca="false">Resumo!$B$9</f>
        <v>1</v>
      </c>
      <c r="AB2024" s="39" t="n">
        <f aca="false">Resumo!$B$10*CEILING(I2024/100,1)</f>
        <v>4.5</v>
      </c>
      <c r="AC2024" s="39" t="n">
        <f aca="false">Resumo!$B$12*CEILING(I2024,1)</f>
        <v>2.28</v>
      </c>
      <c r="AD2024" s="39" t="n">
        <f aca="false">Resumo!$B$14*CEILING(I2024,1)</f>
        <v>17.1</v>
      </c>
      <c r="AE2024" s="39" t="n">
        <f aca="false">SUM(X2024:AD2024)</f>
        <v>120.10997</v>
      </c>
      <c r="AF2024" s="39" t="n">
        <f aca="false">AE2024/(1-Resumo!$B$5)</f>
        <v>136.488602272727</v>
      </c>
      <c r="AG2024" s="39" t="n">
        <f aca="false">AF2024-W2024</f>
        <v>43.5181954545454</v>
      </c>
      <c r="AH2024" s="40" t="n">
        <f aca="false">AF2024/W2024-1</f>
        <v>0.468086533596138</v>
      </c>
      <c r="AI2024" s="37" t="str">
        <f aca="false">IF(AF2024&lt;W2024,"SIM","NÃO")</f>
        <v>NÃO</v>
      </c>
      <c r="AJ2024" s="37" t="n">
        <v>2</v>
      </c>
      <c r="AK2024" s="37" t="n">
        <v>5</v>
      </c>
      <c r="AL2024" s="37" t="s">
        <v>343</v>
      </c>
      <c r="AM2024" s="39" t="n">
        <v>91.87</v>
      </c>
    </row>
    <row r="2025" customFormat="false" ht="15" hidden="false" customHeight="false" outlineLevel="0" collapsed="false">
      <c r="A2025" s="37" t="n">
        <v>398380093</v>
      </c>
      <c r="B2025" s="38" t="n">
        <v>46288.0337384259</v>
      </c>
      <c r="C2025" s="37" t="s">
        <v>340</v>
      </c>
      <c r="D2025" s="37" t="s">
        <v>2152</v>
      </c>
      <c r="E2025" s="37" t="n">
        <v>25685132</v>
      </c>
      <c r="F2025" s="37" t="s">
        <v>170</v>
      </c>
      <c r="G2025" s="37" t="s">
        <v>198</v>
      </c>
      <c r="H2025" s="37" t="s">
        <v>185</v>
      </c>
      <c r="I2025" s="37" t="n">
        <v>37.2</v>
      </c>
      <c r="J2025" s="39" t="n">
        <v>387.95</v>
      </c>
      <c r="K2025" s="37" t="s">
        <v>342</v>
      </c>
      <c r="L2025" s="39" t="n">
        <v>122.11</v>
      </c>
      <c r="M2025" s="39" t="n">
        <v>74.97</v>
      </c>
      <c r="N2025" s="39" t="n">
        <f aca="false">J2025*Resumo!$C$6</f>
        <v>0</v>
      </c>
      <c r="O2025" s="39" t="n">
        <f aca="false">J2025*Resumo!$C$7</f>
        <v>0.814695</v>
      </c>
      <c r="P2025" s="39" t="n">
        <f aca="false">J2025*Resumo!$C$8</f>
        <v>0.814695</v>
      </c>
      <c r="Q2025" s="39" t="n">
        <f aca="false">Resumo!$C$10*CEILING(I2025/100,1)</f>
        <v>1.05</v>
      </c>
      <c r="R2025" s="39" t="n">
        <f aca="false">Resumo!$C$9</f>
        <v>0</v>
      </c>
      <c r="S2025" s="39" t="n">
        <f aca="false">Resumo!$C$13</f>
        <v>13.55</v>
      </c>
      <c r="T2025" s="39" t="n">
        <f aca="false">Resumo!$C$14*CEILING(I2025,1)</f>
        <v>17.1</v>
      </c>
      <c r="U2025" s="39" t="n">
        <f aca="false">SUM(M2025:T2025)*Resumo!$C$11</f>
        <v>0</v>
      </c>
      <c r="V2025" s="39" t="n">
        <f aca="false">SUM(M2025:U2025)</f>
        <v>108.29939</v>
      </c>
      <c r="W2025" s="39" t="n">
        <f aca="false">V2025/(1-Resumo!$C$5)</f>
        <v>123.067488636364</v>
      </c>
      <c r="X2025" s="39" t="n">
        <v>124.38</v>
      </c>
      <c r="Y2025" s="39" t="n">
        <f aca="false">J2025*Resumo!$B$6</f>
        <v>0.38795</v>
      </c>
      <c r="Z2025" s="39" t="n">
        <f aca="false">J2025*Resumo!$B$7</f>
        <v>0.7759</v>
      </c>
      <c r="AA2025" s="39" t="n">
        <f aca="false">Resumo!$B$9</f>
        <v>1</v>
      </c>
      <c r="AB2025" s="39" t="n">
        <f aca="false">Resumo!$B$10*CEILING(I2025/100,1)</f>
        <v>4.5</v>
      </c>
      <c r="AC2025" s="39" t="n">
        <f aca="false">Resumo!$B$12*CEILING(I2025,1)</f>
        <v>2.28</v>
      </c>
      <c r="AD2025" s="39" t="n">
        <f aca="false">Resumo!$B$14*CEILING(I2025,1)</f>
        <v>17.1</v>
      </c>
      <c r="AE2025" s="39" t="n">
        <f aca="false">SUM(X2025:AD2025)</f>
        <v>150.42385</v>
      </c>
      <c r="AF2025" s="39" t="n">
        <f aca="false">AE2025/(1-Resumo!$B$5)</f>
        <v>170.936193181818</v>
      </c>
      <c r="AG2025" s="39" t="n">
        <f aca="false">AF2025-W2025</f>
        <v>47.8687045454546</v>
      </c>
      <c r="AH2025" s="40" t="n">
        <f aca="false">AF2025/W2025-1</f>
        <v>0.388963040327374</v>
      </c>
      <c r="AI2025" s="37" t="str">
        <f aca="false">IF(AF2025&lt;W2025,"SIM","NÃO")</f>
        <v>NÃO</v>
      </c>
      <c r="AJ2025" s="37" t="n">
        <v>13</v>
      </c>
      <c r="AK2025" s="37" t="n">
        <v>8</v>
      </c>
      <c r="AL2025" s="37" t="s">
        <v>343</v>
      </c>
      <c r="AM2025" s="39" t="n">
        <v>122.11</v>
      </c>
    </row>
    <row r="2026" customFormat="false" ht="15" hidden="false" customHeight="false" outlineLevel="0" collapsed="false">
      <c r="A2026" s="37" t="n">
        <v>398453641</v>
      </c>
      <c r="B2026" s="38" t="n">
        <v>46288.3158680556</v>
      </c>
      <c r="C2026" s="37" t="s">
        <v>340</v>
      </c>
      <c r="D2026" s="37" t="s">
        <v>2153</v>
      </c>
      <c r="E2026" s="37" t="n">
        <v>22770235</v>
      </c>
      <c r="F2026" s="37" t="s">
        <v>159</v>
      </c>
      <c r="G2026" s="37" t="s">
        <v>196</v>
      </c>
      <c r="H2026" s="37" t="s">
        <v>185</v>
      </c>
      <c r="I2026" s="37" t="n">
        <v>37.2</v>
      </c>
      <c r="J2026" s="39" t="n">
        <v>366.5</v>
      </c>
      <c r="K2026" s="37" t="s">
        <v>342</v>
      </c>
      <c r="L2026" s="39" t="n">
        <v>91.6</v>
      </c>
      <c r="M2026" s="39" t="n">
        <v>48.35</v>
      </c>
      <c r="N2026" s="39" t="n">
        <f aca="false">J2026*Resumo!$C$6</f>
        <v>0</v>
      </c>
      <c r="O2026" s="39" t="n">
        <f aca="false">J2026*Resumo!$C$7</f>
        <v>0.76965</v>
      </c>
      <c r="P2026" s="39" t="n">
        <f aca="false">J2026*Resumo!$C$8</f>
        <v>0.76965</v>
      </c>
      <c r="Q2026" s="39" t="n">
        <f aca="false">Resumo!$C$10*CEILING(I2026/100,1)</f>
        <v>1.05</v>
      </c>
      <c r="R2026" s="39" t="n">
        <f aca="false">Resumo!$C$9</f>
        <v>0</v>
      </c>
      <c r="S2026" s="39" t="n">
        <f aca="false">Resumo!$C$13</f>
        <v>13.55</v>
      </c>
      <c r="T2026" s="39" t="n">
        <f aca="false">Resumo!$C$14*CEILING(I2026,1)</f>
        <v>17.1</v>
      </c>
      <c r="U2026" s="39" t="n">
        <f aca="false">SUM(M2026:T2026)*Resumo!$C$11</f>
        <v>0</v>
      </c>
      <c r="V2026" s="39" t="n">
        <f aca="false">SUM(M2026:U2026)</f>
        <v>81.5893</v>
      </c>
      <c r="W2026" s="39" t="n">
        <f aca="false">V2026/(1-Resumo!$C$5)</f>
        <v>92.7151136363636</v>
      </c>
      <c r="X2026" s="39" t="n">
        <v>93.97</v>
      </c>
      <c r="Y2026" s="39" t="n">
        <f aca="false">J2026*Resumo!$B$6</f>
        <v>0.3665</v>
      </c>
      <c r="Z2026" s="39" t="n">
        <f aca="false">J2026*Resumo!$B$7</f>
        <v>0.733</v>
      </c>
      <c r="AA2026" s="39" t="n">
        <f aca="false">Resumo!$B$9</f>
        <v>1</v>
      </c>
      <c r="AB2026" s="39" t="n">
        <f aca="false">Resumo!$B$10*CEILING(I2026/100,1)</f>
        <v>4.5</v>
      </c>
      <c r="AC2026" s="39" t="n">
        <f aca="false">Resumo!$B$12*CEILING(I2026,1)</f>
        <v>2.28</v>
      </c>
      <c r="AD2026" s="39" t="n">
        <f aca="false">Resumo!$B$14*CEILING(I2026,1)</f>
        <v>17.1</v>
      </c>
      <c r="AE2026" s="39" t="n">
        <f aca="false">SUM(X2026:AD2026)</f>
        <v>119.9495</v>
      </c>
      <c r="AF2026" s="39" t="n">
        <f aca="false">AE2026/(1-Resumo!$B$5)</f>
        <v>136.30625</v>
      </c>
      <c r="AG2026" s="39" t="n">
        <f aca="false">AF2026-W2026</f>
        <v>43.5911363636364</v>
      </c>
      <c r="AH2026" s="40" t="n">
        <f aca="false">AF2026/W2026-1</f>
        <v>0.470162141359222</v>
      </c>
      <c r="AI2026" s="37" t="str">
        <f aca="false">IF(AF2026&lt;W2026,"SIM","NÃO")</f>
        <v>NÃO</v>
      </c>
      <c r="AJ2026" s="37" t="n">
        <v>2</v>
      </c>
      <c r="AK2026" s="37" t="n">
        <v>5</v>
      </c>
      <c r="AL2026" s="37" t="s">
        <v>343</v>
      </c>
      <c r="AM2026" s="39" t="n">
        <v>91.61</v>
      </c>
    </row>
    <row r="2027" customFormat="false" ht="15" hidden="false" customHeight="false" outlineLevel="0" collapsed="false">
      <c r="A2027" s="37" t="n">
        <v>398481770</v>
      </c>
      <c r="B2027" s="38" t="n">
        <v>46288.3858101852</v>
      </c>
      <c r="C2027" s="37" t="s">
        <v>340</v>
      </c>
      <c r="D2027" s="37" t="s">
        <v>683</v>
      </c>
      <c r="E2027" s="37" t="n">
        <v>28300000</v>
      </c>
      <c r="F2027" s="37" t="s">
        <v>262</v>
      </c>
      <c r="G2027" s="37" t="s">
        <v>198</v>
      </c>
      <c r="H2027" s="37" t="s">
        <v>184</v>
      </c>
      <c r="I2027" s="37" t="n">
        <v>33</v>
      </c>
      <c r="J2027" s="39" t="n">
        <v>438.93</v>
      </c>
      <c r="K2027" s="37" t="s">
        <v>342</v>
      </c>
      <c r="L2027" s="39" t="n">
        <v>109.28</v>
      </c>
      <c r="M2027" s="39" t="n">
        <v>65.63</v>
      </c>
      <c r="N2027" s="39" t="n">
        <f aca="false">J2027*Resumo!$C$6</f>
        <v>0</v>
      </c>
      <c r="O2027" s="39" t="n">
        <f aca="false">J2027*Resumo!$C$7</f>
        <v>0.921753</v>
      </c>
      <c r="P2027" s="39" t="n">
        <f aca="false">J2027*Resumo!$C$8</f>
        <v>0.921753</v>
      </c>
      <c r="Q2027" s="39" t="n">
        <f aca="false">Resumo!$C$10*CEILING(I2027/100,1)</f>
        <v>1.05</v>
      </c>
      <c r="R2027" s="39" t="n">
        <f aca="false">Resumo!$C$9</f>
        <v>0</v>
      </c>
      <c r="S2027" s="39" t="n">
        <f aca="false">Resumo!$C$13</f>
        <v>13.55</v>
      </c>
      <c r="T2027" s="39" t="n">
        <f aca="false">Resumo!$C$14*CEILING(I2027,1)</f>
        <v>14.85</v>
      </c>
      <c r="U2027" s="39" t="n">
        <f aca="false">SUM(M2027:T2027)*Resumo!$C$11</f>
        <v>0</v>
      </c>
      <c r="V2027" s="39" t="n">
        <f aca="false">SUM(M2027:U2027)</f>
        <v>96.923506</v>
      </c>
      <c r="W2027" s="39" t="n">
        <f aca="false">V2027/(1-Resumo!$C$5)</f>
        <v>110.140347727273</v>
      </c>
      <c r="X2027" s="39" t="n">
        <v>138.29</v>
      </c>
      <c r="Y2027" s="39" t="n">
        <f aca="false">J2027*Resumo!$B$6</f>
        <v>0.43893</v>
      </c>
      <c r="Z2027" s="39" t="n">
        <f aca="false">J2027*Resumo!$B$7</f>
        <v>0.87786</v>
      </c>
      <c r="AA2027" s="39" t="n">
        <f aca="false">Resumo!$B$9</f>
        <v>1</v>
      </c>
      <c r="AB2027" s="39" t="n">
        <f aca="false">Resumo!$B$10*CEILING(I2027/100,1)</f>
        <v>4.5</v>
      </c>
      <c r="AC2027" s="39" t="n">
        <f aca="false">Resumo!$B$12*CEILING(I2027,1)</f>
        <v>1.98</v>
      </c>
      <c r="AD2027" s="39" t="n">
        <f aca="false">Resumo!$B$14*CEILING(I2027,1)</f>
        <v>14.85</v>
      </c>
      <c r="AE2027" s="39" t="n">
        <f aca="false">SUM(X2027:AD2027)</f>
        <v>161.93679</v>
      </c>
      <c r="AF2027" s="39" t="n">
        <f aca="false">AE2027/(1-Resumo!$B$5)</f>
        <v>184.019079545455</v>
      </c>
      <c r="AG2027" s="39" t="n">
        <f aca="false">AF2027-W2027</f>
        <v>73.8787318181818</v>
      </c>
      <c r="AH2027" s="40" t="n">
        <f aca="false">AF2027/W2027-1</f>
        <v>0.670769008294025</v>
      </c>
      <c r="AI2027" s="37" t="str">
        <f aca="false">IF(AF2027&lt;W2027,"SIM","NÃO")</f>
        <v>NÃO</v>
      </c>
      <c r="AJ2027" s="37" t="n">
        <v>13</v>
      </c>
      <c r="AK2027" s="37" t="n">
        <v>11</v>
      </c>
      <c r="AL2027" s="37" t="s">
        <v>347</v>
      </c>
      <c r="AM2027" s="39" t="n">
        <v>109.28</v>
      </c>
    </row>
    <row r="2028" customFormat="false" ht="15" hidden="false" customHeight="false" outlineLevel="0" collapsed="false">
      <c r="A2028" s="37" t="n">
        <v>398486155</v>
      </c>
      <c r="B2028" s="38" t="n">
        <v>46288.3939351852</v>
      </c>
      <c r="C2028" s="37" t="s">
        <v>340</v>
      </c>
      <c r="D2028" s="37" t="s">
        <v>1068</v>
      </c>
      <c r="E2028" s="37" t="n">
        <v>22775060</v>
      </c>
      <c r="F2028" s="37" t="s">
        <v>159</v>
      </c>
      <c r="G2028" s="37" t="s">
        <v>196</v>
      </c>
      <c r="H2028" s="37" t="s">
        <v>186</v>
      </c>
      <c r="I2028" s="37" t="n">
        <v>41.4</v>
      </c>
      <c r="J2028" s="39" t="n">
        <v>413.47</v>
      </c>
      <c r="K2028" s="37" t="s">
        <v>342</v>
      </c>
      <c r="L2028" s="39" t="n">
        <v>102.58</v>
      </c>
      <c r="M2028" s="39" t="n">
        <v>53.55</v>
      </c>
      <c r="N2028" s="39" t="n">
        <f aca="false">J2028*Resumo!$C$6</f>
        <v>0</v>
      </c>
      <c r="O2028" s="39" t="n">
        <f aca="false">J2028*Resumo!$C$7</f>
        <v>0.868287</v>
      </c>
      <c r="P2028" s="39" t="n">
        <f aca="false">J2028*Resumo!$C$8</f>
        <v>0.868287</v>
      </c>
      <c r="Q2028" s="39" t="n">
        <f aca="false">Resumo!$C$10*CEILING(I2028/100,1)</f>
        <v>1.05</v>
      </c>
      <c r="R2028" s="39" t="n">
        <f aca="false">Resumo!$C$9</f>
        <v>0</v>
      </c>
      <c r="S2028" s="39" t="n">
        <f aca="false">Resumo!$C$13</f>
        <v>13.55</v>
      </c>
      <c r="T2028" s="39" t="n">
        <f aca="false">Resumo!$C$14*CEILING(I2028,1)</f>
        <v>18.9</v>
      </c>
      <c r="U2028" s="39" t="n">
        <f aca="false">SUM(M2028:T2028)*Resumo!$C$11</f>
        <v>0</v>
      </c>
      <c r="V2028" s="39" t="n">
        <f aca="false">SUM(M2028:U2028)</f>
        <v>88.786574</v>
      </c>
      <c r="W2028" s="39" t="n">
        <f aca="false">V2028/(1-Resumo!$C$5)</f>
        <v>100.893834090909</v>
      </c>
      <c r="X2028" s="39" t="n">
        <v>93.97</v>
      </c>
      <c r="Y2028" s="39" t="n">
        <f aca="false">J2028*Resumo!$B$6</f>
        <v>0.41347</v>
      </c>
      <c r="Z2028" s="39" t="n">
        <f aca="false">J2028*Resumo!$B$7</f>
        <v>0.82694</v>
      </c>
      <c r="AA2028" s="39" t="n">
        <f aca="false">Resumo!$B$9</f>
        <v>1</v>
      </c>
      <c r="AB2028" s="39" t="n">
        <f aca="false">Resumo!$B$10*CEILING(I2028/100,1)</f>
        <v>4.5</v>
      </c>
      <c r="AC2028" s="39" t="n">
        <f aca="false">Resumo!$B$12*CEILING(I2028,1)</f>
        <v>2.52</v>
      </c>
      <c r="AD2028" s="39" t="n">
        <f aca="false">Resumo!$B$14*CEILING(I2028,1)</f>
        <v>18.9</v>
      </c>
      <c r="AE2028" s="39" t="n">
        <f aca="false">SUM(X2028:AD2028)</f>
        <v>122.13041</v>
      </c>
      <c r="AF2028" s="39" t="n">
        <f aca="false">AE2028/(1-Resumo!$B$5)</f>
        <v>138.784556818182</v>
      </c>
      <c r="AG2028" s="39" t="n">
        <f aca="false">AF2028-W2028</f>
        <v>37.8907227272727</v>
      </c>
      <c r="AH2028" s="40" t="n">
        <f aca="false">AF2028/W2028-1</f>
        <v>0.375550429505254</v>
      </c>
      <c r="AI2028" s="37" t="str">
        <f aca="false">IF(AF2028&lt;W2028,"SIM","NÃO")</f>
        <v>NÃO</v>
      </c>
      <c r="AJ2028" s="37" t="n">
        <v>2</v>
      </c>
      <c r="AK2028" s="37" t="n">
        <v>5</v>
      </c>
      <c r="AL2028" s="37" t="s">
        <v>343</v>
      </c>
      <c r="AM2028" s="39" t="n">
        <v>102.57</v>
      </c>
    </row>
    <row r="2029" customFormat="false" ht="15" hidden="false" customHeight="false" outlineLevel="0" collapsed="false">
      <c r="A2029" s="37" t="n">
        <v>398486807</v>
      </c>
      <c r="B2029" s="38" t="n">
        <v>46288.3951967593</v>
      </c>
      <c r="C2029" s="37" t="s">
        <v>340</v>
      </c>
      <c r="D2029" s="37" t="s">
        <v>2154</v>
      </c>
      <c r="E2029" s="37" t="n">
        <v>28664000</v>
      </c>
      <c r="F2029" s="37" t="s">
        <v>282</v>
      </c>
      <c r="G2029" s="37" t="s">
        <v>198</v>
      </c>
      <c r="H2029" s="37" t="s">
        <v>185</v>
      </c>
      <c r="I2029" s="37" t="n">
        <v>37.5</v>
      </c>
      <c r="J2029" s="39" t="n">
        <v>399.99</v>
      </c>
      <c r="K2029" s="37" t="s">
        <v>342</v>
      </c>
      <c r="L2029" s="39" t="n">
        <v>122.16</v>
      </c>
      <c r="M2029" s="39" t="n">
        <v>74.97</v>
      </c>
      <c r="N2029" s="39" t="n">
        <f aca="false">J2029*Resumo!$C$6</f>
        <v>0</v>
      </c>
      <c r="O2029" s="39" t="n">
        <f aca="false">J2029*Resumo!$C$7</f>
        <v>0.839979</v>
      </c>
      <c r="P2029" s="39" t="n">
        <f aca="false">J2029*Resumo!$C$8</f>
        <v>0.839979</v>
      </c>
      <c r="Q2029" s="39" t="n">
        <f aca="false">Resumo!$C$10*CEILING(I2029/100,1)</f>
        <v>1.05</v>
      </c>
      <c r="R2029" s="39" t="n">
        <f aca="false">Resumo!$C$9</f>
        <v>0</v>
      </c>
      <c r="S2029" s="39" t="n">
        <f aca="false">Resumo!$C$13</f>
        <v>13.55</v>
      </c>
      <c r="T2029" s="39" t="n">
        <f aca="false">Resumo!$C$14*CEILING(I2029,1)</f>
        <v>17.1</v>
      </c>
      <c r="U2029" s="39" t="n">
        <f aca="false">SUM(M2029:T2029)*Resumo!$C$11</f>
        <v>0</v>
      </c>
      <c r="V2029" s="39" t="n">
        <f aca="false">SUM(M2029:U2029)</f>
        <v>108.349958</v>
      </c>
      <c r="W2029" s="39" t="n">
        <f aca="false">V2029/(1-Resumo!$C$5)</f>
        <v>123.124952272727</v>
      </c>
      <c r="X2029" s="39" t="n">
        <v>125.63</v>
      </c>
      <c r="Y2029" s="39" t="n">
        <f aca="false">J2029*Resumo!$B$6</f>
        <v>0.39999</v>
      </c>
      <c r="Z2029" s="39" t="n">
        <f aca="false">J2029*Resumo!$B$7</f>
        <v>0.79998</v>
      </c>
      <c r="AA2029" s="39" t="n">
        <f aca="false">Resumo!$B$9</f>
        <v>1</v>
      </c>
      <c r="AB2029" s="39" t="n">
        <f aca="false">Resumo!$B$10*CEILING(I2029/100,1)</f>
        <v>4.5</v>
      </c>
      <c r="AC2029" s="39" t="n">
        <f aca="false">Resumo!$B$12*CEILING(I2029,1)</f>
        <v>2.28</v>
      </c>
      <c r="AD2029" s="39" t="n">
        <f aca="false">Resumo!$B$14*CEILING(I2029,1)</f>
        <v>17.1</v>
      </c>
      <c r="AE2029" s="39" t="n">
        <f aca="false">SUM(X2029:AD2029)</f>
        <v>151.70997</v>
      </c>
      <c r="AF2029" s="39" t="n">
        <f aca="false">AE2029/(1-Resumo!$B$5)</f>
        <v>172.397693181818</v>
      </c>
      <c r="AG2029" s="39" t="n">
        <f aca="false">AF2029-W2029</f>
        <v>49.2727409090909</v>
      </c>
      <c r="AH2029" s="40" t="n">
        <f aca="false">AF2029/W2029-1</f>
        <v>0.400184852863533</v>
      </c>
      <c r="AI2029" s="37" t="str">
        <f aca="false">IF(AF2029&lt;W2029,"SIM","NÃO")</f>
        <v>NÃO</v>
      </c>
      <c r="AJ2029" s="37" t="n">
        <v>13</v>
      </c>
      <c r="AK2029" s="37" t="n">
        <v>10</v>
      </c>
      <c r="AL2029" s="37" t="s">
        <v>347</v>
      </c>
      <c r="AM2029" s="39" t="n">
        <v>122.16</v>
      </c>
    </row>
    <row r="2030" customFormat="false" ht="15" hidden="false" customHeight="false" outlineLevel="0" collapsed="false">
      <c r="A2030" s="37" t="n">
        <v>398530057</v>
      </c>
      <c r="B2030" s="38" t="n">
        <v>46288.4775925926</v>
      </c>
      <c r="C2030" s="37" t="s">
        <v>340</v>
      </c>
      <c r="D2030" s="37" t="s">
        <v>2155</v>
      </c>
      <c r="E2030" s="37" t="n">
        <v>25560581</v>
      </c>
      <c r="F2030" s="37" t="s">
        <v>167</v>
      </c>
      <c r="G2030" s="37" t="s">
        <v>197</v>
      </c>
      <c r="H2030" s="37" t="s">
        <v>187</v>
      </c>
      <c r="I2030" s="37" t="n">
        <v>52.3</v>
      </c>
      <c r="J2030" s="39" t="n">
        <v>699.99</v>
      </c>
      <c r="K2030" s="37" t="s">
        <v>342</v>
      </c>
      <c r="L2030" s="39" t="n">
        <v>128.64</v>
      </c>
      <c r="M2030" s="39" t="n">
        <v>70.98</v>
      </c>
      <c r="N2030" s="39" t="n">
        <f aca="false">J2030*Resumo!$C$6</f>
        <v>0</v>
      </c>
      <c r="O2030" s="39" t="n">
        <f aca="false">J2030*Resumo!$C$7</f>
        <v>1.469979</v>
      </c>
      <c r="P2030" s="39" t="n">
        <f aca="false">J2030*Resumo!$C$8</f>
        <v>1.469979</v>
      </c>
      <c r="Q2030" s="39" t="n">
        <f aca="false">Resumo!$C$10*CEILING(I2030/100,1)</f>
        <v>1.05</v>
      </c>
      <c r="R2030" s="39" t="n">
        <f aca="false">Resumo!$C$9</f>
        <v>0</v>
      </c>
      <c r="S2030" s="39" t="n">
        <f aca="false">Resumo!$C$13</f>
        <v>13.55</v>
      </c>
      <c r="T2030" s="39" t="n">
        <f aca="false">Resumo!$C$14*CEILING(I2030,1)</f>
        <v>23.85</v>
      </c>
      <c r="U2030" s="39" t="n">
        <f aca="false">SUM(M2030:T2030)*Resumo!$C$11</f>
        <v>0</v>
      </c>
      <c r="V2030" s="39" t="n">
        <f aca="false">SUM(M2030:U2030)</f>
        <v>112.369958</v>
      </c>
      <c r="W2030" s="39" t="n">
        <f aca="false">V2030/(1-Resumo!$C$5)</f>
        <v>127.693134090909</v>
      </c>
      <c r="X2030" s="39" t="n">
        <v>112.3</v>
      </c>
      <c r="Y2030" s="39" t="n">
        <f aca="false">J2030*Resumo!$B$6</f>
        <v>0.69999</v>
      </c>
      <c r="Z2030" s="39" t="n">
        <f aca="false">J2030*Resumo!$B$7</f>
        <v>1.39998</v>
      </c>
      <c r="AA2030" s="39" t="n">
        <f aca="false">Resumo!$B$9</f>
        <v>1</v>
      </c>
      <c r="AB2030" s="39" t="n">
        <f aca="false">Resumo!$B$10*CEILING(I2030/100,1)</f>
        <v>4.5</v>
      </c>
      <c r="AC2030" s="39" t="n">
        <f aca="false">Resumo!$B$12*CEILING(I2030,1)</f>
        <v>3.18</v>
      </c>
      <c r="AD2030" s="39" t="n">
        <f aca="false">Resumo!$B$14*CEILING(I2030,1)</f>
        <v>23.85</v>
      </c>
      <c r="AE2030" s="39" t="n">
        <f aca="false">SUM(X2030:AD2030)</f>
        <v>146.92997</v>
      </c>
      <c r="AF2030" s="39" t="n">
        <f aca="false">AE2030/(1-Resumo!$B$5)</f>
        <v>166.965875</v>
      </c>
      <c r="AG2030" s="39" t="n">
        <f aca="false">AF2030-W2030</f>
        <v>39.2727409090909</v>
      </c>
      <c r="AH2030" s="40" t="n">
        <f aca="false">AF2030/W2030-1</f>
        <v>0.307555619091715</v>
      </c>
      <c r="AI2030" s="37" t="str">
        <f aca="false">IF(AF2030&lt;W2030,"SIM","NÃO")</f>
        <v>NÃO</v>
      </c>
      <c r="AJ2030" s="37" t="n">
        <v>2</v>
      </c>
      <c r="AK2030" s="37" t="n">
        <v>5</v>
      </c>
      <c r="AL2030" s="37" t="s">
        <v>343</v>
      </c>
      <c r="AM2030" s="39" t="n">
        <v>128.64</v>
      </c>
    </row>
    <row r="2031" customFormat="false" ht="15" hidden="false" customHeight="false" outlineLevel="0" collapsed="false">
      <c r="A2031" s="37" t="n">
        <v>398544094</v>
      </c>
      <c r="B2031" s="38" t="n">
        <v>46288.4872916667</v>
      </c>
      <c r="C2031" s="37" t="s">
        <v>537</v>
      </c>
      <c r="D2031" s="37" t="s">
        <v>2156</v>
      </c>
      <c r="E2031" s="37" t="n">
        <v>20540140</v>
      </c>
      <c r="F2031" s="37" t="s">
        <v>159</v>
      </c>
      <c r="G2031" s="37" t="s">
        <v>196</v>
      </c>
      <c r="H2031" s="37" t="s">
        <v>184</v>
      </c>
      <c r="I2031" s="37" t="n">
        <v>27</v>
      </c>
      <c r="J2031" s="39" t="n">
        <v>349.99</v>
      </c>
      <c r="K2031" s="37" t="s">
        <v>342</v>
      </c>
      <c r="L2031" s="39" t="n">
        <v>82</v>
      </c>
      <c r="M2031" s="39" t="n">
        <v>42.11</v>
      </c>
      <c r="N2031" s="39" t="n">
        <f aca="false">J2031*Resumo!$C$6</f>
        <v>0</v>
      </c>
      <c r="O2031" s="39" t="n">
        <f aca="false">J2031*Resumo!$C$7</f>
        <v>0.734979</v>
      </c>
      <c r="P2031" s="39" t="n">
        <f aca="false">J2031*Resumo!$C$8</f>
        <v>0.734979</v>
      </c>
      <c r="Q2031" s="39" t="n">
        <f aca="false">Resumo!$C$10*CEILING(I2031/100,1)</f>
        <v>1.05</v>
      </c>
      <c r="R2031" s="39" t="n">
        <f aca="false">Resumo!$C$9</f>
        <v>0</v>
      </c>
      <c r="S2031" s="39" t="n">
        <f aca="false">Resumo!$C$13</f>
        <v>13.55</v>
      </c>
      <c r="T2031" s="39" t="n">
        <f aca="false">Resumo!$C$14*CEILING(I2031,1)</f>
        <v>12.15</v>
      </c>
      <c r="U2031" s="39" t="n">
        <f aca="false">SUM(M2031:T2031)*Resumo!$C$11</f>
        <v>0</v>
      </c>
      <c r="V2031" s="39" t="n">
        <f aca="false">SUM(M2031:U2031)</f>
        <v>70.329958</v>
      </c>
      <c r="W2031" s="39" t="n">
        <f aca="false">V2031/(1-Resumo!$C$5)</f>
        <v>79.9204068181818</v>
      </c>
      <c r="X2031" s="39" t="n">
        <v>82.21</v>
      </c>
      <c r="Y2031" s="39" t="n">
        <f aca="false">J2031*Resumo!$B$6</f>
        <v>0.34999</v>
      </c>
      <c r="Z2031" s="39" t="n">
        <f aca="false">J2031*Resumo!$B$7</f>
        <v>0.69998</v>
      </c>
      <c r="AA2031" s="39" t="n">
        <f aca="false">Resumo!$B$9</f>
        <v>1</v>
      </c>
      <c r="AB2031" s="39" t="n">
        <f aca="false">Resumo!$B$10*CEILING(I2031/100,1)</f>
        <v>4.5</v>
      </c>
      <c r="AC2031" s="39" t="n">
        <f aca="false">Resumo!$B$12*CEILING(I2031,1)</f>
        <v>1.62</v>
      </c>
      <c r="AD2031" s="39" t="n">
        <f aca="false">Resumo!$B$14*CEILING(I2031,1)</f>
        <v>12.15</v>
      </c>
      <c r="AE2031" s="39" t="n">
        <f aca="false">SUM(X2031:AD2031)</f>
        <v>102.52997</v>
      </c>
      <c r="AF2031" s="39" t="n">
        <f aca="false">AE2031/(1-Resumo!$B$5)</f>
        <v>116.511329545455</v>
      </c>
      <c r="AG2031" s="39" t="n">
        <f aca="false">AF2031-W2031</f>
        <v>36.5909227272727</v>
      </c>
      <c r="AH2031" s="40" t="n">
        <f aca="false">AF2031/W2031-1</f>
        <v>0.457842047907949</v>
      </c>
      <c r="AI2031" s="37" t="str">
        <f aca="false">IF(AF2031&lt;W2031,"SIM","NÃO")</f>
        <v>NÃO</v>
      </c>
      <c r="AJ2031" s="37" t="n">
        <v>2</v>
      </c>
      <c r="AK2031" s="37" t="n">
        <v>5</v>
      </c>
      <c r="AL2031" s="37" t="s">
        <v>343</v>
      </c>
      <c r="AM2031" s="39" t="n">
        <v>82</v>
      </c>
    </row>
    <row r="2032" customFormat="false" ht="15" hidden="false" customHeight="false" outlineLevel="0" collapsed="false">
      <c r="A2032" s="37" t="n">
        <v>398538779</v>
      </c>
      <c r="B2032" s="38" t="n">
        <v>46288.4946180556</v>
      </c>
      <c r="C2032" s="37" t="s">
        <v>340</v>
      </c>
      <c r="D2032" s="37" t="s">
        <v>2157</v>
      </c>
      <c r="E2032" s="37" t="n">
        <v>26291212</v>
      </c>
      <c r="F2032" s="37" t="s">
        <v>162</v>
      </c>
      <c r="G2032" s="37" t="s">
        <v>197</v>
      </c>
      <c r="H2032" s="37" t="s">
        <v>187</v>
      </c>
      <c r="I2032" s="37" t="n">
        <v>59.3</v>
      </c>
      <c r="J2032" s="39" t="n">
        <v>859.99</v>
      </c>
      <c r="K2032" s="37" t="s">
        <v>342</v>
      </c>
      <c r="L2032" s="39" t="n">
        <v>129.41</v>
      </c>
      <c r="M2032" s="39" t="n">
        <v>70.98</v>
      </c>
      <c r="N2032" s="39" t="n">
        <f aca="false">J2032*Resumo!$C$6</f>
        <v>0</v>
      </c>
      <c r="O2032" s="39" t="n">
        <f aca="false">J2032*Resumo!$C$7</f>
        <v>1.805979</v>
      </c>
      <c r="P2032" s="39" t="n">
        <f aca="false">J2032*Resumo!$C$8</f>
        <v>1.805979</v>
      </c>
      <c r="Q2032" s="39" t="n">
        <f aca="false">Resumo!$C$10*CEILING(I2032/100,1)</f>
        <v>1.05</v>
      </c>
      <c r="R2032" s="39" t="n">
        <f aca="false">Resumo!$C$9</f>
        <v>0</v>
      </c>
      <c r="S2032" s="39" t="n">
        <f aca="false">Resumo!$C$13</f>
        <v>13.55</v>
      </c>
      <c r="T2032" s="39" t="n">
        <f aca="false">Resumo!$C$14*CEILING(I2032,1)</f>
        <v>27</v>
      </c>
      <c r="U2032" s="39" t="n">
        <f aca="false">SUM(M2032:T2032)*Resumo!$C$11</f>
        <v>0</v>
      </c>
      <c r="V2032" s="39" t="n">
        <f aca="false">SUM(M2032:U2032)</f>
        <v>116.191958</v>
      </c>
      <c r="W2032" s="39" t="n">
        <f aca="false">V2032/(1-Resumo!$C$5)</f>
        <v>132.036315909091</v>
      </c>
      <c r="X2032" s="39" t="n">
        <v>112.3</v>
      </c>
      <c r="Y2032" s="39" t="n">
        <f aca="false">J2032*Resumo!$B$6</f>
        <v>0.85999</v>
      </c>
      <c r="Z2032" s="39" t="n">
        <f aca="false">J2032*Resumo!$B$7</f>
        <v>1.71998</v>
      </c>
      <c r="AA2032" s="39" t="n">
        <f aca="false">Resumo!$B$9</f>
        <v>1</v>
      </c>
      <c r="AB2032" s="39" t="n">
        <f aca="false">Resumo!$B$10*CEILING(I2032/100,1)</f>
        <v>4.5</v>
      </c>
      <c r="AC2032" s="39" t="n">
        <f aca="false">Resumo!$B$12*CEILING(I2032,1)</f>
        <v>3.6</v>
      </c>
      <c r="AD2032" s="39" t="n">
        <f aca="false">Resumo!$B$14*CEILING(I2032,1)</f>
        <v>27</v>
      </c>
      <c r="AE2032" s="39" t="n">
        <f aca="false">SUM(X2032:AD2032)</f>
        <v>150.97997</v>
      </c>
      <c r="AF2032" s="39" t="n">
        <f aca="false">AE2032/(1-Resumo!$B$5)</f>
        <v>171.568147727273</v>
      </c>
      <c r="AG2032" s="39" t="n">
        <f aca="false">AF2032-W2032</f>
        <v>39.5318318181818</v>
      </c>
      <c r="AH2032" s="40" t="n">
        <f aca="false">AF2032/W2032-1</f>
        <v>0.299401202964494</v>
      </c>
      <c r="AI2032" s="37" t="str">
        <f aca="false">IF(AF2032&lt;W2032,"SIM","NÃO")</f>
        <v>NÃO</v>
      </c>
      <c r="AJ2032" s="37" t="n">
        <v>2</v>
      </c>
      <c r="AK2032" s="37" t="n">
        <v>5</v>
      </c>
      <c r="AL2032" s="37" t="s">
        <v>343</v>
      </c>
      <c r="AM2032" s="39" t="n">
        <v>129.41</v>
      </c>
    </row>
    <row r="2033" customFormat="false" ht="15" hidden="false" customHeight="false" outlineLevel="0" collapsed="false">
      <c r="A2033" s="37" t="n">
        <v>398549710</v>
      </c>
      <c r="B2033" s="38" t="n">
        <v>46288.5146990741</v>
      </c>
      <c r="C2033" s="37" t="s">
        <v>345</v>
      </c>
      <c r="D2033" s="37" t="s">
        <v>2158</v>
      </c>
      <c r="E2033" s="37" t="n">
        <v>27520270</v>
      </c>
      <c r="F2033" s="37" t="s">
        <v>250</v>
      </c>
      <c r="G2033" s="37" t="s">
        <v>198</v>
      </c>
      <c r="H2033" s="37" t="s">
        <v>185</v>
      </c>
      <c r="I2033" s="37" t="n">
        <v>36.8</v>
      </c>
      <c r="J2033" s="39" t="n">
        <v>422.64</v>
      </c>
      <c r="K2033" s="37" t="s">
        <v>342</v>
      </c>
      <c r="L2033" s="39" t="n">
        <v>122.28</v>
      </c>
      <c r="M2033" s="39" t="n">
        <v>74.97</v>
      </c>
      <c r="N2033" s="39" t="n">
        <f aca="false">J2033*Resumo!$C$6</f>
        <v>0</v>
      </c>
      <c r="O2033" s="39" t="n">
        <f aca="false">J2033*Resumo!$C$7</f>
        <v>0.887544</v>
      </c>
      <c r="P2033" s="39" t="n">
        <f aca="false">J2033*Resumo!$C$8</f>
        <v>0.887544</v>
      </c>
      <c r="Q2033" s="39" t="n">
        <f aca="false">Resumo!$C$10*CEILING(I2033/100,1)</f>
        <v>1.05</v>
      </c>
      <c r="R2033" s="39" t="n">
        <f aca="false">Resumo!$C$9</f>
        <v>0</v>
      </c>
      <c r="S2033" s="39" t="n">
        <f aca="false">Resumo!$C$13</f>
        <v>13.55</v>
      </c>
      <c r="T2033" s="39" t="n">
        <f aca="false">Resumo!$C$14*CEILING(I2033,1)</f>
        <v>16.65</v>
      </c>
      <c r="U2033" s="39" t="n">
        <f aca="false">SUM(M2033:T2033)*Resumo!$C$11</f>
        <v>0</v>
      </c>
      <c r="V2033" s="39" t="n">
        <f aca="false">SUM(M2033:U2033)</f>
        <v>107.995088</v>
      </c>
      <c r="W2033" s="39" t="n">
        <f aca="false">V2033/(1-Resumo!$C$5)</f>
        <v>122.721690909091</v>
      </c>
      <c r="X2033" s="39" t="n">
        <v>124.38</v>
      </c>
      <c r="Y2033" s="39" t="n">
        <f aca="false">J2033*Resumo!$B$6</f>
        <v>0.42264</v>
      </c>
      <c r="Z2033" s="39" t="n">
        <f aca="false">J2033*Resumo!$B$7</f>
        <v>0.84528</v>
      </c>
      <c r="AA2033" s="39" t="n">
        <f aca="false">Resumo!$B$9</f>
        <v>1</v>
      </c>
      <c r="AB2033" s="39" t="n">
        <f aca="false">Resumo!$B$10*CEILING(I2033/100,1)</f>
        <v>4.5</v>
      </c>
      <c r="AC2033" s="39" t="n">
        <f aca="false">Resumo!$B$12*CEILING(I2033,1)</f>
        <v>2.22</v>
      </c>
      <c r="AD2033" s="39" t="n">
        <f aca="false">Resumo!$B$14*CEILING(I2033,1)</f>
        <v>16.65</v>
      </c>
      <c r="AE2033" s="39" t="n">
        <f aca="false">SUM(X2033:AD2033)</f>
        <v>150.01792</v>
      </c>
      <c r="AF2033" s="39" t="n">
        <f aca="false">AE2033/(1-Resumo!$B$5)</f>
        <v>170.474909090909</v>
      </c>
      <c r="AG2033" s="39" t="n">
        <f aca="false">AF2033-W2033</f>
        <v>47.7532181818182</v>
      </c>
      <c r="AH2033" s="40" t="n">
        <f aca="false">AF2033/W2033-1</f>
        <v>0.389117993959133</v>
      </c>
      <c r="AI2033" s="37" t="str">
        <f aca="false">IF(AF2033&lt;W2033,"SIM","NÃO")</f>
        <v>NÃO</v>
      </c>
      <c r="AJ2033" s="37" t="n">
        <v>13</v>
      </c>
      <c r="AK2033" s="37" t="n">
        <v>10</v>
      </c>
      <c r="AL2033" s="37" t="s">
        <v>347</v>
      </c>
      <c r="AM2033" s="39" t="n">
        <v>122.27</v>
      </c>
    </row>
    <row r="2034" customFormat="false" ht="15" hidden="false" customHeight="false" outlineLevel="0" collapsed="false">
      <c r="A2034" s="37" t="n">
        <v>398556399</v>
      </c>
      <c r="B2034" s="38" t="n">
        <v>46288.5267361111</v>
      </c>
      <c r="C2034" s="37" t="s">
        <v>340</v>
      </c>
      <c r="D2034" s="37" t="s">
        <v>2159</v>
      </c>
      <c r="E2034" s="37" t="n">
        <v>20921260</v>
      </c>
      <c r="F2034" s="37" t="s">
        <v>159</v>
      </c>
      <c r="G2034" s="37" t="s">
        <v>196</v>
      </c>
      <c r="H2034" s="37" t="s">
        <v>188</v>
      </c>
      <c r="I2034" s="37" t="n">
        <v>66.8</v>
      </c>
      <c r="J2034" s="39" t="n">
        <v>719.99</v>
      </c>
      <c r="K2034" s="37" t="s">
        <v>342</v>
      </c>
      <c r="L2034" s="39" t="n">
        <v>124.66</v>
      </c>
      <c r="M2034" s="39" t="n">
        <v>63.21</v>
      </c>
      <c r="N2034" s="39" t="n">
        <f aca="false">J2034*Resumo!$C$6</f>
        <v>0</v>
      </c>
      <c r="O2034" s="39" t="n">
        <f aca="false">J2034*Resumo!$C$7</f>
        <v>1.511979</v>
      </c>
      <c r="P2034" s="39" t="n">
        <f aca="false">J2034*Resumo!$C$8</f>
        <v>1.511979</v>
      </c>
      <c r="Q2034" s="39" t="n">
        <f aca="false">Resumo!$C$10*CEILING(I2034/100,1)</f>
        <v>1.05</v>
      </c>
      <c r="R2034" s="39" t="n">
        <f aca="false">Resumo!$C$9</f>
        <v>0</v>
      </c>
      <c r="S2034" s="39" t="n">
        <f aca="false">Resumo!$C$13</f>
        <v>13.55</v>
      </c>
      <c r="T2034" s="39" t="n">
        <f aca="false">Resumo!$C$14*CEILING(I2034,1)</f>
        <v>30.15</v>
      </c>
      <c r="U2034" s="39" t="n">
        <f aca="false">SUM(M2034:T2034)*Resumo!$C$11</f>
        <v>0</v>
      </c>
      <c r="V2034" s="39" t="n">
        <f aca="false">SUM(M2034:U2034)</f>
        <v>110.983958</v>
      </c>
      <c r="W2034" s="39" t="n">
        <f aca="false">V2034/(1-Resumo!$C$5)</f>
        <v>126.118134090909</v>
      </c>
      <c r="X2034" s="39" t="n">
        <v>131.02</v>
      </c>
      <c r="Y2034" s="39" t="n">
        <f aca="false">J2034*Resumo!$B$6</f>
        <v>0.71999</v>
      </c>
      <c r="Z2034" s="39" t="n">
        <f aca="false">J2034*Resumo!$B$7</f>
        <v>1.43998</v>
      </c>
      <c r="AA2034" s="39" t="n">
        <f aca="false">Resumo!$B$9</f>
        <v>1</v>
      </c>
      <c r="AB2034" s="39" t="n">
        <f aca="false">Resumo!$B$10*CEILING(I2034/100,1)</f>
        <v>4.5</v>
      </c>
      <c r="AC2034" s="39" t="n">
        <f aca="false">Resumo!$B$12*CEILING(I2034,1)</f>
        <v>4.02</v>
      </c>
      <c r="AD2034" s="39" t="n">
        <f aca="false">Resumo!$B$14*CEILING(I2034,1)</f>
        <v>30.15</v>
      </c>
      <c r="AE2034" s="39" t="n">
        <f aca="false">SUM(X2034:AD2034)</f>
        <v>172.84997</v>
      </c>
      <c r="AF2034" s="39" t="n">
        <f aca="false">AE2034/(1-Resumo!$B$5)</f>
        <v>196.420420454545</v>
      </c>
      <c r="AG2034" s="39" t="n">
        <f aca="false">AF2034-W2034</f>
        <v>70.3022863636364</v>
      </c>
      <c r="AH2034" s="40" t="n">
        <f aca="false">AF2034/W2034-1</f>
        <v>0.557432020941261</v>
      </c>
      <c r="AI2034" s="37" t="str">
        <f aca="false">IF(AF2034&lt;W2034,"SIM","NÃO")</f>
        <v>NÃO</v>
      </c>
      <c r="AJ2034" s="37" t="n">
        <v>2</v>
      </c>
      <c r="AK2034" s="37" t="n">
        <v>5</v>
      </c>
      <c r="AL2034" s="37" t="s">
        <v>343</v>
      </c>
      <c r="AM2034" s="39" t="n">
        <v>124.66</v>
      </c>
    </row>
    <row r="2035" customFormat="false" ht="15" hidden="false" customHeight="false" outlineLevel="0" collapsed="false">
      <c r="A2035" s="37" t="n">
        <v>398560371</v>
      </c>
      <c r="B2035" s="38" t="n">
        <v>46288.5336111111</v>
      </c>
      <c r="C2035" s="37" t="s">
        <v>345</v>
      </c>
      <c r="D2035" s="37" t="s">
        <v>2160</v>
      </c>
      <c r="E2035" s="37" t="n">
        <v>25911279</v>
      </c>
      <c r="F2035" s="37" t="s">
        <v>176</v>
      </c>
      <c r="G2035" s="37" t="s">
        <v>198</v>
      </c>
      <c r="H2035" s="37" t="s">
        <v>188</v>
      </c>
      <c r="I2035" s="37" t="n">
        <v>64.7</v>
      </c>
      <c r="J2035" s="39" t="n">
        <v>767</v>
      </c>
      <c r="K2035" s="37" t="s">
        <v>342</v>
      </c>
      <c r="L2035" s="39" t="n">
        <v>155.68</v>
      </c>
      <c r="M2035" s="39" t="n">
        <v>90.2</v>
      </c>
      <c r="N2035" s="39" t="n">
        <f aca="false">J2035*Resumo!$C$6</f>
        <v>0</v>
      </c>
      <c r="O2035" s="39" t="n">
        <f aca="false">J2035*Resumo!$C$7</f>
        <v>1.6107</v>
      </c>
      <c r="P2035" s="39" t="n">
        <f aca="false">J2035*Resumo!$C$8</f>
        <v>1.6107</v>
      </c>
      <c r="Q2035" s="39" t="n">
        <f aca="false">Resumo!$C$10*CEILING(I2035/100,1)</f>
        <v>1.05</v>
      </c>
      <c r="R2035" s="39" t="n">
        <f aca="false">Resumo!$C$9</f>
        <v>0</v>
      </c>
      <c r="S2035" s="39" t="n">
        <f aca="false">Resumo!$C$13</f>
        <v>13.55</v>
      </c>
      <c r="T2035" s="39" t="n">
        <f aca="false">Resumo!$C$14*CEILING(I2035,1)</f>
        <v>29.25</v>
      </c>
      <c r="U2035" s="39" t="n">
        <f aca="false">SUM(M2035:T2035)*Resumo!$C$11</f>
        <v>0</v>
      </c>
      <c r="V2035" s="39" t="n">
        <f aca="false">SUM(M2035:U2035)</f>
        <v>137.2714</v>
      </c>
      <c r="W2035" s="39" t="n">
        <f aca="false">V2035/(1-Resumo!$C$5)</f>
        <v>155.990227272727</v>
      </c>
      <c r="X2035" s="39" t="n">
        <v>136.53</v>
      </c>
      <c r="Y2035" s="39" t="n">
        <f aca="false">J2035*Resumo!$B$6</f>
        <v>0.767</v>
      </c>
      <c r="Z2035" s="39" t="n">
        <f aca="false">J2035*Resumo!$B$7</f>
        <v>1.534</v>
      </c>
      <c r="AA2035" s="39" t="n">
        <f aca="false">Resumo!$B$9</f>
        <v>1</v>
      </c>
      <c r="AB2035" s="39" t="n">
        <f aca="false">Resumo!$B$10*CEILING(I2035/100,1)</f>
        <v>4.5</v>
      </c>
      <c r="AC2035" s="39" t="n">
        <f aca="false">Resumo!$B$12*CEILING(I2035,1)</f>
        <v>3.9</v>
      </c>
      <c r="AD2035" s="39" t="n">
        <f aca="false">Resumo!$B$14*CEILING(I2035,1)</f>
        <v>29.25</v>
      </c>
      <c r="AE2035" s="39" t="n">
        <f aca="false">SUM(X2035:AD2035)</f>
        <v>177.481</v>
      </c>
      <c r="AF2035" s="39" t="n">
        <f aca="false">AE2035/(1-Resumo!$B$5)</f>
        <v>201.682954545455</v>
      </c>
      <c r="AG2035" s="39" t="n">
        <f aca="false">AF2035-W2035</f>
        <v>45.6927272727273</v>
      </c>
      <c r="AH2035" s="40" t="n">
        <f aca="false">AF2035/W2035-1</f>
        <v>0.292920448104995</v>
      </c>
      <c r="AI2035" s="37" t="str">
        <f aca="false">IF(AF2035&lt;W2035,"SIM","NÃO")</f>
        <v>NÃO</v>
      </c>
      <c r="AJ2035" s="37" t="n">
        <v>13</v>
      </c>
      <c r="AK2035" s="37" t="n">
        <v>6</v>
      </c>
      <c r="AL2035" s="37" t="s">
        <v>343</v>
      </c>
      <c r="AM2035" s="39" t="n">
        <v>155.69</v>
      </c>
    </row>
    <row r="2036" customFormat="false" ht="15" hidden="false" customHeight="false" outlineLevel="0" collapsed="false">
      <c r="A2036" s="37" t="n">
        <v>398561244</v>
      </c>
      <c r="B2036" s="38" t="n">
        <v>46288.535150463</v>
      </c>
      <c r="C2036" s="37" t="s">
        <v>345</v>
      </c>
      <c r="D2036" s="37" t="s">
        <v>2161</v>
      </c>
      <c r="E2036" s="37" t="n">
        <v>21921420</v>
      </c>
      <c r="F2036" s="37" t="s">
        <v>159</v>
      </c>
      <c r="G2036" s="37" t="s">
        <v>196</v>
      </c>
      <c r="H2036" s="37" t="s">
        <v>184</v>
      </c>
      <c r="I2036" s="37" t="n">
        <v>22.4</v>
      </c>
      <c r="J2036" s="39" t="n">
        <v>480.58</v>
      </c>
      <c r="K2036" s="37" t="s">
        <v>342</v>
      </c>
      <c r="L2036" s="39" t="n">
        <v>82.62</v>
      </c>
      <c r="M2036" s="39" t="n">
        <v>42.11</v>
      </c>
      <c r="N2036" s="39" t="n">
        <f aca="false">J2036*Resumo!$C$6</f>
        <v>0</v>
      </c>
      <c r="O2036" s="39" t="n">
        <f aca="false">J2036*Resumo!$C$7</f>
        <v>1.009218</v>
      </c>
      <c r="P2036" s="39" t="n">
        <f aca="false">J2036*Resumo!$C$8</f>
        <v>1.009218</v>
      </c>
      <c r="Q2036" s="39" t="n">
        <f aca="false">Resumo!$C$10*CEILING(I2036/100,1)</f>
        <v>1.05</v>
      </c>
      <c r="R2036" s="39" t="n">
        <f aca="false">Resumo!$C$9</f>
        <v>0</v>
      </c>
      <c r="S2036" s="39" t="n">
        <f aca="false">Resumo!$C$13</f>
        <v>13.55</v>
      </c>
      <c r="T2036" s="39" t="n">
        <f aca="false">Resumo!$C$14*CEILING(I2036,1)</f>
        <v>10.35</v>
      </c>
      <c r="U2036" s="39" t="n">
        <f aca="false">SUM(M2036:T2036)*Resumo!$C$11</f>
        <v>0</v>
      </c>
      <c r="V2036" s="39" t="n">
        <f aca="false">SUM(M2036:U2036)</f>
        <v>69.078436</v>
      </c>
      <c r="W2036" s="39" t="n">
        <f aca="false">V2036/(1-Resumo!$C$5)</f>
        <v>78.4982227272727</v>
      </c>
      <c r="X2036" s="39" t="n">
        <v>82.21</v>
      </c>
      <c r="Y2036" s="39" t="n">
        <f aca="false">J2036*Resumo!$B$6</f>
        <v>0.48058</v>
      </c>
      <c r="Z2036" s="39" t="n">
        <f aca="false">J2036*Resumo!$B$7</f>
        <v>0.96116</v>
      </c>
      <c r="AA2036" s="39" t="n">
        <f aca="false">Resumo!$B$9</f>
        <v>1</v>
      </c>
      <c r="AB2036" s="39" t="n">
        <f aca="false">Resumo!$B$10*CEILING(I2036/100,1)</f>
        <v>4.5</v>
      </c>
      <c r="AC2036" s="39" t="n">
        <f aca="false">Resumo!$B$12*CEILING(I2036,1)</f>
        <v>1.38</v>
      </c>
      <c r="AD2036" s="39" t="n">
        <f aca="false">Resumo!$B$14*CEILING(I2036,1)</f>
        <v>10.35</v>
      </c>
      <c r="AE2036" s="39" t="n">
        <f aca="false">SUM(X2036:AD2036)</f>
        <v>100.88174</v>
      </c>
      <c r="AF2036" s="39" t="n">
        <f aca="false">AE2036/(1-Resumo!$B$5)</f>
        <v>114.638340909091</v>
      </c>
      <c r="AG2036" s="39" t="n">
        <f aca="false">AF2036-W2036</f>
        <v>36.1401181818182</v>
      </c>
      <c r="AH2036" s="40" t="n">
        <f aca="false">AF2036/W2036-1</f>
        <v>0.460394094620208</v>
      </c>
      <c r="AI2036" s="37" t="str">
        <f aca="false">IF(AF2036&lt;W2036,"SIM","NÃO")</f>
        <v>NÃO</v>
      </c>
      <c r="AJ2036" s="37" t="n">
        <v>2</v>
      </c>
      <c r="AK2036" s="37" t="n">
        <v>5</v>
      </c>
      <c r="AL2036" s="37" t="s">
        <v>343</v>
      </c>
      <c r="AM2036" s="39" t="n">
        <v>82.63</v>
      </c>
    </row>
    <row r="2037" customFormat="false" ht="15" hidden="false" customHeight="false" outlineLevel="0" collapsed="false">
      <c r="A2037" s="37" t="n">
        <v>398567585</v>
      </c>
      <c r="B2037" s="38" t="n">
        <v>46288.5474537037</v>
      </c>
      <c r="C2037" s="37" t="s">
        <v>340</v>
      </c>
      <c r="D2037" s="37" t="s">
        <v>1917</v>
      </c>
      <c r="E2037" s="37" t="n">
        <v>28148000</v>
      </c>
      <c r="F2037" s="37" t="s">
        <v>164</v>
      </c>
      <c r="G2037" s="37" t="s">
        <v>198</v>
      </c>
      <c r="H2037" s="37" t="s">
        <v>185</v>
      </c>
      <c r="I2037" s="37" t="n">
        <v>37.59</v>
      </c>
      <c r="J2037" s="39" t="n">
        <v>469.95</v>
      </c>
      <c r="K2037" s="37" t="s">
        <v>342</v>
      </c>
      <c r="L2037" s="39" t="n">
        <v>122.5</v>
      </c>
      <c r="M2037" s="39" t="n">
        <v>74.97</v>
      </c>
      <c r="N2037" s="39" t="n">
        <f aca="false">J2037*Resumo!$C$6</f>
        <v>0</v>
      </c>
      <c r="O2037" s="39" t="n">
        <f aca="false">J2037*Resumo!$C$7</f>
        <v>0.986895</v>
      </c>
      <c r="P2037" s="39" t="n">
        <f aca="false">J2037*Resumo!$C$8</f>
        <v>0.986895</v>
      </c>
      <c r="Q2037" s="39" t="n">
        <f aca="false">Resumo!$C$10*CEILING(I2037/100,1)</f>
        <v>1.05</v>
      </c>
      <c r="R2037" s="39" t="n">
        <f aca="false">Resumo!$C$9</f>
        <v>0</v>
      </c>
      <c r="S2037" s="39" t="n">
        <f aca="false">Resumo!$C$13</f>
        <v>13.55</v>
      </c>
      <c r="T2037" s="39" t="n">
        <f aca="false">Resumo!$C$14*CEILING(I2037,1)</f>
        <v>17.1</v>
      </c>
      <c r="U2037" s="39" t="n">
        <f aca="false">SUM(M2037:T2037)*Resumo!$C$11</f>
        <v>0</v>
      </c>
      <c r="V2037" s="39" t="n">
        <f aca="false">SUM(M2037:U2037)</f>
        <v>108.64379</v>
      </c>
      <c r="W2037" s="39" t="n">
        <f aca="false">V2037/(1-Resumo!$C$5)</f>
        <v>123.458852272727</v>
      </c>
      <c r="X2037" s="39" t="n">
        <v>143.04</v>
      </c>
      <c r="Y2037" s="39" t="n">
        <f aca="false">J2037*Resumo!$B$6</f>
        <v>0.46995</v>
      </c>
      <c r="Z2037" s="39" t="n">
        <f aca="false">J2037*Resumo!$B$7</f>
        <v>0.9399</v>
      </c>
      <c r="AA2037" s="39" t="n">
        <f aca="false">Resumo!$B$9</f>
        <v>1</v>
      </c>
      <c r="AB2037" s="39" t="n">
        <f aca="false">Resumo!$B$10*CEILING(I2037/100,1)</f>
        <v>4.5</v>
      </c>
      <c r="AC2037" s="39" t="n">
        <f aca="false">Resumo!$B$12*CEILING(I2037,1)</f>
        <v>2.28</v>
      </c>
      <c r="AD2037" s="39" t="n">
        <f aca="false">Resumo!$B$14*CEILING(I2037,1)</f>
        <v>17.1</v>
      </c>
      <c r="AE2037" s="39" t="n">
        <f aca="false">SUM(X2037:AD2037)</f>
        <v>169.32985</v>
      </c>
      <c r="AF2037" s="39" t="n">
        <f aca="false">AE2037/(1-Resumo!$B$5)</f>
        <v>192.420284090909</v>
      </c>
      <c r="AG2037" s="39" t="n">
        <f aca="false">AF2037-W2037</f>
        <v>68.9614318181818</v>
      </c>
      <c r="AH2037" s="40" t="n">
        <f aca="false">AF2037/W2037-1</f>
        <v>0.55857826756596</v>
      </c>
      <c r="AI2037" s="37" t="str">
        <f aca="false">IF(AF2037&lt;W2037,"SIM","NÃO")</f>
        <v>NÃO</v>
      </c>
      <c r="AJ2037" s="37" t="n">
        <v>13</v>
      </c>
      <c r="AK2037" s="37" t="n">
        <v>11</v>
      </c>
      <c r="AL2037" s="37" t="s">
        <v>343</v>
      </c>
      <c r="AM2037" s="39" t="n">
        <v>122.5</v>
      </c>
    </row>
    <row r="2038" customFormat="false" ht="15" hidden="false" customHeight="false" outlineLevel="0" collapsed="false">
      <c r="A2038" s="37" t="n">
        <v>398569588</v>
      </c>
      <c r="B2038" s="38" t="n">
        <v>46288.557974537</v>
      </c>
      <c r="C2038" s="37" t="s">
        <v>361</v>
      </c>
      <c r="D2038" s="37" t="s">
        <v>2162</v>
      </c>
      <c r="E2038" s="37" t="n">
        <v>23895160</v>
      </c>
      <c r="F2038" s="37" t="s">
        <v>221</v>
      </c>
      <c r="G2038" s="37" t="s">
        <v>198</v>
      </c>
      <c r="H2038" s="37" t="s">
        <v>190</v>
      </c>
      <c r="I2038" s="37" t="n">
        <v>85</v>
      </c>
      <c r="J2038" s="39" t="n">
        <v>1329.99</v>
      </c>
      <c r="K2038" s="37" t="s">
        <v>342</v>
      </c>
      <c r="L2038" s="39" t="n">
        <v>194.97</v>
      </c>
      <c r="M2038" s="39" t="n">
        <v>109.63</v>
      </c>
      <c r="N2038" s="39" t="n">
        <f aca="false">J2038*Resumo!$C$6</f>
        <v>0</v>
      </c>
      <c r="O2038" s="39" t="n">
        <f aca="false">J2038*Resumo!$C$7</f>
        <v>2.792979</v>
      </c>
      <c r="P2038" s="39" t="n">
        <f aca="false">J2038*Resumo!$C$8</f>
        <v>2.792979</v>
      </c>
      <c r="Q2038" s="39" t="n">
        <f aca="false">Resumo!$C$10*CEILING(I2038/100,1)</f>
        <v>1.05</v>
      </c>
      <c r="R2038" s="39" t="n">
        <f aca="false">Resumo!$C$9</f>
        <v>0</v>
      </c>
      <c r="S2038" s="39" t="n">
        <f aca="false">Resumo!$C$13</f>
        <v>13.55</v>
      </c>
      <c r="T2038" s="39" t="n">
        <f aca="false">Resumo!$C$14*CEILING(I2038,1)</f>
        <v>38.25</v>
      </c>
      <c r="U2038" s="39" t="n">
        <f aca="false">SUM(M2038:T2038)*Resumo!$C$11</f>
        <v>0</v>
      </c>
      <c r="V2038" s="39" t="n">
        <f aca="false">SUM(M2038:U2038)</f>
        <v>168.065958</v>
      </c>
      <c r="W2038" s="39" t="n">
        <f aca="false">V2038/(1-Resumo!$C$5)</f>
        <v>190.984043181818</v>
      </c>
      <c r="X2038" s="39" t="n">
        <v>177.99</v>
      </c>
      <c r="Y2038" s="39" t="n">
        <f aca="false">J2038*Resumo!$B$6</f>
        <v>1.32999</v>
      </c>
      <c r="Z2038" s="39" t="n">
        <f aca="false">J2038*Resumo!$B$7</f>
        <v>2.65998</v>
      </c>
      <c r="AA2038" s="39" t="n">
        <f aca="false">Resumo!$B$9</f>
        <v>1</v>
      </c>
      <c r="AB2038" s="39" t="n">
        <f aca="false">Resumo!$B$10*CEILING(I2038/100,1)</f>
        <v>4.5</v>
      </c>
      <c r="AC2038" s="39" t="n">
        <f aca="false">Resumo!$B$12*CEILING(I2038,1)</f>
        <v>5.1</v>
      </c>
      <c r="AD2038" s="39" t="n">
        <f aca="false">Resumo!$B$14*CEILING(I2038,1)</f>
        <v>38.25</v>
      </c>
      <c r="AE2038" s="39" t="n">
        <f aca="false">SUM(X2038:AD2038)</f>
        <v>230.82997</v>
      </c>
      <c r="AF2038" s="39" t="n">
        <f aca="false">AE2038/(1-Resumo!$B$5)</f>
        <v>262.306784090909</v>
      </c>
      <c r="AG2038" s="39" t="n">
        <f aca="false">AF2038-W2038</f>
        <v>71.3227409090909</v>
      </c>
      <c r="AH2038" s="40" t="n">
        <f aca="false">AF2038/W2038-1</f>
        <v>0.373448690900271</v>
      </c>
      <c r="AI2038" s="37" t="str">
        <f aca="false">IF(AF2038&lt;W2038,"SIM","NÃO")</f>
        <v>NÃO</v>
      </c>
      <c r="AJ2038" s="37" t="n">
        <v>13</v>
      </c>
      <c r="AK2038" s="37" t="n">
        <v>5</v>
      </c>
      <c r="AL2038" s="37" t="s">
        <v>347</v>
      </c>
      <c r="AM2038" s="39" t="n">
        <v>194.97</v>
      </c>
    </row>
    <row r="2039" customFormat="false" ht="15" hidden="false" customHeight="false" outlineLevel="0" collapsed="false">
      <c r="A2039" s="37" t="n">
        <v>398575266</v>
      </c>
      <c r="B2039" s="38" t="n">
        <v>46288.5615277778</v>
      </c>
      <c r="C2039" s="37" t="s">
        <v>340</v>
      </c>
      <c r="D2039" s="37" t="s">
        <v>2163</v>
      </c>
      <c r="E2039" s="37" t="n">
        <v>25233289</v>
      </c>
      <c r="F2039" s="37" t="s">
        <v>161</v>
      </c>
      <c r="G2039" s="37" t="s">
        <v>197</v>
      </c>
      <c r="H2039" s="37" t="s">
        <v>185</v>
      </c>
      <c r="I2039" s="37" t="n">
        <v>37.2</v>
      </c>
      <c r="J2039" s="39" t="n">
        <v>366.5</v>
      </c>
      <c r="K2039" s="37" t="s">
        <v>342</v>
      </c>
      <c r="L2039" s="39" t="n">
        <v>112.7</v>
      </c>
      <c r="M2039" s="39" t="n">
        <v>66.83</v>
      </c>
      <c r="N2039" s="39" t="n">
        <f aca="false">J2039*Resumo!$C$6</f>
        <v>0</v>
      </c>
      <c r="O2039" s="39" t="n">
        <f aca="false">J2039*Resumo!$C$7</f>
        <v>0.76965</v>
      </c>
      <c r="P2039" s="39" t="n">
        <f aca="false">J2039*Resumo!$C$8</f>
        <v>0.76965</v>
      </c>
      <c r="Q2039" s="39" t="n">
        <f aca="false">Resumo!$C$10*CEILING(I2039/100,1)</f>
        <v>1.05</v>
      </c>
      <c r="R2039" s="39" t="n">
        <f aca="false">Resumo!$C$9</f>
        <v>0</v>
      </c>
      <c r="S2039" s="39" t="n">
        <f aca="false">Resumo!$C$13</f>
        <v>13.55</v>
      </c>
      <c r="T2039" s="39" t="n">
        <f aca="false">Resumo!$C$14*CEILING(I2039,1)</f>
        <v>17.1</v>
      </c>
      <c r="U2039" s="39" t="n">
        <f aca="false">SUM(M2039:T2039)*Resumo!$C$11</f>
        <v>0</v>
      </c>
      <c r="V2039" s="39" t="n">
        <f aca="false">SUM(M2039:U2039)</f>
        <v>100.0693</v>
      </c>
      <c r="W2039" s="39" t="n">
        <f aca="false">V2039/(1-Resumo!$C$5)</f>
        <v>113.715113636364</v>
      </c>
      <c r="X2039" s="39" t="n">
        <v>93.97</v>
      </c>
      <c r="Y2039" s="39" t="n">
        <f aca="false">J2039*Resumo!$B$6</f>
        <v>0.3665</v>
      </c>
      <c r="Z2039" s="39" t="n">
        <f aca="false">J2039*Resumo!$B$7</f>
        <v>0.733</v>
      </c>
      <c r="AA2039" s="39" t="n">
        <f aca="false">Resumo!$B$9</f>
        <v>1</v>
      </c>
      <c r="AB2039" s="39" t="n">
        <f aca="false">Resumo!$B$10*CEILING(I2039/100,1)</f>
        <v>4.5</v>
      </c>
      <c r="AC2039" s="39" t="n">
        <f aca="false">Resumo!$B$12*CEILING(I2039,1)</f>
        <v>2.28</v>
      </c>
      <c r="AD2039" s="39" t="n">
        <f aca="false">Resumo!$B$14*CEILING(I2039,1)</f>
        <v>17.1</v>
      </c>
      <c r="AE2039" s="39" t="n">
        <f aca="false">SUM(X2039:AD2039)</f>
        <v>119.9495</v>
      </c>
      <c r="AF2039" s="39" t="n">
        <f aca="false">AE2039/(1-Resumo!$B$5)</f>
        <v>136.30625</v>
      </c>
      <c r="AG2039" s="39" t="n">
        <f aca="false">AF2039-W2039</f>
        <v>22.5911363636364</v>
      </c>
      <c r="AH2039" s="40" t="n">
        <f aca="false">AF2039/W2039-1</f>
        <v>0.198664325622344</v>
      </c>
      <c r="AI2039" s="37" t="str">
        <f aca="false">IF(AF2039&lt;W2039,"SIM","NÃO")</f>
        <v>NÃO</v>
      </c>
      <c r="AJ2039" s="37" t="n">
        <v>2</v>
      </c>
      <c r="AK2039" s="37" t="n">
        <v>5</v>
      </c>
      <c r="AL2039" s="37" t="s">
        <v>343</v>
      </c>
      <c r="AM2039" s="39" t="n">
        <v>112.71</v>
      </c>
    </row>
    <row r="2040" customFormat="false" ht="15" hidden="false" customHeight="false" outlineLevel="0" collapsed="false">
      <c r="A2040" s="37" t="n">
        <v>398587464</v>
      </c>
      <c r="B2040" s="38" t="n">
        <v>46288.5857638889</v>
      </c>
      <c r="C2040" s="37" t="s">
        <v>340</v>
      </c>
      <c r="D2040" s="37" t="s">
        <v>2164</v>
      </c>
      <c r="E2040" s="37" t="n">
        <v>20910063</v>
      </c>
      <c r="F2040" s="37" t="s">
        <v>159</v>
      </c>
      <c r="G2040" s="37" t="s">
        <v>196</v>
      </c>
      <c r="H2040" s="37" t="s">
        <v>186</v>
      </c>
      <c r="I2040" s="37" t="n">
        <v>47.1</v>
      </c>
      <c r="J2040" s="39" t="n">
        <v>619.99</v>
      </c>
      <c r="K2040" s="37" t="s">
        <v>342</v>
      </c>
      <c r="L2040" s="39" t="n">
        <v>103.56</v>
      </c>
      <c r="M2040" s="39" t="n">
        <v>53.55</v>
      </c>
      <c r="N2040" s="39" t="n">
        <f aca="false">J2040*Resumo!$C$6</f>
        <v>0</v>
      </c>
      <c r="O2040" s="39" t="n">
        <f aca="false">J2040*Resumo!$C$7</f>
        <v>1.301979</v>
      </c>
      <c r="P2040" s="39" t="n">
        <f aca="false">J2040*Resumo!$C$8</f>
        <v>1.301979</v>
      </c>
      <c r="Q2040" s="39" t="n">
        <f aca="false">Resumo!$C$10*CEILING(I2040/100,1)</f>
        <v>1.05</v>
      </c>
      <c r="R2040" s="39" t="n">
        <f aca="false">Resumo!$C$9</f>
        <v>0</v>
      </c>
      <c r="S2040" s="39" t="n">
        <f aca="false">Resumo!$C$13</f>
        <v>13.55</v>
      </c>
      <c r="T2040" s="39" t="n">
        <f aca="false">Resumo!$C$14*CEILING(I2040,1)</f>
        <v>21.6</v>
      </c>
      <c r="U2040" s="39" t="n">
        <f aca="false">SUM(M2040:T2040)*Resumo!$C$11</f>
        <v>0</v>
      </c>
      <c r="V2040" s="39" t="n">
        <f aca="false">SUM(M2040:U2040)</f>
        <v>92.353958</v>
      </c>
      <c r="W2040" s="39" t="n">
        <f aca="false">V2040/(1-Resumo!$C$5)</f>
        <v>104.947679545455</v>
      </c>
      <c r="X2040" s="39" t="n">
        <v>93.97</v>
      </c>
      <c r="Y2040" s="39" t="n">
        <f aca="false">J2040*Resumo!$B$6</f>
        <v>0.61999</v>
      </c>
      <c r="Z2040" s="39" t="n">
        <f aca="false">J2040*Resumo!$B$7</f>
        <v>1.23998</v>
      </c>
      <c r="AA2040" s="39" t="n">
        <f aca="false">Resumo!$B$9</f>
        <v>1</v>
      </c>
      <c r="AB2040" s="39" t="n">
        <f aca="false">Resumo!$B$10*CEILING(I2040/100,1)</f>
        <v>4.5</v>
      </c>
      <c r="AC2040" s="39" t="n">
        <f aca="false">Resumo!$B$12*CEILING(I2040,1)</f>
        <v>2.88</v>
      </c>
      <c r="AD2040" s="39" t="n">
        <f aca="false">Resumo!$B$14*CEILING(I2040,1)</f>
        <v>21.6</v>
      </c>
      <c r="AE2040" s="39" t="n">
        <f aca="false">SUM(X2040:AD2040)</f>
        <v>125.80997</v>
      </c>
      <c r="AF2040" s="39" t="n">
        <f aca="false">AE2040/(1-Resumo!$B$5)</f>
        <v>142.965875</v>
      </c>
      <c r="AG2040" s="39" t="n">
        <f aca="false">AF2040-W2040</f>
        <v>38.0181954545454</v>
      </c>
      <c r="AH2040" s="40" t="n">
        <f aca="false">AF2040/W2040-1</f>
        <v>0.362258561782485</v>
      </c>
      <c r="AI2040" s="37" t="str">
        <f aca="false">IF(AF2040&lt;W2040,"SIM","NÃO")</f>
        <v>NÃO</v>
      </c>
      <c r="AJ2040" s="37" t="n">
        <v>2</v>
      </c>
      <c r="AK2040" s="37" t="n">
        <v>5</v>
      </c>
      <c r="AL2040" s="37" t="s">
        <v>343</v>
      </c>
      <c r="AM2040" s="39" t="n">
        <v>103.56</v>
      </c>
    </row>
    <row r="2041" customFormat="false" ht="15" hidden="false" customHeight="false" outlineLevel="0" collapsed="false">
      <c r="A2041" s="37" t="n">
        <v>398588702</v>
      </c>
      <c r="B2041" s="38" t="n">
        <v>46288.5884953704</v>
      </c>
      <c r="C2041" s="37" t="s">
        <v>345</v>
      </c>
      <c r="D2041" s="37" t="s">
        <v>2165</v>
      </c>
      <c r="E2041" s="37" t="n">
        <v>21931574</v>
      </c>
      <c r="F2041" s="37" t="s">
        <v>159</v>
      </c>
      <c r="G2041" s="37" t="s">
        <v>196</v>
      </c>
      <c r="H2041" s="37" t="s">
        <v>186</v>
      </c>
      <c r="I2041" s="37" t="n">
        <v>46.8</v>
      </c>
      <c r="J2041" s="39" t="n">
        <v>522.49</v>
      </c>
      <c r="K2041" s="37" t="s">
        <v>342</v>
      </c>
      <c r="L2041" s="39" t="n">
        <v>103.08</v>
      </c>
      <c r="M2041" s="39" t="n">
        <v>53.55</v>
      </c>
      <c r="N2041" s="39" t="n">
        <f aca="false">J2041*Resumo!$C$6</f>
        <v>0</v>
      </c>
      <c r="O2041" s="39" t="n">
        <f aca="false">J2041*Resumo!$C$7</f>
        <v>1.097229</v>
      </c>
      <c r="P2041" s="39" t="n">
        <f aca="false">J2041*Resumo!$C$8</f>
        <v>1.097229</v>
      </c>
      <c r="Q2041" s="39" t="n">
        <f aca="false">Resumo!$C$10*CEILING(I2041/100,1)</f>
        <v>1.05</v>
      </c>
      <c r="R2041" s="39" t="n">
        <f aca="false">Resumo!$C$9</f>
        <v>0</v>
      </c>
      <c r="S2041" s="39" t="n">
        <f aca="false">Resumo!$C$13</f>
        <v>13.55</v>
      </c>
      <c r="T2041" s="39" t="n">
        <f aca="false">Resumo!$C$14*CEILING(I2041,1)</f>
        <v>21.15</v>
      </c>
      <c r="U2041" s="39" t="n">
        <f aca="false">SUM(M2041:T2041)*Resumo!$C$11</f>
        <v>0</v>
      </c>
      <c r="V2041" s="39" t="n">
        <f aca="false">SUM(M2041:U2041)</f>
        <v>91.494458</v>
      </c>
      <c r="W2041" s="39" t="n">
        <f aca="false">V2041/(1-Resumo!$C$5)</f>
        <v>103.970975</v>
      </c>
      <c r="X2041" s="39" t="n">
        <v>93.97</v>
      </c>
      <c r="Y2041" s="39" t="n">
        <f aca="false">J2041*Resumo!$B$6</f>
        <v>0.52249</v>
      </c>
      <c r="Z2041" s="39" t="n">
        <f aca="false">J2041*Resumo!$B$7</f>
        <v>1.04498</v>
      </c>
      <c r="AA2041" s="39" t="n">
        <f aca="false">Resumo!$B$9</f>
        <v>1</v>
      </c>
      <c r="AB2041" s="39" t="n">
        <f aca="false">Resumo!$B$10*CEILING(I2041/100,1)</f>
        <v>4.5</v>
      </c>
      <c r="AC2041" s="39" t="n">
        <f aca="false">Resumo!$B$12*CEILING(I2041,1)</f>
        <v>2.82</v>
      </c>
      <c r="AD2041" s="39" t="n">
        <f aca="false">Resumo!$B$14*CEILING(I2041,1)</f>
        <v>21.15</v>
      </c>
      <c r="AE2041" s="39" t="n">
        <f aca="false">SUM(X2041:AD2041)</f>
        <v>125.00747</v>
      </c>
      <c r="AF2041" s="39" t="n">
        <f aca="false">AE2041/(1-Resumo!$B$5)</f>
        <v>142.053943181818</v>
      </c>
      <c r="AG2041" s="39" t="n">
        <f aca="false">AF2041-W2041</f>
        <v>38.0829681818182</v>
      </c>
      <c r="AH2041" s="40" t="n">
        <f aca="false">AF2041/W2041-1</f>
        <v>0.366284611467942</v>
      </c>
      <c r="AI2041" s="37" t="str">
        <f aca="false">IF(AF2041&lt;W2041,"SIM","NÃO")</f>
        <v>NÃO</v>
      </c>
      <c r="AJ2041" s="37" t="n">
        <v>2</v>
      </c>
      <c r="AK2041" s="37" t="n">
        <v>5</v>
      </c>
      <c r="AL2041" s="37" t="s">
        <v>343</v>
      </c>
      <c r="AM2041" s="39" t="n">
        <v>103.09</v>
      </c>
    </row>
    <row r="2042" customFormat="false" ht="15" hidden="false" customHeight="false" outlineLevel="0" collapsed="false">
      <c r="A2042" s="37" t="n">
        <v>398589505</v>
      </c>
      <c r="B2042" s="38" t="n">
        <v>46288.5903125</v>
      </c>
      <c r="C2042" s="37" t="s">
        <v>345</v>
      </c>
      <c r="D2042" s="37" t="s">
        <v>927</v>
      </c>
      <c r="E2042" s="37" t="n">
        <v>22753501</v>
      </c>
      <c r="F2042" s="37" t="s">
        <v>159</v>
      </c>
      <c r="G2042" s="37" t="s">
        <v>196</v>
      </c>
      <c r="H2042" s="37" t="s">
        <v>184</v>
      </c>
      <c r="I2042" s="37" t="n">
        <v>29.2</v>
      </c>
      <c r="J2042" s="39" t="n">
        <v>474.99</v>
      </c>
      <c r="K2042" s="37" t="s">
        <v>342</v>
      </c>
      <c r="L2042" s="39" t="n">
        <v>82.6</v>
      </c>
      <c r="M2042" s="39" t="n">
        <v>42.11</v>
      </c>
      <c r="N2042" s="39" t="n">
        <f aca="false">J2042*Resumo!$C$6</f>
        <v>0</v>
      </c>
      <c r="O2042" s="39" t="n">
        <f aca="false">J2042*Resumo!$C$7</f>
        <v>0.997479</v>
      </c>
      <c r="P2042" s="39" t="n">
        <f aca="false">J2042*Resumo!$C$8</f>
        <v>0.997479</v>
      </c>
      <c r="Q2042" s="39" t="n">
        <f aca="false">Resumo!$C$10*CEILING(I2042/100,1)</f>
        <v>1.05</v>
      </c>
      <c r="R2042" s="39" t="n">
        <f aca="false">Resumo!$C$9</f>
        <v>0</v>
      </c>
      <c r="S2042" s="39" t="n">
        <f aca="false">Resumo!$C$13</f>
        <v>13.55</v>
      </c>
      <c r="T2042" s="39" t="n">
        <f aca="false">Resumo!$C$14*CEILING(I2042,1)</f>
        <v>13.5</v>
      </c>
      <c r="U2042" s="39" t="n">
        <f aca="false">SUM(M2042:T2042)*Resumo!$C$11</f>
        <v>0</v>
      </c>
      <c r="V2042" s="39" t="n">
        <f aca="false">SUM(M2042:U2042)</f>
        <v>72.204958</v>
      </c>
      <c r="W2042" s="39" t="n">
        <f aca="false">V2042/(1-Resumo!$C$5)</f>
        <v>82.0510886363636</v>
      </c>
      <c r="X2042" s="39" t="n">
        <v>82.21</v>
      </c>
      <c r="Y2042" s="39" t="n">
        <f aca="false">J2042*Resumo!$B$6</f>
        <v>0.47499</v>
      </c>
      <c r="Z2042" s="39" t="n">
        <f aca="false">J2042*Resumo!$B$7</f>
        <v>0.94998</v>
      </c>
      <c r="AA2042" s="39" t="n">
        <f aca="false">Resumo!$B$9</f>
        <v>1</v>
      </c>
      <c r="AB2042" s="39" t="n">
        <f aca="false">Resumo!$B$10*CEILING(I2042/100,1)</f>
        <v>4.5</v>
      </c>
      <c r="AC2042" s="39" t="n">
        <f aca="false">Resumo!$B$12*CEILING(I2042,1)</f>
        <v>1.8</v>
      </c>
      <c r="AD2042" s="39" t="n">
        <f aca="false">Resumo!$B$14*CEILING(I2042,1)</f>
        <v>13.5</v>
      </c>
      <c r="AE2042" s="39" t="n">
        <f aca="false">SUM(X2042:AD2042)</f>
        <v>104.43497</v>
      </c>
      <c r="AF2042" s="39" t="n">
        <f aca="false">AE2042/(1-Resumo!$B$5)</f>
        <v>118.676102272727</v>
      </c>
      <c r="AG2042" s="39" t="n">
        <f aca="false">AF2042-W2042</f>
        <v>36.6250136363636</v>
      </c>
      <c r="AH2042" s="40" t="n">
        <f aca="false">AF2042/W2042-1</f>
        <v>0.44636840589257</v>
      </c>
      <c r="AI2042" s="37" t="str">
        <f aca="false">IF(AF2042&lt;W2042,"SIM","NÃO")</f>
        <v>NÃO</v>
      </c>
      <c r="AJ2042" s="37" t="n">
        <v>2</v>
      </c>
      <c r="AK2042" s="37" t="n">
        <v>5</v>
      </c>
      <c r="AL2042" s="37" t="s">
        <v>343</v>
      </c>
      <c r="AM2042" s="39" t="n">
        <v>82.6</v>
      </c>
    </row>
    <row r="2043" customFormat="false" ht="15" hidden="false" customHeight="false" outlineLevel="0" collapsed="false">
      <c r="A2043" s="37" t="n">
        <v>398602283</v>
      </c>
      <c r="B2043" s="38" t="n">
        <v>46288.6174305556</v>
      </c>
      <c r="C2043" s="37" t="s">
        <v>345</v>
      </c>
      <c r="D2043" s="37" t="s">
        <v>2166</v>
      </c>
      <c r="E2043" s="37" t="n">
        <v>27770000</v>
      </c>
      <c r="F2043" s="37" t="s">
        <v>255</v>
      </c>
      <c r="G2043" s="37" t="s">
        <v>198</v>
      </c>
      <c r="H2043" s="37" t="s">
        <v>188</v>
      </c>
      <c r="I2043" s="37" t="n">
        <v>66.8</v>
      </c>
      <c r="J2043" s="39" t="n">
        <v>691.9</v>
      </c>
      <c r="K2043" s="37" t="s">
        <v>342</v>
      </c>
      <c r="L2043" s="39" t="n">
        <v>155.33</v>
      </c>
      <c r="M2043" s="39" t="n">
        <v>90.2</v>
      </c>
      <c r="N2043" s="39" t="n">
        <f aca="false">J2043*Resumo!$C$6</f>
        <v>0</v>
      </c>
      <c r="O2043" s="39" t="n">
        <f aca="false">J2043*Resumo!$C$7</f>
        <v>1.45299</v>
      </c>
      <c r="P2043" s="39" t="n">
        <f aca="false">J2043*Resumo!$C$8</f>
        <v>1.45299</v>
      </c>
      <c r="Q2043" s="39" t="n">
        <f aca="false">Resumo!$C$10*CEILING(I2043/100,1)</f>
        <v>1.05</v>
      </c>
      <c r="R2043" s="39" t="n">
        <f aca="false">Resumo!$C$9</f>
        <v>0</v>
      </c>
      <c r="S2043" s="39" t="n">
        <f aca="false">Resumo!$C$13</f>
        <v>13.55</v>
      </c>
      <c r="T2043" s="39" t="n">
        <f aca="false">Resumo!$C$14*CEILING(I2043,1)</f>
        <v>30.15</v>
      </c>
      <c r="U2043" s="39" t="n">
        <f aca="false">SUM(M2043:T2043)*Resumo!$C$11</f>
        <v>0</v>
      </c>
      <c r="V2043" s="39" t="n">
        <f aca="false">SUM(M2043:U2043)</f>
        <v>137.85598</v>
      </c>
      <c r="W2043" s="39" t="n">
        <f aca="false">V2043/(1-Resumo!$C$5)</f>
        <v>156.654522727273</v>
      </c>
      <c r="X2043" s="39" t="n">
        <v>166.05</v>
      </c>
      <c r="Y2043" s="39" t="n">
        <f aca="false">J2043*Resumo!$B$6</f>
        <v>0.6919</v>
      </c>
      <c r="Z2043" s="39" t="n">
        <f aca="false">J2043*Resumo!$B$7</f>
        <v>1.3838</v>
      </c>
      <c r="AA2043" s="39" t="n">
        <f aca="false">Resumo!$B$9</f>
        <v>1</v>
      </c>
      <c r="AB2043" s="39" t="n">
        <f aca="false">Resumo!$B$10*CEILING(I2043/100,1)</f>
        <v>4.5</v>
      </c>
      <c r="AC2043" s="39" t="n">
        <f aca="false">Resumo!$B$12*CEILING(I2043,1)</f>
        <v>4.02</v>
      </c>
      <c r="AD2043" s="39" t="n">
        <f aca="false">Resumo!$B$14*CEILING(I2043,1)</f>
        <v>30.15</v>
      </c>
      <c r="AE2043" s="39" t="n">
        <f aca="false">SUM(X2043:AD2043)</f>
        <v>207.7957</v>
      </c>
      <c r="AF2043" s="39" t="n">
        <f aca="false">AE2043/(1-Resumo!$B$5)</f>
        <v>236.131477272727</v>
      </c>
      <c r="AG2043" s="39" t="n">
        <f aca="false">AF2043-W2043</f>
        <v>79.4769545454546</v>
      </c>
      <c r="AH2043" s="40" t="n">
        <f aca="false">AF2043/W2043-1</f>
        <v>0.507339035999745</v>
      </c>
      <c r="AI2043" s="37" t="str">
        <f aca="false">IF(AF2043&lt;W2043,"SIM","NÃO")</f>
        <v>NÃO</v>
      </c>
      <c r="AJ2043" s="37" t="n">
        <v>13</v>
      </c>
      <c r="AK2043" s="37" t="n">
        <v>10</v>
      </c>
      <c r="AL2043" s="37" t="s">
        <v>347</v>
      </c>
      <c r="AM2043" s="39" t="n">
        <v>155.33</v>
      </c>
    </row>
    <row r="2044" customFormat="false" ht="15" hidden="false" customHeight="false" outlineLevel="0" collapsed="false">
      <c r="A2044" s="37" t="n">
        <v>398604606</v>
      </c>
      <c r="B2044" s="38" t="n">
        <v>46288.6230555556</v>
      </c>
      <c r="C2044" s="37" t="s">
        <v>375</v>
      </c>
      <c r="D2044" s="37" t="s">
        <v>2167</v>
      </c>
      <c r="E2044" s="37" t="n">
        <v>27966780</v>
      </c>
      <c r="F2044" s="37" t="s">
        <v>166</v>
      </c>
      <c r="G2044" s="37" t="s">
        <v>198</v>
      </c>
      <c r="H2044" s="37" t="s">
        <v>184</v>
      </c>
      <c r="I2044" s="37" t="n">
        <v>31.4</v>
      </c>
      <c r="J2044" s="39" t="n">
        <v>419.99</v>
      </c>
      <c r="K2044" s="37" t="s">
        <v>342</v>
      </c>
      <c r="L2044" s="39" t="n">
        <v>109.19</v>
      </c>
      <c r="M2044" s="39" t="n">
        <v>65.63</v>
      </c>
      <c r="N2044" s="39" t="n">
        <f aca="false">J2044*Resumo!$C$6</f>
        <v>0</v>
      </c>
      <c r="O2044" s="39" t="n">
        <f aca="false">J2044*Resumo!$C$7</f>
        <v>0.881979</v>
      </c>
      <c r="P2044" s="39" t="n">
        <f aca="false">J2044*Resumo!$C$8</f>
        <v>0.881979</v>
      </c>
      <c r="Q2044" s="39" t="n">
        <f aca="false">Resumo!$C$10*CEILING(I2044/100,1)</f>
        <v>1.05</v>
      </c>
      <c r="R2044" s="39" t="n">
        <f aca="false">Resumo!$C$9</f>
        <v>0</v>
      </c>
      <c r="S2044" s="39" t="n">
        <f aca="false">Resumo!$C$13</f>
        <v>13.55</v>
      </c>
      <c r="T2044" s="39" t="n">
        <f aca="false">Resumo!$C$14*CEILING(I2044,1)</f>
        <v>14.4</v>
      </c>
      <c r="U2044" s="39" t="n">
        <f aca="false">SUM(M2044:T2044)*Resumo!$C$11</f>
        <v>0</v>
      </c>
      <c r="V2044" s="39" t="n">
        <f aca="false">SUM(M2044:U2044)</f>
        <v>96.393958</v>
      </c>
      <c r="W2044" s="39" t="n">
        <f aca="false">V2044/(1-Resumo!$C$5)</f>
        <v>109.538588636364</v>
      </c>
      <c r="X2044" s="39" t="n">
        <v>138.29</v>
      </c>
      <c r="Y2044" s="39" t="n">
        <f aca="false">J2044*Resumo!$B$6</f>
        <v>0.41999</v>
      </c>
      <c r="Z2044" s="39" t="n">
        <f aca="false">J2044*Resumo!$B$7</f>
        <v>0.83998</v>
      </c>
      <c r="AA2044" s="39" t="n">
        <f aca="false">Resumo!$B$9</f>
        <v>1</v>
      </c>
      <c r="AB2044" s="39" t="n">
        <f aca="false">Resumo!$B$10*CEILING(I2044/100,1)</f>
        <v>4.5</v>
      </c>
      <c r="AC2044" s="39" t="n">
        <f aca="false">Resumo!$B$12*CEILING(I2044,1)</f>
        <v>1.92</v>
      </c>
      <c r="AD2044" s="39" t="n">
        <f aca="false">Resumo!$B$14*CEILING(I2044,1)</f>
        <v>14.4</v>
      </c>
      <c r="AE2044" s="39" t="n">
        <f aca="false">SUM(X2044:AD2044)</f>
        <v>161.36997</v>
      </c>
      <c r="AF2044" s="39" t="n">
        <f aca="false">AE2044/(1-Resumo!$B$5)</f>
        <v>183.374965909091</v>
      </c>
      <c r="AG2044" s="39" t="n">
        <f aca="false">AF2044-W2044</f>
        <v>73.8363772727273</v>
      </c>
      <c r="AH2044" s="40" t="n">
        <f aca="false">AF2044/W2044-1</f>
        <v>0.674067268821973</v>
      </c>
      <c r="AI2044" s="37" t="str">
        <f aca="false">IF(AF2044&lt;W2044,"SIM","NÃO")</f>
        <v>NÃO</v>
      </c>
      <c r="AJ2044" s="37" t="n">
        <v>13</v>
      </c>
      <c r="AK2044" s="37" t="n">
        <v>11</v>
      </c>
      <c r="AL2044" s="37" t="s">
        <v>343</v>
      </c>
      <c r="AM2044" s="39" t="n">
        <v>109.19</v>
      </c>
    </row>
    <row r="2045" customFormat="false" ht="15" hidden="false" customHeight="false" outlineLevel="0" collapsed="false">
      <c r="A2045" s="37" t="n">
        <v>398607745</v>
      </c>
      <c r="B2045" s="38" t="n">
        <v>46288.6290046296</v>
      </c>
      <c r="C2045" s="37" t="s">
        <v>340</v>
      </c>
      <c r="D2045" s="37" t="s">
        <v>2168</v>
      </c>
      <c r="E2045" s="37" t="n">
        <v>21321250</v>
      </c>
      <c r="F2045" s="37" t="s">
        <v>159</v>
      </c>
      <c r="G2045" s="37" t="s">
        <v>196</v>
      </c>
      <c r="H2045" s="37" t="s">
        <v>185</v>
      </c>
      <c r="I2045" s="37" t="n">
        <v>36.9</v>
      </c>
      <c r="J2045" s="39" t="n">
        <v>439.99</v>
      </c>
      <c r="K2045" s="37" t="s">
        <v>342</v>
      </c>
      <c r="L2045" s="39" t="n">
        <v>91.97</v>
      </c>
      <c r="M2045" s="39" t="n">
        <v>48.35</v>
      </c>
      <c r="N2045" s="39" t="n">
        <f aca="false">J2045*Resumo!$C$6</f>
        <v>0</v>
      </c>
      <c r="O2045" s="39" t="n">
        <f aca="false">J2045*Resumo!$C$7</f>
        <v>0.923979</v>
      </c>
      <c r="P2045" s="39" t="n">
        <f aca="false">J2045*Resumo!$C$8</f>
        <v>0.923979</v>
      </c>
      <c r="Q2045" s="39" t="n">
        <f aca="false">Resumo!$C$10*CEILING(I2045/100,1)</f>
        <v>1.05</v>
      </c>
      <c r="R2045" s="39" t="n">
        <f aca="false">Resumo!$C$9</f>
        <v>0</v>
      </c>
      <c r="S2045" s="39" t="n">
        <f aca="false">Resumo!$C$13</f>
        <v>13.55</v>
      </c>
      <c r="T2045" s="39" t="n">
        <f aca="false">Resumo!$C$14*CEILING(I2045,1)</f>
        <v>16.65</v>
      </c>
      <c r="U2045" s="39" t="n">
        <f aca="false">SUM(M2045:T2045)*Resumo!$C$11</f>
        <v>0</v>
      </c>
      <c r="V2045" s="39" t="n">
        <f aca="false">SUM(M2045:U2045)</f>
        <v>81.447958</v>
      </c>
      <c r="W2045" s="39" t="n">
        <f aca="false">V2045/(1-Resumo!$C$5)</f>
        <v>92.5544977272728</v>
      </c>
      <c r="X2045" s="39" t="n">
        <v>93.97</v>
      </c>
      <c r="Y2045" s="39" t="n">
        <f aca="false">J2045*Resumo!$B$6</f>
        <v>0.43999</v>
      </c>
      <c r="Z2045" s="39" t="n">
        <f aca="false">J2045*Resumo!$B$7</f>
        <v>0.87998</v>
      </c>
      <c r="AA2045" s="39" t="n">
        <f aca="false">Resumo!$B$9</f>
        <v>1</v>
      </c>
      <c r="AB2045" s="39" t="n">
        <f aca="false">Resumo!$B$10*CEILING(I2045/100,1)</f>
        <v>4.5</v>
      </c>
      <c r="AC2045" s="39" t="n">
        <f aca="false">Resumo!$B$12*CEILING(I2045,1)</f>
        <v>2.22</v>
      </c>
      <c r="AD2045" s="39" t="n">
        <f aca="false">Resumo!$B$14*CEILING(I2045,1)</f>
        <v>16.65</v>
      </c>
      <c r="AE2045" s="39" t="n">
        <f aca="false">SUM(X2045:AD2045)</f>
        <v>119.65997</v>
      </c>
      <c r="AF2045" s="39" t="n">
        <f aca="false">AE2045/(1-Resumo!$B$5)</f>
        <v>135.977238636364</v>
      </c>
      <c r="AG2045" s="39" t="n">
        <f aca="false">AF2045-W2045</f>
        <v>43.4227409090909</v>
      </c>
      <c r="AH2045" s="40" t="n">
        <f aca="false">AF2045/W2045-1</f>
        <v>0.469158625192297</v>
      </c>
      <c r="AI2045" s="37" t="str">
        <f aca="false">IF(AF2045&lt;W2045,"SIM","NÃO")</f>
        <v>NÃO</v>
      </c>
      <c r="AJ2045" s="37" t="n">
        <v>2</v>
      </c>
      <c r="AK2045" s="37" t="n">
        <v>5</v>
      </c>
      <c r="AL2045" s="37" t="s">
        <v>343</v>
      </c>
      <c r="AM2045" s="39" t="n">
        <v>91.96</v>
      </c>
    </row>
    <row r="2046" customFormat="false" ht="15" hidden="false" customHeight="false" outlineLevel="0" collapsed="false">
      <c r="A2046" s="37" t="n">
        <v>398611702</v>
      </c>
      <c r="B2046" s="38" t="n">
        <v>46288.6371759259</v>
      </c>
      <c r="C2046" s="37" t="s">
        <v>340</v>
      </c>
      <c r="D2046" s="37" t="s">
        <v>2169</v>
      </c>
      <c r="E2046" s="37" t="n">
        <v>25520430</v>
      </c>
      <c r="F2046" s="37" t="s">
        <v>167</v>
      </c>
      <c r="G2046" s="37" t="s">
        <v>197</v>
      </c>
      <c r="H2046" s="37" t="s">
        <v>188</v>
      </c>
      <c r="I2046" s="37" t="n">
        <v>66.8</v>
      </c>
      <c r="J2046" s="39" t="n">
        <v>666.23</v>
      </c>
      <c r="K2046" s="37" t="s">
        <v>342</v>
      </c>
      <c r="L2046" s="39" t="n">
        <v>139.62</v>
      </c>
      <c r="M2046" s="39" t="n">
        <v>76.55</v>
      </c>
      <c r="N2046" s="39" t="n">
        <f aca="false">J2046*Resumo!$C$6</f>
        <v>0</v>
      </c>
      <c r="O2046" s="39" t="n">
        <f aca="false">J2046*Resumo!$C$7</f>
        <v>1.399083</v>
      </c>
      <c r="P2046" s="39" t="n">
        <f aca="false">J2046*Resumo!$C$8</f>
        <v>1.399083</v>
      </c>
      <c r="Q2046" s="39" t="n">
        <f aca="false">Resumo!$C$10*CEILING(I2046/100,1)</f>
        <v>1.05</v>
      </c>
      <c r="R2046" s="39" t="n">
        <f aca="false">Resumo!$C$9</f>
        <v>0</v>
      </c>
      <c r="S2046" s="39" t="n">
        <f aca="false">Resumo!$C$13</f>
        <v>13.55</v>
      </c>
      <c r="T2046" s="39" t="n">
        <f aca="false">Resumo!$C$14*CEILING(I2046,1)</f>
        <v>30.15</v>
      </c>
      <c r="U2046" s="39" t="n">
        <f aca="false">SUM(M2046:T2046)*Resumo!$C$11</f>
        <v>0</v>
      </c>
      <c r="V2046" s="39" t="n">
        <f aca="false">SUM(M2046:U2046)</f>
        <v>124.098166</v>
      </c>
      <c r="W2046" s="39" t="n">
        <f aca="false">V2046/(1-Resumo!$C$5)</f>
        <v>141.020643181818</v>
      </c>
      <c r="X2046" s="39" t="n">
        <v>131.02</v>
      </c>
      <c r="Y2046" s="39" t="n">
        <f aca="false">J2046*Resumo!$B$6</f>
        <v>0.66623</v>
      </c>
      <c r="Z2046" s="39" t="n">
        <f aca="false">J2046*Resumo!$B$7</f>
        <v>1.33246</v>
      </c>
      <c r="AA2046" s="39" t="n">
        <f aca="false">Resumo!$B$9</f>
        <v>1</v>
      </c>
      <c r="AB2046" s="39" t="n">
        <f aca="false">Resumo!$B$10*CEILING(I2046/100,1)</f>
        <v>4.5</v>
      </c>
      <c r="AC2046" s="39" t="n">
        <f aca="false">Resumo!$B$12*CEILING(I2046,1)</f>
        <v>4.02</v>
      </c>
      <c r="AD2046" s="39" t="n">
        <f aca="false">Resumo!$B$14*CEILING(I2046,1)</f>
        <v>30.15</v>
      </c>
      <c r="AE2046" s="39" t="n">
        <f aca="false">SUM(X2046:AD2046)</f>
        <v>172.68869</v>
      </c>
      <c r="AF2046" s="39" t="n">
        <f aca="false">AE2046/(1-Resumo!$B$5)</f>
        <v>196.237147727273</v>
      </c>
      <c r="AG2046" s="39" t="n">
        <f aca="false">AF2046-W2046</f>
        <v>55.2165045454545</v>
      </c>
      <c r="AH2046" s="40" t="n">
        <f aca="false">AF2046/W2046-1</f>
        <v>0.39154909025811</v>
      </c>
      <c r="AI2046" s="37" t="str">
        <f aca="false">IF(AF2046&lt;W2046,"SIM","NÃO")</f>
        <v>NÃO</v>
      </c>
      <c r="AJ2046" s="37" t="n">
        <v>2</v>
      </c>
      <c r="AK2046" s="37" t="n">
        <v>5</v>
      </c>
      <c r="AL2046" s="37" t="s">
        <v>343</v>
      </c>
      <c r="AM2046" s="39" t="n">
        <v>139.63</v>
      </c>
    </row>
    <row r="2047" customFormat="false" ht="15" hidden="false" customHeight="false" outlineLevel="0" collapsed="false">
      <c r="A2047" s="37" t="n">
        <v>398628166</v>
      </c>
      <c r="B2047" s="38" t="n">
        <v>46288.6532523148</v>
      </c>
      <c r="C2047" s="37" t="s">
        <v>537</v>
      </c>
      <c r="D2047" s="37" t="s">
        <v>2170</v>
      </c>
      <c r="E2047" s="37" t="n">
        <v>22630010</v>
      </c>
      <c r="F2047" s="37" t="s">
        <v>159</v>
      </c>
      <c r="G2047" s="37" t="s">
        <v>196</v>
      </c>
      <c r="H2047" s="37" t="s">
        <v>184</v>
      </c>
      <c r="I2047" s="37" t="n">
        <v>21.3</v>
      </c>
      <c r="J2047" s="39" t="n">
        <v>218.02</v>
      </c>
      <c r="K2047" s="37" t="s">
        <v>342</v>
      </c>
      <c r="L2047" s="39" t="n">
        <v>81.38</v>
      </c>
      <c r="M2047" s="39" t="n">
        <v>42.11</v>
      </c>
      <c r="N2047" s="39" t="n">
        <f aca="false">J2047*Resumo!$C$6</f>
        <v>0</v>
      </c>
      <c r="O2047" s="39" t="n">
        <f aca="false">J2047*Resumo!$C$7</f>
        <v>0.457842</v>
      </c>
      <c r="P2047" s="39" t="n">
        <f aca="false">J2047*Resumo!$C$8</f>
        <v>0.457842</v>
      </c>
      <c r="Q2047" s="39" t="n">
        <f aca="false">Resumo!$C$10*CEILING(I2047/100,1)</f>
        <v>1.05</v>
      </c>
      <c r="R2047" s="39" t="n">
        <f aca="false">Resumo!$C$9</f>
        <v>0</v>
      </c>
      <c r="S2047" s="39" t="n">
        <f aca="false">Resumo!$C$13</f>
        <v>13.55</v>
      </c>
      <c r="T2047" s="39" t="n">
        <f aca="false">Resumo!$C$14*CEILING(I2047,1)</f>
        <v>9.9</v>
      </c>
      <c r="U2047" s="39" t="n">
        <f aca="false">SUM(M2047:T2047)*Resumo!$C$11</f>
        <v>0</v>
      </c>
      <c r="V2047" s="39" t="n">
        <f aca="false">SUM(M2047:U2047)</f>
        <v>67.525684</v>
      </c>
      <c r="W2047" s="39" t="n">
        <f aca="false">V2047/(1-Resumo!$C$5)</f>
        <v>76.7337318181818</v>
      </c>
      <c r="X2047" s="39" t="n">
        <v>82.21</v>
      </c>
      <c r="Y2047" s="39" t="n">
        <f aca="false">J2047*Resumo!$B$6</f>
        <v>0.21802</v>
      </c>
      <c r="Z2047" s="39" t="n">
        <f aca="false">J2047*Resumo!$B$7</f>
        <v>0.43604</v>
      </c>
      <c r="AA2047" s="39" t="n">
        <f aca="false">Resumo!$B$9</f>
        <v>1</v>
      </c>
      <c r="AB2047" s="39" t="n">
        <f aca="false">Resumo!$B$10*CEILING(I2047/100,1)</f>
        <v>4.5</v>
      </c>
      <c r="AC2047" s="39" t="n">
        <f aca="false">Resumo!$B$12*CEILING(I2047,1)</f>
        <v>1.32</v>
      </c>
      <c r="AD2047" s="39" t="n">
        <f aca="false">Resumo!$B$14*CEILING(I2047,1)</f>
        <v>9.9</v>
      </c>
      <c r="AE2047" s="39" t="n">
        <f aca="false">SUM(X2047:AD2047)</f>
        <v>99.58406</v>
      </c>
      <c r="AF2047" s="39" t="n">
        <f aca="false">AE2047/(1-Resumo!$B$5)</f>
        <v>113.163704545455</v>
      </c>
      <c r="AG2047" s="39" t="n">
        <f aca="false">AF2047-W2047</f>
        <v>36.4299727272727</v>
      </c>
      <c r="AH2047" s="40" t="n">
        <f aca="false">AF2047/W2047-1</f>
        <v>0.474758256428769</v>
      </c>
      <c r="AI2047" s="37" t="str">
        <f aca="false">IF(AF2047&lt;W2047,"SIM","NÃO")</f>
        <v>NÃO</v>
      </c>
      <c r="AJ2047" s="37" t="n">
        <v>2</v>
      </c>
      <c r="AK2047" s="37" t="n">
        <v>5</v>
      </c>
      <c r="AL2047" s="37" t="s">
        <v>343</v>
      </c>
      <c r="AM2047" s="39" t="n">
        <v>81.37</v>
      </c>
    </row>
    <row r="2048" customFormat="false" ht="15" hidden="false" customHeight="false" outlineLevel="0" collapsed="false">
      <c r="A2048" s="37" t="n">
        <v>398638838</v>
      </c>
      <c r="B2048" s="38" t="n">
        <v>46288.6967592593</v>
      </c>
      <c r="C2048" s="37" t="s">
        <v>340</v>
      </c>
      <c r="D2048" s="37" t="s">
        <v>2171</v>
      </c>
      <c r="E2048" s="37" t="n">
        <v>21310310</v>
      </c>
      <c r="F2048" s="37" t="s">
        <v>159</v>
      </c>
      <c r="G2048" s="37" t="s">
        <v>196</v>
      </c>
      <c r="H2048" s="37" t="s">
        <v>187</v>
      </c>
      <c r="I2048" s="37" t="n">
        <v>52.3</v>
      </c>
      <c r="J2048" s="39" t="n">
        <v>592.37</v>
      </c>
      <c r="K2048" s="37" t="s">
        <v>342</v>
      </c>
      <c r="L2048" s="39" t="n">
        <v>113.98</v>
      </c>
      <c r="M2048" s="39" t="n">
        <v>58.6</v>
      </c>
      <c r="N2048" s="39" t="n">
        <f aca="false">J2048*Resumo!$C$6</f>
        <v>0</v>
      </c>
      <c r="O2048" s="39" t="n">
        <f aca="false">J2048*Resumo!$C$7</f>
        <v>1.243977</v>
      </c>
      <c r="P2048" s="39" t="n">
        <f aca="false">J2048*Resumo!$C$8</f>
        <v>1.243977</v>
      </c>
      <c r="Q2048" s="39" t="n">
        <f aca="false">Resumo!$C$10*CEILING(I2048/100,1)</f>
        <v>1.05</v>
      </c>
      <c r="R2048" s="39" t="n">
        <f aca="false">Resumo!$C$9</f>
        <v>0</v>
      </c>
      <c r="S2048" s="39" t="n">
        <f aca="false">Resumo!$C$13</f>
        <v>13.55</v>
      </c>
      <c r="T2048" s="39" t="n">
        <f aca="false">Resumo!$C$14*CEILING(I2048,1)</f>
        <v>23.85</v>
      </c>
      <c r="U2048" s="39" t="n">
        <f aca="false">SUM(M2048:T2048)*Resumo!$C$11</f>
        <v>0</v>
      </c>
      <c r="V2048" s="39" t="n">
        <f aca="false">SUM(M2048:U2048)</f>
        <v>99.537954</v>
      </c>
      <c r="W2048" s="39" t="n">
        <f aca="false">V2048/(1-Resumo!$C$5)</f>
        <v>113.111311363636</v>
      </c>
      <c r="X2048" s="39" t="n">
        <v>112.3</v>
      </c>
      <c r="Y2048" s="39" t="n">
        <f aca="false">J2048*Resumo!$B$6</f>
        <v>0.59237</v>
      </c>
      <c r="Z2048" s="39" t="n">
        <f aca="false">J2048*Resumo!$B$7</f>
        <v>1.18474</v>
      </c>
      <c r="AA2048" s="39" t="n">
        <f aca="false">Resumo!$B$9</f>
        <v>1</v>
      </c>
      <c r="AB2048" s="39" t="n">
        <f aca="false">Resumo!$B$10*CEILING(I2048/100,1)</f>
        <v>4.5</v>
      </c>
      <c r="AC2048" s="39" t="n">
        <f aca="false">Resumo!$B$12*CEILING(I2048,1)</f>
        <v>3.18</v>
      </c>
      <c r="AD2048" s="39" t="n">
        <f aca="false">Resumo!$B$14*CEILING(I2048,1)</f>
        <v>23.85</v>
      </c>
      <c r="AE2048" s="39" t="n">
        <f aca="false">SUM(X2048:AD2048)</f>
        <v>146.60711</v>
      </c>
      <c r="AF2048" s="39" t="n">
        <f aca="false">AE2048/(1-Resumo!$B$5)</f>
        <v>166.598988636364</v>
      </c>
      <c r="AG2048" s="39" t="n">
        <f aca="false">AF2048-W2048</f>
        <v>53.4876772727273</v>
      </c>
      <c r="AH2048" s="40" t="n">
        <f aca="false">AF2048/W2048-1</f>
        <v>0.47287646679979</v>
      </c>
      <c r="AI2048" s="37" t="str">
        <f aca="false">IF(AF2048&lt;W2048,"SIM","NÃO")</f>
        <v>NÃO</v>
      </c>
      <c r="AJ2048" s="37" t="n">
        <v>2</v>
      </c>
      <c r="AK2048" s="37" t="n">
        <v>5</v>
      </c>
      <c r="AL2048" s="37" t="s">
        <v>343</v>
      </c>
      <c r="AM2048" s="39" t="n">
        <v>113.99</v>
      </c>
    </row>
    <row r="2049" customFormat="false" ht="15" hidden="false" customHeight="false" outlineLevel="0" collapsed="false">
      <c r="A2049" s="37" t="n">
        <v>398643005</v>
      </c>
      <c r="B2049" s="38" t="n">
        <v>46288.7064467593</v>
      </c>
      <c r="C2049" s="37" t="s">
        <v>340</v>
      </c>
      <c r="D2049" s="37" t="s">
        <v>2172</v>
      </c>
      <c r="E2049" s="37" t="n">
        <v>27281422</v>
      </c>
      <c r="F2049" s="37" t="s">
        <v>168</v>
      </c>
      <c r="G2049" s="37" t="s">
        <v>198</v>
      </c>
      <c r="H2049" s="37" t="s">
        <v>184</v>
      </c>
      <c r="I2049" s="37" t="n">
        <v>27.4</v>
      </c>
      <c r="J2049" s="39" t="n">
        <v>369.99</v>
      </c>
      <c r="K2049" s="37" t="s">
        <v>342</v>
      </c>
      <c r="L2049" s="39" t="n">
        <v>108.95</v>
      </c>
      <c r="M2049" s="39" t="n">
        <v>65.63</v>
      </c>
      <c r="N2049" s="39" t="n">
        <f aca="false">J2049*Resumo!$C$6</f>
        <v>0</v>
      </c>
      <c r="O2049" s="39" t="n">
        <f aca="false">J2049*Resumo!$C$7</f>
        <v>0.776979</v>
      </c>
      <c r="P2049" s="39" t="n">
        <f aca="false">J2049*Resumo!$C$8</f>
        <v>0.776979</v>
      </c>
      <c r="Q2049" s="39" t="n">
        <f aca="false">Resumo!$C$10*CEILING(I2049/100,1)</f>
        <v>1.05</v>
      </c>
      <c r="R2049" s="39" t="n">
        <f aca="false">Resumo!$C$9</f>
        <v>0</v>
      </c>
      <c r="S2049" s="39" t="n">
        <f aca="false">Resumo!$C$13</f>
        <v>13.55</v>
      </c>
      <c r="T2049" s="39" t="n">
        <f aca="false">Resumo!$C$14*CEILING(I2049,1)</f>
        <v>12.6</v>
      </c>
      <c r="U2049" s="39" t="n">
        <f aca="false">SUM(M2049:T2049)*Resumo!$C$11</f>
        <v>0</v>
      </c>
      <c r="V2049" s="39" t="n">
        <f aca="false">SUM(M2049:U2049)</f>
        <v>94.383958</v>
      </c>
      <c r="W2049" s="39" t="n">
        <f aca="false">V2049/(1-Resumo!$C$5)</f>
        <v>107.254497727273</v>
      </c>
      <c r="X2049" s="39" t="n">
        <v>108.83</v>
      </c>
      <c r="Y2049" s="39" t="n">
        <f aca="false">J2049*Resumo!$B$6</f>
        <v>0.36999</v>
      </c>
      <c r="Z2049" s="39" t="n">
        <f aca="false">J2049*Resumo!$B$7</f>
        <v>0.73998</v>
      </c>
      <c r="AA2049" s="39" t="n">
        <f aca="false">Resumo!$B$9</f>
        <v>1</v>
      </c>
      <c r="AB2049" s="39" t="n">
        <f aca="false">Resumo!$B$10*CEILING(I2049/100,1)</f>
        <v>4.5</v>
      </c>
      <c r="AC2049" s="39" t="n">
        <f aca="false">Resumo!$B$12*CEILING(I2049,1)</f>
        <v>1.68</v>
      </c>
      <c r="AD2049" s="39" t="n">
        <f aca="false">Resumo!$B$14*CEILING(I2049,1)</f>
        <v>12.6</v>
      </c>
      <c r="AE2049" s="39" t="n">
        <f aca="false">SUM(X2049:AD2049)</f>
        <v>129.71997</v>
      </c>
      <c r="AF2049" s="39" t="n">
        <f aca="false">AE2049/(1-Resumo!$B$5)</f>
        <v>147.409056818182</v>
      </c>
      <c r="AG2049" s="39" t="n">
        <f aca="false">AF2049-W2049</f>
        <v>40.1545590909091</v>
      </c>
      <c r="AH2049" s="40" t="n">
        <f aca="false">AF2049/W2049-1</f>
        <v>0.374385782804319</v>
      </c>
      <c r="AI2049" s="37" t="str">
        <f aca="false">IF(AF2049&lt;W2049,"SIM","NÃO")</f>
        <v>NÃO</v>
      </c>
      <c r="AJ2049" s="37" t="n">
        <v>13</v>
      </c>
      <c r="AK2049" s="37" t="n">
        <v>10</v>
      </c>
      <c r="AL2049" s="37" t="s">
        <v>343</v>
      </c>
      <c r="AM2049" s="39" t="n">
        <v>108.95</v>
      </c>
    </row>
    <row r="2050" customFormat="false" ht="15" hidden="false" customHeight="false" outlineLevel="0" collapsed="false">
      <c r="A2050" s="37" t="n">
        <v>398642492</v>
      </c>
      <c r="B2050" s="38" t="n">
        <v>46288.7096296296</v>
      </c>
      <c r="C2050" s="37" t="s">
        <v>361</v>
      </c>
      <c r="D2050" s="37" t="s">
        <v>2173</v>
      </c>
      <c r="E2050" s="37" t="n">
        <v>24731070</v>
      </c>
      <c r="F2050" s="37" t="s">
        <v>160</v>
      </c>
      <c r="G2050" s="37" t="s">
        <v>197</v>
      </c>
      <c r="H2050" s="37" t="s">
        <v>184</v>
      </c>
      <c r="I2050" s="37" t="n">
        <v>22.4</v>
      </c>
      <c r="J2050" s="39" t="n">
        <v>559.99</v>
      </c>
      <c r="K2050" s="37" t="s">
        <v>342</v>
      </c>
      <c r="L2050" s="39" t="n">
        <v>102.07</v>
      </c>
      <c r="M2050" s="39" t="n">
        <v>58.8</v>
      </c>
      <c r="N2050" s="39" t="n">
        <f aca="false">J2050*Resumo!$C$6</f>
        <v>0</v>
      </c>
      <c r="O2050" s="39" t="n">
        <f aca="false">J2050*Resumo!$C$7</f>
        <v>1.175979</v>
      </c>
      <c r="P2050" s="39" t="n">
        <f aca="false">J2050*Resumo!$C$8</f>
        <v>1.175979</v>
      </c>
      <c r="Q2050" s="39" t="n">
        <f aca="false">Resumo!$C$10*CEILING(I2050/100,1)</f>
        <v>1.05</v>
      </c>
      <c r="R2050" s="39" t="n">
        <f aca="false">Resumo!$C$9</f>
        <v>0</v>
      </c>
      <c r="S2050" s="39" t="n">
        <f aca="false">Resumo!$C$13</f>
        <v>13.55</v>
      </c>
      <c r="T2050" s="39" t="n">
        <f aca="false">Resumo!$C$14*CEILING(I2050,1)</f>
        <v>10.35</v>
      </c>
      <c r="U2050" s="39" t="n">
        <f aca="false">SUM(M2050:T2050)*Resumo!$C$11</f>
        <v>0</v>
      </c>
      <c r="V2050" s="39" t="n">
        <f aca="false">SUM(M2050:U2050)</f>
        <v>86.101958</v>
      </c>
      <c r="W2050" s="39" t="n">
        <f aca="false">V2050/(1-Resumo!$C$5)</f>
        <v>97.8431340909091</v>
      </c>
      <c r="X2050" s="39" t="n">
        <v>100.58</v>
      </c>
      <c r="Y2050" s="39" t="n">
        <f aca="false">J2050*Resumo!$B$6</f>
        <v>0.55999</v>
      </c>
      <c r="Z2050" s="39" t="n">
        <f aca="false">J2050*Resumo!$B$7</f>
        <v>1.11998</v>
      </c>
      <c r="AA2050" s="39" t="n">
        <f aca="false">Resumo!$B$9</f>
        <v>1</v>
      </c>
      <c r="AB2050" s="39" t="n">
        <f aca="false">Resumo!$B$10*CEILING(I2050/100,1)</f>
        <v>4.5</v>
      </c>
      <c r="AC2050" s="39" t="n">
        <f aca="false">Resumo!$B$12*CEILING(I2050,1)</f>
        <v>1.38</v>
      </c>
      <c r="AD2050" s="39" t="n">
        <f aca="false">Resumo!$B$14*CEILING(I2050,1)</f>
        <v>10.35</v>
      </c>
      <c r="AE2050" s="39" t="n">
        <f aca="false">SUM(X2050:AD2050)</f>
        <v>119.48997</v>
      </c>
      <c r="AF2050" s="39" t="n">
        <f aca="false">AE2050/(1-Resumo!$B$5)</f>
        <v>135.784056818182</v>
      </c>
      <c r="AG2050" s="39" t="n">
        <f aca="false">AF2050-W2050</f>
        <v>37.9409227272727</v>
      </c>
      <c r="AH2050" s="40" t="n">
        <f aca="false">AF2050/W2050-1</f>
        <v>0.38777297027322</v>
      </c>
      <c r="AI2050" s="37" t="str">
        <f aca="false">IF(AF2050&lt;W2050,"SIM","NÃO")</f>
        <v>NÃO</v>
      </c>
      <c r="AJ2050" s="37" t="n">
        <v>2</v>
      </c>
      <c r="AK2050" s="37" t="n">
        <v>7</v>
      </c>
      <c r="AL2050" s="37" t="s">
        <v>343</v>
      </c>
      <c r="AM2050" s="39" t="n">
        <v>102.07</v>
      </c>
    </row>
    <row r="2051" customFormat="false" ht="15" hidden="false" customHeight="false" outlineLevel="0" collapsed="false">
      <c r="A2051" s="37" t="n">
        <v>398645942</v>
      </c>
      <c r="B2051" s="38" t="n">
        <v>46288.7116319445</v>
      </c>
      <c r="C2051" s="37" t="s">
        <v>345</v>
      </c>
      <c r="D2051" s="37" t="s">
        <v>2174</v>
      </c>
      <c r="E2051" s="37" t="n">
        <v>23028255</v>
      </c>
      <c r="F2051" s="37" t="s">
        <v>159</v>
      </c>
      <c r="G2051" s="37" t="s">
        <v>196</v>
      </c>
      <c r="H2051" s="37" t="s">
        <v>186</v>
      </c>
      <c r="I2051" s="37" t="n">
        <v>48</v>
      </c>
      <c r="J2051" s="39" t="n">
        <v>829.99</v>
      </c>
      <c r="K2051" s="37" t="s">
        <v>342</v>
      </c>
      <c r="L2051" s="39" t="n">
        <v>104.57</v>
      </c>
      <c r="M2051" s="39" t="n">
        <v>53.55</v>
      </c>
      <c r="N2051" s="39" t="n">
        <f aca="false">J2051*Resumo!$C$6</f>
        <v>0</v>
      </c>
      <c r="O2051" s="39" t="n">
        <f aca="false">J2051*Resumo!$C$7</f>
        <v>1.742979</v>
      </c>
      <c r="P2051" s="39" t="n">
        <f aca="false">J2051*Resumo!$C$8</f>
        <v>1.742979</v>
      </c>
      <c r="Q2051" s="39" t="n">
        <f aca="false">Resumo!$C$10*CEILING(I2051/100,1)</f>
        <v>1.05</v>
      </c>
      <c r="R2051" s="39" t="n">
        <f aca="false">Resumo!$C$9</f>
        <v>0</v>
      </c>
      <c r="S2051" s="39" t="n">
        <f aca="false">Resumo!$C$13</f>
        <v>13.55</v>
      </c>
      <c r="T2051" s="39" t="n">
        <f aca="false">Resumo!$C$14*CEILING(I2051,1)</f>
        <v>21.6</v>
      </c>
      <c r="U2051" s="39" t="n">
        <f aca="false">SUM(M2051:T2051)*Resumo!$C$11</f>
        <v>0</v>
      </c>
      <c r="V2051" s="39" t="n">
        <f aca="false">SUM(M2051:U2051)</f>
        <v>93.235958</v>
      </c>
      <c r="W2051" s="39" t="n">
        <f aca="false">V2051/(1-Resumo!$C$5)</f>
        <v>105.949952272727</v>
      </c>
      <c r="X2051" s="39" t="n">
        <v>93.97</v>
      </c>
      <c r="Y2051" s="39" t="n">
        <f aca="false">J2051*Resumo!$B$6</f>
        <v>0.82999</v>
      </c>
      <c r="Z2051" s="39" t="n">
        <f aca="false">J2051*Resumo!$B$7</f>
        <v>1.65998</v>
      </c>
      <c r="AA2051" s="39" t="n">
        <f aca="false">Resumo!$B$9</f>
        <v>1</v>
      </c>
      <c r="AB2051" s="39" t="n">
        <f aca="false">Resumo!$B$10*CEILING(I2051/100,1)</f>
        <v>4.5</v>
      </c>
      <c r="AC2051" s="39" t="n">
        <f aca="false">Resumo!$B$12*CEILING(I2051,1)</f>
        <v>2.88</v>
      </c>
      <c r="AD2051" s="39" t="n">
        <f aca="false">Resumo!$B$14*CEILING(I2051,1)</f>
        <v>21.6</v>
      </c>
      <c r="AE2051" s="39" t="n">
        <f aca="false">SUM(X2051:AD2051)</f>
        <v>126.43997</v>
      </c>
      <c r="AF2051" s="39" t="n">
        <f aca="false">AE2051/(1-Resumo!$B$5)</f>
        <v>143.681784090909</v>
      </c>
      <c r="AG2051" s="39" t="n">
        <f aca="false">AF2051-W2051</f>
        <v>37.7318318181818</v>
      </c>
      <c r="AH2051" s="40" t="n">
        <f aca="false">AF2051/W2051-1</f>
        <v>0.356128823173565</v>
      </c>
      <c r="AI2051" s="37" t="str">
        <f aca="false">IF(AF2051&lt;W2051,"SIM","NÃO")</f>
        <v>NÃO</v>
      </c>
      <c r="AJ2051" s="37" t="n">
        <v>2</v>
      </c>
      <c r="AK2051" s="37" t="n">
        <v>5</v>
      </c>
      <c r="AL2051" s="37" t="s">
        <v>343</v>
      </c>
      <c r="AM2051" s="39" t="n">
        <v>104.56</v>
      </c>
    </row>
    <row r="2052" customFormat="false" ht="15" hidden="false" customHeight="false" outlineLevel="0" collapsed="false">
      <c r="A2052" s="37" t="n">
        <v>398661449</v>
      </c>
      <c r="B2052" s="38" t="n">
        <v>46288.7463657407</v>
      </c>
      <c r="C2052" s="37" t="s">
        <v>345</v>
      </c>
      <c r="D2052" s="37" t="s">
        <v>2175</v>
      </c>
      <c r="E2052" s="37" t="n">
        <v>28375000</v>
      </c>
      <c r="F2052" s="37" t="s">
        <v>265</v>
      </c>
      <c r="G2052" s="37" t="s">
        <v>198</v>
      </c>
      <c r="H2052" s="37" t="s">
        <v>184</v>
      </c>
      <c r="I2052" s="37" t="n">
        <v>31.9</v>
      </c>
      <c r="J2052" s="39" t="n">
        <v>494.99</v>
      </c>
      <c r="K2052" s="37" t="s">
        <v>342</v>
      </c>
      <c r="L2052" s="39" t="n">
        <v>109.56</v>
      </c>
      <c r="M2052" s="39" t="n">
        <v>65.63</v>
      </c>
      <c r="N2052" s="39" t="n">
        <f aca="false">J2052*Resumo!$C$6</f>
        <v>0</v>
      </c>
      <c r="O2052" s="39" t="n">
        <f aca="false">J2052*Resumo!$C$7</f>
        <v>1.039479</v>
      </c>
      <c r="P2052" s="39" t="n">
        <f aca="false">J2052*Resumo!$C$8</f>
        <v>1.039479</v>
      </c>
      <c r="Q2052" s="39" t="n">
        <f aca="false">Resumo!$C$10*CEILING(I2052/100,1)</f>
        <v>1.05</v>
      </c>
      <c r="R2052" s="39" t="n">
        <f aca="false">Resumo!$C$9</f>
        <v>0</v>
      </c>
      <c r="S2052" s="39" t="n">
        <f aca="false">Resumo!$C$13</f>
        <v>13.55</v>
      </c>
      <c r="T2052" s="39" t="n">
        <f aca="false">Resumo!$C$14*CEILING(I2052,1)</f>
        <v>14.4</v>
      </c>
      <c r="U2052" s="39" t="n">
        <f aca="false">SUM(M2052:T2052)*Resumo!$C$11</f>
        <v>0</v>
      </c>
      <c r="V2052" s="39" t="n">
        <f aca="false">SUM(M2052:U2052)</f>
        <v>96.708958</v>
      </c>
      <c r="W2052" s="39" t="n">
        <f aca="false">V2052/(1-Resumo!$C$5)</f>
        <v>109.896543181818</v>
      </c>
      <c r="X2052" s="39" t="n">
        <v>138.29</v>
      </c>
      <c r="Y2052" s="39" t="n">
        <f aca="false">J2052*Resumo!$B$6</f>
        <v>0.49499</v>
      </c>
      <c r="Z2052" s="39" t="n">
        <f aca="false">J2052*Resumo!$B$7</f>
        <v>0.98998</v>
      </c>
      <c r="AA2052" s="39" t="n">
        <f aca="false">Resumo!$B$9</f>
        <v>1</v>
      </c>
      <c r="AB2052" s="39" t="n">
        <f aca="false">Resumo!$B$10*CEILING(I2052/100,1)</f>
        <v>4.5</v>
      </c>
      <c r="AC2052" s="39" t="n">
        <f aca="false">Resumo!$B$12*CEILING(I2052,1)</f>
        <v>1.92</v>
      </c>
      <c r="AD2052" s="39" t="n">
        <f aca="false">Resumo!$B$14*CEILING(I2052,1)</f>
        <v>14.4</v>
      </c>
      <c r="AE2052" s="39" t="n">
        <f aca="false">SUM(X2052:AD2052)</f>
        <v>161.59497</v>
      </c>
      <c r="AF2052" s="39" t="n">
        <f aca="false">AE2052/(1-Resumo!$B$5)</f>
        <v>183.630647727273</v>
      </c>
      <c r="AG2052" s="39" t="n">
        <f aca="false">AF2052-W2052</f>
        <v>73.7341045454545</v>
      </c>
      <c r="AH2052" s="40" t="n">
        <f aca="false">AF2052/W2052-1</f>
        <v>0.670941072490927</v>
      </c>
      <c r="AI2052" s="37" t="str">
        <f aca="false">IF(AF2052&lt;W2052,"SIM","NÃO")</f>
        <v>NÃO</v>
      </c>
      <c r="AJ2052" s="37" t="n">
        <v>13</v>
      </c>
      <c r="AK2052" s="37" t="n">
        <v>11</v>
      </c>
      <c r="AL2052" s="37" t="s">
        <v>347</v>
      </c>
      <c r="AM2052" s="39" t="n">
        <v>109.55</v>
      </c>
    </row>
    <row r="2053" customFormat="false" ht="15" hidden="false" customHeight="false" outlineLevel="0" collapsed="false">
      <c r="A2053" s="37" t="n">
        <v>398671721</v>
      </c>
      <c r="B2053" s="38" t="n">
        <v>46288.7692939815</v>
      </c>
      <c r="C2053" s="37" t="s">
        <v>340</v>
      </c>
      <c r="D2053" s="37" t="s">
        <v>940</v>
      </c>
      <c r="E2053" s="37" t="n">
        <v>22753050</v>
      </c>
      <c r="F2053" s="37" t="s">
        <v>159</v>
      </c>
      <c r="G2053" s="37" t="s">
        <v>196</v>
      </c>
      <c r="H2053" s="37" t="s">
        <v>188</v>
      </c>
      <c r="I2053" s="37" t="n">
        <v>66.8</v>
      </c>
      <c r="J2053" s="39" t="n">
        <v>666.23</v>
      </c>
      <c r="K2053" s="37" t="s">
        <v>342</v>
      </c>
      <c r="L2053" s="39" t="n">
        <v>124.4</v>
      </c>
      <c r="M2053" s="39" t="n">
        <v>63.21</v>
      </c>
      <c r="N2053" s="39" t="n">
        <f aca="false">J2053*Resumo!$C$6</f>
        <v>0</v>
      </c>
      <c r="O2053" s="39" t="n">
        <f aca="false">J2053*Resumo!$C$7</f>
        <v>1.399083</v>
      </c>
      <c r="P2053" s="39" t="n">
        <f aca="false">J2053*Resumo!$C$8</f>
        <v>1.399083</v>
      </c>
      <c r="Q2053" s="39" t="n">
        <f aca="false">Resumo!$C$10*CEILING(I2053/100,1)</f>
        <v>1.05</v>
      </c>
      <c r="R2053" s="39" t="n">
        <f aca="false">Resumo!$C$9</f>
        <v>0</v>
      </c>
      <c r="S2053" s="39" t="n">
        <f aca="false">Resumo!$C$13</f>
        <v>13.55</v>
      </c>
      <c r="T2053" s="39" t="n">
        <f aca="false">Resumo!$C$14*CEILING(I2053,1)</f>
        <v>30.15</v>
      </c>
      <c r="U2053" s="39" t="n">
        <f aca="false">SUM(M2053:T2053)*Resumo!$C$11</f>
        <v>0</v>
      </c>
      <c r="V2053" s="39" t="n">
        <f aca="false">SUM(M2053:U2053)</f>
        <v>110.758166</v>
      </c>
      <c r="W2053" s="39" t="n">
        <f aca="false">V2053/(1-Resumo!$C$5)</f>
        <v>125.861552272727</v>
      </c>
      <c r="X2053" s="39" t="n">
        <v>131.02</v>
      </c>
      <c r="Y2053" s="39" t="n">
        <f aca="false">J2053*Resumo!$B$6</f>
        <v>0.66623</v>
      </c>
      <c r="Z2053" s="39" t="n">
        <f aca="false">J2053*Resumo!$B$7</f>
        <v>1.33246</v>
      </c>
      <c r="AA2053" s="39" t="n">
        <f aca="false">Resumo!$B$9</f>
        <v>1</v>
      </c>
      <c r="AB2053" s="39" t="n">
        <f aca="false">Resumo!$B$10*CEILING(I2053/100,1)</f>
        <v>4.5</v>
      </c>
      <c r="AC2053" s="39" t="n">
        <f aca="false">Resumo!$B$12*CEILING(I2053,1)</f>
        <v>4.02</v>
      </c>
      <c r="AD2053" s="39" t="n">
        <f aca="false">Resumo!$B$14*CEILING(I2053,1)</f>
        <v>30.15</v>
      </c>
      <c r="AE2053" s="39" t="n">
        <f aca="false">SUM(X2053:AD2053)</f>
        <v>172.68869</v>
      </c>
      <c r="AF2053" s="39" t="n">
        <f aca="false">AE2053/(1-Resumo!$B$5)</f>
        <v>196.237147727273</v>
      </c>
      <c r="AG2053" s="39" t="n">
        <f aca="false">AF2053-W2053</f>
        <v>70.3755954545455</v>
      </c>
      <c r="AH2053" s="40" t="n">
        <f aca="false">AF2053/W2053-1</f>
        <v>0.559150862068265</v>
      </c>
      <c r="AI2053" s="37" t="str">
        <f aca="false">IF(AF2053&lt;W2053,"SIM","NÃO")</f>
        <v>NÃO</v>
      </c>
      <c r="AJ2053" s="37" t="n">
        <v>2</v>
      </c>
      <c r="AK2053" s="37" t="n">
        <v>5</v>
      </c>
      <c r="AL2053" s="37" t="s">
        <v>343</v>
      </c>
      <c r="AM2053" s="39" t="n">
        <v>124.4</v>
      </c>
    </row>
    <row r="2054" customFormat="false" ht="15" hidden="false" customHeight="false" outlineLevel="0" collapsed="false">
      <c r="A2054" s="37" t="n">
        <v>398676857</v>
      </c>
      <c r="B2054" s="38" t="n">
        <v>46288.7808333333</v>
      </c>
      <c r="C2054" s="37" t="s">
        <v>345</v>
      </c>
      <c r="D2054" s="37" t="s">
        <v>2176</v>
      </c>
      <c r="E2054" s="37" t="n">
        <v>22765595</v>
      </c>
      <c r="F2054" s="37" t="s">
        <v>159</v>
      </c>
      <c r="G2054" s="37" t="s">
        <v>196</v>
      </c>
      <c r="H2054" s="37" t="s">
        <v>186</v>
      </c>
      <c r="I2054" s="37" t="n">
        <v>46.8</v>
      </c>
      <c r="J2054" s="39" t="n">
        <v>503.49</v>
      </c>
      <c r="K2054" s="37" t="s">
        <v>342</v>
      </c>
      <c r="L2054" s="39" t="n">
        <v>103.01</v>
      </c>
      <c r="M2054" s="39" t="n">
        <v>53.55</v>
      </c>
      <c r="N2054" s="39" t="n">
        <f aca="false">J2054*Resumo!$C$6</f>
        <v>0</v>
      </c>
      <c r="O2054" s="39" t="n">
        <f aca="false">J2054*Resumo!$C$7</f>
        <v>1.057329</v>
      </c>
      <c r="P2054" s="39" t="n">
        <f aca="false">J2054*Resumo!$C$8</f>
        <v>1.057329</v>
      </c>
      <c r="Q2054" s="39" t="n">
        <f aca="false">Resumo!$C$10*CEILING(I2054/100,1)</f>
        <v>1.05</v>
      </c>
      <c r="R2054" s="39" t="n">
        <f aca="false">Resumo!$C$9</f>
        <v>0</v>
      </c>
      <c r="S2054" s="39" t="n">
        <f aca="false">Resumo!$C$13</f>
        <v>13.55</v>
      </c>
      <c r="T2054" s="39" t="n">
        <f aca="false">Resumo!$C$14*CEILING(I2054,1)</f>
        <v>21.15</v>
      </c>
      <c r="U2054" s="39" t="n">
        <f aca="false">SUM(M2054:T2054)*Resumo!$C$11</f>
        <v>0</v>
      </c>
      <c r="V2054" s="39" t="n">
        <f aca="false">SUM(M2054:U2054)</f>
        <v>91.414658</v>
      </c>
      <c r="W2054" s="39" t="n">
        <f aca="false">V2054/(1-Resumo!$C$5)</f>
        <v>103.880293181818</v>
      </c>
      <c r="X2054" s="39" t="n">
        <v>93.97</v>
      </c>
      <c r="Y2054" s="39" t="n">
        <f aca="false">J2054*Resumo!$B$6</f>
        <v>0.50349</v>
      </c>
      <c r="Z2054" s="39" t="n">
        <f aca="false">J2054*Resumo!$B$7</f>
        <v>1.00698</v>
      </c>
      <c r="AA2054" s="39" t="n">
        <f aca="false">Resumo!$B$9</f>
        <v>1</v>
      </c>
      <c r="AB2054" s="39" t="n">
        <f aca="false">Resumo!$B$10*CEILING(I2054/100,1)</f>
        <v>4.5</v>
      </c>
      <c r="AC2054" s="39" t="n">
        <f aca="false">Resumo!$B$12*CEILING(I2054,1)</f>
        <v>2.82</v>
      </c>
      <c r="AD2054" s="39" t="n">
        <f aca="false">Resumo!$B$14*CEILING(I2054,1)</f>
        <v>21.15</v>
      </c>
      <c r="AE2054" s="39" t="n">
        <f aca="false">SUM(X2054:AD2054)</f>
        <v>124.95047</v>
      </c>
      <c r="AF2054" s="39" t="n">
        <f aca="false">AE2054/(1-Resumo!$B$5)</f>
        <v>141.989170454545</v>
      </c>
      <c r="AG2054" s="39" t="n">
        <f aca="false">AF2054-W2054</f>
        <v>38.1088772727273</v>
      </c>
      <c r="AH2054" s="40" t="n">
        <f aca="false">AF2054/W2054-1</f>
        <v>0.366853770869</v>
      </c>
      <c r="AI2054" s="37" t="str">
        <f aca="false">IF(AF2054&lt;W2054,"SIM","NÃO")</f>
        <v>NÃO</v>
      </c>
      <c r="AJ2054" s="37" t="n">
        <v>2</v>
      </c>
      <c r="AK2054" s="37" t="n">
        <v>5</v>
      </c>
      <c r="AL2054" s="37" t="s">
        <v>343</v>
      </c>
      <c r="AM2054" s="39" t="n">
        <v>103</v>
      </c>
    </row>
    <row r="2055" customFormat="false" ht="15" hidden="false" customHeight="false" outlineLevel="0" collapsed="false">
      <c r="A2055" s="37" t="n">
        <v>398680742</v>
      </c>
      <c r="B2055" s="38" t="n">
        <v>46288.7902662037</v>
      </c>
      <c r="C2055" s="37" t="s">
        <v>340</v>
      </c>
      <c r="D2055" s="37" t="s">
        <v>683</v>
      </c>
      <c r="E2055" s="37" t="n">
        <v>28300000</v>
      </c>
      <c r="F2055" s="37" t="s">
        <v>262</v>
      </c>
      <c r="G2055" s="37" t="s">
        <v>198</v>
      </c>
      <c r="H2055" s="37" t="s">
        <v>188</v>
      </c>
      <c r="I2055" s="37" t="n">
        <v>66.8</v>
      </c>
      <c r="J2055" s="39" t="n">
        <v>666.23</v>
      </c>
      <c r="K2055" s="37" t="s">
        <v>342</v>
      </c>
      <c r="L2055" s="39" t="n">
        <v>155.2</v>
      </c>
      <c r="M2055" s="39" t="n">
        <v>90.2</v>
      </c>
      <c r="N2055" s="39" t="n">
        <f aca="false">J2055*Resumo!$C$6</f>
        <v>0</v>
      </c>
      <c r="O2055" s="39" t="n">
        <f aca="false">J2055*Resumo!$C$7</f>
        <v>1.399083</v>
      </c>
      <c r="P2055" s="39" t="n">
        <f aca="false">J2055*Resumo!$C$8</f>
        <v>1.399083</v>
      </c>
      <c r="Q2055" s="39" t="n">
        <f aca="false">Resumo!$C$10*CEILING(I2055/100,1)</f>
        <v>1.05</v>
      </c>
      <c r="R2055" s="39" t="n">
        <f aca="false">Resumo!$C$9</f>
        <v>0</v>
      </c>
      <c r="S2055" s="39" t="n">
        <f aca="false">Resumo!$C$13</f>
        <v>13.55</v>
      </c>
      <c r="T2055" s="39" t="n">
        <f aca="false">Resumo!$C$14*CEILING(I2055,1)</f>
        <v>30.15</v>
      </c>
      <c r="U2055" s="39" t="n">
        <f aca="false">SUM(M2055:T2055)*Resumo!$C$11</f>
        <v>0</v>
      </c>
      <c r="V2055" s="39" t="n">
        <f aca="false">SUM(M2055:U2055)</f>
        <v>137.748166</v>
      </c>
      <c r="W2055" s="39" t="n">
        <f aca="false">V2055/(1-Resumo!$C$5)</f>
        <v>156.532006818182</v>
      </c>
      <c r="X2055" s="39" t="n">
        <v>171.54</v>
      </c>
      <c r="Y2055" s="39" t="n">
        <f aca="false">J2055*Resumo!$B$6</f>
        <v>0.66623</v>
      </c>
      <c r="Z2055" s="39" t="n">
        <f aca="false">J2055*Resumo!$B$7</f>
        <v>1.33246</v>
      </c>
      <c r="AA2055" s="39" t="n">
        <f aca="false">Resumo!$B$9</f>
        <v>1</v>
      </c>
      <c r="AB2055" s="39" t="n">
        <f aca="false">Resumo!$B$10*CEILING(I2055/100,1)</f>
        <v>4.5</v>
      </c>
      <c r="AC2055" s="39" t="n">
        <f aca="false">Resumo!$B$12*CEILING(I2055,1)</f>
        <v>4.02</v>
      </c>
      <c r="AD2055" s="39" t="n">
        <f aca="false">Resumo!$B$14*CEILING(I2055,1)</f>
        <v>30.15</v>
      </c>
      <c r="AE2055" s="39" t="n">
        <f aca="false">SUM(X2055:AD2055)</f>
        <v>213.20869</v>
      </c>
      <c r="AF2055" s="39" t="n">
        <f aca="false">AE2055/(1-Resumo!$B$5)</f>
        <v>242.282602272727</v>
      </c>
      <c r="AG2055" s="39" t="n">
        <f aca="false">AF2055-W2055</f>
        <v>85.7505954545455</v>
      </c>
      <c r="AH2055" s="40" t="n">
        <f aca="false">AF2055/W2055-1</f>
        <v>0.547815090329406</v>
      </c>
      <c r="AI2055" s="37" t="str">
        <f aca="false">IF(AF2055&lt;W2055,"SIM","NÃO")</f>
        <v>NÃO</v>
      </c>
      <c r="AJ2055" s="37" t="n">
        <v>13</v>
      </c>
      <c r="AK2055" s="37" t="n">
        <v>11</v>
      </c>
      <c r="AL2055" s="37" t="s">
        <v>347</v>
      </c>
      <c r="AM2055" s="39" t="n">
        <v>155.21</v>
      </c>
    </row>
    <row r="2056" customFormat="false" ht="15" hidden="false" customHeight="false" outlineLevel="0" collapsed="false">
      <c r="A2056" s="37" t="n">
        <v>398691486</v>
      </c>
      <c r="B2056" s="38" t="n">
        <v>46288.8142013889</v>
      </c>
      <c r="C2056" s="37" t="s">
        <v>345</v>
      </c>
      <c r="D2056" s="37" t="s">
        <v>2177</v>
      </c>
      <c r="E2056" s="37" t="n">
        <v>20230011</v>
      </c>
      <c r="F2056" s="37" t="s">
        <v>159</v>
      </c>
      <c r="G2056" s="37" t="s">
        <v>196</v>
      </c>
      <c r="H2056" s="37" t="s">
        <v>185</v>
      </c>
      <c r="I2056" s="37" t="n">
        <v>40</v>
      </c>
      <c r="J2056" s="39" t="n">
        <v>554.4</v>
      </c>
      <c r="K2056" s="37" t="s">
        <v>342</v>
      </c>
      <c r="L2056" s="39" t="n">
        <v>92.51</v>
      </c>
      <c r="M2056" s="39" t="n">
        <v>48.35</v>
      </c>
      <c r="N2056" s="39" t="n">
        <f aca="false">J2056*Resumo!$C$6</f>
        <v>0</v>
      </c>
      <c r="O2056" s="39" t="n">
        <f aca="false">J2056*Resumo!$C$7</f>
        <v>1.16424</v>
      </c>
      <c r="P2056" s="39" t="n">
        <f aca="false">J2056*Resumo!$C$8</f>
        <v>1.16424</v>
      </c>
      <c r="Q2056" s="39" t="n">
        <f aca="false">Resumo!$C$10*CEILING(I2056/100,1)</f>
        <v>1.05</v>
      </c>
      <c r="R2056" s="39" t="n">
        <f aca="false">Resumo!$C$9</f>
        <v>0</v>
      </c>
      <c r="S2056" s="39" t="n">
        <f aca="false">Resumo!$C$13</f>
        <v>13.55</v>
      </c>
      <c r="T2056" s="39" t="n">
        <f aca="false">Resumo!$C$14*CEILING(I2056,1)</f>
        <v>18</v>
      </c>
      <c r="U2056" s="39" t="n">
        <f aca="false">SUM(M2056:T2056)*Resumo!$C$11</f>
        <v>0</v>
      </c>
      <c r="V2056" s="39" t="n">
        <f aca="false">SUM(M2056:U2056)</f>
        <v>83.27848</v>
      </c>
      <c r="W2056" s="39" t="n">
        <f aca="false">V2056/(1-Resumo!$C$5)</f>
        <v>94.6346363636364</v>
      </c>
      <c r="X2056" s="39" t="n">
        <v>93.97</v>
      </c>
      <c r="Y2056" s="39" t="n">
        <f aca="false">J2056*Resumo!$B$6</f>
        <v>0.5544</v>
      </c>
      <c r="Z2056" s="39" t="n">
        <f aca="false">J2056*Resumo!$B$7</f>
        <v>1.1088</v>
      </c>
      <c r="AA2056" s="39" t="n">
        <f aca="false">Resumo!$B$9</f>
        <v>1</v>
      </c>
      <c r="AB2056" s="39" t="n">
        <f aca="false">Resumo!$B$10*CEILING(I2056/100,1)</f>
        <v>4.5</v>
      </c>
      <c r="AC2056" s="39" t="n">
        <f aca="false">Resumo!$B$12*CEILING(I2056,1)</f>
        <v>2.4</v>
      </c>
      <c r="AD2056" s="39" t="n">
        <f aca="false">Resumo!$B$14*CEILING(I2056,1)</f>
        <v>18</v>
      </c>
      <c r="AE2056" s="39" t="n">
        <f aca="false">SUM(X2056:AD2056)</f>
        <v>121.5332</v>
      </c>
      <c r="AF2056" s="39" t="n">
        <f aca="false">AE2056/(1-Resumo!$B$5)</f>
        <v>138.105909090909</v>
      </c>
      <c r="AG2056" s="39" t="n">
        <f aca="false">AF2056-W2056</f>
        <v>43.4712727272727</v>
      </c>
      <c r="AH2056" s="40" t="n">
        <f aca="false">AF2056/W2056-1</f>
        <v>0.459359008473738</v>
      </c>
      <c r="AI2056" s="37" t="str">
        <f aca="false">IF(AF2056&lt;W2056,"SIM","NÃO")</f>
        <v>NÃO</v>
      </c>
      <c r="AJ2056" s="37" t="n">
        <v>2</v>
      </c>
      <c r="AK2056" s="37" t="n">
        <v>5</v>
      </c>
      <c r="AL2056" s="37" t="s">
        <v>343</v>
      </c>
      <c r="AM2056" s="39" t="n">
        <v>92.51</v>
      </c>
    </row>
    <row r="2057" customFormat="false" ht="15" hidden="false" customHeight="false" outlineLevel="0" collapsed="false">
      <c r="A2057" s="37" t="n">
        <v>398708162</v>
      </c>
      <c r="B2057" s="38" t="n">
        <v>46288.8500347222</v>
      </c>
      <c r="C2057" s="37" t="s">
        <v>345</v>
      </c>
      <c r="D2057" s="37" t="s">
        <v>1447</v>
      </c>
      <c r="E2057" s="37" t="n">
        <v>22451264</v>
      </c>
      <c r="F2057" s="37" t="s">
        <v>159</v>
      </c>
      <c r="G2057" s="37" t="s">
        <v>196</v>
      </c>
      <c r="H2057" s="37" t="s">
        <v>184</v>
      </c>
      <c r="I2057" s="37" t="n">
        <v>33</v>
      </c>
      <c r="J2057" s="39" t="n">
        <v>355.44</v>
      </c>
      <c r="K2057" s="37" t="s">
        <v>342</v>
      </c>
      <c r="L2057" s="39" t="n">
        <v>82.02</v>
      </c>
      <c r="M2057" s="39" t="n">
        <v>42.11</v>
      </c>
      <c r="N2057" s="39" t="n">
        <f aca="false">J2057*Resumo!$C$6</f>
        <v>0</v>
      </c>
      <c r="O2057" s="39" t="n">
        <f aca="false">J2057*Resumo!$C$7</f>
        <v>0.746424</v>
      </c>
      <c r="P2057" s="39" t="n">
        <f aca="false">J2057*Resumo!$C$8</f>
        <v>0.746424</v>
      </c>
      <c r="Q2057" s="39" t="n">
        <f aca="false">Resumo!$C$10*CEILING(I2057/100,1)</f>
        <v>1.05</v>
      </c>
      <c r="R2057" s="39" t="n">
        <f aca="false">Resumo!$C$9</f>
        <v>0</v>
      </c>
      <c r="S2057" s="39" t="n">
        <f aca="false">Resumo!$C$13</f>
        <v>13.55</v>
      </c>
      <c r="T2057" s="39" t="n">
        <f aca="false">Resumo!$C$14*CEILING(I2057,1)</f>
        <v>14.85</v>
      </c>
      <c r="U2057" s="39" t="n">
        <f aca="false">SUM(M2057:T2057)*Resumo!$C$11</f>
        <v>0</v>
      </c>
      <c r="V2057" s="39" t="n">
        <f aca="false">SUM(M2057:U2057)</f>
        <v>73.052848</v>
      </c>
      <c r="W2057" s="39" t="n">
        <f aca="false">V2057/(1-Resumo!$C$5)</f>
        <v>83.0146</v>
      </c>
      <c r="X2057" s="39" t="n">
        <v>82.21</v>
      </c>
      <c r="Y2057" s="39" t="n">
        <f aca="false">J2057*Resumo!$B$6</f>
        <v>0.35544</v>
      </c>
      <c r="Z2057" s="39" t="n">
        <f aca="false">J2057*Resumo!$B$7</f>
        <v>0.71088</v>
      </c>
      <c r="AA2057" s="39" t="n">
        <f aca="false">Resumo!$B$9</f>
        <v>1</v>
      </c>
      <c r="AB2057" s="39" t="n">
        <f aca="false">Resumo!$B$10*CEILING(I2057/100,1)</f>
        <v>4.5</v>
      </c>
      <c r="AC2057" s="39" t="n">
        <f aca="false">Resumo!$B$12*CEILING(I2057,1)</f>
        <v>1.98</v>
      </c>
      <c r="AD2057" s="39" t="n">
        <f aca="false">Resumo!$B$14*CEILING(I2057,1)</f>
        <v>14.85</v>
      </c>
      <c r="AE2057" s="39" t="n">
        <f aca="false">SUM(X2057:AD2057)</f>
        <v>105.60632</v>
      </c>
      <c r="AF2057" s="39" t="n">
        <f aca="false">AE2057/(1-Resumo!$B$5)</f>
        <v>120.007181818182</v>
      </c>
      <c r="AG2057" s="39" t="n">
        <f aca="false">AF2057-W2057</f>
        <v>36.9925818181818</v>
      </c>
      <c r="AH2057" s="40" t="n">
        <f aca="false">AF2057/W2057-1</f>
        <v>0.44561537149106</v>
      </c>
      <c r="AI2057" s="37" t="str">
        <f aca="false">IF(AF2057&lt;W2057,"SIM","NÃO")</f>
        <v>NÃO</v>
      </c>
      <c r="AJ2057" s="37" t="n">
        <v>2</v>
      </c>
      <c r="AK2057" s="37" t="n">
        <v>5</v>
      </c>
      <c r="AL2057" s="37" t="s">
        <v>343</v>
      </c>
      <c r="AM2057" s="39" t="n">
        <v>82.03</v>
      </c>
    </row>
    <row r="2058" customFormat="false" ht="15" hidden="false" customHeight="false" outlineLevel="0" collapsed="false">
      <c r="A2058" s="37" t="n">
        <v>398713488</v>
      </c>
      <c r="B2058" s="38" t="n">
        <v>46288.8611689815</v>
      </c>
      <c r="C2058" s="37" t="s">
        <v>345</v>
      </c>
      <c r="D2058" s="37" t="s">
        <v>2178</v>
      </c>
      <c r="E2058" s="37" t="n">
        <v>25040080</v>
      </c>
      <c r="F2058" s="37" t="s">
        <v>161</v>
      </c>
      <c r="G2058" s="37" t="s">
        <v>197</v>
      </c>
      <c r="H2058" s="37" t="s">
        <v>185</v>
      </c>
      <c r="I2058" s="37" t="n">
        <v>37.5</v>
      </c>
      <c r="J2058" s="39" t="n">
        <v>379.19</v>
      </c>
      <c r="K2058" s="37" t="s">
        <v>342</v>
      </c>
      <c r="L2058" s="39" t="n">
        <v>112.77</v>
      </c>
      <c r="M2058" s="39" t="n">
        <v>66.83</v>
      </c>
      <c r="N2058" s="39" t="n">
        <f aca="false">J2058*Resumo!$C$6</f>
        <v>0</v>
      </c>
      <c r="O2058" s="39" t="n">
        <f aca="false">J2058*Resumo!$C$7</f>
        <v>0.796299</v>
      </c>
      <c r="P2058" s="39" t="n">
        <f aca="false">J2058*Resumo!$C$8</f>
        <v>0.796299</v>
      </c>
      <c r="Q2058" s="39" t="n">
        <f aca="false">Resumo!$C$10*CEILING(I2058/100,1)</f>
        <v>1.05</v>
      </c>
      <c r="R2058" s="39" t="n">
        <f aca="false">Resumo!$C$9</f>
        <v>0</v>
      </c>
      <c r="S2058" s="39" t="n">
        <f aca="false">Resumo!$C$13</f>
        <v>13.55</v>
      </c>
      <c r="T2058" s="39" t="n">
        <f aca="false">Resumo!$C$14*CEILING(I2058,1)</f>
        <v>17.1</v>
      </c>
      <c r="U2058" s="39" t="n">
        <f aca="false">SUM(M2058:T2058)*Resumo!$C$11</f>
        <v>0</v>
      </c>
      <c r="V2058" s="39" t="n">
        <f aca="false">SUM(M2058:U2058)</f>
        <v>100.122598</v>
      </c>
      <c r="W2058" s="39" t="n">
        <f aca="false">V2058/(1-Resumo!$C$5)</f>
        <v>113.775679545455</v>
      </c>
      <c r="X2058" s="39" t="n">
        <v>93.97</v>
      </c>
      <c r="Y2058" s="39" t="n">
        <f aca="false">J2058*Resumo!$B$6</f>
        <v>0.37919</v>
      </c>
      <c r="Z2058" s="39" t="n">
        <f aca="false">J2058*Resumo!$B$7</f>
        <v>0.75838</v>
      </c>
      <c r="AA2058" s="39" t="n">
        <f aca="false">Resumo!$B$9</f>
        <v>1</v>
      </c>
      <c r="AB2058" s="39" t="n">
        <f aca="false">Resumo!$B$10*CEILING(I2058/100,1)</f>
        <v>4.5</v>
      </c>
      <c r="AC2058" s="39" t="n">
        <f aca="false">Resumo!$B$12*CEILING(I2058,1)</f>
        <v>2.28</v>
      </c>
      <c r="AD2058" s="39" t="n">
        <f aca="false">Resumo!$B$14*CEILING(I2058,1)</f>
        <v>17.1</v>
      </c>
      <c r="AE2058" s="39" t="n">
        <f aca="false">SUM(X2058:AD2058)</f>
        <v>119.98757</v>
      </c>
      <c r="AF2058" s="39" t="n">
        <f aca="false">AE2058/(1-Resumo!$B$5)</f>
        <v>136.349511363636</v>
      </c>
      <c r="AG2058" s="39" t="n">
        <f aca="false">AF2058-W2058</f>
        <v>22.5738318181818</v>
      </c>
      <c r="AH2058" s="40" t="n">
        <f aca="false">AF2058/W2058-1</f>
        <v>0.198406477626559</v>
      </c>
      <c r="AI2058" s="37" t="str">
        <f aca="false">IF(AF2058&lt;W2058,"SIM","NÃO")</f>
        <v>NÃO</v>
      </c>
      <c r="AJ2058" s="37" t="n">
        <v>2</v>
      </c>
      <c r="AK2058" s="37" t="n">
        <v>5</v>
      </c>
      <c r="AL2058" s="37" t="s">
        <v>343</v>
      </c>
      <c r="AM2058" s="39" t="n">
        <v>112.77</v>
      </c>
    </row>
    <row r="2059" customFormat="false" ht="15" hidden="false" customHeight="false" outlineLevel="0" collapsed="false">
      <c r="A2059" s="37" t="n">
        <v>398721258</v>
      </c>
      <c r="B2059" s="38" t="n">
        <v>46288.8773148148</v>
      </c>
      <c r="C2059" s="37" t="s">
        <v>340</v>
      </c>
      <c r="D2059" s="37" t="s">
        <v>1939</v>
      </c>
      <c r="E2059" s="37" t="n">
        <v>28800000</v>
      </c>
      <c r="F2059" s="37" t="s">
        <v>288</v>
      </c>
      <c r="G2059" s="37" t="s">
        <v>198</v>
      </c>
      <c r="H2059" s="37" t="s">
        <v>187</v>
      </c>
      <c r="I2059" s="37" t="n">
        <v>52.3</v>
      </c>
      <c r="J2059" s="39" t="n">
        <v>592.37</v>
      </c>
      <c r="K2059" s="37" t="s">
        <v>342</v>
      </c>
      <c r="L2059" s="39" t="n">
        <v>142.5</v>
      </c>
      <c r="M2059" s="39" t="n">
        <v>83.58</v>
      </c>
      <c r="N2059" s="39" t="n">
        <f aca="false">J2059*Resumo!$C$6</f>
        <v>0</v>
      </c>
      <c r="O2059" s="39" t="n">
        <f aca="false">J2059*Resumo!$C$7</f>
        <v>1.243977</v>
      </c>
      <c r="P2059" s="39" t="n">
        <f aca="false">J2059*Resumo!$C$8</f>
        <v>1.243977</v>
      </c>
      <c r="Q2059" s="39" t="n">
        <f aca="false">Resumo!$C$10*CEILING(I2059/100,1)</f>
        <v>1.05</v>
      </c>
      <c r="R2059" s="39" t="n">
        <f aca="false">Resumo!$C$9</f>
        <v>0</v>
      </c>
      <c r="S2059" s="39" t="n">
        <f aca="false">Resumo!$C$13</f>
        <v>13.55</v>
      </c>
      <c r="T2059" s="39" t="n">
        <f aca="false">Resumo!$C$14*CEILING(I2059,1)</f>
        <v>23.85</v>
      </c>
      <c r="U2059" s="39" t="n">
        <f aca="false">SUM(M2059:T2059)*Resumo!$C$11</f>
        <v>0</v>
      </c>
      <c r="V2059" s="39" t="n">
        <f aca="false">SUM(M2059:U2059)</f>
        <v>124.517954</v>
      </c>
      <c r="W2059" s="39" t="n">
        <f aca="false">V2059/(1-Resumo!$C$5)</f>
        <v>141.497675</v>
      </c>
      <c r="X2059" s="39" t="n">
        <v>128.14</v>
      </c>
      <c r="Y2059" s="39" t="n">
        <f aca="false">J2059*Resumo!$B$6</f>
        <v>0.59237</v>
      </c>
      <c r="Z2059" s="39" t="n">
        <f aca="false">J2059*Resumo!$B$7</f>
        <v>1.18474</v>
      </c>
      <c r="AA2059" s="39" t="n">
        <f aca="false">Resumo!$B$9</f>
        <v>1</v>
      </c>
      <c r="AB2059" s="39" t="n">
        <f aca="false">Resumo!$B$10*CEILING(I2059/100,1)</f>
        <v>4.5</v>
      </c>
      <c r="AC2059" s="39" t="n">
        <f aca="false">Resumo!$B$12*CEILING(I2059,1)</f>
        <v>3.18</v>
      </c>
      <c r="AD2059" s="39" t="n">
        <f aca="false">Resumo!$B$14*CEILING(I2059,1)</f>
        <v>23.85</v>
      </c>
      <c r="AE2059" s="39" t="n">
        <f aca="false">SUM(X2059:AD2059)</f>
        <v>162.44711</v>
      </c>
      <c r="AF2059" s="39" t="n">
        <f aca="false">AE2059/(1-Resumo!$B$5)</f>
        <v>184.598988636364</v>
      </c>
      <c r="AG2059" s="39" t="n">
        <f aca="false">AF2059-W2059</f>
        <v>43.1013136363636</v>
      </c>
      <c r="AH2059" s="40" t="n">
        <f aca="false">AF2059/W2059-1</f>
        <v>0.304607928267115</v>
      </c>
      <c r="AI2059" s="37" t="str">
        <f aca="false">IF(AF2059&lt;W2059,"SIM","NÃO")</f>
        <v>NÃO</v>
      </c>
      <c r="AJ2059" s="37" t="n">
        <v>13</v>
      </c>
      <c r="AK2059" s="37" t="n">
        <v>7</v>
      </c>
      <c r="AL2059" s="37" t="s">
        <v>347</v>
      </c>
      <c r="AM2059" s="39" t="n">
        <v>142.51</v>
      </c>
    </row>
    <row r="2060" customFormat="false" ht="15" hidden="false" customHeight="false" outlineLevel="0" collapsed="false">
      <c r="A2060" s="37" t="n">
        <v>398734139</v>
      </c>
      <c r="B2060" s="38" t="n">
        <v>46288.9042476852</v>
      </c>
      <c r="C2060" s="37" t="s">
        <v>340</v>
      </c>
      <c r="D2060" s="37" t="s">
        <v>2179</v>
      </c>
      <c r="E2060" s="37" t="n">
        <v>26195020</v>
      </c>
      <c r="F2060" s="37" t="s">
        <v>165</v>
      </c>
      <c r="G2060" s="37" t="s">
        <v>197</v>
      </c>
      <c r="H2060" s="37" t="s">
        <v>186</v>
      </c>
      <c r="I2060" s="37" t="n">
        <v>47.1</v>
      </c>
      <c r="J2060" s="39" t="n">
        <v>619.99</v>
      </c>
      <c r="K2060" s="37" t="s">
        <v>342</v>
      </c>
      <c r="L2060" s="39" t="n">
        <v>117.05</v>
      </c>
      <c r="M2060" s="39" t="n">
        <v>65.36</v>
      </c>
      <c r="N2060" s="39" t="n">
        <f aca="false">J2060*Resumo!$C$6</f>
        <v>0</v>
      </c>
      <c r="O2060" s="39" t="n">
        <f aca="false">J2060*Resumo!$C$7</f>
        <v>1.301979</v>
      </c>
      <c r="P2060" s="39" t="n">
        <f aca="false">J2060*Resumo!$C$8</f>
        <v>1.301979</v>
      </c>
      <c r="Q2060" s="39" t="n">
        <f aca="false">Resumo!$C$10*CEILING(I2060/100,1)</f>
        <v>1.05</v>
      </c>
      <c r="R2060" s="39" t="n">
        <f aca="false">Resumo!$C$9</f>
        <v>0</v>
      </c>
      <c r="S2060" s="39" t="n">
        <f aca="false">Resumo!$C$13</f>
        <v>13.55</v>
      </c>
      <c r="T2060" s="39" t="n">
        <f aca="false">Resumo!$C$14*CEILING(I2060,1)</f>
        <v>21.6</v>
      </c>
      <c r="U2060" s="39" t="n">
        <f aca="false">SUM(M2060:T2060)*Resumo!$C$11</f>
        <v>0</v>
      </c>
      <c r="V2060" s="39" t="n">
        <f aca="false">SUM(M2060:U2060)</f>
        <v>104.163958</v>
      </c>
      <c r="W2060" s="39" t="n">
        <f aca="false">V2060/(1-Resumo!$C$5)</f>
        <v>118.368134090909</v>
      </c>
      <c r="X2060" s="39" t="n">
        <v>93.97</v>
      </c>
      <c r="Y2060" s="39" t="n">
        <f aca="false">J2060*Resumo!$B$6</f>
        <v>0.61999</v>
      </c>
      <c r="Z2060" s="39" t="n">
        <f aca="false">J2060*Resumo!$B$7</f>
        <v>1.23998</v>
      </c>
      <c r="AA2060" s="39" t="n">
        <f aca="false">Resumo!$B$9</f>
        <v>1</v>
      </c>
      <c r="AB2060" s="39" t="n">
        <f aca="false">Resumo!$B$10*CEILING(I2060/100,1)</f>
        <v>4.5</v>
      </c>
      <c r="AC2060" s="39" t="n">
        <f aca="false">Resumo!$B$12*CEILING(I2060,1)</f>
        <v>2.88</v>
      </c>
      <c r="AD2060" s="39" t="n">
        <f aca="false">Resumo!$B$14*CEILING(I2060,1)</f>
        <v>21.6</v>
      </c>
      <c r="AE2060" s="39" t="n">
        <f aca="false">SUM(X2060:AD2060)</f>
        <v>125.80997</v>
      </c>
      <c r="AF2060" s="39" t="n">
        <f aca="false">AE2060/(1-Resumo!$B$5)</f>
        <v>142.965875</v>
      </c>
      <c r="AG2060" s="39" t="n">
        <f aca="false">AF2060-W2060</f>
        <v>24.5977409090909</v>
      </c>
      <c r="AH2060" s="40" t="n">
        <f aca="false">AF2060/W2060-1</f>
        <v>0.207807118850073</v>
      </c>
      <c r="AI2060" s="37" t="str">
        <f aca="false">IF(AF2060&lt;W2060,"SIM","NÃO")</f>
        <v>NÃO</v>
      </c>
      <c r="AJ2060" s="37" t="n">
        <v>2</v>
      </c>
      <c r="AK2060" s="37" t="n">
        <v>5</v>
      </c>
      <c r="AL2060" s="37" t="s">
        <v>343</v>
      </c>
      <c r="AM2060" s="39" t="n">
        <v>117.05</v>
      </c>
    </row>
    <row r="2061" customFormat="false" ht="15" hidden="false" customHeight="false" outlineLevel="0" collapsed="false">
      <c r="A2061" s="37" t="n">
        <v>398742768</v>
      </c>
      <c r="B2061" s="38" t="n">
        <v>46288.9232523148</v>
      </c>
      <c r="C2061" s="37" t="s">
        <v>345</v>
      </c>
      <c r="D2061" s="37" t="s">
        <v>2180</v>
      </c>
      <c r="E2061" s="37" t="n">
        <v>26582020</v>
      </c>
      <c r="F2061" s="37" t="s">
        <v>175</v>
      </c>
      <c r="G2061" s="37" t="s">
        <v>197</v>
      </c>
      <c r="H2061" s="37" t="s">
        <v>185</v>
      </c>
      <c r="I2061" s="37" t="n">
        <v>40</v>
      </c>
      <c r="J2061" s="39" t="n">
        <v>636.49</v>
      </c>
      <c r="K2061" s="37" t="s">
        <v>342</v>
      </c>
      <c r="L2061" s="39" t="n">
        <v>114</v>
      </c>
      <c r="M2061" s="39" t="n">
        <v>66.83</v>
      </c>
      <c r="N2061" s="39" t="n">
        <f aca="false">J2061*Resumo!$C$6</f>
        <v>0</v>
      </c>
      <c r="O2061" s="39" t="n">
        <f aca="false">J2061*Resumo!$C$7</f>
        <v>1.336629</v>
      </c>
      <c r="P2061" s="39" t="n">
        <f aca="false">J2061*Resumo!$C$8</f>
        <v>1.336629</v>
      </c>
      <c r="Q2061" s="39" t="n">
        <f aca="false">Resumo!$C$10*CEILING(I2061/100,1)</f>
        <v>1.05</v>
      </c>
      <c r="R2061" s="39" t="n">
        <f aca="false">Resumo!$C$9</f>
        <v>0</v>
      </c>
      <c r="S2061" s="39" t="n">
        <f aca="false">Resumo!$C$13</f>
        <v>13.55</v>
      </c>
      <c r="T2061" s="39" t="n">
        <f aca="false">Resumo!$C$14*CEILING(I2061,1)</f>
        <v>18</v>
      </c>
      <c r="U2061" s="39" t="n">
        <f aca="false">SUM(M2061:T2061)*Resumo!$C$11</f>
        <v>0</v>
      </c>
      <c r="V2061" s="39" t="n">
        <f aca="false">SUM(M2061:U2061)</f>
        <v>102.103258</v>
      </c>
      <c r="W2061" s="39" t="n">
        <f aca="false">V2061/(1-Resumo!$C$5)</f>
        <v>116.026429545455</v>
      </c>
      <c r="X2061" s="39" t="n">
        <v>93.97</v>
      </c>
      <c r="Y2061" s="39" t="n">
        <f aca="false">J2061*Resumo!$B$6</f>
        <v>0.63649</v>
      </c>
      <c r="Z2061" s="39" t="n">
        <f aca="false">J2061*Resumo!$B$7</f>
        <v>1.27298</v>
      </c>
      <c r="AA2061" s="39" t="n">
        <f aca="false">Resumo!$B$9</f>
        <v>1</v>
      </c>
      <c r="AB2061" s="39" t="n">
        <f aca="false">Resumo!$B$10*CEILING(I2061/100,1)</f>
        <v>4.5</v>
      </c>
      <c r="AC2061" s="39" t="n">
        <f aca="false">Resumo!$B$12*CEILING(I2061,1)</f>
        <v>2.4</v>
      </c>
      <c r="AD2061" s="39" t="n">
        <f aca="false">Resumo!$B$14*CEILING(I2061,1)</f>
        <v>18</v>
      </c>
      <c r="AE2061" s="39" t="n">
        <f aca="false">SUM(X2061:AD2061)</f>
        <v>121.77947</v>
      </c>
      <c r="AF2061" s="39" t="n">
        <f aca="false">AE2061/(1-Resumo!$B$5)</f>
        <v>138.385761363636</v>
      </c>
      <c r="AG2061" s="39" t="n">
        <f aca="false">AF2061-W2061</f>
        <v>22.3593318181818</v>
      </c>
      <c r="AH2061" s="40" t="n">
        <f aca="false">AF2061/W2061-1</f>
        <v>0.192708953518408</v>
      </c>
      <c r="AI2061" s="37" t="str">
        <f aca="false">IF(AF2061&lt;W2061,"SIM","NÃO")</f>
        <v>NÃO</v>
      </c>
      <c r="AJ2061" s="37" t="n">
        <v>2</v>
      </c>
      <c r="AK2061" s="37" t="n">
        <v>5</v>
      </c>
      <c r="AL2061" s="37" t="s">
        <v>343</v>
      </c>
      <c r="AM2061" s="39" t="n">
        <v>114.01</v>
      </c>
    </row>
    <row r="2062" customFormat="false" ht="15" hidden="false" customHeight="false" outlineLevel="0" collapsed="false">
      <c r="A2062" s="37" t="n">
        <v>398751117</v>
      </c>
      <c r="B2062" s="38" t="n">
        <v>46288.9422916667</v>
      </c>
      <c r="C2062" s="37" t="s">
        <v>340</v>
      </c>
      <c r="D2062" s="37" t="s">
        <v>2181</v>
      </c>
      <c r="E2062" s="37" t="n">
        <v>25040005</v>
      </c>
      <c r="F2062" s="37" t="s">
        <v>161</v>
      </c>
      <c r="G2062" s="37" t="s">
        <v>197</v>
      </c>
      <c r="H2062" s="37" t="s">
        <v>187</v>
      </c>
      <c r="I2062" s="37" t="n">
        <v>52.3</v>
      </c>
      <c r="J2062" s="39" t="n">
        <v>592.37</v>
      </c>
      <c r="K2062" s="37" t="s">
        <v>342</v>
      </c>
      <c r="L2062" s="39" t="n">
        <v>128.11</v>
      </c>
      <c r="M2062" s="39" t="n">
        <v>70.98</v>
      </c>
      <c r="N2062" s="39" t="n">
        <f aca="false">J2062*Resumo!$C$6</f>
        <v>0</v>
      </c>
      <c r="O2062" s="39" t="n">
        <f aca="false">J2062*Resumo!$C$7</f>
        <v>1.243977</v>
      </c>
      <c r="P2062" s="39" t="n">
        <f aca="false">J2062*Resumo!$C$8</f>
        <v>1.243977</v>
      </c>
      <c r="Q2062" s="39" t="n">
        <f aca="false">Resumo!$C$10*CEILING(I2062/100,1)</f>
        <v>1.05</v>
      </c>
      <c r="R2062" s="39" t="n">
        <f aca="false">Resumo!$C$9</f>
        <v>0</v>
      </c>
      <c r="S2062" s="39" t="n">
        <f aca="false">Resumo!$C$13</f>
        <v>13.55</v>
      </c>
      <c r="T2062" s="39" t="n">
        <f aca="false">Resumo!$C$14*CEILING(I2062,1)</f>
        <v>23.85</v>
      </c>
      <c r="U2062" s="39" t="n">
        <f aca="false">SUM(M2062:T2062)*Resumo!$C$11</f>
        <v>0</v>
      </c>
      <c r="V2062" s="39" t="n">
        <f aca="false">SUM(M2062:U2062)</f>
        <v>111.917954</v>
      </c>
      <c r="W2062" s="39" t="n">
        <f aca="false">V2062/(1-Resumo!$C$5)</f>
        <v>127.179493181818</v>
      </c>
      <c r="X2062" s="39" t="n">
        <v>112.3</v>
      </c>
      <c r="Y2062" s="39" t="n">
        <f aca="false">J2062*Resumo!$B$6</f>
        <v>0.59237</v>
      </c>
      <c r="Z2062" s="39" t="n">
        <f aca="false">J2062*Resumo!$B$7</f>
        <v>1.18474</v>
      </c>
      <c r="AA2062" s="39" t="n">
        <f aca="false">Resumo!$B$9</f>
        <v>1</v>
      </c>
      <c r="AB2062" s="39" t="n">
        <f aca="false">Resumo!$B$10*CEILING(I2062/100,1)</f>
        <v>4.5</v>
      </c>
      <c r="AC2062" s="39" t="n">
        <f aca="false">Resumo!$B$12*CEILING(I2062,1)</f>
        <v>3.18</v>
      </c>
      <c r="AD2062" s="39" t="n">
        <f aca="false">Resumo!$B$14*CEILING(I2062,1)</f>
        <v>23.85</v>
      </c>
      <c r="AE2062" s="39" t="n">
        <f aca="false">SUM(X2062:AD2062)</f>
        <v>146.60711</v>
      </c>
      <c r="AF2062" s="39" t="n">
        <f aca="false">AE2062/(1-Resumo!$B$5)</f>
        <v>166.598988636364</v>
      </c>
      <c r="AG2062" s="39" t="n">
        <f aca="false">AF2062-W2062</f>
        <v>39.4194954545454</v>
      </c>
      <c r="AH2062" s="40" t="n">
        <f aca="false">AF2062/W2062-1</f>
        <v>0.309951663340808</v>
      </c>
      <c r="AI2062" s="37" t="str">
        <f aca="false">IF(AF2062&lt;W2062,"SIM","NÃO")</f>
        <v>NÃO</v>
      </c>
      <c r="AJ2062" s="37" t="n">
        <v>2</v>
      </c>
      <c r="AK2062" s="37" t="n">
        <v>5</v>
      </c>
      <c r="AL2062" s="37" t="s">
        <v>343</v>
      </c>
      <c r="AM2062" s="39" t="n">
        <v>128.12</v>
      </c>
    </row>
    <row r="2063" customFormat="false" ht="15" hidden="false" customHeight="false" outlineLevel="0" collapsed="false">
      <c r="A2063" s="37" t="n">
        <v>398752401</v>
      </c>
      <c r="B2063" s="38" t="n">
        <v>46288.9453703704</v>
      </c>
      <c r="C2063" s="37" t="s">
        <v>345</v>
      </c>
      <c r="D2063" s="37" t="s">
        <v>2182</v>
      </c>
      <c r="E2063" s="37" t="n">
        <v>28022670</v>
      </c>
      <c r="F2063" s="37" t="s">
        <v>164</v>
      </c>
      <c r="G2063" s="37" t="s">
        <v>198</v>
      </c>
      <c r="H2063" s="37" t="s">
        <v>190</v>
      </c>
      <c r="I2063" s="37" t="n">
        <v>99</v>
      </c>
      <c r="J2063" s="39" t="n">
        <v>1122.28</v>
      </c>
      <c r="K2063" s="37" t="s">
        <v>342</v>
      </c>
      <c r="L2063" s="39" t="n">
        <v>193.97</v>
      </c>
      <c r="M2063" s="39" t="n">
        <v>109.63</v>
      </c>
      <c r="N2063" s="39" t="n">
        <f aca="false">J2063*Resumo!$C$6</f>
        <v>0</v>
      </c>
      <c r="O2063" s="39" t="n">
        <f aca="false">J2063*Resumo!$C$7</f>
        <v>2.356788</v>
      </c>
      <c r="P2063" s="39" t="n">
        <f aca="false">J2063*Resumo!$C$8</f>
        <v>2.356788</v>
      </c>
      <c r="Q2063" s="39" t="n">
        <f aca="false">Resumo!$C$10*CEILING(I2063/100,1)</f>
        <v>1.05</v>
      </c>
      <c r="R2063" s="39" t="n">
        <f aca="false">Resumo!$C$9</f>
        <v>0</v>
      </c>
      <c r="S2063" s="39" t="n">
        <f aca="false">Resumo!$C$13</f>
        <v>13.55</v>
      </c>
      <c r="T2063" s="39" t="n">
        <f aca="false">Resumo!$C$14*CEILING(I2063,1)</f>
        <v>44.55</v>
      </c>
      <c r="U2063" s="39" t="n">
        <f aca="false">SUM(M2063:T2063)*Resumo!$C$11</f>
        <v>0</v>
      </c>
      <c r="V2063" s="39" t="n">
        <f aca="false">SUM(M2063:U2063)</f>
        <v>173.493576</v>
      </c>
      <c r="W2063" s="39" t="n">
        <f aca="false">V2063/(1-Resumo!$C$5)</f>
        <v>197.151790909091</v>
      </c>
      <c r="X2063" s="39" t="n">
        <v>200.04</v>
      </c>
      <c r="Y2063" s="39" t="n">
        <f aca="false">J2063*Resumo!$B$6</f>
        <v>1.12228</v>
      </c>
      <c r="Z2063" s="39" t="n">
        <f aca="false">J2063*Resumo!$B$7</f>
        <v>2.24456</v>
      </c>
      <c r="AA2063" s="39" t="n">
        <f aca="false">Resumo!$B$9</f>
        <v>1</v>
      </c>
      <c r="AB2063" s="39" t="n">
        <f aca="false">Resumo!$B$10*CEILING(I2063/100,1)</f>
        <v>4.5</v>
      </c>
      <c r="AC2063" s="39" t="n">
        <f aca="false">Resumo!$B$12*CEILING(I2063,1)</f>
        <v>5.94</v>
      </c>
      <c r="AD2063" s="39" t="n">
        <f aca="false">Resumo!$B$14*CEILING(I2063,1)</f>
        <v>44.55</v>
      </c>
      <c r="AE2063" s="39" t="n">
        <f aca="false">SUM(X2063:AD2063)</f>
        <v>259.39684</v>
      </c>
      <c r="AF2063" s="39" t="n">
        <f aca="false">AE2063/(1-Resumo!$B$5)</f>
        <v>294.769136363636</v>
      </c>
      <c r="AG2063" s="39" t="n">
        <f aca="false">AF2063-W2063</f>
        <v>97.6173454545454</v>
      </c>
      <c r="AH2063" s="40" t="n">
        <f aca="false">AF2063/W2063-1</f>
        <v>0.495138010182002</v>
      </c>
      <c r="AI2063" s="37" t="str">
        <f aca="false">IF(AF2063&lt;W2063,"SIM","NÃO")</f>
        <v>NÃO</v>
      </c>
      <c r="AJ2063" s="37" t="n">
        <v>13</v>
      </c>
      <c r="AK2063" s="37" t="n">
        <v>11</v>
      </c>
      <c r="AL2063" s="37" t="s">
        <v>343</v>
      </c>
      <c r="AM2063" s="39" t="n">
        <v>193.98</v>
      </c>
    </row>
    <row r="2064" customFormat="false" ht="15" hidden="false" customHeight="false" outlineLevel="0" collapsed="false">
      <c r="A2064" s="37" t="n">
        <v>398754037</v>
      </c>
      <c r="B2064" s="38" t="n">
        <v>46288.9496875</v>
      </c>
      <c r="C2064" s="37" t="s">
        <v>340</v>
      </c>
      <c r="D2064" s="37" t="s">
        <v>411</v>
      </c>
      <c r="E2064" s="37" t="n">
        <v>22795135</v>
      </c>
      <c r="F2064" s="37" t="s">
        <v>159</v>
      </c>
      <c r="G2064" s="37" t="s">
        <v>196</v>
      </c>
      <c r="H2064" s="37" t="s">
        <v>184</v>
      </c>
      <c r="I2064" s="37" t="n">
        <v>20.9</v>
      </c>
      <c r="J2064" s="39" t="n">
        <v>469.99</v>
      </c>
      <c r="K2064" s="37" t="s">
        <v>342</v>
      </c>
      <c r="L2064" s="39" t="n">
        <v>82.58</v>
      </c>
      <c r="M2064" s="39" t="n">
        <v>42.11</v>
      </c>
      <c r="N2064" s="39" t="n">
        <f aca="false">J2064*Resumo!$C$6</f>
        <v>0</v>
      </c>
      <c r="O2064" s="39" t="n">
        <f aca="false">J2064*Resumo!$C$7</f>
        <v>0.986979</v>
      </c>
      <c r="P2064" s="39" t="n">
        <f aca="false">J2064*Resumo!$C$8</f>
        <v>0.986979</v>
      </c>
      <c r="Q2064" s="39" t="n">
        <f aca="false">Resumo!$C$10*CEILING(I2064/100,1)</f>
        <v>1.05</v>
      </c>
      <c r="R2064" s="39" t="n">
        <f aca="false">Resumo!$C$9</f>
        <v>0</v>
      </c>
      <c r="S2064" s="39" t="n">
        <f aca="false">Resumo!$C$13</f>
        <v>13.55</v>
      </c>
      <c r="T2064" s="39" t="n">
        <f aca="false">Resumo!$C$14*CEILING(I2064,1)</f>
        <v>9.45</v>
      </c>
      <c r="U2064" s="39" t="n">
        <f aca="false">SUM(M2064:T2064)*Resumo!$C$11</f>
        <v>0</v>
      </c>
      <c r="V2064" s="39" t="n">
        <f aca="false">SUM(M2064:U2064)</f>
        <v>68.133958</v>
      </c>
      <c r="W2064" s="39" t="n">
        <f aca="false">V2064/(1-Resumo!$C$5)</f>
        <v>77.4249522727273</v>
      </c>
      <c r="X2064" s="39" t="n">
        <v>82.21</v>
      </c>
      <c r="Y2064" s="39" t="n">
        <f aca="false">J2064*Resumo!$B$6</f>
        <v>0.46999</v>
      </c>
      <c r="Z2064" s="39" t="n">
        <f aca="false">J2064*Resumo!$B$7</f>
        <v>0.93998</v>
      </c>
      <c r="AA2064" s="39" t="n">
        <f aca="false">Resumo!$B$9</f>
        <v>1</v>
      </c>
      <c r="AB2064" s="39" t="n">
        <f aca="false">Resumo!$B$10*CEILING(I2064/100,1)</f>
        <v>4.5</v>
      </c>
      <c r="AC2064" s="39" t="n">
        <f aca="false">Resumo!$B$12*CEILING(I2064,1)</f>
        <v>1.26</v>
      </c>
      <c r="AD2064" s="39" t="n">
        <f aca="false">Resumo!$B$14*CEILING(I2064,1)</f>
        <v>9.45</v>
      </c>
      <c r="AE2064" s="39" t="n">
        <f aca="false">SUM(X2064:AD2064)</f>
        <v>99.82997</v>
      </c>
      <c r="AF2064" s="39" t="n">
        <f aca="false">AE2064/(1-Resumo!$B$5)</f>
        <v>113.443147727273</v>
      </c>
      <c r="AG2064" s="39" t="n">
        <f aca="false">AF2064-W2064</f>
        <v>36.0181954545455</v>
      </c>
      <c r="AH2064" s="40" t="n">
        <f aca="false">AF2064/W2064-1</f>
        <v>0.465201390472575</v>
      </c>
      <c r="AI2064" s="37" t="str">
        <f aca="false">IF(AF2064&lt;W2064,"SIM","NÃO")</f>
        <v>NÃO</v>
      </c>
      <c r="AJ2064" s="37" t="n">
        <v>2</v>
      </c>
      <c r="AK2064" s="37" t="n">
        <v>5</v>
      </c>
      <c r="AL2064" s="37" t="s">
        <v>343</v>
      </c>
      <c r="AM2064" s="39" t="n">
        <v>82.58</v>
      </c>
    </row>
    <row r="2065" customFormat="false" ht="15" hidden="false" customHeight="false" outlineLevel="0" collapsed="false">
      <c r="A2065" s="37" t="n">
        <v>398763185</v>
      </c>
      <c r="B2065" s="38" t="n">
        <v>46288.9741203704</v>
      </c>
      <c r="C2065" s="37" t="s">
        <v>340</v>
      </c>
      <c r="D2065" s="37" t="s">
        <v>2183</v>
      </c>
      <c r="E2065" s="37" t="n">
        <v>22451510</v>
      </c>
      <c r="F2065" s="37" t="s">
        <v>159</v>
      </c>
      <c r="G2065" s="37" t="s">
        <v>196</v>
      </c>
      <c r="H2065" s="37" t="s">
        <v>187</v>
      </c>
      <c r="I2065" s="37" t="n">
        <v>52.3</v>
      </c>
      <c r="J2065" s="39" t="n">
        <v>592.37</v>
      </c>
      <c r="K2065" s="37" t="s">
        <v>342</v>
      </c>
      <c r="L2065" s="39" t="n">
        <v>113.98</v>
      </c>
      <c r="M2065" s="39" t="n">
        <v>58.6</v>
      </c>
      <c r="N2065" s="39" t="n">
        <f aca="false">J2065*Resumo!$C$6</f>
        <v>0</v>
      </c>
      <c r="O2065" s="39" t="n">
        <f aca="false">J2065*Resumo!$C$7</f>
        <v>1.243977</v>
      </c>
      <c r="P2065" s="39" t="n">
        <f aca="false">J2065*Resumo!$C$8</f>
        <v>1.243977</v>
      </c>
      <c r="Q2065" s="39" t="n">
        <f aca="false">Resumo!$C$10*CEILING(I2065/100,1)</f>
        <v>1.05</v>
      </c>
      <c r="R2065" s="39" t="n">
        <f aca="false">Resumo!$C$9</f>
        <v>0</v>
      </c>
      <c r="S2065" s="39" t="n">
        <f aca="false">Resumo!$C$13</f>
        <v>13.55</v>
      </c>
      <c r="T2065" s="39" t="n">
        <f aca="false">Resumo!$C$14*CEILING(I2065,1)</f>
        <v>23.85</v>
      </c>
      <c r="U2065" s="39" t="n">
        <f aca="false">SUM(M2065:T2065)*Resumo!$C$11</f>
        <v>0</v>
      </c>
      <c r="V2065" s="39" t="n">
        <f aca="false">SUM(M2065:U2065)</f>
        <v>99.537954</v>
      </c>
      <c r="W2065" s="39" t="n">
        <f aca="false">V2065/(1-Resumo!$C$5)</f>
        <v>113.111311363636</v>
      </c>
      <c r="X2065" s="39" t="n">
        <v>112.3</v>
      </c>
      <c r="Y2065" s="39" t="n">
        <f aca="false">J2065*Resumo!$B$6</f>
        <v>0.59237</v>
      </c>
      <c r="Z2065" s="39" t="n">
        <f aca="false">J2065*Resumo!$B$7</f>
        <v>1.18474</v>
      </c>
      <c r="AA2065" s="39" t="n">
        <f aca="false">Resumo!$B$9</f>
        <v>1</v>
      </c>
      <c r="AB2065" s="39" t="n">
        <f aca="false">Resumo!$B$10*CEILING(I2065/100,1)</f>
        <v>4.5</v>
      </c>
      <c r="AC2065" s="39" t="n">
        <f aca="false">Resumo!$B$12*CEILING(I2065,1)</f>
        <v>3.18</v>
      </c>
      <c r="AD2065" s="39" t="n">
        <f aca="false">Resumo!$B$14*CEILING(I2065,1)</f>
        <v>23.85</v>
      </c>
      <c r="AE2065" s="39" t="n">
        <f aca="false">SUM(X2065:AD2065)</f>
        <v>146.60711</v>
      </c>
      <c r="AF2065" s="39" t="n">
        <f aca="false">AE2065/(1-Resumo!$B$5)</f>
        <v>166.598988636364</v>
      </c>
      <c r="AG2065" s="39" t="n">
        <f aca="false">AF2065-W2065</f>
        <v>53.4876772727273</v>
      </c>
      <c r="AH2065" s="40" t="n">
        <f aca="false">AF2065/W2065-1</f>
        <v>0.47287646679979</v>
      </c>
      <c r="AI2065" s="37" t="str">
        <f aca="false">IF(AF2065&lt;W2065,"SIM","NÃO")</f>
        <v>NÃO</v>
      </c>
      <c r="AJ2065" s="37" t="n">
        <v>2</v>
      </c>
      <c r="AK2065" s="37" t="n">
        <v>5</v>
      </c>
      <c r="AL2065" s="37" t="s">
        <v>343</v>
      </c>
      <c r="AM2065" s="39" t="n">
        <v>113.99</v>
      </c>
    </row>
    <row r="2066" customFormat="false" ht="15" hidden="false" customHeight="false" outlineLevel="0" collapsed="false">
      <c r="A2066" s="37" t="n">
        <v>398771461</v>
      </c>
      <c r="B2066" s="38" t="n">
        <v>46288.9985532407</v>
      </c>
      <c r="C2066" s="37" t="s">
        <v>340</v>
      </c>
      <c r="D2066" s="37" t="s">
        <v>2184</v>
      </c>
      <c r="E2066" s="37" t="n">
        <v>20725220</v>
      </c>
      <c r="F2066" s="37" t="s">
        <v>159</v>
      </c>
      <c r="G2066" s="37" t="s">
        <v>196</v>
      </c>
      <c r="H2066" s="37" t="s">
        <v>184</v>
      </c>
      <c r="I2066" s="37" t="n">
        <v>34</v>
      </c>
      <c r="J2066" s="39" t="n">
        <v>539.98</v>
      </c>
      <c r="K2066" s="37" t="s">
        <v>342</v>
      </c>
      <c r="L2066" s="39" t="n">
        <v>82.91</v>
      </c>
      <c r="M2066" s="39" t="n">
        <v>42.11</v>
      </c>
      <c r="N2066" s="39" t="n">
        <f aca="false">J2066*Resumo!$C$6</f>
        <v>0</v>
      </c>
      <c r="O2066" s="39" t="n">
        <f aca="false">J2066*Resumo!$C$7</f>
        <v>1.133958</v>
      </c>
      <c r="P2066" s="39" t="n">
        <f aca="false">J2066*Resumo!$C$8</f>
        <v>1.133958</v>
      </c>
      <c r="Q2066" s="39" t="n">
        <f aca="false">Resumo!$C$10*CEILING(I2066/100,1)</f>
        <v>1.05</v>
      </c>
      <c r="R2066" s="39" t="n">
        <f aca="false">Resumo!$C$9</f>
        <v>0</v>
      </c>
      <c r="S2066" s="39" t="n">
        <f aca="false">Resumo!$C$13</f>
        <v>13.55</v>
      </c>
      <c r="T2066" s="39" t="n">
        <f aca="false">Resumo!$C$14*CEILING(I2066,1)</f>
        <v>15.3</v>
      </c>
      <c r="U2066" s="39" t="n">
        <f aca="false">SUM(M2066:T2066)*Resumo!$C$11</f>
        <v>0</v>
      </c>
      <c r="V2066" s="39" t="n">
        <f aca="false">SUM(M2066:U2066)</f>
        <v>74.277916</v>
      </c>
      <c r="W2066" s="39" t="n">
        <f aca="false">V2066/(1-Resumo!$C$5)</f>
        <v>84.4067227272727</v>
      </c>
      <c r="X2066" s="39" t="n">
        <v>82.21</v>
      </c>
      <c r="Y2066" s="39" t="n">
        <f aca="false">J2066*Resumo!$B$6</f>
        <v>0.53998</v>
      </c>
      <c r="Z2066" s="39" t="n">
        <f aca="false">J2066*Resumo!$B$7</f>
        <v>1.07996</v>
      </c>
      <c r="AA2066" s="39" t="n">
        <f aca="false">Resumo!$B$9</f>
        <v>1</v>
      </c>
      <c r="AB2066" s="39" t="n">
        <f aca="false">Resumo!$B$10*CEILING(I2066/100,1)</f>
        <v>4.5</v>
      </c>
      <c r="AC2066" s="39" t="n">
        <f aca="false">Resumo!$B$12*CEILING(I2066,1)</f>
        <v>2.04</v>
      </c>
      <c r="AD2066" s="39" t="n">
        <f aca="false">Resumo!$B$14*CEILING(I2066,1)</f>
        <v>15.3</v>
      </c>
      <c r="AE2066" s="39" t="n">
        <f aca="false">SUM(X2066:AD2066)</f>
        <v>106.66994</v>
      </c>
      <c r="AF2066" s="39" t="n">
        <f aca="false">AE2066/(1-Resumo!$B$5)</f>
        <v>121.215840909091</v>
      </c>
      <c r="AG2066" s="39" t="n">
        <f aca="false">AF2066-W2066</f>
        <v>36.8091181818182</v>
      </c>
      <c r="AH2066" s="40" t="n">
        <f aca="false">AF2066/W2066-1</f>
        <v>0.436092256546347</v>
      </c>
      <c r="AI2066" s="37" t="str">
        <f aca="false">IF(AF2066&lt;W2066,"SIM","NÃO")</f>
        <v>NÃO</v>
      </c>
      <c r="AJ2066" s="37" t="n">
        <v>2</v>
      </c>
      <c r="AK2066" s="37" t="n">
        <v>5</v>
      </c>
      <c r="AL2066" s="37" t="s">
        <v>343</v>
      </c>
      <c r="AM2066" s="39" t="n">
        <v>82.91</v>
      </c>
    </row>
    <row r="2067" customFormat="false" ht="15" hidden="false" customHeight="false" outlineLevel="0" collapsed="false">
      <c r="A2067" s="37" t="n">
        <v>398776795</v>
      </c>
      <c r="B2067" s="38" t="n">
        <v>46289.0162268519</v>
      </c>
      <c r="C2067" s="37" t="s">
        <v>345</v>
      </c>
      <c r="D2067" s="37" t="s">
        <v>2185</v>
      </c>
      <c r="E2067" s="37" t="n">
        <v>22080002</v>
      </c>
      <c r="F2067" s="37" t="s">
        <v>159</v>
      </c>
      <c r="G2067" s="37" t="s">
        <v>196</v>
      </c>
      <c r="H2067" s="37" t="s">
        <v>185</v>
      </c>
      <c r="I2067" s="37" t="n">
        <v>36.8</v>
      </c>
      <c r="J2067" s="39" t="n">
        <v>435.08</v>
      </c>
      <c r="K2067" s="37" t="s">
        <v>342</v>
      </c>
      <c r="L2067" s="39" t="n">
        <v>91.94</v>
      </c>
      <c r="M2067" s="39" t="n">
        <v>48.35</v>
      </c>
      <c r="N2067" s="39" t="n">
        <f aca="false">J2067*Resumo!$C$6</f>
        <v>0</v>
      </c>
      <c r="O2067" s="39" t="n">
        <f aca="false">J2067*Resumo!$C$7</f>
        <v>0.913668</v>
      </c>
      <c r="P2067" s="39" t="n">
        <f aca="false">J2067*Resumo!$C$8</f>
        <v>0.913668</v>
      </c>
      <c r="Q2067" s="39" t="n">
        <f aca="false">Resumo!$C$10*CEILING(I2067/100,1)</f>
        <v>1.05</v>
      </c>
      <c r="R2067" s="39" t="n">
        <f aca="false">Resumo!$C$9</f>
        <v>0</v>
      </c>
      <c r="S2067" s="39" t="n">
        <f aca="false">Resumo!$C$13</f>
        <v>13.55</v>
      </c>
      <c r="T2067" s="39" t="n">
        <f aca="false">Resumo!$C$14*CEILING(I2067,1)</f>
        <v>16.65</v>
      </c>
      <c r="U2067" s="39" t="n">
        <f aca="false">SUM(M2067:T2067)*Resumo!$C$11</f>
        <v>0</v>
      </c>
      <c r="V2067" s="39" t="n">
        <f aca="false">SUM(M2067:U2067)</f>
        <v>81.427336</v>
      </c>
      <c r="W2067" s="39" t="n">
        <f aca="false">V2067/(1-Resumo!$C$5)</f>
        <v>92.5310636363637</v>
      </c>
      <c r="X2067" s="39" t="n">
        <v>93.97</v>
      </c>
      <c r="Y2067" s="39" t="n">
        <f aca="false">J2067*Resumo!$B$6</f>
        <v>0.43508</v>
      </c>
      <c r="Z2067" s="39" t="n">
        <f aca="false">J2067*Resumo!$B$7</f>
        <v>0.87016</v>
      </c>
      <c r="AA2067" s="39" t="n">
        <f aca="false">Resumo!$B$9</f>
        <v>1</v>
      </c>
      <c r="AB2067" s="39" t="n">
        <f aca="false">Resumo!$B$10*CEILING(I2067/100,1)</f>
        <v>4.5</v>
      </c>
      <c r="AC2067" s="39" t="n">
        <f aca="false">Resumo!$B$12*CEILING(I2067,1)</f>
        <v>2.22</v>
      </c>
      <c r="AD2067" s="39" t="n">
        <f aca="false">Resumo!$B$14*CEILING(I2067,1)</f>
        <v>16.65</v>
      </c>
      <c r="AE2067" s="39" t="n">
        <f aca="false">SUM(X2067:AD2067)</f>
        <v>119.64524</v>
      </c>
      <c r="AF2067" s="39" t="n">
        <f aca="false">AE2067/(1-Resumo!$B$5)</f>
        <v>135.9605</v>
      </c>
      <c r="AG2067" s="39" t="n">
        <f aca="false">AF2067-W2067</f>
        <v>43.4294363636363</v>
      </c>
      <c r="AH2067" s="40" t="n">
        <f aca="false">AF2067/W2067-1</f>
        <v>0.469349801644008</v>
      </c>
      <c r="AI2067" s="37" t="str">
        <f aca="false">IF(AF2067&lt;W2067,"SIM","NÃO")</f>
        <v>NÃO</v>
      </c>
      <c r="AJ2067" s="37" t="n">
        <v>2</v>
      </c>
      <c r="AK2067" s="37" t="n">
        <v>5</v>
      </c>
      <c r="AL2067" s="37" t="s">
        <v>343</v>
      </c>
      <c r="AM2067" s="39" t="n">
        <v>91.94</v>
      </c>
    </row>
    <row r="2068" customFormat="false" ht="15" hidden="false" customHeight="false" outlineLevel="0" collapsed="false">
      <c r="A2068" s="37" t="n">
        <v>398798838</v>
      </c>
      <c r="B2068" s="38" t="n">
        <v>46289.1094675926</v>
      </c>
      <c r="C2068" s="37" t="s">
        <v>345</v>
      </c>
      <c r="D2068" s="37" t="s">
        <v>2186</v>
      </c>
      <c r="E2068" s="37" t="n">
        <v>25060000</v>
      </c>
      <c r="F2068" s="37" t="s">
        <v>161</v>
      </c>
      <c r="G2068" s="37" t="s">
        <v>197</v>
      </c>
      <c r="H2068" s="37" t="s">
        <v>185</v>
      </c>
      <c r="I2068" s="37" t="n">
        <v>40</v>
      </c>
      <c r="J2068" s="39" t="n">
        <v>629.99</v>
      </c>
      <c r="K2068" s="37" t="s">
        <v>342</v>
      </c>
      <c r="L2068" s="39" t="n">
        <v>113.98</v>
      </c>
      <c r="M2068" s="39" t="n">
        <v>66.83</v>
      </c>
      <c r="N2068" s="39" t="n">
        <f aca="false">J2068*Resumo!$C$6</f>
        <v>0</v>
      </c>
      <c r="O2068" s="39" t="n">
        <f aca="false">J2068*Resumo!$C$7</f>
        <v>1.322979</v>
      </c>
      <c r="P2068" s="39" t="n">
        <f aca="false">J2068*Resumo!$C$8</f>
        <v>1.322979</v>
      </c>
      <c r="Q2068" s="39" t="n">
        <f aca="false">Resumo!$C$10*CEILING(I2068/100,1)</f>
        <v>1.05</v>
      </c>
      <c r="R2068" s="39" t="n">
        <f aca="false">Resumo!$C$9</f>
        <v>0</v>
      </c>
      <c r="S2068" s="39" t="n">
        <f aca="false">Resumo!$C$13</f>
        <v>13.55</v>
      </c>
      <c r="T2068" s="39" t="n">
        <f aca="false">Resumo!$C$14*CEILING(I2068,1)</f>
        <v>18</v>
      </c>
      <c r="U2068" s="39" t="n">
        <f aca="false">SUM(M2068:T2068)*Resumo!$C$11</f>
        <v>0</v>
      </c>
      <c r="V2068" s="39" t="n">
        <f aca="false">SUM(M2068:U2068)</f>
        <v>102.075958</v>
      </c>
      <c r="W2068" s="39" t="n">
        <f aca="false">V2068/(1-Resumo!$C$5)</f>
        <v>115.995406818182</v>
      </c>
      <c r="X2068" s="39" t="n">
        <v>93.97</v>
      </c>
      <c r="Y2068" s="39" t="n">
        <f aca="false">J2068*Resumo!$B$6</f>
        <v>0.62999</v>
      </c>
      <c r="Z2068" s="39" t="n">
        <f aca="false">J2068*Resumo!$B$7</f>
        <v>1.25998</v>
      </c>
      <c r="AA2068" s="39" t="n">
        <f aca="false">Resumo!$B$9</f>
        <v>1</v>
      </c>
      <c r="AB2068" s="39" t="n">
        <f aca="false">Resumo!$B$10*CEILING(I2068/100,1)</f>
        <v>4.5</v>
      </c>
      <c r="AC2068" s="39" t="n">
        <f aca="false">Resumo!$B$12*CEILING(I2068,1)</f>
        <v>2.4</v>
      </c>
      <c r="AD2068" s="39" t="n">
        <f aca="false">Resumo!$B$14*CEILING(I2068,1)</f>
        <v>18</v>
      </c>
      <c r="AE2068" s="39" t="n">
        <f aca="false">SUM(X2068:AD2068)</f>
        <v>121.75997</v>
      </c>
      <c r="AF2068" s="39" t="n">
        <f aca="false">AE2068/(1-Resumo!$B$5)</f>
        <v>138.363602272727</v>
      </c>
      <c r="AG2068" s="39" t="n">
        <f aca="false">AF2068-W2068</f>
        <v>22.3681954545454</v>
      </c>
      <c r="AH2068" s="40" t="n">
        <f aca="false">AF2068/W2068-1</f>
        <v>0.192836906806204</v>
      </c>
      <c r="AI2068" s="37" t="str">
        <f aca="false">IF(AF2068&lt;W2068,"SIM","NÃO")</f>
        <v>NÃO</v>
      </c>
      <c r="AJ2068" s="37" t="n">
        <v>2</v>
      </c>
      <c r="AK2068" s="37" t="n">
        <v>5</v>
      </c>
      <c r="AL2068" s="37" t="s">
        <v>343</v>
      </c>
      <c r="AM2068" s="39" t="n">
        <v>113.98</v>
      </c>
    </row>
    <row r="2069" customFormat="false" ht="15" hidden="false" customHeight="false" outlineLevel="0" collapsed="false">
      <c r="A2069" s="37" t="n">
        <v>398818471</v>
      </c>
      <c r="B2069" s="38" t="n">
        <v>46289.2061458333</v>
      </c>
      <c r="C2069" s="37" t="s">
        <v>340</v>
      </c>
      <c r="D2069" s="37" t="s">
        <v>2187</v>
      </c>
      <c r="E2069" s="37" t="n">
        <v>25943518</v>
      </c>
      <c r="F2069" s="37" t="s">
        <v>234</v>
      </c>
      <c r="G2069" s="37" t="s">
        <v>198</v>
      </c>
      <c r="H2069" s="37" t="s">
        <v>186</v>
      </c>
      <c r="I2069" s="37" t="n">
        <v>48</v>
      </c>
      <c r="J2069" s="39" t="n">
        <v>828.99</v>
      </c>
      <c r="K2069" s="37" t="s">
        <v>342</v>
      </c>
      <c r="L2069" s="39" t="n">
        <v>132.14</v>
      </c>
      <c r="M2069" s="39" t="n">
        <v>77.7</v>
      </c>
      <c r="N2069" s="39" t="n">
        <f aca="false">J2069*Resumo!$C$6</f>
        <v>0</v>
      </c>
      <c r="O2069" s="39" t="n">
        <f aca="false">J2069*Resumo!$C$7</f>
        <v>1.740879</v>
      </c>
      <c r="P2069" s="39" t="n">
        <f aca="false">J2069*Resumo!$C$8</f>
        <v>1.740879</v>
      </c>
      <c r="Q2069" s="39" t="n">
        <f aca="false">Resumo!$C$10*CEILING(I2069/100,1)</f>
        <v>1.05</v>
      </c>
      <c r="R2069" s="39" t="n">
        <f aca="false">Resumo!$C$9</f>
        <v>0</v>
      </c>
      <c r="S2069" s="39" t="n">
        <f aca="false">Resumo!$C$13</f>
        <v>13.55</v>
      </c>
      <c r="T2069" s="39" t="n">
        <f aca="false">Resumo!$C$14*CEILING(I2069,1)</f>
        <v>21.6</v>
      </c>
      <c r="U2069" s="39" t="n">
        <f aca="false">SUM(M2069:T2069)*Resumo!$C$11</f>
        <v>0</v>
      </c>
      <c r="V2069" s="39" t="n">
        <f aca="false">SUM(M2069:U2069)</f>
        <v>117.381758</v>
      </c>
      <c r="W2069" s="39" t="n">
        <f aca="false">V2069/(1-Resumo!$C$5)</f>
        <v>133.388361363636</v>
      </c>
      <c r="X2069" s="39" t="n">
        <v>117.23</v>
      </c>
      <c r="Y2069" s="39" t="n">
        <f aca="false">J2069*Resumo!$B$6</f>
        <v>0.82899</v>
      </c>
      <c r="Z2069" s="39" t="n">
        <f aca="false">J2069*Resumo!$B$7</f>
        <v>1.65798</v>
      </c>
      <c r="AA2069" s="39" t="n">
        <f aca="false">Resumo!$B$9</f>
        <v>1</v>
      </c>
      <c r="AB2069" s="39" t="n">
        <f aca="false">Resumo!$B$10*CEILING(I2069/100,1)</f>
        <v>4.5</v>
      </c>
      <c r="AC2069" s="39" t="n">
        <f aca="false">Resumo!$B$12*CEILING(I2069,1)</f>
        <v>2.88</v>
      </c>
      <c r="AD2069" s="39" t="n">
        <f aca="false">Resumo!$B$14*CEILING(I2069,1)</f>
        <v>21.6</v>
      </c>
      <c r="AE2069" s="39" t="n">
        <f aca="false">SUM(X2069:AD2069)</f>
        <v>149.69697</v>
      </c>
      <c r="AF2069" s="39" t="n">
        <f aca="false">AE2069/(1-Resumo!$B$5)</f>
        <v>170.110193181818</v>
      </c>
      <c r="AG2069" s="39" t="n">
        <f aca="false">AF2069-W2069</f>
        <v>36.7218318181818</v>
      </c>
      <c r="AH2069" s="40" t="n">
        <f aca="false">AF2069/W2069-1</f>
        <v>0.275300119461492</v>
      </c>
      <c r="AI2069" s="37" t="str">
        <f aca="false">IF(AF2069&lt;W2069,"SIM","NÃO")</f>
        <v>NÃO</v>
      </c>
      <c r="AJ2069" s="37" t="n">
        <v>13</v>
      </c>
      <c r="AK2069" s="37" t="n">
        <v>6</v>
      </c>
      <c r="AL2069" s="37" t="s">
        <v>347</v>
      </c>
      <c r="AM2069" s="39" t="n">
        <v>132.13</v>
      </c>
    </row>
    <row r="2070" customFormat="false" ht="15" hidden="false" customHeight="false" outlineLevel="0" collapsed="false">
      <c r="A2070" s="37" t="n">
        <v>398821118</v>
      </c>
      <c r="B2070" s="38" t="n">
        <v>46289.2205439815</v>
      </c>
      <c r="C2070" s="37" t="s">
        <v>340</v>
      </c>
      <c r="D2070" s="37" t="s">
        <v>2188</v>
      </c>
      <c r="E2070" s="37" t="n">
        <v>20531420</v>
      </c>
      <c r="F2070" s="37" t="s">
        <v>159</v>
      </c>
      <c r="G2070" s="37" t="s">
        <v>196</v>
      </c>
      <c r="H2070" s="37" t="s">
        <v>185</v>
      </c>
      <c r="I2070" s="37" t="n">
        <v>36.8</v>
      </c>
      <c r="J2070" s="39" t="n">
        <v>371.8</v>
      </c>
      <c r="K2070" s="37" t="s">
        <v>342</v>
      </c>
      <c r="L2070" s="39" t="n">
        <v>91.63</v>
      </c>
      <c r="M2070" s="39" t="n">
        <v>48.35</v>
      </c>
      <c r="N2070" s="39" t="n">
        <f aca="false">J2070*Resumo!$C$6</f>
        <v>0</v>
      </c>
      <c r="O2070" s="39" t="n">
        <f aca="false">J2070*Resumo!$C$7</f>
        <v>0.78078</v>
      </c>
      <c r="P2070" s="39" t="n">
        <f aca="false">J2070*Resumo!$C$8</f>
        <v>0.78078</v>
      </c>
      <c r="Q2070" s="39" t="n">
        <f aca="false">Resumo!$C$10*CEILING(I2070/100,1)</f>
        <v>1.05</v>
      </c>
      <c r="R2070" s="39" t="n">
        <f aca="false">Resumo!$C$9</f>
        <v>0</v>
      </c>
      <c r="S2070" s="39" t="n">
        <f aca="false">Resumo!$C$13</f>
        <v>13.55</v>
      </c>
      <c r="T2070" s="39" t="n">
        <f aca="false">Resumo!$C$14*CEILING(I2070,1)</f>
        <v>16.65</v>
      </c>
      <c r="U2070" s="39" t="n">
        <f aca="false">SUM(M2070:T2070)*Resumo!$C$11</f>
        <v>0</v>
      </c>
      <c r="V2070" s="39" t="n">
        <f aca="false">SUM(M2070:U2070)</f>
        <v>81.16156</v>
      </c>
      <c r="W2070" s="39" t="n">
        <f aca="false">V2070/(1-Resumo!$C$5)</f>
        <v>92.2290454545455</v>
      </c>
      <c r="X2070" s="39" t="n">
        <v>93.97</v>
      </c>
      <c r="Y2070" s="39" t="n">
        <f aca="false">J2070*Resumo!$B$6</f>
        <v>0.3718</v>
      </c>
      <c r="Z2070" s="39" t="n">
        <f aca="false">J2070*Resumo!$B$7</f>
        <v>0.7436</v>
      </c>
      <c r="AA2070" s="39" t="n">
        <f aca="false">Resumo!$B$9</f>
        <v>1</v>
      </c>
      <c r="AB2070" s="39" t="n">
        <f aca="false">Resumo!$B$10*CEILING(I2070/100,1)</f>
        <v>4.5</v>
      </c>
      <c r="AC2070" s="39" t="n">
        <f aca="false">Resumo!$B$12*CEILING(I2070,1)</f>
        <v>2.22</v>
      </c>
      <c r="AD2070" s="39" t="n">
        <f aca="false">Resumo!$B$14*CEILING(I2070,1)</f>
        <v>16.65</v>
      </c>
      <c r="AE2070" s="39" t="n">
        <f aca="false">SUM(X2070:AD2070)</f>
        <v>119.4554</v>
      </c>
      <c r="AF2070" s="39" t="n">
        <f aca="false">AE2070/(1-Resumo!$B$5)</f>
        <v>135.744772727273</v>
      </c>
      <c r="AG2070" s="39" t="n">
        <f aca="false">AF2070-W2070</f>
        <v>43.5157272727273</v>
      </c>
      <c r="AH2070" s="40" t="n">
        <f aca="false">AF2070/W2070-1</f>
        <v>0.471822375025813</v>
      </c>
      <c r="AI2070" s="37" t="str">
        <f aca="false">IF(AF2070&lt;W2070,"SIM","NÃO")</f>
        <v>NÃO</v>
      </c>
      <c r="AJ2070" s="37" t="n">
        <v>2</v>
      </c>
      <c r="AK2070" s="37" t="n">
        <v>5</v>
      </c>
      <c r="AL2070" s="37" t="s">
        <v>343</v>
      </c>
      <c r="AM2070" s="39" t="n">
        <v>91.64</v>
      </c>
    </row>
    <row r="2071" customFormat="false" ht="15" hidden="false" customHeight="false" outlineLevel="0" collapsed="false">
      <c r="A2071" s="37" t="n">
        <v>398844891</v>
      </c>
      <c r="B2071" s="38" t="n">
        <v>46289.3199768519</v>
      </c>
      <c r="C2071" s="37" t="s">
        <v>340</v>
      </c>
      <c r="D2071" s="37" t="s">
        <v>2189</v>
      </c>
      <c r="E2071" s="37" t="n">
        <v>22795780</v>
      </c>
      <c r="F2071" s="37" t="s">
        <v>159</v>
      </c>
      <c r="G2071" s="37" t="s">
        <v>196</v>
      </c>
      <c r="H2071" s="37" t="s">
        <v>184</v>
      </c>
      <c r="I2071" s="37" t="n">
        <v>24.4</v>
      </c>
      <c r="J2071" s="39" t="n">
        <v>329.69</v>
      </c>
      <c r="K2071" s="37" t="s">
        <v>342</v>
      </c>
      <c r="L2071" s="39" t="n">
        <v>81.91</v>
      </c>
      <c r="M2071" s="39" t="n">
        <v>42.11</v>
      </c>
      <c r="N2071" s="39" t="n">
        <f aca="false">J2071*Resumo!$C$6</f>
        <v>0</v>
      </c>
      <c r="O2071" s="39" t="n">
        <f aca="false">J2071*Resumo!$C$7</f>
        <v>0.692349</v>
      </c>
      <c r="P2071" s="39" t="n">
        <f aca="false">J2071*Resumo!$C$8</f>
        <v>0.692349</v>
      </c>
      <c r="Q2071" s="39" t="n">
        <f aca="false">Resumo!$C$10*CEILING(I2071/100,1)</f>
        <v>1.05</v>
      </c>
      <c r="R2071" s="39" t="n">
        <f aca="false">Resumo!$C$9</f>
        <v>0</v>
      </c>
      <c r="S2071" s="39" t="n">
        <f aca="false">Resumo!$C$13</f>
        <v>13.55</v>
      </c>
      <c r="T2071" s="39" t="n">
        <f aca="false">Resumo!$C$14*CEILING(I2071,1)</f>
        <v>11.25</v>
      </c>
      <c r="U2071" s="39" t="n">
        <f aca="false">SUM(M2071:T2071)*Resumo!$C$11</f>
        <v>0</v>
      </c>
      <c r="V2071" s="39" t="n">
        <f aca="false">SUM(M2071:U2071)</f>
        <v>69.344698</v>
      </c>
      <c r="W2071" s="39" t="n">
        <f aca="false">V2071/(1-Resumo!$C$5)</f>
        <v>78.8007931818182</v>
      </c>
      <c r="X2071" s="39" t="n">
        <v>82.21</v>
      </c>
      <c r="Y2071" s="39" t="n">
        <f aca="false">J2071*Resumo!$B$6</f>
        <v>0.32969</v>
      </c>
      <c r="Z2071" s="39" t="n">
        <f aca="false">J2071*Resumo!$B$7</f>
        <v>0.65938</v>
      </c>
      <c r="AA2071" s="39" t="n">
        <f aca="false">Resumo!$B$9</f>
        <v>1</v>
      </c>
      <c r="AB2071" s="39" t="n">
        <f aca="false">Resumo!$B$10*CEILING(I2071/100,1)</f>
        <v>4.5</v>
      </c>
      <c r="AC2071" s="39" t="n">
        <f aca="false">Resumo!$B$12*CEILING(I2071,1)</f>
        <v>1.5</v>
      </c>
      <c r="AD2071" s="39" t="n">
        <f aca="false">Resumo!$B$14*CEILING(I2071,1)</f>
        <v>11.25</v>
      </c>
      <c r="AE2071" s="39" t="n">
        <f aca="false">SUM(X2071:AD2071)</f>
        <v>101.44907</v>
      </c>
      <c r="AF2071" s="39" t="n">
        <f aca="false">AE2071/(1-Resumo!$B$5)</f>
        <v>115.283034090909</v>
      </c>
      <c r="AG2071" s="39" t="n">
        <f aca="false">AF2071-W2071</f>
        <v>36.4822409090909</v>
      </c>
      <c r="AH2071" s="40" t="n">
        <f aca="false">AF2071/W2071-1</f>
        <v>0.46296794024541</v>
      </c>
      <c r="AI2071" s="37" t="str">
        <f aca="false">IF(AF2071&lt;W2071,"SIM","NÃO")</f>
        <v>NÃO</v>
      </c>
      <c r="AJ2071" s="37" t="n">
        <v>2</v>
      </c>
      <c r="AK2071" s="37" t="n">
        <v>5</v>
      </c>
      <c r="AL2071" s="37" t="s">
        <v>343</v>
      </c>
      <c r="AM2071" s="39" t="n">
        <v>81.9</v>
      </c>
    </row>
    <row r="2072" customFormat="false" ht="15" hidden="false" customHeight="false" outlineLevel="0" collapsed="false">
      <c r="A2072" s="37" t="n">
        <v>398855281</v>
      </c>
      <c r="B2072" s="38" t="n">
        <v>46289.3527546296</v>
      </c>
      <c r="C2072" s="37" t="s">
        <v>340</v>
      </c>
      <c r="D2072" s="37" t="s">
        <v>902</v>
      </c>
      <c r="E2072" s="37" t="n">
        <v>28930000</v>
      </c>
      <c r="F2072" s="37" t="s">
        <v>291</v>
      </c>
      <c r="G2072" s="37" t="s">
        <v>198</v>
      </c>
      <c r="H2072" s="37" t="s">
        <v>185</v>
      </c>
      <c r="I2072" s="37" t="n">
        <v>36.9</v>
      </c>
      <c r="J2072" s="39" t="n">
        <v>399.99</v>
      </c>
      <c r="K2072" s="37" t="s">
        <v>342</v>
      </c>
      <c r="L2072" s="39" t="n">
        <v>122.16</v>
      </c>
      <c r="M2072" s="39" t="n">
        <v>74.97</v>
      </c>
      <c r="N2072" s="39" t="n">
        <f aca="false">J2072*Resumo!$C$6</f>
        <v>0</v>
      </c>
      <c r="O2072" s="39" t="n">
        <f aca="false">J2072*Resumo!$C$7</f>
        <v>0.839979</v>
      </c>
      <c r="P2072" s="39" t="n">
        <f aca="false">J2072*Resumo!$C$8</f>
        <v>0.839979</v>
      </c>
      <c r="Q2072" s="39" t="n">
        <f aca="false">Resumo!$C$10*CEILING(I2072/100,1)</f>
        <v>1.05</v>
      </c>
      <c r="R2072" s="39" t="n">
        <f aca="false">Resumo!$C$9</f>
        <v>0</v>
      </c>
      <c r="S2072" s="39" t="n">
        <f aca="false">Resumo!$C$13</f>
        <v>13.55</v>
      </c>
      <c r="T2072" s="39" t="n">
        <f aca="false">Resumo!$C$14*CEILING(I2072,1)</f>
        <v>16.65</v>
      </c>
      <c r="U2072" s="39" t="n">
        <f aca="false">SUM(M2072:T2072)*Resumo!$C$11</f>
        <v>0</v>
      </c>
      <c r="V2072" s="39" t="n">
        <f aca="false">SUM(M2072:U2072)</f>
        <v>107.899958</v>
      </c>
      <c r="W2072" s="39" t="n">
        <f aca="false">V2072/(1-Resumo!$C$5)</f>
        <v>122.613588636364</v>
      </c>
      <c r="X2072" s="39" t="n">
        <v>124.38</v>
      </c>
      <c r="Y2072" s="39" t="n">
        <f aca="false">J2072*Resumo!$B$6</f>
        <v>0.39999</v>
      </c>
      <c r="Z2072" s="39" t="n">
        <f aca="false">J2072*Resumo!$B$7</f>
        <v>0.79998</v>
      </c>
      <c r="AA2072" s="39" t="n">
        <f aca="false">Resumo!$B$9</f>
        <v>1</v>
      </c>
      <c r="AB2072" s="39" t="n">
        <f aca="false">Resumo!$B$10*CEILING(I2072/100,1)</f>
        <v>4.5</v>
      </c>
      <c r="AC2072" s="39" t="n">
        <f aca="false">Resumo!$B$12*CEILING(I2072,1)</f>
        <v>2.22</v>
      </c>
      <c r="AD2072" s="39" t="n">
        <f aca="false">Resumo!$B$14*CEILING(I2072,1)</f>
        <v>16.65</v>
      </c>
      <c r="AE2072" s="39" t="n">
        <f aca="false">SUM(X2072:AD2072)</f>
        <v>149.94997</v>
      </c>
      <c r="AF2072" s="39" t="n">
        <f aca="false">AE2072/(1-Resumo!$B$5)</f>
        <v>170.397693181818</v>
      </c>
      <c r="AG2072" s="39" t="n">
        <f aca="false">AF2072-W2072</f>
        <v>47.7841045454546</v>
      </c>
      <c r="AH2072" s="40" t="n">
        <f aca="false">AF2072/W2072-1</f>
        <v>0.389712959851199</v>
      </c>
      <c r="AI2072" s="37" t="str">
        <f aca="false">IF(AF2072&lt;W2072,"SIM","NÃO")</f>
        <v>NÃO</v>
      </c>
      <c r="AJ2072" s="37" t="n">
        <v>13</v>
      </c>
      <c r="AK2072" s="37" t="n">
        <v>10</v>
      </c>
      <c r="AL2072" s="37" t="s">
        <v>347</v>
      </c>
      <c r="AM2072" s="39" t="n">
        <v>122.16</v>
      </c>
    </row>
    <row r="2073" customFormat="false" ht="15" hidden="false" customHeight="false" outlineLevel="0" collapsed="false">
      <c r="A2073" s="37" t="n">
        <v>398857073</v>
      </c>
      <c r="B2073" s="38" t="n">
        <v>46289.3577893519</v>
      </c>
      <c r="C2073" s="37" t="s">
        <v>340</v>
      </c>
      <c r="D2073" s="37" t="s">
        <v>2190</v>
      </c>
      <c r="E2073" s="37" t="n">
        <v>28994807</v>
      </c>
      <c r="F2073" s="37" t="s">
        <v>295</v>
      </c>
      <c r="G2073" s="37" t="s">
        <v>198</v>
      </c>
      <c r="H2073" s="37" t="s">
        <v>186</v>
      </c>
      <c r="I2073" s="37" t="n">
        <v>41</v>
      </c>
      <c r="J2073" s="39" t="n">
        <v>487.99</v>
      </c>
      <c r="K2073" s="37" t="s">
        <v>342</v>
      </c>
      <c r="L2073" s="39" t="n">
        <v>130.51</v>
      </c>
      <c r="M2073" s="39" t="n">
        <v>77.7</v>
      </c>
      <c r="N2073" s="39" t="n">
        <f aca="false">J2073*Resumo!$C$6</f>
        <v>0</v>
      </c>
      <c r="O2073" s="39" t="n">
        <f aca="false">J2073*Resumo!$C$7</f>
        <v>1.024779</v>
      </c>
      <c r="P2073" s="39" t="n">
        <f aca="false">J2073*Resumo!$C$8</f>
        <v>1.024779</v>
      </c>
      <c r="Q2073" s="39" t="n">
        <f aca="false">Resumo!$C$10*CEILING(I2073/100,1)</f>
        <v>1.05</v>
      </c>
      <c r="R2073" s="39" t="n">
        <f aca="false">Resumo!$C$9</f>
        <v>0</v>
      </c>
      <c r="S2073" s="39" t="n">
        <f aca="false">Resumo!$C$13</f>
        <v>13.55</v>
      </c>
      <c r="T2073" s="39" t="n">
        <f aca="false">Resumo!$C$14*CEILING(I2073,1)</f>
        <v>18.45</v>
      </c>
      <c r="U2073" s="39" t="n">
        <f aca="false">SUM(M2073:T2073)*Resumo!$C$11</f>
        <v>0</v>
      </c>
      <c r="V2073" s="39" t="n">
        <f aca="false">SUM(M2073:U2073)</f>
        <v>112.799558</v>
      </c>
      <c r="W2073" s="39" t="n">
        <f aca="false">V2073/(1-Resumo!$C$5)</f>
        <v>128.181315909091</v>
      </c>
      <c r="X2073" s="39" t="n">
        <v>129.29</v>
      </c>
      <c r="Y2073" s="39" t="n">
        <f aca="false">J2073*Resumo!$B$6</f>
        <v>0.48799</v>
      </c>
      <c r="Z2073" s="39" t="n">
        <f aca="false">J2073*Resumo!$B$7</f>
        <v>0.97598</v>
      </c>
      <c r="AA2073" s="39" t="n">
        <f aca="false">Resumo!$B$9</f>
        <v>1</v>
      </c>
      <c r="AB2073" s="39" t="n">
        <f aca="false">Resumo!$B$10*CEILING(I2073/100,1)</f>
        <v>4.5</v>
      </c>
      <c r="AC2073" s="39" t="n">
        <f aca="false">Resumo!$B$12*CEILING(I2073,1)</f>
        <v>2.46</v>
      </c>
      <c r="AD2073" s="39" t="n">
        <f aca="false">Resumo!$B$14*CEILING(I2073,1)</f>
        <v>18.45</v>
      </c>
      <c r="AE2073" s="39" t="n">
        <f aca="false">SUM(X2073:AD2073)</f>
        <v>157.16397</v>
      </c>
      <c r="AF2073" s="39" t="n">
        <f aca="false">AE2073/(1-Resumo!$B$5)</f>
        <v>178.595420454545</v>
      </c>
      <c r="AG2073" s="39" t="n">
        <f aca="false">AF2073-W2073</f>
        <v>50.4141045454545</v>
      </c>
      <c r="AH2073" s="40" t="n">
        <f aca="false">AF2073/W2073-1</f>
        <v>0.393303065957049</v>
      </c>
      <c r="AI2073" s="37" t="str">
        <f aca="false">IF(AF2073&lt;W2073,"SIM","NÃO")</f>
        <v>NÃO</v>
      </c>
      <c r="AJ2073" s="37" t="n">
        <v>13</v>
      </c>
      <c r="AK2073" s="37" t="n">
        <v>10</v>
      </c>
      <c r="AL2073" s="37" t="s">
        <v>347</v>
      </c>
      <c r="AM2073" s="39" t="n">
        <v>130.5</v>
      </c>
    </row>
    <row r="2074" customFormat="false" ht="15" hidden="false" customHeight="false" outlineLevel="0" collapsed="false">
      <c r="A2074" s="37" t="n">
        <v>398863457</v>
      </c>
      <c r="B2074" s="38" t="n">
        <v>46289.3761458333</v>
      </c>
      <c r="C2074" s="37" t="s">
        <v>340</v>
      </c>
      <c r="D2074" s="37" t="s">
        <v>2191</v>
      </c>
      <c r="E2074" s="37" t="n">
        <v>25545430</v>
      </c>
      <c r="F2074" s="37" t="s">
        <v>167</v>
      </c>
      <c r="G2074" s="37" t="s">
        <v>197</v>
      </c>
      <c r="H2074" s="37" t="s">
        <v>187</v>
      </c>
      <c r="I2074" s="37" t="n">
        <v>52.3</v>
      </c>
      <c r="J2074" s="39" t="n">
        <v>592.37</v>
      </c>
      <c r="K2074" s="37" t="s">
        <v>342</v>
      </c>
      <c r="L2074" s="39" t="n">
        <v>128.11</v>
      </c>
      <c r="M2074" s="39" t="n">
        <v>70.98</v>
      </c>
      <c r="N2074" s="39" t="n">
        <f aca="false">J2074*Resumo!$C$6</f>
        <v>0</v>
      </c>
      <c r="O2074" s="39" t="n">
        <f aca="false">J2074*Resumo!$C$7</f>
        <v>1.243977</v>
      </c>
      <c r="P2074" s="39" t="n">
        <f aca="false">J2074*Resumo!$C$8</f>
        <v>1.243977</v>
      </c>
      <c r="Q2074" s="39" t="n">
        <f aca="false">Resumo!$C$10*CEILING(I2074/100,1)</f>
        <v>1.05</v>
      </c>
      <c r="R2074" s="39" t="n">
        <f aca="false">Resumo!$C$9</f>
        <v>0</v>
      </c>
      <c r="S2074" s="39" t="n">
        <f aca="false">Resumo!$C$13</f>
        <v>13.55</v>
      </c>
      <c r="T2074" s="39" t="n">
        <f aca="false">Resumo!$C$14*CEILING(I2074,1)</f>
        <v>23.85</v>
      </c>
      <c r="U2074" s="39" t="n">
        <f aca="false">SUM(M2074:T2074)*Resumo!$C$11</f>
        <v>0</v>
      </c>
      <c r="V2074" s="39" t="n">
        <f aca="false">SUM(M2074:U2074)</f>
        <v>111.917954</v>
      </c>
      <c r="W2074" s="39" t="n">
        <f aca="false">V2074/(1-Resumo!$C$5)</f>
        <v>127.179493181818</v>
      </c>
      <c r="X2074" s="39" t="n">
        <v>112.3</v>
      </c>
      <c r="Y2074" s="39" t="n">
        <f aca="false">J2074*Resumo!$B$6</f>
        <v>0.59237</v>
      </c>
      <c r="Z2074" s="39" t="n">
        <f aca="false">J2074*Resumo!$B$7</f>
        <v>1.18474</v>
      </c>
      <c r="AA2074" s="39" t="n">
        <f aca="false">Resumo!$B$9</f>
        <v>1</v>
      </c>
      <c r="AB2074" s="39" t="n">
        <f aca="false">Resumo!$B$10*CEILING(I2074/100,1)</f>
        <v>4.5</v>
      </c>
      <c r="AC2074" s="39" t="n">
        <f aca="false">Resumo!$B$12*CEILING(I2074,1)</f>
        <v>3.18</v>
      </c>
      <c r="AD2074" s="39" t="n">
        <f aca="false">Resumo!$B$14*CEILING(I2074,1)</f>
        <v>23.85</v>
      </c>
      <c r="AE2074" s="39" t="n">
        <f aca="false">SUM(X2074:AD2074)</f>
        <v>146.60711</v>
      </c>
      <c r="AF2074" s="39" t="n">
        <f aca="false">AE2074/(1-Resumo!$B$5)</f>
        <v>166.598988636364</v>
      </c>
      <c r="AG2074" s="39" t="n">
        <f aca="false">AF2074-W2074</f>
        <v>39.4194954545454</v>
      </c>
      <c r="AH2074" s="40" t="n">
        <f aca="false">AF2074/W2074-1</f>
        <v>0.309951663340808</v>
      </c>
      <c r="AI2074" s="37" t="str">
        <f aca="false">IF(AF2074&lt;W2074,"SIM","NÃO")</f>
        <v>NÃO</v>
      </c>
      <c r="AJ2074" s="37" t="n">
        <v>2</v>
      </c>
      <c r="AK2074" s="37" t="n">
        <v>5</v>
      </c>
      <c r="AL2074" s="37" t="s">
        <v>343</v>
      </c>
      <c r="AM2074" s="39" t="n">
        <v>128.12</v>
      </c>
    </row>
    <row r="2075" customFormat="false" ht="15" hidden="false" customHeight="false" outlineLevel="0" collapsed="false">
      <c r="A2075" s="37" t="n">
        <v>398867853</v>
      </c>
      <c r="B2075" s="38" t="n">
        <v>46289.3873726852</v>
      </c>
      <c r="C2075" s="37" t="s">
        <v>340</v>
      </c>
      <c r="D2075" s="37" t="s">
        <v>2192</v>
      </c>
      <c r="E2075" s="37" t="n">
        <v>25821370</v>
      </c>
      <c r="F2075" s="37" t="s">
        <v>228</v>
      </c>
      <c r="G2075" s="37" t="s">
        <v>198</v>
      </c>
      <c r="H2075" s="37" t="s">
        <v>188</v>
      </c>
      <c r="I2075" s="37" t="n">
        <v>66.8</v>
      </c>
      <c r="J2075" s="39" t="n">
        <v>644.99</v>
      </c>
      <c r="K2075" s="37" t="s">
        <v>342</v>
      </c>
      <c r="L2075" s="39" t="n">
        <v>155.11</v>
      </c>
      <c r="M2075" s="39" t="n">
        <v>90.2</v>
      </c>
      <c r="N2075" s="39" t="n">
        <f aca="false">J2075*Resumo!$C$6</f>
        <v>0</v>
      </c>
      <c r="O2075" s="39" t="n">
        <f aca="false">J2075*Resumo!$C$7</f>
        <v>1.354479</v>
      </c>
      <c r="P2075" s="39" t="n">
        <f aca="false">J2075*Resumo!$C$8</f>
        <v>1.354479</v>
      </c>
      <c r="Q2075" s="39" t="n">
        <f aca="false">Resumo!$C$10*CEILING(I2075/100,1)</f>
        <v>1.05</v>
      </c>
      <c r="R2075" s="39" t="n">
        <f aca="false">Resumo!$C$9</f>
        <v>0</v>
      </c>
      <c r="S2075" s="39" t="n">
        <f aca="false">Resumo!$C$13</f>
        <v>13.55</v>
      </c>
      <c r="T2075" s="39" t="n">
        <f aca="false">Resumo!$C$14*CEILING(I2075,1)</f>
        <v>30.15</v>
      </c>
      <c r="U2075" s="39" t="n">
        <f aca="false">SUM(M2075:T2075)*Resumo!$C$11</f>
        <v>0</v>
      </c>
      <c r="V2075" s="39" t="n">
        <f aca="false">SUM(M2075:U2075)</f>
        <v>137.658958</v>
      </c>
      <c r="W2075" s="39" t="n">
        <f aca="false">V2075/(1-Resumo!$C$5)</f>
        <v>156.430634090909</v>
      </c>
      <c r="X2075" s="39" t="n">
        <v>166.05</v>
      </c>
      <c r="Y2075" s="39" t="n">
        <f aca="false">J2075*Resumo!$B$6</f>
        <v>0.64499</v>
      </c>
      <c r="Z2075" s="39" t="n">
        <f aca="false">J2075*Resumo!$B$7</f>
        <v>1.28998</v>
      </c>
      <c r="AA2075" s="39" t="n">
        <f aca="false">Resumo!$B$9</f>
        <v>1</v>
      </c>
      <c r="AB2075" s="39" t="n">
        <f aca="false">Resumo!$B$10*CEILING(I2075/100,1)</f>
        <v>4.5</v>
      </c>
      <c r="AC2075" s="39" t="n">
        <f aca="false">Resumo!$B$12*CEILING(I2075,1)</f>
        <v>4.02</v>
      </c>
      <c r="AD2075" s="39" t="n">
        <f aca="false">Resumo!$B$14*CEILING(I2075,1)</f>
        <v>30.15</v>
      </c>
      <c r="AE2075" s="39" t="n">
        <f aca="false">SUM(X2075:AD2075)</f>
        <v>207.65497</v>
      </c>
      <c r="AF2075" s="39" t="n">
        <f aca="false">AE2075/(1-Resumo!$B$5)</f>
        <v>235.971556818182</v>
      </c>
      <c r="AG2075" s="39" t="n">
        <f aca="false">AF2075-W2075</f>
        <v>79.5409227272727</v>
      </c>
      <c r="AH2075" s="40" t="n">
        <f aca="false">AF2075/W2075-1</f>
        <v>0.508474079834311</v>
      </c>
      <c r="AI2075" s="37" t="str">
        <f aca="false">IF(AF2075&lt;W2075,"SIM","NÃO")</f>
        <v>NÃO</v>
      </c>
      <c r="AJ2075" s="37" t="n">
        <v>13</v>
      </c>
      <c r="AK2075" s="37" t="n">
        <v>8</v>
      </c>
      <c r="AL2075" s="37" t="s">
        <v>347</v>
      </c>
      <c r="AM2075" s="39" t="n">
        <v>155.11</v>
      </c>
    </row>
    <row r="2076" customFormat="false" ht="15" hidden="false" customHeight="false" outlineLevel="0" collapsed="false">
      <c r="A2076" s="37" t="n">
        <v>398885024</v>
      </c>
      <c r="B2076" s="38" t="n">
        <v>46289.4271296296</v>
      </c>
      <c r="C2076" s="37" t="s">
        <v>340</v>
      </c>
      <c r="D2076" s="37" t="s">
        <v>2193</v>
      </c>
      <c r="E2076" s="37" t="n">
        <v>21230165</v>
      </c>
      <c r="F2076" s="37" t="s">
        <v>159</v>
      </c>
      <c r="G2076" s="37" t="s">
        <v>196</v>
      </c>
      <c r="H2076" s="37" t="s">
        <v>185</v>
      </c>
      <c r="I2076" s="37" t="n">
        <v>37.2</v>
      </c>
      <c r="J2076" s="39" t="n">
        <v>366.5</v>
      </c>
      <c r="K2076" s="37" t="s">
        <v>342</v>
      </c>
      <c r="L2076" s="39" t="n">
        <v>91.6</v>
      </c>
      <c r="M2076" s="39" t="n">
        <v>48.35</v>
      </c>
      <c r="N2076" s="39" t="n">
        <f aca="false">J2076*Resumo!$C$6</f>
        <v>0</v>
      </c>
      <c r="O2076" s="39" t="n">
        <f aca="false">J2076*Resumo!$C$7</f>
        <v>0.76965</v>
      </c>
      <c r="P2076" s="39" t="n">
        <f aca="false">J2076*Resumo!$C$8</f>
        <v>0.76965</v>
      </c>
      <c r="Q2076" s="39" t="n">
        <f aca="false">Resumo!$C$10*CEILING(I2076/100,1)</f>
        <v>1.05</v>
      </c>
      <c r="R2076" s="39" t="n">
        <f aca="false">Resumo!$C$9</f>
        <v>0</v>
      </c>
      <c r="S2076" s="39" t="n">
        <f aca="false">Resumo!$C$13</f>
        <v>13.55</v>
      </c>
      <c r="T2076" s="39" t="n">
        <f aca="false">Resumo!$C$14*CEILING(I2076,1)</f>
        <v>17.1</v>
      </c>
      <c r="U2076" s="39" t="n">
        <f aca="false">SUM(M2076:T2076)*Resumo!$C$11</f>
        <v>0</v>
      </c>
      <c r="V2076" s="39" t="n">
        <f aca="false">SUM(M2076:U2076)</f>
        <v>81.5893</v>
      </c>
      <c r="W2076" s="39" t="n">
        <f aca="false">V2076/(1-Resumo!$C$5)</f>
        <v>92.7151136363636</v>
      </c>
      <c r="X2076" s="39" t="n">
        <v>93.97</v>
      </c>
      <c r="Y2076" s="39" t="n">
        <f aca="false">J2076*Resumo!$B$6</f>
        <v>0.3665</v>
      </c>
      <c r="Z2076" s="39" t="n">
        <f aca="false">J2076*Resumo!$B$7</f>
        <v>0.733</v>
      </c>
      <c r="AA2076" s="39" t="n">
        <f aca="false">Resumo!$B$9</f>
        <v>1</v>
      </c>
      <c r="AB2076" s="39" t="n">
        <f aca="false">Resumo!$B$10*CEILING(I2076/100,1)</f>
        <v>4.5</v>
      </c>
      <c r="AC2076" s="39" t="n">
        <f aca="false">Resumo!$B$12*CEILING(I2076,1)</f>
        <v>2.28</v>
      </c>
      <c r="AD2076" s="39" t="n">
        <f aca="false">Resumo!$B$14*CEILING(I2076,1)</f>
        <v>17.1</v>
      </c>
      <c r="AE2076" s="39" t="n">
        <f aca="false">SUM(X2076:AD2076)</f>
        <v>119.9495</v>
      </c>
      <c r="AF2076" s="39" t="n">
        <f aca="false">AE2076/(1-Resumo!$B$5)</f>
        <v>136.30625</v>
      </c>
      <c r="AG2076" s="39" t="n">
        <f aca="false">AF2076-W2076</f>
        <v>43.5911363636364</v>
      </c>
      <c r="AH2076" s="40" t="n">
        <f aca="false">AF2076/W2076-1</f>
        <v>0.470162141359222</v>
      </c>
      <c r="AI2076" s="37" t="str">
        <f aca="false">IF(AF2076&lt;W2076,"SIM","NÃO")</f>
        <v>NÃO</v>
      </c>
      <c r="AJ2076" s="37" t="n">
        <v>2</v>
      </c>
      <c r="AK2076" s="37" t="n">
        <v>5</v>
      </c>
      <c r="AL2076" s="37" t="s">
        <v>343</v>
      </c>
      <c r="AM2076" s="39" t="n">
        <v>91.61</v>
      </c>
    </row>
    <row r="2077" customFormat="false" ht="15" hidden="false" customHeight="false" outlineLevel="0" collapsed="false">
      <c r="A2077" s="37" t="n">
        <v>398906762</v>
      </c>
      <c r="B2077" s="38" t="n">
        <v>46289.4741898148</v>
      </c>
      <c r="C2077" s="37" t="s">
        <v>345</v>
      </c>
      <c r="D2077" s="37" t="s">
        <v>2194</v>
      </c>
      <c r="E2077" s="37" t="n">
        <v>24710150</v>
      </c>
      <c r="F2077" s="37" t="s">
        <v>160</v>
      </c>
      <c r="G2077" s="37" t="s">
        <v>197</v>
      </c>
      <c r="H2077" s="37" t="s">
        <v>184</v>
      </c>
      <c r="I2077" s="37" t="n">
        <v>33</v>
      </c>
      <c r="J2077" s="39" t="n">
        <v>569.99</v>
      </c>
      <c r="K2077" s="37" t="s">
        <v>342</v>
      </c>
      <c r="L2077" s="39" t="n">
        <v>102.11</v>
      </c>
      <c r="M2077" s="39" t="n">
        <v>58.8</v>
      </c>
      <c r="N2077" s="39" t="n">
        <f aca="false">J2077*Resumo!$C$6</f>
        <v>0</v>
      </c>
      <c r="O2077" s="39" t="n">
        <f aca="false">J2077*Resumo!$C$7</f>
        <v>1.196979</v>
      </c>
      <c r="P2077" s="39" t="n">
        <f aca="false">J2077*Resumo!$C$8</f>
        <v>1.196979</v>
      </c>
      <c r="Q2077" s="39" t="n">
        <f aca="false">Resumo!$C$10*CEILING(I2077/100,1)</f>
        <v>1.05</v>
      </c>
      <c r="R2077" s="39" t="n">
        <f aca="false">Resumo!$C$9</f>
        <v>0</v>
      </c>
      <c r="S2077" s="39" t="n">
        <f aca="false">Resumo!$C$13</f>
        <v>13.55</v>
      </c>
      <c r="T2077" s="39" t="n">
        <f aca="false">Resumo!$C$14*CEILING(I2077,1)</f>
        <v>14.85</v>
      </c>
      <c r="U2077" s="39" t="n">
        <f aca="false">SUM(M2077:T2077)*Resumo!$C$11</f>
        <v>0</v>
      </c>
      <c r="V2077" s="39" t="n">
        <f aca="false">SUM(M2077:U2077)</f>
        <v>90.643958</v>
      </c>
      <c r="W2077" s="39" t="n">
        <f aca="false">V2077/(1-Resumo!$C$5)</f>
        <v>103.004497727273</v>
      </c>
      <c r="X2077" s="39" t="n">
        <v>100.58</v>
      </c>
      <c r="Y2077" s="39" t="n">
        <f aca="false">J2077*Resumo!$B$6</f>
        <v>0.56999</v>
      </c>
      <c r="Z2077" s="39" t="n">
        <f aca="false">J2077*Resumo!$B$7</f>
        <v>1.13998</v>
      </c>
      <c r="AA2077" s="39" t="n">
        <f aca="false">Resumo!$B$9</f>
        <v>1</v>
      </c>
      <c r="AB2077" s="39" t="n">
        <f aca="false">Resumo!$B$10*CEILING(I2077/100,1)</f>
        <v>4.5</v>
      </c>
      <c r="AC2077" s="39" t="n">
        <f aca="false">Resumo!$B$12*CEILING(I2077,1)</f>
        <v>1.98</v>
      </c>
      <c r="AD2077" s="39" t="n">
        <f aca="false">Resumo!$B$14*CEILING(I2077,1)</f>
        <v>14.85</v>
      </c>
      <c r="AE2077" s="39" t="n">
        <f aca="false">SUM(X2077:AD2077)</f>
        <v>124.61997</v>
      </c>
      <c r="AF2077" s="39" t="n">
        <f aca="false">AE2077/(1-Resumo!$B$5)</f>
        <v>141.613602272727</v>
      </c>
      <c r="AG2077" s="39" t="n">
        <f aca="false">AF2077-W2077</f>
        <v>38.6091045454545</v>
      </c>
      <c r="AH2077" s="40" t="n">
        <f aca="false">AF2077/W2077-1</f>
        <v>0.374829307431611</v>
      </c>
      <c r="AI2077" s="37" t="str">
        <f aca="false">IF(AF2077&lt;W2077,"SIM","NÃO")</f>
        <v>NÃO</v>
      </c>
      <c r="AJ2077" s="37" t="n">
        <v>2</v>
      </c>
      <c r="AK2077" s="37" t="n">
        <v>7</v>
      </c>
      <c r="AL2077" s="37" t="s">
        <v>343</v>
      </c>
      <c r="AM2077" s="39" t="n">
        <v>102.12</v>
      </c>
    </row>
    <row r="2078" customFormat="false" ht="15" hidden="false" customHeight="false" outlineLevel="0" collapsed="false">
      <c r="A2078" s="37" t="n">
        <v>398907017</v>
      </c>
      <c r="B2078" s="38" t="n">
        <v>46289.475162037</v>
      </c>
      <c r="C2078" s="37" t="s">
        <v>340</v>
      </c>
      <c r="D2078" s="37" t="s">
        <v>2195</v>
      </c>
      <c r="E2078" s="37" t="n">
        <v>28980014</v>
      </c>
      <c r="F2078" s="37" t="s">
        <v>173</v>
      </c>
      <c r="G2078" s="37" t="s">
        <v>198</v>
      </c>
      <c r="H2078" s="37" t="s">
        <v>185</v>
      </c>
      <c r="I2078" s="37" t="n">
        <v>37.2</v>
      </c>
      <c r="J2078" s="39" t="n">
        <v>366.5</v>
      </c>
      <c r="K2078" s="37" t="s">
        <v>342</v>
      </c>
      <c r="L2078" s="39" t="n">
        <v>122</v>
      </c>
      <c r="M2078" s="39" t="n">
        <v>74.97</v>
      </c>
      <c r="N2078" s="39" t="n">
        <f aca="false">J2078*Resumo!$C$6</f>
        <v>0</v>
      </c>
      <c r="O2078" s="39" t="n">
        <f aca="false">J2078*Resumo!$C$7</f>
        <v>0.76965</v>
      </c>
      <c r="P2078" s="39" t="n">
        <f aca="false">J2078*Resumo!$C$8</f>
        <v>0.76965</v>
      </c>
      <c r="Q2078" s="39" t="n">
        <f aca="false">Resumo!$C$10*CEILING(I2078/100,1)</f>
        <v>1.05</v>
      </c>
      <c r="R2078" s="39" t="n">
        <f aca="false">Resumo!$C$9</f>
        <v>0</v>
      </c>
      <c r="S2078" s="39" t="n">
        <f aca="false">Resumo!$C$13</f>
        <v>13.55</v>
      </c>
      <c r="T2078" s="39" t="n">
        <f aca="false">Resumo!$C$14*CEILING(I2078,1)</f>
        <v>17.1</v>
      </c>
      <c r="U2078" s="39" t="n">
        <f aca="false">SUM(M2078:T2078)*Resumo!$C$11</f>
        <v>0</v>
      </c>
      <c r="V2078" s="39" t="n">
        <f aca="false">SUM(M2078:U2078)</f>
        <v>108.2093</v>
      </c>
      <c r="W2078" s="39" t="n">
        <f aca="false">V2078/(1-Resumo!$C$5)</f>
        <v>122.965113636364</v>
      </c>
      <c r="X2078" s="39" t="n">
        <v>124.38</v>
      </c>
      <c r="Y2078" s="39" t="n">
        <f aca="false">J2078*Resumo!$B$6</f>
        <v>0.3665</v>
      </c>
      <c r="Z2078" s="39" t="n">
        <f aca="false">J2078*Resumo!$B$7</f>
        <v>0.733</v>
      </c>
      <c r="AA2078" s="39" t="n">
        <f aca="false">Resumo!$B$9</f>
        <v>1</v>
      </c>
      <c r="AB2078" s="39" t="n">
        <f aca="false">Resumo!$B$10*CEILING(I2078/100,1)</f>
        <v>4.5</v>
      </c>
      <c r="AC2078" s="39" t="n">
        <f aca="false">Resumo!$B$12*CEILING(I2078,1)</f>
        <v>2.28</v>
      </c>
      <c r="AD2078" s="39" t="n">
        <f aca="false">Resumo!$B$14*CEILING(I2078,1)</f>
        <v>17.1</v>
      </c>
      <c r="AE2078" s="39" t="n">
        <f aca="false">SUM(X2078:AD2078)</f>
        <v>150.3595</v>
      </c>
      <c r="AF2078" s="39" t="n">
        <f aca="false">AE2078/(1-Resumo!$B$5)</f>
        <v>170.863068181818</v>
      </c>
      <c r="AG2078" s="39" t="n">
        <f aca="false">AF2078-W2078</f>
        <v>47.8979545454545</v>
      </c>
      <c r="AH2078" s="40" t="n">
        <f aca="false">AF2078/W2078-1</f>
        <v>0.389524745100467</v>
      </c>
      <c r="AI2078" s="37" t="str">
        <f aca="false">IF(AF2078&lt;W2078,"SIM","NÃO")</f>
        <v>NÃO</v>
      </c>
      <c r="AJ2078" s="37" t="n">
        <v>13</v>
      </c>
      <c r="AK2078" s="37" t="n">
        <v>10</v>
      </c>
      <c r="AL2078" s="37" t="s">
        <v>343</v>
      </c>
      <c r="AM2078" s="39" t="n">
        <v>122</v>
      </c>
    </row>
    <row r="2079" customFormat="false" ht="15" hidden="false" customHeight="false" outlineLevel="0" collapsed="false">
      <c r="A2079" s="37" t="n">
        <v>398913104</v>
      </c>
      <c r="B2079" s="38" t="n">
        <v>46289.4859953704</v>
      </c>
      <c r="C2079" s="37" t="s">
        <v>340</v>
      </c>
      <c r="D2079" s="37" t="s">
        <v>2196</v>
      </c>
      <c r="E2079" s="37" t="n">
        <v>26700000</v>
      </c>
      <c r="F2079" s="37" t="s">
        <v>241</v>
      </c>
      <c r="G2079" s="37" t="s">
        <v>198</v>
      </c>
      <c r="H2079" s="37" t="s">
        <v>187</v>
      </c>
      <c r="I2079" s="37" t="n">
        <v>52.3</v>
      </c>
      <c r="J2079" s="39" t="n">
        <v>592.37</v>
      </c>
      <c r="K2079" s="37" t="s">
        <v>342</v>
      </c>
      <c r="L2079" s="39" t="n">
        <v>142.5</v>
      </c>
      <c r="M2079" s="39" t="n">
        <v>83.58</v>
      </c>
      <c r="N2079" s="39" t="n">
        <f aca="false">J2079*Resumo!$C$6</f>
        <v>0</v>
      </c>
      <c r="O2079" s="39" t="n">
        <f aca="false">J2079*Resumo!$C$7</f>
        <v>1.243977</v>
      </c>
      <c r="P2079" s="39" t="n">
        <f aca="false">J2079*Resumo!$C$8</f>
        <v>1.243977</v>
      </c>
      <c r="Q2079" s="39" t="n">
        <f aca="false">Resumo!$C$10*CEILING(I2079/100,1)</f>
        <v>1.05</v>
      </c>
      <c r="R2079" s="39" t="n">
        <f aca="false">Resumo!$C$9</f>
        <v>0</v>
      </c>
      <c r="S2079" s="39" t="n">
        <f aca="false">Resumo!$C$13</f>
        <v>13.55</v>
      </c>
      <c r="T2079" s="39" t="n">
        <f aca="false">Resumo!$C$14*CEILING(I2079,1)</f>
        <v>23.85</v>
      </c>
      <c r="U2079" s="39" t="n">
        <f aca="false">SUM(M2079:T2079)*Resumo!$C$11</f>
        <v>0</v>
      </c>
      <c r="V2079" s="39" t="n">
        <f aca="false">SUM(M2079:U2079)</f>
        <v>124.517954</v>
      </c>
      <c r="W2079" s="39" t="n">
        <f aca="false">V2079/(1-Resumo!$C$5)</f>
        <v>141.497675</v>
      </c>
      <c r="X2079" s="39" t="n">
        <v>142.32</v>
      </c>
      <c r="Y2079" s="39" t="n">
        <f aca="false">J2079*Resumo!$B$6</f>
        <v>0.59237</v>
      </c>
      <c r="Z2079" s="39" t="n">
        <f aca="false">J2079*Resumo!$B$7</f>
        <v>1.18474</v>
      </c>
      <c r="AA2079" s="39" t="n">
        <f aca="false">Resumo!$B$9</f>
        <v>1</v>
      </c>
      <c r="AB2079" s="39" t="n">
        <f aca="false">Resumo!$B$10*CEILING(I2079/100,1)</f>
        <v>4.5</v>
      </c>
      <c r="AC2079" s="39" t="n">
        <f aca="false">Resumo!$B$12*CEILING(I2079,1)</f>
        <v>3.18</v>
      </c>
      <c r="AD2079" s="39" t="n">
        <f aca="false">Resumo!$B$14*CEILING(I2079,1)</f>
        <v>23.85</v>
      </c>
      <c r="AE2079" s="39" t="n">
        <f aca="false">SUM(X2079:AD2079)</f>
        <v>176.62711</v>
      </c>
      <c r="AF2079" s="39" t="n">
        <f aca="false">AE2079/(1-Resumo!$B$5)</f>
        <v>200.712625</v>
      </c>
      <c r="AG2079" s="39" t="n">
        <f aca="false">AF2079-W2079</f>
        <v>59.21495</v>
      </c>
      <c r="AH2079" s="40" t="n">
        <f aca="false">AF2079/W2079-1</f>
        <v>0.418487088215407</v>
      </c>
      <c r="AI2079" s="37" t="str">
        <f aca="false">IF(AF2079&lt;W2079,"SIM","NÃO")</f>
        <v>NÃO</v>
      </c>
      <c r="AJ2079" s="37" t="n">
        <v>13</v>
      </c>
      <c r="AK2079" s="37" t="n">
        <v>10</v>
      </c>
      <c r="AL2079" s="37" t="s">
        <v>347</v>
      </c>
      <c r="AM2079" s="39" t="n">
        <v>142.51</v>
      </c>
    </row>
    <row r="2080" customFormat="false" ht="15" hidden="false" customHeight="false" outlineLevel="0" collapsed="false">
      <c r="A2080" s="37" t="n">
        <v>398922896</v>
      </c>
      <c r="B2080" s="38" t="n">
        <v>46289.5053703704</v>
      </c>
      <c r="C2080" s="37" t="s">
        <v>340</v>
      </c>
      <c r="D2080" s="37" t="s">
        <v>2197</v>
      </c>
      <c r="E2080" s="37" t="n">
        <v>25963140</v>
      </c>
      <c r="F2080" s="37" t="s">
        <v>235</v>
      </c>
      <c r="G2080" s="37" t="s">
        <v>198</v>
      </c>
      <c r="H2080" s="37" t="s">
        <v>187</v>
      </c>
      <c r="I2080" s="37" t="n">
        <v>52.3</v>
      </c>
      <c r="J2080" s="39" t="n">
        <v>607.99</v>
      </c>
      <c r="K2080" s="37" t="s">
        <v>342</v>
      </c>
      <c r="L2080" s="39" t="n">
        <v>142.59</v>
      </c>
      <c r="M2080" s="39" t="n">
        <v>83.58</v>
      </c>
      <c r="N2080" s="39" t="n">
        <f aca="false">J2080*Resumo!$C$6</f>
        <v>0</v>
      </c>
      <c r="O2080" s="39" t="n">
        <f aca="false">J2080*Resumo!$C$7</f>
        <v>1.276779</v>
      </c>
      <c r="P2080" s="39" t="n">
        <f aca="false">J2080*Resumo!$C$8</f>
        <v>1.276779</v>
      </c>
      <c r="Q2080" s="39" t="n">
        <f aca="false">Resumo!$C$10*CEILING(I2080/100,1)</f>
        <v>1.05</v>
      </c>
      <c r="R2080" s="39" t="n">
        <f aca="false">Resumo!$C$9</f>
        <v>0</v>
      </c>
      <c r="S2080" s="39" t="n">
        <f aca="false">Resumo!$C$13</f>
        <v>13.55</v>
      </c>
      <c r="T2080" s="39" t="n">
        <f aca="false">Resumo!$C$14*CEILING(I2080,1)</f>
        <v>23.85</v>
      </c>
      <c r="U2080" s="39" t="n">
        <f aca="false">SUM(M2080:T2080)*Resumo!$C$11</f>
        <v>0</v>
      </c>
      <c r="V2080" s="39" t="n">
        <f aca="false">SUM(M2080:U2080)</f>
        <v>124.583558</v>
      </c>
      <c r="W2080" s="39" t="n">
        <f aca="false">V2080/(1-Resumo!$C$5)</f>
        <v>141.572225</v>
      </c>
      <c r="X2080" s="39" t="n">
        <v>144.53</v>
      </c>
      <c r="Y2080" s="39" t="n">
        <f aca="false">J2080*Resumo!$B$6</f>
        <v>0.60799</v>
      </c>
      <c r="Z2080" s="39" t="n">
        <f aca="false">J2080*Resumo!$B$7</f>
        <v>1.21598</v>
      </c>
      <c r="AA2080" s="39" t="n">
        <f aca="false">Resumo!$B$9</f>
        <v>1</v>
      </c>
      <c r="AB2080" s="39" t="n">
        <f aca="false">Resumo!$B$10*CEILING(I2080/100,1)</f>
        <v>4.5</v>
      </c>
      <c r="AC2080" s="39" t="n">
        <f aca="false">Resumo!$B$12*CEILING(I2080,1)</f>
        <v>3.18</v>
      </c>
      <c r="AD2080" s="39" t="n">
        <f aca="false">Resumo!$B$14*CEILING(I2080,1)</f>
        <v>23.85</v>
      </c>
      <c r="AE2080" s="39" t="n">
        <f aca="false">SUM(X2080:AD2080)</f>
        <v>178.88397</v>
      </c>
      <c r="AF2080" s="39" t="n">
        <f aca="false">AE2080/(1-Resumo!$B$5)</f>
        <v>203.277238636364</v>
      </c>
      <c r="AG2080" s="39" t="n">
        <f aca="false">AF2080-W2080</f>
        <v>61.7050136363636</v>
      </c>
      <c r="AH2080" s="40" t="n">
        <f aca="false">AF2080/W2080-1</f>
        <v>0.435855363835411</v>
      </c>
      <c r="AI2080" s="37" t="str">
        <f aca="false">IF(AF2080&lt;W2080,"SIM","NÃO")</f>
        <v>NÃO</v>
      </c>
      <c r="AJ2080" s="37" t="n">
        <v>13</v>
      </c>
      <c r="AK2080" s="37" t="n">
        <v>10</v>
      </c>
      <c r="AL2080" s="37" t="s">
        <v>347</v>
      </c>
      <c r="AM2080" s="39" t="n">
        <v>142.58</v>
      </c>
    </row>
    <row r="2081" customFormat="false" ht="15" hidden="false" customHeight="false" outlineLevel="0" collapsed="false">
      <c r="A2081" s="37" t="n">
        <v>398925214</v>
      </c>
      <c r="B2081" s="38" t="n">
        <v>46289.5105555556</v>
      </c>
      <c r="C2081" s="37" t="s">
        <v>340</v>
      </c>
      <c r="D2081" s="37" t="s">
        <v>2198</v>
      </c>
      <c r="E2081" s="37" t="n">
        <v>26290069</v>
      </c>
      <c r="F2081" s="37" t="s">
        <v>162</v>
      </c>
      <c r="G2081" s="37" t="s">
        <v>197</v>
      </c>
      <c r="H2081" s="37" t="s">
        <v>187</v>
      </c>
      <c r="I2081" s="37" t="n">
        <v>51.06</v>
      </c>
      <c r="J2081" s="39" t="n">
        <v>749.99</v>
      </c>
      <c r="K2081" s="37" t="s">
        <v>342</v>
      </c>
      <c r="L2081" s="39" t="n">
        <v>128.88</v>
      </c>
      <c r="M2081" s="39" t="n">
        <v>70.98</v>
      </c>
      <c r="N2081" s="39" t="n">
        <f aca="false">J2081*Resumo!$C$6</f>
        <v>0</v>
      </c>
      <c r="O2081" s="39" t="n">
        <f aca="false">J2081*Resumo!$C$7</f>
        <v>1.574979</v>
      </c>
      <c r="P2081" s="39" t="n">
        <f aca="false">J2081*Resumo!$C$8</f>
        <v>1.574979</v>
      </c>
      <c r="Q2081" s="39" t="n">
        <f aca="false">Resumo!$C$10*CEILING(I2081/100,1)</f>
        <v>1.05</v>
      </c>
      <c r="R2081" s="39" t="n">
        <f aca="false">Resumo!$C$9</f>
        <v>0</v>
      </c>
      <c r="S2081" s="39" t="n">
        <f aca="false">Resumo!$C$13</f>
        <v>13.55</v>
      </c>
      <c r="T2081" s="39" t="n">
        <f aca="false">Resumo!$C$14*CEILING(I2081,1)</f>
        <v>23.4</v>
      </c>
      <c r="U2081" s="39" t="n">
        <f aca="false">SUM(M2081:T2081)*Resumo!$C$11</f>
        <v>0</v>
      </c>
      <c r="V2081" s="39" t="n">
        <f aca="false">SUM(M2081:U2081)</f>
        <v>112.129958</v>
      </c>
      <c r="W2081" s="39" t="n">
        <f aca="false">V2081/(1-Resumo!$C$5)</f>
        <v>127.420406818182</v>
      </c>
      <c r="X2081" s="39" t="n">
        <v>112.3</v>
      </c>
      <c r="Y2081" s="39" t="n">
        <f aca="false">J2081*Resumo!$B$6</f>
        <v>0.74999</v>
      </c>
      <c r="Z2081" s="39" t="n">
        <f aca="false">J2081*Resumo!$B$7</f>
        <v>1.49998</v>
      </c>
      <c r="AA2081" s="39" t="n">
        <f aca="false">Resumo!$B$9</f>
        <v>1</v>
      </c>
      <c r="AB2081" s="39" t="n">
        <f aca="false">Resumo!$B$10*CEILING(I2081/100,1)</f>
        <v>4.5</v>
      </c>
      <c r="AC2081" s="39" t="n">
        <f aca="false">Resumo!$B$12*CEILING(I2081,1)</f>
        <v>3.12</v>
      </c>
      <c r="AD2081" s="39" t="n">
        <f aca="false">Resumo!$B$14*CEILING(I2081,1)</f>
        <v>23.4</v>
      </c>
      <c r="AE2081" s="39" t="n">
        <f aca="false">SUM(X2081:AD2081)</f>
        <v>146.56997</v>
      </c>
      <c r="AF2081" s="39" t="n">
        <f aca="false">AE2081/(1-Resumo!$B$5)</f>
        <v>166.556784090909</v>
      </c>
      <c r="AG2081" s="39" t="n">
        <f aca="false">AF2081-W2081</f>
        <v>39.1363772727272</v>
      </c>
      <c r="AH2081" s="40" t="n">
        <f aca="false">AF2081/W2081-1</f>
        <v>0.307143716222564</v>
      </c>
      <c r="AI2081" s="37" t="str">
        <f aca="false">IF(AF2081&lt;W2081,"SIM","NÃO")</f>
        <v>NÃO</v>
      </c>
      <c r="AJ2081" s="37" t="n">
        <v>2</v>
      </c>
      <c r="AK2081" s="37" t="n">
        <v>5</v>
      </c>
      <c r="AL2081" s="37" t="s">
        <v>343</v>
      </c>
      <c r="AM2081" s="39" t="n">
        <v>128.88</v>
      </c>
    </row>
    <row r="2082" customFormat="false" ht="15" hidden="false" customHeight="false" outlineLevel="0" collapsed="false">
      <c r="A2082" s="37" t="n">
        <v>398943915</v>
      </c>
      <c r="B2082" s="38" t="n">
        <v>46289.5506712963</v>
      </c>
      <c r="C2082" s="37" t="s">
        <v>340</v>
      </c>
      <c r="D2082" s="37" t="s">
        <v>2199</v>
      </c>
      <c r="E2082" s="37" t="n">
        <v>28907000</v>
      </c>
      <c r="F2082" s="37" t="s">
        <v>172</v>
      </c>
      <c r="G2082" s="37" t="s">
        <v>198</v>
      </c>
      <c r="H2082" s="37" t="s">
        <v>183</v>
      </c>
      <c r="I2082" s="37" t="n">
        <v>15</v>
      </c>
      <c r="J2082" s="39" t="n">
        <v>219.99</v>
      </c>
      <c r="K2082" s="37" t="s">
        <v>342</v>
      </c>
      <c r="L2082" s="39" t="n">
        <v>79.72</v>
      </c>
      <c r="M2082" s="39" t="n">
        <v>46.95</v>
      </c>
      <c r="N2082" s="39" t="n">
        <f aca="false">J2082*Resumo!$C$6</f>
        <v>0</v>
      </c>
      <c r="O2082" s="39" t="n">
        <f aca="false">J2082*Resumo!$C$7</f>
        <v>0.461979</v>
      </c>
      <c r="P2082" s="39" t="n">
        <f aca="false">J2082*Resumo!$C$8</f>
        <v>0.461979</v>
      </c>
      <c r="Q2082" s="39" t="n">
        <f aca="false">Resumo!$C$10*CEILING(I2082/100,1)</f>
        <v>1.05</v>
      </c>
      <c r="R2082" s="39" t="n">
        <f aca="false">Resumo!$C$9</f>
        <v>0</v>
      </c>
      <c r="S2082" s="39" t="n">
        <f aca="false">Resumo!$C$13</f>
        <v>13.55</v>
      </c>
      <c r="T2082" s="39" t="n">
        <f aca="false">Resumo!$C$14*CEILING(I2082,1)</f>
        <v>6.75</v>
      </c>
      <c r="U2082" s="39" t="n">
        <f aca="false">SUM(M2082:T2082)*Resumo!$C$11</f>
        <v>0</v>
      </c>
      <c r="V2082" s="39" t="n">
        <f aca="false">SUM(M2082:U2082)</f>
        <v>69.223958</v>
      </c>
      <c r="W2082" s="39" t="n">
        <f aca="false">V2082/(1-Resumo!$C$5)</f>
        <v>78.6635886363636</v>
      </c>
      <c r="X2082" s="39" t="n">
        <v>100.7</v>
      </c>
      <c r="Y2082" s="39" t="n">
        <f aca="false">J2082*Resumo!$B$6</f>
        <v>0.21999</v>
      </c>
      <c r="Z2082" s="39" t="n">
        <f aca="false">J2082*Resumo!$B$7</f>
        <v>0.43998</v>
      </c>
      <c r="AA2082" s="39" t="n">
        <f aca="false">Resumo!$B$9</f>
        <v>1</v>
      </c>
      <c r="AB2082" s="39" t="n">
        <f aca="false">Resumo!$B$10*CEILING(I2082/100,1)</f>
        <v>4.5</v>
      </c>
      <c r="AC2082" s="39" t="n">
        <f aca="false">Resumo!$B$12*CEILING(I2082,1)</f>
        <v>0.9</v>
      </c>
      <c r="AD2082" s="39" t="n">
        <f aca="false">Resumo!$B$14*CEILING(I2082,1)</f>
        <v>6.75</v>
      </c>
      <c r="AE2082" s="39" t="n">
        <f aca="false">SUM(X2082:AD2082)</f>
        <v>114.50997</v>
      </c>
      <c r="AF2082" s="39" t="n">
        <f aca="false">AE2082/(1-Resumo!$B$5)</f>
        <v>130.124965909091</v>
      </c>
      <c r="AG2082" s="39" t="n">
        <f aca="false">AF2082-W2082</f>
        <v>51.4613772727273</v>
      </c>
      <c r="AH2082" s="40" t="n">
        <f aca="false">AF2082/W2082-1</f>
        <v>0.654195647119744</v>
      </c>
      <c r="AI2082" s="37" t="str">
        <f aca="false">IF(AF2082&lt;W2082,"SIM","NÃO")</f>
        <v>NÃO</v>
      </c>
      <c r="AJ2082" s="37" t="n">
        <v>13</v>
      </c>
      <c r="AK2082" s="37" t="n">
        <v>10</v>
      </c>
      <c r="AL2082" s="37" t="s">
        <v>343</v>
      </c>
      <c r="AM2082" s="39" t="n">
        <v>79.71</v>
      </c>
    </row>
    <row r="2083" customFormat="false" ht="15" hidden="false" customHeight="false" outlineLevel="0" collapsed="false">
      <c r="A2083" s="37" t="n">
        <v>398953937</v>
      </c>
      <c r="B2083" s="38" t="n">
        <v>46289.5732407407</v>
      </c>
      <c r="C2083" s="37" t="s">
        <v>345</v>
      </c>
      <c r="D2083" s="37" t="s">
        <v>2200</v>
      </c>
      <c r="E2083" s="37" t="n">
        <v>27323540</v>
      </c>
      <c r="F2083" s="37" t="s">
        <v>247</v>
      </c>
      <c r="G2083" s="37" t="s">
        <v>198</v>
      </c>
      <c r="H2083" s="37" t="s">
        <v>185</v>
      </c>
      <c r="I2083" s="37" t="n">
        <v>40</v>
      </c>
      <c r="J2083" s="39" t="n">
        <v>629.99</v>
      </c>
      <c r="K2083" s="37" t="s">
        <v>342</v>
      </c>
      <c r="L2083" s="39" t="n">
        <v>123.27</v>
      </c>
      <c r="M2083" s="39" t="n">
        <v>74.97</v>
      </c>
      <c r="N2083" s="39" t="n">
        <f aca="false">J2083*Resumo!$C$6</f>
        <v>0</v>
      </c>
      <c r="O2083" s="39" t="n">
        <f aca="false">J2083*Resumo!$C$7</f>
        <v>1.322979</v>
      </c>
      <c r="P2083" s="39" t="n">
        <f aca="false">J2083*Resumo!$C$8</f>
        <v>1.322979</v>
      </c>
      <c r="Q2083" s="39" t="n">
        <f aca="false">Resumo!$C$10*CEILING(I2083/100,1)</f>
        <v>1.05</v>
      </c>
      <c r="R2083" s="39" t="n">
        <f aca="false">Resumo!$C$9</f>
        <v>0</v>
      </c>
      <c r="S2083" s="39" t="n">
        <f aca="false">Resumo!$C$13</f>
        <v>13.55</v>
      </c>
      <c r="T2083" s="39" t="n">
        <f aca="false">Resumo!$C$14*CEILING(I2083,1)</f>
        <v>18</v>
      </c>
      <c r="U2083" s="39" t="n">
        <f aca="false">SUM(M2083:T2083)*Resumo!$C$11</f>
        <v>0</v>
      </c>
      <c r="V2083" s="39" t="n">
        <f aca="false">SUM(M2083:U2083)</f>
        <v>110.215958</v>
      </c>
      <c r="W2083" s="39" t="n">
        <f aca="false">V2083/(1-Resumo!$C$5)</f>
        <v>125.245406818182</v>
      </c>
      <c r="X2083" s="39" t="n">
        <v>124.38</v>
      </c>
      <c r="Y2083" s="39" t="n">
        <f aca="false">J2083*Resumo!$B$6</f>
        <v>0.62999</v>
      </c>
      <c r="Z2083" s="39" t="n">
        <f aca="false">J2083*Resumo!$B$7</f>
        <v>1.25998</v>
      </c>
      <c r="AA2083" s="39" t="n">
        <f aca="false">Resumo!$B$9</f>
        <v>1</v>
      </c>
      <c r="AB2083" s="39" t="n">
        <f aca="false">Resumo!$B$10*CEILING(I2083/100,1)</f>
        <v>4.5</v>
      </c>
      <c r="AC2083" s="39" t="n">
        <f aca="false">Resumo!$B$12*CEILING(I2083,1)</f>
        <v>2.4</v>
      </c>
      <c r="AD2083" s="39" t="n">
        <f aca="false">Resumo!$B$14*CEILING(I2083,1)</f>
        <v>18</v>
      </c>
      <c r="AE2083" s="39" t="n">
        <f aca="false">SUM(X2083:AD2083)</f>
        <v>152.16997</v>
      </c>
      <c r="AF2083" s="39" t="n">
        <f aca="false">AE2083/(1-Resumo!$B$5)</f>
        <v>172.920420454545</v>
      </c>
      <c r="AG2083" s="39" t="n">
        <f aca="false">AF2083-W2083</f>
        <v>47.6750136363636</v>
      </c>
      <c r="AH2083" s="40" t="n">
        <f aca="false">AF2083/W2083-1</f>
        <v>0.380652790769191</v>
      </c>
      <c r="AI2083" s="37" t="str">
        <f aca="false">IF(AF2083&lt;W2083,"SIM","NÃO")</f>
        <v>NÃO</v>
      </c>
      <c r="AJ2083" s="37" t="n">
        <v>13</v>
      </c>
      <c r="AK2083" s="37" t="n">
        <v>10</v>
      </c>
      <c r="AL2083" s="37" t="s">
        <v>347</v>
      </c>
      <c r="AM2083" s="39" t="n">
        <v>123.27</v>
      </c>
    </row>
    <row r="2084" customFormat="false" ht="15" hidden="false" customHeight="false" outlineLevel="0" collapsed="false">
      <c r="A2084" s="37" t="n">
        <v>398971575</v>
      </c>
      <c r="B2084" s="38" t="n">
        <v>46289.6132407407</v>
      </c>
      <c r="C2084" s="37" t="s">
        <v>340</v>
      </c>
      <c r="D2084" s="37" t="s">
        <v>549</v>
      </c>
      <c r="E2084" s="37" t="n">
        <v>28470000</v>
      </c>
      <c r="F2084" s="37" t="s">
        <v>272</v>
      </c>
      <c r="G2084" s="37" t="s">
        <v>198</v>
      </c>
      <c r="H2084" s="37" t="s">
        <v>187</v>
      </c>
      <c r="I2084" s="37" t="n">
        <v>52.3</v>
      </c>
      <c r="J2084" s="39" t="n">
        <v>592.37</v>
      </c>
      <c r="K2084" s="37" t="s">
        <v>342</v>
      </c>
      <c r="L2084" s="39" t="n">
        <v>142.5</v>
      </c>
      <c r="M2084" s="39" t="n">
        <v>83.58</v>
      </c>
      <c r="N2084" s="39" t="n">
        <f aca="false">J2084*Resumo!$C$6</f>
        <v>0</v>
      </c>
      <c r="O2084" s="39" t="n">
        <f aca="false">J2084*Resumo!$C$7</f>
        <v>1.243977</v>
      </c>
      <c r="P2084" s="39" t="n">
        <f aca="false">J2084*Resumo!$C$8</f>
        <v>1.243977</v>
      </c>
      <c r="Q2084" s="39" t="n">
        <f aca="false">Resumo!$C$10*CEILING(I2084/100,1)</f>
        <v>1.05</v>
      </c>
      <c r="R2084" s="39" t="n">
        <f aca="false">Resumo!$C$9</f>
        <v>0</v>
      </c>
      <c r="S2084" s="39" t="n">
        <f aca="false">Resumo!$C$13</f>
        <v>13.55</v>
      </c>
      <c r="T2084" s="39" t="n">
        <f aca="false">Resumo!$C$14*CEILING(I2084,1)</f>
        <v>23.85</v>
      </c>
      <c r="U2084" s="39" t="n">
        <f aca="false">SUM(M2084:T2084)*Resumo!$C$11</f>
        <v>0</v>
      </c>
      <c r="V2084" s="39" t="n">
        <f aca="false">SUM(M2084:U2084)</f>
        <v>124.517954</v>
      </c>
      <c r="W2084" s="39" t="n">
        <f aca="false">V2084/(1-Resumo!$C$5)</f>
        <v>141.497675</v>
      </c>
      <c r="X2084" s="39" t="n">
        <v>162.04</v>
      </c>
      <c r="Y2084" s="39" t="n">
        <f aca="false">J2084*Resumo!$B$6</f>
        <v>0.59237</v>
      </c>
      <c r="Z2084" s="39" t="n">
        <f aca="false">J2084*Resumo!$B$7</f>
        <v>1.18474</v>
      </c>
      <c r="AA2084" s="39" t="n">
        <f aca="false">Resumo!$B$9</f>
        <v>1</v>
      </c>
      <c r="AB2084" s="39" t="n">
        <f aca="false">Resumo!$B$10*CEILING(I2084/100,1)</f>
        <v>4.5</v>
      </c>
      <c r="AC2084" s="39" t="n">
        <f aca="false">Resumo!$B$12*CEILING(I2084,1)</f>
        <v>3.18</v>
      </c>
      <c r="AD2084" s="39" t="n">
        <f aca="false">Resumo!$B$14*CEILING(I2084,1)</f>
        <v>23.85</v>
      </c>
      <c r="AE2084" s="39" t="n">
        <f aca="false">SUM(X2084:AD2084)</f>
        <v>196.34711</v>
      </c>
      <c r="AF2084" s="39" t="n">
        <f aca="false">AE2084/(1-Resumo!$B$5)</f>
        <v>223.121715909091</v>
      </c>
      <c r="AG2084" s="39" t="n">
        <f aca="false">AF2084-W2084</f>
        <v>81.6240409090909</v>
      </c>
      <c r="AH2084" s="40" t="n">
        <f aca="false">AF2084/W2084-1</f>
        <v>0.576857824053228</v>
      </c>
      <c r="AI2084" s="37" t="str">
        <f aca="false">IF(AF2084&lt;W2084,"SIM","NÃO")</f>
        <v>NÃO</v>
      </c>
      <c r="AJ2084" s="37" t="n">
        <v>13</v>
      </c>
      <c r="AK2084" s="37" t="n">
        <v>11</v>
      </c>
      <c r="AL2084" s="37" t="s">
        <v>347</v>
      </c>
      <c r="AM2084" s="39" t="n">
        <v>142.51</v>
      </c>
    </row>
    <row r="2085" customFormat="false" ht="15" hidden="false" customHeight="false" outlineLevel="0" collapsed="false">
      <c r="A2085" s="37" t="n">
        <v>398981534</v>
      </c>
      <c r="B2085" s="38" t="n">
        <v>46289.635787037</v>
      </c>
      <c r="C2085" s="37" t="s">
        <v>345</v>
      </c>
      <c r="D2085" s="37" t="s">
        <v>2201</v>
      </c>
      <c r="E2085" s="37" t="n">
        <v>25250530</v>
      </c>
      <c r="F2085" s="37" t="s">
        <v>161</v>
      </c>
      <c r="G2085" s="37" t="s">
        <v>197</v>
      </c>
      <c r="H2085" s="37" t="s">
        <v>186</v>
      </c>
      <c r="I2085" s="37" t="n">
        <v>46.8</v>
      </c>
      <c r="J2085" s="39" t="n">
        <v>569.99</v>
      </c>
      <c r="K2085" s="37" t="s">
        <v>342</v>
      </c>
      <c r="L2085" s="39" t="n">
        <v>116.81</v>
      </c>
      <c r="M2085" s="39" t="n">
        <v>65.36</v>
      </c>
      <c r="N2085" s="39" t="n">
        <f aca="false">J2085*Resumo!$C$6</f>
        <v>0</v>
      </c>
      <c r="O2085" s="39" t="n">
        <f aca="false">J2085*Resumo!$C$7</f>
        <v>1.196979</v>
      </c>
      <c r="P2085" s="39" t="n">
        <f aca="false">J2085*Resumo!$C$8</f>
        <v>1.196979</v>
      </c>
      <c r="Q2085" s="39" t="n">
        <f aca="false">Resumo!$C$10*CEILING(I2085/100,1)</f>
        <v>1.05</v>
      </c>
      <c r="R2085" s="39" t="n">
        <f aca="false">Resumo!$C$9</f>
        <v>0</v>
      </c>
      <c r="S2085" s="39" t="n">
        <f aca="false">Resumo!$C$13</f>
        <v>13.55</v>
      </c>
      <c r="T2085" s="39" t="n">
        <f aca="false">Resumo!$C$14*CEILING(I2085,1)</f>
        <v>21.15</v>
      </c>
      <c r="U2085" s="39" t="n">
        <f aca="false">SUM(M2085:T2085)*Resumo!$C$11</f>
        <v>0</v>
      </c>
      <c r="V2085" s="39" t="n">
        <f aca="false">SUM(M2085:U2085)</f>
        <v>103.503958</v>
      </c>
      <c r="W2085" s="39" t="n">
        <f aca="false">V2085/(1-Resumo!$C$5)</f>
        <v>117.618134090909</v>
      </c>
      <c r="X2085" s="39" t="n">
        <v>93.97</v>
      </c>
      <c r="Y2085" s="39" t="n">
        <f aca="false">J2085*Resumo!$B$6</f>
        <v>0.56999</v>
      </c>
      <c r="Z2085" s="39" t="n">
        <f aca="false">J2085*Resumo!$B$7</f>
        <v>1.13998</v>
      </c>
      <c r="AA2085" s="39" t="n">
        <f aca="false">Resumo!$B$9</f>
        <v>1</v>
      </c>
      <c r="AB2085" s="39" t="n">
        <f aca="false">Resumo!$B$10*CEILING(I2085/100,1)</f>
        <v>4.5</v>
      </c>
      <c r="AC2085" s="39" t="n">
        <f aca="false">Resumo!$B$12*CEILING(I2085,1)</f>
        <v>2.82</v>
      </c>
      <c r="AD2085" s="39" t="n">
        <f aca="false">Resumo!$B$14*CEILING(I2085,1)</f>
        <v>21.15</v>
      </c>
      <c r="AE2085" s="39" t="n">
        <f aca="false">SUM(X2085:AD2085)</f>
        <v>125.14997</v>
      </c>
      <c r="AF2085" s="39" t="n">
        <f aca="false">AE2085/(1-Resumo!$B$5)</f>
        <v>142.215875</v>
      </c>
      <c r="AG2085" s="39" t="n">
        <f aca="false">AF2085-W2085</f>
        <v>24.5977409090909</v>
      </c>
      <c r="AH2085" s="40" t="n">
        <f aca="false">AF2085/W2085-1</f>
        <v>0.209132215021188</v>
      </c>
      <c r="AI2085" s="37" t="str">
        <f aca="false">IF(AF2085&lt;W2085,"SIM","NÃO")</f>
        <v>NÃO</v>
      </c>
      <c r="AJ2085" s="37" t="n">
        <v>2</v>
      </c>
      <c r="AK2085" s="37" t="n">
        <v>5</v>
      </c>
      <c r="AL2085" s="37" t="s">
        <v>343</v>
      </c>
      <c r="AM2085" s="39" t="n">
        <v>116.81</v>
      </c>
    </row>
    <row r="2086" customFormat="false" ht="15" hidden="false" customHeight="false" outlineLevel="0" collapsed="false">
      <c r="A2086" s="37" t="n">
        <v>398993673</v>
      </c>
      <c r="B2086" s="38" t="n">
        <v>46289.662650463</v>
      </c>
      <c r="C2086" s="37" t="s">
        <v>345</v>
      </c>
      <c r="D2086" s="37" t="s">
        <v>2202</v>
      </c>
      <c r="E2086" s="37" t="n">
        <v>24355020</v>
      </c>
      <c r="F2086" s="37" t="s">
        <v>163</v>
      </c>
      <c r="G2086" s="37" t="s">
        <v>197</v>
      </c>
      <c r="H2086" s="37" t="s">
        <v>185</v>
      </c>
      <c r="I2086" s="37" t="n">
        <v>40</v>
      </c>
      <c r="J2086" s="39" t="n">
        <v>629.99</v>
      </c>
      <c r="K2086" s="37" t="s">
        <v>342</v>
      </c>
      <c r="L2086" s="39" t="n">
        <v>113.98</v>
      </c>
      <c r="M2086" s="39" t="n">
        <v>66.83</v>
      </c>
      <c r="N2086" s="39" t="n">
        <f aca="false">J2086*Resumo!$C$6</f>
        <v>0</v>
      </c>
      <c r="O2086" s="39" t="n">
        <f aca="false">J2086*Resumo!$C$7</f>
        <v>1.322979</v>
      </c>
      <c r="P2086" s="39" t="n">
        <f aca="false">J2086*Resumo!$C$8</f>
        <v>1.322979</v>
      </c>
      <c r="Q2086" s="39" t="n">
        <f aca="false">Resumo!$C$10*CEILING(I2086/100,1)</f>
        <v>1.05</v>
      </c>
      <c r="R2086" s="39" t="n">
        <f aca="false">Resumo!$C$9</f>
        <v>0</v>
      </c>
      <c r="S2086" s="39" t="n">
        <f aca="false">Resumo!$C$13</f>
        <v>13.55</v>
      </c>
      <c r="T2086" s="39" t="n">
        <f aca="false">Resumo!$C$14*CEILING(I2086,1)</f>
        <v>18</v>
      </c>
      <c r="U2086" s="39" t="n">
        <f aca="false">SUM(M2086:T2086)*Resumo!$C$11</f>
        <v>0</v>
      </c>
      <c r="V2086" s="39" t="n">
        <f aca="false">SUM(M2086:U2086)</f>
        <v>102.075958</v>
      </c>
      <c r="W2086" s="39" t="n">
        <f aca="false">V2086/(1-Resumo!$C$5)</f>
        <v>115.995406818182</v>
      </c>
      <c r="X2086" s="39" t="n">
        <v>114.95</v>
      </c>
      <c r="Y2086" s="39" t="n">
        <f aca="false">J2086*Resumo!$B$6</f>
        <v>0.62999</v>
      </c>
      <c r="Z2086" s="39" t="n">
        <f aca="false">J2086*Resumo!$B$7</f>
        <v>1.25998</v>
      </c>
      <c r="AA2086" s="39" t="n">
        <f aca="false">Resumo!$B$9</f>
        <v>1</v>
      </c>
      <c r="AB2086" s="39" t="n">
        <f aca="false">Resumo!$B$10*CEILING(I2086/100,1)</f>
        <v>4.5</v>
      </c>
      <c r="AC2086" s="39" t="n">
        <f aca="false">Resumo!$B$12*CEILING(I2086,1)</f>
        <v>2.4</v>
      </c>
      <c r="AD2086" s="39" t="n">
        <f aca="false">Resumo!$B$14*CEILING(I2086,1)</f>
        <v>18</v>
      </c>
      <c r="AE2086" s="39" t="n">
        <f aca="false">SUM(X2086:AD2086)</f>
        <v>142.73997</v>
      </c>
      <c r="AF2086" s="39" t="n">
        <f aca="false">AE2086/(1-Resumo!$B$5)</f>
        <v>162.204511363636</v>
      </c>
      <c r="AG2086" s="39" t="n">
        <f aca="false">AF2086-W2086</f>
        <v>46.2091045454545</v>
      </c>
      <c r="AH2086" s="40" t="n">
        <f aca="false">AF2086/W2086-1</f>
        <v>0.398370123550543</v>
      </c>
      <c r="AI2086" s="37" t="str">
        <f aca="false">IF(AF2086&lt;W2086,"SIM","NÃO")</f>
        <v>NÃO</v>
      </c>
      <c r="AJ2086" s="37" t="n">
        <v>2</v>
      </c>
      <c r="AK2086" s="37" t="n">
        <v>7</v>
      </c>
      <c r="AL2086" s="37" t="s">
        <v>343</v>
      </c>
      <c r="AM2086" s="39" t="n">
        <v>113.98</v>
      </c>
    </row>
    <row r="2087" customFormat="false" ht="15" hidden="false" customHeight="false" outlineLevel="0" collapsed="false">
      <c r="A2087" s="37" t="n">
        <v>399012793</v>
      </c>
      <c r="B2087" s="38" t="n">
        <v>46289.7067361111</v>
      </c>
      <c r="C2087" s="37" t="s">
        <v>340</v>
      </c>
      <c r="D2087" s="37" t="s">
        <v>2203</v>
      </c>
      <c r="E2087" s="37" t="n">
        <v>21044725</v>
      </c>
      <c r="F2087" s="37" t="s">
        <v>159</v>
      </c>
      <c r="G2087" s="37" t="s">
        <v>196</v>
      </c>
      <c r="H2087" s="37" t="s">
        <v>188</v>
      </c>
      <c r="I2087" s="37" t="n">
        <v>63.9</v>
      </c>
      <c r="J2087" s="39" t="n">
        <v>716.35</v>
      </c>
      <c r="K2087" s="37" t="s">
        <v>342</v>
      </c>
      <c r="L2087" s="39" t="n">
        <v>124.64</v>
      </c>
      <c r="M2087" s="39" t="n">
        <v>63.21</v>
      </c>
      <c r="N2087" s="39" t="n">
        <f aca="false">J2087*Resumo!$C$6</f>
        <v>0</v>
      </c>
      <c r="O2087" s="39" t="n">
        <f aca="false">J2087*Resumo!$C$7</f>
        <v>1.504335</v>
      </c>
      <c r="P2087" s="39" t="n">
        <f aca="false">J2087*Resumo!$C$8</f>
        <v>1.504335</v>
      </c>
      <c r="Q2087" s="39" t="n">
        <f aca="false">Resumo!$C$10*CEILING(I2087/100,1)</f>
        <v>1.05</v>
      </c>
      <c r="R2087" s="39" t="n">
        <f aca="false">Resumo!$C$9</f>
        <v>0</v>
      </c>
      <c r="S2087" s="39" t="n">
        <f aca="false">Resumo!$C$13</f>
        <v>13.55</v>
      </c>
      <c r="T2087" s="39" t="n">
        <f aca="false">Resumo!$C$14*CEILING(I2087,1)</f>
        <v>28.8</v>
      </c>
      <c r="U2087" s="39" t="n">
        <f aca="false">SUM(M2087:T2087)*Resumo!$C$11</f>
        <v>0</v>
      </c>
      <c r="V2087" s="39" t="n">
        <f aca="false">SUM(M2087:U2087)</f>
        <v>109.61867</v>
      </c>
      <c r="W2087" s="39" t="n">
        <f aca="false">V2087/(1-Resumo!$C$5)</f>
        <v>124.566670454545</v>
      </c>
      <c r="X2087" s="39" t="n">
        <v>131.02</v>
      </c>
      <c r="Y2087" s="39" t="n">
        <f aca="false">J2087*Resumo!$B$6</f>
        <v>0.71635</v>
      </c>
      <c r="Z2087" s="39" t="n">
        <f aca="false">J2087*Resumo!$B$7</f>
        <v>1.4327</v>
      </c>
      <c r="AA2087" s="39" t="n">
        <f aca="false">Resumo!$B$9</f>
        <v>1</v>
      </c>
      <c r="AB2087" s="39" t="n">
        <f aca="false">Resumo!$B$10*CEILING(I2087/100,1)</f>
        <v>4.5</v>
      </c>
      <c r="AC2087" s="39" t="n">
        <f aca="false">Resumo!$B$12*CEILING(I2087,1)</f>
        <v>3.84</v>
      </c>
      <c r="AD2087" s="39" t="n">
        <f aca="false">Resumo!$B$14*CEILING(I2087,1)</f>
        <v>28.8</v>
      </c>
      <c r="AE2087" s="39" t="n">
        <f aca="false">SUM(X2087:AD2087)</f>
        <v>171.30905</v>
      </c>
      <c r="AF2087" s="39" t="n">
        <f aca="false">AE2087/(1-Resumo!$B$5)</f>
        <v>194.669375</v>
      </c>
      <c r="AG2087" s="39" t="n">
        <f aca="false">AF2087-W2087</f>
        <v>70.1027045454546</v>
      </c>
      <c r="AH2087" s="40" t="n">
        <f aca="false">AF2087/W2087-1</f>
        <v>0.562772564199146</v>
      </c>
      <c r="AI2087" s="37" t="str">
        <f aca="false">IF(AF2087&lt;W2087,"SIM","NÃO")</f>
        <v>NÃO</v>
      </c>
      <c r="AJ2087" s="37" t="n">
        <v>2</v>
      </c>
      <c r="AK2087" s="37" t="n">
        <v>5</v>
      </c>
      <c r="AL2087" s="37" t="s">
        <v>343</v>
      </c>
      <c r="AM2087" s="39" t="n">
        <v>124.64</v>
      </c>
    </row>
    <row r="2088" customFormat="false" ht="15" hidden="false" customHeight="false" outlineLevel="0" collapsed="false">
      <c r="A2088" s="37" t="n">
        <v>399013225</v>
      </c>
      <c r="B2088" s="38" t="n">
        <v>46289.708275463</v>
      </c>
      <c r="C2088" s="37" t="s">
        <v>340</v>
      </c>
      <c r="D2088" s="37" t="s">
        <v>2204</v>
      </c>
      <c r="E2088" s="37" t="n">
        <v>21831300</v>
      </c>
      <c r="F2088" s="37" t="s">
        <v>159</v>
      </c>
      <c r="G2088" s="37" t="s">
        <v>196</v>
      </c>
      <c r="H2088" s="37" t="s">
        <v>184</v>
      </c>
      <c r="I2088" s="37" t="n">
        <v>26</v>
      </c>
      <c r="J2088" s="39" t="n">
        <v>549.99</v>
      </c>
      <c r="K2088" s="37" t="s">
        <v>342</v>
      </c>
      <c r="L2088" s="39" t="n">
        <v>82.97</v>
      </c>
      <c r="M2088" s="39" t="n">
        <v>42.11</v>
      </c>
      <c r="N2088" s="39" t="n">
        <f aca="false">J2088*Resumo!$C$6</f>
        <v>0</v>
      </c>
      <c r="O2088" s="39" t="n">
        <f aca="false">J2088*Resumo!$C$7</f>
        <v>1.154979</v>
      </c>
      <c r="P2088" s="39" t="n">
        <f aca="false">J2088*Resumo!$C$8</f>
        <v>1.154979</v>
      </c>
      <c r="Q2088" s="39" t="n">
        <f aca="false">Resumo!$C$10*CEILING(I2088/100,1)</f>
        <v>1.05</v>
      </c>
      <c r="R2088" s="39" t="n">
        <f aca="false">Resumo!$C$9</f>
        <v>0</v>
      </c>
      <c r="S2088" s="39" t="n">
        <f aca="false">Resumo!$C$13</f>
        <v>13.55</v>
      </c>
      <c r="T2088" s="39" t="n">
        <f aca="false">Resumo!$C$14*CEILING(I2088,1)</f>
        <v>11.7</v>
      </c>
      <c r="U2088" s="39" t="n">
        <f aca="false">SUM(M2088:T2088)*Resumo!$C$11</f>
        <v>0</v>
      </c>
      <c r="V2088" s="39" t="n">
        <f aca="false">SUM(M2088:U2088)</f>
        <v>70.719958</v>
      </c>
      <c r="W2088" s="39" t="n">
        <f aca="false">V2088/(1-Resumo!$C$5)</f>
        <v>80.3635886363636</v>
      </c>
      <c r="X2088" s="39" t="n">
        <v>82.21</v>
      </c>
      <c r="Y2088" s="39" t="n">
        <f aca="false">J2088*Resumo!$B$6</f>
        <v>0.54999</v>
      </c>
      <c r="Z2088" s="39" t="n">
        <f aca="false">J2088*Resumo!$B$7</f>
        <v>1.09998</v>
      </c>
      <c r="AA2088" s="39" t="n">
        <f aca="false">Resumo!$B$9</f>
        <v>1</v>
      </c>
      <c r="AB2088" s="39" t="n">
        <f aca="false">Resumo!$B$10*CEILING(I2088/100,1)</f>
        <v>4.5</v>
      </c>
      <c r="AC2088" s="39" t="n">
        <f aca="false">Resumo!$B$12*CEILING(I2088,1)</f>
        <v>1.56</v>
      </c>
      <c r="AD2088" s="39" t="n">
        <f aca="false">Resumo!$B$14*CEILING(I2088,1)</f>
        <v>11.7</v>
      </c>
      <c r="AE2088" s="39" t="n">
        <f aca="false">SUM(X2088:AD2088)</f>
        <v>102.61997</v>
      </c>
      <c r="AF2088" s="39" t="n">
        <f aca="false">AE2088/(1-Resumo!$B$5)</f>
        <v>116.613602272727</v>
      </c>
      <c r="AG2088" s="39" t="n">
        <f aca="false">AF2088-W2088</f>
        <v>36.2500136363636</v>
      </c>
      <c r="AH2088" s="40" t="n">
        <f aca="false">AF2088/W2088-1</f>
        <v>0.451075098206365</v>
      </c>
      <c r="AI2088" s="37" t="str">
        <f aca="false">IF(AF2088&lt;W2088,"SIM","NÃO")</f>
        <v>NÃO</v>
      </c>
      <c r="AJ2088" s="37" t="n">
        <v>2</v>
      </c>
      <c r="AK2088" s="37" t="n">
        <v>5</v>
      </c>
      <c r="AL2088" s="37" t="s">
        <v>343</v>
      </c>
      <c r="AM2088" s="39" t="n">
        <v>82.96</v>
      </c>
    </row>
    <row r="2089" customFormat="false" ht="15" hidden="false" customHeight="false" outlineLevel="0" collapsed="false">
      <c r="A2089" s="37" t="n">
        <v>399020161</v>
      </c>
      <c r="B2089" s="38" t="n">
        <v>46289.7245717593</v>
      </c>
      <c r="C2089" s="37" t="s">
        <v>345</v>
      </c>
      <c r="D2089" s="37" t="s">
        <v>2205</v>
      </c>
      <c r="E2089" s="37" t="n">
        <v>22790851</v>
      </c>
      <c r="F2089" s="37" t="s">
        <v>159</v>
      </c>
      <c r="G2089" s="37" t="s">
        <v>196</v>
      </c>
      <c r="H2089" s="37" t="s">
        <v>185</v>
      </c>
      <c r="I2089" s="37" t="n">
        <v>40</v>
      </c>
      <c r="J2089" s="39" t="n">
        <v>629.99</v>
      </c>
      <c r="K2089" s="37" t="s">
        <v>342</v>
      </c>
      <c r="L2089" s="39" t="n">
        <v>92.87</v>
      </c>
      <c r="M2089" s="39" t="n">
        <v>48.35</v>
      </c>
      <c r="N2089" s="39" t="n">
        <f aca="false">J2089*Resumo!$C$6</f>
        <v>0</v>
      </c>
      <c r="O2089" s="39" t="n">
        <f aca="false">J2089*Resumo!$C$7</f>
        <v>1.322979</v>
      </c>
      <c r="P2089" s="39" t="n">
        <f aca="false">J2089*Resumo!$C$8</f>
        <v>1.322979</v>
      </c>
      <c r="Q2089" s="39" t="n">
        <f aca="false">Resumo!$C$10*CEILING(I2089/100,1)</f>
        <v>1.05</v>
      </c>
      <c r="R2089" s="39" t="n">
        <f aca="false">Resumo!$C$9</f>
        <v>0</v>
      </c>
      <c r="S2089" s="39" t="n">
        <f aca="false">Resumo!$C$13</f>
        <v>13.55</v>
      </c>
      <c r="T2089" s="39" t="n">
        <f aca="false">Resumo!$C$14*CEILING(I2089,1)</f>
        <v>18</v>
      </c>
      <c r="U2089" s="39" t="n">
        <f aca="false">SUM(M2089:T2089)*Resumo!$C$11</f>
        <v>0</v>
      </c>
      <c r="V2089" s="39" t="n">
        <f aca="false">SUM(M2089:U2089)</f>
        <v>83.595958</v>
      </c>
      <c r="W2089" s="39" t="n">
        <f aca="false">V2089/(1-Resumo!$C$5)</f>
        <v>94.9954068181818</v>
      </c>
      <c r="X2089" s="39" t="n">
        <v>93.97</v>
      </c>
      <c r="Y2089" s="39" t="n">
        <f aca="false">J2089*Resumo!$B$6</f>
        <v>0.62999</v>
      </c>
      <c r="Z2089" s="39" t="n">
        <f aca="false">J2089*Resumo!$B$7</f>
        <v>1.25998</v>
      </c>
      <c r="AA2089" s="39" t="n">
        <f aca="false">Resumo!$B$9</f>
        <v>1</v>
      </c>
      <c r="AB2089" s="39" t="n">
        <f aca="false">Resumo!$B$10*CEILING(I2089/100,1)</f>
        <v>4.5</v>
      </c>
      <c r="AC2089" s="39" t="n">
        <f aca="false">Resumo!$B$12*CEILING(I2089,1)</f>
        <v>2.4</v>
      </c>
      <c r="AD2089" s="39" t="n">
        <f aca="false">Resumo!$B$14*CEILING(I2089,1)</f>
        <v>18</v>
      </c>
      <c r="AE2089" s="39" t="n">
        <f aca="false">SUM(X2089:AD2089)</f>
        <v>121.75997</v>
      </c>
      <c r="AF2089" s="39" t="n">
        <f aca="false">AE2089/(1-Resumo!$B$5)</f>
        <v>138.363602272727</v>
      </c>
      <c r="AG2089" s="39" t="n">
        <f aca="false">AF2089-W2089</f>
        <v>43.3681954545454</v>
      </c>
      <c r="AH2089" s="40" t="n">
        <f aca="false">AF2089/W2089-1</f>
        <v>0.456529393442683</v>
      </c>
      <c r="AI2089" s="37" t="str">
        <f aca="false">IF(AF2089&lt;W2089,"SIM","NÃO")</f>
        <v>NÃO</v>
      </c>
      <c r="AJ2089" s="37" t="n">
        <v>2</v>
      </c>
      <c r="AK2089" s="37" t="n">
        <v>5</v>
      </c>
      <c r="AL2089" s="37" t="s">
        <v>343</v>
      </c>
      <c r="AM2089" s="39" t="n">
        <v>92.88</v>
      </c>
    </row>
    <row r="2090" customFormat="false" ht="15" hidden="false" customHeight="false" outlineLevel="0" collapsed="false">
      <c r="A2090" s="37" t="n">
        <v>399034475</v>
      </c>
      <c r="B2090" s="38" t="n">
        <v>46289.7589930556</v>
      </c>
      <c r="C2090" s="37" t="s">
        <v>345</v>
      </c>
      <c r="D2090" s="37" t="s">
        <v>2206</v>
      </c>
      <c r="E2090" s="37" t="n">
        <v>20241110</v>
      </c>
      <c r="F2090" s="37" t="s">
        <v>159</v>
      </c>
      <c r="G2090" s="37" t="s">
        <v>196</v>
      </c>
      <c r="H2090" s="37" t="s">
        <v>185</v>
      </c>
      <c r="I2090" s="37" t="n">
        <v>36.8</v>
      </c>
      <c r="J2090" s="39" t="n">
        <v>469.99</v>
      </c>
      <c r="K2090" s="37" t="s">
        <v>342</v>
      </c>
      <c r="L2090" s="39" t="n">
        <v>92.11</v>
      </c>
      <c r="M2090" s="39" t="n">
        <v>48.35</v>
      </c>
      <c r="N2090" s="39" t="n">
        <f aca="false">J2090*Resumo!$C$6</f>
        <v>0</v>
      </c>
      <c r="O2090" s="39" t="n">
        <f aca="false">J2090*Resumo!$C$7</f>
        <v>0.986979</v>
      </c>
      <c r="P2090" s="39" t="n">
        <f aca="false">J2090*Resumo!$C$8</f>
        <v>0.986979</v>
      </c>
      <c r="Q2090" s="39" t="n">
        <f aca="false">Resumo!$C$10*CEILING(I2090/100,1)</f>
        <v>1.05</v>
      </c>
      <c r="R2090" s="39" t="n">
        <f aca="false">Resumo!$C$9</f>
        <v>0</v>
      </c>
      <c r="S2090" s="39" t="n">
        <f aca="false">Resumo!$C$13</f>
        <v>13.55</v>
      </c>
      <c r="T2090" s="39" t="n">
        <f aca="false">Resumo!$C$14*CEILING(I2090,1)</f>
        <v>16.65</v>
      </c>
      <c r="U2090" s="39" t="n">
        <f aca="false">SUM(M2090:T2090)*Resumo!$C$11</f>
        <v>0</v>
      </c>
      <c r="V2090" s="39" t="n">
        <f aca="false">SUM(M2090:U2090)</f>
        <v>81.573958</v>
      </c>
      <c r="W2090" s="39" t="n">
        <f aca="false">V2090/(1-Resumo!$C$5)</f>
        <v>92.6976795454546</v>
      </c>
      <c r="X2090" s="39" t="n">
        <v>93.97</v>
      </c>
      <c r="Y2090" s="39" t="n">
        <f aca="false">J2090*Resumo!$B$6</f>
        <v>0.46999</v>
      </c>
      <c r="Z2090" s="39" t="n">
        <f aca="false">J2090*Resumo!$B$7</f>
        <v>0.93998</v>
      </c>
      <c r="AA2090" s="39" t="n">
        <f aca="false">Resumo!$B$9</f>
        <v>1</v>
      </c>
      <c r="AB2090" s="39" t="n">
        <f aca="false">Resumo!$B$10*CEILING(I2090/100,1)</f>
        <v>4.5</v>
      </c>
      <c r="AC2090" s="39" t="n">
        <f aca="false">Resumo!$B$12*CEILING(I2090,1)</f>
        <v>2.22</v>
      </c>
      <c r="AD2090" s="39" t="n">
        <f aca="false">Resumo!$B$14*CEILING(I2090,1)</f>
        <v>16.65</v>
      </c>
      <c r="AE2090" s="39" t="n">
        <f aca="false">SUM(X2090:AD2090)</f>
        <v>119.74997</v>
      </c>
      <c r="AF2090" s="39" t="n">
        <f aca="false">AE2090/(1-Resumo!$B$5)</f>
        <v>136.079511363636</v>
      </c>
      <c r="AG2090" s="39" t="n">
        <f aca="false">AF2090-W2090</f>
        <v>43.3818318181818</v>
      </c>
      <c r="AH2090" s="40" t="n">
        <f aca="false">AF2090/W2090-1</f>
        <v>0.467992640494409</v>
      </c>
      <c r="AI2090" s="37" t="str">
        <f aca="false">IF(AF2090&lt;W2090,"SIM","NÃO")</f>
        <v>NÃO</v>
      </c>
      <c r="AJ2090" s="37" t="n">
        <v>2</v>
      </c>
      <c r="AK2090" s="37" t="n">
        <v>5</v>
      </c>
      <c r="AL2090" s="37" t="s">
        <v>343</v>
      </c>
      <c r="AM2090" s="39" t="n">
        <v>92.11</v>
      </c>
    </row>
    <row r="2091" customFormat="false" ht="15" hidden="false" customHeight="false" outlineLevel="0" collapsed="false">
      <c r="A2091" s="37" t="n">
        <v>399035992</v>
      </c>
      <c r="B2091" s="38" t="n">
        <v>46289.7624421296</v>
      </c>
      <c r="C2091" s="37" t="s">
        <v>340</v>
      </c>
      <c r="D2091" s="37" t="s">
        <v>2207</v>
      </c>
      <c r="E2091" s="37" t="n">
        <v>21911270</v>
      </c>
      <c r="F2091" s="37" t="s">
        <v>159</v>
      </c>
      <c r="G2091" s="37" t="s">
        <v>196</v>
      </c>
      <c r="H2091" s="37" t="s">
        <v>187</v>
      </c>
      <c r="I2091" s="37" t="n">
        <v>58.6</v>
      </c>
      <c r="J2091" s="39" t="n">
        <v>729.92</v>
      </c>
      <c r="K2091" s="37" t="s">
        <v>342</v>
      </c>
      <c r="L2091" s="39" t="n">
        <v>114.65</v>
      </c>
      <c r="M2091" s="39" t="n">
        <v>58.6</v>
      </c>
      <c r="N2091" s="39" t="n">
        <f aca="false">J2091*Resumo!$C$6</f>
        <v>0</v>
      </c>
      <c r="O2091" s="39" t="n">
        <f aca="false">J2091*Resumo!$C$7</f>
        <v>1.532832</v>
      </c>
      <c r="P2091" s="39" t="n">
        <f aca="false">J2091*Resumo!$C$8</f>
        <v>1.532832</v>
      </c>
      <c r="Q2091" s="39" t="n">
        <f aca="false">Resumo!$C$10*CEILING(I2091/100,1)</f>
        <v>1.05</v>
      </c>
      <c r="R2091" s="39" t="n">
        <f aca="false">Resumo!$C$9</f>
        <v>0</v>
      </c>
      <c r="S2091" s="39" t="n">
        <f aca="false">Resumo!$C$13</f>
        <v>13.55</v>
      </c>
      <c r="T2091" s="39" t="n">
        <f aca="false">Resumo!$C$14*CEILING(I2091,1)</f>
        <v>26.55</v>
      </c>
      <c r="U2091" s="39" t="n">
        <f aca="false">SUM(M2091:T2091)*Resumo!$C$11</f>
        <v>0</v>
      </c>
      <c r="V2091" s="39" t="n">
        <f aca="false">SUM(M2091:U2091)</f>
        <v>102.815664</v>
      </c>
      <c r="W2091" s="39" t="n">
        <f aca="false">V2091/(1-Resumo!$C$5)</f>
        <v>116.835981818182</v>
      </c>
      <c r="X2091" s="39" t="n">
        <v>112.3</v>
      </c>
      <c r="Y2091" s="39" t="n">
        <f aca="false">J2091*Resumo!$B$6</f>
        <v>0.72992</v>
      </c>
      <c r="Z2091" s="39" t="n">
        <f aca="false">J2091*Resumo!$B$7</f>
        <v>1.45984</v>
      </c>
      <c r="AA2091" s="39" t="n">
        <f aca="false">Resumo!$B$9</f>
        <v>1</v>
      </c>
      <c r="AB2091" s="39" t="n">
        <f aca="false">Resumo!$B$10*CEILING(I2091/100,1)</f>
        <v>4.5</v>
      </c>
      <c r="AC2091" s="39" t="n">
        <f aca="false">Resumo!$B$12*CEILING(I2091,1)</f>
        <v>3.54</v>
      </c>
      <c r="AD2091" s="39" t="n">
        <f aca="false">Resumo!$B$14*CEILING(I2091,1)</f>
        <v>26.55</v>
      </c>
      <c r="AE2091" s="39" t="n">
        <f aca="false">SUM(X2091:AD2091)</f>
        <v>150.07976</v>
      </c>
      <c r="AF2091" s="39" t="n">
        <f aca="false">AE2091/(1-Resumo!$B$5)</f>
        <v>170.545181818182</v>
      </c>
      <c r="AG2091" s="39" t="n">
        <f aca="false">AF2091-W2091</f>
        <v>53.7092</v>
      </c>
      <c r="AH2091" s="40" t="n">
        <f aca="false">AF2091/W2091-1</f>
        <v>0.459697425092737</v>
      </c>
      <c r="AI2091" s="37" t="str">
        <f aca="false">IF(AF2091&lt;W2091,"SIM","NÃO")</f>
        <v>NÃO</v>
      </c>
      <c r="AJ2091" s="37" t="n">
        <v>2</v>
      </c>
      <c r="AK2091" s="37" t="n">
        <v>5</v>
      </c>
      <c r="AL2091" s="37" t="s">
        <v>343</v>
      </c>
      <c r="AM2091" s="39" t="n">
        <v>114.65</v>
      </c>
    </row>
    <row r="2092" customFormat="false" ht="15" hidden="false" customHeight="false" outlineLevel="0" collapsed="false">
      <c r="A2092" s="37" t="n">
        <v>399036253</v>
      </c>
      <c r="B2092" s="38" t="n">
        <v>46289.7636226852</v>
      </c>
      <c r="C2092" s="37" t="s">
        <v>340</v>
      </c>
      <c r="D2092" s="37" t="s">
        <v>2208</v>
      </c>
      <c r="E2092" s="37" t="n">
        <v>26155090</v>
      </c>
      <c r="F2092" s="37" t="s">
        <v>165</v>
      </c>
      <c r="G2092" s="37" t="s">
        <v>197</v>
      </c>
      <c r="H2092" s="37" t="s">
        <v>189</v>
      </c>
      <c r="I2092" s="37" t="n">
        <v>71.9</v>
      </c>
      <c r="J2092" s="39" t="n">
        <v>799.99</v>
      </c>
      <c r="K2092" s="37" t="s">
        <v>342</v>
      </c>
      <c r="L2092" s="39" t="n">
        <v>151.84</v>
      </c>
      <c r="M2092" s="39" t="n">
        <v>82.48</v>
      </c>
      <c r="N2092" s="39" t="n">
        <f aca="false">J2092*Resumo!$C$6</f>
        <v>0</v>
      </c>
      <c r="O2092" s="39" t="n">
        <f aca="false">J2092*Resumo!$C$7</f>
        <v>1.679979</v>
      </c>
      <c r="P2092" s="39" t="n">
        <f aca="false">J2092*Resumo!$C$8</f>
        <v>1.679979</v>
      </c>
      <c r="Q2092" s="39" t="n">
        <f aca="false">Resumo!$C$10*CEILING(I2092/100,1)</f>
        <v>1.05</v>
      </c>
      <c r="R2092" s="39" t="n">
        <f aca="false">Resumo!$C$9</f>
        <v>0</v>
      </c>
      <c r="S2092" s="39" t="n">
        <f aca="false">Resumo!$C$13</f>
        <v>13.55</v>
      </c>
      <c r="T2092" s="39" t="n">
        <f aca="false">Resumo!$C$14*CEILING(I2092,1)</f>
        <v>32.4</v>
      </c>
      <c r="U2092" s="39" t="n">
        <f aca="false">SUM(M2092:T2092)*Resumo!$C$11</f>
        <v>0</v>
      </c>
      <c r="V2092" s="39" t="n">
        <f aca="false">SUM(M2092:U2092)</f>
        <v>132.839958</v>
      </c>
      <c r="W2092" s="39" t="n">
        <f aca="false">V2092/(1-Resumo!$C$5)</f>
        <v>150.954497727273</v>
      </c>
      <c r="X2092" s="39" t="n">
        <v>134.39</v>
      </c>
      <c r="Y2092" s="39" t="n">
        <f aca="false">J2092*Resumo!$B$6</f>
        <v>0.79999</v>
      </c>
      <c r="Z2092" s="39" t="n">
        <f aca="false">J2092*Resumo!$B$7</f>
        <v>1.59998</v>
      </c>
      <c r="AA2092" s="39" t="n">
        <f aca="false">Resumo!$B$9</f>
        <v>1</v>
      </c>
      <c r="AB2092" s="39" t="n">
        <f aca="false">Resumo!$B$10*CEILING(I2092/100,1)</f>
        <v>4.5</v>
      </c>
      <c r="AC2092" s="39" t="n">
        <f aca="false">Resumo!$B$12*CEILING(I2092,1)</f>
        <v>4.32</v>
      </c>
      <c r="AD2092" s="39" t="n">
        <f aca="false">Resumo!$B$14*CEILING(I2092,1)</f>
        <v>32.4</v>
      </c>
      <c r="AE2092" s="39" t="n">
        <f aca="false">SUM(X2092:AD2092)</f>
        <v>179.00997</v>
      </c>
      <c r="AF2092" s="39" t="n">
        <f aca="false">AE2092/(1-Resumo!$B$5)</f>
        <v>203.420420454545</v>
      </c>
      <c r="AG2092" s="39" t="n">
        <f aca="false">AF2092-W2092</f>
        <v>52.4659227272727</v>
      </c>
      <c r="AH2092" s="40" t="n">
        <f aca="false">AF2092/W2092-1</f>
        <v>0.34756117583235</v>
      </c>
      <c r="AI2092" s="37" t="str">
        <f aca="false">IF(AF2092&lt;W2092,"SIM","NÃO")</f>
        <v>NÃO</v>
      </c>
      <c r="AJ2092" s="37" t="n">
        <v>2</v>
      </c>
      <c r="AK2092" s="37" t="n">
        <v>5</v>
      </c>
      <c r="AL2092" s="37" t="s">
        <v>343</v>
      </c>
      <c r="AM2092" s="39" t="n">
        <v>151.84</v>
      </c>
    </row>
    <row r="2093" customFormat="false" ht="15" hidden="false" customHeight="false" outlineLevel="0" collapsed="false">
      <c r="A2093" s="37" t="n">
        <v>399041252</v>
      </c>
      <c r="B2093" s="38" t="n">
        <v>46289.7756828704</v>
      </c>
      <c r="C2093" s="37" t="s">
        <v>340</v>
      </c>
      <c r="D2093" s="37" t="s">
        <v>2209</v>
      </c>
      <c r="E2093" s="37" t="n">
        <v>27250100</v>
      </c>
      <c r="F2093" s="37" t="s">
        <v>168</v>
      </c>
      <c r="G2093" s="37" t="s">
        <v>198</v>
      </c>
      <c r="H2093" s="37" t="s">
        <v>187</v>
      </c>
      <c r="I2093" s="37" t="n">
        <v>52.3</v>
      </c>
      <c r="J2093" s="39" t="n">
        <v>592.37</v>
      </c>
      <c r="K2093" s="37" t="s">
        <v>342</v>
      </c>
      <c r="L2093" s="39" t="n">
        <v>142.5</v>
      </c>
      <c r="M2093" s="39" t="n">
        <v>83.58</v>
      </c>
      <c r="N2093" s="39" t="n">
        <f aca="false">J2093*Resumo!$C$6</f>
        <v>0</v>
      </c>
      <c r="O2093" s="39" t="n">
        <f aca="false">J2093*Resumo!$C$7</f>
        <v>1.243977</v>
      </c>
      <c r="P2093" s="39" t="n">
        <f aca="false">J2093*Resumo!$C$8</f>
        <v>1.243977</v>
      </c>
      <c r="Q2093" s="39" t="n">
        <f aca="false">Resumo!$C$10*CEILING(I2093/100,1)</f>
        <v>1.05</v>
      </c>
      <c r="R2093" s="39" t="n">
        <f aca="false">Resumo!$C$9</f>
        <v>0</v>
      </c>
      <c r="S2093" s="39" t="n">
        <f aca="false">Resumo!$C$13</f>
        <v>13.55</v>
      </c>
      <c r="T2093" s="39" t="n">
        <f aca="false">Resumo!$C$14*CEILING(I2093,1)</f>
        <v>23.85</v>
      </c>
      <c r="U2093" s="39" t="n">
        <f aca="false">SUM(M2093:T2093)*Resumo!$C$11</f>
        <v>0</v>
      </c>
      <c r="V2093" s="39" t="n">
        <f aca="false">SUM(M2093:U2093)</f>
        <v>124.517954</v>
      </c>
      <c r="W2093" s="39" t="n">
        <f aca="false">V2093/(1-Resumo!$C$5)</f>
        <v>141.497675</v>
      </c>
      <c r="X2093" s="39" t="n">
        <v>142.32</v>
      </c>
      <c r="Y2093" s="39" t="n">
        <f aca="false">J2093*Resumo!$B$6</f>
        <v>0.59237</v>
      </c>
      <c r="Z2093" s="39" t="n">
        <f aca="false">J2093*Resumo!$B$7</f>
        <v>1.18474</v>
      </c>
      <c r="AA2093" s="39" t="n">
        <f aca="false">Resumo!$B$9</f>
        <v>1</v>
      </c>
      <c r="AB2093" s="39" t="n">
        <f aca="false">Resumo!$B$10*CEILING(I2093/100,1)</f>
        <v>4.5</v>
      </c>
      <c r="AC2093" s="39" t="n">
        <f aca="false">Resumo!$B$12*CEILING(I2093,1)</f>
        <v>3.18</v>
      </c>
      <c r="AD2093" s="39" t="n">
        <f aca="false">Resumo!$B$14*CEILING(I2093,1)</f>
        <v>23.85</v>
      </c>
      <c r="AE2093" s="39" t="n">
        <f aca="false">SUM(X2093:AD2093)</f>
        <v>176.62711</v>
      </c>
      <c r="AF2093" s="39" t="n">
        <f aca="false">AE2093/(1-Resumo!$B$5)</f>
        <v>200.712625</v>
      </c>
      <c r="AG2093" s="39" t="n">
        <f aca="false">AF2093-W2093</f>
        <v>59.21495</v>
      </c>
      <c r="AH2093" s="40" t="n">
        <f aca="false">AF2093/W2093-1</f>
        <v>0.418487088215407</v>
      </c>
      <c r="AI2093" s="37" t="str">
        <f aca="false">IF(AF2093&lt;W2093,"SIM","NÃO")</f>
        <v>NÃO</v>
      </c>
      <c r="AJ2093" s="37" t="n">
        <v>13</v>
      </c>
      <c r="AK2093" s="37" t="n">
        <v>10</v>
      </c>
      <c r="AL2093" s="37" t="s">
        <v>343</v>
      </c>
      <c r="AM2093" s="39" t="n">
        <v>142.51</v>
      </c>
    </row>
    <row r="2094" customFormat="false" ht="15" hidden="false" customHeight="false" outlineLevel="0" collapsed="false">
      <c r="A2094" s="37" t="n">
        <v>399054582</v>
      </c>
      <c r="B2094" s="38" t="n">
        <v>46289.8079050926</v>
      </c>
      <c r="C2094" s="37" t="s">
        <v>340</v>
      </c>
      <c r="D2094" s="37" t="s">
        <v>2210</v>
      </c>
      <c r="E2094" s="37" t="n">
        <v>23575330</v>
      </c>
      <c r="F2094" s="37" t="s">
        <v>159</v>
      </c>
      <c r="G2094" s="37" t="s">
        <v>196</v>
      </c>
      <c r="H2094" s="37" t="s">
        <v>186</v>
      </c>
      <c r="I2094" s="37" t="n">
        <v>48.3</v>
      </c>
      <c r="J2094" s="39" t="n">
        <v>449.31</v>
      </c>
      <c r="K2094" s="37" t="s">
        <v>342</v>
      </c>
      <c r="L2094" s="39" t="n">
        <v>102.74</v>
      </c>
      <c r="M2094" s="39" t="n">
        <v>53.55</v>
      </c>
      <c r="N2094" s="39" t="n">
        <f aca="false">J2094*Resumo!$C$6</f>
        <v>0</v>
      </c>
      <c r="O2094" s="39" t="n">
        <f aca="false">J2094*Resumo!$C$7</f>
        <v>0.943551</v>
      </c>
      <c r="P2094" s="39" t="n">
        <f aca="false">J2094*Resumo!$C$8</f>
        <v>0.943551</v>
      </c>
      <c r="Q2094" s="39" t="n">
        <f aca="false">Resumo!$C$10*CEILING(I2094/100,1)</f>
        <v>1.05</v>
      </c>
      <c r="R2094" s="39" t="n">
        <f aca="false">Resumo!$C$9</f>
        <v>0</v>
      </c>
      <c r="S2094" s="39" t="n">
        <f aca="false">Resumo!$C$13</f>
        <v>13.55</v>
      </c>
      <c r="T2094" s="39" t="n">
        <f aca="false">Resumo!$C$14*CEILING(I2094,1)</f>
        <v>22.05</v>
      </c>
      <c r="U2094" s="39" t="n">
        <f aca="false">SUM(M2094:T2094)*Resumo!$C$11</f>
        <v>0</v>
      </c>
      <c r="V2094" s="39" t="n">
        <f aca="false">SUM(M2094:U2094)</f>
        <v>92.087102</v>
      </c>
      <c r="W2094" s="39" t="n">
        <f aca="false">V2094/(1-Resumo!$C$5)</f>
        <v>104.644434090909</v>
      </c>
      <c r="X2094" s="39" t="n">
        <v>93.97</v>
      </c>
      <c r="Y2094" s="39" t="n">
        <f aca="false">J2094*Resumo!$B$6</f>
        <v>0.44931</v>
      </c>
      <c r="Z2094" s="39" t="n">
        <f aca="false">J2094*Resumo!$B$7</f>
        <v>0.89862</v>
      </c>
      <c r="AA2094" s="39" t="n">
        <f aca="false">Resumo!$B$9</f>
        <v>1</v>
      </c>
      <c r="AB2094" s="39" t="n">
        <f aca="false">Resumo!$B$10*CEILING(I2094/100,1)</f>
        <v>4.5</v>
      </c>
      <c r="AC2094" s="39" t="n">
        <f aca="false">Resumo!$B$12*CEILING(I2094,1)</f>
        <v>2.94</v>
      </c>
      <c r="AD2094" s="39" t="n">
        <f aca="false">Resumo!$B$14*CEILING(I2094,1)</f>
        <v>22.05</v>
      </c>
      <c r="AE2094" s="39" t="n">
        <f aca="false">SUM(X2094:AD2094)</f>
        <v>125.80793</v>
      </c>
      <c r="AF2094" s="39" t="n">
        <f aca="false">AE2094/(1-Resumo!$B$5)</f>
        <v>142.963556818182</v>
      </c>
      <c r="AG2094" s="39" t="n">
        <f aca="false">AF2094-W2094</f>
        <v>38.3191227272727</v>
      </c>
      <c r="AH2094" s="40" t="n">
        <f aca="false">AF2094/W2094-1</f>
        <v>0.366184050400457</v>
      </c>
      <c r="AI2094" s="37" t="str">
        <f aca="false">IF(AF2094&lt;W2094,"SIM","NÃO")</f>
        <v>NÃO</v>
      </c>
      <c r="AJ2094" s="37" t="n">
        <v>2</v>
      </c>
      <c r="AK2094" s="37" t="n">
        <v>5</v>
      </c>
      <c r="AL2094" s="37" t="s">
        <v>343</v>
      </c>
      <c r="AM2094" s="39" t="n">
        <v>102.74</v>
      </c>
    </row>
    <row r="2095" customFormat="false" ht="15" hidden="false" customHeight="false" outlineLevel="0" collapsed="false">
      <c r="A2095" s="37" t="n">
        <v>399056011</v>
      </c>
      <c r="B2095" s="38" t="n">
        <v>46289.8113425926</v>
      </c>
      <c r="C2095" s="37" t="s">
        <v>340</v>
      </c>
      <c r="D2095" s="37" t="s">
        <v>2211</v>
      </c>
      <c r="E2095" s="37" t="n">
        <v>21825330</v>
      </c>
      <c r="F2095" s="37" t="s">
        <v>159</v>
      </c>
      <c r="G2095" s="37" t="s">
        <v>196</v>
      </c>
      <c r="H2095" s="37" t="s">
        <v>184</v>
      </c>
      <c r="I2095" s="37" t="n">
        <v>21.5</v>
      </c>
      <c r="J2095" s="39" t="n">
        <v>299.99</v>
      </c>
      <c r="K2095" s="37" t="s">
        <v>342</v>
      </c>
      <c r="L2095" s="39" t="n">
        <v>81.76</v>
      </c>
      <c r="M2095" s="39" t="n">
        <v>42.11</v>
      </c>
      <c r="N2095" s="39" t="n">
        <f aca="false">J2095*Resumo!$C$6</f>
        <v>0</v>
      </c>
      <c r="O2095" s="39" t="n">
        <f aca="false">J2095*Resumo!$C$7</f>
        <v>0.629979</v>
      </c>
      <c r="P2095" s="39" t="n">
        <f aca="false">J2095*Resumo!$C$8</f>
        <v>0.629979</v>
      </c>
      <c r="Q2095" s="39" t="n">
        <f aca="false">Resumo!$C$10*CEILING(I2095/100,1)</f>
        <v>1.05</v>
      </c>
      <c r="R2095" s="39" t="n">
        <f aca="false">Resumo!$C$9</f>
        <v>0</v>
      </c>
      <c r="S2095" s="39" t="n">
        <f aca="false">Resumo!$C$13</f>
        <v>13.55</v>
      </c>
      <c r="T2095" s="39" t="n">
        <f aca="false">Resumo!$C$14*CEILING(I2095,1)</f>
        <v>9.9</v>
      </c>
      <c r="U2095" s="39" t="n">
        <f aca="false">SUM(M2095:T2095)*Resumo!$C$11</f>
        <v>0</v>
      </c>
      <c r="V2095" s="39" t="n">
        <f aca="false">SUM(M2095:U2095)</f>
        <v>67.869958</v>
      </c>
      <c r="W2095" s="39" t="n">
        <f aca="false">V2095/(1-Resumo!$C$5)</f>
        <v>77.1249522727273</v>
      </c>
      <c r="X2095" s="39" t="n">
        <v>82.21</v>
      </c>
      <c r="Y2095" s="39" t="n">
        <f aca="false">J2095*Resumo!$B$6</f>
        <v>0.29999</v>
      </c>
      <c r="Z2095" s="39" t="n">
        <f aca="false">J2095*Resumo!$B$7</f>
        <v>0.59998</v>
      </c>
      <c r="AA2095" s="39" t="n">
        <f aca="false">Resumo!$B$9</f>
        <v>1</v>
      </c>
      <c r="AB2095" s="39" t="n">
        <f aca="false">Resumo!$B$10*CEILING(I2095/100,1)</f>
        <v>4.5</v>
      </c>
      <c r="AC2095" s="39" t="n">
        <f aca="false">Resumo!$B$12*CEILING(I2095,1)</f>
        <v>1.32</v>
      </c>
      <c r="AD2095" s="39" t="n">
        <f aca="false">Resumo!$B$14*CEILING(I2095,1)</f>
        <v>9.9</v>
      </c>
      <c r="AE2095" s="39" t="n">
        <f aca="false">SUM(X2095:AD2095)</f>
        <v>99.82997</v>
      </c>
      <c r="AF2095" s="39" t="n">
        <f aca="false">AE2095/(1-Resumo!$B$5)</f>
        <v>113.443147727273</v>
      </c>
      <c r="AG2095" s="39" t="n">
        <f aca="false">AF2095-W2095</f>
        <v>36.3181954545455</v>
      </c>
      <c r="AH2095" s="40" t="n">
        <f aca="false">AF2095/W2095-1</f>
        <v>0.470900718695008</v>
      </c>
      <c r="AI2095" s="37" t="str">
        <f aca="false">IF(AF2095&lt;W2095,"SIM","NÃO")</f>
        <v>NÃO</v>
      </c>
      <c r="AJ2095" s="37" t="n">
        <v>2</v>
      </c>
      <c r="AK2095" s="37" t="n">
        <v>5</v>
      </c>
      <c r="AL2095" s="37" t="s">
        <v>343</v>
      </c>
      <c r="AM2095" s="39" t="n">
        <v>81.76</v>
      </c>
    </row>
    <row r="2096" customFormat="false" ht="15" hidden="false" customHeight="false" outlineLevel="0" collapsed="false">
      <c r="A2096" s="37" t="n">
        <v>399067507</v>
      </c>
      <c r="B2096" s="38" t="n">
        <v>46289.8382523148</v>
      </c>
      <c r="C2096" s="37" t="s">
        <v>340</v>
      </c>
      <c r="D2096" s="37" t="s">
        <v>2212</v>
      </c>
      <c r="E2096" s="37" t="n">
        <v>25085132</v>
      </c>
      <c r="F2096" s="37" t="s">
        <v>161</v>
      </c>
      <c r="G2096" s="37" t="s">
        <v>197</v>
      </c>
      <c r="H2096" s="37" t="s">
        <v>187</v>
      </c>
      <c r="I2096" s="37" t="n">
        <v>52.3</v>
      </c>
      <c r="J2096" s="39" t="n">
        <v>592.37</v>
      </c>
      <c r="K2096" s="37" t="s">
        <v>342</v>
      </c>
      <c r="L2096" s="39" t="n">
        <v>128.11</v>
      </c>
      <c r="M2096" s="39" t="n">
        <v>70.98</v>
      </c>
      <c r="N2096" s="39" t="n">
        <f aca="false">J2096*Resumo!$C$6</f>
        <v>0</v>
      </c>
      <c r="O2096" s="39" t="n">
        <f aca="false">J2096*Resumo!$C$7</f>
        <v>1.243977</v>
      </c>
      <c r="P2096" s="39" t="n">
        <f aca="false">J2096*Resumo!$C$8</f>
        <v>1.243977</v>
      </c>
      <c r="Q2096" s="39" t="n">
        <f aca="false">Resumo!$C$10*CEILING(I2096/100,1)</f>
        <v>1.05</v>
      </c>
      <c r="R2096" s="39" t="n">
        <f aca="false">Resumo!$C$9</f>
        <v>0</v>
      </c>
      <c r="S2096" s="39" t="n">
        <f aca="false">Resumo!$C$13</f>
        <v>13.55</v>
      </c>
      <c r="T2096" s="39" t="n">
        <f aca="false">Resumo!$C$14*CEILING(I2096,1)</f>
        <v>23.85</v>
      </c>
      <c r="U2096" s="39" t="n">
        <f aca="false">SUM(M2096:T2096)*Resumo!$C$11</f>
        <v>0</v>
      </c>
      <c r="V2096" s="39" t="n">
        <f aca="false">SUM(M2096:U2096)</f>
        <v>111.917954</v>
      </c>
      <c r="W2096" s="39" t="n">
        <f aca="false">V2096/(1-Resumo!$C$5)</f>
        <v>127.179493181818</v>
      </c>
      <c r="X2096" s="39" t="n">
        <v>112.3</v>
      </c>
      <c r="Y2096" s="39" t="n">
        <f aca="false">J2096*Resumo!$B$6</f>
        <v>0.59237</v>
      </c>
      <c r="Z2096" s="39" t="n">
        <f aca="false">J2096*Resumo!$B$7</f>
        <v>1.18474</v>
      </c>
      <c r="AA2096" s="39" t="n">
        <f aca="false">Resumo!$B$9</f>
        <v>1</v>
      </c>
      <c r="AB2096" s="39" t="n">
        <f aca="false">Resumo!$B$10*CEILING(I2096/100,1)</f>
        <v>4.5</v>
      </c>
      <c r="AC2096" s="39" t="n">
        <f aca="false">Resumo!$B$12*CEILING(I2096,1)</f>
        <v>3.18</v>
      </c>
      <c r="AD2096" s="39" t="n">
        <f aca="false">Resumo!$B$14*CEILING(I2096,1)</f>
        <v>23.85</v>
      </c>
      <c r="AE2096" s="39" t="n">
        <f aca="false">SUM(X2096:AD2096)</f>
        <v>146.60711</v>
      </c>
      <c r="AF2096" s="39" t="n">
        <f aca="false">AE2096/(1-Resumo!$B$5)</f>
        <v>166.598988636364</v>
      </c>
      <c r="AG2096" s="39" t="n">
        <f aca="false">AF2096-W2096</f>
        <v>39.4194954545454</v>
      </c>
      <c r="AH2096" s="40" t="n">
        <f aca="false">AF2096/W2096-1</f>
        <v>0.309951663340808</v>
      </c>
      <c r="AI2096" s="37" t="str">
        <f aca="false">IF(AF2096&lt;W2096,"SIM","NÃO")</f>
        <v>NÃO</v>
      </c>
      <c r="AJ2096" s="37" t="n">
        <v>2</v>
      </c>
      <c r="AK2096" s="37" t="n">
        <v>5</v>
      </c>
      <c r="AL2096" s="37" t="s">
        <v>343</v>
      </c>
      <c r="AM2096" s="39" t="n">
        <v>128.12</v>
      </c>
    </row>
    <row r="2097" customFormat="false" ht="15" hidden="false" customHeight="false" outlineLevel="0" collapsed="false">
      <c r="A2097" s="37" t="n">
        <v>399069444</v>
      </c>
      <c r="B2097" s="38" t="n">
        <v>46289.8428703704</v>
      </c>
      <c r="C2097" s="37" t="s">
        <v>340</v>
      </c>
      <c r="D2097" s="37" t="s">
        <v>2213</v>
      </c>
      <c r="E2097" s="37" t="n">
        <v>23555024</v>
      </c>
      <c r="F2097" s="37" t="s">
        <v>159</v>
      </c>
      <c r="G2097" s="37" t="s">
        <v>196</v>
      </c>
      <c r="H2097" s="37" t="s">
        <v>186</v>
      </c>
      <c r="I2097" s="37" t="n">
        <v>48.3</v>
      </c>
      <c r="J2097" s="39" t="n">
        <v>449.35</v>
      </c>
      <c r="K2097" s="37" t="s">
        <v>342</v>
      </c>
      <c r="L2097" s="39" t="n">
        <v>102.74</v>
      </c>
      <c r="M2097" s="39" t="n">
        <v>53.55</v>
      </c>
      <c r="N2097" s="39" t="n">
        <f aca="false">J2097*Resumo!$C$6</f>
        <v>0</v>
      </c>
      <c r="O2097" s="39" t="n">
        <f aca="false">J2097*Resumo!$C$7</f>
        <v>0.943635</v>
      </c>
      <c r="P2097" s="39" t="n">
        <f aca="false">J2097*Resumo!$C$8</f>
        <v>0.943635</v>
      </c>
      <c r="Q2097" s="39" t="n">
        <f aca="false">Resumo!$C$10*CEILING(I2097/100,1)</f>
        <v>1.05</v>
      </c>
      <c r="R2097" s="39" t="n">
        <f aca="false">Resumo!$C$9</f>
        <v>0</v>
      </c>
      <c r="S2097" s="39" t="n">
        <f aca="false">Resumo!$C$13</f>
        <v>13.55</v>
      </c>
      <c r="T2097" s="39" t="n">
        <f aca="false">Resumo!$C$14*CEILING(I2097,1)</f>
        <v>22.05</v>
      </c>
      <c r="U2097" s="39" t="n">
        <f aca="false">SUM(M2097:T2097)*Resumo!$C$11</f>
        <v>0</v>
      </c>
      <c r="V2097" s="39" t="n">
        <f aca="false">SUM(M2097:U2097)</f>
        <v>92.08727</v>
      </c>
      <c r="W2097" s="39" t="n">
        <f aca="false">V2097/(1-Resumo!$C$5)</f>
        <v>104.644625</v>
      </c>
      <c r="X2097" s="39" t="n">
        <v>93.97</v>
      </c>
      <c r="Y2097" s="39" t="n">
        <f aca="false">J2097*Resumo!$B$6</f>
        <v>0.44935</v>
      </c>
      <c r="Z2097" s="39" t="n">
        <f aca="false">J2097*Resumo!$B$7</f>
        <v>0.8987</v>
      </c>
      <c r="AA2097" s="39" t="n">
        <f aca="false">Resumo!$B$9</f>
        <v>1</v>
      </c>
      <c r="AB2097" s="39" t="n">
        <f aca="false">Resumo!$B$10*CEILING(I2097/100,1)</f>
        <v>4.5</v>
      </c>
      <c r="AC2097" s="39" t="n">
        <f aca="false">Resumo!$B$12*CEILING(I2097,1)</f>
        <v>2.94</v>
      </c>
      <c r="AD2097" s="39" t="n">
        <f aca="false">Resumo!$B$14*CEILING(I2097,1)</f>
        <v>22.05</v>
      </c>
      <c r="AE2097" s="39" t="n">
        <f aca="false">SUM(X2097:AD2097)</f>
        <v>125.80805</v>
      </c>
      <c r="AF2097" s="39" t="n">
        <f aca="false">AE2097/(1-Resumo!$B$5)</f>
        <v>142.963693181818</v>
      </c>
      <c r="AG2097" s="39" t="n">
        <f aca="false">AF2097-W2097</f>
        <v>38.3190681818182</v>
      </c>
      <c r="AH2097" s="40" t="n">
        <f aca="false">AF2097/W2097-1</f>
        <v>0.366182861105558</v>
      </c>
      <c r="AI2097" s="37" t="str">
        <f aca="false">IF(AF2097&lt;W2097,"SIM","NÃO")</f>
        <v>NÃO</v>
      </c>
      <c r="AJ2097" s="37" t="n">
        <v>2</v>
      </c>
      <c r="AK2097" s="37" t="n">
        <v>5</v>
      </c>
      <c r="AL2097" s="37" t="s">
        <v>343</v>
      </c>
      <c r="AM2097" s="39" t="n">
        <v>102.74</v>
      </c>
    </row>
    <row r="2098" customFormat="false" ht="15" hidden="false" customHeight="false" outlineLevel="0" collapsed="false">
      <c r="A2098" s="37" t="n">
        <v>399096199</v>
      </c>
      <c r="B2098" s="38" t="n">
        <v>46289.903275463</v>
      </c>
      <c r="C2098" s="37" t="s">
        <v>345</v>
      </c>
      <c r="D2098" s="37" t="s">
        <v>2214</v>
      </c>
      <c r="E2098" s="37" t="n">
        <v>20720310</v>
      </c>
      <c r="F2098" s="37" t="s">
        <v>159</v>
      </c>
      <c r="G2098" s="37" t="s">
        <v>196</v>
      </c>
      <c r="H2098" s="37" t="s">
        <v>185</v>
      </c>
      <c r="I2098" s="37" t="n">
        <v>40</v>
      </c>
      <c r="J2098" s="39" t="n">
        <v>616</v>
      </c>
      <c r="K2098" s="37" t="s">
        <v>342</v>
      </c>
      <c r="L2098" s="39" t="n">
        <v>92.81</v>
      </c>
      <c r="M2098" s="39" t="n">
        <v>48.35</v>
      </c>
      <c r="N2098" s="39" t="n">
        <f aca="false">J2098*Resumo!$C$6</f>
        <v>0</v>
      </c>
      <c r="O2098" s="39" t="n">
        <f aca="false">J2098*Resumo!$C$7</f>
        <v>1.2936</v>
      </c>
      <c r="P2098" s="39" t="n">
        <f aca="false">J2098*Resumo!$C$8</f>
        <v>1.2936</v>
      </c>
      <c r="Q2098" s="39" t="n">
        <f aca="false">Resumo!$C$10*CEILING(I2098/100,1)</f>
        <v>1.05</v>
      </c>
      <c r="R2098" s="39" t="n">
        <f aca="false">Resumo!$C$9</f>
        <v>0</v>
      </c>
      <c r="S2098" s="39" t="n">
        <f aca="false">Resumo!$C$13</f>
        <v>13.55</v>
      </c>
      <c r="T2098" s="39" t="n">
        <f aca="false">Resumo!$C$14*CEILING(I2098,1)</f>
        <v>18</v>
      </c>
      <c r="U2098" s="39" t="n">
        <f aca="false">SUM(M2098:T2098)*Resumo!$C$11</f>
        <v>0</v>
      </c>
      <c r="V2098" s="39" t="n">
        <f aca="false">SUM(M2098:U2098)</f>
        <v>83.5372</v>
      </c>
      <c r="W2098" s="39" t="n">
        <f aca="false">V2098/(1-Resumo!$C$5)</f>
        <v>94.9286363636364</v>
      </c>
      <c r="X2098" s="39" t="n">
        <v>93.97</v>
      </c>
      <c r="Y2098" s="39" t="n">
        <f aca="false">J2098*Resumo!$B$6</f>
        <v>0.616</v>
      </c>
      <c r="Z2098" s="39" t="n">
        <f aca="false">J2098*Resumo!$B$7</f>
        <v>1.232</v>
      </c>
      <c r="AA2098" s="39" t="n">
        <f aca="false">Resumo!$B$9</f>
        <v>1</v>
      </c>
      <c r="AB2098" s="39" t="n">
        <f aca="false">Resumo!$B$10*CEILING(I2098/100,1)</f>
        <v>4.5</v>
      </c>
      <c r="AC2098" s="39" t="n">
        <f aca="false">Resumo!$B$12*CEILING(I2098,1)</f>
        <v>2.4</v>
      </c>
      <c r="AD2098" s="39" t="n">
        <f aca="false">Resumo!$B$14*CEILING(I2098,1)</f>
        <v>18</v>
      </c>
      <c r="AE2098" s="39" t="n">
        <f aca="false">SUM(X2098:AD2098)</f>
        <v>121.718</v>
      </c>
      <c r="AF2098" s="39" t="n">
        <f aca="false">AE2098/(1-Resumo!$B$5)</f>
        <v>138.315909090909</v>
      </c>
      <c r="AG2098" s="39" t="n">
        <f aca="false">AF2098-W2098</f>
        <v>43.3872727272727</v>
      </c>
      <c r="AH2098" s="40" t="n">
        <f aca="false">AF2098/W2098-1</f>
        <v>0.45705146928554</v>
      </c>
      <c r="AI2098" s="37" t="str">
        <f aca="false">IF(AF2098&lt;W2098,"SIM","NÃO")</f>
        <v>NÃO</v>
      </c>
      <c r="AJ2098" s="37" t="n">
        <v>2</v>
      </c>
      <c r="AK2098" s="37" t="n">
        <v>5</v>
      </c>
      <c r="AL2098" s="37" t="s">
        <v>343</v>
      </c>
      <c r="AM2098" s="39" t="n">
        <v>92.81</v>
      </c>
    </row>
    <row r="2099" customFormat="false" ht="15" hidden="false" customHeight="false" outlineLevel="0" collapsed="false">
      <c r="A2099" s="37" t="n">
        <v>399110449</v>
      </c>
      <c r="B2099" s="38" t="n">
        <v>46289.9378819445</v>
      </c>
      <c r="C2099" s="37" t="s">
        <v>345</v>
      </c>
      <c r="D2099" s="37" t="s">
        <v>2215</v>
      </c>
      <c r="E2099" s="37" t="n">
        <v>24933440</v>
      </c>
      <c r="F2099" s="37" t="s">
        <v>171</v>
      </c>
      <c r="G2099" s="37" t="s">
        <v>198</v>
      </c>
      <c r="H2099" s="37" t="s">
        <v>184</v>
      </c>
      <c r="I2099" s="37" t="n">
        <v>27.6</v>
      </c>
      <c r="J2099" s="39" t="n">
        <v>539</v>
      </c>
      <c r="K2099" s="37" t="s">
        <v>342</v>
      </c>
      <c r="L2099" s="39" t="n">
        <v>109.77</v>
      </c>
      <c r="M2099" s="39" t="n">
        <v>65.63</v>
      </c>
      <c r="N2099" s="39" t="n">
        <f aca="false">J2099*Resumo!$C$6</f>
        <v>0</v>
      </c>
      <c r="O2099" s="39" t="n">
        <f aca="false">J2099*Resumo!$C$7</f>
        <v>1.1319</v>
      </c>
      <c r="P2099" s="39" t="n">
        <f aca="false">J2099*Resumo!$C$8</f>
        <v>1.1319</v>
      </c>
      <c r="Q2099" s="39" t="n">
        <f aca="false">Resumo!$C$10*CEILING(I2099/100,1)</f>
        <v>1.05</v>
      </c>
      <c r="R2099" s="39" t="n">
        <f aca="false">Resumo!$C$9</f>
        <v>0</v>
      </c>
      <c r="S2099" s="39" t="n">
        <f aca="false">Resumo!$C$13</f>
        <v>13.55</v>
      </c>
      <c r="T2099" s="39" t="n">
        <f aca="false">Resumo!$C$14*CEILING(I2099,1)</f>
        <v>12.6</v>
      </c>
      <c r="U2099" s="39" t="n">
        <f aca="false">SUM(M2099:T2099)*Resumo!$C$11</f>
        <v>0</v>
      </c>
      <c r="V2099" s="39" t="n">
        <f aca="false">SUM(M2099:U2099)</f>
        <v>95.0938</v>
      </c>
      <c r="W2099" s="39" t="n">
        <f aca="false">V2099/(1-Resumo!$C$5)</f>
        <v>108.061136363636</v>
      </c>
      <c r="X2099" s="39" t="n">
        <v>100.58</v>
      </c>
      <c r="Y2099" s="39" t="n">
        <f aca="false">J2099*Resumo!$B$6</f>
        <v>0.539</v>
      </c>
      <c r="Z2099" s="39" t="n">
        <f aca="false">J2099*Resumo!$B$7</f>
        <v>1.078</v>
      </c>
      <c r="AA2099" s="39" t="n">
        <f aca="false">Resumo!$B$9</f>
        <v>1</v>
      </c>
      <c r="AB2099" s="39" t="n">
        <f aca="false">Resumo!$B$10*CEILING(I2099/100,1)</f>
        <v>4.5</v>
      </c>
      <c r="AC2099" s="39" t="n">
        <f aca="false">Resumo!$B$12*CEILING(I2099,1)</f>
        <v>1.68</v>
      </c>
      <c r="AD2099" s="39" t="n">
        <f aca="false">Resumo!$B$14*CEILING(I2099,1)</f>
        <v>12.6</v>
      </c>
      <c r="AE2099" s="39" t="n">
        <f aca="false">SUM(X2099:AD2099)</f>
        <v>121.977</v>
      </c>
      <c r="AF2099" s="39" t="n">
        <f aca="false">AE2099/(1-Resumo!$B$5)</f>
        <v>138.610227272727</v>
      </c>
      <c r="AG2099" s="39" t="n">
        <f aca="false">AF2099-W2099</f>
        <v>30.5490909090909</v>
      </c>
      <c r="AH2099" s="40" t="n">
        <f aca="false">AF2099/W2099-1</f>
        <v>0.28270192168154</v>
      </c>
      <c r="AI2099" s="37" t="str">
        <f aca="false">IF(AF2099&lt;W2099,"SIM","NÃO")</f>
        <v>NÃO</v>
      </c>
      <c r="AJ2099" s="37" t="n">
        <v>13</v>
      </c>
      <c r="AK2099" s="37" t="n">
        <v>7</v>
      </c>
      <c r="AL2099" s="37" t="s">
        <v>343</v>
      </c>
      <c r="AM2099" s="39" t="n">
        <v>109.76</v>
      </c>
    </row>
    <row r="2100" customFormat="false" ht="15" hidden="false" customHeight="false" outlineLevel="0" collapsed="false">
      <c r="A2100" s="37" t="n">
        <v>399115459</v>
      </c>
      <c r="B2100" s="38" t="n">
        <v>46289.9508217593</v>
      </c>
      <c r="C2100" s="37" t="s">
        <v>340</v>
      </c>
      <c r="D2100" s="37" t="s">
        <v>2216</v>
      </c>
      <c r="E2100" s="37" t="n">
        <v>26110180</v>
      </c>
      <c r="F2100" s="37" t="s">
        <v>165</v>
      </c>
      <c r="G2100" s="37" t="s">
        <v>197</v>
      </c>
      <c r="H2100" s="37" t="s">
        <v>188</v>
      </c>
      <c r="I2100" s="37" t="n">
        <v>67.3</v>
      </c>
      <c r="J2100" s="39" t="n">
        <v>694.72</v>
      </c>
      <c r="K2100" s="37" t="s">
        <v>342</v>
      </c>
      <c r="L2100" s="39" t="n">
        <v>139.76</v>
      </c>
      <c r="M2100" s="39" t="n">
        <v>76.55</v>
      </c>
      <c r="N2100" s="39" t="n">
        <f aca="false">J2100*Resumo!$C$6</f>
        <v>0</v>
      </c>
      <c r="O2100" s="39" t="n">
        <f aca="false">J2100*Resumo!$C$7</f>
        <v>1.458912</v>
      </c>
      <c r="P2100" s="39" t="n">
        <f aca="false">J2100*Resumo!$C$8</f>
        <v>1.458912</v>
      </c>
      <c r="Q2100" s="39" t="n">
        <f aca="false">Resumo!$C$10*CEILING(I2100/100,1)</f>
        <v>1.05</v>
      </c>
      <c r="R2100" s="39" t="n">
        <f aca="false">Resumo!$C$9</f>
        <v>0</v>
      </c>
      <c r="S2100" s="39" t="n">
        <f aca="false">Resumo!$C$13</f>
        <v>13.55</v>
      </c>
      <c r="T2100" s="39" t="n">
        <f aca="false">Resumo!$C$14*CEILING(I2100,1)</f>
        <v>30.6</v>
      </c>
      <c r="U2100" s="39" t="n">
        <f aca="false">SUM(M2100:T2100)*Resumo!$C$11</f>
        <v>0</v>
      </c>
      <c r="V2100" s="39" t="n">
        <f aca="false">SUM(M2100:U2100)</f>
        <v>124.667824</v>
      </c>
      <c r="W2100" s="39" t="n">
        <f aca="false">V2100/(1-Resumo!$C$5)</f>
        <v>141.667981818182</v>
      </c>
      <c r="X2100" s="39" t="n">
        <v>131.02</v>
      </c>
      <c r="Y2100" s="39" t="n">
        <f aca="false">J2100*Resumo!$B$6</f>
        <v>0.69472</v>
      </c>
      <c r="Z2100" s="39" t="n">
        <f aca="false">J2100*Resumo!$B$7</f>
        <v>1.38944</v>
      </c>
      <c r="AA2100" s="39" t="n">
        <f aca="false">Resumo!$B$9</f>
        <v>1</v>
      </c>
      <c r="AB2100" s="39" t="n">
        <f aca="false">Resumo!$B$10*CEILING(I2100/100,1)</f>
        <v>4.5</v>
      </c>
      <c r="AC2100" s="39" t="n">
        <f aca="false">Resumo!$B$12*CEILING(I2100,1)</f>
        <v>4.08</v>
      </c>
      <c r="AD2100" s="39" t="n">
        <f aca="false">Resumo!$B$14*CEILING(I2100,1)</f>
        <v>30.6</v>
      </c>
      <c r="AE2100" s="39" t="n">
        <f aca="false">SUM(X2100:AD2100)</f>
        <v>173.28416</v>
      </c>
      <c r="AF2100" s="39" t="n">
        <f aca="false">AE2100/(1-Resumo!$B$5)</f>
        <v>196.913818181818</v>
      </c>
      <c r="AG2100" s="39" t="n">
        <f aca="false">AF2100-W2100</f>
        <v>55.2458363636364</v>
      </c>
      <c r="AH2100" s="40" t="n">
        <f aca="false">AF2100/W2100-1</f>
        <v>0.389966989397361</v>
      </c>
      <c r="AI2100" s="37" t="str">
        <f aca="false">IF(AF2100&lt;W2100,"SIM","NÃO")</f>
        <v>NÃO</v>
      </c>
      <c r="AJ2100" s="37" t="n">
        <v>2</v>
      </c>
      <c r="AK2100" s="37" t="n">
        <v>5</v>
      </c>
      <c r="AL2100" s="37" t="s">
        <v>343</v>
      </c>
      <c r="AM2100" s="39" t="n">
        <v>139.76</v>
      </c>
    </row>
    <row r="2101" customFormat="false" ht="15" hidden="false" customHeight="false" outlineLevel="0" collapsed="false">
      <c r="A2101" s="37" t="n">
        <v>399117090</v>
      </c>
      <c r="B2101" s="38" t="n">
        <v>46289.9550115741</v>
      </c>
      <c r="C2101" s="37" t="s">
        <v>345</v>
      </c>
      <c r="D2101" s="37" t="s">
        <v>2217</v>
      </c>
      <c r="E2101" s="37" t="n">
        <v>24451785</v>
      </c>
      <c r="F2101" s="37" t="s">
        <v>160</v>
      </c>
      <c r="G2101" s="37" t="s">
        <v>197</v>
      </c>
      <c r="H2101" s="37" t="s">
        <v>186</v>
      </c>
      <c r="I2101" s="37" t="n">
        <v>49.6</v>
      </c>
      <c r="J2101" s="39" t="n">
        <v>749.99</v>
      </c>
      <c r="K2101" s="37" t="s">
        <v>342</v>
      </c>
      <c r="L2101" s="39" t="n">
        <v>117.67</v>
      </c>
      <c r="M2101" s="39" t="n">
        <v>65.36</v>
      </c>
      <c r="N2101" s="39" t="n">
        <f aca="false">J2101*Resumo!$C$6</f>
        <v>0</v>
      </c>
      <c r="O2101" s="39" t="n">
        <f aca="false">J2101*Resumo!$C$7</f>
        <v>1.574979</v>
      </c>
      <c r="P2101" s="39" t="n">
        <f aca="false">J2101*Resumo!$C$8</f>
        <v>1.574979</v>
      </c>
      <c r="Q2101" s="39" t="n">
        <f aca="false">Resumo!$C$10*CEILING(I2101/100,1)</f>
        <v>1.05</v>
      </c>
      <c r="R2101" s="39" t="n">
        <f aca="false">Resumo!$C$9</f>
        <v>0</v>
      </c>
      <c r="S2101" s="39" t="n">
        <f aca="false">Resumo!$C$13</f>
        <v>13.55</v>
      </c>
      <c r="T2101" s="39" t="n">
        <f aca="false">Resumo!$C$14*CEILING(I2101,1)</f>
        <v>22.5</v>
      </c>
      <c r="U2101" s="39" t="n">
        <f aca="false">SUM(M2101:T2101)*Resumo!$C$11</f>
        <v>0</v>
      </c>
      <c r="V2101" s="39" t="n">
        <f aca="false">SUM(M2101:U2101)</f>
        <v>105.609958</v>
      </c>
      <c r="W2101" s="39" t="n">
        <f aca="false">V2101/(1-Resumo!$C$5)</f>
        <v>120.011315909091</v>
      </c>
      <c r="X2101" s="39" t="n">
        <v>114.95</v>
      </c>
      <c r="Y2101" s="39" t="n">
        <f aca="false">J2101*Resumo!$B$6</f>
        <v>0.74999</v>
      </c>
      <c r="Z2101" s="39" t="n">
        <f aca="false">J2101*Resumo!$B$7</f>
        <v>1.49998</v>
      </c>
      <c r="AA2101" s="39" t="n">
        <f aca="false">Resumo!$B$9</f>
        <v>1</v>
      </c>
      <c r="AB2101" s="39" t="n">
        <f aca="false">Resumo!$B$10*CEILING(I2101/100,1)</f>
        <v>4.5</v>
      </c>
      <c r="AC2101" s="39" t="n">
        <f aca="false">Resumo!$B$12*CEILING(I2101,1)</f>
        <v>3</v>
      </c>
      <c r="AD2101" s="39" t="n">
        <f aca="false">Resumo!$B$14*CEILING(I2101,1)</f>
        <v>22.5</v>
      </c>
      <c r="AE2101" s="39" t="n">
        <f aca="false">SUM(X2101:AD2101)</f>
        <v>148.19997</v>
      </c>
      <c r="AF2101" s="39" t="n">
        <f aca="false">AE2101/(1-Resumo!$B$5)</f>
        <v>168.409056818182</v>
      </c>
      <c r="AG2101" s="39" t="n">
        <f aca="false">AF2101-W2101</f>
        <v>48.3977409090909</v>
      </c>
      <c r="AH2101" s="40" t="n">
        <f aca="false">AF2101/W2101-1</f>
        <v>0.403276478909309</v>
      </c>
      <c r="AI2101" s="37" t="str">
        <f aca="false">IF(AF2101&lt;W2101,"SIM","NÃO")</f>
        <v>NÃO</v>
      </c>
      <c r="AJ2101" s="37" t="n">
        <v>2</v>
      </c>
      <c r="AK2101" s="37" t="n">
        <v>7</v>
      </c>
      <c r="AL2101" s="37" t="s">
        <v>343</v>
      </c>
      <c r="AM2101" s="39" t="n">
        <v>117.67</v>
      </c>
    </row>
    <row r="2102" customFormat="false" ht="15" hidden="false" customHeight="false" outlineLevel="0" collapsed="false">
      <c r="A2102" s="37" t="n">
        <v>399118525</v>
      </c>
      <c r="B2102" s="38" t="n">
        <v>46289.9587962963</v>
      </c>
      <c r="C2102" s="37" t="s">
        <v>345</v>
      </c>
      <c r="D2102" s="37" t="s">
        <v>726</v>
      </c>
      <c r="E2102" s="37" t="n">
        <v>22753005</v>
      </c>
      <c r="F2102" s="37" t="s">
        <v>159</v>
      </c>
      <c r="G2102" s="37" t="s">
        <v>196</v>
      </c>
      <c r="H2102" s="37" t="s">
        <v>186</v>
      </c>
      <c r="I2102" s="37" t="n">
        <v>48</v>
      </c>
      <c r="J2102" s="39" t="n">
        <v>829.99</v>
      </c>
      <c r="K2102" s="37" t="s">
        <v>342</v>
      </c>
      <c r="L2102" s="39" t="n">
        <v>104.57</v>
      </c>
      <c r="M2102" s="39" t="n">
        <v>53.55</v>
      </c>
      <c r="N2102" s="39" t="n">
        <f aca="false">J2102*Resumo!$C$6</f>
        <v>0</v>
      </c>
      <c r="O2102" s="39" t="n">
        <f aca="false">J2102*Resumo!$C$7</f>
        <v>1.742979</v>
      </c>
      <c r="P2102" s="39" t="n">
        <f aca="false">J2102*Resumo!$C$8</f>
        <v>1.742979</v>
      </c>
      <c r="Q2102" s="39" t="n">
        <f aca="false">Resumo!$C$10*CEILING(I2102/100,1)</f>
        <v>1.05</v>
      </c>
      <c r="R2102" s="39" t="n">
        <f aca="false">Resumo!$C$9</f>
        <v>0</v>
      </c>
      <c r="S2102" s="39" t="n">
        <f aca="false">Resumo!$C$13</f>
        <v>13.55</v>
      </c>
      <c r="T2102" s="39" t="n">
        <f aca="false">Resumo!$C$14*CEILING(I2102,1)</f>
        <v>21.6</v>
      </c>
      <c r="U2102" s="39" t="n">
        <f aca="false">SUM(M2102:T2102)*Resumo!$C$11</f>
        <v>0</v>
      </c>
      <c r="V2102" s="39" t="n">
        <f aca="false">SUM(M2102:U2102)</f>
        <v>93.235958</v>
      </c>
      <c r="W2102" s="39" t="n">
        <f aca="false">V2102/(1-Resumo!$C$5)</f>
        <v>105.949952272727</v>
      </c>
      <c r="X2102" s="39" t="n">
        <v>93.97</v>
      </c>
      <c r="Y2102" s="39" t="n">
        <f aca="false">J2102*Resumo!$B$6</f>
        <v>0.82999</v>
      </c>
      <c r="Z2102" s="39" t="n">
        <f aca="false">J2102*Resumo!$B$7</f>
        <v>1.65998</v>
      </c>
      <c r="AA2102" s="39" t="n">
        <f aca="false">Resumo!$B$9</f>
        <v>1</v>
      </c>
      <c r="AB2102" s="39" t="n">
        <f aca="false">Resumo!$B$10*CEILING(I2102/100,1)</f>
        <v>4.5</v>
      </c>
      <c r="AC2102" s="39" t="n">
        <f aca="false">Resumo!$B$12*CEILING(I2102,1)</f>
        <v>2.88</v>
      </c>
      <c r="AD2102" s="39" t="n">
        <f aca="false">Resumo!$B$14*CEILING(I2102,1)</f>
        <v>21.6</v>
      </c>
      <c r="AE2102" s="39" t="n">
        <f aca="false">SUM(X2102:AD2102)</f>
        <v>126.43997</v>
      </c>
      <c r="AF2102" s="39" t="n">
        <f aca="false">AE2102/(1-Resumo!$B$5)</f>
        <v>143.681784090909</v>
      </c>
      <c r="AG2102" s="39" t="n">
        <f aca="false">AF2102-W2102</f>
        <v>37.7318318181818</v>
      </c>
      <c r="AH2102" s="40" t="n">
        <f aca="false">AF2102/W2102-1</f>
        <v>0.356128823173565</v>
      </c>
      <c r="AI2102" s="37" t="str">
        <f aca="false">IF(AF2102&lt;W2102,"SIM","NÃO")</f>
        <v>NÃO</v>
      </c>
      <c r="AJ2102" s="37" t="n">
        <v>2</v>
      </c>
      <c r="AK2102" s="37" t="n">
        <v>5</v>
      </c>
      <c r="AL2102" s="37" t="s">
        <v>343</v>
      </c>
      <c r="AM2102" s="39" t="n">
        <v>104.56</v>
      </c>
    </row>
    <row r="2103" customFormat="false" ht="15" hidden="false" customHeight="false" outlineLevel="0" collapsed="false">
      <c r="A2103" s="37" t="n">
        <v>399128664</v>
      </c>
      <c r="B2103" s="38" t="n">
        <v>46289.9888888889</v>
      </c>
      <c r="C2103" s="37" t="s">
        <v>340</v>
      </c>
      <c r="D2103" s="37" t="s">
        <v>1906</v>
      </c>
      <c r="E2103" s="37" t="n">
        <v>21073230</v>
      </c>
      <c r="F2103" s="37" t="s">
        <v>159</v>
      </c>
      <c r="G2103" s="37" t="s">
        <v>196</v>
      </c>
      <c r="H2103" s="37" t="s">
        <v>185</v>
      </c>
      <c r="I2103" s="37" t="n">
        <v>36.8</v>
      </c>
      <c r="J2103" s="39" t="n">
        <v>371.8</v>
      </c>
      <c r="K2103" s="37" t="s">
        <v>342</v>
      </c>
      <c r="L2103" s="39" t="n">
        <v>91.63</v>
      </c>
      <c r="M2103" s="39" t="n">
        <v>48.35</v>
      </c>
      <c r="N2103" s="39" t="n">
        <f aca="false">J2103*Resumo!$C$6</f>
        <v>0</v>
      </c>
      <c r="O2103" s="39" t="n">
        <f aca="false">J2103*Resumo!$C$7</f>
        <v>0.78078</v>
      </c>
      <c r="P2103" s="39" t="n">
        <f aca="false">J2103*Resumo!$C$8</f>
        <v>0.78078</v>
      </c>
      <c r="Q2103" s="39" t="n">
        <f aca="false">Resumo!$C$10*CEILING(I2103/100,1)</f>
        <v>1.05</v>
      </c>
      <c r="R2103" s="39" t="n">
        <f aca="false">Resumo!$C$9</f>
        <v>0</v>
      </c>
      <c r="S2103" s="39" t="n">
        <f aca="false">Resumo!$C$13</f>
        <v>13.55</v>
      </c>
      <c r="T2103" s="39" t="n">
        <f aca="false">Resumo!$C$14*CEILING(I2103,1)</f>
        <v>16.65</v>
      </c>
      <c r="U2103" s="39" t="n">
        <f aca="false">SUM(M2103:T2103)*Resumo!$C$11</f>
        <v>0</v>
      </c>
      <c r="V2103" s="39" t="n">
        <f aca="false">SUM(M2103:U2103)</f>
        <v>81.16156</v>
      </c>
      <c r="W2103" s="39" t="n">
        <f aca="false">V2103/(1-Resumo!$C$5)</f>
        <v>92.2290454545455</v>
      </c>
      <c r="X2103" s="39" t="n">
        <v>93.97</v>
      </c>
      <c r="Y2103" s="39" t="n">
        <f aca="false">J2103*Resumo!$B$6</f>
        <v>0.3718</v>
      </c>
      <c r="Z2103" s="39" t="n">
        <f aca="false">J2103*Resumo!$B$7</f>
        <v>0.7436</v>
      </c>
      <c r="AA2103" s="39" t="n">
        <f aca="false">Resumo!$B$9</f>
        <v>1</v>
      </c>
      <c r="AB2103" s="39" t="n">
        <f aca="false">Resumo!$B$10*CEILING(I2103/100,1)</f>
        <v>4.5</v>
      </c>
      <c r="AC2103" s="39" t="n">
        <f aca="false">Resumo!$B$12*CEILING(I2103,1)</f>
        <v>2.22</v>
      </c>
      <c r="AD2103" s="39" t="n">
        <f aca="false">Resumo!$B$14*CEILING(I2103,1)</f>
        <v>16.65</v>
      </c>
      <c r="AE2103" s="39" t="n">
        <f aca="false">SUM(X2103:AD2103)</f>
        <v>119.4554</v>
      </c>
      <c r="AF2103" s="39" t="n">
        <f aca="false">AE2103/(1-Resumo!$B$5)</f>
        <v>135.744772727273</v>
      </c>
      <c r="AG2103" s="39" t="n">
        <f aca="false">AF2103-W2103</f>
        <v>43.5157272727273</v>
      </c>
      <c r="AH2103" s="40" t="n">
        <f aca="false">AF2103/W2103-1</f>
        <v>0.471822375025813</v>
      </c>
      <c r="AI2103" s="37" t="str">
        <f aca="false">IF(AF2103&lt;W2103,"SIM","NÃO")</f>
        <v>NÃO</v>
      </c>
      <c r="AJ2103" s="37" t="n">
        <v>2</v>
      </c>
      <c r="AK2103" s="37" t="n">
        <v>5</v>
      </c>
      <c r="AL2103" s="37" t="s">
        <v>343</v>
      </c>
      <c r="AM2103" s="39" t="n">
        <v>91.64</v>
      </c>
    </row>
    <row r="2104" customFormat="false" ht="15" hidden="false" customHeight="false" outlineLevel="0" collapsed="false">
      <c r="A2104" s="37" t="n">
        <v>399140389</v>
      </c>
      <c r="B2104" s="38" t="n">
        <v>46290.0318287037</v>
      </c>
      <c r="C2104" s="37" t="s">
        <v>345</v>
      </c>
      <c r="D2104" s="37" t="s">
        <v>2218</v>
      </c>
      <c r="E2104" s="37" t="n">
        <v>23943138</v>
      </c>
      <c r="F2104" s="37" t="s">
        <v>169</v>
      </c>
      <c r="G2104" s="37" t="s">
        <v>198</v>
      </c>
      <c r="H2104" s="37" t="s">
        <v>187</v>
      </c>
      <c r="I2104" s="37" t="n">
        <v>52.3</v>
      </c>
      <c r="J2104" s="39" t="n">
        <v>639.78</v>
      </c>
      <c r="K2104" s="37" t="s">
        <v>342</v>
      </c>
      <c r="L2104" s="39" t="n">
        <v>142.74</v>
      </c>
      <c r="M2104" s="39" t="n">
        <v>83.58</v>
      </c>
      <c r="N2104" s="39" t="n">
        <f aca="false">J2104*Resumo!$C$6</f>
        <v>0</v>
      </c>
      <c r="O2104" s="39" t="n">
        <f aca="false">J2104*Resumo!$C$7</f>
        <v>1.343538</v>
      </c>
      <c r="P2104" s="39" t="n">
        <f aca="false">J2104*Resumo!$C$8</f>
        <v>1.343538</v>
      </c>
      <c r="Q2104" s="39" t="n">
        <f aca="false">Resumo!$C$10*CEILING(I2104/100,1)</f>
        <v>1.05</v>
      </c>
      <c r="R2104" s="39" t="n">
        <f aca="false">Resumo!$C$9</f>
        <v>0</v>
      </c>
      <c r="S2104" s="39" t="n">
        <f aca="false">Resumo!$C$13</f>
        <v>13.55</v>
      </c>
      <c r="T2104" s="39" t="n">
        <f aca="false">Resumo!$C$14*CEILING(I2104,1)</f>
        <v>23.85</v>
      </c>
      <c r="U2104" s="39" t="n">
        <f aca="false">SUM(M2104:T2104)*Resumo!$C$11</f>
        <v>0</v>
      </c>
      <c r="V2104" s="39" t="n">
        <f aca="false">SUM(M2104:U2104)</f>
        <v>124.717076</v>
      </c>
      <c r="W2104" s="39" t="n">
        <f aca="false">V2104/(1-Resumo!$C$5)</f>
        <v>141.72395</v>
      </c>
      <c r="X2104" s="39" t="n">
        <v>142.32</v>
      </c>
      <c r="Y2104" s="39" t="n">
        <f aca="false">J2104*Resumo!$B$6</f>
        <v>0.63978</v>
      </c>
      <c r="Z2104" s="39" t="n">
        <f aca="false">J2104*Resumo!$B$7</f>
        <v>1.27956</v>
      </c>
      <c r="AA2104" s="39" t="n">
        <f aca="false">Resumo!$B$9</f>
        <v>1</v>
      </c>
      <c r="AB2104" s="39" t="n">
        <f aca="false">Resumo!$B$10*CEILING(I2104/100,1)</f>
        <v>4.5</v>
      </c>
      <c r="AC2104" s="39" t="n">
        <f aca="false">Resumo!$B$12*CEILING(I2104,1)</f>
        <v>3.18</v>
      </c>
      <c r="AD2104" s="39" t="n">
        <f aca="false">Resumo!$B$14*CEILING(I2104,1)</f>
        <v>23.85</v>
      </c>
      <c r="AE2104" s="39" t="n">
        <f aca="false">SUM(X2104:AD2104)</f>
        <v>176.76934</v>
      </c>
      <c r="AF2104" s="39" t="n">
        <f aca="false">AE2104/(1-Resumo!$B$5)</f>
        <v>200.87425</v>
      </c>
      <c r="AG2104" s="39" t="n">
        <f aca="false">AF2104-W2104</f>
        <v>59.1503</v>
      </c>
      <c r="AH2104" s="40" t="n">
        <f aca="false">AF2104/W2104-1</f>
        <v>0.417362767549168</v>
      </c>
      <c r="AI2104" s="37" t="str">
        <f aca="false">IF(AF2104&lt;W2104,"SIM","NÃO")</f>
        <v>NÃO</v>
      </c>
      <c r="AJ2104" s="37" t="n">
        <v>13</v>
      </c>
      <c r="AK2104" s="37" t="n">
        <v>10</v>
      </c>
      <c r="AL2104" s="37" t="s">
        <v>343</v>
      </c>
      <c r="AM2104" s="39" t="n">
        <v>142.74</v>
      </c>
    </row>
    <row r="2105" customFormat="false" ht="15" hidden="false" customHeight="false" outlineLevel="0" collapsed="false">
      <c r="A2105" s="37" t="n">
        <v>399162436</v>
      </c>
      <c r="B2105" s="38" t="n">
        <v>46290.1350810185</v>
      </c>
      <c r="C2105" s="37" t="s">
        <v>340</v>
      </c>
      <c r="D2105" s="37" t="s">
        <v>2219</v>
      </c>
      <c r="E2105" s="37" t="n">
        <v>25036160</v>
      </c>
      <c r="F2105" s="37" t="s">
        <v>161</v>
      </c>
      <c r="G2105" s="37" t="s">
        <v>197</v>
      </c>
      <c r="H2105" s="37" t="s">
        <v>187</v>
      </c>
      <c r="I2105" s="37" t="n">
        <v>52.3</v>
      </c>
      <c r="J2105" s="39" t="n">
        <v>636.89</v>
      </c>
      <c r="K2105" s="37" t="s">
        <v>342</v>
      </c>
      <c r="L2105" s="39" t="n">
        <v>128.33</v>
      </c>
      <c r="M2105" s="39" t="n">
        <v>70.98</v>
      </c>
      <c r="N2105" s="39" t="n">
        <f aca="false">J2105*Resumo!$C$6</f>
        <v>0</v>
      </c>
      <c r="O2105" s="39" t="n">
        <f aca="false">J2105*Resumo!$C$7</f>
        <v>1.337469</v>
      </c>
      <c r="P2105" s="39" t="n">
        <f aca="false">J2105*Resumo!$C$8</f>
        <v>1.337469</v>
      </c>
      <c r="Q2105" s="39" t="n">
        <f aca="false">Resumo!$C$10*CEILING(I2105/100,1)</f>
        <v>1.05</v>
      </c>
      <c r="R2105" s="39" t="n">
        <f aca="false">Resumo!$C$9</f>
        <v>0</v>
      </c>
      <c r="S2105" s="39" t="n">
        <f aca="false">Resumo!$C$13</f>
        <v>13.55</v>
      </c>
      <c r="T2105" s="39" t="n">
        <f aca="false">Resumo!$C$14*CEILING(I2105,1)</f>
        <v>23.85</v>
      </c>
      <c r="U2105" s="39" t="n">
        <f aca="false">SUM(M2105:T2105)*Resumo!$C$11</f>
        <v>0</v>
      </c>
      <c r="V2105" s="39" t="n">
        <f aca="false">SUM(M2105:U2105)</f>
        <v>112.104938</v>
      </c>
      <c r="W2105" s="39" t="n">
        <f aca="false">V2105/(1-Resumo!$C$5)</f>
        <v>127.391975</v>
      </c>
      <c r="X2105" s="39" t="n">
        <v>112.3</v>
      </c>
      <c r="Y2105" s="39" t="n">
        <f aca="false">J2105*Resumo!$B$6</f>
        <v>0.63689</v>
      </c>
      <c r="Z2105" s="39" t="n">
        <f aca="false">J2105*Resumo!$B$7</f>
        <v>1.27378</v>
      </c>
      <c r="AA2105" s="39" t="n">
        <f aca="false">Resumo!$B$9</f>
        <v>1</v>
      </c>
      <c r="AB2105" s="39" t="n">
        <f aca="false">Resumo!$B$10*CEILING(I2105/100,1)</f>
        <v>4.5</v>
      </c>
      <c r="AC2105" s="39" t="n">
        <f aca="false">Resumo!$B$12*CEILING(I2105,1)</f>
        <v>3.18</v>
      </c>
      <c r="AD2105" s="39" t="n">
        <f aca="false">Resumo!$B$14*CEILING(I2105,1)</f>
        <v>23.85</v>
      </c>
      <c r="AE2105" s="39" t="n">
        <f aca="false">SUM(X2105:AD2105)</f>
        <v>146.74067</v>
      </c>
      <c r="AF2105" s="39" t="n">
        <f aca="false">AE2105/(1-Resumo!$B$5)</f>
        <v>166.750761363636</v>
      </c>
      <c r="AG2105" s="39" t="n">
        <f aca="false">AF2105-W2105</f>
        <v>39.3587863636363</v>
      </c>
      <c r="AH2105" s="40" t="n">
        <f aca="false">AF2105/W2105-1</f>
        <v>0.308958129926444</v>
      </c>
      <c r="AI2105" s="37" t="str">
        <f aca="false">IF(AF2105&lt;W2105,"SIM","NÃO")</f>
        <v>NÃO</v>
      </c>
      <c r="AJ2105" s="37" t="n">
        <v>2</v>
      </c>
      <c r="AK2105" s="37" t="n">
        <v>5</v>
      </c>
      <c r="AL2105" s="37" t="s">
        <v>343</v>
      </c>
      <c r="AM2105" s="39" t="n">
        <v>128.34</v>
      </c>
    </row>
    <row r="2106" customFormat="false" ht="15" hidden="false" customHeight="false" outlineLevel="0" collapsed="false">
      <c r="A2106" s="37" t="n">
        <v>399168952</v>
      </c>
      <c r="B2106" s="38" t="n">
        <v>46290.1682986111</v>
      </c>
      <c r="C2106" s="37" t="s">
        <v>345</v>
      </c>
      <c r="D2106" s="37" t="s">
        <v>2220</v>
      </c>
      <c r="E2106" s="37" t="n">
        <v>27700000</v>
      </c>
      <c r="F2106" s="37" t="s">
        <v>255</v>
      </c>
      <c r="G2106" s="37" t="s">
        <v>198</v>
      </c>
      <c r="H2106" s="37" t="s">
        <v>185</v>
      </c>
      <c r="I2106" s="37" t="n">
        <v>40</v>
      </c>
      <c r="J2106" s="39" t="n">
        <v>629.99</v>
      </c>
      <c r="K2106" s="37" t="s">
        <v>342</v>
      </c>
      <c r="L2106" s="39" t="n">
        <v>123.27</v>
      </c>
      <c r="M2106" s="39" t="n">
        <v>74.97</v>
      </c>
      <c r="N2106" s="39" t="n">
        <f aca="false">J2106*Resumo!$C$6</f>
        <v>0</v>
      </c>
      <c r="O2106" s="39" t="n">
        <f aca="false">J2106*Resumo!$C$7</f>
        <v>1.322979</v>
      </c>
      <c r="P2106" s="39" t="n">
        <f aca="false">J2106*Resumo!$C$8</f>
        <v>1.322979</v>
      </c>
      <c r="Q2106" s="39" t="n">
        <f aca="false">Resumo!$C$10*CEILING(I2106/100,1)</f>
        <v>1.05</v>
      </c>
      <c r="R2106" s="39" t="n">
        <f aca="false">Resumo!$C$9</f>
        <v>0</v>
      </c>
      <c r="S2106" s="39" t="n">
        <f aca="false">Resumo!$C$13</f>
        <v>13.55</v>
      </c>
      <c r="T2106" s="39" t="n">
        <f aca="false">Resumo!$C$14*CEILING(I2106,1)</f>
        <v>18</v>
      </c>
      <c r="U2106" s="39" t="n">
        <f aca="false">SUM(M2106:T2106)*Resumo!$C$11</f>
        <v>0</v>
      </c>
      <c r="V2106" s="39" t="n">
        <f aca="false">SUM(M2106:U2106)</f>
        <v>110.215958</v>
      </c>
      <c r="W2106" s="39" t="n">
        <f aca="false">V2106/(1-Resumo!$C$5)</f>
        <v>125.245406818182</v>
      </c>
      <c r="X2106" s="39" t="n">
        <v>124.38</v>
      </c>
      <c r="Y2106" s="39" t="n">
        <f aca="false">J2106*Resumo!$B$6</f>
        <v>0.62999</v>
      </c>
      <c r="Z2106" s="39" t="n">
        <f aca="false">J2106*Resumo!$B$7</f>
        <v>1.25998</v>
      </c>
      <c r="AA2106" s="39" t="n">
        <f aca="false">Resumo!$B$9</f>
        <v>1</v>
      </c>
      <c r="AB2106" s="39" t="n">
        <f aca="false">Resumo!$B$10*CEILING(I2106/100,1)</f>
        <v>4.5</v>
      </c>
      <c r="AC2106" s="39" t="n">
        <f aca="false">Resumo!$B$12*CEILING(I2106,1)</f>
        <v>2.4</v>
      </c>
      <c r="AD2106" s="39" t="n">
        <f aca="false">Resumo!$B$14*CEILING(I2106,1)</f>
        <v>18</v>
      </c>
      <c r="AE2106" s="39" t="n">
        <f aca="false">SUM(X2106:AD2106)</f>
        <v>152.16997</v>
      </c>
      <c r="AF2106" s="39" t="n">
        <f aca="false">AE2106/(1-Resumo!$B$5)</f>
        <v>172.920420454545</v>
      </c>
      <c r="AG2106" s="39" t="n">
        <f aca="false">AF2106-W2106</f>
        <v>47.6750136363636</v>
      </c>
      <c r="AH2106" s="40" t="n">
        <f aca="false">AF2106/W2106-1</f>
        <v>0.380652790769191</v>
      </c>
      <c r="AI2106" s="37" t="str">
        <f aca="false">IF(AF2106&lt;W2106,"SIM","NÃO")</f>
        <v>NÃO</v>
      </c>
      <c r="AJ2106" s="37" t="n">
        <v>13</v>
      </c>
      <c r="AK2106" s="37" t="n">
        <v>10</v>
      </c>
      <c r="AL2106" s="37" t="s">
        <v>347</v>
      </c>
      <c r="AM2106" s="39" t="n">
        <v>123.27</v>
      </c>
    </row>
    <row r="2107" customFormat="false" ht="15" hidden="false" customHeight="false" outlineLevel="0" collapsed="false">
      <c r="A2107" s="37" t="n">
        <v>399200776</v>
      </c>
      <c r="B2107" s="38" t="n">
        <v>46290.3175462963</v>
      </c>
      <c r="C2107" s="37" t="s">
        <v>345</v>
      </c>
      <c r="D2107" s="37" t="s">
        <v>2221</v>
      </c>
      <c r="E2107" s="37" t="n">
        <v>21031690</v>
      </c>
      <c r="F2107" s="37" t="s">
        <v>159</v>
      </c>
      <c r="G2107" s="37" t="s">
        <v>196</v>
      </c>
      <c r="H2107" s="37" t="s">
        <v>186</v>
      </c>
      <c r="I2107" s="37" t="n">
        <v>46.8</v>
      </c>
      <c r="J2107" s="39" t="n">
        <v>529.99</v>
      </c>
      <c r="K2107" s="37" t="s">
        <v>342</v>
      </c>
      <c r="L2107" s="39" t="n">
        <v>103.13</v>
      </c>
      <c r="M2107" s="39" t="n">
        <v>53.55</v>
      </c>
      <c r="N2107" s="39" t="n">
        <f aca="false">J2107*Resumo!$C$6</f>
        <v>0</v>
      </c>
      <c r="O2107" s="39" t="n">
        <f aca="false">J2107*Resumo!$C$7</f>
        <v>1.112979</v>
      </c>
      <c r="P2107" s="39" t="n">
        <f aca="false">J2107*Resumo!$C$8</f>
        <v>1.112979</v>
      </c>
      <c r="Q2107" s="39" t="n">
        <f aca="false">Resumo!$C$10*CEILING(I2107/100,1)</f>
        <v>1.05</v>
      </c>
      <c r="R2107" s="39" t="n">
        <f aca="false">Resumo!$C$9</f>
        <v>0</v>
      </c>
      <c r="S2107" s="39" t="n">
        <f aca="false">Resumo!$C$13</f>
        <v>13.55</v>
      </c>
      <c r="T2107" s="39" t="n">
        <f aca="false">Resumo!$C$14*CEILING(I2107,1)</f>
        <v>21.15</v>
      </c>
      <c r="U2107" s="39" t="n">
        <f aca="false">SUM(M2107:T2107)*Resumo!$C$11</f>
        <v>0</v>
      </c>
      <c r="V2107" s="39" t="n">
        <f aca="false">SUM(M2107:U2107)</f>
        <v>91.525958</v>
      </c>
      <c r="W2107" s="39" t="n">
        <f aca="false">V2107/(1-Resumo!$C$5)</f>
        <v>104.006770454545</v>
      </c>
      <c r="X2107" s="39" t="n">
        <v>93.97</v>
      </c>
      <c r="Y2107" s="39" t="n">
        <f aca="false">J2107*Resumo!$B$6</f>
        <v>0.52999</v>
      </c>
      <c r="Z2107" s="39" t="n">
        <f aca="false">J2107*Resumo!$B$7</f>
        <v>1.05998</v>
      </c>
      <c r="AA2107" s="39" t="n">
        <f aca="false">Resumo!$B$9</f>
        <v>1</v>
      </c>
      <c r="AB2107" s="39" t="n">
        <f aca="false">Resumo!$B$10*CEILING(I2107/100,1)</f>
        <v>4.5</v>
      </c>
      <c r="AC2107" s="39" t="n">
        <f aca="false">Resumo!$B$12*CEILING(I2107,1)</f>
        <v>2.82</v>
      </c>
      <c r="AD2107" s="39" t="n">
        <f aca="false">Resumo!$B$14*CEILING(I2107,1)</f>
        <v>21.15</v>
      </c>
      <c r="AE2107" s="39" t="n">
        <f aca="false">SUM(X2107:AD2107)</f>
        <v>125.02997</v>
      </c>
      <c r="AF2107" s="39" t="n">
        <f aca="false">AE2107/(1-Resumo!$B$5)</f>
        <v>142.079511363636</v>
      </c>
      <c r="AG2107" s="39" t="n">
        <f aca="false">AF2107-W2107</f>
        <v>38.0727409090909</v>
      </c>
      <c r="AH2107" s="40" t="n">
        <f aca="false">AF2107/W2107-1</f>
        <v>0.366060216490714</v>
      </c>
      <c r="AI2107" s="37" t="str">
        <f aca="false">IF(AF2107&lt;W2107,"SIM","NÃO")</f>
        <v>NÃO</v>
      </c>
      <c r="AJ2107" s="37" t="n">
        <v>2</v>
      </c>
      <c r="AK2107" s="37" t="n">
        <v>5</v>
      </c>
      <c r="AL2107" s="37" t="s">
        <v>343</v>
      </c>
      <c r="AM2107" s="39" t="n">
        <v>103.13</v>
      </c>
    </row>
    <row r="2108" customFormat="false" ht="15" hidden="false" customHeight="false" outlineLevel="0" collapsed="false">
      <c r="A2108" s="37" t="n">
        <v>399217973</v>
      </c>
      <c r="B2108" s="38" t="n">
        <v>46290.3523958333</v>
      </c>
      <c r="C2108" s="37" t="s">
        <v>537</v>
      </c>
      <c r="D2108" s="37" t="s">
        <v>2222</v>
      </c>
      <c r="E2108" s="37" t="n">
        <v>23933216</v>
      </c>
      <c r="F2108" s="37" t="s">
        <v>169</v>
      </c>
      <c r="G2108" s="37" t="s">
        <v>198</v>
      </c>
      <c r="H2108" s="37" t="s">
        <v>190</v>
      </c>
      <c r="I2108" s="37" t="n">
        <v>82</v>
      </c>
      <c r="J2108" s="39" t="n">
        <v>949.98</v>
      </c>
      <c r="K2108" s="37" t="s">
        <v>342</v>
      </c>
      <c r="L2108" s="39" t="n">
        <v>193.15</v>
      </c>
      <c r="M2108" s="39" t="n">
        <v>109.63</v>
      </c>
      <c r="N2108" s="39" t="n">
        <f aca="false">J2108*Resumo!$C$6</f>
        <v>0</v>
      </c>
      <c r="O2108" s="39" t="n">
        <f aca="false">J2108*Resumo!$C$7</f>
        <v>1.994958</v>
      </c>
      <c r="P2108" s="39" t="n">
        <f aca="false">J2108*Resumo!$C$8</f>
        <v>1.994958</v>
      </c>
      <c r="Q2108" s="39" t="n">
        <f aca="false">Resumo!$C$10*CEILING(I2108/100,1)</f>
        <v>1.05</v>
      </c>
      <c r="R2108" s="39" t="n">
        <f aca="false">Resumo!$C$9</f>
        <v>0</v>
      </c>
      <c r="S2108" s="39" t="n">
        <f aca="false">Resumo!$C$13</f>
        <v>13.55</v>
      </c>
      <c r="T2108" s="39" t="n">
        <f aca="false">Resumo!$C$14*CEILING(I2108,1)</f>
        <v>36.9</v>
      </c>
      <c r="U2108" s="39" t="n">
        <f aca="false">SUM(M2108:T2108)*Resumo!$C$11</f>
        <v>0</v>
      </c>
      <c r="V2108" s="39" t="n">
        <f aca="false">SUM(M2108:U2108)</f>
        <v>165.119916</v>
      </c>
      <c r="W2108" s="39" t="n">
        <f aca="false">V2108/(1-Resumo!$C$5)</f>
        <v>187.636268181818</v>
      </c>
      <c r="X2108" s="39" t="n">
        <v>197.35</v>
      </c>
      <c r="Y2108" s="39" t="n">
        <f aca="false">J2108*Resumo!$B$6</f>
        <v>0.94998</v>
      </c>
      <c r="Z2108" s="39" t="n">
        <f aca="false">J2108*Resumo!$B$7</f>
        <v>1.89996</v>
      </c>
      <c r="AA2108" s="39" t="n">
        <f aca="false">Resumo!$B$9</f>
        <v>1</v>
      </c>
      <c r="AB2108" s="39" t="n">
        <f aca="false">Resumo!$B$10*CEILING(I2108/100,1)</f>
        <v>4.5</v>
      </c>
      <c r="AC2108" s="39" t="n">
        <f aca="false">Resumo!$B$12*CEILING(I2108,1)</f>
        <v>4.92</v>
      </c>
      <c r="AD2108" s="39" t="n">
        <f aca="false">Resumo!$B$14*CEILING(I2108,1)</f>
        <v>36.9</v>
      </c>
      <c r="AE2108" s="39" t="n">
        <f aca="false">SUM(X2108:AD2108)</f>
        <v>247.51994</v>
      </c>
      <c r="AF2108" s="39" t="n">
        <f aca="false">AE2108/(1-Resumo!$B$5)</f>
        <v>281.272659090909</v>
      </c>
      <c r="AG2108" s="39" t="n">
        <f aca="false">AF2108-W2108</f>
        <v>93.6363909090909</v>
      </c>
      <c r="AH2108" s="40" t="n">
        <f aca="false">AF2108/W2108-1</f>
        <v>0.499031406968497</v>
      </c>
      <c r="AI2108" s="37" t="str">
        <f aca="false">IF(AF2108&lt;W2108,"SIM","NÃO")</f>
        <v>NÃO</v>
      </c>
      <c r="AJ2108" s="37" t="n">
        <v>13</v>
      </c>
      <c r="AK2108" s="37" t="n">
        <v>10</v>
      </c>
      <c r="AL2108" s="37" t="s">
        <v>343</v>
      </c>
      <c r="AM2108" s="39" t="n">
        <v>193.15</v>
      </c>
    </row>
    <row r="2109" customFormat="false" ht="15" hidden="false" customHeight="false" outlineLevel="0" collapsed="false">
      <c r="A2109" s="37" t="n">
        <v>399238069</v>
      </c>
      <c r="B2109" s="38" t="n">
        <v>46290.4213425926</v>
      </c>
      <c r="C2109" s="37" t="s">
        <v>340</v>
      </c>
      <c r="D2109" s="37" t="s">
        <v>2223</v>
      </c>
      <c r="E2109" s="37" t="n">
        <v>21862755</v>
      </c>
      <c r="F2109" s="37" t="s">
        <v>159</v>
      </c>
      <c r="G2109" s="37" t="s">
        <v>196</v>
      </c>
      <c r="H2109" s="37" t="s">
        <v>184</v>
      </c>
      <c r="I2109" s="37" t="n">
        <v>21.8</v>
      </c>
      <c r="J2109" s="39" t="n">
        <v>319.99</v>
      </c>
      <c r="K2109" s="37" t="s">
        <v>342</v>
      </c>
      <c r="L2109" s="39" t="n">
        <v>81.86</v>
      </c>
      <c r="M2109" s="39" t="n">
        <v>42.11</v>
      </c>
      <c r="N2109" s="39" t="n">
        <f aca="false">J2109*Resumo!$C$6</f>
        <v>0</v>
      </c>
      <c r="O2109" s="39" t="n">
        <f aca="false">J2109*Resumo!$C$7</f>
        <v>0.671979</v>
      </c>
      <c r="P2109" s="39" t="n">
        <f aca="false">J2109*Resumo!$C$8</f>
        <v>0.671979</v>
      </c>
      <c r="Q2109" s="39" t="n">
        <f aca="false">Resumo!$C$10*CEILING(I2109/100,1)</f>
        <v>1.05</v>
      </c>
      <c r="R2109" s="39" t="n">
        <f aca="false">Resumo!$C$9</f>
        <v>0</v>
      </c>
      <c r="S2109" s="39" t="n">
        <f aca="false">Resumo!$C$13</f>
        <v>13.55</v>
      </c>
      <c r="T2109" s="39" t="n">
        <f aca="false">Resumo!$C$14*CEILING(I2109,1)</f>
        <v>9.9</v>
      </c>
      <c r="U2109" s="39" t="n">
        <f aca="false">SUM(M2109:T2109)*Resumo!$C$11</f>
        <v>0</v>
      </c>
      <c r="V2109" s="39" t="n">
        <f aca="false">SUM(M2109:U2109)</f>
        <v>67.953958</v>
      </c>
      <c r="W2109" s="39" t="n">
        <f aca="false">V2109/(1-Resumo!$C$5)</f>
        <v>77.2204068181818</v>
      </c>
      <c r="X2109" s="39" t="n">
        <v>82.21</v>
      </c>
      <c r="Y2109" s="39" t="n">
        <f aca="false">J2109*Resumo!$B$6</f>
        <v>0.31999</v>
      </c>
      <c r="Z2109" s="39" t="n">
        <f aca="false">J2109*Resumo!$B$7</f>
        <v>0.63998</v>
      </c>
      <c r="AA2109" s="39" t="n">
        <f aca="false">Resumo!$B$9</f>
        <v>1</v>
      </c>
      <c r="AB2109" s="39" t="n">
        <f aca="false">Resumo!$B$10*CEILING(I2109/100,1)</f>
        <v>4.5</v>
      </c>
      <c r="AC2109" s="39" t="n">
        <f aca="false">Resumo!$B$12*CEILING(I2109,1)</f>
        <v>1.32</v>
      </c>
      <c r="AD2109" s="39" t="n">
        <f aca="false">Resumo!$B$14*CEILING(I2109,1)</f>
        <v>9.9</v>
      </c>
      <c r="AE2109" s="39" t="n">
        <f aca="false">SUM(X2109:AD2109)</f>
        <v>99.88997</v>
      </c>
      <c r="AF2109" s="39" t="n">
        <f aca="false">AE2109/(1-Resumo!$B$5)</f>
        <v>113.511329545455</v>
      </c>
      <c r="AG2109" s="39" t="n">
        <f aca="false">AF2109-W2109</f>
        <v>36.2909227272727</v>
      </c>
      <c r="AH2109" s="40" t="n">
        <f aca="false">AF2109/W2109-1</f>
        <v>0.469965443366816</v>
      </c>
      <c r="AI2109" s="37" t="str">
        <f aca="false">IF(AF2109&lt;W2109,"SIM","NÃO")</f>
        <v>NÃO</v>
      </c>
      <c r="AJ2109" s="37" t="n">
        <v>2</v>
      </c>
      <c r="AK2109" s="37" t="n">
        <v>5</v>
      </c>
      <c r="AL2109" s="37" t="s">
        <v>343</v>
      </c>
      <c r="AM2109" s="39" t="n">
        <v>81.86</v>
      </c>
    </row>
    <row r="2110" customFormat="false" ht="15" hidden="false" customHeight="false" outlineLevel="0" collapsed="false">
      <c r="A2110" s="37" t="n">
        <v>399243706</v>
      </c>
      <c r="B2110" s="38" t="n">
        <v>46290.4344791667</v>
      </c>
      <c r="C2110" s="37" t="s">
        <v>345</v>
      </c>
      <c r="D2110" s="37" t="s">
        <v>1455</v>
      </c>
      <c r="E2110" s="37" t="n">
        <v>28500000</v>
      </c>
      <c r="F2110" s="37" t="s">
        <v>274</v>
      </c>
      <c r="G2110" s="37" t="s">
        <v>198</v>
      </c>
      <c r="H2110" s="37" t="s">
        <v>186</v>
      </c>
      <c r="I2110" s="37" t="n">
        <v>46.8</v>
      </c>
      <c r="J2110" s="39" t="n">
        <v>569.99</v>
      </c>
      <c r="K2110" s="37" t="s">
        <v>342</v>
      </c>
      <c r="L2110" s="39" t="n">
        <v>130.89</v>
      </c>
      <c r="M2110" s="39" t="n">
        <v>77.7</v>
      </c>
      <c r="N2110" s="39" t="n">
        <f aca="false">J2110*Resumo!$C$6</f>
        <v>0</v>
      </c>
      <c r="O2110" s="39" t="n">
        <f aca="false">J2110*Resumo!$C$7</f>
        <v>1.196979</v>
      </c>
      <c r="P2110" s="39" t="n">
        <f aca="false">J2110*Resumo!$C$8</f>
        <v>1.196979</v>
      </c>
      <c r="Q2110" s="39" t="n">
        <f aca="false">Resumo!$C$10*CEILING(I2110/100,1)</f>
        <v>1.05</v>
      </c>
      <c r="R2110" s="39" t="n">
        <f aca="false">Resumo!$C$9</f>
        <v>0</v>
      </c>
      <c r="S2110" s="39" t="n">
        <f aca="false">Resumo!$C$13</f>
        <v>13.55</v>
      </c>
      <c r="T2110" s="39" t="n">
        <f aca="false">Resumo!$C$14*CEILING(I2110,1)</f>
        <v>21.15</v>
      </c>
      <c r="U2110" s="39" t="n">
        <f aca="false">SUM(M2110:T2110)*Resumo!$C$11</f>
        <v>0</v>
      </c>
      <c r="V2110" s="39" t="n">
        <f aca="false">SUM(M2110:U2110)</f>
        <v>115.843958</v>
      </c>
      <c r="W2110" s="39" t="n">
        <f aca="false">V2110/(1-Resumo!$C$5)</f>
        <v>131.640861363636</v>
      </c>
      <c r="X2110" s="39" t="n">
        <v>152.54</v>
      </c>
      <c r="Y2110" s="39" t="n">
        <f aca="false">J2110*Resumo!$B$6</f>
        <v>0.56999</v>
      </c>
      <c r="Z2110" s="39" t="n">
        <f aca="false">J2110*Resumo!$B$7</f>
        <v>1.13998</v>
      </c>
      <c r="AA2110" s="39" t="n">
        <f aca="false">Resumo!$B$9</f>
        <v>1</v>
      </c>
      <c r="AB2110" s="39" t="n">
        <f aca="false">Resumo!$B$10*CEILING(I2110/100,1)</f>
        <v>4.5</v>
      </c>
      <c r="AC2110" s="39" t="n">
        <f aca="false">Resumo!$B$12*CEILING(I2110,1)</f>
        <v>2.82</v>
      </c>
      <c r="AD2110" s="39" t="n">
        <f aca="false">Resumo!$B$14*CEILING(I2110,1)</f>
        <v>21.15</v>
      </c>
      <c r="AE2110" s="39" t="n">
        <f aca="false">SUM(X2110:AD2110)</f>
        <v>183.71997</v>
      </c>
      <c r="AF2110" s="39" t="n">
        <f aca="false">AE2110/(1-Resumo!$B$5)</f>
        <v>208.772693181818</v>
      </c>
      <c r="AG2110" s="39" t="n">
        <f aca="false">AF2110-W2110</f>
        <v>77.1318318181818</v>
      </c>
      <c r="AH2110" s="40" t="n">
        <f aca="false">AF2110/W2110-1</f>
        <v>0.58592621636771</v>
      </c>
      <c r="AI2110" s="37" t="str">
        <f aca="false">IF(AF2110&lt;W2110,"SIM","NÃO")</f>
        <v>NÃO</v>
      </c>
      <c r="AJ2110" s="37" t="n">
        <v>13</v>
      </c>
      <c r="AK2110" s="37" t="n">
        <v>11</v>
      </c>
      <c r="AL2110" s="37" t="s">
        <v>347</v>
      </c>
      <c r="AM2110" s="39" t="n">
        <v>130.89</v>
      </c>
    </row>
    <row r="2111" customFormat="false" ht="15" hidden="false" customHeight="false" outlineLevel="0" collapsed="false">
      <c r="A2111" s="37" t="n">
        <v>399253714</v>
      </c>
      <c r="B2111" s="38" t="n">
        <v>46290.4546412037</v>
      </c>
      <c r="C2111" s="37" t="s">
        <v>345</v>
      </c>
      <c r="D2111" s="37" t="s">
        <v>1192</v>
      </c>
      <c r="E2111" s="37" t="n">
        <v>23040550</v>
      </c>
      <c r="F2111" s="37" t="s">
        <v>159</v>
      </c>
      <c r="G2111" s="37" t="s">
        <v>196</v>
      </c>
      <c r="H2111" s="37" t="s">
        <v>187</v>
      </c>
      <c r="I2111" s="37" t="n">
        <v>53.3</v>
      </c>
      <c r="J2111" s="39" t="n">
        <v>749.99</v>
      </c>
      <c r="K2111" s="37" t="s">
        <v>342</v>
      </c>
      <c r="L2111" s="39" t="n">
        <v>114.74</v>
      </c>
      <c r="M2111" s="39" t="n">
        <v>58.6</v>
      </c>
      <c r="N2111" s="39" t="n">
        <f aca="false">J2111*Resumo!$C$6</f>
        <v>0</v>
      </c>
      <c r="O2111" s="39" t="n">
        <f aca="false">J2111*Resumo!$C$7</f>
        <v>1.574979</v>
      </c>
      <c r="P2111" s="39" t="n">
        <f aca="false">J2111*Resumo!$C$8</f>
        <v>1.574979</v>
      </c>
      <c r="Q2111" s="39" t="n">
        <f aca="false">Resumo!$C$10*CEILING(I2111/100,1)</f>
        <v>1.05</v>
      </c>
      <c r="R2111" s="39" t="n">
        <f aca="false">Resumo!$C$9</f>
        <v>0</v>
      </c>
      <c r="S2111" s="39" t="n">
        <f aca="false">Resumo!$C$13</f>
        <v>13.55</v>
      </c>
      <c r="T2111" s="39" t="n">
        <f aca="false">Resumo!$C$14*CEILING(I2111,1)</f>
        <v>24.3</v>
      </c>
      <c r="U2111" s="39" t="n">
        <f aca="false">SUM(M2111:T2111)*Resumo!$C$11</f>
        <v>0</v>
      </c>
      <c r="V2111" s="39" t="n">
        <f aca="false">SUM(M2111:U2111)</f>
        <v>100.649958</v>
      </c>
      <c r="W2111" s="39" t="n">
        <f aca="false">V2111/(1-Resumo!$C$5)</f>
        <v>114.374952272727</v>
      </c>
      <c r="X2111" s="39" t="n">
        <v>112.3</v>
      </c>
      <c r="Y2111" s="39" t="n">
        <f aca="false">J2111*Resumo!$B$6</f>
        <v>0.74999</v>
      </c>
      <c r="Z2111" s="39" t="n">
        <f aca="false">J2111*Resumo!$B$7</f>
        <v>1.49998</v>
      </c>
      <c r="AA2111" s="39" t="n">
        <f aca="false">Resumo!$B$9</f>
        <v>1</v>
      </c>
      <c r="AB2111" s="39" t="n">
        <f aca="false">Resumo!$B$10*CEILING(I2111/100,1)</f>
        <v>4.5</v>
      </c>
      <c r="AC2111" s="39" t="n">
        <f aca="false">Resumo!$B$12*CEILING(I2111,1)</f>
        <v>3.24</v>
      </c>
      <c r="AD2111" s="39" t="n">
        <f aca="false">Resumo!$B$14*CEILING(I2111,1)</f>
        <v>24.3</v>
      </c>
      <c r="AE2111" s="39" t="n">
        <f aca="false">SUM(X2111:AD2111)</f>
        <v>147.58997</v>
      </c>
      <c r="AF2111" s="39" t="n">
        <f aca="false">AE2111/(1-Resumo!$B$5)</f>
        <v>167.715875</v>
      </c>
      <c r="AG2111" s="39" t="n">
        <f aca="false">AF2111-W2111</f>
        <v>53.3409227272727</v>
      </c>
      <c r="AH2111" s="40" t="n">
        <f aca="false">AF2111/W2111-1</f>
        <v>0.46636891790854</v>
      </c>
      <c r="AI2111" s="37" t="str">
        <f aca="false">IF(AF2111&lt;W2111,"SIM","NÃO")</f>
        <v>NÃO</v>
      </c>
      <c r="AJ2111" s="37" t="n">
        <v>2</v>
      </c>
      <c r="AK2111" s="37" t="n">
        <v>5</v>
      </c>
      <c r="AL2111" s="37" t="s">
        <v>343</v>
      </c>
      <c r="AM2111" s="39" t="n">
        <v>114.74</v>
      </c>
    </row>
    <row r="2112" customFormat="false" ht="15" hidden="false" customHeight="false" outlineLevel="0" collapsed="false">
      <c r="A2112" s="37" t="n">
        <v>399268752</v>
      </c>
      <c r="B2112" s="38" t="n">
        <v>46290.481400463</v>
      </c>
      <c r="C2112" s="37" t="s">
        <v>345</v>
      </c>
      <c r="D2112" s="37" t="s">
        <v>505</v>
      </c>
      <c r="E2112" s="37" t="n">
        <v>23898081</v>
      </c>
      <c r="F2112" s="37" t="s">
        <v>221</v>
      </c>
      <c r="G2112" s="37" t="s">
        <v>198</v>
      </c>
      <c r="H2112" s="37" t="s">
        <v>186</v>
      </c>
      <c r="I2112" s="37" t="n">
        <v>41</v>
      </c>
      <c r="J2112" s="39" t="n">
        <v>699.99</v>
      </c>
      <c r="K2112" s="37" t="s">
        <v>342</v>
      </c>
      <c r="L2112" s="39" t="n">
        <v>131.51</v>
      </c>
      <c r="M2112" s="39" t="n">
        <v>77.7</v>
      </c>
      <c r="N2112" s="39" t="n">
        <f aca="false">J2112*Resumo!$C$6</f>
        <v>0</v>
      </c>
      <c r="O2112" s="39" t="n">
        <f aca="false">J2112*Resumo!$C$7</f>
        <v>1.469979</v>
      </c>
      <c r="P2112" s="39" t="n">
        <f aca="false">J2112*Resumo!$C$8</f>
        <v>1.469979</v>
      </c>
      <c r="Q2112" s="39" t="n">
        <f aca="false">Resumo!$C$10*CEILING(I2112/100,1)</f>
        <v>1.05</v>
      </c>
      <c r="R2112" s="39" t="n">
        <f aca="false">Resumo!$C$9</f>
        <v>0</v>
      </c>
      <c r="S2112" s="39" t="n">
        <f aca="false">Resumo!$C$13</f>
        <v>13.55</v>
      </c>
      <c r="T2112" s="39" t="n">
        <f aca="false">Resumo!$C$14*CEILING(I2112,1)</f>
        <v>18.45</v>
      </c>
      <c r="U2112" s="39" t="n">
        <f aca="false">SUM(M2112:T2112)*Resumo!$C$11</f>
        <v>0</v>
      </c>
      <c r="V2112" s="39" t="n">
        <f aca="false">SUM(M2112:U2112)</f>
        <v>113.689958</v>
      </c>
      <c r="W2112" s="39" t="n">
        <f aca="false">V2112/(1-Resumo!$C$5)</f>
        <v>129.193134090909</v>
      </c>
      <c r="X2112" s="39" t="n">
        <v>103.97</v>
      </c>
      <c r="Y2112" s="39" t="n">
        <f aca="false">J2112*Resumo!$B$6</f>
        <v>0.69999</v>
      </c>
      <c r="Z2112" s="39" t="n">
        <f aca="false">J2112*Resumo!$B$7</f>
        <v>1.39998</v>
      </c>
      <c r="AA2112" s="39" t="n">
        <f aca="false">Resumo!$B$9</f>
        <v>1</v>
      </c>
      <c r="AB2112" s="39" t="n">
        <f aca="false">Resumo!$B$10*CEILING(I2112/100,1)</f>
        <v>4.5</v>
      </c>
      <c r="AC2112" s="39" t="n">
        <f aca="false">Resumo!$B$12*CEILING(I2112,1)</f>
        <v>2.46</v>
      </c>
      <c r="AD2112" s="39" t="n">
        <f aca="false">Resumo!$B$14*CEILING(I2112,1)</f>
        <v>18.45</v>
      </c>
      <c r="AE2112" s="39" t="n">
        <f aca="false">SUM(X2112:AD2112)</f>
        <v>132.47997</v>
      </c>
      <c r="AF2112" s="39" t="n">
        <f aca="false">AE2112/(1-Resumo!$B$5)</f>
        <v>150.545420454545</v>
      </c>
      <c r="AG2112" s="39" t="n">
        <f aca="false">AF2112-W2112</f>
        <v>21.3522863636364</v>
      </c>
      <c r="AH2112" s="40" t="n">
        <f aca="false">AF2112/W2112-1</f>
        <v>0.165274157283091</v>
      </c>
      <c r="AI2112" s="37" t="str">
        <f aca="false">IF(AF2112&lt;W2112,"SIM","NÃO")</f>
        <v>NÃO</v>
      </c>
      <c r="AJ2112" s="37" t="n">
        <v>13</v>
      </c>
      <c r="AK2112" s="37" t="n">
        <v>5</v>
      </c>
      <c r="AL2112" s="37" t="s">
        <v>347</v>
      </c>
      <c r="AM2112" s="39" t="n">
        <v>131.52</v>
      </c>
    </row>
    <row r="2113" customFormat="false" ht="15" hidden="false" customHeight="false" outlineLevel="0" collapsed="false">
      <c r="A2113" s="37" t="n">
        <v>399300855</v>
      </c>
      <c r="B2113" s="38" t="n">
        <v>46290.5503703704</v>
      </c>
      <c r="C2113" s="37" t="s">
        <v>340</v>
      </c>
      <c r="D2113" s="37" t="s">
        <v>2224</v>
      </c>
      <c r="E2113" s="37" t="n">
        <v>25847020</v>
      </c>
      <c r="F2113" s="37" t="s">
        <v>229</v>
      </c>
      <c r="G2113" s="37" t="s">
        <v>198</v>
      </c>
      <c r="H2113" s="37" t="s">
        <v>190</v>
      </c>
      <c r="I2113" s="37" t="n">
        <v>91</v>
      </c>
      <c r="J2113" s="39" t="n">
        <v>1159.98</v>
      </c>
      <c r="K2113" s="37" t="s">
        <v>342</v>
      </c>
      <c r="L2113" s="39" t="n">
        <v>194.16</v>
      </c>
      <c r="M2113" s="39" t="n">
        <v>109.63</v>
      </c>
      <c r="N2113" s="39" t="n">
        <f aca="false">J2113*Resumo!$C$6</f>
        <v>0</v>
      </c>
      <c r="O2113" s="39" t="n">
        <f aca="false">J2113*Resumo!$C$7</f>
        <v>2.435958</v>
      </c>
      <c r="P2113" s="39" t="n">
        <f aca="false">J2113*Resumo!$C$8</f>
        <v>2.435958</v>
      </c>
      <c r="Q2113" s="39" t="n">
        <f aca="false">Resumo!$C$10*CEILING(I2113/100,1)</f>
        <v>1.05</v>
      </c>
      <c r="R2113" s="39" t="n">
        <f aca="false">Resumo!$C$9</f>
        <v>0</v>
      </c>
      <c r="S2113" s="39" t="n">
        <f aca="false">Resumo!$C$13</f>
        <v>13.55</v>
      </c>
      <c r="T2113" s="39" t="n">
        <f aca="false">Resumo!$C$14*CEILING(I2113,1)</f>
        <v>40.95</v>
      </c>
      <c r="U2113" s="39" t="n">
        <f aca="false">SUM(M2113:T2113)*Resumo!$C$11</f>
        <v>0</v>
      </c>
      <c r="V2113" s="39" t="n">
        <f aca="false">SUM(M2113:U2113)</f>
        <v>170.051916</v>
      </c>
      <c r="W2113" s="39" t="n">
        <f aca="false">V2113/(1-Resumo!$C$5)</f>
        <v>193.240813636364</v>
      </c>
      <c r="X2113" s="39" t="n">
        <v>197.35</v>
      </c>
      <c r="Y2113" s="39" t="n">
        <f aca="false">J2113*Resumo!$B$6</f>
        <v>1.15998</v>
      </c>
      <c r="Z2113" s="39" t="n">
        <f aca="false">J2113*Resumo!$B$7</f>
        <v>2.31996</v>
      </c>
      <c r="AA2113" s="39" t="n">
        <f aca="false">Resumo!$B$9</f>
        <v>1</v>
      </c>
      <c r="AB2113" s="39" t="n">
        <f aca="false">Resumo!$B$10*CEILING(I2113/100,1)</f>
        <v>4.5</v>
      </c>
      <c r="AC2113" s="39" t="n">
        <f aca="false">Resumo!$B$12*CEILING(I2113,1)</f>
        <v>5.46</v>
      </c>
      <c r="AD2113" s="39" t="n">
        <f aca="false">Resumo!$B$14*CEILING(I2113,1)</f>
        <v>40.95</v>
      </c>
      <c r="AE2113" s="39" t="n">
        <f aca="false">SUM(X2113:AD2113)</f>
        <v>252.73994</v>
      </c>
      <c r="AF2113" s="39" t="n">
        <f aca="false">AE2113/(1-Resumo!$B$5)</f>
        <v>287.204477272727</v>
      </c>
      <c r="AG2113" s="39" t="n">
        <f aca="false">AF2113-W2113</f>
        <v>93.9636636363636</v>
      </c>
      <c r="AH2113" s="40" t="n">
        <f aca="false">AF2113/W2113-1</f>
        <v>0.486251645644498</v>
      </c>
      <c r="AI2113" s="37" t="str">
        <f aca="false">IF(AF2113&lt;W2113,"SIM","NÃO")</f>
        <v>NÃO</v>
      </c>
      <c r="AJ2113" s="37" t="n">
        <v>13</v>
      </c>
      <c r="AK2113" s="37" t="n">
        <v>8</v>
      </c>
      <c r="AL2113" s="37" t="s">
        <v>347</v>
      </c>
      <c r="AM2113" s="39" t="n">
        <v>194.16</v>
      </c>
    </row>
    <row r="2114" customFormat="false" ht="15" hidden="false" customHeight="false" outlineLevel="0" collapsed="false">
      <c r="A2114" s="37" t="n">
        <v>399310070</v>
      </c>
      <c r="B2114" s="38" t="n">
        <v>46290.5706018519</v>
      </c>
      <c r="C2114" s="37" t="s">
        <v>340</v>
      </c>
      <c r="D2114" s="37" t="s">
        <v>2077</v>
      </c>
      <c r="E2114" s="37" t="n">
        <v>20973011</v>
      </c>
      <c r="F2114" s="37" t="s">
        <v>159</v>
      </c>
      <c r="G2114" s="37" t="s">
        <v>196</v>
      </c>
      <c r="H2114" s="37" t="s">
        <v>188</v>
      </c>
      <c r="I2114" s="37" t="n">
        <v>66.8</v>
      </c>
      <c r="J2114" s="39" t="n">
        <v>658.46</v>
      </c>
      <c r="K2114" s="37" t="s">
        <v>342</v>
      </c>
      <c r="L2114" s="39" t="n">
        <v>124.37</v>
      </c>
      <c r="M2114" s="39" t="n">
        <v>63.21</v>
      </c>
      <c r="N2114" s="39" t="n">
        <f aca="false">J2114*Resumo!$C$6</f>
        <v>0</v>
      </c>
      <c r="O2114" s="39" t="n">
        <f aca="false">J2114*Resumo!$C$7</f>
        <v>1.382766</v>
      </c>
      <c r="P2114" s="39" t="n">
        <f aca="false">J2114*Resumo!$C$8</f>
        <v>1.382766</v>
      </c>
      <c r="Q2114" s="39" t="n">
        <f aca="false">Resumo!$C$10*CEILING(I2114/100,1)</f>
        <v>1.05</v>
      </c>
      <c r="R2114" s="39" t="n">
        <f aca="false">Resumo!$C$9</f>
        <v>0</v>
      </c>
      <c r="S2114" s="39" t="n">
        <f aca="false">Resumo!$C$13</f>
        <v>13.55</v>
      </c>
      <c r="T2114" s="39" t="n">
        <f aca="false">Resumo!$C$14*CEILING(I2114,1)</f>
        <v>30.15</v>
      </c>
      <c r="U2114" s="39" t="n">
        <f aca="false">SUM(M2114:T2114)*Resumo!$C$11</f>
        <v>0</v>
      </c>
      <c r="V2114" s="39" t="n">
        <f aca="false">SUM(M2114:U2114)</f>
        <v>110.725532</v>
      </c>
      <c r="W2114" s="39" t="n">
        <f aca="false">V2114/(1-Resumo!$C$5)</f>
        <v>125.824468181818</v>
      </c>
      <c r="X2114" s="39" t="n">
        <v>131.02</v>
      </c>
      <c r="Y2114" s="39" t="n">
        <f aca="false">J2114*Resumo!$B$6</f>
        <v>0.65846</v>
      </c>
      <c r="Z2114" s="39" t="n">
        <f aca="false">J2114*Resumo!$B$7</f>
        <v>1.31692</v>
      </c>
      <c r="AA2114" s="39" t="n">
        <f aca="false">Resumo!$B$9</f>
        <v>1</v>
      </c>
      <c r="AB2114" s="39" t="n">
        <f aca="false">Resumo!$B$10*CEILING(I2114/100,1)</f>
        <v>4.5</v>
      </c>
      <c r="AC2114" s="39" t="n">
        <f aca="false">Resumo!$B$12*CEILING(I2114,1)</f>
        <v>4.02</v>
      </c>
      <c r="AD2114" s="39" t="n">
        <f aca="false">Resumo!$B$14*CEILING(I2114,1)</f>
        <v>30.15</v>
      </c>
      <c r="AE2114" s="39" t="n">
        <f aca="false">SUM(X2114:AD2114)</f>
        <v>172.66538</v>
      </c>
      <c r="AF2114" s="39" t="n">
        <f aca="false">AE2114/(1-Resumo!$B$5)</f>
        <v>196.210659090909</v>
      </c>
      <c r="AG2114" s="39" t="n">
        <f aca="false">AF2114-W2114</f>
        <v>70.386190909091</v>
      </c>
      <c r="AH2114" s="40" t="n">
        <f aca="false">AF2114/W2114-1</f>
        <v>0.559399868135202</v>
      </c>
      <c r="AI2114" s="37" t="str">
        <f aca="false">IF(AF2114&lt;W2114,"SIM","NÃO")</f>
        <v>NÃO</v>
      </c>
      <c r="AJ2114" s="37" t="n">
        <v>2</v>
      </c>
      <c r="AK2114" s="37" t="n">
        <v>5</v>
      </c>
      <c r="AL2114" s="37" t="s">
        <v>343</v>
      </c>
      <c r="AM2114" s="39" t="n">
        <v>124.36</v>
      </c>
    </row>
    <row r="2115" customFormat="false" ht="15" hidden="false" customHeight="false" outlineLevel="0" collapsed="false">
      <c r="A2115" s="37" t="n">
        <v>399324399</v>
      </c>
      <c r="B2115" s="38" t="n">
        <v>46290.6010069445</v>
      </c>
      <c r="C2115" s="37" t="s">
        <v>345</v>
      </c>
      <c r="D2115" s="37" t="s">
        <v>1447</v>
      </c>
      <c r="E2115" s="37" t="n">
        <v>22451264</v>
      </c>
      <c r="F2115" s="37" t="s">
        <v>159</v>
      </c>
      <c r="G2115" s="37" t="s">
        <v>196</v>
      </c>
      <c r="H2115" s="37" t="s">
        <v>186</v>
      </c>
      <c r="I2115" s="37" t="n">
        <v>45.3</v>
      </c>
      <c r="J2115" s="39" t="n">
        <v>678.99</v>
      </c>
      <c r="K2115" s="37" t="s">
        <v>342</v>
      </c>
      <c r="L2115" s="39" t="n">
        <v>103.84</v>
      </c>
      <c r="M2115" s="39" t="n">
        <v>53.55</v>
      </c>
      <c r="N2115" s="39" t="n">
        <f aca="false">J2115*Resumo!$C$6</f>
        <v>0</v>
      </c>
      <c r="O2115" s="39" t="n">
        <f aca="false">J2115*Resumo!$C$7</f>
        <v>1.425879</v>
      </c>
      <c r="P2115" s="39" t="n">
        <f aca="false">J2115*Resumo!$C$8</f>
        <v>1.425879</v>
      </c>
      <c r="Q2115" s="39" t="n">
        <f aca="false">Resumo!$C$10*CEILING(I2115/100,1)</f>
        <v>1.05</v>
      </c>
      <c r="R2115" s="39" t="n">
        <f aca="false">Resumo!$C$9</f>
        <v>0</v>
      </c>
      <c r="S2115" s="39" t="n">
        <f aca="false">Resumo!$C$13</f>
        <v>13.55</v>
      </c>
      <c r="T2115" s="39" t="n">
        <f aca="false">Resumo!$C$14*CEILING(I2115,1)</f>
        <v>20.7</v>
      </c>
      <c r="U2115" s="39" t="n">
        <f aca="false">SUM(M2115:T2115)*Resumo!$C$11</f>
        <v>0</v>
      </c>
      <c r="V2115" s="39" t="n">
        <f aca="false">SUM(M2115:U2115)</f>
        <v>91.701758</v>
      </c>
      <c r="W2115" s="39" t="n">
        <f aca="false">V2115/(1-Resumo!$C$5)</f>
        <v>104.206543181818</v>
      </c>
      <c r="X2115" s="39" t="n">
        <v>93.97</v>
      </c>
      <c r="Y2115" s="39" t="n">
        <f aca="false">J2115*Resumo!$B$6</f>
        <v>0.67899</v>
      </c>
      <c r="Z2115" s="39" t="n">
        <f aca="false">J2115*Resumo!$B$7</f>
        <v>1.35798</v>
      </c>
      <c r="AA2115" s="39" t="n">
        <f aca="false">Resumo!$B$9</f>
        <v>1</v>
      </c>
      <c r="AB2115" s="39" t="n">
        <f aca="false">Resumo!$B$10*CEILING(I2115/100,1)</f>
        <v>4.5</v>
      </c>
      <c r="AC2115" s="39" t="n">
        <f aca="false">Resumo!$B$12*CEILING(I2115,1)</f>
        <v>2.76</v>
      </c>
      <c r="AD2115" s="39" t="n">
        <f aca="false">Resumo!$B$14*CEILING(I2115,1)</f>
        <v>20.7</v>
      </c>
      <c r="AE2115" s="39" t="n">
        <f aca="false">SUM(X2115:AD2115)</f>
        <v>124.96697</v>
      </c>
      <c r="AF2115" s="39" t="n">
        <f aca="false">AE2115/(1-Resumo!$B$5)</f>
        <v>142.007920454545</v>
      </c>
      <c r="AG2115" s="39" t="n">
        <f aca="false">AF2115-W2115</f>
        <v>37.8013772727273</v>
      </c>
      <c r="AH2115" s="40" t="n">
        <f aca="false">AF2115/W2115-1</f>
        <v>0.362754354174977</v>
      </c>
      <c r="AI2115" s="37" t="str">
        <f aca="false">IF(AF2115&lt;W2115,"SIM","NÃO")</f>
        <v>NÃO</v>
      </c>
      <c r="AJ2115" s="37" t="n">
        <v>2</v>
      </c>
      <c r="AK2115" s="37" t="n">
        <v>5</v>
      </c>
      <c r="AL2115" s="37" t="s">
        <v>343</v>
      </c>
      <c r="AM2115" s="39" t="n">
        <v>103.84</v>
      </c>
    </row>
    <row r="2116" customFormat="false" ht="15" hidden="false" customHeight="false" outlineLevel="0" collapsed="false">
      <c r="A2116" s="37" t="n">
        <v>399343643</v>
      </c>
      <c r="B2116" s="38" t="n">
        <v>46290.638587963</v>
      </c>
      <c r="C2116" s="37" t="s">
        <v>340</v>
      </c>
      <c r="D2116" s="37" t="s">
        <v>2225</v>
      </c>
      <c r="E2116" s="37" t="n">
        <v>23595475</v>
      </c>
      <c r="F2116" s="37" t="s">
        <v>159</v>
      </c>
      <c r="G2116" s="37" t="s">
        <v>196</v>
      </c>
      <c r="H2116" s="37" t="s">
        <v>185</v>
      </c>
      <c r="I2116" s="37" t="n">
        <v>36.8</v>
      </c>
      <c r="J2116" s="39" t="n">
        <v>389.63</v>
      </c>
      <c r="K2116" s="37" t="s">
        <v>342</v>
      </c>
      <c r="L2116" s="39" t="n">
        <v>91.73</v>
      </c>
      <c r="M2116" s="39" t="n">
        <v>48.35</v>
      </c>
      <c r="N2116" s="39" t="n">
        <f aca="false">J2116*Resumo!$C$6</f>
        <v>0</v>
      </c>
      <c r="O2116" s="39" t="n">
        <f aca="false">J2116*Resumo!$C$7</f>
        <v>0.818223</v>
      </c>
      <c r="P2116" s="39" t="n">
        <f aca="false">J2116*Resumo!$C$8</f>
        <v>0.818223</v>
      </c>
      <c r="Q2116" s="39" t="n">
        <f aca="false">Resumo!$C$10*CEILING(I2116/100,1)</f>
        <v>1.05</v>
      </c>
      <c r="R2116" s="39" t="n">
        <f aca="false">Resumo!$C$9</f>
        <v>0</v>
      </c>
      <c r="S2116" s="39" t="n">
        <f aca="false">Resumo!$C$13</f>
        <v>13.55</v>
      </c>
      <c r="T2116" s="39" t="n">
        <f aca="false">Resumo!$C$14*CEILING(I2116,1)</f>
        <v>16.65</v>
      </c>
      <c r="U2116" s="39" t="n">
        <f aca="false">SUM(M2116:T2116)*Resumo!$C$11</f>
        <v>0</v>
      </c>
      <c r="V2116" s="39" t="n">
        <f aca="false">SUM(M2116:U2116)</f>
        <v>81.236446</v>
      </c>
      <c r="W2116" s="39" t="n">
        <f aca="false">V2116/(1-Resumo!$C$5)</f>
        <v>92.3141431818182</v>
      </c>
      <c r="X2116" s="39" t="n">
        <v>93.97</v>
      </c>
      <c r="Y2116" s="39" t="n">
        <f aca="false">J2116*Resumo!$B$6</f>
        <v>0.38963</v>
      </c>
      <c r="Z2116" s="39" t="n">
        <f aca="false">J2116*Resumo!$B$7</f>
        <v>0.77926</v>
      </c>
      <c r="AA2116" s="39" t="n">
        <f aca="false">Resumo!$B$9</f>
        <v>1</v>
      </c>
      <c r="AB2116" s="39" t="n">
        <f aca="false">Resumo!$B$10*CEILING(I2116/100,1)</f>
        <v>4.5</v>
      </c>
      <c r="AC2116" s="39" t="n">
        <f aca="false">Resumo!$B$12*CEILING(I2116,1)</f>
        <v>2.22</v>
      </c>
      <c r="AD2116" s="39" t="n">
        <f aca="false">Resumo!$B$14*CEILING(I2116,1)</f>
        <v>16.65</v>
      </c>
      <c r="AE2116" s="39" t="n">
        <f aca="false">SUM(X2116:AD2116)</f>
        <v>119.50889</v>
      </c>
      <c r="AF2116" s="39" t="n">
        <f aca="false">AE2116/(1-Resumo!$B$5)</f>
        <v>135.805556818182</v>
      </c>
      <c r="AG2116" s="39" t="n">
        <f aca="false">AF2116-W2116</f>
        <v>43.4914136363636</v>
      </c>
      <c r="AH2116" s="40" t="n">
        <f aca="false">AF2116/W2116-1</f>
        <v>0.471124056805735</v>
      </c>
      <c r="AI2116" s="37" t="str">
        <f aca="false">IF(AF2116&lt;W2116,"SIM","NÃO")</f>
        <v>NÃO</v>
      </c>
      <c r="AJ2116" s="37" t="n">
        <v>2</v>
      </c>
      <c r="AK2116" s="37" t="n">
        <v>5</v>
      </c>
      <c r="AL2116" s="37" t="s">
        <v>343</v>
      </c>
      <c r="AM2116" s="39" t="n">
        <v>91.72</v>
      </c>
    </row>
    <row r="2117" customFormat="false" ht="15" hidden="false" customHeight="false" outlineLevel="0" collapsed="false">
      <c r="A2117" s="37" t="n">
        <v>399344093</v>
      </c>
      <c r="B2117" s="38" t="n">
        <v>46290.6394097222</v>
      </c>
      <c r="C2117" s="37" t="s">
        <v>340</v>
      </c>
      <c r="D2117" s="37" t="s">
        <v>2226</v>
      </c>
      <c r="E2117" s="37" t="n">
        <v>21550610</v>
      </c>
      <c r="F2117" s="37" t="s">
        <v>159</v>
      </c>
      <c r="G2117" s="37" t="s">
        <v>196</v>
      </c>
      <c r="H2117" s="37" t="s">
        <v>184</v>
      </c>
      <c r="I2117" s="37" t="n">
        <v>27.4</v>
      </c>
      <c r="J2117" s="39" t="n">
        <v>369.99</v>
      </c>
      <c r="K2117" s="37" t="s">
        <v>342</v>
      </c>
      <c r="L2117" s="39" t="n">
        <v>82.1</v>
      </c>
      <c r="M2117" s="39" t="n">
        <v>42.11</v>
      </c>
      <c r="N2117" s="39" t="n">
        <f aca="false">J2117*Resumo!$C$6</f>
        <v>0</v>
      </c>
      <c r="O2117" s="39" t="n">
        <f aca="false">J2117*Resumo!$C$7</f>
        <v>0.776979</v>
      </c>
      <c r="P2117" s="39" t="n">
        <f aca="false">J2117*Resumo!$C$8</f>
        <v>0.776979</v>
      </c>
      <c r="Q2117" s="39" t="n">
        <f aca="false">Resumo!$C$10*CEILING(I2117/100,1)</f>
        <v>1.05</v>
      </c>
      <c r="R2117" s="39" t="n">
        <f aca="false">Resumo!$C$9</f>
        <v>0</v>
      </c>
      <c r="S2117" s="39" t="n">
        <f aca="false">Resumo!$C$13</f>
        <v>13.55</v>
      </c>
      <c r="T2117" s="39" t="n">
        <f aca="false">Resumo!$C$14*CEILING(I2117,1)</f>
        <v>12.6</v>
      </c>
      <c r="U2117" s="39" t="n">
        <f aca="false">SUM(M2117:T2117)*Resumo!$C$11</f>
        <v>0</v>
      </c>
      <c r="V2117" s="39" t="n">
        <f aca="false">SUM(M2117:U2117)</f>
        <v>70.863958</v>
      </c>
      <c r="W2117" s="39" t="n">
        <f aca="false">V2117/(1-Resumo!$C$5)</f>
        <v>80.527225</v>
      </c>
      <c r="X2117" s="39" t="n">
        <v>82.21</v>
      </c>
      <c r="Y2117" s="39" t="n">
        <f aca="false">J2117*Resumo!$B$6</f>
        <v>0.36999</v>
      </c>
      <c r="Z2117" s="39" t="n">
        <f aca="false">J2117*Resumo!$B$7</f>
        <v>0.73998</v>
      </c>
      <c r="AA2117" s="39" t="n">
        <f aca="false">Resumo!$B$9</f>
        <v>1</v>
      </c>
      <c r="AB2117" s="39" t="n">
        <f aca="false">Resumo!$B$10*CEILING(I2117/100,1)</f>
        <v>4.5</v>
      </c>
      <c r="AC2117" s="39" t="n">
        <f aca="false">Resumo!$B$12*CEILING(I2117,1)</f>
        <v>1.68</v>
      </c>
      <c r="AD2117" s="39" t="n">
        <f aca="false">Resumo!$B$14*CEILING(I2117,1)</f>
        <v>12.6</v>
      </c>
      <c r="AE2117" s="39" t="n">
        <f aca="false">SUM(X2117:AD2117)</f>
        <v>103.09997</v>
      </c>
      <c r="AF2117" s="39" t="n">
        <f aca="false">AE2117/(1-Resumo!$B$5)</f>
        <v>117.159056818182</v>
      </c>
      <c r="AG2117" s="39" t="n">
        <f aca="false">AF2117-W2117</f>
        <v>36.6318318181818</v>
      </c>
      <c r="AH2117" s="40" t="n">
        <f aca="false">AF2117/W2117-1</f>
        <v>0.454899964802982</v>
      </c>
      <c r="AI2117" s="37" t="str">
        <f aca="false">IF(AF2117&lt;W2117,"SIM","NÃO")</f>
        <v>NÃO</v>
      </c>
      <c r="AJ2117" s="37" t="n">
        <v>2</v>
      </c>
      <c r="AK2117" s="37" t="n">
        <v>5</v>
      </c>
      <c r="AL2117" s="37" t="s">
        <v>343</v>
      </c>
      <c r="AM2117" s="39" t="n">
        <v>82.1</v>
      </c>
    </row>
    <row r="2118" customFormat="false" ht="15" hidden="false" customHeight="false" outlineLevel="0" collapsed="false">
      <c r="A2118" s="37" t="n">
        <v>399381237</v>
      </c>
      <c r="B2118" s="38" t="n">
        <v>46290.7193634259</v>
      </c>
      <c r="C2118" s="37" t="s">
        <v>340</v>
      </c>
      <c r="D2118" s="37" t="s">
        <v>544</v>
      </c>
      <c r="E2118" s="37" t="n">
        <v>25880000</v>
      </c>
      <c r="F2118" s="37" t="s">
        <v>232</v>
      </c>
      <c r="G2118" s="37" t="s">
        <v>198</v>
      </c>
      <c r="H2118" s="37" t="s">
        <v>184</v>
      </c>
      <c r="I2118" s="37" t="n">
        <v>20.9</v>
      </c>
      <c r="J2118" s="39" t="n">
        <v>450.79</v>
      </c>
      <c r="K2118" s="37" t="s">
        <v>342</v>
      </c>
      <c r="L2118" s="39" t="n">
        <v>109.34</v>
      </c>
      <c r="M2118" s="39" t="n">
        <v>65.63</v>
      </c>
      <c r="N2118" s="39" t="n">
        <f aca="false">J2118*Resumo!$C$6</f>
        <v>0</v>
      </c>
      <c r="O2118" s="39" t="n">
        <f aca="false">J2118*Resumo!$C$7</f>
        <v>0.946659</v>
      </c>
      <c r="P2118" s="39" t="n">
        <f aca="false">J2118*Resumo!$C$8</f>
        <v>0.946659</v>
      </c>
      <c r="Q2118" s="39" t="n">
        <f aca="false">Resumo!$C$10*CEILING(I2118/100,1)</f>
        <v>1.05</v>
      </c>
      <c r="R2118" s="39" t="n">
        <f aca="false">Resumo!$C$9</f>
        <v>0</v>
      </c>
      <c r="S2118" s="39" t="n">
        <f aca="false">Resumo!$C$13</f>
        <v>13.55</v>
      </c>
      <c r="T2118" s="39" t="n">
        <f aca="false">Resumo!$C$14*CEILING(I2118,1)</f>
        <v>9.45</v>
      </c>
      <c r="U2118" s="39" t="n">
        <f aca="false">SUM(M2118:T2118)*Resumo!$C$11</f>
        <v>0</v>
      </c>
      <c r="V2118" s="39" t="n">
        <f aca="false">SUM(M2118:U2118)</f>
        <v>91.573318</v>
      </c>
      <c r="W2118" s="39" t="n">
        <f aca="false">V2118/(1-Resumo!$C$5)</f>
        <v>104.060588636364</v>
      </c>
      <c r="X2118" s="39" t="n">
        <v>120.78</v>
      </c>
      <c r="Y2118" s="39" t="n">
        <f aca="false">J2118*Resumo!$B$6</f>
        <v>0.45079</v>
      </c>
      <c r="Z2118" s="39" t="n">
        <f aca="false">J2118*Resumo!$B$7</f>
        <v>0.90158</v>
      </c>
      <c r="AA2118" s="39" t="n">
        <f aca="false">Resumo!$B$9</f>
        <v>1</v>
      </c>
      <c r="AB2118" s="39" t="n">
        <f aca="false">Resumo!$B$10*CEILING(I2118/100,1)</f>
        <v>4.5</v>
      </c>
      <c r="AC2118" s="39" t="n">
        <f aca="false">Resumo!$B$12*CEILING(I2118,1)</f>
        <v>1.26</v>
      </c>
      <c r="AD2118" s="39" t="n">
        <f aca="false">Resumo!$B$14*CEILING(I2118,1)</f>
        <v>9.45</v>
      </c>
      <c r="AE2118" s="39" t="n">
        <f aca="false">SUM(X2118:AD2118)</f>
        <v>138.34237</v>
      </c>
      <c r="AF2118" s="39" t="n">
        <f aca="false">AE2118/(1-Resumo!$B$5)</f>
        <v>157.207238636364</v>
      </c>
      <c r="AG2118" s="39" t="n">
        <f aca="false">AF2118-W2118</f>
        <v>53.14665</v>
      </c>
      <c r="AH2118" s="40" t="n">
        <f aca="false">AF2118/W2118-1</f>
        <v>0.510727939332721</v>
      </c>
      <c r="AI2118" s="37" t="str">
        <f aca="false">IF(AF2118&lt;W2118,"SIM","NÃO")</f>
        <v>NÃO</v>
      </c>
      <c r="AJ2118" s="37" t="n">
        <v>13</v>
      </c>
      <c r="AK2118" s="37" t="n">
        <v>10</v>
      </c>
      <c r="AL2118" s="37" t="s">
        <v>347</v>
      </c>
      <c r="AM2118" s="39" t="n">
        <v>109.34</v>
      </c>
    </row>
    <row r="2119" customFormat="false" ht="15" hidden="false" customHeight="false" outlineLevel="0" collapsed="false">
      <c r="A2119" s="37" t="n">
        <v>399393931</v>
      </c>
      <c r="B2119" s="38" t="n">
        <v>46290.7527546296</v>
      </c>
      <c r="C2119" s="37" t="s">
        <v>372</v>
      </c>
      <c r="D2119" s="37" t="s">
        <v>2227</v>
      </c>
      <c r="E2119" s="37" t="n">
        <v>22061010</v>
      </c>
      <c r="F2119" s="37" t="s">
        <v>159</v>
      </c>
      <c r="G2119" s="37" t="s">
        <v>196</v>
      </c>
      <c r="H2119" s="37" t="s">
        <v>185</v>
      </c>
      <c r="I2119" s="37" t="n">
        <v>36.9</v>
      </c>
      <c r="J2119" s="39" t="n">
        <v>439.99</v>
      </c>
      <c r="K2119" s="37" t="s">
        <v>342</v>
      </c>
      <c r="L2119" s="39" t="n">
        <v>91.97</v>
      </c>
      <c r="M2119" s="39" t="n">
        <v>48.35</v>
      </c>
      <c r="N2119" s="39" t="n">
        <f aca="false">J2119*Resumo!$C$6</f>
        <v>0</v>
      </c>
      <c r="O2119" s="39" t="n">
        <f aca="false">J2119*Resumo!$C$7</f>
        <v>0.923979</v>
      </c>
      <c r="P2119" s="39" t="n">
        <f aca="false">J2119*Resumo!$C$8</f>
        <v>0.923979</v>
      </c>
      <c r="Q2119" s="39" t="n">
        <f aca="false">Resumo!$C$10*CEILING(I2119/100,1)</f>
        <v>1.05</v>
      </c>
      <c r="R2119" s="39" t="n">
        <f aca="false">Resumo!$C$9</f>
        <v>0</v>
      </c>
      <c r="S2119" s="39" t="n">
        <f aca="false">Resumo!$C$13</f>
        <v>13.55</v>
      </c>
      <c r="T2119" s="39" t="n">
        <f aca="false">Resumo!$C$14*CEILING(I2119,1)</f>
        <v>16.65</v>
      </c>
      <c r="U2119" s="39" t="n">
        <f aca="false">SUM(M2119:T2119)*Resumo!$C$11</f>
        <v>0</v>
      </c>
      <c r="V2119" s="39" t="n">
        <f aca="false">SUM(M2119:U2119)</f>
        <v>81.447958</v>
      </c>
      <c r="W2119" s="39" t="n">
        <f aca="false">V2119/(1-Resumo!$C$5)</f>
        <v>92.5544977272728</v>
      </c>
      <c r="X2119" s="39" t="n">
        <v>93.97</v>
      </c>
      <c r="Y2119" s="39" t="n">
        <f aca="false">J2119*Resumo!$B$6</f>
        <v>0.43999</v>
      </c>
      <c r="Z2119" s="39" t="n">
        <f aca="false">J2119*Resumo!$B$7</f>
        <v>0.87998</v>
      </c>
      <c r="AA2119" s="39" t="n">
        <f aca="false">Resumo!$B$9</f>
        <v>1</v>
      </c>
      <c r="AB2119" s="39" t="n">
        <f aca="false">Resumo!$B$10*CEILING(I2119/100,1)</f>
        <v>4.5</v>
      </c>
      <c r="AC2119" s="39" t="n">
        <f aca="false">Resumo!$B$12*CEILING(I2119,1)</f>
        <v>2.22</v>
      </c>
      <c r="AD2119" s="39" t="n">
        <f aca="false">Resumo!$B$14*CEILING(I2119,1)</f>
        <v>16.65</v>
      </c>
      <c r="AE2119" s="39" t="n">
        <f aca="false">SUM(X2119:AD2119)</f>
        <v>119.65997</v>
      </c>
      <c r="AF2119" s="39" t="n">
        <f aca="false">AE2119/(1-Resumo!$B$5)</f>
        <v>135.977238636364</v>
      </c>
      <c r="AG2119" s="39" t="n">
        <f aca="false">AF2119-W2119</f>
        <v>43.4227409090909</v>
      </c>
      <c r="AH2119" s="40" t="n">
        <f aca="false">AF2119/W2119-1</f>
        <v>0.469158625192297</v>
      </c>
      <c r="AI2119" s="37" t="str">
        <f aca="false">IF(AF2119&lt;W2119,"SIM","NÃO")</f>
        <v>NÃO</v>
      </c>
      <c r="AJ2119" s="37" t="n">
        <v>2</v>
      </c>
      <c r="AK2119" s="37" t="n">
        <v>5</v>
      </c>
      <c r="AL2119" s="37" t="s">
        <v>343</v>
      </c>
      <c r="AM2119" s="39" t="n">
        <v>91.96</v>
      </c>
    </row>
    <row r="2120" customFormat="false" ht="15" hidden="false" customHeight="false" outlineLevel="0" collapsed="false">
      <c r="A2120" s="37" t="n">
        <v>399444144</v>
      </c>
      <c r="B2120" s="38" t="n">
        <v>46290.8568634259</v>
      </c>
      <c r="C2120" s="37" t="s">
        <v>537</v>
      </c>
      <c r="D2120" s="37" t="s">
        <v>2228</v>
      </c>
      <c r="E2120" s="37" t="n">
        <v>23914020</v>
      </c>
      <c r="F2120" s="37" t="s">
        <v>169</v>
      </c>
      <c r="G2120" s="37" t="s">
        <v>198</v>
      </c>
      <c r="H2120" s="37" t="s">
        <v>183</v>
      </c>
      <c r="I2120" s="37" t="n">
        <v>16.35</v>
      </c>
      <c r="J2120" s="39" t="n">
        <v>373.99</v>
      </c>
      <c r="K2120" s="37" t="s">
        <v>342</v>
      </c>
      <c r="L2120" s="39" t="n">
        <v>80.45</v>
      </c>
      <c r="M2120" s="39" t="n">
        <v>46.95</v>
      </c>
      <c r="N2120" s="39" t="n">
        <f aca="false">J2120*Resumo!$C$6</f>
        <v>0</v>
      </c>
      <c r="O2120" s="39" t="n">
        <f aca="false">J2120*Resumo!$C$7</f>
        <v>0.785379</v>
      </c>
      <c r="P2120" s="39" t="n">
        <f aca="false">J2120*Resumo!$C$8</f>
        <v>0.785379</v>
      </c>
      <c r="Q2120" s="39" t="n">
        <f aca="false">Resumo!$C$10*CEILING(I2120/100,1)</f>
        <v>1.05</v>
      </c>
      <c r="R2120" s="39" t="n">
        <f aca="false">Resumo!$C$9</f>
        <v>0</v>
      </c>
      <c r="S2120" s="39" t="n">
        <f aca="false">Resumo!$C$13</f>
        <v>13.55</v>
      </c>
      <c r="T2120" s="39" t="n">
        <f aca="false">Resumo!$C$14*CEILING(I2120,1)</f>
        <v>7.65</v>
      </c>
      <c r="U2120" s="39" t="n">
        <f aca="false">SUM(M2120:T2120)*Resumo!$C$11</f>
        <v>0</v>
      </c>
      <c r="V2120" s="39" t="n">
        <f aca="false">SUM(M2120:U2120)</f>
        <v>70.770758</v>
      </c>
      <c r="W2120" s="39" t="n">
        <f aca="false">V2120/(1-Resumo!$C$5)</f>
        <v>80.4213159090909</v>
      </c>
      <c r="X2120" s="39" t="n">
        <v>77.35</v>
      </c>
      <c r="Y2120" s="39" t="n">
        <f aca="false">J2120*Resumo!$B$6</f>
        <v>0.37399</v>
      </c>
      <c r="Z2120" s="39" t="n">
        <f aca="false">J2120*Resumo!$B$7</f>
        <v>0.74798</v>
      </c>
      <c r="AA2120" s="39" t="n">
        <f aca="false">Resumo!$B$9</f>
        <v>1</v>
      </c>
      <c r="AB2120" s="39" t="n">
        <f aca="false">Resumo!$B$10*CEILING(I2120/100,1)</f>
        <v>4.5</v>
      </c>
      <c r="AC2120" s="39" t="n">
        <f aca="false">Resumo!$B$12*CEILING(I2120,1)</f>
        <v>1.02</v>
      </c>
      <c r="AD2120" s="39" t="n">
        <f aca="false">Resumo!$B$14*CEILING(I2120,1)</f>
        <v>7.65</v>
      </c>
      <c r="AE2120" s="39" t="n">
        <f aca="false">SUM(X2120:AD2120)</f>
        <v>92.64197</v>
      </c>
      <c r="AF2120" s="39" t="n">
        <f aca="false">AE2120/(1-Resumo!$B$5)</f>
        <v>105.274965909091</v>
      </c>
      <c r="AG2120" s="39" t="n">
        <f aca="false">AF2120-W2120</f>
        <v>24.85365</v>
      </c>
      <c r="AH2120" s="40" t="n">
        <f aca="false">AF2120/W2120-1</f>
        <v>0.309043065498889</v>
      </c>
      <c r="AI2120" s="37" t="str">
        <f aca="false">IF(AF2120&lt;W2120,"SIM","NÃO")</f>
        <v>NÃO</v>
      </c>
      <c r="AJ2120" s="37" t="n">
        <v>13</v>
      </c>
      <c r="AK2120" s="37" t="n">
        <v>10</v>
      </c>
      <c r="AL2120" s="37" t="s">
        <v>343</v>
      </c>
      <c r="AM2120" s="39" t="n">
        <v>80.45</v>
      </c>
    </row>
    <row r="2121" customFormat="false" ht="15" hidden="false" customHeight="false" outlineLevel="0" collapsed="false">
      <c r="A2121" s="37" t="n">
        <v>399444155</v>
      </c>
      <c r="B2121" s="38" t="n">
        <v>46290.876099537</v>
      </c>
      <c r="C2121" s="37" t="s">
        <v>340</v>
      </c>
      <c r="D2121" s="37" t="s">
        <v>2229</v>
      </c>
      <c r="E2121" s="37" t="n">
        <v>25943521</v>
      </c>
      <c r="F2121" s="37" t="s">
        <v>234</v>
      </c>
      <c r="G2121" s="37" t="s">
        <v>198</v>
      </c>
      <c r="H2121" s="37" t="s">
        <v>187</v>
      </c>
      <c r="I2121" s="37" t="n">
        <v>52.3</v>
      </c>
      <c r="J2121" s="39" t="n">
        <v>625.99</v>
      </c>
      <c r="K2121" s="37" t="s">
        <v>342</v>
      </c>
      <c r="L2121" s="39" t="n">
        <v>142.67</v>
      </c>
      <c r="M2121" s="39" t="n">
        <v>83.58</v>
      </c>
      <c r="N2121" s="39" t="n">
        <f aca="false">J2121*Resumo!$C$6</f>
        <v>0</v>
      </c>
      <c r="O2121" s="39" t="n">
        <f aca="false">J2121*Resumo!$C$7</f>
        <v>1.314579</v>
      </c>
      <c r="P2121" s="39" t="n">
        <f aca="false">J2121*Resumo!$C$8</f>
        <v>1.314579</v>
      </c>
      <c r="Q2121" s="39" t="n">
        <f aca="false">Resumo!$C$10*CEILING(I2121/100,1)</f>
        <v>1.05</v>
      </c>
      <c r="R2121" s="39" t="n">
        <f aca="false">Resumo!$C$9</f>
        <v>0</v>
      </c>
      <c r="S2121" s="39" t="n">
        <f aca="false">Resumo!$C$13</f>
        <v>13.55</v>
      </c>
      <c r="T2121" s="39" t="n">
        <f aca="false">Resumo!$C$14*CEILING(I2121,1)</f>
        <v>23.85</v>
      </c>
      <c r="U2121" s="39" t="n">
        <f aca="false">SUM(M2121:T2121)*Resumo!$C$11</f>
        <v>0</v>
      </c>
      <c r="V2121" s="39" t="n">
        <f aca="false">SUM(M2121:U2121)</f>
        <v>124.659158</v>
      </c>
      <c r="W2121" s="39" t="n">
        <f aca="false">V2121/(1-Resumo!$C$5)</f>
        <v>141.658134090909</v>
      </c>
      <c r="X2121" s="39" t="n">
        <v>127.03</v>
      </c>
      <c r="Y2121" s="39" t="n">
        <f aca="false">J2121*Resumo!$B$6</f>
        <v>0.62599</v>
      </c>
      <c r="Z2121" s="39" t="n">
        <f aca="false">J2121*Resumo!$B$7</f>
        <v>1.25198</v>
      </c>
      <c r="AA2121" s="39" t="n">
        <f aca="false">Resumo!$B$9</f>
        <v>1</v>
      </c>
      <c r="AB2121" s="39" t="n">
        <f aca="false">Resumo!$B$10*CEILING(I2121/100,1)</f>
        <v>4.5</v>
      </c>
      <c r="AC2121" s="39" t="n">
        <f aca="false">Resumo!$B$12*CEILING(I2121,1)</f>
        <v>3.18</v>
      </c>
      <c r="AD2121" s="39" t="n">
        <f aca="false">Resumo!$B$14*CEILING(I2121,1)</f>
        <v>23.85</v>
      </c>
      <c r="AE2121" s="39" t="n">
        <f aca="false">SUM(X2121:AD2121)</f>
        <v>161.43797</v>
      </c>
      <c r="AF2121" s="39" t="n">
        <f aca="false">AE2121/(1-Resumo!$B$5)</f>
        <v>183.452238636364</v>
      </c>
      <c r="AG2121" s="39" t="n">
        <f aca="false">AF2121-W2121</f>
        <v>41.7941045454546</v>
      </c>
      <c r="AH2121" s="40" t="n">
        <f aca="false">AF2121/W2121-1</f>
        <v>0.295034978497128</v>
      </c>
      <c r="AI2121" s="37" t="str">
        <f aca="false">IF(AF2121&lt;W2121,"SIM","NÃO")</f>
        <v>NÃO</v>
      </c>
      <c r="AJ2121" s="37" t="n">
        <v>13</v>
      </c>
      <c r="AK2121" s="37" t="n">
        <v>6</v>
      </c>
      <c r="AL2121" s="37" t="s">
        <v>347</v>
      </c>
      <c r="AM2121" s="39" t="n">
        <v>142.67</v>
      </c>
    </row>
    <row r="2122" customFormat="false" ht="15" hidden="false" customHeight="false" outlineLevel="0" collapsed="false">
      <c r="A2122" s="37" t="n">
        <v>399459120</v>
      </c>
      <c r="B2122" s="38" t="n">
        <v>46290.915474537</v>
      </c>
      <c r="C2122" s="37" t="s">
        <v>340</v>
      </c>
      <c r="D2122" s="37" t="s">
        <v>2230</v>
      </c>
      <c r="E2122" s="37" t="n">
        <v>20730390</v>
      </c>
      <c r="F2122" s="37" t="s">
        <v>159</v>
      </c>
      <c r="G2122" s="37" t="s">
        <v>196</v>
      </c>
      <c r="H2122" s="37" t="s">
        <v>184</v>
      </c>
      <c r="I2122" s="37" t="n">
        <v>31</v>
      </c>
      <c r="J2122" s="39" t="n">
        <v>323.94</v>
      </c>
      <c r="K2122" s="37" t="s">
        <v>342</v>
      </c>
      <c r="L2122" s="39" t="n">
        <v>81.89</v>
      </c>
      <c r="M2122" s="39" t="n">
        <v>42.11</v>
      </c>
      <c r="N2122" s="39" t="n">
        <f aca="false">J2122*Resumo!$C$6</f>
        <v>0</v>
      </c>
      <c r="O2122" s="39" t="n">
        <f aca="false">J2122*Resumo!$C$7</f>
        <v>0.680274</v>
      </c>
      <c r="P2122" s="39" t="n">
        <f aca="false">J2122*Resumo!$C$8</f>
        <v>0.680274</v>
      </c>
      <c r="Q2122" s="39" t="n">
        <f aca="false">Resumo!$C$10*CEILING(I2122/100,1)</f>
        <v>1.05</v>
      </c>
      <c r="R2122" s="39" t="n">
        <f aca="false">Resumo!$C$9</f>
        <v>0</v>
      </c>
      <c r="S2122" s="39" t="n">
        <f aca="false">Resumo!$C$13</f>
        <v>13.55</v>
      </c>
      <c r="T2122" s="39" t="n">
        <f aca="false">Resumo!$C$14*CEILING(I2122,1)</f>
        <v>13.95</v>
      </c>
      <c r="U2122" s="39" t="n">
        <f aca="false">SUM(M2122:T2122)*Resumo!$C$11</f>
        <v>0</v>
      </c>
      <c r="V2122" s="39" t="n">
        <f aca="false">SUM(M2122:U2122)</f>
        <v>72.020548</v>
      </c>
      <c r="W2122" s="39" t="n">
        <f aca="false">V2122/(1-Resumo!$C$5)</f>
        <v>81.8415318181818</v>
      </c>
      <c r="X2122" s="39" t="n">
        <v>82.21</v>
      </c>
      <c r="Y2122" s="39" t="n">
        <f aca="false">J2122*Resumo!$B$6</f>
        <v>0.32394</v>
      </c>
      <c r="Z2122" s="39" t="n">
        <f aca="false">J2122*Resumo!$B$7</f>
        <v>0.64788</v>
      </c>
      <c r="AA2122" s="39" t="n">
        <f aca="false">Resumo!$B$9</f>
        <v>1</v>
      </c>
      <c r="AB2122" s="39" t="n">
        <f aca="false">Resumo!$B$10*CEILING(I2122/100,1)</f>
        <v>4.5</v>
      </c>
      <c r="AC2122" s="39" t="n">
        <f aca="false">Resumo!$B$12*CEILING(I2122,1)</f>
        <v>1.86</v>
      </c>
      <c r="AD2122" s="39" t="n">
        <f aca="false">Resumo!$B$14*CEILING(I2122,1)</f>
        <v>13.95</v>
      </c>
      <c r="AE2122" s="39" t="n">
        <f aca="false">SUM(X2122:AD2122)</f>
        <v>104.49182</v>
      </c>
      <c r="AF2122" s="39" t="n">
        <f aca="false">AE2122/(1-Resumo!$B$5)</f>
        <v>118.740704545455</v>
      </c>
      <c r="AG2122" s="39" t="n">
        <f aca="false">AF2122-W2122</f>
        <v>36.8991727272727</v>
      </c>
      <c r="AH2122" s="40" t="n">
        <f aca="false">AF2122/W2122-1</f>
        <v>0.45086121810681</v>
      </c>
      <c r="AI2122" s="37" t="str">
        <f aca="false">IF(AF2122&lt;W2122,"SIM","NÃO")</f>
        <v>NÃO</v>
      </c>
      <c r="AJ2122" s="37" t="n">
        <v>2</v>
      </c>
      <c r="AK2122" s="37" t="n">
        <v>5</v>
      </c>
      <c r="AL2122" s="37" t="s">
        <v>343</v>
      </c>
      <c r="AM2122" s="39" t="n">
        <v>81.88</v>
      </c>
    </row>
    <row r="2123" customFormat="false" ht="15" hidden="false" customHeight="false" outlineLevel="0" collapsed="false">
      <c r="A2123" s="37" t="n">
        <v>399480351</v>
      </c>
      <c r="B2123" s="38" t="n">
        <v>46290.9593981481</v>
      </c>
      <c r="C2123" s="37" t="s">
        <v>345</v>
      </c>
      <c r="D2123" s="37" t="s">
        <v>2231</v>
      </c>
      <c r="E2123" s="37" t="n">
        <v>22221010</v>
      </c>
      <c r="F2123" s="37" t="s">
        <v>159</v>
      </c>
      <c r="G2123" s="37" t="s">
        <v>196</v>
      </c>
      <c r="H2123" s="37" t="s">
        <v>192</v>
      </c>
      <c r="I2123" s="37" t="n">
        <v>134.4</v>
      </c>
      <c r="J2123" s="39" t="n">
        <v>1505.79</v>
      </c>
      <c r="K2123" s="37" t="s">
        <v>342</v>
      </c>
      <c r="L2123" s="39" t="n">
        <v>233.5</v>
      </c>
      <c r="M2123" s="39" t="n">
        <v>120.59</v>
      </c>
      <c r="N2123" s="39" t="n">
        <f aca="false">J2123*Resumo!$C$6</f>
        <v>0</v>
      </c>
      <c r="O2123" s="39" t="n">
        <f aca="false">J2123*Resumo!$C$7</f>
        <v>3.162159</v>
      </c>
      <c r="P2123" s="39" t="n">
        <f aca="false">J2123*Resumo!$C$8</f>
        <v>3.162159</v>
      </c>
      <c r="Q2123" s="39" t="n">
        <f aca="false">Resumo!$C$10*CEILING(I2123/100,1)</f>
        <v>2.1</v>
      </c>
      <c r="R2123" s="39" t="n">
        <f aca="false">Resumo!$C$9</f>
        <v>0</v>
      </c>
      <c r="S2123" s="39" t="n">
        <f aca="false">Resumo!$C$13</f>
        <v>13.55</v>
      </c>
      <c r="T2123" s="39" t="n">
        <f aca="false">Resumo!$C$14*CEILING(I2123,1)</f>
        <v>60.75</v>
      </c>
      <c r="U2123" s="39" t="n">
        <f aca="false">SUM(M2123:T2123)*Resumo!$C$11</f>
        <v>0</v>
      </c>
      <c r="V2123" s="39" t="n">
        <f aca="false">SUM(M2123:U2123)</f>
        <v>203.314318</v>
      </c>
      <c r="W2123" s="39" t="n">
        <f aca="false">V2123/(1-Resumo!$C$5)</f>
        <v>231.038997727273</v>
      </c>
      <c r="X2123" s="39" t="n">
        <v>239.25</v>
      </c>
      <c r="Y2123" s="39" t="n">
        <f aca="false">J2123*Resumo!$B$6</f>
        <v>1.50579</v>
      </c>
      <c r="Z2123" s="39" t="n">
        <f aca="false">J2123*Resumo!$B$7</f>
        <v>3.01158</v>
      </c>
      <c r="AA2123" s="39" t="n">
        <f aca="false">Resumo!$B$9</f>
        <v>1</v>
      </c>
      <c r="AB2123" s="39" t="n">
        <f aca="false">Resumo!$B$10*CEILING(I2123/100,1)</f>
        <v>9</v>
      </c>
      <c r="AC2123" s="39" t="n">
        <f aca="false">Resumo!$B$12*CEILING(I2123,1)</f>
        <v>8.1</v>
      </c>
      <c r="AD2123" s="39" t="n">
        <f aca="false">Resumo!$B$14*CEILING(I2123,1)</f>
        <v>60.75</v>
      </c>
      <c r="AE2123" s="39" t="n">
        <f aca="false">SUM(X2123:AD2123)</f>
        <v>322.61737</v>
      </c>
      <c r="AF2123" s="39" t="n">
        <f aca="false">AE2123/(1-Resumo!$B$5)</f>
        <v>366.610647727273</v>
      </c>
      <c r="AG2123" s="39" t="n">
        <f aca="false">AF2123-W2123</f>
        <v>135.57165</v>
      </c>
      <c r="AH2123" s="40" t="n">
        <f aca="false">AF2123/W2123-1</f>
        <v>0.586791196869863</v>
      </c>
      <c r="AI2123" s="37" t="str">
        <f aca="false">IF(AF2123&lt;W2123,"SIM","NÃO")</f>
        <v>NÃO</v>
      </c>
      <c r="AJ2123" s="37" t="n">
        <v>2</v>
      </c>
      <c r="AK2123" s="37" t="n">
        <v>5</v>
      </c>
      <c r="AL2123" s="37" t="s">
        <v>343</v>
      </c>
      <c r="AM2123" s="39" t="n">
        <v>233.51</v>
      </c>
    </row>
    <row r="2124" customFormat="false" ht="15" hidden="false" customHeight="false" outlineLevel="0" collapsed="false">
      <c r="A2124" s="37" t="n">
        <v>399494521</v>
      </c>
      <c r="B2124" s="38" t="n">
        <v>46291.0036689815</v>
      </c>
      <c r="C2124" s="37" t="s">
        <v>366</v>
      </c>
      <c r="D2124" s="37" t="s">
        <v>2232</v>
      </c>
      <c r="E2124" s="37" t="n">
        <v>26327210</v>
      </c>
      <c r="F2124" s="37" t="s">
        <v>236</v>
      </c>
      <c r="G2124" s="37" t="s">
        <v>197</v>
      </c>
      <c r="H2124" s="37" t="s">
        <v>186</v>
      </c>
      <c r="I2124" s="37" t="n">
        <v>48</v>
      </c>
      <c r="J2124" s="39" t="n">
        <v>999.99</v>
      </c>
      <c r="K2124" s="37" t="s">
        <v>342</v>
      </c>
      <c r="L2124" s="39" t="n">
        <v>118.86</v>
      </c>
      <c r="M2124" s="39" t="n">
        <v>65.36</v>
      </c>
      <c r="N2124" s="39" t="n">
        <f aca="false">J2124*Resumo!$C$6</f>
        <v>0</v>
      </c>
      <c r="O2124" s="39" t="n">
        <f aca="false">J2124*Resumo!$C$7</f>
        <v>2.099979</v>
      </c>
      <c r="P2124" s="39" t="n">
        <f aca="false">J2124*Resumo!$C$8</f>
        <v>2.099979</v>
      </c>
      <c r="Q2124" s="39" t="n">
        <f aca="false">Resumo!$C$10*CEILING(I2124/100,1)</f>
        <v>1.05</v>
      </c>
      <c r="R2124" s="39" t="n">
        <f aca="false">Resumo!$C$9</f>
        <v>0</v>
      </c>
      <c r="S2124" s="39" t="n">
        <f aca="false">Resumo!$C$13</f>
        <v>13.55</v>
      </c>
      <c r="T2124" s="39" t="n">
        <f aca="false">Resumo!$C$14*CEILING(I2124,1)</f>
        <v>21.6</v>
      </c>
      <c r="U2124" s="39" t="n">
        <f aca="false">SUM(M2124:T2124)*Resumo!$C$11</f>
        <v>0</v>
      </c>
      <c r="V2124" s="39" t="n">
        <f aca="false">SUM(M2124:U2124)</f>
        <v>105.759958</v>
      </c>
      <c r="W2124" s="39" t="n">
        <f aca="false">V2124/(1-Resumo!$C$5)</f>
        <v>120.181770454545</v>
      </c>
      <c r="X2124" s="39" t="n">
        <v>93.97</v>
      </c>
      <c r="Y2124" s="39" t="n">
        <f aca="false">J2124*Resumo!$B$6</f>
        <v>0.99999</v>
      </c>
      <c r="Z2124" s="39" t="n">
        <f aca="false">J2124*Resumo!$B$7</f>
        <v>1.99998</v>
      </c>
      <c r="AA2124" s="39" t="n">
        <f aca="false">Resumo!$B$9</f>
        <v>1</v>
      </c>
      <c r="AB2124" s="39" t="n">
        <f aca="false">Resumo!$B$10*CEILING(I2124/100,1)</f>
        <v>4.5</v>
      </c>
      <c r="AC2124" s="39" t="n">
        <f aca="false">Resumo!$B$12*CEILING(I2124,1)</f>
        <v>2.88</v>
      </c>
      <c r="AD2124" s="39" t="n">
        <f aca="false">Resumo!$B$14*CEILING(I2124,1)</f>
        <v>21.6</v>
      </c>
      <c r="AE2124" s="39" t="n">
        <f aca="false">SUM(X2124:AD2124)</f>
        <v>126.94997</v>
      </c>
      <c r="AF2124" s="39" t="n">
        <f aca="false">AE2124/(1-Resumo!$B$5)</f>
        <v>144.261329545455</v>
      </c>
      <c r="AG2124" s="39" t="n">
        <f aca="false">AF2124-W2124</f>
        <v>24.0795590909091</v>
      </c>
      <c r="AH2124" s="40" t="n">
        <f aca="false">AF2124/W2124-1</f>
        <v>0.200359497117047</v>
      </c>
      <c r="AI2124" s="37" t="str">
        <f aca="false">IF(AF2124&lt;W2124,"SIM","NÃO")</f>
        <v>NÃO</v>
      </c>
      <c r="AJ2124" s="37" t="n">
        <v>2</v>
      </c>
      <c r="AK2124" s="37" t="n">
        <v>5</v>
      </c>
      <c r="AL2124" s="37" t="s">
        <v>347</v>
      </c>
      <c r="AM2124" s="39" t="n">
        <v>118.87</v>
      </c>
    </row>
    <row r="2125" customFormat="false" ht="15" hidden="false" customHeight="false" outlineLevel="0" collapsed="false">
      <c r="A2125" s="37" t="n">
        <v>399497805</v>
      </c>
      <c r="B2125" s="38" t="n">
        <v>46291.0162962963</v>
      </c>
      <c r="C2125" s="37" t="s">
        <v>340</v>
      </c>
      <c r="D2125" s="37" t="s">
        <v>2233</v>
      </c>
      <c r="E2125" s="37" t="n">
        <v>23570510</v>
      </c>
      <c r="F2125" s="37" t="s">
        <v>159</v>
      </c>
      <c r="G2125" s="37" t="s">
        <v>196</v>
      </c>
      <c r="H2125" s="37" t="s">
        <v>184</v>
      </c>
      <c r="I2125" s="37" t="n">
        <v>35</v>
      </c>
      <c r="J2125" s="39" t="n">
        <v>459.99</v>
      </c>
      <c r="K2125" s="37" t="s">
        <v>342</v>
      </c>
      <c r="L2125" s="39" t="n">
        <v>82.53</v>
      </c>
      <c r="M2125" s="39" t="n">
        <v>42.11</v>
      </c>
      <c r="N2125" s="39" t="n">
        <f aca="false">J2125*Resumo!$C$6</f>
        <v>0</v>
      </c>
      <c r="O2125" s="39" t="n">
        <f aca="false">J2125*Resumo!$C$7</f>
        <v>0.965979</v>
      </c>
      <c r="P2125" s="39" t="n">
        <f aca="false">J2125*Resumo!$C$8</f>
        <v>0.965979</v>
      </c>
      <c r="Q2125" s="39" t="n">
        <f aca="false">Resumo!$C$10*CEILING(I2125/100,1)</f>
        <v>1.05</v>
      </c>
      <c r="R2125" s="39" t="n">
        <f aca="false">Resumo!$C$9</f>
        <v>0</v>
      </c>
      <c r="S2125" s="39" t="n">
        <f aca="false">Resumo!$C$13</f>
        <v>13.55</v>
      </c>
      <c r="T2125" s="39" t="n">
        <f aca="false">Resumo!$C$14*CEILING(I2125,1)</f>
        <v>15.75</v>
      </c>
      <c r="U2125" s="39" t="n">
        <f aca="false">SUM(M2125:T2125)*Resumo!$C$11</f>
        <v>0</v>
      </c>
      <c r="V2125" s="39" t="n">
        <f aca="false">SUM(M2125:U2125)</f>
        <v>74.391958</v>
      </c>
      <c r="W2125" s="39" t="n">
        <f aca="false">V2125/(1-Resumo!$C$5)</f>
        <v>84.5363159090909</v>
      </c>
      <c r="X2125" s="39" t="n">
        <v>82.21</v>
      </c>
      <c r="Y2125" s="39" t="n">
        <f aca="false">J2125*Resumo!$B$6</f>
        <v>0.45999</v>
      </c>
      <c r="Z2125" s="39" t="n">
        <f aca="false">J2125*Resumo!$B$7</f>
        <v>0.91998</v>
      </c>
      <c r="AA2125" s="39" t="n">
        <f aca="false">Resumo!$B$9</f>
        <v>1</v>
      </c>
      <c r="AB2125" s="39" t="n">
        <f aca="false">Resumo!$B$10*CEILING(I2125/100,1)</f>
        <v>4.5</v>
      </c>
      <c r="AC2125" s="39" t="n">
        <f aca="false">Resumo!$B$12*CEILING(I2125,1)</f>
        <v>2.1</v>
      </c>
      <c r="AD2125" s="39" t="n">
        <f aca="false">Resumo!$B$14*CEILING(I2125,1)</f>
        <v>15.75</v>
      </c>
      <c r="AE2125" s="39" t="n">
        <f aca="false">SUM(X2125:AD2125)</f>
        <v>106.93997</v>
      </c>
      <c r="AF2125" s="39" t="n">
        <f aca="false">AE2125/(1-Resumo!$B$5)</f>
        <v>121.522693181818</v>
      </c>
      <c r="AG2125" s="39" t="n">
        <f aca="false">AF2125-W2125</f>
        <v>36.9863772727273</v>
      </c>
      <c r="AH2125" s="40" t="n">
        <f aca="false">AF2125/W2125-1</f>
        <v>0.437520571780084</v>
      </c>
      <c r="AI2125" s="37" t="str">
        <f aca="false">IF(AF2125&lt;W2125,"SIM","NÃO")</f>
        <v>NÃO</v>
      </c>
      <c r="AJ2125" s="37" t="n">
        <v>2</v>
      </c>
      <c r="AK2125" s="37" t="n">
        <v>5</v>
      </c>
      <c r="AL2125" s="37" t="s">
        <v>343</v>
      </c>
      <c r="AM2125" s="39" t="n">
        <v>82.53</v>
      </c>
    </row>
    <row r="2126" customFormat="false" ht="15" hidden="false" customHeight="false" outlineLevel="0" collapsed="false">
      <c r="A2126" s="37" t="n">
        <v>399608782</v>
      </c>
      <c r="B2126" s="38" t="n">
        <v>46291.4297569445</v>
      </c>
      <c r="C2126" s="37" t="s">
        <v>340</v>
      </c>
      <c r="D2126" s="37" t="s">
        <v>2234</v>
      </c>
      <c r="E2126" s="37" t="n">
        <v>21044650</v>
      </c>
      <c r="F2126" s="37" t="s">
        <v>159</v>
      </c>
      <c r="G2126" s="37" t="s">
        <v>196</v>
      </c>
      <c r="H2126" s="37" t="s">
        <v>184</v>
      </c>
      <c r="I2126" s="37" t="n">
        <v>27</v>
      </c>
      <c r="J2126" s="39" t="n">
        <v>270.99</v>
      </c>
      <c r="K2126" s="37" t="s">
        <v>342</v>
      </c>
      <c r="L2126" s="39" t="n">
        <v>81.61</v>
      </c>
      <c r="M2126" s="39" t="n">
        <v>42.11</v>
      </c>
      <c r="N2126" s="39" t="n">
        <f aca="false">J2126*Resumo!$C$6</f>
        <v>0</v>
      </c>
      <c r="O2126" s="39" t="n">
        <f aca="false">J2126*Resumo!$C$7</f>
        <v>0.569079</v>
      </c>
      <c r="P2126" s="39" t="n">
        <f aca="false">J2126*Resumo!$C$8</f>
        <v>0.569079</v>
      </c>
      <c r="Q2126" s="39" t="n">
        <f aca="false">Resumo!$C$10*CEILING(I2126/100,1)</f>
        <v>1.05</v>
      </c>
      <c r="R2126" s="39" t="n">
        <f aca="false">Resumo!$C$9</f>
        <v>0</v>
      </c>
      <c r="S2126" s="39" t="n">
        <f aca="false">Resumo!$C$13</f>
        <v>13.55</v>
      </c>
      <c r="T2126" s="39" t="n">
        <f aca="false">Resumo!$C$14*CEILING(I2126,1)</f>
        <v>12.15</v>
      </c>
      <c r="U2126" s="39" t="n">
        <f aca="false">SUM(M2126:T2126)*Resumo!$C$11</f>
        <v>0</v>
      </c>
      <c r="V2126" s="39" t="n">
        <f aca="false">SUM(M2126:U2126)</f>
        <v>69.998158</v>
      </c>
      <c r="W2126" s="39" t="n">
        <f aca="false">V2126/(1-Resumo!$C$5)</f>
        <v>79.5433613636364</v>
      </c>
      <c r="X2126" s="39" t="n">
        <v>82.21</v>
      </c>
      <c r="Y2126" s="39" t="n">
        <f aca="false">J2126*Resumo!$B$6</f>
        <v>0.27099</v>
      </c>
      <c r="Z2126" s="39" t="n">
        <f aca="false">J2126*Resumo!$B$7</f>
        <v>0.54198</v>
      </c>
      <c r="AA2126" s="39" t="n">
        <f aca="false">Resumo!$B$9</f>
        <v>1</v>
      </c>
      <c r="AB2126" s="39" t="n">
        <f aca="false">Resumo!$B$10*CEILING(I2126/100,1)</f>
        <v>4.5</v>
      </c>
      <c r="AC2126" s="39" t="n">
        <f aca="false">Resumo!$B$12*CEILING(I2126,1)</f>
        <v>1.62</v>
      </c>
      <c r="AD2126" s="39" t="n">
        <f aca="false">Resumo!$B$14*CEILING(I2126,1)</f>
        <v>12.15</v>
      </c>
      <c r="AE2126" s="39" t="n">
        <f aca="false">SUM(X2126:AD2126)</f>
        <v>102.29297</v>
      </c>
      <c r="AF2126" s="39" t="n">
        <f aca="false">AE2126/(1-Resumo!$B$5)</f>
        <v>116.242011363636</v>
      </c>
      <c r="AG2126" s="39" t="n">
        <f aca="false">AF2126-W2126</f>
        <v>36.69865</v>
      </c>
      <c r="AH2126" s="40" t="n">
        <f aca="false">AF2126/W2126-1</f>
        <v>0.461366597675327</v>
      </c>
      <c r="AI2126" s="37" t="str">
        <f aca="false">IF(AF2126&lt;W2126,"SIM","NÃO")</f>
        <v>NÃO</v>
      </c>
      <c r="AJ2126" s="37" t="n">
        <v>2</v>
      </c>
      <c r="AK2126" s="37" t="n">
        <v>5</v>
      </c>
      <c r="AL2126" s="37" t="s">
        <v>343</v>
      </c>
      <c r="AM2126" s="39" t="n">
        <v>81.62</v>
      </c>
    </row>
    <row r="2127" customFormat="false" ht="15" hidden="false" customHeight="false" outlineLevel="0" collapsed="false">
      <c r="A2127" s="37" t="n">
        <v>399626447</v>
      </c>
      <c r="B2127" s="38" t="n">
        <v>46291.4722800926</v>
      </c>
      <c r="C2127" s="37" t="s">
        <v>340</v>
      </c>
      <c r="D2127" s="37" t="s">
        <v>2235</v>
      </c>
      <c r="E2127" s="37" t="n">
        <v>21930410</v>
      </c>
      <c r="F2127" s="37" t="s">
        <v>159</v>
      </c>
      <c r="G2127" s="37" t="s">
        <v>196</v>
      </c>
      <c r="H2127" s="37" t="s">
        <v>184</v>
      </c>
      <c r="I2127" s="37" t="n">
        <v>30.5</v>
      </c>
      <c r="J2127" s="39" t="n">
        <v>406.6</v>
      </c>
      <c r="K2127" s="37" t="s">
        <v>342</v>
      </c>
      <c r="L2127" s="39" t="n">
        <v>82.26</v>
      </c>
      <c r="M2127" s="39" t="n">
        <v>42.11</v>
      </c>
      <c r="N2127" s="39" t="n">
        <f aca="false">J2127*Resumo!$C$6</f>
        <v>0</v>
      </c>
      <c r="O2127" s="39" t="n">
        <f aca="false">J2127*Resumo!$C$7</f>
        <v>0.85386</v>
      </c>
      <c r="P2127" s="39" t="n">
        <f aca="false">J2127*Resumo!$C$8</f>
        <v>0.85386</v>
      </c>
      <c r="Q2127" s="39" t="n">
        <f aca="false">Resumo!$C$10*CEILING(I2127/100,1)</f>
        <v>1.05</v>
      </c>
      <c r="R2127" s="39" t="n">
        <f aca="false">Resumo!$C$9</f>
        <v>0</v>
      </c>
      <c r="S2127" s="39" t="n">
        <f aca="false">Resumo!$C$13</f>
        <v>13.55</v>
      </c>
      <c r="T2127" s="39" t="n">
        <f aca="false">Resumo!$C$14*CEILING(I2127,1)</f>
        <v>13.95</v>
      </c>
      <c r="U2127" s="39" t="n">
        <f aca="false">SUM(M2127:T2127)*Resumo!$C$11</f>
        <v>0</v>
      </c>
      <c r="V2127" s="39" t="n">
        <f aca="false">SUM(M2127:U2127)</f>
        <v>72.36772</v>
      </c>
      <c r="W2127" s="39" t="n">
        <f aca="false">V2127/(1-Resumo!$C$5)</f>
        <v>82.2360454545455</v>
      </c>
      <c r="X2127" s="39" t="n">
        <v>82.21</v>
      </c>
      <c r="Y2127" s="39" t="n">
        <f aca="false">J2127*Resumo!$B$6</f>
        <v>0.4066</v>
      </c>
      <c r="Z2127" s="39" t="n">
        <f aca="false">J2127*Resumo!$B$7</f>
        <v>0.8132</v>
      </c>
      <c r="AA2127" s="39" t="n">
        <f aca="false">Resumo!$B$9</f>
        <v>1</v>
      </c>
      <c r="AB2127" s="39" t="n">
        <f aca="false">Resumo!$B$10*CEILING(I2127/100,1)</f>
        <v>4.5</v>
      </c>
      <c r="AC2127" s="39" t="n">
        <f aca="false">Resumo!$B$12*CEILING(I2127,1)</f>
        <v>1.86</v>
      </c>
      <c r="AD2127" s="39" t="n">
        <f aca="false">Resumo!$B$14*CEILING(I2127,1)</f>
        <v>13.95</v>
      </c>
      <c r="AE2127" s="39" t="n">
        <f aca="false">SUM(X2127:AD2127)</f>
        <v>104.7398</v>
      </c>
      <c r="AF2127" s="39" t="n">
        <f aca="false">AE2127/(1-Resumo!$B$5)</f>
        <v>119.0225</v>
      </c>
      <c r="AG2127" s="39" t="n">
        <f aca="false">AF2127-W2127</f>
        <v>36.7864545454545</v>
      </c>
      <c r="AH2127" s="40" t="n">
        <f aca="false">AF2127/W2127-1</f>
        <v>0.447327620657387</v>
      </c>
      <c r="AI2127" s="37" t="str">
        <f aca="false">IF(AF2127&lt;W2127,"SIM","NÃO")</f>
        <v>NÃO</v>
      </c>
      <c r="AJ2127" s="37" t="n">
        <v>2</v>
      </c>
      <c r="AK2127" s="37" t="n">
        <v>5</v>
      </c>
      <c r="AL2127" s="37" t="s">
        <v>343</v>
      </c>
      <c r="AM2127" s="39" t="n">
        <v>82.27</v>
      </c>
    </row>
    <row r="2128" customFormat="false" ht="15" hidden="false" customHeight="false" outlineLevel="0" collapsed="false">
      <c r="A2128" s="37" t="n">
        <v>399647413</v>
      </c>
      <c r="B2128" s="38" t="n">
        <v>46291.4967361111</v>
      </c>
      <c r="C2128" s="37" t="s">
        <v>537</v>
      </c>
      <c r="D2128" s="37" t="s">
        <v>2236</v>
      </c>
      <c r="E2128" s="37" t="n">
        <v>24723190</v>
      </c>
      <c r="F2128" s="37" t="s">
        <v>160</v>
      </c>
      <c r="G2128" s="37" t="s">
        <v>197</v>
      </c>
      <c r="H2128" s="37" t="s">
        <v>186</v>
      </c>
      <c r="I2128" s="37" t="n">
        <v>48</v>
      </c>
      <c r="J2128" s="39" t="n">
        <v>859.99</v>
      </c>
      <c r="K2128" s="37" t="s">
        <v>342</v>
      </c>
      <c r="L2128" s="39" t="n">
        <v>118.19</v>
      </c>
      <c r="M2128" s="39" t="n">
        <v>65.36</v>
      </c>
      <c r="N2128" s="39" t="n">
        <f aca="false">J2128*Resumo!$C$6</f>
        <v>0</v>
      </c>
      <c r="O2128" s="39" t="n">
        <f aca="false">J2128*Resumo!$C$7</f>
        <v>1.805979</v>
      </c>
      <c r="P2128" s="39" t="n">
        <f aca="false">J2128*Resumo!$C$8</f>
        <v>1.805979</v>
      </c>
      <c r="Q2128" s="39" t="n">
        <f aca="false">Resumo!$C$10*CEILING(I2128/100,1)</f>
        <v>1.05</v>
      </c>
      <c r="R2128" s="39" t="n">
        <f aca="false">Resumo!$C$9</f>
        <v>0</v>
      </c>
      <c r="S2128" s="39" t="n">
        <f aca="false">Resumo!$C$13</f>
        <v>13.55</v>
      </c>
      <c r="T2128" s="39" t="n">
        <f aca="false">Resumo!$C$14*CEILING(I2128,1)</f>
        <v>21.6</v>
      </c>
      <c r="U2128" s="39" t="n">
        <f aca="false">SUM(M2128:T2128)*Resumo!$C$11</f>
        <v>0</v>
      </c>
      <c r="V2128" s="39" t="n">
        <f aca="false">SUM(M2128:U2128)</f>
        <v>105.171958</v>
      </c>
      <c r="W2128" s="39" t="n">
        <f aca="false">V2128/(1-Resumo!$C$5)</f>
        <v>119.513588636364</v>
      </c>
      <c r="X2128" s="39" t="n">
        <v>114.95</v>
      </c>
      <c r="Y2128" s="39" t="n">
        <f aca="false">J2128*Resumo!$B$6</f>
        <v>0.85999</v>
      </c>
      <c r="Z2128" s="39" t="n">
        <f aca="false">J2128*Resumo!$B$7</f>
        <v>1.71998</v>
      </c>
      <c r="AA2128" s="39" t="n">
        <f aca="false">Resumo!$B$9</f>
        <v>1</v>
      </c>
      <c r="AB2128" s="39" t="n">
        <f aca="false">Resumo!$B$10*CEILING(I2128/100,1)</f>
        <v>4.5</v>
      </c>
      <c r="AC2128" s="39" t="n">
        <f aca="false">Resumo!$B$12*CEILING(I2128,1)</f>
        <v>2.88</v>
      </c>
      <c r="AD2128" s="39" t="n">
        <f aca="false">Resumo!$B$14*CEILING(I2128,1)</f>
        <v>21.6</v>
      </c>
      <c r="AE2128" s="39" t="n">
        <f aca="false">SUM(X2128:AD2128)</f>
        <v>147.50997</v>
      </c>
      <c r="AF2128" s="39" t="n">
        <f aca="false">AE2128/(1-Resumo!$B$5)</f>
        <v>167.624965909091</v>
      </c>
      <c r="AG2128" s="39" t="n">
        <f aca="false">AF2128-W2128</f>
        <v>48.1113772727273</v>
      </c>
      <c r="AH2128" s="40" t="n">
        <f aca="false">AF2128/W2128-1</f>
        <v>0.402559891487425</v>
      </c>
      <c r="AI2128" s="37" t="str">
        <f aca="false">IF(AF2128&lt;W2128,"SIM","NÃO")</f>
        <v>NÃO</v>
      </c>
      <c r="AJ2128" s="37" t="n">
        <v>2</v>
      </c>
      <c r="AK2128" s="37" t="n">
        <v>7</v>
      </c>
      <c r="AL2128" s="37" t="s">
        <v>343</v>
      </c>
      <c r="AM2128" s="39" t="n">
        <v>118.2</v>
      </c>
    </row>
    <row r="2129" customFormat="false" ht="15" hidden="false" customHeight="false" outlineLevel="0" collapsed="false">
      <c r="A2129" s="37" t="n">
        <v>399648217</v>
      </c>
      <c r="B2129" s="38" t="n">
        <v>46291.5003472222</v>
      </c>
      <c r="C2129" s="37" t="s">
        <v>537</v>
      </c>
      <c r="D2129" s="37" t="s">
        <v>1799</v>
      </c>
      <c r="E2129" s="37" t="n">
        <v>23047530</v>
      </c>
      <c r="F2129" s="37" t="s">
        <v>159</v>
      </c>
      <c r="G2129" s="37" t="s">
        <v>196</v>
      </c>
      <c r="H2129" s="37" t="s">
        <v>184</v>
      </c>
      <c r="I2129" s="37" t="n">
        <v>27.6</v>
      </c>
      <c r="J2129" s="39" t="n">
        <v>535.49</v>
      </c>
      <c r="K2129" s="37" t="s">
        <v>342</v>
      </c>
      <c r="L2129" s="39" t="n">
        <v>82.89</v>
      </c>
      <c r="M2129" s="39" t="n">
        <v>42.11</v>
      </c>
      <c r="N2129" s="39" t="n">
        <f aca="false">J2129*Resumo!$C$6</f>
        <v>0</v>
      </c>
      <c r="O2129" s="39" t="n">
        <f aca="false">J2129*Resumo!$C$7</f>
        <v>1.124529</v>
      </c>
      <c r="P2129" s="39" t="n">
        <f aca="false">J2129*Resumo!$C$8</f>
        <v>1.124529</v>
      </c>
      <c r="Q2129" s="39" t="n">
        <f aca="false">Resumo!$C$10*CEILING(I2129/100,1)</f>
        <v>1.05</v>
      </c>
      <c r="R2129" s="39" t="n">
        <f aca="false">Resumo!$C$9</f>
        <v>0</v>
      </c>
      <c r="S2129" s="39" t="n">
        <f aca="false">Resumo!$C$13</f>
        <v>13.55</v>
      </c>
      <c r="T2129" s="39" t="n">
        <f aca="false">Resumo!$C$14*CEILING(I2129,1)</f>
        <v>12.6</v>
      </c>
      <c r="U2129" s="39" t="n">
        <f aca="false">SUM(M2129:T2129)*Resumo!$C$11</f>
        <v>0</v>
      </c>
      <c r="V2129" s="39" t="n">
        <f aca="false">SUM(M2129:U2129)</f>
        <v>71.559058</v>
      </c>
      <c r="W2129" s="39" t="n">
        <f aca="false">V2129/(1-Resumo!$C$5)</f>
        <v>81.3171113636364</v>
      </c>
      <c r="X2129" s="39" t="n">
        <v>82.21</v>
      </c>
      <c r="Y2129" s="39" t="n">
        <f aca="false">J2129*Resumo!$B$6</f>
        <v>0.53549</v>
      </c>
      <c r="Z2129" s="39" t="n">
        <f aca="false">J2129*Resumo!$B$7</f>
        <v>1.07098</v>
      </c>
      <c r="AA2129" s="39" t="n">
        <f aca="false">Resumo!$B$9</f>
        <v>1</v>
      </c>
      <c r="AB2129" s="39" t="n">
        <f aca="false">Resumo!$B$10*CEILING(I2129/100,1)</f>
        <v>4.5</v>
      </c>
      <c r="AC2129" s="39" t="n">
        <f aca="false">Resumo!$B$12*CEILING(I2129,1)</f>
        <v>1.68</v>
      </c>
      <c r="AD2129" s="39" t="n">
        <f aca="false">Resumo!$B$14*CEILING(I2129,1)</f>
        <v>12.6</v>
      </c>
      <c r="AE2129" s="39" t="n">
        <f aca="false">SUM(X2129:AD2129)</f>
        <v>103.59647</v>
      </c>
      <c r="AF2129" s="39" t="n">
        <f aca="false">AE2129/(1-Resumo!$B$5)</f>
        <v>117.723261363636</v>
      </c>
      <c r="AG2129" s="39" t="n">
        <f aca="false">AF2129-W2129</f>
        <v>36.40615</v>
      </c>
      <c r="AH2129" s="40" t="n">
        <f aca="false">AF2129/W2129-1</f>
        <v>0.447705893501281</v>
      </c>
      <c r="AI2129" s="37" t="str">
        <f aca="false">IF(AF2129&lt;W2129,"SIM","NÃO")</f>
        <v>NÃO</v>
      </c>
      <c r="AJ2129" s="37" t="n">
        <v>2</v>
      </c>
      <c r="AK2129" s="37" t="n">
        <v>5</v>
      </c>
      <c r="AL2129" s="37" t="s">
        <v>343</v>
      </c>
      <c r="AM2129" s="39" t="n">
        <v>82.89</v>
      </c>
    </row>
    <row r="2130" customFormat="false" ht="15" hidden="false" customHeight="false" outlineLevel="0" collapsed="false">
      <c r="A2130" s="37" t="n">
        <v>399653391</v>
      </c>
      <c r="B2130" s="38" t="n">
        <v>46291.5301273148</v>
      </c>
      <c r="C2130" s="37" t="s">
        <v>340</v>
      </c>
      <c r="D2130" s="37" t="s">
        <v>1053</v>
      </c>
      <c r="E2130" s="37" t="n">
        <v>21854002</v>
      </c>
      <c r="F2130" s="37" t="s">
        <v>159</v>
      </c>
      <c r="G2130" s="37" t="s">
        <v>196</v>
      </c>
      <c r="H2130" s="37" t="s">
        <v>186</v>
      </c>
      <c r="I2130" s="37" t="n">
        <v>48</v>
      </c>
      <c r="J2130" s="39" t="n">
        <v>828.99</v>
      </c>
      <c r="K2130" s="37" t="s">
        <v>342</v>
      </c>
      <c r="L2130" s="39" t="n">
        <v>104.57</v>
      </c>
      <c r="M2130" s="39" t="n">
        <v>53.55</v>
      </c>
      <c r="N2130" s="39" t="n">
        <f aca="false">J2130*Resumo!$C$6</f>
        <v>0</v>
      </c>
      <c r="O2130" s="39" t="n">
        <f aca="false">J2130*Resumo!$C$7</f>
        <v>1.740879</v>
      </c>
      <c r="P2130" s="39" t="n">
        <f aca="false">J2130*Resumo!$C$8</f>
        <v>1.740879</v>
      </c>
      <c r="Q2130" s="39" t="n">
        <f aca="false">Resumo!$C$10*CEILING(I2130/100,1)</f>
        <v>1.05</v>
      </c>
      <c r="R2130" s="39" t="n">
        <f aca="false">Resumo!$C$9</f>
        <v>0</v>
      </c>
      <c r="S2130" s="39" t="n">
        <f aca="false">Resumo!$C$13</f>
        <v>13.55</v>
      </c>
      <c r="T2130" s="39" t="n">
        <f aca="false">Resumo!$C$14*CEILING(I2130,1)</f>
        <v>21.6</v>
      </c>
      <c r="U2130" s="39" t="n">
        <f aca="false">SUM(M2130:T2130)*Resumo!$C$11</f>
        <v>0</v>
      </c>
      <c r="V2130" s="39" t="n">
        <f aca="false">SUM(M2130:U2130)</f>
        <v>93.231758</v>
      </c>
      <c r="W2130" s="39" t="n">
        <f aca="false">V2130/(1-Resumo!$C$5)</f>
        <v>105.945179545455</v>
      </c>
      <c r="X2130" s="39" t="n">
        <v>93.97</v>
      </c>
      <c r="Y2130" s="39" t="n">
        <f aca="false">J2130*Resumo!$B$6</f>
        <v>0.82899</v>
      </c>
      <c r="Z2130" s="39" t="n">
        <f aca="false">J2130*Resumo!$B$7</f>
        <v>1.65798</v>
      </c>
      <c r="AA2130" s="39" t="n">
        <f aca="false">Resumo!$B$9</f>
        <v>1</v>
      </c>
      <c r="AB2130" s="39" t="n">
        <f aca="false">Resumo!$B$10*CEILING(I2130/100,1)</f>
        <v>4.5</v>
      </c>
      <c r="AC2130" s="39" t="n">
        <f aca="false">Resumo!$B$12*CEILING(I2130,1)</f>
        <v>2.88</v>
      </c>
      <c r="AD2130" s="39" t="n">
        <f aca="false">Resumo!$B$14*CEILING(I2130,1)</f>
        <v>21.6</v>
      </c>
      <c r="AE2130" s="39" t="n">
        <f aca="false">SUM(X2130:AD2130)</f>
        <v>126.43697</v>
      </c>
      <c r="AF2130" s="39" t="n">
        <f aca="false">AE2130/(1-Resumo!$B$5)</f>
        <v>143.678375</v>
      </c>
      <c r="AG2130" s="39" t="n">
        <f aca="false">AF2130-W2130</f>
        <v>37.7331954545455</v>
      </c>
      <c r="AH2130" s="40" t="n">
        <f aca="false">AF2130/W2130-1</f>
        <v>0.356157737581222</v>
      </c>
      <c r="AI2130" s="37" t="str">
        <f aca="false">IF(AF2130&lt;W2130,"SIM","NÃO")</f>
        <v>NÃO</v>
      </c>
      <c r="AJ2130" s="37" t="n">
        <v>2</v>
      </c>
      <c r="AK2130" s="37" t="n">
        <v>5</v>
      </c>
      <c r="AL2130" s="37" t="s">
        <v>343</v>
      </c>
      <c r="AM2130" s="39" t="n">
        <v>104.56</v>
      </c>
    </row>
    <row r="2131" customFormat="false" ht="15" hidden="false" customHeight="false" outlineLevel="0" collapsed="false">
      <c r="A2131" s="37" t="n">
        <v>399663599</v>
      </c>
      <c r="B2131" s="38" t="n">
        <v>46291.5522685185</v>
      </c>
      <c r="C2131" s="37" t="s">
        <v>340</v>
      </c>
      <c r="D2131" s="37" t="s">
        <v>2237</v>
      </c>
      <c r="E2131" s="37" t="n">
        <v>24456060</v>
      </c>
      <c r="F2131" s="37" t="s">
        <v>160</v>
      </c>
      <c r="G2131" s="37" t="s">
        <v>197</v>
      </c>
      <c r="H2131" s="37" t="s">
        <v>183</v>
      </c>
      <c r="I2131" s="37" t="n">
        <v>15</v>
      </c>
      <c r="J2131" s="39" t="n">
        <v>249.99</v>
      </c>
      <c r="K2131" s="37" t="s">
        <v>342</v>
      </c>
      <c r="L2131" s="39" t="n">
        <v>75.03</v>
      </c>
      <c r="M2131" s="39" t="n">
        <v>42.72</v>
      </c>
      <c r="N2131" s="39" t="n">
        <f aca="false">J2131*Resumo!$C$6</f>
        <v>0</v>
      </c>
      <c r="O2131" s="39" t="n">
        <f aca="false">J2131*Resumo!$C$7</f>
        <v>0.524979</v>
      </c>
      <c r="P2131" s="39" t="n">
        <f aca="false">J2131*Resumo!$C$8</f>
        <v>0.524979</v>
      </c>
      <c r="Q2131" s="39" t="n">
        <f aca="false">Resumo!$C$10*CEILING(I2131/100,1)</f>
        <v>1.05</v>
      </c>
      <c r="R2131" s="39" t="n">
        <f aca="false">Resumo!$C$9</f>
        <v>0</v>
      </c>
      <c r="S2131" s="39" t="n">
        <f aca="false">Resumo!$C$13</f>
        <v>13.55</v>
      </c>
      <c r="T2131" s="39" t="n">
        <f aca="false">Resumo!$C$14*CEILING(I2131,1)</f>
        <v>6.75</v>
      </c>
      <c r="U2131" s="39" t="n">
        <f aca="false">SUM(M2131:T2131)*Resumo!$C$11</f>
        <v>0</v>
      </c>
      <c r="V2131" s="39" t="n">
        <f aca="false">SUM(M2131:U2131)</f>
        <v>65.119958</v>
      </c>
      <c r="W2131" s="39" t="n">
        <f aca="false">V2131/(1-Resumo!$C$5)</f>
        <v>73.9999522727273</v>
      </c>
      <c r="X2131" s="39" t="n">
        <v>57.47</v>
      </c>
      <c r="Y2131" s="39" t="n">
        <f aca="false">J2131*Resumo!$B$6</f>
        <v>0.24999</v>
      </c>
      <c r="Z2131" s="39" t="n">
        <f aca="false">J2131*Resumo!$B$7</f>
        <v>0.49998</v>
      </c>
      <c r="AA2131" s="39" t="n">
        <f aca="false">Resumo!$B$9</f>
        <v>1</v>
      </c>
      <c r="AB2131" s="39" t="n">
        <f aca="false">Resumo!$B$10*CEILING(I2131/100,1)</f>
        <v>4.5</v>
      </c>
      <c r="AC2131" s="39" t="n">
        <f aca="false">Resumo!$B$12*CEILING(I2131,1)</f>
        <v>0.9</v>
      </c>
      <c r="AD2131" s="39" t="n">
        <f aca="false">Resumo!$B$14*CEILING(I2131,1)</f>
        <v>6.75</v>
      </c>
      <c r="AE2131" s="39" t="n">
        <f aca="false">SUM(X2131:AD2131)</f>
        <v>71.36997</v>
      </c>
      <c r="AF2131" s="39" t="n">
        <f aca="false">AE2131/(1-Resumo!$B$5)</f>
        <v>81.1022386363636</v>
      </c>
      <c r="AG2131" s="39" t="n">
        <f aca="false">AF2131-W2131</f>
        <v>7.10228636363637</v>
      </c>
      <c r="AH2131" s="40" t="n">
        <f aca="false">AF2131/W2131-1</f>
        <v>0.0959769046534091</v>
      </c>
      <c r="AI2131" s="37" t="str">
        <f aca="false">IF(AF2131&lt;W2131,"SIM","NÃO")</f>
        <v>NÃO</v>
      </c>
      <c r="AJ2131" s="37" t="n">
        <v>2</v>
      </c>
      <c r="AK2131" s="37" t="n">
        <v>7</v>
      </c>
      <c r="AL2131" s="37" t="s">
        <v>343</v>
      </c>
      <c r="AM2131" s="39" t="n">
        <v>75.04</v>
      </c>
    </row>
    <row r="2132" customFormat="false" ht="15" hidden="false" customHeight="false" outlineLevel="0" collapsed="false">
      <c r="A2132" s="37" t="n">
        <v>399677587</v>
      </c>
      <c r="B2132" s="38" t="n">
        <v>46291.5828240741</v>
      </c>
      <c r="C2132" s="37" t="s">
        <v>372</v>
      </c>
      <c r="D2132" s="37" t="s">
        <v>2238</v>
      </c>
      <c r="E2132" s="37" t="n">
        <v>22241000</v>
      </c>
      <c r="F2132" s="37" t="s">
        <v>159</v>
      </c>
      <c r="G2132" s="37" t="s">
        <v>196</v>
      </c>
      <c r="H2132" s="37" t="s">
        <v>185</v>
      </c>
      <c r="I2132" s="37" t="n">
        <v>40</v>
      </c>
      <c r="J2132" s="39" t="n">
        <v>599.99</v>
      </c>
      <c r="K2132" s="37" t="s">
        <v>342</v>
      </c>
      <c r="L2132" s="39" t="n">
        <v>92.73</v>
      </c>
      <c r="M2132" s="39" t="n">
        <v>48.35</v>
      </c>
      <c r="N2132" s="39" t="n">
        <f aca="false">J2132*Resumo!$C$6</f>
        <v>0</v>
      </c>
      <c r="O2132" s="39" t="n">
        <f aca="false">J2132*Resumo!$C$7</f>
        <v>1.259979</v>
      </c>
      <c r="P2132" s="39" t="n">
        <f aca="false">J2132*Resumo!$C$8</f>
        <v>1.259979</v>
      </c>
      <c r="Q2132" s="39" t="n">
        <f aca="false">Resumo!$C$10*CEILING(I2132/100,1)</f>
        <v>1.05</v>
      </c>
      <c r="R2132" s="39" t="n">
        <f aca="false">Resumo!$C$9</f>
        <v>0</v>
      </c>
      <c r="S2132" s="39" t="n">
        <f aca="false">Resumo!$C$13</f>
        <v>13.55</v>
      </c>
      <c r="T2132" s="39" t="n">
        <f aca="false">Resumo!$C$14*CEILING(I2132,1)</f>
        <v>18</v>
      </c>
      <c r="U2132" s="39" t="n">
        <f aca="false">SUM(M2132:T2132)*Resumo!$C$11</f>
        <v>0</v>
      </c>
      <c r="V2132" s="39" t="n">
        <f aca="false">SUM(M2132:U2132)</f>
        <v>83.469958</v>
      </c>
      <c r="W2132" s="39" t="n">
        <f aca="false">V2132/(1-Resumo!$C$5)</f>
        <v>94.852225</v>
      </c>
      <c r="X2132" s="39" t="n">
        <v>93.97</v>
      </c>
      <c r="Y2132" s="39" t="n">
        <f aca="false">J2132*Resumo!$B$6</f>
        <v>0.59999</v>
      </c>
      <c r="Z2132" s="39" t="n">
        <f aca="false">J2132*Resumo!$B$7</f>
        <v>1.19998</v>
      </c>
      <c r="AA2132" s="39" t="n">
        <f aca="false">Resumo!$B$9</f>
        <v>1</v>
      </c>
      <c r="AB2132" s="39" t="n">
        <f aca="false">Resumo!$B$10*CEILING(I2132/100,1)</f>
        <v>4.5</v>
      </c>
      <c r="AC2132" s="39" t="n">
        <f aca="false">Resumo!$B$12*CEILING(I2132,1)</f>
        <v>2.4</v>
      </c>
      <c r="AD2132" s="39" t="n">
        <f aca="false">Resumo!$B$14*CEILING(I2132,1)</f>
        <v>18</v>
      </c>
      <c r="AE2132" s="39" t="n">
        <f aca="false">SUM(X2132:AD2132)</f>
        <v>121.66997</v>
      </c>
      <c r="AF2132" s="39" t="n">
        <f aca="false">AE2132/(1-Resumo!$B$5)</f>
        <v>138.261329545455</v>
      </c>
      <c r="AG2132" s="39" t="n">
        <f aca="false">AF2132-W2132</f>
        <v>43.4091045454545</v>
      </c>
      <c r="AH2132" s="40" t="n">
        <f aca="false">AF2132/W2132-1</f>
        <v>0.457649828936059</v>
      </c>
      <c r="AI2132" s="37" t="str">
        <f aca="false">IF(AF2132&lt;W2132,"SIM","NÃO")</f>
        <v>NÃO</v>
      </c>
      <c r="AJ2132" s="37" t="n">
        <v>2</v>
      </c>
      <c r="AK2132" s="37" t="n">
        <v>5</v>
      </c>
      <c r="AL2132" s="37" t="s">
        <v>343</v>
      </c>
      <c r="AM2132" s="39" t="n">
        <v>92.73</v>
      </c>
    </row>
    <row r="2133" customFormat="false" ht="15" hidden="false" customHeight="false" outlineLevel="0" collapsed="false">
      <c r="A2133" s="37" t="n">
        <v>399697333</v>
      </c>
      <c r="B2133" s="38" t="n">
        <v>46291.6246759259</v>
      </c>
      <c r="C2133" s="37" t="s">
        <v>345</v>
      </c>
      <c r="D2133" s="37" t="s">
        <v>2239</v>
      </c>
      <c r="E2133" s="37" t="n">
        <v>20261030</v>
      </c>
      <c r="F2133" s="37" t="s">
        <v>159</v>
      </c>
      <c r="G2133" s="37" t="s">
        <v>196</v>
      </c>
      <c r="H2133" s="37" t="s">
        <v>186</v>
      </c>
      <c r="I2133" s="37" t="n">
        <v>49.6</v>
      </c>
      <c r="J2133" s="39" t="n">
        <v>779.99</v>
      </c>
      <c r="K2133" s="37" t="s">
        <v>342</v>
      </c>
      <c r="L2133" s="39" t="n">
        <v>104.33</v>
      </c>
      <c r="M2133" s="39" t="n">
        <v>53.55</v>
      </c>
      <c r="N2133" s="39" t="n">
        <f aca="false">J2133*Resumo!$C$6</f>
        <v>0</v>
      </c>
      <c r="O2133" s="39" t="n">
        <f aca="false">J2133*Resumo!$C$7</f>
        <v>1.637979</v>
      </c>
      <c r="P2133" s="39" t="n">
        <f aca="false">J2133*Resumo!$C$8</f>
        <v>1.637979</v>
      </c>
      <c r="Q2133" s="39" t="n">
        <f aca="false">Resumo!$C$10*CEILING(I2133/100,1)</f>
        <v>1.05</v>
      </c>
      <c r="R2133" s="39" t="n">
        <f aca="false">Resumo!$C$9</f>
        <v>0</v>
      </c>
      <c r="S2133" s="39" t="n">
        <f aca="false">Resumo!$C$13</f>
        <v>13.55</v>
      </c>
      <c r="T2133" s="39" t="n">
        <f aca="false">Resumo!$C$14*CEILING(I2133,1)</f>
        <v>22.5</v>
      </c>
      <c r="U2133" s="39" t="n">
        <f aca="false">SUM(M2133:T2133)*Resumo!$C$11</f>
        <v>0</v>
      </c>
      <c r="V2133" s="39" t="n">
        <f aca="false">SUM(M2133:U2133)</f>
        <v>93.925958</v>
      </c>
      <c r="W2133" s="39" t="n">
        <f aca="false">V2133/(1-Resumo!$C$5)</f>
        <v>106.734043181818</v>
      </c>
      <c r="X2133" s="39" t="n">
        <v>93.97</v>
      </c>
      <c r="Y2133" s="39" t="n">
        <f aca="false">J2133*Resumo!$B$6</f>
        <v>0.77999</v>
      </c>
      <c r="Z2133" s="39" t="n">
        <f aca="false">J2133*Resumo!$B$7</f>
        <v>1.55998</v>
      </c>
      <c r="AA2133" s="39" t="n">
        <f aca="false">Resumo!$B$9</f>
        <v>1</v>
      </c>
      <c r="AB2133" s="39" t="n">
        <f aca="false">Resumo!$B$10*CEILING(I2133/100,1)</f>
        <v>4.5</v>
      </c>
      <c r="AC2133" s="39" t="n">
        <f aca="false">Resumo!$B$12*CEILING(I2133,1)</f>
        <v>3</v>
      </c>
      <c r="AD2133" s="39" t="n">
        <f aca="false">Resumo!$B$14*CEILING(I2133,1)</f>
        <v>22.5</v>
      </c>
      <c r="AE2133" s="39" t="n">
        <f aca="false">SUM(X2133:AD2133)</f>
        <v>127.30997</v>
      </c>
      <c r="AF2133" s="39" t="n">
        <f aca="false">AE2133/(1-Resumo!$B$5)</f>
        <v>144.670420454545</v>
      </c>
      <c r="AG2133" s="39" t="n">
        <f aca="false">AF2133-W2133</f>
        <v>37.9363772727273</v>
      </c>
      <c r="AH2133" s="40" t="n">
        <f aca="false">AF2133/W2133-1</f>
        <v>0.355429028469425</v>
      </c>
      <c r="AI2133" s="37" t="str">
        <f aca="false">IF(AF2133&lt;W2133,"SIM","NÃO")</f>
        <v>NÃO</v>
      </c>
      <c r="AJ2133" s="37" t="n">
        <v>2</v>
      </c>
      <c r="AK2133" s="37" t="n">
        <v>5</v>
      </c>
      <c r="AL2133" s="37" t="s">
        <v>343</v>
      </c>
      <c r="AM2133" s="39" t="n">
        <v>104.33</v>
      </c>
    </row>
    <row r="2134" customFormat="false" ht="15" hidden="false" customHeight="false" outlineLevel="0" collapsed="false">
      <c r="A2134" s="37" t="n">
        <v>399709044</v>
      </c>
      <c r="B2134" s="38" t="n">
        <v>46291.6550694444</v>
      </c>
      <c r="C2134" s="37" t="s">
        <v>345</v>
      </c>
      <c r="D2134" s="37" t="s">
        <v>2240</v>
      </c>
      <c r="E2134" s="37" t="n">
        <v>28013602</v>
      </c>
      <c r="F2134" s="37" t="s">
        <v>164</v>
      </c>
      <c r="G2134" s="37" t="s">
        <v>198</v>
      </c>
      <c r="H2134" s="37" t="s">
        <v>185</v>
      </c>
      <c r="I2134" s="37" t="n">
        <v>36</v>
      </c>
      <c r="J2134" s="39" t="n">
        <v>383</v>
      </c>
      <c r="K2134" s="37" t="s">
        <v>342</v>
      </c>
      <c r="L2134" s="39" t="n">
        <v>122.09</v>
      </c>
      <c r="M2134" s="39" t="n">
        <v>74.97</v>
      </c>
      <c r="N2134" s="39" t="n">
        <f aca="false">J2134*Resumo!$C$6</f>
        <v>0</v>
      </c>
      <c r="O2134" s="39" t="n">
        <f aca="false">J2134*Resumo!$C$7</f>
        <v>0.8043</v>
      </c>
      <c r="P2134" s="39" t="n">
        <f aca="false">J2134*Resumo!$C$8</f>
        <v>0.8043</v>
      </c>
      <c r="Q2134" s="39" t="n">
        <f aca="false">Resumo!$C$10*CEILING(I2134/100,1)</f>
        <v>1.05</v>
      </c>
      <c r="R2134" s="39" t="n">
        <f aca="false">Resumo!$C$9</f>
        <v>0</v>
      </c>
      <c r="S2134" s="39" t="n">
        <f aca="false">Resumo!$C$13</f>
        <v>13.55</v>
      </c>
      <c r="T2134" s="39" t="n">
        <f aca="false">Resumo!$C$14*CEILING(I2134,1)</f>
        <v>16.2</v>
      </c>
      <c r="U2134" s="39" t="n">
        <f aca="false">SUM(M2134:T2134)*Resumo!$C$11</f>
        <v>0</v>
      </c>
      <c r="V2134" s="39" t="n">
        <f aca="false">SUM(M2134:U2134)</f>
        <v>107.3786</v>
      </c>
      <c r="W2134" s="39" t="n">
        <f aca="false">V2134/(1-Resumo!$C$5)</f>
        <v>122.021136363636</v>
      </c>
      <c r="X2134" s="39" t="n">
        <v>143.04</v>
      </c>
      <c r="Y2134" s="39" t="n">
        <f aca="false">J2134*Resumo!$B$6</f>
        <v>0.383</v>
      </c>
      <c r="Z2134" s="39" t="n">
        <f aca="false">J2134*Resumo!$B$7</f>
        <v>0.766</v>
      </c>
      <c r="AA2134" s="39" t="n">
        <f aca="false">Resumo!$B$9</f>
        <v>1</v>
      </c>
      <c r="AB2134" s="39" t="n">
        <f aca="false">Resumo!$B$10*CEILING(I2134/100,1)</f>
        <v>4.5</v>
      </c>
      <c r="AC2134" s="39" t="n">
        <f aca="false">Resumo!$B$12*CEILING(I2134,1)</f>
        <v>2.16</v>
      </c>
      <c r="AD2134" s="39" t="n">
        <f aca="false">Resumo!$B$14*CEILING(I2134,1)</f>
        <v>16.2</v>
      </c>
      <c r="AE2134" s="39" t="n">
        <f aca="false">SUM(X2134:AD2134)</f>
        <v>168.049</v>
      </c>
      <c r="AF2134" s="39" t="n">
        <f aca="false">AE2134/(1-Resumo!$B$5)</f>
        <v>190.964772727273</v>
      </c>
      <c r="AG2134" s="39" t="n">
        <f aca="false">AF2134-W2134</f>
        <v>68.9436363636363</v>
      </c>
      <c r="AH2134" s="40" t="n">
        <f aca="false">AF2134/W2134-1</f>
        <v>0.565013885448311</v>
      </c>
      <c r="AI2134" s="37" t="str">
        <f aca="false">IF(AF2134&lt;W2134,"SIM","NÃO")</f>
        <v>NÃO</v>
      </c>
      <c r="AJ2134" s="37" t="n">
        <v>13</v>
      </c>
      <c r="AK2134" s="37" t="n">
        <v>11</v>
      </c>
      <c r="AL2134" s="37" t="s">
        <v>343</v>
      </c>
      <c r="AM2134" s="39" t="n">
        <v>122.08</v>
      </c>
    </row>
    <row r="2135" customFormat="false" ht="15" hidden="false" customHeight="false" outlineLevel="0" collapsed="false">
      <c r="A2135" s="37" t="n">
        <v>399709578</v>
      </c>
      <c r="B2135" s="38" t="n">
        <v>46291.6562847222</v>
      </c>
      <c r="C2135" s="37" t="s">
        <v>345</v>
      </c>
      <c r="D2135" s="37" t="s">
        <v>2241</v>
      </c>
      <c r="E2135" s="37" t="n">
        <v>28897036</v>
      </c>
      <c r="F2135" s="37" t="s">
        <v>178</v>
      </c>
      <c r="G2135" s="37" t="s">
        <v>198</v>
      </c>
      <c r="H2135" s="37" t="s">
        <v>185</v>
      </c>
      <c r="I2135" s="37" t="n">
        <v>40</v>
      </c>
      <c r="J2135" s="39" t="n">
        <v>649.99</v>
      </c>
      <c r="K2135" s="37" t="s">
        <v>342</v>
      </c>
      <c r="L2135" s="39" t="n">
        <v>123.36</v>
      </c>
      <c r="M2135" s="39" t="n">
        <v>74.97</v>
      </c>
      <c r="N2135" s="39" t="n">
        <f aca="false">J2135*Resumo!$C$6</f>
        <v>0</v>
      </c>
      <c r="O2135" s="39" t="n">
        <f aca="false">J2135*Resumo!$C$7</f>
        <v>1.364979</v>
      </c>
      <c r="P2135" s="39" t="n">
        <f aca="false">J2135*Resumo!$C$8</f>
        <v>1.364979</v>
      </c>
      <c r="Q2135" s="39" t="n">
        <f aca="false">Resumo!$C$10*CEILING(I2135/100,1)</f>
        <v>1.05</v>
      </c>
      <c r="R2135" s="39" t="n">
        <f aca="false">Resumo!$C$9</f>
        <v>0</v>
      </c>
      <c r="S2135" s="39" t="n">
        <f aca="false">Resumo!$C$13</f>
        <v>13.55</v>
      </c>
      <c r="T2135" s="39" t="n">
        <f aca="false">Resumo!$C$14*CEILING(I2135,1)</f>
        <v>18</v>
      </c>
      <c r="U2135" s="39" t="n">
        <f aca="false">SUM(M2135:T2135)*Resumo!$C$11</f>
        <v>0</v>
      </c>
      <c r="V2135" s="39" t="n">
        <f aca="false">SUM(M2135:U2135)</f>
        <v>110.299958</v>
      </c>
      <c r="W2135" s="39" t="n">
        <f aca="false">V2135/(1-Resumo!$C$5)</f>
        <v>125.340861363636</v>
      </c>
      <c r="X2135" s="39" t="n">
        <v>124.38</v>
      </c>
      <c r="Y2135" s="39" t="n">
        <f aca="false">J2135*Resumo!$B$6</f>
        <v>0.64999</v>
      </c>
      <c r="Z2135" s="39" t="n">
        <f aca="false">J2135*Resumo!$B$7</f>
        <v>1.29998</v>
      </c>
      <c r="AA2135" s="39" t="n">
        <f aca="false">Resumo!$B$9</f>
        <v>1</v>
      </c>
      <c r="AB2135" s="39" t="n">
        <f aca="false">Resumo!$B$10*CEILING(I2135/100,1)</f>
        <v>4.5</v>
      </c>
      <c r="AC2135" s="39" t="n">
        <f aca="false">Resumo!$B$12*CEILING(I2135,1)</f>
        <v>2.4</v>
      </c>
      <c r="AD2135" s="39" t="n">
        <f aca="false">Resumo!$B$14*CEILING(I2135,1)</f>
        <v>18</v>
      </c>
      <c r="AE2135" s="39" t="n">
        <f aca="false">SUM(X2135:AD2135)</f>
        <v>152.22997</v>
      </c>
      <c r="AF2135" s="39" t="n">
        <f aca="false">AE2135/(1-Resumo!$B$5)</f>
        <v>172.988602272727</v>
      </c>
      <c r="AG2135" s="39" t="n">
        <f aca="false">AF2135-W2135</f>
        <v>47.6477409090909</v>
      </c>
      <c r="AH2135" s="40" t="n">
        <f aca="false">AF2135/W2135-1</f>
        <v>0.380145312476003</v>
      </c>
      <c r="AI2135" s="37" t="str">
        <f aca="false">IF(AF2135&lt;W2135,"SIM","NÃO")</f>
        <v>NÃO</v>
      </c>
      <c r="AJ2135" s="37" t="n">
        <v>13</v>
      </c>
      <c r="AK2135" s="37" t="n">
        <v>10</v>
      </c>
      <c r="AL2135" s="37" t="s">
        <v>343</v>
      </c>
      <c r="AM2135" s="39" t="n">
        <v>123.36</v>
      </c>
    </row>
    <row r="2136" customFormat="false" ht="15" hidden="false" customHeight="false" outlineLevel="0" collapsed="false">
      <c r="A2136" s="37" t="n">
        <v>399712769</v>
      </c>
      <c r="B2136" s="38" t="n">
        <v>46291.6652662037</v>
      </c>
      <c r="C2136" s="37" t="s">
        <v>340</v>
      </c>
      <c r="D2136" s="37" t="s">
        <v>2242</v>
      </c>
      <c r="E2136" s="37" t="n">
        <v>25953003</v>
      </c>
      <c r="F2136" s="37" t="s">
        <v>235</v>
      </c>
      <c r="G2136" s="37" t="s">
        <v>198</v>
      </c>
      <c r="H2136" s="37" t="s">
        <v>188</v>
      </c>
      <c r="I2136" s="37" t="n">
        <v>69.6</v>
      </c>
      <c r="J2136" s="39" t="n">
        <v>839.99</v>
      </c>
      <c r="K2136" s="37" t="s">
        <v>342</v>
      </c>
      <c r="L2136" s="39" t="n">
        <v>156.05</v>
      </c>
      <c r="M2136" s="39" t="n">
        <v>90.2</v>
      </c>
      <c r="N2136" s="39" t="n">
        <f aca="false">J2136*Resumo!$C$6</f>
        <v>0</v>
      </c>
      <c r="O2136" s="39" t="n">
        <f aca="false">J2136*Resumo!$C$7</f>
        <v>1.763979</v>
      </c>
      <c r="P2136" s="39" t="n">
        <f aca="false">J2136*Resumo!$C$8</f>
        <v>1.763979</v>
      </c>
      <c r="Q2136" s="39" t="n">
        <f aca="false">Resumo!$C$10*CEILING(I2136/100,1)</f>
        <v>1.05</v>
      </c>
      <c r="R2136" s="39" t="n">
        <f aca="false">Resumo!$C$9</f>
        <v>0</v>
      </c>
      <c r="S2136" s="39" t="n">
        <f aca="false">Resumo!$C$13</f>
        <v>13.55</v>
      </c>
      <c r="T2136" s="39" t="n">
        <f aca="false">Resumo!$C$14*CEILING(I2136,1)</f>
        <v>31.5</v>
      </c>
      <c r="U2136" s="39" t="n">
        <f aca="false">SUM(M2136:T2136)*Resumo!$C$11</f>
        <v>0</v>
      </c>
      <c r="V2136" s="39" t="n">
        <f aca="false">SUM(M2136:U2136)</f>
        <v>139.827958</v>
      </c>
      <c r="W2136" s="39" t="n">
        <f aca="false">V2136/(1-Resumo!$C$5)</f>
        <v>158.895406818182</v>
      </c>
      <c r="X2136" s="39" t="n">
        <v>166.05</v>
      </c>
      <c r="Y2136" s="39" t="n">
        <f aca="false">J2136*Resumo!$B$6</f>
        <v>0.83999</v>
      </c>
      <c r="Z2136" s="39" t="n">
        <f aca="false">J2136*Resumo!$B$7</f>
        <v>1.67998</v>
      </c>
      <c r="AA2136" s="39" t="n">
        <f aca="false">Resumo!$B$9</f>
        <v>1</v>
      </c>
      <c r="AB2136" s="39" t="n">
        <f aca="false">Resumo!$B$10*CEILING(I2136/100,1)</f>
        <v>4.5</v>
      </c>
      <c r="AC2136" s="39" t="n">
        <f aca="false">Resumo!$B$12*CEILING(I2136,1)</f>
        <v>4.2</v>
      </c>
      <c r="AD2136" s="39" t="n">
        <f aca="false">Resumo!$B$14*CEILING(I2136,1)</f>
        <v>31.5</v>
      </c>
      <c r="AE2136" s="39" t="n">
        <f aca="false">SUM(X2136:AD2136)</f>
        <v>209.76997</v>
      </c>
      <c r="AF2136" s="39" t="n">
        <f aca="false">AE2136/(1-Resumo!$B$5)</f>
        <v>238.374965909091</v>
      </c>
      <c r="AG2136" s="39" t="n">
        <f aca="false">AF2136-W2136</f>
        <v>79.4795590909091</v>
      </c>
      <c r="AH2136" s="40" t="n">
        <f aca="false">AF2136/W2136-1</f>
        <v>0.500200482080987</v>
      </c>
      <c r="AI2136" s="37" t="str">
        <f aca="false">IF(AF2136&lt;W2136,"SIM","NÃO")</f>
        <v>NÃO</v>
      </c>
      <c r="AJ2136" s="37" t="n">
        <v>13</v>
      </c>
      <c r="AK2136" s="37" t="n">
        <v>10</v>
      </c>
      <c r="AL2136" s="37" t="s">
        <v>347</v>
      </c>
      <c r="AM2136" s="39" t="n">
        <v>156.04</v>
      </c>
    </row>
    <row r="2137" customFormat="false" ht="15" hidden="false" customHeight="false" outlineLevel="0" collapsed="false">
      <c r="A2137" s="37" t="n">
        <v>399730709</v>
      </c>
      <c r="B2137" s="38" t="n">
        <v>46291.7109259259</v>
      </c>
      <c r="C2137" s="37" t="s">
        <v>372</v>
      </c>
      <c r="D2137" s="37" t="s">
        <v>2243</v>
      </c>
      <c r="E2137" s="37" t="n">
        <v>20771580</v>
      </c>
      <c r="F2137" s="37" t="s">
        <v>159</v>
      </c>
      <c r="G2137" s="37" t="s">
        <v>196</v>
      </c>
      <c r="H2137" s="37" t="s">
        <v>186</v>
      </c>
      <c r="I2137" s="37" t="n">
        <v>45.3</v>
      </c>
      <c r="J2137" s="39" t="n">
        <v>679.99</v>
      </c>
      <c r="K2137" s="37" t="s">
        <v>342</v>
      </c>
      <c r="L2137" s="39" t="n">
        <v>103.84</v>
      </c>
      <c r="M2137" s="39" t="n">
        <v>53.55</v>
      </c>
      <c r="N2137" s="39" t="n">
        <f aca="false">J2137*Resumo!$C$6</f>
        <v>0</v>
      </c>
      <c r="O2137" s="39" t="n">
        <f aca="false">J2137*Resumo!$C$7</f>
        <v>1.427979</v>
      </c>
      <c r="P2137" s="39" t="n">
        <f aca="false">J2137*Resumo!$C$8</f>
        <v>1.427979</v>
      </c>
      <c r="Q2137" s="39" t="n">
        <f aca="false">Resumo!$C$10*CEILING(I2137/100,1)</f>
        <v>1.05</v>
      </c>
      <c r="R2137" s="39" t="n">
        <f aca="false">Resumo!$C$9</f>
        <v>0</v>
      </c>
      <c r="S2137" s="39" t="n">
        <f aca="false">Resumo!$C$13</f>
        <v>13.55</v>
      </c>
      <c r="T2137" s="39" t="n">
        <f aca="false">Resumo!$C$14*CEILING(I2137,1)</f>
        <v>20.7</v>
      </c>
      <c r="U2137" s="39" t="n">
        <f aca="false">SUM(M2137:T2137)*Resumo!$C$11</f>
        <v>0</v>
      </c>
      <c r="V2137" s="39" t="n">
        <f aca="false">SUM(M2137:U2137)</f>
        <v>91.705958</v>
      </c>
      <c r="W2137" s="39" t="n">
        <f aca="false">V2137/(1-Resumo!$C$5)</f>
        <v>104.211315909091</v>
      </c>
      <c r="X2137" s="39" t="n">
        <v>93.97</v>
      </c>
      <c r="Y2137" s="39" t="n">
        <f aca="false">J2137*Resumo!$B$6</f>
        <v>0.67999</v>
      </c>
      <c r="Z2137" s="39" t="n">
        <f aca="false">J2137*Resumo!$B$7</f>
        <v>1.35998</v>
      </c>
      <c r="AA2137" s="39" t="n">
        <f aca="false">Resumo!$B$9</f>
        <v>1</v>
      </c>
      <c r="AB2137" s="39" t="n">
        <f aca="false">Resumo!$B$10*CEILING(I2137/100,1)</f>
        <v>4.5</v>
      </c>
      <c r="AC2137" s="39" t="n">
        <f aca="false">Resumo!$B$12*CEILING(I2137,1)</f>
        <v>2.76</v>
      </c>
      <c r="AD2137" s="39" t="n">
        <f aca="false">Resumo!$B$14*CEILING(I2137,1)</f>
        <v>20.7</v>
      </c>
      <c r="AE2137" s="39" t="n">
        <f aca="false">SUM(X2137:AD2137)</f>
        <v>124.96997</v>
      </c>
      <c r="AF2137" s="39" t="n">
        <f aca="false">AE2137/(1-Resumo!$B$5)</f>
        <v>142.011329545455</v>
      </c>
      <c r="AG2137" s="39" t="n">
        <f aca="false">AF2137-W2137</f>
        <v>37.8000136363636</v>
      </c>
      <c r="AH2137" s="40" t="n">
        <f aca="false">AF2137/W2137-1</f>
        <v>0.362724655250862</v>
      </c>
      <c r="AI2137" s="37" t="str">
        <f aca="false">IF(AF2137&lt;W2137,"SIM","NÃO")</f>
        <v>NÃO</v>
      </c>
      <c r="AJ2137" s="37" t="n">
        <v>2</v>
      </c>
      <c r="AK2137" s="37" t="n">
        <v>5</v>
      </c>
      <c r="AL2137" s="37" t="s">
        <v>343</v>
      </c>
      <c r="AM2137" s="39" t="n">
        <v>103.85</v>
      </c>
    </row>
    <row r="2138" customFormat="false" ht="15" hidden="false" customHeight="false" outlineLevel="0" collapsed="false">
      <c r="A2138" s="37" t="n">
        <v>399737121</v>
      </c>
      <c r="B2138" s="38" t="n">
        <v>46291.7183101852</v>
      </c>
      <c r="C2138" s="37" t="s">
        <v>340</v>
      </c>
      <c r="D2138" s="37" t="s">
        <v>652</v>
      </c>
      <c r="E2138" s="37" t="n">
        <v>23860000</v>
      </c>
      <c r="F2138" s="37" t="s">
        <v>219</v>
      </c>
      <c r="G2138" s="37" t="s">
        <v>198</v>
      </c>
      <c r="H2138" s="37" t="s">
        <v>187</v>
      </c>
      <c r="I2138" s="37" t="n">
        <v>52.3</v>
      </c>
      <c r="J2138" s="39" t="n">
        <v>653.04</v>
      </c>
      <c r="K2138" s="37" t="s">
        <v>342</v>
      </c>
      <c r="L2138" s="39" t="n">
        <v>142.81</v>
      </c>
      <c r="M2138" s="39" t="n">
        <v>83.58</v>
      </c>
      <c r="N2138" s="39" t="n">
        <f aca="false">J2138*Resumo!$C$6</f>
        <v>0</v>
      </c>
      <c r="O2138" s="39" t="n">
        <f aca="false">J2138*Resumo!$C$7</f>
        <v>1.371384</v>
      </c>
      <c r="P2138" s="39" t="n">
        <f aca="false">J2138*Resumo!$C$8</f>
        <v>1.371384</v>
      </c>
      <c r="Q2138" s="39" t="n">
        <f aca="false">Resumo!$C$10*CEILING(I2138/100,1)</f>
        <v>1.05</v>
      </c>
      <c r="R2138" s="39" t="n">
        <f aca="false">Resumo!$C$9</f>
        <v>0</v>
      </c>
      <c r="S2138" s="39" t="n">
        <f aca="false">Resumo!$C$13</f>
        <v>13.55</v>
      </c>
      <c r="T2138" s="39" t="n">
        <f aca="false">Resumo!$C$14*CEILING(I2138,1)</f>
        <v>23.85</v>
      </c>
      <c r="U2138" s="39" t="n">
        <f aca="false">SUM(M2138:T2138)*Resumo!$C$11</f>
        <v>0</v>
      </c>
      <c r="V2138" s="39" t="n">
        <f aca="false">SUM(M2138:U2138)</f>
        <v>124.772768</v>
      </c>
      <c r="W2138" s="39" t="n">
        <f aca="false">V2138/(1-Resumo!$C$5)</f>
        <v>141.787236363636</v>
      </c>
      <c r="X2138" s="39" t="n">
        <v>142.32</v>
      </c>
      <c r="Y2138" s="39" t="n">
        <f aca="false">J2138*Resumo!$B$6</f>
        <v>0.65304</v>
      </c>
      <c r="Z2138" s="39" t="n">
        <f aca="false">J2138*Resumo!$B$7</f>
        <v>1.30608</v>
      </c>
      <c r="AA2138" s="39" t="n">
        <f aca="false">Resumo!$B$9</f>
        <v>1</v>
      </c>
      <c r="AB2138" s="39" t="n">
        <f aca="false">Resumo!$B$10*CEILING(I2138/100,1)</f>
        <v>4.5</v>
      </c>
      <c r="AC2138" s="39" t="n">
        <f aca="false">Resumo!$B$12*CEILING(I2138,1)</f>
        <v>3.18</v>
      </c>
      <c r="AD2138" s="39" t="n">
        <f aca="false">Resumo!$B$14*CEILING(I2138,1)</f>
        <v>23.85</v>
      </c>
      <c r="AE2138" s="39" t="n">
        <f aca="false">SUM(X2138:AD2138)</f>
        <v>176.80912</v>
      </c>
      <c r="AF2138" s="39" t="n">
        <f aca="false">AE2138/(1-Resumo!$B$5)</f>
        <v>200.919454545455</v>
      </c>
      <c r="AG2138" s="39" t="n">
        <f aca="false">AF2138-W2138</f>
        <v>59.1322181818182</v>
      </c>
      <c r="AH2138" s="40" t="n">
        <f aca="false">AF2138/W2138-1</f>
        <v>0.417048950937756</v>
      </c>
      <c r="AI2138" s="37" t="str">
        <f aca="false">IF(AF2138&lt;W2138,"SIM","NÃO")</f>
        <v>NÃO</v>
      </c>
      <c r="AJ2138" s="37" t="n">
        <v>13</v>
      </c>
      <c r="AK2138" s="37" t="n">
        <v>10</v>
      </c>
      <c r="AL2138" s="37" t="s">
        <v>347</v>
      </c>
      <c r="AM2138" s="39" t="n">
        <v>142.8</v>
      </c>
    </row>
    <row r="2139" customFormat="false" ht="15" hidden="false" customHeight="false" outlineLevel="0" collapsed="false">
      <c r="A2139" s="37" t="n">
        <v>399762199</v>
      </c>
      <c r="B2139" s="38" t="n">
        <v>46291.7826967593</v>
      </c>
      <c r="C2139" s="37" t="s">
        <v>340</v>
      </c>
      <c r="D2139" s="37" t="s">
        <v>2244</v>
      </c>
      <c r="E2139" s="37" t="n">
        <v>24451001</v>
      </c>
      <c r="F2139" s="37" t="s">
        <v>160</v>
      </c>
      <c r="G2139" s="37" t="s">
        <v>197</v>
      </c>
      <c r="H2139" s="37" t="s">
        <v>187</v>
      </c>
      <c r="I2139" s="37" t="n">
        <v>52.3</v>
      </c>
      <c r="J2139" s="39" t="n">
        <v>636.83</v>
      </c>
      <c r="K2139" s="37" t="s">
        <v>342</v>
      </c>
      <c r="L2139" s="39" t="n">
        <v>128.33</v>
      </c>
      <c r="M2139" s="39" t="n">
        <v>70.98</v>
      </c>
      <c r="N2139" s="39" t="n">
        <f aca="false">J2139*Resumo!$C$6</f>
        <v>0</v>
      </c>
      <c r="O2139" s="39" t="n">
        <f aca="false">J2139*Resumo!$C$7</f>
        <v>1.337343</v>
      </c>
      <c r="P2139" s="39" t="n">
        <f aca="false">J2139*Resumo!$C$8</f>
        <v>1.337343</v>
      </c>
      <c r="Q2139" s="39" t="n">
        <f aca="false">Resumo!$C$10*CEILING(I2139/100,1)</f>
        <v>1.05</v>
      </c>
      <c r="R2139" s="39" t="n">
        <f aca="false">Resumo!$C$9</f>
        <v>0</v>
      </c>
      <c r="S2139" s="39" t="n">
        <f aca="false">Resumo!$C$13</f>
        <v>13.55</v>
      </c>
      <c r="T2139" s="39" t="n">
        <f aca="false">Resumo!$C$14*CEILING(I2139,1)</f>
        <v>23.85</v>
      </c>
      <c r="U2139" s="39" t="n">
        <f aca="false">SUM(M2139:T2139)*Resumo!$C$11</f>
        <v>0</v>
      </c>
      <c r="V2139" s="39" t="n">
        <f aca="false">SUM(M2139:U2139)</f>
        <v>112.104686</v>
      </c>
      <c r="W2139" s="39" t="n">
        <f aca="false">V2139/(1-Resumo!$C$5)</f>
        <v>127.391688636364</v>
      </c>
      <c r="X2139" s="39" t="n">
        <v>128.14</v>
      </c>
      <c r="Y2139" s="39" t="n">
        <f aca="false">J2139*Resumo!$B$6</f>
        <v>0.63683</v>
      </c>
      <c r="Z2139" s="39" t="n">
        <f aca="false">J2139*Resumo!$B$7</f>
        <v>1.27366</v>
      </c>
      <c r="AA2139" s="39" t="n">
        <f aca="false">Resumo!$B$9</f>
        <v>1</v>
      </c>
      <c r="AB2139" s="39" t="n">
        <f aca="false">Resumo!$B$10*CEILING(I2139/100,1)</f>
        <v>4.5</v>
      </c>
      <c r="AC2139" s="39" t="n">
        <f aca="false">Resumo!$B$12*CEILING(I2139,1)</f>
        <v>3.18</v>
      </c>
      <c r="AD2139" s="39" t="n">
        <f aca="false">Resumo!$B$14*CEILING(I2139,1)</f>
        <v>23.85</v>
      </c>
      <c r="AE2139" s="39" t="n">
        <f aca="false">SUM(X2139:AD2139)</f>
        <v>162.58049</v>
      </c>
      <c r="AF2139" s="39" t="n">
        <f aca="false">AE2139/(1-Resumo!$B$5)</f>
        <v>184.750556818182</v>
      </c>
      <c r="AG2139" s="39" t="n">
        <f aca="false">AF2139-W2139</f>
        <v>57.3588681818181</v>
      </c>
      <c r="AH2139" s="40" t="n">
        <f aca="false">AF2139/W2139-1</f>
        <v>0.450255968782607</v>
      </c>
      <c r="AI2139" s="37" t="str">
        <f aca="false">IF(AF2139&lt;W2139,"SIM","NÃO")</f>
        <v>NÃO</v>
      </c>
      <c r="AJ2139" s="37" t="n">
        <v>2</v>
      </c>
      <c r="AK2139" s="37" t="n">
        <v>7</v>
      </c>
      <c r="AL2139" s="37" t="s">
        <v>343</v>
      </c>
      <c r="AM2139" s="39" t="n">
        <v>128.34</v>
      </c>
    </row>
    <row r="2140" customFormat="false" ht="15" hidden="false" customHeight="false" outlineLevel="0" collapsed="false">
      <c r="A2140" s="37" t="n">
        <v>399784240</v>
      </c>
      <c r="B2140" s="38" t="n">
        <v>46291.8191550926</v>
      </c>
      <c r="C2140" s="37" t="s">
        <v>537</v>
      </c>
      <c r="D2140" s="37" t="s">
        <v>2245</v>
      </c>
      <c r="E2140" s="37" t="n">
        <v>22740050</v>
      </c>
      <c r="F2140" s="37" t="s">
        <v>159</v>
      </c>
      <c r="G2140" s="37" t="s">
        <v>196</v>
      </c>
      <c r="H2140" s="37" t="s">
        <v>186</v>
      </c>
      <c r="I2140" s="37" t="n">
        <v>41</v>
      </c>
      <c r="J2140" s="39" t="n">
        <v>499.79</v>
      </c>
      <c r="K2140" s="37" t="s">
        <v>342</v>
      </c>
      <c r="L2140" s="39" t="n">
        <v>102.98</v>
      </c>
      <c r="M2140" s="39" t="n">
        <v>53.55</v>
      </c>
      <c r="N2140" s="39" t="n">
        <f aca="false">J2140*Resumo!$C$6</f>
        <v>0</v>
      </c>
      <c r="O2140" s="39" t="n">
        <f aca="false">J2140*Resumo!$C$7</f>
        <v>1.049559</v>
      </c>
      <c r="P2140" s="39" t="n">
        <f aca="false">J2140*Resumo!$C$8</f>
        <v>1.049559</v>
      </c>
      <c r="Q2140" s="39" t="n">
        <f aca="false">Resumo!$C$10*CEILING(I2140/100,1)</f>
        <v>1.05</v>
      </c>
      <c r="R2140" s="39" t="n">
        <f aca="false">Resumo!$C$9</f>
        <v>0</v>
      </c>
      <c r="S2140" s="39" t="n">
        <f aca="false">Resumo!$C$13</f>
        <v>13.55</v>
      </c>
      <c r="T2140" s="39" t="n">
        <f aca="false">Resumo!$C$14*CEILING(I2140,1)</f>
        <v>18.45</v>
      </c>
      <c r="U2140" s="39" t="n">
        <f aca="false">SUM(M2140:T2140)*Resumo!$C$11</f>
        <v>0</v>
      </c>
      <c r="V2140" s="39" t="n">
        <f aca="false">SUM(M2140:U2140)</f>
        <v>88.699118</v>
      </c>
      <c r="W2140" s="39" t="n">
        <f aca="false">V2140/(1-Resumo!$C$5)</f>
        <v>100.794452272727</v>
      </c>
      <c r="X2140" s="39" t="n">
        <v>93.97</v>
      </c>
      <c r="Y2140" s="39" t="n">
        <f aca="false">J2140*Resumo!$B$6</f>
        <v>0.49979</v>
      </c>
      <c r="Z2140" s="39" t="n">
        <f aca="false">J2140*Resumo!$B$7</f>
        <v>0.99958</v>
      </c>
      <c r="AA2140" s="39" t="n">
        <f aca="false">Resumo!$B$9</f>
        <v>1</v>
      </c>
      <c r="AB2140" s="39" t="n">
        <f aca="false">Resumo!$B$10*CEILING(I2140/100,1)</f>
        <v>4.5</v>
      </c>
      <c r="AC2140" s="39" t="n">
        <f aca="false">Resumo!$B$12*CEILING(I2140,1)</f>
        <v>2.46</v>
      </c>
      <c r="AD2140" s="39" t="n">
        <f aca="false">Resumo!$B$14*CEILING(I2140,1)</f>
        <v>18.45</v>
      </c>
      <c r="AE2140" s="39" t="n">
        <f aca="false">SUM(X2140:AD2140)</f>
        <v>121.87937</v>
      </c>
      <c r="AF2140" s="39" t="n">
        <f aca="false">AE2140/(1-Resumo!$B$5)</f>
        <v>138.499284090909</v>
      </c>
      <c r="AG2140" s="39" t="n">
        <f aca="false">AF2140-W2140</f>
        <v>37.7048318181818</v>
      </c>
      <c r="AH2140" s="40" t="n">
        <f aca="false">AF2140/W2140-1</f>
        <v>0.374076459249572</v>
      </c>
      <c r="AI2140" s="37" t="str">
        <f aca="false">IF(AF2140&lt;W2140,"SIM","NÃO")</f>
        <v>NÃO</v>
      </c>
      <c r="AJ2140" s="37" t="n">
        <v>2</v>
      </c>
      <c r="AK2140" s="37" t="n">
        <v>5</v>
      </c>
      <c r="AL2140" s="37" t="s">
        <v>343</v>
      </c>
      <c r="AM2140" s="39" t="n">
        <v>102.98</v>
      </c>
    </row>
    <row r="2141" customFormat="false" ht="15" hidden="false" customHeight="false" outlineLevel="0" collapsed="false">
      <c r="A2141" s="37" t="n">
        <v>399786001</v>
      </c>
      <c r="B2141" s="38" t="n">
        <v>46291.8481597222</v>
      </c>
      <c r="C2141" s="37" t="s">
        <v>372</v>
      </c>
      <c r="D2141" s="37" t="s">
        <v>2246</v>
      </c>
      <c r="E2141" s="37" t="n">
        <v>26293552</v>
      </c>
      <c r="F2141" s="37" t="s">
        <v>162</v>
      </c>
      <c r="G2141" s="37" t="s">
        <v>197</v>
      </c>
      <c r="H2141" s="37" t="s">
        <v>186</v>
      </c>
      <c r="I2141" s="37" t="n">
        <v>48</v>
      </c>
      <c r="J2141" s="39" t="n">
        <v>1014.99</v>
      </c>
      <c r="K2141" s="37" t="s">
        <v>342</v>
      </c>
      <c r="L2141" s="39" t="n">
        <v>118.94</v>
      </c>
      <c r="M2141" s="39" t="n">
        <v>65.36</v>
      </c>
      <c r="N2141" s="39" t="n">
        <f aca="false">J2141*Resumo!$C$6</f>
        <v>0</v>
      </c>
      <c r="O2141" s="39" t="n">
        <f aca="false">J2141*Resumo!$C$7</f>
        <v>2.131479</v>
      </c>
      <c r="P2141" s="39" t="n">
        <f aca="false">J2141*Resumo!$C$8</f>
        <v>2.131479</v>
      </c>
      <c r="Q2141" s="39" t="n">
        <f aca="false">Resumo!$C$10*CEILING(I2141/100,1)</f>
        <v>1.05</v>
      </c>
      <c r="R2141" s="39" t="n">
        <f aca="false">Resumo!$C$9</f>
        <v>0</v>
      </c>
      <c r="S2141" s="39" t="n">
        <f aca="false">Resumo!$C$13</f>
        <v>13.55</v>
      </c>
      <c r="T2141" s="39" t="n">
        <f aca="false">Resumo!$C$14*CEILING(I2141,1)</f>
        <v>21.6</v>
      </c>
      <c r="U2141" s="39" t="n">
        <f aca="false">SUM(M2141:T2141)*Resumo!$C$11</f>
        <v>0</v>
      </c>
      <c r="V2141" s="39" t="n">
        <f aca="false">SUM(M2141:U2141)</f>
        <v>105.822958</v>
      </c>
      <c r="W2141" s="39" t="n">
        <f aca="false">V2141/(1-Resumo!$C$5)</f>
        <v>120.253361363636</v>
      </c>
      <c r="X2141" s="39" t="n">
        <v>93.97</v>
      </c>
      <c r="Y2141" s="39" t="n">
        <f aca="false">J2141*Resumo!$B$6</f>
        <v>1.01499</v>
      </c>
      <c r="Z2141" s="39" t="n">
        <f aca="false">J2141*Resumo!$B$7</f>
        <v>2.02998</v>
      </c>
      <c r="AA2141" s="39" t="n">
        <f aca="false">Resumo!$B$9</f>
        <v>1</v>
      </c>
      <c r="AB2141" s="39" t="n">
        <f aca="false">Resumo!$B$10*CEILING(I2141/100,1)</f>
        <v>4.5</v>
      </c>
      <c r="AC2141" s="39" t="n">
        <f aca="false">Resumo!$B$12*CEILING(I2141,1)</f>
        <v>2.88</v>
      </c>
      <c r="AD2141" s="39" t="n">
        <f aca="false">Resumo!$B$14*CEILING(I2141,1)</f>
        <v>21.6</v>
      </c>
      <c r="AE2141" s="39" t="n">
        <f aca="false">SUM(X2141:AD2141)</f>
        <v>126.99497</v>
      </c>
      <c r="AF2141" s="39" t="n">
        <f aca="false">AE2141/(1-Resumo!$B$5)</f>
        <v>144.312465909091</v>
      </c>
      <c r="AG2141" s="39" t="n">
        <f aca="false">AF2141-W2141</f>
        <v>24.0591045454545</v>
      </c>
      <c r="AH2141" s="40" t="n">
        <f aca="false">AF2141/W2141-1</f>
        <v>0.200070120890025</v>
      </c>
      <c r="AI2141" s="37" t="str">
        <f aca="false">IF(AF2141&lt;W2141,"SIM","NÃO")</f>
        <v>NÃO</v>
      </c>
      <c r="AJ2141" s="37" t="n">
        <v>2</v>
      </c>
      <c r="AK2141" s="37" t="n">
        <v>5</v>
      </c>
      <c r="AL2141" s="37" t="s">
        <v>343</v>
      </c>
      <c r="AM2141" s="39" t="n">
        <v>118.94</v>
      </c>
    </row>
    <row r="2142" customFormat="false" ht="15" hidden="false" customHeight="false" outlineLevel="0" collapsed="false">
      <c r="A2142" s="37" t="n">
        <v>399790345</v>
      </c>
      <c r="B2142" s="38" t="n">
        <v>46291.8579282407</v>
      </c>
      <c r="C2142" s="37" t="s">
        <v>340</v>
      </c>
      <c r="D2142" s="37" t="s">
        <v>2247</v>
      </c>
      <c r="E2142" s="37" t="n">
        <v>27525260</v>
      </c>
      <c r="F2142" s="37" t="s">
        <v>250</v>
      </c>
      <c r="G2142" s="37" t="s">
        <v>198</v>
      </c>
      <c r="H2142" s="37" t="s">
        <v>188</v>
      </c>
      <c r="I2142" s="37" t="n">
        <v>63</v>
      </c>
      <c r="J2142" s="39" t="n">
        <v>769.69</v>
      </c>
      <c r="K2142" s="37" t="s">
        <v>342</v>
      </c>
      <c r="L2142" s="39" t="n">
        <v>155.7</v>
      </c>
      <c r="M2142" s="39" t="n">
        <v>90.2</v>
      </c>
      <c r="N2142" s="39" t="n">
        <f aca="false">J2142*Resumo!$C$6</f>
        <v>0</v>
      </c>
      <c r="O2142" s="39" t="n">
        <f aca="false">J2142*Resumo!$C$7</f>
        <v>1.616349</v>
      </c>
      <c r="P2142" s="39" t="n">
        <f aca="false">J2142*Resumo!$C$8</f>
        <v>1.616349</v>
      </c>
      <c r="Q2142" s="39" t="n">
        <f aca="false">Resumo!$C$10*CEILING(I2142/100,1)</f>
        <v>1.05</v>
      </c>
      <c r="R2142" s="39" t="n">
        <f aca="false">Resumo!$C$9</f>
        <v>0</v>
      </c>
      <c r="S2142" s="39" t="n">
        <f aca="false">Resumo!$C$13</f>
        <v>13.55</v>
      </c>
      <c r="T2142" s="39" t="n">
        <f aca="false">Resumo!$C$14*CEILING(I2142,1)</f>
        <v>28.35</v>
      </c>
      <c r="U2142" s="39" t="n">
        <f aca="false">SUM(M2142:T2142)*Resumo!$C$11</f>
        <v>0</v>
      </c>
      <c r="V2142" s="39" t="n">
        <f aca="false">SUM(M2142:U2142)</f>
        <v>136.382698</v>
      </c>
      <c r="W2142" s="39" t="n">
        <f aca="false">V2142/(1-Resumo!$C$5)</f>
        <v>154.980338636364</v>
      </c>
      <c r="X2142" s="39" t="n">
        <v>166.05</v>
      </c>
      <c r="Y2142" s="39" t="n">
        <f aca="false">J2142*Resumo!$B$6</f>
        <v>0.76969</v>
      </c>
      <c r="Z2142" s="39" t="n">
        <f aca="false">J2142*Resumo!$B$7</f>
        <v>1.53938</v>
      </c>
      <c r="AA2142" s="39" t="n">
        <f aca="false">Resumo!$B$9</f>
        <v>1</v>
      </c>
      <c r="AB2142" s="39" t="n">
        <f aca="false">Resumo!$B$10*CEILING(I2142/100,1)</f>
        <v>4.5</v>
      </c>
      <c r="AC2142" s="39" t="n">
        <f aca="false">Resumo!$B$12*CEILING(I2142,1)</f>
        <v>3.78</v>
      </c>
      <c r="AD2142" s="39" t="n">
        <f aca="false">Resumo!$B$14*CEILING(I2142,1)</f>
        <v>28.35</v>
      </c>
      <c r="AE2142" s="39" t="n">
        <f aca="false">SUM(X2142:AD2142)</f>
        <v>205.98907</v>
      </c>
      <c r="AF2142" s="39" t="n">
        <f aca="false">AE2142/(1-Resumo!$B$5)</f>
        <v>234.078488636364</v>
      </c>
      <c r="AG2142" s="39" t="n">
        <f aca="false">AF2142-W2142</f>
        <v>79.09815</v>
      </c>
      <c r="AH2142" s="40" t="n">
        <f aca="false">AF2142/W2142-1</f>
        <v>0.510375385006681</v>
      </c>
      <c r="AI2142" s="37" t="str">
        <f aca="false">IF(AF2142&lt;W2142,"SIM","NÃO")</f>
        <v>NÃO</v>
      </c>
      <c r="AJ2142" s="37" t="n">
        <v>13</v>
      </c>
      <c r="AK2142" s="37" t="n">
        <v>10</v>
      </c>
      <c r="AL2142" s="37" t="s">
        <v>347</v>
      </c>
      <c r="AM2142" s="39" t="n">
        <v>155.71</v>
      </c>
    </row>
    <row r="2143" customFormat="false" ht="15" hidden="false" customHeight="false" outlineLevel="0" collapsed="false">
      <c r="A2143" s="37" t="n">
        <v>399796282</v>
      </c>
      <c r="B2143" s="38" t="n">
        <v>46291.8747337963</v>
      </c>
      <c r="C2143" s="37" t="s">
        <v>340</v>
      </c>
      <c r="D2143" s="37" t="s">
        <v>2248</v>
      </c>
      <c r="E2143" s="37" t="n">
        <v>21380010</v>
      </c>
      <c r="F2143" s="37" t="s">
        <v>159</v>
      </c>
      <c r="G2143" s="37" t="s">
        <v>196</v>
      </c>
      <c r="H2143" s="37" t="s">
        <v>184</v>
      </c>
      <c r="I2143" s="37" t="n">
        <v>20.9</v>
      </c>
      <c r="J2143" s="39" t="n">
        <v>440.99</v>
      </c>
      <c r="K2143" s="37" t="s">
        <v>342</v>
      </c>
      <c r="L2143" s="39" t="n">
        <v>82.43</v>
      </c>
      <c r="M2143" s="39" t="n">
        <v>42.11</v>
      </c>
      <c r="N2143" s="39" t="n">
        <f aca="false">J2143*Resumo!$C$6</f>
        <v>0</v>
      </c>
      <c r="O2143" s="39" t="n">
        <f aca="false">J2143*Resumo!$C$7</f>
        <v>0.926079</v>
      </c>
      <c r="P2143" s="39" t="n">
        <f aca="false">J2143*Resumo!$C$8</f>
        <v>0.926079</v>
      </c>
      <c r="Q2143" s="39" t="n">
        <f aca="false">Resumo!$C$10*CEILING(I2143/100,1)</f>
        <v>1.05</v>
      </c>
      <c r="R2143" s="39" t="n">
        <f aca="false">Resumo!$C$9</f>
        <v>0</v>
      </c>
      <c r="S2143" s="39" t="n">
        <f aca="false">Resumo!$C$13</f>
        <v>13.55</v>
      </c>
      <c r="T2143" s="39" t="n">
        <f aca="false">Resumo!$C$14*CEILING(I2143,1)</f>
        <v>9.45</v>
      </c>
      <c r="U2143" s="39" t="n">
        <f aca="false">SUM(M2143:T2143)*Resumo!$C$11</f>
        <v>0</v>
      </c>
      <c r="V2143" s="39" t="n">
        <f aca="false">SUM(M2143:U2143)</f>
        <v>68.012158</v>
      </c>
      <c r="W2143" s="39" t="n">
        <f aca="false">V2143/(1-Resumo!$C$5)</f>
        <v>77.2865431818182</v>
      </c>
      <c r="X2143" s="39" t="n">
        <v>82.21</v>
      </c>
      <c r="Y2143" s="39" t="n">
        <f aca="false">J2143*Resumo!$B$6</f>
        <v>0.44099</v>
      </c>
      <c r="Z2143" s="39" t="n">
        <f aca="false">J2143*Resumo!$B$7</f>
        <v>0.88198</v>
      </c>
      <c r="AA2143" s="39" t="n">
        <f aca="false">Resumo!$B$9</f>
        <v>1</v>
      </c>
      <c r="AB2143" s="39" t="n">
        <f aca="false">Resumo!$B$10*CEILING(I2143/100,1)</f>
        <v>4.5</v>
      </c>
      <c r="AC2143" s="39" t="n">
        <f aca="false">Resumo!$B$12*CEILING(I2143,1)</f>
        <v>1.26</v>
      </c>
      <c r="AD2143" s="39" t="n">
        <f aca="false">Resumo!$B$14*CEILING(I2143,1)</f>
        <v>9.45</v>
      </c>
      <c r="AE2143" s="39" t="n">
        <f aca="false">SUM(X2143:AD2143)</f>
        <v>99.74297</v>
      </c>
      <c r="AF2143" s="39" t="n">
        <f aca="false">AE2143/(1-Resumo!$B$5)</f>
        <v>113.344284090909</v>
      </c>
      <c r="AG2143" s="39" t="n">
        <f aca="false">AF2143-W2143</f>
        <v>36.0577409090909</v>
      </c>
      <c r="AH2143" s="40" t="n">
        <f aca="false">AF2143/W2143-1</f>
        <v>0.466546172524036</v>
      </c>
      <c r="AI2143" s="37" t="str">
        <f aca="false">IF(AF2143&lt;W2143,"SIM","NÃO")</f>
        <v>NÃO</v>
      </c>
      <c r="AJ2143" s="37" t="n">
        <v>2</v>
      </c>
      <c r="AK2143" s="37" t="n">
        <v>5</v>
      </c>
      <c r="AL2143" s="37" t="s">
        <v>343</v>
      </c>
      <c r="AM2143" s="39" t="n">
        <v>82.44</v>
      </c>
    </row>
    <row r="2144" customFormat="false" ht="15" hidden="false" customHeight="false" outlineLevel="0" collapsed="false">
      <c r="A2144" s="37" t="n">
        <v>399803048</v>
      </c>
      <c r="B2144" s="38" t="n">
        <v>46291.8933217593</v>
      </c>
      <c r="C2144" s="37" t="s">
        <v>345</v>
      </c>
      <c r="D2144" s="37" t="s">
        <v>2249</v>
      </c>
      <c r="E2144" s="37" t="n">
        <v>28988804</v>
      </c>
      <c r="F2144" s="37" t="s">
        <v>173</v>
      </c>
      <c r="G2144" s="37" t="s">
        <v>198</v>
      </c>
      <c r="H2144" s="37" t="s">
        <v>188</v>
      </c>
      <c r="I2144" s="37" t="n">
        <v>68.1</v>
      </c>
      <c r="J2144" s="39" t="n">
        <v>960</v>
      </c>
      <c r="K2144" s="37" t="s">
        <v>342</v>
      </c>
      <c r="L2144" s="39" t="n">
        <v>156.62</v>
      </c>
      <c r="M2144" s="39" t="n">
        <v>90.2</v>
      </c>
      <c r="N2144" s="39" t="n">
        <f aca="false">J2144*Resumo!$C$6</f>
        <v>0</v>
      </c>
      <c r="O2144" s="39" t="n">
        <f aca="false">J2144*Resumo!$C$7</f>
        <v>2.016</v>
      </c>
      <c r="P2144" s="39" t="n">
        <f aca="false">J2144*Resumo!$C$8</f>
        <v>2.016</v>
      </c>
      <c r="Q2144" s="39" t="n">
        <f aca="false">Resumo!$C$10*CEILING(I2144/100,1)</f>
        <v>1.05</v>
      </c>
      <c r="R2144" s="39" t="n">
        <f aca="false">Resumo!$C$9</f>
        <v>0</v>
      </c>
      <c r="S2144" s="39" t="n">
        <f aca="false">Resumo!$C$13</f>
        <v>13.55</v>
      </c>
      <c r="T2144" s="39" t="n">
        <f aca="false">Resumo!$C$14*CEILING(I2144,1)</f>
        <v>31.05</v>
      </c>
      <c r="U2144" s="39" t="n">
        <f aca="false">SUM(M2144:T2144)*Resumo!$C$11</f>
        <v>0</v>
      </c>
      <c r="V2144" s="39" t="n">
        <f aca="false">SUM(M2144:U2144)</f>
        <v>139.882</v>
      </c>
      <c r="W2144" s="39" t="n">
        <f aca="false">V2144/(1-Resumo!$C$5)</f>
        <v>158.956818181818</v>
      </c>
      <c r="X2144" s="39" t="n">
        <v>166.05</v>
      </c>
      <c r="Y2144" s="39" t="n">
        <f aca="false">J2144*Resumo!$B$6</f>
        <v>0.96</v>
      </c>
      <c r="Z2144" s="39" t="n">
        <f aca="false">J2144*Resumo!$B$7</f>
        <v>1.92</v>
      </c>
      <c r="AA2144" s="39" t="n">
        <f aca="false">Resumo!$B$9</f>
        <v>1</v>
      </c>
      <c r="AB2144" s="39" t="n">
        <f aca="false">Resumo!$B$10*CEILING(I2144/100,1)</f>
        <v>4.5</v>
      </c>
      <c r="AC2144" s="39" t="n">
        <f aca="false">Resumo!$B$12*CEILING(I2144,1)</f>
        <v>4.14</v>
      </c>
      <c r="AD2144" s="39" t="n">
        <f aca="false">Resumo!$B$14*CEILING(I2144,1)</f>
        <v>31.05</v>
      </c>
      <c r="AE2144" s="39" t="n">
        <f aca="false">SUM(X2144:AD2144)</f>
        <v>209.62</v>
      </c>
      <c r="AF2144" s="39" t="n">
        <f aca="false">AE2144/(1-Resumo!$B$5)</f>
        <v>238.204545454546</v>
      </c>
      <c r="AG2144" s="39" t="n">
        <f aca="false">AF2144-W2144</f>
        <v>79.2477272727273</v>
      </c>
      <c r="AH2144" s="40" t="n">
        <f aca="false">AF2144/W2144-1</f>
        <v>0.498548776826182</v>
      </c>
      <c r="AI2144" s="37" t="str">
        <f aca="false">IF(AF2144&lt;W2144,"SIM","NÃO")</f>
        <v>NÃO</v>
      </c>
      <c r="AJ2144" s="37" t="n">
        <v>13</v>
      </c>
      <c r="AK2144" s="37" t="n">
        <v>10</v>
      </c>
      <c r="AL2144" s="37" t="s">
        <v>343</v>
      </c>
      <c r="AM2144" s="39" t="n">
        <v>156.62</v>
      </c>
    </row>
    <row r="2145" customFormat="false" ht="15" hidden="false" customHeight="false" outlineLevel="0" collapsed="false">
      <c r="A2145" s="37" t="n">
        <v>399813842</v>
      </c>
      <c r="B2145" s="38" t="n">
        <v>46291.9250231482</v>
      </c>
      <c r="C2145" s="37" t="s">
        <v>340</v>
      </c>
      <c r="D2145" s="37" t="s">
        <v>2250</v>
      </c>
      <c r="E2145" s="37" t="n">
        <v>25954205</v>
      </c>
      <c r="F2145" s="37" t="s">
        <v>235</v>
      </c>
      <c r="G2145" s="37" t="s">
        <v>198</v>
      </c>
      <c r="H2145" s="37" t="s">
        <v>188</v>
      </c>
      <c r="I2145" s="37" t="n">
        <v>63.9</v>
      </c>
      <c r="J2145" s="39" t="n">
        <v>716.35</v>
      </c>
      <c r="K2145" s="37" t="s">
        <v>342</v>
      </c>
      <c r="L2145" s="39" t="n">
        <v>155.44</v>
      </c>
      <c r="M2145" s="39" t="n">
        <v>90.2</v>
      </c>
      <c r="N2145" s="39" t="n">
        <f aca="false">J2145*Resumo!$C$6</f>
        <v>0</v>
      </c>
      <c r="O2145" s="39" t="n">
        <f aca="false">J2145*Resumo!$C$7</f>
        <v>1.504335</v>
      </c>
      <c r="P2145" s="39" t="n">
        <f aca="false">J2145*Resumo!$C$8</f>
        <v>1.504335</v>
      </c>
      <c r="Q2145" s="39" t="n">
        <f aca="false">Resumo!$C$10*CEILING(I2145/100,1)</f>
        <v>1.05</v>
      </c>
      <c r="R2145" s="39" t="n">
        <f aca="false">Resumo!$C$9</f>
        <v>0</v>
      </c>
      <c r="S2145" s="39" t="n">
        <f aca="false">Resumo!$C$13</f>
        <v>13.55</v>
      </c>
      <c r="T2145" s="39" t="n">
        <f aca="false">Resumo!$C$14*CEILING(I2145,1)</f>
        <v>28.8</v>
      </c>
      <c r="U2145" s="39" t="n">
        <f aca="false">SUM(M2145:T2145)*Resumo!$C$11</f>
        <v>0</v>
      </c>
      <c r="V2145" s="39" t="n">
        <f aca="false">SUM(M2145:U2145)</f>
        <v>136.60867</v>
      </c>
      <c r="W2145" s="39" t="n">
        <f aca="false">V2145/(1-Resumo!$C$5)</f>
        <v>155.237125</v>
      </c>
      <c r="X2145" s="39" t="n">
        <v>166.05</v>
      </c>
      <c r="Y2145" s="39" t="n">
        <f aca="false">J2145*Resumo!$B$6</f>
        <v>0.71635</v>
      </c>
      <c r="Z2145" s="39" t="n">
        <f aca="false">J2145*Resumo!$B$7</f>
        <v>1.4327</v>
      </c>
      <c r="AA2145" s="39" t="n">
        <f aca="false">Resumo!$B$9</f>
        <v>1</v>
      </c>
      <c r="AB2145" s="39" t="n">
        <f aca="false">Resumo!$B$10*CEILING(I2145/100,1)</f>
        <v>4.5</v>
      </c>
      <c r="AC2145" s="39" t="n">
        <f aca="false">Resumo!$B$12*CEILING(I2145,1)</f>
        <v>3.84</v>
      </c>
      <c r="AD2145" s="39" t="n">
        <f aca="false">Resumo!$B$14*CEILING(I2145,1)</f>
        <v>28.8</v>
      </c>
      <c r="AE2145" s="39" t="n">
        <f aca="false">SUM(X2145:AD2145)</f>
        <v>206.33905</v>
      </c>
      <c r="AF2145" s="39" t="n">
        <f aca="false">AE2145/(1-Resumo!$B$5)</f>
        <v>234.476193181818</v>
      </c>
      <c r="AG2145" s="39" t="n">
        <f aca="false">AF2145-W2145</f>
        <v>79.2390681818182</v>
      </c>
      <c r="AH2145" s="40" t="n">
        <f aca="false">AF2145/W2145-1</f>
        <v>0.51043890552481</v>
      </c>
      <c r="AI2145" s="37" t="str">
        <f aca="false">IF(AF2145&lt;W2145,"SIM","NÃO")</f>
        <v>NÃO</v>
      </c>
      <c r="AJ2145" s="37" t="n">
        <v>13</v>
      </c>
      <c r="AK2145" s="37" t="n">
        <v>10</v>
      </c>
      <c r="AL2145" s="37" t="s">
        <v>347</v>
      </c>
      <c r="AM2145" s="39" t="n">
        <v>155.45</v>
      </c>
    </row>
    <row r="2146" customFormat="false" ht="15" hidden="false" customHeight="false" outlineLevel="0" collapsed="false">
      <c r="A2146" s="37" t="n">
        <v>399817125</v>
      </c>
      <c r="B2146" s="38" t="n">
        <v>46291.9351041667</v>
      </c>
      <c r="C2146" s="37" t="s">
        <v>345</v>
      </c>
      <c r="D2146" s="37" t="s">
        <v>2251</v>
      </c>
      <c r="E2146" s="37" t="n">
        <v>25935426</v>
      </c>
      <c r="F2146" s="37" t="s">
        <v>176</v>
      </c>
      <c r="G2146" s="37" t="s">
        <v>198</v>
      </c>
      <c r="H2146" s="37" t="s">
        <v>184</v>
      </c>
      <c r="I2146" s="37" t="n">
        <v>27.6</v>
      </c>
      <c r="J2146" s="39" t="n">
        <v>329.7</v>
      </c>
      <c r="K2146" s="37" t="s">
        <v>342</v>
      </c>
      <c r="L2146" s="39" t="n">
        <v>108.76</v>
      </c>
      <c r="M2146" s="39" t="n">
        <v>65.63</v>
      </c>
      <c r="N2146" s="39" t="n">
        <f aca="false">J2146*Resumo!$C$6</f>
        <v>0</v>
      </c>
      <c r="O2146" s="39" t="n">
        <f aca="false">J2146*Resumo!$C$7</f>
        <v>0.69237</v>
      </c>
      <c r="P2146" s="39" t="n">
        <f aca="false">J2146*Resumo!$C$8</f>
        <v>0.69237</v>
      </c>
      <c r="Q2146" s="39" t="n">
        <f aca="false">Resumo!$C$10*CEILING(I2146/100,1)</f>
        <v>1.05</v>
      </c>
      <c r="R2146" s="39" t="n">
        <f aca="false">Resumo!$C$9</f>
        <v>0</v>
      </c>
      <c r="S2146" s="39" t="n">
        <f aca="false">Resumo!$C$13</f>
        <v>13.55</v>
      </c>
      <c r="T2146" s="39" t="n">
        <f aca="false">Resumo!$C$14*CEILING(I2146,1)</f>
        <v>12.6</v>
      </c>
      <c r="U2146" s="39" t="n">
        <f aca="false">SUM(M2146:T2146)*Resumo!$C$11</f>
        <v>0</v>
      </c>
      <c r="V2146" s="39" t="n">
        <f aca="false">SUM(M2146:U2146)</f>
        <v>94.21474</v>
      </c>
      <c r="W2146" s="39" t="n">
        <f aca="false">V2146/(1-Resumo!$C$5)</f>
        <v>107.062204545455</v>
      </c>
      <c r="X2146" s="39" t="n">
        <v>103.28</v>
      </c>
      <c r="Y2146" s="39" t="n">
        <f aca="false">J2146*Resumo!$B$6</f>
        <v>0.3297</v>
      </c>
      <c r="Z2146" s="39" t="n">
        <f aca="false">J2146*Resumo!$B$7</f>
        <v>0.6594</v>
      </c>
      <c r="AA2146" s="39" t="n">
        <f aca="false">Resumo!$B$9</f>
        <v>1</v>
      </c>
      <c r="AB2146" s="39" t="n">
        <f aca="false">Resumo!$B$10*CEILING(I2146/100,1)</f>
        <v>4.5</v>
      </c>
      <c r="AC2146" s="39" t="n">
        <f aca="false">Resumo!$B$12*CEILING(I2146,1)</f>
        <v>1.68</v>
      </c>
      <c r="AD2146" s="39" t="n">
        <f aca="false">Resumo!$B$14*CEILING(I2146,1)</f>
        <v>12.6</v>
      </c>
      <c r="AE2146" s="39" t="n">
        <f aca="false">SUM(X2146:AD2146)</f>
        <v>124.0491</v>
      </c>
      <c r="AF2146" s="39" t="n">
        <f aca="false">AE2146/(1-Resumo!$B$5)</f>
        <v>140.964886363636</v>
      </c>
      <c r="AG2146" s="39" t="n">
        <f aca="false">AF2146-W2146</f>
        <v>33.9026818181818</v>
      </c>
      <c r="AH2146" s="40" t="n">
        <f aca="false">AF2146/W2146-1</f>
        <v>0.316663401077157</v>
      </c>
      <c r="AI2146" s="37" t="str">
        <f aca="false">IF(AF2146&lt;W2146,"SIM","NÃO")</f>
        <v>NÃO</v>
      </c>
      <c r="AJ2146" s="37" t="n">
        <v>13</v>
      </c>
      <c r="AK2146" s="37" t="n">
        <v>6</v>
      </c>
      <c r="AL2146" s="37" t="s">
        <v>343</v>
      </c>
      <c r="AM2146" s="39" t="n">
        <v>108.76</v>
      </c>
    </row>
    <row r="2147" customFormat="false" ht="15" hidden="false" customHeight="false" outlineLevel="0" collapsed="false">
      <c r="A2147" s="37" t="n">
        <v>399879169</v>
      </c>
      <c r="B2147" s="38" t="n">
        <v>46292.1925231482</v>
      </c>
      <c r="C2147" s="37" t="s">
        <v>372</v>
      </c>
      <c r="D2147" s="37" t="s">
        <v>2252</v>
      </c>
      <c r="E2147" s="37" t="n">
        <v>23059001</v>
      </c>
      <c r="F2147" s="37" t="s">
        <v>159</v>
      </c>
      <c r="G2147" s="37" t="s">
        <v>196</v>
      </c>
      <c r="H2147" s="37" t="s">
        <v>187</v>
      </c>
      <c r="I2147" s="37" t="n">
        <v>52.3</v>
      </c>
      <c r="J2147" s="39" t="n">
        <v>692.99</v>
      </c>
      <c r="K2147" s="37" t="s">
        <v>342</v>
      </c>
      <c r="L2147" s="39" t="n">
        <v>114.48</v>
      </c>
      <c r="M2147" s="39" t="n">
        <v>58.6</v>
      </c>
      <c r="N2147" s="39" t="n">
        <f aca="false">J2147*Resumo!$C$6</f>
        <v>0</v>
      </c>
      <c r="O2147" s="39" t="n">
        <f aca="false">J2147*Resumo!$C$7</f>
        <v>1.455279</v>
      </c>
      <c r="P2147" s="39" t="n">
        <f aca="false">J2147*Resumo!$C$8</f>
        <v>1.455279</v>
      </c>
      <c r="Q2147" s="39" t="n">
        <f aca="false">Resumo!$C$10*CEILING(I2147/100,1)</f>
        <v>1.05</v>
      </c>
      <c r="R2147" s="39" t="n">
        <f aca="false">Resumo!$C$9</f>
        <v>0</v>
      </c>
      <c r="S2147" s="39" t="n">
        <f aca="false">Resumo!$C$13</f>
        <v>13.55</v>
      </c>
      <c r="T2147" s="39" t="n">
        <f aca="false">Resumo!$C$14*CEILING(I2147,1)</f>
        <v>23.85</v>
      </c>
      <c r="U2147" s="39" t="n">
        <f aca="false">SUM(M2147:T2147)*Resumo!$C$11</f>
        <v>0</v>
      </c>
      <c r="V2147" s="39" t="n">
        <f aca="false">SUM(M2147:U2147)</f>
        <v>99.960558</v>
      </c>
      <c r="W2147" s="39" t="n">
        <f aca="false">V2147/(1-Resumo!$C$5)</f>
        <v>113.591543181818</v>
      </c>
      <c r="X2147" s="39" t="n">
        <v>112.3</v>
      </c>
      <c r="Y2147" s="39" t="n">
        <f aca="false">J2147*Resumo!$B$6</f>
        <v>0.69299</v>
      </c>
      <c r="Z2147" s="39" t="n">
        <f aca="false">J2147*Resumo!$B$7</f>
        <v>1.38598</v>
      </c>
      <c r="AA2147" s="39" t="n">
        <f aca="false">Resumo!$B$9</f>
        <v>1</v>
      </c>
      <c r="AB2147" s="39" t="n">
        <f aca="false">Resumo!$B$10*CEILING(I2147/100,1)</f>
        <v>4.5</v>
      </c>
      <c r="AC2147" s="39" t="n">
        <f aca="false">Resumo!$B$12*CEILING(I2147,1)</f>
        <v>3.18</v>
      </c>
      <c r="AD2147" s="39" t="n">
        <f aca="false">Resumo!$B$14*CEILING(I2147,1)</f>
        <v>23.85</v>
      </c>
      <c r="AE2147" s="39" t="n">
        <f aca="false">SUM(X2147:AD2147)</f>
        <v>146.90897</v>
      </c>
      <c r="AF2147" s="39" t="n">
        <f aca="false">AE2147/(1-Resumo!$B$5)</f>
        <v>166.942011363636</v>
      </c>
      <c r="AG2147" s="39" t="n">
        <f aca="false">AF2147-W2147</f>
        <v>53.3504681818182</v>
      </c>
      <c r="AH2147" s="40" t="n">
        <f aca="false">AF2147/W2147-1</f>
        <v>0.469669366991729</v>
      </c>
      <c r="AI2147" s="37" t="str">
        <f aca="false">IF(AF2147&lt;W2147,"SIM","NÃO")</f>
        <v>NÃO</v>
      </c>
      <c r="AJ2147" s="37" t="n">
        <v>2</v>
      </c>
      <c r="AK2147" s="37" t="n">
        <v>5</v>
      </c>
      <c r="AL2147" s="37" t="s">
        <v>343</v>
      </c>
      <c r="AM2147" s="39" t="n">
        <v>114.47</v>
      </c>
    </row>
    <row r="2148" customFormat="false" ht="15" hidden="false" customHeight="false" outlineLevel="0" collapsed="false">
      <c r="A2148" s="37" t="n">
        <v>399961737</v>
      </c>
      <c r="B2148" s="38" t="n">
        <v>46292.484537037</v>
      </c>
      <c r="C2148" s="37" t="s">
        <v>340</v>
      </c>
      <c r="D2148" s="37" t="s">
        <v>2253</v>
      </c>
      <c r="E2148" s="37" t="n">
        <v>24465000</v>
      </c>
      <c r="F2148" s="37" t="s">
        <v>160</v>
      </c>
      <c r="G2148" s="37" t="s">
        <v>197</v>
      </c>
      <c r="H2148" s="37" t="s">
        <v>185</v>
      </c>
      <c r="I2148" s="37" t="n">
        <v>36.9</v>
      </c>
      <c r="J2148" s="39" t="n">
        <v>399.99</v>
      </c>
      <c r="K2148" s="37" t="s">
        <v>342</v>
      </c>
      <c r="L2148" s="39" t="n">
        <v>112.88</v>
      </c>
      <c r="M2148" s="39" t="n">
        <v>66.83</v>
      </c>
      <c r="N2148" s="39" t="n">
        <f aca="false">J2148*Resumo!$C$6</f>
        <v>0</v>
      </c>
      <c r="O2148" s="39" t="n">
        <f aca="false">J2148*Resumo!$C$7</f>
        <v>0.839979</v>
      </c>
      <c r="P2148" s="39" t="n">
        <f aca="false">J2148*Resumo!$C$8</f>
        <v>0.839979</v>
      </c>
      <c r="Q2148" s="39" t="n">
        <f aca="false">Resumo!$C$10*CEILING(I2148/100,1)</f>
        <v>1.05</v>
      </c>
      <c r="R2148" s="39" t="n">
        <f aca="false">Resumo!$C$9</f>
        <v>0</v>
      </c>
      <c r="S2148" s="39" t="n">
        <f aca="false">Resumo!$C$13</f>
        <v>13.55</v>
      </c>
      <c r="T2148" s="39" t="n">
        <f aca="false">Resumo!$C$14*CEILING(I2148,1)</f>
        <v>16.65</v>
      </c>
      <c r="U2148" s="39" t="n">
        <f aca="false">SUM(M2148:T2148)*Resumo!$C$11</f>
        <v>0</v>
      </c>
      <c r="V2148" s="39" t="n">
        <f aca="false">SUM(M2148:U2148)</f>
        <v>99.759958</v>
      </c>
      <c r="W2148" s="39" t="n">
        <f aca="false">V2148/(1-Resumo!$C$5)</f>
        <v>113.363588636364</v>
      </c>
      <c r="X2148" s="39" t="n">
        <v>114.95</v>
      </c>
      <c r="Y2148" s="39" t="n">
        <f aca="false">J2148*Resumo!$B$6</f>
        <v>0.39999</v>
      </c>
      <c r="Z2148" s="39" t="n">
        <f aca="false">J2148*Resumo!$B$7</f>
        <v>0.79998</v>
      </c>
      <c r="AA2148" s="39" t="n">
        <f aca="false">Resumo!$B$9</f>
        <v>1</v>
      </c>
      <c r="AB2148" s="39" t="n">
        <f aca="false">Resumo!$B$10*CEILING(I2148/100,1)</f>
        <v>4.5</v>
      </c>
      <c r="AC2148" s="39" t="n">
        <f aca="false">Resumo!$B$12*CEILING(I2148,1)</f>
        <v>2.22</v>
      </c>
      <c r="AD2148" s="39" t="n">
        <f aca="false">Resumo!$B$14*CEILING(I2148,1)</f>
        <v>16.65</v>
      </c>
      <c r="AE2148" s="39" t="n">
        <f aca="false">SUM(X2148:AD2148)</f>
        <v>140.51997</v>
      </c>
      <c r="AF2148" s="39" t="n">
        <f aca="false">AE2148/(1-Resumo!$B$5)</f>
        <v>159.681784090909</v>
      </c>
      <c r="AG2148" s="39" t="n">
        <f aca="false">AF2148-W2148</f>
        <v>46.3181954545455</v>
      </c>
      <c r="AH2148" s="40" t="n">
        <f aca="false">AF2148/W2148-1</f>
        <v>0.408580885729723</v>
      </c>
      <c r="AI2148" s="37" t="str">
        <f aca="false">IF(AF2148&lt;W2148,"SIM","NÃO")</f>
        <v>NÃO</v>
      </c>
      <c r="AJ2148" s="37" t="n">
        <v>2</v>
      </c>
      <c r="AK2148" s="37" t="n">
        <v>7</v>
      </c>
      <c r="AL2148" s="37" t="s">
        <v>343</v>
      </c>
      <c r="AM2148" s="39" t="n">
        <v>112.87</v>
      </c>
    </row>
    <row r="2149" customFormat="false" ht="15" hidden="false" customHeight="false" outlineLevel="0" collapsed="false">
      <c r="A2149" s="37" t="n">
        <v>399961977</v>
      </c>
      <c r="B2149" s="38" t="n">
        <v>46292.4851041667</v>
      </c>
      <c r="C2149" s="37" t="s">
        <v>340</v>
      </c>
      <c r="D2149" s="37" t="s">
        <v>2254</v>
      </c>
      <c r="E2149" s="37" t="n">
        <v>21060110</v>
      </c>
      <c r="F2149" s="37" t="s">
        <v>159</v>
      </c>
      <c r="G2149" s="37" t="s">
        <v>196</v>
      </c>
      <c r="H2149" s="37" t="s">
        <v>187</v>
      </c>
      <c r="I2149" s="37" t="n">
        <v>52.3</v>
      </c>
      <c r="J2149" s="39" t="n">
        <v>636.83</v>
      </c>
      <c r="K2149" s="37" t="s">
        <v>342</v>
      </c>
      <c r="L2149" s="39" t="n">
        <v>114.19</v>
      </c>
      <c r="M2149" s="39" t="n">
        <v>58.6</v>
      </c>
      <c r="N2149" s="39" t="n">
        <f aca="false">J2149*Resumo!$C$6</f>
        <v>0</v>
      </c>
      <c r="O2149" s="39" t="n">
        <f aca="false">J2149*Resumo!$C$7</f>
        <v>1.337343</v>
      </c>
      <c r="P2149" s="39" t="n">
        <f aca="false">J2149*Resumo!$C$8</f>
        <v>1.337343</v>
      </c>
      <c r="Q2149" s="39" t="n">
        <f aca="false">Resumo!$C$10*CEILING(I2149/100,1)</f>
        <v>1.05</v>
      </c>
      <c r="R2149" s="39" t="n">
        <f aca="false">Resumo!$C$9</f>
        <v>0</v>
      </c>
      <c r="S2149" s="39" t="n">
        <f aca="false">Resumo!$C$13</f>
        <v>13.55</v>
      </c>
      <c r="T2149" s="39" t="n">
        <f aca="false">Resumo!$C$14*CEILING(I2149,1)</f>
        <v>23.85</v>
      </c>
      <c r="U2149" s="39" t="n">
        <f aca="false">SUM(M2149:T2149)*Resumo!$C$11</f>
        <v>0</v>
      </c>
      <c r="V2149" s="39" t="n">
        <f aca="false">SUM(M2149:U2149)</f>
        <v>99.724686</v>
      </c>
      <c r="W2149" s="39" t="n">
        <f aca="false">V2149/(1-Resumo!$C$5)</f>
        <v>113.323506818182</v>
      </c>
      <c r="X2149" s="39" t="n">
        <v>112.3</v>
      </c>
      <c r="Y2149" s="39" t="n">
        <f aca="false">J2149*Resumo!$B$6</f>
        <v>0.63683</v>
      </c>
      <c r="Z2149" s="39" t="n">
        <f aca="false">J2149*Resumo!$B$7</f>
        <v>1.27366</v>
      </c>
      <c r="AA2149" s="39" t="n">
        <f aca="false">Resumo!$B$9</f>
        <v>1</v>
      </c>
      <c r="AB2149" s="39" t="n">
        <f aca="false">Resumo!$B$10*CEILING(I2149/100,1)</f>
        <v>4.5</v>
      </c>
      <c r="AC2149" s="39" t="n">
        <f aca="false">Resumo!$B$12*CEILING(I2149,1)</f>
        <v>3.18</v>
      </c>
      <c r="AD2149" s="39" t="n">
        <f aca="false">Resumo!$B$14*CEILING(I2149,1)</f>
        <v>23.85</v>
      </c>
      <c r="AE2149" s="39" t="n">
        <f aca="false">SUM(X2149:AD2149)</f>
        <v>146.74049</v>
      </c>
      <c r="AF2149" s="39" t="n">
        <f aca="false">AE2149/(1-Resumo!$B$5)</f>
        <v>166.750556818182</v>
      </c>
      <c r="AG2149" s="39" t="n">
        <f aca="false">AF2149-W2149</f>
        <v>53.42705</v>
      </c>
      <c r="AH2149" s="40" t="n">
        <f aca="false">AF2149/W2149-1</f>
        <v>0.471456024439124</v>
      </c>
      <c r="AI2149" s="37" t="str">
        <f aca="false">IF(AF2149&lt;W2149,"SIM","NÃO")</f>
        <v>NÃO</v>
      </c>
      <c r="AJ2149" s="37" t="n">
        <v>2</v>
      </c>
      <c r="AK2149" s="37" t="n">
        <v>5</v>
      </c>
      <c r="AL2149" s="37" t="s">
        <v>343</v>
      </c>
      <c r="AM2149" s="39" t="n">
        <v>114.2</v>
      </c>
    </row>
    <row r="2150" customFormat="false" ht="15" hidden="false" customHeight="false" outlineLevel="0" collapsed="false">
      <c r="A2150" s="37" t="n">
        <v>399964376</v>
      </c>
      <c r="B2150" s="38" t="n">
        <v>46292.4912268519</v>
      </c>
      <c r="C2150" s="37" t="s">
        <v>340</v>
      </c>
      <c r="D2150" s="37" t="s">
        <v>2255</v>
      </c>
      <c r="E2150" s="37" t="n">
        <v>22793261</v>
      </c>
      <c r="F2150" s="37" t="s">
        <v>159</v>
      </c>
      <c r="G2150" s="37" t="s">
        <v>196</v>
      </c>
      <c r="H2150" s="37" t="s">
        <v>187</v>
      </c>
      <c r="I2150" s="37" t="n">
        <v>52.3</v>
      </c>
      <c r="J2150" s="39" t="n">
        <v>636.83</v>
      </c>
      <c r="K2150" s="37" t="s">
        <v>342</v>
      </c>
      <c r="L2150" s="39" t="n">
        <v>114.19</v>
      </c>
      <c r="M2150" s="39" t="n">
        <v>58.6</v>
      </c>
      <c r="N2150" s="39" t="n">
        <f aca="false">J2150*Resumo!$C$6</f>
        <v>0</v>
      </c>
      <c r="O2150" s="39" t="n">
        <f aca="false">J2150*Resumo!$C$7</f>
        <v>1.337343</v>
      </c>
      <c r="P2150" s="39" t="n">
        <f aca="false">J2150*Resumo!$C$8</f>
        <v>1.337343</v>
      </c>
      <c r="Q2150" s="39" t="n">
        <f aca="false">Resumo!$C$10*CEILING(I2150/100,1)</f>
        <v>1.05</v>
      </c>
      <c r="R2150" s="39" t="n">
        <f aca="false">Resumo!$C$9</f>
        <v>0</v>
      </c>
      <c r="S2150" s="39" t="n">
        <f aca="false">Resumo!$C$13</f>
        <v>13.55</v>
      </c>
      <c r="T2150" s="39" t="n">
        <f aca="false">Resumo!$C$14*CEILING(I2150,1)</f>
        <v>23.85</v>
      </c>
      <c r="U2150" s="39" t="n">
        <f aca="false">SUM(M2150:T2150)*Resumo!$C$11</f>
        <v>0</v>
      </c>
      <c r="V2150" s="39" t="n">
        <f aca="false">SUM(M2150:U2150)</f>
        <v>99.724686</v>
      </c>
      <c r="W2150" s="39" t="n">
        <f aca="false">V2150/(1-Resumo!$C$5)</f>
        <v>113.323506818182</v>
      </c>
      <c r="X2150" s="39" t="n">
        <v>112.3</v>
      </c>
      <c r="Y2150" s="39" t="n">
        <f aca="false">J2150*Resumo!$B$6</f>
        <v>0.63683</v>
      </c>
      <c r="Z2150" s="39" t="n">
        <f aca="false">J2150*Resumo!$B$7</f>
        <v>1.27366</v>
      </c>
      <c r="AA2150" s="39" t="n">
        <f aca="false">Resumo!$B$9</f>
        <v>1</v>
      </c>
      <c r="AB2150" s="39" t="n">
        <f aca="false">Resumo!$B$10*CEILING(I2150/100,1)</f>
        <v>4.5</v>
      </c>
      <c r="AC2150" s="39" t="n">
        <f aca="false">Resumo!$B$12*CEILING(I2150,1)</f>
        <v>3.18</v>
      </c>
      <c r="AD2150" s="39" t="n">
        <f aca="false">Resumo!$B$14*CEILING(I2150,1)</f>
        <v>23.85</v>
      </c>
      <c r="AE2150" s="39" t="n">
        <f aca="false">SUM(X2150:AD2150)</f>
        <v>146.74049</v>
      </c>
      <c r="AF2150" s="39" t="n">
        <f aca="false">AE2150/(1-Resumo!$B$5)</f>
        <v>166.750556818182</v>
      </c>
      <c r="AG2150" s="39" t="n">
        <f aca="false">AF2150-W2150</f>
        <v>53.42705</v>
      </c>
      <c r="AH2150" s="40" t="n">
        <f aca="false">AF2150/W2150-1</f>
        <v>0.471456024439124</v>
      </c>
      <c r="AI2150" s="37" t="str">
        <f aca="false">IF(AF2150&lt;W2150,"SIM","NÃO")</f>
        <v>NÃO</v>
      </c>
      <c r="AJ2150" s="37" t="n">
        <v>2</v>
      </c>
      <c r="AK2150" s="37" t="n">
        <v>5</v>
      </c>
      <c r="AL2150" s="37" t="s">
        <v>343</v>
      </c>
      <c r="AM2150" s="39" t="n">
        <v>114.2</v>
      </c>
    </row>
    <row r="2151" customFormat="false" ht="15" hidden="false" customHeight="false" outlineLevel="0" collapsed="false">
      <c r="A2151" s="37" t="n">
        <v>399983228</v>
      </c>
      <c r="B2151" s="38" t="n">
        <v>46292.5371296296</v>
      </c>
      <c r="C2151" s="37" t="s">
        <v>340</v>
      </c>
      <c r="D2151" s="37" t="s">
        <v>2256</v>
      </c>
      <c r="E2151" s="37" t="n">
        <v>21620560</v>
      </c>
      <c r="F2151" s="37" t="s">
        <v>159</v>
      </c>
      <c r="G2151" s="37" t="s">
        <v>196</v>
      </c>
      <c r="H2151" s="37" t="s">
        <v>187</v>
      </c>
      <c r="I2151" s="37" t="n">
        <v>52.3</v>
      </c>
      <c r="J2151" s="39" t="n">
        <v>636.83</v>
      </c>
      <c r="K2151" s="37" t="s">
        <v>342</v>
      </c>
      <c r="L2151" s="39" t="n">
        <v>114.19</v>
      </c>
      <c r="M2151" s="39" t="n">
        <v>58.6</v>
      </c>
      <c r="N2151" s="39" t="n">
        <f aca="false">J2151*Resumo!$C$6</f>
        <v>0</v>
      </c>
      <c r="O2151" s="39" t="n">
        <f aca="false">J2151*Resumo!$C$7</f>
        <v>1.337343</v>
      </c>
      <c r="P2151" s="39" t="n">
        <f aca="false">J2151*Resumo!$C$8</f>
        <v>1.337343</v>
      </c>
      <c r="Q2151" s="39" t="n">
        <f aca="false">Resumo!$C$10*CEILING(I2151/100,1)</f>
        <v>1.05</v>
      </c>
      <c r="R2151" s="39" t="n">
        <f aca="false">Resumo!$C$9</f>
        <v>0</v>
      </c>
      <c r="S2151" s="39" t="n">
        <f aca="false">Resumo!$C$13</f>
        <v>13.55</v>
      </c>
      <c r="T2151" s="39" t="n">
        <f aca="false">Resumo!$C$14*CEILING(I2151,1)</f>
        <v>23.85</v>
      </c>
      <c r="U2151" s="39" t="n">
        <f aca="false">SUM(M2151:T2151)*Resumo!$C$11</f>
        <v>0</v>
      </c>
      <c r="V2151" s="39" t="n">
        <f aca="false">SUM(M2151:U2151)</f>
        <v>99.724686</v>
      </c>
      <c r="W2151" s="39" t="n">
        <f aca="false">V2151/(1-Resumo!$C$5)</f>
        <v>113.323506818182</v>
      </c>
      <c r="X2151" s="39" t="n">
        <v>112.3</v>
      </c>
      <c r="Y2151" s="39" t="n">
        <f aca="false">J2151*Resumo!$B$6</f>
        <v>0.63683</v>
      </c>
      <c r="Z2151" s="39" t="n">
        <f aca="false">J2151*Resumo!$B$7</f>
        <v>1.27366</v>
      </c>
      <c r="AA2151" s="39" t="n">
        <f aca="false">Resumo!$B$9</f>
        <v>1</v>
      </c>
      <c r="AB2151" s="39" t="n">
        <f aca="false">Resumo!$B$10*CEILING(I2151/100,1)</f>
        <v>4.5</v>
      </c>
      <c r="AC2151" s="39" t="n">
        <f aca="false">Resumo!$B$12*CEILING(I2151,1)</f>
        <v>3.18</v>
      </c>
      <c r="AD2151" s="39" t="n">
        <f aca="false">Resumo!$B$14*CEILING(I2151,1)</f>
        <v>23.85</v>
      </c>
      <c r="AE2151" s="39" t="n">
        <f aca="false">SUM(X2151:AD2151)</f>
        <v>146.74049</v>
      </c>
      <c r="AF2151" s="39" t="n">
        <f aca="false">AE2151/(1-Resumo!$B$5)</f>
        <v>166.750556818182</v>
      </c>
      <c r="AG2151" s="39" t="n">
        <f aca="false">AF2151-W2151</f>
        <v>53.42705</v>
      </c>
      <c r="AH2151" s="40" t="n">
        <f aca="false">AF2151/W2151-1</f>
        <v>0.471456024439124</v>
      </c>
      <c r="AI2151" s="37" t="str">
        <f aca="false">IF(AF2151&lt;W2151,"SIM","NÃO")</f>
        <v>NÃO</v>
      </c>
      <c r="AJ2151" s="37" t="n">
        <v>2</v>
      </c>
      <c r="AK2151" s="37" t="n">
        <v>5</v>
      </c>
      <c r="AL2151" s="37" t="s">
        <v>343</v>
      </c>
      <c r="AM2151" s="39" t="n">
        <v>114.2</v>
      </c>
    </row>
    <row r="2152" customFormat="false" ht="15" hidden="false" customHeight="false" outlineLevel="0" collapsed="false">
      <c r="A2152" s="37" t="n">
        <v>399987496</v>
      </c>
      <c r="B2152" s="38" t="n">
        <v>46292.5471875</v>
      </c>
      <c r="C2152" s="37" t="s">
        <v>340</v>
      </c>
      <c r="D2152" s="37" t="s">
        <v>2257</v>
      </c>
      <c r="E2152" s="37" t="n">
        <v>21750210</v>
      </c>
      <c r="F2152" s="37" t="s">
        <v>159</v>
      </c>
      <c r="G2152" s="37" t="s">
        <v>196</v>
      </c>
      <c r="H2152" s="37" t="s">
        <v>184</v>
      </c>
      <c r="I2152" s="37" t="n">
        <v>25.8</v>
      </c>
      <c r="J2152" s="39" t="n">
        <v>333.99</v>
      </c>
      <c r="K2152" s="37" t="s">
        <v>342</v>
      </c>
      <c r="L2152" s="39" t="n">
        <v>81.93</v>
      </c>
      <c r="M2152" s="39" t="n">
        <v>42.11</v>
      </c>
      <c r="N2152" s="39" t="n">
        <f aca="false">J2152*Resumo!$C$6</f>
        <v>0</v>
      </c>
      <c r="O2152" s="39" t="n">
        <f aca="false">J2152*Resumo!$C$7</f>
        <v>0.701379</v>
      </c>
      <c r="P2152" s="39" t="n">
        <f aca="false">J2152*Resumo!$C$8</f>
        <v>0.701379</v>
      </c>
      <c r="Q2152" s="39" t="n">
        <f aca="false">Resumo!$C$10*CEILING(I2152/100,1)</f>
        <v>1.05</v>
      </c>
      <c r="R2152" s="39" t="n">
        <f aca="false">Resumo!$C$9</f>
        <v>0</v>
      </c>
      <c r="S2152" s="39" t="n">
        <f aca="false">Resumo!$C$13</f>
        <v>13.55</v>
      </c>
      <c r="T2152" s="39" t="n">
        <f aca="false">Resumo!$C$14*CEILING(I2152,1)</f>
        <v>11.7</v>
      </c>
      <c r="U2152" s="39" t="n">
        <f aca="false">SUM(M2152:T2152)*Resumo!$C$11</f>
        <v>0</v>
      </c>
      <c r="V2152" s="39" t="n">
        <f aca="false">SUM(M2152:U2152)</f>
        <v>69.812758</v>
      </c>
      <c r="W2152" s="39" t="n">
        <f aca="false">V2152/(1-Resumo!$C$5)</f>
        <v>79.3326795454546</v>
      </c>
      <c r="X2152" s="39" t="n">
        <v>82.21</v>
      </c>
      <c r="Y2152" s="39" t="n">
        <f aca="false">J2152*Resumo!$B$6</f>
        <v>0.33399</v>
      </c>
      <c r="Z2152" s="39" t="n">
        <f aca="false">J2152*Resumo!$B$7</f>
        <v>0.66798</v>
      </c>
      <c r="AA2152" s="39" t="n">
        <f aca="false">Resumo!$B$9</f>
        <v>1</v>
      </c>
      <c r="AB2152" s="39" t="n">
        <f aca="false">Resumo!$B$10*CEILING(I2152/100,1)</f>
        <v>4.5</v>
      </c>
      <c r="AC2152" s="39" t="n">
        <f aca="false">Resumo!$B$12*CEILING(I2152,1)</f>
        <v>1.56</v>
      </c>
      <c r="AD2152" s="39" t="n">
        <f aca="false">Resumo!$B$14*CEILING(I2152,1)</f>
        <v>11.7</v>
      </c>
      <c r="AE2152" s="39" t="n">
        <f aca="false">SUM(X2152:AD2152)</f>
        <v>101.97197</v>
      </c>
      <c r="AF2152" s="39" t="n">
        <f aca="false">AE2152/(1-Resumo!$B$5)</f>
        <v>115.877238636364</v>
      </c>
      <c r="AG2152" s="39" t="n">
        <f aca="false">AF2152-W2152</f>
        <v>36.5445590909091</v>
      </c>
      <c r="AH2152" s="40" t="n">
        <f aca="false">AF2152/W2152-1</f>
        <v>0.460649499050016</v>
      </c>
      <c r="AI2152" s="37" t="str">
        <f aca="false">IF(AF2152&lt;W2152,"SIM","NÃO")</f>
        <v>NÃO</v>
      </c>
      <c r="AJ2152" s="37" t="n">
        <v>2</v>
      </c>
      <c r="AK2152" s="37" t="n">
        <v>5</v>
      </c>
      <c r="AL2152" s="37" t="s">
        <v>343</v>
      </c>
      <c r="AM2152" s="39" t="n">
        <v>81.93</v>
      </c>
    </row>
    <row r="2153" customFormat="false" ht="15" hidden="false" customHeight="false" outlineLevel="0" collapsed="false">
      <c r="A2153" s="37" t="n">
        <v>400004700</v>
      </c>
      <c r="B2153" s="38" t="n">
        <v>46292.5878472222</v>
      </c>
      <c r="C2153" s="37" t="s">
        <v>345</v>
      </c>
      <c r="D2153" s="37" t="s">
        <v>2258</v>
      </c>
      <c r="E2153" s="37" t="n">
        <v>25250597</v>
      </c>
      <c r="F2153" s="37" t="s">
        <v>161</v>
      </c>
      <c r="G2153" s="37" t="s">
        <v>197</v>
      </c>
      <c r="H2153" s="37" t="s">
        <v>186</v>
      </c>
      <c r="I2153" s="37" t="n">
        <v>41</v>
      </c>
      <c r="J2153" s="39" t="n">
        <v>699.99</v>
      </c>
      <c r="K2153" s="37" t="s">
        <v>342</v>
      </c>
      <c r="L2153" s="39" t="n">
        <v>117.43</v>
      </c>
      <c r="M2153" s="39" t="n">
        <v>65.36</v>
      </c>
      <c r="N2153" s="39" t="n">
        <f aca="false">J2153*Resumo!$C$6</f>
        <v>0</v>
      </c>
      <c r="O2153" s="39" t="n">
        <f aca="false">J2153*Resumo!$C$7</f>
        <v>1.469979</v>
      </c>
      <c r="P2153" s="39" t="n">
        <f aca="false">J2153*Resumo!$C$8</f>
        <v>1.469979</v>
      </c>
      <c r="Q2153" s="39" t="n">
        <f aca="false">Resumo!$C$10*CEILING(I2153/100,1)</f>
        <v>1.05</v>
      </c>
      <c r="R2153" s="39" t="n">
        <f aca="false">Resumo!$C$9</f>
        <v>0</v>
      </c>
      <c r="S2153" s="39" t="n">
        <f aca="false">Resumo!$C$13</f>
        <v>13.55</v>
      </c>
      <c r="T2153" s="39" t="n">
        <f aca="false">Resumo!$C$14*CEILING(I2153,1)</f>
        <v>18.45</v>
      </c>
      <c r="U2153" s="39" t="n">
        <f aca="false">SUM(M2153:T2153)*Resumo!$C$11</f>
        <v>0</v>
      </c>
      <c r="V2153" s="39" t="n">
        <f aca="false">SUM(M2153:U2153)</f>
        <v>101.349958</v>
      </c>
      <c r="W2153" s="39" t="n">
        <f aca="false">V2153/(1-Resumo!$C$5)</f>
        <v>115.170406818182</v>
      </c>
      <c r="X2153" s="39" t="n">
        <v>93.97</v>
      </c>
      <c r="Y2153" s="39" t="n">
        <f aca="false">J2153*Resumo!$B$6</f>
        <v>0.69999</v>
      </c>
      <c r="Z2153" s="39" t="n">
        <f aca="false">J2153*Resumo!$B$7</f>
        <v>1.39998</v>
      </c>
      <c r="AA2153" s="39" t="n">
        <f aca="false">Resumo!$B$9</f>
        <v>1</v>
      </c>
      <c r="AB2153" s="39" t="n">
        <f aca="false">Resumo!$B$10*CEILING(I2153/100,1)</f>
        <v>4.5</v>
      </c>
      <c r="AC2153" s="39" t="n">
        <f aca="false">Resumo!$B$12*CEILING(I2153,1)</f>
        <v>2.46</v>
      </c>
      <c r="AD2153" s="39" t="n">
        <f aca="false">Resumo!$B$14*CEILING(I2153,1)</f>
        <v>18.45</v>
      </c>
      <c r="AE2153" s="39" t="n">
        <f aca="false">SUM(X2153:AD2153)</f>
        <v>122.47997</v>
      </c>
      <c r="AF2153" s="39" t="n">
        <f aca="false">AE2153/(1-Resumo!$B$5)</f>
        <v>139.181784090909</v>
      </c>
      <c r="AG2153" s="39" t="n">
        <f aca="false">AF2153-W2153</f>
        <v>24.0113772727273</v>
      </c>
      <c r="AH2153" s="40" t="n">
        <f aca="false">AF2153/W2153-1</f>
        <v>0.208485651271804</v>
      </c>
      <c r="AI2153" s="37" t="str">
        <f aca="false">IF(AF2153&lt;W2153,"SIM","NÃO")</f>
        <v>NÃO</v>
      </c>
      <c r="AJ2153" s="37" t="n">
        <v>2</v>
      </c>
      <c r="AK2153" s="37" t="n">
        <v>5</v>
      </c>
      <c r="AL2153" s="37" t="s">
        <v>343</v>
      </c>
      <c r="AM2153" s="39" t="n">
        <v>117.43</v>
      </c>
    </row>
    <row r="2154" customFormat="false" ht="15" hidden="false" customHeight="false" outlineLevel="0" collapsed="false">
      <c r="A2154" s="37" t="n">
        <v>400006168</v>
      </c>
      <c r="B2154" s="38" t="n">
        <v>46292.591099537</v>
      </c>
      <c r="C2154" s="37" t="s">
        <v>345</v>
      </c>
      <c r="D2154" s="37" t="s">
        <v>2259</v>
      </c>
      <c r="E2154" s="37" t="n">
        <v>24360380</v>
      </c>
      <c r="F2154" s="37" t="s">
        <v>163</v>
      </c>
      <c r="G2154" s="37" t="s">
        <v>197</v>
      </c>
      <c r="H2154" s="37" t="s">
        <v>186</v>
      </c>
      <c r="I2154" s="37" t="n">
        <v>48.6</v>
      </c>
      <c r="J2154" s="39" t="n">
        <v>604.3</v>
      </c>
      <c r="K2154" s="37" t="s">
        <v>342</v>
      </c>
      <c r="L2154" s="39" t="n">
        <v>116.98</v>
      </c>
      <c r="M2154" s="39" t="n">
        <v>65.36</v>
      </c>
      <c r="N2154" s="39" t="n">
        <f aca="false">J2154*Resumo!$C$6</f>
        <v>0</v>
      </c>
      <c r="O2154" s="39" t="n">
        <f aca="false">J2154*Resumo!$C$7</f>
        <v>1.26903</v>
      </c>
      <c r="P2154" s="39" t="n">
        <f aca="false">J2154*Resumo!$C$8</f>
        <v>1.26903</v>
      </c>
      <c r="Q2154" s="39" t="n">
        <f aca="false">Resumo!$C$10*CEILING(I2154/100,1)</f>
        <v>1.05</v>
      </c>
      <c r="R2154" s="39" t="n">
        <f aca="false">Resumo!$C$9</f>
        <v>0</v>
      </c>
      <c r="S2154" s="39" t="n">
        <f aca="false">Resumo!$C$13</f>
        <v>13.55</v>
      </c>
      <c r="T2154" s="39" t="n">
        <f aca="false">Resumo!$C$14*CEILING(I2154,1)</f>
        <v>22.05</v>
      </c>
      <c r="U2154" s="39" t="n">
        <f aca="false">SUM(M2154:T2154)*Resumo!$C$11</f>
        <v>0</v>
      </c>
      <c r="V2154" s="39" t="n">
        <f aca="false">SUM(M2154:U2154)</f>
        <v>104.54806</v>
      </c>
      <c r="W2154" s="39" t="n">
        <f aca="false">V2154/(1-Resumo!$C$5)</f>
        <v>118.804613636364</v>
      </c>
      <c r="X2154" s="39" t="n">
        <v>114.95</v>
      </c>
      <c r="Y2154" s="39" t="n">
        <f aca="false">J2154*Resumo!$B$6</f>
        <v>0.6043</v>
      </c>
      <c r="Z2154" s="39" t="n">
        <f aca="false">J2154*Resumo!$B$7</f>
        <v>1.2086</v>
      </c>
      <c r="AA2154" s="39" t="n">
        <f aca="false">Resumo!$B$9</f>
        <v>1</v>
      </c>
      <c r="AB2154" s="39" t="n">
        <f aca="false">Resumo!$B$10*CEILING(I2154/100,1)</f>
        <v>4.5</v>
      </c>
      <c r="AC2154" s="39" t="n">
        <f aca="false">Resumo!$B$12*CEILING(I2154,1)</f>
        <v>2.94</v>
      </c>
      <c r="AD2154" s="39" t="n">
        <f aca="false">Resumo!$B$14*CEILING(I2154,1)</f>
        <v>22.05</v>
      </c>
      <c r="AE2154" s="39" t="n">
        <f aca="false">SUM(X2154:AD2154)</f>
        <v>147.2529</v>
      </c>
      <c r="AF2154" s="39" t="n">
        <f aca="false">AE2154/(1-Resumo!$B$5)</f>
        <v>167.332840909091</v>
      </c>
      <c r="AG2154" s="39" t="n">
        <f aca="false">AF2154-W2154</f>
        <v>48.5282272727273</v>
      </c>
      <c r="AH2154" s="40" t="n">
        <f aca="false">AF2154/W2154-1</f>
        <v>0.408470898455696</v>
      </c>
      <c r="AI2154" s="37" t="str">
        <f aca="false">IF(AF2154&lt;W2154,"SIM","NÃO")</f>
        <v>NÃO</v>
      </c>
      <c r="AJ2154" s="37" t="n">
        <v>2</v>
      </c>
      <c r="AK2154" s="37" t="n">
        <v>7</v>
      </c>
      <c r="AL2154" s="37" t="s">
        <v>343</v>
      </c>
      <c r="AM2154" s="39" t="n">
        <v>116.97</v>
      </c>
    </row>
    <row r="2155" customFormat="false" ht="15" hidden="false" customHeight="false" outlineLevel="0" collapsed="false">
      <c r="A2155" s="37" t="n">
        <v>400008504</v>
      </c>
      <c r="B2155" s="38" t="n">
        <v>46292.5966782407</v>
      </c>
      <c r="C2155" s="37" t="s">
        <v>340</v>
      </c>
      <c r="D2155" s="37" t="s">
        <v>2260</v>
      </c>
      <c r="E2155" s="37" t="n">
        <v>23092650</v>
      </c>
      <c r="F2155" s="37" t="s">
        <v>159</v>
      </c>
      <c r="G2155" s="37" t="s">
        <v>196</v>
      </c>
      <c r="H2155" s="37" t="s">
        <v>188</v>
      </c>
      <c r="I2155" s="37" t="n">
        <v>69.45</v>
      </c>
      <c r="J2155" s="39" t="n">
        <v>859.99</v>
      </c>
      <c r="K2155" s="37" t="s">
        <v>342</v>
      </c>
      <c r="L2155" s="39" t="n">
        <v>125.33</v>
      </c>
      <c r="M2155" s="39" t="n">
        <v>63.21</v>
      </c>
      <c r="N2155" s="39" t="n">
        <f aca="false">J2155*Resumo!$C$6</f>
        <v>0</v>
      </c>
      <c r="O2155" s="39" t="n">
        <f aca="false">J2155*Resumo!$C$7</f>
        <v>1.805979</v>
      </c>
      <c r="P2155" s="39" t="n">
        <f aca="false">J2155*Resumo!$C$8</f>
        <v>1.805979</v>
      </c>
      <c r="Q2155" s="39" t="n">
        <f aca="false">Resumo!$C$10*CEILING(I2155/100,1)</f>
        <v>1.05</v>
      </c>
      <c r="R2155" s="39" t="n">
        <f aca="false">Resumo!$C$9</f>
        <v>0</v>
      </c>
      <c r="S2155" s="39" t="n">
        <f aca="false">Resumo!$C$13</f>
        <v>13.55</v>
      </c>
      <c r="T2155" s="39" t="n">
        <f aca="false">Resumo!$C$14*CEILING(I2155,1)</f>
        <v>31.5</v>
      </c>
      <c r="U2155" s="39" t="n">
        <f aca="false">SUM(M2155:T2155)*Resumo!$C$11</f>
        <v>0</v>
      </c>
      <c r="V2155" s="39" t="n">
        <f aca="false">SUM(M2155:U2155)</f>
        <v>112.921958</v>
      </c>
      <c r="W2155" s="39" t="n">
        <f aca="false">V2155/(1-Resumo!$C$5)</f>
        <v>128.320406818182</v>
      </c>
      <c r="X2155" s="39" t="n">
        <v>131.02</v>
      </c>
      <c r="Y2155" s="39" t="n">
        <f aca="false">J2155*Resumo!$B$6</f>
        <v>0.85999</v>
      </c>
      <c r="Z2155" s="39" t="n">
        <f aca="false">J2155*Resumo!$B$7</f>
        <v>1.71998</v>
      </c>
      <c r="AA2155" s="39" t="n">
        <f aca="false">Resumo!$B$9</f>
        <v>1</v>
      </c>
      <c r="AB2155" s="39" t="n">
        <f aca="false">Resumo!$B$10*CEILING(I2155/100,1)</f>
        <v>4.5</v>
      </c>
      <c r="AC2155" s="39" t="n">
        <f aca="false">Resumo!$B$12*CEILING(I2155,1)</f>
        <v>4.2</v>
      </c>
      <c r="AD2155" s="39" t="n">
        <f aca="false">Resumo!$B$14*CEILING(I2155,1)</f>
        <v>31.5</v>
      </c>
      <c r="AE2155" s="39" t="n">
        <f aca="false">SUM(X2155:AD2155)</f>
        <v>174.79997</v>
      </c>
      <c r="AF2155" s="39" t="n">
        <f aca="false">AE2155/(1-Resumo!$B$5)</f>
        <v>198.636329545455</v>
      </c>
      <c r="AG2155" s="39" t="n">
        <f aca="false">AF2155-W2155</f>
        <v>70.3159227272727</v>
      </c>
      <c r="AH2155" s="40" t="n">
        <f aca="false">AF2155/W2155-1</f>
        <v>0.547971476017091</v>
      </c>
      <c r="AI2155" s="37" t="str">
        <f aca="false">IF(AF2155&lt;W2155,"SIM","NÃO")</f>
        <v>NÃO</v>
      </c>
      <c r="AJ2155" s="37" t="n">
        <v>2</v>
      </c>
      <c r="AK2155" s="37" t="n">
        <v>5</v>
      </c>
      <c r="AL2155" s="37" t="s">
        <v>343</v>
      </c>
      <c r="AM2155" s="39" t="n">
        <v>125.33</v>
      </c>
    </row>
    <row r="2156" customFormat="false" ht="15" hidden="false" customHeight="false" outlineLevel="0" collapsed="false">
      <c r="A2156" s="37" t="n">
        <v>400011553</v>
      </c>
      <c r="B2156" s="38" t="n">
        <v>46292.6036111111</v>
      </c>
      <c r="C2156" s="37" t="s">
        <v>345</v>
      </c>
      <c r="D2156" s="37" t="s">
        <v>2261</v>
      </c>
      <c r="E2156" s="37" t="n">
        <v>23573340</v>
      </c>
      <c r="F2156" s="37" t="s">
        <v>159</v>
      </c>
      <c r="G2156" s="37" t="s">
        <v>196</v>
      </c>
      <c r="H2156" s="37" t="s">
        <v>188</v>
      </c>
      <c r="I2156" s="37" t="n">
        <v>68.1</v>
      </c>
      <c r="J2156" s="39" t="n">
        <v>960</v>
      </c>
      <c r="K2156" s="37" t="s">
        <v>342</v>
      </c>
      <c r="L2156" s="39" t="n">
        <v>125.81</v>
      </c>
      <c r="M2156" s="39" t="n">
        <v>63.21</v>
      </c>
      <c r="N2156" s="39" t="n">
        <f aca="false">J2156*Resumo!$C$6</f>
        <v>0</v>
      </c>
      <c r="O2156" s="39" t="n">
        <f aca="false">J2156*Resumo!$C$7</f>
        <v>2.016</v>
      </c>
      <c r="P2156" s="39" t="n">
        <f aca="false">J2156*Resumo!$C$8</f>
        <v>2.016</v>
      </c>
      <c r="Q2156" s="39" t="n">
        <f aca="false">Resumo!$C$10*CEILING(I2156/100,1)</f>
        <v>1.05</v>
      </c>
      <c r="R2156" s="39" t="n">
        <f aca="false">Resumo!$C$9</f>
        <v>0</v>
      </c>
      <c r="S2156" s="39" t="n">
        <f aca="false">Resumo!$C$13</f>
        <v>13.55</v>
      </c>
      <c r="T2156" s="39" t="n">
        <f aca="false">Resumo!$C$14*CEILING(I2156,1)</f>
        <v>31.05</v>
      </c>
      <c r="U2156" s="39" t="n">
        <f aca="false">SUM(M2156:T2156)*Resumo!$C$11</f>
        <v>0</v>
      </c>
      <c r="V2156" s="39" t="n">
        <f aca="false">SUM(M2156:U2156)</f>
        <v>112.892</v>
      </c>
      <c r="W2156" s="39" t="n">
        <f aca="false">V2156/(1-Resumo!$C$5)</f>
        <v>128.286363636364</v>
      </c>
      <c r="X2156" s="39" t="n">
        <v>131.02</v>
      </c>
      <c r="Y2156" s="39" t="n">
        <f aca="false">J2156*Resumo!$B$6</f>
        <v>0.96</v>
      </c>
      <c r="Z2156" s="39" t="n">
        <f aca="false">J2156*Resumo!$B$7</f>
        <v>1.92</v>
      </c>
      <c r="AA2156" s="39" t="n">
        <f aca="false">Resumo!$B$9</f>
        <v>1</v>
      </c>
      <c r="AB2156" s="39" t="n">
        <f aca="false">Resumo!$B$10*CEILING(I2156/100,1)</f>
        <v>4.5</v>
      </c>
      <c r="AC2156" s="39" t="n">
        <f aca="false">Resumo!$B$12*CEILING(I2156,1)</f>
        <v>4.14</v>
      </c>
      <c r="AD2156" s="39" t="n">
        <f aca="false">Resumo!$B$14*CEILING(I2156,1)</f>
        <v>31.05</v>
      </c>
      <c r="AE2156" s="39" t="n">
        <f aca="false">SUM(X2156:AD2156)</f>
        <v>174.59</v>
      </c>
      <c r="AF2156" s="39" t="n">
        <f aca="false">AE2156/(1-Resumo!$B$5)</f>
        <v>198.397727272727</v>
      </c>
      <c r="AG2156" s="39" t="n">
        <f aca="false">AF2156-W2156</f>
        <v>70.1113636363637</v>
      </c>
      <c r="AH2156" s="40" t="n">
        <f aca="false">AF2156/W2156-1</f>
        <v>0.546522339935514</v>
      </c>
      <c r="AI2156" s="37" t="str">
        <f aca="false">IF(AF2156&lt;W2156,"SIM","NÃO")</f>
        <v>NÃO</v>
      </c>
      <c r="AJ2156" s="37" t="n">
        <v>2</v>
      </c>
      <c r="AK2156" s="37" t="n">
        <v>5</v>
      </c>
      <c r="AL2156" s="37" t="s">
        <v>343</v>
      </c>
      <c r="AM2156" s="39" t="n">
        <v>125.81</v>
      </c>
    </row>
    <row r="2157" customFormat="false" ht="15" hidden="false" customHeight="false" outlineLevel="0" collapsed="false">
      <c r="A2157" s="37" t="n">
        <v>400019220</v>
      </c>
      <c r="B2157" s="38" t="n">
        <v>46292.6212731482</v>
      </c>
      <c r="C2157" s="37" t="s">
        <v>345</v>
      </c>
      <c r="D2157" s="37" t="s">
        <v>2262</v>
      </c>
      <c r="E2157" s="37" t="n">
        <v>23954030</v>
      </c>
      <c r="F2157" s="37" t="s">
        <v>169</v>
      </c>
      <c r="G2157" s="37" t="s">
        <v>198</v>
      </c>
      <c r="H2157" s="37" t="s">
        <v>186</v>
      </c>
      <c r="I2157" s="37" t="n">
        <v>45.3</v>
      </c>
      <c r="J2157" s="39" t="n">
        <v>689.99</v>
      </c>
      <c r="K2157" s="37" t="s">
        <v>342</v>
      </c>
      <c r="L2157" s="39" t="n">
        <v>131.47</v>
      </c>
      <c r="M2157" s="39" t="n">
        <v>77.7</v>
      </c>
      <c r="N2157" s="39" t="n">
        <f aca="false">J2157*Resumo!$C$6</f>
        <v>0</v>
      </c>
      <c r="O2157" s="39" t="n">
        <f aca="false">J2157*Resumo!$C$7</f>
        <v>1.448979</v>
      </c>
      <c r="P2157" s="39" t="n">
        <f aca="false">J2157*Resumo!$C$8</f>
        <v>1.448979</v>
      </c>
      <c r="Q2157" s="39" t="n">
        <f aca="false">Resumo!$C$10*CEILING(I2157/100,1)</f>
        <v>1.05</v>
      </c>
      <c r="R2157" s="39" t="n">
        <f aca="false">Resumo!$C$9</f>
        <v>0</v>
      </c>
      <c r="S2157" s="39" t="n">
        <f aca="false">Resumo!$C$13</f>
        <v>13.55</v>
      </c>
      <c r="T2157" s="39" t="n">
        <f aca="false">Resumo!$C$14*CEILING(I2157,1)</f>
        <v>20.7</v>
      </c>
      <c r="U2157" s="39" t="n">
        <f aca="false">SUM(M2157:T2157)*Resumo!$C$11</f>
        <v>0</v>
      </c>
      <c r="V2157" s="39" t="n">
        <f aca="false">SUM(M2157:U2157)</f>
        <v>115.897958</v>
      </c>
      <c r="W2157" s="39" t="n">
        <f aca="false">V2157/(1-Resumo!$C$5)</f>
        <v>131.702225</v>
      </c>
      <c r="X2157" s="39" t="n">
        <v>124.38</v>
      </c>
      <c r="Y2157" s="39" t="n">
        <f aca="false">J2157*Resumo!$B$6</f>
        <v>0.68999</v>
      </c>
      <c r="Z2157" s="39" t="n">
        <f aca="false">J2157*Resumo!$B$7</f>
        <v>1.37998</v>
      </c>
      <c r="AA2157" s="39" t="n">
        <f aca="false">Resumo!$B$9</f>
        <v>1</v>
      </c>
      <c r="AB2157" s="39" t="n">
        <f aca="false">Resumo!$B$10*CEILING(I2157/100,1)</f>
        <v>4.5</v>
      </c>
      <c r="AC2157" s="39" t="n">
        <f aca="false">Resumo!$B$12*CEILING(I2157,1)</f>
        <v>2.76</v>
      </c>
      <c r="AD2157" s="39" t="n">
        <f aca="false">Resumo!$B$14*CEILING(I2157,1)</f>
        <v>20.7</v>
      </c>
      <c r="AE2157" s="39" t="n">
        <f aca="false">SUM(X2157:AD2157)</f>
        <v>155.40997</v>
      </c>
      <c r="AF2157" s="39" t="n">
        <f aca="false">AE2157/(1-Resumo!$B$5)</f>
        <v>176.602238636364</v>
      </c>
      <c r="AG2157" s="39" t="n">
        <f aca="false">AF2157-W2157</f>
        <v>44.9000136363636</v>
      </c>
      <c r="AH2157" s="40" t="n">
        <f aca="false">AF2157/W2157-1</f>
        <v>0.340920691631167</v>
      </c>
      <c r="AI2157" s="37" t="str">
        <f aca="false">IF(AF2157&lt;W2157,"SIM","NÃO")</f>
        <v>NÃO</v>
      </c>
      <c r="AJ2157" s="37" t="n">
        <v>13</v>
      </c>
      <c r="AK2157" s="37" t="n">
        <v>10</v>
      </c>
      <c r="AL2157" s="37" t="s">
        <v>343</v>
      </c>
      <c r="AM2157" s="39" t="n">
        <v>131.47</v>
      </c>
    </row>
    <row r="2158" customFormat="false" ht="15" hidden="false" customHeight="false" outlineLevel="0" collapsed="false">
      <c r="A2158" s="37" t="n">
        <v>400025702</v>
      </c>
      <c r="B2158" s="38" t="n">
        <v>46292.6337037037</v>
      </c>
      <c r="C2158" s="37" t="s">
        <v>345</v>
      </c>
      <c r="D2158" s="37" t="s">
        <v>2196</v>
      </c>
      <c r="E2158" s="37" t="n">
        <v>26700000</v>
      </c>
      <c r="F2158" s="37" t="s">
        <v>241</v>
      </c>
      <c r="G2158" s="37" t="s">
        <v>198</v>
      </c>
      <c r="H2158" s="37" t="s">
        <v>185</v>
      </c>
      <c r="I2158" s="37" t="n">
        <v>36.8</v>
      </c>
      <c r="J2158" s="39" t="n">
        <v>413.7</v>
      </c>
      <c r="K2158" s="37" t="s">
        <v>342</v>
      </c>
      <c r="L2158" s="39" t="n">
        <v>122.24</v>
      </c>
      <c r="M2158" s="39" t="n">
        <v>74.97</v>
      </c>
      <c r="N2158" s="39" t="n">
        <f aca="false">J2158*Resumo!$C$6</f>
        <v>0</v>
      </c>
      <c r="O2158" s="39" t="n">
        <f aca="false">J2158*Resumo!$C$7</f>
        <v>0.86877</v>
      </c>
      <c r="P2158" s="39" t="n">
        <f aca="false">J2158*Resumo!$C$8</f>
        <v>0.86877</v>
      </c>
      <c r="Q2158" s="39" t="n">
        <f aca="false">Resumo!$C$10*CEILING(I2158/100,1)</f>
        <v>1.05</v>
      </c>
      <c r="R2158" s="39" t="n">
        <f aca="false">Resumo!$C$9</f>
        <v>0</v>
      </c>
      <c r="S2158" s="39" t="n">
        <f aca="false">Resumo!$C$13</f>
        <v>13.55</v>
      </c>
      <c r="T2158" s="39" t="n">
        <f aca="false">Resumo!$C$14*CEILING(I2158,1)</f>
        <v>16.65</v>
      </c>
      <c r="U2158" s="39" t="n">
        <f aca="false">SUM(M2158:T2158)*Resumo!$C$11</f>
        <v>0</v>
      </c>
      <c r="V2158" s="39" t="n">
        <f aca="false">SUM(M2158:U2158)</f>
        <v>107.95754</v>
      </c>
      <c r="W2158" s="39" t="n">
        <f aca="false">V2158/(1-Resumo!$C$5)</f>
        <v>122.679022727273</v>
      </c>
      <c r="X2158" s="39" t="n">
        <v>124.38</v>
      </c>
      <c r="Y2158" s="39" t="n">
        <f aca="false">J2158*Resumo!$B$6</f>
        <v>0.4137</v>
      </c>
      <c r="Z2158" s="39" t="n">
        <f aca="false">J2158*Resumo!$B$7</f>
        <v>0.8274</v>
      </c>
      <c r="AA2158" s="39" t="n">
        <f aca="false">Resumo!$B$9</f>
        <v>1</v>
      </c>
      <c r="AB2158" s="39" t="n">
        <f aca="false">Resumo!$B$10*CEILING(I2158/100,1)</f>
        <v>4.5</v>
      </c>
      <c r="AC2158" s="39" t="n">
        <f aca="false">Resumo!$B$12*CEILING(I2158,1)</f>
        <v>2.22</v>
      </c>
      <c r="AD2158" s="39" t="n">
        <f aca="false">Resumo!$B$14*CEILING(I2158,1)</f>
        <v>16.65</v>
      </c>
      <c r="AE2158" s="39" t="n">
        <f aca="false">SUM(X2158:AD2158)</f>
        <v>149.9911</v>
      </c>
      <c r="AF2158" s="39" t="n">
        <f aca="false">AE2158/(1-Resumo!$B$5)</f>
        <v>170.444431818182</v>
      </c>
      <c r="AG2158" s="39" t="n">
        <f aca="false">AF2158-W2158</f>
        <v>47.7654090909091</v>
      </c>
      <c r="AH2158" s="40" t="n">
        <f aca="false">AF2158/W2158-1</f>
        <v>0.38935270292376</v>
      </c>
      <c r="AI2158" s="37" t="str">
        <f aca="false">IF(AF2158&lt;W2158,"SIM","NÃO")</f>
        <v>NÃO</v>
      </c>
      <c r="AJ2158" s="37" t="n">
        <v>13</v>
      </c>
      <c r="AK2158" s="37" t="n">
        <v>10</v>
      </c>
      <c r="AL2158" s="37" t="s">
        <v>347</v>
      </c>
      <c r="AM2158" s="39" t="n">
        <v>122.23</v>
      </c>
    </row>
    <row r="2159" customFormat="false" ht="15" hidden="false" customHeight="false" outlineLevel="0" collapsed="false">
      <c r="A2159" s="37" t="n">
        <v>400007665</v>
      </c>
      <c r="B2159" s="38" t="n">
        <v>46292.7234606482</v>
      </c>
      <c r="C2159" s="37" t="s">
        <v>361</v>
      </c>
      <c r="D2159" s="37" t="s">
        <v>2263</v>
      </c>
      <c r="E2159" s="37" t="n">
        <v>25730050</v>
      </c>
      <c r="F2159" s="37" t="s">
        <v>170</v>
      </c>
      <c r="G2159" s="37" t="s">
        <v>198</v>
      </c>
      <c r="H2159" s="37" t="s">
        <v>186</v>
      </c>
      <c r="I2159" s="37" t="n">
        <v>45.3</v>
      </c>
      <c r="J2159" s="39" t="n">
        <v>699.99</v>
      </c>
      <c r="K2159" s="37" t="s">
        <v>342</v>
      </c>
      <c r="L2159" s="39" t="n">
        <v>131.51</v>
      </c>
      <c r="M2159" s="39" t="n">
        <v>77.7</v>
      </c>
      <c r="N2159" s="39" t="n">
        <f aca="false">J2159*Resumo!$C$6</f>
        <v>0</v>
      </c>
      <c r="O2159" s="39" t="n">
        <f aca="false">J2159*Resumo!$C$7</f>
        <v>1.469979</v>
      </c>
      <c r="P2159" s="39" t="n">
        <f aca="false">J2159*Resumo!$C$8</f>
        <v>1.469979</v>
      </c>
      <c r="Q2159" s="39" t="n">
        <f aca="false">Resumo!$C$10*CEILING(I2159/100,1)</f>
        <v>1.05</v>
      </c>
      <c r="R2159" s="39" t="n">
        <f aca="false">Resumo!$C$9</f>
        <v>0</v>
      </c>
      <c r="S2159" s="39" t="n">
        <f aca="false">Resumo!$C$13</f>
        <v>13.55</v>
      </c>
      <c r="T2159" s="39" t="n">
        <f aca="false">Resumo!$C$14*CEILING(I2159,1)</f>
        <v>20.7</v>
      </c>
      <c r="U2159" s="39" t="n">
        <f aca="false">SUM(M2159:T2159)*Resumo!$C$11</f>
        <v>0</v>
      </c>
      <c r="V2159" s="39" t="n">
        <f aca="false">SUM(M2159:U2159)</f>
        <v>115.939958</v>
      </c>
      <c r="W2159" s="39" t="n">
        <f aca="false">V2159/(1-Resumo!$C$5)</f>
        <v>131.749952272727</v>
      </c>
      <c r="X2159" s="39" t="n">
        <v>124.38</v>
      </c>
      <c r="Y2159" s="39" t="n">
        <f aca="false">J2159*Resumo!$B$6</f>
        <v>0.69999</v>
      </c>
      <c r="Z2159" s="39" t="n">
        <f aca="false">J2159*Resumo!$B$7</f>
        <v>1.39998</v>
      </c>
      <c r="AA2159" s="39" t="n">
        <f aca="false">Resumo!$B$9</f>
        <v>1</v>
      </c>
      <c r="AB2159" s="39" t="n">
        <f aca="false">Resumo!$B$10*CEILING(I2159/100,1)</f>
        <v>4.5</v>
      </c>
      <c r="AC2159" s="39" t="n">
        <f aca="false">Resumo!$B$12*CEILING(I2159,1)</f>
        <v>2.76</v>
      </c>
      <c r="AD2159" s="39" t="n">
        <f aca="false">Resumo!$B$14*CEILING(I2159,1)</f>
        <v>20.7</v>
      </c>
      <c r="AE2159" s="39" t="n">
        <f aca="false">SUM(X2159:AD2159)</f>
        <v>155.43997</v>
      </c>
      <c r="AF2159" s="39" t="n">
        <f aca="false">AE2159/(1-Resumo!$B$5)</f>
        <v>176.636329545455</v>
      </c>
      <c r="AG2159" s="39" t="n">
        <f aca="false">AF2159-W2159</f>
        <v>44.8863772727273</v>
      </c>
      <c r="AH2159" s="40" t="n">
        <f aca="false">AF2159/W2159-1</f>
        <v>0.340693689055847</v>
      </c>
      <c r="AI2159" s="37" t="str">
        <f aca="false">IF(AF2159&lt;W2159,"SIM","NÃO")</f>
        <v>NÃO</v>
      </c>
      <c r="AJ2159" s="37" t="n">
        <v>13</v>
      </c>
      <c r="AK2159" s="37" t="n">
        <v>8</v>
      </c>
      <c r="AL2159" s="37" t="s">
        <v>343</v>
      </c>
      <c r="AM2159" s="39" t="n">
        <v>131.52</v>
      </c>
    </row>
    <row r="2160" customFormat="false" ht="15" hidden="false" customHeight="false" outlineLevel="0" collapsed="false">
      <c r="A2160" s="37" t="n">
        <v>400073896</v>
      </c>
      <c r="B2160" s="38" t="n">
        <v>46292.7462731482</v>
      </c>
      <c r="C2160" s="37" t="s">
        <v>340</v>
      </c>
      <c r="D2160" s="37" t="s">
        <v>2264</v>
      </c>
      <c r="E2160" s="37" t="n">
        <v>26087535</v>
      </c>
      <c r="F2160" s="37" t="s">
        <v>162</v>
      </c>
      <c r="G2160" s="37" t="s">
        <v>197</v>
      </c>
      <c r="H2160" s="37" t="s">
        <v>185</v>
      </c>
      <c r="I2160" s="37" t="n">
        <v>36.9</v>
      </c>
      <c r="J2160" s="39" t="n">
        <v>378.99</v>
      </c>
      <c r="K2160" s="37" t="s">
        <v>342</v>
      </c>
      <c r="L2160" s="39" t="n">
        <v>112.77</v>
      </c>
      <c r="M2160" s="39" t="n">
        <v>66.83</v>
      </c>
      <c r="N2160" s="39" t="n">
        <f aca="false">J2160*Resumo!$C$6</f>
        <v>0</v>
      </c>
      <c r="O2160" s="39" t="n">
        <f aca="false">J2160*Resumo!$C$7</f>
        <v>0.795879</v>
      </c>
      <c r="P2160" s="39" t="n">
        <f aca="false">J2160*Resumo!$C$8</f>
        <v>0.795879</v>
      </c>
      <c r="Q2160" s="39" t="n">
        <f aca="false">Resumo!$C$10*CEILING(I2160/100,1)</f>
        <v>1.05</v>
      </c>
      <c r="R2160" s="39" t="n">
        <f aca="false">Resumo!$C$9</f>
        <v>0</v>
      </c>
      <c r="S2160" s="39" t="n">
        <f aca="false">Resumo!$C$13</f>
        <v>13.55</v>
      </c>
      <c r="T2160" s="39" t="n">
        <f aca="false">Resumo!$C$14*CEILING(I2160,1)</f>
        <v>16.65</v>
      </c>
      <c r="U2160" s="39" t="n">
        <f aca="false">SUM(M2160:T2160)*Resumo!$C$11</f>
        <v>0</v>
      </c>
      <c r="V2160" s="39" t="n">
        <f aca="false">SUM(M2160:U2160)</f>
        <v>99.671758</v>
      </c>
      <c r="W2160" s="39" t="n">
        <f aca="false">V2160/(1-Resumo!$C$5)</f>
        <v>113.263361363636</v>
      </c>
      <c r="X2160" s="39" t="n">
        <v>93.97</v>
      </c>
      <c r="Y2160" s="39" t="n">
        <f aca="false">J2160*Resumo!$B$6</f>
        <v>0.37899</v>
      </c>
      <c r="Z2160" s="39" t="n">
        <f aca="false">J2160*Resumo!$B$7</f>
        <v>0.75798</v>
      </c>
      <c r="AA2160" s="39" t="n">
        <f aca="false">Resumo!$B$9</f>
        <v>1</v>
      </c>
      <c r="AB2160" s="39" t="n">
        <f aca="false">Resumo!$B$10*CEILING(I2160/100,1)</f>
        <v>4.5</v>
      </c>
      <c r="AC2160" s="39" t="n">
        <f aca="false">Resumo!$B$12*CEILING(I2160,1)</f>
        <v>2.22</v>
      </c>
      <c r="AD2160" s="39" t="n">
        <f aca="false">Resumo!$B$14*CEILING(I2160,1)</f>
        <v>16.65</v>
      </c>
      <c r="AE2160" s="39" t="n">
        <f aca="false">SUM(X2160:AD2160)</f>
        <v>119.47697</v>
      </c>
      <c r="AF2160" s="39" t="n">
        <f aca="false">AE2160/(1-Resumo!$B$5)</f>
        <v>135.769284090909</v>
      </c>
      <c r="AG2160" s="39" t="n">
        <f aca="false">AF2160-W2160</f>
        <v>22.5059227272727</v>
      </c>
      <c r="AH2160" s="40" t="n">
        <f aca="false">AF2160/W2160-1</f>
        <v>0.198704351136257</v>
      </c>
      <c r="AI2160" s="37" t="str">
        <f aca="false">IF(AF2160&lt;W2160,"SIM","NÃO")</f>
        <v>NÃO</v>
      </c>
      <c r="AJ2160" s="37" t="n">
        <v>2</v>
      </c>
      <c r="AK2160" s="37" t="n">
        <v>5</v>
      </c>
      <c r="AL2160" s="37" t="s">
        <v>343</v>
      </c>
      <c r="AM2160" s="39" t="n">
        <v>112.77</v>
      </c>
    </row>
    <row r="2161" customFormat="false" ht="15" hidden="false" customHeight="false" outlineLevel="0" collapsed="false">
      <c r="A2161" s="37" t="n">
        <v>400085078</v>
      </c>
      <c r="B2161" s="38" t="n">
        <v>46292.7734375</v>
      </c>
      <c r="C2161" s="37" t="s">
        <v>345</v>
      </c>
      <c r="D2161" s="37" t="s">
        <v>1108</v>
      </c>
      <c r="E2161" s="37" t="n">
        <v>25555221</v>
      </c>
      <c r="F2161" s="37" t="s">
        <v>167</v>
      </c>
      <c r="G2161" s="37" t="s">
        <v>197</v>
      </c>
      <c r="H2161" s="37" t="s">
        <v>187</v>
      </c>
      <c r="I2161" s="37" t="n">
        <v>58.6</v>
      </c>
      <c r="J2161" s="39" t="n">
        <v>658.98</v>
      </c>
      <c r="K2161" s="37" t="s">
        <v>342</v>
      </c>
      <c r="L2161" s="39" t="n">
        <v>128.44</v>
      </c>
      <c r="M2161" s="39" t="n">
        <v>70.98</v>
      </c>
      <c r="N2161" s="39" t="n">
        <f aca="false">J2161*Resumo!$C$6</f>
        <v>0</v>
      </c>
      <c r="O2161" s="39" t="n">
        <f aca="false">J2161*Resumo!$C$7</f>
        <v>1.383858</v>
      </c>
      <c r="P2161" s="39" t="n">
        <f aca="false">J2161*Resumo!$C$8</f>
        <v>1.383858</v>
      </c>
      <c r="Q2161" s="39" t="n">
        <f aca="false">Resumo!$C$10*CEILING(I2161/100,1)</f>
        <v>1.05</v>
      </c>
      <c r="R2161" s="39" t="n">
        <f aca="false">Resumo!$C$9</f>
        <v>0</v>
      </c>
      <c r="S2161" s="39" t="n">
        <f aca="false">Resumo!$C$13</f>
        <v>13.55</v>
      </c>
      <c r="T2161" s="39" t="n">
        <f aca="false">Resumo!$C$14*CEILING(I2161,1)</f>
        <v>26.55</v>
      </c>
      <c r="U2161" s="39" t="n">
        <f aca="false">SUM(M2161:T2161)*Resumo!$C$11</f>
        <v>0</v>
      </c>
      <c r="V2161" s="39" t="n">
        <f aca="false">SUM(M2161:U2161)</f>
        <v>114.897716</v>
      </c>
      <c r="W2161" s="39" t="n">
        <f aca="false">V2161/(1-Resumo!$C$5)</f>
        <v>130.565586363636</v>
      </c>
      <c r="X2161" s="39" t="n">
        <v>112.3</v>
      </c>
      <c r="Y2161" s="39" t="n">
        <f aca="false">J2161*Resumo!$B$6</f>
        <v>0.65898</v>
      </c>
      <c r="Z2161" s="39" t="n">
        <f aca="false">J2161*Resumo!$B$7</f>
        <v>1.31796</v>
      </c>
      <c r="AA2161" s="39" t="n">
        <f aca="false">Resumo!$B$9</f>
        <v>1</v>
      </c>
      <c r="AB2161" s="39" t="n">
        <f aca="false">Resumo!$B$10*CEILING(I2161/100,1)</f>
        <v>4.5</v>
      </c>
      <c r="AC2161" s="39" t="n">
        <f aca="false">Resumo!$B$12*CEILING(I2161,1)</f>
        <v>3.54</v>
      </c>
      <c r="AD2161" s="39" t="n">
        <f aca="false">Resumo!$B$14*CEILING(I2161,1)</f>
        <v>26.55</v>
      </c>
      <c r="AE2161" s="39" t="n">
        <f aca="false">SUM(X2161:AD2161)</f>
        <v>149.86694</v>
      </c>
      <c r="AF2161" s="39" t="n">
        <f aca="false">AE2161/(1-Resumo!$B$5)</f>
        <v>170.303340909091</v>
      </c>
      <c r="AG2161" s="39" t="n">
        <f aca="false">AF2161-W2161</f>
        <v>39.7377545454546</v>
      </c>
      <c r="AH2161" s="40" t="n">
        <f aca="false">AF2161/W2161-1</f>
        <v>0.304350906331332</v>
      </c>
      <c r="AI2161" s="37" t="str">
        <f aca="false">IF(AF2161&lt;W2161,"SIM","NÃO")</f>
        <v>NÃO</v>
      </c>
      <c r="AJ2161" s="37" t="n">
        <v>2</v>
      </c>
      <c r="AK2161" s="37" t="n">
        <v>5</v>
      </c>
      <c r="AL2161" s="37" t="s">
        <v>343</v>
      </c>
      <c r="AM2161" s="39" t="n">
        <v>128.44</v>
      </c>
    </row>
    <row r="2162" customFormat="false" ht="15" hidden="false" customHeight="false" outlineLevel="0" collapsed="false">
      <c r="A2162" s="37" t="n">
        <v>400088243</v>
      </c>
      <c r="B2162" s="38" t="n">
        <v>46292.7809143519</v>
      </c>
      <c r="C2162" s="37" t="s">
        <v>340</v>
      </c>
      <c r="D2162" s="37" t="s">
        <v>2265</v>
      </c>
      <c r="E2162" s="37" t="n">
        <v>27961086</v>
      </c>
      <c r="F2162" s="37" t="s">
        <v>166</v>
      </c>
      <c r="G2162" s="37" t="s">
        <v>198</v>
      </c>
      <c r="H2162" s="37" t="s">
        <v>186</v>
      </c>
      <c r="I2162" s="37" t="n">
        <v>45.3</v>
      </c>
      <c r="J2162" s="39" t="n">
        <v>699.99</v>
      </c>
      <c r="K2162" s="37" t="s">
        <v>342</v>
      </c>
      <c r="L2162" s="39" t="n">
        <v>131.51</v>
      </c>
      <c r="M2162" s="39" t="n">
        <v>77.7</v>
      </c>
      <c r="N2162" s="39" t="n">
        <f aca="false">J2162*Resumo!$C$6</f>
        <v>0</v>
      </c>
      <c r="O2162" s="39" t="n">
        <f aca="false">J2162*Resumo!$C$7</f>
        <v>1.469979</v>
      </c>
      <c r="P2162" s="39" t="n">
        <f aca="false">J2162*Resumo!$C$8</f>
        <v>1.469979</v>
      </c>
      <c r="Q2162" s="39" t="n">
        <f aca="false">Resumo!$C$10*CEILING(I2162/100,1)</f>
        <v>1.05</v>
      </c>
      <c r="R2162" s="39" t="n">
        <f aca="false">Resumo!$C$9</f>
        <v>0</v>
      </c>
      <c r="S2162" s="39" t="n">
        <f aca="false">Resumo!$C$13</f>
        <v>13.55</v>
      </c>
      <c r="T2162" s="39" t="n">
        <f aca="false">Resumo!$C$14*CEILING(I2162,1)</f>
        <v>20.7</v>
      </c>
      <c r="U2162" s="39" t="n">
        <f aca="false">SUM(M2162:T2162)*Resumo!$C$11</f>
        <v>0</v>
      </c>
      <c r="V2162" s="39" t="n">
        <f aca="false">SUM(M2162:U2162)</f>
        <v>115.939958</v>
      </c>
      <c r="W2162" s="39" t="n">
        <f aca="false">V2162/(1-Resumo!$C$5)</f>
        <v>131.749952272727</v>
      </c>
      <c r="X2162" s="39" t="n">
        <v>152.54</v>
      </c>
      <c r="Y2162" s="39" t="n">
        <f aca="false">J2162*Resumo!$B$6</f>
        <v>0.69999</v>
      </c>
      <c r="Z2162" s="39" t="n">
        <f aca="false">J2162*Resumo!$B$7</f>
        <v>1.39998</v>
      </c>
      <c r="AA2162" s="39" t="n">
        <f aca="false">Resumo!$B$9</f>
        <v>1</v>
      </c>
      <c r="AB2162" s="39" t="n">
        <f aca="false">Resumo!$B$10*CEILING(I2162/100,1)</f>
        <v>4.5</v>
      </c>
      <c r="AC2162" s="39" t="n">
        <f aca="false">Resumo!$B$12*CEILING(I2162,1)</f>
        <v>2.76</v>
      </c>
      <c r="AD2162" s="39" t="n">
        <f aca="false">Resumo!$B$14*CEILING(I2162,1)</f>
        <v>20.7</v>
      </c>
      <c r="AE2162" s="39" t="n">
        <f aca="false">SUM(X2162:AD2162)</f>
        <v>183.59997</v>
      </c>
      <c r="AF2162" s="39" t="n">
        <f aca="false">AE2162/(1-Resumo!$B$5)</f>
        <v>208.636329545455</v>
      </c>
      <c r="AG2162" s="39" t="n">
        <f aca="false">AF2162-W2162</f>
        <v>76.8863772727272</v>
      </c>
      <c r="AH2162" s="40" t="n">
        <f aca="false">AF2162/W2162-1</f>
        <v>0.583578027516622</v>
      </c>
      <c r="AI2162" s="37" t="str">
        <f aca="false">IF(AF2162&lt;W2162,"SIM","NÃO")</f>
        <v>NÃO</v>
      </c>
      <c r="AJ2162" s="37" t="n">
        <v>13</v>
      </c>
      <c r="AK2162" s="37" t="n">
        <v>11</v>
      </c>
      <c r="AL2162" s="37" t="s">
        <v>343</v>
      </c>
      <c r="AM2162" s="39" t="n">
        <v>131.52</v>
      </c>
    </row>
    <row r="2163" customFormat="false" ht="15" hidden="false" customHeight="false" outlineLevel="0" collapsed="false">
      <c r="A2163" s="37" t="n">
        <v>400096191</v>
      </c>
      <c r="B2163" s="38" t="n">
        <v>46292.7994907407</v>
      </c>
      <c r="C2163" s="37" t="s">
        <v>345</v>
      </c>
      <c r="D2163" s="37" t="s">
        <v>2266</v>
      </c>
      <c r="E2163" s="37" t="n">
        <v>23885000</v>
      </c>
      <c r="F2163" s="37" t="s">
        <v>219</v>
      </c>
      <c r="G2163" s="37" t="s">
        <v>198</v>
      </c>
      <c r="H2163" s="37" t="s">
        <v>190</v>
      </c>
      <c r="I2163" s="37" t="n">
        <v>82</v>
      </c>
      <c r="J2163" s="39" t="n">
        <v>1399.98</v>
      </c>
      <c r="K2163" s="37" t="s">
        <v>342</v>
      </c>
      <c r="L2163" s="39" t="n">
        <v>195.31</v>
      </c>
      <c r="M2163" s="39" t="n">
        <v>109.63</v>
      </c>
      <c r="N2163" s="39" t="n">
        <f aca="false">J2163*Resumo!$C$6</f>
        <v>0</v>
      </c>
      <c r="O2163" s="39" t="n">
        <f aca="false">J2163*Resumo!$C$7</f>
        <v>2.939958</v>
      </c>
      <c r="P2163" s="39" t="n">
        <f aca="false">J2163*Resumo!$C$8</f>
        <v>2.939958</v>
      </c>
      <c r="Q2163" s="39" t="n">
        <f aca="false">Resumo!$C$10*CEILING(I2163/100,1)</f>
        <v>1.05</v>
      </c>
      <c r="R2163" s="39" t="n">
        <f aca="false">Resumo!$C$9</f>
        <v>0</v>
      </c>
      <c r="S2163" s="39" t="n">
        <f aca="false">Resumo!$C$13</f>
        <v>13.55</v>
      </c>
      <c r="T2163" s="39" t="n">
        <f aca="false">Resumo!$C$14*CEILING(I2163,1)</f>
        <v>36.9</v>
      </c>
      <c r="U2163" s="39" t="n">
        <f aca="false">SUM(M2163:T2163)*Resumo!$C$11</f>
        <v>0</v>
      </c>
      <c r="V2163" s="39" t="n">
        <f aca="false">SUM(M2163:U2163)</f>
        <v>167.009916</v>
      </c>
      <c r="W2163" s="39" t="n">
        <f aca="false">V2163/(1-Resumo!$C$5)</f>
        <v>189.783995454545</v>
      </c>
      <c r="X2163" s="39" t="n">
        <v>197.35</v>
      </c>
      <c r="Y2163" s="39" t="n">
        <f aca="false">J2163*Resumo!$B$6</f>
        <v>1.39998</v>
      </c>
      <c r="Z2163" s="39" t="n">
        <f aca="false">J2163*Resumo!$B$7</f>
        <v>2.79996</v>
      </c>
      <c r="AA2163" s="39" t="n">
        <f aca="false">Resumo!$B$9</f>
        <v>1</v>
      </c>
      <c r="AB2163" s="39" t="n">
        <f aca="false">Resumo!$B$10*CEILING(I2163/100,1)</f>
        <v>4.5</v>
      </c>
      <c r="AC2163" s="39" t="n">
        <f aca="false">Resumo!$B$12*CEILING(I2163,1)</f>
        <v>4.92</v>
      </c>
      <c r="AD2163" s="39" t="n">
        <f aca="false">Resumo!$B$14*CEILING(I2163,1)</f>
        <v>36.9</v>
      </c>
      <c r="AE2163" s="39" t="n">
        <f aca="false">SUM(X2163:AD2163)</f>
        <v>248.86994</v>
      </c>
      <c r="AF2163" s="39" t="n">
        <f aca="false">AE2163/(1-Resumo!$B$5)</f>
        <v>282.80675</v>
      </c>
      <c r="AG2163" s="39" t="n">
        <f aca="false">AF2163-W2163</f>
        <v>93.0227545454546</v>
      </c>
      <c r="AH2163" s="40" t="n">
        <f aca="false">AF2163/W2163-1</f>
        <v>0.490150680633838</v>
      </c>
      <c r="AI2163" s="37" t="str">
        <f aca="false">IF(AF2163&lt;W2163,"SIM","NÃO")</f>
        <v>NÃO</v>
      </c>
      <c r="AJ2163" s="37" t="n">
        <v>13</v>
      </c>
      <c r="AK2163" s="37" t="n">
        <v>10</v>
      </c>
      <c r="AL2163" s="37" t="s">
        <v>347</v>
      </c>
      <c r="AM2163" s="39" t="n">
        <v>195.31</v>
      </c>
    </row>
    <row r="2164" customFormat="false" ht="15" hidden="false" customHeight="false" outlineLevel="0" collapsed="false">
      <c r="A2164" s="37" t="n">
        <v>400103950</v>
      </c>
      <c r="B2164" s="38" t="n">
        <v>46292.818587963</v>
      </c>
      <c r="C2164" s="37" t="s">
        <v>345</v>
      </c>
      <c r="D2164" s="37" t="s">
        <v>2267</v>
      </c>
      <c r="E2164" s="37" t="n">
        <v>20780370</v>
      </c>
      <c r="F2164" s="37" t="s">
        <v>159</v>
      </c>
      <c r="G2164" s="37" t="s">
        <v>196</v>
      </c>
      <c r="H2164" s="37" t="s">
        <v>187</v>
      </c>
      <c r="I2164" s="37" t="n">
        <v>52.3</v>
      </c>
      <c r="J2164" s="39" t="n">
        <v>636.83</v>
      </c>
      <c r="K2164" s="37" t="s">
        <v>342</v>
      </c>
      <c r="L2164" s="39" t="n">
        <v>114.19</v>
      </c>
      <c r="M2164" s="39" t="n">
        <v>58.6</v>
      </c>
      <c r="N2164" s="39" t="n">
        <f aca="false">J2164*Resumo!$C$6</f>
        <v>0</v>
      </c>
      <c r="O2164" s="39" t="n">
        <f aca="false">J2164*Resumo!$C$7</f>
        <v>1.337343</v>
      </c>
      <c r="P2164" s="39" t="n">
        <f aca="false">J2164*Resumo!$C$8</f>
        <v>1.337343</v>
      </c>
      <c r="Q2164" s="39" t="n">
        <f aca="false">Resumo!$C$10*CEILING(I2164/100,1)</f>
        <v>1.05</v>
      </c>
      <c r="R2164" s="39" t="n">
        <f aca="false">Resumo!$C$9</f>
        <v>0</v>
      </c>
      <c r="S2164" s="39" t="n">
        <f aca="false">Resumo!$C$13</f>
        <v>13.55</v>
      </c>
      <c r="T2164" s="39" t="n">
        <f aca="false">Resumo!$C$14*CEILING(I2164,1)</f>
        <v>23.85</v>
      </c>
      <c r="U2164" s="39" t="n">
        <f aca="false">SUM(M2164:T2164)*Resumo!$C$11</f>
        <v>0</v>
      </c>
      <c r="V2164" s="39" t="n">
        <f aca="false">SUM(M2164:U2164)</f>
        <v>99.724686</v>
      </c>
      <c r="W2164" s="39" t="n">
        <f aca="false">V2164/(1-Resumo!$C$5)</f>
        <v>113.323506818182</v>
      </c>
      <c r="X2164" s="39" t="n">
        <v>112.3</v>
      </c>
      <c r="Y2164" s="39" t="n">
        <f aca="false">J2164*Resumo!$B$6</f>
        <v>0.63683</v>
      </c>
      <c r="Z2164" s="39" t="n">
        <f aca="false">J2164*Resumo!$B$7</f>
        <v>1.27366</v>
      </c>
      <c r="AA2164" s="39" t="n">
        <f aca="false">Resumo!$B$9</f>
        <v>1</v>
      </c>
      <c r="AB2164" s="39" t="n">
        <f aca="false">Resumo!$B$10*CEILING(I2164/100,1)</f>
        <v>4.5</v>
      </c>
      <c r="AC2164" s="39" t="n">
        <f aca="false">Resumo!$B$12*CEILING(I2164,1)</f>
        <v>3.18</v>
      </c>
      <c r="AD2164" s="39" t="n">
        <f aca="false">Resumo!$B$14*CEILING(I2164,1)</f>
        <v>23.85</v>
      </c>
      <c r="AE2164" s="39" t="n">
        <f aca="false">SUM(X2164:AD2164)</f>
        <v>146.74049</v>
      </c>
      <c r="AF2164" s="39" t="n">
        <f aca="false">AE2164/(1-Resumo!$B$5)</f>
        <v>166.750556818182</v>
      </c>
      <c r="AG2164" s="39" t="n">
        <f aca="false">AF2164-W2164</f>
        <v>53.42705</v>
      </c>
      <c r="AH2164" s="40" t="n">
        <f aca="false">AF2164/W2164-1</f>
        <v>0.471456024439124</v>
      </c>
      <c r="AI2164" s="37" t="str">
        <f aca="false">IF(AF2164&lt;W2164,"SIM","NÃO")</f>
        <v>NÃO</v>
      </c>
      <c r="AJ2164" s="37" t="n">
        <v>2</v>
      </c>
      <c r="AK2164" s="37" t="n">
        <v>5</v>
      </c>
      <c r="AL2164" s="37" t="s">
        <v>343</v>
      </c>
      <c r="AM2164" s="39" t="n">
        <v>114.2</v>
      </c>
    </row>
    <row r="2165" customFormat="false" ht="15" hidden="false" customHeight="false" outlineLevel="0" collapsed="false">
      <c r="A2165" s="37" t="n">
        <v>400131733</v>
      </c>
      <c r="B2165" s="38" t="n">
        <v>46292.8835300926</v>
      </c>
      <c r="C2165" s="37" t="s">
        <v>340</v>
      </c>
      <c r="D2165" s="37" t="s">
        <v>2268</v>
      </c>
      <c r="E2165" s="37" t="n">
        <v>28625805</v>
      </c>
      <c r="F2165" s="37" t="s">
        <v>177</v>
      </c>
      <c r="G2165" s="37" t="s">
        <v>198</v>
      </c>
      <c r="H2165" s="37" t="s">
        <v>184</v>
      </c>
      <c r="I2165" s="37" t="n">
        <v>25.4</v>
      </c>
      <c r="J2165" s="39" t="n">
        <v>439.99</v>
      </c>
      <c r="K2165" s="37" t="s">
        <v>342</v>
      </c>
      <c r="L2165" s="39" t="n">
        <v>109.28</v>
      </c>
      <c r="M2165" s="39" t="n">
        <v>65.63</v>
      </c>
      <c r="N2165" s="39" t="n">
        <f aca="false">J2165*Resumo!$C$6</f>
        <v>0</v>
      </c>
      <c r="O2165" s="39" t="n">
        <f aca="false">J2165*Resumo!$C$7</f>
        <v>0.923979</v>
      </c>
      <c r="P2165" s="39" t="n">
        <f aca="false">J2165*Resumo!$C$8</f>
        <v>0.923979</v>
      </c>
      <c r="Q2165" s="39" t="n">
        <f aca="false">Resumo!$C$10*CEILING(I2165/100,1)</f>
        <v>1.05</v>
      </c>
      <c r="R2165" s="39" t="n">
        <f aca="false">Resumo!$C$9</f>
        <v>0</v>
      </c>
      <c r="S2165" s="39" t="n">
        <f aca="false">Resumo!$C$13</f>
        <v>13.55</v>
      </c>
      <c r="T2165" s="39" t="n">
        <f aca="false">Resumo!$C$14*CEILING(I2165,1)</f>
        <v>11.7</v>
      </c>
      <c r="U2165" s="39" t="n">
        <f aca="false">SUM(M2165:T2165)*Resumo!$C$11</f>
        <v>0</v>
      </c>
      <c r="V2165" s="39" t="n">
        <f aca="false">SUM(M2165:U2165)</f>
        <v>93.777958</v>
      </c>
      <c r="W2165" s="39" t="n">
        <f aca="false">V2165/(1-Resumo!$C$5)</f>
        <v>106.565861363636</v>
      </c>
      <c r="X2165" s="39" t="n">
        <v>120.78</v>
      </c>
      <c r="Y2165" s="39" t="n">
        <f aca="false">J2165*Resumo!$B$6</f>
        <v>0.43999</v>
      </c>
      <c r="Z2165" s="39" t="n">
        <f aca="false">J2165*Resumo!$B$7</f>
        <v>0.87998</v>
      </c>
      <c r="AA2165" s="39" t="n">
        <f aca="false">Resumo!$B$9</f>
        <v>1</v>
      </c>
      <c r="AB2165" s="39" t="n">
        <f aca="false">Resumo!$B$10*CEILING(I2165/100,1)</f>
        <v>4.5</v>
      </c>
      <c r="AC2165" s="39" t="n">
        <f aca="false">Resumo!$B$12*CEILING(I2165,1)</f>
        <v>1.56</v>
      </c>
      <c r="AD2165" s="39" t="n">
        <f aca="false">Resumo!$B$14*CEILING(I2165,1)</f>
        <v>11.7</v>
      </c>
      <c r="AE2165" s="39" t="n">
        <f aca="false">SUM(X2165:AD2165)</f>
        <v>140.85997</v>
      </c>
      <c r="AF2165" s="39" t="n">
        <f aca="false">AE2165/(1-Resumo!$B$5)</f>
        <v>160.068147727273</v>
      </c>
      <c r="AG2165" s="39" t="n">
        <f aca="false">AF2165-W2165</f>
        <v>53.5022863636363</v>
      </c>
      <c r="AH2165" s="40" t="n">
        <f aca="false">AF2165/W2165-1</f>
        <v>0.502058404811928</v>
      </c>
      <c r="AI2165" s="37" t="str">
        <f aca="false">IF(AF2165&lt;W2165,"SIM","NÃO")</f>
        <v>NÃO</v>
      </c>
      <c r="AJ2165" s="37" t="n">
        <v>13</v>
      </c>
      <c r="AK2165" s="37" t="n">
        <v>10</v>
      </c>
      <c r="AL2165" s="37" t="s">
        <v>343</v>
      </c>
      <c r="AM2165" s="39" t="n">
        <v>109.29</v>
      </c>
    </row>
    <row r="2166" customFormat="false" ht="15" hidden="false" customHeight="false" outlineLevel="0" collapsed="false">
      <c r="A2166" s="37" t="n">
        <v>400134935</v>
      </c>
      <c r="B2166" s="38" t="n">
        <v>46292.891400463</v>
      </c>
      <c r="C2166" s="37" t="s">
        <v>345</v>
      </c>
      <c r="D2166" s="37" t="s">
        <v>1108</v>
      </c>
      <c r="E2166" s="37" t="n">
        <v>25555221</v>
      </c>
      <c r="F2166" s="37" t="s">
        <v>167</v>
      </c>
      <c r="G2166" s="37" t="s">
        <v>197</v>
      </c>
      <c r="H2166" s="37" t="s">
        <v>187</v>
      </c>
      <c r="I2166" s="37" t="n">
        <v>58.6</v>
      </c>
      <c r="J2166" s="39" t="n">
        <v>658.98</v>
      </c>
      <c r="K2166" s="37" t="s">
        <v>342</v>
      </c>
      <c r="L2166" s="39" t="n">
        <v>128.44</v>
      </c>
      <c r="M2166" s="39" t="n">
        <v>70.98</v>
      </c>
      <c r="N2166" s="39" t="n">
        <f aca="false">J2166*Resumo!$C$6</f>
        <v>0</v>
      </c>
      <c r="O2166" s="39" t="n">
        <f aca="false">J2166*Resumo!$C$7</f>
        <v>1.383858</v>
      </c>
      <c r="P2166" s="39" t="n">
        <f aca="false">J2166*Resumo!$C$8</f>
        <v>1.383858</v>
      </c>
      <c r="Q2166" s="39" t="n">
        <f aca="false">Resumo!$C$10*CEILING(I2166/100,1)</f>
        <v>1.05</v>
      </c>
      <c r="R2166" s="39" t="n">
        <f aca="false">Resumo!$C$9</f>
        <v>0</v>
      </c>
      <c r="S2166" s="39" t="n">
        <f aca="false">Resumo!$C$13</f>
        <v>13.55</v>
      </c>
      <c r="T2166" s="39" t="n">
        <f aca="false">Resumo!$C$14*CEILING(I2166,1)</f>
        <v>26.55</v>
      </c>
      <c r="U2166" s="39" t="n">
        <f aca="false">SUM(M2166:T2166)*Resumo!$C$11</f>
        <v>0</v>
      </c>
      <c r="V2166" s="39" t="n">
        <f aca="false">SUM(M2166:U2166)</f>
        <v>114.897716</v>
      </c>
      <c r="W2166" s="39" t="n">
        <f aca="false">V2166/(1-Resumo!$C$5)</f>
        <v>130.565586363636</v>
      </c>
      <c r="X2166" s="39" t="n">
        <v>112.3</v>
      </c>
      <c r="Y2166" s="39" t="n">
        <f aca="false">J2166*Resumo!$B$6</f>
        <v>0.65898</v>
      </c>
      <c r="Z2166" s="39" t="n">
        <f aca="false">J2166*Resumo!$B$7</f>
        <v>1.31796</v>
      </c>
      <c r="AA2166" s="39" t="n">
        <f aca="false">Resumo!$B$9</f>
        <v>1</v>
      </c>
      <c r="AB2166" s="39" t="n">
        <f aca="false">Resumo!$B$10*CEILING(I2166/100,1)</f>
        <v>4.5</v>
      </c>
      <c r="AC2166" s="39" t="n">
        <f aca="false">Resumo!$B$12*CEILING(I2166,1)</f>
        <v>3.54</v>
      </c>
      <c r="AD2166" s="39" t="n">
        <f aca="false">Resumo!$B$14*CEILING(I2166,1)</f>
        <v>26.55</v>
      </c>
      <c r="AE2166" s="39" t="n">
        <f aca="false">SUM(X2166:AD2166)</f>
        <v>149.86694</v>
      </c>
      <c r="AF2166" s="39" t="n">
        <f aca="false">AE2166/(1-Resumo!$B$5)</f>
        <v>170.303340909091</v>
      </c>
      <c r="AG2166" s="39" t="n">
        <f aca="false">AF2166-W2166</f>
        <v>39.7377545454546</v>
      </c>
      <c r="AH2166" s="40" t="n">
        <f aca="false">AF2166/W2166-1</f>
        <v>0.304350906331332</v>
      </c>
      <c r="AI2166" s="37" t="str">
        <f aca="false">IF(AF2166&lt;W2166,"SIM","NÃO")</f>
        <v>NÃO</v>
      </c>
      <c r="AJ2166" s="37" t="n">
        <v>2</v>
      </c>
      <c r="AK2166" s="37" t="n">
        <v>5</v>
      </c>
      <c r="AL2166" s="37" t="s">
        <v>343</v>
      </c>
      <c r="AM2166" s="39" t="n">
        <v>128.44</v>
      </c>
    </row>
    <row r="2167" customFormat="false" ht="15" hidden="false" customHeight="false" outlineLevel="0" collapsed="false">
      <c r="A2167" s="37" t="n">
        <v>400146466</v>
      </c>
      <c r="B2167" s="38" t="n">
        <v>46292.9000810185</v>
      </c>
      <c r="C2167" s="37" t="s">
        <v>537</v>
      </c>
      <c r="D2167" s="37" t="s">
        <v>2269</v>
      </c>
      <c r="E2167" s="37" t="n">
        <v>24717241</v>
      </c>
      <c r="F2167" s="37" t="s">
        <v>160</v>
      </c>
      <c r="G2167" s="37" t="s">
        <v>197</v>
      </c>
      <c r="H2167" s="37" t="s">
        <v>184</v>
      </c>
      <c r="I2167" s="37" t="n">
        <v>21.8</v>
      </c>
      <c r="J2167" s="39" t="n">
        <v>319.99</v>
      </c>
      <c r="K2167" s="37" t="s">
        <v>342</v>
      </c>
      <c r="L2167" s="39" t="n">
        <v>100.92</v>
      </c>
      <c r="M2167" s="39" t="n">
        <v>58.8</v>
      </c>
      <c r="N2167" s="39" t="n">
        <f aca="false">J2167*Resumo!$C$6</f>
        <v>0</v>
      </c>
      <c r="O2167" s="39" t="n">
        <f aca="false">J2167*Resumo!$C$7</f>
        <v>0.671979</v>
      </c>
      <c r="P2167" s="39" t="n">
        <f aca="false">J2167*Resumo!$C$8</f>
        <v>0.671979</v>
      </c>
      <c r="Q2167" s="39" t="n">
        <f aca="false">Resumo!$C$10*CEILING(I2167/100,1)</f>
        <v>1.05</v>
      </c>
      <c r="R2167" s="39" t="n">
        <f aca="false">Resumo!$C$9</f>
        <v>0</v>
      </c>
      <c r="S2167" s="39" t="n">
        <f aca="false">Resumo!$C$13</f>
        <v>13.55</v>
      </c>
      <c r="T2167" s="39" t="n">
        <f aca="false">Resumo!$C$14*CEILING(I2167,1)</f>
        <v>9.9</v>
      </c>
      <c r="U2167" s="39" t="n">
        <f aca="false">SUM(M2167:T2167)*Resumo!$C$11</f>
        <v>0</v>
      </c>
      <c r="V2167" s="39" t="n">
        <f aca="false">SUM(M2167:U2167)</f>
        <v>84.643958</v>
      </c>
      <c r="W2167" s="39" t="n">
        <f aca="false">V2167/(1-Resumo!$C$5)</f>
        <v>96.1863159090909</v>
      </c>
      <c r="X2167" s="39" t="n">
        <v>100.58</v>
      </c>
      <c r="Y2167" s="39" t="n">
        <f aca="false">J2167*Resumo!$B$6</f>
        <v>0.31999</v>
      </c>
      <c r="Z2167" s="39" t="n">
        <f aca="false">J2167*Resumo!$B$7</f>
        <v>0.63998</v>
      </c>
      <c r="AA2167" s="39" t="n">
        <f aca="false">Resumo!$B$9</f>
        <v>1</v>
      </c>
      <c r="AB2167" s="39" t="n">
        <f aca="false">Resumo!$B$10*CEILING(I2167/100,1)</f>
        <v>4.5</v>
      </c>
      <c r="AC2167" s="39" t="n">
        <f aca="false">Resumo!$B$12*CEILING(I2167,1)</f>
        <v>1.32</v>
      </c>
      <c r="AD2167" s="39" t="n">
        <f aca="false">Resumo!$B$14*CEILING(I2167,1)</f>
        <v>9.9</v>
      </c>
      <c r="AE2167" s="39" t="n">
        <f aca="false">SUM(X2167:AD2167)</f>
        <v>118.25997</v>
      </c>
      <c r="AF2167" s="39" t="n">
        <f aca="false">AE2167/(1-Resumo!$B$5)</f>
        <v>134.386329545455</v>
      </c>
      <c r="AG2167" s="39" t="n">
        <f aca="false">AF2167-W2167</f>
        <v>38.2000136363636</v>
      </c>
      <c r="AH2167" s="40" t="n">
        <f aca="false">AF2167/W2167-1</f>
        <v>0.397146031380054</v>
      </c>
      <c r="AI2167" s="37" t="str">
        <f aca="false">IF(AF2167&lt;W2167,"SIM","NÃO")</f>
        <v>NÃO</v>
      </c>
      <c r="AJ2167" s="37" t="n">
        <v>2</v>
      </c>
      <c r="AK2167" s="37" t="n">
        <v>7</v>
      </c>
      <c r="AL2167" s="37" t="s">
        <v>343</v>
      </c>
      <c r="AM2167" s="39" t="n">
        <v>100.92</v>
      </c>
    </row>
    <row r="2168" customFormat="false" ht="15" hidden="false" customHeight="false" outlineLevel="0" collapsed="false">
      <c r="A2168" s="37" t="n">
        <v>400187860</v>
      </c>
      <c r="B2168" s="38" t="n">
        <v>46293.0349537037</v>
      </c>
      <c r="C2168" s="37" t="s">
        <v>340</v>
      </c>
      <c r="D2168" s="37" t="s">
        <v>953</v>
      </c>
      <c r="E2168" s="37" t="n">
        <v>24436000</v>
      </c>
      <c r="F2168" s="37" t="s">
        <v>160</v>
      </c>
      <c r="G2168" s="37" t="s">
        <v>197</v>
      </c>
      <c r="H2168" s="37" t="s">
        <v>184</v>
      </c>
      <c r="I2168" s="37" t="n">
        <v>28.8</v>
      </c>
      <c r="J2168" s="39" t="n">
        <v>799.39</v>
      </c>
      <c r="K2168" s="37" t="s">
        <v>342</v>
      </c>
      <c r="L2168" s="39" t="n">
        <v>103.23</v>
      </c>
      <c r="M2168" s="39" t="n">
        <v>58.8</v>
      </c>
      <c r="N2168" s="39" t="n">
        <f aca="false">J2168*Resumo!$C$6</f>
        <v>0</v>
      </c>
      <c r="O2168" s="39" t="n">
        <f aca="false">J2168*Resumo!$C$7</f>
        <v>1.678719</v>
      </c>
      <c r="P2168" s="39" t="n">
        <f aca="false">J2168*Resumo!$C$8</f>
        <v>1.678719</v>
      </c>
      <c r="Q2168" s="39" t="n">
        <f aca="false">Resumo!$C$10*CEILING(I2168/100,1)</f>
        <v>1.05</v>
      </c>
      <c r="R2168" s="39" t="n">
        <f aca="false">Resumo!$C$9</f>
        <v>0</v>
      </c>
      <c r="S2168" s="39" t="n">
        <f aca="false">Resumo!$C$13</f>
        <v>13.55</v>
      </c>
      <c r="T2168" s="39" t="n">
        <f aca="false">Resumo!$C$14*CEILING(I2168,1)</f>
        <v>13.05</v>
      </c>
      <c r="U2168" s="39" t="n">
        <f aca="false">SUM(M2168:T2168)*Resumo!$C$11</f>
        <v>0</v>
      </c>
      <c r="V2168" s="39" t="n">
        <f aca="false">SUM(M2168:U2168)</f>
        <v>89.807438</v>
      </c>
      <c r="W2168" s="39" t="n">
        <f aca="false">V2168/(1-Resumo!$C$5)</f>
        <v>102.053906818182</v>
      </c>
      <c r="X2168" s="39" t="n">
        <v>100.58</v>
      </c>
      <c r="Y2168" s="39" t="n">
        <f aca="false">J2168*Resumo!$B$6</f>
        <v>0.79939</v>
      </c>
      <c r="Z2168" s="39" t="n">
        <f aca="false">J2168*Resumo!$B$7</f>
        <v>1.59878</v>
      </c>
      <c r="AA2168" s="39" t="n">
        <f aca="false">Resumo!$B$9</f>
        <v>1</v>
      </c>
      <c r="AB2168" s="39" t="n">
        <f aca="false">Resumo!$B$10*CEILING(I2168/100,1)</f>
        <v>4.5</v>
      </c>
      <c r="AC2168" s="39" t="n">
        <f aca="false">Resumo!$B$12*CEILING(I2168,1)</f>
        <v>1.74</v>
      </c>
      <c r="AD2168" s="39" t="n">
        <f aca="false">Resumo!$B$14*CEILING(I2168,1)</f>
        <v>13.05</v>
      </c>
      <c r="AE2168" s="39" t="n">
        <f aca="false">SUM(X2168:AD2168)</f>
        <v>123.26817</v>
      </c>
      <c r="AF2168" s="39" t="n">
        <f aca="false">AE2168/(1-Resumo!$B$5)</f>
        <v>140.077465909091</v>
      </c>
      <c r="AG2168" s="39" t="n">
        <f aca="false">AF2168-W2168</f>
        <v>38.0235590909091</v>
      </c>
      <c r="AH2168" s="40" t="n">
        <f aca="false">AF2168/W2168-1</f>
        <v>0.372583081592863</v>
      </c>
      <c r="AI2168" s="37" t="str">
        <f aca="false">IF(AF2168&lt;W2168,"SIM","NÃO")</f>
        <v>NÃO</v>
      </c>
      <c r="AJ2168" s="37" t="n">
        <v>2</v>
      </c>
      <c r="AK2168" s="37" t="n">
        <v>7</v>
      </c>
      <c r="AL2168" s="37" t="s">
        <v>343</v>
      </c>
      <c r="AM2168" s="39" t="n">
        <v>103.22</v>
      </c>
    </row>
    <row r="2169" customFormat="false" ht="15" hidden="false" customHeight="false" outlineLevel="0" collapsed="false">
      <c r="A2169" s="37" t="n">
        <v>400279234</v>
      </c>
      <c r="B2169" s="38" t="n">
        <v>46293.3633680556</v>
      </c>
      <c r="C2169" s="37" t="s">
        <v>340</v>
      </c>
      <c r="D2169" s="37" t="s">
        <v>2270</v>
      </c>
      <c r="E2169" s="37" t="n">
        <v>24120015</v>
      </c>
      <c r="F2169" s="37" t="s">
        <v>163</v>
      </c>
      <c r="G2169" s="37" t="s">
        <v>197</v>
      </c>
      <c r="H2169" s="37" t="s">
        <v>191</v>
      </c>
      <c r="I2169" s="37" t="n">
        <v>108</v>
      </c>
      <c r="J2169" s="39" t="n">
        <v>1359.96</v>
      </c>
      <c r="K2169" s="37" t="s">
        <v>342</v>
      </c>
      <c r="L2169" s="39" t="n">
        <v>196.35</v>
      </c>
      <c r="M2169" s="39" t="n">
        <v>101.26</v>
      </c>
      <c r="N2169" s="39" t="n">
        <f aca="false">J2169*Resumo!$C$6</f>
        <v>0</v>
      </c>
      <c r="O2169" s="39" t="n">
        <f aca="false">J2169*Resumo!$C$7</f>
        <v>2.855916</v>
      </c>
      <c r="P2169" s="39" t="n">
        <f aca="false">J2169*Resumo!$C$8</f>
        <v>2.855916</v>
      </c>
      <c r="Q2169" s="39" t="n">
        <f aca="false">Resumo!$C$10*CEILING(I2169/100,1)</f>
        <v>2.1</v>
      </c>
      <c r="R2169" s="39" t="n">
        <f aca="false">Resumo!$C$9</f>
        <v>0</v>
      </c>
      <c r="S2169" s="39" t="n">
        <f aca="false">Resumo!$C$13</f>
        <v>13.55</v>
      </c>
      <c r="T2169" s="39" t="n">
        <f aca="false">Resumo!$C$14*CEILING(I2169,1)</f>
        <v>48.6</v>
      </c>
      <c r="U2169" s="39" t="n">
        <f aca="false">SUM(M2169:T2169)*Resumo!$C$11</f>
        <v>0</v>
      </c>
      <c r="V2169" s="39" t="n">
        <f aca="false">SUM(M2169:U2169)</f>
        <v>171.221832</v>
      </c>
      <c r="W2169" s="39" t="n">
        <f aca="false">V2169/(1-Resumo!$C$5)</f>
        <v>194.570263636364</v>
      </c>
      <c r="X2169" s="39" t="n">
        <v>214.11</v>
      </c>
      <c r="Y2169" s="39" t="n">
        <f aca="false">J2169*Resumo!$B$6</f>
        <v>1.35996</v>
      </c>
      <c r="Z2169" s="39" t="n">
        <f aca="false">J2169*Resumo!$B$7</f>
        <v>2.71992</v>
      </c>
      <c r="AA2169" s="39" t="n">
        <f aca="false">Resumo!$B$9</f>
        <v>1</v>
      </c>
      <c r="AB2169" s="39" t="n">
        <f aca="false">Resumo!$B$10*CEILING(I2169/100,1)</f>
        <v>9</v>
      </c>
      <c r="AC2169" s="39" t="n">
        <f aca="false">Resumo!$B$12*CEILING(I2169,1)</f>
        <v>6.48</v>
      </c>
      <c r="AD2169" s="39" t="n">
        <f aca="false">Resumo!$B$14*CEILING(I2169,1)</f>
        <v>48.6</v>
      </c>
      <c r="AE2169" s="39" t="n">
        <f aca="false">SUM(X2169:AD2169)</f>
        <v>283.26988</v>
      </c>
      <c r="AF2169" s="39" t="n">
        <f aca="false">AE2169/(1-Resumo!$B$5)</f>
        <v>321.897590909091</v>
      </c>
      <c r="AG2169" s="39" t="n">
        <f aca="false">AF2169-W2169</f>
        <v>127.327327272727</v>
      </c>
      <c r="AH2169" s="40" t="n">
        <f aca="false">AF2169/W2169-1</f>
        <v>0.654402810034178</v>
      </c>
      <c r="AI2169" s="37" t="str">
        <f aca="false">IF(AF2169&lt;W2169,"SIM","NÃO")</f>
        <v>NÃO</v>
      </c>
      <c r="AJ2169" s="37" t="n">
        <v>2</v>
      </c>
      <c r="AK2169" s="37" t="n">
        <v>7</v>
      </c>
      <c r="AL2169" s="37" t="s">
        <v>343</v>
      </c>
      <c r="AM2169" s="39" t="n">
        <v>196.35</v>
      </c>
    </row>
    <row r="2170" customFormat="false" ht="15" hidden="false" customHeight="false" outlineLevel="0" collapsed="false">
      <c r="A2170" s="37" t="n">
        <v>400457620</v>
      </c>
      <c r="B2170" s="38" t="n">
        <v>46293.6763310185</v>
      </c>
      <c r="C2170" s="37" t="s">
        <v>340</v>
      </c>
      <c r="D2170" s="37" t="s">
        <v>2271</v>
      </c>
      <c r="E2170" s="37" t="n">
        <v>27276367</v>
      </c>
      <c r="F2170" s="37" t="s">
        <v>168</v>
      </c>
      <c r="G2170" s="37" t="s">
        <v>198</v>
      </c>
      <c r="H2170" s="37" t="s">
        <v>186</v>
      </c>
      <c r="I2170" s="37" t="n">
        <v>48</v>
      </c>
      <c r="J2170" s="39" t="n">
        <v>828.99</v>
      </c>
      <c r="K2170" s="37" t="s">
        <v>342</v>
      </c>
      <c r="L2170" s="39" t="n">
        <v>132.14</v>
      </c>
      <c r="M2170" s="39" t="n">
        <v>77.7</v>
      </c>
      <c r="N2170" s="39" t="n">
        <f aca="false">J2170*Resumo!$C$6</f>
        <v>0</v>
      </c>
      <c r="O2170" s="39" t="n">
        <f aca="false">J2170*Resumo!$C$7</f>
        <v>1.740879</v>
      </c>
      <c r="P2170" s="39" t="n">
        <f aca="false">J2170*Resumo!$C$8</f>
        <v>1.740879</v>
      </c>
      <c r="Q2170" s="39" t="n">
        <f aca="false">Resumo!$C$10*CEILING(I2170/100,1)</f>
        <v>1.05</v>
      </c>
      <c r="R2170" s="39" t="n">
        <f aca="false">Resumo!$C$9</f>
        <v>0</v>
      </c>
      <c r="S2170" s="39" t="n">
        <f aca="false">Resumo!$C$13</f>
        <v>13.55</v>
      </c>
      <c r="T2170" s="39" t="n">
        <f aca="false">Resumo!$C$14*CEILING(I2170,1)</f>
        <v>21.6</v>
      </c>
      <c r="U2170" s="39" t="n">
        <f aca="false">SUM(M2170:T2170)*Resumo!$C$11</f>
        <v>0</v>
      </c>
      <c r="V2170" s="39" t="n">
        <f aca="false">SUM(M2170:U2170)</f>
        <v>117.381758</v>
      </c>
      <c r="W2170" s="39" t="n">
        <f aca="false">V2170/(1-Resumo!$C$5)</f>
        <v>133.388361363636</v>
      </c>
      <c r="X2170" s="39" t="n">
        <v>124.38</v>
      </c>
      <c r="Y2170" s="39" t="n">
        <f aca="false">J2170*Resumo!$B$6</f>
        <v>0.82899</v>
      </c>
      <c r="Z2170" s="39" t="n">
        <f aca="false">J2170*Resumo!$B$7</f>
        <v>1.65798</v>
      </c>
      <c r="AA2170" s="39" t="n">
        <f aca="false">Resumo!$B$9</f>
        <v>1</v>
      </c>
      <c r="AB2170" s="39" t="n">
        <f aca="false">Resumo!$B$10*CEILING(I2170/100,1)</f>
        <v>4.5</v>
      </c>
      <c r="AC2170" s="39" t="n">
        <f aca="false">Resumo!$B$12*CEILING(I2170,1)</f>
        <v>2.88</v>
      </c>
      <c r="AD2170" s="39" t="n">
        <f aca="false">Resumo!$B$14*CEILING(I2170,1)</f>
        <v>21.6</v>
      </c>
      <c r="AE2170" s="39" t="n">
        <f aca="false">SUM(X2170:AD2170)</f>
        <v>156.84697</v>
      </c>
      <c r="AF2170" s="39" t="n">
        <f aca="false">AE2170/(1-Resumo!$B$5)</f>
        <v>178.235193181818</v>
      </c>
      <c r="AG2170" s="39" t="n">
        <f aca="false">AF2170-W2170</f>
        <v>44.8468318181818</v>
      </c>
      <c r="AH2170" s="40" t="n">
        <f aca="false">AF2170/W2170-1</f>
        <v>0.336212480307204</v>
      </c>
      <c r="AI2170" s="37" t="str">
        <f aca="false">IF(AF2170&lt;W2170,"SIM","NÃO")</f>
        <v>NÃO</v>
      </c>
      <c r="AJ2170" s="37" t="n">
        <v>13</v>
      </c>
      <c r="AK2170" s="37" t="n">
        <v>10</v>
      </c>
      <c r="AL2170" s="37" t="s">
        <v>343</v>
      </c>
      <c r="AM2170" s="39" t="n">
        <v>132.13</v>
      </c>
    </row>
    <row r="2171" customFormat="false" ht="15" hidden="false" customHeight="false" outlineLevel="0" collapsed="false">
      <c r="A2171" s="37" t="n">
        <v>400487254</v>
      </c>
      <c r="B2171" s="38" t="n">
        <v>46293.7294791667</v>
      </c>
      <c r="C2171" s="37" t="s">
        <v>340</v>
      </c>
      <c r="D2171" s="37" t="s">
        <v>2272</v>
      </c>
      <c r="E2171" s="37" t="n">
        <v>23015170</v>
      </c>
      <c r="F2171" s="37" t="s">
        <v>159</v>
      </c>
      <c r="G2171" s="37" t="s">
        <v>196</v>
      </c>
      <c r="H2171" s="37" t="s">
        <v>186</v>
      </c>
      <c r="I2171" s="37" t="n">
        <v>41.4</v>
      </c>
      <c r="J2171" s="39" t="n">
        <v>413.47</v>
      </c>
      <c r="K2171" s="37" t="s">
        <v>342</v>
      </c>
      <c r="L2171" s="39" t="n">
        <v>102.58</v>
      </c>
      <c r="M2171" s="39" t="n">
        <v>53.55</v>
      </c>
      <c r="N2171" s="39" t="n">
        <f aca="false">J2171*Resumo!$C$6</f>
        <v>0</v>
      </c>
      <c r="O2171" s="39" t="n">
        <f aca="false">J2171*Resumo!$C$7</f>
        <v>0.868287</v>
      </c>
      <c r="P2171" s="39" t="n">
        <f aca="false">J2171*Resumo!$C$8</f>
        <v>0.868287</v>
      </c>
      <c r="Q2171" s="39" t="n">
        <f aca="false">Resumo!$C$10*CEILING(I2171/100,1)</f>
        <v>1.05</v>
      </c>
      <c r="R2171" s="39" t="n">
        <f aca="false">Resumo!$C$9</f>
        <v>0</v>
      </c>
      <c r="S2171" s="39" t="n">
        <f aca="false">Resumo!$C$13</f>
        <v>13.55</v>
      </c>
      <c r="T2171" s="39" t="n">
        <f aca="false">Resumo!$C$14*CEILING(I2171,1)</f>
        <v>18.9</v>
      </c>
      <c r="U2171" s="39" t="n">
        <f aca="false">SUM(M2171:T2171)*Resumo!$C$11</f>
        <v>0</v>
      </c>
      <c r="V2171" s="39" t="n">
        <f aca="false">SUM(M2171:U2171)</f>
        <v>88.786574</v>
      </c>
      <c r="W2171" s="39" t="n">
        <f aca="false">V2171/(1-Resumo!$C$5)</f>
        <v>100.893834090909</v>
      </c>
      <c r="X2171" s="39" t="n">
        <v>93.97</v>
      </c>
      <c r="Y2171" s="39" t="n">
        <f aca="false">J2171*Resumo!$B$6</f>
        <v>0.41347</v>
      </c>
      <c r="Z2171" s="39" t="n">
        <f aca="false">J2171*Resumo!$B$7</f>
        <v>0.82694</v>
      </c>
      <c r="AA2171" s="39" t="n">
        <f aca="false">Resumo!$B$9</f>
        <v>1</v>
      </c>
      <c r="AB2171" s="39" t="n">
        <f aca="false">Resumo!$B$10*CEILING(I2171/100,1)</f>
        <v>4.5</v>
      </c>
      <c r="AC2171" s="39" t="n">
        <f aca="false">Resumo!$B$12*CEILING(I2171,1)</f>
        <v>2.52</v>
      </c>
      <c r="AD2171" s="39" t="n">
        <f aca="false">Resumo!$B$14*CEILING(I2171,1)</f>
        <v>18.9</v>
      </c>
      <c r="AE2171" s="39" t="n">
        <f aca="false">SUM(X2171:AD2171)</f>
        <v>122.13041</v>
      </c>
      <c r="AF2171" s="39" t="n">
        <f aca="false">AE2171/(1-Resumo!$B$5)</f>
        <v>138.784556818182</v>
      </c>
      <c r="AG2171" s="39" t="n">
        <f aca="false">AF2171-W2171</f>
        <v>37.8907227272727</v>
      </c>
      <c r="AH2171" s="40" t="n">
        <f aca="false">AF2171/W2171-1</f>
        <v>0.375550429505254</v>
      </c>
      <c r="AI2171" s="37" t="str">
        <f aca="false">IF(AF2171&lt;W2171,"SIM","NÃO")</f>
        <v>NÃO</v>
      </c>
      <c r="AJ2171" s="37" t="n">
        <v>2</v>
      </c>
      <c r="AK2171" s="37" t="n">
        <v>5</v>
      </c>
      <c r="AL2171" s="37" t="s">
        <v>343</v>
      </c>
      <c r="AM2171" s="39" t="n">
        <v>102.57</v>
      </c>
    </row>
    <row r="2172" customFormat="false" ht="15" hidden="false" customHeight="false" outlineLevel="0" collapsed="false">
      <c r="A2172" s="37" t="n">
        <v>400506608</v>
      </c>
      <c r="B2172" s="38" t="n">
        <v>46293.7589930556</v>
      </c>
      <c r="C2172" s="37" t="s">
        <v>345</v>
      </c>
      <c r="D2172" s="37" t="s">
        <v>2273</v>
      </c>
      <c r="E2172" s="37" t="n">
        <v>21061340</v>
      </c>
      <c r="F2172" s="37" t="s">
        <v>159</v>
      </c>
      <c r="G2172" s="37" t="s">
        <v>196</v>
      </c>
      <c r="H2172" s="37" t="s">
        <v>184</v>
      </c>
      <c r="I2172" s="37" t="n">
        <v>25.8</v>
      </c>
      <c r="J2172" s="39" t="n">
        <v>306</v>
      </c>
      <c r="K2172" s="37" t="s">
        <v>342</v>
      </c>
      <c r="L2172" s="39" t="n">
        <v>81.78</v>
      </c>
      <c r="M2172" s="39" t="n">
        <v>42.11</v>
      </c>
      <c r="N2172" s="39" t="n">
        <f aca="false">J2172*Resumo!$C$6</f>
        <v>0</v>
      </c>
      <c r="O2172" s="39" t="n">
        <f aca="false">J2172*Resumo!$C$7</f>
        <v>0.6426</v>
      </c>
      <c r="P2172" s="39" t="n">
        <f aca="false">J2172*Resumo!$C$8</f>
        <v>0.6426</v>
      </c>
      <c r="Q2172" s="39" t="n">
        <f aca="false">Resumo!$C$10*CEILING(I2172/100,1)</f>
        <v>1.05</v>
      </c>
      <c r="R2172" s="39" t="n">
        <f aca="false">Resumo!$C$9</f>
        <v>0</v>
      </c>
      <c r="S2172" s="39" t="n">
        <f aca="false">Resumo!$C$13</f>
        <v>13.55</v>
      </c>
      <c r="T2172" s="39" t="n">
        <f aca="false">Resumo!$C$14*CEILING(I2172,1)</f>
        <v>11.7</v>
      </c>
      <c r="U2172" s="39" t="n">
        <f aca="false">SUM(M2172:T2172)*Resumo!$C$11</f>
        <v>0</v>
      </c>
      <c r="V2172" s="39" t="n">
        <f aca="false">SUM(M2172:U2172)</f>
        <v>69.6952</v>
      </c>
      <c r="W2172" s="39" t="n">
        <f aca="false">V2172/(1-Resumo!$C$5)</f>
        <v>79.1990909090909</v>
      </c>
      <c r="X2172" s="39" t="n">
        <v>82.21</v>
      </c>
      <c r="Y2172" s="39" t="n">
        <f aca="false">J2172*Resumo!$B$6</f>
        <v>0.306</v>
      </c>
      <c r="Z2172" s="39" t="n">
        <f aca="false">J2172*Resumo!$B$7</f>
        <v>0.612</v>
      </c>
      <c r="AA2172" s="39" t="n">
        <f aca="false">Resumo!$B$9</f>
        <v>1</v>
      </c>
      <c r="AB2172" s="39" t="n">
        <f aca="false">Resumo!$B$10*CEILING(I2172/100,1)</f>
        <v>4.5</v>
      </c>
      <c r="AC2172" s="39" t="n">
        <f aca="false">Resumo!$B$12*CEILING(I2172,1)</f>
        <v>1.56</v>
      </c>
      <c r="AD2172" s="39" t="n">
        <f aca="false">Resumo!$B$14*CEILING(I2172,1)</f>
        <v>11.7</v>
      </c>
      <c r="AE2172" s="39" t="n">
        <f aca="false">SUM(X2172:AD2172)</f>
        <v>101.888</v>
      </c>
      <c r="AF2172" s="39" t="n">
        <f aca="false">AE2172/(1-Resumo!$B$5)</f>
        <v>115.781818181818</v>
      </c>
      <c r="AG2172" s="39" t="n">
        <f aca="false">AF2172-W2172</f>
        <v>36.5827272727273</v>
      </c>
      <c r="AH2172" s="40" t="n">
        <f aca="false">AF2172/W2172-1</f>
        <v>0.461908424109551</v>
      </c>
      <c r="AI2172" s="37" t="str">
        <f aca="false">IF(AF2172&lt;W2172,"SIM","NÃO")</f>
        <v>NÃO</v>
      </c>
      <c r="AJ2172" s="37" t="n">
        <v>2</v>
      </c>
      <c r="AK2172" s="37" t="n">
        <v>5</v>
      </c>
      <c r="AL2172" s="37" t="s">
        <v>343</v>
      </c>
      <c r="AM2172" s="39" t="n">
        <v>81.79</v>
      </c>
    </row>
    <row r="2173" customFormat="false" ht="15" hidden="false" customHeight="false" outlineLevel="0" collapsed="false">
      <c r="A2173" s="37" t="n">
        <v>400708698</v>
      </c>
      <c r="B2173" s="38" t="n">
        <v>46294.3170717593</v>
      </c>
      <c r="C2173" s="37" t="s">
        <v>345</v>
      </c>
      <c r="D2173" s="37" t="s">
        <v>2274</v>
      </c>
      <c r="E2173" s="37" t="n">
        <v>24425320</v>
      </c>
      <c r="F2173" s="37" t="s">
        <v>160</v>
      </c>
      <c r="G2173" s="37" t="s">
        <v>197</v>
      </c>
      <c r="H2173" s="37" t="s">
        <v>184</v>
      </c>
      <c r="I2173" s="37" t="n">
        <v>31.9</v>
      </c>
      <c r="J2173" s="39" t="n">
        <v>483.99</v>
      </c>
      <c r="K2173" s="37" t="s">
        <v>342</v>
      </c>
      <c r="L2173" s="39" t="n">
        <v>101.72</v>
      </c>
      <c r="M2173" s="39" t="n">
        <v>58.8</v>
      </c>
      <c r="N2173" s="39" t="n">
        <f aca="false">J2173*Resumo!$C$6</f>
        <v>0</v>
      </c>
      <c r="O2173" s="39" t="n">
        <f aca="false">J2173*Resumo!$C$7</f>
        <v>1.016379</v>
      </c>
      <c r="P2173" s="39" t="n">
        <f aca="false">J2173*Resumo!$C$8</f>
        <v>1.016379</v>
      </c>
      <c r="Q2173" s="39" t="n">
        <f aca="false">Resumo!$C$10*CEILING(I2173/100,1)</f>
        <v>1.05</v>
      </c>
      <c r="R2173" s="39" t="n">
        <f aca="false">Resumo!$C$9</f>
        <v>0</v>
      </c>
      <c r="S2173" s="39" t="n">
        <f aca="false">Resumo!$C$13</f>
        <v>13.55</v>
      </c>
      <c r="T2173" s="39" t="n">
        <f aca="false">Resumo!$C$14*CEILING(I2173,1)</f>
        <v>14.4</v>
      </c>
      <c r="U2173" s="39" t="n">
        <f aca="false">SUM(M2173:T2173)*Resumo!$C$11</f>
        <v>0</v>
      </c>
      <c r="V2173" s="39" t="n">
        <f aca="false">SUM(M2173:U2173)</f>
        <v>89.832758</v>
      </c>
      <c r="W2173" s="39" t="n">
        <f aca="false">V2173/(1-Resumo!$C$5)</f>
        <v>102.082679545455</v>
      </c>
      <c r="X2173" s="39" t="n">
        <v>100.58</v>
      </c>
      <c r="Y2173" s="39" t="n">
        <f aca="false">J2173*Resumo!$B$6</f>
        <v>0.48399</v>
      </c>
      <c r="Z2173" s="39" t="n">
        <f aca="false">J2173*Resumo!$B$7</f>
        <v>0.96798</v>
      </c>
      <c r="AA2173" s="39" t="n">
        <f aca="false">Resumo!$B$9</f>
        <v>1</v>
      </c>
      <c r="AB2173" s="39" t="n">
        <f aca="false">Resumo!$B$10*CEILING(I2173/100,1)</f>
        <v>4.5</v>
      </c>
      <c r="AC2173" s="39" t="n">
        <f aca="false">Resumo!$B$12*CEILING(I2173,1)</f>
        <v>1.92</v>
      </c>
      <c r="AD2173" s="39" t="n">
        <f aca="false">Resumo!$B$14*CEILING(I2173,1)</f>
        <v>14.4</v>
      </c>
      <c r="AE2173" s="39" t="n">
        <f aca="false">SUM(X2173:AD2173)</f>
        <v>123.85197</v>
      </c>
      <c r="AF2173" s="39" t="n">
        <f aca="false">AE2173/(1-Resumo!$B$5)</f>
        <v>140.740875</v>
      </c>
      <c r="AG2173" s="39" t="n">
        <f aca="false">AF2173-W2173</f>
        <v>38.6581954545455</v>
      </c>
      <c r="AH2173" s="40" t="n">
        <f aca="false">AF2173/W2173-1</f>
        <v>0.378694952235576</v>
      </c>
      <c r="AI2173" s="37" t="str">
        <f aca="false">IF(AF2173&lt;W2173,"SIM","NÃO")</f>
        <v>NÃO</v>
      </c>
      <c r="AJ2173" s="37" t="n">
        <v>2</v>
      </c>
      <c r="AK2173" s="37" t="n">
        <v>7</v>
      </c>
      <c r="AL2173" s="37" t="s">
        <v>343</v>
      </c>
      <c r="AM2173" s="39" t="n">
        <v>101.71</v>
      </c>
    </row>
    <row r="2174" customFormat="false" ht="15" hidden="false" customHeight="false" outlineLevel="0" collapsed="false">
      <c r="A2174" s="37" t="n">
        <v>400742691</v>
      </c>
      <c r="B2174" s="38" t="n">
        <v>46294.4002314815</v>
      </c>
      <c r="C2174" s="37" t="s">
        <v>340</v>
      </c>
      <c r="D2174" s="37" t="s">
        <v>2275</v>
      </c>
      <c r="E2174" s="37" t="n">
        <v>23903500</v>
      </c>
      <c r="F2174" s="37" t="s">
        <v>169</v>
      </c>
      <c r="G2174" s="37" t="s">
        <v>198</v>
      </c>
      <c r="H2174" s="37" t="s">
        <v>184</v>
      </c>
      <c r="I2174" s="37" t="n">
        <v>27</v>
      </c>
      <c r="J2174" s="39" t="n">
        <v>270.99</v>
      </c>
      <c r="K2174" s="37" t="s">
        <v>342</v>
      </c>
      <c r="L2174" s="39" t="n">
        <v>108.48</v>
      </c>
      <c r="M2174" s="39" t="n">
        <v>65.63</v>
      </c>
      <c r="N2174" s="39" t="n">
        <f aca="false">J2174*Resumo!$C$6</f>
        <v>0</v>
      </c>
      <c r="O2174" s="39" t="n">
        <f aca="false">J2174*Resumo!$C$7</f>
        <v>0.569079</v>
      </c>
      <c r="P2174" s="39" t="n">
        <f aca="false">J2174*Resumo!$C$8</f>
        <v>0.569079</v>
      </c>
      <c r="Q2174" s="39" t="n">
        <f aca="false">Resumo!$C$10*CEILING(I2174/100,1)</f>
        <v>1.05</v>
      </c>
      <c r="R2174" s="39" t="n">
        <f aca="false">Resumo!$C$9</f>
        <v>0</v>
      </c>
      <c r="S2174" s="39" t="n">
        <f aca="false">Resumo!$C$13</f>
        <v>13.55</v>
      </c>
      <c r="T2174" s="39" t="n">
        <f aca="false">Resumo!$C$14*CEILING(I2174,1)</f>
        <v>12.15</v>
      </c>
      <c r="U2174" s="39" t="n">
        <f aca="false">SUM(M2174:T2174)*Resumo!$C$11</f>
        <v>0</v>
      </c>
      <c r="V2174" s="39" t="n">
        <f aca="false">SUM(M2174:U2174)</f>
        <v>93.518158</v>
      </c>
      <c r="W2174" s="39" t="n">
        <f aca="false">V2174/(1-Resumo!$C$5)</f>
        <v>106.270634090909</v>
      </c>
      <c r="X2174" s="39" t="n">
        <v>108.83</v>
      </c>
      <c r="Y2174" s="39" t="n">
        <f aca="false">J2174*Resumo!$B$6</f>
        <v>0.27099</v>
      </c>
      <c r="Z2174" s="39" t="n">
        <f aca="false">J2174*Resumo!$B$7</f>
        <v>0.54198</v>
      </c>
      <c r="AA2174" s="39" t="n">
        <f aca="false">Resumo!$B$9</f>
        <v>1</v>
      </c>
      <c r="AB2174" s="39" t="n">
        <f aca="false">Resumo!$B$10*CEILING(I2174/100,1)</f>
        <v>4.5</v>
      </c>
      <c r="AC2174" s="39" t="n">
        <f aca="false">Resumo!$B$12*CEILING(I2174,1)</f>
        <v>1.62</v>
      </c>
      <c r="AD2174" s="39" t="n">
        <f aca="false">Resumo!$B$14*CEILING(I2174,1)</f>
        <v>12.15</v>
      </c>
      <c r="AE2174" s="39" t="n">
        <f aca="false">SUM(X2174:AD2174)</f>
        <v>128.91297</v>
      </c>
      <c r="AF2174" s="39" t="n">
        <f aca="false">AE2174/(1-Resumo!$B$5)</f>
        <v>146.492011363636</v>
      </c>
      <c r="AG2174" s="39" t="n">
        <f aca="false">AF2174-W2174</f>
        <v>40.2213772727273</v>
      </c>
      <c r="AH2174" s="40" t="n">
        <f aca="false">AF2174/W2174-1</f>
        <v>0.378480636883374</v>
      </c>
      <c r="AI2174" s="37" t="str">
        <f aca="false">IF(AF2174&lt;W2174,"SIM","NÃO")</f>
        <v>NÃO</v>
      </c>
      <c r="AJ2174" s="37" t="n">
        <v>13</v>
      </c>
      <c r="AK2174" s="37" t="n">
        <v>10</v>
      </c>
      <c r="AL2174" s="37" t="s">
        <v>343</v>
      </c>
      <c r="AM2174" s="39" t="n">
        <v>108.48</v>
      </c>
    </row>
    <row r="2175" customFormat="false" ht="15" hidden="false" customHeight="false" outlineLevel="0" collapsed="false">
      <c r="A2175" s="37" t="n">
        <v>400748865</v>
      </c>
      <c r="B2175" s="38" t="n">
        <v>46294.4120023148</v>
      </c>
      <c r="C2175" s="37" t="s">
        <v>345</v>
      </c>
      <c r="D2175" s="37" t="s">
        <v>2276</v>
      </c>
      <c r="E2175" s="37" t="n">
        <v>22260000</v>
      </c>
      <c r="F2175" s="37" t="s">
        <v>159</v>
      </c>
      <c r="G2175" s="37" t="s">
        <v>196</v>
      </c>
      <c r="H2175" s="37" t="s">
        <v>183</v>
      </c>
      <c r="I2175" s="37" t="n">
        <v>16</v>
      </c>
      <c r="J2175" s="39" t="n">
        <v>292.4</v>
      </c>
      <c r="K2175" s="37" t="s">
        <v>342</v>
      </c>
      <c r="L2175" s="39" t="n">
        <v>64.6</v>
      </c>
      <c r="M2175" s="39" t="n">
        <v>33.42</v>
      </c>
      <c r="N2175" s="39" t="n">
        <f aca="false">J2175*Resumo!$C$6</f>
        <v>0</v>
      </c>
      <c r="O2175" s="39" t="n">
        <f aca="false">J2175*Resumo!$C$7</f>
        <v>0.61404</v>
      </c>
      <c r="P2175" s="39" t="n">
        <f aca="false">J2175*Resumo!$C$8</f>
        <v>0.61404</v>
      </c>
      <c r="Q2175" s="39" t="n">
        <f aca="false">Resumo!$C$10*CEILING(I2175/100,1)</f>
        <v>1.05</v>
      </c>
      <c r="R2175" s="39" t="n">
        <f aca="false">Resumo!$C$9</f>
        <v>0</v>
      </c>
      <c r="S2175" s="39" t="n">
        <f aca="false">Resumo!$C$13</f>
        <v>13.55</v>
      </c>
      <c r="T2175" s="39" t="n">
        <f aca="false">Resumo!$C$14*CEILING(I2175,1)</f>
        <v>7.2</v>
      </c>
      <c r="U2175" s="39" t="n">
        <f aca="false">SUM(M2175:T2175)*Resumo!$C$11</f>
        <v>0</v>
      </c>
      <c r="V2175" s="39" t="n">
        <f aca="false">SUM(M2175:U2175)</f>
        <v>56.44808</v>
      </c>
      <c r="W2175" s="39" t="n">
        <f aca="false">V2175/(1-Resumo!$C$5)</f>
        <v>64.1455454545455</v>
      </c>
      <c r="X2175" s="39" t="n">
        <v>46.98</v>
      </c>
      <c r="Y2175" s="39" t="n">
        <f aca="false">J2175*Resumo!$B$6</f>
        <v>0.2924</v>
      </c>
      <c r="Z2175" s="39" t="n">
        <f aca="false">J2175*Resumo!$B$7</f>
        <v>0.5848</v>
      </c>
      <c r="AA2175" s="39" t="n">
        <f aca="false">Resumo!$B$9</f>
        <v>1</v>
      </c>
      <c r="AB2175" s="39" t="n">
        <f aca="false">Resumo!$B$10*CEILING(I2175/100,1)</f>
        <v>4.5</v>
      </c>
      <c r="AC2175" s="39" t="n">
        <f aca="false">Resumo!$B$12*CEILING(I2175,1)</f>
        <v>0.96</v>
      </c>
      <c r="AD2175" s="39" t="n">
        <f aca="false">Resumo!$B$14*CEILING(I2175,1)</f>
        <v>7.2</v>
      </c>
      <c r="AE2175" s="39" t="n">
        <f aca="false">SUM(X2175:AD2175)</f>
        <v>61.5172</v>
      </c>
      <c r="AF2175" s="39" t="n">
        <f aca="false">AE2175/(1-Resumo!$B$5)</f>
        <v>69.9059090909091</v>
      </c>
      <c r="AG2175" s="39" t="n">
        <f aca="false">AF2175-W2175</f>
        <v>5.76036363636364</v>
      </c>
      <c r="AH2175" s="40" t="n">
        <f aca="false">AF2175/W2175-1</f>
        <v>0.0898014600319443</v>
      </c>
      <c r="AI2175" s="37" t="str">
        <f aca="false">IF(AF2175&lt;W2175,"SIM","NÃO")</f>
        <v>NÃO</v>
      </c>
      <c r="AJ2175" s="37" t="n">
        <v>2</v>
      </c>
      <c r="AK2175" s="37" t="n">
        <v>5</v>
      </c>
      <c r="AL2175" s="37" t="s">
        <v>343</v>
      </c>
      <c r="AM2175" s="39" t="n">
        <v>64.62</v>
      </c>
    </row>
    <row r="2176" customFormat="false" ht="15" hidden="false" customHeight="false" outlineLevel="0" collapsed="false">
      <c r="A2176" s="37" t="n">
        <v>400749950</v>
      </c>
      <c r="B2176" s="38" t="n">
        <v>46294.4141435185</v>
      </c>
      <c r="C2176" s="37" t="s">
        <v>340</v>
      </c>
      <c r="D2176" s="37" t="s">
        <v>2277</v>
      </c>
      <c r="E2176" s="37" t="n">
        <v>25931422</v>
      </c>
      <c r="F2176" s="37" t="s">
        <v>176</v>
      </c>
      <c r="G2176" s="37" t="s">
        <v>198</v>
      </c>
      <c r="H2176" s="37" t="s">
        <v>183</v>
      </c>
      <c r="I2176" s="37" t="n">
        <v>19.9</v>
      </c>
      <c r="J2176" s="39" t="n">
        <v>270.99</v>
      </c>
      <c r="K2176" s="37" t="s">
        <v>342</v>
      </c>
      <c r="L2176" s="39" t="n">
        <v>79.95</v>
      </c>
      <c r="M2176" s="39" t="n">
        <v>46.95</v>
      </c>
      <c r="N2176" s="39" t="n">
        <f aca="false">J2176*Resumo!$C$6</f>
        <v>0</v>
      </c>
      <c r="O2176" s="39" t="n">
        <f aca="false">J2176*Resumo!$C$7</f>
        <v>0.569079</v>
      </c>
      <c r="P2176" s="39" t="n">
        <f aca="false">J2176*Resumo!$C$8</f>
        <v>0.569079</v>
      </c>
      <c r="Q2176" s="39" t="n">
        <f aca="false">Resumo!$C$10*CEILING(I2176/100,1)</f>
        <v>1.05</v>
      </c>
      <c r="R2176" s="39" t="n">
        <f aca="false">Resumo!$C$9</f>
        <v>0</v>
      </c>
      <c r="S2176" s="39" t="n">
        <f aca="false">Resumo!$C$13</f>
        <v>13.55</v>
      </c>
      <c r="T2176" s="39" t="n">
        <f aca="false">Resumo!$C$14*CEILING(I2176,1)</f>
        <v>9</v>
      </c>
      <c r="U2176" s="39" t="n">
        <f aca="false">SUM(M2176:T2176)*Resumo!$C$11</f>
        <v>0</v>
      </c>
      <c r="V2176" s="39" t="n">
        <f aca="false">SUM(M2176:U2176)</f>
        <v>71.688158</v>
      </c>
      <c r="W2176" s="39" t="n">
        <f aca="false">V2176/(1-Resumo!$C$5)</f>
        <v>81.4638159090909</v>
      </c>
      <c r="X2176" s="39" t="n">
        <v>89.03</v>
      </c>
      <c r="Y2176" s="39" t="n">
        <f aca="false">J2176*Resumo!$B$6</f>
        <v>0.27099</v>
      </c>
      <c r="Z2176" s="39" t="n">
        <f aca="false">J2176*Resumo!$B$7</f>
        <v>0.54198</v>
      </c>
      <c r="AA2176" s="39" t="n">
        <f aca="false">Resumo!$B$9</f>
        <v>1</v>
      </c>
      <c r="AB2176" s="39" t="n">
        <f aca="false">Resumo!$B$10*CEILING(I2176/100,1)</f>
        <v>4.5</v>
      </c>
      <c r="AC2176" s="39" t="n">
        <f aca="false">Resumo!$B$12*CEILING(I2176,1)</f>
        <v>1.2</v>
      </c>
      <c r="AD2176" s="39" t="n">
        <f aca="false">Resumo!$B$14*CEILING(I2176,1)</f>
        <v>9</v>
      </c>
      <c r="AE2176" s="39" t="n">
        <f aca="false">SUM(X2176:AD2176)</f>
        <v>105.54297</v>
      </c>
      <c r="AF2176" s="39" t="n">
        <f aca="false">AE2176/(1-Resumo!$B$5)</f>
        <v>119.935193181818</v>
      </c>
      <c r="AG2176" s="39" t="n">
        <f aca="false">AF2176-W2176</f>
        <v>38.4713772727273</v>
      </c>
      <c r="AH2176" s="40" t="n">
        <f aca="false">AF2176/W2176-1</f>
        <v>0.472251107358624</v>
      </c>
      <c r="AI2176" s="37" t="str">
        <f aca="false">IF(AF2176&lt;W2176,"SIM","NÃO")</f>
        <v>NÃO</v>
      </c>
      <c r="AJ2176" s="37" t="n">
        <v>13</v>
      </c>
      <c r="AK2176" s="37" t="n">
        <v>6</v>
      </c>
      <c r="AL2176" s="37" t="s">
        <v>343</v>
      </c>
      <c r="AM2176" s="39" t="n">
        <v>79.96</v>
      </c>
    </row>
    <row r="2177" customFormat="false" ht="15" hidden="false" customHeight="false" outlineLevel="0" collapsed="false">
      <c r="A2177" s="37" t="n">
        <v>400796564</v>
      </c>
      <c r="B2177" s="38" t="n">
        <v>46294.4809722222</v>
      </c>
      <c r="C2177" s="37" t="s">
        <v>345</v>
      </c>
      <c r="D2177" s="37" t="s">
        <v>2278</v>
      </c>
      <c r="E2177" s="37" t="n">
        <v>20520051</v>
      </c>
      <c r="F2177" s="37" t="s">
        <v>159</v>
      </c>
      <c r="G2177" s="37" t="s">
        <v>196</v>
      </c>
      <c r="H2177" s="37" t="s">
        <v>191</v>
      </c>
      <c r="I2177" s="37" t="n">
        <v>117.14</v>
      </c>
      <c r="J2177" s="39" t="n">
        <v>1549.99</v>
      </c>
      <c r="K2177" s="37" t="s">
        <v>342</v>
      </c>
      <c r="L2177" s="39" t="n">
        <v>187.07</v>
      </c>
      <c r="M2177" s="39" t="n">
        <v>92.34</v>
      </c>
      <c r="N2177" s="39" t="n">
        <f aca="false">J2177*Resumo!$C$6</f>
        <v>0</v>
      </c>
      <c r="O2177" s="39" t="n">
        <f aca="false">J2177*Resumo!$C$7</f>
        <v>3.254979</v>
      </c>
      <c r="P2177" s="39" t="n">
        <f aca="false">J2177*Resumo!$C$8</f>
        <v>3.254979</v>
      </c>
      <c r="Q2177" s="39" t="n">
        <f aca="false">Resumo!$C$10*CEILING(I2177/100,1)</f>
        <v>2.1</v>
      </c>
      <c r="R2177" s="39" t="n">
        <f aca="false">Resumo!$C$9</f>
        <v>0</v>
      </c>
      <c r="S2177" s="39" t="n">
        <f aca="false">Resumo!$C$13</f>
        <v>13.55</v>
      </c>
      <c r="T2177" s="39" t="n">
        <f aca="false">Resumo!$C$14*CEILING(I2177,1)</f>
        <v>53.1</v>
      </c>
      <c r="U2177" s="39" t="n">
        <f aca="false">SUM(M2177:T2177)*Resumo!$C$11</f>
        <v>0</v>
      </c>
      <c r="V2177" s="39" t="n">
        <f aca="false">SUM(M2177:U2177)</f>
        <v>167.599958</v>
      </c>
      <c r="W2177" s="39" t="n">
        <f aca="false">V2177/(1-Resumo!$C$5)</f>
        <v>190.454497727273</v>
      </c>
      <c r="X2177" s="39" t="n">
        <v>201.59</v>
      </c>
      <c r="Y2177" s="39" t="n">
        <f aca="false">J2177*Resumo!$B$6</f>
        <v>1.54999</v>
      </c>
      <c r="Z2177" s="39" t="n">
        <f aca="false">J2177*Resumo!$B$7</f>
        <v>3.09998</v>
      </c>
      <c r="AA2177" s="39" t="n">
        <f aca="false">Resumo!$B$9</f>
        <v>1</v>
      </c>
      <c r="AB2177" s="39" t="n">
        <f aca="false">Resumo!$B$10*CEILING(I2177/100,1)</f>
        <v>9</v>
      </c>
      <c r="AC2177" s="39" t="n">
        <f aca="false">Resumo!$B$12*CEILING(I2177,1)</f>
        <v>7.08</v>
      </c>
      <c r="AD2177" s="39" t="n">
        <f aca="false">Resumo!$B$14*CEILING(I2177,1)</f>
        <v>53.1</v>
      </c>
      <c r="AE2177" s="39" t="n">
        <f aca="false">SUM(X2177:AD2177)</f>
        <v>276.41997</v>
      </c>
      <c r="AF2177" s="39" t="n">
        <f aca="false">AE2177/(1-Resumo!$B$5)</f>
        <v>314.113602272727</v>
      </c>
      <c r="AG2177" s="39" t="n">
        <f aca="false">AF2177-W2177</f>
        <v>123.659104545455</v>
      </c>
      <c r="AH2177" s="40" t="n">
        <f aca="false">AF2177/W2177-1</f>
        <v>0.649284243854047</v>
      </c>
      <c r="AI2177" s="37" t="str">
        <f aca="false">IF(AF2177&lt;W2177,"SIM","NÃO")</f>
        <v>NÃO</v>
      </c>
      <c r="AJ2177" s="37" t="n">
        <v>2</v>
      </c>
      <c r="AK2177" s="37" t="n">
        <v>5</v>
      </c>
      <c r="AL2177" s="37" t="s">
        <v>343</v>
      </c>
      <c r="AM2177" s="39" t="n">
        <v>187.07</v>
      </c>
    </row>
    <row r="2178" customFormat="false" ht="15" hidden="false" customHeight="false" outlineLevel="0" collapsed="false">
      <c r="A2178" s="37" t="n">
        <v>400806072</v>
      </c>
      <c r="B2178" s="38" t="n">
        <v>46294.4973958333</v>
      </c>
      <c r="C2178" s="37" t="s">
        <v>340</v>
      </c>
      <c r="D2178" s="37" t="s">
        <v>2279</v>
      </c>
      <c r="E2178" s="37" t="n">
        <v>23955210</v>
      </c>
      <c r="F2178" s="37" t="s">
        <v>169</v>
      </c>
      <c r="G2178" s="37" t="s">
        <v>198</v>
      </c>
      <c r="H2178" s="37" t="s">
        <v>184</v>
      </c>
      <c r="I2178" s="37" t="n">
        <v>29.2</v>
      </c>
      <c r="J2178" s="39" t="n">
        <v>429.95</v>
      </c>
      <c r="K2178" s="37" t="s">
        <v>342</v>
      </c>
      <c r="L2178" s="39" t="n">
        <v>109.24</v>
      </c>
      <c r="M2178" s="39" t="n">
        <v>65.63</v>
      </c>
      <c r="N2178" s="39" t="n">
        <f aca="false">J2178*Resumo!$C$6</f>
        <v>0</v>
      </c>
      <c r="O2178" s="39" t="n">
        <f aca="false">J2178*Resumo!$C$7</f>
        <v>0.902895</v>
      </c>
      <c r="P2178" s="39" t="n">
        <f aca="false">J2178*Resumo!$C$8</f>
        <v>0.902895</v>
      </c>
      <c r="Q2178" s="39" t="n">
        <f aca="false">Resumo!$C$10*CEILING(I2178/100,1)</f>
        <v>1.05</v>
      </c>
      <c r="R2178" s="39" t="n">
        <f aca="false">Resumo!$C$9</f>
        <v>0</v>
      </c>
      <c r="S2178" s="39" t="n">
        <f aca="false">Resumo!$C$13</f>
        <v>13.55</v>
      </c>
      <c r="T2178" s="39" t="n">
        <f aca="false">Resumo!$C$14*CEILING(I2178,1)</f>
        <v>13.5</v>
      </c>
      <c r="U2178" s="39" t="n">
        <f aca="false">SUM(M2178:T2178)*Resumo!$C$11</f>
        <v>0</v>
      </c>
      <c r="V2178" s="39" t="n">
        <f aca="false">SUM(M2178:U2178)</f>
        <v>95.53579</v>
      </c>
      <c r="W2178" s="39" t="n">
        <f aca="false">V2178/(1-Resumo!$C$5)</f>
        <v>108.563397727273</v>
      </c>
      <c r="X2178" s="39" t="n">
        <v>108.83</v>
      </c>
      <c r="Y2178" s="39" t="n">
        <f aca="false">J2178*Resumo!$B$6</f>
        <v>0.42995</v>
      </c>
      <c r="Z2178" s="39" t="n">
        <f aca="false">J2178*Resumo!$B$7</f>
        <v>0.8599</v>
      </c>
      <c r="AA2178" s="39" t="n">
        <f aca="false">Resumo!$B$9</f>
        <v>1</v>
      </c>
      <c r="AB2178" s="39" t="n">
        <f aca="false">Resumo!$B$10*CEILING(I2178/100,1)</f>
        <v>4.5</v>
      </c>
      <c r="AC2178" s="39" t="n">
        <f aca="false">Resumo!$B$12*CEILING(I2178,1)</f>
        <v>1.8</v>
      </c>
      <c r="AD2178" s="39" t="n">
        <f aca="false">Resumo!$B$14*CEILING(I2178,1)</f>
        <v>13.5</v>
      </c>
      <c r="AE2178" s="39" t="n">
        <f aca="false">SUM(X2178:AD2178)</f>
        <v>130.91985</v>
      </c>
      <c r="AF2178" s="39" t="n">
        <f aca="false">AE2178/(1-Resumo!$B$5)</f>
        <v>148.772556818182</v>
      </c>
      <c r="AG2178" s="39" t="n">
        <f aca="false">AF2178-W2178</f>
        <v>40.2091590909091</v>
      </c>
      <c r="AH2178" s="40" t="n">
        <f aca="false">AF2178/W2178-1</f>
        <v>0.370374913945863</v>
      </c>
      <c r="AI2178" s="37" t="str">
        <f aca="false">IF(AF2178&lt;W2178,"SIM","NÃO")</f>
        <v>NÃO</v>
      </c>
      <c r="AJ2178" s="37" t="n">
        <v>13</v>
      </c>
      <c r="AK2178" s="37" t="n">
        <v>10</v>
      </c>
      <c r="AL2178" s="37" t="s">
        <v>343</v>
      </c>
      <c r="AM2178" s="39" t="n">
        <v>109.24</v>
      </c>
    </row>
    <row r="2179" customFormat="false" ht="15" hidden="false" customHeight="false" outlineLevel="0" collapsed="false">
      <c r="A2179" s="37" t="n">
        <v>400818798</v>
      </c>
      <c r="B2179" s="38" t="n">
        <v>46294.5167592593</v>
      </c>
      <c r="C2179" s="37" t="s">
        <v>340</v>
      </c>
      <c r="D2179" s="37" t="s">
        <v>592</v>
      </c>
      <c r="E2179" s="37" t="n">
        <v>22780070</v>
      </c>
      <c r="F2179" s="37" t="s">
        <v>159</v>
      </c>
      <c r="G2179" s="37" t="s">
        <v>196</v>
      </c>
      <c r="H2179" s="37" t="s">
        <v>184</v>
      </c>
      <c r="I2179" s="37" t="n">
        <v>20.9</v>
      </c>
      <c r="J2179" s="39" t="n">
        <v>450.79</v>
      </c>
      <c r="K2179" s="37" t="s">
        <v>342</v>
      </c>
      <c r="L2179" s="39" t="n">
        <v>82.48</v>
      </c>
      <c r="M2179" s="39" t="n">
        <v>42.11</v>
      </c>
      <c r="N2179" s="39" t="n">
        <f aca="false">J2179*Resumo!$C$6</f>
        <v>0</v>
      </c>
      <c r="O2179" s="39" t="n">
        <f aca="false">J2179*Resumo!$C$7</f>
        <v>0.946659</v>
      </c>
      <c r="P2179" s="39" t="n">
        <f aca="false">J2179*Resumo!$C$8</f>
        <v>0.946659</v>
      </c>
      <c r="Q2179" s="39" t="n">
        <f aca="false">Resumo!$C$10*CEILING(I2179/100,1)</f>
        <v>1.05</v>
      </c>
      <c r="R2179" s="39" t="n">
        <f aca="false">Resumo!$C$9</f>
        <v>0</v>
      </c>
      <c r="S2179" s="39" t="n">
        <f aca="false">Resumo!$C$13</f>
        <v>13.55</v>
      </c>
      <c r="T2179" s="39" t="n">
        <f aca="false">Resumo!$C$14*CEILING(I2179,1)</f>
        <v>9.45</v>
      </c>
      <c r="U2179" s="39" t="n">
        <f aca="false">SUM(M2179:T2179)*Resumo!$C$11</f>
        <v>0</v>
      </c>
      <c r="V2179" s="39" t="n">
        <f aca="false">SUM(M2179:U2179)</f>
        <v>68.053318</v>
      </c>
      <c r="W2179" s="39" t="n">
        <f aca="false">V2179/(1-Resumo!$C$5)</f>
        <v>77.3333159090909</v>
      </c>
      <c r="X2179" s="39" t="n">
        <v>82.21</v>
      </c>
      <c r="Y2179" s="39" t="n">
        <f aca="false">J2179*Resumo!$B$6</f>
        <v>0.45079</v>
      </c>
      <c r="Z2179" s="39" t="n">
        <f aca="false">J2179*Resumo!$B$7</f>
        <v>0.90158</v>
      </c>
      <c r="AA2179" s="39" t="n">
        <f aca="false">Resumo!$B$9</f>
        <v>1</v>
      </c>
      <c r="AB2179" s="39" t="n">
        <f aca="false">Resumo!$B$10*CEILING(I2179/100,1)</f>
        <v>4.5</v>
      </c>
      <c r="AC2179" s="39" t="n">
        <f aca="false">Resumo!$B$12*CEILING(I2179,1)</f>
        <v>1.26</v>
      </c>
      <c r="AD2179" s="39" t="n">
        <f aca="false">Resumo!$B$14*CEILING(I2179,1)</f>
        <v>9.45</v>
      </c>
      <c r="AE2179" s="39" t="n">
        <f aca="false">SUM(X2179:AD2179)</f>
        <v>99.77237</v>
      </c>
      <c r="AF2179" s="39" t="n">
        <f aca="false">AE2179/(1-Resumo!$B$5)</f>
        <v>113.377693181818</v>
      </c>
      <c r="AG2179" s="39" t="n">
        <f aca="false">AF2179-W2179</f>
        <v>36.0443772727273</v>
      </c>
      <c r="AH2179" s="40" t="n">
        <f aca="false">AF2179/W2179-1</f>
        <v>0.466091190439825</v>
      </c>
      <c r="AI2179" s="37" t="str">
        <f aca="false">IF(AF2179&lt;W2179,"SIM","NÃO")</f>
        <v>NÃO</v>
      </c>
      <c r="AJ2179" s="37" t="n">
        <v>2</v>
      </c>
      <c r="AK2179" s="37" t="n">
        <v>5</v>
      </c>
      <c r="AL2179" s="37" t="s">
        <v>343</v>
      </c>
      <c r="AM2179" s="39" t="n">
        <v>82.49</v>
      </c>
    </row>
    <row r="2180" customFormat="false" ht="15" hidden="false" customHeight="false" outlineLevel="0" collapsed="false">
      <c r="A2180" s="37" t="n">
        <v>400862729</v>
      </c>
      <c r="B2180" s="38" t="n">
        <v>46294.5751736111</v>
      </c>
      <c r="C2180" s="37" t="s">
        <v>340</v>
      </c>
      <c r="D2180" s="37" t="s">
        <v>2280</v>
      </c>
      <c r="E2180" s="37" t="n">
        <v>21061300</v>
      </c>
      <c r="F2180" s="37" t="s">
        <v>159</v>
      </c>
      <c r="G2180" s="37" t="s">
        <v>196</v>
      </c>
      <c r="H2180" s="37" t="s">
        <v>185</v>
      </c>
      <c r="I2180" s="37" t="n">
        <v>36.8</v>
      </c>
      <c r="J2180" s="39" t="n">
        <v>389.63</v>
      </c>
      <c r="K2180" s="37" t="s">
        <v>342</v>
      </c>
      <c r="L2180" s="39" t="n">
        <v>91.73</v>
      </c>
      <c r="M2180" s="39" t="n">
        <v>48.35</v>
      </c>
      <c r="N2180" s="39" t="n">
        <f aca="false">J2180*Resumo!$C$6</f>
        <v>0</v>
      </c>
      <c r="O2180" s="39" t="n">
        <f aca="false">J2180*Resumo!$C$7</f>
        <v>0.818223</v>
      </c>
      <c r="P2180" s="39" t="n">
        <f aca="false">J2180*Resumo!$C$8</f>
        <v>0.818223</v>
      </c>
      <c r="Q2180" s="39" t="n">
        <f aca="false">Resumo!$C$10*CEILING(I2180/100,1)</f>
        <v>1.05</v>
      </c>
      <c r="R2180" s="39" t="n">
        <f aca="false">Resumo!$C$9</f>
        <v>0</v>
      </c>
      <c r="S2180" s="39" t="n">
        <f aca="false">Resumo!$C$13</f>
        <v>13.55</v>
      </c>
      <c r="T2180" s="39" t="n">
        <f aca="false">Resumo!$C$14*CEILING(I2180,1)</f>
        <v>16.65</v>
      </c>
      <c r="U2180" s="39" t="n">
        <f aca="false">SUM(M2180:T2180)*Resumo!$C$11</f>
        <v>0</v>
      </c>
      <c r="V2180" s="39" t="n">
        <f aca="false">SUM(M2180:U2180)</f>
        <v>81.236446</v>
      </c>
      <c r="W2180" s="39" t="n">
        <f aca="false">V2180/(1-Resumo!$C$5)</f>
        <v>92.3141431818182</v>
      </c>
      <c r="X2180" s="39" t="n">
        <v>93.97</v>
      </c>
      <c r="Y2180" s="39" t="n">
        <f aca="false">J2180*Resumo!$B$6</f>
        <v>0.38963</v>
      </c>
      <c r="Z2180" s="39" t="n">
        <f aca="false">J2180*Resumo!$B$7</f>
        <v>0.77926</v>
      </c>
      <c r="AA2180" s="39" t="n">
        <f aca="false">Resumo!$B$9</f>
        <v>1</v>
      </c>
      <c r="AB2180" s="39" t="n">
        <f aca="false">Resumo!$B$10*CEILING(I2180/100,1)</f>
        <v>4.5</v>
      </c>
      <c r="AC2180" s="39" t="n">
        <f aca="false">Resumo!$B$12*CEILING(I2180,1)</f>
        <v>2.22</v>
      </c>
      <c r="AD2180" s="39" t="n">
        <f aca="false">Resumo!$B$14*CEILING(I2180,1)</f>
        <v>16.65</v>
      </c>
      <c r="AE2180" s="39" t="n">
        <f aca="false">SUM(X2180:AD2180)</f>
        <v>119.50889</v>
      </c>
      <c r="AF2180" s="39" t="n">
        <f aca="false">AE2180/(1-Resumo!$B$5)</f>
        <v>135.805556818182</v>
      </c>
      <c r="AG2180" s="39" t="n">
        <f aca="false">AF2180-W2180</f>
        <v>43.4914136363636</v>
      </c>
      <c r="AH2180" s="40" t="n">
        <f aca="false">AF2180/W2180-1</f>
        <v>0.471124056805735</v>
      </c>
      <c r="AI2180" s="37" t="str">
        <f aca="false">IF(AF2180&lt;W2180,"SIM","NÃO")</f>
        <v>NÃO</v>
      </c>
      <c r="AJ2180" s="37" t="n">
        <v>2</v>
      </c>
      <c r="AK2180" s="37" t="n">
        <v>5</v>
      </c>
      <c r="AL2180" s="37" t="s">
        <v>343</v>
      </c>
      <c r="AM2180" s="39" t="n">
        <v>91.72</v>
      </c>
    </row>
    <row r="2181" customFormat="false" ht="15" hidden="false" customHeight="false" outlineLevel="0" collapsed="false">
      <c r="A2181" s="37" t="n">
        <v>400871792</v>
      </c>
      <c r="B2181" s="38" t="n">
        <v>46294.5875694445</v>
      </c>
      <c r="C2181" s="37" t="s">
        <v>340</v>
      </c>
      <c r="D2181" s="37" t="s">
        <v>2281</v>
      </c>
      <c r="E2181" s="37" t="n">
        <v>28992678</v>
      </c>
      <c r="F2181" s="37" t="s">
        <v>295</v>
      </c>
      <c r="G2181" s="37" t="s">
        <v>198</v>
      </c>
      <c r="H2181" s="37" t="s">
        <v>188</v>
      </c>
      <c r="I2181" s="37" t="n">
        <v>66.8</v>
      </c>
      <c r="J2181" s="39" t="n">
        <v>719.99</v>
      </c>
      <c r="K2181" s="37" t="s">
        <v>342</v>
      </c>
      <c r="L2181" s="39" t="n">
        <v>155.47</v>
      </c>
      <c r="M2181" s="39" t="n">
        <v>90.2</v>
      </c>
      <c r="N2181" s="39" t="n">
        <f aca="false">J2181*Resumo!$C$6</f>
        <v>0</v>
      </c>
      <c r="O2181" s="39" t="n">
        <f aca="false">J2181*Resumo!$C$7</f>
        <v>1.511979</v>
      </c>
      <c r="P2181" s="39" t="n">
        <f aca="false">J2181*Resumo!$C$8</f>
        <v>1.511979</v>
      </c>
      <c r="Q2181" s="39" t="n">
        <f aca="false">Resumo!$C$10*CEILING(I2181/100,1)</f>
        <v>1.05</v>
      </c>
      <c r="R2181" s="39" t="n">
        <f aca="false">Resumo!$C$9</f>
        <v>0</v>
      </c>
      <c r="S2181" s="39" t="n">
        <f aca="false">Resumo!$C$13</f>
        <v>13.55</v>
      </c>
      <c r="T2181" s="39" t="n">
        <f aca="false">Resumo!$C$14*CEILING(I2181,1)</f>
        <v>30.15</v>
      </c>
      <c r="U2181" s="39" t="n">
        <f aca="false">SUM(M2181:T2181)*Resumo!$C$11</f>
        <v>0</v>
      </c>
      <c r="V2181" s="39" t="n">
        <f aca="false">SUM(M2181:U2181)</f>
        <v>137.973958</v>
      </c>
      <c r="W2181" s="39" t="n">
        <f aca="false">V2181/(1-Resumo!$C$5)</f>
        <v>156.788588636364</v>
      </c>
      <c r="X2181" s="39" t="n">
        <v>166.05</v>
      </c>
      <c r="Y2181" s="39" t="n">
        <f aca="false">J2181*Resumo!$B$6</f>
        <v>0.71999</v>
      </c>
      <c r="Z2181" s="39" t="n">
        <f aca="false">J2181*Resumo!$B$7</f>
        <v>1.43998</v>
      </c>
      <c r="AA2181" s="39" t="n">
        <f aca="false">Resumo!$B$9</f>
        <v>1</v>
      </c>
      <c r="AB2181" s="39" t="n">
        <f aca="false">Resumo!$B$10*CEILING(I2181/100,1)</f>
        <v>4.5</v>
      </c>
      <c r="AC2181" s="39" t="n">
        <f aca="false">Resumo!$B$12*CEILING(I2181,1)</f>
        <v>4.02</v>
      </c>
      <c r="AD2181" s="39" t="n">
        <f aca="false">Resumo!$B$14*CEILING(I2181,1)</f>
        <v>30.15</v>
      </c>
      <c r="AE2181" s="39" t="n">
        <f aca="false">SUM(X2181:AD2181)</f>
        <v>207.87997</v>
      </c>
      <c r="AF2181" s="39" t="n">
        <f aca="false">AE2181/(1-Resumo!$B$5)</f>
        <v>236.227238636364</v>
      </c>
      <c r="AG2181" s="39" t="n">
        <f aca="false">AF2181-W2181</f>
        <v>79.43865</v>
      </c>
      <c r="AH2181" s="40" t="n">
        <f aca="false">AF2181/W2181-1</f>
        <v>0.50666091640279</v>
      </c>
      <c r="AI2181" s="37" t="str">
        <f aca="false">IF(AF2181&lt;W2181,"SIM","NÃO")</f>
        <v>NÃO</v>
      </c>
      <c r="AJ2181" s="37" t="n">
        <v>13</v>
      </c>
      <c r="AK2181" s="37" t="n">
        <v>10</v>
      </c>
      <c r="AL2181" s="37" t="s">
        <v>347</v>
      </c>
      <c r="AM2181" s="39" t="n">
        <v>155.47</v>
      </c>
    </row>
    <row r="2182" customFormat="false" ht="15" hidden="false" customHeight="false" outlineLevel="0" collapsed="false">
      <c r="A2182" s="37" t="n">
        <v>400872300</v>
      </c>
      <c r="B2182" s="38" t="n">
        <v>46294.5880671296</v>
      </c>
      <c r="C2182" s="37" t="s">
        <v>340</v>
      </c>
      <c r="D2182" s="37" t="s">
        <v>1612</v>
      </c>
      <c r="E2182" s="37" t="n">
        <v>22783210</v>
      </c>
      <c r="F2182" s="37" t="s">
        <v>159</v>
      </c>
      <c r="G2182" s="37" t="s">
        <v>196</v>
      </c>
      <c r="H2182" s="37" t="s">
        <v>185</v>
      </c>
      <c r="I2182" s="37" t="n">
        <v>36.8</v>
      </c>
      <c r="J2182" s="39" t="n">
        <v>464.95</v>
      </c>
      <c r="K2182" s="37" t="s">
        <v>342</v>
      </c>
      <c r="L2182" s="39" t="n">
        <v>92.08</v>
      </c>
      <c r="M2182" s="39" t="n">
        <v>48.35</v>
      </c>
      <c r="N2182" s="39" t="n">
        <f aca="false">J2182*Resumo!$C$6</f>
        <v>0</v>
      </c>
      <c r="O2182" s="39" t="n">
        <f aca="false">J2182*Resumo!$C$7</f>
        <v>0.976395</v>
      </c>
      <c r="P2182" s="39" t="n">
        <f aca="false">J2182*Resumo!$C$8</f>
        <v>0.976395</v>
      </c>
      <c r="Q2182" s="39" t="n">
        <f aca="false">Resumo!$C$10*CEILING(I2182/100,1)</f>
        <v>1.05</v>
      </c>
      <c r="R2182" s="39" t="n">
        <f aca="false">Resumo!$C$9</f>
        <v>0</v>
      </c>
      <c r="S2182" s="39" t="n">
        <f aca="false">Resumo!$C$13</f>
        <v>13.55</v>
      </c>
      <c r="T2182" s="39" t="n">
        <f aca="false">Resumo!$C$14*CEILING(I2182,1)</f>
        <v>16.65</v>
      </c>
      <c r="U2182" s="39" t="n">
        <f aca="false">SUM(M2182:T2182)*Resumo!$C$11</f>
        <v>0</v>
      </c>
      <c r="V2182" s="39" t="n">
        <f aca="false">SUM(M2182:U2182)</f>
        <v>81.55279</v>
      </c>
      <c r="W2182" s="39" t="n">
        <f aca="false">V2182/(1-Resumo!$C$5)</f>
        <v>92.673625</v>
      </c>
      <c r="X2182" s="39" t="n">
        <v>93.97</v>
      </c>
      <c r="Y2182" s="39" t="n">
        <f aca="false">J2182*Resumo!$B$6</f>
        <v>0.46495</v>
      </c>
      <c r="Z2182" s="39" t="n">
        <f aca="false">J2182*Resumo!$B$7</f>
        <v>0.9299</v>
      </c>
      <c r="AA2182" s="39" t="n">
        <f aca="false">Resumo!$B$9</f>
        <v>1</v>
      </c>
      <c r="AB2182" s="39" t="n">
        <f aca="false">Resumo!$B$10*CEILING(I2182/100,1)</f>
        <v>4.5</v>
      </c>
      <c r="AC2182" s="39" t="n">
        <f aca="false">Resumo!$B$12*CEILING(I2182,1)</f>
        <v>2.22</v>
      </c>
      <c r="AD2182" s="39" t="n">
        <f aca="false">Resumo!$B$14*CEILING(I2182,1)</f>
        <v>16.65</v>
      </c>
      <c r="AE2182" s="39" t="n">
        <f aca="false">SUM(X2182:AD2182)</f>
        <v>119.73485</v>
      </c>
      <c r="AF2182" s="39" t="n">
        <f aca="false">AE2182/(1-Resumo!$B$5)</f>
        <v>136.062329545455</v>
      </c>
      <c r="AG2182" s="39" t="n">
        <f aca="false">AF2182-W2182</f>
        <v>43.3887045454546</v>
      </c>
      <c r="AH2182" s="40" t="n">
        <f aca="false">AF2182/W2182-1</f>
        <v>0.468188274122811</v>
      </c>
      <c r="AI2182" s="37" t="str">
        <f aca="false">IF(AF2182&lt;W2182,"SIM","NÃO")</f>
        <v>NÃO</v>
      </c>
      <c r="AJ2182" s="37" t="n">
        <v>2</v>
      </c>
      <c r="AK2182" s="37" t="n">
        <v>5</v>
      </c>
      <c r="AL2182" s="37" t="s">
        <v>343</v>
      </c>
      <c r="AM2182" s="39" t="n">
        <v>92.08</v>
      </c>
    </row>
    <row r="2183" customFormat="false" ht="15" hidden="false" customHeight="false" outlineLevel="0" collapsed="false">
      <c r="A2183" s="37" t="n">
        <v>400887669</v>
      </c>
      <c r="B2183" s="38" t="n">
        <v>46294.6063310185</v>
      </c>
      <c r="C2183" s="37" t="s">
        <v>345</v>
      </c>
      <c r="D2183" s="37" t="s">
        <v>2282</v>
      </c>
      <c r="E2183" s="37" t="n">
        <v>21510013</v>
      </c>
      <c r="F2183" s="37" t="s">
        <v>159</v>
      </c>
      <c r="G2183" s="37" t="s">
        <v>196</v>
      </c>
      <c r="H2183" s="37" t="s">
        <v>185</v>
      </c>
      <c r="I2183" s="37" t="n">
        <v>36</v>
      </c>
      <c r="J2183" s="39" t="n">
        <v>382</v>
      </c>
      <c r="K2183" s="37" t="s">
        <v>342</v>
      </c>
      <c r="L2183" s="39" t="n">
        <v>91.68</v>
      </c>
      <c r="M2183" s="39" t="n">
        <v>48.35</v>
      </c>
      <c r="N2183" s="39" t="n">
        <f aca="false">J2183*Resumo!$C$6</f>
        <v>0</v>
      </c>
      <c r="O2183" s="39" t="n">
        <f aca="false">J2183*Resumo!$C$7</f>
        <v>0.8022</v>
      </c>
      <c r="P2183" s="39" t="n">
        <f aca="false">J2183*Resumo!$C$8</f>
        <v>0.8022</v>
      </c>
      <c r="Q2183" s="39" t="n">
        <f aca="false">Resumo!$C$10*CEILING(I2183/100,1)</f>
        <v>1.05</v>
      </c>
      <c r="R2183" s="39" t="n">
        <f aca="false">Resumo!$C$9</f>
        <v>0</v>
      </c>
      <c r="S2183" s="39" t="n">
        <f aca="false">Resumo!$C$13</f>
        <v>13.55</v>
      </c>
      <c r="T2183" s="39" t="n">
        <f aca="false">Resumo!$C$14*CEILING(I2183,1)</f>
        <v>16.2</v>
      </c>
      <c r="U2183" s="39" t="n">
        <f aca="false">SUM(M2183:T2183)*Resumo!$C$11</f>
        <v>0</v>
      </c>
      <c r="V2183" s="39" t="n">
        <f aca="false">SUM(M2183:U2183)</f>
        <v>80.7544</v>
      </c>
      <c r="W2183" s="39" t="n">
        <f aca="false">V2183/(1-Resumo!$C$5)</f>
        <v>91.7663636363636</v>
      </c>
      <c r="X2183" s="39" t="n">
        <v>93.97</v>
      </c>
      <c r="Y2183" s="39" t="n">
        <f aca="false">J2183*Resumo!$B$6</f>
        <v>0.382</v>
      </c>
      <c r="Z2183" s="39" t="n">
        <f aca="false">J2183*Resumo!$B$7</f>
        <v>0.764</v>
      </c>
      <c r="AA2183" s="39" t="n">
        <f aca="false">Resumo!$B$9</f>
        <v>1</v>
      </c>
      <c r="AB2183" s="39" t="n">
        <f aca="false">Resumo!$B$10*CEILING(I2183/100,1)</f>
        <v>4.5</v>
      </c>
      <c r="AC2183" s="39" t="n">
        <f aca="false">Resumo!$B$12*CEILING(I2183,1)</f>
        <v>2.16</v>
      </c>
      <c r="AD2183" s="39" t="n">
        <f aca="false">Resumo!$B$14*CEILING(I2183,1)</f>
        <v>16.2</v>
      </c>
      <c r="AE2183" s="39" t="n">
        <f aca="false">SUM(X2183:AD2183)</f>
        <v>118.976</v>
      </c>
      <c r="AF2183" s="39" t="n">
        <f aca="false">AE2183/(1-Resumo!$B$5)</f>
        <v>135.2</v>
      </c>
      <c r="AG2183" s="39" t="n">
        <f aca="false">AF2183-W2183</f>
        <v>43.4336363636364</v>
      </c>
      <c r="AH2183" s="40" t="n">
        <f aca="false">AF2183/W2183-1</f>
        <v>0.473306717652537</v>
      </c>
      <c r="AI2183" s="37" t="str">
        <f aca="false">IF(AF2183&lt;W2183,"SIM","NÃO")</f>
        <v>NÃO</v>
      </c>
      <c r="AJ2183" s="37" t="n">
        <v>2</v>
      </c>
      <c r="AK2183" s="37" t="n">
        <v>5</v>
      </c>
      <c r="AL2183" s="37" t="s">
        <v>343</v>
      </c>
      <c r="AM2183" s="39" t="n">
        <v>91.69</v>
      </c>
    </row>
    <row r="2184" customFormat="false" ht="15" hidden="false" customHeight="false" outlineLevel="0" collapsed="false">
      <c r="A2184" s="37" t="n">
        <v>400908995</v>
      </c>
      <c r="B2184" s="38" t="n">
        <v>46294.6357060185</v>
      </c>
      <c r="C2184" s="37" t="s">
        <v>372</v>
      </c>
      <c r="D2184" s="37" t="s">
        <v>2283</v>
      </c>
      <c r="E2184" s="37" t="n">
        <v>23094205</v>
      </c>
      <c r="F2184" s="37" t="s">
        <v>159</v>
      </c>
      <c r="G2184" s="37" t="s">
        <v>196</v>
      </c>
      <c r="H2184" s="37" t="s">
        <v>188</v>
      </c>
      <c r="I2184" s="37" t="n">
        <v>60.1</v>
      </c>
      <c r="J2184" s="39" t="n">
        <v>1169.99</v>
      </c>
      <c r="K2184" s="37" t="s">
        <v>342</v>
      </c>
      <c r="L2184" s="39" t="n">
        <v>126.82</v>
      </c>
      <c r="M2184" s="39" t="n">
        <v>63.21</v>
      </c>
      <c r="N2184" s="39" t="n">
        <f aca="false">J2184*Resumo!$C$6</f>
        <v>0</v>
      </c>
      <c r="O2184" s="39" t="n">
        <f aca="false">J2184*Resumo!$C$7</f>
        <v>2.456979</v>
      </c>
      <c r="P2184" s="39" t="n">
        <f aca="false">J2184*Resumo!$C$8</f>
        <v>2.456979</v>
      </c>
      <c r="Q2184" s="39" t="n">
        <f aca="false">Resumo!$C$10*CEILING(I2184/100,1)</f>
        <v>1.05</v>
      </c>
      <c r="R2184" s="39" t="n">
        <f aca="false">Resumo!$C$9</f>
        <v>0</v>
      </c>
      <c r="S2184" s="39" t="n">
        <f aca="false">Resumo!$C$13</f>
        <v>13.55</v>
      </c>
      <c r="T2184" s="39" t="n">
        <f aca="false">Resumo!$C$14*CEILING(I2184,1)</f>
        <v>27.45</v>
      </c>
      <c r="U2184" s="39" t="n">
        <f aca="false">SUM(M2184:T2184)*Resumo!$C$11</f>
        <v>0</v>
      </c>
      <c r="V2184" s="39" t="n">
        <f aca="false">SUM(M2184:U2184)</f>
        <v>110.173958</v>
      </c>
      <c r="W2184" s="39" t="n">
        <f aca="false">V2184/(1-Resumo!$C$5)</f>
        <v>125.197679545455</v>
      </c>
      <c r="X2184" s="39" t="n">
        <v>131.02</v>
      </c>
      <c r="Y2184" s="39" t="n">
        <f aca="false">J2184*Resumo!$B$6</f>
        <v>1.16999</v>
      </c>
      <c r="Z2184" s="39" t="n">
        <f aca="false">J2184*Resumo!$B$7</f>
        <v>2.33998</v>
      </c>
      <c r="AA2184" s="39" t="n">
        <f aca="false">Resumo!$B$9</f>
        <v>1</v>
      </c>
      <c r="AB2184" s="39" t="n">
        <f aca="false">Resumo!$B$10*CEILING(I2184/100,1)</f>
        <v>4.5</v>
      </c>
      <c r="AC2184" s="39" t="n">
        <f aca="false">Resumo!$B$12*CEILING(I2184,1)</f>
        <v>3.66</v>
      </c>
      <c r="AD2184" s="39" t="n">
        <f aca="false">Resumo!$B$14*CEILING(I2184,1)</f>
        <v>27.45</v>
      </c>
      <c r="AE2184" s="39" t="n">
        <f aca="false">SUM(X2184:AD2184)</f>
        <v>171.13997</v>
      </c>
      <c r="AF2184" s="39" t="n">
        <f aca="false">AE2184/(1-Resumo!$B$5)</f>
        <v>194.477238636364</v>
      </c>
      <c r="AG2184" s="39" t="n">
        <f aca="false">AF2184-W2184</f>
        <v>69.2795590909091</v>
      </c>
      <c r="AH2184" s="40" t="n">
        <f aca="false">AF2184/W2184-1</f>
        <v>0.553361366939363</v>
      </c>
      <c r="AI2184" s="37" t="str">
        <f aca="false">IF(AF2184&lt;W2184,"SIM","NÃO")</f>
        <v>NÃO</v>
      </c>
      <c r="AJ2184" s="37" t="n">
        <v>2</v>
      </c>
      <c r="AK2184" s="37" t="n">
        <v>5</v>
      </c>
      <c r="AL2184" s="37" t="s">
        <v>343</v>
      </c>
      <c r="AM2184" s="39" t="n">
        <v>126.82</v>
      </c>
    </row>
    <row r="2185" customFormat="false" ht="15" hidden="false" customHeight="false" outlineLevel="0" collapsed="false">
      <c r="A2185" s="37" t="n">
        <v>400919086</v>
      </c>
      <c r="B2185" s="38" t="n">
        <v>46294.6453703704</v>
      </c>
      <c r="C2185" s="37" t="s">
        <v>340</v>
      </c>
      <c r="D2185" s="37" t="s">
        <v>2284</v>
      </c>
      <c r="E2185" s="37" t="n">
        <v>20560032</v>
      </c>
      <c r="F2185" s="37" t="s">
        <v>159</v>
      </c>
      <c r="G2185" s="37" t="s">
        <v>196</v>
      </c>
      <c r="H2185" s="37" t="s">
        <v>184</v>
      </c>
      <c r="I2185" s="37" t="n">
        <v>29.2</v>
      </c>
      <c r="J2185" s="39" t="n">
        <v>429.99</v>
      </c>
      <c r="K2185" s="37" t="s">
        <v>342</v>
      </c>
      <c r="L2185" s="39" t="n">
        <v>82.39</v>
      </c>
      <c r="M2185" s="39" t="n">
        <v>42.11</v>
      </c>
      <c r="N2185" s="39" t="n">
        <f aca="false">J2185*Resumo!$C$6</f>
        <v>0</v>
      </c>
      <c r="O2185" s="39" t="n">
        <f aca="false">J2185*Resumo!$C$7</f>
        <v>0.902979</v>
      </c>
      <c r="P2185" s="39" t="n">
        <f aca="false">J2185*Resumo!$C$8</f>
        <v>0.902979</v>
      </c>
      <c r="Q2185" s="39" t="n">
        <f aca="false">Resumo!$C$10*CEILING(I2185/100,1)</f>
        <v>1.05</v>
      </c>
      <c r="R2185" s="39" t="n">
        <f aca="false">Resumo!$C$9</f>
        <v>0</v>
      </c>
      <c r="S2185" s="39" t="n">
        <f aca="false">Resumo!$C$13</f>
        <v>13.55</v>
      </c>
      <c r="T2185" s="39" t="n">
        <f aca="false">Resumo!$C$14*CEILING(I2185,1)</f>
        <v>13.5</v>
      </c>
      <c r="U2185" s="39" t="n">
        <f aca="false">SUM(M2185:T2185)*Resumo!$C$11</f>
        <v>0</v>
      </c>
      <c r="V2185" s="39" t="n">
        <f aca="false">SUM(M2185:U2185)</f>
        <v>72.015958</v>
      </c>
      <c r="W2185" s="39" t="n">
        <f aca="false">V2185/(1-Resumo!$C$5)</f>
        <v>81.8363159090909</v>
      </c>
      <c r="X2185" s="39" t="n">
        <v>82.21</v>
      </c>
      <c r="Y2185" s="39" t="n">
        <f aca="false">J2185*Resumo!$B$6</f>
        <v>0.42999</v>
      </c>
      <c r="Z2185" s="39" t="n">
        <f aca="false">J2185*Resumo!$B$7</f>
        <v>0.85998</v>
      </c>
      <c r="AA2185" s="39" t="n">
        <f aca="false">Resumo!$B$9</f>
        <v>1</v>
      </c>
      <c r="AB2185" s="39" t="n">
        <f aca="false">Resumo!$B$10*CEILING(I2185/100,1)</f>
        <v>4.5</v>
      </c>
      <c r="AC2185" s="39" t="n">
        <f aca="false">Resumo!$B$12*CEILING(I2185,1)</f>
        <v>1.8</v>
      </c>
      <c r="AD2185" s="39" t="n">
        <f aca="false">Resumo!$B$14*CEILING(I2185,1)</f>
        <v>13.5</v>
      </c>
      <c r="AE2185" s="39" t="n">
        <f aca="false">SUM(X2185:AD2185)</f>
        <v>104.29997</v>
      </c>
      <c r="AF2185" s="39" t="n">
        <f aca="false">AE2185/(1-Resumo!$B$5)</f>
        <v>118.522693181818</v>
      </c>
      <c r="AG2185" s="39" t="n">
        <f aca="false">AF2185-W2185</f>
        <v>36.6863772727273</v>
      </c>
      <c r="AH2185" s="40" t="n">
        <f aca="false">AF2185/W2185-1</f>
        <v>0.448289697125184</v>
      </c>
      <c r="AI2185" s="37" t="str">
        <f aca="false">IF(AF2185&lt;W2185,"SIM","NÃO")</f>
        <v>NÃO</v>
      </c>
      <c r="AJ2185" s="37" t="n">
        <v>2</v>
      </c>
      <c r="AK2185" s="37" t="n">
        <v>5</v>
      </c>
      <c r="AL2185" s="37" t="s">
        <v>343</v>
      </c>
      <c r="AM2185" s="39" t="n">
        <v>82.39</v>
      </c>
    </row>
    <row r="2186" customFormat="false" ht="15" hidden="false" customHeight="false" outlineLevel="0" collapsed="false">
      <c r="A2186" s="37" t="n">
        <v>400923309</v>
      </c>
      <c r="B2186" s="38" t="n">
        <v>46294.653125</v>
      </c>
      <c r="C2186" s="37" t="s">
        <v>340</v>
      </c>
      <c r="D2186" s="37" t="s">
        <v>2285</v>
      </c>
      <c r="E2186" s="37" t="n">
        <v>22780500</v>
      </c>
      <c r="F2186" s="37" t="s">
        <v>159</v>
      </c>
      <c r="G2186" s="37" t="s">
        <v>196</v>
      </c>
      <c r="H2186" s="37" t="s">
        <v>184</v>
      </c>
      <c r="I2186" s="37" t="n">
        <v>27</v>
      </c>
      <c r="J2186" s="39" t="n">
        <v>270.99</v>
      </c>
      <c r="K2186" s="37" t="s">
        <v>342</v>
      </c>
      <c r="L2186" s="39" t="n">
        <v>81.61</v>
      </c>
      <c r="M2186" s="39" t="n">
        <v>42.11</v>
      </c>
      <c r="N2186" s="39" t="n">
        <f aca="false">J2186*Resumo!$C$6</f>
        <v>0</v>
      </c>
      <c r="O2186" s="39" t="n">
        <f aca="false">J2186*Resumo!$C$7</f>
        <v>0.569079</v>
      </c>
      <c r="P2186" s="39" t="n">
        <f aca="false">J2186*Resumo!$C$8</f>
        <v>0.569079</v>
      </c>
      <c r="Q2186" s="39" t="n">
        <f aca="false">Resumo!$C$10*CEILING(I2186/100,1)</f>
        <v>1.05</v>
      </c>
      <c r="R2186" s="39" t="n">
        <f aca="false">Resumo!$C$9</f>
        <v>0</v>
      </c>
      <c r="S2186" s="39" t="n">
        <f aca="false">Resumo!$C$13</f>
        <v>13.55</v>
      </c>
      <c r="T2186" s="39" t="n">
        <f aca="false">Resumo!$C$14*CEILING(I2186,1)</f>
        <v>12.15</v>
      </c>
      <c r="U2186" s="39" t="n">
        <f aca="false">SUM(M2186:T2186)*Resumo!$C$11</f>
        <v>0</v>
      </c>
      <c r="V2186" s="39" t="n">
        <f aca="false">SUM(M2186:U2186)</f>
        <v>69.998158</v>
      </c>
      <c r="W2186" s="39" t="n">
        <f aca="false">V2186/(1-Resumo!$C$5)</f>
        <v>79.5433613636364</v>
      </c>
      <c r="X2186" s="39" t="n">
        <v>82.21</v>
      </c>
      <c r="Y2186" s="39" t="n">
        <f aca="false">J2186*Resumo!$B$6</f>
        <v>0.27099</v>
      </c>
      <c r="Z2186" s="39" t="n">
        <f aca="false">J2186*Resumo!$B$7</f>
        <v>0.54198</v>
      </c>
      <c r="AA2186" s="39" t="n">
        <f aca="false">Resumo!$B$9</f>
        <v>1</v>
      </c>
      <c r="AB2186" s="39" t="n">
        <f aca="false">Resumo!$B$10*CEILING(I2186/100,1)</f>
        <v>4.5</v>
      </c>
      <c r="AC2186" s="39" t="n">
        <f aca="false">Resumo!$B$12*CEILING(I2186,1)</f>
        <v>1.62</v>
      </c>
      <c r="AD2186" s="39" t="n">
        <f aca="false">Resumo!$B$14*CEILING(I2186,1)</f>
        <v>12.15</v>
      </c>
      <c r="AE2186" s="39" t="n">
        <f aca="false">SUM(X2186:AD2186)</f>
        <v>102.29297</v>
      </c>
      <c r="AF2186" s="39" t="n">
        <f aca="false">AE2186/(1-Resumo!$B$5)</f>
        <v>116.242011363636</v>
      </c>
      <c r="AG2186" s="39" t="n">
        <f aca="false">AF2186-W2186</f>
        <v>36.69865</v>
      </c>
      <c r="AH2186" s="40" t="n">
        <f aca="false">AF2186/W2186-1</f>
        <v>0.461366597675327</v>
      </c>
      <c r="AI2186" s="37" t="str">
        <f aca="false">IF(AF2186&lt;W2186,"SIM","NÃO")</f>
        <v>NÃO</v>
      </c>
      <c r="AJ2186" s="37" t="n">
        <v>2</v>
      </c>
      <c r="AK2186" s="37" t="n">
        <v>5</v>
      </c>
      <c r="AL2186" s="37" t="s">
        <v>343</v>
      </c>
      <c r="AM2186" s="39" t="n">
        <v>81.62</v>
      </c>
    </row>
    <row r="2187" customFormat="false" ht="15" hidden="false" customHeight="false" outlineLevel="0" collapsed="false">
      <c r="A2187" s="37" t="n">
        <v>400953656</v>
      </c>
      <c r="B2187" s="38" t="n">
        <v>46294.6936458333</v>
      </c>
      <c r="C2187" s="37" t="s">
        <v>340</v>
      </c>
      <c r="D2187" s="37" t="s">
        <v>2286</v>
      </c>
      <c r="E2187" s="37" t="n">
        <v>21341460</v>
      </c>
      <c r="F2187" s="37" t="s">
        <v>159</v>
      </c>
      <c r="G2187" s="37" t="s">
        <v>196</v>
      </c>
      <c r="H2187" s="37" t="s">
        <v>185</v>
      </c>
      <c r="I2187" s="37" t="n">
        <v>35.4</v>
      </c>
      <c r="J2187" s="39" t="n">
        <v>499.99</v>
      </c>
      <c r="K2187" s="37" t="s">
        <v>342</v>
      </c>
      <c r="L2187" s="39" t="n">
        <v>92.25</v>
      </c>
      <c r="M2187" s="39" t="n">
        <v>48.35</v>
      </c>
      <c r="N2187" s="39" t="n">
        <f aca="false">J2187*Resumo!$C$6</f>
        <v>0</v>
      </c>
      <c r="O2187" s="39" t="n">
        <f aca="false">J2187*Resumo!$C$7</f>
        <v>1.049979</v>
      </c>
      <c r="P2187" s="39" t="n">
        <f aca="false">J2187*Resumo!$C$8</f>
        <v>1.049979</v>
      </c>
      <c r="Q2187" s="39" t="n">
        <f aca="false">Resumo!$C$10*CEILING(I2187/100,1)</f>
        <v>1.05</v>
      </c>
      <c r="R2187" s="39" t="n">
        <f aca="false">Resumo!$C$9</f>
        <v>0</v>
      </c>
      <c r="S2187" s="39" t="n">
        <f aca="false">Resumo!$C$13</f>
        <v>13.55</v>
      </c>
      <c r="T2187" s="39" t="n">
        <f aca="false">Resumo!$C$14*CEILING(I2187,1)</f>
        <v>16.2</v>
      </c>
      <c r="U2187" s="39" t="n">
        <f aca="false">SUM(M2187:T2187)*Resumo!$C$11</f>
        <v>0</v>
      </c>
      <c r="V2187" s="39" t="n">
        <f aca="false">SUM(M2187:U2187)</f>
        <v>81.249958</v>
      </c>
      <c r="W2187" s="39" t="n">
        <f aca="false">V2187/(1-Resumo!$C$5)</f>
        <v>92.3294977272727</v>
      </c>
      <c r="X2187" s="39" t="n">
        <v>93.97</v>
      </c>
      <c r="Y2187" s="39" t="n">
        <f aca="false">J2187*Resumo!$B$6</f>
        <v>0.49999</v>
      </c>
      <c r="Z2187" s="39" t="n">
        <f aca="false">J2187*Resumo!$B$7</f>
        <v>0.99998</v>
      </c>
      <c r="AA2187" s="39" t="n">
        <f aca="false">Resumo!$B$9</f>
        <v>1</v>
      </c>
      <c r="AB2187" s="39" t="n">
        <f aca="false">Resumo!$B$10*CEILING(I2187/100,1)</f>
        <v>4.5</v>
      </c>
      <c r="AC2187" s="39" t="n">
        <f aca="false">Resumo!$B$12*CEILING(I2187,1)</f>
        <v>2.16</v>
      </c>
      <c r="AD2187" s="39" t="n">
        <f aca="false">Resumo!$B$14*CEILING(I2187,1)</f>
        <v>16.2</v>
      </c>
      <c r="AE2187" s="39" t="n">
        <f aca="false">SUM(X2187:AD2187)</f>
        <v>119.32997</v>
      </c>
      <c r="AF2187" s="39" t="n">
        <f aca="false">AE2187/(1-Resumo!$B$5)</f>
        <v>135.602238636364</v>
      </c>
      <c r="AG2187" s="39" t="n">
        <f aca="false">AF2187-W2187</f>
        <v>43.2727409090909</v>
      </c>
      <c r="AH2187" s="40" t="n">
        <f aca="false">AF2187/W2187-1</f>
        <v>0.468677313039349</v>
      </c>
      <c r="AI2187" s="37" t="str">
        <f aca="false">IF(AF2187&lt;W2187,"SIM","NÃO")</f>
        <v>NÃO</v>
      </c>
      <c r="AJ2187" s="37" t="n">
        <v>2</v>
      </c>
      <c r="AK2187" s="37" t="n">
        <v>5</v>
      </c>
      <c r="AL2187" s="37" t="s">
        <v>343</v>
      </c>
      <c r="AM2187" s="39" t="n">
        <v>92.25</v>
      </c>
    </row>
    <row r="2188" customFormat="false" ht="15" hidden="false" customHeight="false" outlineLevel="0" collapsed="false">
      <c r="A2188" s="37" t="n">
        <v>400956221</v>
      </c>
      <c r="B2188" s="38" t="n">
        <v>46294.6962268519</v>
      </c>
      <c r="C2188" s="37" t="s">
        <v>345</v>
      </c>
      <c r="D2188" s="37" t="s">
        <v>2287</v>
      </c>
      <c r="E2188" s="37" t="n">
        <v>21030040</v>
      </c>
      <c r="F2188" s="37" t="s">
        <v>159</v>
      </c>
      <c r="G2188" s="37" t="s">
        <v>196</v>
      </c>
      <c r="H2188" s="37" t="s">
        <v>186</v>
      </c>
      <c r="I2188" s="37" t="n">
        <v>46.8</v>
      </c>
      <c r="J2188" s="39" t="n">
        <v>569.99</v>
      </c>
      <c r="K2188" s="37" t="s">
        <v>342</v>
      </c>
      <c r="L2188" s="39" t="n">
        <v>103.32</v>
      </c>
      <c r="M2188" s="39" t="n">
        <v>53.55</v>
      </c>
      <c r="N2188" s="39" t="n">
        <f aca="false">J2188*Resumo!$C$6</f>
        <v>0</v>
      </c>
      <c r="O2188" s="39" t="n">
        <f aca="false">J2188*Resumo!$C$7</f>
        <v>1.196979</v>
      </c>
      <c r="P2188" s="39" t="n">
        <f aca="false">J2188*Resumo!$C$8</f>
        <v>1.196979</v>
      </c>
      <c r="Q2188" s="39" t="n">
        <f aca="false">Resumo!$C$10*CEILING(I2188/100,1)</f>
        <v>1.05</v>
      </c>
      <c r="R2188" s="39" t="n">
        <f aca="false">Resumo!$C$9</f>
        <v>0</v>
      </c>
      <c r="S2188" s="39" t="n">
        <f aca="false">Resumo!$C$13</f>
        <v>13.55</v>
      </c>
      <c r="T2188" s="39" t="n">
        <f aca="false">Resumo!$C$14*CEILING(I2188,1)</f>
        <v>21.15</v>
      </c>
      <c r="U2188" s="39" t="n">
        <f aca="false">SUM(M2188:T2188)*Resumo!$C$11</f>
        <v>0</v>
      </c>
      <c r="V2188" s="39" t="n">
        <f aca="false">SUM(M2188:U2188)</f>
        <v>91.693958</v>
      </c>
      <c r="W2188" s="39" t="n">
        <f aca="false">V2188/(1-Resumo!$C$5)</f>
        <v>104.197679545455</v>
      </c>
      <c r="X2188" s="39" t="n">
        <v>93.97</v>
      </c>
      <c r="Y2188" s="39" t="n">
        <f aca="false">J2188*Resumo!$B$6</f>
        <v>0.56999</v>
      </c>
      <c r="Z2188" s="39" t="n">
        <f aca="false">J2188*Resumo!$B$7</f>
        <v>1.13998</v>
      </c>
      <c r="AA2188" s="39" t="n">
        <f aca="false">Resumo!$B$9</f>
        <v>1</v>
      </c>
      <c r="AB2188" s="39" t="n">
        <f aca="false">Resumo!$B$10*CEILING(I2188/100,1)</f>
        <v>4.5</v>
      </c>
      <c r="AC2188" s="39" t="n">
        <f aca="false">Resumo!$B$12*CEILING(I2188,1)</f>
        <v>2.82</v>
      </c>
      <c r="AD2188" s="39" t="n">
        <f aca="false">Resumo!$B$14*CEILING(I2188,1)</f>
        <v>21.15</v>
      </c>
      <c r="AE2188" s="39" t="n">
        <f aca="false">SUM(X2188:AD2188)</f>
        <v>125.14997</v>
      </c>
      <c r="AF2188" s="39" t="n">
        <f aca="false">AE2188/(1-Resumo!$B$5)</f>
        <v>142.215875</v>
      </c>
      <c r="AG2188" s="39" t="n">
        <f aca="false">AF2188-W2188</f>
        <v>38.0181954545455</v>
      </c>
      <c r="AH2188" s="40" t="n">
        <f aca="false">AF2188/W2188-1</f>
        <v>0.364866047117303</v>
      </c>
      <c r="AI2188" s="37" t="str">
        <f aca="false">IF(AF2188&lt;W2188,"SIM","NÃO")</f>
        <v>NÃO</v>
      </c>
      <c r="AJ2188" s="37" t="n">
        <v>2</v>
      </c>
      <c r="AK2188" s="37" t="n">
        <v>5</v>
      </c>
      <c r="AL2188" s="37" t="s">
        <v>343</v>
      </c>
      <c r="AM2188" s="39" t="n">
        <v>103.32</v>
      </c>
    </row>
    <row r="2189" customFormat="false" ht="15" hidden="false" customHeight="false" outlineLevel="0" collapsed="false">
      <c r="A2189" s="37" t="n">
        <v>400965800</v>
      </c>
      <c r="B2189" s="38" t="n">
        <v>46294.7074189815</v>
      </c>
      <c r="C2189" s="37" t="s">
        <v>340</v>
      </c>
      <c r="D2189" s="37" t="s">
        <v>2288</v>
      </c>
      <c r="E2189" s="37" t="n">
        <v>23587410</v>
      </c>
      <c r="F2189" s="37" t="s">
        <v>159</v>
      </c>
      <c r="G2189" s="37" t="s">
        <v>196</v>
      </c>
      <c r="H2189" s="37" t="s">
        <v>191</v>
      </c>
      <c r="I2189" s="37" t="n">
        <v>117</v>
      </c>
      <c r="J2189" s="39" t="n">
        <v>1399.99</v>
      </c>
      <c r="K2189" s="37" t="s">
        <v>342</v>
      </c>
      <c r="L2189" s="39" t="n">
        <v>186.35</v>
      </c>
      <c r="M2189" s="39" t="n">
        <v>92.34</v>
      </c>
      <c r="N2189" s="39" t="n">
        <f aca="false">J2189*Resumo!$C$6</f>
        <v>0</v>
      </c>
      <c r="O2189" s="39" t="n">
        <f aca="false">J2189*Resumo!$C$7</f>
        <v>2.939979</v>
      </c>
      <c r="P2189" s="39" t="n">
        <f aca="false">J2189*Resumo!$C$8</f>
        <v>2.939979</v>
      </c>
      <c r="Q2189" s="39" t="n">
        <f aca="false">Resumo!$C$10*CEILING(I2189/100,1)</f>
        <v>2.1</v>
      </c>
      <c r="R2189" s="39" t="n">
        <f aca="false">Resumo!$C$9</f>
        <v>0</v>
      </c>
      <c r="S2189" s="39" t="n">
        <f aca="false">Resumo!$C$13</f>
        <v>13.55</v>
      </c>
      <c r="T2189" s="39" t="n">
        <f aca="false">Resumo!$C$14*CEILING(I2189,1)</f>
        <v>52.65</v>
      </c>
      <c r="U2189" s="39" t="n">
        <f aca="false">SUM(M2189:T2189)*Resumo!$C$11</f>
        <v>0</v>
      </c>
      <c r="V2189" s="39" t="n">
        <f aca="false">SUM(M2189:U2189)</f>
        <v>166.519958</v>
      </c>
      <c r="W2189" s="39" t="n">
        <f aca="false">V2189/(1-Resumo!$C$5)</f>
        <v>189.227225</v>
      </c>
      <c r="X2189" s="39" t="n">
        <v>201.59</v>
      </c>
      <c r="Y2189" s="39" t="n">
        <f aca="false">J2189*Resumo!$B$6</f>
        <v>1.39999</v>
      </c>
      <c r="Z2189" s="39" t="n">
        <f aca="false">J2189*Resumo!$B$7</f>
        <v>2.79998</v>
      </c>
      <c r="AA2189" s="39" t="n">
        <f aca="false">Resumo!$B$9</f>
        <v>1</v>
      </c>
      <c r="AB2189" s="39" t="n">
        <f aca="false">Resumo!$B$10*CEILING(I2189/100,1)</f>
        <v>9</v>
      </c>
      <c r="AC2189" s="39" t="n">
        <f aca="false">Resumo!$B$12*CEILING(I2189,1)</f>
        <v>7.02</v>
      </c>
      <c r="AD2189" s="39" t="n">
        <f aca="false">Resumo!$B$14*CEILING(I2189,1)</f>
        <v>52.65</v>
      </c>
      <c r="AE2189" s="39" t="n">
        <f aca="false">SUM(X2189:AD2189)</f>
        <v>275.45997</v>
      </c>
      <c r="AF2189" s="39" t="n">
        <f aca="false">AE2189/(1-Resumo!$B$5)</f>
        <v>313.022693181818</v>
      </c>
      <c r="AG2189" s="39" t="n">
        <f aca="false">AF2189-W2189</f>
        <v>123.795468181818</v>
      </c>
      <c r="AH2189" s="40" t="n">
        <f aca="false">AF2189/W2189-1</f>
        <v>0.654215946895687</v>
      </c>
      <c r="AI2189" s="37" t="str">
        <f aca="false">IF(AF2189&lt;W2189,"SIM","NÃO")</f>
        <v>NÃO</v>
      </c>
      <c r="AJ2189" s="37" t="n">
        <v>2</v>
      </c>
      <c r="AK2189" s="37" t="n">
        <v>5</v>
      </c>
      <c r="AL2189" s="37" t="s">
        <v>343</v>
      </c>
      <c r="AM2189" s="39" t="n">
        <v>186.35</v>
      </c>
    </row>
    <row r="2190" customFormat="false" ht="15" hidden="false" customHeight="false" outlineLevel="0" collapsed="false">
      <c r="A2190" s="37" t="n">
        <v>400994581</v>
      </c>
      <c r="B2190" s="38" t="n">
        <v>46294.7329513889</v>
      </c>
      <c r="C2190" s="37" t="s">
        <v>537</v>
      </c>
      <c r="D2190" s="37" t="s">
        <v>2289</v>
      </c>
      <c r="E2190" s="37" t="n">
        <v>24856152</v>
      </c>
      <c r="F2190" s="37" t="s">
        <v>174</v>
      </c>
      <c r="G2190" s="37" t="s">
        <v>198</v>
      </c>
      <c r="H2190" s="37" t="s">
        <v>184</v>
      </c>
      <c r="I2190" s="37" t="n">
        <v>29.2</v>
      </c>
      <c r="J2190" s="39" t="n">
        <v>395.99</v>
      </c>
      <c r="K2190" s="37" t="s">
        <v>342</v>
      </c>
      <c r="L2190" s="39" t="n">
        <v>109.07</v>
      </c>
      <c r="M2190" s="39" t="n">
        <v>65.63</v>
      </c>
      <c r="N2190" s="39" t="n">
        <f aca="false">J2190*Resumo!$C$6</f>
        <v>0</v>
      </c>
      <c r="O2190" s="39" t="n">
        <f aca="false">J2190*Resumo!$C$7</f>
        <v>0.831579</v>
      </c>
      <c r="P2190" s="39" t="n">
        <f aca="false">J2190*Resumo!$C$8</f>
        <v>0.831579</v>
      </c>
      <c r="Q2190" s="39" t="n">
        <f aca="false">Resumo!$C$10*CEILING(I2190/100,1)</f>
        <v>1.05</v>
      </c>
      <c r="R2190" s="39" t="n">
        <f aca="false">Resumo!$C$9</f>
        <v>0</v>
      </c>
      <c r="S2190" s="39" t="n">
        <f aca="false">Resumo!$C$13</f>
        <v>13.55</v>
      </c>
      <c r="T2190" s="39" t="n">
        <f aca="false">Resumo!$C$14*CEILING(I2190,1)</f>
        <v>13.5</v>
      </c>
      <c r="U2190" s="39" t="n">
        <f aca="false">SUM(M2190:T2190)*Resumo!$C$11</f>
        <v>0</v>
      </c>
      <c r="V2190" s="39" t="n">
        <f aca="false">SUM(M2190:U2190)</f>
        <v>95.393158</v>
      </c>
      <c r="W2190" s="39" t="n">
        <f aca="false">V2190/(1-Resumo!$C$5)</f>
        <v>108.401315909091</v>
      </c>
      <c r="X2190" s="39" t="n">
        <v>100.58</v>
      </c>
      <c r="Y2190" s="39" t="n">
        <f aca="false">J2190*Resumo!$B$6</f>
        <v>0.39599</v>
      </c>
      <c r="Z2190" s="39" t="n">
        <f aca="false">J2190*Resumo!$B$7</f>
        <v>0.79198</v>
      </c>
      <c r="AA2190" s="39" t="n">
        <f aca="false">Resumo!$B$9</f>
        <v>1</v>
      </c>
      <c r="AB2190" s="39" t="n">
        <f aca="false">Resumo!$B$10*CEILING(I2190/100,1)</f>
        <v>4.5</v>
      </c>
      <c r="AC2190" s="39" t="n">
        <f aca="false">Resumo!$B$12*CEILING(I2190,1)</f>
        <v>1.8</v>
      </c>
      <c r="AD2190" s="39" t="n">
        <f aca="false">Resumo!$B$14*CEILING(I2190,1)</f>
        <v>13.5</v>
      </c>
      <c r="AE2190" s="39" t="n">
        <f aca="false">SUM(X2190:AD2190)</f>
        <v>122.56797</v>
      </c>
      <c r="AF2190" s="39" t="n">
        <f aca="false">AE2190/(1-Resumo!$B$5)</f>
        <v>139.281784090909</v>
      </c>
      <c r="AG2190" s="39" t="n">
        <f aca="false">AF2190-W2190</f>
        <v>30.8804681818182</v>
      </c>
      <c r="AH2190" s="40" t="n">
        <f aca="false">AF2190/W2190-1</f>
        <v>0.284871709562231</v>
      </c>
      <c r="AI2190" s="37" t="str">
        <f aca="false">IF(AF2190&lt;W2190,"SIM","NÃO")</f>
        <v>NÃO</v>
      </c>
      <c r="AJ2190" s="37" t="n">
        <v>13</v>
      </c>
      <c r="AK2190" s="37" t="n">
        <v>7</v>
      </c>
      <c r="AL2190" s="37" t="s">
        <v>343</v>
      </c>
      <c r="AM2190" s="39" t="n">
        <v>109.08</v>
      </c>
    </row>
    <row r="2191" customFormat="false" ht="15" hidden="false" customHeight="false" outlineLevel="0" collapsed="false">
      <c r="A2191" s="37" t="n">
        <v>400982772</v>
      </c>
      <c r="B2191" s="38" t="n">
        <v>46294.7338541667</v>
      </c>
      <c r="C2191" s="37" t="s">
        <v>345</v>
      </c>
      <c r="D2191" s="37" t="s">
        <v>2290</v>
      </c>
      <c r="E2191" s="37" t="n">
        <v>25804000</v>
      </c>
      <c r="F2191" s="37" t="s">
        <v>228</v>
      </c>
      <c r="G2191" s="37" t="s">
        <v>198</v>
      </c>
      <c r="H2191" s="37" t="s">
        <v>187</v>
      </c>
      <c r="I2191" s="37" t="n">
        <v>55</v>
      </c>
      <c r="J2191" s="39" t="n">
        <v>698</v>
      </c>
      <c r="K2191" s="37" t="s">
        <v>342</v>
      </c>
      <c r="L2191" s="39" t="n">
        <v>143.02</v>
      </c>
      <c r="M2191" s="39" t="n">
        <v>83.58</v>
      </c>
      <c r="N2191" s="39" t="n">
        <f aca="false">J2191*Resumo!$C$6</f>
        <v>0</v>
      </c>
      <c r="O2191" s="39" t="n">
        <f aca="false">J2191*Resumo!$C$7</f>
        <v>1.4658</v>
      </c>
      <c r="P2191" s="39" t="n">
        <f aca="false">J2191*Resumo!$C$8</f>
        <v>1.4658</v>
      </c>
      <c r="Q2191" s="39" t="n">
        <f aca="false">Resumo!$C$10*CEILING(I2191/100,1)</f>
        <v>1.05</v>
      </c>
      <c r="R2191" s="39" t="n">
        <f aca="false">Resumo!$C$9</f>
        <v>0</v>
      </c>
      <c r="S2191" s="39" t="n">
        <f aca="false">Resumo!$C$13</f>
        <v>13.55</v>
      </c>
      <c r="T2191" s="39" t="n">
        <f aca="false">Resumo!$C$14*CEILING(I2191,1)</f>
        <v>24.75</v>
      </c>
      <c r="U2191" s="39" t="n">
        <f aca="false">SUM(M2191:T2191)*Resumo!$C$11</f>
        <v>0</v>
      </c>
      <c r="V2191" s="39" t="n">
        <f aca="false">SUM(M2191:U2191)</f>
        <v>125.8616</v>
      </c>
      <c r="W2191" s="39" t="n">
        <f aca="false">V2191/(1-Resumo!$C$5)</f>
        <v>143.024545454545</v>
      </c>
      <c r="X2191" s="39" t="n">
        <v>142.32</v>
      </c>
      <c r="Y2191" s="39" t="n">
        <f aca="false">J2191*Resumo!$B$6</f>
        <v>0.698</v>
      </c>
      <c r="Z2191" s="39" t="n">
        <f aca="false">J2191*Resumo!$B$7</f>
        <v>1.396</v>
      </c>
      <c r="AA2191" s="39" t="n">
        <f aca="false">Resumo!$B$9</f>
        <v>1</v>
      </c>
      <c r="AB2191" s="39" t="n">
        <f aca="false">Resumo!$B$10*CEILING(I2191/100,1)</f>
        <v>4.5</v>
      </c>
      <c r="AC2191" s="39" t="n">
        <f aca="false">Resumo!$B$12*CEILING(I2191,1)</f>
        <v>3.3</v>
      </c>
      <c r="AD2191" s="39" t="n">
        <f aca="false">Resumo!$B$14*CEILING(I2191,1)</f>
        <v>24.75</v>
      </c>
      <c r="AE2191" s="39" t="n">
        <f aca="false">SUM(X2191:AD2191)</f>
        <v>177.964</v>
      </c>
      <c r="AF2191" s="39" t="n">
        <f aca="false">AE2191/(1-Resumo!$B$5)</f>
        <v>202.231818181818</v>
      </c>
      <c r="AG2191" s="39" t="n">
        <f aca="false">AF2191-W2191</f>
        <v>59.2072727272727</v>
      </c>
      <c r="AH2191" s="40" t="n">
        <f aca="false">AF2191/W2191-1</f>
        <v>0.413965816420576</v>
      </c>
      <c r="AI2191" s="37" t="str">
        <f aca="false">IF(AF2191&lt;W2191,"SIM","NÃO")</f>
        <v>NÃO</v>
      </c>
      <c r="AJ2191" s="37" t="n">
        <v>13</v>
      </c>
      <c r="AK2191" s="37" t="n">
        <v>8</v>
      </c>
      <c r="AL2191" s="37" t="s">
        <v>347</v>
      </c>
      <c r="AM2191" s="39" t="n">
        <v>143.01</v>
      </c>
    </row>
    <row r="2192" customFormat="false" ht="15" hidden="false" customHeight="false" outlineLevel="0" collapsed="false">
      <c r="A2192" s="37" t="n">
        <v>400983277</v>
      </c>
      <c r="B2192" s="38" t="n">
        <v>46294.7359375</v>
      </c>
      <c r="C2192" s="37" t="s">
        <v>375</v>
      </c>
      <c r="D2192" s="37" t="s">
        <v>2291</v>
      </c>
      <c r="E2192" s="37" t="n">
        <v>20011030</v>
      </c>
      <c r="F2192" s="37" t="s">
        <v>159</v>
      </c>
      <c r="G2192" s="37" t="s">
        <v>196</v>
      </c>
      <c r="H2192" s="37" t="s">
        <v>184</v>
      </c>
      <c r="I2192" s="37" t="n">
        <v>27.6</v>
      </c>
      <c r="J2192" s="39" t="n">
        <v>360.99</v>
      </c>
      <c r="K2192" s="37" t="s">
        <v>342</v>
      </c>
      <c r="L2192" s="39" t="n">
        <v>82.05</v>
      </c>
      <c r="M2192" s="39" t="n">
        <v>42.11</v>
      </c>
      <c r="N2192" s="39" t="n">
        <f aca="false">J2192*Resumo!$C$6</f>
        <v>0</v>
      </c>
      <c r="O2192" s="39" t="n">
        <f aca="false">J2192*Resumo!$C$7</f>
        <v>0.758079</v>
      </c>
      <c r="P2192" s="39" t="n">
        <f aca="false">J2192*Resumo!$C$8</f>
        <v>0.758079</v>
      </c>
      <c r="Q2192" s="39" t="n">
        <f aca="false">Resumo!$C$10*CEILING(I2192/100,1)</f>
        <v>1.05</v>
      </c>
      <c r="R2192" s="39" t="n">
        <f aca="false">Resumo!$C$9</f>
        <v>0</v>
      </c>
      <c r="S2192" s="39" t="n">
        <f aca="false">Resumo!$C$13</f>
        <v>13.55</v>
      </c>
      <c r="T2192" s="39" t="n">
        <f aca="false">Resumo!$C$14*CEILING(I2192,1)</f>
        <v>12.6</v>
      </c>
      <c r="U2192" s="39" t="n">
        <f aca="false">SUM(M2192:T2192)*Resumo!$C$11</f>
        <v>0</v>
      </c>
      <c r="V2192" s="39" t="n">
        <f aca="false">SUM(M2192:U2192)</f>
        <v>70.826158</v>
      </c>
      <c r="W2192" s="39" t="n">
        <f aca="false">V2192/(1-Resumo!$C$5)</f>
        <v>80.4842704545455</v>
      </c>
      <c r="X2192" s="39" t="n">
        <v>82.21</v>
      </c>
      <c r="Y2192" s="39" t="n">
        <f aca="false">J2192*Resumo!$B$6</f>
        <v>0.36099</v>
      </c>
      <c r="Z2192" s="39" t="n">
        <f aca="false">J2192*Resumo!$B$7</f>
        <v>0.72198</v>
      </c>
      <c r="AA2192" s="39" t="n">
        <f aca="false">Resumo!$B$9</f>
        <v>1</v>
      </c>
      <c r="AB2192" s="39" t="n">
        <f aca="false">Resumo!$B$10*CEILING(I2192/100,1)</f>
        <v>4.5</v>
      </c>
      <c r="AC2192" s="39" t="n">
        <f aca="false">Resumo!$B$12*CEILING(I2192,1)</f>
        <v>1.68</v>
      </c>
      <c r="AD2192" s="39" t="n">
        <f aca="false">Resumo!$B$14*CEILING(I2192,1)</f>
        <v>12.6</v>
      </c>
      <c r="AE2192" s="39" t="n">
        <f aca="false">SUM(X2192:AD2192)</f>
        <v>103.07297</v>
      </c>
      <c r="AF2192" s="39" t="n">
        <f aca="false">AE2192/(1-Resumo!$B$5)</f>
        <v>117.128375</v>
      </c>
      <c r="AG2192" s="39" t="n">
        <f aca="false">AF2192-W2192</f>
        <v>36.6441045454545</v>
      </c>
      <c r="AH2192" s="40" t="n">
        <f aca="false">AF2192/W2192-1</f>
        <v>0.45529523145954</v>
      </c>
      <c r="AI2192" s="37" t="str">
        <f aca="false">IF(AF2192&lt;W2192,"SIM","NÃO")</f>
        <v>NÃO</v>
      </c>
      <c r="AJ2192" s="37" t="n">
        <v>2</v>
      </c>
      <c r="AK2192" s="37" t="n">
        <v>5</v>
      </c>
      <c r="AL2192" s="37" t="s">
        <v>343</v>
      </c>
      <c r="AM2192" s="39" t="n">
        <v>82.05</v>
      </c>
    </row>
    <row r="2193" customFormat="false" ht="15" hidden="false" customHeight="false" outlineLevel="0" collapsed="false">
      <c r="A2193" s="37" t="n">
        <v>400973615</v>
      </c>
      <c r="B2193" s="38" t="n">
        <v>46294.736875</v>
      </c>
      <c r="C2193" s="37" t="s">
        <v>375</v>
      </c>
      <c r="D2193" s="37" t="s">
        <v>2292</v>
      </c>
      <c r="E2193" s="37" t="n">
        <v>25922160</v>
      </c>
      <c r="F2193" s="37" t="s">
        <v>176</v>
      </c>
      <c r="G2193" s="37" t="s">
        <v>198</v>
      </c>
      <c r="H2193" s="37" t="s">
        <v>184</v>
      </c>
      <c r="I2193" s="37" t="n">
        <v>31.2</v>
      </c>
      <c r="J2193" s="39" t="n">
        <v>336.25</v>
      </c>
      <c r="K2193" s="37" t="s">
        <v>342</v>
      </c>
      <c r="L2193" s="39" t="n">
        <v>108.78</v>
      </c>
      <c r="M2193" s="39" t="n">
        <v>65.63</v>
      </c>
      <c r="N2193" s="39" t="n">
        <f aca="false">J2193*Resumo!$C$6</f>
        <v>0</v>
      </c>
      <c r="O2193" s="39" t="n">
        <f aca="false">J2193*Resumo!$C$7</f>
        <v>0.706125</v>
      </c>
      <c r="P2193" s="39" t="n">
        <f aca="false">J2193*Resumo!$C$8</f>
        <v>0.706125</v>
      </c>
      <c r="Q2193" s="39" t="n">
        <f aca="false">Resumo!$C$10*CEILING(I2193/100,1)</f>
        <v>1.05</v>
      </c>
      <c r="R2193" s="39" t="n">
        <f aca="false">Resumo!$C$9</f>
        <v>0</v>
      </c>
      <c r="S2193" s="39" t="n">
        <f aca="false">Resumo!$C$13</f>
        <v>13.55</v>
      </c>
      <c r="T2193" s="39" t="n">
        <f aca="false">Resumo!$C$14*CEILING(I2193,1)</f>
        <v>14.4</v>
      </c>
      <c r="U2193" s="39" t="n">
        <f aca="false">SUM(M2193:T2193)*Resumo!$C$11</f>
        <v>0</v>
      </c>
      <c r="V2193" s="39" t="n">
        <f aca="false">SUM(M2193:U2193)</f>
        <v>96.04225</v>
      </c>
      <c r="W2193" s="39" t="n">
        <f aca="false">V2193/(1-Resumo!$C$5)</f>
        <v>109.138920454545</v>
      </c>
      <c r="X2193" s="39" t="n">
        <v>103.28</v>
      </c>
      <c r="Y2193" s="39" t="n">
        <f aca="false">J2193*Resumo!$B$6</f>
        <v>0.33625</v>
      </c>
      <c r="Z2193" s="39" t="n">
        <f aca="false">J2193*Resumo!$B$7</f>
        <v>0.6725</v>
      </c>
      <c r="AA2193" s="39" t="n">
        <f aca="false">Resumo!$B$9</f>
        <v>1</v>
      </c>
      <c r="AB2193" s="39" t="n">
        <f aca="false">Resumo!$B$10*CEILING(I2193/100,1)</f>
        <v>4.5</v>
      </c>
      <c r="AC2193" s="39" t="n">
        <f aca="false">Resumo!$B$12*CEILING(I2193,1)</f>
        <v>1.92</v>
      </c>
      <c r="AD2193" s="39" t="n">
        <f aca="false">Resumo!$B$14*CEILING(I2193,1)</f>
        <v>14.4</v>
      </c>
      <c r="AE2193" s="39" t="n">
        <f aca="false">SUM(X2193:AD2193)</f>
        <v>126.10875</v>
      </c>
      <c r="AF2193" s="39" t="n">
        <f aca="false">AE2193/(1-Resumo!$B$5)</f>
        <v>143.305397727273</v>
      </c>
      <c r="AG2193" s="39" t="n">
        <f aca="false">AF2193-W2193</f>
        <v>34.1664772727273</v>
      </c>
      <c r="AH2193" s="40" t="n">
        <f aca="false">AF2193/W2193-1</f>
        <v>0.313054931553561</v>
      </c>
      <c r="AI2193" s="37" t="str">
        <f aca="false">IF(AF2193&lt;W2193,"SIM","NÃO")</f>
        <v>NÃO</v>
      </c>
      <c r="AJ2193" s="37" t="n">
        <v>13</v>
      </c>
      <c r="AK2193" s="37" t="n">
        <v>6</v>
      </c>
      <c r="AL2193" s="37" t="s">
        <v>343</v>
      </c>
      <c r="AM2193" s="39" t="n">
        <v>108.79</v>
      </c>
    </row>
    <row r="2194" customFormat="false" ht="15" hidden="false" customHeight="false" outlineLevel="0" collapsed="false">
      <c r="A2194" s="37" t="n">
        <v>401003240</v>
      </c>
      <c r="B2194" s="38" t="n">
        <v>46294.7653703704</v>
      </c>
      <c r="C2194" s="37" t="s">
        <v>340</v>
      </c>
      <c r="D2194" s="37" t="s">
        <v>2293</v>
      </c>
      <c r="E2194" s="37" t="n">
        <v>23085260</v>
      </c>
      <c r="F2194" s="37" t="s">
        <v>159</v>
      </c>
      <c r="G2194" s="37" t="s">
        <v>196</v>
      </c>
      <c r="H2194" s="37" t="s">
        <v>185</v>
      </c>
      <c r="I2194" s="37" t="n">
        <v>36</v>
      </c>
      <c r="J2194" s="39" t="n">
        <v>449.99</v>
      </c>
      <c r="K2194" s="37" t="s">
        <v>342</v>
      </c>
      <c r="L2194" s="39" t="n">
        <v>92.01</v>
      </c>
      <c r="M2194" s="39" t="n">
        <v>48.35</v>
      </c>
      <c r="N2194" s="39" t="n">
        <f aca="false">J2194*Resumo!$C$6</f>
        <v>0</v>
      </c>
      <c r="O2194" s="39" t="n">
        <f aca="false">J2194*Resumo!$C$7</f>
        <v>0.944979</v>
      </c>
      <c r="P2194" s="39" t="n">
        <f aca="false">J2194*Resumo!$C$8</f>
        <v>0.944979</v>
      </c>
      <c r="Q2194" s="39" t="n">
        <f aca="false">Resumo!$C$10*CEILING(I2194/100,1)</f>
        <v>1.05</v>
      </c>
      <c r="R2194" s="39" t="n">
        <f aca="false">Resumo!$C$9</f>
        <v>0</v>
      </c>
      <c r="S2194" s="39" t="n">
        <f aca="false">Resumo!$C$13</f>
        <v>13.55</v>
      </c>
      <c r="T2194" s="39" t="n">
        <f aca="false">Resumo!$C$14*CEILING(I2194,1)</f>
        <v>16.2</v>
      </c>
      <c r="U2194" s="39" t="n">
        <f aca="false">SUM(M2194:T2194)*Resumo!$C$11</f>
        <v>0</v>
      </c>
      <c r="V2194" s="39" t="n">
        <f aca="false">SUM(M2194:U2194)</f>
        <v>81.039958</v>
      </c>
      <c r="W2194" s="39" t="n">
        <f aca="false">V2194/(1-Resumo!$C$5)</f>
        <v>92.0908613636364</v>
      </c>
      <c r="X2194" s="39" t="n">
        <v>93.97</v>
      </c>
      <c r="Y2194" s="39" t="n">
        <f aca="false">J2194*Resumo!$B$6</f>
        <v>0.44999</v>
      </c>
      <c r="Z2194" s="39" t="n">
        <f aca="false">J2194*Resumo!$B$7</f>
        <v>0.89998</v>
      </c>
      <c r="AA2194" s="39" t="n">
        <f aca="false">Resumo!$B$9</f>
        <v>1</v>
      </c>
      <c r="AB2194" s="39" t="n">
        <f aca="false">Resumo!$B$10*CEILING(I2194/100,1)</f>
        <v>4.5</v>
      </c>
      <c r="AC2194" s="39" t="n">
        <f aca="false">Resumo!$B$12*CEILING(I2194,1)</f>
        <v>2.16</v>
      </c>
      <c r="AD2194" s="39" t="n">
        <f aca="false">Resumo!$B$14*CEILING(I2194,1)</f>
        <v>16.2</v>
      </c>
      <c r="AE2194" s="39" t="n">
        <f aca="false">SUM(X2194:AD2194)</f>
        <v>119.17997</v>
      </c>
      <c r="AF2194" s="39" t="n">
        <f aca="false">AE2194/(1-Resumo!$B$5)</f>
        <v>135.431784090909</v>
      </c>
      <c r="AG2194" s="39" t="n">
        <f aca="false">AF2194-W2194</f>
        <v>43.3409227272727</v>
      </c>
      <c r="AH2194" s="40" t="n">
        <f aca="false">AF2194/W2194-1</f>
        <v>0.470632178758039</v>
      </c>
      <c r="AI2194" s="37" t="str">
        <f aca="false">IF(AF2194&lt;W2194,"SIM","NÃO")</f>
        <v>NÃO</v>
      </c>
      <c r="AJ2194" s="37" t="n">
        <v>2</v>
      </c>
      <c r="AK2194" s="37" t="n">
        <v>5</v>
      </c>
      <c r="AL2194" s="37" t="s">
        <v>343</v>
      </c>
      <c r="AM2194" s="39" t="n">
        <v>92.01</v>
      </c>
    </row>
    <row r="2195" customFormat="false" ht="15" hidden="false" customHeight="false" outlineLevel="0" collapsed="false">
      <c r="A2195" s="37" t="n">
        <v>401027439</v>
      </c>
      <c r="B2195" s="38" t="n">
        <v>46294.782037037</v>
      </c>
      <c r="C2195" s="37" t="s">
        <v>537</v>
      </c>
      <c r="D2195" s="37" t="s">
        <v>2294</v>
      </c>
      <c r="E2195" s="37" t="n">
        <v>21725050</v>
      </c>
      <c r="F2195" s="37" t="s">
        <v>159</v>
      </c>
      <c r="G2195" s="37" t="s">
        <v>196</v>
      </c>
      <c r="H2195" s="37" t="s">
        <v>186</v>
      </c>
      <c r="I2195" s="37" t="n">
        <v>41.4</v>
      </c>
      <c r="J2195" s="39" t="n">
        <v>365.49</v>
      </c>
      <c r="K2195" s="37" t="s">
        <v>342</v>
      </c>
      <c r="L2195" s="39" t="n">
        <v>102.33</v>
      </c>
      <c r="M2195" s="39" t="n">
        <v>53.55</v>
      </c>
      <c r="N2195" s="39" t="n">
        <f aca="false">J2195*Resumo!$C$6</f>
        <v>0</v>
      </c>
      <c r="O2195" s="39" t="n">
        <f aca="false">J2195*Resumo!$C$7</f>
        <v>0.767529</v>
      </c>
      <c r="P2195" s="39" t="n">
        <f aca="false">J2195*Resumo!$C$8</f>
        <v>0.767529</v>
      </c>
      <c r="Q2195" s="39" t="n">
        <f aca="false">Resumo!$C$10*CEILING(I2195/100,1)</f>
        <v>1.05</v>
      </c>
      <c r="R2195" s="39" t="n">
        <f aca="false">Resumo!$C$9</f>
        <v>0</v>
      </c>
      <c r="S2195" s="39" t="n">
        <f aca="false">Resumo!$C$13</f>
        <v>13.55</v>
      </c>
      <c r="T2195" s="39" t="n">
        <f aca="false">Resumo!$C$14*CEILING(I2195,1)</f>
        <v>18.9</v>
      </c>
      <c r="U2195" s="39" t="n">
        <f aca="false">SUM(M2195:T2195)*Resumo!$C$11</f>
        <v>0</v>
      </c>
      <c r="V2195" s="39" t="n">
        <f aca="false">SUM(M2195:U2195)</f>
        <v>88.585058</v>
      </c>
      <c r="W2195" s="39" t="n">
        <f aca="false">V2195/(1-Resumo!$C$5)</f>
        <v>100.664838636364</v>
      </c>
      <c r="X2195" s="39" t="n">
        <v>93.97</v>
      </c>
      <c r="Y2195" s="39" t="n">
        <f aca="false">J2195*Resumo!$B$6</f>
        <v>0.36549</v>
      </c>
      <c r="Z2195" s="39" t="n">
        <f aca="false">J2195*Resumo!$B$7</f>
        <v>0.73098</v>
      </c>
      <c r="AA2195" s="39" t="n">
        <f aca="false">Resumo!$B$9</f>
        <v>1</v>
      </c>
      <c r="AB2195" s="39" t="n">
        <f aca="false">Resumo!$B$10*CEILING(I2195/100,1)</f>
        <v>4.5</v>
      </c>
      <c r="AC2195" s="39" t="n">
        <f aca="false">Resumo!$B$12*CEILING(I2195,1)</f>
        <v>2.52</v>
      </c>
      <c r="AD2195" s="39" t="n">
        <f aca="false">Resumo!$B$14*CEILING(I2195,1)</f>
        <v>18.9</v>
      </c>
      <c r="AE2195" s="39" t="n">
        <f aca="false">SUM(X2195:AD2195)</f>
        <v>121.98647</v>
      </c>
      <c r="AF2195" s="39" t="n">
        <f aca="false">AE2195/(1-Resumo!$B$5)</f>
        <v>138.620988636364</v>
      </c>
      <c r="AG2195" s="39" t="n">
        <f aca="false">AF2195-W2195</f>
        <v>37.95615</v>
      </c>
      <c r="AH2195" s="40" t="n">
        <f aca="false">AF2195/W2195-1</f>
        <v>0.377054694709349</v>
      </c>
      <c r="AI2195" s="37" t="str">
        <f aca="false">IF(AF2195&lt;W2195,"SIM","NÃO")</f>
        <v>NÃO</v>
      </c>
      <c r="AJ2195" s="37" t="n">
        <v>2</v>
      </c>
      <c r="AK2195" s="37" t="n">
        <v>5</v>
      </c>
      <c r="AL2195" s="37" t="s">
        <v>343</v>
      </c>
      <c r="AM2195" s="39" t="n">
        <v>102.34</v>
      </c>
    </row>
    <row r="2196" customFormat="false" ht="15" hidden="false" customHeight="false" outlineLevel="0" collapsed="false">
      <c r="A2196" s="37" t="n">
        <v>401068234</v>
      </c>
      <c r="B2196" s="38" t="n">
        <v>46294.8552893519</v>
      </c>
      <c r="C2196" s="37" t="s">
        <v>345</v>
      </c>
      <c r="D2196" s="37" t="s">
        <v>1865</v>
      </c>
      <c r="E2196" s="37" t="n">
        <v>23078001</v>
      </c>
      <c r="F2196" s="37" t="s">
        <v>159</v>
      </c>
      <c r="G2196" s="37" t="s">
        <v>196</v>
      </c>
      <c r="H2196" s="37" t="s">
        <v>188</v>
      </c>
      <c r="I2196" s="37" t="n">
        <v>69.45</v>
      </c>
      <c r="J2196" s="39" t="n">
        <v>746.95</v>
      </c>
      <c r="K2196" s="37" t="s">
        <v>342</v>
      </c>
      <c r="L2196" s="39" t="n">
        <v>124.77</v>
      </c>
      <c r="M2196" s="39" t="n">
        <v>63.21</v>
      </c>
      <c r="N2196" s="39" t="n">
        <f aca="false">J2196*Resumo!$C$6</f>
        <v>0</v>
      </c>
      <c r="O2196" s="39" t="n">
        <f aca="false">J2196*Resumo!$C$7</f>
        <v>1.568595</v>
      </c>
      <c r="P2196" s="39" t="n">
        <f aca="false">J2196*Resumo!$C$8</f>
        <v>1.568595</v>
      </c>
      <c r="Q2196" s="39" t="n">
        <f aca="false">Resumo!$C$10*CEILING(I2196/100,1)</f>
        <v>1.05</v>
      </c>
      <c r="R2196" s="39" t="n">
        <f aca="false">Resumo!$C$9</f>
        <v>0</v>
      </c>
      <c r="S2196" s="39" t="n">
        <f aca="false">Resumo!$C$13</f>
        <v>13.55</v>
      </c>
      <c r="T2196" s="39" t="n">
        <f aca="false">Resumo!$C$14*CEILING(I2196,1)</f>
        <v>31.5</v>
      </c>
      <c r="U2196" s="39" t="n">
        <f aca="false">SUM(M2196:T2196)*Resumo!$C$11</f>
        <v>0</v>
      </c>
      <c r="V2196" s="39" t="n">
        <f aca="false">SUM(M2196:U2196)</f>
        <v>112.44719</v>
      </c>
      <c r="W2196" s="39" t="n">
        <f aca="false">V2196/(1-Resumo!$C$5)</f>
        <v>127.780897727273</v>
      </c>
      <c r="X2196" s="39" t="n">
        <v>131.02</v>
      </c>
      <c r="Y2196" s="39" t="n">
        <f aca="false">J2196*Resumo!$B$6</f>
        <v>0.74695</v>
      </c>
      <c r="Z2196" s="39" t="n">
        <f aca="false">J2196*Resumo!$B$7</f>
        <v>1.4939</v>
      </c>
      <c r="AA2196" s="39" t="n">
        <f aca="false">Resumo!$B$9</f>
        <v>1</v>
      </c>
      <c r="AB2196" s="39" t="n">
        <f aca="false">Resumo!$B$10*CEILING(I2196/100,1)</f>
        <v>4.5</v>
      </c>
      <c r="AC2196" s="39" t="n">
        <f aca="false">Resumo!$B$12*CEILING(I2196,1)</f>
        <v>4.2</v>
      </c>
      <c r="AD2196" s="39" t="n">
        <f aca="false">Resumo!$B$14*CEILING(I2196,1)</f>
        <v>31.5</v>
      </c>
      <c r="AE2196" s="39" t="n">
        <f aca="false">SUM(X2196:AD2196)</f>
        <v>174.46085</v>
      </c>
      <c r="AF2196" s="39" t="n">
        <f aca="false">AE2196/(1-Resumo!$B$5)</f>
        <v>198.250965909091</v>
      </c>
      <c r="AG2196" s="39" t="n">
        <f aca="false">AF2196-W2196</f>
        <v>70.4700681818182</v>
      </c>
      <c r="AH2196" s="40" t="n">
        <f aca="false">AF2196/W2196-1</f>
        <v>0.551491415659209</v>
      </c>
      <c r="AI2196" s="37" t="str">
        <f aca="false">IF(AF2196&lt;W2196,"SIM","NÃO")</f>
        <v>NÃO</v>
      </c>
      <c r="AJ2196" s="37" t="n">
        <v>2</v>
      </c>
      <c r="AK2196" s="37" t="n">
        <v>5</v>
      </c>
      <c r="AL2196" s="37" t="s">
        <v>343</v>
      </c>
      <c r="AM2196" s="39" t="n">
        <v>124.79</v>
      </c>
    </row>
    <row r="2197" customFormat="false" ht="15" hidden="false" customHeight="false" outlineLevel="0" collapsed="false">
      <c r="A2197" s="37" t="n">
        <v>401089775</v>
      </c>
      <c r="B2197" s="38" t="n">
        <v>46294.8849189815</v>
      </c>
      <c r="C2197" s="37" t="s">
        <v>340</v>
      </c>
      <c r="D2197" s="37" t="s">
        <v>2295</v>
      </c>
      <c r="E2197" s="37" t="n">
        <v>21046385</v>
      </c>
      <c r="F2197" s="37" t="s">
        <v>159</v>
      </c>
      <c r="G2197" s="37" t="s">
        <v>196</v>
      </c>
      <c r="H2197" s="37" t="s">
        <v>184</v>
      </c>
      <c r="I2197" s="37" t="n">
        <v>21</v>
      </c>
      <c r="J2197" s="39" t="n">
        <v>379.99</v>
      </c>
      <c r="K2197" s="37" t="s">
        <v>342</v>
      </c>
      <c r="L2197" s="39" t="n">
        <v>82.15</v>
      </c>
      <c r="M2197" s="39" t="n">
        <v>42.11</v>
      </c>
      <c r="N2197" s="39" t="n">
        <f aca="false">J2197*Resumo!$C$6</f>
        <v>0</v>
      </c>
      <c r="O2197" s="39" t="n">
        <f aca="false">J2197*Resumo!$C$7</f>
        <v>0.797979</v>
      </c>
      <c r="P2197" s="39" t="n">
        <f aca="false">J2197*Resumo!$C$8</f>
        <v>0.797979</v>
      </c>
      <c r="Q2197" s="39" t="n">
        <f aca="false">Resumo!$C$10*CEILING(I2197/100,1)</f>
        <v>1.05</v>
      </c>
      <c r="R2197" s="39" t="n">
        <f aca="false">Resumo!$C$9</f>
        <v>0</v>
      </c>
      <c r="S2197" s="39" t="n">
        <f aca="false">Resumo!$C$13</f>
        <v>13.55</v>
      </c>
      <c r="T2197" s="39" t="n">
        <f aca="false">Resumo!$C$14*CEILING(I2197,1)</f>
        <v>9.45</v>
      </c>
      <c r="U2197" s="39" t="n">
        <f aca="false">SUM(M2197:T2197)*Resumo!$C$11</f>
        <v>0</v>
      </c>
      <c r="V2197" s="39" t="n">
        <f aca="false">SUM(M2197:U2197)</f>
        <v>67.755958</v>
      </c>
      <c r="W2197" s="39" t="n">
        <f aca="false">V2197/(1-Resumo!$C$5)</f>
        <v>76.9954068181818</v>
      </c>
      <c r="X2197" s="39" t="n">
        <v>82.21</v>
      </c>
      <c r="Y2197" s="39" t="n">
        <f aca="false">J2197*Resumo!$B$6</f>
        <v>0.37999</v>
      </c>
      <c r="Z2197" s="39" t="n">
        <f aca="false">J2197*Resumo!$B$7</f>
        <v>0.75998</v>
      </c>
      <c r="AA2197" s="39" t="n">
        <f aca="false">Resumo!$B$9</f>
        <v>1</v>
      </c>
      <c r="AB2197" s="39" t="n">
        <f aca="false">Resumo!$B$10*CEILING(I2197/100,1)</f>
        <v>4.5</v>
      </c>
      <c r="AC2197" s="39" t="n">
        <f aca="false">Resumo!$B$12*CEILING(I2197,1)</f>
        <v>1.26</v>
      </c>
      <c r="AD2197" s="39" t="n">
        <f aca="false">Resumo!$B$14*CEILING(I2197,1)</f>
        <v>9.45</v>
      </c>
      <c r="AE2197" s="39" t="n">
        <f aca="false">SUM(X2197:AD2197)</f>
        <v>99.55997</v>
      </c>
      <c r="AF2197" s="39" t="n">
        <f aca="false">AE2197/(1-Resumo!$B$5)</f>
        <v>113.136329545455</v>
      </c>
      <c r="AG2197" s="39" t="n">
        <f aca="false">AF2197-W2197</f>
        <v>36.1409227272727</v>
      </c>
      <c r="AH2197" s="40" t="n">
        <f aca="false">AF2197/W2197-1</f>
        <v>0.46939063277653</v>
      </c>
      <c r="AI2197" s="37" t="str">
        <f aca="false">IF(AF2197&lt;W2197,"SIM","NÃO")</f>
        <v>NÃO</v>
      </c>
      <c r="AJ2197" s="37" t="n">
        <v>2</v>
      </c>
      <c r="AK2197" s="37" t="n">
        <v>5</v>
      </c>
      <c r="AL2197" s="37" t="s">
        <v>343</v>
      </c>
      <c r="AM2197" s="39" t="n">
        <v>82.15</v>
      </c>
    </row>
    <row r="2198" customFormat="false" ht="15" hidden="false" customHeight="false" outlineLevel="0" collapsed="false">
      <c r="A2198" s="37" t="n">
        <v>401115211</v>
      </c>
      <c r="B2198" s="38" t="n">
        <v>46294.9183101852</v>
      </c>
      <c r="C2198" s="37" t="s">
        <v>340</v>
      </c>
      <c r="D2198" s="37" t="s">
        <v>2296</v>
      </c>
      <c r="E2198" s="37" t="n">
        <v>23017000</v>
      </c>
      <c r="F2198" s="37" t="s">
        <v>159</v>
      </c>
      <c r="G2198" s="37" t="s">
        <v>196</v>
      </c>
      <c r="H2198" s="37" t="s">
        <v>191</v>
      </c>
      <c r="I2198" s="37" t="n">
        <v>117</v>
      </c>
      <c r="J2198" s="39" t="n">
        <v>1163.99</v>
      </c>
      <c r="K2198" s="37" t="s">
        <v>342</v>
      </c>
      <c r="L2198" s="39" t="n">
        <v>185.23</v>
      </c>
      <c r="M2198" s="39" t="n">
        <v>92.34</v>
      </c>
      <c r="N2198" s="39" t="n">
        <f aca="false">J2198*Resumo!$C$6</f>
        <v>0</v>
      </c>
      <c r="O2198" s="39" t="n">
        <f aca="false">J2198*Resumo!$C$7</f>
        <v>2.444379</v>
      </c>
      <c r="P2198" s="39" t="n">
        <f aca="false">J2198*Resumo!$C$8</f>
        <v>2.444379</v>
      </c>
      <c r="Q2198" s="39" t="n">
        <f aca="false">Resumo!$C$10*CEILING(I2198/100,1)</f>
        <v>2.1</v>
      </c>
      <c r="R2198" s="39" t="n">
        <f aca="false">Resumo!$C$9</f>
        <v>0</v>
      </c>
      <c r="S2198" s="39" t="n">
        <f aca="false">Resumo!$C$13</f>
        <v>13.55</v>
      </c>
      <c r="T2198" s="39" t="n">
        <f aca="false">Resumo!$C$14*CEILING(I2198,1)</f>
        <v>52.65</v>
      </c>
      <c r="U2198" s="39" t="n">
        <f aca="false">SUM(M2198:T2198)*Resumo!$C$11</f>
        <v>0</v>
      </c>
      <c r="V2198" s="39" t="n">
        <f aca="false">SUM(M2198:U2198)</f>
        <v>165.528758</v>
      </c>
      <c r="W2198" s="39" t="n">
        <f aca="false">V2198/(1-Resumo!$C$5)</f>
        <v>188.100861363636</v>
      </c>
      <c r="X2198" s="39" t="n">
        <v>201.59</v>
      </c>
      <c r="Y2198" s="39" t="n">
        <f aca="false">J2198*Resumo!$B$6</f>
        <v>1.16399</v>
      </c>
      <c r="Z2198" s="39" t="n">
        <f aca="false">J2198*Resumo!$B$7</f>
        <v>2.32798</v>
      </c>
      <c r="AA2198" s="39" t="n">
        <f aca="false">Resumo!$B$9</f>
        <v>1</v>
      </c>
      <c r="AB2198" s="39" t="n">
        <f aca="false">Resumo!$B$10*CEILING(I2198/100,1)</f>
        <v>9</v>
      </c>
      <c r="AC2198" s="39" t="n">
        <f aca="false">Resumo!$B$12*CEILING(I2198,1)</f>
        <v>7.02</v>
      </c>
      <c r="AD2198" s="39" t="n">
        <f aca="false">Resumo!$B$14*CEILING(I2198,1)</f>
        <v>52.65</v>
      </c>
      <c r="AE2198" s="39" t="n">
        <f aca="false">SUM(X2198:AD2198)</f>
        <v>274.75197</v>
      </c>
      <c r="AF2198" s="39" t="n">
        <f aca="false">AE2198/(1-Resumo!$B$5)</f>
        <v>312.218147727273</v>
      </c>
      <c r="AG2198" s="39" t="n">
        <f aca="false">AF2198-W2198</f>
        <v>124.117286363636</v>
      </c>
      <c r="AH2198" s="40" t="n">
        <f aca="false">AF2198/W2198-1</f>
        <v>0.659844327473296</v>
      </c>
      <c r="AI2198" s="37" t="str">
        <f aca="false">IF(AF2198&lt;W2198,"SIM","NÃO")</f>
        <v>NÃO</v>
      </c>
      <c r="AJ2198" s="37" t="n">
        <v>2</v>
      </c>
      <c r="AK2198" s="37" t="n">
        <v>5</v>
      </c>
      <c r="AL2198" s="37" t="s">
        <v>343</v>
      </c>
      <c r="AM2198" s="39" t="n">
        <v>185.22</v>
      </c>
    </row>
    <row r="2199" customFormat="false" ht="15" hidden="false" customHeight="false" outlineLevel="0" collapsed="false">
      <c r="A2199" s="37" t="n">
        <v>401121692</v>
      </c>
      <c r="B2199" s="38" t="n">
        <v>46294.9272800926</v>
      </c>
      <c r="C2199" s="37" t="s">
        <v>340</v>
      </c>
      <c r="D2199" s="37" t="s">
        <v>2297</v>
      </c>
      <c r="E2199" s="37" t="n">
        <v>21511000</v>
      </c>
      <c r="F2199" s="37" t="s">
        <v>159</v>
      </c>
      <c r="G2199" s="37" t="s">
        <v>196</v>
      </c>
      <c r="H2199" s="37" t="s">
        <v>184</v>
      </c>
      <c r="I2199" s="37" t="n">
        <v>33</v>
      </c>
      <c r="J2199" s="39" t="n">
        <v>348.23</v>
      </c>
      <c r="K2199" s="37" t="s">
        <v>342</v>
      </c>
      <c r="L2199" s="39" t="n">
        <v>82</v>
      </c>
      <c r="M2199" s="39" t="n">
        <v>42.11</v>
      </c>
      <c r="N2199" s="39" t="n">
        <f aca="false">J2199*Resumo!$C$6</f>
        <v>0</v>
      </c>
      <c r="O2199" s="39" t="n">
        <f aca="false">J2199*Resumo!$C$7</f>
        <v>0.731283</v>
      </c>
      <c r="P2199" s="39" t="n">
        <f aca="false">J2199*Resumo!$C$8</f>
        <v>0.731283</v>
      </c>
      <c r="Q2199" s="39" t="n">
        <f aca="false">Resumo!$C$10*CEILING(I2199/100,1)</f>
        <v>1.05</v>
      </c>
      <c r="R2199" s="39" t="n">
        <f aca="false">Resumo!$C$9</f>
        <v>0</v>
      </c>
      <c r="S2199" s="39" t="n">
        <f aca="false">Resumo!$C$13</f>
        <v>13.55</v>
      </c>
      <c r="T2199" s="39" t="n">
        <f aca="false">Resumo!$C$14*CEILING(I2199,1)</f>
        <v>14.85</v>
      </c>
      <c r="U2199" s="39" t="n">
        <f aca="false">SUM(M2199:T2199)*Resumo!$C$11</f>
        <v>0</v>
      </c>
      <c r="V2199" s="39" t="n">
        <f aca="false">SUM(M2199:U2199)</f>
        <v>73.022566</v>
      </c>
      <c r="W2199" s="39" t="n">
        <f aca="false">V2199/(1-Resumo!$C$5)</f>
        <v>82.9801886363636</v>
      </c>
      <c r="X2199" s="39" t="n">
        <v>82.21</v>
      </c>
      <c r="Y2199" s="39" t="n">
        <f aca="false">J2199*Resumo!$B$6</f>
        <v>0.34823</v>
      </c>
      <c r="Z2199" s="39" t="n">
        <f aca="false">J2199*Resumo!$B$7</f>
        <v>0.69646</v>
      </c>
      <c r="AA2199" s="39" t="n">
        <f aca="false">Resumo!$B$9</f>
        <v>1</v>
      </c>
      <c r="AB2199" s="39" t="n">
        <f aca="false">Resumo!$B$10*CEILING(I2199/100,1)</f>
        <v>4.5</v>
      </c>
      <c r="AC2199" s="39" t="n">
        <f aca="false">Resumo!$B$12*CEILING(I2199,1)</f>
        <v>1.98</v>
      </c>
      <c r="AD2199" s="39" t="n">
        <f aca="false">Resumo!$B$14*CEILING(I2199,1)</f>
        <v>14.85</v>
      </c>
      <c r="AE2199" s="39" t="n">
        <f aca="false">SUM(X2199:AD2199)</f>
        <v>105.58469</v>
      </c>
      <c r="AF2199" s="39" t="n">
        <f aca="false">AE2199/(1-Resumo!$B$5)</f>
        <v>119.982602272727</v>
      </c>
      <c r="AG2199" s="39" t="n">
        <f aca="false">AF2199-W2199</f>
        <v>37.0024136363636</v>
      </c>
      <c r="AH2199" s="40" t="n">
        <f aca="false">AF2199/W2199-1</f>
        <v>0.445918649311776</v>
      </c>
      <c r="AI2199" s="37" t="str">
        <f aca="false">IF(AF2199&lt;W2199,"SIM","NÃO")</f>
        <v>NÃO</v>
      </c>
      <c r="AJ2199" s="37" t="n">
        <v>2</v>
      </c>
      <c r="AK2199" s="37" t="n">
        <v>5</v>
      </c>
      <c r="AL2199" s="37" t="s">
        <v>343</v>
      </c>
      <c r="AM2199" s="39" t="n">
        <v>81.99</v>
      </c>
    </row>
    <row r="2200" customFormat="false" ht="15" hidden="false" customHeight="false" outlineLevel="0" collapsed="false">
      <c r="A2200" s="37" t="n">
        <v>401199175</v>
      </c>
      <c r="B2200" s="38" t="n">
        <v>46295.0512847222</v>
      </c>
      <c r="C2200" s="37" t="s">
        <v>345</v>
      </c>
      <c r="D2200" s="37" t="s">
        <v>2298</v>
      </c>
      <c r="E2200" s="37" t="n">
        <v>21540660</v>
      </c>
      <c r="F2200" s="37" t="s">
        <v>159</v>
      </c>
      <c r="G2200" s="37" t="s">
        <v>196</v>
      </c>
      <c r="H2200" s="37" t="s">
        <v>186</v>
      </c>
      <c r="I2200" s="37" t="n">
        <v>46.8</v>
      </c>
      <c r="J2200" s="39" t="n">
        <v>541.49</v>
      </c>
      <c r="K2200" s="37" t="s">
        <v>342</v>
      </c>
      <c r="L2200" s="39" t="n">
        <v>103.17</v>
      </c>
      <c r="M2200" s="39" t="n">
        <v>53.55</v>
      </c>
      <c r="N2200" s="39" t="n">
        <f aca="false">J2200*Resumo!$C$6</f>
        <v>0</v>
      </c>
      <c r="O2200" s="39" t="n">
        <f aca="false">J2200*Resumo!$C$7</f>
        <v>1.137129</v>
      </c>
      <c r="P2200" s="39" t="n">
        <f aca="false">J2200*Resumo!$C$8</f>
        <v>1.137129</v>
      </c>
      <c r="Q2200" s="39" t="n">
        <f aca="false">Resumo!$C$10*CEILING(I2200/100,1)</f>
        <v>1.05</v>
      </c>
      <c r="R2200" s="39" t="n">
        <f aca="false">Resumo!$C$9</f>
        <v>0</v>
      </c>
      <c r="S2200" s="39" t="n">
        <f aca="false">Resumo!$C$13</f>
        <v>13.55</v>
      </c>
      <c r="T2200" s="39" t="n">
        <f aca="false">Resumo!$C$14*CEILING(I2200,1)</f>
        <v>21.15</v>
      </c>
      <c r="U2200" s="39" t="n">
        <f aca="false">SUM(M2200:T2200)*Resumo!$C$11</f>
        <v>0</v>
      </c>
      <c r="V2200" s="39" t="n">
        <f aca="false">SUM(M2200:U2200)</f>
        <v>91.574258</v>
      </c>
      <c r="W2200" s="39" t="n">
        <f aca="false">V2200/(1-Resumo!$C$5)</f>
        <v>104.061656818182</v>
      </c>
      <c r="X2200" s="39" t="n">
        <v>93.97</v>
      </c>
      <c r="Y2200" s="39" t="n">
        <f aca="false">J2200*Resumo!$B$6</f>
        <v>0.54149</v>
      </c>
      <c r="Z2200" s="39" t="n">
        <f aca="false">J2200*Resumo!$B$7</f>
        <v>1.08298</v>
      </c>
      <c r="AA2200" s="39" t="n">
        <f aca="false">Resumo!$B$9</f>
        <v>1</v>
      </c>
      <c r="AB2200" s="39" t="n">
        <f aca="false">Resumo!$B$10*CEILING(I2200/100,1)</f>
        <v>4.5</v>
      </c>
      <c r="AC2200" s="39" t="n">
        <f aca="false">Resumo!$B$12*CEILING(I2200,1)</f>
        <v>2.82</v>
      </c>
      <c r="AD2200" s="39" t="n">
        <f aca="false">Resumo!$B$14*CEILING(I2200,1)</f>
        <v>21.15</v>
      </c>
      <c r="AE2200" s="39" t="n">
        <f aca="false">SUM(X2200:AD2200)</f>
        <v>125.06447</v>
      </c>
      <c r="AF2200" s="39" t="n">
        <f aca="false">AE2200/(1-Resumo!$B$5)</f>
        <v>142.118715909091</v>
      </c>
      <c r="AG2200" s="39" t="n">
        <f aca="false">AF2200-W2200</f>
        <v>38.0570590909091</v>
      </c>
      <c r="AH2200" s="40" t="n">
        <f aca="false">AF2200/W2200-1</f>
        <v>0.365716444025132</v>
      </c>
      <c r="AI2200" s="37" t="str">
        <f aca="false">IF(AF2200&lt;W2200,"SIM","NÃO")</f>
        <v>NÃO</v>
      </c>
      <c r="AJ2200" s="37" t="n">
        <v>2</v>
      </c>
      <c r="AK2200" s="37" t="n">
        <v>5</v>
      </c>
      <c r="AL2200" s="37" t="s">
        <v>343</v>
      </c>
      <c r="AM2200" s="39" t="n">
        <v>103.18</v>
      </c>
    </row>
    <row r="2201" customFormat="false" ht="15" hidden="false" customHeight="false" outlineLevel="0" collapsed="false">
      <c r="A2201" s="37" t="n">
        <v>401359146</v>
      </c>
      <c r="B2201" s="38" t="n">
        <v>46295.309224537</v>
      </c>
      <c r="C2201" s="37" t="s">
        <v>537</v>
      </c>
      <c r="D2201" s="37" t="s">
        <v>2299</v>
      </c>
      <c r="E2201" s="37" t="n">
        <v>20941150</v>
      </c>
      <c r="F2201" s="37" t="s">
        <v>159</v>
      </c>
      <c r="G2201" s="37" t="s">
        <v>196</v>
      </c>
      <c r="H2201" s="37" t="s">
        <v>184</v>
      </c>
      <c r="I2201" s="37" t="n">
        <v>23.8</v>
      </c>
      <c r="J2201" s="39" t="n">
        <v>1971.99</v>
      </c>
      <c r="K2201" s="37" t="s">
        <v>342</v>
      </c>
      <c r="L2201" s="39" t="n">
        <v>89.77</v>
      </c>
      <c r="M2201" s="39" t="n">
        <v>42.11</v>
      </c>
      <c r="N2201" s="39" t="n">
        <f aca="false">J2201*Resumo!$C$6</f>
        <v>0</v>
      </c>
      <c r="O2201" s="39" t="n">
        <f aca="false">J2201*Resumo!$C$7</f>
        <v>4.141179</v>
      </c>
      <c r="P2201" s="39" t="n">
        <f aca="false">J2201*Resumo!$C$8</f>
        <v>4.141179</v>
      </c>
      <c r="Q2201" s="39" t="n">
        <f aca="false">Resumo!$C$10*CEILING(I2201/100,1)</f>
        <v>1.05</v>
      </c>
      <c r="R2201" s="39" t="n">
        <f aca="false">Resumo!$C$9</f>
        <v>0</v>
      </c>
      <c r="S2201" s="39" t="n">
        <f aca="false">Resumo!$C$13</f>
        <v>13.55</v>
      </c>
      <c r="T2201" s="39" t="n">
        <f aca="false">Resumo!$C$14*CEILING(I2201,1)</f>
        <v>10.8</v>
      </c>
      <c r="U2201" s="39" t="n">
        <f aca="false">SUM(M2201:T2201)*Resumo!$C$11</f>
        <v>0</v>
      </c>
      <c r="V2201" s="39" t="n">
        <f aca="false">SUM(M2201:U2201)</f>
        <v>75.792358</v>
      </c>
      <c r="W2201" s="39" t="n">
        <f aca="false">V2201/(1-Resumo!$C$5)</f>
        <v>86.1276795454545</v>
      </c>
      <c r="X2201" s="39" t="n">
        <v>82.21</v>
      </c>
      <c r="Y2201" s="39" t="n">
        <f aca="false">J2201*Resumo!$B$6</f>
        <v>1.97199</v>
      </c>
      <c r="Z2201" s="39" t="n">
        <f aca="false">J2201*Resumo!$B$7</f>
        <v>3.94398</v>
      </c>
      <c r="AA2201" s="39" t="n">
        <f aca="false">Resumo!$B$9</f>
        <v>1</v>
      </c>
      <c r="AB2201" s="39" t="n">
        <f aca="false">Resumo!$B$10*CEILING(I2201/100,1)</f>
        <v>4.5</v>
      </c>
      <c r="AC2201" s="39" t="n">
        <f aca="false">Resumo!$B$12*CEILING(I2201,1)</f>
        <v>1.44</v>
      </c>
      <c r="AD2201" s="39" t="n">
        <f aca="false">Resumo!$B$14*CEILING(I2201,1)</f>
        <v>10.8</v>
      </c>
      <c r="AE2201" s="39" t="n">
        <f aca="false">SUM(X2201:AD2201)</f>
        <v>105.86597</v>
      </c>
      <c r="AF2201" s="39" t="n">
        <f aca="false">AE2201/(1-Resumo!$B$5)</f>
        <v>120.302238636364</v>
      </c>
      <c r="AG2201" s="39" t="n">
        <f aca="false">AF2201-W2201</f>
        <v>34.1745590909091</v>
      </c>
      <c r="AH2201" s="40" t="n">
        <f aca="false">AF2201/W2201-1</f>
        <v>0.396789502181737</v>
      </c>
      <c r="AI2201" s="37" t="str">
        <f aca="false">IF(AF2201&lt;W2201,"SIM","NÃO")</f>
        <v>NÃO</v>
      </c>
      <c r="AJ2201" s="37" t="n">
        <v>2</v>
      </c>
      <c r="AK2201" s="37" t="n">
        <v>5</v>
      </c>
      <c r="AL2201" s="37" t="s">
        <v>343</v>
      </c>
      <c r="AM2201" s="39" t="n">
        <v>89.78</v>
      </c>
    </row>
    <row r="2202" customFormat="false" ht="15" hidden="false" customHeight="false" outlineLevel="0" collapsed="false">
      <c r="A2202" s="37" t="n">
        <v>401347735</v>
      </c>
      <c r="B2202" s="38" t="n">
        <v>46295.3110300926</v>
      </c>
      <c r="C2202" s="37" t="s">
        <v>345</v>
      </c>
      <c r="D2202" s="37" t="s">
        <v>2300</v>
      </c>
      <c r="E2202" s="37" t="n">
        <v>22743470</v>
      </c>
      <c r="F2202" s="37" t="s">
        <v>159</v>
      </c>
      <c r="G2202" s="37" t="s">
        <v>196</v>
      </c>
      <c r="H2202" s="37" t="s">
        <v>188</v>
      </c>
      <c r="I2202" s="37" t="n">
        <v>69.15</v>
      </c>
      <c r="J2202" s="39" t="n">
        <v>717.6</v>
      </c>
      <c r="K2202" s="37" t="s">
        <v>342</v>
      </c>
      <c r="L2202" s="39" t="n">
        <v>124.66</v>
      </c>
      <c r="M2202" s="39" t="n">
        <v>63.21</v>
      </c>
      <c r="N2202" s="39" t="n">
        <f aca="false">J2202*Resumo!$C$6</f>
        <v>0</v>
      </c>
      <c r="O2202" s="39" t="n">
        <f aca="false">J2202*Resumo!$C$7</f>
        <v>1.50696</v>
      </c>
      <c r="P2202" s="39" t="n">
        <f aca="false">J2202*Resumo!$C$8</f>
        <v>1.50696</v>
      </c>
      <c r="Q2202" s="39" t="n">
        <f aca="false">Resumo!$C$10*CEILING(I2202/100,1)</f>
        <v>1.05</v>
      </c>
      <c r="R2202" s="39" t="n">
        <f aca="false">Resumo!$C$9</f>
        <v>0</v>
      </c>
      <c r="S2202" s="39" t="n">
        <f aca="false">Resumo!$C$13</f>
        <v>13.55</v>
      </c>
      <c r="T2202" s="39" t="n">
        <f aca="false">Resumo!$C$14*CEILING(I2202,1)</f>
        <v>31.5</v>
      </c>
      <c r="U2202" s="39" t="n">
        <f aca="false">SUM(M2202:T2202)*Resumo!$C$11</f>
        <v>0</v>
      </c>
      <c r="V2202" s="39" t="n">
        <f aca="false">SUM(M2202:U2202)</f>
        <v>112.32392</v>
      </c>
      <c r="W2202" s="39" t="n">
        <f aca="false">V2202/(1-Resumo!$C$5)</f>
        <v>127.640818181818</v>
      </c>
      <c r="X2202" s="39" t="n">
        <v>131.02</v>
      </c>
      <c r="Y2202" s="39" t="n">
        <f aca="false">J2202*Resumo!$B$6</f>
        <v>0.7176</v>
      </c>
      <c r="Z2202" s="39" t="n">
        <f aca="false">J2202*Resumo!$B$7</f>
        <v>1.4352</v>
      </c>
      <c r="AA2202" s="39" t="n">
        <f aca="false">Resumo!$B$9</f>
        <v>1</v>
      </c>
      <c r="AB2202" s="39" t="n">
        <f aca="false">Resumo!$B$10*CEILING(I2202/100,1)</f>
        <v>4.5</v>
      </c>
      <c r="AC2202" s="39" t="n">
        <f aca="false">Resumo!$B$12*CEILING(I2202,1)</f>
        <v>4.2</v>
      </c>
      <c r="AD2202" s="39" t="n">
        <f aca="false">Resumo!$B$14*CEILING(I2202,1)</f>
        <v>31.5</v>
      </c>
      <c r="AE2202" s="39" t="n">
        <f aca="false">SUM(X2202:AD2202)</f>
        <v>174.3728</v>
      </c>
      <c r="AF2202" s="39" t="n">
        <f aca="false">AE2202/(1-Resumo!$B$5)</f>
        <v>198.150909090909</v>
      </c>
      <c r="AG2202" s="39" t="n">
        <f aca="false">AF2202-W2202</f>
        <v>70.5100909090909</v>
      </c>
      <c r="AH2202" s="40" t="n">
        <f aca="false">AF2202/W2202-1</f>
        <v>0.55241020790585</v>
      </c>
      <c r="AI2202" s="37" t="str">
        <f aca="false">IF(AF2202&lt;W2202,"SIM","NÃO")</f>
        <v>NÃO</v>
      </c>
      <c r="AJ2202" s="37" t="n">
        <v>2</v>
      </c>
      <c r="AK2202" s="37" t="n">
        <v>5</v>
      </c>
      <c r="AL2202" s="37" t="s">
        <v>343</v>
      </c>
      <c r="AM2202" s="39" t="n">
        <v>124.65</v>
      </c>
    </row>
    <row r="2203" customFormat="false" ht="15" hidden="false" customHeight="false" outlineLevel="0" collapsed="false">
      <c r="A2203" s="37" t="n">
        <v>401358466</v>
      </c>
      <c r="B2203" s="38" t="n">
        <v>46295.311400463</v>
      </c>
      <c r="C2203" s="37" t="s">
        <v>537</v>
      </c>
      <c r="D2203" s="37" t="s">
        <v>2301</v>
      </c>
      <c r="E2203" s="37" t="n">
        <v>22793060</v>
      </c>
      <c r="F2203" s="37" t="s">
        <v>159</v>
      </c>
      <c r="G2203" s="37" t="s">
        <v>196</v>
      </c>
      <c r="H2203" s="37" t="s">
        <v>185</v>
      </c>
      <c r="I2203" s="37" t="n">
        <v>36.8</v>
      </c>
      <c r="J2203" s="39" t="n">
        <v>449.99</v>
      </c>
      <c r="K2203" s="37" t="s">
        <v>342</v>
      </c>
      <c r="L2203" s="39" t="n">
        <v>92.01</v>
      </c>
      <c r="M2203" s="39" t="n">
        <v>48.35</v>
      </c>
      <c r="N2203" s="39" t="n">
        <f aca="false">J2203*Resumo!$C$6</f>
        <v>0</v>
      </c>
      <c r="O2203" s="39" t="n">
        <f aca="false">J2203*Resumo!$C$7</f>
        <v>0.944979</v>
      </c>
      <c r="P2203" s="39" t="n">
        <f aca="false">J2203*Resumo!$C$8</f>
        <v>0.944979</v>
      </c>
      <c r="Q2203" s="39" t="n">
        <f aca="false">Resumo!$C$10*CEILING(I2203/100,1)</f>
        <v>1.05</v>
      </c>
      <c r="R2203" s="39" t="n">
        <f aca="false">Resumo!$C$9</f>
        <v>0</v>
      </c>
      <c r="S2203" s="39" t="n">
        <f aca="false">Resumo!$C$13</f>
        <v>13.55</v>
      </c>
      <c r="T2203" s="39" t="n">
        <f aca="false">Resumo!$C$14*CEILING(I2203,1)</f>
        <v>16.65</v>
      </c>
      <c r="U2203" s="39" t="n">
        <f aca="false">SUM(M2203:T2203)*Resumo!$C$11</f>
        <v>0</v>
      </c>
      <c r="V2203" s="39" t="n">
        <f aca="false">SUM(M2203:U2203)</f>
        <v>81.489958</v>
      </c>
      <c r="W2203" s="39" t="n">
        <f aca="false">V2203/(1-Resumo!$C$5)</f>
        <v>92.602225</v>
      </c>
      <c r="X2203" s="39" t="n">
        <v>93.97</v>
      </c>
      <c r="Y2203" s="39" t="n">
        <f aca="false">J2203*Resumo!$B$6</f>
        <v>0.44999</v>
      </c>
      <c r="Z2203" s="39" t="n">
        <f aca="false">J2203*Resumo!$B$7</f>
        <v>0.89998</v>
      </c>
      <c r="AA2203" s="39" t="n">
        <f aca="false">Resumo!$B$9</f>
        <v>1</v>
      </c>
      <c r="AB2203" s="39" t="n">
        <f aca="false">Resumo!$B$10*CEILING(I2203/100,1)</f>
        <v>4.5</v>
      </c>
      <c r="AC2203" s="39" t="n">
        <f aca="false">Resumo!$B$12*CEILING(I2203,1)</f>
        <v>2.22</v>
      </c>
      <c r="AD2203" s="39" t="n">
        <f aca="false">Resumo!$B$14*CEILING(I2203,1)</f>
        <v>16.65</v>
      </c>
      <c r="AE2203" s="39" t="n">
        <f aca="false">SUM(X2203:AD2203)</f>
        <v>119.68997</v>
      </c>
      <c r="AF2203" s="39" t="n">
        <f aca="false">AE2203/(1-Resumo!$B$5)</f>
        <v>136.011329545455</v>
      </c>
      <c r="AG2203" s="39" t="n">
        <f aca="false">AF2203-W2203</f>
        <v>43.4091045454545</v>
      </c>
      <c r="AH2203" s="40" t="n">
        <f aca="false">AF2203/W2203-1</f>
        <v>0.468769562993271</v>
      </c>
      <c r="AI2203" s="37" t="str">
        <f aca="false">IF(AF2203&lt;W2203,"SIM","NÃO")</f>
        <v>NÃO</v>
      </c>
      <c r="AJ2203" s="37" t="n">
        <v>2</v>
      </c>
      <c r="AK2203" s="37" t="n">
        <v>5</v>
      </c>
      <c r="AL2203" s="37" t="s">
        <v>343</v>
      </c>
      <c r="AM2203" s="39" t="n">
        <v>92.01</v>
      </c>
    </row>
    <row r="2204" customFormat="false" ht="15" hidden="false" customHeight="false" outlineLevel="0" collapsed="false">
      <c r="A2204" s="37" t="n">
        <v>401351650</v>
      </c>
      <c r="B2204" s="38" t="n">
        <v>46295.3174074074</v>
      </c>
      <c r="C2204" s="37" t="s">
        <v>340</v>
      </c>
      <c r="D2204" s="37" t="s">
        <v>2302</v>
      </c>
      <c r="E2204" s="37" t="n">
        <v>28020889</v>
      </c>
      <c r="F2204" s="37" t="s">
        <v>164</v>
      </c>
      <c r="G2204" s="37" t="s">
        <v>198</v>
      </c>
      <c r="H2204" s="37" t="s">
        <v>188</v>
      </c>
      <c r="I2204" s="37" t="n">
        <v>66.8</v>
      </c>
      <c r="J2204" s="39" t="n">
        <v>719.99</v>
      </c>
      <c r="K2204" s="37" t="s">
        <v>342</v>
      </c>
      <c r="L2204" s="39" t="n">
        <v>155.47</v>
      </c>
      <c r="M2204" s="39" t="n">
        <v>90.2</v>
      </c>
      <c r="N2204" s="39" t="n">
        <f aca="false">J2204*Resumo!$C$6</f>
        <v>0</v>
      </c>
      <c r="O2204" s="39" t="n">
        <f aca="false">J2204*Resumo!$C$7</f>
        <v>1.511979</v>
      </c>
      <c r="P2204" s="39" t="n">
        <f aca="false">J2204*Resumo!$C$8</f>
        <v>1.511979</v>
      </c>
      <c r="Q2204" s="39" t="n">
        <f aca="false">Resumo!$C$10*CEILING(I2204/100,1)</f>
        <v>1.05</v>
      </c>
      <c r="R2204" s="39" t="n">
        <f aca="false">Resumo!$C$9</f>
        <v>0</v>
      </c>
      <c r="S2204" s="39" t="n">
        <f aca="false">Resumo!$C$13</f>
        <v>13.55</v>
      </c>
      <c r="T2204" s="39" t="n">
        <f aca="false">Resumo!$C$14*CEILING(I2204,1)</f>
        <v>30.15</v>
      </c>
      <c r="U2204" s="39" t="n">
        <f aca="false">SUM(M2204:T2204)*Resumo!$C$11</f>
        <v>0</v>
      </c>
      <c r="V2204" s="39" t="n">
        <f aca="false">SUM(M2204:U2204)</f>
        <v>137.973958</v>
      </c>
      <c r="W2204" s="39" t="n">
        <f aca="false">V2204/(1-Resumo!$C$5)</f>
        <v>156.788588636364</v>
      </c>
      <c r="X2204" s="39" t="n">
        <v>171.54</v>
      </c>
      <c r="Y2204" s="39" t="n">
        <f aca="false">J2204*Resumo!$B$6</f>
        <v>0.71999</v>
      </c>
      <c r="Z2204" s="39" t="n">
        <f aca="false">J2204*Resumo!$B$7</f>
        <v>1.43998</v>
      </c>
      <c r="AA2204" s="39" t="n">
        <f aca="false">Resumo!$B$9</f>
        <v>1</v>
      </c>
      <c r="AB2204" s="39" t="n">
        <f aca="false">Resumo!$B$10*CEILING(I2204/100,1)</f>
        <v>4.5</v>
      </c>
      <c r="AC2204" s="39" t="n">
        <f aca="false">Resumo!$B$12*CEILING(I2204,1)</f>
        <v>4.02</v>
      </c>
      <c r="AD2204" s="39" t="n">
        <f aca="false">Resumo!$B$14*CEILING(I2204,1)</f>
        <v>30.15</v>
      </c>
      <c r="AE2204" s="39" t="n">
        <f aca="false">SUM(X2204:AD2204)</f>
        <v>213.36997</v>
      </c>
      <c r="AF2204" s="39" t="n">
        <f aca="false">AE2204/(1-Resumo!$B$5)</f>
        <v>242.465875</v>
      </c>
      <c r="AG2204" s="39" t="n">
        <f aca="false">AF2204-W2204</f>
        <v>85.6772863636363</v>
      </c>
      <c r="AH2204" s="40" t="n">
        <f aca="false">AF2204/W2204-1</f>
        <v>0.546451033897281</v>
      </c>
      <c r="AI2204" s="37" t="str">
        <f aca="false">IF(AF2204&lt;W2204,"SIM","NÃO")</f>
        <v>NÃO</v>
      </c>
      <c r="AJ2204" s="37" t="n">
        <v>13</v>
      </c>
      <c r="AK2204" s="37" t="n">
        <v>11</v>
      </c>
      <c r="AL2204" s="37" t="s">
        <v>343</v>
      </c>
      <c r="AM2204" s="39" t="n">
        <v>155.47</v>
      </c>
    </row>
    <row r="2205" customFormat="false" ht="15" hidden="false" customHeight="false" outlineLevel="0" collapsed="false">
      <c r="A2205" s="37" t="n">
        <v>401383452</v>
      </c>
      <c r="B2205" s="38" t="n">
        <v>46295.3723032407</v>
      </c>
      <c r="C2205" s="37" t="s">
        <v>361</v>
      </c>
      <c r="D2205" s="37" t="s">
        <v>2303</v>
      </c>
      <c r="E2205" s="37" t="n">
        <v>25060210</v>
      </c>
      <c r="F2205" s="37" t="s">
        <v>161</v>
      </c>
      <c r="G2205" s="37" t="s">
        <v>197</v>
      </c>
      <c r="H2205" s="37" t="s">
        <v>186</v>
      </c>
      <c r="I2205" s="37" t="n">
        <v>41.4</v>
      </c>
      <c r="J2205" s="39" t="n">
        <v>499.99</v>
      </c>
      <c r="K2205" s="37" t="s">
        <v>342</v>
      </c>
      <c r="L2205" s="39" t="n">
        <v>116.47</v>
      </c>
      <c r="M2205" s="39" t="n">
        <v>65.36</v>
      </c>
      <c r="N2205" s="39" t="n">
        <f aca="false">J2205*Resumo!$C$6</f>
        <v>0</v>
      </c>
      <c r="O2205" s="39" t="n">
        <f aca="false">J2205*Resumo!$C$7</f>
        <v>1.049979</v>
      </c>
      <c r="P2205" s="39" t="n">
        <f aca="false">J2205*Resumo!$C$8</f>
        <v>1.049979</v>
      </c>
      <c r="Q2205" s="39" t="n">
        <f aca="false">Resumo!$C$10*CEILING(I2205/100,1)</f>
        <v>1.05</v>
      </c>
      <c r="R2205" s="39" t="n">
        <f aca="false">Resumo!$C$9</f>
        <v>0</v>
      </c>
      <c r="S2205" s="39" t="n">
        <f aca="false">Resumo!$C$13</f>
        <v>13.55</v>
      </c>
      <c r="T2205" s="39" t="n">
        <f aca="false">Resumo!$C$14*CEILING(I2205,1)</f>
        <v>18.9</v>
      </c>
      <c r="U2205" s="39" t="n">
        <f aca="false">SUM(M2205:T2205)*Resumo!$C$11</f>
        <v>0</v>
      </c>
      <c r="V2205" s="39" t="n">
        <f aca="false">SUM(M2205:U2205)</f>
        <v>100.959958</v>
      </c>
      <c r="W2205" s="39" t="n">
        <f aca="false">V2205/(1-Resumo!$C$5)</f>
        <v>114.727225</v>
      </c>
      <c r="X2205" s="39" t="n">
        <v>93.97</v>
      </c>
      <c r="Y2205" s="39" t="n">
        <f aca="false">J2205*Resumo!$B$6</f>
        <v>0.49999</v>
      </c>
      <c r="Z2205" s="39" t="n">
        <f aca="false">J2205*Resumo!$B$7</f>
        <v>0.99998</v>
      </c>
      <c r="AA2205" s="39" t="n">
        <f aca="false">Resumo!$B$9</f>
        <v>1</v>
      </c>
      <c r="AB2205" s="39" t="n">
        <f aca="false">Resumo!$B$10*CEILING(I2205/100,1)</f>
        <v>4.5</v>
      </c>
      <c r="AC2205" s="39" t="n">
        <f aca="false">Resumo!$B$12*CEILING(I2205,1)</f>
        <v>2.52</v>
      </c>
      <c r="AD2205" s="39" t="n">
        <f aca="false">Resumo!$B$14*CEILING(I2205,1)</f>
        <v>18.9</v>
      </c>
      <c r="AE2205" s="39" t="n">
        <f aca="false">SUM(X2205:AD2205)</f>
        <v>122.38997</v>
      </c>
      <c r="AF2205" s="39" t="n">
        <f aca="false">AE2205/(1-Resumo!$B$5)</f>
        <v>139.079511363636</v>
      </c>
      <c r="AG2205" s="39" t="n">
        <f aca="false">AF2205-W2205</f>
        <v>24.3522863636364</v>
      </c>
      <c r="AH2205" s="40" t="n">
        <f aca="false">AF2205/W2205-1</f>
        <v>0.212262489253413</v>
      </c>
      <c r="AI2205" s="37" t="str">
        <f aca="false">IF(AF2205&lt;W2205,"SIM","NÃO")</f>
        <v>NÃO</v>
      </c>
      <c r="AJ2205" s="37" t="n">
        <v>2</v>
      </c>
      <c r="AK2205" s="37" t="n">
        <v>5</v>
      </c>
      <c r="AL2205" s="37" t="s">
        <v>343</v>
      </c>
      <c r="AM2205" s="39" t="n">
        <v>116.47</v>
      </c>
    </row>
    <row r="2206" customFormat="false" ht="15" hidden="false" customHeight="false" outlineLevel="0" collapsed="false">
      <c r="A2206" s="37" t="n">
        <v>401416024</v>
      </c>
      <c r="B2206" s="38" t="n">
        <v>46295.3983101852</v>
      </c>
      <c r="C2206" s="37" t="s">
        <v>537</v>
      </c>
      <c r="D2206" s="37" t="s">
        <v>2304</v>
      </c>
      <c r="E2206" s="37" t="n">
        <v>26313400</v>
      </c>
      <c r="F2206" s="37" t="s">
        <v>236</v>
      </c>
      <c r="G2206" s="37" t="s">
        <v>197</v>
      </c>
      <c r="H2206" s="37" t="s">
        <v>186</v>
      </c>
      <c r="I2206" s="37" t="n">
        <v>46.8</v>
      </c>
      <c r="J2206" s="39" t="n">
        <v>539.99</v>
      </c>
      <c r="K2206" s="37" t="s">
        <v>342</v>
      </c>
      <c r="L2206" s="39" t="n">
        <v>116.66</v>
      </c>
      <c r="M2206" s="39" t="n">
        <v>65.36</v>
      </c>
      <c r="N2206" s="39" t="n">
        <f aca="false">J2206*Resumo!$C$6</f>
        <v>0</v>
      </c>
      <c r="O2206" s="39" t="n">
        <f aca="false">J2206*Resumo!$C$7</f>
        <v>1.133979</v>
      </c>
      <c r="P2206" s="39" t="n">
        <f aca="false">J2206*Resumo!$C$8</f>
        <v>1.133979</v>
      </c>
      <c r="Q2206" s="39" t="n">
        <f aca="false">Resumo!$C$10*CEILING(I2206/100,1)</f>
        <v>1.05</v>
      </c>
      <c r="R2206" s="39" t="n">
        <f aca="false">Resumo!$C$9</f>
        <v>0</v>
      </c>
      <c r="S2206" s="39" t="n">
        <f aca="false">Resumo!$C$13</f>
        <v>13.55</v>
      </c>
      <c r="T2206" s="39" t="n">
        <f aca="false">Resumo!$C$14*CEILING(I2206,1)</f>
        <v>21.15</v>
      </c>
      <c r="U2206" s="39" t="n">
        <f aca="false">SUM(M2206:T2206)*Resumo!$C$11</f>
        <v>0</v>
      </c>
      <c r="V2206" s="39" t="n">
        <f aca="false">SUM(M2206:U2206)</f>
        <v>103.377958</v>
      </c>
      <c r="W2206" s="39" t="n">
        <f aca="false">V2206/(1-Resumo!$C$5)</f>
        <v>117.474952272727</v>
      </c>
      <c r="X2206" s="39" t="n">
        <v>93.97</v>
      </c>
      <c r="Y2206" s="39" t="n">
        <f aca="false">J2206*Resumo!$B$6</f>
        <v>0.53999</v>
      </c>
      <c r="Z2206" s="39" t="n">
        <f aca="false">J2206*Resumo!$B$7</f>
        <v>1.07998</v>
      </c>
      <c r="AA2206" s="39" t="n">
        <f aca="false">Resumo!$B$9</f>
        <v>1</v>
      </c>
      <c r="AB2206" s="39" t="n">
        <f aca="false">Resumo!$B$10*CEILING(I2206/100,1)</f>
        <v>4.5</v>
      </c>
      <c r="AC2206" s="39" t="n">
        <f aca="false">Resumo!$B$12*CEILING(I2206,1)</f>
        <v>2.82</v>
      </c>
      <c r="AD2206" s="39" t="n">
        <f aca="false">Resumo!$B$14*CEILING(I2206,1)</f>
        <v>21.15</v>
      </c>
      <c r="AE2206" s="39" t="n">
        <f aca="false">SUM(X2206:AD2206)</f>
        <v>125.05997</v>
      </c>
      <c r="AF2206" s="39" t="n">
        <f aca="false">AE2206/(1-Resumo!$B$5)</f>
        <v>142.113602272727</v>
      </c>
      <c r="AG2206" s="39" t="n">
        <f aca="false">AF2206-W2206</f>
        <v>24.63865</v>
      </c>
      <c r="AH2206" s="40" t="n">
        <f aca="false">AF2206/W2206-1</f>
        <v>0.209735348032315</v>
      </c>
      <c r="AI2206" s="37" t="str">
        <f aca="false">IF(AF2206&lt;W2206,"SIM","NÃO")</f>
        <v>NÃO</v>
      </c>
      <c r="AJ2206" s="37" t="n">
        <v>2</v>
      </c>
      <c r="AK2206" s="37" t="n">
        <v>5</v>
      </c>
      <c r="AL2206" s="37" t="s">
        <v>347</v>
      </c>
      <c r="AM2206" s="39" t="n">
        <v>116.66</v>
      </c>
    </row>
    <row r="2207" customFormat="false" ht="15" hidden="false" customHeight="false" outlineLevel="0" collapsed="false">
      <c r="A2207" s="37" t="n">
        <v>401416782</v>
      </c>
      <c r="B2207" s="38" t="n">
        <v>46295.4149189815</v>
      </c>
      <c r="C2207" s="37" t="s">
        <v>340</v>
      </c>
      <c r="D2207" s="37" t="s">
        <v>2305</v>
      </c>
      <c r="E2207" s="37" t="n">
        <v>22060030</v>
      </c>
      <c r="F2207" s="37" t="s">
        <v>159</v>
      </c>
      <c r="G2207" s="37" t="s">
        <v>196</v>
      </c>
      <c r="H2207" s="37" t="s">
        <v>184</v>
      </c>
      <c r="I2207" s="37" t="n">
        <v>31</v>
      </c>
      <c r="J2207" s="39" t="n">
        <v>323.94</v>
      </c>
      <c r="K2207" s="37" t="s">
        <v>342</v>
      </c>
      <c r="L2207" s="39" t="n">
        <v>81.89</v>
      </c>
      <c r="M2207" s="39" t="n">
        <v>42.11</v>
      </c>
      <c r="N2207" s="39" t="n">
        <f aca="false">J2207*Resumo!$C$6</f>
        <v>0</v>
      </c>
      <c r="O2207" s="39" t="n">
        <f aca="false">J2207*Resumo!$C$7</f>
        <v>0.680274</v>
      </c>
      <c r="P2207" s="39" t="n">
        <f aca="false">J2207*Resumo!$C$8</f>
        <v>0.680274</v>
      </c>
      <c r="Q2207" s="39" t="n">
        <f aca="false">Resumo!$C$10*CEILING(I2207/100,1)</f>
        <v>1.05</v>
      </c>
      <c r="R2207" s="39" t="n">
        <f aca="false">Resumo!$C$9</f>
        <v>0</v>
      </c>
      <c r="S2207" s="39" t="n">
        <f aca="false">Resumo!$C$13</f>
        <v>13.55</v>
      </c>
      <c r="T2207" s="39" t="n">
        <f aca="false">Resumo!$C$14*CEILING(I2207,1)</f>
        <v>13.95</v>
      </c>
      <c r="U2207" s="39" t="n">
        <f aca="false">SUM(M2207:T2207)*Resumo!$C$11</f>
        <v>0</v>
      </c>
      <c r="V2207" s="39" t="n">
        <f aca="false">SUM(M2207:U2207)</f>
        <v>72.020548</v>
      </c>
      <c r="W2207" s="39" t="n">
        <f aca="false">V2207/(1-Resumo!$C$5)</f>
        <v>81.8415318181818</v>
      </c>
      <c r="X2207" s="39" t="n">
        <v>82.21</v>
      </c>
      <c r="Y2207" s="39" t="n">
        <f aca="false">J2207*Resumo!$B$6</f>
        <v>0.32394</v>
      </c>
      <c r="Z2207" s="39" t="n">
        <f aca="false">J2207*Resumo!$B$7</f>
        <v>0.64788</v>
      </c>
      <c r="AA2207" s="39" t="n">
        <f aca="false">Resumo!$B$9</f>
        <v>1</v>
      </c>
      <c r="AB2207" s="39" t="n">
        <f aca="false">Resumo!$B$10*CEILING(I2207/100,1)</f>
        <v>4.5</v>
      </c>
      <c r="AC2207" s="39" t="n">
        <f aca="false">Resumo!$B$12*CEILING(I2207,1)</f>
        <v>1.86</v>
      </c>
      <c r="AD2207" s="39" t="n">
        <f aca="false">Resumo!$B$14*CEILING(I2207,1)</f>
        <v>13.95</v>
      </c>
      <c r="AE2207" s="39" t="n">
        <f aca="false">SUM(X2207:AD2207)</f>
        <v>104.49182</v>
      </c>
      <c r="AF2207" s="39" t="n">
        <f aca="false">AE2207/(1-Resumo!$B$5)</f>
        <v>118.740704545455</v>
      </c>
      <c r="AG2207" s="39" t="n">
        <f aca="false">AF2207-W2207</f>
        <v>36.8991727272727</v>
      </c>
      <c r="AH2207" s="40" t="n">
        <f aca="false">AF2207/W2207-1</f>
        <v>0.45086121810681</v>
      </c>
      <c r="AI2207" s="37" t="str">
        <f aca="false">IF(AF2207&lt;W2207,"SIM","NÃO")</f>
        <v>NÃO</v>
      </c>
      <c r="AJ2207" s="37" t="n">
        <v>2</v>
      </c>
      <c r="AK2207" s="37" t="n">
        <v>5</v>
      </c>
      <c r="AL2207" s="37" t="s">
        <v>343</v>
      </c>
      <c r="AM2207" s="39" t="n">
        <v>81.88</v>
      </c>
    </row>
    <row r="2208" customFormat="false" ht="15" hidden="false" customHeight="false" outlineLevel="0" collapsed="false">
      <c r="A2208" s="37" t="n">
        <v>401490832</v>
      </c>
      <c r="B2208" s="38" t="n">
        <v>46295.4878472222</v>
      </c>
      <c r="C2208" s="37" t="s">
        <v>537</v>
      </c>
      <c r="D2208" s="37" t="s">
        <v>2306</v>
      </c>
      <c r="E2208" s="37" t="n">
        <v>21235620</v>
      </c>
      <c r="F2208" s="37" t="s">
        <v>159</v>
      </c>
      <c r="G2208" s="37" t="s">
        <v>196</v>
      </c>
      <c r="H2208" s="37" t="s">
        <v>186</v>
      </c>
      <c r="I2208" s="37" t="n">
        <v>48.3</v>
      </c>
      <c r="J2208" s="39" t="n">
        <v>449.99</v>
      </c>
      <c r="K2208" s="37" t="s">
        <v>342</v>
      </c>
      <c r="L2208" s="39" t="n">
        <v>102.74</v>
      </c>
      <c r="M2208" s="39" t="n">
        <v>53.55</v>
      </c>
      <c r="N2208" s="39" t="n">
        <f aca="false">J2208*Resumo!$C$6</f>
        <v>0</v>
      </c>
      <c r="O2208" s="39" t="n">
        <f aca="false">J2208*Resumo!$C$7</f>
        <v>0.944979</v>
      </c>
      <c r="P2208" s="39" t="n">
        <f aca="false">J2208*Resumo!$C$8</f>
        <v>0.944979</v>
      </c>
      <c r="Q2208" s="39" t="n">
        <f aca="false">Resumo!$C$10*CEILING(I2208/100,1)</f>
        <v>1.05</v>
      </c>
      <c r="R2208" s="39" t="n">
        <f aca="false">Resumo!$C$9</f>
        <v>0</v>
      </c>
      <c r="S2208" s="39" t="n">
        <f aca="false">Resumo!$C$13</f>
        <v>13.55</v>
      </c>
      <c r="T2208" s="39" t="n">
        <f aca="false">Resumo!$C$14*CEILING(I2208,1)</f>
        <v>22.05</v>
      </c>
      <c r="U2208" s="39" t="n">
        <f aca="false">SUM(M2208:T2208)*Resumo!$C$11</f>
        <v>0</v>
      </c>
      <c r="V2208" s="39" t="n">
        <f aca="false">SUM(M2208:U2208)</f>
        <v>92.089958</v>
      </c>
      <c r="W2208" s="39" t="n">
        <f aca="false">V2208/(1-Resumo!$C$5)</f>
        <v>104.647679545455</v>
      </c>
      <c r="X2208" s="39" t="n">
        <v>93.97</v>
      </c>
      <c r="Y2208" s="39" t="n">
        <f aca="false">J2208*Resumo!$B$6</f>
        <v>0.44999</v>
      </c>
      <c r="Z2208" s="39" t="n">
        <f aca="false">J2208*Resumo!$B$7</f>
        <v>0.89998</v>
      </c>
      <c r="AA2208" s="39" t="n">
        <f aca="false">Resumo!$B$9</f>
        <v>1</v>
      </c>
      <c r="AB2208" s="39" t="n">
        <f aca="false">Resumo!$B$10*CEILING(I2208/100,1)</f>
        <v>4.5</v>
      </c>
      <c r="AC2208" s="39" t="n">
        <f aca="false">Resumo!$B$12*CEILING(I2208,1)</f>
        <v>2.94</v>
      </c>
      <c r="AD2208" s="39" t="n">
        <f aca="false">Resumo!$B$14*CEILING(I2208,1)</f>
        <v>22.05</v>
      </c>
      <c r="AE2208" s="39" t="n">
        <f aca="false">SUM(X2208:AD2208)</f>
        <v>125.80997</v>
      </c>
      <c r="AF2208" s="39" t="n">
        <f aca="false">AE2208/(1-Resumo!$B$5)</f>
        <v>142.965875</v>
      </c>
      <c r="AG2208" s="39" t="n">
        <f aca="false">AF2208-W2208</f>
        <v>38.3181954545454</v>
      </c>
      <c r="AH2208" s="40" t="n">
        <f aca="false">AF2208/W2208-1</f>
        <v>0.366163832977315</v>
      </c>
      <c r="AI2208" s="37" t="str">
        <f aca="false">IF(AF2208&lt;W2208,"SIM","NÃO")</f>
        <v>NÃO</v>
      </c>
      <c r="AJ2208" s="37" t="n">
        <v>2</v>
      </c>
      <c r="AK2208" s="37" t="n">
        <v>5</v>
      </c>
      <c r="AL2208" s="37" t="s">
        <v>343</v>
      </c>
      <c r="AM2208" s="39" t="n">
        <v>102.74</v>
      </c>
    </row>
    <row r="2209" customFormat="false" ht="15" hidden="false" customHeight="false" outlineLevel="0" collapsed="false">
      <c r="A2209" s="37" t="n">
        <v>401474120</v>
      </c>
      <c r="B2209" s="38" t="n">
        <v>46295.4897916667</v>
      </c>
      <c r="C2209" s="37" t="s">
        <v>345</v>
      </c>
      <c r="D2209" s="37" t="s">
        <v>2307</v>
      </c>
      <c r="E2209" s="37" t="n">
        <v>26383493</v>
      </c>
      <c r="F2209" s="37" t="s">
        <v>236</v>
      </c>
      <c r="G2209" s="37" t="s">
        <v>197</v>
      </c>
      <c r="H2209" s="37" t="s">
        <v>186</v>
      </c>
      <c r="I2209" s="37" t="n">
        <v>49.6</v>
      </c>
      <c r="J2209" s="39" t="n">
        <v>759.99</v>
      </c>
      <c r="K2209" s="37" t="s">
        <v>342</v>
      </c>
      <c r="L2209" s="39" t="n">
        <v>117.72</v>
      </c>
      <c r="M2209" s="39" t="n">
        <v>65.36</v>
      </c>
      <c r="N2209" s="39" t="n">
        <f aca="false">J2209*Resumo!$C$6</f>
        <v>0</v>
      </c>
      <c r="O2209" s="39" t="n">
        <f aca="false">J2209*Resumo!$C$7</f>
        <v>1.595979</v>
      </c>
      <c r="P2209" s="39" t="n">
        <f aca="false">J2209*Resumo!$C$8</f>
        <v>1.595979</v>
      </c>
      <c r="Q2209" s="39" t="n">
        <f aca="false">Resumo!$C$10*CEILING(I2209/100,1)</f>
        <v>1.05</v>
      </c>
      <c r="R2209" s="39" t="n">
        <f aca="false">Resumo!$C$9</f>
        <v>0</v>
      </c>
      <c r="S2209" s="39" t="n">
        <f aca="false">Resumo!$C$13</f>
        <v>13.55</v>
      </c>
      <c r="T2209" s="39" t="n">
        <f aca="false">Resumo!$C$14*CEILING(I2209,1)</f>
        <v>22.5</v>
      </c>
      <c r="U2209" s="39" t="n">
        <f aca="false">SUM(M2209:T2209)*Resumo!$C$11</f>
        <v>0</v>
      </c>
      <c r="V2209" s="39" t="n">
        <f aca="false">SUM(M2209:U2209)</f>
        <v>105.651958</v>
      </c>
      <c r="W2209" s="39" t="n">
        <f aca="false">V2209/(1-Resumo!$C$5)</f>
        <v>120.059043181818</v>
      </c>
      <c r="X2209" s="39" t="n">
        <v>93.97</v>
      </c>
      <c r="Y2209" s="39" t="n">
        <f aca="false">J2209*Resumo!$B$6</f>
        <v>0.75999</v>
      </c>
      <c r="Z2209" s="39" t="n">
        <f aca="false">J2209*Resumo!$B$7</f>
        <v>1.51998</v>
      </c>
      <c r="AA2209" s="39" t="n">
        <f aca="false">Resumo!$B$9</f>
        <v>1</v>
      </c>
      <c r="AB2209" s="39" t="n">
        <f aca="false">Resumo!$B$10*CEILING(I2209/100,1)</f>
        <v>4.5</v>
      </c>
      <c r="AC2209" s="39" t="n">
        <f aca="false">Resumo!$B$12*CEILING(I2209,1)</f>
        <v>3</v>
      </c>
      <c r="AD2209" s="39" t="n">
        <f aca="false">Resumo!$B$14*CEILING(I2209,1)</f>
        <v>22.5</v>
      </c>
      <c r="AE2209" s="39" t="n">
        <f aca="false">SUM(X2209:AD2209)</f>
        <v>127.24997</v>
      </c>
      <c r="AF2209" s="39" t="n">
        <f aca="false">AE2209/(1-Resumo!$B$5)</f>
        <v>144.602238636364</v>
      </c>
      <c r="AG2209" s="39" t="n">
        <f aca="false">AF2209-W2209</f>
        <v>24.5431954545455</v>
      </c>
      <c r="AH2209" s="40" t="n">
        <f aca="false">AF2209/W2209-1</f>
        <v>0.204426045752981</v>
      </c>
      <c r="AI2209" s="37" t="str">
        <f aca="false">IF(AF2209&lt;W2209,"SIM","NÃO")</f>
        <v>NÃO</v>
      </c>
      <c r="AJ2209" s="37" t="n">
        <v>2</v>
      </c>
      <c r="AK2209" s="37" t="n">
        <v>5</v>
      </c>
      <c r="AL2209" s="37" t="s">
        <v>347</v>
      </c>
      <c r="AM2209" s="39" t="n">
        <v>117.72</v>
      </c>
    </row>
    <row r="2210" customFormat="false" ht="15" hidden="false" customHeight="false" outlineLevel="0" collapsed="false">
      <c r="A2210" s="37" t="n">
        <v>401475040</v>
      </c>
      <c r="B2210" s="38" t="n">
        <v>46295.4906712963</v>
      </c>
      <c r="C2210" s="37" t="s">
        <v>340</v>
      </c>
      <c r="D2210" s="37" t="s">
        <v>2308</v>
      </c>
      <c r="E2210" s="37" t="n">
        <v>28909010</v>
      </c>
      <c r="F2210" s="37" t="s">
        <v>172</v>
      </c>
      <c r="G2210" s="37" t="s">
        <v>198</v>
      </c>
      <c r="H2210" s="37" t="s">
        <v>185</v>
      </c>
      <c r="I2210" s="37" t="n">
        <v>37.2</v>
      </c>
      <c r="J2210" s="39" t="n">
        <v>378.99</v>
      </c>
      <c r="K2210" s="37" t="s">
        <v>342</v>
      </c>
      <c r="L2210" s="39" t="n">
        <v>122.07</v>
      </c>
      <c r="M2210" s="39" t="n">
        <v>74.97</v>
      </c>
      <c r="N2210" s="39" t="n">
        <f aca="false">J2210*Resumo!$C$6</f>
        <v>0</v>
      </c>
      <c r="O2210" s="39" t="n">
        <f aca="false">J2210*Resumo!$C$7</f>
        <v>0.795879</v>
      </c>
      <c r="P2210" s="39" t="n">
        <f aca="false">J2210*Resumo!$C$8</f>
        <v>0.795879</v>
      </c>
      <c r="Q2210" s="39" t="n">
        <f aca="false">Resumo!$C$10*CEILING(I2210/100,1)</f>
        <v>1.05</v>
      </c>
      <c r="R2210" s="39" t="n">
        <f aca="false">Resumo!$C$9</f>
        <v>0</v>
      </c>
      <c r="S2210" s="39" t="n">
        <f aca="false">Resumo!$C$13</f>
        <v>13.55</v>
      </c>
      <c r="T2210" s="39" t="n">
        <f aca="false">Resumo!$C$14*CEILING(I2210,1)</f>
        <v>17.1</v>
      </c>
      <c r="U2210" s="39" t="n">
        <f aca="false">SUM(M2210:T2210)*Resumo!$C$11</f>
        <v>0</v>
      </c>
      <c r="V2210" s="39" t="n">
        <f aca="false">SUM(M2210:U2210)</f>
        <v>108.261758</v>
      </c>
      <c r="W2210" s="39" t="n">
        <f aca="false">V2210/(1-Resumo!$C$5)</f>
        <v>123.024725</v>
      </c>
      <c r="X2210" s="39" t="n">
        <v>124.38</v>
      </c>
      <c r="Y2210" s="39" t="n">
        <f aca="false">J2210*Resumo!$B$6</f>
        <v>0.37899</v>
      </c>
      <c r="Z2210" s="39" t="n">
        <f aca="false">J2210*Resumo!$B$7</f>
        <v>0.75798</v>
      </c>
      <c r="AA2210" s="39" t="n">
        <f aca="false">Resumo!$B$9</f>
        <v>1</v>
      </c>
      <c r="AB2210" s="39" t="n">
        <f aca="false">Resumo!$B$10*CEILING(I2210/100,1)</f>
        <v>4.5</v>
      </c>
      <c r="AC2210" s="39" t="n">
        <f aca="false">Resumo!$B$12*CEILING(I2210,1)</f>
        <v>2.28</v>
      </c>
      <c r="AD2210" s="39" t="n">
        <f aca="false">Resumo!$B$14*CEILING(I2210,1)</f>
        <v>17.1</v>
      </c>
      <c r="AE2210" s="39" t="n">
        <f aca="false">SUM(X2210:AD2210)</f>
        <v>150.39697</v>
      </c>
      <c r="AF2210" s="39" t="n">
        <f aca="false">AE2210/(1-Resumo!$B$5)</f>
        <v>170.905647727273</v>
      </c>
      <c r="AG2210" s="39" t="n">
        <f aca="false">AF2210-W2210</f>
        <v>47.8809227272727</v>
      </c>
      <c r="AH2210" s="40" t="n">
        <f aca="false">AF2210/W2210-1</f>
        <v>0.389197559492799</v>
      </c>
      <c r="AI2210" s="37" t="str">
        <f aca="false">IF(AF2210&lt;W2210,"SIM","NÃO")</f>
        <v>NÃO</v>
      </c>
      <c r="AJ2210" s="37" t="n">
        <v>13</v>
      </c>
      <c r="AK2210" s="37" t="n">
        <v>10</v>
      </c>
      <c r="AL2210" s="37" t="s">
        <v>343</v>
      </c>
      <c r="AM2210" s="39" t="n">
        <v>122.06</v>
      </c>
    </row>
    <row r="2211" customFormat="false" ht="15" hidden="false" customHeight="false" outlineLevel="0" collapsed="false">
      <c r="A2211" s="37" t="n">
        <v>401501864</v>
      </c>
      <c r="B2211" s="38" t="n">
        <v>46295.5240162037</v>
      </c>
      <c r="C2211" s="37" t="s">
        <v>345</v>
      </c>
      <c r="D2211" s="37" t="s">
        <v>2309</v>
      </c>
      <c r="E2211" s="37" t="n">
        <v>27971221</v>
      </c>
      <c r="F2211" s="37" t="s">
        <v>166</v>
      </c>
      <c r="G2211" s="37" t="s">
        <v>198</v>
      </c>
      <c r="H2211" s="37" t="s">
        <v>194</v>
      </c>
      <c r="I2211" s="37" t="n">
        <v>188.4</v>
      </c>
      <c r="J2211" s="39" t="n">
        <v>1994</v>
      </c>
      <c r="K2211" s="37" t="s">
        <v>342</v>
      </c>
      <c r="L2211" s="39" t="n">
        <v>198.28</v>
      </c>
      <c r="M2211" s="39" t="n">
        <v>66.69</v>
      </c>
      <c r="N2211" s="39" t="n">
        <f aca="false">J2211*Resumo!$C$6</f>
        <v>0</v>
      </c>
      <c r="O2211" s="39" t="n">
        <f aca="false">J2211*Resumo!$C$7</f>
        <v>4.1874</v>
      </c>
      <c r="P2211" s="39" t="n">
        <f aca="false">J2211*Resumo!$C$8</f>
        <v>4.1874</v>
      </c>
      <c r="Q2211" s="39" t="n">
        <f aca="false">Resumo!$C$10*CEILING(I2211/100,1)</f>
        <v>2.1</v>
      </c>
      <c r="R2211" s="39" t="n">
        <f aca="false">Resumo!$C$9</f>
        <v>0</v>
      </c>
      <c r="S2211" s="39" t="n">
        <f aca="false">Resumo!$C$13</f>
        <v>13.55</v>
      </c>
      <c r="T2211" s="39" t="n">
        <f aca="false">Resumo!$C$14*CEILING(I2211,1)</f>
        <v>85.05</v>
      </c>
      <c r="U2211" s="39" t="n">
        <f aca="false">SUM(M2211:T2211)*Resumo!$C$11</f>
        <v>0</v>
      </c>
      <c r="V2211" s="39" t="n">
        <f aca="false">SUM(M2211:U2211)</f>
        <v>175.7648</v>
      </c>
      <c r="W2211" s="39" t="n">
        <f aca="false">V2211/(1-Resumo!$C$5)</f>
        <v>199.732727272727</v>
      </c>
      <c r="X2211" s="39" t="n">
        <v>353.17</v>
      </c>
      <c r="Y2211" s="39" t="n">
        <f aca="false">J2211*Resumo!$B$6</f>
        <v>1.994</v>
      </c>
      <c r="Z2211" s="39" t="n">
        <f aca="false">J2211*Resumo!$B$7</f>
        <v>3.988</v>
      </c>
      <c r="AA2211" s="39" t="n">
        <f aca="false">Resumo!$B$9</f>
        <v>1</v>
      </c>
      <c r="AB2211" s="39" t="n">
        <f aca="false">Resumo!$B$10*CEILING(I2211/100,1)</f>
        <v>9</v>
      </c>
      <c r="AC2211" s="39" t="n">
        <f aca="false">Resumo!$B$12*CEILING(I2211,1)</f>
        <v>11.34</v>
      </c>
      <c r="AD2211" s="39" t="n">
        <f aca="false">Resumo!$B$14*CEILING(I2211,1)</f>
        <v>85.05</v>
      </c>
      <c r="AE2211" s="39" t="n">
        <f aca="false">SUM(X2211:AD2211)</f>
        <v>465.542</v>
      </c>
      <c r="AF2211" s="39" t="n">
        <f aca="false">AE2211/(1-Resumo!$B$5)</f>
        <v>529.025</v>
      </c>
      <c r="AG2211" s="39" t="n">
        <f aca="false">AF2211-W2211</f>
        <v>329.292272727273</v>
      </c>
      <c r="AH2211" s="40" t="n">
        <f aca="false">AF2211/W2211-1</f>
        <v>1.64866457902834</v>
      </c>
      <c r="AI2211" s="37" t="str">
        <f aca="false">IF(AF2211&lt;W2211,"SIM","NÃO")</f>
        <v>NÃO</v>
      </c>
      <c r="AJ2211" s="37" t="n">
        <v>13</v>
      </c>
      <c r="AK2211" s="37" t="n">
        <v>11</v>
      </c>
      <c r="AL2211" s="37" t="s">
        <v>343</v>
      </c>
      <c r="AM2211" s="39" t="n">
        <v>198.28</v>
      </c>
    </row>
    <row r="2212" customFormat="false" ht="15" hidden="false" customHeight="false" outlineLevel="0" collapsed="false">
      <c r="A2212" s="37" t="n">
        <v>401521124</v>
      </c>
      <c r="B2212" s="38" t="n">
        <v>46295.5491898148</v>
      </c>
      <c r="C2212" s="37" t="s">
        <v>340</v>
      </c>
      <c r="D2212" s="37" t="s">
        <v>2310</v>
      </c>
      <c r="E2212" s="37" t="n">
        <v>24457600</v>
      </c>
      <c r="F2212" s="37" t="s">
        <v>160</v>
      </c>
      <c r="G2212" s="37" t="s">
        <v>197</v>
      </c>
      <c r="H2212" s="37" t="s">
        <v>186</v>
      </c>
      <c r="I2212" s="37" t="n">
        <v>48.3</v>
      </c>
      <c r="J2212" s="39" t="n">
        <v>450.99</v>
      </c>
      <c r="K2212" s="37" t="s">
        <v>342</v>
      </c>
      <c r="L2212" s="39" t="n">
        <v>116.23</v>
      </c>
      <c r="M2212" s="39" t="n">
        <v>65.36</v>
      </c>
      <c r="N2212" s="39" t="n">
        <f aca="false">J2212*Resumo!$C$6</f>
        <v>0</v>
      </c>
      <c r="O2212" s="39" t="n">
        <f aca="false">J2212*Resumo!$C$7</f>
        <v>0.947079</v>
      </c>
      <c r="P2212" s="39" t="n">
        <f aca="false">J2212*Resumo!$C$8</f>
        <v>0.947079</v>
      </c>
      <c r="Q2212" s="39" t="n">
        <f aca="false">Resumo!$C$10*CEILING(I2212/100,1)</f>
        <v>1.05</v>
      </c>
      <c r="R2212" s="39" t="n">
        <f aca="false">Resumo!$C$9</f>
        <v>0</v>
      </c>
      <c r="S2212" s="39" t="n">
        <f aca="false">Resumo!$C$13</f>
        <v>13.55</v>
      </c>
      <c r="T2212" s="39" t="n">
        <f aca="false">Resumo!$C$14*CEILING(I2212,1)</f>
        <v>22.05</v>
      </c>
      <c r="U2212" s="39" t="n">
        <f aca="false">SUM(M2212:T2212)*Resumo!$C$11</f>
        <v>0</v>
      </c>
      <c r="V2212" s="39" t="n">
        <f aca="false">SUM(M2212:U2212)</f>
        <v>103.904158</v>
      </c>
      <c r="W2212" s="39" t="n">
        <f aca="false">V2212/(1-Resumo!$C$5)</f>
        <v>118.072906818182</v>
      </c>
      <c r="X2212" s="39" t="n">
        <v>114.95</v>
      </c>
      <c r="Y2212" s="39" t="n">
        <f aca="false">J2212*Resumo!$B$6</f>
        <v>0.45099</v>
      </c>
      <c r="Z2212" s="39" t="n">
        <f aca="false">J2212*Resumo!$B$7</f>
        <v>0.90198</v>
      </c>
      <c r="AA2212" s="39" t="n">
        <f aca="false">Resumo!$B$9</f>
        <v>1</v>
      </c>
      <c r="AB2212" s="39" t="n">
        <f aca="false">Resumo!$B$10*CEILING(I2212/100,1)</f>
        <v>4.5</v>
      </c>
      <c r="AC2212" s="39" t="n">
        <f aca="false">Resumo!$B$12*CEILING(I2212,1)</f>
        <v>2.94</v>
      </c>
      <c r="AD2212" s="39" t="n">
        <f aca="false">Resumo!$B$14*CEILING(I2212,1)</f>
        <v>22.05</v>
      </c>
      <c r="AE2212" s="39" t="n">
        <f aca="false">SUM(X2212:AD2212)</f>
        <v>146.79297</v>
      </c>
      <c r="AF2212" s="39" t="n">
        <f aca="false">AE2212/(1-Resumo!$B$5)</f>
        <v>166.810193181818</v>
      </c>
      <c r="AG2212" s="39" t="n">
        <f aca="false">AF2212-W2212</f>
        <v>48.7372863636364</v>
      </c>
      <c r="AH2212" s="40" t="n">
        <f aca="false">AF2212/W2212-1</f>
        <v>0.412772817041643</v>
      </c>
      <c r="AI2212" s="37" t="str">
        <f aca="false">IF(AF2212&lt;W2212,"SIM","NÃO")</f>
        <v>NÃO</v>
      </c>
      <c r="AJ2212" s="37" t="n">
        <v>2</v>
      </c>
      <c r="AK2212" s="37" t="n">
        <v>7</v>
      </c>
      <c r="AL2212" s="37" t="s">
        <v>343</v>
      </c>
      <c r="AM2212" s="39" t="n">
        <v>116.23</v>
      </c>
    </row>
    <row r="2213" customFormat="false" ht="15" hidden="false" customHeight="false" outlineLevel="0" collapsed="false">
      <c r="A2213" s="37" t="n">
        <v>401561453</v>
      </c>
      <c r="B2213" s="38" t="n">
        <v>46295.6031134259</v>
      </c>
      <c r="C2213" s="37" t="s">
        <v>345</v>
      </c>
      <c r="D2213" s="37" t="s">
        <v>2311</v>
      </c>
      <c r="E2213" s="37" t="n">
        <v>27998000</v>
      </c>
      <c r="F2213" s="37" t="s">
        <v>257</v>
      </c>
      <c r="G2213" s="37" t="s">
        <v>198</v>
      </c>
      <c r="H2213" s="37" t="s">
        <v>184</v>
      </c>
      <c r="I2213" s="37" t="n">
        <v>31.9</v>
      </c>
      <c r="J2213" s="39" t="n">
        <v>483.99</v>
      </c>
      <c r="K2213" s="37" t="s">
        <v>342</v>
      </c>
      <c r="L2213" s="39" t="n">
        <v>109.5</v>
      </c>
      <c r="M2213" s="39" t="n">
        <v>65.63</v>
      </c>
      <c r="N2213" s="39" t="n">
        <f aca="false">J2213*Resumo!$C$6</f>
        <v>0</v>
      </c>
      <c r="O2213" s="39" t="n">
        <f aca="false">J2213*Resumo!$C$7</f>
        <v>1.016379</v>
      </c>
      <c r="P2213" s="39" t="n">
        <f aca="false">J2213*Resumo!$C$8</f>
        <v>1.016379</v>
      </c>
      <c r="Q2213" s="39" t="n">
        <f aca="false">Resumo!$C$10*CEILING(I2213/100,1)</f>
        <v>1.05</v>
      </c>
      <c r="R2213" s="39" t="n">
        <f aca="false">Resumo!$C$9</f>
        <v>0</v>
      </c>
      <c r="S2213" s="39" t="n">
        <f aca="false">Resumo!$C$13</f>
        <v>13.55</v>
      </c>
      <c r="T2213" s="39" t="n">
        <f aca="false">Resumo!$C$14*CEILING(I2213,1)</f>
        <v>14.4</v>
      </c>
      <c r="U2213" s="39" t="n">
        <f aca="false">SUM(M2213:T2213)*Resumo!$C$11</f>
        <v>0</v>
      </c>
      <c r="V2213" s="39" t="n">
        <f aca="false">SUM(M2213:U2213)</f>
        <v>96.662758</v>
      </c>
      <c r="W2213" s="39" t="n">
        <f aca="false">V2213/(1-Resumo!$C$5)</f>
        <v>109.844043181818</v>
      </c>
      <c r="X2213" s="39" t="n">
        <v>138.29</v>
      </c>
      <c r="Y2213" s="39" t="n">
        <f aca="false">J2213*Resumo!$B$6</f>
        <v>0.48399</v>
      </c>
      <c r="Z2213" s="39" t="n">
        <f aca="false">J2213*Resumo!$B$7</f>
        <v>0.96798</v>
      </c>
      <c r="AA2213" s="39" t="n">
        <f aca="false">Resumo!$B$9</f>
        <v>1</v>
      </c>
      <c r="AB2213" s="39" t="n">
        <f aca="false">Resumo!$B$10*CEILING(I2213/100,1)</f>
        <v>4.5</v>
      </c>
      <c r="AC2213" s="39" t="n">
        <f aca="false">Resumo!$B$12*CEILING(I2213,1)</f>
        <v>1.92</v>
      </c>
      <c r="AD2213" s="39" t="n">
        <f aca="false">Resumo!$B$14*CEILING(I2213,1)</f>
        <v>14.4</v>
      </c>
      <c r="AE2213" s="39" t="n">
        <f aca="false">SUM(X2213:AD2213)</f>
        <v>161.56197</v>
      </c>
      <c r="AF2213" s="39" t="n">
        <f aca="false">AE2213/(1-Resumo!$B$5)</f>
        <v>183.593147727273</v>
      </c>
      <c r="AG2213" s="39" t="n">
        <f aca="false">AF2213-W2213</f>
        <v>73.7491045454546</v>
      </c>
      <c r="AH2213" s="40" t="n">
        <f aca="false">AF2213/W2213-1</f>
        <v>0.671398306263929</v>
      </c>
      <c r="AI2213" s="37" t="str">
        <f aca="false">IF(AF2213&lt;W2213,"SIM","NÃO")</f>
        <v>NÃO</v>
      </c>
      <c r="AJ2213" s="37" t="n">
        <v>13</v>
      </c>
      <c r="AK2213" s="37" t="n">
        <v>11</v>
      </c>
      <c r="AL2213" s="37" t="s">
        <v>347</v>
      </c>
      <c r="AM2213" s="39" t="n">
        <v>109.5</v>
      </c>
    </row>
    <row r="2214" customFormat="false" ht="15" hidden="false" customHeight="false" outlineLevel="0" collapsed="false">
      <c r="A2214" s="37" t="n">
        <v>401605148</v>
      </c>
      <c r="B2214" s="38" t="n">
        <v>46295.6584953704</v>
      </c>
      <c r="C2214" s="37" t="s">
        <v>340</v>
      </c>
      <c r="D2214" s="37" t="s">
        <v>2312</v>
      </c>
      <c r="E2214" s="37" t="n">
        <v>28686645</v>
      </c>
      <c r="F2214" s="37" t="s">
        <v>283</v>
      </c>
      <c r="G2214" s="37" t="s">
        <v>198</v>
      </c>
      <c r="H2214" s="37" t="s">
        <v>184</v>
      </c>
      <c r="I2214" s="37" t="n">
        <v>27.5</v>
      </c>
      <c r="J2214" s="39" t="n">
        <v>399.99</v>
      </c>
      <c r="K2214" s="37" t="s">
        <v>342</v>
      </c>
      <c r="L2214" s="39" t="n">
        <v>109.1</v>
      </c>
      <c r="M2214" s="39" t="n">
        <v>65.63</v>
      </c>
      <c r="N2214" s="39" t="n">
        <f aca="false">J2214*Resumo!$C$6</f>
        <v>0</v>
      </c>
      <c r="O2214" s="39" t="n">
        <f aca="false">J2214*Resumo!$C$7</f>
        <v>0.839979</v>
      </c>
      <c r="P2214" s="39" t="n">
        <f aca="false">J2214*Resumo!$C$8</f>
        <v>0.839979</v>
      </c>
      <c r="Q2214" s="39" t="n">
        <f aca="false">Resumo!$C$10*CEILING(I2214/100,1)</f>
        <v>1.05</v>
      </c>
      <c r="R2214" s="39" t="n">
        <f aca="false">Resumo!$C$9</f>
        <v>0</v>
      </c>
      <c r="S2214" s="39" t="n">
        <f aca="false">Resumo!$C$13</f>
        <v>13.55</v>
      </c>
      <c r="T2214" s="39" t="n">
        <f aca="false">Resumo!$C$14*CEILING(I2214,1)</f>
        <v>12.6</v>
      </c>
      <c r="U2214" s="39" t="n">
        <f aca="false">SUM(M2214:T2214)*Resumo!$C$11</f>
        <v>0</v>
      </c>
      <c r="V2214" s="39" t="n">
        <f aca="false">SUM(M2214:U2214)</f>
        <v>94.509958</v>
      </c>
      <c r="W2214" s="39" t="n">
        <f aca="false">V2214/(1-Resumo!$C$5)</f>
        <v>107.397679545455</v>
      </c>
      <c r="X2214" s="39" t="n">
        <v>120.78</v>
      </c>
      <c r="Y2214" s="39" t="n">
        <f aca="false">J2214*Resumo!$B$6</f>
        <v>0.39999</v>
      </c>
      <c r="Z2214" s="39" t="n">
        <f aca="false">J2214*Resumo!$B$7</f>
        <v>0.79998</v>
      </c>
      <c r="AA2214" s="39" t="n">
        <f aca="false">Resumo!$B$9</f>
        <v>1</v>
      </c>
      <c r="AB2214" s="39" t="n">
        <f aca="false">Resumo!$B$10*CEILING(I2214/100,1)</f>
        <v>4.5</v>
      </c>
      <c r="AC2214" s="39" t="n">
        <f aca="false">Resumo!$B$12*CEILING(I2214,1)</f>
        <v>1.68</v>
      </c>
      <c r="AD2214" s="39" t="n">
        <f aca="false">Resumo!$B$14*CEILING(I2214,1)</f>
        <v>12.6</v>
      </c>
      <c r="AE2214" s="39" t="n">
        <f aca="false">SUM(X2214:AD2214)</f>
        <v>141.75997</v>
      </c>
      <c r="AF2214" s="39" t="n">
        <f aca="false">AE2214/(1-Resumo!$B$5)</f>
        <v>161.090875</v>
      </c>
      <c r="AG2214" s="39" t="n">
        <f aca="false">AF2214-W2214</f>
        <v>53.6931954545455</v>
      </c>
      <c r="AH2214" s="40" t="n">
        <f aca="false">AF2214/W2214-1</f>
        <v>0.49994744469149</v>
      </c>
      <c r="AI2214" s="37" t="str">
        <f aca="false">IF(AF2214&lt;W2214,"SIM","NÃO")</f>
        <v>NÃO</v>
      </c>
      <c r="AJ2214" s="37" t="n">
        <v>13</v>
      </c>
      <c r="AK2214" s="37" t="n">
        <v>10</v>
      </c>
      <c r="AL2214" s="37" t="s">
        <v>347</v>
      </c>
      <c r="AM2214" s="39" t="n">
        <v>109.1</v>
      </c>
    </row>
    <row r="2215" customFormat="false" ht="15" hidden="false" customHeight="false" outlineLevel="0" collapsed="false">
      <c r="A2215" s="37" t="n">
        <v>401619163</v>
      </c>
      <c r="B2215" s="38" t="n">
        <v>46295.6761226852</v>
      </c>
      <c r="C2215" s="37" t="s">
        <v>340</v>
      </c>
      <c r="D2215" s="37" t="s">
        <v>2313</v>
      </c>
      <c r="E2215" s="37" t="n">
        <v>24467610</v>
      </c>
      <c r="F2215" s="37" t="s">
        <v>160</v>
      </c>
      <c r="G2215" s="37" t="s">
        <v>197</v>
      </c>
      <c r="H2215" s="37" t="s">
        <v>185</v>
      </c>
      <c r="I2215" s="37" t="n">
        <v>37.2</v>
      </c>
      <c r="J2215" s="39" t="n">
        <v>360.99</v>
      </c>
      <c r="K2215" s="37" t="s">
        <v>342</v>
      </c>
      <c r="L2215" s="39" t="n">
        <v>112.68</v>
      </c>
      <c r="M2215" s="39" t="n">
        <v>66.83</v>
      </c>
      <c r="N2215" s="39" t="n">
        <f aca="false">J2215*Resumo!$C$6</f>
        <v>0</v>
      </c>
      <c r="O2215" s="39" t="n">
        <f aca="false">J2215*Resumo!$C$7</f>
        <v>0.758079</v>
      </c>
      <c r="P2215" s="39" t="n">
        <f aca="false">J2215*Resumo!$C$8</f>
        <v>0.758079</v>
      </c>
      <c r="Q2215" s="39" t="n">
        <f aca="false">Resumo!$C$10*CEILING(I2215/100,1)</f>
        <v>1.05</v>
      </c>
      <c r="R2215" s="39" t="n">
        <f aca="false">Resumo!$C$9</f>
        <v>0</v>
      </c>
      <c r="S2215" s="39" t="n">
        <f aca="false">Resumo!$C$13</f>
        <v>13.55</v>
      </c>
      <c r="T2215" s="39" t="n">
        <f aca="false">Resumo!$C$14*CEILING(I2215,1)</f>
        <v>17.1</v>
      </c>
      <c r="U2215" s="39" t="n">
        <f aca="false">SUM(M2215:T2215)*Resumo!$C$11</f>
        <v>0</v>
      </c>
      <c r="V2215" s="39" t="n">
        <f aca="false">SUM(M2215:U2215)</f>
        <v>100.046158</v>
      </c>
      <c r="W2215" s="39" t="n">
        <f aca="false">V2215/(1-Resumo!$C$5)</f>
        <v>113.688815909091</v>
      </c>
      <c r="X2215" s="39" t="n">
        <v>114.95</v>
      </c>
      <c r="Y2215" s="39" t="n">
        <f aca="false">J2215*Resumo!$B$6</f>
        <v>0.36099</v>
      </c>
      <c r="Z2215" s="39" t="n">
        <f aca="false">J2215*Resumo!$B$7</f>
        <v>0.72198</v>
      </c>
      <c r="AA2215" s="39" t="n">
        <f aca="false">Resumo!$B$9</f>
        <v>1</v>
      </c>
      <c r="AB2215" s="39" t="n">
        <f aca="false">Resumo!$B$10*CEILING(I2215/100,1)</f>
        <v>4.5</v>
      </c>
      <c r="AC2215" s="39" t="n">
        <f aca="false">Resumo!$B$12*CEILING(I2215,1)</f>
        <v>2.28</v>
      </c>
      <c r="AD2215" s="39" t="n">
        <f aca="false">Resumo!$B$14*CEILING(I2215,1)</f>
        <v>17.1</v>
      </c>
      <c r="AE2215" s="39" t="n">
        <f aca="false">SUM(X2215:AD2215)</f>
        <v>140.91297</v>
      </c>
      <c r="AF2215" s="39" t="n">
        <f aca="false">AE2215/(1-Resumo!$B$5)</f>
        <v>160.128375</v>
      </c>
      <c r="AG2215" s="39" t="n">
        <f aca="false">AF2215-W2215</f>
        <v>46.4395590909091</v>
      </c>
      <c r="AH2215" s="40" t="n">
        <f aca="false">AF2215/W2215-1</f>
        <v>0.408479573998234</v>
      </c>
      <c r="AI2215" s="37" t="str">
        <f aca="false">IF(AF2215&lt;W2215,"SIM","NÃO")</f>
        <v>NÃO</v>
      </c>
      <c r="AJ2215" s="37" t="n">
        <v>2</v>
      </c>
      <c r="AK2215" s="37" t="n">
        <v>7</v>
      </c>
      <c r="AL2215" s="37" t="s">
        <v>343</v>
      </c>
      <c r="AM2215" s="39" t="n">
        <v>112.69</v>
      </c>
    </row>
    <row r="2216" customFormat="false" ht="15" hidden="false" customHeight="false" outlineLevel="0" collapsed="false">
      <c r="A2216" s="37" t="n">
        <v>401637633</v>
      </c>
      <c r="B2216" s="38" t="n">
        <v>46295.6982986111</v>
      </c>
      <c r="C2216" s="37" t="s">
        <v>345</v>
      </c>
      <c r="D2216" s="37" t="s">
        <v>2314</v>
      </c>
      <c r="E2216" s="37" t="n">
        <v>21555490</v>
      </c>
      <c r="F2216" s="37" t="s">
        <v>159</v>
      </c>
      <c r="G2216" s="37" t="s">
        <v>196</v>
      </c>
      <c r="H2216" s="37" t="s">
        <v>188</v>
      </c>
      <c r="I2216" s="37" t="n">
        <v>63</v>
      </c>
      <c r="J2216" s="39" t="n">
        <v>848.38</v>
      </c>
      <c r="K2216" s="37" t="s">
        <v>342</v>
      </c>
      <c r="L2216" s="39" t="n">
        <v>125.28</v>
      </c>
      <c r="M2216" s="39" t="n">
        <v>63.21</v>
      </c>
      <c r="N2216" s="39" t="n">
        <f aca="false">J2216*Resumo!$C$6</f>
        <v>0</v>
      </c>
      <c r="O2216" s="39" t="n">
        <f aca="false">J2216*Resumo!$C$7</f>
        <v>1.781598</v>
      </c>
      <c r="P2216" s="39" t="n">
        <f aca="false">J2216*Resumo!$C$8</f>
        <v>1.781598</v>
      </c>
      <c r="Q2216" s="39" t="n">
        <f aca="false">Resumo!$C$10*CEILING(I2216/100,1)</f>
        <v>1.05</v>
      </c>
      <c r="R2216" s="39" t="n">
        <f aca="false">Resumo!$C$9</f>
        <v>0</v>
      </c>
      <c r="S2216" s="39" t="n">
        <f aca="false">Resumo!$C$13</f>
        <v>13.55</v>
      </c>
      <c r="T2216" s="39" t="n">
        <f aca="false">Resumo!$C$14*CEILING(I2216,1)</f>
        <v>28.35</v>
      </c>
      <c r="U2216" s="39" t="n">
        <f aca="false">SUM(M2216:T2216)*Resumo!$C$11</f>
        <v>0</v>
      </c>
      <c r="V2216" s="39" t="n">
        <f aca="false">SUM(M2216:U2216)</f>
        <v>109.723196</v>
      </c>
      <c r="W2216" s="39" t="n">
        <f aca="false">V2216/(1-Resumo!$C$5)</f>
        <v>124.68545</v>
      </c>
      <c r="X2216" s="39" t="n">
        <v>131.02</v>
      </c>
      <c r="Y2216" s="39" t="n">
        <f aca="false">J2216*Resumo!$B$6</f>
        <v>0.84838</v>
      </c>
      <c r="Z2216" s="39" t="n">
        <f aca="false">J2216*Resumo!$B$7</f>
        <v>1.69676</v>
      </c>
      <c r="AA2216" s="39" t="n">
        <f aca="false">Resumo!$B$9</f>
        <v>1</v>
      </c>
      <c r="AB2216" s="39" t="n">
        <f aca="false">Resumo!$B$10*CEILING(I2216/100,1)</f>
        <v>4.5</v>
      </c>
      <c r="AC2216" s="39" t="n">
        <f aca="false">Resumo!$B$12*CEILING(I2216,1)</f>
        <v>3.78</v>
      </c>
      <c r="AD2216" s="39" t="n">
        <f aca="false">Resumo!$B$14*CEILING(I2216,1)</f>
        <v>28.35</v>
      </c>
      <c r="AE2216" s="39" t="n">
        <f aca="false">SUM(X2216:AD2216)</f>
        <v>171.19514</v>
      </c>
      <c r="AF2216" s="39" t="n">
        <f aca="false">AE2216/(1-Resumo!$B$5)</f>
        <v>194.539931818182</v>
      </c>
      <c r="AG2216" s="39" t="n">
        <f aca="false">AF2216-W2216</f>
        <v>69.8544818181818</v>
      </c>
      <c r="AH2216" s="40" t="n">
        <f aca="false">AF2216/W2216-1</f>
        <v>0.560245656716015</v>
      </c>
      <c r="AI2216" s="37" t="str">
        <f aca="false">IF(AF2216&lt;W2216,"SIM","NÃO")</f>
        <v>NÃO</v>
      </c>
      <c r="AJ2216" s="37" t="n">
        <v>2</v>
      </c>
      <c r="AK2216" s="37" t="n">
        <v>5</v>
      </c>
      <c r="AL2216" s="37" t="s">
        <v>343</v>
      </c>
      <c r="AM2216" s="39" t="n">
        <v>125.27</v>
      </c>
    </row>
    <row r="2217" customFormat="false" ht="15" hidden="false" customHeight="false" outlineLevel="0" collapsed="false">
      <c r="A2217" s="37" t="n">
        <v>401680125</v>
      </c>
      <c r="B2217" s="38" t="n">
        <v>46295.7563657407</v>
      </c>
      <c r="C2217" s="37" t="s">
        <v>379</v>
      </c>
      <c r="D2217" s="37" t="s">
        <v>2315</v>
      </c>
      <c r="E2217" s="37" t="n">
        <v>24936380</v>
      </c>
      <c r="F2217" s="37" t="s">
        <v>171</v>
      </c>
      <c r="G2217" s="37" t="s">
        <v>198</v>
      </c>
      <c r="H2217" s="37" t="s">
        <v>184</v>
      </c>
      <c r="I2217" s="37" t="n">
        <v>24.4</v>
      </c>
      <c r="J2217" s="39" t="n">
        <v>349.99</v>
      </c>
      <c r="K2217" s="37" t="s">
        <v>342</v>
      </c>
      <c r="L2217" s="39" t="n">
        <v>108.85</v>
      </c>
      <c r="M2217" s="39" t="n">
        <v>65.63</v>
      </c>
      <c r="N2217" s="39" t="n">
        <f aca="false">J2217*Resumo!$C$6</f>
        <v>0</v>
      </c>
      <c r="O2217" s="39" t="n">
        <f aca="false">J2217*Resumo!$C$7</f>
        <v>0.734979</v>
      </c>
      <c r="P2217" s="39" t="n">
        <f aca="false">J2217*Resumo!$C$8</f>
        <v>0.734979</v>
      </c>
      <c r="Q2217" s="39" t="n">
        <f aca="false">Resumo!$C$10*CEILING(I2217/100,1)</f>
        <v>1.05</v>
      </c>
      <c r="R2217" s="39" t="n">
        <f aca="false">Resumo!$C$9</f>
        <v>0</v>
      </c>
      <c r="S2217" s="39" t="n">
        <f aca="false">Resumo!$C$13</f>
        <v>13.55</v>
      </c>
      <c r="T2217" s="39" t="n">
        <f aca="false">Resumo!$C$14*CEILING(I2217,1)</f>
        <v>11.25</v>
      </c>
      <c r="U2217" s="39" t="n">
        <f aca="false">SUM(M2217:T2217)*Resumo!$C$11</f>
        <v>0</v>
      </c>
      <c r="V2217" s="39" t="n">
        <f aca="false">SUM(M2217:U2217)</f>
        <v>92.949958</v>
      </c>
      <c r="W2217" s="39" t="n">
        <f aca="false">V2217/(1-Resumo!$C$5)</f>
        <v>105.624952272727</v>
      </c>
      <c r="X2217" s="39" t="n">
        <v>100.58</v>
      </c>
      <c r="Y2217" s="39" t="n">
        <f aca="false">J2217*Resumo!$B$6</f>
        <v>0.34999</v>
      </c>
      <c r="Z2217" s="39" t="n">
        <f aca="false">J2217*Resumo!$B$7</f>
        <v>0.69998</v>
      </c>
      <c r="AA2217" s="39" t="n">
        <f aca="false">Resumo!$B$9</f>
        <v>1</v>
      </c>
      <c r="AB2217" s="39" t="n">
        <f aca="false">Resumo!$B$10*CEILING(I2217/100,1)</f>
        <v>4.5</v>
      </c>
      <c r="AC2217" s="39" t="n">
        <f aca="false">Resumo!$B$12*CEILING(I2217,1)</f>
        <v>1.5</v>
      </c>
      <c r="AD2217" s="39" t="n">
        <f aca="false">Resumo!$B$14*CEILING(I2217,1)</f>
        <v>11.25</v>
      </c>
      <c r="AE2217" s="39" t="n">
        <f aca="false">SUM(X2217:AD2217)</f>
        <v>119.87997</v>
      </c>
      <c r="AF2217" s="39" t="n">
        <f aca="false">AE2217/(1-Resumo!$B$5)</f>
        <v>136.227238636364</v>
      </c>
      <c r="AG2217" s="39" t="n">
        <f aca="false">AF2217-W2217</f>
        <v>30.6022863636364</v>
      </c>
      <c r="AH2217" s="40" t="n">
        <f aca="false">AF2217/W2217-1</f>
        <v>0.289725918972443</v>
      </c>
      <c r="AI2217" s="37" t="str">
        <f aca="false">IF(AF2217&lt;W2217,"SIM","NÃO")</f>
        <v>NÃO</v>
      </c>
      <c r="AJ2217" s="37" t="n">
        <v>13</v>
      </c>
      <c r="AK2217" s="37" t="n">
        <v>7</v>
      </c>
      <c r="AL2217" s="37" t="s">
        <v>343</v>
      </c>
      <c r="AM2217" s="39" t="n">
        <v>108.86</v>
      </c>
    </row>
    <row r="2218" customFormat="false" ht="15" hidden="false" customHeight="false" outlineLevel="0" collapsed="false">
      <c r="A2218" s="37" t="n">
        <v>401761929</v>
      </c>
      <c r="B2218" s="38" t="n">
        <v>46295.847349537</v>
      </c>
      <c r="C2218" s="37" t="s">
        <v>345</v>
      </c>
      <c r="D2218" s="37" t="s">
        <v>2316</v>
      </c>
      <c r="E2218" s="37" t="n">
        <v>23955135</v>
      </c>
      <c r="F2218" s="37" t="s">
        <v>169</v>
      </c>
      <c r="G2218" s="37" t="s">
        <v>198</v>
      </c>
      <c r="H2218" s="37" t="s">
        <v>187</v>
      </c>
      <c r="I2218" s="37" t="n">
        <v>56.7</v>
      </c>
      <c r="J2218" s="39" t="n">
        <v>705.81</v>
      </c>
      <c r="K2218" s="37" t="s">
        <v>342</v>
      </c>
      <c r="L2218" s="39" t="n">
        <v>143.05</v>
      </c>
      <c r="M2218" s="39" t="n">
        <v>83.58</v>
      </c>
      <c r="N2218" s="39" t="n">
        <f aca="false">J2218*Resumo!$C$6</f>
        <v>0</v>
      </c>
      <c r="O2218" s="39" t="n">
        <f aca="false">J2218*Resumo!$C$7</f>
        <v>1.482201</v>
      </c>
      <c r="P2218" s="39" t="n">
        <f aca="false">J2218*Resumo!$C$8</f>
        <v>1.482201</v>
      </c>
      <c r="Q2218" s="39" t="n">
        <f aca="false">Resumo!$C$10*CEILING(I2218/100,1)</f>
        <v>1.05</v>
      </c>
      <c r="R2218" s="39" t="n">
        <f aca="false">Resumo!$C$9</f>
        <v>0</v>
      </c>
      <c r="S2218" s="39" t="n">
        <f aca="false">Resumo!$C$13</f>
        <v>13.55</v>
      </c>
      <c r="T2218" s="39" t="n">
        <f aca="false">Resumo!$C$14*CEILING(I2218,1)</f>
        <v>25.65</v>
      </c>
      <c r="U2218" s="39" t="n">
        <f aca="false">SUM(M2218:T2218)*Resumo!$C$11</f>
        <v>0</v>
      </c>
      <c r="V2218" s="39" t="n">
        <f aca="false">SUM(M2218:U2218)</f>
        <v>126.794402</v>
      </c>
      <c r="W2218" s="39" t="n">
        <f aca="false">V2218/(1-Resumo!$C$5)</f>
        <v>144.084547727273</v>
      </c>
      <c r="X2218" s="39" t="n">
        <v>142.32</v>
      </c>
      <c r="Y2218" s="39" t="n">
        <f aca="false">J2218*Resumo!$B$6</f>
        <v>0.70581</v>
      </c>
      <c r="Z2218" s="39" t="n">
        <f aca="false">J2218*Resumo!$B$7</f>
        <v>1.41162</v>
      </c>
      <c r="AA2218" s="39" t="n">
        <f aca="false">Resumo!$B$9</f>
        <v>1</v>
      </c>
      <c r="AB2218" s="39" t="n">
        <f aca="false">Resumo!$B$10*CEILING(I2218/100,1)</f>
        <v>4.5</v>
      </c>
      <c r="AC2218" s="39" t="n">
        <f aca="false">Resumo!$B$12*CEILING(I2218,1)</f>
        <v>3.42</v>
      </c>
      <c r="AD2218" s="39" t="n">
        <f aca="false">Resumo!$B$14*CEILING(I2218,1)</f>
        <v>25.65</v>
      </c>
      <c r="AE2218" s="39" t="n">
        <f aca="false">SUM(X2218:AD2218)</f>
        <v>179.00743</v>
      </c>
      <c r="AF2218" s="39" t="n">
        <f aca="false">AE2218/(1-Resumo!$B$5)</f>
        <v>203.417534090909</v>
      </c>
      <c r="AG2218" s="39" t="n">
        <f aca="false">AF2218-W2218</f>
        <v>59.3329863636364</v>
      </c>
      <c r="AH2218" s="40" t="n">
        <f aca="false">AF2218/W2218-1</f>
        <v>0.41179284870952</v>
      </c>
      <c r="AI2218" s="37" t="str">
        <f aca="false">IF(AF2218&lt;W2218,"SIM","NÃO")</f>
        <v>NÃO</v>
      </c>
      <c r="AJ2218" s="37" t="n">
        <v>13</v>
      </c>
      <c r="AK2218" s="37" t="n">
        <v>10</v>
      </c>
      <c r="AL2218" s="37" t="s">
        <v>343</v>
      </c>
      <c r="AM2218" s="39" t="n">
        <v>143.05</v>
      </c>
    </row>
    <row r="2219" customFormat="false" ht="15" hidden="false" customHeight="false" outlineLevel="0" collapsed="false">
      <c r="A2219" s="37" t="n">
        <v>401791560</v>
      </c>
      <c r="B2219" s="38" t="n">
        <v>46295.8862731482</v>
      </c>
      <c r="C2219" s="37" t="s">
        <v>2013</v>
      </c>
      <c r="D2219" s="37" t="s">
        <v>454</v>
      </c>
      <c r="E2219" s="37" t="n">
        <v>28200000</v>
      </c>
      <c r="F2219" s="37" t="s">
        <v>259</v>
      </c>
      <c r="G2219" s="37" t="s">
        <v>198</v>
      </c>
      <c r="H2219" s="37" t="s">
        <v>185</v>
      </c>
      <c r="I2219" s="37" t="n">
        <v>39</v>
      </c>
      <c r="J2219" s="39" t="n">
        <v>619.99</v>
      </c>
      <c r="K2219" s="37" t="s">
        <v>342</v>
      </c>
      <c r="L2219" s="39" t="n">
        <v>123.22</v>
      </c>
      <c r="M2219" s="39" t="n">
        <v>74.97</v>
      </c>
      <c r="N2219" s="39" t="n">
        <f aca="false">J2219*Resumo!$C$6</f>
        <v>0</v>
      </c>
      <c r="O2219" s="39" t="n">
        <f aca="false">J2219*Resumo!$C$7</f>
        <v>1.301979</v>
      </c>
      <c r="P2219" s="39" t="n">
        <f aca="false">J2219*Resumo!$C$8</f>
        <v>1.301979</v>
      </c>
      <c r="Q2219" s="39" t="n">
        <f aca="false">Resumo!$C$10*CEILING(I2219/100,1)</f>
        <v>1.05</v>
      </c>
      <c r="R2219" s="39" t="n">
        <f aca="false">Resumo!$C$9</f>
        <v>0</v>
      </c>
      <c r="S2219" s="39" t="n">
        <f aca="false">Resumo!$C$13</f>
        <v>13.55</v>
      </c>
      <c r="T2219" s="39" t="n">
        <f aca="false">Resumo!$C$14*CEILING(I2219,1)</f>
        <v>17.55</v>
      </c>
      <c r="U2219" s="39" t="n">
        <f aca="false">SUM(M2219:T2219)*Resumo!$C$11</f>
        <v>0</v>
      </c>
      <c r="V2219" s="39" t="n">
        <f aca="false">SUM(M2219:U2219)</f>
        <v>109.723958</v>
      </c>
      <c r="W2219" s="39" t="n">
        <f aca="false">V2219/(1-Resumo!$C$5)</f>
        <v>124.686315909091</v>
      </c>
      <c r="X2219" s="39" t="n">
        <v>143.04</v>
      </c>
      <c r="Y2219" s="39" t="n">
        <f aca="false">J2219*Resumo!$B$6</f>
        <v>0.61999</v>
      </c>
      <c r="Z2219" s="39" t="n">
        <f aca="false">J2219*Resumo!$B$7</f>
        <v>1.23998</v>
      </c>
      <c r="AA2219" s="39" t="n">
        <f aca="false">Resumo!$B$9</f>
        <v>1</v>
      </c>
      <c r="AB2219" s="39" t="n">
        <f aca="false">Resumo!$B$10*CEILING(I2219/100,1)</f>
        <v>4.5</v>
      </c>
      <c r="AC2219" s="39" t="n">
        <f aca="false">Resumo!$B$12*CEILING(I2219,1)</f>
        <v>2.34</v>
      </c>
      <c r="AD2219" s="39" t="n">
        <f aca="false">Resumo!$B$14*CEILING(I2219,1)</f>
        <v>17.55</v>
      </c>
      <c r="AE2219" s="39" t="n">
        <f aca="false">SUM(X2219:AD2219)</f>
        <v>170.28997</v>
      </c>
      <c r="AF2219" s="39" t="n">
        <f aca="false">AE2219/(1-Resumo!$B$5)</f>
        <v>193.511329545455</v>
      </c>
      <c r="AG2219" s="39" t="n">
        <f aca="false">AF2219-W2219</f>
        <v>68.8250136363636</v>
      </c>
      <c r="AH2219" s="40" t="n">
        <f aca="false">AF2219/W2219-1</f>
        <v>0.55198530115</v>
      </c>
      <c r="AI2219" s="37" t="str">
        <f aca="false">IF(AF2219&lt;W2219,"SIM","NÃO")</f>
        <v>NÃO</v>
      </c>
      <c r="AJ2219" s="37" t="n">
        <v>13</v>
      </c>
      <c r="AK2219" s="37" t="n">
        <v>11</v>
      </c>
      <c r="AL2219" s="37" t="s">
        <v>347</v>
      </c>
      <c r="AM2219" s="39" t="n">
        <v>123.22</v>
      </c>
    </row>
    <row r="2220" customFormat="false" ht="15" hidden="false" customHeight="false" outlineLevel="0" collapsed="false">
      <c r="A2220" s="37" t="n">
        <v>401794913</v>
      </c>
      <c r="B2220" s="38" t="n">
        <v>46295.8905439815</v>
      </c>
      <c r="C2220" s="37" t="s">
        <v>340</v>
      </c>
      <c r="D2220" s="37" t="s">
        <v>2282</v>
      </c>
      <c r="E2220" s="37" t="n">
        <v>21510013</v>
      </c>
      <c r="F2220" s="37" t="s">
        <v>159</v>
      </c>
      <c r="G2220" s="37" t="s">
        <v>196</v>
      </c>
      <c r="H2220" s="37" t="s">
        <v>185</v>
      </c>
      <c r="I2220" s="37" t="n">
        <v>39</v>
      </c>
      <c r="J2220" s="39" t="n">
        <v>549.99</v>
      </c>
      <c r="K2220" s="37" t="s">
        <v>342</v>
      </c>
      <c r="L2220" s="39" t="n">
        <v>92.49</v>
      </c>
      <c r="M2220" s="39" t="n">
        <v>48.35</v>
      </c>
      <c r="N2220" s="39" t="n">
        <f aca="false">J2220*Resumo!$C$6</f>
        <v>0</v>
      </c>
      <c r="O2220" s="39" t="n">
        <f aca="false">J2220*Resumo!$C$7</f>
        <v>1.154979</v>
      </c>
      <c r="P2220" s="39" t="n">
        <f aca="false">J2220*Resumo!$C$8</f>
        <v>1.154979</v>
      </c>
      <c r="Q2220" s="39" t="n">
        <f aca="false">Resumo!$C$10*CEILING(I2220/100,1)</f>
        <v>1.05</v>
      </c>
      <c r="R2220" s="39" t="n">
        <f aca="false">Resumo!$C$9</f>
        <v>0</v>
      </c>
      <c r="S2220" s="39" t="n">
        <f aca="false">Resumo!$C$13</f>
        <v>13.55</v>
      </c>
      <c r="T2220" s="39" t="n">
        <f aca="false">Resumo!$C$14*CEILING(I2220,1)</f>
        <v>17.55</v>
      </c>
      <c r="U2220" s="39" t="n">
        <f aca="false">SUM(M2220:T2220)*Resumo!$C$11</f>
        <v>0</v>
      </c>
      <c r="V2220" s="39" t="n">
        <f aca="false">SUM(M2220:U2220)</f>
        <v>82.809958</v>
      </c>
      <c r="W2220" s="39" t="n">
        <f aca="false">V2220/(1-Resumo!$C$5)</f>
        <v>94.102225</v>
      </c>
      <c r="X2220" s="39" t="n">
        <v>93.97</v>
      </c>
      <c r="Y2220" s="39" t="n">
        <f aca="false">J2220*Resumo!$B$6</f>
        <v>0.54999</v>
      </c>
      <c r="Z2220" s="39" t="n">
        <f aca="false">J2220*Resumo!$B$7</f>
        <v>1.09998</v>
      </c>
      <c r="AA2220" s="39" t="n">
        <f aca="false">Resumo!$B$9</f>
        <v>1</v>
      </c>
      <c r="AB2220" s="39" t="n">
        <f aca="false">Resumo!$B$10*CEILING(I2220/100,1)</f>
        <v>4.5</v>
      </c>
      <c r="AC2220" s="39" t="n">
        <f aca="false">Resumo!$B$12*CEILING(I2220,1)</f>
        <v>2.34</v>
      </c>
      <c r="AD2220" s="39" t="n">
        <f aca="false">Resumo!$B$14*CEILING(I2220,1)</f>
        <v>17.55</v>
      </c>
      <c r="AE2220" s="39" t="n">
        <f aca="false">SUM(X2220:AD2220)</f>
        <v>121.00997</v>
      </c>
      <c r="AF2220" s="39" t="n">
        <f aca="false">AE2220/(1-Resumo!$B$5)</f>
        <v>137.511329545455</v>
      </c>
      <c r="AG2220" s="39" t="n">
        <f aca="false">AF2220-W2220</f>
        <v>43.4091045454546</v>
      </c>
      <c r="AH2220" s="40" t="n">
        <f aca="false">AF2220/W2220-1</f>
        <v>0.461297323686603</v>
      </c>
      <c r="AI2220" s="37" t="str">
        <f aca="false">IF(AF2220&lt;W2220,"SIM","NÃO")</f>
        <v>NÃO</v>
      </c>
      <c r="AJ2220" s="37" t="n">
        <v>2</v>
      </c>
      <c r="AK2220" s="37" t="n">
        <v>5</v>
      </c>
      <c r="AL2220" s="37" t="s">
        <v>343</v>
      </c>
      <c r="AM2220" s="39" t="n">
        <v>92.49</v>
      </c>
    </row>
    <row r="2221" customFormat="false" ht="15" hidden="false" customHeight="false" outlineLevel="0" collapsed="false">
      <c r="A2221" s="37" t="n">
        <v>401804176</v>
      </c>
      <c r="B2221" s="38" t="n">
        <v>46295.9039814815</v>
      </c>
      <c r="C2221" s="37" t="s">
        <v>340</v>
      </c>
      <c r="D2221" s="37" t="s">
        <v>2317</v>
      </c>
      <c r="E2221" s="37" t="n">
        <v>21550160</v>
      </c>
      <c r="F2221" s="37" t="s">
        <v>159</v>
      </c>
      <c r="G2221" s="37" t="s">
        <v>196</v>
      </c>
      <c r="H2221" s="37" t="s">
        <v>184</v>
      </c>
      <c r="I2221" s="37" t="n">
        <v>30.5</v>
      </c>
      <c r="J2221" s="39" t="n">
        <v>406.6</v>
      </c>
      <c r="K2221" s="37" t="s">
        <v>342</v>
      </c>
      <c r="L2221" s="39" t="n">
        <v>82.26</v>
      </c>
      <c r="M2221" s="39" t="n">
        <v>42.11</v>
      </c>
      <c r="N2221" s="39" t="n">
        <f aca="false">J2221*Resumo!$C$6</f>
        <v>0</v>
      </c>
      <c r="O2221" s="39" t="n">
        <f aca="false">J2221*Resumo!$C$7</f>
        <v>0.85386</v>
      </c>
      <c r="P2221" s="39" t="n">
        <f aca="false">J2221*Resumo!$C$8</f>
        <v>0.85386</v>
      </c>
      <c r="Q2221" s="39" t="n">
        <f aca="false">Resumo!$C$10*CEILING(I2221/100,1)</f>
        <v>1.05</v>
      </c>
      <c r="R2221" s="39" t="n">
        <f aca="false">Resumo!$C$9</f>
        <v>0</v>
      </c>
      <c r="S2221" s="39" t="n">
        <f aca="false">Resumo!$C$13</f>
        <v>13.55</v>
      </c>
      <c r="T2221" s="39" t="n">
        <f aca="false">Resumo!$C$14*CEILING(I2221,1)</f>
        <v>13.95</v>
      </c>
      <c r="U2221" s="39" t="n">
        <f aca="false">SUM(M2221:T2221)*Resumo!$C$11</f>
        <v>0</v>
      </c>
      <c r="V2221" s="39" t="n">
        <f aca="false">SUM(M2221:U2221)</f>
        <v>72.36772</v>
      </c>
      <c r="W2221" s="39" t="n">
        <f aca="false">V2221/(1-Resumo!$C$5)</f>
        <v>82.2360454545455</v>
      </c>
      <c r="X2221" s="39" t="n">
        <v>82.21</v>
      </c>
      <c r="Y2221" s="39" t="n">
        <f aca="false">J2221*Resumo!$B$6</f>
        <v>0.4066</v>
      </c>
      <c r="Z2221" s="39" t="n">
        <f aca="false">J2221*Resumo!$B$7</f>
        <v>0.8132</v>
      </c>
      <c r="AA2221" s="39" t="n">
        <f aca="false">Resumo!$B$9</f>
        <v>1</v>
      </c>
      <c r="AB2221" s="39" t="n">
        <f aca="false">Resumo!$B$10*CEILING(I2221/100,1)</f>
        <v>4.5</v>
      </c>
      <c r="AC2221" s="39" t="n">
        <f aca="false">Resumo!$B$12*CEILING(I2221,1)</f>
        <v>1.86</v>
      </c>
      <c r="AD2221" s="39" t="n">
        <f aca="false">Resumo!$B$14*CEILING(I2221,1)</f>
        <v>13.95</v>
      </c>
      <c r="AE2221" s="39" t="n">
        <f aca="false">SUM(X2221:AD2221)</f>
        <v>104.7398</v>
      </c>
      <c r="AF2221" s="39" t="n">
        <f aca="false">AE2221/(1-Resumo!$B$5)</f>
        <v>119.0225</v>
      </c>
      <c r="AG2221" s="39" t="n">
        <f aca="false">AF2221-W2221</f>
        <v>36.7864545454545</v>
      </c>
      <c r="AH2221" s="40" t="n">
        <f aca="false">AF2221/W2221-1</f>
        <v>0.447327620657387</v>
      </c>
      <c r="AI2221" s="37" t="str">
        <f aca="false">IF(AF2221&lt;W2221,"SIM","NÃO")</f>
        <v>NÃO</v>
      </c>
      <c r="AJ2221" s="37" t="n">
        <v>2</v>
      </c>
      <c r="AK2221" s="37" t="n">
        <v>5</v>
      </c>
      <c r="AL2221" s="37" t="s">
        <v>343</v>
      </c>
      <c r="AM2221" s="39" t="n">
        <v>82.27</v>
      </c>
    </row>
    <row r="2222" customFormat="false" ht="15" hidden="false" customHeight="false" outlineLevel="0" collapsed="false">
      <c r="A2222" s="37" t="n">
        <v>401807919</v>
      </c>
      <c r="B2222" s="38" t="n">
        <v>46295.9091550926</v>
      </c>
      <c r="C2222" s="37" t="s">
        <v>345</v>
      </c>
      <c r="D2222" s="37" t="s">
        <v>2318</v>
      </c>
      <c r="E2222" s="37" t="n">
        <v>23040573</v>
      </c>
      <c r="F2222" s="37" t="s">
        <v>159</v>
      </c>
      <c r="G2222" s="37" t="s">
        <v>196</v>
      </c>
      <c r="H2222" s="37" t="s">
        <v>184</v>
      </c>
      <c r="I2222" s="37" t="n">
        <v>31.9</v>
      </c>
      <c r="J2222" s="39" t="n">
        <v>483.99</v>
      </c>
      <c r="K2222" s="37" t="s">
        <v>342</v>
      </c>
      <c r="L2222" s="39" t="n">
        <v>82.65</v>
      </c>
      <c r="M2222" s="39" t="n">
        <v>42.11</v>
      </c>
      <c r="N2222" s="39" t="n">
        <f aca="false">J2222*Resumo!$C$6</f>
        <v>0</v>
      </c>
      <c r="O2222" s="39" t="n">
        <f aca="false">J2222*Resumo!$C$7</f>
        <v>1.016379</v>
      </c>
      <c r="P2222" s="39" t="n">
        <f aca="false">J2222*Resumo!$C$8</f>
        <v>1.016379</v>
      </c>
      <c r="Q2222" s="39" t="n">
        <f aca="false">Resumo!$C$10*CEILING(I2222/100,1)</f>
        <v>1.05</v>
      </c>
      <c r="R2222" s="39" t="n">
        <f aca="false">Resumo!$C$9</f>
        <v>0</v>
      </c>
      <c r="S2222" s="39" t="n">
        <f aca="false">Resumo!$C$13</f>
        <v>13.55</v>
      </c>
      <c r="T2222" s="39" t="n">
        <f aca="false">Resumo!$C$14*CEILING(I2222,1)</f>
        <v>14.4</v>
      </c>
      <c r="U2222" s="39" t="n">
        <f aca="false">SUM(M2222:T2222)*Resumo!$C$11</f>
        <v>0</v>
      </c>
      <c r="V2222" s="39" t="n">
        <f aca="false">SUM(M2222:U2222)</f>
        <v>73.142758</v>
      </c>
      <c r="W2222" s="39" t="n">
        <f aca="false">V2222/(1-Resumo!$C$5)</f>
        <v>83.1167704545455</v>
      </c>
      <c r="X2222" s="39" t="n">
        <v>82.21</v>
      </c>
      <c r="Y2222" s="39" t="n">
        <f aca="false">J2222*Resumo!$B$6</f>
        <v>0.48399</v>
      </c>
      <c r="Z2222" s="39" t="n">
        <f aca="false">J2222*Resumo!$B$7</f>
        <v>0.96798</v>
      </c>
      <c r="AA2222" s="39" t="n">
        <f aca="false">Resumo!$B$9</f>
        <v>1</v>
      </c>
      <c r="AB2222" s="39" t="n">
        <f aca="false">Resumo!$B$10*CEILING(I2222/100,1)</f>
        <v>4.5</v>
      </c>
      <c r="AC2222" s="39" t="n">
        <f aca="false">Resumo!$B$12*CEILING(I2222,1)</f>
        <v>1.92</v>
      </c>
      <c r="AD2222" s="39" t="n">
        <f aca="false">Resumo!$B$14*CEILING(I2222,1)</f>
        <v>14.4</v>
      </c>
      <c r="AE2222" s="39" t="n">
        <f aca="false">SUM(X2222:AD2222)</f>
        <v>105.48197</v>
      </c>
      <c r="AF2222" s="39" t="n">
        <f aca="false">AE2222/(1-Resumo!$B$5)</f>
        <v>119.865875</v>
      </c>
      <c r="AG2222" s="39" t="n">
        <f aca="false">AF2222-W2222</f>
        <v>36.7491045454545</v>
      </c>
      <c r="AH2222" s="40" t="n">
        <f aca="false">AF2222/W2222-1</f>
        <v>0.442138263367099</v>
      </c>
      <c r="AI2222" s="37" t="str">
        <f aca="false">IF(AF2222&lt;W2222,"SIM","NÃO")</f>
        <v>NÃO</v>
      </c>
      <c r="AJ2222" s="37" t="n">
        <v>2</v>
      </c>
      <c r="AK2222" s="37" t="n">
        <v>5</v>
      </c>
      <c r="AL2222" s="37" t="s">
        <v>343</v>
      </c>
      <c r="AM2222" s="39" t="n">
        <v>82.64</v>
      </c>
    </row>
    <row r="2223" customFormat="false" ht="15" hidden="false" customHeight="false" outlineLevel="0" collapsed="false">
      <c r="A2223" s="37" t="n">
        <v>401823478</v>
      </c>
      <c r="B2223" s="38" t="n">
        <v>46295.9291435185</v>
      </c>
      <c r="C2223" s="37" t="s">
        <v>345</v>
      </c>
      <c r="D2223" s="37" t="s">
        <v>2319</v>
      </c>
      <c r="E2223" s="37" t="n">
        <v>23071642</v>
      </c>
      <c r="F2223" s="37" t="s">
        <v>159</v>
      </c>
      <c r="G2223" s="37" t="s">
        <v>196</v>
      </c>
      <c r="H2223" s="37" t="s">
        <v>188</v>
      </c>
      <c r="I2223" s="37" t="n">
        <v>66.8</v>
      </c>
      <c r="J2223" s="39" t="n">
        <v>691.9</v>
      </c>
      <c r="K2223" s="37" t="s">
        <v>342</v>
      </c>
      <c r="L2223" s="39" t="n">
        <v>124.51</v>
      </c>
      <c r="M2223" s="39" t="n">
        <v>63.21</v>
      </c>
      <c r="N2223" s="39" t="n">
        <f aca="false">J2223*Resumo!$C$6</f>
        <v>0</v>
      </c>
      <c r="O2223" s="39" t="n">
        <f aca="false">J2223*Resumo!$C$7</f>
        <v>1.45299</v>
      </c>
      <c r="P2223" s="39" t="n">
        <f aca="false">J2223*Resumo!$C$8</f>
        <v>1.45299</v>
      </c>
      <c r="Q2223" s="39" t="n">
        <f aca="false">Resumo!$C$10*CEILING(I2223/100,1)</f>
        <v>1.05</v>
      </c>
      <c r="R2223" s="39" t="n">
        <f aca="false">Resumo!$C$9</f>
        <v>0</v>
      </c>
      <c r="S2223" s="39" t="n">
        <f aca="false">Resumo!$C$13</f>
        <v>13.55</v>
      </c>
      <c r="T2223" s="39" t="n">
        <f aca="false">Resumo!$C$14*CEILING(I2223,1)</f>
        <v>30.15</v>
      </c>
      <c r="U2223" s="39" t="n">
        <f aca="false">SUM(M2223:T2223)*Resumo!$C$11</f>
        <v>0</v>
      </c>
      <c r="V2223" s="39" t="n">
        <f aca="false">SUM(M2223:U2223)</f>
        <v>110.86598</v>
      </c>
      <c r="W2223" s="39" t="n">
        <f aca="false">V2223/(1-Resumo!$C$5)</f>
        <v>125.984068181818</v>
      </c>
      <c r="X2223" s="39" t="n">
        <v>131.02</v>
      </c>
      <c r="Y2223" s="39" t="n">
        <f aca="false">J2223*Resumo!$B$6</f>
        <v>0.6919</v>
      </c>
      <c r="Z2223" s="39" t="n">
        <f aca="false">J2223*Resumo!$B$7</f>
        <v>1.3838</v>
      </c>
      <c r="AA2223" s="39" t="n">
        <f aca="false">Resumo!$B$9</f>
        <v>1</v>
      </c>
      <c r="AB2223" s="39" t="n">
        <f aca="false">Resumo!$B$10*CEILING(I2223/100,1)</f>
        <v>4.5</v>
      </c>
      <c r="AC2223" s="39" t="n">
        <f aca="false">Resumo!$B$12*CEILING(I2223,1)</f>
        <v>4.02</v>
      </c>
      <c r="AD2223" s="39" t="n">
        <f aca="false">Resumo!$B$14*CEILING(I2223,1)</f>
        <v>30.15</v>
      </c>
      <c r="AE2223" s="39" t="n">
        <f aca="false">SUM(X2223:AD2223)</f>
        <v>172.7657</v>
      </c>
      <c r="AF2223" s="39" t="n">
        <f aca="false">AE2223/(1-Resumo!$B$5)</f>
        <v>196.324659090909</v>
      </c>
      <c r="AG2223" s="39" t="n">
        <f aca="false">AF2223-W2223</f>
        <v>70.3405909090909</v>
      </c>
      <c r="AH2223" s="40" t="n">
        <f aca="false">AF2223/W2223-1</f>
        <v>0.558329254835433</v>
      </c>
      <c r="AI2223" s="37" t="str">
        <f aca="false">IF(AF2223&lt;W2223,"SIM","NÃO")</f>
        <v>NÃO</v>
      </c>
      <c r="AJ2223" s="37" t="n">
        <v>2</v>
      </c>
      <c r="AK2223" s="37" t="n">
        <v>5</v>
      </c>
      <c r="AL2223" s="37" t="s">
        <v>343</v>
      </c>
      <c r="AM2223" s="39" t="n">
        <v>124.52</v>
      </c>
    </row>
    <row r="2224" customFormat="false" ht="15" hidden="false" customHeight="false" outlineLevel="0" collapsed="false">
      <c r="A2224" s="37" t="n">
        <v>401847972</v>
      </c>
      <c r="B2224" s="38" t="n">
        <v>46295.9594328704</v>
      </c>
      <c r="C2224" s="37" t="s">
        <v>340</v>
      </c>
      <c r="D2224" s="37" t="s">
        <v>2320</v>
      </c>
      <c r="E2224" s="37" t="n">
        <v>27130360</v>
      </c>
      <c r="F2224" s="37" t="s">
        <v>244</v>
      </c>
      <c r="G2224" s="37" t="s">
        <v>198</v>
      </c>
      <c r="H2224" s="37" t="s">
        <v>187</v>
      </c>
      <c r="I2224" s="37" t="n">
        <v>51.5</v>
      </c>
      <c r="J2224" s="39" t="n">
        <v>478.99</v>
      </c>
      <c r="K2224" s="37" t="s">
        <v>342</v>
      </c>
      <c r="L2224" s="39" t="n">
        <v>141.97</v>
      </c>
      <c r="M2224" s="39" t="n">
        <v>83.58</v>
      </c>
      <c r="N2224" s="39" t="n">
        <f aca="false">J2224*Resumo!$C$6</f>
        <v>0</v>
      </c>
      <c r="O2224" s="39" t="n">
        <f aca="false">J2224*Resumo!$C$7</f>
        <v>1.005879</v>
      </c>
      <c r="P2224" s="39" t="n">
        <f aca="false">J2224*Resumo!$C$8</f>
        <v>1.005879</v>
      </c>
      <c r="Q2224" s="39" t="n">
        <f aca="false">Resumo!$C$10*CEILING(I2224/100,1)</f>
        <v>1.05</v>
      </c>
      <c r="R2224" s="39" t="n">
        <f aca="false">Resumo!$C$9</f>
        <v>0</v>
      </c>
      <c r="S2224" s="39" t="n">
        <f aca="false">Resumo!$C$13</f>
        <v>13.55</v>
      </c>
      <c r="T2224" s="39" t="n">
        <f aca="false">Resumo!$C$14*CEILING(I2224,1)</f>
        <v>23.4</v>
      </c>
      <c r="U2224" s="39" t="n">
        <f aca="false">SUM(M2224:T2224)*Resumo!$C$11</f>
        <v>0</v>
      </c>
      <c r="V2224" s="39" t="n">
        <f aca="false">SUM(M2224:U2224)</f>
        <v>123.591758</v>
      </c>
      <c r="W2224" s="39" t="n">
        <f aca="false">V2224/(1-Resumo!$C$5)</f>
        <v>140.445179545455</v>
      </c>
      <c r="X2224" s="39" t="n">
        <v>142.32</v>
      </c>
      <c r="Y2224" s="39" t="n">
        <f aca="false">J2224*Resumo!$B$6</f>
        <v>0.47899</v>
      </c>
      <c r="Z2224" s="39" t="n">
        <f aca="false">J2224*Resumo!$B$7</f>
        <v>0.95798</v>
      </c>
      <c r="AA2224" s="39" t="n">
        <f aca="false">Resumo!$B$9</f>
        <v>1</v>
      </c>
      <c r="AB2224" s="39" t="n">
        <f aca="false">Resumo!$B$10*CEILING(I2224/100,1)</f>
        <v>4.5</v>
      </c>
      <c r="AC2224" s="39" t="n">
        <f aca="false">Resumo!$B$12*CEILING(I2224,1)</f>
        <v>3.12</v>
      </c>
      <c r="AD2224" s="39" t="n">
        <f aca="false">Resumo!$B$14*CEILING(I2224,1)</f>
        <v>23.4</v>
      </c>
      <c r="AE2224" s="39" t="n">
        <f aca="false">SUM(X2224:AD2224)</f>
        <v>175.77697</v>
      </c>
      <c r="AF2224" s="39" t="n">
        <f aca="false">AE2224/(1-Resumo!$B$5)</f>
        <v>199.746556818182</v>
      </c>
      <c r="AG2224" s="39" t="n">
        <f aca="false">AF2224-W2224</f>
        <v>59.3013772727273</v>
      </c>
      <c r="AH2224" s="40" t="n">
        <f aca="false">AF2224/W2224-1</f>
        <v>0.422238609147384</v>
      </c>
      <c r="AI2224" s="37" t="str">
        <f aca="false">IF(AF2224&lt;W2224,"SIM","NÃO")</f>
        <v>NÃO</v>
      </c>
      <c r="AJ2224" s="37" t="n">
        <v>13</v>
      </c>
      <c r="AK2224" s="37" t="n">
        <v>10</v>
      </c>
      <c r="AL2224" s="37" t="s">
        <v>347</v>
      </c>
      <c r="AM2224" s="39" t="n">
        <v>141.96</v>
      </c>
    </row>
  </sheetData>
  <autoFilter ref="A1:AM22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2026-10-29T19:20:17Z</dcterms:created>
  <dc:creator>openpyxl</dc:creator>
  <dc:description/>
  <dc:language>en-US</dc:language>
  <cp:lastModifiedBy/>
  <dcterms:modified xsi:type="dcterms:W3CDTF">2026-10-29T19:20:21Z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